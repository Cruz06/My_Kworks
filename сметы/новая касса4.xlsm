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orutkovskaya\Downloads\"/>
    </mc:Choice>
  </mc:AlternateContent>
  <xr:revisionPtr revIDLastSave="0" documentId="13_ncr:1_{1E5790F7-5EF7-4087-8982-8FC38F5F62C0}" xr6:coauthVersionLast="47" xr6:coauthVersionMax="47" xr10:uidLastSave="{00000000-0000-0000-0000-000000000000}"/>
  <bookViews>
    <workbookView xWindow="-120" yWindow="-120" windowWidth="29040" windowHeight="15720" tabRatio="733" xr2:uid="{00000000-000D-0000-FFFF-FFFF00000000}"/>
  </bookViews>
  <sheets>
    <sheet name="Обложка" sheetId="9" r:id="rId1"/>
    <sheet name="Учет" sheetId="1" r:id="rId2"/>
    <sheet name="ЗП" sheetId="8" r:id="rId3"/>
    <sheet name="ЗП подробно" sheetId="10" r:id="rId4"/>
    <sheet name="ДС" sheetId="6" r:id="rId5"/>
    <sheet name="Движение ДС" sheetId="11" r:id="rId6"/>
    <sheet name="Объекты" sheetId="2" r:id="rId7"/>
    <sheet name="Платежи" sheetId="3" r:id="rId8"/>
    <sheet name="Получатели" sheetId="5" r:id="rId9"/>
    <sheet name="Виды платежей" sheetId="12" r:id="rId10"/>
    <sheet name="Справочники" sheetId="4" r:id="rId11"/>
  </sheets>
  <definedNames>
    <definedName name="_xlnm._FilterDatabase" localSheetId="9" hidden="1">'Виды платежей'!$A$1:$A$782</definedName>
    <definedName name="_xlnm._FilterDatabase" localSheetId="5" hidden="1">'Движение ДС'!$I$1:$M$847</definedName>
    <definedName name="_xlnm._FilterDatabase" localSheetId="3" hidden="1">'ЗП подробно'!$A$1:$I$1</definedName>
    <definedName name="_xlnm._FilterDatabase" localSheetId="1" hidden="1">Учет!$A$1:$P$567</definedName>
    <definedName name="_xlnm.Print_Titles" localSheetId="9">'Виды платежей'!$1:$1</definedName>
    <definedName name="_xlnm.Print_Titles" localSheetId="5">'Движение ДС'!$1:$1</definedName>
    <definedName name="_xlnm.Print_Titles" localSheetId="1">Учет!$1:$1</definedName>
    <definedName name="_xlnm.Print_Area" localSheetId="1">Учет!$A$1:$P$3504</definedName>
  </definedNames>
  <calcPr calcId="191029"/>
  <pivotCaches>
    <pivotCache cacheId="63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3" l="1"/>
  <c r="D1" i="2" l="1"/>
  <c r="J1" i="2"/>
  <c r="E1" i="3"/>
  <c r="U391" i="1"/>
  <c r="T391" i="1"/>
  <c r="S391" i="1"/>
  <c r="R391" i="1"/>
  <c r="Q391" i="1"/>
  <c r="U390" i="1"/>
  <c r="T390" i="1"/>
  <c r="S390" i="1"/>
  <c r="R390" i="1"/>
  <c r="Q390" i="1"/>
  <c r="U389" i="1"/>
  <c r="T389" i="1"/>
  <c r="S389" i="1"/>
  <c r="R389" i="1"/>
  <c r="Q389" i="1"/>
  <c r="U388" i="1"/>
  <c r="T388" i="1"/>
  <c r="S388" i="1"/>
  <c r="R388" i="1"/>
  <c r="Q388" i="1"/>
  <c r="U387" i="1"/>
  <c r="T387" i="1"/>
  <c r="S387" i="1"/>
  <c r="R387" i="1"/>
  <c r="Q387" i="1"/>
  <c r="U386" i="1"/>
  <c r="T386" i="1"/>
  <c r="S386" i="1"/>
  <c r="R386" i="1"/>
  <c r="Q386" i="1"/>
  <c r="U385" i="1"/>
  <c r="T385" i="1"/>
  <c r="S385" i="1"/>
  <c r="R385" i="1"/>
  <c r="Q385" i="1"/>
  <c r="U384" i="1"/>
  <c r="T384" i="1"/>
  <c r="S384" i="1"/>
  <c r="R384" i="1"/>
  <c r="Q384" i="1"/>
  <c r="U383" i="1"/>
  <c r="T383" i="1"/>
  <c r="S383" i="1"/>
  <c r="R383" i="1"/>
  <c r="Q383" i="1"/>
  <c r="U382" i="1"/>
  <c r="T382" i="1"/>
  <c r="S382" i="1"/>
  <c r="R382" i="1"/>
  <c r="Q382" i="1"/>
  <c r="U381" i="1"/>
  <c r="T381" i="1"/>
  <c r="S381" i="1"/>
  <c r="R381" i="1"/>
  <c r="Q381" i="1"/>
  <c r="U380" i="1"/>
  <c r="T380" i="1"/>
  <c r="S380" i="1"/>
  <c r="R380" i="1"/>
  <c r="Q380" i="1"/>
  <c r="U379" i="1"/>
  <c r="T379" i="1"/>
  <c r="S379" i="1"/>
  <c r="R379" i="1"/>
  <c r="Q379" i="1"/>
  <c r="U378" i="1"/>
  <c r="T378" i="1"/>
  <c r="S378" i="1"/>
  <c r="R378" i="1"/>
  <c r="Q378" i="1"/>
  <c r="U377" i="1"/>
  <c r="T377" i="1"/>
  <c r="S377" i="1"/>
  <c r="R377" i="1"/>
  <c r="Q377" i="1"/>
  <c r="U376" i="1"/>
  <c r="T376" i="1"/>
  <c r="S376" i="1"/>
  <c r="R376" i="1"/>
  <c r="Q376" i="1"/>
  <c r="U375" i="1"/>
  <c r="T375" i="1"/>
  <c r="S375" i="1"/>
  <c r="R375" i="1"/>
  <c r="Q375" i="1"/>
  <c r="U374" i="1"/>
  <c r="T374" i="1"/>
  <c r="S374" i="1"/>
  <c r="R374" i="1"/>
  <c r="Q374" i="1"/>
  <c r="U373" i="1"/>
  <c r="T373" i="1"/>
  <c r="S373" i="1"/>
  <c r="R373" i="1"/>
  <c r="Q373" i="1"/>
  <c r="U372" i="1"/>
  <c r="T372" i="1"/>
  <c r="S372" i="1"/>
  <c r="R372" i="1"/>
  <c r="Q372" i="1"/>
  <c r="U371" i="1"/>
  <c r="T371" i="1"/>
  <c r="S371" i="1"/>
  <c r="R371" i="1"/>
  <c r="Q371" i="1"/>
  <c r="U370" i="1"/>
  <c r="T370" i="1"/>
  <c r="S370" i="1"/>
  <c r="R370" i="1"/>
  <c r="Q370" i="1"/>
  <c r="U369" i="1"/>
  <c r="T369" i="1"/>
  <c r="S369" i="1"/>
  <c r="R369" i="1"/>
  <c r="Q369" i="1"/>
  <c r="U368" i="1"/>
  <c r="T368" i="1"/>
  <c r="S368" i="1"/>
  <c r="R368" i="1"/>
  <c r="Q368" i="1"/>
  <c r="U367" i="1"/>
  <c r="T367" i="1"/>
  <c r="S367" i="1"/>
  <c r="R367" i="1"/>
  <c r="Q367" i="1"/>
  <c r="U366" i="1"/>
  <c r="T366" i="1"/>
  <c r="S366" i="1"/>
  <c r="R366" i="1"/>
  <c r="Q366" i="1"/>
  <c r="U365" i="1"/>
  <c r="T365" i="1"/>
  <c r="S365" i="1"/>
  <c r="R365" i="1"/>
  <c r="Q365" i="1"/>
  <c r="U364" i="1"/>
  <c r="T364" i="1"/>
  <c r="S364" i="1"/>
  <c r="R364" i="1"/>
  <c r="Q364" i="1"/>
  <c r="U363" i="1"/>
  <c r="T363" i="1"/>
  <c r="S363" i="1"/>
  <c r="R363" i="1"/>
  <c r="Q363" i="1"/>
  <c r="U362" i="1"/>
  <c r="T362" i="1"/>
  <c r="S362" i="1"/>
  <c r="R362" i="1"/>
  <c r="Q362" i="1"/>
  <c r="U361" i="1"/>
  <c r="T361" i="1"/>
  <c r="S361" i="1"/>
  <c r="R361" i="1"/>
  <c r="Q361" i="1"/>
  <c r="U360" i="1"/>
  <c r="T360" i="1"/>
  <c r="S360" i="1"/>
  <c r="R360" i="1"/>
  <c r="Q360" i="1"/>
  <c r="U359" i="1"/>
  <c r="T359" i="1"/>
  <c r="S359" i="1"/>
  <c r="R359" i="1"/>
  <c r="Q359" i="1"/>
  <c r="U358" i="1"/>
  <c r="T358" i="1"/>
  <c r="S358" i="1"/>
  <c r="R358" i="1"/>
  <c r="Q358" i="1"/>
  <c r="U357" i="1"/>
  <c r="T357" i="1"/>
  <c r="S357" i="1"/>
  <c r="R357" i="1"/>
  <c r="Q357" i="1"/>
  <c r="U356" i="1"/>
  <c r="T356" i="1"/>
  <c r="S356" i="1"/>
  <c r="R356" i="1"/>
  <c r="Q356" i="1"/>
  <c r="U355" i="1"/>
  <c r="T355" i="1"/>
  <c r="S355" i="1"/>
  <c r="R355" i="1"/>
  <c r="Q355" i="1"/>
  <c r="U354" i="1"/>
  <c r="T354" i="1"/>
  <c r="S354" i="1"/>
  <c r="R354" i="1"/>
  <c r="Q354" i="1"/>
  <c r="U353" i="1"/>
  <c r="T353" i="1"/>
  <c r="S353" i="1"/>
  <c r="R353" i="1"/>
  <c r="Q353" i="1"/>
  <c r="U352" i="1"/>
  <c r="T352" i="1"/>
  <c r="S352" i="1"/>
  <c r="R352" i="1"/>
  <c r="Q352" i="1"/>
  <c r="U351" i="1"/>
  <c r="T351" i="1"/>
  <c r="S351" i="1"/>
  <c r="R351" i="1"/>
  <c r="Q351" i="1"/>
  <c r="U350" i="1"/>
  <c r="T350" i="1"/>
  <c r="S350" i="1"/>
  <c r="R350" i="1"/>
  <c r="Q350" i="1"/>
  <c r="U349" i="1"/>
  <c r="T349" i="1"/>
  <c r="S349" i="1"/>
  <c r="R349" i="1"/>
  <c r="Q349" i="1"/>
  <c r="U348" i="1"/>
  <c r="T348" i="1"/>
  <c r="S348" i="1"/>
  <c r="R348" i="1"/>
  <c r="Q348" i="1"/>
  <c r="U347" i="1"/>
  <c r="T347" i="1"/>
  <c r="S347" i="1"/>
  <c r="R347" i="1"/>
  <c r="Q347" i="1"/>
  <c r="U346" i="1"/>
  <c r="T346" i="1"/>
  <c r="S346" i="1"/>
  <c r="R346" i="1"/>
  <c r="Q346" i="1"/>
  <c r="U345" i="1"/>
  <c r="T345" i="1"/>
  <c r="S345" i="1"/>
  <c r="R345" i="1"/>
  <c r="Q345" i="1"/>
  <c r="U344" i="1"/>
  <c r="T344" i="1"/>
  <c r="S344" i="1"/>
  <c r="R344" i="1"/>
  <c r="Q344" i="1"/>
  <c r="U343" i="1"/>
  <c r="T343" i="1"/>
  <c r="S343" i="1"/>
  <c r="R343" i="1"/>
  <c r="Q343" i="1"/>
  <c r="U342" i="1"/>
  <c r="T342" i="1"/>
  <c r="S342" i="1"/>
  <c r="R342" i="1"/>
  <c r="Q342" i="1"/>
  <c r="U341" i="1"/>
  <c r="T341" i="1"/>
  <c r="S341" i="1"/>
  <c r="R341" i="1"/>
  <c r="Q341" i="1"/>
  <c r="U340" i="1"/>
  <c r="T340" i="1"/>
  <c r="S340" i="1"/>
  <c r="R340" i="1"/>
  <c r="Q340" i="1"/>
  <c r="U339" i="1"/>
  <c r="T339" i="1"/>
  <c r="S339" i="1"/>
  <c r="R339" i="1"/>
  <c r="Q339" i="1"/>
  <c r="U338" i="1"/>
  <c r="T338" i="1"/>
  <c r="S338" i="1"/>
  <c r="R338" i="1"/>
  <c r="Q338" i="1"/>
  <c r="U337" i="1"/>
  <c r="T337" i="1"/>
  <c r="S337" i="1"/>
  <c r="R337" i="1"/>
  <c r="Q337" i="1"/>
  <c r="U336" i="1"/>
  <c r="T336" i="1"/>
  <c r="S336" i="1"/>
  <c r="R336" i="1"/>
  <c r="Q336" i="1"/>
  <c r="U335" i="1"/>
  <c r="T335" i="1"/>
  <c r="S335" i="1"/>
  <c r="R335" i="1"/>
  <c r="Q335" i="1"/>
  <c r="U334" i="1"/>
  <c r="T334" i="1"/>
  <c r="S334" i="1"/>
  <c r="R334" i="1"/>
  <c r="Q334" i="1"/>
  <c r="U333" i="1"/>
  <c r="T333" i="1"/>
  <c r="S333" i="1"/>
  <c r="R333" i="1"/>
  <c r="Q333" i="1"/>
  <c r="U332" i="1"/>
  <c r="T332" i="1"/>
  <c r="S332" i="1"/>
  <c r="R332" i="1"/>
  <c r="Q332" i="1"/>
  <c r="U331" i="1"/>
  <c r="T331" i="1"/>
  <c r="S331" i="1"/>
  <c r="R331" i="1"/>
  <c r="Q331" i="1"/>
  <c r="U330" i="1"/>
  <c r="T330" i="1"/>
  <c r="S330" i="1"/>
  <c r="R330" i="1"/>
  <c r="Q330" i="1"/>
  <c r="U329" i="1"/>
  <c r="T329" i="1"/>
  <c r="S329" i="1"/>
  <c r="R329" i="1"/>
  <c r="Q329" i="1"/>
  <c r="U328" i="1"/>
  <c r="T328" i="1"/>
  <c r="S328" i="1"/>
  <c r="R328" i="1"/>
  <c r="Q328" i="1"/>
  <c r="U327" i="1"/>
  <c r="T327" i="1"/>
  <c r="S327" i="1"/>
  <c r="R327" i="1"/>
  <c r="Q327" i="1"/>
  <c r="U326" i="1"/>
  <c r="T326" i="1"/>
  <c r="S326" i="1"/>
  <c r="R326" i="1"/>
  <c r="Q326" i="1"/>
  <c r="U325" i="1"/>
  <c r="T325" i="1"/>
  <c r="S325" i="1"/>
  <c r="R325" i="1"/>
  <c r="Q325" i="1"/>
  <c r="U324" i="1"/>
  <c r="T324" i="1"/>
  <c r="S324" i="1"/>
  <c r="R324" i="1"/>
  <c r="Q324" i="1"/>
  <c r="U323" i="1"/>
  <c r="T323" i="1"/>
  <c r="S323" i="1"/>
  <c r="R323" i="1"/>
  <c r="Q323" i="1"/>
  <c r="U322" i="1"/>
  <c r="T322" i="1"/>
  <c r="S322" i="1"/>
  <c r="R322" i="1"/>
  <c r="Q322" i="1"/>
  <c r="U321" i="1"/>
  <c r="T321" i="1"/>
  <c r="S321" i="1"/>
  <c r="R321" i="1"/>
  <c r="Q321" i="1"/>
  <c r="U320" i="1"/>
  <c r="T320" i="1"/>
  <c r="S320" i="1"/>
  <c r="R320" i="1"/>
  <c r="Q320" i="1"/>
  <c r="U319" i="1"/>
  <c r="T319" i="1"/>
  <c r="S319" i="1"/>
  <c r="R319" i="1"/>
  <c r="Q319" i="1"/>
  <c r="U318" i="1"/>
  <c r="T318" i="1"/>
  <c r="S318" i="1"/>
  <c r="R318" i="1"/>
  <c r="Q318" i="1"/>
  <c r="U317" i="1"/>
  <c r="T317" i="1"/>
  <c r="S317" i="1"/>
  <c r="R317" i="1"/>
  <c r="Q317" i="1"/>
  <c r="U316" i="1"/>
  <c r="T316" i="1"/>
  <c r="S316" i="1"/>
  <c r="R316" i="1"/>
  <c r="Q316" i="1"/>
  <c r="U315" i="1"/>
  <c r="T315" i="1"/>
  <c r="S315" i="1"/>
  <c r="R315" i="1"/>
  <c r="Q315" i="1"/>
  <c r="U314" i="1"/>
  <c r="T314" i="1"/>
  <c r="S314" i="1"/>
  <c r="R314" i="1"/>
  <c r="Q314" i="1"/>
  <c r="U313" i="1"/>
  <c r="T313" i="1"/>
  <c r="S313" i="1"/>
  <c r="R313" i="1"/>
  <c r="Q313" i="1"/>
  <c r="U312" i="1"/>
  <c r="T312" i="1"/>
  <c r="S312" i="1"/>
  <c r="R312" i="1"/>
  <c r="Q312" i="1"/>
  <c r="U311" i="1"/>
  <c r="T311" i="1"/>
  <c r="S311" i="1"/>
  <c r="R311" i="1"/>
  <c r="Q311" i="1"/>
  <c r="U310" i="1"/>
  <c r="T310" i="1"/>
  <c r="S310" i="1"/>
  <c r="R310" i="1"/>
  <c r="Q310" i="1"/>
  <c r="U309" i="1"/>
  <c r="T309" i="1"/>
  <c r="S309" i="1"/>
  <c r="R309" i="1"/>
  <c r="Q309" i="1"/>
  <c r="U308" i="1"/>
  <c r="T308" i="1"/>
  <c r="S308" i="1"/>
  <c r="R308" i="1"/>
  <c r="Q308" i="1"/>
  <c r="U307" i="1"/>
  <c r="T307" i="1"/>
  <c r="S307" i="1"/>
  <c r="R307" i="1"/>
  <c r="Q307" i="1"/>
  <c r="U306" i="1"/>
  <c r="T306" i="1"/>
  <c r="S306" i="1"/>
  <c r="R306" i="1"/>
  <c r="Q306" i="1"/>
  <c r="U305" i="1"/>
  <c r="T305" i="1"/>
  <c r="S305" i="1"/>
  <c r="R305" i="1"/>
  <c r="Q305" i="1"/>
  <c r="U304" i="1"/>
  <c r="T304" i="1"/>
  <c r="S304" i="1"/>
  <c r="R304" i="1"/>
  <c r="Q304" i="1"/>
  <c r="U303" i="1"/>
  <c r="T303" i="1"/>
  <c r="S303" i="1"/>
  <c r="R303" i="1"/>
  <c r="Q303" i="1"/>
  <c r="U302" i="1"/>
  <c r="T302" i="1"/>
  <c r="S302" i="1"/>
  <c r="R302" i="1"/>
  <c r="Q302" i="1"/>
  <c r="U301" i="1"/>
  <c r="T301" i="1"/>
  <c r="S301" i="1"/>
  <c r="R301" i="1"/>
  <c r="Q301" i="1"/>
  <c r="U300" i="1"/>
  <c r="T300" i="1"/>
  <c r="S300" i="1"/>
  <c r="R300" i="1"/>
  <c r="Q300" i="1"/>
  <c r="U299" i="1"/>
  <c r="T299" i="1"/>
  <c r="S299" i="1"/>
  <c r="R299" i="1"/>
  <c r="Q299" i="1"/>
  <c r="U298" i="1"/>
  <c r="T298" i="1"/>
  <c r="S298" i="1"/>
  <c r="R298" i="1"/>
  <c r="Q298" i="1"/>
  <c r="U297" i="1"/>
  <c r="T297" i="1"/>
  <c r="S297" i="1"/>
  <c r="R297" i="1"/>
  <c r="Q297" i="1"/>
  <c r="U296" i="1"/>
  <c r="T296" i="1"/>
  <c r="S296" i="1"/>
  <c r="R296" i="1"/>
  <c r="Q296" i="1"/>
  <c r="U295" i="1"/>
  <c r="T295" i="1"/>
  <c r="S295" i="1"/>
  <c r="R295" i="1"/>
  <c r="Q295" i="1"/>
  <c r="U294" i="1"/>
  <c r="T294" i="1"/>
  <c r="S294" i="1"/>
  <c r="R294" i="1"/>
  <c r="Q294" i="1"/>
  <c r="U293" i="1"/>
  <c r="T293" i="1"/>
  <c r="S293" i="1"/>
  <c r="R293" i="1"/>
  <c r="Q293" i="1"/>
  <c r="U292" i="1"/>
  <c r="T292" i="1"/>
  <c r="S292" i="1"/>
  <c r="R292" i="1"/>
  <c r="Q292" i="1"/>
  <c r="U291" i="1"/>
  <c r="T291" i="1"/>
  <c r="S291" i="1"/>
  <c r="R291" i="1"/>
  <c r="Q291" i="1"/>
  <c r="U290" i="1"/>
  <c r="T290" i="1"/>
  <c r="S290" i="1"/>
  <c r="R290" i="1"/>
  <c r="Q290" i="1"/>
  <c r="U289" i="1"/>
  <c r="T289" i="1"/>
  <c r="S289" i="1"/>
  <c r="R289" i="1"/>
  <c r="Q289" i="1"/>
  <c r="U288" i="1"/>
  <c r="T288" i="1"/>
  <c r="S288" i="1"/>
  <c r="R288" i="1"/>
  <c r="Q288" i="1"/>
  <c r="U287" i="1"/>
  <c r="T287" i="1"/>
  <c r="S287" i="1"/>
  <c r="R287" i="1"/>
  <c r="Q287" i="1"/>
  <c r="U286" i="1"/>
  <c r="T286" i="1"/>
  <c r="S286" i="1"/>
  <c r="R286" i="1"/>
  <c r="Q286" i="1"/>
  <c r="U285" i="1"/>
  <c r="T285" i="1"/>
  <c r="S285" i="1"/>
  <c r="R285" i="1"/>
  <c r="Q285" i="1"/>
  <c r="U284" i="1"/>
  <c r="T284" i="1"/>
  <c r="S284" i="1"/>
  <c r="R284" i="1"/>
  <c r="Q284" i="1"/>
  <c r="U283" i="1"/>
  <c r="T283" i="1"/>
  <c r="S283" i="1"/>
  <c r="R283" i="1"/>
  <c r="Q283" i="1"/>
  <c r="U282" i="1"/>
  <c r="T282" i="1"/>
  <c r="S282" i="1"/>
  <c r="R282" i="1"/>
  <c r="Q282" i="1"/>
  <c r="U281" i="1"/>
  <c r="T281" i="1"/>
  <c r="S281" i="1"/>
  <c r="R281" i="1"/>
  <c r="Q281" i="1"/>
  <c r="U280" i="1"/>
  <c r="T280" i="1"/>
  <c r="S280" i="1"/>
  <c r="R280" i="1"/>
  <c r="Q280" i="1"/>
  <c r="U279" i="1"/>
  <c r="T279" i="1"/>
  <c r="S279" i="1"/>
  <c r="R279" i="1"/>
  <c r="Q279" i="1"/>
  <c r="U278" i="1"/>
  <c r="T278" i="1"/>
  <c r="S278" i="1"/>
  <c r="R278" i="1"/>
  <c r="Q278" i="1"/>
  <c r="U277" i="1"/>
  <c r="T277" i="1"/>
  <c r="S277" i="1"/>
  <c r="R277" i="1"/>
  <c r="Q277" i="1"/>
  <c r="U276" i="1"/>
  <c r="T276" i="1"/>
  <c r="S276" i="1"/>
  <c r="R276" i="1"/>
  <c r="Q276" i="1"/>
  <c r="U275" i="1"/>
  <c r="T275" i="1"/>
  <c r="S275" i="1"/>
  <c r="R275" i="1"/>
  <c r="Q275" i="1"/>
  <c r="U274" i="1"/>
  <c r="T274" i="1"/>
  <c r="S274" i="1"/>
  <c r="R274" i="1"/>
  <c r="Q274" i="1"/>
  <c r="U273" i="1"/>
  <c r="T273" i="1"/>
  <c r="S273" i="1"/>
  <c r="R273" i="1"/>
  <c r="Q273" i="1"/>
  <c r="U272" i="1"/>
  <c r="T272" i="1"/>
  <c r="S272" i="1"/>
  <c r="R272" i="1"/>
  <c r="Q272" i="1"/>
  <c r="U271" i="1"/>
  <c r="T271" i="1"/>
  <c r="S271" i="1"/>
  <c r="R271" i="1"/>
  <c r="Q271" i="1"/>
  <c r="U270" i="1"/>
  <c r="T270" i="1"/>
  <c r="S270" i="1"/>
  <c r="R270" i="1"/>
  <c r="Q270" i="1"/>
  <c r="U269" i="1"/>
  <c r="T269" i="1"/>
  <c r="S269" i="1"/>
  <c r="R269" i="1"/>
  <c r="Q269" i="1"/>
  <c r="U268" i="1"/>
  <c r="T268" i="1"/>
  <c r="S268" i="1"/>
  <c r="R268" i="1"/>
  <c r="Q268" i="1"/>
  <c r="U267" i="1"/>
  <c r="T267" i="1"/>
  <c r="S267" i="1"/>
  <c r="R267" i="1"/>
  <c r="Q267" i="1"/>
  <c r="U266" i="1"/>
  <c r="T266" i="1"/>
  <c r="S266" i="1"/>
  <c r="R266" i="1"/>
  <c r="Q266" i="1"/>
  <c r="U265" i="1"/>
  <c r="T265" i="1"/>
  <c r="S265" i="1"/>
  <c r="R265" i="1"/>
  <c r="Q265" i="1"/>
  <c r="U264" i="1"/>
  <c r="T264" i="1"/>
  <c r="S264" i="1"/>
  <c r="R264" i="1"/>
  <c r="Q264" i="1"/>
  <c r="U263" i="1"/>
  <c r="T263" i="1"/>
  <c r="S263" i="1"/>
  <c r="R263" i="1"/>
  <c r="Q263" i="1"/>
  <c r="U262" i="1"/>
  <c r="T262" i="1"/>
  <c r="S262" i="1"/>
  <c r="R262" i="1"/>
  <c r="Q262" i="1"/>
  <c r="U261" i="1"/>
  <c r="T261" i="1"/>
  <c r="S261" i="1"/>
  <c r="R261" i="1"/>
  <c r="Q261" i="1"/>
  <c r="U260" i="1"/>
  <c r="T260" i="1"/>
  <c r="S260" i="1"/>
  <c r="R260" i="1"/>
  <c r="Q260" i="1"/>
  <c r="U259" i="1"/>
  <c r="T259" i="1"/>
  <c r="S259" i="1"/>
  <c r="R259" i="1"/>
  <c r="Q259" i="1"/>
  <c r="U258" i="1"/>
  <c r="T258" i="1"/>
  <c r="S258" i="1"/>
  <c r="R258" i="1"/>
  <c r="Q258" i="1"/>
  <c r="U257" i="1"/>
  <c r="T257" i="1"/>
  <c r="S257" i="1"/>
  <c r="R257" i="1"/>
  <c r="Q257" i="1"/>
  <c r="U256" i="1"/>
  <c r="T256" i="1"/>
  <c r="S256" i="1"/>
  <c r="R256" i="1"/>
  <c r="Q256" i="1"/>
  <c r="U255" i="1"/>
  <c r="T255" i="1"/>
  <c r="S255" i="1"/>
  <c r="R255" i="1"/>
  <c r="Q255" i="1"/>
  <c r="U254" i="1"/>
  <c r="T254" i="1"/>
  <c r="S254" i="1"/>
  <c r="R254" i="1"/>
  <c r="Q254" i="1"/>
  <c r="U253" i="1"/>
  <c r="T253" i="1"/>
  <c r="S253" i="1"/>
  <c r="R253" i="1"/>
  <c r="Q253" i="1"/>
  <c r="U252" i="1"/>
  <c r="T252" i="1"/>
  <c r="S252" i="1"/>
  <c r="R252" i="1"/>
  <c r="Q252" i="1"/>
  <c r="U251" i="1"/>
  <c r="T251" i="1"/>
  <c r="S251" i="1"/>
  <c r="R251" i="1"/>
  <c r="Q251" i="1"/>
  <c r="U250" i="1"/>
  <c r="T250" i="1"/>
  <c r="S250" i="1"/>
  <c r="R250" i="1"/>
  <c r="Q250" i="1"/>
  <c r="U249" i="1"/>
  <c r="T249" i="1"/>
  <c r="S249" i="1"/>
  <c r="R249" i="1"/>
  <c r="Q249" i="1"/>
  <c r="U248" i="1"/>
  <c r="T248" i="1"/>
  <c r="S248" i="1"/>
  <c r="R248" i="1"/>
  <c r="Q248" i="1"/>
  <c r="U247" i="1"/>
  <c r="T247" i="1"/>
  <c r="S247" i="1"/>
  <c r="R247" i="1"/>
  <c r="Q247" i="1"/>
  <c r="U246" i="1"/>
  <c r="T246" i="1"/>
  <c r="S246" i="1"/>
  <c r="R246" i="1"/>
  <c r="Q246" i="1"/>
  <c r="U245" i="1"/>
  <c r="T245" i="1"/>
  <c r="S245" i="1"/>
  <c r="R245" i="1"/>
  <c r="Q245" i="1"/>
  <c r="U244" i="1"/>
  <c r="T244" i="1"/>
  <c r="S244" i="1"/>
  <c r="R244" i="1"/>
  <c r="Q244" i="1"/>
  <c r="U243" i="1"/>
  <c r="T243" i="1"/>
  <c r="S243" i="1"/>
  <c r="R243" i="1"/>
  <c r="Q243" i="1"/>
  <c r="U242" i="1"/>
  <c r="T242" i="1"/>
  <c r="S242" i="1"/>
  <c r="R242" i="1"/>
  <c r="Q242" i="1"/>
  <c r="U241" i="1"/>
  <c r="T241" i="1"/>
  <c r="S241" i="1"/>
  <c r="R241" i="1"/>
  <c r="Q241" i="1"/>
  <c r="U240" i="1"/>
  <c r="T240" i="1"/>
  <c r="S240" i="1"/>
  <c r="R240" i="1"/>
  <c r="Q240" i="1"/>
  <c r="U239" i="1"/>
  <c r="T239" i="1"/>
  <c r="S239" i="1"/>
  <c r="R239" i="1"/>
  <c r="Q239" i="1"/>
  <c r="U238" i="1"/>
  <c r="T238" i="1"/>
  <c r="S238" i="1"/>
  <c r="R238" i="1"/>
  <c r="Q238" i="1"/>
  <c r="U237" i="1"/>
  <c r="T237" i="1"/>
  <c r="S237" i="1"/>
  <c r="R237" i="1"/>
  <c r="Q237" i="1"/>
  <c r="U236" i="1"/>
  <c r="T236" i="1"/>
  <c r="S236" i="1"/>
  <c r="R236" i="1"/>
  <c r="Q236" i="1"/>
  <c r="U235" i="1"/>
  <c r="T235" i="1"/>
  <c r="S235" i="1"/>
  <c r="R235" i="1"/>
  <c r="Q235" i="1"/>
  <c r="U234" i="1"/>
  <c r="T234" i="1"/>
  <c r="S234" i="1"/>
  <c r="R234" i="1"/>
  <c r="Q234" i="1"/>
  <c r="U233" i="1"/>
  <c r="T233" i="1"/>
  <c r="S233" i="1"/>
  <c r="R233" i="1"/>
  <c r="Q233" i="1"/>
  <c r="U232" i="1"/>
  <c r="T232" i="1"/>
  <c r="S232" i="1"/>
  <c r="R232" i="1"/>
  <c r="Q232" i="1"/>
  <c r="U231" i="1"/>
  <c r="T231" i="1"/>
  <c r="S231" i="1"/>
  <c r="R231" i="1"/>
  <c r="Q231" i="1"/>
  <c r="U230" i="1"/>
  <c r="T230" i="1"/>
  <c r="S230" i="1"/>
  <c r="R230" i="1"/>
  <c r="Q230" i="1"/>
  <c r="U229" i="1"/>
  <c r="T229" i="1"/>
  <c r="S229" i="1"/>
  <c r="R229" i="1"/>
  <c r="Q229" i="1"/>
  <c r="U228" i="1"/>
  <c r="T228" i="1"/>
  <c r="S228" i="1"/>
  <c r="R228" i="1"/>
  <c r="Q228" i="1"/>
  <c r="U227" i="1"/>
  <c r="T227" i="1"/>
  <c r="S227" i="1"/>
  <c r="R227" i="1"/>
  <c r="Q227" i="1"/>
  <c r="U226" i="1"/>
  <c r="T226" i="1"/>
  <c r="S226" i="1"/>
  <c r="R226" i="1"/>
  <c r="Q226" i="1"/>
  <c r="U225" i="1"/>
  <c r="T225" i="1"/>
  <c r="S225" i="1"/>
  <c r="R225" i="1"/>
  <c r="Q225" i="1"/>
  <c r="U224" i="1"/>
  <c r="T224" i="1"/>
  <c r="S224" i="1"/>
  <c r="R224" i="1"/>
  <c r="Q224" i="1"/>
  <c r="U223" i="1"/>
  <c r="T223" i="1"/>
  <c r="S223" i="1"/>
  <c r="R223" i="1"/>
  <c r="Q223" i="1"/>
  <c r="U222" i="1"/>
  <c r="T222" i="1"/>
  <c r="S222" i="1"/>
  <c r="R222" i="1"/>
  <c r="Q222" i="1"/>
  <c r="U221" i="1"/>
  <c r="T221" i="1"/>
  <c r="S221" i="1"/>
  <c r="R221" i="1"/>
  <c r="Q221" i="1"/>
  <c r="U220" i="1"/>
  <c r="T220" i="1"/>
  <c r="S220" i="1"/>
  <c r="R220" i="1"/>
  <c r="Q220" i="1"/>
  <c r="U219" i="1"/>
  <c r="T219" i="1"/>
  <c r="S219" i="1"/>
  <c r="R219" i="1"/>
  <c r="Q219" i="1"/>
  <c r="U218" i="1"/>
  <c r="T218" i="1"/>
  <c r="S218" i="1"/>
  <c r="R218" i="1"/>
  <c r="Q218" i="1"/>
  <c r="U217" i="1"/>
  <c r="T217" i="1"/>
  <c r="S217" i="1"/>
  <c r="R217" i="1"/>
  <c r="Q217" i="1"/>
  <c r="U216" i="1"/>
  <c r="T216" i="1"/>
  <c r="S216" i="1"/>
  <c r="R216" i="1"/>
  <c r="Q216" i="1"/>
  <c r="U215" i="1"/>
  <c r="T215" i="1"/>
  <c r="S215" i="1"/>
  <c r="R215" i="1"/>
  <c r="Q215" i="1"/>
  <c r="U214" i="1"/>
  <c r="T214" i="1"/>
  <c r="S214" i="1"/>
  <c r="R214" i="1"/>
  <c r="Q214" i="1"/>
  <c r="U213" i="1"/>
  <c r="T213" i="1"/>
  <c r="S213" i="1"/>
  <c r="R213" i="1"/>
  <c r="Q213" i="1"/>
  <c r="U212" i="1"/>
  <c r="T212" i="1"/>
  <c r="S212" i="1"/>
  <c r="R212" i="1"/>
  <c r="Q212" i="1"/>
  <c r="U211" i="1"/>
  <c r="T211" i="1"/>
  <c r="S211" i="1"/>
  <c r="R211" i="1"/>
  <c r="Q211" i="1"/>
  <c r="U210" i="1"/>
  <c r="T210" i="1"/>
  <c r="S210" i="1"/>
  <c r="R210" i="1"/>
  <c r="Q210" i="1"/>
  <c r="U209" i="1"/>
  <c r="T209" i="1"/>
  <c r="S209" i="1"/>
  <c r="R209" i="1"/>
  <c r="Q209" i="1"/>
  <c r="U208" i="1"/>
  <c r="T208" i="1"/>
  <c r="S208" i="1"/>
  <c r="R208" i="1"/>
  <c r="Q208" i="1"/>
  <c r="U207" i="1"/>
  <c r="T207" i="1"/>
  <c r="S207" i="1"/>
  <c r="R207" i="1"/>
  <c r="Q207" i="1"/>
  <c r="U206" i="1"/>
  <c r="T206" i="1"/>
  <c r="S206" i="1"/>
  <c r="R206" i="1"/>
  <c r="Q206" i="1"/>
  <c r="U205" i="1"/>
  <c r="T205" i="1"/>
  <c r="S205" i="1"/>
  <c r="R205" i="1"/>
  <c r="Q205" i="1"/>
  <c r="U204" i="1"/>
  <c r="T204" i="1"/>
  <c r="S204" i="1"/>
  <c r="R204" i="1"/>
  <c r="Q204" i="1"/>
  <c r="U203" i="1"/>
  <c r="T203" i="1"/>
  <c r="S203" i="1"/>
  <c r="R203" i="1"/>
  <c r="Q203" i="1"/>
  <c r="U202" i="1"/>
  <c r="T202" i="1"/>
  <c r="S202" i="1"/>
  <c r="R202" i="1"/>
  <c r="Q202" i="1"/>
  <c r="U201" i="1"/>
  <c r="T201" i="1"/>
  <c r="S201" i="1"/>
  <c r="R201" i="1"/>
  <c r="Q201" i="1"/>
  <c r="U200" i="1"/>
  <c r="T200" i="1"/>
  <c r="S200" i="1"/>
  <c r="R200" i="1"/>
  <c r="Q200" i="1"/>
  <c r="U199" i="1"/>
  <c r="T199" i="1"/>
  <c r="S199" i="1"/>
  <c r="R199" i="1"/>
  <c r="Q199" i="1"/>
  <c r="U198" i="1"/>
  <c r="T198" i="1"/>
  <c r="S198" i="1"/>
  <c r="R198" i="1"/>
  <c r="Q198" i="1"/>
  <c r="U197" i="1"/>
  <c r="T197" i="1"/>
  <c r="S197" i="1"/>
  <c r="R197" i="1"/>
  <c r="Q197" i="1"/>
  <c r="U196" i="1"/>
  <c r="T196" i="1"/>
  <c r="S196" i="1"/>
  <c r="R196" i="1"/>
  <c r="Q196" i="1"/>
  <c r="U195" i="1"/>
  <c r="T195" i="1"/>
  <c r="S195" i="1"/>
  <c r="R195" i="1"/>
  <c r="Q195" i="1"/>
  <c r="U194" i="1"/>
  <c r="T194" i="1"/>
  <c r="S194" i="1"/>
  <c r="R194" i="1"/>
  <c r="Q194" i="1"/>
  <c r="U193" i="1"/>
  <c r="T193" i="1"/>
  <c r="S193" i="1"/>
  <c r="R193" i="1"/>
  <c r="Q193" i="1"/>
  <c r="U192" i="1"/>
  <c r="T192" i="1"/>
  <c r="S192" i="1"/>
  <c r="R192" i="1"/>
  <c r="Q192" i="1"/>
  <c r="U191" i="1"/>
  <c r="T191" i="1"/>
  <c r="S191" i="1"/>
  <c r="R191" i="1"/>
  <c r="Q191" i="1"/>
  <c r="U190" i="1"/>
  <c r="T190" i="1"/>
  <c r="S190" i="1"/>
  <c r="R190" i="1"/>
  <c r="Q190" i="1"/>
  <c r="U189" i="1"/>
  <c r="T189" i="1"/>
  <c r="S189" i="1"/>
  <c r="R189" i="1"/>
  <c r="Q189" i="1"/>
  <c r="U188" i="1"/>
  <c r="T188" i="1"/>
  <c r="S188" i="1"/>
  <c r="R188" i="1"/>
  <c r="Q188" i="1"/>
  <c r="U187" i="1"/>
  <c r="T187" i="1"/>
  <c r="S187" i="1"/>
  <c r="R187" i="1"/>
  <c r="Q187" i="1"/>
  <c r="U186" i="1"/>
  <c r="T186" i="1"/>
  <c r="S186" i="1"/>
  <c r="R186" i="1"/>
  <c r="Q186" i="1"/>
  <c r="U185" i="1"/>
  <c r="T185" i="1"/>
  <c r="S185" i="1"/>
  <c r="R185" i="1"/>
  <c r="Q185" i="1"/>
  <c r="U184" i="1"/>
  <c r="T184" i="1"/>
  <c r="S184" i="1"/>
  <c r="R184" i="1"/>
  <c r="Q184" i="1"/>
  <c r="U183" i="1"/>
  <c r="T183" i="1"/>
  <c r="S183" i="1"/>
  <c r="R183" i="1"/>
  <c r="Q183" i="1"/>
  <c r="U182" i="1"/>
  <c r="T182" i="1"/>
  <c r="S182" i="1"/>
  <c r="R182" i="1"/>
  <c r="Q182" i="1"/>
  <c r="U181" i="1"/>
  <c r="T181" i="1"/>
  <c r="S181" i="1"/>
  <c r="R181" i="1"/>
  <c r="Q181" i="1"/>
  <c r="U180" i="1"/>
  <c r="T180" i="1"/>
  <c r="S180" i="1"/>
  <c r="R180" i="1"/>
  <c r="Q180" i="1"/>
  <c r="U179" i="1"/>
  <c r="T179" i="1"/>
  <c r="S179" i="1"/>
  <c r="R179" i="1"/>
  <c r="Q179" i="1"/>
  <c r="U178" i="1"/>
  <c r="T178" i="1"/>
  <c r="S178" i="1"/>
  <c r="R178" i="1"/>
  <c r="Q178" i="1"/>
  <c r="U177" i="1"/>
  <c r="T177" i="1"/>
  <c r="S177" i="1"/>
  <c r="R177" i="1"/>
  <c r="Q177" i="1"/>
  <c r="U176" i="1"/>
  <c r="T176" i="1"/>
  <c r="S176" i="1"/>
  <c r="R176" i="1"/>
  <c r="Q176" i="1"/>
  <c r="U175" i="1"/>
  <c r="T175" i="1"/>
  <c r="S175" i="1"/>
  <c r="R175" i="1"/>
  <c r="Q175" i="1"/>
  <c r="U174" i="1"/>
  <c r="T174" i="1"/>
  <c r="S174" i="1"/>
  <c r="R174" i="1"/>
  <c r="Q174" i="1"/>
  <c r="U173" i="1"/>
  <c r="T173" i="1"/>
  <c r="S173" i="1"/>
  <c r="R173" i="1"/>
  <c r="Q173" i="1"/>
  <c r="U172" i="1"/>
  <c r="T172" i="1"/>
  <c r="S172" i="1"/>
  <c r="R172" i="1"/>
  <c r="Q172" i="1"/>
  <c r="U171" i="1"/>
  <c r="T171" i="1"/>
  <c r="S171" i="1"/>
  <c r="R171" i="1"/>
  <c r="Q171" i="1"/>
  <c r="U170" i="1"/>
  <c r="T170" i="1"/>
  <c r="S170" i="1"/>
  <c r="R170" i="1"/>
  <c r="Q170" i="1"/>
  <c r="U169" i="1"/>
  <c r="T169" i="1"/>
  <c r="S169" i="1"/>
  <c r="R169" i="1"/>
  <c r="Q169" i="1"/>
  <c r="U168" i="1"/>
  <c r="T168" i="1"/>
  <c r="S168" i="1"/>
  <c r="R168" i="1"/>
  <c r="Q168" i="1"/>
  <c r="U167" i="1"/>
  <c r="T167" i="1"/>
  <c r="S167" i="1"/>
  <c r="R167" i="1"/>
  <c r="Q167" i="1"/>
  <c r="U166" i="1"/>
  <c r="T166" i="1"/>
  <c r="S166" i="1"/>
  <c r="R166" i="1"/>
  <c r="Q166" i="1"/>
  <c r="U165" i="1"/>
  <c r="T165" i="1"/>
  <c r="S165" i="1"/>
  <c r="R165" i="1"/>
  <c r="Q165" i="1"/>
  <c r="U164" i="1"/>
  <c r="T164" i="1"/>
  <c r="S164" i="1"/>
  <c r="R164" i="1"/>
  <c r="Q164" i="1"/>
  <c r="U163" i="1"/>
  <c r="T163" i="1"/>
  <c r="S163" i="1"/>
  <c r="R163" i="1"/>
  <c r="Q163" i="1"/>
  <c r="U162" i="1"/>
  <c r="T162" i="1"/>
  <c r="S162" i="1"/>
  <c r="R162" i="1"/>
  <c r="Q162" i="1"/>
  <c r="U161" i="1"/>
  <c r="T161" i="1"/>
  <c r="S161" i="1"/>
  <c r="R161" i="1"/>
  <c r="Q161" i="1"/>
  <c r="U160" i="1"/>
  <c r="T160" i="1"/>
  <c r="S160" i="1"/>
  <c r="R160" i="1"/>
  <c r="Q160" i="1"/>
  <c r="U159" i="1"/>
  <c r="T159" i="1"/>
  <c r="S159" i="1"/>
  <c r="R159" i="1"/>
  <c r="Q159" i="1"/>
  <c r="U158" i="1"/>
  <c r="T158" i="1"/>
  <c r="S158" i="1"/>
  <c r="R158" i="1"/>
  <c r="Q158" i="1"/>
  <c r="U157" i="1"/>
  <c r="T157" i="1"/>
  <c r="S157" i="1"/>
  <c r="R157" i="1"/>
  <c r="Q157" i="1"/>
  <c r="U156" i="1"/>
  <c r="T156" i="1"/>
  <c r="S156" i="1"/>
  <c r="R156" i="1"/>
  <c r="Q156" i="1"/>
  <c r="U155" i="1"/>
  <c r="T155" i="1"/>
  <c r="S155" i="1"/>
  <c r="R155" i="1"/>
  <c r="Q155" i="1"/>
  <c r="U154" i="1"/>
  <c r="T154" i="1"/>
  <c r="S154" i="1"/>
  <c r="R154" i="1"/>
  <c r="Q154" i="1"/>
  <c r="U153" i="1"/>
  <c r="T153" i="1"/>
  <c r="S153" i="1"/>
  <c r="R153" i="1"/>
  <c r="Q153" i="1"/>
  <c r="U152" i="1"/>
  <c r="T152" i="1"/>
  <c r="S152" i="1"/>
  <c r="R152" i="1"/>
  <c r="Q152" i="1"/>
  <c r="U151" i="1"/>
  <c r="T151" i="1"/>
  <c r="S151" i="1"/>
  <c r="R151" i="1"/>
  <c r="Q151" i="1"/>
  <c r="U150" i="1"/>
  <c r="T150" i="1"/>
  <c r="S150" i="1"/>
  <c r="R150" i="1"/>
  <c r="Q150" i="1"/>
  <c r="U149" i="1"/>
  <c r="T149" i="1"/>
  <c r="S149" i="1"/>
  <c r="R149" i="1"/>
  <c r="Q149" i="1"/>
  <c r="U148" i="1"/>
  <c r="T148" i="1"/>
  <c r="S148" i="1"/>
  <c r="R148" i="1"/>
  <c r="Q148" i="1"/>
  <c r="U147" i="1"/>
  <c r="T147" i="1"/>
  <c r="S147" i="1"/>
  <c r="R147" i="1"/>
  <c r="Q147" i="1"/>
  <c r="U146" i="1"/>
  <c r="T146" i="1"/>
  <c r="S146" i="1"/>
  <c r="R146" i="1"/>
  <c r="Q146" i="1"/>
  <c r="U145" i="1"/>
  <c r="T145" i="1"/>
  <c r="S145" i="1"/>
  <c r="R145" i="1"/>
  <c r="Q145" i="1"/>
  <c r="U144" i="1"/>
  <c r="T144" i="1"/>
  <c r="S144" i="1"/>
  <c r="R144" i="1"/>
  <c r="Q144" i="1"/>
  <c r="U143" i="1"/>
  <c r="T143" i="1"/>
  <c r="S143" i="1"/>
  <c r="R143" i="1"/>
  <c r="Q143" i="1"/>
  <c r="U142" i="1"/>
  <c r="T142" i="1"/>
  <c r="S142" i="1"/>
  <c r="R142" i="1"/>
  <c r="Q142" i="1"/>
  <c r="U141" i="1"/>
  <c r="T141" i="1"/>
  <c r="S141" i="1"/>
  <c r="R141" i="1"/>
  <c r="Q141" i="1"/>
  <c r="U140" i="1"/>
  <c r="T140" i="1"/>
  <c r="S140" i="1"/>
  <c r="R140" i="1"/>
  <c r="Q140" i="1"/>
  <c r="U139" i="1"/>
  <c r="T139" i="1"/>
  <c r="S139" i="1"/>
  <c r="R139" i="1"/>
  <c r="Q139" i="1"/>
  <c r="U138" i="1"/>
  <c r="T138" i="1"/>
  <c r="S138" i="1"/>
  <c r="R138" i="1"/>
  <c r="Q138" i="1"/>
  <c r="U137" i="1"/>
  <c r="T137" i="1"/>
  <c r="S137" i="1"/>
  <c r="R137" i="1"/>
  <c r="Q137" i="1"/>
  <c r="U136" i="1"/>
  <c r="T136" i="1"/>
  <c r="S136" i="1"/>
  <c r="R136" i="1"/>
  <c r="Q136" i="1"/>
  <c r="U135" i="1"/>
  <c r="T135" i="1"/>
  <c r="S135" i="1"/>
  <c r="R135" i="1"/>
  <c r="Q135" i="1"/>
  <c r="U134" i="1"/>
  <c r="T134" i="1"/>
  <c r="S134" i="1"/>
  <c r="R134" i="1"/>
  <c r="Q134" i="1"/>
  <c r="U133" i="1"/>
  <c r="T133" i="1"/>
  <c r="S133" i="1"/>
  <c r="R133" i="1"/>
  <c r="Q133" i="1"/>
  <c r="U132" i="1"/>
  <c r="T132" i="1"/>
  <c r="S132" i="1"/>
  <c r="R132" i="1"/>
  <c r="Q132" i="1"/>
  <c r="U131" i="1"/>
  <c r="T131" i="1"/>
  <c r="S131" i="1"/>
  <c r="R131" i="1"/>
  <c r="Q131" i="1"/>
  <c r="U130" i="1"/>
  <c r="T130" i="1"/>
  <c r="S130" i="1"/>
  <c r="R130" i="1"/>
  <c r="Q130" i="1"/>
  <c r="U129" i="1"/>
  <c r="T129" i="1"/>
  <c r="S129" i="1"/>
  <c r="R129" i="1"/>
  <c r="Q129" i="1"/>
  <c r="U128" i="1"/>
  <c r="T128" i="1"/>
  <c r="S128" i="1"/>
  <c r="R128" i="1"/>
  <c r="Q128" i="1"/>
  <c r="U127" i="1"/>
  <c r="T127" i="1"/>
  <c r="S127" i="1"/>
  <c r="R127" i="1"/>
  <c r="Q127" i="1"/>
  <c r="U126" i="1"/>
  <c r="T126" i="1"/>
  <c r="S126" i="1"/>
  <c r="R126" i="1"/>
  <c r="Q126" i="1"/>
  <c r="U125" i="1"/>
  <c r="T125" i="1"/>
  <c r="S125" i="1"/>
  <c r="R125" i="1"/>
  <c r="Q125" i="1"/>
  <c r="U124" i="1"/>
  <c r="T124" i="1"/>
  <c r="S124" i="1"/>
  <c r="R124" i="1"/>
  <c r="Q124" i="1"/>
  <c r="U123" i="1"/>
  <c r="T123" i="1"/>
  <c r="S123" i="1"/>
  <c r="R123" i="1"/>
  <c r="Q123" i="1"/>
  <c r="U122" i="1"/>
  <c r="T122" i="1"/>
  <c r="S122" i="1"/>
  <c r="R122" i="1"/>
  <c r="Q122" i="1"/>
  <c r="U121" i="1"/>
  <c r="T121" i="1"/>
  <c r="S121" i="1"/>
  <c r="R121" i="1"/>
  <c r="Q121" i="1"/>
  <c r="U120" i="1"/>
  <c r="T120" i="1"/>
  <c r="S120" i="1"/>
  <c r="R120" i="1"/>
  <c r="Q120" i="1"/>
  <c r="U119" i="1"/>
  <c r="T119" i="1"/>
  <c r="S119" i="1"/>
  <c r="R119" i="1"/>
  <c r="Q119" i="1"/>
  <c r="U118" i="1"/>
  <c r="T118" i="1"/>
  <c r="S118" i="1"/>
  <c r="R118" i="1"/>
  <c r="Q118" i="1"/>
  <c r="U117" i="1"/>
  <c r="T117" i="1"/>
  <c r="S117" i="1"/>
  <c r="R117" i="1"/>
  <c r="Q117" i="1"/>
  <c r="U116" i="1"/>
  <c r="T116" i="1"/>
  <c r="S116" i="1"/>
  <c r="R116" i="1"/>
  <c r="Q116" i="1"/>
  <c r="U115" i="1"/>
  <c r="T115" i="1"/>
  <c r="S115" i="1"/>
  <c r="R115" i="1"/>
  <c r="Q115" i="1"/>
  <c r="U114" i="1"/>
  <c r="T114" i="1"/>
  <c r="S114" i="1"/>
  <c r="R114" i="1"/>
  <c r="Q114" i="1"/>
  <c r="U113" i="1"/>
  <c r="T113" i="1"/>
  <c r="S113" i="1"/>
  <c r="R113" i="1"/>
  <c r="Q113" i="1"/>
  <c r="U112" i="1"/>
  <c r="T112" i="1"/>
  <c r="S112" i="1"/>
  <c r="R112" i="1"/>
  <c r="Q112" i="1"/>
  <c r="U111" i="1"/>
  <c r="T111" i="1"/>
  <c r="S111" i="1"/>
  <c r="R111" i="1"/>
  <c r="Q111" i="1"/>
  <c r="U110" i="1"/>
  <c r="T110" i="1"/>
  <c r="S110" i="1"/>
  <c r="R110" i="1"/>
  <c r="Q110" i="1"/>
  <c r="U109" i="1"/>
  <c r="T109" i="1"/>
  <c r="S109" i="1"/>
  <c r="R109" i="1"/>
  <c r="Q109" i="1"/>
  <c r="U108" i="1"/>
  <c r="T108" i="1"/>
  <c r="S108" i="1"/>
  <c r="R108" i="1"/>
  <c r="Q108" i="1"/>
  <c r="U107" i="1"/>
  <c r="T107" i="1"/>
  <c r="S107" i="1"/>
  <c r="R107" i="1"/>
  <c r="Q107" i="1"/>
  <c r="U106" i="1"/>
  <c r="T106" i="1"/>
  <c r="S106" i="1"/>
  <c r="R106" i="1"/>
  <c r="Q106" i="1"/>
  <c r="U105" i="1"/>
  <c r="T105" i="1"/>
  <c r="S105" i="1"/>
  <c r="R105" i="1"/>
  <c r="Q105" i="1"/>
  <c r="U104" i="1"/>
  <c r="T104" i="1"/>
  <c r="S104" i="1"/>
  <c r="R104" i="1"/>
  <c r="Q104" i="1"/>
  <c r="U103" i="1"/>
  <c r="T103" i="1"/>
  <c r="S103" i="1"/>
  <c r="R103" i="1"/>
  <c r="Q103" i="1"/>
  <c r="U102" i="1"/>
  <c r="T102" i="1"/>
  <c r="S102" i="1"/>
  <c r="R102" i="1"/>
  <c r="Q102" i="1"/>
  <c r="U101" i="1"/>
  <c r="T101" i="1"/>
  <c r="S101" i="1"/>
  <c r="R101" i="1"/>
  <c r="Q101" i="1"/>
  <c r="U100" i="1"/>
  <c r="T100" i="1"/>
  <c r="S100" i="1"/>
  <c r="R100" i="1"/>
  <c r="Q100" i="1"/>
  <c r="U99" i="1"/>
  <c r="T99" i="1"/>
  <c r="S99" i="1"/>
  <c r="R99" i="1"/>
  <c r="Q99" i="1"/>
  <c r="U98" i="1"/>
  <c r="T98" i="1"/>
  <c r="S98" i="1"/>
  <c r="R98" i="1"/>
  <c r="Q98" i="1"/>
  <c r="U97" i="1"/>
  <c r="T97" i="1"/>
  <c r="S97" i="1"/>
  <c r="R97" i="1"/>
  <c r="Q97" i="1"/>
  <c r="U96" i="1"/>
  <c r="T96" i="1"/>
  <c r="S96" i="1"/>
  <c r="R96" i="1"/>
  <c r="Q96" i="1"/>
  <c r="U95" i="1"/>
  <c r="T95" i="1"/>
  <c r="S95" i="1"/>
  <c r="R95" i="1"/>
  <c r="Q95" i="1"/>
  <c r="U94" i="1"/>
  <c r="T94" i="1"/>
  <c r="S94" i="1"/>
  <c r="R94" i="1"/>
  <c r="Q94" i="1"/>
  <c r="U93" i="1"/>
  <c r="T93" i="1"/>
  <c r="S93" i="1"/>
  <c r="R93" i="1"/>
  <c r="Q93" i="1"/>
  <c r="U92" i="1"/>
  <c r="T92" i="1"/>
  <c r="S92" i="1"/>
  <c r="R92" i="1"/>
  <c r="Q92" i="1"/>
  <c r="U91" i="1"/>
  <c r="T91" i="1"/>
  <c r="S91" i="1"/>
  <c r="R91" i="1"/>
  <c r="Q91" i="1"/>
  <c r="U90" i="1"/>
  <c r="T90" i="1"/>
  <c r="S90" i="1"/>
  <c r="R90" i="1"/>
  <c r="Q90" i="1"/>
  <c r="U89" i="1"/>
  <c r="T89" i="1"/>
  <c r="S89" i="1"/>
  <c r="R89" i="1"/>
  <c r="Q89" i="1"/>
  <c r="U88" i="1"/>
  <c r="T88" i="1"/>
  <c r="S88" i="1"/>
  <c r="R88" i="1"/>
  <c r="Q88" i="1"/>
  <c r="U87" i="1"/>
  <c r="T87" i="1"/>
  <c r="S87" i="1"/>
  <c r="R87" i="1"/>
  <c r="Q87" i="1"/>
  <c r="U86" i="1"/>
  <c r="T86" i="1"/>
  <c r="S86" i="1"/>
  <c r="R86" i="1"/>
  <c r="Q86" i="1"/>
  <c r="U85" i="1"/>
  <c r="T85" i="1"/>
  <c r="S85" i="1"/>
  <c r="R85" i="1"/>
  <c r="Q85" i="1"/>
  <c r="U84" i="1"/>
  <c r="T84" i="1"/>
  <c r="S84" i="1"/>
  <c r="R84" i="1"/>
  <c r="Q84" i="1"/>
  <c r="U83" i="1"/>
  <c r="T83" i="1"/>
  <c r="S83" i="1"/>
  <c r="R83" i="1"/>
  <c r="Q83" i="1"/>
  <c r="U82" i="1"/>
  <c r="T82" i="1"/>
  <c r="S82" i="1"/>
  <c r="R82" i="1"/>
  <c r="Q82" i="1"/>
  <c r="U81" i="1"/>
  <c r="T81" i="1"/>
  <c r="S81" i="1"/>
  <c r="R81" i="1"/>
  <c r="Q81" i="1"/>
  <c r="U80" i="1"/>
  <c r="T80" i="1"/>
  <c r="S80" i="1"/>
  <c r="R80" i="1"/>
  <c r="Q80" i="1"/>
  <c r="U79" i="1"/>
  <c r="T79" i="1"/>
  <c r="S79" i="1"/>
  <c r="R79" i="1"/>
  <c r="Q79" i="1"/>
  <c r="U78" i="1"/>
  <c r="T78" i="1"/>
  <c r="S78" i="1"/>
  <c r="R78" i="1"/>
  <c r="Q78" i="1"/>
  <c r="U77" i="1"/>
  <c r="T77" i="1"/>
  <c r="S77" i="1"/>
  <c r="R77" i="1"/>
  <c r="Q77" i="1"/>
  <c r="U76" i="1"/>
  <c r="T76" i="1"/>
  <c r="S76" i="1"/>
  <c r="R76" i="1"/>
  <c r="Q76" i="1"/>
  <c r="U75" i="1"/>
  <c r="T75" i="1"/>
  <c r="S75" i="1"/>
  <c r="R75" i="1"/>
  <c r="Q75" i="1"/>
  <c r="U74" i="1"/>
  <c r="T74" i="1"/>
  <c r="S74" i="1"/>
  <c r="R74" i="1"/>
  <c r="Q74" i="1"/>
  <c r="U73" i="1"/>
  <c r="T73" i="1"/>
  <c r="S73" i="1"/>
  <c r="R73" i="1"/>
  <c r="Q73" i="1"/>
  <c r="U72" i="1"/>
  <c r="T72" i="1"/>
  <c r="S72" i="1"/>
  <c r="R72" i="1"/>
  <c r="Q72" i="1"/>
  <c r="U71" i="1"/>
  <c r="T71" i="1"/>
  <c r="S71" i="1"/>
  <c r="R71" i="1"/>
  <c r="Q71" i="1"/>
  <c r="U70" i="1"/>
  <c r="T70" i="1"/>
  <c r="S70" i="1"/>
  <c r="R70" i="1"/>
  <c r="Q70" i="1"/>
  <c r="U69" i="1"/>
  <c r="T69" i="1"/>
  <c r="S69" i="1"/>
  <c r="R69" i="1"/>
  <c r="Q69" i="1"/>
  <c r="U68" i="1"/>
  <c r="T68" i="1"/>
  <c r="S68" i="1"/>
  <c r="R68" i="1"/>
  <c r="Q68" i="1"/>
  <c r="U67" i="1"/>
  <c r="T67" i="1"/>
  <c r="S67" i="1"/>
  <c r="R67" i="1"/>
  <c r="Q67" i="1"/>
  <c r="U66" i="1"/>
  <c r="T66" i="1"/>
  <c r="S66" i="1"/>
  <c r="R66" i="1"/>
  <c r="Q66" i="1"/>
  <c r="U65" i="1"/>
  <c r="T65" i="1"/>
  <c r="S65" i="1"/>
  <c r="R65" i="1"/>
  <c r="Q65" i="1"/>
  <c r="U64" i="1"/>
  <c r="T64" i="1"/>
  <c r="S64" i="1"/>
  <c r="R64" i="1"/>
  <c r="Q64" i="1"/>
  <c r="U63" i="1"/>
  <c r="T63" i="1"/>
  <c r="S63" i="1"/>
  <c r="R63" i="1"/>
  <c r="Q63" i="1"/>
  <c r="U62" i="1"/>
  <c r="T62" i="1"/>
  <c r="S62" i="1"/>
  <c r="R62" i="1"/>
  <c r="Q62" i="1"/>
  <c r="U61" i="1"/>
  <c r="T61" i="1"/>
  <c r="S61" i="1"/>
  <c r="R61" i="1"/>
  <c r="Q61" i="1"/>
  <c r="U60" i="1"/>
  <c r="T60" i="1"/>
  <c r="S60" i="1"/>
  <c r="R60" i="1"/>
  <c r="Q60" i="1"/>
  <c r="U59" i="1"/>
  <c r="T59" i="1"/>
  <c r="S59" i="1"/>
  <c r="R59" i="1"/>
  <c r="Q59" i="1"/>
  <c r="U58" i="1"/>
  <c r="T58" i="1"/>
  <c r="S58" i="1"/>
  <c r="R58" i="1"/>
  <c r="Q58" i="1"/>
  <c r="U57" i="1"/>
  <c r="T57" i="1"/>
  <c r="S57" i="1"/>
  <c r="R57" i="1"/>
  <c r="Q57" i="1"/>
  <c r="U56" i="1"/>
  <c r="T56" i="1"/>
  <c r="S56" i="1"/>
  <c r="R56" i="1"/>
  <c r="Q56" i="1"/>
  <c r="U55" i="1"/>
  <c r="T55" i="1"/>
  <c r="S55" i="1"/>
  <c r="R55" i="1"/>
  <c r="Q55" i="1"/>
  <c r="U54" i="1"/>
  <c r="T54" i="1"/>
  <c r="S54" i="1"/>
  <c r="R54" i="1"/>
  <c r="Q54" i="1"/>
  <c r="U53" i="1"/>
  <c r="T53" i="1"/>
  <c r="S53" i="1"/>
  <c r="R53" i="1"/>
  <c r="Q53" i="1"/>
  <c r="U52" i="1"/>
  <c r="T52" i="1"/>
  <c r="S52" i="1"/>
  <c r="R52" i="1"/>
  <c r="Q52" i="1"/>
  <c r="U51" i="1"/>
  <c r="T51" i="1"/>
  <c r="S51" i="1"/>
  <c r="R51" i="1"/>
  <c r="Q51" i="1"/>
  <c r="U50" i="1"/>
  <c r="T50" i="1"/>
  <c r="S50" i="1"/>
  <c r="R50" i="1"/>
  <c r="Q50" i="1"/>
  <c r="U49" i="1"/>
  <c r="T49" i="1"/>
  <c r="S49" i="1"/>
  <c r="R49" i="1"/>
  <c r="Q49" i="1"/>
  <c r="U48" i="1"/>
  <c r="T48" i="1"/>
  <c r="S48" i="1"/>
  <c r="R48" i="1"/>
  <c r="Q48" i="1"/>
  <c r="U47" i="1"/>
  <c r="T47" i="1"/>
  <c r="S47" i="1"/>
  <c r="R47" i="1"/>
  <c r="Q47" i="1"/>
  <c r="U46" i="1"/>
  <c r="T46" i="1"/>
  <c r="S46" i="1"/>
  <c r="R46" i="1"/>
  <c r="Q46" i="1"/>
  <c r="U45" i="1"/>
  <c r="T45" i="1"/>
  <c r="S45" i="1"/>
  <c r="R45" i="1"/>
  <c r="Q45" i="1"/>
  <c r="U44" i="1"/>
  <c r="T44" i="1"/>
  <c r="S44" i="1"/>
  <c r="R44" i="1"/>
  <c r="Q44" i="1"/>
  <c r="U43" i="1"/>
  <c r="T43" i="1"/>
  <c r="S43" i="1"/>
  <c r="R43" i="1"/>
  <c r="Q43" i="1"/>
  <c r="U42" i="1"/>
  <c r="T42" i="1"/>
  <c r="S42" i="1"/>
  <c r="R42" i="1"/>
  <c r="Q42" i="1"/>
  <c r="U41" i="1"/>
  <c r="T41" i="1"/>
  <c r="S41" i="1"/>
  <c r="R41" i="1"/>
  <c r="Q41" i="1"/>
  <c r="U40" i="1"/>
  <c r="T40" i="1"/>
  <c r="S40" i="1"/>
  <c r="R40" i="1"/>
  <c r="Q40" i="1"/>
  <c r="U39" i="1"/>
  <c r="T39" i="1"/>
  <c r="S39" i="1"/>
  <c r="R39" i="1"/>
  <c r="Q39" i="1"/>
  <c r="U38" i="1"/>
  <c r="T38" i="1"/>
  <c r="S38" i="1"/>
  <c r="R38" i="1"/>
  <c r="Q38" i="1"/>
  <c r="U37" i="1"/>
  <c r="T37" i="1"/>
  <c r="S37" i="1"/>
  <c r="R37" i="1"/>
  <c r="Q37" i="1"/>
  <c r="U36" i="1"/>
  <c r="T36" i="1"/>
  <c r="S36" i="1"/>
  <c r="R36" i="1"/>
  <c r="Q36" i="1"/>
  <c r="U35" i="1"/>
  <c r="T35" i="1"/>
  <c r="S35" i="1"/>
  <c r="R35" i="1"/>
  <c r="Q35" i="1"/>
  <c r="U34" i="1"/>
  <c r="T34" i="1"/>
  <c r="S34" i="1"/>
  <c r="R34" i="1"/>
  <c r="Q34" i="1"/>
  <c r="U33" i="1"/>
  <c r="T33" i="1"/>
  <c r="S33" i="1"/>
  <c r="R33" i="1"/>
  <c r="Q33" i="1"/>
  <c r="U32" i="1"/>
  <c r="T32" i="1"/>
  <c r="S32" i="1"/>
  <c r="R32" i="1"/>
  <c r="Q32" i="1"/>
  <c r="U31" i="1"/>
  <c r="T31" i="1"/>
  <c r="S31" i="1"/>
  <c r="R31" i="1"/>
  <c r="Q31" i="1"/>
  <c r="U30" i="1"/>
  <c r="T30" i="1"/>
  <c r="S30" i="1"/>
  <c r="R30" i="1"/>
  <c r="Q30" i="1"/>
  <c r="U29" i="1"/>
  <c r="T29" i="1"/>
  <c r="S29" i="1"/>
  <c r="R29" i="1"/>
  <c r="Q29" i="1"/>
  <c r="U28" i="1"/>
  <c r="T28" i="1"/>
  <c r="S28" i="1"/>
  <c r="R28" i="1"/>
  <c r="Q28" i="1"/>
  <c r="U27" i="1"/>
  <c r="T27" i="1"/>
  <c r="S27" i="1"/>
  <c r="R27" i="1"/>
  <c r="Q27" i="1"/>
  <c r="U26" i="1"/>
  <c r="T26" i="1"/>
  <c r="S26" i="1"/>
  <c r="R26" i="1"/>
  <c r="Q26" i="1"/>
  <c r="U25" i="1"/>
  <c r="T25" i="1"/>
  <c r="S25" i="1"/>
  <c r="R25" i="1"/>
  <c r="Q25" i="1"/>
  <c r="U24" i="1"/>
  <c r="T24" i="1"/>
  <c r="S24" i="1"/>
  <c r="R24" i="1"/>
  <c r="Q24" i="1"/>
  <c r="U23" i="1"/>
  <c r="T23" i="1"/>
  <c r="S23" i="1"/>
  <c r="R23" i="1"/>
  <c r="Q23" i="1"/>
  <c r="U22" i="1"/>
  <c r="T22" i="1"/>
  <c r="S22" i="1"/>
  <c r="R22" i="1"/>
  <c r="Q22" i="1"/>
  <c r="U21" i="1"/>
  <c r="T21" i="1"/>
  <c r="S21" i="1"/>
  <c r="R21" i="1"/>
  <c r="Q21" i="1"/>
  <c r="U20" i="1"/>
  <c r="T20" i="1"/>
  <c r="S20" i="1"/>
  <c r="R20" i="1"/>
  <c r="Q20" i="1"/>
  <c r="U19" i="1"/>
  <c r="T19" i="1"/>
  <c r="S19" i="1"/>
  <c r="R19" i="1"/>
  <c r="Q19" i="1"/>
  <c r="U18" i="1"/>
  <c r="T18" i="1"/>
  <c r="S18" i="1"/>
  <c r="R18" i="1"/>
  <c r="Q18" i="1"/>
  <c r="U17" i="1"/>
  <c r="T17" i="1"/>
  <c r="S17" i="1"/>
  <c r="R17" i="1"/>
  <c r="Q17" i="1"/>
  <c r="U16" i="1"/>
  <c r="T16" i="1"/>
  <c r="S16" i="1"/>
  <c r="R16" i="1"/>
  <c r="Q16" i="1"/>
  <c r="U15" i="1"/>
  <c r="T15" i="1"/>
  <c r="S15" i="1"/>
  <c r="R15" i="1"/>
  <c r="Q15" i="1"/>
  <c r="U14" i="1"/>
  <c r="T14" i="1"/>
  <c r="S14" i="1"/>
  <c r="R14" i="1"/>
  <c r="Q14" i="1"/>
  <c r="U13" i="1"/>
  <c r="T13" i="1"/>
  <c r="S13" i="1"/>
  <c r="R13" i="1"/>
  <c r="Q13" i="1"/>
  <c r="U12" i="1"/>
  <c r="T12" i="1"/>
  <c r="S12" i="1"/>
  <c r="R12" i="1"/>
  <c r="Q12" i="1"/>
  <c r="U11" i="1"/>
  <c r="T11" i="1"/>
  <c r="S11" i="1"/>
  <c r="R11" i="1"/>
  <c r="Q11" i="1"/>
  <c r="U10" i="1"/>
  <c r="T10" i="1"/>
  <c r="S10" i="1"/>
  <c r="R10" i="1"/>
  <c r="Q10" i="1"/>
  <c r="U9" i="1"/>
  <c r="T9" i="1"/>
  <c r="S9" i="1"/>
  <c r="R9" i="1"/>
  <c r="Q9" i="1"/>
  <c r="U8" i="1"/>
  <c r="T8" i="1"/>
  <c r="S8" i="1"/>
  <c r="R8" i="1"/>
  <c r="Q8" i="1"/>
  <c r="U7" i="1"/>
  <c r="T7" i="1"/>
  <c r="S7" i="1"/>
  <c r="R7" i="1"/>
  <c r="Q7" i="1"/>
  <c r="U6" i="1"/>
  <c r="T6" i="1"/>
  <c r="S6" i="1"/>
  <c r="R6" i="1"/>
  <c r="Q6" i="1"/>
  <c r="U5" i="1"/>
  <c r="T5" i="1"/>
  <c r="S5" i="1"/>
  <c r="R5" i="1"/>
  <c r="Q5" i="1"/>
  <c r="U4" i="1"/>
  <c r="T4" i="1"/>
  <c r="S4" i="1"/>
  <c r="R4" i="1"/>
  <c r="Q4" i="1"/>
  <c r="U3" i="1"/>
  <c r="T3" i="1"/>
  <c r="S3" i="1"/>
  <c r="R3" i="1"/>
  <c r="Q3" i="1"/>
  <c r="U2" i="1"/>
  <c r="Z2" i="1" s="1"/>
  <c r="T2" i="1"/>
  <c r="Y2" i="1" s="1"/>
  <c r="S2" i="1"/>
  <c r="X2" i="1" s="1"/>
  <c r="R2" i="1"/>
  <c r="W2" i="1" s="1"/>
  <c r="Q2" i="1"/>
  <c r="V2" i="1" s="1"/>
  <c r="U3507" i="1"/>
  <c r="T3507" i="1"/>
  <c r="S3507" i="1"/>
  <c r="R3507" i="1"/>
  <c r="Q3507" i="1"/>
  <c r="U3506" i="1"/>
  <c r="T3506" i="1"/>
  <c r="S3506" i="1"/>
  <c r="R3506" i="1"/>
  <c r="Q3506" i="1"/>
  <c r="U3505" i="1"/>
  <c r="T3505" i="1"/>
  <c r="S3505" i="1"/>
  <c r="R3505" i="1"/>
  <c r="Q3505" i="1"/>
  <c r="U3504" i="1"/>
  <c r="T3504" i="1"/>
  <c r="S3504" i="1"/>
  <c r="R3504" i="1"/>
  <c r="Q3504" i="1"/>
  <c r="U3503" i="1"/>
  <c r="T3503" i="1"/>
  <c r="S3503" i="1"/>
  <c r="R3503" i="1"/>
  <c r="Q3503" i="1"/>
  <c r="U3502" i="1"/>
  <c r="T3502" i="1"/>
  <c r="S3502" i="1"/>
  <c r="R3502" i="1"/>
  <c r="Q3502" i="1"/>
  <c r="U3501" i="1"/>
  <c r="T3501" i="1"/>
  <c r="S3501" i="1"/>
  <c r="R3501" i="1"/>
  <c r="Q3501" i="1"/>
  <c r="U3500" i="1"/>
  <c r="T3500" i="1"/>
  <c r="S3500" i="1"/>
  <c r="R3500" i="1"/>
  <c r="Q3500" i="1"/>
  <c r="U3499" i="1"/>
  <c r="T3499" i="1"/>
  <c r="S3499" i="1"/>
  <c r="R3499" i="1"/>
  <c r="Q3499" i="1"/>
  <c r="U3498" i="1"/>
  <c r="T3498" i="1"/>
  <c r="S3498" i="1"/>
  <c r="R3498" i="1"/>
  <c r="Q3498" i="1"/>
  <c r="U3497" i="1"/>
  <c r="T3497" i="1"/>
  <c r="S3497" i="1"/>
  <c r="R3497" i="1"/>
  <c r="Q3497" i="1"/>
  <c r="U3496" i="1"/>
  <c r="T3496" i="1"/>
  <c r="S3496" i="1"/>
  <c r="R3496" i="1"/>
  <c r="Q3496" i="1"/>
  <c r="U3495" i="1"/>
  <c r="T3495" i="1"/>
  <c r="S3495" i="1"/>
  <c r="R3495" i="1"/>
  <c r="Q3495" i="1"/>
  <c r="U3494" i="1"/>
  <c r="T3494" i="1"/>
  <c r="S3494" i="1"/>
  <c r="R3494" i="1"/>
  <c r="Q3494" i="1"/>
  <c r="U3493" i="1"/>
  <c r="T3493" i="1"/>
  <c r="S3493" i="1"/>
  <c r="R3493" i="1"/>
  <c r="Q3493" i="1"/>
  <c r="U3492" i="1"/>
  <c r="T3492" i="1"/>
  <c r="S3492" i="1"/>
  <c r="R3492" i="1"/>
  <c r="Q3492" i="1"/>
  <c r="U3491" i="1"/>
  <c r="T3491" i="1"/>
  <c r="S3491" i="1"/>
  <c r="R3491" i="1"/>
  <c r="Q3491" i="1"/>
  <c r="U3490" i="1"/>
  <c r="T3490" i="1"/>
  <c r="S3490" i="1"/>
  <c r="R3490" i="1"/>
  <c r="Q3490" i="1"/>
  <c r="U3489" i="1"/>
  <c r="T3489" i="1"/>
  <c r="S3489" i="1"/>
  <c r="R3489" i="1"/>
  <c r="Q3489" i="1"/>
  <c r="U3488" i="1"/>
  <c r="T3488" i="1"/>
  <c r="S3488" i="1"/>
  <c r="R3488" i="1"/>
  <c r="Q3488" i="1"/>
  <c r="U3487" i="1"/>
  <c r="T3487" i="1"/>
  <c r="S3487" i="1"/>
  <c r="R3487" i="1"/>
  <c r="Q3487" i="1"/>
  <c r="U3486" i="1"/>
  <c r="T3486" i="1"/>
  <c r="S3486" i="1"/>
  <c r="R3486" i="1"/>
  <c r="Q3486" i="1"/>
  <c r="U3485" i="1"/>
  <c r="T3485" i="1"/>
  <c r="S3485" i="1"/>
  <c r="R3485" i="1"/>
  <c r="Q3485" i="1"/>
  <c r="U3484" i="1"/>
  <c r="T3484" i="1"/>
  <c r="S3484" i="1"/>
  <c r="R3484" i="1"/>
  <c r="Q3484" i="1"/>
  <c r="U3483" i="1"/>
  <c r="T3483" i="1"/>
  <c r="S3483" i="1"/>
  <c r="R3483" i="1"/>
  <c r="Q3483" i="1"/>
  <c r="U3482" i="1"/>
  <c r="T3482" i="1"/>
  <c r="S3482" i="1"/>
  <c r="R3482" i="1"/>
  <c r="Q3482" i="1"/>
  <c r="U3481" i="1"/>
  <c r="T3481" i="1"/>
  <c r="S3481" i="1"/>
  <c r="R3481" i="1"/>
  <c r="Q3481" i="1"/>
  <c r="U3480" i="1"/>
  <c r="T3480" i="1"/>
  <c r="S3480" i="1"/>
  <c r="R3480" i="1"/>
  <c r="Q3480" i="1"/>
  <c r="U3479" i="1"/>
  <c r="T3479" i="1"/>
  <c r="S3479" i="1"/>
  <c r="R3479" i="1"/>
  <c r="Q3479" i="1"/>
  <c r="U3478" i="1"/>
  <c r="T3478" i="1"/>
  <c r="S3478" i="1"/>
  <c r="R3478" i="1"/>
  <c r="Q3478" i="1"/>
  <c r="U3477" i="1"/>
  <c r="T3477" i="1"/>
  <c r="S3477" i="1"/>
  <c r="R3477" i="1"/>
  <c r="Q3477" i="1"/>
  <c r="U3476" i="1"/>
  <c r="T3476" i="1"/>
  <c r="S3476" i="1"/>
  <c r="R3476" i="1"/>
  <c r="Q3476" i="1"/>
  <c r="U3475" i="1"/>
  <c r="T3475" i="1"/>
  <c r="S3475" i="1"/>
  <c r="R3475" i="1"/>
  <c r="Q3475" i="1"/>
  <c r="U3474" i="1"/>
  <c r="T3474" i="1"/>
  <c r="S3474" i="1"/>
  <c r="R3474" i="1"/>
  <c r="Q3474" i="1"/>
  <c r="U3473" i="1"/>
  <c r="T3473" i="1"/>
  <c r="S3473" i="1"/>
  <c r="R3473" i="1"/>
  <c r="Q3473" i="1"/>
  <c r="U3472" i="1"/>
  <c r="T3472" i="1"/>
  <c r="S3472" i="1"/>
  <c r="R3472" i="1"/>
  <c r="Q3472" i="1"/>
  <c r="U3471" i="1"/>
  <c r="T3471" i="1"/>
  <c r="S3471" i="1"/>
  <c r="R3471" i="1"/>
  <c r="Q3471" i="1"/>
  <c r="U3470" i="1"/>
  <c r="T3470" i="1"/>
  <c r="S3470" i="1"/>
  <c r="R3470" i="1"/>
  <c r="Q3470" i="1"/>
  <c r="U3469" i="1"/>
  <c r="T3469" i="1"/>
  <c r="S3469" i="1"/>
  <c r="R3469" i="1"/>
  <c r="Q3469" i="1"/>
  <c r="U3468" i="1"/>
  <c r="T3468" i="1"/>
  <c r="S3468" i="1"/>
  <c r="R3468" i="1"/>
  <c r="Q3468" i="1"/>
  <c r="U3467" i="1"/>
  <c r="T3467" i="1"/>
  <c r="S3467" i="1"/>
  <c r="R3467" i="1"/>
  <c r="Q3467" i="1"/>
  <c r="U3466" i="1"/>
  <c r="T3466" i="1"/>
  <c r="S3466" i="1"/>
  <c r="R3466" i="1"/>
  <c r="Q3466" i="1"/>
  <c r="U3465" i="1"/>
  <c r="T3465" i="1"/>
  <c r="S3465" i="1"/>
  <c r="R3465" i="1"/>
  <c r="Q3465" i="1"/>
  <c r="U3464" i="1"/>
  <c r="T3464" i="1"/>
  <c r="S3464" i="1"/>
  <c r="R3464" i="1"/>
  <c r="Q3464" i="1"/>
  <c r="U3463" i="1"/>
  <c r="T3463" i="1"/>
  <c r="S3463" i="1"/>
  <c r="R3463" i="1"/>
  <c r="Q3463" i="1"/>
  <c r="U3462" i="1"/>
  <c r="T3462" i="1"/>
  <c r="S3462" i="1"/>
  <c r="R3462" i="1"/>
  <c r="Q3462" i="1"/>
  <c r="U3461" i="1"/>
  <c r="T3461" i="1"/>
  <c r="S3461" i="1"/>
  <c r="R3461" i="1"/>
  <c r="Q3461" i="1"/>
  <c r="U3460" i="1"/>
  <c r="T3460" i="1"/>
  <c r="S3460" i="1"/>
  <c r="R3460" i="1"/>
  <c r="Q3460" i="1"/>
  <c r="U3459" i="1"/>
  <c r="T3459" i="1"/>
  <c r="S3459" i="1"/>
  <c r="R3459" i="1"/>
  <c r="Q3459" i="1"/>
  <c r="U3458" i="1"/>
  <c r="T3458" i="1"/>
  <c r="S3458" i="1"/>
  <c r="R3458" i="1"/>
  <c r="Q3458" i="1"/>
  <c r="U3457" i="1"/>
  <c r="T3457" i="1"/>
  <c r="S3457" i="1"/>
  <c r="R3457" i="1"/>
  <c r="Q3457" i="1"/>
  <c r="U3456" i="1"/>
  <c r="T3456" i="1"/>
  <c r="S3456" i="1"/>
  <c r="R3456" i="1"/>
  <c r="Q3456" i="1"/>
  <c r="U3455" i="1"/>
  <c r="T3455" i="1"/>
  <c r="S3455" i="1"/>
  <c r="R3455" i="1"/>
  <c r="Q3455" i="1"/>
  <c r="U3454" i="1"/>
  <c r="T3454" i="1"/>
  <c r="S3454" i="1"/>
  <c r="R3454" i="1"/>
  <c r="Q3454" i="1"/>
  <c r="U3453" i="1"/>
  <c r="T3453" i="1"/>
  <c r="S3453" i="1"/>
  <c r="R3453" i="1"/>
  <c r="Q3453" i="1"/>
  <c r="U3452" i="1"/>
  <c r="T3452" i="1"/>
  <c r="S3452" i="1"/>
  <c r="R3452" i="1"/>
  <c r="Q3452" i="1"/>
  <c r="U3451" i="1"/>
  <c r="T3451" i="1"/>
  <c r="S3451" i="1"/>
  <c r="R3451" i="1"/>
  <c r="Q3451" i="1"/>
  <c r="U3450" i="1"/>
  <c r="T3450" i="1"/>
  <c r="S3450" i="1"/>
  <c r="R3450" i="1"/>
  <c r="Q3450" i="1"/>
  <c r="U3449" i="1"/>
  <c r="T3449" i="1"/>
  <c r="S3449" i="1"/>
  <c r="R3449" i="1"/>
  <c r="Q3449" i="1"/>
  <c r="U3448" i="1"/>
  <c r="T3448" i="1"/>
  <c r="S3448" i="1"/>
  <c r="R3448" i="1"/>
  <c r="Q3448" i="1"/>
  <c r="U3447" i="1"/>
  <c r="T3447" i="1"/>
  <c r="S3447" i="1"/>
  <c r="R3447" i="1"/>
  <c r="Q3447" i="1"/>
  <c r="U3446" i="1"/>
  <c r="T3446" i="1"/>
  <c r="S3446" i="1"/>
  <c r="R3446" i="1"/>
  <c r="Q3446" i="1"/>
  <c r="U3445" i="1"/>
  <c r="T3445" i="1"/>
  <c r="S3445" i="1"/>
  <c r="R3445" i="1"/>
  <c r="Q3445" i="1"/>
  <c r="U3444" i="1"/>
  <c r="T3444" i="1"/>
  <c r="S3444" i="1"/>
  <c r="R3444" i="1"/>
  <c r="Q3444" i="1"/>
  <c r="U3443" i="1"/>
  <c r="T3443" i="1"/>
  <c r="S3443" i="1"/>
  <c r="R3443" i="1"/>
  <c r="Q3443" i="1"/>
  <c r="U3442" i="1"/>
  <c r="T3442" i="1"/>
  <c r="S3442" i="1"/>
  <c r="R3442" i="1"/>
  <c r="Q3442" i="1"/>
  <c r="U3441" i="1"/>
  <c r="T3441" i="1"/>
  <c r="S3441" i="1"/>
  <c r="R3441" i="1"/>
  <c r="Q3441" i="1"/>
  <c r="U3440" i="1"/>
  <c r="T3440" i="1"/>
  <c r="S3440" i="1"/>
  <c r="R3440" i="1"/>
  <c r="Q3440" i="1"/>
  <c r="U3439" i="1"/>
  <c r="T3439" i="1"/>
  <c r="S3439" i="1"/>
  <c r="R3439" i="1"/>
  <c r="Q3439" i="1"/>
  <c r="U3438" i="1"/>
  <c r="T3438" i="1"/>
  <c r="S3438" i="1"/>
  <c r="R3438" i="1"/>
  <c r="Q3438" i="1"/>
  <c r="U3437" i="1"/>
  <c r="T3437" i="1"/>
  <c r="S3437" i="1"/>
  <c r="R3437" i="1"/>
  <c r="Q3437" i="1"/>
  <c r="U3436" i="1"/>
  <c r="T3436" i="1"/>
  <c r="S3436" i="1"/>
  <c r="R3436" i="1"/>
  <c r="Q3436" i="1"/>
  <c r="U3435" i="1"/>
  <c r="T3435" i="1"/>
  <c r="S3435" i="1"/>
  <c r="R3435" i="1"/>
  <c r="Q3435" i="1"/>
  <c r="U3434" i="1"/>
  <c r="T3434" i="1"/>
  <c r="S3434" i="1"/>
  <c r="R3434" i="1"/>
  <c r="Q3434" i="1"/>
  <c r="U3433" i="1"/>
  <c r="T3433" i="1"/>
  <c r="S3433" i="1"/>
  <c r="R3433" i="1"/>
  <c r="Q3433" i="1"/>
  <c r="U3432" i="1"/>
  <c r="T3432" i="1"/>
  <c r="S3432" i="1"/>
  <c r="R3432" i="1"/>
  <c r="Q3432" i="1"/>
  <c r="U3431" i="1"/>
  <c r="T3431" i="1"/>
  <c r="S3431" i="1"/>
  <c r="R3431" i="1"/>
  <c r="Q3431" i="1"/>
  <c r="U3430" i="1"/>
  <c r="T3430" i="1"/>
  <c r="S3430" i="1"/>
  <c r="R3430" i="1"/>
  <c r="Q3430" i="1"/>
  <c r="U3429" i="1"/>
  <c r="T3429" i="1"/>
  <c r="S3429" i="1"/>
  <c r="R3429" i="1"/>
  <c r="Q3429" i="1"/>
  <c r="U3428" i="1"/>
  <c r="T3428" i="1"/>
  <c r="S3428" i="1"/>
  <c r="R3428" i="1"/>
  <c r="Q3428" i="1"/>
  <c r="U3427" i="1"/>
  <c r="T3427" i="1"/>
  <c r="S3427" i="1"/>
  <c r="R3427" i="1"/>
  <c r="Q3427" i="1"/>
  <c r="U3426" i="1"/>
  <c r="T3426" i="1"/>
  <c r="S3426" i="1"/>
  <c r="R3426" i="1"/>
  <c r="Q3426" i="1"/>
  <c r="U3425" i="1"/>
  <c r="T3425" i="1"/>
  <c r="S3425" i="1"/>
  <c r="R3425" i="1"/>
  <c r="Q3425" i="1"/>
  <c r="U3424" i="1"/>
  <c r="T3424" i="1"/>
  <c r="S3424" i="1"/>
  <c r="R3424" i="1"/>
  <c r="Q3424" i="1"/>
  <c r="U3423" i="1"/>
  <c r="T3423" i="1"/>
  <c r="S3423" i="1"/>
  <c r="R3423" i="1"/>
  <c r="Q3423" i="1"/>
  <c r="U3422" i="1"/>
  <c r="T3422" i="1"/>
  <c r="S3422" i="1"/>
  <c r="R3422" i="1"/>
  <c r="Q3422" i="1"/>
  <c r="U3421" i="1"/>
  <c r="T3421" i="1"/>
  <c r="S3421" i="1"/>
  <c r="R3421" i="1"/>
  <c r="Q3421" i="1"/>
  <c r="U3420" i="1"/>
  <c r="T3420" i="1"/>
  <c r="S3420" i="1"/>
  <c r="R3420" i="1"/>
  <c r="Q3420" i="1"/>
  <c r="U3419" i="1"/>
  <c r="T3419" i="1"/>
  <c r="S3419" i="1"/>
  <c r="R3419" i="1"/>
  <c r="Q3419" i="1"/>
  <c r="U3418" i="1"/>
  <c r="T3418" i="1"/>
  <c r="S3418" i="1"/>
  <c r="R3418" i="1"/>
  <c r="Q3418" i="1"/>
  <c r="U3417" i="1"/>
  <c r="T3417" i="1"/>
  <c r="S3417" i="1"/>
  <c r="R3417" i="1"/>
  <c r="Q3417" i="1"/>
  <c r="U3416" i="1"/>
  <c r="T3416" i="1"/>
  <c r="S3416" i="1"/>
  <c r="R3416" i="1"/>
  <c r="Q3416" i="1"/>
  <c r="U3415" i="1"/>
  <c r="T3415" i="1"/>
  <c r="S3415" i="1"/>
  <c r="R3415" i="1"/>
  <c r="Q3415" i="1"/>
  <c r="U3414" i="1"/>
  <c r="T3414" i="1"/>
  <c r="S3414" i="1"/>
  <c r="R3414" i="1"/>
  <c r="Q3414" i="1"/>
  <c r="U3413" i="1"/>
  <c r="T3413" i="1"/>
  <c r="S3413" i="1"/>
  <c r="R3413" i="1"/>
  <c r="Q3413" i="1"/>
  <c r="U3412" i="1"/>
  <c r="T3412" i="1"/>
  <c r="S3412" i="1"/>
  <c r="R3412" i="1"/>
  <c r="Q3412" i="1"/>
  <c r="U3411" i="1"/>
  <c r="T3411" i="1"/>
  <c r="S3411" i="1"/>
  <c r="R3411" i="1"/>
  <c r="Q3411" i="1"/>
  <c r="U3410" i="1"/>
  <c r="T3410" i="1"/>
  <c r="S3410" i="1"/>
  <c r="R3410" i="1"/>
  <c r="Q3410" i="1"/>
  <c r="U3409" i="1"/>
  <c r="T3409" i="1"/>
  <c r="S3409" i="1"/>
  <c r="R3409" i="1"/>
  <c r="Q3409" i="1"/>
  <c r="U3408" i="1"/>
  <c r="T3408" i="1"/>
  <c r="S3408" i="1"/>
  <c r="R3408" i="1"/>
  <c r="Q3408" i="1"/>
  <c r="U3407" i="1"/>
  <c r="T3407" i="1"/>
  <c r="S3407" i="1"/>
  <c r="R3407" i="1"/>
  <c r="Q3407" i="1"/>
  <c r="U3406" i="1"/>
  <c r="T3406" i="1"/>
  <c r="S3406" i="1"/>
  <c r="R3406" i="1"/>
  <c r="Q3406" i="1"/>
  <c r="U3405" i="1"/>
  <c r="T3405" i="1"/>
  <c r="S3405" i="1"/>
  <c r="R3405" i="1"/>
  <c r="Q3405" i="1"/>
  <c r="U3404" i="1"/>
  <c r="T3404" i="1"/>
  <c r="S3404" i="1"/>
  <c r="R3404" i="1"/>
  <c r="Q3404" i="1"/>
  <c r="U3403" i="1"/>
  <c r="T3403" i="1"/>
  <c r="S3403" i="1"/>
  <c r="R3403" i="1"/>
  <c r="Q3403" i="1"/>
  <c r="U3402" i="1"/>
  <c r="T3402" i="1"/>
  <c r="S3402" i="1"/>
  <c r="R3402" i="1"/>
  <c r="Q3402" i="1"/>
  <c r="U3401" i="1"/>
  <c r="T3401" i="1"/>
  <c r="S3401" i="1"/>
  <c r="R3401" i="1"/>
  <c r="Q3401" i="1"/>
  <c r="U3400" i="1"/>
  <c r="T3400" i="1"/>
  <c r="S3400" i="1"/>
  <c r="R3400" i="1"/>
  <c r="Q3400" i="1"/>
  <c r="U3399" i="1"/>
  <c r="T3399" i="1"/>
  <c r="S3399" i="1"/>
  <c r="R3399" i="1"/>
  <c r="Q3399" i="1"/>
  <c r="U3398" i="1"/>
  <c r="T3398" i="1"/>
  <c r="S3398" i="1"/>
  <c r="R3398" i="1"/>
  <c r="Q3398" i="1"/>
  <c r="U3397" i="1"/>
  <c r="T3397" i="1"/>
  <c r="S3397" i="1"/>
  <c r="R3397" i="1"/>
  <c r="Q3397" i="1"/>
  <c r="U3396" i="1"/>
  <c r="T3396" i="1"/>
  <c r="S3396" i="1"/>
  <c r="R3396" i="1"/>
  <c r="Q3396" i="1"/>
  <c r="U3395" i="1"/>
  <c r="T3395" i="1"/>
  <c r="S3395" i="1"/>
  <c r="R3395" i="1"/>
  <c r="Q3395" i="1"/>
  <c r="U3394" i="1"/>
  <c r="T3394" i="1"/>
  <c r="S3394" i="1"/>
  <c r="R3394" i="1"/>
  <c r="Q3394" i="1"/>
  <c r="U3393" i="1"/>
  <c r="T3393" i="1"/>
  <c r="S3393" i="1"/>
  <c r="R3393" i="1"/>
  <c r="Q3393" i="1"/>
  <c r="U3392" i="1"/>
  <c r="T3392" i="1"/>
  <c r="S3392" i="1"/>
  <c r="R3392" i="1"/>
  <c r="Q3392" i="1"/>
  <c r="U3391" i="1"/>
  <c r="T3391" i="1"/>
  <c r="S3391" i="1"/>
  <c r="R3391" i="1"/>
  <c r="Q3391" i="1"/>
  <c r="U3390" i="1"/>
  <c r="T3390" i="1"/>
  <c r="S3390" i="1"/>
  <c r="R3390" i="1"/>
  <c r="Q3390" i="1"/>
  <c r="U3389" i="1"/>
  <c r="T3389" i="1"/>
  <c r="S3389" i="1"/>
  <c r="R3389" i="1"/>
  <c r="Q3389" i="1"/>
  <c r="U3388" i="1"/>
  <c r="T3388" i="1"/>
  <c r="S3388" i="1"/>
  <c r="R3388" i="1"/>
  <c r="Q3388" i="1"/>
  <c r="U3387" i="1"/>
  <c r="T3387" i="1"/>
  <c r="S3387" i="1"/>
  <c r="R3387" i="1"/>
  <c r="Q3387" i="1"/>
  <c r="U3386" i="1"/>
  <c r="T3386" i="1"/>
  <c r="S3386" i="1"/>
  <c r="R3386" i="1"/>
  <c r="Q3386" i="1"/>
  <c r="U3385" i="1"/>
  <c r="T3385" i="1"/>
  <c r="S3385" i="1"/>
  <c r="R3385" i="1"/>
  <c r="Q3385" i="1"/>
  <c r="U3384" i="1"/>
  <c r="T3384" i="1"/>
  <c r="S3384" i="1"/>
  <c r="R3384" i="1"/>
  <c r="Q3384" i="1"/>
  <c r="U3383" i="1"/>
  <c r="T3383" i="1"/>
  <c r="S3383" i="1"/>
  <c r="R3383" i="1"/>
  <c r="Q3383" i="1"/>
  <c r="U3382" i="1"/>
  <c r="T3382" i="1"/>
  <c r="S3382" i="1"/>
  <c r="R3382" i="1"/>
  <c r="Q3382" i="1"/>
  <c r="U3381" i="1"/>
  <c r="T3381" i="1"/>
  <c r="S3381" i="1"/>
  <c r="R3381" i="1"/>
  <c r="Q3381" i="1"/>
  <c r="U3380" i="1"/>
  <c r="T3380" i="1"/>
  <c r="S3380" i="1"/>
  <c r="R3380" i="1"/>
  <c r="Q3380" i="1"/>
  <c r="U3379" i="1"/>
  <c r="T3379" i="1"/>
  <c r="S3379" i="1"/>
  <c r="R3379" i="1"/>
  <c r="Q3379" i="1"/>
  <c r="U3378" i="1"/>
  <c r="T3378" i="1"/>
  <c r="S3378" i="1"/>
  <c r="R3378" i="1"/>
  <c r="Q3378" i="1"/>
  <c r="U3377" i="1"/>
  <c r="T3377" i="1"/>
  <c r="S3377" i="1"/>
  <c r="R3377" i="1"/>
  <c r="Q3377" i="1"/>
  <c r="U3376" i="1"/>
  <c r="T3376" i="1"/>
  <c r="S3376" i="1"/>
  <c r="R3376" i="1"/>
  <c r="Q3376" i="1"/>
  <c r="U3375" i="1"/>
  <c r="T3375" i="1"/>
  <c r="S3375" i="1"/>
  <c r="R3375" i="1"/>
  <c r="Q3375" i="1"/>
  <c r="U3374" i="1"/>
  <c r="T3374" i="1"/>
  <c r="S3374" i="1"/>
  <c r="R3374" i="1"/>
  <c r="Q3374" i="1"/>
  <c r="U3373" i="1"/>
  <c r="T3373" i="1"/>
  <c r="S3373" i="1"/>
  <c r="R3373" i="1"/>
  <c r="Q3373" i="1"/>
  <c r="U3372" i="1"/>
  <c r="T3372" i="1"/>
  <c r="S3372" i="1"/>
  <c r="R3372" i="1"/>
  <c r="Q3372" i="1"/>
  <c r="U3371" i="1"/>
  <c r="T3371" i="1"/>
  <c r="S3371" i="1"/>
  <c r="R3371" i="1"/>
  <c r="Q3371" i="1"/>
  <c r="U3370" i="1"/>
  <c r="T3370" i="1"/>
  <c r="S3370" i="1"/>
  <c r="R3370" i="1"/>
  <c r="Q3370" i="1"/>
  <c r="U3369" i="1"/>
  <c r="T3369" i="1"/>
  <c r="S3369" i="1"/>
  <c r="R3369" i="1"/>
  <c r="Q3369" i="1"/>
  <c r="U3368" i="1"/>
  <c r="T3368" i="1"/>
  <c r="S3368" i="1"/>
  <c r="R3368" i="1"/>
  <c r="Q3368" i="1"/>
  <c r="U3367" i="1"/>
  <c r="T3367" i="1"/>
  <c r="S3367" i="1"/>
  <c r="R3367" i="1"/>
  <c r="Q3367" i="1"/>
  <c r="U3366" i="1"/>
  <c r="T3366" i="1"/>
  <c r="S3366" i="1"/>
  <c r="R3366" i="1"/>
  <c r="Q3366" i="1"/>
  <c r="U3365" i="1"/>
  <c r="T3365" i="1"/>
  <c r="S3365" i="1"/>
  <c r="R3365" i="1"/>
  <c r="Q3365" i="1"/>
  <c r="U3364" i="1"/>
  <c r="T3364" i="1"/>
  <c r="S3364" i="1"/>
  <c r="R3364" i="1"/>
  <c r="Q3364" i="1"/>
  <c r="U3363" i="1"/>
  <c r="T3363" i="1"/>
  <c r="S3363" i="1"/>
  <c r="R3363" i="1"/>
  <c r="Q3363" i="1"/>
  <c r="U3362" i="1"/>
  <c r="T3362" i="1"/>
  <c r="S3362" i="1"/>
  <c r="R3362" i="1"/>
  <c r="Q3362" i="1"/>
  <c r="U3361" i="1"/>
  <c r="T3361" i="1"/>
  <c r="S3361" i="1"/>
  <c r="R3361" i="1"/>
  <c r="Q3361" i="1"/>
  <c r="U3360" i="1"/>
  <c r="T3360" i="1"/>
  <c r="S3360" i="1"/>
  <c r="R3360" i="1"/>
  <c r="Q3360" i="1"/>
  <c r="U3359" i="1"/>
  <c r="T3359" i="1"/>
  <c r="S3359" i="1"/>
  <c r="R3359" i="1"/>
  <c r="Q3359" i="1"/>
  <c r="U3358" i="1"/>
  <c r="T3358" i="1"/>
  <c r="S3358" i="1"/>
  <c r="R3358" i="1"/>
  <c r="Q3358" i="1"/>
  <c r="U3357" i="1"/>
  <c r="T3357" i="1"/>
  <c r="S3357" i="1"/>
  <c r="R3357" i="1"/>
  <c r="Q3357" i="1"/>
  <c r="U3356" i="1"/>
  <c r="T3356" i="1"/>
  <c r="S3356" i="1"/>
  <c r="R3356" i="1"/>
  <c r="Q3356" i="1"/>
  <c r="U3355" i="1"/>
  <c r="T3355" i="1"/>
  <c r="S3355" i="1"/>
  <c r="R3355" i="1"/>
  <c r="Q3355" i="1"/>
  <c r="U3354" i="1"/>
  <c r="T3354" i="1"/>
  <c r="S3354" i="1"/>
  <c r="R3354" i="1"/>
  <c r="Q3354" i="1"/>
  <c r="U3353" i="1"/>
  <c r="T3353" i="1"/>
  <c r="S3353" i="1"/>
  <c r="R3353" i="1"/>
  <c r="Q3353" i="1"/>
  <c r="U3352" i="1"/>
  <c r="T3352" i="1"/>
  <c r="S3352" i="1"/>
  <c r="R3352" i="1"/>
  <c r="Q3352" i="1"/>
  <c r="U3351" i="1"/>
  <c r="T3351" i="1"/>
  <c r="S3351" i="1"/>
  <c r="R3351" i="1"/>
  <c r="Q3351" i="1"/>
  <c r="U3350" i="1"/>
  <c r="T3350" i="1"/>
  <c r="S3350" i="1"/>
  <c r="R3350" i="1"/>
  <c r="Q3350" i="1"/>
  <c r="U3349" i="1"/>
  <c r="T3349" i="1"/>
  <c r="S3349" i="1"/>
  <c r="R3349" i="1"/>
  <c r="Q3349" i="1"/>
  <c r="U3348" i="1"/>
  <c r="T3348" i="1"/>
  <c r="S3348" i="1"/>
  <c r="R3348" i="1"/>
  <c r="Q3348" i="1"/>
  <c r="U3347" i="1"/>
  <c r="T3347" i="1"/>
  <c r="S3347" i="1"/>
  <c r="R3347" i="1"/>
  <c r="Q3347" i="1"/>
  <c r="U3346" i="1"/>
  <c r="T3346" i="1"/>
  <c r="S3346" i="1"/>
  <c r="R3346" i="1"/>
  <c r="Q3346" i="1"/>
  <c r="U3345" i="1"/>
  <c r="T3345" i="1"/>
  <c r="S3345" i="1"/>
  <c r="R3345" i="1"/>
  <c r="Q3345" i="1"/>
  <c r="U3344" i="1"/>
  <c r="T3344" i="1"/>
  <c r="S3344" i="1"/>
  <c r="R3344" i="1"/>
  <c r="Q3344" i="1"/>
  <c r="U3343" i="1"/>
  <c r="T3343" i="1"/>
  <c r="S3343" i="1"/>
  <c r="R3343" i="1"/>
  <c r="Q3343" i="1"/>
  <c r="U3342" i="1"/>
  <c r="T3342" i="1"/>
  <c r="S3342" i="1"/>
  <c r="R3342" i="1"/>
  <c r="Q3342" i="1"/>
  <c r="U3341" i="1"/>
  <c r="T3341" i="1"/>
  <c r="S3341" i="1"/>
  <c r="R3341" i="1"/>
  <c r="Q3341" i="1"/>
  <c r="U3340" i="1"/>
  <c r="T3340" i="1"/>
  <c r="S3340" i="1"/>
  <c r="R3340" i="1"/>
  <c r="Q3340" i="1"/>
  <c r="U3339" i="1"/>
  <c r="T3339" i="1"/>
  <c r="S3339" i="1"/>
  <c r="R3339" i="1"/>
  <c r="Q3339" i="1"/>
  <c r="U3338" i="1"/>
  <c r="T3338" i="1"/>
  <c r="S3338" i="1"/>
  <c r="R3338" i="1"/>
  <c r="Q3338" i="1"/>
  <c r="U3337" i="1"/>
  <c r="T3337" i="1"/>
  <c r="S3337" i="1"/>
  <c r="R3337" i="1"/>
  <c r="Q3337" i="1"/>
  <c r="U3336" i="1"/>
  <c r="T3336" i="1"/>
  <c r="S3336" i="1"/>
  <c r="R3336" i="1"/>
  <c r="Q3336" i="1"/>
  <c r="U3335" i="1"/>
  <c r="T3335" i="1"/>
  <c r="S3335" i="1"/>
  <c r="R3335" i="1"/>
  <c r="Q3335" i="1"/>
  <c r="U3334" i="1"/>
  <c r="T3334" i="1"/>
  <c r="S3334" i="1"/>
  <c r="R3334" i="1"/>
  <c r="Q3334" i="1"/>
  <c r="U3333" i="1"/>
  <c r="T3333" i="1"/>
  <c r="S3333" i="1"/>
  <c r="R3333" i="1"/>
  <c r="Q3333" i="1"/>
  <c r="U3332" i="1"/>
  <c r="T3332" i="1"/>
  <c r="S3332" i="1"/>
  <c r="R3332" i="1"/>
  <c r="Q3332" i="1"/>
  <c r="U3331" i="1"/>
  <c r="T3331" i="1"/>
  <c r="S3331" i="1"/>
  <c r="R3331" i="1"/>
  <c r="Q3331" i="1"/>
  <c r="U3330" i="1"/>
  <c r="T3330" i="1"/>
  <c r="S3330" i="1"/>
  <c r="R3330" i="1"/>
  <c r="Q3330" i="1"/>
  <c r="U3329" i="1"/>
  <c r="T3329" i="1"/>
  <c r="S3329" i="1"/>
  <c r="R3329" i="1"/>
  <c r="Q3329" i="1"/>
  <c r="U3328" i="1"/>
  <c r="T3328" i="1"/>
  <c r="S3328" i="1"/>
  <c r="R3328" i="1"/>
  <c r="Q3328" i="1"/>
  <c r="U3327" i="1"/>
  <c r="T3327" i="1"/>
  <c r="S3327" i="1"/>
  <c r="R3327" i="1"/>
  <c r="Q3327" i="1"/>
  <c r="U3326" i="1"/>
  <c r="T3326" i="1"/>
  <c r="S3326" i="1"/>
  <c r="R3326" i="1"/>
  <c r="Q3326" i="1"/>
  <c r="U3325" i="1"/>
  <c r="T3325" i="1"/>
  <c r="S3325" i="1"/>
  <c r="R3325" i="1"/>
  <c r="Q3325" i="1"/>
  <c r="U3324" i="1"/>
  <c r="T3324" i="1"/>
  <c r="S3324" i="1"/>
  <c r="R3324" i="1"/>
  <c r="Q3324" i="1"/>
  <c r="U3323" i="1"/>
  <c r="T3323" i="1"/>
  <c r="S3323" i="1"/>
  <c r="R3323" i="1"/>
  <c r="Q3323" i="1"/>
  <c r="U3322" i="1"/>
  <c r="T3322" i="1"/>
  <c r="S3322" i="1"/>
  <c r="R3322" i="1"/>
  <c r="Q3322" i="1"/>
  <c r="U3321" i="1"/>
  <c r="T3321" i="1"/>
  <c r="S3321" i="1"/>
  <c r="R3321" i="1"/>
  <c r="Q3321" i="1"/>
  <c r="U3320" i="1"/>
  <c r="T3320" i="1"/>
  <c r="S3320" i="1"/>
  <c r="R3320" i="1"/>
  <c r="Q3320" i="1"/>
  <c r="U3319" i="1"/>
  <c r="T3319" i="1"/>
  <c r="S3319" i="1"/>
  <c r="R3319" i="1"/>
  <c r="Q3319" i="1"/>
  <c r="U3318" i="1"/>
  <c r="T3318" i="1"/>
  <c r="S3318" i="1"/>
  <c r="R3318" i="1"/>
  <c r="Q3318" i="1"/>
  <c r="U3317" i="1"/>
  <c r="T3317" i="1"/>
  <c r="S3317" i="1"/>
  <c r="R3317" i="1"/>
  <c r="Q3317" i="1"/>
  <c r="U3316" i="1"/>
  <c r="T3316" i="1"/>
  <c r="S3316" i="1"/>
  <c r="R3316" i="1"/>
  <c r="Q3316" i="1"/>
  <c r="U3315" i="1"/>
  <c r="T3315" i="1"/>
  <c r="S3315" i="1"/>
  <c r="R3315" i="1"/>
  <c r="Q3315" i="1"/>
  <c r="U3314" i="1"/>
  <c r="T3314" i="1"/>
  <c r="S3314" i="1"/>
  <c r="R3314" i="1"/>
  <c r="Q3314" i="1"/>
  <c r="U3313" i="1"/>
  <c r="T3313" i="1"/>
  <c r="S3313" i="1"/>
  <c r="R3313" i="1"/>
  <c r="Q3313" i="1"/>
  <c r="U3312" i="1"/>
  <c r="T3312" i="1"/>
  <c r="S3312" i="1"/>
  <c r="R3312" i="1"/>
  <c r="Q3312" i="1"/>
  <c r="U3311" i="1"/>
  <c r="T3311" i="1"/>
  <c r="S3311" i="1"/>
  <c r="R3311" i="1"/>
  <c r="Q3311" i="1"/>
  <c r="U3310" i="1"/>
  <c r="T3310" i="1"/>
  <c r="S3310" i="1"/>
  <c r="R3310" i="1"/>
  <c r="Q3310" i="1"/>
  <c r="U3309" i="1"/>
  <c r="T3309" i="1"/>
  <c r="S3309" i="1"/>
  <c r="R3309" i="1"/>
  <c r="Q3309" i="1"/>
  <c r="U3308" i="1"/>
  <c r="T3308" i="1"/>
  <c r="S3308" i="1"/>
  <c r="R3308" i="1"/>
  <c r="Q3308" i="1"/>
  <c r="U3307" i="1"/>
  <c r="T3307" i="1"/>
  <c r="S3307" i="1"/>
  <c r="R3307" i="1"/>
  <c r="Q3307" i="1"/>
  <c r="U3306" i="1"/>
  <c r="T3306" i="1"/>
  <c r="S3306" i="1"/>
  <c r="R3306" i="1"/>
  <c r="Q3306" i="1"/>
  <c r="U3305" i="1"/>
  <c r="T3305" i="1"/>
  <c r="S3305" i="1"/>
  <c r="R3305" i="1"/>
  <c r="Q3305" i="1"/>
  <c r="U3304" i="1"/>
  <c r="T3304" i="1"/>
  <c r="S3304" i="1"/>
  <c r="R3304" i="1"/>
  <c r="Q3304" i="1"/>
  <c r="U3303" i="1"/>
  <c r="T3303" i="1"/>
  <c r="S3303" i="1"/>
  <c r="R3303" i="1"/>
  <c r="Q3303" i="1"/>
  <c r="U3302" i="1"/>
  <c r="T3302" i="1"/>
  <c r="S3302" i="1"/>
  <c r="R3302" i="1"/>
  <c r="Q3302" i="1"/>
  <c r="U3301" i="1"/>
  <c r="T3301" i="1"/>
  <c r="S3301" i="1"/>
  <c r="R3301" i="1"/>
  <c r="Q3301" i="1"/>
  <c r="U3300" i="1"/>
  <c r="T3300" i="1"/>
  <c r="S3300" i="1"/>
  <c r="R3300" i="1"/>
  <c r="Q3300" i="1"/>
  <c r="U3299" i="1"/>
  <c r="T3299" i="1"/>
  <c r="S3299" i="1"/>
  <c r="R3299" i="1"/>
  <c r="Q3299" i="1"/>
  <c r="U3298" i="1"/>
  <c r="T3298" i="1"/>
  <c r="S3298" i="1"/>
  <c r="R3298" i="1"/>
  <c r="Q3298" i="1"/>
  <c r="U3297" i="1"/>
  <c r="T3297" i="1"/>
  <c r="S3297" i="1"/>
  <c r="R3297" i="1"/>
  <c r="Q3297" i="1"/>
  <c r="U3296" i="1"/>
  <c r="T3296" i="1"/>
  <c r="S3296" i="1"/>
  <c r="R3296" i="1"/>
  <c r="Q3296" i="1"/>
  <c r="U3295" i="1"/>
  <c r="T3295" i="1"/>
  <c r="S3295" i="1"/>
  <c r="R3295" i="1"/>
  <c r="Q3295" i="1"/>
  <c r="U3294" i="1"/>
  <c r="T3294" i="1"/>
  <c r="S3294" i="1"/>
  <c r="R3294" i="1"/>
  <c r="Q3294" i="1"/>
  <c r="U3293" i="1"/>
  <c r="T3293" i="1"/>
  <c r="S3293" i="1"/>
  <c r="R3293" i="1"/>
  <c r="Q3293" i="1"/>
  <c r="U3292" i="1"/>
  <c r="T3292" i="1"/>
  <c r="S3292" i="1"/>
  <c r="R3292" i="1"/>
  <c r="Q3292" i="1"/>
  <c r="U3291" i="1"/>
  <c r="T3291" i="1"/>
  <c r="S3291" i="1"/>
  <c r="R3291" i="1"/>
  <c r="Q3291" i="1"/>
  <c r="U3290" i="1"/>
  <c r="T3290" i="1"/>
  <c r="S3290" i="1"/>
  <c r="R3290" i="1"/>
  <c r="Q3290" i="1"/>
  <c r="U3289" i="1"/>
  <c r="T3289" i="1"/>
  <c r="S3289" i="1"/>
  <c r="R3289" i="1"/>
  <c r="Q3289" i="1"/>
  <c r="U3288" i="1"/>
  <c r="T3288" i="1"/>
  <c r="S3288" i="1"/>
  <c r="R3288" i="1"/>
  <c r="Q3288" i="1"/>
  <c r="U3287" i="1"/>
  <c r="T3287" i="1"/>
  <c r="S3287" i="1"/>
  <c r="R3287" i="1"/>
  <c r="Q3287" i="1"/>
  <c r="U3286" i="1"/>
  <c r="T3286" i="1"/>
  <c r="S3286" i="1"/>
  <c r="R3286" i="1"/>
  <c r="Q3286" i="1"/>
  <c r="U3285" i="1"/>
  <c r="T3285" i="1"/>
  <c r="S3285" i="1"/>
  <c r="R3285" i="1"/>
  <c r="Q3285" i="1"/>
  <c r="U3284" i="1"/>
  <c r="T3284" i="1"/>
  <c r="S3284" i="1"/>
  <c r="R3284" i="1"/>
  <c r="Q3284" i="1"/>
  <c r="U3283" i="1"/>
  <c r="T3283" i="1"/>
  <c r="S3283" i="1"/>
  <c r="R3283" i="1"/>
  <c r="Q3283" i="1"/>
  <c r="U3282" i="1"/>
  <c r="T3282" i="1"/>
  <c r="S3282" i="1"/>
  <c r="R3282" i="1"/>
  <c r="Q3282" i="1"/>
  <c r="U3281" i="1"/>
  <c r="T3281" i="1"/>
  <c r="S3281" i="1"/>
  <c r="R3281" i="1"/>
  <c r="Q3281" i="1"/>
  <c r="U3280" i="1"/>
  <c r="T3280" i="1"/>
  <c r="S3280" i="1"/>
  <c r="R3280" i="1"/>
  <c r="Q3280" i="1"/>
  <c r="U3279" i="1"/>
  <c r="T3279" i="1"/>
  <c r="S3279" i="1"/>
  <c r="R3279" i="1"/>
  <c r="Q3279" i="1"/>
  <c r="U3278" i="1"/>
  <c r="T3278" i="1"/>
  <c r="S3278" i="1"/>
  <c r="R3278" i="1"/>
  <c r="Q3278" i="1"/>
  <c r="U3277" i="1"/>
  <c r="T3277" i="1"/>
  <c r="S3277" i="1"/>
  <c r="R3277" i="1"/>
  <c r="Q3277" i="1"/>
  <c r="U3276" i="1"/>
  <c r="T3276" i="1"/>
  <c r="S3276" i="1"/>
  <c r="R3276" i="1"/>
  <c r="Q3276" i="1"/>
  <c r="U3275" i="1"/>
  <c r="T3275" i="1"/>
  <c r="S3275" i="1"/>
  <c r="R3275" i="1"/>
  <c r="Q3275" i="1"/>
  <c r="U3274" i="1"/>
  <c r="T3274" i="1"/>
  <c r="S3274" i="1"/>
  <c r="R3274" i="1"/>
  <c r="Q3274" i="1"/>
  <c r="U3273" i="1"/>
  <c r="T3273" i="1"/>
  <c r="S3273" i="1"/>
  <c r="R3273" i="1"/>
  <c r="Q3273" i="1"/>
  <c r="U3272" i="1"/>
  <c r="T3272" i="1"/>
  <c r="S3272" i="1"/>
  <c r="R3272" i="1"/>
  <c r="Q3272" i="1"/>
  <c r="U3271" i="1"/>
  <c r="T3271" i="1"/>
  <c r="S3271" i="1"/>
  <c r="R3271" i="1"/>
  <c r="Q3271" i="1"/>
  <c r="U3270" i="1"/>
  <c r="T3270" i="1"/>
  <c r="S3270" i="1"/>
  <c r="R3270" i="1"/>
  <c r="Q3270" i="1"/>
  <c r="U3269" i="1"/>
  <c r="T3269" i="1"/>
  <c r="S3269" i="1"/>
  <c r="R3269" i="1"/>
  <c r="Q3269" i="1"/>
  <c r="U3268" i="1"/>
  <c r="T3268" i="1"/>
  <c r="S3268" i="1"/>
  <c r="R3268" i="1"/>
  <c r="Q3268" i="1"/>
  <c r="U3267" i="1"/>
  <c r="T3267" i="1"/>
  <c r="S3267" i="1"/>
  <c r="R3267" i="1"/>
  <c r="Q3267" i="1"/>
  <c r="U3266" i="1"/>
  <c r="T3266" i="1"/>
  <c r="S3266" i="1"/>
  <c r="R3266" i="1"/>
  <c r="Q3266" i="1"/>
  <c r="U3265" i="1"/>
  <c r="T3265" i="1"/>
  <c r="S3265" i="1"/>
  <c r="R3265" i="1"/>
  <c r="Q3265" i="1"/>
  <c r="U3264" i="1"/>
  <c r="T3264" i="1"/>
  <c r="S3264" i="1"/>
  <c r="R3264" i="1"/>
  <c r="Q3264" i="1"/>
  <c r="U3263" i="1"/>
  <c r="T3263" i="1"/>
  <c r="S3263" i="1"/>
  <c r="R3263" i="1"/>
  <c r="Q3263" i="1"/>
  <c r="U3262" i="1"/>
  <c r="T3262" i="1"/>
  <c r="S3262" i="1"/>
  <c r="R3262" i="1"/>
  <c r="Q3262" i="1"/>
  <c r="U3261" i="1"/>
  <c r="T3261" i="1"/>
  <c r="S3261" i="1"/>
  <c r="R3261" i="1"/>
  <c r="Q3261" i="1"/>
  <c r="U3260" i="1"/>
  <c r="T3260" i="1"/>
  <c r="S3260" i="1"/>
  <c r="R3260" i="1"/>
  <c r="Q3260" i="1"/>
  <c r="U3259" i="1"/>
  <c r="T3259" i="1"/>
  <c r="S3259" i="1"/>
  <c r="R3259" i="1"/>
  <c r="Q3259" i="1"/>
  <c r="U3258" i="1"/>
  <c r="T3258" i="1"/>
  <c r="S3258" i="1"/>
  <c r="R3258" i="1"/>
  <c r="Q3258" i="1"/>
  <c r="U3257" i="1"/>
  <c r="T3257" i="1"/>
  <c r="S3257" i="1"/>
  <c r="R3257" i="1"/>
  <c r="Q3257" i="1"/>
  <c r="U3256" i="1"/>
  <c r="T3256" i="1"/>
  <c r="S3256" i="1"/>
  <c r="R3256" i="1"/>
  <c r="Q3256" i="1"/>
  <c r="U3255" i="1"/>
  <c r="T3255" i="1"/>
  <c r="S3255" i="1"/>
  <c r="R3255" i="1"/>
  <c r="Q3255" i="1"/>
  <c r="U3254" i="1"/>
  <c r="T3254" i="1"/>
  <c r="S3254" i="1"/>
  <c r="R3254" i="1"/>
  <c r="Q3254" i="1"/>
  <c r="U3253" i="1"/>
  <c r="T3253" i="1"/>
  <c r="S3253" i="1"/>
  <c r="R3253" i="1"/>
  <c r="Q3253" i="1"/>
  <c r="U3252" i="1"/>
  <c r="T3252" i="1"/>
  <c r="S3252" i="1"/>
  <c r="R3252" i="1"/>
  <c r="Q3252" i="1"/>
  <c r="U3251" i="1"/>
  <c r="T3251" i="1"/>
  <c r="S3251" i="1"/>
  <c r="R3251" i="1"/>
  <c r="Q3251" i="1"/>
  <c r="U3250" i="1"/>
  <c r="T3250" i="1"/>
  <c r="S3250" i="1"/>
  <c r="R3250" i="1"/>
  <c r="Q3250" i="1"/>
  <c r="U3249" i="1"/>
  <c r="T3249" i="1"/>
  <c r="S3249" i="1"/>
  <c r="R3249" i="1"/>
  <c r="Q3249" i="1"/>
  <c r="U3248" i="1"/>
  <c r="T3248" i="1"/>
  <c r="S3248" i="1"/>
  <c r="R3248" i="1"/>
  <c r="Q3248" i="1"/>
  <c r="U3247" i="1"/>
  <c r="T3247" i="1"/>
  <c r="S3247" i="1"/>
  <c r="R3247" i="1"/>
  <c r="Q3247" i="1"/>
  <c r="U3246" i="1"/>
  <c r="T3246" i="1"/>
  <c r="S3246" i="1"/>
  <c r="R3246" i="1"/>
  <c r="Q3246" i="1"/>
  <c r="U3245" i="1"/>
  <c r="T3245" i="1"/>
  <c r="S3245" i="1"/>
  <c r="R3245" i="1"/>
  <c r="Q3245" i="1"/>
  <c r="U3244" i="1"/>
  <c r="T3244" i="1"/>
  <c r="S3244" i="1"/>
  <c r="R3244" i="1"/>
  <c r="Q3244" i="1"/>
  <c r="U3243" i="1"/>
  <c r="T3243" i="1"/>
  <c r="S3243" i="1"/>
  <c r="R3243" i="1"/>
  <c r="Q3243" i="1"/>
  <c r="U3242" i="1"/>
  <c r="T3242" i="1"/>
  <c r="S3242" i="1"/>
  <c r="R3242" i="1"/>
  <c r="Q3242" i="1"/>
  <c r="U3241" i="1"/>
  <c r="T3241" i="1"/>
  <c r="S3241" i="1"/>
  <c r="R3241" i="1"/>
  <c r="Q3241" i="1"/>
  <c r="U3240" i="1"/>
  <c r="T3240" i="1"/>
  <c r="S3240" i="1"/>
  <c r="R3240" i="1"/>
  <c r="Q3240" i="1"/>
  <c r="U3239" i="1"/>
  <c r="T3239" i="1"/>
  <c r="S3239" i="1"/>
  <c r="R3239" i="1"/>
  <c r="Q3239" i="1"/>
  <c r="U3238" i="1"/>
  <c r="T3238" i="1"/>
  <c r="S3238" i="1"/>
  <c r="R3238" i="1"/>
  <c r="Q3238" i="1"/>
  <c r="U3237" i="1"/>
  <c r="T3237" i="1"/>
  <c r="S3237" i="1"/>
  <c r="R3237" i="1"/>
  <c r="Q3237" i="1"/>
  <c r="U3236" i="1"/>
  <c r="T3236" i="1"/>
  <c r="S3236" i="1"/>
  <c r="R3236" i="1"/>
  <c r="Q3236" i="1"/>
  <c r="U3235" i="1"/>
  <c r="T3235" i="1"/>
  <c r="S3235" i="1"/>
  <c r="R3235" i="1"/>
  <c r="Q3235" i="1"/>
  <c r="U3234" i="1"/>
  <c r="T3234" i="1"/>
  <c r="S3234" i="1"/>
  <c r="R3234" i="1"/>
  <c r="Q3234" i="1"/>
  <c r="U3233" i="1"/>
  <c r="T3233" i="1"/>
  <c r="S3233" i="1"/>
  <c r="R3233" i="1"/>
  <c r="Q3233" i="1"/>
  <c r="U3232" i="1"/>
  <c r="T3232" i="1"/>
  <c r="S3232" i="1"/>
  <c r="R3232" i="1"/>
  <c r="Q3232" i="1"/>
  <c r="U3231" i="1"/>
  <c r="T3231" i="1"/>
  <c r="S3231" i="1"/>
  <c r="R3231" i="1"/>
  <c r="Q3231" i="1"/>
  <c r="U3230" i="1"/>
  <c r="T3230" i="1"/>
  <c r="S3230" i="1"/>
  <c r="R3230" i="1"/>
  <c r="Q3230" i="1"/>
  <c r="U3229" i="1"/>
  <c r="T3229" i="1"/>
  <c r="S3229" i="1"/>
  <c r="R3229" i="1"/>
  <c r="Q3229" i="1"/>
  <c r="U3228" i="1"/>
  <c r="T3228" i="1"/>
  <c r="S3228" i="1"/>
  <c r="R3228" i="1"/>
  <c r="Q3228" i="1"/>
  <c r="U3227" i="1"/>
  <c r="T3227" i="1"/>
  <c r="S3227" i="1"/>
  <c r="R3227" i="1"/>
  <c r="Q3227" i="1"/>
  <c r="U3226" i="1"/>
  <c r="T3226" i="1"/>
  <c r="S3226" i="1"/>
  <c r="R3226" i="1"/>
  <c r="Q3226" i="1"/>
  <c r="U3225" i="1"/>
  <c r="T3225" i="1"/>
  <c r="S3225" i="1"/>
  <c r="R3225" i="1"/>
  <c r="Q3225" i="1"/>
  <c r="U3224" i="1"/>
  <c r="T3224" i="1"/>
  <c r="S3224" i="1"/>
  <c r="R3224" i="1"/>
  <c r="Q3224" i="1"/>
  <c r="U3223" i="1"/>
  <c r="T3223" i="1"/>
  <c r="S3223" i="1"/>
  <c r="R3223" i="1"/>
  <c r="Q3223" i="1"/>
  <c r="U3222" i="1"/>
  <c r="T3222" i="1"/>
  <c r="S3222" i="1"/>
  <c r="R3222" i="1"/>
  <c r="Q3222" i="1"/>
  <c r="U3221" i="1"/>
  <c r="T3221" i="1"/>
  <c r="S3221" i="1"/>
  <c r="R3221" i="1"/>
  <c r="Q3221" i="1"/>
  <c r="U3220" i="1"/>
  <c r="T3220" i="1"/>
  <c r="S3220" i="1"/>
  <c r="R3220" i="1"/>
  <c r="Q3220" i="1"/>
  <c r="U3219" i="1"/>
  <c r="T3219" i="1"/>
  <c r="S3219" i="1"/>
  <c r="R3219" i="1"/>
  <c r="Q3219" i="1"/>
  <c r="U3218" i="1"/>
  <c r="T3218" i="1"/>
  <c r="S3218" i="1"/>
  <c r="R3218" i="1"/>
  <c r="Q3218" i="1"/>
  <c r="U3217" i="1"/>
  <c r="T3217" i="1"/>
  <c r="S3217" i="1"/>
  <c r="R3217" i="1"/>
  <c r="Q3217" i="1"/>
  <c r="U3216" i="1"/>
  <c r="T3216" i="1"/>
  <c r="S3216" i="1"/>
  <c r="R3216" i="1"/>
  <c r="Q3216" i="1"/>
  <c r="U3215" i="1"/>
  <c r="T3215" i="1"/>
  <c r="S3215" i="1"/>
  <c r="R3215" i="1"/>
  <c r="Q3215" i="1"/>
  <c r="U3214" i="1"/>
  <c r="T3214" i="1"/>
  <c r="S3214" i="1"/>
  <c r="R3214" i="1"/>
  <c r="Q3214" i="1"/>
  <c r="U3213" i="1"/>
  <c r="T3213" i="1"/>
  <c r="S3213" i="1"/>
  <c r="R3213" i="1"/>
  <c r="Q3213" i="1"/>
  <c r="U3212" i="1"/>
  <c r="T3212" i="1"/>
  <c r="S3212" i="1"/>
  <c r="R3212" i="1"/>
  <c r="Q3212" i="1"/>
  <c r="U3211" i="1"/>
  <c r="T3211" i="1"/>
  <c r="S3211" i="1"/>
  <c r="R3211" i="1"/>
  <c r="Q3211" i="1"/>
  <c r="U3210" i="1"/>
  <c r="T3210" i="1"/>
  <c r="S3210" i="1"/>
  <c r="R3210" i="1"/>
  <c r="Q3210" i="1"/>
  <c r="U3209" i="1"/>
  <c r="T3209" i="1"/>
  <c r="S3209" i="1"/>
  <c r="R3209" i="1"/>
  <c r="Q3209" i="1"/>
  <c r="U3208" i="1"/>
  <c r="T3208" i="1"/>
  <c r="S3208" i="1"/>
  <c r="R3208" i="1"/>
  <c r="Q3208" i="1"/>
  <c r="U3207" i="1"/>
  <c r="T3207" i="1"/>
  <c r="S3207" i="1"/>
  <c r="R3207" i="1"/>
  <c r="Q3207" i="1"/>
  <c r="U3206" i="1"/>
  <c r="T3206" i="1"/>
  <c r="S3206" i="1"/>
  <c r="R3206" i="1"/>
  <c r="Q3206" i="1"/>
  <c r="U3205" i="1"/>
  <c r="T3205" i="1"/>
  <c r="S3205" i="1"/>
  <c r="R3205" i="1"/>
  <c r="Q3205" i="1"/>
  <c r="U3204" i="1"/>
  <c r="T3204" i="1"/>
  <c r="S3204" i="1"/>
  <c r="R3204" i="1"/>
  <c r="Q3204" i="1"/>
  <c r="U3203" i="1"/>
  <c r="T3203" i="1"/>
  <c r="S3203" i="1"/>
  <c r="R3203" i="1"/>
  <c r="Q3203" i="1"/>
  <c r="U3202" i="1"/>
  <c r="T3202" i="1"/>
  <c r="S3202" i="1"/>
  <c r="R3202" i="1"/>
  <c r="Q3202" i="1"/>
  <c r="U3201" i="1"/>
  <c r="T3201" i="1"/>
  <c r="S3201" i="1"/>
  <c r="R3201" i="1"/>
  <c r="Q3201" i="1"/>
  <c r="U3200" i="1"/>
  <c r="T3200" i="1"/>
  <c r="S3200" i="1"/>
  <c r="R3200" i="1"/>
  <c r="Q3200" i="1"/>
  <c r="U3199" i="1"/>
  <c r="T3199" i="1"/>
  <c r="S3199" i="1"/>
  <c r="R3199" i="1"/>
  <c r="Q3199" i="1"/>
  <c r="U3198" i="1"/>
  <c r="T3198" i="1"/>
  <c r="S3198" i="1"/>
  <c r="R3198" i="1"/>
  <c r="Q3198" i="1"/>
  <c r="U3197" i="1"/>
  <c r="T3197" i="1"/>
  <c r="S3197" i="1"/>
  <c r="R3197" i="1"/>
  <c r="Q3197" i="1"/>
  <c r="U3196" i="1"/>
  <c r="T3196" i="1"/>
  <c r="S3196" i="1"/>
  <c r="R3196" i="1"/>
  <c r="Q3196" i="1"/>
  <c r="U3195" i="1"/>
  <c r="T3195" i="1"/>
  <c r="S3195" i="1"/>
  <c r="R3195" i="1"/>
  <c r="Q3195" i="1"/>
  <c r="U3194" i="1"/>
  <c r="T3194" i="1"/>
  <c r="S3194" i="1"/>
  <c r="R3194" i="1"/>
  <c r="Q3194" i="1"/>
  <c r="U3193" i="1"/>
  <c r="T3193" i="1"/>
  <c r="S3193" i="1"/>
  <c r="R3193" i="1"/>
  <c r="Q3193" i="1"/>
  <c r="U3192" i="1"/>
  <c r="T3192" i="1"/>
  <c r="S3192" i="1"/>
  <c r="R3192" i="1"/>
  <c r="Q3192" i="1"/>
  <c r="U3191" i="1"/>
  <c r="T3191" i="1"/>
  <c r="S3191" i="1"/>
  <c r="R3191" i="1"/>
  <c r="Q3191" i="1"/>
  <c r="U3190" i="1"/>
  <c r="T3190" i="1"/>
  <c r="S3190" i="1"/>
  <c r="R3190" i="1"/>
  <c r="Q3190" i="1"/>
  <c r="U3189" i="1"/>
  <c r="T3189" i="1"/>
  <c r="S3189" i="1"/>
  <c r="R3189" i="1"/>
  <c r="Q3189" i="1"/>
  <c r="U3188" i="1"/>
  <c r="T3188" i="1"/>
  <c r="S3188" i="1"/>
  <c r="R3188" i="1"/>
  <c r="Q3188" i="1"/>
  <c r="U3187" i="1"/>
  <c r="T3187" i="1"/>
  <c r="S3187" i="1"/>
  <c r="R3187" i="1"/>
  <c r="Q3187" i="1"/>
  <c r="U3186" i="1"/>
  <c r="T3186" i="1"/>
  <c r="S3186" i="1"/>
  <c r="R3186" i="1"/>
  <c r="Q3186" i="1"/>
  <c r="U3185" i="1"/>
  <c r="T3185" i="1"/>
  <c r="S3185" i="1"/>
  <c r="R3185" i="1"/>
  <c r="Q3185" i="1"/>
  <c r="U3184" i="1"/>
  <c r="T3184" i="1"/>
  <c r="S3184" i="1"/>
  <c r="R3184" i="1"/>
  <c r="Q3184" i="1"/>
  <c r="U3183" i="1"/>
  <c r="T3183" i="1"/>
  <c r="S3183" i="1"/>
  <c r="R3183" i="1"/>
  <c r="Q3183" i="1"/>
  <c r="U3182" i="1"/>
  <c r="T3182" i="1"/>
  <c r="S3182" i="1"/>
  <c r="R3182" i="1"/>
  <c r="Q3182" i="1"/>
  <c r="U3181" i="1"/>
  <c r="T3181" i="1"/>
  <c r="S3181" i="1"/>
  <c r="R3181" i="1"/>
  <c r="Q3181" i="1"/>
  <c r="U3180" i="1"/>
  <c r="T3180" i="1"/>
  <c r="S3180" i="1"/>
  <c r="R3180" i="1"/>
  <c r="Q3180" i="1"/>
  <c r="U3179" i="1"/>
  <c r="T3179" i="1"/>
  <c r="S3179" i="1"/>
  <c r="R3179" i="1"/>
  <c r="Q3179" i="1"/>
  <c r="U3178" i="1"/>
  <c r="T3178" i="1"/>
  <c r="S3178" i="1"/>
  <c r="R3178" i="1"/>
  <c r="Q3178" i="1"/>
  <c r="U3177" i="1"/>
  <c r="T3177" i="1"/>
  <c r="S3177" i="1"/>
  <c r="R3177" i="1"/>
  <c r="Q3177" i="1"/>
  <c r="U3176" i="1"/>
  <c r="T3176" i="1"/>
  <c r="S3176" i="1"/>
  <c r="R3176" i="1"/>
  <c r="Q3176" i="1"/>
  <c r="U3175" i="1"/>
  <c r="T3175" i="1"/>
  <c r="S3175" i="1"/>
  <c r="R3175" i="1"/>
  <c r="Q3175" i="1"/>
  <c r="U3174" i="1"/>
  <c r="T3174" i="1"/>
  <c r="S3174" i="1"/>
  <c r="R3174" i="1"/>
  <c r="Q3174" i="1"/>
  <c r="U3173" i="1"/>
  <c r="T3173" i="1"/>
  <c r="S3173" i="1"/>
  <c r="R3173" i="1"/>
  <c r="Q3173" i="1"/>
  <c r="U3172" i="1"/>
  <c r="T3172" i="1"/>
  <c r="S3172" i="1"/>
  <c r="R3172" i="1"/>
  <c r="Q3172" i="1"/>
  <c r="U3171" i="1"/>
  <c r="T3171" i="1"/>
  <c r="S3171" i="1"/>
  <c r="R3171" i="1"/>
  <c r="Q3171" i="1"/>
  <c r="U3170" i="1"/>
  <c r="T3170" i="1"/>
  <c r="S3170" i="1"/>
  <c r="R3170" i="1"/>
  <c r="Q3170" i="1"/>
  <c r="U3169" i="1"/>
  <c r="T3169" i="1"/>
  <c r="S3169" i="1"/>
  <c r="R3169" i="1"/>
  <c r="Q3169" i="1"/>
  <c r="U3168" i="1"/>
  <c r="T3168" i="1"/>
  <c r="S3168" i="1"/>
  <c r="R3168" i="1"/>
  <c r="Q3168" i="1"/>
  <c r="U3167" i="1"/>
  <c r="T3167" i="1"/>
  <c r="S3167" i="1"/>
  <c r="R3167" i="1"/>
  <c r="Q3167" i="1"/>
  <c r="U3166" i="1"/>
  <c r="T3166" i="1"/>
  <c r="S3166" i="1"/>
  <c r="R3166" i="1"/>
  <c r="Q3166" i="1"/>
  <c r="U3165" i="1"/>
  <c r="T3165" i="1"/>
  <c r="S3165" i="1"/>
  <c r="R3165" i="1"/>
  <c r="Q3165" i="1"/>
  <c r="U3164" i="1"/>
  <c r="T3164" i="1"/>
  <c r="S3164" i="1"/>
  <c r="R3164" i="1"/>
  <c r="Q3164" i="1"/>
  <c r="U3163" i="1"/>
  <c r="T3163" i="1"/>
  <c r="S3163" i="1"/>
  <c r="R3163" i="1"/>
  <c r="Q3163" i="1"/>
  <c r="U3162" i="1"/>
  <c r="T3162" i="1"/>
  <c r="S3162" i="1"/>
  <c r="R3162" i="1"/>
  <c r="Q3162" i="1"/>
  <c r="U3161" i="1"/>
  <c r="T3161" i="1"/>
  <c r="S3161" i="1"/>
  <c r="R3161" i="1"/>
  <c r="Q3161" i="1"/>
  <c r="U3160" i="1"/>
  <c r="T3160" i="1"/>
  <c r="S3160" i="1"/>
  <c r="R3160" i="1"/>
  <c r="Q3160" i="1"/>
  <c r="U3159" i="1"/>
  <c r="T3159" i="1"/>
  <c r="S3159" i="1"/>
  <c r="R3159" i="1"/>
  <c r="Q3159" i="1"/>
  <c r="U3158" i="1"/>
  <c r="T3158" i="1"/>
  <c r="S3158" i="1"/>
  <c r="R3158" i="1"/>
  <c r="Q3158" i="1"/>
  <c r="U3157" i="1"/>
  <c r="T3157" i="1"/>
  <c r="S3157" i="1"/>
  <c r="R3157" i="1"/>
  <c r="Q3157" i="1"/>
  <c r="U3156" i="1"/>
  <c r="T3156" i="1"/>
  <c r="S3156" i="1"/>
  <c r="R3156" i="1"/>
  <c r="Q3156" i="1"/>
  <c r="U3155" i="1"/>
  <c r="T3155" i="1"/>
  <c r="S3155" i="1"/>
  <c r="R3155" i="1"/>
  <c r="Q3155" i="1"/>
  <c r="U3154" i="1"/>
  <c r="T3154" i="1"/>
  <c r="S3154" i="1"/>
  <c r="R3154" i="1"/>
  <c r="Q3154" i="1"/>
  <c r="U3153" i="1"/>
  <c r="T3153" i="1"/>
  <c r="S3153" i="1"/>
  <c r="R3153" i="1"/>
  <c r="Q3153" i="1"/>
  <c r="U3152" i="1"/>
  <c r="T3152" i="1"/>
  <c r="S3152" i="1"/>
  <c r="R3152" i="1"/>
  <c r="Q3152" i="1"/>
  <c r="U3151" i="1"/>
  <c r="T3151" i="1"/>
  <c r="S3151" i="1"/>
  <c r="R3151" i="1"/>
  <c r="Q3151" i="1"/>
  <c r="U3150" i="1"/>
  <c r="T3150" i="1"/>
  <c r="S3150" i="1"/>
  <c r="R3150" i="1"/>
  <c r="Q3150" i="1"/>
  <c r="U3149" i="1"/>
  <c r="T3149" i="1"/>
  <c r="S3149" i="1"/>
  <c r="R3149" i="1"/>
  <c r="Q3149" i="1"/>
  <c r="U3148" i="1"/>
  <c r="T3148" i="1"/>
  <c r="S3148" i="1"/>
  <c r="R3148" i="1"/>
  <c r="Q3148" i="1"/>
  <c r="U3147" i="1"/>
  <c r="T3147" i="1"/>
  <c r="S3147" i="1"/>
  <c r="R3147" i="1"/>
  <c r="Q3147" i="1"/>
  <c r="U3146" i="1"/>
  <c r="T3146" i="1"/>
  <c r="S3146" i="1"/>
  <c r="R3146" i="1"/>
  <c r="Q3146" i="1"/>
  <c r="U3145" i="1"/>
  <c r="T3145" i="1"/>
  <c r="S3145" i="1"/>
  <c r="R3145" i="1"/>
  <c r="Q3145" i="1"/>
  <c r="U3144" i="1"/>
  <c r="T3144" i="1"/>
  <c r="S3144" i="1"/>
  <c r="R3144" i="1"/>
  <c r="Q3144" i="1"/>
  <c r="U3143" i="1"/>
  <c r="T3143" i="1"/>
  <c r="S3143" i="1"/>
  <c r="R3143" i="1"/>
  <c r="Q3143" i="1"/>
  <c r="U3142" i="1"/>
  <c r="T3142" i="1"/>
  <c r="S3142" i="1"/>
  <c r="R3142" i="1"/>
  <c r="Q3142" i="1"/>
  <c r="U3141" i="1"/>
  <c r="T3141" i="1"/>
  <c r="S3141" i="1"/>
  <c r="R3141" i="1"/>
  <c r="Q3141" i="1"/>
  <c r="U3140" i="1"/>
  <c r="T3140" i="1"/>
  <c r="S3140" i="1"/>
  <c r="R3140" i="1"/>
  <c r="Q3140" i="1"/>
  <c r="U3139" i="1"/>
  <c r="T3139" i="1"/>
  <c r="S3139" i="1"/>
  <c r="R3139" i="1"/>
  <c r="Q3139" i="1"/>
  <c r="U3138" i="1"/>
  <c r="T3138" i="1"/>
  <c r="S3138" i="1"/>
  <c r="R3138" i="1"/>
  <c r="Q3138" i="1"/>
  <c r="U3137" i="1"/>
  <c r="T3137" i="1"/>
  <c r="S3137" i="1"/>
  <c r="R3137" i="1"/>
  <c r="Q3137" i="1"/>
  <c r="U3136" i="1"/>
  <c r="T3136" i="1"/>
  <c r="S3136" i="1"/>
  <c r="R3136" i="1"/>
  <c r="Q3136" i="1"/>
  <c r="U3135" i="1"/>
  <c r="T3135" i="1"/>
  <c r="S3135" i="1"/>
  <c r="R3135" i="1"/>
  <c r="Q3135" i="1"/>
  <c r="U3134" i="1"/>
  <c r="T3134" i="1"/>
  <c r="S3134" i="1"/>
  <c r="R3134" i="1"/>
  <c r="Q3134" i="1"/>
  <c r="U3133" i="1"/>
  <c r="T3133" i="1"/>
  <c r="S3133" i="1"/>
  <c r="R3133" i="1"/>
  <c r="Q3133" i="1"/>
  <c r="U3132" i="1"/>
  <c r="T3132" i="1"/>
  <c r="S3132" i="1"/>
  <c r="R3132" i="1"/>
  <c r="Q3132" i="1"/>
  <c r="U3131" i="1"/>
  <c r="T3131" i="1"/>
  <c r="S3131" i="1"/>
  <c r="R3131" i="1"/>
  <c r="Q3131" i="1"/>
  <c r="U3130" i="1"/>
  <c r="T3130" i="1"/>
  <c r="S3130" i="1"/>
  <c r="R3130" i="1"/>
  <c r="Q3130" i="1"/>
  <c r="U3129" i="1"/>
  <c r="T3129" i="1"/>
  <c r="S3129" i="1"/>
  <c r="R3129" i="1"/>
  <c r="Q3129" i="1"/>
  <c r="U3128" i="1"/>
  <c r="T3128" i="1"/>
  <c r="S3128" i="1"/>
  <c r="R3128" i="1"/>
  <c r="Q3128" i="1"/>
  <c r="U3127" i="1"/>
  <c r="T3127" i="1"/>
  <c r="S3127" i="1"/>
  <c r="R3127" i="1"/>
  <c r="Q3127" i="1"/>
  <c r="U3126" i="1"/>
  <c r="T3126" i="1"/>
  <c r="S3126" i="1"/>
  <c r="R3126" i="1"/>
  <c r="Q3126" i="1"/>
  <c r="U3125" i="1"/>
  <c r="T3125" i="1"/>
  <c r="S3125" i="1"/>
  <c r="R3125" i="1"/>
  <c r="Q3125" i="1"/>
  <c r="U3124" i="1"/>
  <c r="T3124" i="1"/>
  <c r="S3124" i="1"/>
  <c r="R3124" i="1"/>
  <c r="Q3124" i="1"/>
  <c r="U3123" i="1"/>
  <c r="T3123" i="1"/>
  <c r="S3123" i="1"/>
  <c r="R3123" i="1"/>
  <c r="Q3123" i="1"/>
  <c r="U3122" i="1"/>
  <c r="T3122" i="1"/>
  <c r="S3122" i="1"/>
  <c r="R3122" i="1"/>
  <c r="Q3122" i="1"/>
  <c r="U3121" i="1"/>
  <c r="T3121" i="1"/>
  <c r="S3121" i="1"/>
  <c r="R3121" i="1"/>
  <c r="Q3121" i="1"/>
  <c r="U3120" i="1"/>
  <c r="T3120" i="1"/>
  <c r="S3120" i="1"/>
  <c r="R3120" i="1"/>
  <c r="Q3120" i="1"/>
  <c r="U3119" i="1"/>
  <c r="T3119" i="1"/>
  <c r="S3119" i="1"/>
  <c r="R3119" i="1"/>
  <c r="Q3119" i="1"/>
  <c r="U3118" i="1"/>
  <c r="T3118" i="1"/>
  <c r="S3118" i="1"/>
  <c r="R3118" i="1"/>
  <c r="Q3118" i="1"/>
  <c r="U3117" i="1"/>
  <c r="T3117" i="1"/>
  <c r="S3117" i="1"/>
  <c r="R3117" i="1"/>
  <c r="Q3117" i="1"/>
  <c r="U3116" i="1"/>
  <c r="T3116" i="1"/>
  <c r="S3116" i="1"/>
  <c r="R3116" i="1"/>
  <c r="Q3116" i="1"/>
  <c r="U3115" i="1"/>
  <c r="T3115" i="1"/>
  <c r="S3115" i="1"/>
  <c r="R3115" i="1"/>
  <c r="Q3115" i="1"/>
  <c r="U3114" i="1"/>
  <c r="T3114" i="1"/>
  <c r="S3114" i="1"/>
  <c r="R3114" i="1"/>
  <c r="Q3114" i="1"/>
  <c r="U3113" i="1"/>
  <c r="T3113" i="1"/>
  <c r="S3113" i="1"/>
  <c r="R3113" i="1"/>
  <c r="Q3113" i="1"/>
  <c r="U3112" i="1"/>
  <c r="T3112" i="1"/>
  <c r="S3112" i="1"/>
  <c r="R3112" i="1"/>
  <c r="Q3112" i="1"/>
  <c r="U3111" i="1"/>
  <c r="T3111" i="1"/>
  <c r="S3111" i="1"/>
  <c r="R3111" i="1"/>
  <c r="Q3111" i="1"/>
  <c r="U3110" i="1"/>
  <c r="T3110" i="1"/>
  <c r="S3110" i="1"/>
  <c r="R3110" i="1"/>
  <c r="Q3110" i="1"/>
  <c r="U3109" i="1"/>
  <c r="T3109" i="1"/>
  <c r="S3109" i="1"/>
  <c r="R3109" i="1"/>
  <c r="Q3109" i="1"/>
  <c r="U3108" i="1"/>
  <c r="T3108" i="1"/>
  <c r="S3108" i="1"/>
  <c r="R3108" i="1"/>
  <c r="Q3108" i="1"/>
  <c r="U3107" i="1"/>
  <c r="T3107" i="1"/>
  <c r="S3107" i="1"/>
  <c r="R3107" i="1"/>
  <c r="Q3107" i="1"/>
  <c r="U3106" i="1"/>
  <c r="T3106" i="1"/>
  <c r="S3106" i="1"/>
  <c r="R3106" i="1"/>
  <c r="Q3106" i="1"/>
  <c r="U3105" i="1"/>
  <c r="T3105" i="1"/>
  <c r="S3105" i="1"/>
  <c r="R3105" i="1"/>
  <c r="Q3105" i="1"/>
  <c r="U3104" i="1"/>
  <c r="T3104" i="1"/>
  <c r="S3104" i="1"/>
  <c r="R3104" i="1"/>
  <c r="Q3104" i="1"/>
  <c r="U3103" i="1"/>
  <c r="T3103" i="1"/>
  <c r="S3103" i="1"/>
  <c r="R3103" i="1"/>
  <c r="Q3103" i="1"/>
  <c r="U3102" i="1"/>
  <c r="T3102" i="1"/>
  <c r="S3102" i="1"/>
  <c r="R3102" i="1"/>
  <c r="Q3102" i="1"/>
  <c r="U3101" i="1"/>
  <c r="T3101" i="1"/>
  <c r="S3101" i="1"/>
  <c r="R3101" i="1"/>
  <c r="Q3101" i="1"/>
  <c r="U3100" i="1"/>
  <c r="T3100" i="1"/>
  <c r="S3100" i="1"/>
  <c r="R3100" i="1"/>
  <c r="Q3100" i="1"/>
  <c r="U3099" i="1"/>
  <c r="T3099" i="1"/>
  <c r="S3099" i="1"/>
  <c r="R3099" i="1"/>
  <c r="Q3099" i="1"/>
  <c r="U3098" i="1"/>
  <c r="T3098" i="1"/>
  <c r="S3098" i="1"/>
  <c r="R3098" i="1"/>
  <c r="Q3098" i="1"/>
  <c r="U3097" i="1"/>
  <c r="T3097" i="1"/>
  <c r="S3097" i="1"/>
  <c r="R3097" i="1"/>
  <c r="Q3097" i="1"/>
  <c r="U3096" i="1"/>
  <c r="T3096" i="1"/>
  <c r="S3096" i="1"/>
  <c r="R3096" i="1"/>
  <c r="Q3096" i="1"/>
  <c r="U3095" i="1"/>
  <c r="T3095" i="1"/>
  <c r="S3095" i="1"/>
  <c r="R3095" i="1"/>
  <c r="Q3095" i="1"/>
  <c r="U3094" i="1"/>
  <c r="T3094" i="1"/>
  <c r="S3094" i="1"/>
  <c r="R3094" i="1"/>
  <c r="Q3094" i="1"/>
  <c r="U3093" i="1"/>
  <c r="T3093" i="1"/>
  <c r="S3093" i="1"/>
  <c r="R3093" i="1"/>
  <c r="Q3093" i="1"/>
  <c r="U3092" i="1"/>
  <c r="T3092" i="1"/>
  <c r="S3092" i="1"/>
  <c r="R3092" i="1"/>
  <c r="Q3092" i="1"/>
  <c r="U3091" i="1"/>
  <c r="T3091" i="1"/>
  <c r="S3091" i="1"/>
  <c r="R3091" i="1"/>
  <c r="Q3091" i="1"/>
  <c r="U3090" i="1"/>
  <c r="T3090" i="1"/>
  <c r="S3090" i="1"/>
  <c r="R3090" i="1"/>
  <c r="Q3090" i="1"/>
  <c r="U3089" i="1"/>
  <c r="T3089" i="1"/>
  <c r="S3089" i="1"/>
  <c r="R3089" i="1"/>
  <c r="Q3089" i="1"/>
  <c r="U3088" i="1"/>
  <c r="T3088" i="1"/>
  <c r="S3088" i="1"/>
  <c r="R3088" i="1"/>
  <c r="Q3088" i="1"/>
  <c r="U3087" i="1"/>
  <c r="T3087" i="1"/>
  <c r="S3087" i="1"/>
  <c r="R3087" i="1"/>
  <c r="Q3087" i="1"/>
  <c r="U3086" i="1"/>
  <c r="T3086" i="1"/>
  <c r="S3086" i="1"/>
  <c r="R3086" i="1"/>
  <c r="Q3086" i="1"/>
  <c r="U3085" i="1"/>
  <c r="T3085" i="1"/>
  <c r="S3085" i="1"/>
  <c r="R3085" i="1"/>
  <c r="Q3085" i="1"/>
  <c r="U3084" i="1"/>
  <c r="T3084" i="1"/>
  <c r="S3084" i="1"/>
  <c r="R3084" i="1"/>
  <c r="Q3084" i="1"/>
  <c r="U3083" i="1"/>
  <c r="T3083" i="1"/>
  <c r="S3083" i="1"/>
  <c r="R3083" i="1"/>
  <c r="Q3083" i="1"/>
  <c r="U3082" i="1"/>
  <c r="T3082" i="1"/>
  <c r="S3082" i="1"/>
  <c r="R3082" i="1"/>
  <c r="Q3082" i="1"/>
  <c r="U3081" i="1"/>
  <c r="T3081" i="1"/>
  <c r="S3081" i="1"/>
  <c r="R3081" i="1"/>
  <c r="Q3081" i="1"/>
  <c r="U3080" i="1"/>
  <c r="T3080" i="1"/>
  <c r="S3080" i="1"/>
  <c r="R3080" i="1"/>
  <c r="Q3080" i="1"/>
  <c r="U3079" i="1"/>
  <c r="T3079" i="1"/>
  <c r="S3079" i="1"/>
  <c r="R3079" i="1"/>
  <c r="Q3079" i="1"/>
  <c r="U3078" i="1"/>
  <c r="T3078" i="1"/>
  <c r="S3078" i="1"/>
  <c r="R3078" i="1"/>
  <c r="Q3078" i="1"/>
  <c r="U3077" i="1"/>
  <c r="T3077" i="1"/>
  <c r="S3077" i="1"/>
  <c r="R3077" i="1"/>
  <c r="Q3077" i="1"/>
  <c r="U3076" i="1"/>
  <c r="T3076" i="1"/>
  <c r="S3076" i="1"/>
  <c r="R3076" i="1"/>
  <c r="Q3076" i="1"/>
  <c r="U3075" i="1"/>
  <c r="T3075" i="1"/>
  <c r="S3075" i="1"/>
  <c r="R3075" i="1"/>
  <c r="Q3075" i="1"/>
  <c r="U3074" i="1"/>
  <c r="T3074" i="1"/>
  <c r="S3074" i="1"/>
  <c r="R3074" i="1"/>
  <c r="Q3074" i="1"/>
  <c r="U3073" i="1"/>
  <c r="T3073" i="1"/>
  <c r="S3073" i="1"/>
  <c r="R3073" i="1"/>
  <c r="Q3073" i="1"/>
  <c r="U3072" i="1"/>
  <c r="T3072" i="1"/>
  <c r="S3072" i="1"/>
  <c r="R3072" i="1"/>
  <c r="Q3072" i="1"/>
  <c r="U3071" i="1"/>
  <c r="T3071" i="1"/>
  <c r="S3071" i="1"/>
  <c r="R3071" i="1"/>
  <c r="Q3071" i="1"/>
  <c r="U3070" i="1"/>
  <c r="T3070" i="1"/>
  <c r="S3070" i="1"/>
  <c r="R3070" i="1"/>
  <c r="Q3070" i="1"/>
  <c r="U3069" i="1"/>
  <c r="T3069" i="1"/>
  <c r="S3069" i="1"/>
  <c r="R3069" i="1"/>
  <c r="Q3069" i="1"/>
  <c r="U3068" i="1"/>
  <c r="T3068" i="1"/>
  <c r="S3068" i="1"/>
  <c r="R3068" i="1"/>
  <c r="Q3068" i="1"/>
  <c r="U3067" i="1"/>
  <c r="T3067" i="1"/>
  <c r="S3067" i="1"/>
  <c r="R3067" i="1"/>
  <c r="Q3067" i="1"/>
  <c r="U3066" i="1"/>
  <c r="T3066" i="1"/>
  <c r="S3066" i="1"/>
  <c r="R3066" i="1"/>
  <c r="Q3066" i="1"/>
  <c r="U3065" i="1"/>
  <c r="T3065" i="1"/>
  <c r="S3065" i="1"/>
  <c r="R3065" i="1"/>
  <c r="Q3065" i="1"/>
  <c r="U3064" i="1"/>
  <c r="T3064" i="1"/>
  <c r="S3064" i="1"/>
  <c r="R3064" i="1"/>
  <c r="Q3064" i="1"/>
  <c r="U3063" i="1"/>
  <c r="T3063" i="1"/>
  <c r="S3063" i="1"/>
  <c r="R3063" i="1"/>
  <c r="Q3063" i="1"/>
  <c r="U3062" i="1"/>
  <c r="T3062" i="1"/>
  <c r="S3062" i="1"/>
  <c r="R3062" i="1"/>
  <c r="Q3062" i="1"/>
  <c r="U3061" i="1"/>
  <c r="T3061" i="1"/>
  <c r="S3061" i="1"/>
  <c r="R3061" i="1"/>
  <c r="Q3061" i="1"/>
  <c r="U3060" i="1"/>
  <c r="T3060" i="1"/>
  <c r="S3060" i="1"/>
  <c r="R3060" i="1"/>
  <c r="Q3060" i="1"/>
  <c r="U3059" i="1"/>
  <c r="T3059" i="1"/>
  <c r="S3059" i="1"/>
  <c r="R3059" i="1"/>
  <c r="Q3059" i="1"/>
  <c r="U3058" i="1"/>
  <c r="T3058" i="1"/>
  <c r="S3058" i="1"/>
  <c r="R3058" i="1"/>
  <c r="Q3058" i="1"/>
  <c r="U3057" i="1"/>
  <c r="T3057" i="1"/>
  <c r="S3057" i="1"/>
  <c r="R3057" i="1"/>
  <c r="Q3057" i="1"/>
  <c r="U3056" i="1"/>
  <c r="T3056" i="1"/>
  <c r="S3056" i="1"/>
  <c r="R3056" i="1"/>
  <c r="Q3056" i="1"/>
  <c r="U3055" i="1"/>
  <c r="T3055" i="1"/>
  <c r="S3055" i="1"/>
  <c r="R3055" i="1"/>
  <c r="Q3055" i="1"/>
  <c r="U3054" i="1"/>
  <c r="T3054" i="1"/>
  <c r="S3054" i="1"/>
  <c r="R3054" i="1"/>
  <c r="Q3054" i="1"/>
  <c r="U3053" i="1"/>
  <c r="T3053" i="1"/>
  <c r="S3053" i="1"/>
  <c r="R3053" i="1"/>
  <c r="Q3053" i="1"/>
  <c r="U3052" i="1"/>
  <c r="T3052" i="1"/>
  <c r="S3052" i="1"/>
  <c r="R3052" i="1"/>
  <c r="Q3052" i="1"/>
  <c r="U3051" i="1"/>
  <c r="T3051" i="1"/>
  <c r="S3051" i="1"/>
  <c r="R3051" i="1"/>
  <c r="Q3051" i="1"/>
  <c r="U3050" i="1"/>
  <c r="T3050" i="1"/>
  <c r="S3050" i="1"/>
  <c r="R3050" i="1"/>
  <c r="Q3050" i="1"/>
  <c r="U3049" i="1"/>
  <c r="T3049" i="1"/>
  <c r="S3049" i="1"/>
  <c r="R3049" i="1"/>
  <c r="Q3049" i="1"/>
  <c r="U3048" i="1"/>
  <c r="T3048" i="1"/>
  <c r="S3048" i="1"/>
  <c r="R3048" i="1"/>
  <c r="Q3048" i="1"/>
  <c r="U3047" i="1"/>
  <c r="T3047" i="1"/>
  <c r="S3047" i="1"/>
  <c r="R3047" i="1"/>
  <c r="Q3047" i="1"/>
  <c r="U3046" i="1"/>
  <c r="T3046" i="1"/>
  <c r="S3046" i="1"/>
  <c r="R3046" i="1"/>
  <c r="Q3046" i="1"/>
  <c r="U3045" i="1"/>
  <c r="T3045" i="1"/>
  <c r="S3045" i="1"/>
  <c r="R3045" i="1"/>
  <c r="Q3045" i="1"/>
  <c r="U3044" i="1"/>
  <c r="T3044" i="1"/>
  <c r="S3044" i="1"/>
  <c r="R3044" i="1"/>
  <c r="Q3044" i="1"/>
  <c r="U3043" i="1"/>
  <c r="T3043" i="1"/>
  <c r="S3043" i="1"/>
  <c r="R3043" i="1"/>
  <c r="Q3043" i="1"/>
  <c r="U3042" i="1"/>
  <c r="T3042" i="1"/>
  <c r="S3042" i="1"/>
  <c r="R3042" i="1"/>
  <c r="Q3042" i="1"/>
  <c r="U3041" i="1"/>
  <c r="T3041" i="1"/>
  <c r="S3041" i="1"/>
  <c r="R3041" i="1"/>
  <c r="Q3041" i="1"/>
  <c r="U3040" i="1"/>
  <c r="T3040" i="1"/>
  <c r="S3040" i="1"/>
  <c r="R3040" i="1"/>
  <c r="Q3040" i="1"/>
  <c r="U3039" i="1"/>
  <c r="T3039" i="1"/>
  <c r="S3039" i="1"/>
  <c r="R3039" i="1"/>
  <c r="Q3039" i="1"/>
  <c r="U3038" i="1"/>
  <c r="T3038" i="1"/>
  <c r="S3038" i="1"/>
  <c r="R3038" i="1"/>
  <c r="Q3038" i="1"/>
  <c r="U3037" i="1"/>
  <c r="T3037" i="1"/>
  <c r="S3037" i="1"/>
  <c r="R3037" i="1"/>
  <c r="Q3037" i="1"/>
  <c r="U3036" i="1"/>
  <c r="T3036" i="1"/>
  <c r="S3036" i="1"/>
  <c r="R3036" i="1"/>
  <c r="Q3036" i="1"/>
  <c r="U3035" i="1"/>
  <c r="T3035" i="1"/>
  <c r="S3035" i="1"/>
  <c r="R3035" i="1"/>
  <c r="Q3035" i="1"/>
  <c r="U3034" i="1"/>
  <c r="T3034" i="1"/>
  <c r="S3034" i="1"/>
  <c r="R3034" i="1"/>
  <c r="Q3034" i="1"/>
  <c r="U3033" i="1"/>
  <c r="T3033" i="1"/>
  <c r="S3033" i="1"/>
  <c r="R3033" i="1"/>
  <c r="Q3033" i="1"/>
  <c r="U3032" i="1"/>
  <c r="T3032" i="1"/>
  <c r="S3032" i="1"/>
  <c r="R3032" i="1"/>
  <c r="Q3032" i="1"/>
  <c r="U3031" i="1"/>
  <c r="T3031" i="1"/>
  <c r="S3031" i="1"/>
  <c r="R3031" i="1"/>
  <c r="Q3031" i="1"/>
  <c r="U3030" i="1"/>
  <c r="T3030" i="1"/>
  <c r="S3030" i="1"/>
  <c r="R3030" i="1"/>
  <c r="Q3030" i="1"/>
  <c r="U3029" i="1"/>
  <c r="T3029" i="1"/>
  <c r="S3029" i="1"/>
  <c r="R3029" i="1"/>
  <c r="Q3029" i="1"/>
  <c r="U3028" i="1"/>
  <c r="T3028" i="1"/>
  <c r="S3028" i="1"/>
  <c r="R3028" i="1"/>
  <c r="Q3028" i="1"/>
  <c r="U3027" i="1"/>
  <c r="T3027" i="1"/>
  <c r="S3027" i="1"/>
  <c r="R3027" i="1"/>
  <c r="Q3027" i="1"/>
  <c r="U3026" i="1"/>
  <c r="T3026" i="1"/>
  <c r="S3026" i="1"/>
  <c r="R3026" i="1"/>
  <c r="Q3026" i="1"/>
  <c r="U3025" i="1"/>
  <c r="T3025" i="1"/>
  <c r="S3025" i="1"/>
  <c r="R3025" i="1"/>
  <c r="Q3025" i="1"/>
  <c r="U3024" i="1"/>
  <c r="T3024" i="1"/>
  <c r="S3024" i="1"/>
  <c r="R3024" i="1"/>
  <c r="Q3024" i="1"/>
  <c r="U3023" i="1"/>
  <c r="T3023" i="1"/>
  <c r="S3023" i="1"/>
  <c r="R3023" i="1"/>
  <c r="Q3023" i="1"/>
  <c r="U3022" i="1"/>
  <c r="T3022" i="1"/>
  <c r="S3022" i="1"/>
  <c r="R3022" i="1"/>
  <c r="Q3022" i="1"/>
  <c r="U3021" i="1"/>
  <c r="T3021" i="1"/>
  <c r="S3021" i="1"/>
  <c r="R3021" i="1"/>
  <c r="Q3021" i="1"/>
  <c r="U3020" i="1"/>
  <c r="T3020" i="1"/>
  <c r="S3020" i="1"/>
  <c r="R3020" i="1"/>
  <c r="Q3020" i="1"/>
  <c r="U3019" i="1"/>
  <c r="T3019" i="1"/>
  <c r="S3019" i="1"/>
  <c r="R3019" i="1"/>
  <c r="Q3019" i="1"/>
  <c r="U3018" i="1"/>
  <c r="T3018" i="1"/>
  <c r="S3018" i="1"/>
  <c r="R3018" i="1"/>
  <c r="Q3018" i="1"/>
  <c r="U3017" i="1"/>
  <c r="T3017" i="1"/>
  <c r="S3017" i="1"/>
  <c r="R3017" i="1"/>
  <c r="Q3017" i="1"/>
  <c r="U3016" i="1"/>
  <c r="T3016" i="1"/>
  <c r="S3016" i="1"/>
  <c r="R3016" i="1"/>
  <c r="Q3016" i="1"/>
  <c r="U3015" i="1"/>
  <c r="T3015" i="1"/>
  <c r="S3015" i="1"/>
  <c r="R3015" i="1"/>
  <c r="Q3015" i="1"/>
  <c r="U3014" i="1"/>
  <c r="T3014" i="1"/>
  <c r="S3014" i="1"/>
  <c r="R3014" i="1"/>
  <c r="Q3014" i="1"/>
  <c r="U3013" i="1"/>
  <c r="T3013" i="1"/>
  <c r="S3013" i="1"/>
  <c r="R3013" i="1"/>
  <c r="Q3013" i="1"/>
  <c r="U3012" i="1"/>
  <c r="T3012" i="1"/>
  <c r="S3012" i="1"/>
  <c r="R3012" i="1"/>
  <c r="Q3012" i="1"/>
  <c r="U3011" i="1"/>
  <c r="T3011" i="1"/>
  <c r="S3011" i="1"/>
  <c r="R3011" i="1"/>
  <c r="Q3011" i="1"/>
  <c r="U3010" i="1"/>
  <c r="T3010" i="1"/>
  <c r="S3010" i="1"/>
  <c r="R3010" i="1"/>
  <c r="Q3010" i="1"/>
  <c r="U3009" i="1"/>
  <c r="T3009" i="1"/>
  <c r="S3009" i="1"/>
  <c r="R3009" i="1"/>
  <c r="Q3009" i="1"/>
  <c r="U3008" i="1"/>
  <c r="T3008" i="1"/>
  <c r="S3008" i="1"/>
  <c r="R3008" i="1"/>
  <c r="Q3008" i="1"/>
  <c r="U3007" i="1"/>
  <c r="T3007" i="1"/>
  <c r="S3007" i="1"/>
  <c r="R3007" i="1"/>
  <c r="Q3007" i="1"/>
  <c r="U3006" i="1"/>
  <c r="T3006" i="1"/>
  <c r="S3006" i="1"/>
  <c r="R3006" i="1"/>
  <c r="Q3006" i="1"/>
  <c r="U3005" i="1"/>
  <c r="T3005" i="1"/>
  <c r="S3005" i="1"/>
  <c r="R3005" i="1"/>
  <c r="Q3005" i="1"/>
  <c r="U3004" i="1"/>
  <c r="T3004" i="1"/>
  <c r="S3004" i="1"/>
  <c r="R3004" i="1"/>
  <c r="Q3004" i="1"/>
  <c r="U3003" i="1"/>
  <c r="T3003" i="1"/>
  <c r="S3003" i="1"/>
  <c r="R3003" i="1"/>
  <c r="Q3003" i="1"/>
  <c r="U3002" i="1"/>
  <c r="T3002" i="1"/>
  <c r="S3002" i="1"/>
  <c r="R3002" i="1"/>
  <c r="Q3002" i="1"/>
  <c r="U3001" i="1"/>
  <c r="T3001" i="1"/>
  <c r="S3001" i="1"/>
  <c r="R3001" i="1"/>
  <c r="Q3001" i="1"/>
  <c r="U3000" i="1"/>
  <c r="T3000" i="1"/>
  <c r="S3000" i="1"/>
  <c r="R3000" i="1"/>
  <c r="Q3000" i="1"/>
  <c r="U2999" i="1"/>
  <c r="T2999" i="1"/>
  <c r="S2999" i="1"/>
  <c r="R2999" i="1"/>
  <c r="Q2999" i="1"/>
  <c r="U2998" i="1"/>
  <c r="T2998" i="1"/>
  <c r="S2998" i="1"/>
  <c r="R2998" i="1"/>
  <c r="Q2998" i="1"/>
  <c r="U2997" i="1"/>
  <c r="T2997" i="1"/>
  <c r="S2997" i="1"/>
  <c r="R2997" i="1"/>
  <c r="Q2997" i="1"/>
  <c r="U2996" i="1"/>
  <c r="T2996" i="1"/>
  <c r="S2996" i="1"/>
  <c r="R2996" i="1"/>
  <c r="Q2996" i="1"/>
  <c r="U2995" i="1"/>
  <c r="T2995" i="1"/>
  <c r="S2995" i="1"/>
  <c r="R2995" i="1"/>
  <c r="Q2995" i="1"/>
  <c r="U2994" i="1"/>
  <c r="T2994" i="1"/>
  <c r="S2994" i="1"/>
  <c r="R2994" i="1"/>
  <c r="Q2994" i="1"/>
  <c r="U2993" i="1"/>
  <c r="T2993" i="1"/>
  <c r="S2993" i="1"/>
  <c r="R2993" i="1"/>
  <c r="Q2993" i="1"/>
  <c r="U2992" i="1"/>
  <c r="T2992" i="1"/>
  <c r="S2992" i="1"/>
  <c r="R2992" i="1"/>
  <c r="Q2992" i="1"/>
  <c r="U2991" i="1"/>
  <c r="T2991" i="1"/>
  <c r="S2991" i="1"/>
  <c r="R2991" i="1"/>
  <c r="Q2991" i="1"/>
  <c r="U2990" i="1"/>
  <c r="T2990" i="1"/>
  <c r="S2990" i="1"/>
  <c r="R2990" i="1"/>
  <c r="Q2990" i="1"/>
  <c r="U2989" i="1"/>
  <c r="T2989" i="1"/>
  <c r="S2989" i="1"/>
  <c r="R2989" i="1"/>
  <c r="Q2989" i="1"/>
  <c r="U2988" i="1"/>
  <c r="T2988" i="1"/>
  <c r="S2988" i="1"/>
  <c r="R2988" i="1"/>
  <c r="Q2988" i="1"/>
  <c r="U2987" i="1"/>
  <c r="T2987" i="1"/>
  <c r="S2987" i="1"/>
  <c r="R2987" i="1"/>
  <c r="Q2987" i="1"/>
  <c r="U2986" i="1"/>
  <c r="T2986" i="1"/>
  <c r="S2986" i="1"/>
  <c r="R2986" i="1"/>
  <c r="Q2986" i="1"/>
  <c r="U2985" i="1"/>
  <c r="T2985" i="1"/>
  <c r="S2985" i="1"/>
  <c r="R2985" i="1"/>
  <c r="Q2985" i="1"/>
  <c r="U2984" i="1"/>
  <c r="T2984" i="1"/>
  <c r="S2984" i="1"/>
  <c r="R2984" i="1"/>
  <c r="Q2984" i="1"/>
  <c r="U2983" i="1"/>
  <c r="T2983" i="1"/>
  <c r="S2983" i="1"/>
  <c r="R2983" i="1"/>
  <c r="Q2983" i="1"/>
  <c r="U2982" i="1"/>
  <c r="T2982" i="1"/>
  <c r="S2982" i="1"/>
  <c r="R2982" i="1"/>
  <c r="Q2982" i="1"/>
  <c r="U2981" i="1"/>
  <c r="T2981" i="1"/>
  <c r="S2981" i="1"/>
  <c r="R2981" i="1"/>
  <c r="Q2981" i="1"/>
  <c r="U2980" i="1"/>
  <c r="T2980" i="1"/>
  <c r="S2980" i="1"/>
  <c r="R2980" i="1"/>
  <c r="Q2980" i="1"/>
  <c r="U2979" i="1"/>
  <c r="T2979" i="1"/>
  <c r="S2979" i="1"/>
  <c r="R2979" i="1"/>
  <c r="Q2979" i="1"/>
  <c r="U2978" i="1"/>
  <c r="T2978" i="1"/>
  <c r="S2978" i="1"/>
  <c r="R2978" i="1"/>
  <c r="Q2978" i="1"/>
  <c r="U2977" i="1"/>
  <c r="T2977" i="1"/>
  <c r="S2977" i="1"/>
  <c r="R2977" i="1"/>
  <c r="Q2977" i="1"/>
  <c r="U2976" i="1"/>
  <c r="T2976" i="1"/>
  <c r="S2976" i="1"/>
  <c r="R2976" i="1"/>
  <c r="Q2976" i="1"/>
  <c r="U2975" i="1"/>
  <c r="T2975" i="1"/>
  <c r="S2975" i="1"/>
  <c r="R2975" i="1"/>
  <c r="Q2975" i="1"/>
  <c r="U2974" i="1"/>
  <c r="T2974" i="1"/>
  <c r="S2974" i="1"/>
  <c r="R2974" i="1"/>
  <c r="Q2974" i="1"/>
  <c r="U2973" i="1"/>
  <c r="T2973" i="1"/>
  <c r="S2973" i="1"/>
  <c r="R2973" i="1"/>
  <c r="Q2973" i="1"/>
  <c r="U2972" i="1"/>
  <c r="T2972" i="1"/>
  <c r="S2972" i="1"/>
  <c r="R2972" i="1"/>
  <c r="Q2972" i="1"/>
  <c r="U2971" i="1"/>
  <c r="T2971" i="1"/>
  <c r="S2971" i="1"/>
  <c r="R2971" i="1"/>
  <c r="Q2971" i="1"/>
  <c r="U2970" i="1"/>
  <c r="T2970" i="1"/>
  <c r="S2970" i="1"/>
  <c r="R2970" i="1"/>
  <c r="Q2970" i="1"/>
  <c r="U2969" i="1"/>
  <c r="T2969" i="1"/>
  <c r="S2969" i="1"/>
  <c r="R2969" i="1"/>
  <c r="Q2969" i="1"/>
  <c r="U2968" i="1"/>
  <c r="T2968" i="1"/>
  <c r="S2968" i="1"/>
  <c r="R2968" i="1"/>
  <c r="Q2968" i="1"/>
  <c r="U2967" i="1"/>
  <c r="T2967" i="1"/>
  <c r="S2967" i="1"/>
  <c r="R2967" i="1"/>
  <c r="Q2967" i="1"/>
  <c r="U2966" i="1"/>
  <c r="T2966" i="1"/>
  <c r="S2966" i="1"/>
  <c r="R2966" i="1"/>
  <c r="Q2966" i="1"/>
  <c r="U2965" i="1"/>
  <c r="T2965" i="1"/>
  <c r="S2965" i="1"/>
  <c r="R2965" i="1"/>
  <c r="Q2965" i="1"/>
  <c r="U2964" i="1"/>
  <c r="T2964" i="1"/>
  <c r="S2964" i="1"/>
  <c r="R2964" i="1"/>
  <c r="Q2964" i="1"/>
  <c r="U2963" i="1"/>
  <c r="T2963" i="1"/>
  <c r="S2963" i="1"/>
  <c r="R2963" i="1"/>
  <c r="Q2963" i="1"/>
  <c r="U2962" i="1"/>
  <c r="T2962" i="1"/>
  <c r="S2962" i="1"/>
  <c r="R2962" i="1"/>
  <c r="Q2962" i="1"/>
  <c r="U2961" i="1"/>
  <c r="T2961" i="1"/>
  <c r="S2961" i="1"/>
  <c r="R2961" i="1"/>
  <c r="Q2961" i="1"/>
  <c r="U2960" i="1"/>
  <c r="T2960" i="1"/>
  <c r="S2960" i="1"/>
  <c r="R2960" i="1"/>
  <c r="Q2960" i="1"/>
  <c r="U2959" i="1"/>
  <c r="T2959" i="1"/>
  <c r="S2959" i="1"/>
  <c r="R2959" i="1"/>
  <c r="Q2959" i="1"/>
  <c r="U2958" i="1"/>
  <c r="T2958" i="1"/>
  <c r="S2958" i="1"/>
  <c r="R2958" i="1"/>
  <c r="Q2958" i="1"/>
  <c r="U2957" i="1"/>
  <c r="T2957" i="1"/>
  <c r="S2957" i="1"/>
  <c r="R2957" i="1"/>
  <c r="Q2957" i="1"/>
  <c r="U2956" i="1"/>
  <c r="T2956" i="1"/>
  <c r="S2956" i="1"/>
  <c r="R2956" i="1"/>
  <c r="Q2956" i="1"/>
  <c r="U2955" i="1"/>
  <c r="T2955" i="1"/>
  <c r="S2955" i="1"/>
  <c r="R2955" i="1"/>
  <c r="Q2955" i="1"/>
  <c r="U2954" i="1"/>
  <c r="T2954" i="1"/>
  <c r="S2954" i="1"/>
  <c r="R2954" i="1"/>
  <c r="Q2954" i="1"/>
  <c r="U2953" i="1"/>
  <c r="T2953" i="1"/>
  <c r="S2953" i="1"/>
  <c r="R2953" i="1"/>
  <c r="Q2953" i="1"/>
  <c r="U2952" i="1"/>
  <c r="T2952" i="1"/>
  <c r="S2952" i="1"/>
  <c r="R2952" i="1"/>
  <c r="Q2952" i="1"/>
  <c r="U2951" i="1"/>
  <c r="T2951" i="1"/>
  <c r="S2951" i="1"/>
  <c r="R2951" i="1"/>
  <c r="Q2951" i="1"/>
  <c r="U2950" i="1"/>
  <c r="T2950" i="1"/>
  <c r="S2950" i="1"/>
  <c r="R2950" i="1"/>
  <c r="Q2950" i="1"/>
  <c r="U2949" i="1"/>
  <c r="T2949" i="1"/>
  <c r="S2949" i="1"/>
  <c r="R2949" i="1"/>
  <c r="Q2949" i="1"/>
  <c r="U2948" i="1"/>
  <c r="T2948" i="1"/>
  <c r="S2948" i="1"/>
  <c r="R2948" i="1"/>
  <c r="Q2948" i="1"/>
  <c r="U2947" i="1"/>
  <c r="T2947" i="1"/>
  <c r="S2947" i="1"/>
  <c r="R2947" i="1"/>
  <c r="Q2947" i="1"/>
  <c r="U2946" i="1"/>
  <c r="T2946" i="1"/>
  <c r="S2946" i="1"/>
  <c r="R2946" i="1"/>
  <c r="Q2946" i="1"/>
  <c r="U2945" i="1"/>
  <c r="T2945" i="1"/>
  <c r="S2945" i="1"/>
  <c r="R2945" i="1"/>
  <c r="Q2945" i="1"/>
  <c r="U2944" i="1"/>
  <c r="T2944" i="1"/>
  <c r="S2944" i="1"/>
  <c r="R2944" i="1"/>
  <c r="Q2944" i="1"/>
  <c r="U2943" i="1"/>
  <c r="T2943" i="1"/>
  <c r="S2943" i="1"/>
  <c r="R2943" i="1"/>
  <c r="Q2943" i="1"/>
  <c r="U2942" i="1"/>
  <c r="T2942" i="1"/>
  <c r="S2942" i="1"/>
  <c r="R2942" i="1"/>
  <c r="Q2942" i="1"/>
  <c r="U2941" i="1"/>
  <c r="T2941" i="1"/>
  <c r="S2941" i="1"/>
  <c r="R2941" i="1"/>
  <c r="Q2941" i="1"/>
  <c r="U2940" i="1"/>
  <c r="T2940" i="1"/>
  <c r="S2940" i="1"/>
  <c r="R2940" i="1"/>
  <c r="Q2940" i="1"/>
  <c r="U2939" i="1"/>
  <c r="T2939" i="1"/>
  <c r="S2939" i="1"/>
  <c r="R2939" i="1"/>
  <c r="Q2939" i="1"/>
  <c r="U2938" i="1"/>
  <c r="T2938" i="1"/>
  <c r="S2938" i="1"/>
  <c r="R2938" i="1"/>
  <c r="Q2938" i="1"/>
  <c r="U2937" i="1"/>
  <c r="T2937" i="1"/>
  <c r="S2937" i="1"/>
  <c r="R2937" i="1"/>
  <c r="Q2937" i="1"/>
  <c r="U2936" i="1"/>
  <c r="T2936" i="1"/>
  <c r="S2936" i="1"/>
  <c r="R2936" i="1"/>
  <c r="Q2936" i="1"/>
  <c r="U2935" i="1"/>
  <c r="T2935" i="1"/>
  <c r="S2935" i="1"/>
  <c r="R2935" i="1"/>
  <c r="Q2935" i="1"/>
  <c r="U2934" i="1"/>
  <c r="T2934" i="1"/>
  <c r="S2934" i="1"/>
  <c r="R2934" i="1"/>
  <c r="Q2934" i="1"/>
  <c r="U2933" i="1"/>
  <c r="T2933" i="1"/>
  <c r="S2933" i="1"/>
  <c r="R2933" i="1"/>
  <c r="Q2933" i="1"/>
  <c r="U2932" i="1"/>
  <c r="T2932" i="1"/>
  <c r="S2932" i="1"/>
  <c r="R2932" i="1"/>
  <c r="Q2932" i="1"/>
  <c r="U2931" i="1"/>
  <c r="T2931" i="1"/>
  <c r="S2931" i="1"/>
  <c r="R2931" i="1"/>
  <c r="Q2931" i="1"/>
  <c r="U2930" i="1"/>
  <c r="T2930" i="1"/>
  <c r="S2930" i="1"/>
  <c r="R2930" i="1"/>
  <c r="Q2930" i="1"/>
  <c r="U2929" i="1"/>
  <c r="T2929" i="1"/>
  <c r="S2929" i="1"/>
  <c r="R2929" i="1"/>
  <c r="Q2929" i="1"/>
  <c r="U2928" i="1"/>
  <c r="T2928" i="1"/>
  <c r="S2928" i="1"/>
  <c r="R2928" i="1"/>
  <c r="Q2928" i="1"/>
  <c r="U2927" i="1"/>
  <c r="T2927" i="1"/>
  <c r="S2927" i="1"/>
  <c r="R2927" i="1"/>
  <c r="Q2927" i="1"/>
  <c r="U2926" i="1"/>
  <c r="T2926" i="1"/>
  <c r="S2926" i="1"/>
  <c r="R2926" i="1"/>
  <c r="Q2926" i="1"/>
  <c r="U2925" i="1"/>
  <c r="T2925" i="1"/>
  <c r="S2925" i="1"/>
  <c r="R2925" i="1"/>
  <c r="Q2925" i="1"/>
  <c r="U2924" i="1"/>
  <c r="T2924" i="1"/>
  <c r="S2924" i="1"/>
  <c r="R2924" i="1"/>
  <c r="Q2924" i="1"/>
  <c r="U2923" i="1"/>
  <c r="T2923" i="1"/>
  <c r="S2923" i="1"/>
  <c r="R2923" i="1"/>
  <c r="Q2923" i="1"/>
  <c r="U2922" i="1"/>
  <c r="T2922" i="1"/>
  <c r="S2922" i="1"/>
  <c r="R2922" i="1"/>
  <c r="Q2922" i="1"/>
  <c r="U2921" i="1"/>
  <c r="T2921" i="1"/>
  <c r="S2921" i="1"/>
  <c r="R2921" i="1"/>
  <c r="Q2921" i="1"/>
  <c r="U2920" i="1"/>
  <c r="T2920" i="1"/>
  <c r="S2920" i="1"/>
  <c r="R2920" i="1"/>
  <c r="Q2920" i="1"/>
  <c r="U2919" i="1"/>
  <c r="T2919" i="1"/>
  <c r="S2919" i="1"/>
  <c r="R2919" i="1"/>
  <c r="Q2919" i="1"/>
  <c r="U2918" i="1"/>
  <c r="T2918" i="1"/>
  <c r="S2918" i="1"/>
  <c r="R2918" i="1"/>
  <c r="Q2918" i="1"/>
  <c r="U2917" i="1"/>
  <c r="T2917" i="1"/>
  <c r="S2917" i="1"/>
  <c r="R2917" i="1"/>
  <c r="Q2917" i="1"/>
  <c r="U2916" i="1"/>
  <c r="T2916" i="1"/>
  <c r="S2916" i="1"/>
  <c r="R2916" i="1"/>
  <c r="Q2916" i="1"/>
  <c r="U2915" i="1"/>
  <c r="T2915" i="1"/>
  <c r="S2915" i="1"/>
  <c r="R2915" i="1"/>
  <c r="Q2915" i="1"/>
  <c r="U2914" i="1"/>
  <c r="T2914" i="1"/>
  <c r="S2914" i="1"/>
  <c r="R2914" i="1"/>
  <c r="Q2914" i="1"/>
  <c r="U2913" i="1"/>
  <c r="T2913" i="1"/>
  <c r="S2913" i="1"/>
  <c r="R2913" i="1"/>
  <c r="Q2913" i="1"/>
  <c r="U2912" i="1"/>
  <c r="T2912" i="1"/>
  <c r="S2912" i="1"/>
  <c r="R2912" i="1"/>
  <c r="Q2912" i="1"/>
  <c r="U2911" i="1"/>
  <c r="T2911" i="1"/>
  <c r="S2911" i="1"/>
  <c r="R2911" i="1"/>
  <c r="Q2911" i="1"/>
  <c r="U2910" i="1"/>
  <c r="T2910" i="1"/>
  <c r="S2910" i="1"/>
  <c r="R2910" i="1"/>
  <c r="Q2910" i="1"/>
  <c r="U2909" i="1"/>
  <c r="T2909" i="1"/>
  <c r="S2909" i="1"/>
  <c r="R2909" i="1"/>
  <c r="Q2909" i="1"/>
  <c r="U2908" i="1"/>
  <c r="T2908" i="1"/>
  <c r="S2908" i="1"/>
  <c r="R2908" i="1"/>
  <c r="Q2908" i="1"/>
  <c r="U2907" i="1"/>
  <c r="T2907" i="1"/>
  <c r="S2907" i="1"/>
  <c r="R2907" i="1"/>
  <c r="Q2907" i="1"/>
  <c r="U2906" i="1"/>
  <c r="T2906" i="1"/>
  <c r="S2906" i="1"/>
  <c r="R2906" i="1"/>
  <c r="Q2906" i="1"/>
  <c r="U2905" i="1"/>
  <c r="T2905" i="1"/>
  <c r="S2905" i="1"/>
  <c r="R2905" i="1"/>
  <c r="Q2905" i="1"/>
  <c r="U2904" i="1"/>
  <c r="T2904" i="1"/>
  <c r="S2904" i="1"/>
  <c r="R2904" i="1"/>
  <c r="Q2904" i="1"/>
  <c r="U2903" i="1"/>
  <c r="T2903" i="1"/>
  <c r="S2903" i="1"/>
  <c r="R2903" i="1"/>
  <c r="Q2903" i="1"/>
  <c r="U2902" i="1"/>
  <c r="T2902" i="1"/>
  <c r="S2902" i="1"/>
  <c r="R2902" i="1"/>
  <c r="Q2902" i="1"/>
  <c r="U2901" i="1"/>
  <c r="T2901" i="1"/>
  <c r="S2901" i="1"/>
  <c r="R2901" i="1"/>
  <c r="Q2901" i="1"/>
  <c r="U2900" i="1"/>
  <c r="T2900" i="1"/>
  <c r="S2900" i="1"/>
  <c r="R2900" i="1"/>
  <c r="Q2900" i="1"/>
  <c r="U2899" i="1"/>
  <c r="T2899" i="1"/>
  <c r="S2899" i="1"/>
  <c r="R2899" i="1"/>
  <c r="Q2899" i="1"/>
  <c r="U2898" i="1"/>
  <c r="T2898" i="1"/>
  <c r="S2898" i="1"/>
  <c r="R2898" i="1"/>
  <c r="Q2898" i="1"/>
  <c r="U2897" i="1"/>
  <c r="T2897" i="1"/>
  <c r="S2897" i="1"/>
  <c r="R2897" i="1"/>
  <c r="Q2897" i="1"/>
  <c r="U2896" i="1"/>
  <c r="T2896" i="1"/>
  <c r="S2896" i="1"/>
  <c r="R2896" i="1"/>
  <c r="Q2896" i="1"/>
  <c r="U2895" i="1"/>
  <c r="T2895" i="1"/>
  <c r="S2895" i="1"/>
  <c r="R2895" i="1"/>
  <c r="Q2895" i="1"/>
  <c r="U2894" i="1"/>
  <c r="T2894" i="1"/>
  <c r="S2894" i="1"/>
  <c r="R2894" i="1"/>
  <c r="Q2894" i="1"/>
  <c r="U2893" i="1"/>
  <c r="T2893" i="1"/>
  <c r="S2893" i="1"/>
  <c r="R2893" i="1"/>
  <c r="Q2893" i="1"/>
  <c r="U2892" i="1"/>
  <c r="T2892" i="1"/>
  <c r="S2892" i="1"/>
  <c r="R2892" i="1"/>
  <c r="Q2892" i="1"/>
  <c r="U2891" i="1"/>
  <c r="T2891" i="1"/>
  <c r="S2891" i="1"/>
  <c r="R2891" i="1"/>
  <c r="Q2891" i="1"/>
  <c r="U2890" i="1"/>
  <c r="T2890" i="1"/>
  <c r="S2890" i="1"/>
  <c r="R2890" i="1"/>
  <c r="Q2890" i="1"/>
  <c r="U2889" i="1"/>
  <c r="T2889" i="1"/>
  <c r="S2889" i="1"/>
  <c r="R2889" i="1"/>
  <c r="Q2889" i="1"/>
  <c r="U2888" i="1"/>
  <c r="T2888" i="1"/>
  <c r="S2888" i="1"/>
  <c r="R2888" i="1"/>
  <c r="Q2888" i="1"/>
  <c r="U2887" i="1"/>
  <c r="T2887" i="1"/>
  <c r="S2887" i="1"/>
  <c r="R2887" i="1"/>
  <c r="Q2887" i="1"/>
  <c r="U2886" i="1"/>
  <c r="T2886" i="1"/>
  <c r="S2886" i="1"/>
  <c r="R2886" i="1"/>
  <c r="Q2886" i="1"/>
  <c r="U2885" i="1"/>
  <c r="T2885" i="1"/>
  <c r="S2885" i="1"/>
  <c r="R2885" i="1"/>
  <c r="Q2885" i="1"/>
  <c r="U2884" i="1"/>
  <c r="T2884" i="1"/>
  <c r="S2884" i="1"/>
  <c r="R2884" i="1"/>
  <c r="Q2884" i="1"/>
  <c r="U2883" i="1"/>
  <c r="T2883" i="1"/>
  <c r="S2883" i="1"/>
  <c r="R2883" i="1"/>
  <c r="Q2883" i="1"/>
  <c r="U2882" i="1"/>
  <c r="T2882" i="1"/>
  <c r="S2882" i="1"/>
  <c r="R2882" i="1"/>
  <c r="Q2882" i="1"/>
  <c r="U2881" i="1"/>
  <c r="T2881" i="1"/>
  <c r="S2881" i="1"/>
  <c r="R2881" i="1"/>
  <c r="Q2881" i="1"/>
  <c r="U2880" i="1"/>
  <c r="T2880" i="1"/>
  <c r="S2880" i="1"/>
  <c r="R2880" i="1"/>
  <c r="Q2880" i="1"/>
  <c r="U2879" i="1"/>
  <c r="T2879" i="1"/>
  <c r="S2879" i="1"/>
  <c r="R2879" i="1"/>
  <c r="Q2879" i="1"/>
  <c r="U2878" i="1"/>
  <c r="T2878" i="1"/>
  <c r="S2878" i="1"/>
  <c r="R2878" i="1"/>
  <c r="Q2878" i="1"/>
  <c r="U2877" i="1"/>
  <c r="T2877" i="1"/>
  <c r="S2877" i="1"/>
  <c r="R2877" i="1"/>
  <c r="Q2877" i="1"/>
  <c r="U2876" i="1"/>
  <c r="T2876" i="1"/>
  <c r="S2876" i="1"/>
  <c r="R2876" i="1"/>
  <c r="Q2876" i="1"/>
  <c r="U2875" i="1"/>
  <c r="T2875" i="1"/>
  <c r="S2875" i="1"/>
  <c r="R2875" i="1"/>
  <c r="Q2875" i="1"/>
  <c r="U2874" i="1"/>
  <c r="T2874" i="1"/>
  <c r="S2874" i="1"/>
  <c r="R2874" i="1"/>
  <c r="Q2874" i="1"/>
  <c r="U2873" i="1"/>
  <c r="T2873" i="1"/>
  <c r="S2873" i="1"/>
  <c r="R2873" i="1"/>
  <c r="Q2873" i="1"/>
  <c r="U2872" i="1"/>
  <c r="T2872" i="1"/>
  <c r="S2872" i="1"/>
  <c r="R2872" i="1"/>
  <c r="Q2872" i="1"/>
  <c r="U2871" i="1"/>
  <c r="T2871" i="1"/>
  <c r="S2871" i="1"/>
  <c r="R2871" i="1"/>
  <c r="Q2871" i="1"/>
  <c r="U2870" i="1"/>
  <c r="T2870" i="1"/>
  <c r="S2870" i="1"/>
  <c r="R2870" i="1"/>
  <c r="Q2870" i="1"/>
  <c r="U2869" i="1"/>
  <c r="T2869" i="1"/>
  <c r="S2869" i="1"/>
  <c r="R2869" i="1"/>
  <c r="Q2869" i="1"/>
  <c r="U2868" i="1"/>
  <c r="T2868" i="1"/>
  <c r="S2868" i="1"/>
  <c r="R2868" i="1"/>
  <c r="Q2868" i="1"/>
  <c r="U2867" i="1"/>
  <c r="T2867" i="1"/>
  <c r="S2867" i="1"/>
  <c r="R2867" i="1"/>
  <c r="Q2867" i="1"/>
  <c r="U2866" i="1"/>
  <c r="T2866" i="1"/>
  <c r="S2866" i="1"/>
  <c r="R2866" i="1"/>
  <c r="Q2866" i="1"/>
  <c r="U2865" i="1"/>
  <c r="T2865" i="1"/>
  <c r="S2865" i="1"/>
  <c r="R2865" i="1"/>
  <c r="Q2865" i="1"/>
  <c r="U2864" i="1"/>
  <c r="T2864" i="1"/>
  <c r="S2864" i="1"/>
  <c r="R2864" i="1"/>
  <c r="Q2864" i="1"/>
  <c r="U2863" i="1"/>
  <c r="T2863" i="1"/>
  <c r="S2863" i="1"/>
  <c r="R2863" i="1"/>
  <c r="Q2863" i="1"/>
  <c r="U2862" i="1"/>
  <c r="T2862" i="1"/>
  <c r="S2862" i="1"/>
  <c r="R2862" i="1"/>
  <c r="Q2862" i="1"/>
  <c r="U2861" i="1"/>
  <c r="T2861" i="1"/>
  <c r="S2861" i="1"/>
  <c r="R2861" i="1"/>
  <c r="Q2861" i="1"/>
  <c r="U2860" i="1"/>
  <c r="T2860" i="1"/>
  <c r="S2860" i="1"/>
  <c r="R2860" i="1"/>
  <c r="Q2860" i="1"/>
  <c r="U2859" i="1"/>
  <c r="T2859" i="1"/>
  <c r="S2859" i="1"/>
  <c r="R2859" i="1"/>
  <c r="Q2859" i="1"/>
  <c r="U2858" i="1"/>
  <c r="T2858" i="1"/>
  <c r="S2858" i="1"/>
  <c r="R2858" i="1"/>
  <c r="Q2858" i="1"/>
  <c r="U2857" i="1"/>
  <c r="T2857" i="1"/>
  <c r="S2857" i="1"/>
  <c r="R2857" i="1"/>
  <c r="Q2857" i="1"/>
  <c r="U2856" i="1"/>
  <c r="T2856" i="1"/>
  <c r="S2856" i="1"/>
  <c r="R2856" i="1"/>
  <c r="Q2856" i="1"/>
  <c r="U2855" i="1"/>
  <c r="T2855" i="1"/>
  <c r="S2855" i="1"/>
  <c r="R2855" i="1"/>
  <c r="Q2855" i="1"/>
  <c r="U2854" i="1"/>
  <c r="T2854" i="1"/>
  <c r="S2854" i="1"/>
  <c r="R2854" i="1"/>
  <c r="Q2854" i="1"/>
  <c r="U2853" i="1"/>
  <c r="T2853" i="1"/>
  <c r="S2853" i="1"/>
  <c r="R2853" i="1"/>
  <c r="Q2853" i="1"/>
  <c r="U2852" i="1"/>
  <c r="T2852" i="1"/>
  <c r="S2852" i="1"/>
  <c r="R2852" i="1"/>
  <c r="Q2852" i="1"/>
  <c r="U2851" i="1"/>
  <c r="T2851" i="1"/>
  <c r="S2851" i="1"/>
  <c r="R2851" i="1"/>
  <c r="Q2851" i="1"/>
  <c r="U2850" i="1"/>
  <c r="T2850" i="1"/>
  <c r="S2850" i="1"/>
  <c r="R2850" i="1"/>
  <c r="Q2850" i="1"/>
  <c r="U2849" i="1"/>
  <c r="T2849" i="1"/>
  <c r="S2849" i="1"/>
  <c r="R2849" i="1"/>
  <c r="Q2849" i="1"/>
  <c r="U2848" i="1"/>
  <c r="T2848" i="1"/>
  <c r="S2848" i="1"/>
  <c r="R2848" i="1"/>
  <c r="Q2848" i="1"/>
  <c r="U2847" i="1"/>
  <c r="T2847" i="1"/>
  <c r="S2847" i="1"/>
  <c r="R2847" i="1"/>
  <c r="Q2847" i="1"/>
  <c r="U2846" i="1"/>
  <c r="T2846" i="1"/>
  <c r="S2846" i="1"/>
  <c r="R2846" i="1"/>
  <c r="Q2846" i="1"/>
  <c r="U2845" i="1"/>
  <c r="T2845" i="1"/>
  <c r="S2845" i="1"/>
  <c r="R2845" i="1"/>
  <c r="Q2845" i="1"/>
  <c r="U2844" i="1"/>
  <c r="T2844" i="1"/>
  <c r="S2844" i="1"/>
  <c r="R2844" i="1"/>
  <c r="Q2844" i="1"/>
  <c r="U2843" i="1"/>
  <c r="T2843" i="1"/>
  <c r="S2843" i="1"/>
  <c r="R2843" i="1"/>
  <c r="Q2843" i="1"/>
  <c r="U2842" i="1"/>
  <c r="T2842" i="1"/>
  <c r="S2842" i="1"/>
  <c r="R2842" i="1"/>
  <c r="Q2842" i="1"/>
  <c r="U2841" i="1"/>
  <c r="T2841" i="1"/>
  <c r="S2841" i="1"/>
  <c r="R2841" i="1"/>
  <c r="Q2841" i="1"/>
  <c r="U2840" i="1"/>
  <c r="T2840" i="1"/>
  <c r="S2840" i="1"/>
  <c r="R2840" i="1"/>
  <c r="Q2840" i="1"/>
  <c r="U2839" i="1"/>
  <c r="T2839" i="1"/>
  <c r="S2839" i="1"/>
  <c r="R2839" i="1"/>
  <c r="Q2839" i="1"/>
  <c r="U2838" i="1"/>
  <c r="T2838" i="1"/>
  <c r="S2838" i="1"/>
  <c r="R2838" i="1"/>
  <c r="Q2838" i="1"/>
  <c r="U2837" i="1"/>
  <c r="T2837" i="1"/>
  <c r="S2837" i="1"/>
  <c r="R2837" i="1"/>
  <c r="Q2837" i="1"/>
  <c r="U2836" i="1"/>
  <c r="T2836" i="1"/>
  <c r="S2836" i="1"/>
  <c r="R2836" i="1"/>
  <c r="Q2836" i="1"/>
  <c r="U2835" i="1"/>
  <c r="T2835" i="1"/>
  <c r="S2835" i="1"/>
  <c r="R2835" i="1"/>
  <c r="Q2835" i="1"/>
  <c r="U2834" i="1"/>
  <c r="T2834" i="1"/>
  <c r="S2834" i="1"/>
  <c r="R2834" i="1"/>
  <c r="Q2834" i="1"/>
  <c r="U2833" i="1"/>
  <c r="T2833" i="1"/>
  <c r="S2833" i="1"/>
  <c r="R2833" i="1"/>
  <c r="Q2833" i="1"/>
  <c r="U2832" i="1"/>
  <c r="T2832" i="1"/>
  <c r="S2832" i="1"/>
  <c r="R2832" i="1"/>
  <c r="Q2832" i="1"/>
  <c r="U2831" i="1"/>
  <c r="T2831" i="1"/>
  <c r="S2831" i="1"/>
  <c r="R2831" i="1"/>
  <c r="Q2831" i="1"/>
  <c r="U2830" i="1"/>
  <c r="T2830" i="1"/>
  <c r="S2830" i="1"/>
  <c r="R2830" i="1"/>
  <c r="Q2830" i="1"/>
  <c r="U2829" i="1"/>
  <c r="T2829" i="1"/>
  <c r="S2829" i="1"/>
  <c r="R2829" i="1"/>
  <c r="Q2829" i="1"/>
  <c r="U2828" i="1"/>
  <c r="T2828" i="1"/>
  <c r="S2828" i="1"/>
  <c r="R2828" i="1"/>
  <c r="Q2828" i="1"/>
  <c r="U2827" i="1"/>
  <c r="T2827" i="1"/>
  <c r="S2827" i="1"/>
  <c r="R2827" i="1"/>
  <c r="Q2827" i="1"/>
  <c r="U2826" i="1"/>
  <c r="T2826" i="1"/>
  <c r="S2826" i="1"/>
  <c r="R2826" i="1"/>
  <c r="Q2826" i="1"/>
  <c r="U2825" i="1"/>
  <c r="T2825" i="1"/>
  <c r="S2825" i="1"/>
  <c r="R2825" i="1"/>
  <c r="Q2825" i="1"/>
  <c r="U2824" i="1"/>
  <c r="T2824" i="1"/>
  <c r="S2824" i="1"/>
  <c r="R2824" i="1"/>
  <c r="Q2824" i="1"/>
  <c r="U2823" i="1"/>
  <c r="T2823" i="1"/>
  <c r="S2823" i="1"/>
  <c r="R2823" i="1"/>
  <c r="Q2823" i="1"/>
  <c r="U2822" i="1"/>
  <c r="T2822" i="1"/>
  <c r="S2822" i="1"/>
  <c r="R2822" i="1"/>
  <c r="Q2822" i="1"/>
  <c r="U2821" i="1"/>
  <c r="T2821" i="1"/>
  <c r="S2821" i="1"/>
  <c r="R2821" i="1"/>
  <c r="Q2821" i="1"/>
  <c r="U2820" i="1"/>
  <c r="T2820" i="1"/>
  <c r="S2820" i="1"/>
  <c r="R2820" i="1"/>
  <c r="Q2820" i="1"/>
  <c r="U2819" i="1"/>
  <c r="T2819" i="1"/>
  <c r="S2819" i="1"/>
  <c r="R2819" i="1"/>
  <c r="Q2819" i="1"/>
  <c r="U2818" i="1"/>
  <c r="T2818" i="1"/>
  <c r="S2818" i="1"/>
  <c r="R2818" i="1"/>
  <c r="Q2818" i="1"/>
  <c r="U2817" i="1"/>
  <c r="T2817" i="1"/>
  <c r="S2817" i="1"/>
  <c r="R2817" i="1"/>
  <c r="Q2817" i="1"/>
  <c r="U2816" i="1"/>
  <c r="T2816" i="1"/>
  <c r="S2816" i="1"/>
  <c r="R2816" i="1"/>
  <c r="Q2816" i="1"/>
  <c r="U2815" i="1"/>
  <c r="T2815" i="1"/>
  <c r="S2815" i="1"/>
  <c r="R2815" i="1"/>
  <c r="Q2815" i="1"/>
  <c r="U2814" i="1"/>
  <c r="T2814" i="1"/>
  <c r="S2814" i="1"/>
  <c r="R2814" i="1"/>
  <c r="Q2814" i="1"/>
  <c r="U2813" i="1"/>
  <c r="T2813" i="1"/>
  <c r="S2813" i="1"/>
  <c r="R2813" i="1"/>
  <c r="Q2813" i="1"/>
  <c r="U2812" i="1"/>
  <c r="T2812" i="1"/>
  <c r="S2812" i="1"/>
  <c r="R2812" i="1"/>
  <c r="Q2812" i="1"/>
  <c r="U2811" i="1"/>
  <c r="T2811" i="1"/>
  <c r="S2811" i="1"/>
  <c r="R2811" i="1"/>
  <c r="Q2811" i="1"/>
  <c r="U2810" i="1"/>
  <c r="T2810" i="1"/>
  <c r="S2810" i="1"/>
  <c r="R2810" i="1"/>
  <c r="Q2810" i="1"/>
  <c r="U2809" i="1"/>
  <c r="T2809" i="1"/>
  <c r="S2809" i="1"/>
  <c r="R2809" i="1"/>
  <c r="Q2809" i="1"/>
  <c r="U2808" i="1"/>
  <c r="T2808" i="1"/>
  <c r="S2808" i="1"/>
  <c r="R2808" i="1"/>
  <c r="Q2808" i="1"/>
  <c r="U2807" i="1"/>
  <c r="T2807" i="1"/>
  <c r="S2807" i="1"/>
  <c r="R2807" i="1"/>
  <c r="Q2807" i="1"/>
  <c r="U2806" i="1"/>
  <c r="T2806" i="1"/>
  <c r="S2806" i="1"/>
  <c r="R2806" i="1"/>
  <c r="Q2806" i="1"/>
  <c r="U2805" i="1"/>
  <c r="T2805" i="1"/>
  <c r="S2805" i="1"/>
  <c r="R2805" i="1"/>
  <c r="Q2805" i="1"/>
  <c r="U2804" i="1"/>
  <c r="T2804" i="1"/>
  <c r="S2804" i="1"/>
  <c r="R2804" i="1"/>
  <c r="Q2804" i="1"/>
  <c r="U2803" i="1"/>
  <c r="T2803" i="1"/>
  <c r="S2803" i="1"/>
  <c r="R2803" i="1"/>
  <c r="Q2803" i="1"/>
  <c r="U2802" i="1"/>
  <c r="T2802" i="1"/>
  <c r="S2802" i="1"/>
  <c r="R2802" i="1"/>
  <c r="Q2802" i="1"/>
  <c r="U2801" i="1"/>
  <c r="T2801" i="1"/>
  <c r="S2801" i="1"/>
  <c r="R2801" i="1"/>
  <c r="Q2801" i="1"/>
  <c r="U2800" i="1"/>
  <c r="T2800" i="1"/>
  <c r="S2800" i="1"/>
  <c r="R2800" i="1"/>
  <c r="Q2800" i="1"/>
  <c r="U2799" i="1"/>
  <c r="T2799" i="1"/>
  <c r="S2799" i="1"/>
  <c r="R2799" i="1"/>
  <c r="Q2799" i="1"/>
  <c r="U2798" i="1"/>
  <c r="T2798" i="1"/>
  <c r="S2798" i="1"/>
  <c r="R2798" i="1"/>
  <c r="Q2798" i="1"/>
  <c r="U2797" i="1"/>
  <c r="T2797" i="1"/>
  <c r="S2797" i="1"/>
  <c r="R2797" i="1"/>
  <c r="Q2797" i="1"/>
  <c r="U2796" i="1"/>
  <c r="T2796" i="1"/>
  <c r="S2796" i="1"/>
  <c r="R2796" i="1"/>
  <c r="Q2796" i="1"/>
  <c r="U2795" i="1"/>
  <c r="T2795" i="1"/>
  <c r="S2795" i="1"/>
  <c r="R2795" i="1"/>
  <c r="Q2795" i="1"/>
  <c r="U2794" i="1"/>
  <c r="T2794" i="1"/>
  <c r="S2794" i="1"/>
  <c r="R2794" i="1"/>
  <c r="Q2794" i="1"/>
  <c r="U2793" i="1"/>
  <c r="T2793" i="1"/>
  <c r="S2793" i="1"/>
  <c r="R2793" i="1"/>
  <c r="Q2793" i="1"/>
  <c r="U2792" i="1"/>
  <c r="T2792" i="1"/>
  <c r="S2792" i="1"/>
  <c r="R2792" i="1"/>
  <c r="Q2792" i="1"/>
  <c r="U2791" i="1"/>
  <c r="T2791" i="1"/>
  <c r="S2791" i="1"/>
  <c r="R2791" i="1"/>
  <c r="Q2791" i="1"/>
  <c r="U2790" i="1"/>
  <c r="T2790" i="1"/>
  <c r="S2790" i="1"/>
  <c r="R2790" i="1"/>
  <c r="Q2790" i="1"/>
  <c r="U2789" i="1"/>
  <c r="T2789" i="1"/>
  <c r="S2789" i="1"/>
  <c r="R2789" i="1"/>
  <c r="Q2789" i="1"/>
  <c r="U2788" i="1"/>
  <c r="T2788" i="1"/>
  <c r="S2788" i="1"/>
  <c r="R2788" i="1"/>
  <c r="Q2788" i="1"/>
  <c r="U2787" i="1"/>
  <c r="T2787" i="1"/>
  <c r="S2787" i="1"/>
  <c r="R2787" i="1"/>
  <c r="Q2787" i="1"/>
  <c r="U2786" i="1"/>
  <c r="T2786" i="1"/>
  <c r="S2786" i="1"/>
  <c r="R2786" i="1"/>
  <c r="Q2786" i="1"/>
  <c r="U2785" i="1"/>
  <c r="T2785" i="1"/>
  <c r="S2785" i="1"/>
  <c r="R2785" i="1"/>
  <c r="Q2785" i="1"/>
  <c r="U2784" i="1"/>
  <c r="T2784" i="1"/>
  <c r="S2784" i="1"/>
  <c r="R2784" i="1"/>
  <c r="Q2784" i="1"/>
  <c r="U2783" i="1"/>
  <c r="T2783" i="1"/>
  <c r="S2783" i="1"/>
  <c r="R2783" i="1"/>
  <c r="Q2783" i="1"/>
  <c r="U2782" i="1"/>
  <c r="T2782" i="1"/>
  <c r="S2782" i="1"/>
  <c r="R2782" i="1"/>
  <c r="Q2782" i="1"/>
  <c r="U2781" i="1"/>
  <c r="T2781" i="1"/>
  <c r="S2781" i="1"/>
  <c r="R2781" i="1"/>
  <c r="Q2781" i="1"/>
  <c r="U2780" i="1"/>
  <c r="T2780" i="1"/>
  <c r="S2780" i="1"/>
  <c r="R2780" i="1"/>
  <c r="Q2780" i="1"/>
  <c r="U2779" i="1"/>
  <c r="T2779" i="1"/>
  <c r="S2779" i="1"/>
  <c r="R2779" i="1"/>
  <c r="Q2779" i="1"/>
  <c r="U2778" i="1"/>
  <c r="T2778" i="1"/>
  <c r="S2778" i="1"/>
  <c r="R2778" i="1"/>
  <c r="Q2778" i="1"/>
  <c r="U2777" i="1"/>
  <c r="T2777" i="1"/>
  <c r="S2777" i="1"/>
  <c r="R2777" i="1"/>
  <c r="Q2777" i="1"/>
  <c r="U2776" i="1"/>
  <c r="T2776" i="1"/>
  <c r="S2776" i="1"/>
  <c r="R2776" i="1"/>
  <c r="Q2776" i="1"/>
  <c r="U2775" i="1"/>
  <c r="T2775" i="1"/>
  <c r="S2775" i="1"/>
  <c r="R2775" i="1"/>
  <c r="Q2775" i="1"/>
  <c r="U2774" i="1"/>
  <c r="T2774" i="1"/>
  <c r="S2774" i="1"/>
  <c r="R2774" i="1"/>
  <c r="Q2774" i="1"/>
  <c r="U2773" i="1"/>
  <c r="T2773" i="1"/>
  <c r="S2773" i="1"/>
  <c r="R2773" i="1"/>
  <c r="Q2773" i="1"/>
  <c r="U2772" i="1"/>
  <c r="T2772" i="1"/>
  <c r="S2772" i="1"/>
  <c r="R2772" i="1"/>
  <c r="Q2772" i="1"/>
  <c r="U2771" i="1"/>
  <c r="T2771" i="1"/>
  <c r="S2771" i="1"/>
  <c r="R2771" i="1"/>
  <c r="Q2771" i="1"/>
  <c r="U2770" i="1"/>
  <c r="T2770" i="1"/>
  <c r="S2770" i="1"/>
  <c r="R2770" i="1"/>
  <c r="Q2770" i="1"/>
  <c r="U2769" i="1"/>
  <c r="T2769" i="1"/>
  <c r="S2769" i="1"/>
  <c r="R2769" i="1"/>
  <c r="Q2769" i="1"/>
  <c r="U2768" i="1"/>
  <c r="T2768" i="1"/>
  <c r="S2768" i="1"/>
  <c r="R2768" i="1"/>
  <c r="Q2768" i="1"/>
  <c r="U2767" i="1"/>
  <c r="T2767" i="1"/>
  <c r="S2767" i="1"/>
  <c r="R2767" i="1"/>
  <c r="Q2767" i="1"/>
  <c r="U2766" i="1"/>
  <c r="T2766" i="1"/>
  <c r="S2766" i="1"/>
  <c r="R2766" i="1"/>
  <c r="Q2766" i="1"/>
  <c r="U2765" i="1"/>
  <c r="T2765" i="1"/>
  <c r="S2765" i="1"/>
  <c r="R2765" i="1"/>
  <c r="Q2765" i="1"/>
  <c r="U2764" i="1"/>
  <c r="T2764" i="1"/>
  <c r="S2764" i="1"/>
  <c r="R2764" i="1"/>
  <c r="Q2764" i="1"/>
  <c r="U2763" i="1"/>
  <c r="T2763" i="1"/>
  <c r="S2763" i="1"/>
  <c r="R2763" i="1"/>
  <c r="Q2763" i="1"/>
  <c r="U2762" i="1"/>
  <c r="T2762" i="1"/>
  <c r="S2762" i="1"/>
  <c r="R2762" i="1"/>
  <c r="Q2762" i="1"/>
  <c r="U2761" i="1"/>
  <c r="T2761" i="1"/>
  <c r="S2761" i="1"/>
  <c r="R2761" i="1"/>
  <c r="Q2761" i="1"/>
  <c r="U2760" i="1"/>
  <c r="T2760" i="1"/>
  <c r="S2760" i="1"/>
  <c r="R2760" i="1"/>
  <c r="Q2760" i="1"/>
  <c r="U2759" i="1"/>
  <c r="T2759" i="1"/>
  <c r="S2759" i="1"/>
  <c r="R2759" i="1"/>
  <c r="Q2759" i="1"/>
  <c r="U2758" i="1"/>
  <c r="T2758" i="1"/>
  <c r="S2758" i="1"/>
  <c r="R2758" i="1"/>
  <c r="Q2758" i="1"/>
  <c r="U2757" i="1"/>
  <c r="T2757" i="1"/>
  <c r="S2757" i="1"/>
  <c r="R2757" i="1"/>
  <c r="Q2757" i="1"/>
  <c r="U2756" i="1"/>
  <c r="T2756" i="1"/>
  <c r="S2756" i="1"/>
  <c r="R2756" i="1"/>
  <c r="Q2756" i="1"/>
  <c r="U2755" i="1"/>
  <c r="T2755" i="1"/>
  <c r="S2755" i="1"/>
  <c r="R2755" i="1"/>
  <c r="Q2755" i="1"/>
  <c r="U2754" i="1"/>
  <c r="T2754" i="1"/>
  <c r="S2754" i="1"/>
  <c r="R2754" i="1"/>
  <c r="Q2754" i="1"/>
  <c r="U2753" i="1"/>
  <c r="T2753" i="1"/>
  <c r="S2753" i="1"/>
  <c r="R2753" i="1"/>
  <c r="Q2753" i="1"/>
  <c r="U2752" i="1"/>
  <c r="T2752" i="1"/>
  <c r="S2752" i="1"/>
  <c r="R2752" i="1"/>
  <c r="Q2752" i="1"/>
  <c r="U2751" i="1"/>
  <c r="T2751" i="1"/>
  <c r="S2751" i="1"/>
  <c r="R2751" i="1"/>
  <c r="Q2751" i="1"/>
  <c r="U2750" i="1"/>
  <c r="T2750" i="1"/>
  <c r="S2750" i="1"/>
  <c r="R2750" i="1"/>
  <c r="Q2750" i="1"/>
  <c r="U2749" i="1"/>
  <c r="T2749" i="1"/>
  <c r="S2749" i="1"/>
  <c r="R2749" i="1"/>
  <c r="Q2749" i="1"/>
  <c r="U2748" i="1"/>
  <c r="T2748" i="1"/>
  <c r="S2748" i="1"/>
  <c r="R2748" i="1"/>
  <c r="Q2748" i="1"/>
  <c r="U2747" i="1"/>
  <c r="T2747" i="1"/>
  <c r="S2747" i="1"/>
  <c r="R2747" i="1"/>
  <c r="Q2747" i="1"/>
  <c r="U2746" i="1"/>
  <c r="T2746" i="1"/>
  <c r="S2746" i="1"/>
  <c r="R2746" i="1"/>
  <c r="Q2746" i="1"/>
  <c r="U2745" i="1"/>
  <c r="T2745" i="1"/>
  <c r="S2745" i="1"/>
  <c r="R2745" i="1"/>
  <c r="Q2745" i="1"/>
  <c r="U2744" i="1"/>
  <c r="T2744" i="1"/>
  <c r="S2744" i="1"/>
  <c r="R2744" i="1"/>
  <c r="Q2744" i="1"/>
  <c r="U2743" i="1"/>
  <c r="T2743" i="1"/>
  <c r="S2743" i="1"/>
  <c r="R2743" i="1"/>
  <c r="Q2743" i="1"/>
  <c r="U2742" i="1"/>
  <c r="T2742" i="1"/>
  <c r="S2742" i="1"/>
  <c r="R2742" i="1"/>
  <c r="Q2742" i="1"/>
  <c r="U2741" i="1"/>
  <c r="T2741" i="1"/>
  <c r="S2741" i="1"/>
  <c r="R2741" i="1"/>
  <c r="Q2741" i="1"/>
  <c r="U2740" i="1"/>
  <c r="T2740" i="1"/>
  <c r="S2740" i="1"/>
  <c r="R2740" i="1"/>
  <c r="Q2740" i="1"/>
  <c r="U2739" i="1"/>
  <c r="T2739" i="1"/>
  <c r="S2739" i="1"/>
  <c r="R2739" i="1"/>
  <c r="Q2739" i="1"/>
  <c r="U2738" i="1"/>
  <c r="T2738" i="1"/>
  <c r="S2738" i="1"/>
  <c r="R2738" i="1"/>
  <c r="Q2738" i="1"/>
  <c r="U2737" i="1"/>
  <c r="T2737" i="1"/>
  <c r="S2737" i="1"/>
  <c r="R2737" i="1"/>
  <c r="Q2737" i="1"/>
  <c r="U2736" i="1"/>
  <c r="T2736" i="1"/>
  <c r="S2736" i="1"/>
  <c r="R2736" i="1"/>
  <c r="Q2736" i="1"/>
  <c r="U2735" i="1"/>
  <c r="T2735" i="1"/>
  <c r="S2735" i="1"/>
  <c r="R2735" i="1"/>
  <c r="Q2735" i="1"/>
  <c r="U2734" i="1"/>
  <c r="T2734" i="1"/>
  <c r="S2734" i="1"/>
  <c r="R2734" i="1"/>
  <c r="Q2734" i="1"/>
  <c r="U2733" i="1"/>
  <c r="T2733" i="1"/>
  <c r="S2733" i="1"/>
  <c r="R2733" i="1"/>
  <c r="Q2733" i="1"/>
  <c r="U2732" i="1"/>
  <c r="T2732" i="1"/>
  <c r="S2732" i="1"/>
  <c r="R2732" i="1"/>
  <c r="Q2732" i="1"/>
  <c r="U2731" i="1"/>
  <c r="T2731" i="1"/>
  <c r="S2731" i="1"/>
  <c r="R2731" i="1"/>
  <c r="Q2731" i="1"/>
  <c r="U2730" i="1"/>
  <c r="T2730" i="1"/>
  <c r="S2730" i="1"/>
  <c r="R2730" i="1"/>
  <c r="Q2730" i="1"/>
  <c r="U2729" i="1"/>
  <c r="T2729" i="1"/>
  <c r="S2729" i="1"/>
  <c r="R2729" i="1"/>
  <c r="Q2729" i="1"/>
  <c r="U2728" i="1"/>
  <c r="T2728" i="1"/>
  <c r="S2728" i="1"/>
  <c r="R2728" i="1"/>
  <c r="Q2728" i="1"/>
  <c r="U2727" i="1"/>
  <c r="T2727" i="1"/>
  <c r="S2727" i="1"/>
  <c r="R2727" i="1"/>
  <c r="Q2727" i="1"/>
  <c r="U2726" i="1"/>
  <c r="T2726" i="1"/>
  <c r="S2726" i="1"/>
  <c r="R2726" i="1"/>
  <c r="Q2726" i="1"/>
  <c r="U2725" i="1"/>
  <c r="T2725" i="1"/>
  <c r="S2725" i="1"/>
  <c r="R2725" i="1"/>
  <c r="Q2725" i="1"/>
  <c r="U2724" i="1"/>
  <c r="T2724" i="1"/>
  <c r="S2724" i="1"/>
  <c r="R2724" i="1"/>
  <c r="Q2724" i="1"/>
  <c r="U2723" i="1"/>
  <c r="T2723" i="1"/>
  <c r="S2723" i="1"/>
  <c r="R2723" i="1"/>
  <c r="Q2723" i="1"/>
  <c r="U2722" i="1"/>
  <c r="T2722" i="1"/>
  <c r="S2722" i="1"/>
  <c r="R2722" i="1"/>
  <c r="Q2722" i="1"/>
  <c r="U2721" i="1"/>
  <c r="T2721" i="1"/>
  <c r="S2721" i="1"/>
  <c r="R2721" i="1"/>
  <c r="Q2721" i="1"/>
  <c r="U2720" i="1"/>
  <c r="T2720" i="1"/>
  <c r="S2720" i="1"/>
  <c r="R2720" i="1"/>
  <c r="Q2720" i="1"/>
  <c r="U2719" i="1"/>
  <c r="T2719" i="1"/>
  <c r="S2719" i="1"/>
  <c r="R2719" i="1"/>
  <c r="Q2719" i="1"/>
  <c r="U2718" i="1"/>
  <c r="T2718" i="1"/>
  <c r="S2718" i="1"/>
  <c r="R2718" i="1"/>
  <c r="Q2718" i="1"/>
  <c r="U2717" i="1"/>
  <c r="T2717" i="1"/>
  <c r="S2717" i="1"/>
  <c r="R2717" i="1"/>
  <c r="Q2717" i="1"/>
  <c r="U2716" i="1"/>
  <c r="T2716" i="1"/>
  <c r="S2716" i="1"/>
  <c r="R2716" i="1"/>
  <c r="Q2716" i="1"/>
  <c r="U2715" i="1"/>
  <c r="T2715" i="1"/>
  <c r="S2715" i="1"/>
  <c r="R2715" i="1"/>
  <c r="Q2715" i="1"/>
  <c r="U2714" i="1"/>
  <c r="T2714" i="1"/>
  <c r="S2714" i="1"/>
  <c r="R2714" i="1"/>
  <c r="Q2714" i="1"/>
  <c r="U2713" i="1"/>
  <c r="T2713" i="1"/>
  <c r="S2713" i="1"/>
  <c r="R2713" i="1"/>
  <c r="Q2713" i="1"/>
  <c r="U2712" i="1"/>
  <c r="T2712" i="1"/>
  <c r="S2712" i="1"/>
  <c r="R2712" i="1"/>
  <c r="Q2712" i="1"/>
  <c r="U2711" i="1"/>
  <c r="T2711" i="1"/>
  <c r="S2711" i="1"/>
  <c r="R2711" i="1"/>
  <c r="Q2711" i="1"/>
  <c r="U2710" i="1"/>
  <c r="T2710" i="1"/>
  <c r="S2710" i="1"/>
  <c r="R2710" i="1"/>
  <c r="Q2710" i="1"/>
  <c r="U2709" i="1"/>
  <c r="T2709" i="1"/>
  <c r="S2709" i="1"/>
  <c r="R2709" i="1"/>
  <c r="Q2709" i="1"/>
  <c r="U2708" i="1"/>
  <c r="T2708" i="1"/>
  <c r="S2708" i="1"/>
  <c r="R2708" i="1"/>
  <c r="Q2708" i="1"/>
  <c r="U2707" i="1"/>
  <c r="T2707" i="1"/>
  <c r="S2707" i="1"/>
  <c r="R2707" i="1"/>
  <c r="Q2707" i="1"/>
  <c r="U2706" i="1"/>
  <c r="T2706" i="1"/>
  <c r="S2706" i="1"/>
  <c r="R2706" i="1"/>
  <c r="Q2706" i="1"/>
  <c r="U2705" i="1"/>
  <c r="T2705" i="1"/>
  <c r="S2705" i="1"/>
  <c r="R2705" i="1"/>
  <c r="Q2705" i="1"/>
  <c r="U2704" i="1"/>
  <c r="T2704" i="1"/>
  <c r="S2704" i="1"/>
  <c r="R2704" i="1"/>
  <c r="Q2704" i="1"/>
  <c r="U2703" i="1"/>
  <c r="T2703" i="1"/>
  <c r="S2703" i="1"/>
  <c r="R2703" i="1"/>
  <c r="Q2703" i="1"/>
  <c r="U2702" i="1"/>
  <c r="T2702" i="1"/>
  <c r="S2702" i="1"/>
  <c r="R2702" i="1"/>
  <c r="Q2702" i="1"/>
  <c r="U2701" i="1"/>
  <c r="T2701" i="1"/>
  <c r="S2701" i="1"/>
  <c r="R2701" i="1"/>
  <c r="Q2701" i="1"/>
  <c r="U2700" i="1"/>
  <c r="T2700" i="1"/>
  <c r="S2700" i="1"/>
  <c r="R2700" i="1"/>
  <c r="Q2700" i="1"/>
  <c r="U2699" i="1"/>
  <c r="T2699" i="1"/>
  <c r="S2699" i="1"/>
  <c r="R2699" i="1"/>
  <c r="Q2699" i="1"/>
  <c r="U2698" i="1"/>
  <c r="T2698" i="1"/>
  <c r="S2698" i="1"/>
  <c r="R2698" i="1"/>
  <c r="Q2698" i="1"/>
  <c r="U2697" i="1"/>
  <c r="T2697" i="1"/>
  <c r="S2697" i="1"/>
  <c r="R2697" i="1"/>
  <c r="Q2697" i="1"/>
  <c r="U2696" i="1"/>
  <c r="T2696" i="1"/>
  <c r="S2696" i="1"/>
  <c r="R2696" i="1"/>
  <c r="Q2696" i="1"/>
  <c r="U2695" i="1"/>
  <c r="T2695" i="1"/>
  <c r="S2695" i="1"/>
  <c r="R2695" i="1"/>
  <c r="Q2695" i="1"/>
  <c r="U2694" i="1"/>
  <c r="T2694" i="1"/>
  <c r="S2694" i="1"/>
  <c r="R2694" i="1"/>
  <c r="Q2694" i="1"/>
  <c r="U2693" i="1"/>
  <c r="T2693" i="1"/>
  <c r="S2693" i="1"/>
  <c r="R2693" i="1"/>
  <c r="Q2693" i="1"/>
  <c r="U2692" i="1"/>
  <c r="T2692" i="1"/>
  <c r="S2692" i="1"/>
  <c r="R2692" i="1"/>
  <c r="Q2692" i="1"/>
  <c r="U2691" i="1"/>
  <c r="T2691" i="1"/>
  <c r="S2691" i="1"/>
  <c r="R2691" i="1"/>
  <c r="Q2691" i="1"/>
  <c r="U2690" i="1"/>
  <c r="T2690" i="1"/>
  <c r="S2690" i="1"/>
  <c r="R2690" i="1"/>
  <c r="Q2690" i="1"/>
  <c r="U2689" i="1"/>
  <c r="T2689" i="1"/>
  <c r="S2689" i="1"/>
  <c r="R2689" i="1"/>
  <c r="Q2689" i="1"/>
  <c r="U2688" i="1"/>
  <c r="T2688" i="1"/>
  <c r="S2688" i="1"/>
  <c r="R2688" i="1"/>
  <c r="Q2688" i="1"/>
  <c r="U2687" i="1"/>
  <c r="T2687" i="1"/>
  <c r="S2687" i="1"/>
  <c r="R2687" i="1"/>
  <c r="Q2687" i="1"/>
  <c r="U2686" i="1"/>
  <c r="T2686" i="1"/>
  <c r="S2686" i="1"/>
  <c r="R2686" i="1"/>
  <c r="Q2686" i="1"/>
  <c r="U2685" i="1"/>
  <c r="T2685" i="1"/>
  <c r="S2685" i="1"/>
  <c r="R2685" i="1"/>
  <c r="Q2685" i="1"/>
  <c r="U2684" i="1"/>
  <c r="T2684" i="1"/>
  <c r="S2684" i="1"/>
  <c r="R2684" i="1"/>
  <c r="Q2684" i="1"/>
  <c r="U2683" i="1"/>
  <c r="T2683" i="1"/>
  <c r="S2683" i="1"/>
  <c r="R2683" i="1"/>
  <c r="Q2683" i="1"/>
  <c r="U2682" i="1"/>
  <c r="T2682" i="1"/>
  <c r="S2682" i="1"/>
  <c r="R2682" i="1"/>
  <c r="Q2682" i="1"/>
  <c r="U2681" i="1"/>
  <c r="T2681" i="1"/>
  <c r="S2681" i="1"/>
  <c r="R2681" i="1"/>
  <c r="Q2681" i="1"/>
  <c r="U2680" i="1"/>
  <c r="T2680" i="1"/>
  <c r="S2680" i="1"/>
  <c r="R2680" i="1"/>
  <c r="Q2680" i="1"/>
  <c r="U2679" i="1"/>
  <c r="T2679" i="1"/>
  <c r="S2679" i="1"/>
  <c r="R2679" i="1"/>
  <c r="Q2679" i="1"/>
  <c r="U2678" i="1"/>
  <c r="T2678" i="1"/>
  <c r="S2678" i="1"/>
  <c r="R2678" i="1"/>
  <c r="Q2678" i="1"/>
  <c r="U2677" i="1"/>
  <c r="T2677" i="1"/>
  <c r="S2677" i="1"/>
  <c r="R2677" i="1"/>
  <c r="Q2677" i="1"/>
  <c r="U2676" i="1"/>
  <c r="T2676" i="1"/>
  <c r="S2676" i="1"/>
  <c r="R2676" i="1"/>
  <c r="Q2676" i="1"/>
  <c r="U2675" i="1"/>
  <c r="T2675" i="1"/>
  <c r="S2675" i="1"/>
  <c r="R2675" i="1"/>
  <c r="Q2675" i="1"/>
  <c r="U2674" i="1"/>
  <c r="T2674" i="1"/>
  <c r="S2674" i="1"/>
  <c r="R2674" i="1"/>
  <c r="Q2674" i="1"/>
  <c r="U2673" i="1"/>
  <c r="T2673" i="1"/>
  <c r="S2673" i="1"/>
  <c r="R2673" i="1"/>
  <c r="Q2673" i="1"/>
  <c r="U2672" i="1"/>
  <c r="T2672" i="1"/>
  <c r="S2672" i="1"/>
  <c r="R2672" i="1"/>
  <c r="Q2672" i="1"/>
  <c r="U2671" i="1"/>
  <c r="T2671" i="1"/>
  <c r="S2671" i="1"/>
  <c r="R2671" i="1"/>
  <c r="Q2671" i="1"/>
  <c r="U2670" i="1"/>
  <c r="T2670" i="1"/>
  <c r="S2670" i="1"/>
  <c r="R2670" i="1"/>
  <c r="Q2670" i="1"/>
  <c r="U2669" i="1"/>
  <c r="T2669" i="1"/>
  <c r="S2669" i="1"/>
  <c r="R2669" i="1"/>
  <c r="Q2669" i="1"/>
  <c r="U2668" i="1"/>
  <c r="T2668" i="1"/>
  <c r="S2668" i="1"/>
  <c r="R2668" i="1"/>
  <c r="Q2668" i="1"/>
  <c r="U2667" i="1"/>
  <c r="T2667" i="1"/>
  <c r="S2667" i="1"/>
  <c r="R2667" i="1"/>
  <c r="Q2667" i="1"/>
  <c r="U2666" i="1"/>
  <c r="T2666" i="1"/>
  <c r="S2666" i="1"/>
  <c r="R2666" i="1"/>
  <c r="Q2666" i="1"/>
  <c r="U2665" i="1"/>
  <c r="T2665" i="1"/>
  <c r="S2665" i="1"/>
  <c r="R2665" i="1"/>
  <c r="Q2665" i="1"/>
  <c r="U2664" i="1"/>
  <c r="T2664" i="1"/>
  <c r="S2664" i="1"/>
  <c r="R2664" i="1"/>
  <c r="Q2664" i="1"/>
  <c r="U2663" i="1"/>
  <c r="T2663" i="1"/>
  <c r="S2663" i="1"/>
  <c r="R2663" i="1"/>
  <c r="Q2663" i="1"/>
  <c r="U2662" i="1"/>
  <c r="T2662" i="1"/>
  <c r="S2662" i="1"/>
  <c r="R2662" i="1"/>
  <c r="Q2662" i="1"/>
  <c r="U2661" i="1"/>
  <c r="T2661" i="1"/>
  <c r="S2661" i="1"/>
  <c r="R2661" i="1"/>
  <c r="Q2661" i="1"/>
  <c r="U2660" i="1"/>
  <c r="T2660" i="1"/>
  <c r="S2660" i="1"/>
  <c r="R2660" i="1"/>
  <c r="Q2660" i="1"/>
  <c r="U2659" i="1"/>
  <c r="T2659" i="1"/>
  <c r="S2659" i="1"/>
  <c r="R2659" i="1"/>
  <c r="Q2659" i="1"/>
  <c r="U2658" i="1"/>
  <c r="T2658" i="1"/>
  <c r="S2658" i="1"/>
  <c r="R2658" i="1"/>
  <c r="Q2658" i="1"/>
  <c r="U2657" i="1"/>
  <c r="T2657" i="1"/>
  <c r="S2657" i="1"/>
  <c r="R2657" i="1"/>
  <c r="Q2657" i="1"/>
  <c r="U2656" i="1"/>
  <c r="T2656" i="1"/>
  <c r="S2656" i="1"/>
  <c r="R2656" i="1"/>
  <c r="Q2656" i="1"/>
  <c r="U2655" i="1"/>
  <c r="T2655" i="1"/>
  <c r="S2655" i="1"/>
  <c r="R2655" i="1"/>
  <c r="Q2655" i="1"/>
  <c r="U2654" i="1"/>
  <c r="T2654" i="1"/>
  <c r="S2654" i="1"/>
  <c r="R2654" i="1"/>
  <c r="Q2654" i="1"/>
  <c r="U2653" i="1"/>
  <c r="T2653" i="1"/>
  <c r="S2653" i="1"/>
  <c r="R2653" i="1"/>
  <c r="Q2653" i="1"/>
  <c r="U2652" i="1"/>
  <c r="T2652" i="1"/>
  <c r="S2652" i="1"/>
  <c r="R2652" i="1"/>
  <c r="Q2652" i="1"/>
  <c r="U2651" i="1"/>
  <c r="T2651" i="1"/>
  <c r="S2651" i="1"/>
  <c r="R2651" i="1"/>
  <c r="Q2651" i="1"/>
  <c r="U2650" i="1"/>
  <c r="T2650" i="1"/>
  <c r="S2650" i="1"/>
  <c r="R2650" i="1"/>
  <c r="Q2650" i="1"/>
  <c r="U2649" i="1"/>
  <c r="T2649" i="1"/>
  <c r="S2649" i="1"/>
  <c r="R2649" i="1"/>
  <c r="Q2649" i="1"/>
  <c r="U2648" i="1"/>
  <c r="T2648" i="1"/>
  <c r="S2648" i="1"/>
  <c r="R2648" i="1"/>
  <c r="Q2648" i="1"/>
  <c r="U2647" i="1"/>
  <c r="T2647" i="1"/>
  <c r="S2647" i="1"/>
  <c r="R2647" i="1"/>
  <c r="Q2647" i="1"/>
  <c r="U2646" i="1"/>
  <c r="T2646" i="1"/>
  <c r="S2646" i="1"/>
  <c r="R2646" i="1"/>
  <c r="Q2646" i="1"/>
  <c r="U2645" i="1"/>
  <c r="T2645" i="1"/>
  <c r="S2645" i="1"/>
  <c r="R2645" i="1"/>
  <c r="Q2645" i="1"/>
  <c r="U2644" i="1"/>
  <c r="T2644" i="1"/>
  <c r="S2644" i="1"/>
  <c r="R2644" i="1"/>
  <c r="Q2644" i="1"/>
  <c r="U2643" i="1"/>
  <c r="T2643" i="1"/>
  <c r="S2643" i="1"/>
  <c r="R2643" i="1"/>
  <c r="Q2643" i="1"/>
  <c r="U2642" i="1"/>
  <c r="T2642" i="1"/>
  <c r="S2642" i="1"/>
  <c r="R2642" i="1"/>
  <c r="Q2642" i="1"/>
  <c r="U2641" i="1"/>
  <c r="T2641" i="1"/>
  <c r="S2641" i="1"/>
  <c r="R2641" i="1"/>
  <c r="Q2641" i="1"/>
  <c r="U2640" i="1"/>
  <c r="T2640" i="1"/>
  <c r="S2640" i="1"/>
  <c r="R2640" i="1"/>
  <c r="Q2640" i="1"/>
  <c r="U2639" i="1"/>
  <c r="T2639" i="1"/>
  <c r="S2639" i="1"/>
  <c r="R2639" i="1"/>
  <c r="Q2639" i="1"/>
  <c r="U2638" i="1"/>
  <c r="T2638" i="1"/>
  <c r="S2638" i="1"/>
  <c r="R2638" i="1"/>
  <c r="Q2638" i="1"/>
  <c r="U2637" i="1"/>
  <c r="T2637" i="1"/>
  <c r="S2637" i="1"/>
  <c r="R2637" i="1"/>
  <c r="Q2637" i="1"/>
  <c r="U2636" i="1"/>
  <c r="T2636" i="1"/>
  <c r="S2636" i="1"/>
  <c r="R2636" i="1"/>
  <c r="Q2636" i="1"/>
  <c r="U2635" i="1"/>
  <c r="T2635" i="1"/>
  <c r="S2635" i="1"/>
  <c r="R2635" i="1"/>
  <c r="Q2635" i="1"/>
  <c r="U2634" i="1"/>
  <c r="T2634" i="1"/>
  <c r="S2634" i="1"/>
  <c r="R2634" i="1"/>
  <c r="Q2634" i="1"/>
  <c r="U2633" i="1"/>
  <c r="T2633" i="1"/>
  <c r="S2633" i="1"/>
  <c r="R2633" i="1"/>
  <c r="Q2633" i="1"/>
  <c r="U2632" i="1"/>
  <c r="T2632" i="1"/>
  <c r="S2632" i="1"/>
  <c r="R2632" i="1"/>
  <c r="Q2632" i="1"/>
  <c r="U2631" i="1"/>
  <c r="T2631" i="1"/>
  <c r="S2631" i="1"/>
  <c r="R2631" i="1"/>
  <c r="Q2631" i="1"/>
  <c r="U2630" i="1"/>
  <c r="T2630" i="1"/>
  <c r="S2630" i="1"/>
  <c r="R2630" i="1"/>
  <c r="Q2630" i="1"/>
  <c r="U2629" i="1"/>
  <c r="T2629" i="1"/>
  <c r="S2629" i="1"/>
  <c r="R2629" i="1"/>
  <c r="Q2629" i="1"/>
  <c r="U2628" i="1"/>
  <c r="T2628" i="1"/>
  <c r="S2628" i="1"/>
  <c r="R2628" i="1"/>
  <c r="Q2628" i="1"/>
  <c r="U2627" i="1"/>
  <c r="T2627" i="1"/>
  <c r="S2627" i="1"/>
  <c r="R2627" i="1"/>
  <c r="Q2627" i="1"/>
  <c r="U2626" i="1"/>
  <c r="T2626" i="1"/>
  <c r="S2626" i="1"/>
  <c r="R2626" i="1"/>
  <c r="Q2626" i="1"/>
  <c r="U2625" i="1"/>
  <c r="T2625" i="1"/>
  <c r="S2625" i="1"/>
  <c r="R2625" i="1"/>
  <c r="Q2625" i="1"/>
  <c r="U2624" i="1"/>
  <c r="T2624" i="1"/>
  <c r="S2624" i="1"/>
  <c r="R2624" i="1"/>
  <c r="Q2624" i="1"/>
  <c r="U2623" i="1"/>
  <c r="T2623" i="1"/>
  <c r="S2623" i="1"/>
  <c r="R2623" i="1"/>
  <c r="Q2623" i="1"/>
  <c r="U2622" i="1"/>
  <c r="T2622" i="1"/>
  <c r="S2622" i="1"/>
  <c r="R2622" i="1"/>
  <c r="Q2622" i="1"/>
  <c r="U2621" i="1"/>
  <c r="T2621" i="1"/>
  <c r="S2621" i="1"/>
  <c r="R2621" i="1"/>
  <c r="Q2621" i="1"/>
  <c r="U2620" i="1"/>
  <c r="T2620" i="1"/>
  <c r="S2620" i="1"/>
  <c r="R2620" i="1"/>
  <c r="Q2620" i="1"/>
  <c r="U2619" i="1"/>
  <c r="T2619" i="1"/>
  <c r="S2619" i="1"/>
  <c r="R2619" i="1"/>
  <c r="Q2619" i="1"/>
  <c r="U2618" i="1"/>
  <c r="T2618" i="1"/>
  <c r="S2618" i="1"/>
  <c r="R2618" i="1"/>
  <c r="Q2618" i="1"/>
  <c r="U2617" i="1"/>
  <c r="T2617" i="1"/>
  <c r="S2617" i="1"/>
  <c r="R2617" i="1"/>
  <c r="Q2617" i="1"/>
  <c r="U2616" i="1"/>
  <c r="T2616" i="1"/>
  <c r="S2616" i="1"/>
  <c r="R2616" i="1"/>
  <c r="Q2616" i="1"/>
  <c r="U2615" i="1"/>
  <c r="T2615" i="1"/>
  <c r="S2615" i="1"/>
  <c r="R2615" i="1"/>
  <c r="Q2615" i="1"/>
  <c r="U2614" i="1"/>
  <c r="T2614" i="1"/>
  <c r="S2614" i="1"/>
  <c r="R2614" i="1"/>
  <c r="Q2614" i="1"/>
  <c r="U2613" i="1"/>
  <c r="T2613" i="1"/>
  <c r="S2613" i="1"/>
  <c r="R2613" i="1"/>
  <c r="Q2613" i="1"/>
  <c r="U2612" i="1"/>
  <c r="T2612" i="1"/>
  <c r="S2612" i="1"/>
  <c r="R2612" i="1"/>
  <c r="Q2612" i="1"/>
  <c r="U2611" i="1"/>
  <c r="T2611" i="1"/>
  <c r="S2611" i="1"/>
  <c r="R2611" i="1"/>
  <c r="Q2611" i="1"/>
  <c r="U2610" i="1"/>
  <c r="T2610" i="1"/>
  <c r="S2610" i="1"/>
  <c r="R2610" i="1"/>
  <c r="Q2610" i="1"/>
  <c r="U2609" i="1"/>
  <c r="T2609" i="1"/>
  <c r="S2609" i="1"/>
  <c r="R2609" i="1"/>
  <c r="Q2609" i="1"/>
  <c r="U2608" i="1"/>
  <c r="T2608" i="1"/>
  <c r="S2608" i="1"/>
  <c r="R2608" i="1"/>
  <c r="Q2608" i="1"/>
  <c r="U2607" i="1"/>
  <c r="T2607" i="1"/>
  <c r="S2607" i="1"/>
  <c r="R2607" i="1"/>
  <c r="Q2607" i="1"/>
  <c r="U2606" i="1"/>
  <c r="T2606" i="1"/>
  <c r="S2606" i="1"/>
  <c r="R2606" i="1"/>
  <c r="Q2606" i="1"/>
  <c r="U2605" i="1"/>
  <c r="T2605" i="1"/>
  <c r="S2605" i="1"/>
  <c r="R2605" i="1"/>
  <c r="Q2605" i="1"/>
  <c r="U2604" i="1"/>
  <c r="T2604" i="1"/>
  <c r="S2604" i="1"/>
  <c r="R2604" i="1"/>
  <c r="Q2604" i="1"/>
  <c r="U2603" i="1"/>
  <c r="T2603" i="1"/>
  <c r="S2603" i="1"/>
  <c r="R2603" i="1"/>
  <c r="Q2603" i="1"/>
  <c r="U2602" i="1"/>
  <c r="T2602" i="1"/>
  <c r="S2602" i="1"/>
  <c r="R2602" i="1"/>
  <c r="Q2602" i="1"/>
  <c r="U2601" i="1"/>
  <c r="T2601" i="1"/>
  <c r="S2601" i="1"/>
  <c r="R2601" i="1"/>
  <c r="Q2601" i="1"/>
  <c r="U2600" i="1"/>
  <c r="T2600" i="1"/>
  <c r="S2600" i="1"/>
  <c r="R2600" i="1"/>
  <c r="Q2600" i="1"/>
  <c r="U2599" i="1"/>
  <c r="T2599" i="1"/>
  <c r="S2599" i="1"/>
  <c r="R2599" i="1"/>
  <c r="Q2599" i="1"/>
  <c r="U2598" i="1"/>
  <c r="T2598" i="1"/>
  <c r="S2598" i="1"/>
  <c r="R2598" i="1"/>
  <c r="Q2598" i="1"/>
  <c r="U2597" i="1"/>
  <c r="T2597" i="1"/>
  <c r="S2597" i="1"/>
  <c r="R2597" i="1"/>
  <c r="Q2597" i="1"/>
  <c r="U2596" i="1"/>
  <c r="T2596" i="1"/>
  <c r="S2596" i="1"/>
  <c r="R2596" i="1"/>
  <c r="Q2596" i="1"/>
  <c r="U2595" i="1"/>
  <c r="T2595" i="1"/>
  <c r="S2595" i="1"/>
  <c r="R2595" i="1"/>
  <c r="Q2595" i="1"/>
  <c r="U2594" i="1"/>
  <c r="T2594" i="1"/>
  <c r="S2594" i="1"/>
  <c r="R2594" i="1"/>
  <c r="Q2594" i="1"/>
  <c r="U2593" i="1"/>
  <c r="T2593" i="1"/>
  <c r="S2593" i="1"/>
  <c r="R2593" i="1"/>
  <c r="Q2593" i="1"/>
  <c r="U2592" i="1"/>
  <c r="T2592" i="1"/>
  <c r="S2592" i="1"/>
  <c r="R2592" i="1"/>
  <c r="Q2592" i="1"/>
  <c r="U2591" i="1"/>
  <c r="T2591" i="1"/>
  <c r="S2591" i="1"/>
  <c r="R2591" i="1"/>
  <c r="Q2591" i="1"/>
  <c r="U2590" i="1"/>
  <c r="T2590" i="1"/>
  <c r="S2590" i="1"/>
  <c r="R2590" i="1"/>
  <c r="Q2590" i="1"/>
  <c r="U2589" i="1"/>
  <c r="T2589" i="1"/>
  <c r="S2589" i="1"/>
  <c r="R2589" i="1"/>
  <c r="Q2589" i="1"/>
  <c r="U2588" i="1"/>
  <c r="T2588" i="1"/>
  <c r="S2588" i="1"/>
  <c r="R2588" i="1"/>
  <c r="Q2588" i="1"/>
  <c r="U2587" i="1"/>
  <c r="T2587" i="1"/>
  <c r="S2587" i="1"/>
  <c r="R2587" i="1"/>
  <c r="Q2587" i="1"/>
  <c r="U2586" i="1"/>
  <c r="T2586" i="1"/>
  <c r="S2586" i="1"/>
  <c r="R2586" i="1"/>
  <c r="Q2586" i="1"/>
  <c r="U2585" i="1"/>
  <c r="T2585" i="1"/>
  <c r="S2585" i="1"/>
  <c r="R2585" i="1"/>
  <c r="Q2585" i="1"/>
  <c r="U2584" i="1"/>
  <c r="T2584" i="1"/>
  <c r="S2584" i="1"/>
  <c r="R2584" i="1"/>
  <c r="Q2584" i="1"/>
  <c r="U2583" i="1"/>
  <c r="T2583" i="1"/>
  <c r="S2583" i="1"/>
  <c r="R2583" i="1"/>
  <c r="Q2583" i="1"/>
  <c r="U2582" i="1"/>
  <c r="T2582" i="1"/>
  <c r="S2582" i="1"/>
  <c r="R2582" i="1"/>
  <c r="Q2582" i="1"/>
  <c r="U2581" i="1"/>
  <c r="T2581" i="1"/>
  <c r="S2581" i="1"/>
  <c r="R2581" i="1"/>
  <c r="Q2581" i="1"/>
  <c r="U2580" i="1"/>
  <c r="T2580" i="1"/>
  <c r="S2580" i="1"/>
  <c r="R2580" i="1"/>
  <c r="Q2580" i="1"/>
  <c r="U2579" i="1"/>
  <c r="T2579" i="1"/>
  <c r="S2579" i="1"/>
  <c r="R2579" i="1"/>
  <c r="Q2579" i="1"/>
  <c r="U2578" i="1"/>
  <c r="T2578" i="1"/>
  <c r="S2578" i="1"/>
  <c r="R2578" i="1"/>
  <c r="Q2578" i="1"/>
  <c r="U2577" i="1"/>
  <c r="T2577" i="1"/>
  <c r="S2577" i="1"/>
  <c r="R2577" i="1"/>
  <c r="Q2577" i="1"/>
  <c r="U2576" i="1"/>
  <c r="T2576" i="1"/>
  <c r="S2576" i="1"/>
  <c r="R2576" i="1"/>
  <c r="Q2576" i="1"/>
  <c r="U2575" i="1"/>
  <c r="T2575" i="1"/>
  <c r="S2575" i="1"/>
  <c r="R2575" i="1"/>
  <c r="Q2575" i="1"/>
  <c r="U2574" i="1"/>
  <c r="T2574" i="1"/>
  <c r="S2574" i="1"/>
  <c r="R2574" i="1"/>
  <c r="Q2574" i="1"/>
  <c r="U2573" i="1"/>
  <c r="T2573" i="1"/>
  <c r="S2573" i="1"/>
  <c r="R2573" i="1"/>
  <c r="Q2573" i="1"/>
  <c r="U2572" i="1"/>
  <c r="T2572" i="1"/>
  <c r="S2572" i="1"/>
  <c r="R2572" i="1"/>
  <c r="Q2572" i="1"/>
  <c r="U2571" i="1"/>
  <c r="T2571" i="1"/>
  <c r="S2571" i="1"/>
  <c r="R2571" i="1"/>
  <c r="Q2571" i="1"/>
  <c r="U2570" i="1"/>
  <c r="T2570" i="1"/>
  <c r="S2570" i="1"/>
  <c r="R2570" i="1"/>
  <c r="Q2570" i="1"/>
  <c r="U2569" i="1"/>
  <c r="T2569" i="1"/>
  <c r="S2569" i="1"/>
  <c r="R2569" i="1"/>
  <c r="Q2569" i="1"/>
  <c r="U2568" i="1"/>
  <c r="T2568" i="1"/>
  <c r="S2568" i="1"/>
  <c r="R2568" i="1"/>
  <c r="Q2568" i="1"/>
  <c r="U2567" i="1"/>
  <c r="T2567" i="1"/>
  <c r="S2567" i="1"/>
  <c r="R2567" i="1"/>
  <c r="Q2567" i="1"/>
  <c r="U2566" i="1"/>
  <c r="T2566" i="1"/>
  <c r="S2566" i="1"/>
  <c r="R2566" i="1"/>
  <c r="Q2566" i="1"/>
  <c r="U2565" i="1"/>
  <c r="T2565" i="1"/>
  <c r="S2565" i="1"/>
  <c r="R2565" i="1"/>
  <c r="Q2565" i="1"/>
  <c r="U2564" i="1"/>
  <c r="T2564" i="1"/>
  <c r="S2564" i="1"/>
  <c r="R2564" i="1"/>
  <c r="Q2564" i="1"/>
  <c r="U2563" i="1"/>
  <c r="T2563" i="1"/>
  <c r="S2563" i="1"/>
  <c r="R2563" i="1"/>
  <c r="Q2563" i="1"/>
  <c r="U2562" i="1"/>
  <c r="T2562" i="1"/>
  <c r="S2562" i="1"/>
  <c r="R2562" i="1"/>
  <c r="Q2562" i="1"/>
  <c r="U2561" i="1"/>
  <c r="T2561" i="1"/>
  <c r="S2561" i="1"/>
  <c r="R2561" i="1"/>
  <c r="Q2561" i="1"/>
  <c r="U2560" i="1"/>
  <c r="T2560" i="1"/>
  <c r="S2560" i="1"/>
  <c r="R2560" i="1"/>
  <c r="Q2560" i="1"/>
  <c r="U2559" i="1"/>
  <c r="T2559" i="1"/>
  <c r="S2559" i="1"/>
  <c r="R2559" i="1"/>
  <c r="Q2559" i="1"/>
  <c r="U2558" i="1"/>
  <c r="T2558" i="1"/>
  <c r="S2558" i="1"/>
  <c r="R2558" i="1"/>
  <c r="Q2558" i="1"/>
  <c r="U2557" i="1"/>
  <c r="T2557" i="1"/>
  <c r="S2557" i="1"/>
  <c r="R2557" i="1"/>
  <c r="Q2557" i="1"/>
  <c r="U2556" i="1"/>
  <c r="T2556" i="1"/>
  <c r="S2556" i="1"/>
  <c r="R2556" i="1"/>
  <c r="Q2556" i="1"/>
  <c r="U2555" i="1"/>
  <c r="T2555" i="1"/>
  <c r="S2555" i="1"/>
  <c r="R2555" i="1"/>
  <c r="Q2555" i="1"/>
  <c r="U2554" i="1"/>
  <c r="T2554" i="1"/>
  <c r="S2554" i="1"/>
  <c r="R2554" i="1"/>
  <c r="Q2554" i="1"/>
  <c r="U2553" i="1"/>
  <c r="T2553" i="1"/>
  <c r="S2553" i="1"/>
  <c r="R2553" i="1"/>
  <c r="Q2553" i="1"/>
  <c r="U2552" i="1"/>
  <c r="T2552" i="1"/>
  <c r="S2552" i="1"/>
  <c r="R2552" i="1"/>
  <c r="Q2552" i="1"/>
  <c r="U2551" i="1"/>
  <c r="T2551" i="1"/>
  <c r="S2551" i="1"/>
  <c r="R2551" i="1"/>
  <c r="Q2551" i="1"/>
  <c r="U2550" i="1"/>
  <c r="T2550" i="1"/>
  <c r="S2550" i="1"/>
  <c r="R2550" i="1"/>
  <c r="Q2550" i="1"/>
  <c r="U2549" i="1"/>
  <c r="T2549" i="1"/>
  <c r="S2549" i="1"/>
  <c r="R2549" i="1"/>
  <c r="Q2549" i="1"/>
  <c r="U2548" i="1"/>
  <c r="T2548" i="1"/>
  <c r="S2548" i="1"/>
  <c r="R2548" i="1"/>
  <c r="Q2548" i="1"/>
  <c r="U2547" i="1"/>
  <c r="T2547" i="1"/>
  <c r="S2547" i="1"/>
  <c r="R2547" i="1"/>
  <c r="Q2547" i="1"/>
  <c r="U2546" i="1"/>
  <c r="T2546" i="1"/>
  <c r="S2546" i="1"/>
  <c r="R2546" i="1"/>
  <c r="Q2546" i="1"/>
  <c r="U2545" i="1"/>
  <c r="T2545" i="1"/>
  <c r="S2545" i="1"/>
  <c r="R2545" i="1"/>
  <c r="Q2545" i="1"/>
  <c r="U2544" i="1"/>
  <c r="T2544" i="1"/>
  <c r="S2544" i="1"/>
  <c r="R2544" i="1"/>
  <c r="Q2544" i="1"/>
  <c r="U2543" i="1"/>
  <c r="T2543" i="1"/>
  <c r="S2543" i="1"/>
  <c r="R2543" i="1"/>
  <c r="Q2543" i="1"/>
  <c r="U2542" i="1"/>
  <c r="T2542" i="1"/>
  <c r="S2542" i="1"/>
  <c r="R2542" i="1"/>
  <c r="Q2542" i="1"/>
  <c r="U2541" i="1"/>
  <c r="T2541" i="1"/>
  <c r="S2541" i="1"/>
  <c r="R2541" i="1"/>
  <c r="Q2541" i="1"/>
  <c r="U2540" i="1"/>
  <c r="T2540" i="1"/>
  <c r="S2540" i="1"/>
  <c r="R2540" i="1"/>
  <c r="Q2540" i="1"/>
  <c r="U2539" i="1"/>
  <c r="T2539" i="1"/>
  <c r="S2539" i="1"/>
  <c r="R2539" i="1"/>
  <c r="Q2539" i="1"/>
  <c r="U2538" i="1"/>
  <c r="T2538" i="1"/>
  <c r="S2538" i="1"/>
  <c r="R2538" i="1"/>
  <c r="Q2538" i="1"/>
  <c r="U2537" i="1"/>
  <c r="T2537" i="1"/>
  <c r="S2537" i="1"/>
  <c r="R2537" i="1"/>
  <c r="Q2537" i="1"/>
  <c r="U2536" i="1"/>
  <c r="T2536" i="1"/>
  <c r="S2536" i="1"/>
  <c r="R2536" i="1"/>
  <c r="Q2536" i="1"/>
  <c r="U2535" i="1"/>
  <c r="T2535" i="1"/>
  <c r="S2535" i="1"/>
  <c r="R2535" i="1"/>
  <c r="Q2535" i="1"/>
  <c r="U2534" i="1"/>
  <c r="T2534" i="1"/>
  <c r="S2534" i="1"/>
  <c r="R2534" i="1"/>
  <c r="Q2534" i="1"/>
  <c r="U2533" i="1"/>
  <c r="T2533" i="1"/>
  <c r="S2533" i="1"/>
  <c r="R2533" i="1"/>
  <c r="Q2533" i="1"/>
  <c r="U2532" i="1"/>
  <c r="T2532" i="1"/>
  <c r="S2532" i="1"/>
  <c r="R2532" i="1"/>
  <c r="Q2532" i="1"/>
  <c r="U2531" i="1"/>
  <c r="T2531" i="1"/>
  <c r="S2531" i="1"/>
  <c r="R2531" i="1"/>
  <c r="Q2531" i="1"/>
  <c r="U2530" i="1"/>
  <c r="T2530" i="1"/>
  <c r="S2530" i="1"/>
  <c r="R2530" i="1"/>
  <c r="Q2530" i="1"/>
  <c r="U2529" i="1"/>
  <c r="T2529" i="1"/>
  <c r="S2529" i="1"/>
  <c r="R2529" i="1"/>
  <c r="Q2529" i="1"/>
  <c r="U2528" i="1"/>
  <c r="T2528" i="1"/>
  <c r="S2528" i="1"/>
  <c r="R2528" i="1"/>
  <c r="Q2528" i="1"/>
  <c r="U2527" i="1"/>
  <c r="T2527" i="1"/>
  <c r="S2527" i="1"/>
  <c r="R2527" i="1"/>
  <c r="Q2527" i="1"/>
  <c r="U2526" i="1"/>
  <c r="T2526" i="1"/>
  <c r="S2526" i="1"/>
  <c r="R2526" i="1"/>
  <c r="Q2526" i="1"/>
  <c r="U2525" i="1"/>
  <c r="T2525" i="1"/>
  <c r="S2525" i="1"/>
  <c r="R2525" i="1"/>
  <c r="Q2525" i="1"/>
  <c r="U2524" i="1"/>
  <c r="T2524" i="1"/>
  <c r="S2524" i="1"/>
  <c r="R2524" i="1"/>
  <c r="Q2524" i="1"/>
  <c r="U2523" i="1"/>
  <c r="T2523" i="1"/>
  <c r="S2523" i="1"/>
  <c r="R2523" i="1"/>
  <c r="Q2523" i="1"/>
  <c r="U2522" i="1"/>
  <c r="T2522" i="1"/>
  <c r="S2522" i="1"/>
  <c r="R2522" i="1"/>
  <c r="Q2522" i="1"/>
  <c r="U2521" i="1"/>
  <c r="T2521" i="1"/>
  <c r="S2521" i="1"/>
  <c r="R2521" i="1"/>
  <c r="Q2521" i="1"/>
  <c r="U2520" i="1"/>
  <c r="T2520" i="1"/>
  <c r="S2520" i="1"/>
  <c r="R2520" i="1"/>
  <c r="Q2520" i="1"/>
  <c r="U2519" i="1"/>
  <c r="T2519" i="1"/>
  <c r="S2519" i="1"/>
  <c r="R2519" i="1"/>
  <c r="Q2519" i="1"/>
  <c r="U2518" i="1"/>
  <c r="T2518" i="1"/>
  <c r="S2518" i="1"/>
  <c r="R2518" i="1"/>
  <c r="Q2518" i="1"/>
  <c r="U2517" i="1"/>
  <c r="T2517" i="1"/>
  <c r="S2517" i="1"/>
  <c r="R2517" i="1"/>
  <c r="Q2517" i="1"/>
  <c r="U2516" i="1"/>
  <c r="T2516" i="1"/>
  <c r="S2516" i="1"/>
  <c r="R2516" i="1"/>
  <c r="Q2516" i="1"/>
  <c r="U2515" i="1"/>
  <c r="T2515" i="1"/>
  <c r="S2515" i="1"/>
  <c r="R2515" i="1"/>
  <c r="Q2515" i="1"/>
  <c r="U2514" i="1"/>
  <c r="T2514" i="1"/>
  <c r="S2514" i="1"/>
  <c r="R2514" i="1"/>
  <c r="Q2514" i="1"/>
  <c r="U2513" i="1"/>
  <c r="T2513" i="1"/>
  <c r="S2513" i="1"/>
  <c r="R2513" i="1"/>
  <c r="Q2513" i="1"/>
  <c r="U2512" i="1"/>
  <c r="T2512" i="1"/>
  <c r="S2512" i="1"/>
  <c r="R2512" i="1"/>
  <c r="Q2512" i="1"/>
  <c r="U2511" i="1"/>
  <c r="T2511" i="1"/>
  <c r="S2511" i="1"/>
  <c r="R2511" i="1"/>
  <c r="Q2511" i="1"/>
  <c r="U2510" i="1"/>
  <c r="T2510" i="1"/>
  <c r="S2510" i="1"/>
  <c r="R2510" i="1"/>
  <c r="Q2510" i="1"/>
  <c r="U2509" i="1"/>
  <c r="T2509" i="1"/>
  <c r="S2509" i="1"/>
  <c r="R2509" i="1"/>
  <c r="Q2509" i="1"/>
  <c r="U2508" i="1"/>
  <c r="T2508" i="1"/>
  <c r="S2508" i="1"/>
  <c r="R2508" i="1"/>
  <c r="Q2508" i="1"/>
  <c r="U2507" i="1"/>
  <c r="T2507" i="1"/>
  <c r="S2507" i="1"/>
  <c r="R2507" i="1"/>
  <c r="Q2507" i="1"/>
  <c r="U2506" i="1"/>
  <c r="T2506" i="1"/>
  <c r="S2506" i="1"/>
  <c r="R2506" i="1"/>
  <c r="Q2506" i="1"/>
  <c r="U2505" i="1"/>
  <c r="T2505" i="1"/>
  <c r="S2505" i="1"/>
  <c r="R2505" i="1"/>
  <c r="Q2505" i="1"/>
  <c r="U2504" i="1"/>
  <c r="T2504" i="1"/>
  <c r="S2504" i="1"/>
  <c r="R2504" i="1"/>
  <c r="Q2504" i="1"/>
  <c r="U2503" i="1"/>
  <c r="T2503" i="1"/>
  <c r="S2503" i="1"/>
  <c r="R2503" i="1"/>
  <c r="Q2503" i="1"/>
  <c r="U2502" i="1"/>
  <c r="T2502" i="1"/>
  <c r="S2502" i="1"/>
  <c r="R2502" i="1"/>
  <c r="Q2502" i="1"/>
  <c r="U2501" i="1"/>
  <c r="T2501" i="1"/>
  <c r="S2501" i="1"/>
  <c r="R2501" i="1"/>
  <c r="Q2501" i="1"/>
  <c r="U2500" i="1"/>
  <c r="T2500" i="1"/>
  <c r="S2500" i="1"/>
  <c r="R2500" i="1"/>
  <c r="Q2500" i="1"/>
  <c r="U2499" i="1"/>
  <c r="T2499" i="1"/>
  <c r="S2499" i="1"/>
  <c r="R2499" i="1"/>
  <c r="Q2499" i="1"/>
  <c r="U2498" i="1"/>
  <c r="T2498" i="1"/>
  <c r="S2498" i="1"/>
  <c r="R2498" i="1"/>
  <c r="Q2498" i="1"/>
  <c r="U2497" i="1"/>
  <c r="T2497" i="1"/>
  <c r="S2497" i="1"/>
  <c r="R2497" i="1"/>
  <c r="Q2497" i="1"/>
  <c r="U2496" i="1"/>
  <c r="T2496" i="1"/>
  <c r="S2496" i="1"/>
  <c r="R2496" i="1"/>
  <c r="Q2496" i="1"/>
  <c r="U2495" i="1"/>
  <c r="T2495" i="1"/>
  <c r="S2495" i="1"/>
  <c r="R2495" i="1"/>
  <c r="Q2495" i="1"/>
  <c r="U2494" i="1"/>
  <c r="T2494" i="1"/>
  <c r="S2494" i="1"/>
  <c r="R2494" i="1"/>
  <c r="Q2494" i="1"/>
  <c r="U2493" i="1"/>
  <c r="T2493" i="1"/>
  <c r="S2493" i="1"/>
  <c r="R2493" i="1"/>
  <c r="Q2493" i="1"/>
  <c r="U2492" i="1"/>
  <c r="T2492" i="1"/>
  <c r="S2492" i="1"/>
  <c r="R2492" i="1"/>
  <c r="Q2492" i="1"/>
  <c r="U2491" i="1"/>
  <c r="T2491" i="1"/>
  <c r="S2491" i="1"/>
  <c r="R2491" i="1"/>
  <c r="Q2491" i="1"/>
  <c r="U2490" i="1"/>
  <c r="T2490" i="1"/>
  <c r="S2490" i="1"/>
  <c r="R2490" i="1"/>
  <c r="Q2490" i="1"/>
  <c r="U2489" i="1"/>
  <c r="T2489" i="1"/>
  <c r="S2489" i="1"/>
  <c r="R2489" i="1"/>
  <c r="Q2489" i="1"/>
  <c r="U2488" i="1"/>
  <c r="T2488" i="1"/>
  <c r="S2488" i="1"/>
  <c r="R2488" i="1"/>
  <c r="Q2488" i="1"/>
  <c r="U2487" i="1"/>
  <c r="T2487" i="1"/>
  <c r="S2487" i="1"/>
  <c r="R2487" i="1"/>
  <c r="Q2487" i="1"/>
  <c r="U2486" i="1"/>
  <c r="T2486" i="1"/>
  <c r="S2486" i="1"/>
  <c r="R2486" i="1"/>
  <c r="Q2486" i="1"/>
  <c r="U2485" i="1"/>
  <c r="T2485" i="1"/>
  <c r="S2485" i="1"/>
  <c r="R2485" i="1"/>
  <c r="Q2485" i="1"/>
  <c r="U2484" i="1"/>
  <c r="T2484" i="1"/>
  <c r="S2484" i="1"/>
  <c r="R2484" i="1"/>
  <c r="Q2484" i="1"/>
  <c r="U2483" i="1"/>
  <c r="T2483" i="1"/>
  <c r="S2483" i="1"/>
  <c r="R2483" i="1"/>
  <c r="Q2483" i="1"/>
  <c r="U2482" i="1"/>
  <c r="T2482" i="1"/>
  <c r="S2482" i="1"/>
  <c r="R2482" i="1"/>
  <c r="Q2482" i="1"/>
  <c r="U2481" i="1"/>
  <c r="T2481" i="1"/>
  <c r="S2481" i="1"/>
  <c r="R2481" i="1"/>
  <c r="Q2481" i="1"/>
  <c r="U2480" i="1"/>
  <c r="T2480" i="1"/>
  <c r="S2480" i="1"/>
  <c r="R2480" i="1"/>
  <c r="Q2480" i="1"/>
  <c r="U2479" i="1"/>
  <c r="T2479" i="1"/>
  <c r="S2479" i="1"/>
  <c r="R2479" i="1"/>
  <c r="Q2479" i="1"/>
  <c r="U2478" i="1"/>
  <c r="T2478" i="1"/>
  <c r="S2478" i="1"/>
  <c r="R2478" i="1"/>
  <c r="Q2478" i="1"/>
  <c r="U2477" i="1"/>
  <c r="T2477" i="1"/>
  <c r="S2477" i="1"/>
  <c r="R2477" i="1"/>
  <c r="Q2477" i="1"/>
  <c r="U2476" i="1"/>
  <c r="T2476" i="1"/>
  <c r="S2476" i="1"/>
  <c r="R2476" i="1"/>
  <c r="Q2476" i="1"/>
  <c r="U2475" i="1"/>
  <c r="T2475" i="1"/>
  <c r="S2475" i="1"/>
  <c r="R2475" i="1"/>
  <c r="Q2475" i="1"/>
  <c r="U2474" i="1"/>
  <c r="T2474" i="1"/>
  <c r="S2474" i="1"/>
  <c r="R2474" i="1"/>
  <c r="Q2474" i="1"/>
  <c r="U2473" i="1"/>
  <c r="T2473" i="1"/>
  <c r="S2473" i="1"/>
  <c r="R2473" i="1"/>
  <c r="Q2473" i="1"/>
  <c r="U2472" i="1"/>
  <c r="T2472" i="1"/>
  <c r="S2472" i="1"/>
  <c r="R2472" i="1"/>
  <c r="Q2472" i="1"/>
  <c r="U2471" i="1"/>
  <c r="T2471" i="1"/>
  <c r="S2471" i="1"/>
  <c r="R2471" i="1"/>
  <c r="Q2471" i="1"/>
  <c r="U2470" i="1"/>
  <c r="T2470" i="1"/>
  <c r="S2470" i="1"/>
  <c r="R2470" i="1"/>
  <c r="Q2470" i="1"/>
  <c r="U2469" i="1"/>
  <c r="T2469" i="1"/>
  <c r="S2469" i="1"/>
  <c r="R2469" i="1"/>
  <c r="Q2469" i="1"/>
  <c r="U2468" i="1"/>
  <c r="T2468" i="1"/>
  <c r="S2468" i="1"/>
  <c r="R2468" i="1"/>
  <c r="Q2468" i="1"/>
  <c r="U2467" i="1"/>
  <c r="T2467" i="1"/>
  <c r="S2467" i="1"/>
  <c r="R2467" i="1"/>
  <c r="Q2467" i="1"/>
  <c r="U2466" i="1"/>
  <c r="T2466" i="1"/>
  <c r="S2466" i="1"/>
  <c r="R2466" i="1"/>
  <c r="Q2466" i="1"/>
  <c r="U2465" i="1"/>
  <c r="T2465" i="1"/>
  <c r="S2465" i="1"/>
  <c r="R2465" i="1"/>
  <c r="Q2465" i="1"/>
  <c r="U2464" i="1"/>
  <c r="T2464" i="1"/>
  <c r="S2464" i="1"/>
  <c r="R2464" i="1"/>
  <c r="Q2464" i="1"/>
  <c r="U2463" i="1"/>
  <c r="T2463" i="1"/>
  <c r="S2463" i="1"/>
  <c r="R2463" i="1"/>
  <c r="Q2463" i="1"/>
  <c r="U2462" i="1"/>
  <c r="T2462" i="1"/>
  <c r="S2462" i="1"/>
  <c r="R2462" i="1"/>
  <c r="Q2462" i="1"/>
  <c r="U2461" i="1"/>
  <c r="T2461" i="1"/>
  <c r="S2461" i="1"/>
  <c r="R2461" i="1"/>
  <c r="Q2461" i="1"/>
  <c r="U2460" i="1"/>
  <c r="T2460" i="1"/>
  <c r="S2460" i="1"/>
  <c r="R2460" i="1"/>
  <c r="Q2460" i="1"/>
  <c r="U2459" i="1"/>
  <c r="T2459" i="1"/>
  <c r="S2459" i="1"/>
  <c r="R2459" i="1"/>
  <c r="Q2459" i="1"/>
  <c r="U2458" i="1"/>
  <c r="T2458" i="1"/>
  <c r="S2458" i="1"/>
  <c r="R2458" i="1"/>
  <c r="Q2458" i="1"/>
  <c r="U2457" i="1"/>
  <c r="T2457" i="1"/>
  <c r="S2457" i="1"/>
  <c r="R2457" i="1"/>
  <c r="Q2457" i="1"/>
  <c r="U2456" i="1"/>
  <c r="T2456" i="1"/>
  <c r="S2456" i="1"/>
  <c r="R2456" i="1"/>
  <c r="Q2456" i="1"/>
  <c r="U2455" i="1"/>
  <c r="T2455" i="1"/>
  <c r="S2455" i="1"/>
  <c r="R2455" i="1"/>
  <c r="Q2455" i="1"/>
  <c r="U2454" i="1"/>
  <c r="T2454" i="1"/>
  <c r="S2454" i="1"/>
  <c r="R2454" i="1"/>
  <c r="Q2454" i="1"/>
  <c r="U2453" i="1"/>
  <c r="T2453" i="1"/>
  <c r="S2453" i="1"/>
  <c r="R2453" i="1"/>
  <c r="Q2453" i="1"/>
  <c r="U2452" i="1"/>
  <c r="T2452" i="1"/>
  <c r="S2452" i="1"/>
  <c r="R2452" i="1"/>
  <c r="Q2452" i="1"/>
  <c r="U2451" i="1"/>
  <c r="T2451" i="1"/>
  <c r="S2451" i="1"/>
  <c r="R2451" i="1"/>
  <c r="Q2451" i="1"/>
  <c r="U2450" i="1"/>
  <c r="T2450" i="1"/>
  <c r="S2450" i="1"/>
  <c r="R2450" i="1"/>
  <c r="Q2450" i="1"/>
  <c r="U2449" i="1"/>
  <c r="T2449" i="1"/>
  <c r="S2449" i="1"/>
  <c r="R2449" i="1"/>
  <c r="Q2449" i="1"/>
  <c r="U2448" i="1"/>
  <c r="T2448" i="1"/>
  <c r="S2448" i="1"/>
  <c r="R2448" i="1"/>
  <c r="Q2448" i="1"/>
  <c r="U2447" i="1"/>
  <c r="T2447" i="1"/>
  <c r="S2447" i="1"/>
  <c r="R2447" i="1"/>
  <c r="Q2447" i="1"/>
  <c r="U2446" i="1"/>
  <c r="T2446" i="1"/>
  <c r="S2446" i="1"/>
  <c r="R2446" i="1"/>
  <c r="Q2446" i="1"/>
  <c r="U2445" i="1"/>
  <c r="T2445" i="1"/>
  <c r="S2445" i="1"/>
  <c r="R2445" i="1"/>
  <c r="Q2445" i="1"/>
  <c r="U2444" i="1"/>
  <c r="T2444" i="1"/>
  <c r="S2444" i="1"/>
  <c r="R2444" i="1"/>
  <c r="Q2444" i="1"/>
  <c r="U2443" i="1"/>
  <c r="T2443" i="1"/>
  <c r="S2443" i="1"/>
  <c r="R2443" i="1"/>
  <c r="Q2443" i="1"/>
  <c r="U2442" i="1"/>
  <c r="T2442" i="1"/>
  <c r="S2442" i="1"/>
  <c r="R2442" i="1"/>
  <c r="Q2442" i="1"/>
  <c r="U2441" i="1"/>
  <c r="T2441" i="1"/>
  <c r="S2441" i="1"/>
  <c r="R2441" i="1"/>
  <c r="Q2441" i="1"/>
  <c r="U2440" i="1"/>
  <c r="T2440" i="1"/>
  <c r="S2440" i="1"/>
  <c r="R2440" i="1"/>
  <c r="Q2440" i="1"/>
  <c r="U2439" i="1"/>
  <c r="T2439" i="1"/>
  <c r="S2439" i="1"/>
  <c r="R2439" i="1"/>
  <c r="Q2439" i="1"/>
  <c r="U2438" i="1"/>
  <c r="T2438" i="1"/>
  <c r="S2438" i="1"/>
  <c r="R2438" i="1"/>
  <c r="Q2438" i="1"/>
  <c r="U2437" i="1"/>
  <c r="T2437" i="1"/>
  <c r="S2437" i="1"/>
  <c r="R2437" i="1"/>
  <c r="Q2437" i="1"/>
  <c r="U2436" i="1"/>
  <c r="T2436" i="1"/>
  <c r="S2436" i="1"/>
  <c r="R2436" i="1"/>
  <c r="Q2436" i="1"/>
  <c r="U2435" i="1"/>
  <c r="T2435" i="1"/>
  <c r="S2435" i="1"/>
  <c r="R2435" i="1"/>
  <c r="Q2435" i="1"/>
  <c r="U2434" i="1"/>
  <c r="T2434" i="1"/>
  <c r="S2434" i="1"/>
  <c r="R2434" i="1"/>
  <c r="Q2434" i="1"/>
  <c r="U2433" i="1"/>
  <c r="T2433" i="1"/>
  <c r="S2433" i="1"/>
  <c r="R2433" i="1"/>
  <c r="Q2433" i="1"/>
  <c r="U2432" i="1"/>
  <c r="T2432" i="1"/>
  <c r="S2432" i="1"/>
  <c r="R2432" i="1"/>
  <c r="Q2432" i="1"/>
  <c r="U2431" i="1"/>
  <c r="T2431" i="1"/>
  <c r="S2431" i="1"/>
  <c r="R2431" i="1"/>
  <c r="Q2431" i="1"/>
  <c r="U2430" i="1"/>
  <c r="T2430" i="1"/>
  <c r="S2430" i="1"/>
  <c r="R2430" i="1"/>
  <c r="Q2430" i="1"/>
  <c r="U2429" i="1"/>
  <c r="T2429" i="1"/>
  <c r="S2429" i="1"/>
  <c r="R2429" i="1"/>
  <c r="Q2429" i="1"/>
  <c r="U2428" i="1"/>
  <c r="T2428" i="1"/>
  <c r="S2428" i="1"/>
  <c r="R2428" i="1"/>
  <c r="Q2428" i="1"/>
  <c r="U2427" i="1"/>
  <c r="T2427" i="1"/>
  <c r="S2427" i="1"/>
  <c r="R2427" i="1"/>
  <c r="Q2427" i="1"/>
  <c r="U2426" i="1"/>
  <c r="T2426" i="1"/>
  <c r="S2426" i="1"/>
  <c r="R2426" i="1"/>
  <c r="Q2426" i="1"/>
  <c r="U2425" i="1"/>
  <c r="T2425" i="1"/>
  <c r="S2425" i="1"/>
  <c r="R2425" i="1"/>
  <c r="Q2425" i="1"/>
  <c r="U2424" i="1"/>
  <c r="T2424" i="1"/>
  <c r="S2424" i="1"/>
  <c r="R2424" i="1"/>
  <c r="Q2424" i="1"/>
  <c r="U2423" i="1"/>
  <c r="T2423" i="1"/>
  <c r="S2423" i="1"/>
  <c r="R2423" i="1"/>
  <c r="Q2423" i="1"/>
  <c r="U2422" i="1"/>
  <c r="T2422" i="1"/>
  <c r="S2422" i="1"/>
  <c r="R2422" i="1"/>
  <c r="Q2422" i="1"/>
  <c r="U2421" i="1"/>
  <c r="T2421" i="1"/>
  <c r="S2421" i="1"/>
  <c r="R2421" i="1"/>
  <c r="Q2421" i="1"/>
  <c r="U2420" i="1"/>
  <c r="T2420" i="1"/>
  <c r="S2420" i="1"/>
  <c r="R2420" i="1"/>
  <c r="Q2420" i="1"/>
  <c r="U2419" i="1"/>
  <c r="T2419" i="1"/>
  <c r="S2419" i="1"/>
  <c r="R2419" i="1"/>
  <c r="Q2419" i="1"/>
  <c r="U2418" i="1"/>
  <c r="T2418" i="1"/>
  <c r="S2418" i="1"/>
  <c r="R2418" i="1"/>
  <c r="Q2418" i="1"/>
  <c r="U2417" i="1"/>
  <c r="T2417" i="1"/>
  <c r="S2417" i="1"/>
  <c r="R2417" i="1"/>
  <c r="Q2417" i="1"/>
  <c r="U2416" i="1"/>
  <c r="T2416" i="1"/>
  <c r="S2416" i="1"/>
  <c r="R2416" i="1"/>
  <c r="Q2416" i="1"/>
  <c r="U2415" i="1"/>
  <c r="T2415" i="1"/>
  <c r="S2415" i="1"/>
  <c r="R2415" i="1"/>
  <c r="Q2415" i="1"/>
  <c r="U2414" i="1"/>
  <c r="T2414" i="1"/>
  <c r="S2414" i="1"/>
  <c r="R2414" i="1"/>
  <c r="Q2414" i="1"/>
  <c r="U2413" i="1"/>
  <c r="T2413" i="1"/>
  <c r="S2413" i="1"/>
  <c r="R2413" i="1"/>
  <c r="Q2413" i="1"/>
  <c r="U2412" i="1"/>
  <c r="T2412" i="1"/>
  <c r="S2412" i="1"/>
  <c r="R2412" i="1"/>
  <c r="Q2412" i="1"/>
  <c r="U2411" i="1"/>
  <c r="T2411" i="1"/>
  <c r="S2411" i="1"/>
  <c r="R2411" i="1"/>
  <c r="Q2411" i="1"/>
  <c r="U2410" i="1"/>
  <c r="T2410" i="1"/>
  <c r="S2410" i="1"/>
  <c r="R2410" i="1"/>
  <c r="Q2410" i="1"/>
  <c r="U2409" i="1"/>
  <c r="T2409" i="1"/>
  <c r="S2409" i="1"/>
  <c r="R2409" i="1"/>
  <c r="Q2409" i="1"/>
  <c r="U2408" i="1"/>
  <c r="T2408" i="1"/>
  <c r="S2408" i="1"/>
  <c r="R2408" i="1"/>
  <c r="Q2408" i="1"/>
  <c r="U2407" i="1"/>
  <c r="T2407" i="1"/>
  <c r="S2407" i="1"/>
  <c r="R2407" i="1"/>
  <c r="Q2407" i="1"/>
  <c r="U2406" i="1"/>
  <c r="T2406" i="1"/>
  <c r="S2406" i="1"/>
  <c r="R2406" i="1"/>
  <c r="Q2406" i="1"/>
  <c r="U2405" i="1"/>
  <c r="T2405" i="1"/>
  <c r="S2405" i="1"/>
  <c r="R2405" i="1"/>
  <c r="Q2405" i="1"/>
  <c r="U2404" i="1"/>
  <c r="T2404" i="1"/>
  <c r="S2404" i="1"/>
  <c r="R2404" i="1"/>
  <c r="Q2404" i="1"/>
  <c r="U2403" i="1"/>
  <c r="T2403" i="1"/>
  <c r="S2403" i="1"/>
  <c r="R2403" i="1"/>
  <c r="Q2403" i="1"/>
  <c r="U2402" i="1"/>
  <c r="T2402" i="1"/>
  <c r="S2402" i="1"/>
  <c r="R2402" i="1"/>
  <c r="Q2402" i="1"/>
  <c r="U2401" i="1"/>
  <c r="T2401" i="1"/>
  <c r="S2401" i="1"/>
  <c r="R2401" i="1"/>
  <c r="Q2401" i="1"/>
  <c r="U2400" i="1"/>
  <c r="T2400" i="1"/>
  <c r="S2400" i="1"/>
  <c r="R2400" i="1"/>
  <c r="Q2400" i="1"/>
  <c r="U2399" i="1"/>
  <c r="T2399" i="1"/>
  <c r="S2399" i="1"/>
  <c r="R2399" i="1"/>
  <c r="Q2399" i="1"/>
  <c r="U2398" i="1"/>
  <c r="T2398" i="1"/>
  <c r="S2398" i="1"/>
  <c r="R2398" i="1"/>
  <c r="Q2398" i="1"/>
  <c r="U2397" i="1"/>
  <c r="T2397" i="1"/>
  <c r="S2397" i="1"/>
  <c r="R2397" i="1"/>
  <c r="Q2397" i="1"/>
  <c r="U2396" i="1"/>
  <c r="T2396" i="1"/>
  <c r="S2396" i="1"/>
  <c r="R2396" i="1"/>
  <c r="Q2396" i="1"/>
  <c r="U2395" i="1"/>
  <c r="T2395" i="1"/>
  <c r="S2395" i="1"/>
  <c r="R2395" i="1"/>
  <c r="Q2395" i="1"/>
  <c r="U2394" i="1"/>
  <c r="T2394" i="1"/>
  <c r="S2394" i="1"/>
  <c r="R2394" i="1"/>
  <c r="Q2394" i="1"/>
  <c r="U2393" i="1"/>
  <c r="T2393" i="1"/>
  <c r="S2393" i="1"/>
  <c r="R2393" i="1"/>
  <c r="Q2393" i="1"/>
  <c r="U2392" i="1"/>
  <c r="T2392" i="1"/>
  <c r="S2392" i="1"/>
  <c r="R2392" i="1"/>
  <c r="Q2392" i="1"/>
  <c r="U2391" i="1"/>
  <c r="T2391" i="1"/>
  <c r="S2391" i="1"/>
  <c r="R2391" i="1"/>
  <c r="Q2391" i="1"/>
  <c r="U2390" i="1"/>
  <c r="T2390" i="1"/>
  <c r="S2390" i="1"/>
  <c r="R2390" i="1"/>
  <c r="Q2390" i="1"/>
  <c r="U2389" i="1"/>
  <c r="T2389" i="1"/>
  <c r="S2389" i="1"/>
  <c r="R2389" i="1"/>
  <c r="Q2389" i="1"/>
  <c r="U2388" i="1"/>
  <c r="T2388" i="1"/>
  <c r="S2388" i="1"/>
  <c r="R2388" i="1"/>
  <c r="Q2388" i="1"/>
  <c r="U2387" i="1"/>
  <c r="T2387" i="1"/>
  <c r="S2387" i="1"/>
  <c r="R2387" i="1"/>
  <c r="Q2387" i="1"/>
  <c r="U2386" i="1"/>
  <c r="T2386" i="1"/>
  <c r="S2386" i="1"/>
  <c r="R2386" i="1"/>
  <c r="Q2386" i="1"/>
  <c r="U2385" i="1"/>
  <c r="T2385" i="1"/>
  <c r="S2385" i="1"/>
  <c r="R2385" i="1"/>
  <c r="Q2385" i="1"/>
  <c r="U2384" i="1"/>
  <c r="T2384" i="1"/>
  <c r="S2384" i="1"/>
  <c r="R2384" i="1"/>
  <c r="Q2384" i="1"/>
  <c r="U2383" i="1"/>
  <c r="T2383" i="1"/>
  <c r="S2383" i="1"/>
  <c r="R2383" i="1"/>
  <c r="Q2383" i="1"/>
  <c r="U2382" i="1"/>
  <c r="T2382" i="1"/>
  <c r="S2382" i="1"/>
  <c r="R2382" i="1"/>
  <c r="Q2382" i="1"/>
  <c r="U2381" i="1"/>
  <c r="T2381" i="1"/>
  <c r="S2381" i="1"/>
  <c r="R2381" i="1"/>
  <c r="Q2381" i="1"/>
  <c r="U2380" i="1"/>
  <c r="T2380" i="1"/>
  <c r="S2380" i="1"/>
  <c r="R2380" i="1"/>
  <c r="Q2380" i="1"/>
  <c r="U2379" i="1"/>
  <c r="T2379" i="1"/>
  <c r="S2379" i="1"/>
  <c r="R2379" i="1"/>
  <c r="Q2379" i="1"/>
  <c r="U2378" i="1"/>
  <c r="T2378" i="1"/>
  <c r="S2378" i="1"/>
  <c r="R2378" i="1"/>
  <c r="Q2378" i="1"/>
  <c r="U2377" i="1"/>
  <c r="T2377" i="1"/>
  <c r="S2377" i="1"/>
  <c r="R2377" i="1"/>
  <c r="Q2377" i="1"/>
  <c r="U2376" i="1"/>
  <c r="T2376" i="1"/>
  <c r="S2376" i="1"/>
  <c r="R2376" i="1"/>
  <c r="Q2376" i="1"/>
  <c r="U2375" i="1"/>
  <c r="T2375" i="1"/>
  <c r="S2375" i="1"/>
  <c r="R2375" i="1"/>
  <c r="Q2375" i="1"/>
  <c r="U2374" i="1"/>
  <c r="T2374" i="1"/>
  <c r="S2374" i="1"/>
  <c r="R2374" i="1"/>
  <c r="Q2374" i="1"/>
  <c r="U2373" i="1"/>
  <c r="T2373" i="1"/>
  <c r="S2373" i="1"/>
  <c r="R2373" i="1"/>
  <c r="Q2373" i="1"/>
  <c r="U2372" i="1"/>
  <c r="T2372" i="1"/>
  <c r="S2372" i="1"/>
  <c r="R2372" i="1"/>
  <c r="Q2372" i="1"/>
  <c r="U2371" i="1"/>
  <c r="T2371" i="1"/>
  <c r="S2371" i="1"/>
  <c r="R2371" i="1"/>
  <c r="Q2371" i="1"/>
  <c r="U2370" i="1"/>
  <c r="T2370" i="1"/>
  <c r="S2370" i="1"/>
  <c r="R2370" i="1"/>
  <c r="Q2370" i="1"/>
  <c r="U2369" i="1"/>
  <c r="T2369" i="1"/>
  <c r="S2369" i="1"/>
  <c r="R2369" i="1"/>
  <c r="Q2369" i="1"/>
  <c r="U2368" i="1"/>
  <c r="T2368" i="1"/>
  <c r="S2368" i="1"/>
  <c r="R2368" i="1"/>
  <c r="Q2368" i="1"/>
  <c r="U2367" i="1"/>
  <c r="T2367" i="1"/>
  <c r="S2367" i="1"/>
  <c r="R2367" i="1"/>
  <c r="Q2367" i="1"/>
  <c r="U2366" i="1"/>
  <c r="T2366" i="1"/>
  <c r="S2366" i="1"/>
  <c r="R2366" i="1"/>
  <c r="Q2366" i="1"/>
  <c r="U2365" i="1"/>
  <c r="T2365" i="1"/>
  <c r="S2365" i="1"/>
  <c r="R2365" i="1"/>
  <c r="Q2365" i="1"/>
  <c r="U2364" i="1"/>
  <c r="T2364" i="1"/>
  <c r="S2364" i="1"/>
  <c r="R2364" i="1"/>
  <c r="Q2364" i="1"/>
  <c r="U2363" i="1"/>
  <c r="T2363" i="1"/>
  <c r="S2363" i="1"/>
  <c r="R2363" i="1"/>
  <c r="Q2363" i="1"/>
  <c r="U2362" i="1"/>
  <c r="T2362" i="1"/>
  <c r="S2362" i="1"/>
  <c r="R2362" i="1"/>
  <c r="Q2362" i="1"/>
  <c r="U2361" i="1"/>
  <c r="T2361" i="1"/>
  <c r="S2361" i="1"/>
  <c r="R2361" i="1"/>
  <c r="Q2361" i="1"/>
  <c r="U2360" i="1"/>
  <c r="T2360" i="1"/>
  <c r="S2360" i="1"/>
  <c r="R2360" i="1"/>
  <c r="Q2360" i="1"/>
  <c r="U2359" i="1"/>
  <c r="T2359" i="1"/>
  <c r="S2359" i="1"/>
  <c r="R2359" i="1"/>
  <c r="Q2359" i="1"/>
  <c r="U2358" i="1"/>
  <c r="T2358" i="1"/>
  <c r="S2358" i="1"/>
  <c r="R2358" i="1"/>
  <c r="Q2358" i="1"/>
  <c r="U2357" i="1"/>
  <c r="T2357" i="1"/>
  <c r="S2357" i="1"/>
  <c r="R2357" i="1"/>
  <c r="Q2357" i="1"/>
  <c r="U2356" i="1"/>
  <c r="T2356" i="1"/>
  <c r="S2356" i="1"/>
  <c r="R2356" i="1"/>
  <c r="Q2356" i="1"/>
  <c r="U2355" i="1"/>
  <c r="T2355" i="1"/>
  <c r="S2355" i="1"/>
  <c r="R2355" i="1"/>
  <c r="Q2355" i="1"/>
  <c r="U2354" i="1"/>
  <c r="T2354" i="1"/>
  <c r="S2354" i="1"/>
  <c r="R2354" i="1"/>
  <c r="Q2354" i="1"/>
  <c r="U2353" i="1"/>
  <c r="T2353" i="1"/>
  <c r="S2353" i="1"/>
  <c r="R2353" i="1"/>
  <c r="Q2353" i="1"/>
  <c r="U2352" i="1"/>
  <c r="T2352" i="1"/>
  <c r="S2352" i="1"/>
  <c r="R2352" i="1"/>
  <c r="Q2352" i="1"/>
  <c r="U2351" i="1"/>
  <c r="T2351" i="1"/>
  <c r="S2351" i="1"/>
  <c r="R2351" i="1"/>
  <c r="Q2351" i="1"/>
  <c r="U2350" i="1"/>
  <c r="T2350" i="1"/>
  <c r="S2350" i="1"/>
  <c r="R2350" i="1"/>
  <c r="Q2350" i="1"/>
  <c r="U2349" i="1"/>
  <c r="T2349" i="1"/>
  <c r="S2349" i="1"/>
  <c r="R2349" i="1"/>
  <c r="Q2349" i="1"/>
  <c r="U2348" i="1"/>
  <c r="T2348" i="1"/>
  <c r="S2348" i="1"/>
  <c r="R2348" i="1"/>
  <c r="Q2348" i="1"/>
  <c r="U2347" i="1"/>
  <c r="T2347" i="1"/>
  <c r="S2347" i="1"/>
  <c r="R2347" i="1"/>
  <c r="Q2347" i="1"/>
  <c r="U2346" i="1"/>
  <c r="T2346" i="1"/>
  <c r="S2346" i="1"/>
  <c r="R2346" i="1"/>
  <c r="Q2346" i="1"/>
  <c r="U2345" i="1"/>
  <c r="T2345" i="1"/>
  <c r="S2345" i="1"/>
  <c r="R2345" i="1"/>
  <c r="Q2345" i="1"/>
  <c r="U2344" i="1"/>
  <c r="T2344" i="1"/>
  <c r="S2344" i="1"/>
  <c r="R2344" i="1"/>
  <c r="Q2344" i="1"/>
  <c r="U2343" i="1"/>
  <c r="T2343" i="1"/>
  <c r="S2343" i="1"/>
  <c r="R2343" i="1"/>
  <c r="Q2343" i="1"/>
  <c r="U2342" i="1"/>
  <c r="T2342" i="1"/>
  <c r="S2342" i="1"/>
  <c r="R2342" i="1"/>
  <c r="Q2342" i="1"/>
  <c r="U2341" i="1"/>
  <c r="T2341" i="1"/>
  <c r="S2341" i="1"/>
  <c r="R2341" i="1"/>
  <c r="Q2341" i="1"/>
  <c r="U2340" i="1"/>
  <c r="T2340" i="1"/>
  <c r="S2340" i="1"/>
  <c r="R2340" i="1"/>
  <c r="Q2340" i="1"/>
  <c r="U2339" i="1"/>
  <c r="T2339" i="1"/>
  <c r="S2339" i="1"/>
  <c r="R2339" i="1"/>
  <c r="Q2339" i="1"/>
  <c r="U2338" i="1"/>
  <c r="T2338" i="1"/>
  <c r="S2338" i="1"/>
  <c r="R2338" i="1"/>
  <c r="Q2338" i="1"/>
  <c r="U2337" i="1"/>
  <c r="T2337" i="1"/>
  <c r="S2337" i="1"/>
  <c r="R2337" i="1"/>
  <c r="Q2337" i="1"/>
  <c r="U2336" i="1"/>
  <c r="T2336" i="1"/>
  <c r="S2336" i="1"/>
  <c r="R2336" i="1"/>
  <c r="Q2336" i="1"/>
  <c r="U2335" i="1"/>
  <c r="T2335" i="1"/>
  <c r="S2335" i="1"/>
  <c r="R2335" i="1"/>
  <c r="Q2335" i="1"/>
  <c r="U2334" i="1"/>
  <c r="T2334" i="1"/>
  <c r="S2334" i="1"/>
  <c r="R2334" i="1"/>
  <c r="Q2334" i="1"/>
  <c r="U2333" i="1"/>
  <c r="T2333" i="1"/>
  <c r="S2333" i="1"/>
  <c r="R2333" i="1"/>
  <c r="Q2333" i="1"/>
  <c r="U2332" i="1"/>
  <c r="T2332" i="1"/>
  <c r="S2332" i="1"/>
  <c r="R2332" i="1"/>
  <c r="Q2332" i="1"/>
  <c r="U2331" i="1"/>
  <c r="T2331" i="1"/>
  <c r="S2331" i="1"/>
  <c r="R2331" i="1"/>
  <c r="Q2331" i="1"/>
  <c r="U2330" i="1"/>
  <c r="T2330" i="1"/>
  <c r="S2330" i="1"/>
  <c r="R2330" i="1"/>
  <c r="Q2330" i="1"/>
  <c r="U2329" i="1"/>
  <c r="T2329" i="1"/>
  <c r="S2329" i="1"/>
  <c r="R2329" i="1"/>
  <c r="Q2329" i="1"/>
  <c r="U2328" i="1"/>
  <c r="T2328" i="1"/>
  <c r="S2328" i="1"/>
  <c r="R2328" i="1"/>
  <c r="Q2328" i="1"/>
  <c r="U2327" i="1"/>
  <c r="T2327" i="1"/>
  <c r="S2327" i="1"/>
  <c r="R2327" i="1"/>
  <c r="Q2327" i="1"/>
  <c r="U2326" i="1"/>
  <c r="T2326" i="1"/>
  <c r="S2326" i="1"/>
  <c r="R2326" i="1"/>
  <c r="Q2326" i="1"/>
  <c r="U2325" i="1"/>
  <c r="T2325" i="1"/>
  <c r="S2325" i="1"/>
  <c r="R2325" i="1"/>
  <c r="Q2325" i="1"/>
  <c r="U2324" i="1"/>
  <c r="T2324" i="1"/>
  <c r="S2324" i="1"/>
  <c r="R2324" i="1"/>
  <c r="Q2324" i="1"/>
  <c r="U2323" i="1"/>
  <c r="T2323" i="1"/>
  <c r="S2323" i="1"/>
  <c r="R2323" i="1"/>
  <c r="Q2323" i="1"/>
  <c r="U2322" i="1"/>
  <c r="T2322" i="1"/>
  <c r="S2322" i="1"/>
  <c r="R2322" i="1"/>
  <c r="Q2322" i="1"/>
  <c r="U2321" i="1"/>
  <c r="T2321" i="1"/>
  <c r="S2321" i="1"/>
  <c r="R2321" i="1"/>
  <c r="Q2321" i="1"/>
  <c r="U2320" i="1"/>
  <c r="T2320" i="1"/>
  <c r="S2320" i="1"/>
  <c r="R2320" i="1"/>
  <c r="Q2320" i="1"/>
  <c r="U2319" i="1"/>
  <c r="T2319" i="1"/>
  <c r="S2319" i="1"/>
  <c r="R2319" i="1"/>
  <c r="Q2319" i="1"/>
  <c r="U2318" i="1"/>
  <c r="T2318" i="1"/>
  <c r="S2318" i="1"/>
  <c r="R2318" i="1"/>
  <c r="Q2318" i="1"/>
  <c r="U2317" i="1"/>
  <c r="T2317" i="1"/>
  <c r="S2317" i="1"/>
  <c r="R2317" i="1"/>
  <c r="Q2317" i="1"/>
  <c r="U2316" i="1"/>
  <c r="T2316" i="1"/>
  <c r="S2316" i="1"/>
  <c r="R2316" i="1"/>
  <c r="Q2316" i="1"/>
  <c r="U2315" i="1"/>
  <c r="T2315" i="1"/>
  <c r="S2315" i="1"/>
  <c r="R2315" i="1"/>
  <c r="Q2315" i="1"/>
  <c r="U2314" i="1"/>
  <c r="T2314" i="1"/>
  <c r="S2314" i="1"/>
  <c r="R2314" i="1"/>
  <c r="Q2314" i="1"/>
  <c r="U2313" i="1"/>
  <c r="T2313" i="1"/>
  <c r="S2313" i="1"/>
  <c r="R2313" i="1"/>
  <c r="Q2313" i="1"/>
  <c r="U2312" i="1"/>
  <c r="T2312" i="1"/>
  <c r="S2312" i="1"/>
  <c r="R2312" i="1"/>
  <c r="Q2312" i="1"/>
  <c r="U2311" i="1"/>
  <c r="T2311" i="1"/>
  <c r="S2311" i="1"/>
  <c r="R2311" i="1"/>
  <c r="Q2311" i="1"/>
  <c r="U2310" i="1"/>
  <c r="T2310" i="1"/>
  <c r="S2310" i="1"/>
  <c r="R2310" i="1"/>
  <c r="Q2310" i="1"/>
  <c r="U2309" i="1"/>
  <c r="T2309" i="1"/>
  <c r="S2309" i="1"/>
  <c r="R2309" i="1"/>
  <c r="Q2309" i="1"/>
  <c r="U2308" i="1"/>
  <c r="T2308" i="1"/>
  <c r="S2308" i="1"/>
  <c r="R2308" i="1"/>
  <c r="Q2308" i="1"/>
  <c r="U2307" i="1"/>
  <c r="T2307" i="1"/>
  <c r="S2307" i="1"/>
  <c r="R2307" i="1"/>
  <c r="Q2307" i="1"/>
  <c r="U2306" i="1"/>
  <c r="T2306" i="1"/>
  <c r="S2306" i="1"/>
  <c r="R2306" i="1"/>
  <c r="Q2306" i="1"/>
  <c r="U2305" i="1"/>
  <c r="T2305" i="1"/>
  <c r="S2305" i="1"/>
  <c r="R2305" i="1"/>
  <c r="Q2305" i="1"/>
  <c r="U2304" i="1"/>
  <c r="T2304" i="1"/>
  <c r="S2304" i="1"/>
  <c r="R2304" i="1"/>
  <c r="Q2304" i="1"/>
  <c r="U2303" i="1"/>
  <c r="T2303" i="1"/>
  <c r="S2303" i="1"/>
  <c r="R2303" i="1"/>
  <c r="Q2303" i="1"/>
  <c r="U2302" i="1"/>
  <c r="T2302" i="1"/>
  <c r="S2302" i="1"/>
  <c r="R2302" i="1"/>
  <c r="Q2302" i="1"/>
  <c r="U2301" i="1"/>
  <c r="T2301" i="1"/>
  <c r="S2301" i="1"/>
  <c r="R2301" i="1"/>
  <c r="Q2301" i="1"/>
  <c r="U2300" i="1"/>
  <c r="T2300" i="1"/>
  <c r="S2300" i="1"/>
  <c r="R2300" i="1"/>
  <c r="Q2300" i="1"/>
  <c r="U2299" i="1"/>
  <c r="T2299" i="1"/>
  <c r="S2299" i="1"/>
  <c r="R2299" i="1"/>
  <c r="Q2299" i="1"/>
  <c r="U2298" i="1"/>
  <c r="T2298" i="1"/>
  <c r="S2298" i="1"/>
  <c r="R2298" i="1"/>
  <c r="Q2298" i="1"/>
  <c r="U2297" i="1"/>
  <c r="T2297" i="1"/>
  <c r="S2297" i="1"/>
  <c r="R2297" i="1"/>
  <c r="Q2297" i="1"/>
  <c r="U2296" i="1"/>
  <c r="T2296" i="1"/>
  <c r="S2296" i="1"/>
  <c r="R2296" i="1"/>
  <c r="Q2296" i="1"/>
  <c r="U2295" i="1"/>
  <c r="T2295" i="1"/>
  <c r="S2295" i="1"/>
  <c r="R2295" i="1"/>
  <c r="Q2295" i="1"/>
  <c r="U2294" i="1"/>
  <c r="T2294" i="1"/>
  <c r="S2294" i="1"/>
  <c r="R2294" i="1"/>
  <c r="Q2294" i="1"/>
  <c r="U2293" i="1"/>
  <c r="T2293" i="1"/>
  <c r="S2293" i="1"/>
  <c r="R2293" i="1"/>
  <c r="Q2293" i="1"/>
  <c r="U2292" i="1"/>
  <c r="T2292" i="1"/>
  <c r="S2292" i="1"/>
  <c r="R2292" i="1"/>
  <c r="Q2292" i="1"/>
  <c r="U2291" i="1"/>
  <c r="T2291" i="1"/>
  <c r="S2291" i="1"/>
  <c r="R2291" i="1"/>
  <c r="Q2291" i="1"/>
  <c r="U2290" i="1"/>
  <c r="T2290" i="1"/>
  <c r="S2290" i="1"/>
  <c r="R2290" i="1"/>
  <c r="Q2290" i="1"/>
  <c r="U2289" i="1"/>
  <c r="T2289" i="1"/>
  <c r="S2289" i="1"/>
  <c r="R2289" i="1"/>
  <c r="Q2289" i="1"/>
  <c r="U2288" i="1"/>
  <c r="T2288" i="1"/>
  <c r="S2288" i="1"/>
  <c r="R2288" i="1"/>
  <c r="Q2288" i="1"/>
  <c r="U2287" i="1"/>
  <c r="T2287" i="1"/>
  <c r="S2287" i="1"/>
  <c r="R2287" i="1"/>
  <c r="Q2287" i="1"/>
  <c r="U2286" i="1"/>
  <c r="T2286" i="1"/>
  <c r="S2286" i="1"/>
  <c r="R2286" i="1"/>
  <c r="Q2286" i="1"/>
  <c r="U2285" i="1"/>
  <c r="T2285" i="1"/>
  <c r="S2285" i="1"/>
  <c r="R2285" i="1"/>
  <c r="Q2285" i="1"/>
  <c r="U2284" i="1"/>
  <c r="T2284" i="1"/>
  <c r="S2284" i="1"/>
  <c r="R2284" i="1"/>
  <c r="Q2284" i="1"/>
  <c r="U2283" i="1"/>
  <c r="T2283" i="1"/>
  <c r="S2283" i="1"/>
  <c r="R2283" i="1"/>
  <c r="Q2283" i="1"/>
  <c r="U2282" i="1"/>
  <c r="T2282" i="1"/>
  <c r="S2282" i="1"/>
  <c r="R2282" i="1"/>
  <c r="Q2282" i="1"/>
  <c r="U2281" i="1"/>
  <c r="T2281" i="1"/>
  <c r="S2281" i="1"/>
  <c r="R2281" i="1"/>
  <c r="Q2281" i="1"/>
  <c r="U2280" i="1"/>
  <c r="T2280" i="1"/>
  <c r="S2280" i="1"/>
  <c r="R2280" i="1"/>
  <c r="Q2280" i="1"/>
  <c r="U2279" i="1"/>
  <c r="T2279" i="1"/>
  <c r="S2279" i="1"/>
  <c r="R2279" i="1"/>
  <c r="Q2279" i="1"/>
  <c r="U2278" i="1"/>
  <c r="T2278" i="1"/>
  <c r="S2278" i="1"/>
  <c r="R2278" i="1"/>
  <c r="Q2278" i="1"/>
  <c r="U2277" i="1"/>
  <c r="T2277" i="1"/>
  <c r="S2277" i="1"/>
  <c r="R2277" i="1"/>
  <c r="Q2277" i="1"/>
  <c r="U2276" i="1"/>
  <c r="T2276" i="1"/>
  <c r="S2276" i="1"/>
  <c r="R2276" i="1"/>
  <c r="Q2276" i="1"/>
  <c r="U2275" i="1"/>
  <c r="T2275" i="1"/>
  <c r="S2275" i="1"/>
  <c r="R2275" i="1"/>
  <c r="Q2275" i="1"/>
  <c r="U2274" i="1"/>
  <c r="T2274" i="1"/>
  <c r="S2274" i="1"/>
  <c r="R2274" i="1"/>
  <c r="Q2274" i="1"/>
  <c r="U2273" i="1"/>
  <c r="T2273" i="1"/>
  <c r="S2273" i="1"/>
  <c r="R2273" i="1"/>
  <c r="Q2273" i="1"/>
  <c r="U2272" i="1"/>
  <c r="T2272" i="1"/>
  <c r="S2272" i="1"/>
  <c r="R2272" i="1"/>
  <c r="Q2272" i="1"/>
  <c r="U2271" i="1"/>
  <c r="T2271" i="1"/>
  <c r="S2271" i="1"/>
  <c r="R2271" i="1"/>
  <c r="Q2271" i="1"/>
  <c r="U2270" i="1"/>
  <c r="T2270" i="1"/>
  <c r="S2270" i="1"/>
  <c r="R2270" i="1"/>
  <c r="Q2270" i="1"/>
  <c r="U2269" i="1"/>
  <c r="T2269" i="1"/>
  <c r="S2269" i="1"/>
  <c r="R2269" i="1"/>
  <c r="Q2269" i="1"/>
  <c r="U2268" i="1"/>
  <c r="T2268" i="1"/>
  <c r="S2268" i="1"/>
  <c r="R2268" i="1"/>
  <c r="Q2268" i="1"/>
  <c r="U2267" i="1"/>
  <c r="T2267" i="1"/>
  <c r="S2267" i="1"/>
  <c r="R2267" i="1"/>
  <c r="Q2267" i="1"/>
  <c r="U2266" i="1"/>
  <c r="T2266" i="1"/>
  <c r="S2266" i="1"/>
  <c r="R2266" i="1"/>
  <c r="Q2266" i="1"/>
  <c r="U2265" i="1"/>
  <c r="T2265" i="1"/>
  <c r="S2265" i="1"/>
  <c r="R2265" i="1"/>
  <c r="Q2265" i="1"/>
  <c r="U2264" i="1"/>
  <c r="T2264" i="1"/>
  <c r="S2264" i="1"/>
  <c r="R2264" i="1"/>
  <c r="Q2264" i="1"/>
  <c r="U2263" i="1"/>
  <c r="T2263" i="1"/>
  <c r="S2263" i="1"/>
  <c r="R2263" i="1"/>
  <c r="Q2263" i="1"/>
  <c r="U2262" i="1"/>
  <c r="T2262" i="1"/>
  <c r="S2262" i="1"/>
  <c r="R2262" i="1"/>
  <c r="Q2262" i="1"/>
  <c r="U2261" i="1"/>
  <c r="T2261" i="1"/>
  <c r="S2261" i="1"/>
  <c r="R2261" i="1"/>
  <c r="Q2261" i="1"/>
  <c r="U2260" i="1"/>
  <c r="T2260" i="1"/>
  <c r="S2260" i="1"/>
  <c r="R2260" i="1"/>
  <c r="Q2260" i="1"/>
  <c r="U2259" i="1"/>
  <c r="T2259" i="1"/>
  <c r="S2259" i="1"/>
  <c r="R2259" i="1"/>
  <c r="Q2259" i="1"/>
  <c r="U2258" i="1"/>
  <c r="T2258" i="1"/>
  <c r="S2258" i="1"/>
  <c r="R2258" i="1"/>
  <c r="Q2258" i="1"/>
  <c r="U2257" i="1"/>
  <c r="T2257" i="1"/>
  <c r="S2257" i="1"/>
  <c r="R2257" i="1"/>
  <c r="Q2257" i="1"/>
  <c r="U2256" i="1"/>
  <c r="T2256" i="1"/>
  <c r="S2256" i="1"/>
  <c r="R2256" i="1"/>
  <c r="Q2256" i="1"/>
  <c r="U2255" i="1"/>
  <c r="T2255" i="1"/>
  <c r="S2255" i="1"/>
  <c r="R2255" i="1"/>
  <c r="Q2255" i="1"/>
  <c r="U2254" i="1"/>
  <c r="T2254" i="1"/>
  <c r="S2254" i="1"/>
  <c r="R2254" i="1"/>
  <c r="Q2254" i="1"/>
  <c r="U2253" i="1"/>
  <c r="T2253" i="1"/>
  <c r="S2253" i="1"/>
  <c r="R2253" i="1"/>
  <c r="Q2253" i="1"/>
  <c r="U2252" i="1"/>
  <c r="T2252" i="1"/>
  <c r="S2252" i="1"/>
  <c r="R2252" i="1"/>
  <c r="Q2252" i="1"/>
  <c r="U2251" i="1"/>
  <c r="T2251" i="1"/>
  <c r="S2251" i="1"/>
  <c r="R2251" i="1"/>
  <c r="Q2251" i="1"/>
  <c r="U2250" i="1"/>
  <c r="T2250" i="1"/>
  <c r="S2250" i="1"/>
  <c r="R2250" i="1"/>
  <c r="Q2250" i="1"/>
  <c r="U2249" i="1"/>
  <c r="T2249" i="1"/>
  <c r="S2249" i="1"/>
  <c r="R2249" i="1"/>
  <c r="Q2249" i="1"/>
  <c r="U2248" i="1"/>
  <c r="T2248" i="1"/>
  <c r="S2248" i="1"/>
  <c r="R2248" i="1"/>
  <c r="Q2248" i="1"/>
  <c r="U2247" i="1"/>
  <c r="T2247" i="1"/>
  <c r="S2247" i="1"/>
  <c r="R2247" i="1"/>
  <c r="Q2247" i="1"/>
  <c r="U2246" i="1"/>
  <c r="T2246" i="1"/>
  <c r="S2246" i="1"/>
  <c r="R2246" i="1"/>
  <c r="Q2246" i="1"/>
  <c r="U2245" i="1"/>
  <c r="T2245" i="1"/>
  <c r="S2245" i="1"/>
  <c r="R2245" i="1"/>
  <c r="Q2245" i="1"/>
  <c r="U2244" i="1"/>
  <c r="T2244" i="1"/>
  <c r="S2244" i="1"/>
  <c r="R2244" i="1"/>
  <c r="Q2244" i="1"/>
  <c r="U2243" i="1"/>
  <c r="T2243" i="1"/>
  <c r="S2243" i="1"/>
  <c r="R2243" i="1"/>
  <c r="Q2243" i="1"/>
  <c r="U2242" i="1"/>
  <c r="T2242" i="1"/>
  <c r="S2242" i="1"/>
  <c r="R2242" i="1"/>
  <c r="Q2242" i="1"/>
  <c r="U2241" i="1"/>
  <c r="T2241" i="1"/>
  <c r="S2241" i="1"/>
  <c r="R2241" i="1"/>
  <c r="Q2241" i="1"/>
  <c r="U2240" i="1"/>
  <c r="T2240" i="1"/>
  <c r="S2240" i="1"/>
  <c r="R2240" i="1"/>
  <c r="Q2240" i="1"/>
  <c r="U2239" i="1"/>
  <c r="T2239" i="1"/>
  <c r="S2239" i="1"/>
  <c r="R2239" i="1"/>
  <c r="Q2239" i="1"/>
  <c r="U2238" i="1"/>
  <c r="T2238" i="1"/>
  <c r="S2238" i="1"/>
  <c r="R2238" i="1"/>
  <c r="Q2238" i="1"/>
  <c r="U2237" i="1"/>
  <c r="T2237" i="1"/>
  <c r="S2237" i="1"/>
  <c r="R2237" i="1"/>
  <c r="Q2237" i="1"/>
  <c r="U2236" i="1"/>
  <c r="T2236" i="1"/>
  <c r="S2236" i="1"/>
  <c r="R2236" i="1"/>
  <c r="Q2236" i="1"/>
  <c r="U2235" i="1"/>
  <c r="T2235" i="1"/>
  <c r="S2235" i="1"/>
  <c r="R2235" i="1"/>
  <c r="Q2235" i="1"/>
  <c r="U2234" i="1"/>
  <c r="T2234" i="1"/>
  <c r="S2234" i="1"/>
  <c r="R2234" i="1"/>
  <c r="Q2234" i="1"/>
  <c r="U2233" i="1"/>
  <c r="T2233" i="1"/>
  <c r="S2233" i="1"/>
  <c r="R2233" i="1"/>
  <c r="Q2233" i="1"/>
  <c r="U2232" i="1"/>
  <c r="T2232" i="1"/>
  <c r="S2232" i="1"/>
  <c r="R2232" i="1"/>
  <c r="Q2232" i="1"/>
  <c r="U2231" i="1"/>
  <c r="T2231" i="1"/>
  <c r="S2231" i="1"/>
  <c r="R2231" i="1"/>
  <c r="Q2231" i="1"/>
  <c r="U2230" i="1"/>
  <c r="T2230" i="1"/>
  <c r="S2230" i="1"/>
  <c r="R2230" i="1"/>
  <c r="Q2230" i="1"/>
  <c r="U2229" i="1"/>
  <c r="T2229" i="1"/>
  <c r="S2229" i="1"/>
  <c r="R2229" i="1"/>
  <c r="Q2229" i="1"/>
  <c r="U2228" i="1"/>
  <c r="T2228" i="1"/>
  <c r="S2228" i="1"/>
  <c r="R2228" i="1"/>
  <c r="Q2228" i="1"/>
  <c r="U2227" i="1"/>
  <c r="T2227" i="1"/>
  <c r="S2227" i="1"/>
  <c r="R2227" i="1"/>
  <c r="Q2227" i="1"/>
  <c r="U2226" i="1"/>
  <c r="T2226" i="1"/>
  <c r="S2226" i="1"/>
  <c r="R2226" i="1"/>
  <c r="Q2226" i="1"/>
  <c r="U2225" i="1"/>
  <c r="T2225" i="1"/>
  <c r="S2225" i="1"/>
  <c r="R2225" i="1"/>
  <c r="Q2225" i="1"/>
  <c r="U2224" i="1"/>
  <c r="T2224" i="1"/>
  <c r="S2224" i="1"/>
  <c r="R2224" i="1"/>
  <c r="Q2224" i="1"/>
  <c r="U2223" i="1"/>
  <c r="T2223" i="1"/>
  <c r="S2223" i="1"/>
  <c r="R2223" i="1"/>
  <c r="Q2223" i="1"/>
  <c r="U2222" i="1"/>
  <c r="T2222" i="1"/>
  <c r="S2222" i="1"/>
  <c r="R2222" i="1"/>
  <c r="Q2222" i="1"/>
  <c r="U2221" i="1"/>
  <c r="T2221" i="1"/>
  <c r="S2221" i="1"/>
  <c r="R2221" i="1"/>
  <c r="Q2221" i="1"/>
  <c r="U2220" i="1"/>
  <c r="T2220" i="1"/>
  <c r="S2220" i="1"/>
  <c r="R2220" i="1"/>
  <c r="Q2220" i="1"/>
  <c r="U2219" i="1"/>
  <c r="T2219" i="1"/>
  <c r="S2219" i="1"/>
  <c r="R2219" i="1"/>
  <c r="Q2219" i="1"/>
  <c r="U2218" i="1"/>
  <c r="T2218" i="1"/>
  <c r="S2218" i="1"/>
  <c r="R2218" i="1"/>
  <c r="Q2218" i="1"/>
  <c r="U2217" i="1"/>
  <c r="T2217" i="1"/>
  <c r="S2217" i="1"/>
  <c r="R2217" i="1"/>
  <c r="Q2217" i="1"/>
  <c r="U2216" i="1"/>
  <c r="T2216" i="1"/>
  <c r="S2216" i="1"/>
  <c r="R2216" i="1"/>
  <c r="Q2216" i="1"/>
  <c r="U2215" i="1"/>
  <c r="T2215" i="1"/>
  <c r="S2215" i="1"/>
  <c r="R2215" i="1"/>
  <c r="Q2215" i="1"/>
  <c r="U2214" i="1"/>
  <c r="T2214" i="1"/>
  <c r="S2214" i="1"/>
  <c r="R2214" i="1"/>
  <c r="Q2214" i="1"/>
  <c r="U2213" i="1"/>
  <c r="T2213" i="1"/>
  <c r="S2213" i="1"/>
  <c r="R2213" i="1"/>
  <c r="Q2213" i="1"/>
  <c r="U2212" i="1"/>
  <c r="T2212" i="1"/>
  <c r="S2212" i="1"/>
  <c r="R2212" i="1"/>
  <c r="Q2212" i="1"/>
  <c r="U2211" i="1"/>
  <c r="T2211" i="1"/>
  <c r="S2211" i="1"/>
  <c r="R2211" i="1"/>
  <c r="Q2211" i="1"/>
  <c r="U2210" i="1"/>
  <c r="T2210" i="1"/>
  <c r="S2210" i="1"/>
  <c r="R2210" i="1"/>
  <c r="Q2210" i="1"/>
  <c r="U2209" i="1"/>
  <c r="T2209" i="1"/>
  <c r="S2209" i="1"/>
  <c r="R2209" i="1"/>
  <c r="Q2209" i="1"/>
  <c r="U2208" i="1"/>
  <c r="T2208" i="1"/>
  <c r="S2208" i="1"/>
  <c r="R2208" i="1"/>
  <c r="Q2208" i="1"/>
  <c r="U2207" i="1"/>
  <c r="T2207" i="1"/>
  <c r="S2207" i="1"/>
  <c r="R2207" i="1"/>
  <c r="Q2207" i="1"/>
  <c r="U2206" i="1"/>
  <c r="T2206" i="1"/>
  <c r="S2206" i="1"/>
  <c r="R2206" i="1"/>
  <c r="Q2206" i="1"/>
  <c r="U2205" i="1"/>
  <c r="T2205" i="1"/>
  <c r="S2205" i="1"/>
  <c r="R2205" i="1"/>
  <c r="Q2205" i="1"/>
  <c r="U2204" i="1"/>
  <c r="T2204" i="1"/>
  <c r="S2204" i="1"/>
  <c r="R2204" i="1"/>
  <c r="Q2204" i="1"/>
  <c r="U2203" i="1"/>
  <c r="T2203" i="1"/>
  <c r="S2203" i="1"/>
  <c r="R2203" i="1"/>
  <c r="Q2203" i="1"/>
  <c r="U2202" i="1"/>
  <c r="T2202" i="1"/>
  <c r="S2202" i="1"/>
  <c r="R2202" i="1"/>
  <c r="Q2202" i="1"/>
  <c r="U2201" i="1"/>
  <c r="T2201" i="1"/>
  <c r="S2201" i="1"/>
  <c r="R2201" i="1"/>
  <c r="Q2201" i="1"/>
  <c r="U2200" i="1"/>
  <c r="T2200" i="1"/>
  <c r="S2200" i="1"/>
  <c r="R2200" i="1"/>
  <c r="Q2200" i="1"/>
  <c r="U2199" i="1"/>
  <c r="T2199" i="1"/>
  <c r="S2199" i="1"/>
  <c r="R2199" i="1"/>
  <c r="Q2199" i="1"/>
  <c r="U2198" i="1"/>
  <c r="T2198" i="1"/>
  <c r="S2198" i="1"/>
  <c r="R2198" i="1"/>
  <c r="Q2198" i="1"/>
  <c r="U2197" i="1"/>
  <c r="T2197" i="1"/>
  <c r="S2197" i="1"/>
  <c r="R2197" i="1"/>
  <c r="Q2197" i="1"/>
  <c r="U2196" i="1"/>
  <c r="T2196" i="1"/>
  <c r="S2196" i="1"/>
  <c r="R2196" i="1"/>
  <c r="Q2196" i="1"/>
  <c r="U2195" i="1"/>
  <c r="T2195" i="1"/>
  <c r="S2195" i="1"/>
  <c r="R2195" i="1"/>
  <c r="Q2195" i="1"/>
  <c r="U2194" i="1"/>
  <c r="T2194" i="1"/>
  <c r="S2194" i="1"/>
  <c r="R2194" i="1"/>
  <c r="Q2194" i="1"/>
  <c r="U2193" i="1"/>
  <c r="T2193" i="1"/>
  <c r="S2193" i="1"/>
  <c r="R2193" i="1"/>
  <c r="Q2193" i="1"/>
  <c r="U2192" i="1"/>
  <c r="T2192" i="1"/>
  <c r="S2192" i="1"/>
  <c r="R2192" i="1"/>
  <c r="Q2192" i="1"/>
  <c r="U2191" i="1"/>
  <c r="T2191" i="1"/>
  <c r="S2191" i="1"/>
  <c r="R2191" i="1"/>
  <c r="Q2191" i="1"/>
  <c r="U2190" i="1"/>
  <c r="T2190" i="1"/>
  <c r="S2190" i="1"/>
  <c r="R2190" i="1"/>
  <c r="Q2190" i="1"/>
  <c r="U2189" i="1"/>
  <c r="T2189" i="1"/>
  <c r="S2189" i="1"/>
  <c r="R2189" i="1"/>
  <c r="Q2189" i="1"/>
  <c r="U2188" i="1"/>
  <c r="T2188" i="1"/>
  <c r="S2188" i="1"/>
  <c r="R2188" i="1"/>
  <c r="Q2188" i="1"/>
  <c r="U2187" i="1"/>
  <c r="T2187" i="1"/>
  <c r="S2187" i="1"/>
  <c r="R2187" i="1"/>
  <c r="Q2187" i="1"/>
  <c r="U2186" i="1"/>
  <c r="T2186" i="1"/>
  <c r="S2186" i="1"/>
  <c r="R2186" i="1"/>
  <c r="Q2186" i="1"/>
  <c r="U2185" i="1"/>
  <c r="T2185" i="1"/>
  <c r="S2185" i="1"/>
  <c r="R2185" i="1"/>
  <c r="Q2185" i="1"/>
  <c r="U2184" i="1"/>
  <c r="T2184" i="1"/>
  <c r="S2184" i="1"/>
  <c r="R2184" i="1"/>
  <c r="Q2184" i="1"/>
  <c r="U2183" i="1"/>
  <c r="T2183" i="1"/>
  <c r="S2183" i="1"/>
  <c r="R2183" i="1"/>
  <c r="Q2183" i="1"/>
  <c r="U2182" i="1"/>
  <c r="T2182" i="1"/>
  <c r="S2182" i="1"/>
  <c r="R2182" i="1"/>
  <c r="Q2182" i="1"/>
  <c r="U2181" i="1"/>
  <c r="T2181" i="1"/>
  <c r="S2181" i="1"/>
  <c r="R2181" i="1"/>
  <c r="Q2181" i="1"/>
  <c r="U2180" i="1"/>
  <c r="T2180" i="1"/>
  <c r="S2180" i="1"/>
  <c r="R2180" i="1"/>
  <c r="Q2180" i="1"/>
  <c r="U2179" i="1"/>
  <c r="T2179" i="1"/>
  <c r="S2179" i="1"/>
  <c r="R2179" i="1"/>
  <c r="Q2179" i="1"/>
  <c r="U2178" i="1"/>
  <c r="T2178" i="1"/>
  <c r="S2178" i="1"/>
  <c r="R2178" i="1"/>
  <c r="Q2178" i="1"/>
  <c r="U2177" i="1"/>
  <c r="T2177" i="1"/>
  <c r="S2177" i="1"/>
  <c r="R2177" i="1"/>
  <c r="Q2177" i="1"/>
  <c r="U2176" i="1"/>
  <c r="T2176" i="1"/>
  <c r="S2176" i="1"/>
  <c r="R2176" i="1"/>
  <c r="Q2176" i="1"/>
  <c r="U2175" i="1"/>
  <c r="T2175" i="1"/>
  <c r="S2175" i="1"/>
  <c r="R2175" i="1"/>
  <c r="Q2175" i="1"/>
  <c r="U2174" i="1"/>
  <c r="T2174" i="1"/>
  <c r="S2174" i="1"/>
  <c r="R2174" i="1"/>
  <c r="Q2174" i="1"/>
  <c r="U2173" i="1"/>
  <c r="T2173" i="1"/>
  <c r="S2173" i="1"/>
  <c r="R2173" i="1"/>
  <c r="Q2173" i="1"/>
  <c r="U2172" i="1"/>
  <c r="T2172" i="1"/>
  <c r="S2172" i="1"/>
  <c r="R2172" i="1"/>
  <c r="Q2172" i="1"/>
  <c r="U2171" i="1"/>
  <c r="T2171" i="1"/>
  <c r="S2171" i="1"/>
  <c r="R2171" i="1"/>
  <c r="Q2171" i="1"/>
  <c r="U2170" i="1"/>
  <c r="T2170" i="1"/>
  <c r="S2170" i="1"/>
  <c r="R2170" i="1"/>
  <c r="Q2170" i="1"/>
  <c r="U2169" i="1"/>
  <c r="T2169" i="1"/>
  <c r="S2169" i="1"/>
  <c r="R2169" i="1"/>
  <c r="Q2169" i="1"/>
  <c r="U2168" i="1"/>
  <c r="T2168" i="1"/>
  <c r="S2168" i="1"/>
  <c r="R2168" i="1"/>
  <c r="Q2168" i="1"/>
  <c r="U2167" i="1"/>
  <c r="T2167" i="1"/>
  <c r="S2167" i="1"/>
  <c r="R2167" i="1"/>
  <c r="Q2167" i="1"/>
  <c r="U2166" i="1"/>
  <c r="T2166" i="1"/>
  <c r="S2166" i="1"/>
  <c r="R2166" i="1"/>
  <c r="Q2166" i="1"/>
  <c r="U2165" i="1"/>
  <c r="T2165" i="1"/>
  <c r="S2165" i="1"/>
  <c r="R2165" i="1"/>
  <c r="Q2165" i="1"/>
  <c r="U2164" i="1"/>
  <c r="T2164" i="1"/>
  <c r="S2164" i="1"/>
  <c r="R2164" i="1"/>
  <c r="Q2164" i="1"/>
  <c r="U2163" i="1"/>
  <c r="T2163" i="1"/>
  <c r="S2163" i="1"/>
  <c r="R2163" i="1"/>
  <c r="Q2163" i="1"/>
  <c r="U2162" i="1"/>
  <c r="T2162" i="1"/>
  <c r="S2162" i="1"/>
  <c r="R2162" i="1"/>
  <c r="Q2162" i="1"/>
  <c r="U2161" i="1"/>
  <c r="T2161" i="1"/>
  <c r="S2161" i="1"/>
  <c r="R2161" i="1"/>
  <c r="Q2161" i="1"/>
  <c r="U2160" i="1"/>
  <c r="T2160" i="1"/>
  <c r="S2160" i="1"/>
  <c r="R2160" i="1"/>
  <c r="Q2160" i="1"/>
  <c r="U2159" i="1"/>
  <c r="T2159" i="1"/>
  <c r="S2159" i="1"/>
  <c r="R2159" i="1"/>
  <c r="Q2159" i="1"/>
  <c r="U2158" i="1"/>
  <c r="T2158" i="1"/>
  <c r="S2158" i="1"/>
  <c r="R2158" i="1"/>
  <c r="Q2158" i="1"/>
  <c r="U2157" i="1"/>
  <c r="T2157" i="1"/>
  <c r="S2157" i="1"/>
  <c r="R2157" i="1"/>
  <c r="Q2157" i="1"/>
  <c r="U2156" i="1"/>
  <c r="T2156" i="1"/>
  <c r="S2156" i="1"/>
  <c r="R2156" i="1"/>
  <c r="Q2156" i="1"/>
  <c r="U2155" i="1"/>
  <c r="T2155" i="1"/>
  <c r="S2155" i="1"/>
  <c r="R2155" i="1"/>
  <c r="Q2155" i="1"/>
  <c r="U2154" i="1"/>
  <c r="T2154" i="1"/>
  <c r="S2154" i="1"/>
  <c r="R2154" i="1"/>
  <c r="Q2154" i="1"/>
  <c r="U2153" i="1"/>
  <c r="T2153" i="1"/>
  <c r="S2153" i="1"/>
  <c r="R2153" i="1"/>
  <c r="Q2153" i="1"/>
  <c r="U2152" i="1"/>
  <c r="T2152" i="1"/>
  <c r="S2152" i="1"/>
  <c r="R2152" i="1"/>
  <c r="Q2152" i="1"/>
  <c r="U2151" i="1"/>
  <c r="T2151" i="1"/>
  <c r="S2151" i="1"/>
  <c r="R2151" i="1"/>
  <c r="Q2151" i="1"/>
  <c r="U2150" i="1"/>
  <c r="T2150" i="1"/>
  <c r="S2150" i="1"/>
  <c r="R2150" i="1"/>
  <c r="Q2150" i="1"/>
  <c r="U2149" i="1"/>
  <c r="T2149" i="1"/>
  <c r="S2149" i="1"/>
  <c r="R2149" i="1"/>
  <c r="Q2149" i="1"/>
  <c r="U2148" i="1"/>
  <c r="T2148" i="1"/>
  <c r="S2148" i="1"/>
  <c r="R2148" i="1"/>
  <c r="Q2148" i="1"/>
  <c r="U2147" i="1"/>
  <c r="T2147" i="1"/>
  <c r="S2147" i="1"/>
  <c r="R2147" i="1"/>
  <c r="Q2147" i="1"/>
  <c r="U2146" i="1"/>
  <c r="T2146" i="1"/>
  <c r="S2146" i="1"/>
  <c r="R2146" i="1"/>
  <c r="Q2146" i="1"/>
  <c r="U2145" i="1"/>
  <c r="T2145" i="1"/>
  <c r="S2145" i="1"/>
  <c r="R2145" i="1"/>
  <c r="Q2145" i="1"/>
  <c r="U2144" i="1"/>
  <c r="T2144" i="1"/>
  <c r="S2144" i="1"/>
  <c r="R2144" i="1"/>
  <c r="Q2144" i="1"/>
  <c r="U2143" i="1"/>
  <c r="T2143" i="1"/>
  <c r="S2143" i="1"/>
  <c r="R2143" i="1"/>
  <c r="Q2143" i="1"/>
  <c r="U2142" i="1"/>
  <c r="T2142" i="1"/>
  <c r="S2142" i="1"/>
  <c r="R2142" i="1"/>
  <c r="Q2142" i="1"/>
  <c r="U2141" i="1"/>
  <c r="T2141" i="1"/>
  <c r="S2141" i="1"/>
  <c r="R2141" i="1"/>
  <c r="Q2141" i="1"/>
  <c r="U2140" i="1"/>
  <c r="T2140" i="1"/>
  <c r="S2140" i="1"/>
  <c r="R2140" i="1"/>
  <c r="Q2140" i="1"/>
  <c r="U2139" i="1"/>
  <c r="T2139" i="1"/>
  <c r="S2139" i="1"/>
  <c r="R2139" i="1"/>
  <c r="Q2139" i="1"/>
  <c r="U2138" i="1"/>
  <c r="T2138" i="1"/>
  <c r="S2138" i="1"/>
  <c r="R2138" i="1"/>
  <c r="Q2138" i="1"/>
  <c r="U2137" i="1"/>
  <c r="T2137" i="1"/>
  <c r="S2137" i="1"/>
  <c r="R2137" i="1"/>
  <c r="Q2137" i="1"/>
  <c r="U2136" i="1"/>
  <c r="T2136" i="1"/>
  <c r="S2136" i="1"/>
  <c r="R2136" i="1"/>
  <c r="Q2136" i="1"/>
  <c r="U2135" i="1"/>
  <c r="T2135" i="1"/>
  <c r="S2135" i="1"/>
  <c r="R2135" i="1"/>
  <c r="Q2135" i="1"/>
  <c r="U2134" i="1"/>
  <c r="T2134" i="1"/>
  <c r="S2134" i="1"/>
  <c r="R2134" i="1"/>
  <c r="Q2134" i="1"/>
  <c r="U2133" i="1"/>
  <c r="T2133" i="1"/>
  <c r="S2133" i="1"/>
  <c r="R2133" i="1"/>
  <c r="Q2133" i="1"/>
  <c r="U2132" i="1"/>
  <c r="T2132" i="1"/>
  <c r="S2132" i="1"/>
  <c r="R2132" i="1"/>
  <c r="Q2132" i="1"/>
  <c r="U2131" i="1"/>
  <c r="T2131" i="1"/>
  <c r="S2131" i="1"/>
  <c r="R2131" i="1"/>
  <c r="Q2131" i="1"/>
  <c r="U2130" i="1"/>
  <c r="T2130" i="1"/>
  <c r="S2130" i="1"/>
  <c r="R2130" i="1"/>
  <c r="Q2130" i="1"/>
  <c r="U2129" i="1"/>
  <c r="T2129" i="1"/>
  <c r="S2129" i="1"/>
  <c r="R2129" i="1"/>
  <c r="Q2129" i="1"/>
  <c r="U2128" i="1"/>
  <c r="T2128" i="1"/>
  <c r="S2128" i="1"/>
  <c r="R2128" i="1"/>
  <c r="Q2128" i="1"/>
  <c r="U2127" i="1"/>
  <c r="T2127" i="1"/>
  <c r="S2127" i="1"/>
  <c r="R2127" i="1"/>
  <c r="Q2127" i="1"/>
  <c r="U2126" i="1"/>
  <c r="T2126" i="1"/>
  <c r="S2126" i="1"/>
  <c r="R2126" i="1"/>
  <c r="Q2126" i="1"/>
  <c r="U2125" i="1"/>
  <c r="T2125" i="1"/>
  <c r="S2125" i="1"/>
  <c r="R2125" i="1"/>
  <c r="Q2125" i="1"/>
  <c r="U2124" i="1"/>
  <c r="T2124" i="1"/>
  <c r="S2124" i="1"/>
  <c r="R2124" i="1"/>
  <c r="Q2124" i="1"/>
  <c r="U2123" i="1"/>
  <c r="T2123" i="1"/>
  <c r="S2123" i="1"/>
  <c r="R2123" i="1"/>
  <c r="Q2123" i="1"/>
  <c r="U2122" i="1"/>
  <c r="T2122" i="1"/>
  <c r="S2122" i="1"/>
  <c r="R2122" i="1"/>
  <c r="Q2122" i="1"/>
  <c r="U2121" i="1"/>
  <c r="T2121" i="1"/>
  <c r="S2121" i="1"/>
  <c r="R2121" i="1"/>
  <c r="Q2121" i="1"/>
  <c r="U2120" i="1"/>
  <c r="T2120" i="1"/>
  <c r="S2120" i="1"/>
  <c r="R2120" i="1"/>
  <c r="Q2120" i="1"/>
  <c r="U2119" i="1"/>
  <c r="T2119" i="1"/>
  <c r="S2119" i="1"/>
  <c r="R2119" i="1"/>
  <c r="Q2119" i="1"/>
  <c r="U2118" i="1"/>
  <c r="T2118" i="1"/>
  <c r="S2118" i="1"/>
  <c r="R2118" i="1"/>
  <c r="Q2118" i="1"/>
  <c r="U2117" i="1"/>
  <c r="T2117" i="1"/>
  <c r="S2117" i="1"/>
  <c r="R2117" i="1"/>
  <c r="Q2117" i="1"/>
  <c r="U2116" i="1"/>
  <c r="T2116" i="1"/>
  <c r="S2116" i="1"/>
  <c r="R2116" i="1"/>
  <c r="Q2116" i="1"/>
  <c r="U2115" i="1"/>
  <c r="T2115" i="1"/>
  <c r="S2115" i="1"/>
  <c r="R2115" i="1"/>
  <c r="Q2115" i="1"/>
  <c r="U2114" i="1"/>
  <c r="T2114" i="1"/>
  <c r="S2114" i="1"/>
  <c r="R2114" i="1"/>
  <c r="Q2114" i="1"/>
  <c r="U2113" i="1"/>
  <c r="T2113" i="1"/>
  <c r="S2113" i="1"/>
  <c r="R2113" i="1"/>
  <c r="Q2113" i="1"/>
  <c r="U2112" i="1"/>
  <c r="T2112" i="1"/>
  <c r="S2112" i="1"/>
  <c r="R2112" i="1"/>
  <c r="Q2112" i="1"/>
  <c r="U2111" i="1"/>
  <c r="T2111" i="1"/>
  <c r="S2111" i="1"/>
  <c r="R2111" i="1"/>
  <c r="Q2111" i="1"/>
  <c r="U2110" i="1"/>
  <c r="T2110" i="1"/>
  <c r="S2110" i="1"/>
  <c r="R2110" i="1"/>
  <c r="Q2110" i="1"/>
  <c r="U2109" i="1"/>
  <c r="T2109" i="1"/>
  <c r="S2109" i="1"/>
  <c r="R2109" i="1"/>
  <c r="Q2109" i="1"/>
  <c r="U2108" i="1"/>
  <c r="T2108" i="1"/>
  <c r="S2108" i="1"/>
  <c r="R2108" i="1"/>
  <c r="Q2108" i="1"/>
  <c r="U2107" i="1"/>
  <c r="T2107" i="1"/>
  <c r="S2107" i="1"/>
  <c r="R2107" i="1"/>
  <c r="Q2107" i="1"/>
  <c r="U2106" i="1"/>
  <c r="T2106" i="1"/>
  <c r="S2106" i="1"/>
  <c r="R2106" i="1"/>
  <c r="Q2106" i="1"/>
  <c r="U2105" i="1"/>
  <c r="T2105" i="1"/>
  <c r="S2105" i="1"/>
  <c r="R2105" i="1"/>
  <c r="Q2105" i="1"/>
  <c r="U2104" i="1"/>
  <c r="T2104" i="1"/>
  <c r="S2104" i="1"/>
  <c r="R2104" i="1"/>
  <c r="Q2104" i="1"/>
  <c r="U2103" i="1"/>
  <c r="T2103" i="1"/>
  <c r="S2103" i="1"/>
  <c r="R2103" i="1"/>
  <c r="Q2103" i="1"/>
  <c r="U2102" i="1"/>
  <c r="T2102" i="1"/>
  <c r="S2102" i="1"/>
  <c r="R2102" i="1"/>
  <c r="Q2102" i="1"/>
  <c r="U2101" i="1"/>
  <c r="T2101" i="1"/>
  <c r="S2101" i="1"/>
  <c r="R2101" i="1"/>
  <c r="Q2101" i="1"/>
  <c r="U2100" i="1"/>
  <c r="T2100" i="1"/>
  <c r="S2100" i="1"/>
  <c r="R2100" i="1"/>
  <c r="Q2100" i="1"/>
  <c r="U2099" i="1"/>
  <c r="T2099" i="1"/>
  <c r="S2099" i="1"/>
  <c r="R2099" i="1"/>
  <c r="Q2099" i="1"/>
  <c r="U2098" i="1"/>
  <c r="T2098" i="1"/>
  <c r="S2098" i="1"/>
  <c r="R2098" i="1"/>
  <c r="Q2098" i="1"/>
  <c r="U2097" i="1"/>
  <c r="T2097" i="1"/>
  <c r="S2097" i="1"/>
  <c r="R2097" i="1"/>
  <c r="Q2097" i="1"/>
  <c r="U2096" i="1"/>
  <c r="T2096" i="1"/>
  <c r="S2096" i="1"/>
  <c r="R2096" i="1"/>
  <c r="Q2096" i="1"/>
  <c r="U2095" i="1"/>
  <c r="T2095" i="1"/>
  <c r="S2095" i="1"/>
  <c r="R2095" i="1"/>
  <c r="Q2095" i="1"/>
  <c r="U2094" i="1"/>
  <c r="T2094" i="1"/>
  <c r="S2094" i="1"/>
  <c r="R2094" i="1"/>
  <c r="Q2094" i="1"/>
  <c r="U2093" i="1"/>
  <c r="T2093" i="1"/>
  <c r="S2093" i="1"/>
  <c r="R2093" i="1"/>
  <c r="Q2093" i="1"/>
  <c r="U2092" i="1"/>
  <c r="T2092" i="1"/>
  <c r="S2092" i="1"/>
  <c r="R2092" i="1"/>
  <c r="Q2092" i="1"/>
  <c r="U2091" i="1"/>
  <c r="T2091" i="1"/>
  <c r="S2091" i="1"/>
  <c r="R2091" i="1"/>
  <c r="Q2091" i="1"/>
  <c r="U2090" i="1"/>
  <c r="T2090" i="1"/>
  <c r="S2090" i="1"/>
  <c r="R2090" i="1"/>
  <c r="Q2090" i="1"/>
  <c r="U2089" i="1"/>
  <c r="T2089" i="1"/>
  <c r="S2089" i="1"/>
  <c r="R2089" i="1"/>
  <c r="Q2089" i="1"/>
  <c r="U2088" i="1"/>
  <c r="T2088" i="1"/>
  <c r="S2088" i="1"/>
  <c r="R2088" i="1"/>
  <c r="Q2088" i="1"/>
  <c r="U2087" i="1"/>
  <c r="T2087" i="1"/>
  <c r="S2087" i="1"/>
  <c r="R2087" i="1"/>
  <c r="Q2087" i="1"/>
  <c r="U2086" i="1"/>
  <c r="T2086" i="1"/>
  <c r="S2086" i="1"/>
  <c r="R2086" i="1"/>
  <c r="Q2086" i="1"/>
  <c r="U2085" i="1"/>
  <c r="T2085" i="1"/>
  <c r="S2085" i="1"/>
  <c r="R2085" i="1"/>
  <c r="Q2085" i="1"/>
  <c r="U2084" i="1"/>
  <c r="T2084" i="1"/>
  <c r="S2084" i="1"/>
  <c r="R2084" i="1"/>
  <c r="Q2084" i="1"/>
  <c r="U2083" i="1"/>
  <c r="T2083" i="1"/>
  <c r="S2083" i="1"/>
  <c r="R2083" i="1"/>
  <c r="Q2083" i="1"/>
  <c r="U2082" i="1"/>
  <c r="T2082" i="1"/>
  <c r="S2082" i="1"/>
  <c r="R2082" i="1"/>
  <c r="Q2082" i="1"/>
  <c r="U2081" i="1"/>
  <c r="T2081" i="1"/>
  <c r="S2081" i="1"/>
  <c r="R2081" i="1"/>
  <c r="Q2081" i="1"/>
  <c r="U2080" i="1"/>
  <c r="T2080" i="1"/>
  <c r="S2080" i="1"/>
  <c r="R2080" i="1"/>
  <c r="Q2080" i="1"/>
  <c r="U2079" i="1"/>
  <c r="T2079" i="1"/>
  <c r="S2079" i="1"/>
  <c r="R2079" i="1"/>
  <c r="Q2079" i="1"/>
  <c r="U2078" i="1"/>
  <c r="T2078" i="1"/>
  <c r="S2078" i="1"/>
  <c r="R2078" i="1"/>
  <c r="Q2078" i="1"/>
  <c r="U2077" i="1"/>
  <c r="T2077" i="1"/>
  <c r="S2077" i="1"/>
  <c r="R2077" i="1"/>
  <c r="Q2077" i="1"/>
  <c r="U2076" i="1"/>
  <c r="T2076" i="1"/>
  <c r="S2076" i="1"/>
  <c r="R2076" i="1"/>
  <c r="Q2076" i="1"/>
  <c r="U2075" i="1"/>
  <c r="T2075" i="1"/>
  <c r="S2075" i="1"/>
  <c r="R2075" i="1"/>
  <c r="Q2075" i="1"/>
  <c r="U2074" i="1"/>
  <c r="T2074" i="1"/>
  <c r="S2074" i="1"/>
  <c r="R2074" i="1"/>
  <c r="Q2074" i="1"/>
  <c r="U2073" i="1"/>
  <c r="T2073" i="1"/>
  <c r="S2073" i="1"/>
  <c r="R2073" i="1"/>
  <c r="Q2073" i="1"/>
  <c r="U2072" i="1"/>
  <c r="T2072" i="1"/>
  <c r="S2072" i="1"/>
  <c r="R2072" i="1"/>
  <c r="Q2072" i="1"/>
  <c r="U2071" i="1"/>
  <c r="T2071" i="1"/>
  <c r="S2071" i="1"/>
  <c r="R2071" i="1"/>
  <c r="Q2071" i="1"/>
  <c r="U2070" i="1"/>
  <c r="T2070" i="1"/>
  <c r="S2070" i="1"/>
  <c r="R2070" i="1"/>
  <c r="Q2070" i="1"/>
  <c r="U2069" i="1"/>
  <c r="T2069" i="1"/>
  <c r="S2069" i="1"/>
  <c r="R2069" i="1"/>
  <c r="Q2069" i="1"/>
  <c r="U2068" i="1"/>
  <c r="T2068" i="1"/>
  <c r="S2068" i="1"/>
  <c r="R2068" i="1"/>
  <c r="Q2068" i="1"/>
  <c r="U2067" i="1"/>
  <c r="T2067" i="1"/>
  <c r="S2067" i="1"/>
  <c r="R2067" i="1"/>
  <c r="Q2067" i="1"/>
  <c r="U2066" i="1"/>
  <c r="T2066" i="1"/>
  <c r="S2066" i="1"/>
  <c r="R2066" i="1"/>
  <c r="Q2066" i="1"/>
  <c r="U2065" i="1"/>
  <c r="T2065" i="1"/>
  <c r="S2065" i="1"/>
  <c r="R2065" i="1"/>
  <c r="Q2065" i="1"/>
  <c r="U2064" i="1"/>
  <c r="T2064" i="1"/>
  <c r="S2064" i="1"/>
  <c r="R2064" i="1"/>
  <c r="Q2064" i="1"/>
  <c r="U2063" i="1"/>
  <c r="T2063" i="1"/>
  <c r="S2063" i="1"/>
  <c r="R2063" i="1"/>
  <c r="Q2063" i="1"/>
  <c r="U2062" i="1"/>
  <c r="T2062" i="1"/>
  <c r="S2062" i="1"/>
  <c r="R2062" i="1"/>
  <c r="Q2062" i="1"/>
  <c r="U2061" i="1"/>
  <c r="T2061" i="1"/>
  <c r="S2061" i="1"/>
  <c r="R2061" i="1"/>
  <c r="Q2061" i="1"/>
  <c r="U2060" i="1"/>
  <c r="T2060" i="1"/>
  <c r="S2060" i="1"/>
  <c r="R2060" i="1"/>
  <c r="Q2060" i="1"/>
  <c r="U2059" i="1"/>
  <c r="T2059" i="1"/>
  <c r="S2059" i="1"/>
  <c r="R2059" i="1"/>
  <c r="Q2059" i="1"/>
  <c r="U2058" i="1"/>
  <c r="T2058" i="1"/>
  <c r="S2058" i="1"/>
  <c r="R2058" i="1"/>
  <c r="Q2058" i="1"/>
  <c r="U2057" i="1"/>
  <c r="T2057" i="1"/>
  <c r="S2057" i="1"/>
  <c r="R2057" i="1"/>
  <c r="Q2057" i="1"/>
  <c r="U2056" i="1"/>
  <c r="T2056" i="1"/>
  <c r="S2056" i="1"/>
  <c r="R2056" i="1"/>
  <c r="Q2056" i="1"/>
  <c r="U2055" i="1"/>
  <c r="T2055" i="1"/>
  <c r="S2055" i="1"/>
  <c r="R2055" i="1"/>
  <c r="Q2055" i="1"/>
  <c r="U2054" i="1"/>
  <c r="T2054" i="1"/>
  <c r="S2054" i="1"/>
  <c r="R2054" i="1"/>
  <c r="Q2054" i="1"/>
  <c r="U2053" i="1"/>
  <c r="T2053" i="1"/>
  <c r="S2053" i="1"/>
  <c r="R2053" i="1"/>
  <c r="Q2053" i="1"/>
  <c r="U2052" i="1"/>
  <c r="T2052" i="1"/>
  <c r="S2052" i="1"/>
  <c r="R2052" i="1"/>
  <c r="Q2052" i="1"/>
  <c r="U2051" i="1"/>
  <c r="T2051" i="1"/>
  <c r="S2051" i="1"/>
  <c r="R2051" i="1"/>
  <c r="Q2051" i="1"/>
  <c r="U2050" i="1"/>
  <c r="T2050" i="1"/>
  <c r="S2050" i="1"/>
  <c r="R2050" i="1"/>
  <c r="Q2050" i="1"/>
  <c r="U2049" i="1"/>
  <c r="T2049" i="1"/>
  <c r="S2049" i="1"/>
  <c r="R2049" i="1"/>
  <c r="Q2049" i="1"/>
  <c r="U2048" i="1"/>
  <c r="T2048" i="1"/>
  <c r="S2048" i="1"/>
  <c r="R2048" i="1"/>
  <c r="Q2048" i="1"/>
  <c r="U2047" i="1"/>
  <c r="T2047" i="1"/>
  <c r="S2047" i="1"/>
  <c r="R2047" i="1"/>
  <c r="Q2047" i="1"/>
  <c r="U2046" i="1"/>
  <c r="T2046" i="1"/>
  <c r="S2046" i="1"/>
  <c r="R2046" i="1"/>
  <c r="Q2046" i="1"/>
  <c r="U2045" i="1"/>
  <c r="T2045" i="1"/>
  <c r="S2045" i="1"/>
  <c r="R2045" i="1"/>
  <c r="Q2045" i="1"/>
  <c r="U2044" i="1"/>
  <c r="T2044" i="1"/>
  <c r="S2044" i="1"/>
  <c r="R2044" i="1"/>
  <c r="Q2044" i="1"/>
  <c r="U2043" i="1"/>
  <c r="T2043" i="1"/>
  <c r="S2043" i="1"/>
  <c r="R2043" i="1"/>
  <c r="Q2043" i="1"/>
  <c r="U2042" i="1"/>
  <c r="T2042" i="1"/>
  <c r="S2042" i="1"/>
  <c r="R2042" i="1"/>
  <c r="Q2042" i="1"/>
  <c r="U2041" i="1"/>
  <c r="T2041" i="1"/>
  <c r="S2041" i="1"/>
  <c r="R2041" i="1"/>
  <c r="Q2041" i="1"/>
  <c r="U2040" i="1"/>
  <c r="T2040" i="1"/>
  <c r="S2040" i="1"/>
  <c r="R2040" i="1"/>
  <c r="Q2040" i="1"/>
  <c r="U2039" i="1"/>
  <c r="T2039" i="1"/>
  <c r="S2039" i="1"/>
  <c r="R2039" i="1"/>
  <c r="Q2039" i="1"/>
  <c r="U2038" i="1"/>
  <c r="T2038" i="1"/>
  <c r="S2038" i="1"/>
  <c r="R2038" i="1"/>
  <c r="Q2038" i="1"/>
  <c r="U2037" i="1"/>
  <c r="T2037" i="1"/>
  <c r="S2037" i="1"/>
  <c r="R2037" i="1"/>
  <c r="Q2037" i="1"/>
  <c r="U2036" i="1"/>
  <c r="T2036" i="1"/>
  <c r="S2036" i="1"/>
  <c r="R2036" i="1"/>
  <c r="Q2036" i="1"/>
  <c r="U2035" i="1"/>
  <c r="T2035" i="1"/>
  <c r="S2035" i="1"/>
  <c r="R2035" i="1"/>
  <c r="Q2035" i="1"/>
  <c r="U2034" i="1"/>
  <c r="T2034" i="1"/>
  <c r="S2034" i="1"/>
  <c r="R2034" i="1"/>
  <c r="Q2034" i="1"/>
  <c r="U2033" i="1"/>
  <c r="T2033" i="1"/>
  <c r="S2033" i="1"/>
  <c r="R2033" i="1"/>
  <c r="Q2033" i="1"/>
  <c r="U2032" i="1"/>
  <c r="T2032" i="1"/>
  <c r="S2032" i="1"/>
  <c r="R2032" i="1"/>
  <c r="Q2032" i="1"/>
  <c r="U2031" i="1"/>
  <c r="T2031" i="1"/>
  <c r="S2031" i="1"/>
  <c r="R2031" i="1"/>
  <c r="Q2031" i="1"/>
  <c r="U2030" i="1"/>
  <c r="T2030" i="1"/>
  <c r="S2030" i="1"/>
  <c r="R2030" i="1"/>
  <c r="Q2030" i="1"/>
  <c r="U2029" i="1"/>
  <c r="T2029" i="1"/>
  <c r="S2029" i="1"/>
  <c r="R2029" i="1"/>
  <c r="Q2029" i="1"/>
  <c r="U2028" i="1"/>
  <c r="T2028" i="1"/>
  <c r="S2028" i="1"/>
  <c r="R2028" i="1"/>
  <c r="Q2028" i="1"/>
  <c r="U2027" i="1"/>
  <c r="T2027" i="1"/>
  <c r="S2027" i="1"/>
  <c r="R2027" i="1"/>
  <c r="Q2027" i="1"/>
  <c r="U2026" i="1"/>
  <c r="T2026" i="1"/>
  <c r="S2026" i="1"/>
  <c r="R2026" i="1"/>
  <c r="Q2026" i="1"/>
  <c r="U2025" i="1"/>
  <c r="T2025" i="1"/>
  <c r="S2025" i="1"/>
  <c r="R2025" i="1"/>
  <c r="Q2025" i="1"/>
  <c r="U2024" i="1"/>
  <c r="T2024" i="1"/>
  <c r="S2024" i="1"/>
  <c r="R2024" i="1"/>
  <c r="Q2024" i="1"/>
  <c r="U2023" i="1"/>
  <c r="T2023" i="1"/>
  <c r="S2023" i="1"/>
  <c r="R2023" i="1"/>
  <c r="Q2023" i="1"/>
  <c r="U2022" i="1"/>
  <c r="T2022" i="1"/>
  <c r="S2022" i="1"/>
  <c r="R2022" i="1"/>
  <c r="Q2022" i="1"/>
  <c r="U2021" i="1"/>
  <c r="T2021" i="1"/>
  <c r="S2021" i="1"/>
  <c r="R2021" i="1"/>
  <c r="Q2021" i="1"/>
  <c r="U2020" i="1"/>
  <c r="T2020" i="1"/>
  <c r="S2020" i="1"/>
  <c r="R2020" i="1"/>
  <c r="Q2020" i="1"/>
  <c r="U2019" i="1"/>
  <c r="T2019" i="1"/>
  <c r="S2019" i="1"/>
  <c r="R2019" i="1"/>
  <c r="Q2019" i="1"/>
  <c r="U2018" i="1"/>
  <c r="T2018" i="1"/>
  <c r="S2018" i="1"/>
  <c r="R2018" i="1"/>
  <c r="Q2018" i="1"/>
  <c r="U2017" i="1"/>
  <c r="T2017" i="1"/>
  <c r="S2017" i="1"/>
  <c r="R2017" i="1"/>
  <c r="Q2017" i="1"/>
  <c r="U2016" i="1"/>
  <c r="T2016" i="1"/>
  <c r="S2016" i="1"/>
  <c r="R2016" i="1"/>
  <c r="Q2016" i="1"/>
  <c r="U2015" i="1"/>
  <c r="T2015" i="1"/>
  <c r="S2015" i="1"/>
  <c r="R2015" i="1"/>
  <c r="Q2015" i="1"/>
  <c r="U2014" i="1"/>
  <c r="T2014" i="1"/>
  <c r="S2014" i="1"/>
  <c r="R2014" i="1"/>
  <c r="Q2014" i="1"/>
  <c r="U2013" i="1"/>
  <c r="T2013" i="1"/>
  <c r="S2013" i="1"/>
  <c r="R2013" i="1"/>
  <c r="Q2013" i="1"/>
  <c r="U2012" i="1"/>
  <c r="T2012" i="1"/>
  <c r="S2012" i="1"/>
  <c r="R2012" i="1"/>
  <c r="Q2012" i="1"/>
  <c r="U2011" i="1"/>
  <c r="T2011" i="1"/>
  <c r="S2011" i="1"/>
  <c r="R2011" i="1"/>
  <c r="Q2011" i="1"/>
  <c r="U2010" i="1"/>
  <c r="T2010" i="1"/>
  <c r="S2010" i="1"/>
  <c r="R2010" i="1"/>
  <c r="Q2010" i="1"/>
  <c r="U2009" i="1"/>
  <c r="T2009" i="1"/>
  <c r="S2009" i="1"/>
  <c r="R2009" i="1"/>
  <c r="Q2009" i="1"/>
  <c r="U2008" i="1"/>
  <c r="T2008" i="1"/>
  <c r="S2008" i="1"/>
  <c r="R2008" i="1"/>
  <c r="Q2008" i="1"/>
  <c r="U2007" i="1"/>
  <c r="T2007" i="1"/>
  <c r="S2007" i="1"/>
  <c r="R2007" i="1"/>
  <c r="Q2007" i="1"/>
  <c r="U2006" i="1"/>
  <c r="T2006" i="1"/>
  <c r="S2006" i="1"/>
  <c r="R2006" i="1"/>
  <c r="Q2006" i="1"/>
  <c r="U2005" i="1"/>
  <c r="T2005" i="1"/>
  <c r="S2005" i="1"/>
  <c r="R2005" i="1"/>
  <c r="Q2005" i="1"/>
  <c r="U2004" i="1"/>
  <c r="T2004" i="1"/>
  <c r="S2004" i="1"/>
  <c r="R2004" i="1"/>
  <c r="Q2004" i="1"/>
  <c r="U2003" i="1"/>
  <c r="T2003" i="1"/>
  <c r="S2003" i="1"/>
  <c r="R2003" i="1"/>
  <c r="Q2003" i="1"/>
  <c r="U2002" i="1"/>
  <c r="T2002" i="1"/>
  <c r="S2002" i="1"/>
  <c r="R2002" i="1"/>
  <c r="Q2002" i="1"/>
  <c r="U2001" i="1"/>
  <c r="T2001" i="1"/>
  <c r="S2001" i="1"/>
  <c r="R2001" i="1"/>
  <c r="Q2001" i="1"/>
  <c r="U2000" i="1"/>
  <c r="T2000" i="1"/>
  <c r="S2000" i="1"/>
  <c r="R2000" i="1"/>
  <c r="Q2000" i="1"/>
  <c r="U1999" i="1"/>
  <c r="T1999" i="1"/>
  <c r="S1999" i="1"/>
  <c r="R1999" i="1"/>
  <c r="Q1999" i="1"/>
  <c r="U1998" i="1"/>
  <c r="T1998" i="1"/>
  <c r="S1998" i="1"/>
  <c r="R1998" i="1"/>
  <c r="Q1998" i="1"/>
  <c r="U1997" i="1"/>
  <c r="T1997" i="1"/>
  <c r="S1997" i="1"/>
  <c r="R1997" i="1"/>
  <c r="Q1997" i="1"/>
  <c r="U1996" i="1"/>
  <c r="T1996" i="1"/>
  <c r="S1996" i="1"/>
  <c r="R1996" i="1"/>
  <c r="Q1996" i="1"/>
  <c r="U1995" i="1"/>
  <c r="T1995" i="1"/>
  <c r="S1995" i="1"/>
  <c r="R1995" i="1"/>
  <c r="Q1995" i="1"/>
  <c r="U1994" i="1"/>
  <c r="T1994" i="1"/>
  <c r="S1994" i="1"/>
  <c r="R1994" i="1"/>
  <c r="Q1994" i="1"/>
  <c r="U1993" i="1"/>
  <c r="T1993" i="1"/>
  <c r="S1993" i="1"/>
  <c r="R1993" i="1"/>
  <c r="Q1993" i="1"/>
  <c r="U1992" i="1"/>
  <c r="T1992" i="1"/>
  <c r="S1992" i="1"/>
  <c r="R1992" i="1"/>
  <c r="Q1992" i="1"/>
  <c r="U1991" i="1"/>
  <c r="T1991" i="1"/>
  <c r="S1991" i="1"/>
  <c r="R1991" i="1"/>
  <c r="Q1991" i="1"/>
  <c r="U1990" i="1"/>
  <c r="T1990" i="1"/>
  <c r="S1990" i="1"/>
  <c r="R1990" i="1"/>
  <c r="Q1990" i="1"/>
  <c r="U1989" i="1"/>
  <c r="T1989" i="1"/>
  <c r="S1989" i="1"/>
  <c r="R1989" i="1"/>
  <c r="Q1989" i="1"/>
  <c r="U1988" i="1"/>
  <c r="T1988" i="1"/>
  <c r="S1988" i="1"/>
  <c r="R1988" i="1"/>
  <c r="Q1988" i="1"/>
  <c r="U1987" i="1"/>
  <c r="T1987" i="1"/>
  <c r="S1987" i="1"/>
  <c r="R1987" i="1"/>
  <c r="Q1987" i="1"/>
  <c r="U1986" i="1"/>
  <c r="T1986" i="1"/>
  <c r="S1986" i="1"/>
  <c r="R1986" i="1"/>
  <c r="Q1986" i="1"/>
  <c r="U1985" i="1"/>
  <c r="T1985" i="1"/>
  <c r="S1985" i="1"/>
  <c r="R1985" i="1"/>
  <c r="Q1985" i="1"/>
  <c r="U1984" i="1"/>
  <c r="T1984" i="1"/>
  <c r="S1984" i="1"/>
  <c r="R1984" i="1"/>
  <c r="Q1984" i="1"/>
  <c r="U1983" i="1"/>
  <c r="T1983" i="1"/>
  <c r="S1983" i="1"/>
  <c r="R1983" i="1"/>
  <c r="Q1983" i="1"/>
  <c r="U1982" i="1"/>
  <c r="T1982" i="1"/>
  <c r="S1982" i="1"/>
  <c r="R1982" i="1"/>
  <c r="Q1982" i="1"/>
  <c r="U1981" i="1"/>
  <c r="T1981" i="1"/>
  <c r="S1981" i="1"/>
  <c r="R1981" i="1"/>
  <c r="Q1981" i="1"/>
  <c r="U1980" i="1"/>
  <c r="T1980" i="1"/>
  <c r="S1980" i="1"/>
  <c r="R1980" i="1"/>
  <c r="Q1980" i="1"/>
  <c r="U1979" i="1"/>
  <c r="T1979" i="1"/>
  <c r="S1979" i="1"/>
  <c r="R1979" i="1"/>
  <c r="Q1979" i="1"/>
  <c r="U1978" i="1"/>
  <c r="T1978" i="1"/>
  <c r="S1978" i="1"/>
  <c r="R1978" i="1"/>
  <c r="Q1978" i="1"/>
  <c r="U1977" i="1"/>
  <c r="T1977" i="1"/>
  <c r="S1977" i="1"/>
  <c r="R1977" i="1"/>
  <c r="Q1977" i="1"/>
  <c r="U1976" i="1"/>
  <c r="T1976" i="1"/>
  <c r="S1976" i="1"/>
  <c r="R1976" i="1"/>
  <c r="Q1976" i="1"/>
  <c r="U1975" i="1"/>
  <c r="T1975" i="1"/>
  <c r="S1975" i="1"/>
  <c r="R1975" i="1"/>
  <c r="Q1975" i="1"/>
  <c r="U1974" i="1"/>
  <c r="T1974" i="1"/>
  <c r="S1974" i="1"/>
  <c r="R1974" i="1"/>
  <c r="Q1974" i="1"/>
  <c r="U1973" i="1"/>
  <c r="T1973" i="1"/>
  <c r="S1973" i="1"/>
  <c r="R1973" i="1"/>
  <c r="Q1973" i="1"/>
  <c r="U1972" i="1"/>
  <c r="T1972" i="1"/>
  <c r="S1972" i="1"/>
  <c r="R1972" i="1"/>
  <c r="Q1972" i="1"/>
  <c r="U1971" i="1"/>
  <c r="T1971" i="1"/>
  <c r="S1971" i="1"/>
  <c r="R1971" i="1"/>
  <c r="Q1971" i="1"/>
  <c r="U1970" i="1"/>
  <c r="T1970" i="1"/>
  <c r="S1970" i="1"/>
  <c r="R1970" i="1"/>
  <c r="Q1970" i="1"/>
  <c r="U1969" i="1"/>
  <c r="T1969" i="1"/>
  <c r="S1969" i="1"/>
  <c r="R1969" i="1"/>
  <c r="Q1969" i="1"/>
  <c r="U1968" i="1"/>
  <c r="T1968" i="1"/>
  <c r="S1968" i="1"/>
  <c r="R1968" i="1"/>
  <c r="Q1968" i="1"/>
  <c r="U1967" i="1"/>
  <c r="T1967" i="1"/>
  <c r="S1967" i="1"/>
  <c r="R1967" i="1"/>
  <c r="Q1967" i="1"/>
  <c r="U1966" i="1"/>
  <c r="T1966" i="1"/>
  <c r="S1966" i="1"/>
  <c r="R1966" i="1"/>
  <c r="Q1966" i="1"/>
  <c r="U1965" i="1"/>
  <c r="T1965" i="1"/>
  <c r="S1965" i="1"/>
  <c r="R1965" i="1"/>
  <c r="Q1965" i="1"/>
  <c r="U1964" i="1"/>
  <c r="T1964" i="1"/>
  <c r="S1964" i="1"/>
  <c r="R1964" i="1"/>
  <c r="Q1964" i="1"/>
  <c r="U1963" i="1"/>
  <c r="T1963" i="1"/>
  <c r="S1963" i="1"/>
  <c r="R1963" i="1"/>
  <c r="Q1963" i="1"/>
  <c r="U1962" i="1"/>
  <c r="T1962" i="1"/>
  <c r="S1962" i="1"/>
  <c r="R1962" i="1"/>
  <c r="Q1962" i="1"/>
  <c r="U1961" i="1"/>
  <c r="T1961" i="1"/>
  <c r="S1961" i="1"/>
  <c r="R1961" i="1"/>
  <c r="Q1961" i="1"/>
  <c r="U1960" i="1"/>
  <c r="T1960" i="1"/>
  <c r="S1960" i="1"/>
  <c r="R1960" i="1"/>
  <c r="Q1960" i="1"/>
  <c r="U1959" i="1"/>
  <c r="T1959" i="1"/>
  <c r="S1959" i="1"/>
  <c r="R1959" i="1"/>
  <c r="Q1959" i="1"/>
  <c r="U1958" i="1"/>
  <c r="T1958" i="1"/>
  <c r="S1958" i="1"/>
  <c r="R1958" i="1"/>
  <c r="Q1958" i="1"/>
  <c r="U1957" i="1"/>
  <c r="T1957" i="1"/>
  <c r="S1957" i="1"/>
  <c r="R1957" i="1"/>
  <c r="Q1957" i="1"/>
  <c r="U1956" i="1"/>
  <c r="T1956" i="1"/>
  <c r="S1956" i="1"/>
  <c r="R1956" i="1"/>
  <c r="Q1956" i="1"/>
  <c r="U1955" i="1"/>
  <c r="T1955" i="1"/>
  <c r="S1955" i="1"/>
  <c r="R1955" i="1"/>
  <c r="Q1955" i="1"/>
  <c r="U1954" i="1"/>
  <c r="T1954" i="1"/>
  <c r="S1954" i="1"/>
  <c r="R1954" i="1"/>
  <c r="Q1954" i="1"/>
  <c r="U1953" i="1"/>
  <c r="T1953" i="1"/>
  <c r="S1953" i="1"/>
  <c r="R1953" i="1"/>
  <c r="Q1953" i="1"/>
  <c r="U1952" i="1"/>
  <c r="T1952" i="1"/>
  <c r="S1952" i="1"/>
  <c r="R1952" i="1"/>
  <c r="Q1952" i="1"/>
  <c r="U1951" i="1"/>
  <c r="T1951" i="1"/>
  <c r="S1951" i="1"/>
  <c r="R1951" i="1"/>
  <c r="Q1951" i="1"/>
  <c r="U1950" i="1"/>
  <c r="T1950" i="1"/>
  <c r="S1950" i="1"/>
  <c r="R1950" i="1"/>
  <c r="Q1950" i="1"/>
  <c r="U1949" i="1"/>
  <c r="T1949" i="1"/>
  <c r="S1949" i="1"/>
  <c r="R1949" i="1"/>
  <c r="Q1949" i="1"/>
  <c r="U1948" i="1"/>
  <c r="T1948" i="1"/>
  <c r="S1948" i="1"/>
  <c r="R1948" i="1"/>
  <c r="Q1948" i="1"/>
  <c r="U1947" i="1"/>
  <c r="T1947" i="1"/>
  <c r="S1947" i="1"/>
  <c r="R1947" i="1"/>
  <c r="Q1947" i="1"/>
  <c r="U1946" i="1"/>
  <c r="T1946" i="1"/>
  <c r="S1946" i="1"/>
  <c r="R1946" i="1"/>
  <c r="Q1946" i="1"/>
  <c r="U1945" i="1"/>
  <c r="T1945" i="1"/>
  <c r="S1945" i="1"/>
  <c r="R1945" i="1"/>
  <c r="Q1945" i="1"/>
  <c r="U1944" i="1"/>
  <c r="T1944" i="1"/>
  <c r="S1944" i="1"/>
  <c r="R1944" i="1"/>
  <c r="Q1944" i="1"/>
  <c r="U1943" i="1"/>
  <c r="T1943" i="1"/>
  <c r="S1943" i="1"/>
  <c r="R1943" i="1"/>
  <c r="Q1943" i="1"/>
  <c r="U1942" i="1"/>
  <c r="T1942" i="1"/>
  <c r="S1942" i="1"/>
  <c r="R1942" i="1"/>
  <c r="Q1942" i="1"/>
  <c r="U1941" i="1"/>
  <c r="T1941" i="1"/>
  <c r="S1941" i="1"/>
  <c r="R1941" i="1"/>
  <c r="Q1941" i="1"/>
  <c r="U1940" i="1"/>
  <c r="T1940" i="1"/>
  <c r="S1940" i="1"/>
  <c r="R1940" i="1"/>
  <c r="Q1940" i="1"/>
  <c r="U1939" i="1"/>
  <c r="T1939" i="1"/>
  <c r="S1939" i="1"/>
  <c r="R1939" i="1"/>
  <c r="Q1939" i="1"/>
  <c r="U1938" i="1"/>
  <c r="T1938" i="1"/>
  <c r="S1938" i="1"/>
  <c r="R1938" i="1"/>
  <c r="Q1938" i="1"/>
  <c r="U1937" i="1"/>
  <c r="T1937" i="1"/>
  <c r="S1937" i="1"/>
  <c r="R1937" i="1"/>
  <c r="Q1937" i="1"/>
  <c r="U1936" i="1"/>
  <c r="T1936" i="1"/>
  <c r="S1936" i="1"/>
  <c r="R1936" i="1"/>
  <c r="Q1936" i="1"/>
  <c r="U1935" i="1"/>
  <c r="T1935" i="1"/>
  <c r="S1935" i="1"/>
  <c r="R1935" i="1"/>
  <c r="Q1935" i="1"/>
  <c r="U1934" i="1"/>
  <c r="T1934" i="1"/>
  <c r="S1934" i="1"/>
  <c r="R1934" i="1"/>
  <c r="Q1934" i="1"/>
  <c r="U1933" i="1"/>
  <c r="T1933" i="1"/>
  <c r="S1933" i="1"/>
  <c r="R1933" i="1"/>
  <c r="Q1933" i="1"/>
  <c r="U1932" i="1"/>
  <c r="T1932" i="1"/>
  <c r="S1932" i="1"/>
  <c r="R1932" i="1"/>
  <c r="Q1932" i="1"/>
  <c r="U1931" i="1"/>
  <c r="T1931" i="1"/>
  <c r="S1931" i="1"/>
  <c r="R1931" i="1"/>
  <c r="Q1931" i="1"/>
  <c r="U1930" i="1"/>
  <c r="T1930" i="1"/>
  <c r="S1930" i="1"/>
  <c r="R1930" i="1"/>
  <c r="Q1930" i="1"/>
  <c r="U1929" i="1"/>
  <c r="T1929" i="1"/>
  <c r="S1929" i="1"/>
  <c r="R1929" i="1"/>
  <c r="Q1929" i="1"/>
  <c r="U1928" i="1"/>
  <c r="T1928" i="1"/>
  <c r="S1928" i="1"/>
  <c r="R1928" i="1"/>
  <c r="Q1928" i="1"/>
  <c r="U1927" i="1"/>
  <c r="T1927" i="1"/>
  <c r="S1927" i="1"/>
  <c r="R1927" i="1"/>
  <c r="Q1927" i="1"/>
  <c r="U1926" i="1"/>
  <c r="T1926" i="1"/>
  <c r="S1926" i="1"/>
  <c r="R1926" i="1"/>
  <c r="Q1926" i="1"/>
  <c r="U1925" i="1"/>
  <c r="T1925" i="1"/>
  <c r="S1925" i="1"/>
  <c r="R1925" i="1"/>
  <c r="Q1925" i="1"/>
  <c r="U1924" i="1"/>
  <c r="T1924" i="1"/>
  <c r="S1924" i="1"/>
  <c r="R1924" i="1"/>
  <c r="Q1924" i="1"/>
  <c r="U1923" i="1"/>
  <c r="T1923" i="1"/>
  <c r="S1923" i="1"/>
  <c r="R1923" i="1"/>
  <c r="Q1923" i="1"/>
  <c r="U1922" i="1"/>
  <c r="T1922" i="1"/>
  <c r="S1922" i="1"/>
  <c r="R1922" i="1"/>
  <c r="Q1922" i="1"/>
  <c r="U1921" i="1"/>
  <c r="T1921" i="1"/>
  <c r="S1921" i="1"/>
  <c r="R1921" i="1"/>
  <c r="Q1921" i="1"/>
  <c r="U1920" i="1"/>
  <c r="T1920" i="1"/>
  <c r="S1920" i="1"/>
  <c r="R1920" i="1"/>
  <c r="Q1920" i="1"/>
  <c r="U1919" i="1"/>
  <c r="T1919" i="1"/>
  <c r="S1919" i="1"/>
  <c r="R1919" i="1"/>
  <c r="Q1919" i="1"/>
  <c r="U1918" i="1"/>
  <c r="T1918" i="1"/>
  <c r="S1918" i="1"/>
  <c r="R1918" i="1"/>
  <c r="Q1918" i="1"/>
  <c r="U1917" i="1"/>
  <c r="T1917" i="1"/>
  <c r="S1917" i="1"/>
  <c r="R1917" i="1"/>
  <c r="Q1917" i="1"/>
  <c r="U1916" i="1"/>
  <c r="T1916" i="1"/>
  <c r="S1916" i="1"/>
  <c r="R1916" i="1"/>
  <c r="Q1916" i="1"/>
  <c r="U1915" i="1"/>
  <c r="T1915" i="1"/>
  <c r="S1915" i="1"/>
  <c r="R1915" i="1"/>
  <c r="Q1915" i="1"/>
  <c r="U1914" i="1"/>
  <c r="T1914" i="1"/>
  <c r="S1914" i="1"/>
  <c r="R1914" i="1"/>
  <c r="Q1914" i="1"/>
  <c r="U1913" i="1"/>
  <c r="T1913" i="1"/>
  <c r="S1913" i="1"/>
  <c r="R1913" i="1"/>
  <c r="Q1913" i="1"/>
  <c r="U1912" i="1"/>
  <c r="T1912" i="1"/>
  <c r="S1912" i="1"/>
  <c r="R1912" i="1"/>
  <c r="Q1912" i="1"/>
  <c r="U1911" i="1"/>
  <c r="T1911" i="1"/>
  <c r="S1911" i="1"/>
  <c r="R1911" i="1"/>
  <c r="Q1911" i="1"/>
  <c r="U1910" i="1"/>
  <c r="T1910" i="1"/>
  <c r="S1910" i="1"/>
  <c r="R1910" i="1"/>
  <c r="Q1910" i="1"/>
  <c r="U1909" i="1"/>
  <c r="T1909" i="1"/>
  <c r="S1909" i="1"/>
  <c r="R1909" i="1"/>
  <c r="Q1909" i="1"/>
  <c r="U1908" i="1"/>
  <c r="T1908" i="1"/>
  <c r="S1908" i="1"/>
  <c r="R1908" i="1"/>
  <c r="Q1908" i="1"/>
  <c r="U1907" i="1"/>
  <c r="T1907" i="1"/>
  <c r="S1907" i="1"/>
  <c r="R1907" i="1"/>
  <c r="Q1907" i="1"/>
  <c r="U1906" i="1"/>
  <c r="T1906" i="1"/>
  <c r="S1906" i="1"/>
  <c r="R1906" i="1"/>
  <c r="Q1906" i="1"/>
  <c r="U1905" i="1"/>
  <c r="T1905" i="1"/>
  <c r="S1905" i="1"/>
  <c r="R1905" i="1"/>
  <c r="Q1905" i="1"/>
  <c r="U1904" i="1"/>
  <c r="T1904" i="1"/>
  <c r="S1904" i="1"/>
  <c r="R1904" i="1"/>
  <c r="Q1904" i="1"/>
  <c r="U1903" i="1"/>
  <c r="T1903" i="1"/>
  <c r="S1903" i="1"/>
  <c r="R1903" i="1"/>
  <c r="Q1903" i="1"/>
  <c r="U1902" i="1"/>
  <c r="T1902" i="1"/>
  <c r="S1902" i="1"/>
  <c r="R1902" i="1"/>
  <c r="Q1902" i="1"/>
  <c r="U1901" i="1"/>
  <c r="T1901" i="1"/>
  <c r="S1901" i="1"/>
  <c r="R1901" i="1"/>
  <c r="Q1901" i="1"/>
  <c r="U1900" i="1"/>
  <c r="T1900" i="1"/>
  <c r="S1900" i="1"/>
  <c r="R1900" i="1"/>
  <c r="Q1900" i="1"/>
  <c r="U1899" i="1"/>
  <c r="T1899" i="1"/>
  <c r="S1899" i="1"/>
  <c r="R1899" i="1"/>
  <c r="Q1899" i="1"/>
  <c r="U1898" i="1"/>
  <c r="T1898" i="1"/>
  <c r="S1898" i="1"/>
  <c r="R1898" i="1"/>
  <c r="Q1898" i="1"/>
  <c r="U1897" i="1"/>
  <c r="T1897" i="1"/>
  <c r="S1897" i="1"/>
  <c r="R1897" i="1"/>
  <c r="Q1897" i="1"/>
  <c r="U1896" i="1"/>
  <c r="T1896" i="1"/>
  <c r="S1896" i="1"/>
  <c r="R1896" i="1"/>
  <c r="Q1896" i="1"/>
  <c r="U1895" i="1"/>
  <c r="T1895" i="1"/>
  <c r="S1895" i="1"/>
  <c r="R1895" i="1"/>
  <c r="Q1895" i="1"/>
  <c r="U1894" i="1"/>
  <c r="T1894" i="1"/>
  <c r="S1894" i="1"/>
  <c r="R1894" i="1"/>
  <c r="Q1894" i="1"/>
  <c r="U1893" i="1"/>
  <c r="T1893" i="1"/>
  <c r="S1893" i="1"/>
  <c r="R1893" i="1"/>
  <c r="Q1893" i="1"/>
  <c r="U1892" i="1"/>
  <c r="T1892" i="1"/>
  <c r="S1892" i="1"/>
  <c r="R1892" i="1"/>
  <c r="Q1892" i="1"/>
  <c r="U1891" i="1"/>
  <c r="T1891" i="1"/>
  <c r="S1891" i="1"/>
  <c r="R1891" i="1"/>
  <c r="Q1891" i="1"/>
  <c r="U1890" i="1"/>
  <c r="T1890" i="1"/>
  <c r="S1890" i="1"/>
  <c r="R1890" i="1"/>
  <c r="Q1890" i="1"/>
  <c r="U1889" i="1"/>
  <c r="T1889" i="1"/>
  <c r="S1889" i="1"/>
  <c r="R1889" i="1"/>
  <c r="Q1889" i="1"/>
  <c r="U1888" i="1"/>
  <c r="T1888" i="1"/>
  <c r="S1888" i="1"/>
  <c r="R1888" i="1"/>
  <c r="Q1888" i="1"/>
  <c r="U1887" i="1"/>
  <c r="T1887" i="1"/>
  <c r="S1887" i="1"/>
  <c r="R1887" i="1"/>
  <c r="Q1887" i="1"/>
  <c r="U1886" i="1"/>
  <c r="T1886" i="1"/>
  <c r="S1886" i="1"/>
  <c r="R1886" i="1"/>
  <c r="Q1886" i="1"/>
  <c r="U1885" i="1"/>
  <c r="T1885" i="1"/>
  <c r="S1885" i="1"/>
  <c r="R1885" i="1"/>
  <c r="Q1885" i="1"/>
  <c r="U1884" i="1"/>
  <c r="T1884" i="1"/>
  <c r="S1884" i="1"/>
  <c r="R1884" i="1"/>
  <c r="Q1884" i="1"/>
  <c r="U1883" i="1"/>
  <c r="T1883" i="1"/>
  <c r="S1883" i="1"/>
  <c r="R1883" i="1"/>
  <c r="Q1883" i="1"/>
  <c r="U1882" i="1"/>
  <c r="T1882" i="1"/>
  <c r="S1882" i="1"/>
  <c r="R1882" i="1"/>
  <c r="Q1882" i="1"/>
  <c r="U1881" i="1"/>
  <c r="T1881" i="1"/>
  <c r="S1881" i="1"/>
  <c r="R1881" i="1"/>
  <c r="Q1881" i="1"/>
  <c r="U1880" i="1"/>
  <c r="T1880" i="1"/>
  <c r="S1880" i="1"/>
  <c r="R1880" i="1"/>
  <c r="Q1880" i="1"/>
  <c r="U1879" i="1"/>
  <c r="T1879" i="1"/>
  <c r="S1879" i="1"/>
  <c r="R1879" i="1"/>
  <c r="Q1879" i="1"/>
  <c r="U1878" i="1"/>
  <c r="T1878" i="1"/>
  <c r="S1878" i="1"/>
  <c r="R1878" i="1"/>
  <c r="Q1878" i="1"/>
  <c r="U1877" i="1"/>
  <c r="T1877" i="1"/>
  <c r="S1877" i="1"/>
  <c r="R1877" i="1"/>
  <c r="Q1877" i="1"/>
  <c r="U1876" i="1"/>
  <c r="T1876" i="1"/>
  <c r="S1876" i="1"/>
  <c r="R1876" i="1"/>
  <c r="Q1876" i="1"/>
  <c r="U1875" i="1"/>
  <c r="T1875" i="1"/>
  <c r="S1875" i="1"/>
  <c r="R1875" i="1"/>
  <c r="Q1875" i="1"/>
  <c r="U1874" i="1"/>
  <c r="T1874" i="1"/>
  <c r="S1874" i="1"/>
  <c r="R1874" i="1"/>
  <c r="Q1874" i="1"/>
  <c r="U1873" i="1"/>
  <c r="T1873" i="1"/>
  <c r="S1873" i="1"/>
  <c r="R1873" i="1"/>
  <c r="Q1873" i="1"/>
  <c r="U1872" i="1"/>
  <c r="T1872" i="1"/>
  <c r="S1872" i="1"/>
  <c r="R1872" i="1"/>
  <c r="Q1872" i="1"/>
  <c r="U1871" i="1"/>
  <c r="T1871" i="1"/>
  <c r="S1871" i="1"/>
  <c r="R1871" i="1"/>
  <c r="Q1871" i="1"/>
  <c r="U1870" i="1"/>
  <c r="T1870" i="1"/>
  <c r="S1870" i="1"/>
  <c r="R1870" i="1"/>
  <c r="Q1870" i="1"/>
  <c r="U1869" i="1"/>
  <c r="T1869" i="1"/>
  <c r="S1869" i="1"/>
  <c r="R1869" i="1"/>
  <c r="Q1869" i="1"/>
  <c r="U1868" i="1"/>
  <c r="T1868" i="1"/>
  <c r="S1868" i="1"/>
  <c r="R1868" i="1"/>
  <c r="Q1868" i="1"/>
  <c r="U1867" i="1"/>
  <c r="T1867" i="1"/>
  <c r="S1867" i="1"/>
  <c r="R1867" i="1"/>
  <c r="Q1867" i="1"/>
  <c r="U1866" i="1"/>
  <c r="T1866" i="1"/>
  <c r="S1866" i="1"/>
  <c r="R1866" i="1"/>
  <c r="Q1866" i="1"/>
  <c r="U1865" i="1"/>
  <c r="T1865" i="1"/>
  <c r="S1865" i="1"/>
  <c r="R1865" i="1"/>
  <c r="Q1865" i="1"/>
  <c r="U1864" i="1"/>
  <c r="T1864" i="1"/>
  <c r="S1864" i="1"/>
  <c r="R1864" i="1"/>
  <c r="Q1864" i="1"/>
  <c r="U1863" i="1"/>
  <c r="T1863" i="1"/>
  <c r="S1863" i="1"/>
  <c r="R1863" i="1"/>
  <c r="Q1863" i="1"/>
  <c r="U1862" i="1"/>
  <c r="T1862" i="1"/>
  <c r="S1862" i="1"/>
  <c r="R1862" i="1"/>
  <c r="Q1862" i="1"/>
  <c r="U1861" i="1"/>
  <c r="T1861" i="1"/>
  <c r="S1861" i="1"/>
  <c r="R1861" i="1"/>
  <c r="Q1861" i="1"/>
  <c r="U1860" i="1"/>
  <c r="T1860" i="1"/>
  <c r="S1860" i="1"/>
  <c r="R1860" i="1"/>
  <c r="Q1860" i="1"/>
  <c r="U1859" i="1"/>
  <c r="T1859" i="1"/>
  <c r="S1859" i="1"/>
  <c r="R1859" i="1"/>
  <c r="Q1859" i="1"/>
  <c r="U1858" i="1"/>
  <c r="T1858" i="1"/>
  <c r="S1858" i="1"/>
  <c r="R1858" i="1"/>
  <c r="Q1858" i="1"/>
  <c r="U1857" i="1"/>
  <c r="T1857" i="1"/>
  <c r="S1857" i="1"/>
  <c r="R1857" i="1"/>
  <c r="Q1857" i="1"/>
  <c r="U1856" i="1"/>
  <c r="T1856" i="1"/>
  <c r="S1856" i="1"/>
  <c r="R1856" i="1"/>
  <c r="Q1856" i="1"/>
  <c r="U1855" i="1"/>
  <c r="T1855" i="1"/>
  <c r="S1855" i="1"/>
  <c r="R1855" i="1"/>
  <c r="Q1855" i="1"/>
  <c r="U1854" i="1"/>
  <c r="T1854" i="1"/>
  <c r="S1854" i="1"/>
  <c r="R1854" i="1"/>
  <c r="Q1854" i="1"/>
  <c r="U1853" i="1"/>
  <c r="T1853" i="1"/>
  <c r="S1853" i="1"/>
  <c r="R1853" i="1"/>
  <c r="Q1853" i="1"/>
  <c r="U1852" i="1"/>
  <c r="T1852" i="1"/>
  <c r="S1852" i="1"/>
  <c r="R1852" i="1"/>
  <c r="Q1852" i="1"/>
  <c r="U1851" i="1"/>
  <c r="T1851" i="1"/>
  <c r="S1851" i="1"/>
  <c r="R1851" i="1"/>
  <c r="Q1851" i="1"/>
  <c r="U1850" i="1"/>
  <c r="T1850" i="1"/>
  <c r="S1850" i="1"/>
  <c r="R1850" i="1"/>
  <c r="Q1850" i="1"/>
  <c r="U1849" i="1"/>
  <c r="T1849" i="1"/>
  <c r="S1849" i="1"/>
  <c r="R1849" i="1"/>
  <c r="Q1849" i="1"/>
  <c r="U1848" i="1"/>
  <c r="T1848" i="1"/>
  <c r="S1848" i="1"/>
  <c r="R1848" i="1"/>
  <c r="Q1848" i="1"/>
  <c r="U1847" i="1"/>
  <c r="T1847" i="1"/>
  <c r="S1847" i="1"/>
  <c r="R1847" i="1"/>
  <c r="Q1847" i="1"/>
  <c r="U1846" i="1"/>
  <c r="T1846" i="1"/>
  <c r="S1846" i="1"/>
  <c r="R1846" i="1"/>
  <c r="Q1846" i="1"/>
  <c r="U1845" i="1"/>
  <c r="T1845" i="1"/>
  <c r="S1845" i="1"/>
  <c r="R1845" i="1"/>
  <c r="Q1845" i="1"/>
  <c r="U1844" i="1"/>
  <c r="T1844" i="1"/>
  <c r="S1844" i="1"/>
  <c r="R1844" i="1"/>
  <c r="Q1844" i="1"/>
  <c r="U1843" i="1"/>
  <c r="T1843" i="1"/>
  <c r="S1843" i="1"/>
  <c r="R1843" i="1"/>
  <c r="Q1843" i="1"/>
  <c r="U1842" i="1"/>
  <c r="T1842" i="1"/>
  <c r="S1842" i="1"/>
  <c r="R1842" i="1"/>
  <c r="Q1842" i="1"/>
  <c r="U1841" i="1"/>
  <c r="T1841" i="1"/>
  <c r="S1841" i="1"/>
  <c r="R1841" i="1"/>
  <c r="Q1841" i="1"/>
  <c r="U1840" i="1"/>
  <c r="T1840" i="1"/>
  <c r="S1840" i="1"/>
  <c r="R1840" i="1"/>
  <c r="Q1840" i="1"/>
  <c r="U1839" i="1"/>
  <c r="T1839" i="1"/>
  <c r="S1839" i="1"/>
  <c r="R1839" i="1"/>
  <c r="Q1839" i="1"/>
  <c r="U1838" i="1"/>
  <c r="T1838" i="1"/>
  <c r="S1838" i="1"/>
  <c r="R1838" i="1"/>
  <c r="Q1838" i="1"/>
  <c r="U1837" i="1"/>
  <c r="T1837" i="1"/>
  <c r="S1837" i="1"/>
  <c r="R1837" i="1"/>
  <c r="Q1837" i="1"/>
  <c r="U1836" i="1"/>
  <c r="T1836" i="1"/>
  <c r="S1836" i="1"/>
  <c r="R1836" i="1"/>
  <c r="Q1836" i="1"/>
  <c r="U1835" i="1"/>
  <c r="T1835" i="1"/>
  <c r="S1835" i="1"/>
  <c r="R1835" i="1"/>
  <c r="Q1835" i="1"/>
  <c r="U1834" i="1"/>
  <c r="T1834" i="1"/>
  <c r="S1834" i="1"/>
  <c r="R1834" i="1"/>
  <c r="Q1834" i="1"/>
  <c r="U1833" i="1"/>
  <c r="T1833" i="1"/>
  <c r="S1833" i="1"/>
  <c r="R1833" i="1"/>
  <c r="Q1833" i="1"/>
  <c r="U1832" i="1"/>
  <c r="T1832" i="1"/>
  <c r="S1832" i="1"/>
  <c r="R1832" i="1"/>
  <c r="Q1832" i="1"/>
  <c r="U1831" i="1"/>
  <c r="T1831" i="1"/>
  <c r="S1831" i="1"/>
  <c r="R1831" i="1"/>
  <c r="Q1831" i="1"/>
  <c r="U1830" i="1"/>
  <c r="T1830" i="1"/>
  <c r="S1830" i="1"/>
  <c r="R1830" i="1"/>
  <c r="Q1830" i="1"/>
  <c r="U1829" i="1"/>
  <c r="T1829" i="1"/>
  <c r="S1829" i="1"/>
  <c r="R1829" i="1"/>
  <c r="Q1829" i="1"/>
  <c r="U1828" i="1"/>
  <c r="T1828" i="1"/>
  <c r="S1828" i="1"/>
  <c r="R1828" i="1"/>
  <c r="Q1828" i="1"/>
  <c r="U1827" i="1"/>
  <c r="T1827" i="1"/>
  <c r="S1827" i="1"/>
  <c r="R1827" i="1"/>
  <c r="Q1827" i="1"/>
  <c r="U1826" i="1"/>
  <c r="T1826" i="1"/>
  <c r="S1826" i="1"/>
  <c r="R1826" i="1"/>
  <c r="Q1826" i="1"/>
  <c r="U1825" i="1"/>
  <c r="T1825" i="1"/>
  <c r="S1825" i="1"/>
  <c r="R1825" i="1"/>
  <c r="Q1825" i="1"/>
  <c r="U1824" i="1"/>
  <c r="T1824" i="1"/>
  <c r="S1824" i="1"/>
  <c r="R1824" i="1"/>
  <c r="Q1824" i="1"/>
  <c r="U1823" i="1"/>
  <c r="T1823" i="1"/>
  <c r="S1823" i="1"/>
  <c r="R1823" i="1"/>
  <c r="Q1823" i="1"/>
  <c r="U1822" i="1"/>
  <c r="T1822" i="1"/>
  <c r="S1822" i="1"/>
  <c r="R1822" i="1"/>
  <c r="Q1822" i="1"/>
  <c r="U1821" i="1"/>
  <c r="T1821" i="1"/>
  <c r="S1821" i="1"/>
  <c r="R1821" i="1"/>
  <c r="Q1821" i="1"/>
  <c r="U1820" i="1"/>
  <c r="T1820" i="1"/>
  <c r="S1820" i="1"/>
  <c r="R1820" i="1"/>
  <c r="Q1820" i="1"/>
  <c r="U1819" i="1"/>
  <c r="T1819" i="1"/>
  <c r="S1819" i="1"/>
  <c r="R1819" i="1"/>
  <c r="Q1819" i="1"/>
  <c r="U1818" i="1"/>
  <c r="T1818" i="1"/>
  <c r="S1818" i="1"/>
  <c r="R1818" i="1"/>
  <c r="Q1818" i="1"/>
  <c r="U1817" i="1"/>
  <c r="T1817" i="1"/>
  <c r="S1817" i="1"/>
  <c r="R1817" i="1"/>
  <c r="Q1817" i="1"/>
  <c r="U1816" i="1"/>
  <c r="T1816" i="1"/>
  <c r="S1816" i="1"/>
  <c r="R1816" i="1"/>
  <c r="Q1816" i="1"/>
  <c r="U1815" i="1"/>
  <c r="T1815" i="1"/>
  <c r="S1815" i="1"/>
  <c r="R1815" i="1"/>
  <c r="Q1815" i="1"/>
  <c r="U1814" i="1"/>
  <c r="T1814" i="1"/>
  <c r="S1814" i="1"/>
  <c r="R1814" i="1"/>
  <c r="Q1814" i="1"/>
  <c r="U1813" i="1"/>
  <c r="T1813" i="1"/>
  <c r="S1813" i="1"/>
  <c r="R1813" i="1"/>
  <c r="Q1813" i="1"/>
  <c r="U1812" i="1"/>
  <c r="T1812" i="1"/>
  <c r="S1812" i="1"/>
  <c r="R1812" i="1"/>
  <c r="Q1812" i="1"/>
  <c r="U1811" i="1"/>
  <c r="T1811" i="1"/>
  <c r="S1811" i="1"/>
  <c r="R1811" i="1"/>
  <c r="Q1811" i="1"/>
  <c r="U1810" i="1"/>
  <c r="T1810" i="1"/>
  <c r="S1810" i="1"/>
  <c r="R1810" i="1"/>
  <c r="Q1810" i="1"/>
  <c r="U1809" i="1"/>
  <c r="T1809" i="1"/>
  <c r="S1809" i="1"/>
  <c r="R1809" i="1"/>
  <c r="Q1809" i="1"/>
  <c r="U1808" i="1"/>
  <c r="T1808" i="1"/>
  <c r="S1808" i="1"/>
  <c r="R1808" i="1"/>
  <c r="Q1808" i="1"/>
  <c r="U1807" i="1"/>
  <c r="T1807" i="1"/>
  <c r="S1807" i="1"/>
  <c r="R1807" i="1"/>
  <c r="Q1807" i="1"/>
  <c r="U1806" i="1"/>
  <c r="T1806" i="1"/>
  <c r="S1806" i="1"/>
  <c r="R1806" i="1"/>
  <c r="Q1806" i="1"/>
  <c r="U1805" i="1"/>
  <c r="T1805" i="1"/>
  <c r="S1805" i="1"/>
  <c r="R1805" i="1"/>
  <c r="Q1805" i="1"/>
  <c r="U1804" i="1"/>
  <c r="T1804" i="1"/>
  <c r="S1804" i="1"/>
  <c r="R1804" i="1"/>
  <c r="Q1804" i="1"/>
  <c r="U1803" i="1"/>
  <c r="T1803" i="1"/>
  <c r="S1803" i="1"/>
  <c r="R1803" i="1"/>
  <c r="Q1803" i="1"/>
  <c r="U1802" i="1"/>
  <c r="T1802" i="1"/>
  <c r="S1802" i="1"/>
  <c r="R1802" i="1"/>
  <c r="Q1802" i="1"/>
  <c r="U1801" i="1"/>
  <c r="T1801" i="1"/>
  <c r="S1801" i="1"/>
  <c r="R1801" i="1"/>
  <c r="Q1801" i="1"/>
  <c r="U1800" i="1"/>
  <c r="T1800" i="1"/>
  <c r="S1800" i="1"/>
  <c r="R1800" i="1"/>
  <c r="Q1800" i="1"/>
  <c r="U1799" i="1"/>
  <c r="T1799" i="1"/>
  <c r="S1799" i="1"/>
  <c r="R1799" i="1"/>
  <c r="Q1799" i="1"/>
  <c r="U1798" i="1"/>
  <c r="T1798" i="1"/>
  <c r="S1798" i="1"/>
  <c r="R1798" i="1"/>
  <c r="Q1798" i="1"/>
  <c r="U1797" i="1"/>
  <c r="T1797" i="1"/>
  <c r="S1797" i="1"/>
  <c r="R1797" i="1"/>
  <c r="Q1797" i="1"/>
  <c r="U1796" i="1"/>
  <c r="T1796" i="1"/>
  <c r="S1796" i="1"/>
  <c r="R1796" i="1"/>
  <c r="Q1796" i="1"/>
  <c r="U1795" i="1"/>
  <c r="T1795" i="1"/>
  <c r="S1795" i="1"/>
  <c r="R1795" i="1"/>
  <c r="Q1795" i="1"/>
  <c r="U1794" i="1"/>
  <c r="T1794" i="1"/>
  <c r="S1794" i="1"/>
  <c r="R1794" i="1"/>
  <c r="Q1794" i="1"/>
  <c r="U1793" i="1"/>
  <c r="T1793" i="1"/>
  <c r="S1793" i="1"/>
  <c r="R1793" i="1"/>
  <c r="Q1793" i="1"/>
  <c r="U1792" i="1"/>
  <c r="T1792" i="1"/>
  <c r="S1792" i="1"/>
  <c r="R1792" i="1"/>
  <c r="Q1792" i="1"/>
  <c r="U1791" i="1"/>
  <c r="T1791" i="1"/>
  <c r="S1791" i="1"/>
  <c r="R1791" i="1"/>
  <c r="Q1791" i="1"/>
  <c r="U1790" i="1"/>
  <c r="T1790" i="1"/>
  <c r="S1790" i="1"/>
  <c r="R1790" i="1"/>
  <c r="Q1790" i="1"/>
  <c r="U1789" i="1"/>
  <c r="T1789" i="1"/>
  <c r="S1789" i="1"/>
  <c r="R1789" i="1"/>
  <c r="Q1789" i="1"/>
  <c r="U1788" i="1"/>
  <c r="T1788" i="1"/>
  <c r="S1788" i="1"/>
  <c r="R1788" i="1"/>
  <c r="Q1788" i="1"/>
  <c r="U1787" i="1"/>
  <c r="T1787" i="1"/>
  <c r="S1787" i="1"/>
  <c r="R1787" i="1"/>
  <c r="Q1787" i="1"/>
  <c r="U1786" i="1"/>
  <c r="T1786" i="1"/>
  <c r="S1786" i="1"/>
  <c r="R1786" i="1"/>
  <c r="Q1786" i="1"/>
  <c r="U1785" i="1"/>
  <c r="T1785" i="1"/>
  <c r="S1785" i="1"/>
  <c r="R1785" i="1"/>
  <c r="Q1785" i="1"/>
  <c r="U1784" i="1"/>
  <c r="T1784" i="1"/>
  <c r="S1784" i="1"/>
  <c r="R1784" i="1"/>
  <c r="Q1784" i="1"/>
  <c r="U1783" i="1"/>
  <c r="T1783" i="1"/>
  <c r="S1783" i="1"/>
  <c r="R1783" i="1"/>
  <c r="Q1783" i="1"/>
  <c r="U1782" i="1"/>
  <c r="T1782" i="1"/>
  <c r="S1782" i="1"/>
  <c r="R1782" i="1"/>
  <c r="Q1782" i="1"/>
  <c r="U1781" i="1"/>
  <c r="T1781" i="1"/>
  <c r="S1781" i="1"/>
  <c r="R1781" i="1"/>
  <c r="Q1781" i="1"/>
  <c r="U1780" i="1"/>
  <c r="T1780" i="1"/>
  <c r="S1780" i="1"/>
  <c r="R1780" i="1"/>
  <c r="Q1780" i="1"/>
  <c r="U1779" i="1"/>
  <c r="T1779" i="1"/>
  <c r="S1779" i="1"/>
  <c r="R1779" i="1"/>
  <c r="Q1779" i="1"/>
  <c r="U1778" i="1"/>
  <c r="T1778" i="1"/>
  <c r="S1778" i="1"/>
  <c r="R1778" i="1"/>
  <c r="Q1778" i="1"/>
  <c r="U1777" i="1"/>
  <c r="T1777" i="1"/>
  <c r="S1777" i="1"/>
  <c r="R1777" i="1"/>
  <c r="Q1777" i="1"/>
  <c r="U1776" i="1"/>
  <c r="T1776" i="1"/>
  <c r="S1776" i="1"/>
  <c r="R1776" i="1"/>
  <c r="Q1776" i="1"/>
  <c r="U1775" i="1"/>
  <c r="T1775" i="1"/>
  <c r="S1775" i="1"/>
  <c r="R1775" i="1"/>
  <c r="Q1775" i="1"/>
  <c r="U1774" i="1"/>
  <c r="T1774" i="1"/>
  <c r="S1774" i="1"/>
  <c r="R1774" i="1"/>
  <c r="Q1774" i="1"/>
  <c r="U1773" i="1"/>
  <c r="T1773" i="1"/>
  <c r="S1773" i="1"/>
  <c r="R1773" i="1"/>
  <c r="Q1773" i="1"/>
  <c r="U1772" i="1"/>
  <c r="T1772" i="1"/>
  <c r="S1772" i="1"/>
  <c r="R1772" i="1"/>
  <c r="Q1772" i="1"/>
  <c r="U1771" i="1"/>
  <c r="T1771" i="1"/>
  <c r="S1771" i="1"/>
  <c r="R1771" i="1"/>
  <c r="Q1771" i="1"/>
  <c r="U1770" i="1"/>
  <c r="T1770" i="1"/>
  <c r="S1770" i="1"/>
  <c r="R1770" i="1"/>
  <c r="Q1770" i="1"/>
  <c r="U1769" i="1"/>
  <c r="T1769" i="1"/>
  <c r="S1769" i="1"/>
  <c r="R1769" i="1"/>
  <c r="Q1769" i="1"/>
  <c r="U1768" i="1"/>
  <c r="T1768" i="1"/>
  <c r="S1768" i="1"/>
  <c r="R1768" i="1"/>
  <c r="Q1768" i="1"/>
  <c r="U1767" i="1"/>
  <c r="T1767" i="1"/>
  <c r="S1767" i="1"/>
  <c r="R1767" i="1"/>
  <c r="Q1767" i="1"/>
  <c r="U1766" i="1"/>
  <c r="T1766" i="1"/>
  <c r="S1766" i="1"/>
  <c r="R1766" i="1"/>
  <c r="Q1766" i="1"/>
  <c r="U1765" i="1"/>
  <c r="T1765" i="1"/>
  <c r="S1765" i="1"/>
  <c r="R1765" i="1"/>
  <c r="Q1765" i="1"/>
  <c r="U1764" i="1"/>
  <c r="T1764" i="1"/>
  <c r="S1764" i="1"/>
  <c r="R1764" i="1"/>
  <c r="Q1764" i="1"/>
  <c r="U1763" i="1"/>
  <c r="T1763" i="1"/>
  <c r="S1763" i="1"/>
  <c r="R1763" i="1"/>
  <c r="Q1763" i="1"/>
  <c r="U1762" i="1"/>
  <c r="T1762" i="1"/>
  <c r="S1762" i="1"/>
  <c r="R1762" i="1"/>
  <c r="Q1762" i="1"/>
  <c r="U1761" i="1"/>
  <c r="T1761" i="1"/>
  <c r="S1761" i="1"/>
  <c r="R1761" i="1"/>
  <c r="Q1761" i="1"/>
  <c r="U1760" i="1"/>
  <c r="T1760" i="1"/>
  <c r="S1760" i="1"/>
  <c r="R1760" i="1"/>
  <c r="Q1760" i="1"/>
  <c r="U1759" i="1"/>
  <c r="T1759" i="1"/>
  <c r="S1759" i="1"/>
  <c r="R1759" i="1"/>
  <c r="Q1759" i="1"/>
  <c r="U1758" i="1"/>
  <c r="T1758" i="1"/>
  <c r="S1758" i="1"/>
  <c r="R1758" i="1"/>
  <c r="Q1758" i="1"/>
  <c r="U1757" i="1"/>
  <c r="T1757" i="1"/>
  <c r="S1757" i="1"/>
  <c r="R1757" i="1"/>
  <c r="Q1757" i="1"/>
  <c r="U1756" i="1"/>
  <c r="T1756" i="1"/>
  <c r="S1756" i="1"/>
  <c r="R1756" i="1"/>
  <c r="Q1756" i="1"/>
  <c r="U1755" i="1"/>
  <c r="T1755" i="1"/>
  <c r="S1755" i="1"/>
  <c r="R1755" i="1"/>
  <c r="Q1755" i="1"/>
  <c r="U1754" i="1"/>
  <c r="T1754" i="1"/>
  <c r="S1754" i="1"/>
  <c r="R1754" i="1"/>
  <c r="Q1754" i="1"/>
  <c r="U1753" i="1"/>
  <c r="T1753" i="1"/>
  <c r="S1753" i="1"/>
  <c r="R1753" i="1"/>
  <c r="Q1753" i="1"/>
  <c r="U1752" i="1"/>
  <c r="T1752" i="1"/>
  <c r="S1752" i="1"/>
  <c r="R1752" i="1"/>
  <c r="Q1752" i="1"/>
  <c r="U1751" i="1"/>
  <c r="T1751" i="1"/>
  <c r="S1751" i="1"/>
  <c r="R1751" i="1"/>
  <c r="Q1751" i="1"/>
  <c r="U1750" i="1"/>
  <c r="T1750" i="1"/>
  <c r="S1750" i="1"/>
  <c r="R1750" i="1"/>
  <c r="Q1750" i="1"/>
  <c r="U1749" i="1"/>
  <c r="T1749" i="1"/>
  <c r="S1749" i="1"/>
  <c r="R1749" i="1"/>
  <c r="Q1749" i="1"/>
  <c r="U1748" i="1"/>
  <c r="T1748" i="1"/>
  <c r="S1748" i="1"/>
  <c r="R1748" i="1"/>
  <c r="Q1748" i="1"/>
  <c r="U1747" i="1"/>
  <c r="T1747" i="1"/>
  <c r="S1747" i="1"/>
  <c r="R1747" i="1"/>
  <c r="Q1747" i="1"/>
  <c r="U1746" i="1"/>
  <c r="T1746" i="1"/>
  <c r="S1746" i="1"/>
  <c r="R1746" i="1"/>
  <c r="Q1746" i="1"/>
  <c r="U1745" i="1"/>
  <c r="T1745" i="1"/>
  <c r="S1745" i="1"/>
  <c r="R1745" i="1"/>
  <c r="Q1745" i="1"/>
  <c r="U1744" i="1"/>
  <c r="T1744" i="1"/>
  <c r="S1744" i="1"/>
  <c r="R1744" i="1"/>
  <c r="Q1744" i="1"/>
  <c r="U1743" i="1"/>
  <c r="T1743" i="1"/>
  <c r="S1743" i="1"/>
  <c r="R1743" i="1"/>
  <c r="Q1743" i="1"/>
  <c r="U1742" i="1"/>
  <c r="T1742" i="1"/>
  <c r="S1742" i="1"/>
  <c r="R1742" i="1"/>
  <c r="Q1742" i="1"/>
  <c r="U1741" i="1"/>
  <c r="T1741" i="1"/>
  <c r="S1741" i="1"/>
  <c r="R1741" i="1"/>
  <c r="Q1741" i="1"/>
  <c r="U1740" i="1"/>
  <c r="T1740" i="1"/>
  <c r="S1740" i="1"/>
  <c r="R1740" i="1"/>
  <c r="Q1740" i="1"/>
  <c r="U1739" i="1"/>
  <c r="T1739" i="1"/>
  <c r="S1739" i="1"/>
  <c r="R1739" i="1"/>
  <c r="Q1739" i="1"/>
  <c r="U1738" i="1"/>
  <c r="T1738" i="1"/>
  <c r="S1738" i="1"/>
  <c r="R1738" i="1"/>
  <c r="Q1738" i="1"/>
  <c r="U1737" i="1"/>
  <c r="T1737" i="1"/>
  <c r="S1737" i="1"/>
  <c r="R1737" i="1"/>
  <c r="Q1737" i="1"/>
  <c r="U1736" i="1"/>
  <c r="T1736" i="1"/>
  <c r="S1736" i="1"/>
  <c r="R1736" i="1"/>
  <c r="Q1736" i="1"/>
  <c r="U1735" i="1"/>
  <c r="T1735" i="1"/>
  <c r="S1735" i="1"/>
  <c r="R1735" i="1"/>
  <c r="Q1735" i="1"/>
  <c r="U1734" i="1"/>
  <c r="T1734" i="1"/>
  <c r="S1734" i="1"/>
  <c r="R1734" i="1"/>
  <c r="Q1734" i="1"/>
  <c r="U1733" i="1"/>
  <c r="T1733" i="1"/>
  <c r="S1733" i="1"/>
  <c r="R1733" i="1"/>
  <c r="Q1733" i="1"/>
  <c r="U1732" i="1"/>
  <c r="T1732" i="1"/>
  <c r="S1732" i="1"/>
  <c r="R1732" i="1"/>
  <c r="Q1732" i="1"/>
  <c r="U1731" i="1"/>
  <c r="T1731" i="1"/>
  <c r="S1731" i="1"/>
  <c r="R1731" i="1"/>
  <c r="Q1731" i="1"/>
  <c r="U1730" i="1"/>
  <c r="T1730" i="1"/>
  <c r="S1730" i="1"/>
  <c r="R1730" i="1"/>
  <c r="Q1730" i="1"/>
  <c r="U1729" i="1"/>
  <c r="T1729" i="1"/>
  <c r="S1729" i="1"/>
  <c r="R1729" i="1"/>
  <c r="Q1729" i="1"/>
  <c r="U1728" i="1"/>
  <c r="T1728" i="1"/>
  <c r="S1728" i="1"/>
  <c r="R1728" i="1"/>
  <c r="Q1728" i="1"/>
  <c r="U1727" i="1"/>
  <c r="T1727" i="1"/>
  <c r="S1727" i="1"/>
  <c r="R1727" i="1"/>
  <c r="Q1727" i="1"/>
  <c r="U1726" i="1"/>
  <c r="T1726" i="1"/>
  <c r="S1726" i="1"/>
  <c r="R1726" i="1"/>
  <c r="Q1726" i="1"/>
  <c r="U1725" i="1"/>
  <c r="T1725" i="1"/>
  <c r="S1725" i="1"/>
  <c r="R1725" i="1"/>
  <c r="Q1725" i="1"/>
  <c r="U1724" i="1"/>
  <c r="T1724" i="1"/>
  <c r="S1724" i="1"/>
  <c r="R1724" i="1"/>
  <c r="Q1724" i="1"/>
  <c r="U1723" i="1"/>
  <c r="T1723" i="1"/>
  <c r="S1723" i="1"/>
  <c r="R1723" i="1"/>
  <c r="Q1723" i="1"/>
  <c r="U1722" i="1"/>
  <c r="T1722" i="1"/>
  <c r="S1722" i="1"/>
  <c r="R1722" i="1"/>
  <c r="Q1722" i="1"/>
  <c r="U1721" i="1"/>
  <c r="T1721" i="1"/>
  <c r="S1721" i="1"/>
  <c r="R1721" i="1"/>
  <c r="Q1721" i="1"/>
  <c r="U1720" i="1"/>
  <c r="T1720" i="1"/>
  <c r="S1720" i="1"/>
  <c r="R1720" i="1"/>
  <c r="Q1720" i="1"/>
  <c r="U1719" i="1"/>
  <c r="T1719" i="1"/>
  <c r="S1719" i="1"/>
  <c r="R1719" i="1"/>
  <c r="Q1719" i="1"/>
  <c r="U1718" i="1"/>
  <c r="T1718" i="1"/>
  <c r="S1718" i="1"/>
  <c r="R1718" i="1"/>
  <c r="Q1718" i="1"/>
  <c r="U1717" i="1"/>
  <c r="T1717" i="1"/>
  <c r="S1717" i="1"/>
  <c r="R1717" i="1"/>
  <c r="Q1717" i="1"/>
  <c r="U1716" i="1"/>
  <c r="T1716" i="1"/>
  <c r="S1716" i="1"/>
  <c r="R1716" i="1"/>
  <c r="Q1716" i="1"/>
  <c r="U1715" i="1"/>
  <c r="T1715" i="1"/>
  <c r="S1715" i="1"/>
  <c r="R1715" i="1"/>
  <c r="Q1715" i="1"/>
  <c r="U1714" i="1"/>
  <c r="T1714" i="1"/>
  <c r="S1714" i="1"/>
  <c r="R1714" i="1"/>
  <c r="Q1714" i="1"/>
  <c r="U1713" i="1"/>
  <c r="T1713" i="1"/>
  <c r="S1713" i="1"/>
  <c r="R1713" i="1"/>
  <c r="Q1713" i="1"/>
  <c r="U1712" i="1"/>
  <c r="T1712" i="1"/>
  <c r="S1712" i="1"/>
  <c r="R1712" i="1"/>
  <c r="Q1712" i="1"/>
  <c r="U1711" i="1"/>
  <c r="T1711" i="1"/>
  <c r="S1711" i="1"/>
  <c r="R1711" i="1"/>
  <c r="Q1711" i="1"/>
  <c r="U1710" i="1"/>
  <c r="T1710" i="1"/>
  <c r="S1710" i="1"/>
  <c r="R1710" i="1"/>
  <c r="Q1710" i="1"/>
  <c r="U1709" i="1"/>
  <c r="T1709" i="1"/>
  <c r="S1709" i="1"/>
  <c r="R1709" i="1"/>
  <c r="Q1709" i="1"/>
  <c r="U1708" i="1"/>
  <c r="T1708" i="1"/>
  <c r="S1708" i="1"/>
  <c r="R1708" i="1"/>
  <c r="Q1708" i="1"/>
  <c r="U1707" i="1"/>
  <c r="T1707" i="1"/>
  <c r="S1707" i="1"/>
  <c r="R1707" i="1"/>
  <c r="Q1707" i="1"/>
  <c r="U1706" i="1"/>
  <c r="T1706" i="1"/>
  <c r="S1706" i="1"/>
  <c r="R1706" i="1"/>
  <c r="Q1706" i="1"/>
  <c r="U1705" i="1"/>
  <c r="T1705" i="1"/>
  <c r="S1705" i="1"/>
  <c r="R1705" i="1"/>
  <c r="Q1705" i="1"/>
  <c r="U1704" i="1"/>
  <c r="T1704" i="1"/>
  <c r="S1704" i="1"/>
  <c r="R1704" i="1"/>
  <c r="Q1704" i="1"/>
  <c r="U1703" i="1"/>
  <c r="T1703" i="1"/>
  <c r="S1703" i="1"/>
  <c r="R1703" i="1"/>
  <c r="Q1703" i="1"/>
  <c r="U1702" i="1"/>
  <c r="T1702" i="1"/>
  <c r="S1702" i="1"/>
  <c r="R1702" i="1"/>
  <c r="Q1702" i="1"/>
  <c r="U1701" i="1"/>
  <c r="T1701" i="1"/>
  <c r="S1701" i="1"/>
  <c r="R1701" i="1"/>
  <c r="Q1701" i="1"/>
  <c r="U1700" i="1"/>
  <c r="T1700" i="1"/>
  <c r="S1700" i="1"/>
  <c r="R1700" i="1"/>
  <c r="Q1700" i="1"/>
  <c r="U1699" i="1"/>
  <c r="T1699" i="1"/>
  <c r="S1699" i="1"/>
  <c r="R1699" i="1"/>
  <c r="Q1699" i="1"/>
  <c r="U1698" i="1"/>
  <c r="T1698" i="1"/>
  <c r="S1698" i="1"/>
  <c r="R1698" i="1"/>
  <c r="Q1698" i="1"/>
  <c r="U1697" i="1"/>
  <c r="T1697" i="1"/>
  <c r="S1697" i="1"/>
  <c r="R1697" i="1"/>
  <c r="Q1697" i="1"/>
  <c r="U1696" i="1"/>
  <c r="T1696" i="1"/>
  <c r="S1696" i="1"/>
  <c r="R1696" i="1"/>
  <c r="Q1696" i="1"/>
  <c r="U1695" i="1"/>
  <c r="T1695" i="1"/>
  <c r="S1695" i="1"/>
  <c r="R1695" i="1"/>
  <c r="Q1695" i="1"/>
  <c r="U1694" i="1"/>
  <c r="T1694" i="1"/>
  <c r="S1694" i="1"/>
  <c r="R1694" i="1"/>
  <c r="Q1694" i="1"/>
  <c r="U1693" i="1"/>
  <c r="T1693" i="1"/>
  <c r="S1693" i="1"/>
  <c r="R1693" i="1"/>
  <c r="Q1693" i="1"/>
  <c r="U1692" i="1"/>
  <c r="T1692" i="1"/>
  <c r="S1692" i="1"/>
  <c r="R1692" i="1"/>
  <c r="Q1692" i="1"/>
  <c r="U1691" i="1"/>
  <c r="T1691" i="1"/>
  <c r="S1691" i="1"/>
  <c r="R1691" i="1"/>
  <c r="Q1691" i="1"/>
  <c r="U1690" i="1"/>
  <c r="T1690" i="1"/>
  <c r="S1690" i="1"/>
  <c r="R1690" i="1"/>
  <c r="Q1690" i="1"/>
  <c r="U1689" i="1"/>
  <c r="T1689" i="1"/>
  <c r="S1689" i="1"/>
  <c r="R1689" i="1"/>
  <c r="Q1689" i="1"/>
  <c r="U1688" i="1"/>
  <c r="T1688" i="1"/>
  <c r="S1688" i="1"/>
  <c r="R1688" i="1"/>
  <c r="Q1688" i="1"/>
  <c r="U1687" i="1"/>
  <c r="T1687" i="1"/>
  <c r="S1687" i="1"/>
  <c r="R1687" i="1"/>
  <c r="Q1687" i="1"/>
  <c r="U1686" i="1"/>
  <c r="T1686" i="1"/>
  <c r="S1686" i="1"/>
  <c r="R1686" i="1"/>
  <c r="Q1686" i="1"/>
  <c r="U1685" i="1"/>
  <c r="T1685" i="1"/>
  <c r="S1685" i="1"/>
  <c r="R1685" i="1"/>
  <c r="Q1685" i="1"/>
  <c r="U1684" i="1"/>
  <c r="T1684" i="1"/>
  <c r="S1684" i="1"/>
  <c r="R1684" i="1"/>
  <c r="Q1684" i="1"/>
  <c r="U1683" i="1"/>
  <c r="T1683" i="1"/>
  <c r="S1683" i="1"/>
  <c r="R1683" i="1"/>
  <c r="Q1683" i="1"/>
  <c r="U1682" i="1"/>
  <c r="T1682" i="1"/>
  <c r="S1682" i="1"/>
  <c r="R1682" i="1"/>
  <c r="Q1682" i="1"/>
  <c r="U1681" i="1"/>
  <c r="T1681" i="1"/>
  <c r="S1681" i="1"/>
  <c r="R1681" i="1"/>
  <c r="Q1681" i="1"/>
  <c r="U1680" i="1"/>
  <c r="T1680" i="1"/>
  <c r="S1680" i="1"/>
  <c r="R1680" i="1"/>
  <c r="Q1680" i="1"/>
  <c r="U1679" i="1"/>
  <c r="T1679" i="1"/>
  <c r="S1679" i="1"/>
  <c r="R1679" i="1"/>
  <c r="Q1679" i="1"/>
  <c r="U1678" i="1"/>
  <c r="T1678" i="1"/>
  <c r="S1678" i="1"/>
  <c r="R1678" i="1"/>
  <c r="Q1678" i="1"/>
  <c r="U1677" i="1"/>
  <c r="T1677" i="1"/>
  <c r="S1677" i="1"/>
  <c r="R1677" i="1"/>
  <c r="Q1677" i="1"/>
  <c r="U1676" i="1"/>
  <c r="T1676" i="1"/>
  <c r="S1676" i="1"/>
  <c r="R1676" i="1"/>
  <c r="Q1676" i="1"/>
  <c r="U1675" i="1"/>
  <c r="T1675" i="1"/>
  <c r="S1675" i="1"/>
  <c r="R1675" i="1"/>
  <c r="Q1675" i="1"/>
  <c r="U1674" i="1"/>
  <c r="T1674" i="1"/>
  <c r="S1674" i="1"/>
  <c r="R1674" i="1"/>
  <c r="Q1674" i="1"/>
  <c r="U1673" i="1"/>
  <c r="T1673" i="1"/>
  <c r="S1673" i="1"/>
  <c r="R1673" i="1"/>
  <c r="Q1673" i="1"/>
  <c r="U1672" i="1"/>
  <c r="T1672" i="1"/>
  <c r="S1672" i="1"/>
  <c r="R1672" i="1"/>
  <c r="Q1672" i="1"/>
  <c r="U1671" i="1"/>
  <c r="T1671" i="1"/>
  <c r="S1671" i="1"/>
  <c r="R1671" i="1"/>
  <c r="Q1671" i="1"/>
  <c r="U1670" i="1"/>
  <c r="T1670" i="1"/>
  <c r="S1670" i="1"/>
  <c r="R1670" i="1"/>
  <c r="Q1670" i="1"/>
  <c r="U1669" i="1"/>
  <c r="T1669" i="1"/>
  <c r="S1669" i="1"/>
  <c r="R1669" i="1"/>
  <c r="Q1669" i="1"/>
  <c r="U1668" i="1"/>
  <c r="T1668" i="1"/>
  <c r="S1668" i="1"/>
  <c r="R1668" i="1"/>
  <c r="Q1668" i="1"/>
  <c r="U1667" i="1"/>
  <c r="T1667" i="1"/>
  <c r="S1667" i="1"/>
  <c r="R1667" i="1"/>
  <c r="Q1667" i="1"/>
  <c r="U1666" i="1"/>
  <c r="T1666" i="1"/>
  <c r="S1666" i="1"/>
  <c r="R1666" i="1"/>
  <c r="Q1666" i="1"/>
  <c r="U1665" i="1"/>
  <c r="T1665" i="1"/>
  <c r="S1665" i="1"/>
  <c r="R1665" i="1"/>
  <c r="Q1665" i="1"/>
  <c r="U1664" i="1"/>
  <c r="T1664" i="1"/>
  <c r="S1664" i="1"/>
  <c r="R1664" i="1"/>
  <c r="Q1664" i="1"/>
  <c r="U1663" i="1"/>
  <c r="T1663" i="1"/>
  <c r="S1663" i="1"/>
  <c r="R1663" i="1"/>
  <c r="Q1663" i="1"/>
  <c r="U1662" i="1"/>
  <c r="T1662" i="1"/>
  <c r="S1662" i="1"/>
  <c r="R1662" i="1"/>
  <c r="Q1662" i="1"/>
  <c r="U1661" i="1"/>
  <c r="T1661" i="1"/>
  <c r="S1661" i="1"/>
  <c r="R1661" i="1"/>
  <c r="Q1661" i="1"/>
  <c r="U1660" i="1"/>
  <c r="T1660" i="1"/>
  <c r="S1660" i="1"/>
  <c r="R1660" i="1"/>
  <c r="Q1660" i="1"/>
  <c r="U1659" i="1"/>
  <c r="T1659" i="1"/>
  <c r="S1659" i="1"/>
  <c r="R1659" i="1"/>
  <c r="Q1659" i="1"/>
  <c r="U1658" i="1"/>
  <c r="T1658" i="1"/>
  <c r="S1658" i="1"/>
  <c r="R1658" i="1"/>
  <c r="Q1658" i="1"/>
  <c r="U1657" i="1"/>
  <c r="T1657" i="1"/>
  <c r="S1657" i="1"/>
  <c r="R1657" i="1"/>
  <c r="Q1657" i="1"/>
  <c r="U1656" i="1"/>
  <c r="T1656" i="1"/>
  <c r="S1656" i="1"/>
  <c r="R1656" i="1"/>
  <c r="Q1656" i="1"/>
  <c r="U1655" i="1"/>
  <c r="T1655" i="1"/>
  <c r="S1655" i="1"/>
  <c r="R1655" i="1"/>
  <c r="Q1655" i="1"/>
  <c r="U1654" i="1"/>
  <c r="T1654" i="1"/>
  <c r="S1654" i="1"/>
  <c r="R1654" i="1"/>
  <c r="Q1654" i="1"/>
  <c r="U1653" i="1"/>
  <c r="T1653" i="1"/>
  <c r="S1653" i="1"/>
  <c r="R1653" i="1"/>
  <c r="Q1653" i="1"/>
  <c r="U1652" i="1"/>
  <c r="T1652" i="1"/>
  <c r="S1652" i="1"/>
  <c r="R1652" i="1"/>
  <c r="Q1652" i="1"/>
  <c r="U1651" i="1"/>
  <c r="T1651" i="1"/>
  <c r="S1651" i="1"/>
  <c r="R1651" i="1"/>
  <c r="Q1651" i="1"/>
  <c r="U1650" i="1"/>
  <c r="T1650" i="1"/>
  <c r="S1650" i="1"/>
  <c r="R1650" i="1"/>
  <c r="Q1650" i="1"/>
  <c r="U1649" i="1"/>
  <c r="T1649" i="1"/>
  <c r="S1649" i="1"/>
  <c r="R1649" i="1"/>
  <c r="Q1649" i="1"/>
  <c r="U1648" i="1"/>
  <c r="T1648" i="1"/>
  <c r="S1648" i="1"/>
  <c r="R1648" i="1"/>
  <c r="Q1648" i="1"/>
  <c r="U1647" i="1"/>
  <c r="T1647" i="1"/>
  <c r="S1647" i="1"/>
  <c r="R1647" i="1"/>
  <c r="Q1647" i="1"/>
  <c r="U1646" i="1"/>
  <c r="T1646" i="1"/>
  <c r="S1646" i="1"/>
  <c r="R1646" i="1"/>
  <c r="Q1646" i="1"/>
  <c r="U1645" i="1"/>
  <c r="T1645" i="1"/>
  <c r="S1645" i="1"/>
  <c r="R1645" i="1"/>
  <c r="Q1645" i="1"/>
  <c r="U1644" i="1"/>
  <c r="T1644" i="1"/>
  <c r="S1644" i="1"/>
  <c r="R1644" i="1"/>
  <c r="Q1644" i="1"/>
  <c r="U1643" i="1"/>
  <c r="T1643" i="1"/>
  <c r="S1643" i="1"/>
  <c r="R1643" i="1"/>
  <c r="Q1643" i="1"/>
  <c r="U1642" i="1"/>
  <c r="T1642" i="1"/>
  <c r="S1642" i="1"/>
  <c r="R1642" i="1"/>
  <c r="Q1642" i="1"/>
  <c r="U1641" i="1"/>
  <c r="T1641" i="1"/>
  <c r="S1641" i="1"/>
  <c r="R1641" i="1"/>
  <c r="Q1641" i="1"/>
  <c r="U1640" i="1"/>
  <c r="T1640" i="1"/>
  <c r="S1640" i="1"/>
  <c r="R1640" i="1"/>
  <c r="Q1640" i="1"/>
  <c r="U1639" i="1"/>
  <c r="T1639" i="1"/>
  <c r="S1639" i="1"/>
  <c r="R1639" i="1"/>
  <c r="Q1639" i="1"/>
  <c r="U1638" i="1"/>
  <c r="T1638" i="1"/>
  <c r="S1638" i="1"/>
  <c r="R1638" i="1"/>
  <c r="Q1638" i="1"/>
  <c r="U1637" i="1"/>
  <c r="T1637" i="1"/>
  <c r="S1637" i="1"/>
  <c r="R1637" i="1"/>
  <c r="Q1637" i="1"/>
  <c r="U1636" i="1"/>
  <c r="T1636" i="1"/>
  <c r="S1636" i="1"/>
  <c r="R1636" i="1"/>
  <c r="Q1636" i="1"/>
  <c r="U1635" i="1"/>
  <c r="T1635" i="1"/>
  <c r="S1635" i="1"/>
  <c r="R1635" i="1"/>
  <c r="Q1635" i="1"/>
  <c r="U1634" i="1"/>
  <c r="T1634" i="1"/>
  <c r="S1634" i="1"/>
  <c r="R1634" i="1"/>
  <c r="Q1634" i="1"/>
  <c r="U1633" i="1"/>
  <c r="T1633" i="1"/>
  <c r="S1633" i="1"/>
  <c r="R1633" i="1"/>
  <c r="Q1633" i="1"/>
  <c r="U1632" i="1"/>
  <c r="T1632" i="1"/>
  <c r="S1632" i="1"/>
  <c r="R1632" i="1"/>
  <c r="Q1632" i="1"/>
  <c r="U1631" i="1"/>
  <c r="T1631" i="1"/>
  <c r="S1631" i="1"/>
  <c r="R1631" i="1"/>
  <c r="Q1631" i="1"/>
  <c r="U1630" i="1"/>
  <c r="T1630" i="1"/>
  <c r="S1630" i="1"/>
  <c r="R1630" i="1"/>
  <c r="Q1630" i="1"/>
  <c r="U1629" i="1"/>
  <c r="T1629" i="1"/>
  <c r="S1629" i="1"/>
  <c r="R1629" i="1"/>
  <c r="Q1629" i="1"/>
  <c r="U1628" i="1"/>
  <c r="T1628" i="1"/>
  <c r="S1628" i="1"/>
  <c r="R1628" i="1"/>
  <c r="Q1628" i="1"/>
  <c r="U1627" i="1"/>
  <c r="T1627" i="1"/>
  <c r="S1627" i="1"/>
  <c r="R1627" i="1"/>
  <c r="Q1627" i="1"/>
  <c r="U1626" i="1"/>
  <c r="T1626" i="1"/>
  <c r="S1626" i="1"/>
  <c r="R1626" i="1"/>
  <c r="Q1626" i="1"/>
  <c r="U1625" i="1"/>
  <c r="T1625" i="1"/>
  <c r="S1625" i="1"/>
  <c r="R1625" i="1"/>
  <c r="Q1625" i="1"/>
  <c r="U1624" i="1"/>
  <c r="T1624" i="1"/>
  <c r="S1624" i="1"/>
  <c r="R1624" i="1"/>
  <c r="Q1624" i="1"/>
  <c r="U1623" i="1"/>
  <c r="T1623" i="1"/>
  <c r="S1623" i="1"/>
  <c r="R1623" i="1"/>
  <c r="Q1623" i="1"/>
  <c r="U1622" i="1"/>
  <c r="T1622" i="1"/>
  <c r="S1622" i="1"/>
  <c r="R1622" i="1"/>
  <c r="Q1622" i="1"/>
  <c r="U1621" i="1"/>
  <c r="T1621" i="1"/>
  <c r="S1621" i="1"/>
  <c r="R1621" i="1"/>
  <c r="Q1621" i="1"/>
  <c r="U1620" i="1"/>
  <c r="T1620" i="1"/>
  <c r="S1620" i="1"/>
  <c r="R1620" i="1"/>
  <c r="Q1620" i="1"/>
  <c r="U1619" i="1"/>
  <c r="T1619" i="1"/>
  <c r="S1619" i="1"/>
  <c r="R1619" i="1"/>
  <c r="Q1619" i="1"/>
  <c r="U1618" i="1"/>
  <c r="T1618" i="1"/>
  <c r="S1618" i="1"/>
  <c r="R1618" i="1"/>
  <c r="Q1618" i="1"/>
  <c r="U1617" i="1"/>
  <c r="T1617" i="1"/>
  <c r="S1617" i="1"/>
  <c r="R1617" i="1"/>
  <c r="Q1617" i="1"/>
  <c r="U1616" i="1"/>
  <c r="T1616" i="1"/>
  <c r="S1616" i="1"/>
  <c r="R1616" i="1"/>
  <c r="Q1616" i="1"/>
  <c r="U1615" i="1"/>
  <c r="T1615" i="1"/>
  <c r="S1615" i="1"/>
  <c r="R1615" i="1"/>
  <c r="Q1615" i="1"/>
  <c r="U1614" i="1"/>
  <c r="T1614" i="1"/>
  <c r="S1614" i="1"/>
  <c r="R1614" i="1"/>
  <c r="Q1614" i="1"/>
  <c r="U1613" i="1"/>
  <c r="T1613" i="1"/>
  <c r="S1613" i="1"/>
  <c r="R1613" i="1"/>
  <c r="Q1613" i="1"/>
  <c r="U1612" i="1"/>
  <c r="T1612" i="1"/>
  <c r="S1612" i="1"/>
  <c r="R1612" i="1"/>
  <c r="Q1612" i="1"/>
  <c r="U1611" i="1"/>
  <c r="T1611" i="1"/>
  <c r="S1611" i="1"/>
  <c r="R1611" i="1"/>
  <c r="Q1611" i="1"/>
  <c r="U1610" i="1"/>
  <c r="T1610" i="1"/>
  <c r="S1610" i="1"/>
  <c r="R1610" i="1"/>
  <c r="Q1610" i="1"/>
  <c r="U1609" i="1"/>
  <c r="T1609" i="1"/>
  <c r="S1609" i="1"/>
  <c r="R1609" i="1"/>
  <c r="Q1609" i="1"/>
  <c r="U1608" i="1"/>
  <c r="T1608" i="1"/>
  <c r="S1608" i="1"/>
  <c r="R1608" i="1"/>
  <c r="Q1608" i="1"/>
  <c r="U1607" i="1"/>
  <c r="T1607" i="1"/>
  <c r="S1607" i="1"/>
  <c r="R1607" i="1"/>
  <c r="Q1607" i="1"/>
  <c r="U1606" i="1"/>
  <c r="T1606" i="1"/>
  <c r="S1606" i="1"/>
  <c r="R1606" i="1"/>
  <c r="Q1606" i="1"/>
  <c r="U1605" i="1"/>
  <c r="T1605" i="1"/>
  <c r="S1605" i="1"/>
  <c r="R1605" i="1"/>
  <c r="Q1605" i="1"/>
  <c r="U1604" i="1"/>
  <c r="T1604" i="1"/>
  <c r="S1604" i="1"/>
  <c r="R1604" i="1"/>
  <c r="Q1604" i="1"/>
  <c r="U1603" i="1"/>
  <c r="T1603" i="1"/>
  <c r="S1603" i="1"/>
  <c r="R1603" i="1"/>
  <c r="Q1603" i="1"/>
  <c r="U1602" i="1"/>
  <c r="T1602" i="1"/>
  <c r="S1602" i="1"/>
  <c r="R1602" i="1"/>
  <c r="Q1602" i="1"/>
  <c r="U1601" i="1"/>
  <c r="T1601" i="1"/>
  <c r="S1601" i="1"/>
  <c r="R1601" i="1"/>
  <c r="Q1601" i="1"/>
  <c r="U1600" i="1"/>
  <c r="T1600" i="1"/>
  <c r="S1600" i="1"/>
  <c r="R1600" i="1"/>
  <c r="Q1600" i="1"/>
  <c r="U1599" i="1"/>
  <c r="T1599" i="1"/>
  <c r="S1599" i="1"/>
  <c r="R1599" i="1"/>
  <c r="Q1599" i="1"/>
  <c r="U1598" i="1"/>
  <c r="T1598" i="1"/>
  <c r="S1598" i="1"/>
  <c r="R1598" i="1"/>
  <c r="Q1598" i="1"/>
  <c r="U1597" i="1"/>
  <c r="T1597" i="1"/>
  <c r="S1597" i="1"/>
  <c r="R1597" i="1"/>
  <c r="Q1597" i="1"/>
  <c r="U1596" i="1"/>
  <c r="T1596" i="1"/>
  <c r="S1596" i="1"/>
  <c r="R1596" i="1"/>
  <c r="Q1596" i="1"/>
  <c r="U1595" i="1"/>
  <c r="T1595" i="1"/>
  <c r="S1595" i="1"/>
  <c r="R1595" i="1"/>
  <c r="Q1595" i="1"/>
  <c r="U1594" i="1"/>
  <c r="T1594" i="1"/>
  <c r="S1594" i="1"/>
  <c r="R1594" i="1"/>
  <c r="Q1594" i="1"/>
  <c r="U1593" i="1"/>
  <c r="T1593" i="1"/>
  <c r="S1593" i="1"/>
  <c r="R1593" i="1"/>
  <c r="Q1593" i="1"/>
  <c r="U1592" i="1"/>
  <c r="T1592" i="1"/>
  <c r="S1592" i="1"/>
  <c r="R1592" i="1"/>
  <c r="Q1592" i="1"/>
  <c r="U1591" i="1"/>
  <c r="T1591" i="1"/>
  <c r="S1591" i="1"/>
  <c r="R1591" i="1"/>
  <c r="Q1591" i="1"/>
  <c r="U1590" i="1"/>
  <c r="T1590" i="1"/>
  <c r="S1590" i="1"/>
  <c r="R1590" i="1"/>
  <c r="Q1590" i="1"/>
  <c r="U1589" i="1"/>
  <c r="T1589" i="1"/>
  <c r="S1589" i="1"/>
  <c r="R1589" i="1"/>
  <c r="Q1589" i="1"/>
  <c r="U1588" i="1"/>
  <c r="T1588" i="1"/>
  <c r="S1588" i="1"/>
  <c r="R1588" i="1"/>
  <c r="Q1588" i="1"/>
  <c r="U1587" i="1"/>
  <c r="T1587" i="1"/>
  <c r="S1587" i="1"/>
  <c r="R1587" i="1"/>
  <c r="Q1587" i="1"/>
  <c r="U1586" i="1"/>
  <c r="T1586" i="1"/>
  <c r="S1586" i="1"/>
  <c r="R1586" i="1"/>
  <c r="Q1586" i="1"/>
  <c r="U1585" i="1"/>
  <c r="T1585" i="1"/>
  <c r="S1585" i="1"/>
  <c r="R1585" i="1"/>
  <c r="Q1585" i="1"/>
  <c r="U1584" i="1"/>
  <c r="T1584" i="1"/>
  <c r="S1584" i="1"/>
  <c r="R1584" i="1"/>
  <c r="Q1584" i="1"/>
  <c r="U1583" i="1"/>
  <c r="T1583" i="1"/>
  <c r="S1583" i="1"/>
  <c r="R1583" i="1"/>
  <c r="Q1583" i="1"/>
  <c r="U1582" i="1"/>
  <c r="T1582" i="1"/>
  <c r="S1582" i="1"/>
  <c r="R1582" i="1"/>
  <c r="Q1582" i="1"/>
  <c r="U1581" i="1"/>
  <c r="T1581" i="1"/>
  <c r="S1581" i="1"/>
  <c r="R1581" i="1"/>
  <c r="Q1581" i="1"/>
  <c r="U1580" i="1"/>
  <c r="T1580" i="1"/>
  <c r="S1580" i="1"/>
  <c r="R1580" i="1"/>
  <c r="Q1580" i="1"/>
  <c r="U1579" i="1"/>
  <c r="T1579" i="1"/>
  <c r="S1579" i="1"/>
  <c r="R1579" i="1"/>
  <c r="Q1579" i="1"/>
  <c r="U1578" i="1"/>
  <c r="T1578" i="1"/>
  <c r="S1578" i="1"/>
  <c r="R1578" i="1"/>
  <c r="Q1578" i="1"/>
  <c r="U1577" i="1"/>
  <c r="T1577" i="1"/>
  <c r="S1577" i="1"/>
  <c r="R1577" i="1"/>
  <c r="Q1577" i="1"/>
  <c r="U1576" i="1"/>
  <c r="T1576" i="1"/>
  <c r="S1576" i="1"/>
  <c r="R1576" i="1"/>
  <c r="Q1576" i="1"/>
  <c r="U1575" i="1"/>
  <c r="T1575" i="1"/>
  <c r="S1575" i="1"/>
  <c r="R1575" i="1"/>
  <c r="Q1575" i="1"/>
  <c r="U1574" i="1"/>
  <c r="T1574" i="1"/>
  <c r="S1574" i="1"/>
  <c r="R1574" i="1"/>
  <c r="Q1574" i="1"/>
  <c r="U1573" i="1"/>
  <c r="T1573" i="1"/>
  <c r="S1573" i="1"/>
  <c r="R1573" i="1"/>
  <c r="Q1573" i="1"/>
  <c r="U1572" i="1"/>
  <c r="T1572" i="1"/>
  <c r="S1572" i="1"/>
  <c r="R1572" i="1"/>
  <c r="Q1572" i="1"/>
  <c r="U1571" i="1"/>
  <c r="T1571" i="1"/>
  <c r="S1571" i="1"/>
  <c r="R1571" i="1"/>
  <c r="Q1571" i="1"/>
  <c r="U1570" i="1"/>
  <c r="T1570" i="1"/>
  <c r="S1570" i="1"/>
  <c r="R1570" i="1"/>
  <c r="Q1570" i="1"/>
  <c r="U1569" i="1"/>
  <c r="T1569" i="1"/>
  <c r="S1569" i="1"/>
  <c r="R1569" i="1"/>
  <c r="Q1569" i="1"/>
  <c r="U1568" i="1"/>
  <c r="T1568" i="1"/>
  <c r="S1568" i="1"/>
  <c r="R1568" i="1"/>
  <c r="Q1568" i="1"/>
  <c r="U1567" i="1"/>
  <c r="T1567" i="1"/>
  <c r="S1567" i="1"/>
  <c r="R1567" i="1"/>
  <c r="Q1567" i="1"/>
  <c r="U1566" i="1"/>
  <c r="T1566" i="1"/>
  <c r="S1566" i="1"/>
  <c r="R1566" i="1"/>
  <c r="Q1566" i="1"/>
  <c r="U1565" i="1"/>
  <c r="T1565" i="1"/>
  <c r="S1565" i="1"/>
  <c r="R1565" i="1"/>
  <c r="Q1565" i="1"/>
  <c r="U1564" i="1"/>
  <c r="T1564" i="1"/>
  <c r="S1564" i="1"/>
  <c r="R1564" i="1"/>
  <c r="Q1564" i="1"/>
  <c r="U1563" i="1"/>
  <c r="T1563" i="1"/>
  <c r="S1563" i="1"/>
  <c r="R1563" i="1"/>
  <c r="Q1563" i="1"/>
  <c r="U1562" i="1"/>
  <c r="T1562" i="1"/>
  <c r="S1562" i="1"/>
  <c r="R1562" i="1"/>
  <c r="Q1562" i="1"/>
  <c r="U1561" i="1"/>
  <c r="T1561" i="1"/>
  <c r="S1561" i="1"/>
  <c r="R1561" i="1"/>
  <c r="Q1561" i="1"/>
  <c r="U1560" i="1"/>
  <c r="T1560" i="1"/>
  <c r="S1560" i="1"/>
  <c r="R1560" i="1"/>
  <c r="Q1560" i="1"/>
  <c r="U1559" i="1"/>
  <c r="T1559" i="1"/>
  <c r="S1559" i="1"/>
  <c r="R1559" i="1"/>
  <c r="Q1559" i="1"/>
  <c r="U1558" i="1"/>
  <c r="T1558" i="1"/>
  <c r="S1558" i="1"/>
  <c r="R1558" i="1"/>
  <c r="Q1558" i="1"/>
  <c r="U1557" i="1"/>
  <c r="T1557" i="1"/>
  <c r="S1557" i="1"/>
  <c r="R1557" i="1"/>
  <c r="Q1557" i="1"/>
  <c r="U1556" i="1"/>
  <c r="T1556" i="1"/>
  <c r="S1556" i="1"/>
  <c r="R1556" i="1"/>
  <c r="Q1556" i="1"/>
  <c r="U1555" i="1"/>
  <c r="T1555" i="1"/>
  <c r="S1555" i="1"/>
  <c r="R1555" i="1"/>
  <c r="Q1555" i="1"/>
  <c r="U1554" i="1"/>
  <c r="T1554" i="1"/>
  <c r="S1554" i="1"/>
  <c r="R1554" i="1"/>
  <c r="Q1554" i="1"/>
  <c r="U1553" i="1"/>
  <c r="T1553" i="1"/>
  <c r="S1553" i="1"/>
  <c r="R1553" i="1"/>
  <c r="Q1553" i="1"/>
  <c r="U1552" i="1"/>
  <c r="T1552" i="1"/>
  <c r="S1552" i="1"/>
  <c r="R1552" i="1"/>
  <c r="Q1552" i="1"/>
  <c r="U1551" i="1"/>
  <c r="T1551" i="1"/>
  <c r="S1551" i="1"/>
  <c r="R1551" i="1"/>
  <c r="Q1551" i="1"/>
  <c r="U1550" i="1"/>
  <c r="T1550" i="1"/>
  <c r="S1550" i="1"/>
  <c r="R1550" i="1"/>
  <c r="Q1550" i="1"/>
  <c r="U1549" i="1"/>
  <c r="T1549" i="1"/>
  <c r="S1549" i="1"/>
  <c r="R1549" i="1"/>
  <c r="Q1549" i="1"/>
  <c r="U1548" i="1"/>
  <c r="T1548" i="1"/>
  <c r="S1548" i="1"/>
  <c r="R1548" i="1"/>
  <c r="Q1548" i="1"/>
  <c r="U1547" i="1"/>
  <c r="T1547" i="1"/>
  <c r="S1547" i="1"/>
  <c r="R1547" i="1"/>
  <c r="Q1547" i="1"/>
  <c r="U1546" i="1"/>
  <c r="T1546" i="1"/>
  <c r="S1546" i="1"/>
  <c r="R1546" i="1"/>
  <c r="Q1546" i="1"/>
  <c r="U1545" i="1"/>
  <c r="T1545" i="1"/>
  <c r="S1545" i="1"/>
  <c r="R1545" i="1"/>
  <c r="Q1545" i="1"/>
  <c r="U1544" i="1"/>
  <c r="T1544" i="1"/>
  <c r="S1544" i="1"/>
  <c r="R1544" i="1"/>
  <c r="Q1544" i="1"/>
  <c r="U1543" i="1"/>
  <c r="T1543" i="1"/>
  <c r="S1543" i="1"/>
  <c r="R1543" i="1"/>
  <c r="Q1543" i="1"/>
  <c r="U1542" i="1"/>
  <c r="T1542" i="1"/>
  <c r="S1542" i="1"/>
  <c r="R1542" i="1"/>
  <c r="Q1542" i="1"/>
  <c r="U1541" i="1"/>
  <c r="T1541" i="1"/>
  <c r="S1541" i="1"/>
  <c r="R1541" i="1"/>
  <c r="Q1541" i="1"/>
  <c r="U1540" i="1"/>
  <c r="T1540" i="1"/>
  <c r="S1540" i="1"/>
  <c r="R1540" i="1"/>
  <c r="Q1540" i="1"/>
  <c r="U1539" i="1"/>
  <c r="T1539" i="1"/>
  <c r="S1539" i="1"/>
  <c r="R1539" i="1"/>
  <c r="Q1539" i="1"/>
  <c r="U1538" i="1"/>
  <c r="T1538" i="1"/>
  <c r="S1538" i="1"/>
  <c r="R1538" i="1"/>
  <c r="Q1538" i="1"/>
  <c r="U1537" i="1"/>
  <c r="T1537" i="1"/>
  <c r="S1537" i="1"/>
  <c r="R1537" i="1"/>
  <c r="Q1537" i="1"/>
  <c r="U1536" i="1"/>
  <c r="T1536" i="1"/>
  <c r="S1536" i="1"/>
  <c r="R1536" i="1"/>
  <c r="Q1536" i="1"/>
  <c r="U1535" i="1"/>
  <c r="T1535" i="1"/>
  <c r="S1535" i="1"/>
  <c r="R1535" i="1"/>
  <c r="Q1535" i="1"/>
  <c r="U1534" i="1"/>
  <c r="T1534" i="1"/>
  <c r="S1534" i="1"/>
  <c r="R1534" i="1"/>
  <c r="Q1534" i="1"/>
  <c r="U1533" i="1"/>
  <c r="T1533" i="1"/>
  <c r="S1533" i="1"/>
  <c r="R1533" i="1"/>
  <c r="Q1533" i="1"/>
  <c r="U1532" i="1"/>
  <c r="T1532" i="1"/>
  <c r="S1532" i="1"/>
  <c r="R1532" i="1"/>
  <c r="Q1532" i="1"/>
  <c r="U1531" i="1"/>
  <c r="T1531" i="1"/>
  <c r="S1531" i="1"/>
  <c r="R1531" i="1"/>
  <c r="Q1531" i="1"/>
  <c r="U1530" i="1"/>
  <c r="T1530" i="1"/>
  <c r="S1530" i="1"/>
  <c r="R1530" i="1"/>
  <c r="Q1530" i="1"/>
  <c r="U1529" i="1"/>
  <c r="T1529" i="1"/>
  <c r="S1529" i="1"/>
  <c r="R1529" i="1"/>
  <c r="Q1529" i="1"/>
  <c r="U1528" i="1"/>
  <c r="T1528" i="1"/>
  <c r="S1528" i="1"/>
  <c r="R1528" i="1"/>
  <c r="Q1528" i="1"/>
  <c r="U1527" i="1"/>
  <c r="T1527" i="1"/>
  <c r="S1527" i="1"/>
  <c r="R1527" i="1"/>
  <c r="Q1527" i="1"/>
  <c r="U1526" i="1"/>
  <c r="T1526" i="1"/>
  <c r="S1526" i="1"/>
  <c r="R1526" i="1"/>
  <c r="Q1526" i="1"/>
  <c r="U1525" i="1"/>
  <c r="T1525" i="1"/>
  <c r="S1525" i="1"/>
  <c r="R1525" i="1"/>
  <c r="Q1525" i="1"/>
  <c r="U1524" i="1"/>
  <c r="T1524" i="1"/>
  <c r="S1524" i="1"/>
  <c r="R1524" i="1"/>
  <c r="Q1524" i="1"/>
  <c r="U1523" i="1"/>
  <c r="T1523" i="1"/>
  <c r="S1523" i="1"/>
  <c r="R1523" i="1"/>
  <c r="Q1523" i="1"/>
  <c r="U1522" i="1"/>
  <c r="T1522" i="1"/>
  <c r="S1522" i="1"/>
  <c r="R1522" i="1"/>
  <c r="Q1522" i="1"/>
  <c r="U1521" i="1"/>
  <c r="T1521" i="1"/>
  <c r="S1521" i="1"/>
  <c r="R1521" i="1"/>
  <c r="Q1521" i="1"/>
  <c r="U1520" i="1"/>
  <c r="T1520" i="1"/>
  <c r="S1520" i="1"/>
  <c r="R1520" i="1"/>
  <c r="Q1520" i="1"/>
  <c r="U1519" i="1"/>
  <c r="T1519" i="1"/>
  <c r="S1519" i="1"/>
  <c r="R1519" i="1"/>
  <c r="Q1519" i="1"/>
  <c r="U1518" i="1"/>
  <c r="T1518" i="1"/>
  <c r="S1518" i="1"/>
  <c r="R1518" i="1"/>
  <c r="Q1518" i="1"/>
  <c r="U1517" i="1"/>
  <c r="T1517" i="1"/>
  <c r="S1517" i="1"/>
  <c r="R1517" i="1"/>
  <c r="Q1517" i="1"/>
  <c r="U1516" i="1"/>
  <c r="T1516" i="1"/>
  <c r="S1516" i="1"/>
  <c r="R1516" i="1"/>
  <c r="Q1516" i="1"/>
  <c r="U1515" i="1"/>
  <c r="T1515" i="1"/>
  <c r="S1515" i="1"/>
  <c r="R1515" i="1"/>
  <c r="Q1515" i="1"/>
  <c r="U1514" i="1"/>
  <c r="T1514" i="1"/>
  <c r="S1514" i="1"/>
  <c r="R1514" i="1"/>
  <c r="Q1514" i="1"/>
  <c r="U1513" i="1"/>
  <c r="T1513" i="1"/>
  <c r="S1513" i="1"/>
  <c r="R1513" i="1"/>
  <c r="Q1513" i="1"/>
  <c r="U1512" i="1"/>
  <c r="T1512" i="1"/>
  <c r="S1512" i="1"/>
  <c r="R1512" i="1"/>
  <c r="Q1512" i="1"/>
  <c r="U1511" i="1"/>
  <c r="T1511" i="1"/>
  <c r="S1511" i="1"/>
  <c r="R1511" i="1"/>
  <c r="Q1511" i="1"/>
  <c r="U1510" i="1"/>
  <c r="T1510" i="1"/>
  <c r="S1510" i="1"/>
  <c r="R1510" i="1"/>
  <c r="Q1510" i="1"/>
  <c r="U1509" i="1"/>
  <c r="T1509" i="1"/>
  <c r="S1509" i="1"/>
  <c r="R1509" i="1"/>
  <c r="Q1509" i="1"/>
  <c r="U1508" i="1"/>
  <c r="T1508" i="1"/>
  <c r="S1508" i="1"/>
  <c r="R1508" i="1"/>
  <c r="Q1508" i="1"/>
  <c r="U1507" i="1"/>
  <c r="T1507" i="1"/>
  <c r="S1507" i="1"/>
  <c r="R1507" i="1"/>
  <c r="Q1507" i="1"/>
  <c r="U1506" i="1"/>
  <c r="T1506" i="1"/>
  <c r="S1506" i="1"/>
  <c r="R1506" i="1"/>
  <c r="Q1506" i="1"/>
  <c r="U1505" i="1"/>
  <c r="T1505" i="1"/>
  <c r="S1505" i="1"/>
  <c r="R1505" i="1"/>
  <c r="Q1505" i="1"/>
  <c r="U1504" i="1"/>
  <c r="T1504" i="1"/>
  <c r="S1504" i="1"/>
  <c r="R1504" i="1"/>
  <c r="Q1504" i="1"/>
  <c r="U1503" i="1"/>
  <c r="T1503" i="1"/>
  <c r="S1503" i="1"/>
  <c r="R1503" i="1"/>
  <c r="Q1503" i="1"/>
  <c r="U1502" i="1"/>
  <c r="T1502" i="1"/>
  <c r="S1502" i="1"/>
  <c r="R1502" i="1"/>
  <c r="Q1502" i="1"/>
  <c r="U1501" i="1"/>
  <c r="T1501" i="1"/>
  <c r="S1501" i="1"/>
  <c r="R1501" i="1"/>
  <c r="Q1501" i="1"/>
  <c r="U1500" i="1"/>
  <c r="T1500" i="1"/>
  <c r="S1500" i="1"/>
  <c r="R1500" i="1"/>
  <c r="Q1500" i="1"/>
  <c r="U1499" i="1"/>
  <c r="T1499" i="1"/>
  <c r="S1499" i="1"/>
  <c r="R1499" i="1"/>
  <c r="Q1499" i="1"/>
  <c r="U1498" i="1"/>
  <c r="T1498" i="1"/>
  <c r="S1498" i="1"/>
  <c r="R1498" i="1"/>
  <c r="Q1498" i="1"/>
  <c r="U1497" i="1"/>
  <c r="T1497" i="1"/>
  <c r="S1497" i="1"/>
  <c r="R1497" i="1"/>
  <c r="Q1497" i="1"/>
  <c r="U1496" i="1"/>
  <c r="T1496" i="1"/>
  <c r="S1496" i="1"/>
  <c r="R1496" i="1"/>
  <c r="Q1496" i="1"/>
  <c r="U1495" i="1"/>
  <c r="T1495" i="1"/>
  <c r="S1495" i="1"/>
  <c r="R1495" i="1"/>
  <c r="Q1495" i="1"/>
  <c r="U1494" i="1"/>
  <c r="T1494" i="1"/>
  <c r="S1494" i="1"/>
  <c r="R1494" i="1"/>
  <c r="Q1494" i="1"/>
  <c r="U1493" i="1"/>
  <c r="T1493" i="1"/>
  <c r="S1493" i="1"/>
  <c r="R1493" i="1"/>
  <c r="Q1493" i="1"/>
  <c r="U1492" i="1"/>
  <c r="T1492" i="1"/>
  <c r="S1492" i="1"/>
  <c r="R1492" i="1"/>
  <c r="Q1492" i="1"/>
  <c r="U1491" i="1"/>
  <c r="T1491" i="1"/>
  <c r="S1491" i="1"/>
  <c r="R1491" i="1"/>
  <c r="Q1491" i="1"/>
  <c r="U1490" i="1"/>
  <c r="T1490" i="1"/>
  <c r="S1490" i="1"/>
  <c r="R1490" i="1"/>
  <c r="Q1490" i="1"/>
  <c r="U1489" i="1"/>
  <c r="T1489" i="1"/>
  <c r="S1489" i="1"/>
  <c r="R1489" i="1"/>
  <c r="Q1489" i="1"/>
  <c r="U1488" i="1"/>
  <c r="T1488" i="1"/>
  <c r="S1488" i="1"/>
  <c r="R1488" i="1"/>
  <c r="Q1488" i="1"/>
  <c r="U1487" i="1"/>
  <c r="T1487" i="1"/>
  <c r="S1487" i="1"/>
  <c r="R1487" i="1"/>
  <c r="Q1487" i="1"/>
  <c r="U1486" i="1"/>
  <c r="T1486" i="1"/>
  <c r="S1486" i="1"/>
  <c r="R1486" i="1"/>
  <c r="Q1486" i="1"/>
  <c r="U1485" i="1"/>
  <c r="T1485" i="1"/>
  <c r="S1485" i="1"/>
  <c r="R1485" i="1"/>
  <c r="Q1485" i="1"/>
  <c r="U1484" i="1"/>
  <c r="T1484" i="1"/>
  <c r="S1484" i="1"/>
  <c r="R1484" i="1"/>
  <c r="Q1484" i="1"/>
  <c r="U1483" i="1"/>
  <c r="T1483" i="1"/>
  <c r="S1483" i="1"/>
  <c r="R1483" i="1"/>
  <c r="Q1483" i="1"/>
  <c r="U1482" i="1"/>
  <c r="T1482" i="1"/>
  <c r="S1482" i="1"/>
  <c r="R1482" i="1"/>
  <c r="Q1482" i="1"/>
  <c r="U1481" i="1"/>
  <c r="T1481" i="1"/>
  <c r="S1481" i="1"/>
  <c r="R1481" i="1"/>
  <c r="Q1481" i="1"/>
  <c r="U1480" i="1"/>
  <c r="T1480" i="1"/>
  <c r="S1480" i="1"/>
  <c r="R1480" i="1"/>
  <c r="Q1480" i="1"/>
  <c r="U1479" i="1"/>
  <c r="T1479" i="1"/>
  <c r="S1479" i="1"/>
  <c r="R1479" i="1"/>
  <c r="Q1479" i="1"/>
  <c r="U1478" i="1"/>
  <c r="T1478" i="1"/>
  <c r="S1478" i="1"/>
  <c r="R1478" i="1"/>
  <c r="Q1478" i="1"/>
  <c r="U1477" i="1"/>
  <c r="T1477" i="1"/>
  <c r="S1477" i="1"/>
  <c r="R1477" i="1"/>
  <c r="Q1477" i="1"/>
  <c r="U1476" i="1"/>
  <c r="T1476" i="1"/>
  <c r="S1476" i="1"/>
  <c r="R1476" i="1"/>
  <c r="Q1476" i="1"/>
  <c r="U1475" i="1"/>
  <c r="T1475" i="1"/>
  <c r="S1475" i="1"/>
  <c r="R1475" i="1"/>
  <c r="Q1475" i="1"/>
  <c r="U1474" i="1"/>
  <c r="T1474" i="1"/>
  <c r="S1474" i="1"/>
  <c r="R1474" i="1"/>
  <c r="Q1474" i="1"/>
  <c r="U1473" i="1"/>
  <c r="T1473" i="1"/>
  <c r="S1473" i="1"/>
  <c r="R1473" i="1"/>
  <c r="Q1473" i="1"/>
  <c r="U1472" i="1"/>
  <c r="T1472" i="1"/>
  <c r="S1472" i="1"/>
  <c r="R1472" i="1"/>
  <c r="Q1472" i="1"/>
  <c r="U1471" i="1"/>
  <c r="T1471" i="1"/>
  <c r="S1471" i="1"/>
  <c r="R1471" i="1"/>
  <c r="Q1471" i="1"/>
  <c r="U1470" i="1"/>
  <c r="T1470" i="1"/>
  <c r="S1470" i="1"/>
  <c r="R1470" i="1"/>
  <c r="Q1470" i="1"/>
  <c r="U1469" i="1"/>
  <c r="T1469" i="1"/>
  <c r="S1469" i="1"/>
  <c r="R1469" i="1"/>
  <c r="Q1469" i="1"/>
  <c r="U1468" i="1"/>
  <c r="T1468" i="1"/>
  <c r="S1468" i="1"/>
  <c r="R1468" i="1"/>
  <c r="Q1468" i="1"/>
  <c r="U1467" i="1"/>
  <c r="T1467" i="1"/>
  <c r="S1467" i="1"/>
  <c r="R1467" i="1"/>
  <c r="Q1467" i="1"/>
  <c r="U1466" i="1"/>
  <c r="T1466" i="1"/>
  <c r="S1466" i="1"/>
  <c r="R1466" i="1"/>
  <c r="Q1466" i="1"/>
  <c r="U1465" i="1"/>
  <c r="T1465" i="1"/>
  <c r="S1465" i="1"/>
  <c r="R1465" i="1"/>
  <c r="Q1465" i="1"/>
  <c r="U1464" i="1"/>
  <c r="T1464" i="1"/>
  <c r="S1464" i="1"/>
  <c r="R1464" i="1"/>
  <c r="Q1464" i="1"/>
  <c r="U1463" i="1"/>
  <c r="T1463" i="1"/>
  <c r="S1463" i="1"/>
  <c r="R1463" i="1"/>
  <c r="Q1463" i="1"/>
  <c r="U1462" i="1"/>
  <c r="T1462" i="1"/>
  <c r="S1462" i="1"/>
  <c r="R1462" i="1"/>
  <c r="Q1462" i="1"/>
  <c r="U1461" i="1"/>
  <c r="T1461" i="1"/>
  <c r="S1461" i="1"/>
  <c r="R1461" i="1"/>
  <c r="Q1461" i="1"/>
  <c r="U1460" i="1"/>
  <c r="T1460" i="1"/>
  <c r="S1460" i="1"/>
  <c r="R1460" i="1"/>
  <c r="Q1460" i="1"/>
  <c r="U1459" i="1"/>
  <c r="T1459" i="1"/>
  <c r="S1459" i="1"/>
  <c r="R1459" i="1"/>
  <c r="Q1459" i="1"/>
  <c r="U1458" i="1"/>
  <c r="T1458" i="1"/>
  <c r="S1458" i="1"/>
  <c r="R1458" i="1"/>
  <c r="Q1458" i="1"/>
  <c r="U1457" i="1"/>
  <c r="T1457" i="1"/>
  <c r="S1457" i="1"/>
  <c r="R1457" i="1"/>
  <c r="Q1457" i="1"/>
  <c r="U1456" i="1"/>
  <c r="T1456" i="1"/>
  <c r="S1456" i="1"/>
  <c r="R1456" i="1"/>
  <c r="Q1456" i="1"/>
  <c r="U1455" i="1"/>
  <c r="T1455" i="1"/>
  <c r="S1455" i="1"/>
  <c r="R1455" i="1"/>
  <c r="Q1455" i="1"/>
  <c r="U1454" i="1"/>
  <c r="T1454" i="1"/>
  <c r="S1454" i="1"/>
  <c r="R1454" i="1"/>
  <c r="Q1454" i="1"/>
  <c r="U1453" i="1"/>
  <c r="T1453" i="1"/>
  <c r="S1453" i="1"/>
  <c r="R1453" i="1"/>
  <c r="Q1453" i="1"/>
  <c r="U1452" i="1"/>
  <c r="T1452" i="1"/>
  <c r="S1452" i="1"/>
  <c r="R1452" i="1"/>
  <c r="Q1452" i="1"/>
  <c r="U1451" i="1"/>
  <c r="T1451" i="1"/>
  <c r="S1451" i="1"/>
  <c r="R1451" i="1"/>
  <c r="Q1451" i="1"/>
  <c r="U1450" i="1"/>
  <c r="T1450" i="1"/>
  <c r="S1450" i="1"/>
  <c r="R1450" i="1"/>
  <c r="Q1450" i="1"/>
  <c r="U1449" i="1"/>
  <c r="T1449" i="1"/>
  <c r="S1449" i="1"/>
  <c r="R1449" i="1"/>
  <c r="Q1449" i="1"/>
  <c r="U1448" i="1"/>
  <c r="T1448" i="1"/>
  <c r="S1448" i="1"/>
  <c r="R1448" i="1"/>
  <c r="Q1448" i="1"/>
  <c r="U1447" i="1"/>
  <c r="T1447" i="1"/>
  <c r="S1447" i="1"/>
  <c r="R1447" i="1"/>
  <c r="Q1447" i="1"/>
  <c r="U1446" i="1"/>
  <c r="T1446" i="1"/>
  <c r="S1446" i="1"/>
  <c r="R1446" i="1"/>
  <c r="Q1446" i="1"/>
  <c r="U1445" i="1"/>
  <c r="T1445" i="1"/>
  <c r="S1445" i="1"/>
  <c r="R1445" i="1"/>
  <c r="Q1445" i="1"/>
  <c r="U1444" i="1"/>
  <c r="T1444" i="1"/>
  <c r="S1444" i="1"/>
  <c r="R1444" i="1"/>
  <c r="Q1444" i="1"/>
  <c r="U1443" i="1"/>
  <c r="T1443" i="1"/>
  <c r="S1443" i="1"/>
  <c r="R1443" i="1"/>
  <c r="Q1443" i="1"/>
  <c r="U1442" i="1"/>
  <c r="T1442" i="1"/>
  <c r="S1442" i="1"/>
  <c r="R1442" i="1"/>
  <c r="Q1442" i="1"/>
  <c r="U1441" i="1"/>
  <c r="T1441" i="1"/>
  <c r="S1441" i="1"/>
  <c r="R1441" i="1"/>
  <c r="Q1441" i="1"/>
  <c r="U1440" i="1"/>
  <c r="T1440" i="1"/>
  <c r="S1440" i="1"/>
  <c r="R1440" i="1"/>
  <c r="Q1440" i="1"/>
  <c r="U1439" i="1"/>
  <c r="T1439" i="1"/>
  <c r="S1439" i="1"/>
  <c r="R1439" i="1"/>
  <c r="Q1439" i="1"/>
  <c r="U1438" i="1"/>
  <c r="T1438" i="1"/>
  <c r="S1438" i="1"/>
  <c r="R1438" i="1"/>
  <c r="Q1438" i="1"/>
  <c r="U1437" i="1"/>
  <c r="T1437" i="1"/>
  <c r="S1437" i="1"/>
  <c r="R1437" i="1"/>
  <c r="Q1437" i="1"/>
  <c r="U1436" i="1"/>
  <c r="T1436" i="1"/>
  <c r="S1436" i="1"/>
  <c r="R1436" i="1"/>
  <c r="Q1436" i="1"/>
  <c r="U1435" i="1"/>
  <c r="T1435" i="1"/>
  <c r="S1435" i="1"/>
  <c r="R1435" i="1"/>
  <c r="Q1435" i="1"/>
  <c r="U1434" i="1"/>
  <c r="T1434" i="1"/>
  <c r="S1434" i="1"/>
  <c r="R1434" i="1"/>
  <c r="Q1434" i="1"/>
  <c r="U1433" i="1"/>
  <c r="T1433" i="1"/>
  <c r="S1433" i="1"/>
  <c r="R1433" i="1"/>
  <c r="Q1433" i="1"/>
  <c r="U1432" i="1"/>
  <c r="T1432" i="1"/>
  <c r="S1432" i="1"/>
  <c r="R1432" i="1"/>
  <c r="Q1432" i="1"/>
  <c r="U1431" i="1"/>
  <c r="T1431" i="1"/>
  <c r="S1431" i="1"/>
  <c r="R1431" i="1"/>
  <c r="Q1431" i="1"/>
  <c r="U1430" i="1"/>
  <c r="T1430" i="1"/>
  <c r="S1430" i="1"/>
  <c r="R1430" i="1"/>
  <c r="Q1430" i="1"/>
  <c r="U1429" i="1"/>
  <c r="T1429" i="1"/>
  <c r="S1429" i="1"/>
  <c r="R1429" i="1"/>
  <c r="Q1429" i="1"/>
  <c r="U1428" i="1"/>
  <c r="T1428" i="1"/>
  <c r="S1428" i="1"/>
  <c r="R1428" i="1"/>
  <c r="Q1428" i="1"/>
  <c r="U1427" i="1"/>
  <c r="T1427" i="1"/>
  <c r="S1427" i="1"/>
  <c r="R1427" i="1"/>
  <c r="Q1427" i="1"/>
  <c r="U1426" i="1"/>
  <c r="T1426" i="1"/>
  <c r="S1426" i="1"/>
  <c r="R1426" i="1"/>
  <c r="Q1426" i="1"/>
  <c r="U1425" i="1"/>
  <c r="T1425" i="1"/>
  <c r="S1425" i="1"/>
  <c r="R1425" i="1"/>
  <c r="Q1425" i="1"/>
  <c r="U1424" i="1"/>
  <c r="T1424" i="1"/>
  <c r="S1424" i="1"/>
  <c r="R1424" i="1"/>
  <c r="Q1424" i="1"/>
  <c r="U1423" i="1"/>
  <c r="T1423" i="1"/>
  <c r="S1423" i="1"/>
  <c r="R1423" i="1"/>
  <c r="Q1423" i="1"/>
  <c r="U1422" i="1"/>
  <c r="T1422" i="1"/>
  <c r="S1422" i="1"/>
  <c r="R1422" i="1"/>
  <c r="Q1422" i="1"/>
  <c r="U1421" i="1"/>
  <c r="T1421" i="1"/>
  <c r="S1421" i="1"/>
  <c r="R1421" i="1"/>
  <c r="Q1421" i="1"/>
  <c r="U1420" i="1"/>
  <c r="T1420" i="1"/>
  <c r="S1420" i="1"/>
  <c r="R1420" i="1"/>
  <c r="Q1420" i="1"/>
  <c r="U1419" i="1"/>
  <c r="T1419" i="1"/>
  <c r="S1419" i="1"/>
  <c r="R1419" i="1"/>
  <c r="Q1419" i="1"/>
  <c r="U1418" i="1"/>
  <c r="T1418" i="1"/>
  <c r="S1418" i="1"/>
  <c r="R1418" i="1"/>
  <c r="Q1418" i="1"/>
  <c r="U1417" i="1"/>
  <c r="T1417" i="1"/>
  <c r="S1417" i="1"/>
  <c r="R1417" i="1"/>
  <c r="Q1417" i="1"/>
  <c r="U1416" i="1"/>
  <c r="T1416" i="1"/>
  <c r="S1416" i="1"/>
  <c r="R1416" i="1"/>
  <c r="Q1416" i="1"/>
  <c r="U1415" i="1"/>
  <c r="T1415" i="1"/>
  <c r="S1415" i="1"/>
  <c r="R1415" i="1"/>
  <c r="Q1415" i="1"/>
  <c r="U1414" i="1"/>
  <c r="T1414" i="1"/>
  <c r="S1414" i="1"/>
  <c r="R1414" i="1"/>
  <c r="Q1414" i="1"/>
  <c r="U1413" i="1"/>
  <c r="T1413" i="1"/>
  <c r="S1413" i="1"/>
  <c r="R1413" i="1"/>
  <c r="Q1413" i="1"/>
  <c r="U1412" i="1"/>
  <c r="T1412" i="1"/>
  <c r="S1412" i="1"/>
  <c r="R1412" i="1"/>
  <c r="Q1412" i="1"/>
  <c r="U1411" i="1"/>
  <c r="T1411" i="1"/>
  <c r="S1411" i="1"/>
  <c r="R1411" i="1"/>
  <c r="Q1411" i="1"/>
  <c r="U1410" i="1"/>
  <c r="T1410" i="1"/>
  <c r="S1410" i="1"/>
  <c r="R1410" i="1"/>
  <c r="Q1410" i="1"/>
  <c r="U1409" i="1"/>
  <c r="T1409" i="1"/>
  <c r="S1409" i="1"/>
  <c r="R1409" i="1"/>
  <c r="Q1409" i="1"/>
  <c r="U1408" i="1"/>
  <c r="T1408" i="1"/>
  <c r="S1408" i="1"/>
  <c r="R1408" i="1"/>
  <c r="Q1408" i="1"/>
  <c r="U1407" i="1"/>
  <c r="T1407" i="1"/>
  <c r="S1407" i="1"/>
  <c r="R1407" i="1"/>
  <c r="Q1407" i="1"/>
  <c r="U1406" i="1"/>
  <c r="T1406" i="1"/>
  <c r="S1406" i="1"/>
  <c r="R1406" i="1"/>
  <c r="Q1406" i="1"/>
  <c r="U1405" i="1"/>
  <c r="T1405" i="1"/>
  <c r="S1405" i="1"/>
  <c r="R1405" i="1"/>
  <c r="Q1405" i="1"/>
  <c r="U1404" i="1"/>
  <c r="T1404" i="1"/>
  <c r="S1404" i="1"/>
  <c r="R1404" i="1"/>
  <c r="Q1404" i="1"/>
  <c r="U1403" i="1"/>
  <c r="T1403" i="1"/>
  <c r="S1403" i="1"/>
  <c r="R1403" i="1"/>
  <c r="Q1403" i="1"/>
  <c r="U1402" i="1"/>
  <c r="T1402" i="1"/>
  <c r="S1402" i="1"/>
  <c r="R1402" i="1"/>
  <c r="Q1402" i="1"/>
  <c r="U1401" i="1"/>
  <c r="T1401" i="1"/>
  <c r="S1401" i="1"/>
  <c r="R1401" i="1"/>
  <c r="Q1401" i="1"/>
  <c r="U1400" i="1"/>
  <c r="T1400" i="1"/>
  <c r="S1400" i="1"/>
  <c r="R1400" i="1"/>
  <c r="Q1400" i="1"/>
  <c r="U1399" i="1"/>
  <c r="T1399" i="1"/>
  <c r="S1399" i="1"/>
  <c r="R1399" i="1"/>
  <c r="Q1399" i="1"/>
  <c r="U1398" i="1"/>
  <c r="T1398" i="1"/>
  <c r="S1398" i="1"/>
  <c r="R1398" i="1"/>
  <c r="Q1398" i="1"/>
  <c r="U1397" i="1"/>
  <c r="T1397" i="1"/>
  <c r="S1397" i="1"/>
  <c r="R1397" i="1"/>
  <c r="Q1397" i="1"/>
  <c r="U1396" i="1"/>
  <c r="T1396" i="1"/>
  <c r="S1396" i="1"/>
  <c r="R1396" i="1"/>
  <c r="Q1396" i="1"/>
  <c r="U1395" i="1"/>
  <c r="T1395" i="1"/>
  <c r="S1395" i="1"/>
  <c r="R1395" i="1"/>
  <c r="Q1395" i="1"/>
  <c r="U1394" i="1"/>
  <c r="T1394" i="1"/>
  <c r="S1394" i="1"/>
  <c r="R1394" i="1"/>
  <c r="Q1394" i="1"/>
  <c r="U1393" i="1"/>
  <c r="T1393" i="1"/>
  <c r="S1393" i="1"/>
  <c r="R1393" i="1"/>
  <c r="Q1393" i="1"/>
  <c r="U1392" i="1"/>
  <c r="T1392" i="1"/>
  <c r="S1392" i="1"/>
  <c r="R1392" i="1"/>
  <c r="Q1392" i="1"/>
  <c r="U1391" i="1"/>
  <c r="T1391" i="1"/>
  <c r="S1391" i="1"/>
  <c r="R1391" i="1"/>
  <c r="Q1391" i="1"/>
  <c r="U1390" i="1"/>
  <c r="T1390" i="1"/>
  <c r="S1390" i="1"/>
  <c r="R1390" i="1"/>
  <c r="Q1390" i="1"/>
  <c r="U1389" i="1"/>
  <c r="T1389" i="1"/>
  <c r="S1389" i="1"/>
  <c r="R1389" i="1"/>
  <c r="Q1389" i="1"/>
  <c r="U1388" i="1"/>
  <c r="T1388" i="1"/>
  <c r="S1388" i="1"/>
  <c r="R1388" i="1"/>
  <c r="Q1388" i="1"/>
  <c r="U1387" i="1"/>
  <c r="T1387" i="1"/>
  <c r="S1387" i="1"/>
  <c r="R1387" i="1"/>
  <c r="Q1387" i="1"/>
  <c r="U1386" i="1"/>
  <c r="T1386" i="1"/>
  <c r="S1386" i="1"/>
  <c r="R1386" i="1"/>
  <c r="Q1386" i="1"/>
  <c r="U1385" i="1"/>
  <c r="T1385" i="1"/>
  <c r="S1385" i="1"/>
  <c r="R1385" i="1"/>
  <c r="Q1385" i="1"/>
  <c r="U1384" i="1"/>
  <c r="T1384" i="1"/>
  <c r="S1384" i="1"/>
  <c r="R1384" i="1"/>
  <c r="Q1384" i="1"/>
  <c r="U1383" i="1"/>
  <c r="T1383" i="1"/>
  <c r="S1383" i="1"/>
  <c r="R1383" i="1"/>
  <c r="Q1383" i="1"/>
  <c r="U1382" i="1"/>
  <c r="T1382" i="1"/>
  <c r="S1382" i="1"/>
  <c r="R1382" i="1"/>
  <c r="Q1382" i="1"/>
  <c r="U1381" i="1"/>
  <c r="T1381" i="1"/>
  <c r="S1381" i="1"/>
  <c r="R1381" i="1"/>
  <c r="Q1381" i="1"/>
  <c r="U1380" i="1"/>
  <c r="T1380" i="1"/>
  <c r="S1380" i="1"/>
  <c r="R1380" i="1"/>
  <c r="Q1380" i="1"/>
  <c r="U1379" i="1"/>
  <c r="T1379" i="1"/>
  <c r="S1379" i="1"/>
  <c r="R1379" i="1"/>
  <c r="Q1379" i="1"/>
  <c r="U1378" i="1"/>
  <c r="T1378" i="1"/>
  <c r="S1378" i="1"/>
  <c r="R1378" i="1"/>
  <c r="Q1378" i="1"/>
  <c r="U1377" i="1"/>
  <c r="T1377" i="1"/>
  <c r="S1377" i="1"/>
  <c r="R1377" i="1"/>
  <c r="Q1377" i="1"/>
  <c r="U1376" i="1"/>
  <c r="T1376" i="1"/>
  <c r="S1376" i="1"/>
  <c r="R1376" i="1"/>
  <c r="Q1376" i="1"/>
  <c r="U1375" i="1"/>
  <c r="T1375" i="1"/>
  <c r="S1375" i="1"/>
  <c r="R1375" i="1"/>
  <c r="Q1375" i="1"/>
  <c r="U1374" i="1"/>
  <c r="T1374" i="1"/>
  <c r="S1374" i="1"/>
  <c r="R1374" i="1"/>
  <c r="Q1374" i="1"/>
  <c r="U1373" i="1"/>
  <c r="T1373" i="1"/>
  <c r="S1373" i="1"/>
  <c r="R1373" i="1"/>
  <c r="Q1373" i="1"/>
  <c r="U1372" i="1"/>
  <c r="T1372" i="1"/>
  <c r="S1372" i="1"/>
  <c r="R1372" i="1"/>
  <c r="Q1372" i="1"/>
  <c r="U1371" i="1"/>
  <c r="T1371" i="1"/>
  <c r="S1371" i="1"/>
  <c r="R1371" i="1"/>
  <c r="Q1371" i="1"/>
  <c r="U1370" i="1"/>
  <c r="T1370" i="1"/>
  <c r="S1370" i="1"/>
  <c r="R1370" i="1"/>
  <c r="Q1370" i="1"/>
  <c r="U1369" i="1"/>
  <c r="T1369" i="1"/>
  <c r="S1369" i="1"/>
  <c r="R1369" i="1"/>
  <c r="Q1369" i="1"/>
  <c r="U1368" i="1"/>
  <c r="T1368" i="1"/>
  <c r="S1368" i="1"/>
  <c r="R1368" i="1"/>
  <c r="Q1368" i="1"/>
  <c r="U1367" i="1"/>
  <c r="T1367" i="1"/>
  <c r="S1367" i="1"/>
  <c r="R1367" i="1"/>
  <c r="Q1367" i="1"/>
  <c r="U1366" i="1"/>
  <c r="T1366" i="1"/>
  <c r="S1366" i="1"/>
  <c r="R1366" i="1"/>
  <c r="Q1366" i="1"/>
  <c r="U1365" i="1"/>
  <c r="T1365" i="1"/>
  <c r="S1365" i="1"/>
  <c r="R1365" i="1"/>
  <c r="Q1365" i="1"/>
  <c r="U1364" i="1"/>
  <c r="T1364" i="1"/>
  <c r="S1364" i="1"/>
  <c r="R1364" i="1"/>
  <c r="Q1364" i="1"/>
  <c r="U1363" i="1"/>
  <c r="T1363" i="1"/>
  <c r="S1363" i="1"/>
  <c r="R1363" i="1"/>
  <c r="Q1363" i="1"/>
  <c r="U1362" i="1"/>
  <c r="T1362" i="1"/>
  <c r="S1362" i="1"/>
  <c r="R1362" i="1"/>
  <c r="Q1362" i="1"/>
  <c r="U1361" i="1"/>
  <c r="T1361" i="1"/>
  <c r="S1361" i="1"/>
  <c r="R1361" i="1"/>
  <c r="Q1361" i="1"/>
  <c r="U1360" i="1"/>
  <c r="T1360" i="1"/>
  <c r="S1360" i="1"/>
  <c r="R1360" i="1"/>
  <c r="Q1360" i="1"/>
  <c r="U1359" i="1"/>
  <c r="T1359" i="1"/>
  <c r="S1359" i="1"/>
  <c r="R1359" i="1"/>
  <c r="Q1359" i="1"/>
  <c r="U1358" i="1"/>
  <c r="T1358" i="1"/>
  <c r="S1358" i="1"/>
  <c r="R1358" i="1"/>
  <c r="Q1358" i="1"/>
  <c r="U1357" i="1"/>
  <c r="T1357" i="1"/>
  <c r="S1357" i="1"/>
  <c r="R1357" i="1"/>
  <c r="Q1357" i="1"/>
  <c r="U1356" i="1"/>
  <c r="T1356" i="1"/>
  <c r="S1356" i="1"/>
  <c r="R1356" i="1"/>
  <c r="Q1356" i="1"/>
  <c r="U1355" i="1"/>
  <c r="T1355" i="1"/>
  <c r="S1355" i="1"/>
  <c r="R1355" i="1"/>
  <c r="Q1355" i="1"/>
  <c r="U1354" i="1"/>
  <c r="T1354" i="1"/>
  <c r="S1354" i="1"/>
  <c r="R1354" i="1"/>
  <c r="Q1354" i="1"/>
  <c r="U1353" i="1"/>
  <c r="T1353" i="1"/>
  <c r="S1353" i="1"/>
  <c r="R1353" i="1"/>
  <c r="Q1353" i="1"/>
  <c r="U1352" i="1"/>
  <c r="T1352" i="1"/>
  <c r="S1352" i="1"/>
  <c r="R1352" i="1"/>
  <c r="Q1352" i="1"/>
  <c r="U1351" i="1"/>
  <c r="T1351" i="1"/>
  <c r="S1351" i="1"/>
  <c r="R1351" i="1"/>
  <c r="Q1351" i="1"/>
  <c r="U1350" i="1"/>
  <c r="T1350" i="1"/>
  <c r="S1350" i="1"/>
  <c r="R1350" i="1"/>
  <c r="Q1350" i="1"/>
  <c r="U1349" i="1"/>
  <c r="T1349" i="1"/>
  <c r="S1349" i="1"/>
  <c r="R1349" i="1"/>
  <c r="Q1349" i="1"/>
  <c r="U1348" i="1"/>
  <c r="T1348" i="1"/>
  <c r="S1348" i="1"/>
  <c r="R1348" i="1"/>
  <c r="Q1348" i="1"/>
  <c r="U1347" i="1"/>
  <c r="T1347" i="1"/>
  <c r="S1347" i="1"/>
  <c r="R1347" i="1"/>
  <c r="Q1347" i="1"/>
  <c r="U1346" i="1"/>
  <c r="T1346" i="1"/>
  <c r="S1346" i="1"/>
  <c r="R1346" i="1"/>
  <c r="Q1346" i="1"/>
  <c r="U1345" i="1"/>
  <c r="T1345" i="1"/>
  <c r="S1345" i="1"/>
  <c r="R1345" i="1"/>
  <c r="Q1345" i="1"/>
  <c r="U1344" i="1"/>
  <c r="T1344" i="1"/>
  <c r="S1344" i="1"/>
  <c r="R1344" i="1"/>
  <c r="Q1344" i="1"/>
  <c r="U1343" i="1"/>
  <c r="T1343" i="1"/>
  <c r="S1343" i="1"/>
  <c r="R1343" i="1"/>
  <c r="Q1343" i="1"/>
  <c r="U1342" i="1"/>
  <c r="T1342" i="1"/>
  <c r="S1342" i="1"/>
  <c r="R1342" i="1"/>
  <c r="Q1342" i="1"/>
  <c r="U1341" i="1"/>
  <c r="T1341" i="1"/>
  <c r="S1341" i="1"/>
  <c r="R1341" i="1"/>
  <c r="Q1341" i="1"/>
  <c r="U1340" i="1"/>
  <c r="T1340" i="1"/>
  <c r="S1340" i="1"/>
  <c r="R1340" i="1"/>
  <c r="Q1340" i="1"/>
  <c r="U1339" i="1"/>
  <c r="T1339" i="1"/>
  <c r="S1339" i="1"/>
  <c r="R1339" i="1"/>
  <c r="Q1339" i="1"/>
  <c r="U1338" i="1"/>
  <c r="T1338" i="1"/>
  <c r="S1338" i="1"/>
  <c r="R1338" i="1"/>
  <c r="Q1338" i="1"/>
  <c r="U1337" i="1"/>
  <c r="T1337" i="1"/>
  <c r="S1337" i="1"/>
  <c r="R1337" i="1"/>
  <c r="Q1337" i="1"/>
  <c r="U1336" i="1"/>
  <c r="T1336" i="1"/>
  <c r="S1336" i="1"/>
  <c r="R1336" i="1"/>
  <c r="Q1336" i="1"/>
  <c r="U1335" i="1"/>
  <c r="T1335" i="1"/>
  <c r="S1335" i="1"/>
  <c r="R1335" i="1"/>
  <c r="Q1335" i="1"/>
  <c r="U1334" i="1"/>
  <c r="T1334" i="1"/>
  <c r="S1334" i="1"/>
  <c r="R1334" i="1"/>
  <c r="Q1334" i="1"/>
  <c r="U1333" i="1"/>
  <c r="T1333" i="1"/>
  <c r="S1333" i="1"/>
  <c r="R1333" i="1"/>
  <c r="Q1333" i="1"/>
  <c r="U1332" i="1"/>
  <c r="T1332" i="1"/>
  <c r="S1332" i="1"/>
  <c r="R1332" i="1"/>
  <c r="Q1332" i="1"/>
  <c r="U1331" i="1"/>
  <c r="T1331" i="1"/>
  <c r="S1331" i="1"/>
  <c r="R1331" i="1"/>
  <c r="Q1331" i="1"/>
  <c r="U1330" i="1"/>
  <c r="T1330" i="1"/>
  <c r="S1330" i="1"/>
  <c r="R1330" i="1"/>
  <c r="Q1330" i="1"/>
  <c r="U1329" i="1"/>
  <c r="T1329" i="1"/>
  <c r="S1329" i="1"/>
  <c r="R1329" i="1"/>
  <c r="Q1329" i="1"/>
  <c r="U1328" i="1"/>
  <c r="T1328" i="1"/>
  <c r="S1328" i="1"/>
  <c r="R1328" i="1"/>
  <c r="Q1328" i="1"/>
  <c r="U1327" i="1"/>
  <c r="T1327" i="1"/>
  <c r="S1327" i="1"/>
  <c r="R1327" i="1"/>
  <c r="Q1327" i="1"/>
  <c r="U1326" i="1"/>
  <c r="T1326" i="1"/>
  <c r="S1326" i="1"/>
  <c r="R1326" i="1"/>
  <c r="Q1326" i="1"/>
  <c r="U1325" i="1"/>
  <c r="T1325" i="1"/>
  <c r="S1325" i="1"/>
  <c r="R1325" i="1"/>
  <c r="Q1325" i="1"/>
  <c r="U1324" i="1"/>
  <c r="T1324" i="1"/>
  <c r="S1324" i="1"/>
  <c r="R1324" i="1"/>
  <c r="Q1324" i="1"/>
  <c r="U1323" i="1"/>
  <c r="T1323" i="1"/>
  <c r="S1323" i="1"/>
  <c r="R1323" i="1"/>
  <c r="Q1323" i="1"/>
  <c r="U1322" i="1"/>
  <c r="T1322" i="1"/>
  <c r="S1322" i="1"/>
  <c r="R1322" i="1"/>
  <c r="Q1322" i="1"/>
  <c r="U1321" i="1"/>
  <c r="T1321" i="1"/>
  <c r="S1321" i="1"/>
  <c r="R1321" i="1"/>
  <c r="Q1321" i="1"/>
  <c r="U1320" i="1"/>
  <c r="T1320" i="1"/>
  <c r="S1320" i="1"/>
  <c r="R1320" i="1"/>
  <c r="Q1320" i="1"/>
  <c r="U1319" i="1"/>
  <c r="T1319" i="1"/>
  <c r="S1319" i="1"/>
  <c r="R1319" i="1"/>
  <c r="Q1319" i="1"/>
  <c r="U1318" i="1"/>
  <c r="T1318" i="1"/>
  <c r="S1318" i="1"/>
  <c r="R1318" i="1"/>
  <c r="Q1318" i="1"/>
  <c r="U1317" i="1"/>
  <c r="T1317" i="1"/>
  <c r="S1317" i="1"/>
  <c r="R1317" i="1"/>
  <c r="Q1317" i="1"/>
  <c r="U1316" i="1"/>
  <c r="T1316" i="1"/>
  <c r="S1316" i="1"/>
  <c r="R1316" i="1"/>
  <c r="Q1316" i="1"/>
  <c r="U1315" i="1"/>
  <c r="T1315" i="1"/>
  <c r="S1315" i="1"/>
  <c r="R1315" i="1"/>
  <c r="Q1315" i="1"/>
  <c r="U1314" i="1"/>
  <c r="T1314" i="1"/>
  <c r="S1314" i="1"/>
  <c r="R1314" i="1"/>
  <c r="Q1314" i="1"/>
  <c r="U1313" i="1"/>
  <c r="T1313" i="1"/>
  <c r="S1313" i="1"/>
  <c r="R1313" i="1"/>
  <c r="Q1313" i="1"/>
  <c r="U1312" i="1"/>
  <c r="T1312" i="1"/>
  <c r="S1312" i="1"/>
  <c r="R1312" i="1"/>
  <c r="Q1312" i="1"/>
  <c r="U1311" i="1"/>
  <c r="T1311" i="1"/>
  <c r="S1311" i="1"/>
  <c r="R1311" i="1"/>
  <c r="Q1311" i="1"/>
  <c r="U1310" i="1"/>
  <c r="T1310" i="1"/>
  <c r="S1310" i="1"/>
  <c r="R1310" i="1"/>
  <c r="Q1310" i="1"/>
  <c r="U1309" i="1"/>
  <c r="T1309" i="1"/>
  <c r="S1309" i="1"/>
  <c r="R1309" i="1"/>
  <c r="Q1309" i="1"/>
  <c r="U1308" i="1"/>
  <c r="T1308" i="1"/>
  <c r="S1308" i="1"/>
  <c r="R1308" i="1"/>
  <c r="Q1308" i="1"/>
  <c r="U1307" i="1"/>
  <c r="T1307" i="1"/>
  <c r="S1307" i="1"/>
  <c r="R1307" i="1"/>
  <c r="Q1307" i="1"/>
  <c r="U1306" i="1"/>
  <c r="T1306" i="1"/>
  <c r="S1306" i="1"/>
  <c r="R1306" i="1"/>
  <c r="Q1306" i="1"/>
  <c r="U1305" i="1"/>
  <c r="T1305" i="1"/>
  <c r="S1305" i="1"/>
  <c r="R1305" i="1"/>
  <c r="Q1305" i="1"/>
  <c r="U1304" i="1"/>
  <c r="T1304" i="1"/>
  <c r="S1304" i="1"/>
  <c r="R1304" i="1"/>
  <c r="Q1304" i="1"/>
  <c r="U1303" i="1"/>
  <c r="T1303" i="1"/>
  <c r="S1303" i="1"/>
  <c r="R1303" i="1"/>
  <c r="Q1303" i="1"/>
  <c r="U1302" i="1"/>
  <c r="T1302" i="1"/>
  <c r="S1302" i="1"/>
  <c r="R1302" i="1"/>
  <c r="Q1302" i="1"/>
  <c r="U1301" i="1"/>
  <c r="T1301" i="1"/>
  <c r="S1301" i="1"/>
  <c r="R1301" i="1"/>
  <c r="Q1301" i="1"/>
  <c r="U1300" i="1"/>
  <c r="T1300" i="1"/>
  <c r="S1300" i="1"/>
  <c r="R1300" i="1"/>
  <c r="Q1300" i="1"/>
  <c r="U1299" i="1"/>
  <c r="T1299" i="1"/>
  <c r="S1299" i="1"/>
  <c r="R1299" i="1"/>
  <c r="Q1299" i="1"/>
  <c r="U1298" i="1"/>
  <c r="T1298" i="1"/>
  <c r="S1298" i="1"/>
  <c r="R1298" i="1"/>
  <c r="Q1298" i="1"/>
  <c r="U1297" i="1"/>
  <c r="T1297" i="1"/>
  <c r="S1297" i="1"/>
  <c r="R1297" i="1"/>
  <c r="Q1297" i="1"/>
  <c r="U1296" i="1"/>
  <c r="T1296" i="1"/>
  <c r="S1296" i="1"/>
  <c r="R1296" i="1"/>
  <c r="Q1296" i="1"/>
  <c r="U1295" i="1"/>
  <c r="T1295" i="1"/>
  <c r="S1295" i="1"/>
  <c r="R1295" i="1"/>
  <c r="Q1295" i="1"/>
  <c r="U1294" i="1"/>
  <c r="T1294" i="1"/>
  <c r="S1294" i="1"/>
  <c r="R1294" i="1"/>
  <c r="Q1294" i="1"/>
  <c r="U1293" i="1"/>
  <c r="T1293" i="1"/>
  <c r="S1293" i="1"/>
  <c r="R1293" i="1"/>
  <c r="Q1293" i="1"/>
  <c r="U1292" i="1"/>
  <c r="T1292" i="1"/>
  <c r="S1292" i="1"/>
  <c r="R1292" i="1"/>
  <c r="Q1292" i="1"/>
  <c r="U1291" i="1"/>
  <c r="T1291" i="1"/>
  <c r="S1291" i="1"/>
  <c r="R1291" i="1"/>
  <c r="Q1291" i="1"/>
  <c r="U1290" i="1"/>
  <c r="T1290" i="1"/>
  <c r="S1290" i="1"/>
  <c r="R1290" i="1"/>
  <c r="Q1290" i="1"/>
  <c r="U1289" i="1"/>
  <c r="T1289" i="1"/>
  <c r="S1289" i="1"/>
  <c r="R1289" i="1"/>
  <c r="Q1289" i="1"/>
  <c r="U1288" i="1"/>
  <c r="T1288" i="1"/>
  <c r="S1288" i="1"/>
  <c r="R1288" i="1"/>
  <c r="Q1288" i="1"/>
  <c r="U1287" i="1"/>
  <c r="T1287" i="1"/>
  <c r="S1287" i="1"/>
  <c r="R1287" i="1"/>
  <c r="Q1287" i="1"/>
  <c r="U1286" i="1"/>
  <c r="T1286" i="1"/>
  <c r="S1286" i="1"/>
  <c r="R1286" i="1"/>
  <c r="Q1286" i="1"/>
  <c r="U1285" i="1"/>
  <c r="T1285" i="1"/>
  <c r="S1285" i="1"/>
  <c r="R1285" i="1"/>
  <c r="Q1285" i="1"/>
  <c r="U1284" i="1"/>
  <c r="T1284" i="1"/>
  <c r="S1284" i="1"/>
  <c r="R1284" i="1"/>
  <c r="Q1284" i="1"/>
  <c r="U1283" i="1"/>
  <c r="T1283" i="1"/>
  <c r="S1283" i="1"/>
  <c r="R1283" i="1"/>
  <c r="Q1283" i="1"/>
  <c r="U1282" i="1"/>
  <c r="T1282" i="1"/>
  <c r="S1282" i="1"/>
  <c r="R1282" i="1"/>
  <c r="Q1282" i="1"/>
  <c r="U1281" i="1"/>
  <c r="T1281" i="1"/>
  <c r="S1281" i="1"/>
  <c r="R1281" i="1"/>
  <c r="Q1281" i="1"/>
  <c r="U1280" i="1"/>
  <c r="T1280" i="1"/>
  <c r="S1280" i="1"/>
  <c r="R1280" i="1"/>
  <c r="Q1280" i="1"/>
  <c r="U1279" i="1"/>
  <c r="T1279" i="1"/>
  <c r="S1279" i="1"/>
  <c r="R1279" i="1"/>
  <c r="Q1279" i="1"/>
  <c r="U1278" i="1"/>
  <c r="T1278" i="1"/>
  <c r="S1278" i="1"/>
  <c r="R1278" i="1"/>
  <c r="Q1278" i="1"/>
  <c r="U1277" i="1"/>
  <c r="T1277" i="1"/>
  <c r="S1277" i="1"/>
  <c r="R1277" i="1"/>
  <c r="Q1277" i="1"/>
  <c r="U1276" i="1"/>
  <c r="T1276" i="1"/>
  <c r="S1276" i="1"/>
  <c r="R1276" i="1"/>
  <c r="Q1276" i="1"/>
  <c r="U1275" i="1"/>
  <c r="T1275" i="1"/>
  <c r="S1275" i="1"/>
  <c r="R1275" i="1"/>
  <c r="Q1275" i="1"/>
  <c r="U1274" i="1"/>
  <c r="T1274" i="1"/>
  <c r="S1274" i="1"/>
  <c r="R1274" i="1"/>
  <c r="Q1274" i="1"/>
  <c r="U1273" i="1"/>
  <c r="T1273" i="1"/>
  <c r="S1273" i="1"/>
  <c r="R1273" i="1"/>
  <c r="Q1273" i="1"/>
  <c r="U1272" i="1"/>
  <c r="T1272" i="1"/>
  <c r="S1272" i="1"/>
  <c r="R1272" i="1"/>
  <c r="Q1272" i="1"/>
  <c r="U1271" i="1"/>
  <c r="T1271" i="1"/>
  <c r="S1271" i="1"/>
  <c r="R1271" i="1"/>
  <c r="Q1271" i="1"/>
  <c r="U1270" i="1"/>
  <c r="T1270" i="1"/>
  <c r="S1270" i="1"/>
  <c r="R1270" i="1"/>
  <c r="Q1270" i="1"/>
  <c r="U1269" i="1"/>
  <c r="T1269" i="1"/>
  <c r="S1269" i="1"/>
  <c r="R1269" i="1"/>
  <c r="Q1269" i="1"/>
  <c r="U1268" i="1"/>
  <c r="T1268" i="1"/>
  <c r="S1268" i="1"/>
  <c r="R1268" i="1"/>
  <c r="Q1268" i="1"/>
  <c r="U1267" i="1"/>
  <c r="T1267" i="1"/>
  <c r="S1267" i="1"/>
  <c r="R1267" i="1"/>
  <c r="Q1267" i="1"/>
  <c r="U1266" i="1"/>
  <c r="T1266" i="1"/>
  <c r="S1266" i="1"/>
  <c r="R1266" i="1"/>
  <c r="Q1266" i="1"/>
  <c r="U1265" i="1"/>
  <c r="T1265" i="1"/>
  <c r="S1265" i="1"/>
  <c r="R1265" i="1"/>
  <c r="Q1265" i="1"/>
  <c r="U1264" i="1"/>
  <c r="T1264" i="1"/>
  <c r="S1264" i="1"/>
  <c r="R1264" i="1"/>
  <c r="Q1264" i="1"/>
  <c r="U1263" i="1"/>
  <c r="T1263" i="1"/>
  <c r="S1263" i="1"/>
  <c r="R1263" i="1"/>
  <c r="Q1263" i="1"/>
  <c r="U1262" i="1"/>
  <c r="T1262" i="1"/>
  <c r="S1262" i="1"/>
  <c r="R1262" i="1"/>
  <c r="Q1262" i="1"/>
  <c r="U1261" i="1"/>
  <c r="T1261" i="1"/>
  <c r="S1261" i="1"/>
  <c r="R1261" i="1"/>
  <c r="Q1261" i="1"/>
  <c r="U1260" i="1"/>
  <c r="T1260" i="1"/>
  <c r="S1260" i="1"/>
  <c r="R1260" i="1"/>
  <c r="Q1260" i="1"/>
  <c r="U1259" i="1"/>
  <c r="T1259" i="1"/>
  <c r="S1259" i="1"/>
  <c r="R1259" i="1"/>
  <c r="Q1259" i="1"/>
  <c r="U1258" i="1"/>
  <c r="T1258" i="1"/>
  <c r="S1258" i="1"/>
  <c r="R1258" i="1"/>
  <c r="Q1258" i="1"/>
  <c r="U1257" i="1"/>
  <c r="T1257" i="1"/>
  <c r="S1257" i="1"/>
  <c r="R1257" i="1"/>
  <c r="Q1257" i="1"/>
  <c r="U1256" i="1"/>
  <c r="T1256" i="1"/>
  <c r="S1256" i="1"/>
  <c r="R1256" i="1"/>
  <c r="Q1256" i="1"/>
  <c r="U1255" i="1"/>
  <c r="T1255" i="1"/>
  <c r="S1255" i="1"/>
  <c r="R1255" i="1"/>
  <c r="Q1255" i="1"/>
  <c r="U1254" i="1"/>
  <c r="T1254" i="1"/>
  <c r="S1254" i="1"/>
  <c r="R1254" i="1"/>
  <c r="Q1254" i="1"/>
  <c r="U1253" i="1"/>
  <c r="T1253" i="1"/>
  <c r="S1253" i="1"/>
  <c r="R1253" i="1"/>
  <c r="Q1253" i="1"/>
  <c r="U1252" i="1"/>
  <c r="T1252" i="1"/>
  <c r="S1252" i="1"/>
  <c r="R1252" i="1"/>
  <c r="Q1252" i="1"/>
  <c r="U1251" i="1"/>
  <c r="T1251" i="1"/>
  <c r="S1251" i="1"/>
  <c r="R1251" i="1"/>
  <c r="Q1251" i="1"/>
  <c r="U1250" i="1"/>
  <c r="T1250" i="1"/>
  <c r="S1250" i="1"/>
  <c r="R1250" i="1"/>
  <c r="Q1250" i="1"/>
  <c r="U1249" i="1"/>
  <c r="T1249" i="1"/>
  <c r="S1249" i="1"/>
  <c r="R1249" i="1"/>
  <c r="Q1249" i="1"/>
  <c r="U1248" i="1"/>
  <c r="T1248" i="1"/>
  <c r="S1248" i="1"/>
  <c r="R1248" i="1"/>
  <c r="Q1248" i="1"/>
  <c r="U1247" i="1"/>
  <c r="T1247" i="1"/>
  <c r="S1247" i="1"/>
  <c r="R1247" i="1"/>
  <c r="Q1247" i="1"/>
  <c r="U1246" i="1"/>
  <c r="T1246" i="1"/>
  <c r="S1246" i="1"/>
  <c r="R1246" i="1"/>
  <c r="Q1246" i="1"/>
  <c r="U1245" i="1"/>
  <c r="T1245" i="1"/>
  <c r="S1245" i="1"/>
  <c r="R1245" i="1"/>
  <c r="Q1245" i="1"/>
  <c r="U1244" i="1"/>
  <c r="T1244" i="1"/>
  <c r="S1244" i="1"/>
  <c r="R1244" i="1"/>
  <c r="Q1244" i="1"/>
  <c r="U1243" i="1"/>
  <c r="T1243" i="1"/>
  <c r="S1243" i="1"/>
  <c r="R1243" i="1"/>
  <c r="Q1243" i="1"/>
  <c r="U1242" i="1"/>
  <c r="T1242" i="1"/>
  <c r="S1242" i="1"/>
  <c r="R1242" i="1"/>
  <c r="Q1242" i="1"/>
  <c r="U1241" i="1"/>
  <c r="T1241" i="1"/>
  <c r="S1241" i="1"/>
  <c r="R1241" i="1"/>
  <c r="Q1241" i="1"/>
  <c r="U1240" i="1"/>
  <c r="T1240" i="1"/>
  <c r="S1240" i="1"/>
  <c r="R1240" i="1"/>
  <c r="Q1240" i="1"/>
  <c r="U1239" i="1"/>
  <c r="T1239" i="1"/>
  <c r="S1239" i="1"/>
  <c r="R1239" i="1"/>
  <c r="Q1239" i="1"/>
  <c r="U1238" i="1"/>
  <c r="T1238" i="1"/>
  <c r="S1238" i="1"/>
  <c r="R1238" i="1"/>
  <c r="Q1238" i="1"/>
  <c r="U1237" i="1"/>
  <c r="T1237" i="1"/>
  <c r="S1237" i="1"/>
  <c r="R1237" i="1"/>
  <c r="Q1237" i="1"/>
  <c r="U1236" i="1"/>
  <c r="T1236" i="1"/>
  <c r="S1236" i="1"/>
  <c r="R1236" i="1"/>
  <c r="Q1236" i="1"/>
  <c r="U1235" i="1"/>
  <c r="T1235" i="1"/>
  <c r="S1235" i="1"/>
  <c r="R1235" i="1"/>
  <c r="Q1235" i="1"/>
  <c r="U1234" i="1"/>
  <c r="T1234" i="1"/>
  <c r="S1234" i="1"/>
  <c r="R1234" i="1"/>
  <c r="Q1234" i="1"/>
  <c r="U1233" i="1"/>
  <c r="T1233" i="1"/>
  <c r="S1233" i="1"/>
  <c r="R1233" i="1"/>
  <c r="Q1233" i="1"/>
  <c r="U1232" i="1"/>
  <c r="T1232" i="1"/>
  <c r="S1232" i="1"/>
  <c r="R1232" i="1"/>
  <c r="Q1232" i="1"/>
  <c r="U1231" i="1"/>
  <c r="T1231" i="1"/>
  <c r="S1231" i="1"/>
  <c r="R1231" i="1"/>
  <c r="Q1231" i="1"/>
  <c r="U1230" i="1"/>
  <c r="T1230" i="1"/>
  <c r="S1230" i="1"/>
  <c r="R1230" i="1"/>
  <c r="Q1230" i="1"/>
  <c r="U1229" i="1"/>
  <c r="T1229" i="1"/>
  <c r="S1229" i="1"/>
  <c r="R1229" i="1"/>
  <c r="Q1229" i="1"/>
  <c r="U1228" i="1"/>
  <c r="T1228" i="1"/>
  <c r="S1228" i="1"/>
  <c r="R1228" i="1"/>
  <c r="Q1228" i="1"/>
  <c r="U1227" i="1"/>
  <c r="T1227" i="1"/>
  <c r="S1227" i="1"/>
  <c r="R1227" i="1"/>
  <c r="Q1227" i="1"/>
  <c r="U1226" i="1"/>
  <c r="T1226" i="1"/>
  <c r="S1226" i="1"/>
  <c r="R1226" i="1"/>
  <c r="Q1226" i="1"/>
  <c r="U1225" i="1"/>
  <c r="T1225" i="1"/>
  <c r="S1225" i="1"/>
  <c r="R1225" i="1"/>
  <c r="Q1225" i="1"/>
  <c r="U1224" i="1"/>
  <c r="T1224" i="1"/>
  <c r="S1224" i="1"/>
  <c r="R1224" i="1"/>
  <c r="Q1224" i="1"/>
  <c r="U1223" i="1"/>
  <c r="T1223" i="1"/>
  <c r="S1223" i="1"/>
  <c r="R1223" i="1"/>
  <c r="Q1223" i="1"/>
  <c r="U1222" i="1"/>
  <c r="T1222" i="1"/>
  <c r="S1222" i="1"/>
  <c r="R1222" i="1"/>
  <c r="Q1222" i="1"/>
  <c r="U1221" i="1"/>
  <c r="T1221" i="1"/>
  <c r="S1221" i="1"/>
  <c r="R1221" i="1"/>
  <c r="Q1221" i="1"/>
  <c r="U1220" i="1"/>
  <c r="T1220" i="1"/>
  <c r="S1220" i="1"/>
  <c r="R1220" i="1"/>
  <c r="Q1220" i="1"/>
  <c r="U1219" i="1"/>
  <c r="T1219" i="1"/>
  <c r="S1219" i="1"/>
  <c r="R1219" i="1"/>
  <c r="Q1219" i="1"/>
  <c r="U1218" i="1"/>
  <c r="T1218" i="1"/>
  <c r="S1218" i="1"/>
  <c r="R1218" i="1"/>
  <c r="Q1218" i="1"/>
  <c r="U1217" i="1"/>
  <c r="T1217" i="1"/>
  <c r="S1217" i="1"/>
  <c r="R1217" i="1"/>
  <c r="Q1217" i="1"/>
  <c r="U1216" i="1"/>
  <c r="T1216" i="1"/>
  <c r="S1216" i="1"/>
  <c r="R1216" i="1"/>
  <c r="Q1216" i="1"/>
  <c r="U1215" i="1"/>
  <c r="T1215" i="1"/>
  <c r="S1215" i="1"/>
  <c r="R1215" i="1"/>
  <c r="Q1215" i="1"/>
  <c r="U1214" i="1"/>
  <c r="T1214" i="1"/>
  <c r="S1214" i="1"/>
  <c r="R1214" i="1"/>
  <c r="Q1214" i="1"/>
  <c r="U1213" i="1"/>
  <c r="T1213" i="1"/>
  <c r="S1213" i="1"/>
  <c r="R1213" i="1"/>
  <c r="Q1213" i="1"/>
  <c r="U1212" i="1"/>
  <c r="T1212" i="1"/>
  <c r="S1212" i="1"/>
  <c r="R1212" i="1"/>
  <c r="Q1212" i="1"/>
  <c r="U1211" i="1"/>
  <c r="T1211" i="1"/>
  <c r="S1211" i="1"/>
  <c r="R1211" i="1"/>
  <c r="Q1211" i="1"/>
  <c r="U1210" i="1"/>
  <c r="T1210" i="1"/>
  <c r="S1210" i="1"/>
  <c r="R1210" i="1"/>
  <c r="Q1210" i="1"/>
  <c r="U1209" i="1"/>
  <c r="T1209" i="1"/>
  <c r="S1209" i="1"/>
  <c r="R1209" i="1"/>
  <c r="Q1209" i="1"/>
  <c r="U1208" i="1"/>
  <c r="T1208" i="1"/>
  <c r="S1208" i="1"/>
  <c r="R1208" i="1"/>
  <c r="Q1208" i="1"/>
  <c r="U1207" i="1"/>
  <c r="T1207" i="1"/>
  <c r="S1207" i="1"/>
  <c r="R1207" i="1"/>
  <c r="Q1207" i="1"/>
  <c r="U1206" i="1"/>
  <c r="T1206" i="1"/>
  <c r="S1206" i="1"/>
  <c r="R1206" i="1"/>
  <c r="Q1206" i="1"/>
  <c r="U1205" i="1"/>
  <c r="T1205" i="1"/>
  <c r="S1205" i="1"/>
  <c r="R1205" i="1"/>
  <c r="Q1205" i="1"/>
  <c r="U1204" i="1"/>
  <c r="T1204" i="1"/>
  <c r="S1204" i="1"/>
  <c r="R1204" i="1"/>
  <c r="Q1204" i="1"/>
  <c r="U1203" i="1"/>
  <c r="T1203" i="1"/>
  <c r="S1203" i="1"/>
  <c r="R1203" i="1"/>
  <c r="Q1203" i="1"/>
  <c r="U1202" i="1"/>
  <c r="T1202" i="1"/>
  <c r="S1202" i="1"/>
  <c r="R1202" i="1"/>
  <c r="Q1202" i="1"/>
  <c r="U1201" i="1"/>
  <c r="T1201" i="1"/>
  <c r="S1201" i="1"/>
  <c r="R1201" i="1"/>
  <c r="Q1201" i="1"/>
  <c r="U1200" i="1"/>
  <c r="T1200" i="1"/>
  <c r="S1200" i="1"/>
  <c r="R1200" i="1"/>
  <c r="Q1200" i="1"/>
  <c r="U1199" i="1"/>
  <c r="T1199" i="1"/>
  <c r="S1199" i="1"/>
  <c r="R1199" i="1"/>
  <c r="Q1199" i="1"/>
  <c r="U1198" i="1"/>
  <c r="T1198" i="1"/>
  <c r="S1198" i="1"/>
  <c r="R1198" i="1"/>
  <c r="Q1198" i="1"/>
  <c r="U1197" i="1"/>
  <c r="T1197" i="1"/>
  <c r="S1197" i="1"/>
  <c r="R1197" i="1"/>
  <c r="Q1197" i="1"/>
  <c r="U1196" i="1"/>
  <c r="T1196" i="1"/>
  <c r="S1196" i="1"/>
  <c r="R1196" i="1"/>
  <c r="Q1196" i="1"/>
  <c r="U1195" i="1"/>
  <c r="T1195" i="1"/>
  <c r="S1195" i="1"/>
  <c r="R1195" i="1"/>
  <c r="Q1195" i="1"/>
  <c r="U1194" i="1"/>
  <c r="T1194" i="1"/>
  <c r="S1194" i="1"/>
  <c r="R1194" i="1"/>
  <c r="Q1194" i="1"/>
  <c r="U1193" i="1"/>
  <c r="T1193" i="1"/>
  <c r="S1193" i="1"/>
  <c r="R1193" i="1"/>
  <c r="Q1193" i="1"/>
  <c r="U1192" i="1"/>
  <c r="T1192" i="1"/>
  <c r="S1192" i="1"/>
  <c r="R1192" i="1"/>
  <c r="Q1192" i="1"/>
  <c r="U1191" i="1"/>
  <c r="T1191" i="1"/>
  <c r="S1191" i="1"/>
  <c r="R1191" i="1"/>
  <c r="Q1191" i="1"/>
  <c r="U1190" i="1"/>
  <c r="T1190" i="1"/>
  <c r="S1190" i="1"/>
  <c r="R1190" i="1"/>
  <c r="Q1190" i="1"/>
  <c r="U1189" i="1"/>
  <c r="T1189" i="1"/>
  <c r="S1189" i="1"/>
  <c r="R1189" i="1"/>
  <c r="Q1189" i="1"/>
  <c r="U1188" i="1"/>
  <c r="T1188" i="1"/>
  <c r="S1188" i="1"/>
  <c r="R1188" i="1"/>
  <c r="Q1188" i="1"/>
  <c r="U1187" i="1"/>
  <c r="T1187" i="1"/>
  <c r="S1187" i="1"/>
  <c r="R1187" i="1"/>
  <c r="Q1187" i="1"/>
  <c r="U1186" i="1"/>
  <c r="T1186" i="1"/>
  <c r="S1186" i="1"/>
  <c r="R1186" i="1"/>
  <c r="Q1186" i="1"/>
  <c r="U1185" i="1"/>
  <c r="T1185" i="1"/>
  <c r="S1185" i="1"/>
  <c r="R1185" i="1"/>
  <c r="Q1185" i="1"/>
  <c r="U1184" i="1"/>
  <c r="T1184" i="1"/>
  <c r="S1184" i="1"/>
  <c r="R1184" i="1"/>
  <c r="Q1184" i="1"/>
  <c r="U1183" i="1"/>
  <c r="T1183" i="1"/>
  <c r="S1183" i="1"/>
  <c r="R1183" i="1"/>
  <c r="Q1183" i="1"/>
  <c r="U1182" i="1"/>
  <c r="T1182" i="1"/>
  <c r="S1182" i="1"/>
  <c r="R1182" i="1"/>
  <c r="Q1182" i="1"/>
  <c r="U1181" i="1"/>
  <c r="T1181" i="1"/>
  <c r="S1181" i="1"/>
  <c r="R1181" i="1"/>
  <c r="Q1181" i="1"/>
  <c r="U1180" i="1"/>
  <c r="T1180" i="1"/>
  <c r="S1180" i="1"/>
  <c r="R1180" i="1"/>
  <c r="Q1180" i="1"/>
  <c r="U1179" i="1"/>
  <c r="T1179" i="1"/>
  <c r="S1179" i="1"/>
  <c r="R1179" i="1"/>
  <c r="Q1179" i="1"/>
  <c r="U1178" i="1"/>
  <c r="T1178" i="1"/>
  <c r="S1178" i="1"/>
  <c r="R1178" i="1"/>
  <c r="Q1178" i="1"/>
  <c r="U1177" i="1"/>
  <c r="T1177" i="1"/>
  <c r="S1177" i="1"/>
  <c r="R1177" i="1"/>
  <c r="Q1177" i="1"/>
  <c r="U1176" i="1"/>
  <c r="T1176" i="1"/>
  <c r="S1176" i="1"/>
  <c r="R1176" i="1"/>
  <c r="Q1176" i="1"/>
  <c r="U1175" i="1"/>
  <c r="T1175" i="1"/>
  <c r="S1175" i="1"/>
  <c r="R1175" i="1"/>
  <c r="Q1175" i="1"/>
  <c r="U1174" i="1"/>
  <c r="T1174" i="1"/>
  <c r="S1174" i="1"/>
  <c r="R1174" i="1"/>
  <c r="Q1174" i="1"/>
  <c r="U1173" i="1"/>
  <c r="T1173" i="1"/>
  <c r="S1173" i="1"/>
  <c r="R1173" i="1"/>
  <c r="Q1173" i="1"/>
  <c r="U1172" i="1"/>
  <c r="T1172" i="1"/>
  <c r="S1172" i="1"/>
  <c r="R1172" i="1"/>
  <c r="Q1172" i="1"/>
  <c r="U1171" i="1"/>
  <c r="T1171" i="1"/>
  <c r="S1171" i="1"/>
  <c r="R1171" i="1"/>
  <c r="Q1171" i="1"/>
  <c r="U1170" i="1"/>
  <c r="T1170" i="1"/>
  <c r="S1170" i="1"/>
  <c r="R1170" i="1"/>
  <c r="Q1170" i="1"/>
  <c r="U1169" i="1"/>
  <c r="T1169" i="1"/>
  <c r="S1169" i="1"/>
  <c r="R1169" i="1"/>
  <c r="Q1169" i="1"/>
  <c r="U1168" i="1"/>
  <c r="T1168" i="1"/>
  <c r="S1168" i="1"/>
  <c r="R1168" i="1"/>
  <c r="Q1168" i="1"/>
  <c r="U1167" i="1"/>
  <c r="T1167" i="1"/>
  <c r="S1167" i="1"/>
  <c r="R1167" i="1"/>
  <c r="Q1167" i="1"/>
  <c r="U1166" i="1"/>
  <c r="T1166" i="1"/>
  <c r="S1166" i="1"/>
  <c r="R1166" i="1"/>
  <c r="Q1166" i="1"/>
  <c r="U1165" i="1"/>
  <c r="T1165" i="1"/>
  <c r="S1165" i="1"/>
  <c r="R1165" i="1"/>
  <c r="Q1165" i="1"/>
  <c r="U1164" i="1"/>
  <c r="T1164" i="1"/>
  <c r="S1164" i="1"/>
  <c r="R1164" i="1"/>
  <c r="Q1164" i="1"/>
  <c r="U1163" i="1"/>
  <c r="T1163" i="1"/>
  <c r="S1163" i="1"/>
  <c r="R1163" i="1"/>
  <c r="Q1163" i="1"/>
  <c r="U1162" i="1"/>
  <c r="T1162" i="1"/>
  <c r="S1162" i="1"/>
  <c r="R1162" i="1"/>
  <c r="Q1162" i="1"/>
  <c r="U1161" i="1"/>
  <c r="T1161" i="1"/>
  <c r="S1161" i="1"/>
  <c r="R1161" i="1"/>
  <c r="Q1161" i="1"/>
  <c r="U1160" i="1"/>
  <c r="T1160" i="1"/>
  <c r="S1160" i="1"/>
  <c r="R1160" i="1"/>
  <c r="Q1160" i="1"/>
  <c r="U1159" i="1"/>
  <c r="T1159" i="1"/>
  <c r="S1159" i="1"/>
  <c r="R1159" i="1"/>
  <c r="Q1159" i="1"/>
  <c r="U1158" i="1"/>
  <c r="T1158" i="1"/>
  <c r="S1158" i="1"/>
  <c r="R1158" i="1"/>
  <c r="Q1158" i="1"/>
  <c r="U1157" i="1"/>
  <c r="T1157" i="1"/>
  <c r="S1157" i="1"/>
  <c r="R1157" i="1"/>
  <c r="Q1157" i="1"/>
  <c r="U1156" i="1"/>
  <c r="T1156" i="1"/>
  <c r="S1156" i="1"/>
  <c r="R1156" i="1"/>
  <c r="Q1156" i="1"/>
  <c r="U1155" i="1"/>
  <c r="T1155" i="1"/>
  <c r="S1155" i="1"/>
  <c r="R1155" i="1"/>
  <c r="Q1155" i="1"/>
  <c r="U1154" i="1"/>
  <c r="T1154" i="1"/>
  <c r="S1154" i="1"/>
  <c r="R1154" i="1"/>
  <c r="Q1154" i="1"/>
  <c r="U1153" i="1"/>
  <c r="T1153" i="1"/>
  <c r="S1153" i="1"/>
  <c r="R1153" i="1"/>
  <c r="Q1153" i="1"/>
  <c r="U1152" i="1"/>
  <c r="T1152" i="1"/>
  <c r="S1152" i="1"/>
  <c r="R1152" i="1"/>
  <c r="Q1152" i="1"/>
  <c r="U1151" i="1"/>
  <c r="T1151" i="1"/>
  <c r="S1151" i="1"/>
  <c r="R1151" i="1"/>
  <c r="Q1151" i="1"/>
  <c r="U1150" i="1"/>
  <c r="T1150" i="1"/>
  <c r="S1150" i="1"/>
  <c r="R1150" i="1"/>
  <c r="Q1150" i="1"/>
  <c r="U1149" i="1"/>
  <c r="T1149" i="1"/>
  <c r="S1149" i="1"/>
  <c r="R1149" i="1"/>
  <c r="Q1149" i="1"/>
  <c r="U1148" i="1"/>
  <c r="T1148" i="1"/>
  <c r="S1148" i="1"/>
  <c r="R1148" i="1"/>
  <c r="Q1148" i="1"/>
  <c r="U1147" i="1"/>
  <c r="T1147" i="1"/>
  <c r="S1147" i="1"/>
  <c r="R1147" i="1"/>
  <c r="Q1147" i="1"/>
  <c r="U1146" i="1"/>
  <c r="T1146" i="1"/>
  <c r="S1146" i="1"/>
  <c r="R1146" i="1"/>
  <c r="Q1146" i="1"/>
  <c r="U1145" i="1"/>
  <c r="T1145" i="1"/>
  <c r="S1145" i="1"/>
  <c r="R1145" i="1"/>
  <c r="Q1145" i="1"/>
  <c r="U1144" i="1"/>
  <c r="T1144" i="1"/>
  <c r="S1144" i="1"/>
  <c r="R1144" i="1"/>
  <c r="Q1144" i="1"/>
  <c r="U1143" i="1"/>
  <c r="T1143" i="1"/>
  <c r="S1143" i="1"/>
  <c r="R1143" i="1"/>
  <c r="Q1143" i="1"/>
  <c r="U1142" i="1"/>
  <c r="T1142" i="1"/>
  <c r="S1142" i="1"/>
  <c r="R1142" i="1"/>
  <c r="Q1142" i="1"/>
  <c r="U1141" i="1"/>
  <c r="T1141" i="1"/>
  <c r="S1141" i="1"/>
  <c r="R1141" i="1"/>
  <c r="Q1141" i="1"/>
  <c r="U1140" i="1"/>
  <c r="T1140" i="1"/>
  <c r="S1140" i="1"/>
  <c r="R1140" i="1"/>
  <c r="Q1140" i="1"/>
  <c r="U1139" i="1"/>
  <c r="T1139" i="1"/>
  <c r="S1139" i="1"/>
  <c r="R1139" i="1"/>
  <c r="Q1139" i="1"/>
  <c r="U1138" i="1"/>
  <c r="T1138" i="1"/>
  <c r="S1138" i="1"/>
  <c r="R1138" i="1"/>
  <c r="Q1138" i="1"/>
  <c r="U1137" i="1"/>
  <c r="T1137" i="1"/>
  <c r="S1137" i="1"/>
  <c r="R1137" i="1"/>
  <c r="Q1137" i="1"/>
  <c r="U1136" i="1"/>
  <c r="T1136" i="1"/>
  <c r="S1136" i="1"/>
  <c r="R1136" i="1"/>
  <c r="Q1136" i="1"/>
  <c r="U1135" i="1"/>
  <c r="T1135" i="1"/>
  <c r="S1135" i="1"/>
  <c r="R1135" i="1"/>
  <c r="Q1135" i="1"/>
  <c r="U1134" i="1"/>
  <c r="T1134" i="1"/>
  <c r="S1134" i="1"/>
  <c r="R1134" i="1"/>
  <c r="Q1134" i="1"/>
  <c r="U1133" i="1"/>
  <c r="T1133" i="1"/>
  <c r="S1133" i="1"/>
  <c r="R1133" i="1"/>
  <c r="Q1133" i="1"/>
  <c r="U1132" i="1"/>
  <c r="T1132" i="1"/>
  <c r="S1132" i="1"/>
  <c r="R1132" i="1"/>
  <c r="Q1132" i="1"/>
  <c r="U1131" i="1"/>
  <c r="T1131" i="1"/>
  <c r="S1131" i="1"/>
  <c r="R1131" i="1"/>
  <c r="Q1131" i="1"/>
  <c r="U1130" i="1"/>
  <c r="T1130" i="1"/>
  <c r="S1130" i="1"/>
  <c r="R1130" i="1"/>
  <c r="Q1130" i="1"/>
  <c r="U1129" i="1"/>
  <c r="T1129" i="1"/>
  <c r="S1129" i="1"/>
  <c r="R1129" i="1"/>
  <c r="Q1129" i="1"/>
  <c r="U1128" i="1"/>
  <c r="T1128" i="1"/>
  <c r="S1128" i="1"/>
  <c r="R1128" i="1"/>
  <c r="Q1128" i="1"/>
  <c r="U1127" i="1"/>
  <c r="T1127" i="1"/>
  <c r="S1127" i="1"/>
  <c r="R1127" i="1"/>
  <c r="Q1127" i="1"/>
  <c r="U1126" i="1"/>
  <c r="T1126" i="1"/>
  <c r="S1126" i="1"/>
  <c r="R1126" i="1"/>
  <c r="Q1126" i="1"/>
  <c r="U1125" i="1"/>
  <c r="T1125" i="1"/>
  <c r="S1125" i="1"/>
  <c r="R1125" i="1"/>
  <c r="Q1125" i="1"/>
  <c r="U1124" i="1"/>
  <c r="T1124" i="1"/>
  <c r="S1124" i="1"/>
  <c r="R1124" i="1"/>
  <c r="Q1124" i="1"/>
  <c r="U1123" i="1"/>
  <c r="T1123" i="1"/>
  <c r="S1123" i="1"/>
  <c r="R1123" i="1"/>
  <c r="Q1123" i="1"/>
  <c r="U1122" i="1"/>
  <c r="T1122" i="1"/>
  <c r="S1122" i="1"/>
  <c r="R1122" i="1"/>
  <c r="Q1122" i="1"/>
  <c r="U1121" i="1"/>
  <c r="T1121" i="1"/>
  <c r="S1121" i="1"/>
  <c r="R1121" i="1"/>
  <c r="Q1121" i="1"/>
  <c r="U1120" i="1"/>
  <c r="T1120" i="1"/>
  <c r="S1120" i="1"/>
  <c r="R1120" i="1"/>
  <c r="Q1120" i="1"/>
  <c r="U1119" i="1"/>
  <c r="T1119" i="1"/>
  <c r="S1119" i="1"/>
  <c r="R1119" i="1"/>
  <c r="Q1119" i="1"/>
  <c r="U1118" i="1"/>
  <c r="T1118" i="1"/>
  <c r="S1118" i="1"/>
  <c r="R1118" i="1"/>
  <c r="Q1118" i="1"/>
  <c r="U1117" i="1"/>
  <c r="T1117" i="1"/>
  <c r="S1117" i="1"/>
  <c r="R1117" i="1"/>
  <c r="Q1117" i="1"/>
  <c r="U1116" i="1"/>
  <c r="T1116" i="1"/>
  <c r="S1116" i="1"/>
  <c r="R1116" i="1"/>
  <c r="Q1116" i="1"/>
  <c r="U1115" i="1"/>
  <c r="T1115" i="1"/>
  <c r="S1115" i="1"/>
  <c r="R1115" i="1"/>
  <c r="Q1115" i="1"/>
  <c r="U1114" i="1"/>
  <c r="T1114" i="1"/>
  <c r="S1114" i="1"/>
  <c r="R1114" i="1"/>
  <c r="Q1114" i="1"/>
  <c r="U1113" i="1"/>
  <c r="T1113" i="1"/>
  <c r="S1113" i="1"/>
  <c r="R1113" i="1"/>
  <c r="Q1113" i="1"/>
  <c r="U1112" i="1"/>
  <c r="T1112" i="1"/>
  <c r="S1112" i="1"/>
  <c r="R1112" i="1"/>
  <c r="Q1112" i="1"/>
  <c r="U1111" i="1"/>
  <c r="T1111" i="1"/>
  <c r="S1111" i="1"/>
  <c r="R1111" i="1"/>
  <c r="Q1111" i="1"/>
  <c r="U1110" i="1"/>
  <c r="T1110" i="1"/>
  <c r="S1110" i="1"/>
  <c r="R1110" i="1"/>
  <c r="Q1110" i="1"/>
  <c r="U1109" i="1"/>
  <c r="T1109" i="1"/>
  <c r="S1109" i="1"/>
  <c r="R1109" i="1"/>
  <c r="Q1109" i="1"/>
  <c r="U1108" i="1"/>
  <c r="T1108" i="1"/>
  <c r="S1108" i="1"/>
  <c r="R1108" i="1"/>
  <c r="Q1108" i="1"/>
  <c r="U1107" i="1"/>
  <c r="T1107" i="1"/>
  <c r="S1107" i="1"/>
  <c r="R1107" i="1"/>
  <c r="Q1107" i="1"/>
  <c r="U1106" i="1"/>
  <c r="T1106" i="1"/>
  <c r="S1106" i="1"/>
  <c r="R1106" i="1"/>
  <c r="Q1106" i="1"/>
  <c r="U1105" i="1"/>
  <c r="T1105" i="1"/>
  <c r="S1105" i="1"/>
  <c r="R1105" i="1"/>
  <c r="Q1105" i="1"/>
  <c r="U1104" i="1"/>
  <c r="T1104" i="1"/>
  <c r="S1104" i="1"/>
  <c r="R1104" i="1"/>
  <c r="Q1104" i="1"/>
  <c r="U1103" i="1"/>
  <c r="T1103" i="1"/>
  <c r="S1103" i="1"/>
  <c r="R1103" i="1"/>
  <c r="Q1103" i="1"/>
  <c r="U1102" i="1"/>
  <c r="T1102" i="1"/>
  <c r="S1102" i="1"/>
  <c r="R1102" i="1"/>
  <c r="Q1102" i="1"/>
  <c r="U1101" i="1"/>
  <c r="T1101" i="1"/>
  <c r="S1101" i="1"/>
  <c r="R1101" i="1"/>
  <c r="Q1101" i="1"/>
  <c r="U1100" i="1"/>
  <c r="T1100" i="1"/>
  <c r="S1100" i="1"/>
  <c r="R1100" i="1"/>
  <c r="Q1100" i="1"/>
  <c r="U1099" i="1"/>
  <c r="T1099" i="1"/>
  <c r="S1099" i="1"/>
  <c r="R1099" i="1"/>
  <c r="Q1099" i="1"/>
  <c r="U1098" i="1"/>
  <c r="T1098" i="1"/>
  <c r="S1098" i="1"/>
  <c r="R1098" i="1"/>
  <c r="Q1098" i="1"/>
  <c r="U1097" i="1"/>
  <c r="T1097" i="1"/>
  <c r="S1097" i="1"/>
  <c r="R1097" i="1"/>
  <c r="Q1097" i="1"/>
  <c r="U1096" i="1"/>
  <c r="T1096" i="1"/>
  <c r="S1096" i="1"/>
  <c r="R1096" i="1"/>
  <c r="Q1096" i="1"/>
  <c r="U1095" i="1"/>
  <c r="T1095" i="1"/>
  <c r="S1095" i="1"/>
  <c r="R1095" i="1"/>
  <c r="Q1095" i="1"/>
  <c r="U1094" i="1"/>
  <c r="T1094" i="1"/>
  <c r="S1094" i="1"/>
  <c r="R1094" i="1"/>
  <c r="Q1094" i="1"/>
  <c r="U1093" i="1"/>
  <c r="T1093" i="1"/>
  <c r="S1093" i="1"/>
  <c r="R1093" i="1"/>
  <c r="Q1093" i="1"/>
  <c r="U1092" i="1"/>
  <c r="T1092" i="1"/>
  <c r="S1092" i="1"/>
  <c r="R1092" i="1"/>
  <c r="Q1092" i="1"/>
  <c r="U1091" i="1"/>
  <c r="T1091" i="1"/>
  <c r="S1091" i="1"/>
  <c r="R1091" i="1"/>
  <c r="Q1091" i="1"/>
  <c r="U1090" i="1"/>
  <c r="T1090" i="1"/>
  <c r="S1090" i="1"/>
  <c r="R1090" i="1"/>
  <c r="Q1090" i="1"/>
  <c r="U1089" i="1"/>
  <c r="T1089" i="1"/>
  <c r="S1089" i="1"/>
  <c r="R1089" i="1"/>
  <c r="Q1089" i="1"/>
  <c r="U1088" i="1"/>
  <c r="T1088" i="1"/>
  <c r="S1088" i="1"/>
  <c r="R1088" i="1"/>
  <c r="Q1088" i="1"/>
  <c r="U1087" i="1"/>
  <c r="T1087" i="1"/>
  <c r="S1087" i="1"/>
  <c r="R1087" i="1"/>
  <c r="Q1087" i="1"/>
  <c r="U1086" i="1"/>
  <c r="T1086" i="1"/>
  <c r="S1086" i="1"/>
  <c r="R1086" i="1"/>
  <c r="Q1086" i="1"/>
  <c r="U1085" i="1"/>
  <c r="T1085" i="1"/>
  <c r="S1085" i="1"/>
  <c r="R1085" i="1"/>
  <c r="Q1085" i="1"/>
  <c r="U1084" i="1"/>
  <c r="T1084" i="1"/>
  <c r="S1084" i="1"/>
  <c r="R1084" i="1"/>
  <c r="Q1084" i="1"/>
  <c r="U1083" i="1"/>
  <c r="T1083" i="1"/>
  <c r="S1083" i="1"/>
  <c r="R1083" i="1"/>
  <c r="Q1083" i="1"/>
  <c r="U1082" i="1"/>
  <c r="T1082" i="1"/>
  <c r="S1082" i="1"/>
  <c r="R1082" i="1"/>
  <c r="Q1082" i="1"/>
  <c r="U1081" i="1"/>
  <c r="T1081" i="1"/>
  <c r="S1081" i="1"/>
  <c r="R1081" i="1"/>
  <c r="Q1081" i="1"/>
  <c r="U1080" i="1"/>
  <c r="T1080" i="1"/>
  <c r="S1080" i="1"/>
  <c r="R1080" i="1"/>
  <c r="Q1080" i="1"/>
  <c r="U1079" i="1"/>
  <c r="T1079" i="1"/>
  <c r="S1079" i="1"/>
  <c r="R1079" i="1"/>
  <c r="Q1079" i="1"/>
  <c r="U1078" i="1"/>
  <c r="T1078" i="1"/>
  <c r="S1078" i="1"/>
  <c r="R1078" i="1"/>
  <c r="Q1078" i="1"/>
  <c r="U1077" i="1"/>
  <c r="T1077" i="1"/>
  <c r="S1077" i="1"/>
  <c r="R1077" i="1"/>
  <c r="Q1077" i="1"/>
  <c r="U1076" i="1"/>
  <c r="T1076" i="1"/>
  <c r="S1076" i="1"/>
  <c r="R1076" i="1"/>
  <c r="Q1076" i="1"/>
  <c r="U1075" i="1"/>
  <c r="T1075" i="1"/>
  <c r="S1075" i="1"/>
  <c r="R1075" i="1"/>
  <c r="Q1075" i="1"/>
  <c r="U1074" i="1"/>
  <c r="T1074" i="1"/>
  <c r="S1074" i="1"/>
  <c r="R1074" i="1"/>
  <c r="Q1074" i="1"/>
  <c r="U1073" i="1"/>
  <c r="T1073" i="1"/>
  <c r="S1073" i="1"/>
  <c r="R1073" i="1"/>
  <c r="Q1073" i="1"/>
  <c r="U1072" i="1"/>
  <c r="T1072" i="1"/>
  <c r="S1072" i="1"/>
  <c r="R1072" i="1"/>
  <c r="Q1072" i="1"/>
  <c r="U1071" i="1"/>
  <c r="T1071" i="1"/>
  <c r="S1071" i="1"/>
  <c r="R1071" i="1"/>
  <c r="Q1071" i="1"/>
  <c r="U1070" i="1"/>
  <c r="T1070" i="1"/>
  <c r="S1070" i="1"/>
  <c r="R1070" i="1"/>
  <c r="Q1070" i="1"/>
  <c r="U1069" i="1"/>
  <c r="T1069" i="1"/>
  <c r="S1069" i="1"/>
  <c r="R1069" i="1"/>
  <c r="Q1069" i="1"/>
  <c r="U1068" i="1"/>
  <c r="T1068" i="1"/>
  <c r="S1068" i="1"/>
  <c r="R1068" i="1"/>
  <c r="Q1068" i="1"/>
  <c r="U1067" i="1"/>
  <c r="T1067" i="1"/>
  <c r="S1067" i="1"/>
  <c r="R1067" i="1"/>
  <c r="Q1067" i="1"/>
  <c r="U1066" i="1"/>
  <c r="T1066" i="1"/>
  <c r="S1066" i="1"/>
  <c r="R1066" i="1"/>
  <c r="Q1066" i="1"/>
  <c r="U1065" i="1"/>
  <c r="T1065" i="1"/>
  <c r="S1065" i="1"/>
  <c r="R1065" i="1"/>
  <c r="Q1065" i="1"/>
  <c r="U1064" i="1"/>
  <c r="T1064" i="1"/>
  <c r="S1064" i="1"/>
  <c r="R1064" i="1"/>
  <c r="Q1064" i="1"/>
  <c r="U1063" i="1"/>
  <c r="T1063" i="1"/>
  <c r="S1063" i="1"/>
  <c r="R1063" i="1"/>
  <c r="Q1063" i="1"/>
  <c r="U1062" i="1"/>
  <c r="T1062" i="1"/>
  <c r="S1062" i="1"/>
  <c r="R1062" i="1"/>
  <c r="Q1062" i="1"/>
  <c r="U1061" i="1"/>
  <c r="T1061" i="1"/>
  <c r="S1061" i="1"/>
  <c r="R1061" i="1"/>
  <c r="Q1061" i="1"/>
  <c r="U1060" i="1"/>
  <c r="T1060" i="1"/>
  <c r="S1060" i="1"/>
  <c r="R1060" i="1"/>
  <c r="Q1060" i="1"/>
  <c r="U1059" i="1"/>
  <c r="T1059" i="1"/>
  <c r="S1059" i="1"/>
  <c r="R1059" i="1"/>
  <c r="Q1059" i="1"/>
  <c r="U1058" i="1"/>
  <c r="T1058" i="1"/>
  <c r="S1058" i="1"/>
  <c r="R1058" i="1"/>
  <c r="Q1058" i="1"/>
  <c r="U1057" i="1"/>
  <c r="T1057" i="1"/>
  <c r="S1057" i="1"/>
  <c r="R1057" i="1"/>
  <c r="Q1057" i="1"/>
  <c r="U1056" i="1"/>
  <c r="T1056" i="1"/>
  <c r="S1056" i="1"/>
  <c r="R1056" i="1"/>
  <c r="Q1056" i="1"/>
  <c r="U1055" i="1"/>
  <c r="T1055" i="1"/>
  <c r="S1055" i="1"/>
  <c r="R1055" i="1"/>
  <c r="Q1055" i="1"/>
  <c r="U1054" i="1"/>
  <c r="T1054" i="1"/>
  <c r="S1054" i="1"/>
  <c r="R1054" i="1"/>
  <c r="Q1054" i="1"/>
  <c r="U1053" i="1"/>
  <c r="T1053" i="1"/>
  <c r="S1053" i="1"/>
  <c r="R1053" i="1"/>
  <c r="Q1053" i="1"/>
  <c r="U1052" i="1"/>
  <c r="T1052" i="1"/>
  <c r="S1052" i="1"/>
  <c r="R1052" i="1"/>
  <c r="Q1052" i="1"/>
  <c r="U1051" i="1"/>
  <c r="T1051" i="1"/>
  <c r="S1051" i="1"/>
  <c r="R1051" i="1"/>
  <c r="Q1051" i="1"/>
  <c r="U1050" i="1"/>
  <c r="T1050" i="1"/>
  <c r="S1050" i="1"/>
  <c r="R1050" i="1"/>
  <c r="Q1050" i="1"/>
  <c r="U1049" i="1"/>
  <c r="T1049" i="1"/>
  <c r="S1049" i="1"/>
  <c r="R1049" i="1"/>
  <c r="Q1049" i="1"/>
  <c r="U1048" i="1"/>
  <c r="T1048" i="1"/>
  <c r="S1048" i="1"/>
  <c r="R1048" i="1"/>
  <c r="Q1048" i="1"/>
  <c r="U1047" i="1"/>
  <c r="T1047" i="1"/>
  <c r="S1047" i="1"/>
  <c r="R1047" i="1"/>
  <c r="Q1047" i="1"/>
  <c r="U1046" i="1"/>
  <c r="T1046" i="1"/>
  <c r="S1046" i="1"/>
  <c r="R1046" i="1"/>
  <c r="Q1046" i="1"/>
  <c r="U1045" i="1"/>
  <c r="T1045" i="1"/>
  <c r="S1045" i="1"/>
  <c r="R1045" i="1"/>
  <c r="Q1045" i="1"/>
  <c r="U1044" i="1"/>
  <c r="T1044" i="1"/>
  <c r="S1044" i="1"/>
  <c r="R1044" i="1"/>
  <c r="Q1044" i="1"/>
  <c r="U1043" i="1"/>
  <c r="T1043" i="1"/>
  <c r="S1043" i="1"/>
  <c r="R1043" i="1"/>
  <c r="Q1043" i="1"/>
  <c r="U1042" i="1"/>
  <c r="T1042" i="1"/>
  <c r="S1042" i="1"/>
  <c r="R1042" i="1"/>
  <c r="Q1042" i="1"/>
  <c r="U1041" i="1"/>
  <c r="T1041" i="1"/>
  <c r="S1041" i="1"/>
  <c r="R1041" i="1"/>
  <c r="Q1041" i="1"/>
  <c r="U1040" i="1"/>
  <c r="T1040" i="1"/>
  <c r="S1040" i="1"/>
  <c r="R1040" i="1"/>
  <c r="Q1040" i="1"/>
  <c r="U1039" i="1"/>
  <c r="T1039" i="1"/>
  <c r="S1039" i="1"/>
  <c r="R1039" i="1"/>
  <c r="Q1039" i="1"/>
  <c r="U1038" i="1"/>
  <c r="T1038" i="1"/>
  <c r="S1038" i="1"/>
  <c r="R1038" i="1"/>
  <c r="Q1038" i="1"/>
  <c r="U1037" i="1"/>
  <c r="T1037" i="1"/>
  <c r="S1037" i="1"/>
  <c r="R1037" i="1"/>
  <c r="Q1037" i="1"/>
  <c r="U1036" i="1"/>
  <c r="T1036" i="1"/>
  <c r="S1036" i="1"/>
  <c r="R1036" i="1"/>
  <c r="Q1036" i="1"/>
  <c r="U1035" i="1"/>
  <c r="T1035" i="1"/>
  <c r="S1035" i="1"/>
  <c r="R1035" i="1"/>
  <c r="Q1035" i="1"/>
  <c r="U1034" i="1"/>
  <c r="T1034" i="1"/>
  <c r="S1034" i="1"/>
  <c r="R1034" i="1"/>
  <c r="Q1034" i="1"/>
  <c r="U1033" i="1"/>
  <c r="T1033" i="1"/>
  <c r="S1033" i="1"/>
  <c r="R1033" i="1"/>
  <c r="Q1033" i="1"/>
  <c r="U1032" i="1"/>
  <c r="T1032" i="1"/>
  <c r="S1032" i="1"/>
  <c r="R1032" i="1"/>
  <c r="Q1032" i="1"/>
  <c r="U1031" i="1"/>
  <c r="T1031" i="1"/>
  <c r="S1031" i="1"/>
  <c r="R1031" i="1"/>
  <c r="Q1031" i="1"/>
  <c r="U1030" i="1"/>
  <c r="T1030" i="1"/>
  <c r="S1030" i="1"/>
  <c r="R1030" i="1"/>
  <c r="Q1030" i="1"/>
  <c r="U1029" i="1"/>
  <c r="T1029" i="1"/>
  <c r="S1029" i="1"/>
  <c r="R1029" i="1"/>
  <c r="Q1029" i="1"/>
  <c r="U1028" i="1"/>
  <c r="T1028" i="1"/>
  <c r="S1028" i="1"/>
  <c r="R1028" i="1"/>
  <c r="Q1028" i="1"/>
  <c r="U1027" i="1"/>
  <c r="T1027" i="1"/>
  <c r="S1027" i="1"/>
  <c r="R1027" i="1"/>
  <c r="Q1027" i="1"/>
  <c r="U1026" i="1"/>
  <c r="T1026" i="1"/>
  <c r="S1026" i="1"/>
  <c r="R1026" i="1"/>
  <c r="Q1026" i="1"/>
  <c r="U1025" i="1"/>
  <c r="T1025" i="1"/>
  <c r="S1025" i="1"/>
  <c r="R1025" i="1"/>
  <c r="Q1025" i="1"/>
  <c r="U1024" i="1"/>
  <c r="T1024" i="1"/>
  <c r="S1024" i="1"/>
  <c r="R1024" i="1"/>
  <c r="Q1024" i="1"/>
  <c r="U1023" i="1"/>
  <c r="T1023" i="1"/>
  <c r="S1023" i="1"/>
  <c r="R1023" i="1"/>
  <c r="Q1023" i="1"/>
  <c r="U1022" i="1"/>
  <c r="T1022" i="1"/>
  <c r="S1022" i="1"/>
  <c r="R1022" i="1"/>
  <c r="Q1022" i="1"/>
  <c r="U1021" i="1"/>
  <c r="T1021" i="1"/>
  <c r="S1021" i="1"/>
  <c r="R1021" i="1"/>
  <c r="Q1021" i="1"/>
  <c r="U1020" i="1"/>
  <c r="T1020" i="1"/>
  <c r="S1020" i="1"/>
  <c r="R1020" i="1"/>
  <c r="Q1020" i="1"/>
  <c r="U1019" i="1"/>
  <c r="T1019" i="1"/>
  <c r="S1019" i="1"/>
  <c r="R1019" i="1"/>
  <c r="Q1019" i="1"/>
  <c r="U1018" i="1"/>
  <c r="T1018" i="1"/>
  <c r="S1018" i="1"/>
  <c r="R1018" i="1"/>
  <c r="Q1018" i="1"/>
  <c r="U1017" i="1"/>
  <c r="T1017" i="1"/>
  <c r="S1017" i="1"/>
  <c r="R1017" i="1"/>
  <c r="Q1017" i="1"/>
  <c r="U1016" i="1"/>
  <c r="T1016" i="1"/>
  <c r="S1016" i="1"/>
  <c r="R1016" i="1"/>
  <c r="Q1016" i="1"/>
  <c r="U1015" i="1"/>
  <c r="T1015" i="1"/>
  <c r="S1015" i="1"/>
  <c r="R1015" i="1"/>
  <c r="Q1015" i="1"/>
  <c r="U1014" i="1"/>
  <c r="T1014" i="1"/>
  <c r="S1014" i="1"/>
  <c r="R1014" i="1"/>
  <c r="Q1014" i="1"/>
  <c r="U1013" i="1"/>
  <c r="T1013" i="1"/>
  <c r="S1013" i="1"/>
  <c r="R1013" i="1"/>
  <c r="Q1013" i="1"/>
  <c r="U1012" i="1"/>
  <c r="T1012" i="1"/>
  <c r="S1012" i="1"/>
  <c r="R1012" i="1"/>
  <c r="Q1012" i="1"/>
  <c r="U1011" i="1"/>
  <c r="T1011" i="1"/>
  <c r="S1011" i="1"/>
  <c r="R1011" i="1"/>
  <c r="Q1011" i="1"/>
  <c r="U1010" i="1"/>
  <c r="T1010" i="1"/>
  <c r="S1010" i="1"/>
  <c r="R1010" i="1"/>
  <c r="Q1010" i="1"/>
  <c r="U1009" i="1"/>
  <c r="T1009" i="1"/>
  <c r="S1009" i="1"/>
  <c r="R1009" i="1"/>
  <c r="Q1009" i="1"/>
  <c r="U1008" i="1"/>
  <c r="T1008" i="1"/>
  <c r="S1008" i="1"/>
  <c r="R1008" i="1"/>
  <c r="Q1008" i="1"/>
  <c r="U1007" i="1"/>
  <c r="T1007" i="1"/>
  <c r="S1007" i="1"/>
  <c r="R1007" i="1"/>
  <c r="Q1007" i="1"/>
  <c r="U1006" i="1"/>
  <c r="T1006" i="1"/>
  <c r="S1006" i="1"/>
  <c r="R1006" i="1"/>
  <c r="Q1006" i="1"/>
  <c r="U1005" i="1"/>
  <c r="T1005" i="1"/>
  <c r="S1005" i="1"/>
  <c r="R1005" i="1"/>
  <c r="Q1005" i="1"/>
  <c r="U1004" i="1"/>
  <c r="T1004" i="1"/>
  <c r="S1004" i="1"/>
  <c r="R1004" i="1"/>
  <c r="Q1004" i="1"/>
  <c r="U1003" i="1"/>
  <c r="T1003" i="1"/>
  <c r="S1003" i="1"/>
  <c r="R1003" i="1"/>
  <c r="Q1003" i="1"/>
  <c r="U1002" i="1"/>
  <c r="T1002" i="1"/>
  <c r="S1002" i="1"/>
  <c r="R1002" i="1"/>
  <c r="Q1002" i="1"/>
  <c r="U1001" i="1"/>
  <c r="T1001" i="1"/>
  <c r="S1001" i="1"/>
  <c r="R1001" i="1"/>
  <c r="Q1001" i="1"/>
  <c r="U1000" i="1"/>
  <c r="T1000" i="1"/>
  <c r="S1000" i="1"/>
  <c r="R1000" i="1"/>
  <c r="Q1000" i="1"/>
  <c r="U999" i="1"/>
  <c r="T999" i="1"/>
  <c r="S999" i="1"/>
  <c r="R999" i="1"/>
  <c r="Q999" i="1"/>
  <c r="U998" i="1"/>
  <c r="T998" i="1"/>
  <c r="S998" i="1"/>
  <c r="R998" i="1"/>
  <c r="Q998" i="1"/>
  <c r="U997" i="1"/>
  <c r="T997" i="1"/>
  <c r="S997" i="1"/>
  <c r="R997" i="1"/>
  <c r="Q997" i="1"/>
  <c r="U996" i="1"/>
  <c r="T996" i="1"/>
  <c r="S996" i="1"/>
  <c r="R996" i="1"/>
  <c r="Q996" i="1"/>
  <c r="U995" i="1"/>
  <c r="T995" i="1"/>
  <c r="S995" i="1"/>
  <c r="R995" i="1"/>
  <c r="Q995" i="1"/>
  <c r="U994" i="1"/>
  <c r="T994" i="1"/>
  <c r="S994" i="1"/>
  <c r="R994" i="1"/>
  <c r="Q994" i="1"/>
  <c r="U993" i="1"/>
  <c r="T993" i="1"/>
  <c r="S993" i="1"/>
  <c r="R993" i="1"/>
  <c r="Q993" i="1"/>
  <c r="U992" i="1"/>
  <c r="T992" i="1"/>
  <c r="S992" i="1"/>
  <c r="R992" i="1"/>
  <c r="Q992" i="1"/>
  <c r="U991" i="1"/>
  <c r="T991" i="1"/>
  <c r="S991" i="1"/>
  <c r="R991" i="1"/>
  <c r="Q991" i="1"/>
  <c r="U990" i="1"/>
  <c r="T990" i="1"/>
  <c r="S990" i="1"/>
  <c r="R990" i="1"/>
  <c r="Q990" i="1"/>
  <c r="U989" i="1"/>
  <c r="T989" i="1"/>
  <c r="S989" i="1"/>
  <c r="R989" i="1"/>
  <c r="Q989" i="1"/>
  <c r="U988" i="1"/>
  <c r="T988" i="1"/>
  <c r="S988" i="1"/>
  <c r="R988" i="1"/>
  <c r="Q988" i="1"/>
  <c r="U987" i="1"/>
  <c r="T987" i="1"/>
  <c r="S987" i="1"/>
  <c r="R987" i="1"/>
  <c r="Q987" i="1"/>
  <c r="U986" i="1"/>
  <c r="T986" i="1"/>
  <c r="S986" i="1"/>
  <c r="R986" i="1"/>
  <c r="Q986" i="1"/>
  <c r="U985" i="1"/>
  <c r="T985" i="1"/>
  <c r="S985" i="1"/>
  <c r="R985" i="1"/>
  <c r="Q985" i="1"/>
  <c r="U984" i="1"/>
  <c r="T984" i="1"/>
  <c r="S984" i="1"/>
  <c r="R984" i="1"/>
  <c r="Q984" i="1"/>
  <c r="U983" i="1"/>
  <c r="T983" i="1"/>
  <c r="S983" i="1"/>
  <c r="R983" i="1"/>
  <c r="Q983" i="1"/>
  <c r="U982" i="1"/>
  <c r="T982" i="1"/>
  <c r="S982" i="1"/>
  <c r="R982" i="1"/>
  <c r="Q982" i="1"/>
  <c r="U981" i="1"/>
  <c r="T981" i="1"/>
  <c r="S981" i="1"/>
  <c r="R981" i="1"/>
  <c r="Q981" i="1"/>
  <c r="U980" i="1"/>
  <c r="T980" i="1"/>
  <c r="S980" i="1"/>
  <c r="R980" i="1"/>
  <c r="Q980" i="1"/>
  <c r="U979" i="1"/>
  <c r="T979" i="1"/>
  <c r="S979" i="1"/>
  <c r="R979" i="1"/>
  <c r="Q979" i="1"/>
  <c r="U978" i="1"/>
  <c r="T978" i="1"/>
  <c r="S978" i="1"/>
  <c r="R978" i="1"/>
  <c r="Q978" i="1"/>
  <c r="U977" i="1"/>
  <c r="T977" i="1"/>
  <c r="S977" i="1"/>
  <c r="R977" i="1"/>
  <c r="Q977" i="1"/>
  <c r="U976" i="1"/>
  <c r="T976" i="1"/>
  <c r="S976" i="1"/>
  <c r="R976" i="1"/>
  <c r="Q976" i="1"/>
  <c r="U975" i="1"/>
  <c r="T975" i="1"/>
  <c r="S975" i="1"/>
  <c r="R975" i="1"/>
  <c r="Q975" i="1"/>
  <c r="U974" i="1"/>
  <c r="T974" i="1"/>
  <c r="S974" i="1"/>
  <c r="R974" i="1"/>
  <c r="Q974" i="1"/>
  <c r="U973" i="1"/>
  <c r="T973" i="1"/>
  <c r="S973" i="1"/>
  <c r="R973" i="1"/>
  <c r="Q973" i="1"/>
  <c r="U972" i="1"/>
  <c r="T972" i="1"/>
  <c r="S972" i="1"/>
  <c r="R972" i="1"/>
  <c r="Q972" i="1"/>
  <c r="U971" i="1"/>
  <c r="T971" i="1"/>
  <c r="S971" i="1"/>
  <c r="R971" i="1"/>
  <c r="Q971" i="1"/>
  <c r="U970" i="1"/>
  <c r="T970" i="1"/>
  <c r="S970" i="1"/>
  <c r="R970" i="1"/>
  <c r="Q970" i="1"/>
  <c r="U969" i="1"/>
  <c r="T969" i="1"/>
  <c r="S969" i="1"/>
  <c r="R969" i="1"/>
  <c r="Q969" i="1"/>
  <c r="U968" i="1"/>
  <c r="T968" i="1"/>
  <c r="S968" i="1"/>
  <c r="R968" i="1"/>
  <c r="Q968" i="1"/>
  <c r="U967" i="1"/>
  <c r="T967" i="1"/>
  <c r="S967" i="1"/>
  <c r="R967" i="1"/>
  <c r="Q967" i="1"/>
  <c r="U966" i="1"/>
  <c r="T966" i="1"/>
  <c r="S966" i="1"/>
  <c r="R966" i="1"/>
  <c r="Q966" i="1"/>
  <c r="U965" i="1"/>
  <c r="T965" i="1"/>
  <c r="S965" i="1"/>
  <c r="R965" i="1"/>
  <c r="Q965" i="1"/>
  <c r="U964" i="1"/>
  <c r="T964" i="1"/>
  <c r="S964" i="1"/>
  <c r="R964" i="1"/>
  <c r="Q964" i="1"/>
  <c r="U963" i="1"/>
  <c r="T963" i="1"/>
  <c r="S963" i="1"/>
  <c r="R963" i="1"/>
  <c r="Q963" i="1"/>
  <c r="U962" i="1"/>
  <c r="T962" i="1"/>
  <c r="S962" i="1"/>
  <c r="R962" i="1"/>
  <c r="Q962" i="1"/>
  <c r="U961" i="1"/>
  <c r="T961" i="1"/>
  <c r="S961" i="1"/>
  <c r="R961" i="1"/>
  <c r="Q961" i="1"/>
  <c r="U960" i="1"/>
  <c r="T960" i="1"/>
  <c r="S960" i="1"/>
  <c r="R960" i="1"/>
  <c r="Q960" i="1"/>
  <c r="U959" i="1"/>
  <c r="T959" i="1"/>
  <c r="S959" i="1"/>
  <c r="R959" i="1"/>
  <c r="Q959" i="1"/>
  <c r="U958" i="1"/>
  <c r="T958" i="1"/>
  <c r="S958" i="1"/>
  <c r="R958" i="1"/>
  <c r="Q958" i="1"/>
  <c r="U957" i="1"/>
  <c r="T957" i="1"/>
  <c r="S957" i="1"/>
  <c r="R957" i="1"/>
  <c r="Q957" i="1"/>
  <c r="U956" i="1"/>
  <c r="T956" i="1"/>
  <c r="S956" i="1"/>
  <c r="R956" i="1"/>
  <c r="Q956" i="1"/>
  <c r="U955" i="1"/>
  <c r="T955" i="1"/>
  <c r="S955" i="1"/>
  <c r="R955" i="1"/>
  <c r="Q955" i="1"/>
  <c r="U954" i="1"/>
  <c r="T954" i="1"/>
  <c r="S954" i="1"/>
  <c r="R954" i="1"/>
  <c r="Q954" i="1"/>
  <c r="U953" i="1"/>
  <c r="T953" i="1"/>
  <c r="S953" i="1"/>
  <c r="R953" i="1"/>
  <c r="Q953" i="1"/>
  <c r="U952" i="1"/>
  <c r="T952" i="1"/>
  <c r="S952" i="1"/>
  <c r="R952" i="1"/>
  <c r="Q952" i="1"/>
  <c r="U951" i="1"/>
  <c r="T951" i="1"/>
  <c r="S951" i="1"/>
  <c r="R951" i="1"/>
  <c r="Q951" i="1"/>
  <c r="U950" i="1"/>
  <c r="T950" i="1"/>
  <c r="S950" i="1"/>
  <c r="R950" i="1"/>
  <c r="Q950" i="1"/>
  <c r="U949" i="1"/>
  <c r="T949" i="1"/>
  <c r="S949" i="1"/>
  <c r="R949" i="1"/>
  <c r="Q949" i="1"/>
  <c r="U948" i="1"/>
  <c r="T948" i="1"/>
  <c r="S948" i="1"/>
  <c r="R948" i="1"/>
  <c r="Q948" i="1"/>
  <c r="U947" i="1"/>
  <c r="T947" i="1"/>
  <c r="S947" i="1"/>
  <c r="R947" i="1"/>
  <c r="Q947" i="1"/>
  <c r="U946" i="1"/>
  <c r="T946" i="1"/>
  <c r="S946" i="1"/>
  <c r="R946" i="1"/>
  <c r="Q946" i="1"/>
  <c r="U945" i="1"/>
  <c r="T945" i="1"/>
  <c r="S945" i="1"/>
  <c r="R945" i="1"/>
  <c r="Q945" i="1"/>
  <c r="U944" i="1"/>
  <c r="T944" i="1"/>
  <c r="S944" i="1"/>
  <c r="R944" i="1"/>
  <c r="Q944" i="1"/>
  <c r="U943" i="1"/>
  <c r="T943" i="1"/>
  <c r="S943" i="1"/>
  <c r="R943" i="1"/>
  <c r="Q943" i="1"/>
  <c r="U942" i="1"/>
  <c r="T942" i="1"/>
  <c r="S942" i="1"/>
  <c r="R942" i="1"/>
  <c r="Q942" i="1"/>
  <c r="U941" i="1"/>
  <c r="T941" i="1"/>
  <c r="S941" i="1"/>
  <c r="R941" i="1"/>
  <c r="Q941" i="1"/>
  <c r="U940" i="1"/>
  <c r="T940" i="1"/>
  <c r="S940" i="1"/>
  <c r="R940" i="1"/>
  <c r="Q940" i="1"/>
  <c r="U939" i="1"/>
  <c r="T939" i="1"/>
  <c r="S939" i="1"/>
  <c r="R939" i="1"/>
  <c r="Q939" i="1"/>
  <c r="U938" i="1"/>
  <c r="T938" i="1"/>
  <c r="S938" i="1"/>
  <c r="R938" i="1"/>
  <c r="Q938" i="1"/>
  <c r="U937" i="1"/>
  <c r="T937" i="1"/>
  <c r="S937" i="1"/>
  <c r="R937" i="1"/>
  <c r="Q937" i="1"/>
  <c r="U936" i="1"/>
  <c r="T936" i="1"/>
  <c r="S936" i="1"/>
  <c r="R936" i="1"/>
  <c r="Q936" i="1"/>
  <c r="U935" i="1"/>
  <c r="T935" i="1"/>
  <c r="S935" i="1"/>
  <c r="R935" i="1"/>
  <c r="Q935" i="1"/>
  <c r="U934" i="1"/>
  <c r="T934" i="1"/>
  <c r="S934" i="1"/>
  <c r="R934" i="1"/>
  <c r="Q934" i="1"/>
  <c r="U933" i="1"/>
  <c r="T933" i="1"/>
  <c r="S933" i="1"/>
  <c r="R933" i="1"/>
  <c r="Q933" i="1"/>
  <c r="U932" i="1"/>
  <c r="T932" i="1"/>
  <c r="S932" i="1"/>
  <c r="R932" i="1"/>
  <c r="Q932" i="1"/>
  <c r="U931" i="1"/>
  <c r="T931" i="1"/>
  <c r="S931" i="1"/>
  <c r="R931" i="1"/>
  <c r="Q931" i="1"/>
  <c r="U930" i="1"/>
  <c r="T930" i="1"/>
  <c r="S930" i="1"/>
  <c r="R930" i="1"/>
  <c r="Q930" i="1"/>
  <c r="U929" i="1"/>
  <c r="T929" i="1"/>
  <c r="S929" i="1"/>
  <c r="R929" i="1"/>
  <c r="Q929" i="1"/>
  <c r="U928" i="1"/>
  <c r="T928" i="1"/>
  <c r="S928" i="1"/>
  <c r="R928" i="1"/>
  <c r="Q928" i="1"/>
  <c r="U927" i="1"/>
  <c r="T927" i="1"/>
  <c r="S927" i="1"/>
  <c r="R927" i="1"/>
  <c r="Q927" i="1"/>
  <c r="U926" i="1"/>
  <c r="T926" i="1"/>
  <c r="S926" i="1"/>
  <c r="R926" i="1"/>
  <c r="Q926" i="1"/>
  <c r="U925" i="1"/>
  <c r="T925" i="1"/>
  <c r="S925" i="1"/>
  <c r="R925" i="1"/>
  <c r="Q925" i="1"/>
  <c r="U924" i="1"/>
  <c r="T924" i="1"/>
  <c r="S924" i="1"/>
  <c r="R924" i="1"/>
  <c r="Q924" i="1"/>
  <c r="U923" i="1"/>
  <c r="T923" i="1"/>
  <c r="S923" i="1"/>
  <c r="R923" i="1"/>
  <c r="Q923" i="1"/>
  <c r="U922" i="1"/>
  <c r="T922" i="1"/>
  <c r="S922" i="1"/>
  <c r="R922" i="1"/>
  <c r="Q922" i="1"/>
  <c r="U921" i="1"/>
  <c r="T921" i="1"/>
  <c r="S921" i="1"/>
  <c r="R921" i="1"/>
  <c r="Q921" i="1"/>
  <c r="U920" i="1"/>
  <c r="T920" i="1"/>
  <c r="S920" i="1"/>
  <c r="R920" i="1"/>
  <c r="Q920" i="1"/>
  <c r="U919" i="1"/>
  <c r="T919" i="1"/>
  <c r="S919" i="1"/>
  <c r="R919" i="1"/>
  <c r="Q919" i="1"/>
  <c r="U918" i="1"/>
  <c r="T918" i="1"/>
  <c r="S918" i="1"/>
  <c r="R918" i="1"/>
  <c r="Q918" i="1"/>
  <c r="U917" i="1"/>
  <c r="T917" i="1"/>
  <c r="S917" i="1"/>
  <c r="R917" i="1"/>
  <c r="Q917" i="1"/>
  <c r="U916" i="1"/>
  <c r="T916" i="1"/>
  <c r="S916" i="1"/>
  <c r="R916" i="1"/>
  <c r="Q916" i="1"/>
  <c r="U915" i="1"/>
  <c r="T915" i="1"/>
  <c r="S915" i="1"/>
  <c r="R915" i="1"/>
  <c r="Q915" i="1"/>
  <c r="U914" i="1"/>
  <c r="T914" i="1"/>
  <c r="S914" i="1"/>
  <c r="R914" i="1"/>
  <c r="Q914" i="1"/>
  <c r="U913" i="1"/>
  <c r="T913" i="1"/>
  <c r="S913" i="1"/>
  <c r="R913" i="1"/>
  <c r="Q913" i="1"/>
  <c r="U912" i="1"/>
  <c r="T912" i="1"/>
  <c r="S912" i="1"/>
  <c r="R912" i="1"/>
  <c r="Q912" i="1"/>
  <c r="U911" i="1"/>
  <c r="T911" i="1"/>
  <c r="S911" i="1"/>
  <c r="R911" i="1"/>
  <c r="Q911" i="1"/>
  <c r="U910" i="1"/>
  <c r="T910" i="1"/>
  <c r="S910" i="1"/>
  <c r="R910" i="1"/>
  <c r="Q910" i="1"/>
  <c r="U909" i="1"/>
  <c r="T909" i="1"/>
  <c r="S909" i="1"/>
  <c r="R909" i="1"/>
  <c r="Q909" i="1"/>
  <c r="U908" i="1"/>
  <c r="T908" i="1"/>
  <c r="S908" i="1"/>
  <c r="R908" i="1"/>
  <c r="Q908" i="1"/>
  <c r="U907" i="1"/>
  <c r="T907" i="1"/>
  <c r="S907" i="1"/>
  <c r="R907" i="1"/>
  <c r="Q907" i="1"/>
  <c r="U906" i="1"/>
  <c r="T906" i="1"/>
  <c r="S906" i="1"/>
  <c r="R906" i="1"/>
  <c r="Q906" i="1"/>
  <c r="U905" i="1"/>
  <c r="T905" i="1"/>
  <c r="S905" i="1"/>
  <c r="R905" i="1"/>
  <c r="Q905" i="1"/>
  <c r="U904" i="1"/>
  <c r="T904" i="1"/>
  <c r="S904" i="1"/>
  <c r="R904" i="1"/>
  <c r="Q904" i="1"/>
  <c r="U903" i="1"/>
  <c r="T903" i="1"/>
  <c r="S903" i="1"/>
  <c r="R903" i="1"/>
  <c r="Q903" i="1"/>
  <c r="U902" i="1"/>
  <c r="T902" i="1"/>
  <c r="S902" i="1"/>
  <c r="R902" i="1"/>
  <c r="Q902" i="1"/>
  <c r="U901" i="1"/>
  <c r="T901" i="1"/>
  <c r="S901" i="1"/>
  <c r="R901" i="1"/>
  <c r="Q901" i="1"/>
  <c r="U900" i="1"/>
  <c r="T900" i="1"/>
  <c r="S900" i="1"/>
  <c r="R900" i="1"/>
  <c r="Q900" i="1"/>
  <c r="U899" i="1"/>
  <c r="T899" i="1"/>
  <c r="S899" i="1"/>
  <c r="R899" i="1"/>
  <c r="Q899" i="1"/>
  <c r="U898" i="1"/>
  <c r="T898" i="1"/>
  <c r="S898" i="1"/>
  <c r="R898" i="1"/>
  <c r="Q898" i="1"/>
  <c r="U897" i="1"/>
  <c r="T897" i="1"/>
  <c r="S897" i="1"/>
  <c r="R897" i="1"/>
  <c r="Q897" i="1"/>
  <c r="U896" i="1"/>
  <c r="T896" i="1"/>
  <c r="S896" i="1"/>
  <c r="R896" i="1"/>
  <c r="Q896" i="1"/>
  <c r="U895" i="1"/>
  <c r="T895" i="1"/>
  <c r="S895" i="1"/>
  <c r="R895" i="1"/>
  <c r="Q895" i="1"/>
  <c r="U894" i="1"/>
  <c r="T894" i="1"/>
  <c r="S894" i="1"/>
  <c r="R894" i="1"/>
  <c r="Q894" i="1"/>
  <c r="U893" i="1"/>
  <c r="T893" i="1"/>
  <c r="S893" i="1"/>
  <c r="R893" i="1"/>
  <c r="Q893" i="1"/>
  <c r="U892" i="1"/>
  <c r="T892" i="1"/>
  <c r="S892" i="1"/>
  <c r="R892" i="1"/>
  <c r="Q892" i="1"/>
  <c r="U891" i="1"/>
  <c r="T891" i="1"/>
  <c r="S891" i="1"/>
  <c r="R891" i="1"/>
  <c r="Q891" i="1"/>
  <c r="U890" i="1"/>
  <c r="T890" i="1"/>
  <c r="S890" i="1"/>
  <c r="R890" i="1"/>
  <c r="Q890" i="1"/>
  <c r="U889" i="1"/>
  <c r="T889" i="1"/>
  <c r="S889" i="1"/>
  <c r="R889" i="1"/>
  <c r="Q889" i="1"/>
  <c r="U888" i="1"/>
  <c r="T888" i="1"/>
  <c r="S888" i="1"/>
  <c r="R888" i="1"/>
  <c r="Q888" i="1"/>
  <c r="U887" i="1"/>
  <c r="T887" i="1"/>
  <c r="S887" i="1"/>
  <c r="R887" i="1"/>
  <c r="Q887" i="1"/>
  <c r="U886" i="1"/>
  <c r="T886" i="1"/>
  <c r="S886" i="1"/>
  <c r="R886" i="1"/>
  <c r="Q886" i="1"/>
  <c r="U885" i="1"/>
  <c r="T885" i="1"/>
  <c r="S885" i="1"/>
  <c r="R885" i="1"/>
  <c r="Q885" i="1"/>
  <c r="U884" i="1"/>
  <c r="T884" i="1"/>
  <c r="S884" i="1"/>
  <c r="R884" i="1"/>
  <c r="Q884" i="1"/>
  <c r="U883" i="1"/>
  <c r="T883" i="1"/>
  <c r="S883" i="1"/>
  <c r="R883" i="1"/>
  <c r="Q883" i="1"/>
  <c r="U882" i="1"/>
  <c r="T882" i="1"/>
  <c r="S882" i="1"/>
  <c r="R882" i="1"/>
  <c r="Q882" i="1"/>
  <c r="U881" i="1"/>
  <c r="T881" i="1"/>
  <c r="S881" i="1"/>
  <c r="R881" i="1"/>
  <c r="Q881" i="1"/>
  <c r="U880" i="1"/>
  <c r="T880" i="1"/>
  <c r="S880" i="1"/>
  <c r="R880" i="1"/>
  <c r="Q880" i="1"/>
  <c r="U879" i="1"/>
  <c r="T879" i="1"/>
  <c r="S879" i="1"/>
  <c r="R879" i="1"/>
  <c r="Q879" i="1"/>
  <c r="U878" i="1"/>
  <c r="T878" i="1"/>
  <c r="S878" i="1"/>
  <c r="R878" i="1"/>
  <c r="Q878" i="1"/>
  <c r="U877" i="1"/>
  <c r="T877" i="1"/>
  <c r="S877" i="1"/>
  <c r="R877" i="1"/>
  <c r="Q877" i="1"/>
  <c r="U876" i="1"/>
  <c r="T876" i="1"/>
  <c r="S876" i="1"/>
  <c r="R876" i="1"/>
  <c r="Q876" i="1"/>
  <c r="U875" i="1"/>
  <c r="T875" i="1"/>
  <c r="S875" i="1"/>
  <c r="R875" i="1"/>
  <c r="Q875" i="1"/>
  <c r="U874" i="1"/>
  <c r="T874" i="1"/>
  <c r="S874" i="1"/>
  <c r="R874" i="1"/>
  <c r="Q874" i="1"/>
  <c r="U873" i="1"/>
  <c r="T873" i="1"/>
  <c r="S873" i="1"/>
  <c r="R873" i="1"/>
  <c r="Q873" i="1"/>
  <c r="U872" i="1"/>
  <c r="T872" i="1"/>
  <c r="S872" i="1"/>
  <c r="R872" i="1"/>
  <c r="Q872" i="1"/>
  <c r="U871" i="1"/>
  <c r="T871" i="1"/>
  <c r="S871" i="1"/>
  <c r="R871" i="1"/>
  <c r="Q871" i="1"/>
  <c r="U870" i="1"/>
  <c r="T870" i="1"/>
  <c r="S870" i="1"/>
  <c r="R870" i="1"/>
  <c r="Q870" i="1"/>
  <c r="U869" i="1"/>
  <c r="T869" i="1"/>
  <c r="S869" i="1"/>
  <c r="R869" i="1"/>
  <c r="Q869" i="1"/>
  <c r="U868" i="1"/>
  <c r="T868" i="1"/>
  <c r="S868" i="1"/>
  <c r="R868" i="1"/>
  <c r="Q868" i="1"/>
  <c r="U867" i="1"/>
  <c r="T867" i="1"/>
  <c r="S867" i="1"/>
  <c r="R867" i="1"/>
  <c r="Q867" i="1"/>
  <c r="U866" i="1"/>
  <c r="T866" i="1"/>
  <c r="S866" i="1"/>
  <c r="R866" i="1"/>
  <c r="Q866" i="1"/>
  <c r="U865" i="1"/>
  <c r="T865" i="1"/>
  <c r="S865" i="1"/>
  <c r="R865" i="1"/>
  <c r="Q865" i="1"/>
  <c r="U864" i="1"/>
  <c r="T864" i="1"/>
  <c r="S864" i="1"/>
  <c r="R864" i="1"/>
  <c r="Q864" i="1"/>
  <c r="U863" i="1"/>
  <c r="T863" i="1"/>
  <c r="S863" i="1"/>
  <c r="R863" i="1"/>
  <c r="Q863" i="1"/>
  <c r="U862" i="1"/>
  <c r="T862" i="1"/>
  <c r="S862" i="1"/>
  <c r="R862" i="1"/>
  <c r="Q862" i="1"/>
  <c r="U861" i="1"/>
  <c r="T861" i="1"/>
  <c r="S861" i="1"/>
  <c r="R861" i="1"/>
  <c r="Q861" i="1"/>
  <c r="U860" i="1"/>
  <c r="T860" i="1"/>
  <c r="S860" i="1"/>
  <c r="R860" i="1"/>
  <c r="Q860" i="1"/>
  <c r="U859" i="1"/>
  <c r="T859" i="1"/>
  <c r="S859" i="1"/>
  <c r="R859" i="1"/>
  <c r="Q859" i="1"/>
  <c r="U858" i="1"/>
  <c r="T858" i="1"/>
  <c r="S858" i="1"/>
  <c r="R858" i="1"/>
  <c r="Q858" i="1"/>
  <c r="U857" i="1"/>
  <c r="T857" i="1"/>
  <c r="S857" i="1"/>
  <c r="R857" i="1"/>
  <c r="Q857" i="1"/>
  <c r="U856" i="1"/>
  <c r="T856" i="1"/>
  <c r="S856" i="1"/>
  <c r="R856" i="1"/>
  <c r="Q856" i="1"/>
  <c r="U855" i="1"/>
  <c r="T855" i="1"/>
  <c r="S855" i="1"/>
  <c r="R855" i="1"/>
  <c r="Q855" i="1"/>
  <c r="U854" i="1"/>
  <c r="T854" i="1"/>
  <c r="S854" i="1"/>
  <c r="R854" i="1"/>
  <c r="Q854" i="1"/>
  <c r="U853" i="1"/>
  <c r="T853" i="1"/>
  <c r="S853" i="1"/>
  <c r="R853" i="1"/>
  <c r="Q853" i="1"/>
  <c r="U852" i="1"/>
  <c r="T852" i="1"/>
  <c r="S852" i="1"/>
  <c r="R852" i="1"/>
  <c r="Q852" i="1"/>
  <c r="U851" i="1"/>
  <c r="T851" i="1"/>
  <c r="S851" i="1"/>
  <c r="R851" i="1"/>
  <c r="Q851" i="1"/>
  <c r="U850" i="1"/>
  <c r="T850" i="1"/>
  <c r="S850" i="1"/>
  <c r="R850" i="1"/>
  <c r="Q850" i="1"/>
  <c r="U849" i="1"/>
  <c r="T849" i="1"/>
  <c r="S849" i="1"/>
  <c r="R849" i="1"/>
  <c r="Q849" i="1"/>
  <c r="U848" i="1"/>
  <c r="T848" i="1"/>
  <c r="S848" i="1"/>
  <c r="R848" i="1"/>
  <c r="Q848" i="1"/>
  <c r="U847" i="1"/>
  <c r="T847" i="1"/>
  <c r="S847" i="1"/>
  <c r="R847" i="1"/>
  <c r="Q847" i="1"/>
  <c r="U846" i="1"/>
  <c r="T846" i="1"/>
  <c r="S846" i="1"/>
  <c r="R846" i="1"/>
  <c r="Q846" i="1"/>
  <c r="U845" i="1"/>
  <c r="T845" i="1"/>
  <c r="S845" i="1"/>
  <c r="R845" i="1"/>
  <c r="Q845" i="1"/>
  <c r="U844" i="1"/>
  <c r="T844" i="1"/>
  <c r="S844" i="1"/>
  <c r="R844" i="1"/>
  <c r="Q844" i="1"/>
  <c r="U843" i="1"/>
  <c r="T843" i="1"/>
  <c r="S843" i="1"/>
  <c r="R843" i="1"/>
  <c r="Q843" i="1"/>
  <c r="U842" i="1"/>
  <c r="T842" i="1"/>
  <c r="S842" i="1"/>
  <c r="R842" i="1"/>
  <c r="Q842" i="1"/>
  <c r="U841" i="1"/>
  <c r="T841" i="1"/>
  <c r="S841" i="1"/>
  <c r="R841" i="1"/>
  <c r="Q841" i="1"/>
  <c r="U840" i="1"/>
  <c r="T840" i="1"/>
  <c r="S840" i="1"/>
  <c r="R840" i="1"/>
  <c r="Q840" i="1"/>
  <c r="U839" i="1"/>
  <c r="T839" i="1"/>
  <c r="S839" i="1"/>
  <c r="R839" i="1"/>
  <c r="Q839" i="1"/>
  <c r="U838" i="1"/>
  <c r="T838" i="1"/>
  <c r="S838" i="1"/>
  <c r="R838" i="1"/>
  <c r="Q838" i="1"/>
  <c r="U837" i="1"/>
  <c r="T837" i="1"/>
  <c r="S837" i="1"/>
  <c r="R837" i="1"/>
  <c r="Q837" i="1"/>
  <c r="U836" i="1"/>
  <c r="T836" i="1"/>
  <c r="S836" i="1"/>
  <c r="R836" i="1"/>
  <c r="Q836" i="1"/>
  <c r="U835" i="1"/>
  <c r="T835" i="1"/>
  <c r="S835" i="1"/>
  <c r="R835" i="1"/>
  <c r="Q835" i="1"/>
  <c r="U834" i="1"/>
  <c r="T834" i="1"/>
  <c r="S834" i="1"/>
  <c r="R834" i="1"/>
  <c r="Q834" i="1"/>
  <c r="U833" i="1"/>
  <c r="T833" i="1"/>
  <c r="S833" i="1"/>
  <c r="R833" i="1"/>
  <c r="Q833" i="1"/>
  <c r="U832" i="1"/>
  <c r="T832" i="1"/>
  <c r="S832" i="1"/>
  <c r="R832" i="1"/>
  <c r="Q832" i="1"/>
  <c r="U831" i="1"/>
  <c r="T831" i="1"/>
  <c r="S831" i="1"/>
  <c r="R831" i="1"/>
  <c r="Q831" i="1"/>
  <c r="U830" i="1"/>
  <c r="T830" i="1"/>
  <c r="S830" i="1"/>
  <c r="R830" i="1"/>
  <c r="Q830" i="1"/>
  <c r="U829" i="1"/>
  <c r="T829" i="1"/>
  <c r="S829" i="1"/>
  <c r="R829" i="1"/>
  <c r="Q829" i="1"/>
  <c r="U828" i="1"/>
  <c r="T828" i="1"/>
  <c r="S828" i="1"/>
  <c r="R828" i="1"/>
  <c r="Q828" i="1"/>
  <c r="U827" i="1"/>
  <c r="T827" i="1"/>
  <c r="S827" i="1"/>
  <c r="R827" i="1"/>
  <c r="Q827" i="1"/>
  <c r="U826" i="1"/>
  <c r="T826" i="1"/>
  <c r="S826" i="1"/>
  <c r="R826" i="1"/>
  <c r="Q826" i="1"/>
  <c r="U825" i="1"/>
  <c r="T825" i="1"/>
  <c r="S825" i="1"/>
  <c r="R825" i="1"/>
  <c r="Q825" i="1"/>
  <c r="U824" i="1"/>
  <c r="T824" i="1"/>
  <c r="S824" i="1"/>
  <c r="R824" i="1"/>
  <c r="Q824" i="1"/>
  <c r="U823" i="1"/>
  <c r="T823" i="1"/>
  <c r="S823" i="1"/>
  <c r="R823" i="1"/>
  <c r="Q823" i="1"/>
  <c r="U822" i="1"/>
  <c r="T822" i="1"/>
  <c r="S822" i="1"/>
  <c r="R822" i="1"/>
  <c r="Q822" i="1"/>
  <c r="U821" i="1"/>
  <c r="T821" i="1"/>
  <c r="S821" i="1"/>
  <c r="R821" i="1"/>
  <c r="Q821" i="1"/>
  <c r="U820" i="1"/>
  <c r="T820" i="1"/>
  <c r="S820" i="1"/>
  <c r="R820" i="1"/>
  <c r="Q820" i="1"/>
  <c r="U819" i="1"/>
  <c r="T819" i="1"/>
  <c r="S819" i="1"/>
  <c r="R819" i="1"/>
  <c r="Q819" i="1"/>
  <c r="U818" i="1"/>
  <c r="T818" i="1"/>
  <c r="S818" i="1"/>
  <c r="R818" i="1"/>
  <c r="Q818" i="1"/>
  <c r="U817" i="1"/>
  <c r="T817" i="1"/>
  <c r="S817" i="1"/>
  <c r="R817" i="1"/>
  <c r="Q817" i="1"/>
  <c r="U816" i="1"/>
  <c r="T816" i="1"/>
  <c r="S816" i="1"/>
  <c r="R816" i="1"/>
  <c r="Q816" i="1"/>
  <c r="U815" i="1"/>
  <c r="T815" i="1"/>
  <c r="S815" i="1"/>
  <c r="R815" i="1"/>
  <c r="Q815" i="1"/>
  <c r="U814" i="1"/>
  <c r="T814" i="1"/>
  <c r="S814" i="1"/>
  <c r="R814" i="1"/>
  <c r="Q814" i="1"/>
  <c r="U813" i="1"/>
  <c r="T813" i="1"/>
  <c r="S813" i="1"/>
  <c r="R813" i="1"/>
  <c r="Q813" i="1"/>
  <c r="U812" i="1"/>
  <c r="T812" i="1"/>
  <c r="S812" i="1"/>
  <c r="R812" i="1"/>
  <c r="Q812" i="1"/>
  <c r="U811" i="1"/>
  <c r="T811" i="1"/>
  <c r="S811" i="1"/>
  <c r="R811" i="1"/>
  <c r="Q811" i="1"/>
  <c r="U810" i="1"/>
  <c r="T810" i="1"/>
  <c r="S810" i="1"/>
  <c r="R810" i="1"/>
  <c r="Q810" i="1"/>
  <c r="U809" i="1"/>
  <c r="T809" i="1"/>
  <c r="S809" i="1"/>
  <c r="R809" i="1"/>
  <c r="Q809" i="1"/>
  <c r="U808" i="1"/>
  <c r="T808" i="1"/>
  <c r="S808" i="1"/>
  <c r="R808" i="1"/>
  <c r="Q808" i="1"/>
  <c r="U807" i="1"/>
  <c r="T807" i="1"/>
  <c r="S807" i="1"/>
  <c r="R807" i="1"/>
  <c r="Q807" i="1"/>
  <c r="U806" i="1"/>
  <c r="T806" i="1"/>
  <c r="S806" i="1"/>
  <c r="R806" i="1"/>
  <c r="Q806" i="1"/>
  <c r="U805" i="1"/>
  <c r="T805" i="1"/>
  <c r="S805" i="1"/>
  <c r="R805" i="1"/>
  <c r="Q805" i="1"/>
  <c r="U804" i="1"/>
  <c r="T804" i="1"/>
  <c r="S804" i="1"/>
  <c r="R804" i="1"/>
  <c r="Q804" i="1"/>
  <c r="U803" i="1"/>
  <c r="T803" i="1"/>
  <c r="S803" i="1"/>
  <c r="R803" i="1"/>
  <c r="Q803" i="1"/>
  <c r="U802" i="1"/>
  <c r="T802" i="1"/>
  <c r="S802" i="1"/>
  <c r="R802" i="1"/>
  <c r="Q802" i="1"/>
  <c r="U801" i="1"/>
  <c r="T801" i="1"/>
  <c r="S801" i="1"/>
  <c r="R801" i="1"/>
  <c r="Q801" i="1"/>
  <c r="U800" i="1"/>
  <c r="T800" i="1"/>
  <c r="S800" i="1"/>
  <c r="R800" i="1"/>
  <c r="Q800" i="1"/>
  <c r="U799" i="1"/>
  <c r="T799" i="1"/>
  <c r="S799" i="1"/>
  <c r="R799" i="1"/>
  <c r="Q799" i="1"/>
  <c r="U798" i="1"/>
  <c r="T798" i="1"/>
  <c r="S798" i="1"/>
  <c r="R798" i="1"/>
  <c r="Q798" i="1"/>
  <c r="U797" i="1"/>
  <c r="T797" i="1"/>
  <c r="S797" i="1"/>
  <c r="R797" i="1"/>
  <c r="Q797" i="1"/>
  <c r="U796" i="1"/>
  <c r="T796" i="1"/>
  <c r="S796" i="1"/>
  <c r="R796" i="1"/>
  <c r="Q796" i="1"/>
  <c r="U795" i="1"/>
  <c r="T795" i="1"/>
  <c r="S795" i="1"/>
  <c r="R795" i="1"/>
  <c r="Q795" i="1"/>
  <c r="U794" i="1"/>
  <c r="T794" i="1"/>
  <c r="S794" i="1"/>
  <c r="R794" i="1"/>
  <c r="Q794" i="1"/>
  <c r="U793" i="1"/>
  <c r="T793" i="1"/>
  <c r="S793" i="1"/>
  <c r="R793" i="1"/>
  <c r="Q793" i="1"/>
  <c r="U792" i="1"/>
  <c r="T792" i="1"/>
  <c r="S792" i="1"/>
  <c r="R792" i="1"/>
  <c r="Q792" i="1"/>
  <c r="U791" i="1"/>
  <c r="T791" i="1"/>
  <c r="S791" i="1"/>
  <c r="R791" i="1"/>
  <c r="Q791" i="1"/>
  <c r="U790" i="1"/>
  <c r="T790" i="1"/>
  <c r="S790" i="1"/>
  <c r="R790" i="1"/>
  <c r="Q790" i="1"/>
  <c r="U789" i="1"/>
  <c r="T789" i="1"/>
  <c r="S789" i="1"/>
  <c r="R789" i="1"/>
  <c r="Q789" i="1"/>
  <c r="U788" i="1"/>
  <c r="T788" i="1"/>
  <c r="S788" i="1"/>
  <c r="R788" i="1"/>
  <c r="Q788" i="1"/>
  <c r="U787" i="1"/>
  <c r="T787" i="1"/>
  <c r="S787" i="1"/>
  <c r="R787" i="1"/>
  <c r="Q787" i="1"/>
  <c r="U786" i="1"/>
  <c r="T786" i="1"/>
  <c r="S786" i="1"/>
  <c r="R786" i="1"/>
  <c r="Q786" i="1"/>
  <c r="U785" i="1"/>
  <c r="T785" i="1"/>
  <c r="S785" i="1"/>
  <c r="R785" i="1"/>
  <c r="Q785" i="1"/>
  <c r="U784" i="1"/>
  <c r="T784" i="1"/>
  <c r="S784" i="1"/>
  <c r="R784" i="1"/>
  <c r="Q784" i="1"/>
  <c r="U783" i="1"/>
  <c r="T783" i="1"/>
  <c r="S783" i="1"/>
  <c r="R783" i="1"/>
  <c r="Q783" i="1"/>
  <c r="U782" i="1"/>
  <c r="T782" i="1"/>
  <c r="S782" i="1"/>
  <c r="R782" i="1"/>
  <c r="Q782" i="1"/>
  <c r="U781" i="1"/>
  <c r="T781" i="1"/>
  <c r="S781" i="1"/>
  <c r="R781" i="1"/>
  <c r="Q781" i="1"/>
  <c r="U780" i="1"/>
  <c r="T780" i="1"/>
  <c r="S780" i="1"/>
  <c r="R780" i="1"/>
  <c r="Q780" i="1"/>
  <c r="U779" i="1"/>
  <c r="T779" i="1"/>
  <c r="S779" i="1"/>
  <c r="R779" i="1"/>
  <c r="Q779" i="1"/>
  <c r="U778" i="1"/>
  <c r="T778" i="1"/>
  <c r="S778" i="1"/>
  <c r="R778" i="1"/>
  <c r="Q778" i="1"/>
  <c r="U777" i="1"/>
  <c r="T777" i="1"/>
  <c r="S777" i="1"/>
  <c r="R777" i="1"/>
  <c r="Q777" i="1"/>
  <c r="U776" i="1"/>
  <c r="T776" i="1"/>
  <c r="S776" i="1"/>
  <c r="R776" i="1"/>
  <c r="Q776" i="1"/>
  <c r="U775" i="1"/>
  <c r="T775" i="1"/>
  <c r="S775" i="1"/>
  <c r="R775" i="1"/>
  <c r="Q775" i="1"/>
  <c r="U774" i="1"/>
  <c r="T774" i="1"/>
  <c r="S774" i="1"/>
  <c r="R774" i="1"/>
  <c r="Q774" i="1"/>
  <c r="U773" i="1"/>
  <c r="T773" i="1"/>
  <c r="S773" i="1"/>
  <c r="R773" i="1"/>
  <c r="Q773" i="1"/>
  <c r="U772" i="1"/>
  <c r="T772" i="1"/>
  <c r="S772" i="1"/>
  <c r="R772" i="1"/>
  <c r="Q772" i="1"/>
  <c r="U771" i="1"/>
  <c r="T771" i="1"/>
  <c r="S771" i="1"/>
  <c r="R771" i="1"/>
  <c r="Q771" i="1"/>
  <c r="U770" i="1"/>
  <c r="T770" i="1"/>
  <c r="S770" i="1"/>
  <c r="R770" i="1"/>
  <c r="Q770" i="1"/>
  <c r="U769" i="1"/>
  <c r="T769" i="1"/>
  <c r="S769" i="1"/>
  <c r="R769" i="1"/>
  <c r="Q769" i="1"/>
  <c r="U768" i="1"/>
  <c r="T768" i="1"/>
  <c r="S768" i="1"/>
  <c r="R768" i="1"/>
  <c r="Q768" i="1"/>
  <c r="U767" i="1"/>
  <c r="T767" i="1"/>
  <c r="S767" i="1"/>
  <c r="R767" i="1"/>
  <c r="Q767" i="1"/>
  <c r="U766" i="1"/>
  <c r="T766" i="1"/>
  <c r="S766" i="1"/>
  <c r="R766" i="1"/>
  <c r="Q766" i="1"/>
  <c r="U765" i="1"/>
  <c r="T765" i="1"/>
  <c r="S765" i="1"/>
  <c r="R765" i="1"/>
  <c r="Q765" i="1"/>
  <c r="U764" i="1"/>
  <c r="T764" i="1"/>
  <c r="S764" i="1"/>
  <c r="R764" i="1"/>
  <c r="Q764" i="1"/>
  <c r="U763" i="1"/>
  <c r="T763" i="1"/>
  <c r="S763" i="1"/>
  <c r="R763" i="1"/>
  <c r="Q763" i="1"/>
  <c r="U762" i="1"/>
  <c r="T762" i="1"/>
  <c r="S762" i="1"/>
  <c r="R762" i="1"/>
  <c r="Q762" i="1"/>
  <c r="U761" i="1"/>
  <c r="T761" i="1"/>
  <c r="S761" i="1"/>
  <c r="R761" i="1"/>
  <c r="Q761" i="1"/>
  <c r="U760" i="1"/>
  <c r="T760" i="1"/>
  <c r="S760" i="1"/>
  <c r="R760" i="1"/>
  <c r="Q760" i="1"/>
  <c r="U759" i="1"/>
  <c r="T759" i="1"/>
  <c r="S759" i="1"/>
  <c r="R759" i="1"/>
  <c r="Q759" i="1"/>
  <c r="U758" i="1"/>
  <c r="T758" i="1"/>
  <c r="S758" i="1"/>
  <c r="R758" i="1"/>
  <c r="Q758" i="1"/>
  <c r="U757" i="1"/>
  <c r="T757" i="1"/>
  <c r="S757" i="1"/>
  <c r="R757" i="1"/>
  <c r="Q757" i="1"/>
  <c r="U756" i="1"/>
  <c r="T756" i="1"/>
  <c r="S756" i="1"/>
  <c r="R756" i="1"/>
  <c r="Q756" i="1"/>
  <c r="U755" i="1"/>
  <c r="T755" i="1"/>
  <c r="S755" i="1"/>
  <c r="R755" i="1"/>
  <c r="Q755" i="1"/>
  <c r="U754" i="1"/>
  <c r="T754" i="1"/>
  <c r="S754" i="1"/>
  <c r="R754" i="1"/>
  <c r="Q754" i="1"/>
  <c r="U753" i="1"/>
  <c r="T753" i="1"/>
  <c r="S753" i="1"/>
  <c r="R753" i="1"/>
  <c r="Q753" i="1"/>
  <c r="U752" i="1"/>
  <c r="T752" i="1"/>
  <c r="S752" i="1"/>
  <c r="R752" i="1"/>
  <c r="Q752" i="1"/>
  <c r="U751" i="1"/>
  <c r="T751" i="1"/>
  <c r="S751" i="1"/>
  <c r="R751" i="1"/>
  <c r="Q751" i="1"/>
  <c r="U750" i="1"/>
  <c r="T750" i="1"/>
  <c r="S750" i="1"/>
  <c r="R750" i="1"/>
  <c r="Q750" i="1"/>
  <c r="U749" i="1"/>
  <c r="T749" i="1"/>
  <c r="S749" i="1"/>
  <c r="R749" i="1"/>
  <c r="Q749" i="1"/>
  <c r="U748" i="1"/>
  <c r="T748" i="1"/>
  <c r="S748" i="1"/>
  <c r="R748" i="1"/>
  <c r="Q748" i="1"/>
  <c r="U747" i="1"/>
  <c r="T747" i="1"/>
  <c r="S747" i="1"/>
  <c r="R747" i="1"/>
  <c r="Q747" i="1"/>
  <c r="U746" i="1"/>
  <c r="T746" i="1"/>
  <c r="S746" i="1"/>
  <c r="R746" i="1"/>
  <c r="Q746" i="1"/>
  <c r="U745" i="1"/>
  <c r="T745" i="1"/>
  <c r="S745" i="1"/>
  <c r="R745" i="1"/>
  <c r="Q745" i="1"/>
  <c r="U744" i="1"/>
  <c r="T744" i="1"/>
  <c r="S744" i="1"/>
  <c r="R744" i="1"/>
  <c r="Q744" i="1"/>
  <c r="U743" i="1"/>
  <c r="T743" i="1"/>
  <c r="S743" i="1"/>
  <c r="R743" i="1"/>
  <c r="Q743" i="1"/>
  <c r="U742" i="1"/>
  <c r="T742" i="1"/>
  <c r="S742" i="1"/>
  <c r="R742" i="1"/>
  <c r="Q742" i="1"/>
  <c r="U741" i="1"/>
  <c r="T741" i="1"/>
  <c r="S741" i="1"/>
  <c r="R741" i="1"/>
  <c r="Q741" i="1"/>
  <c r="U740" i="1"/>
  <c r="T740" i="1"/>
  <c r="S740" i="1"/>
  <c r="R740" i="1"/>
  <c r="Q740" i="1"/>
  <c r="U739" i="1"/>
  <c r="T739" i="1"/>
  <c r="S739" i="1"/>
  <c r="R739" i="1"/>
  <c r="Q739" i="1"/>
  <c r="U738" i="1"/>
  <c r="T738" i="1"/>
  <c r="S738" i="1"/>
  <c r="R738" i="1"/>
  <c r="Q738" i="1"/>
  <c r="U737" i="1"/>
  <c r="T737" i="1"/>
  <c r="S737" i="1"/>
  <c r="R737" i="1"/>
  <c r="Q737" i="1"/>
  <c r="U736" i="1"/>
  <c r="T736" i="1"/>
  <c r="S736" i="1"/>
  <c r="R736" i="1"/>
  <c r="Q736" i="1"/>
  <c r="U735" i="1"/>
  <c r="T735" i="1"/>
  <c r="S735" i="1"/>
  <c r="R735" i="1"/>
  <c r="Q735" i="1"/>
  <c r="U734" i="1"/>
  <c r="T734" i="1"/>
  <c r="S734" i="1"/>
  <c r="R734" i="1"/>
  <c r="Q734" i="1"/>
  <c r="U733" i="1"/>
  <c r="T733" i="1"/>
  <c r="S733" i="1"/>
  <c r="R733" i="1"/>
  <c r="Q733" i="1"/>
  <c r="U732" i="1"/>
  <c r="T732" i="1"/>
  <c r="S732" i="1"/>
  <c r="R732" i="1"/>
  <c r="Q732" i="1"/>
  <c r="U731" i="1"/>
  <c r="T731" i="1"/>
  <c r="S731" i="1"/>
  <c r="R731" i="1"/>
  <c r="Q731" i="1"/>
  <c r="U730" i="1"/>
  <c r="T730" i="1"/>
  <c r="S730" i="1"/>
  <c r="R730" i="1"/>
  <c r="Q730" i="1"/>
  <c r="U729" i="1"/>
  <c r="T729" i="1"/>
  <c r="S729" i="1"/>
  <c r="R729" i="1"/>
  <c r="Q729" i="1"/>
  <c r="U728" i="1"/>
  <c r="T728" i="1"/>
  <c r="S728" i="1"/>
  <c r="R728" i="1"/>
  <c r="Q728" i="1"/>
  <c r="U727" i="1"/>
  <c r="T727" i="1"/>
  <c r="S727" i="1"/>
  <c r="R727" i="1"/>
  <c r="Q727" i="1"/>
  <c r="U726" i="1"/>
  <c r="T726" i="1"/>
  <c r="S726" i="1"/>
  <c r="R726" i="1"/>
  <c r="Q726" i="1"/>
  <c r="U725" i="1"/>
  <c r="T725" i="1"/>
  <c r="S725" i="1"/>
  <c r="R725" i="1"/>
  <c r="Q725" i="1"/>
  <c r="U724" i="1"/>
  <c r="T724" i="1"/>
  <c r="S724" i="1"/>
  <c r="R724" i="1"/>
  <c r="Q724" i="1"/>
  <c r="U723" i="1"/>
  <c r="T723" i="1"/>
  <c r="S723" i="1"/>
  <c r="R723" i="1"/>
  <c r="Q723" i="1"/>
  <c r="U722" i="1"/>
  <c r="T722" i="1"/>
  <c r="S722" i="1"/>
  <c r="R722" i="1"/>
  <c r="Q722" i="1"/>
  <c r="U721" i="1"/>
  <c r="T721" i="1"/>
  <c r="S721" i="1"/>
  <c r="R721" i="1"/>
  <c r="Q721" i="1"/>
  <c r="U720" i="1"/>
  <c r="T720" i="1"/>
  <c r="S720" i="1"/>
  <c r="R720" i="1"/>
  <c r="Q720" i="1"/>
  <c r="U719" i="1"/>
  <c r="T719" i="1"/>
  <c r="S719" i="1"/>
  <c r="R719" i="1"/>
  <c r="Q719" i="1"/>
  <c r="U718" i="1"/>
  <c r="T718" i="1"/>
  <c r="S718" i="1"/>
  <c r="R718" i="1"/>
  <c r="Q718" i="1"/>
  <c r="U717" i="1"/>
  <c r="T717" i="1"/>
  <c r="S717" i="1"/>
  <c r="R717" i="1"/>
  <c r="Q717" i="1"/>
  <c r="U716" i="1"/>
  <c r="T716" i="1"/>
  <c r="S716" i="1"/>
  <c r="R716" i="1"/>
  <c r="Q716" i="1"/>
  <c r="U715" i="1"/>
  <c r="T715" i="1"/>
  <c r="S715" i="1"/>
  <c r="R715" i="1"/>
  <c r="Q715" i="1"/>
  <c r="U714" i="1"/>
  <c r="T714" i="1"/>
  <c r="S714" i="1"/>
  <c r="R714" i="1"/>
  <c r="Q714" i="1"/>
  <c r="U713" i="1"/>
  <c r="T713" i="1"/>
  <c r="S713" i="1"/>
  <c r="R713" i="1"/>
  <c r="Q713" i="1"/>
  <c r="U712" i="1"/>
  <c r="T712" i="1"/>
  <c r="S712" i="1"/>
  <c r="R712" i="1"/>
  <c r="Q712" i="1"/>
  <c r="U711" i="1"/>
  <c r="T711" i="1"/>
  <c r="S711" i="1"/>
  <c r="R711" i="1"/>
  <c r="Q711" i="1"/>
  <c r="U710" i="1"/>
  <c r="T710" i="1"/>
  <c r="S710" i="1"/>
  <c r="R710" i="1"/>
  <c r="Q710" i="1"/>
  <c r="U709" i="1"/>
  <c r="T709" i="1"/>
  <c r="S709" i="1"/>
  <c r="R709" i="1"/>
  <c r="Q709" i="1"/>
  <c r="U708" i="1"/>
  <c r="T708" i="1"/>
  <c r="S708" i="1"/>
  <c r="R708" i="1"/>
  <c r="Q708" i="1"/>
  <c r="U707" i="1"/>
  <c r="T707" i="1"/>
  <c r="S707" i="1"/>
  <c r="R707" i="1"/>
  <c r="Q707" i="1"/>
  <c r="U706" i="1"/>
  <c r="T706" i="1"/>
  <c r="S706" i="1"/>
  <c r="R706" i="1"/>
  <c r="Q706" i="1"/>
  <c r="U705" i="1"/>
  <c r="T705" i="1"/>
  <c r="S705" i="1"/>
  <c r="R705" i="1"/>
  <c r="Q705" i="1"/>
  <c r="U704" i="1"/>
  <c r="T704" i="1"/>
  <c r="S704" i="1"/>
  <c r="R704" i="1"/>
  <c r="Q704" i="1"/>
  <c r="U703" i="1"/>
  <c r="T703" i="1"/>
  <c r="S703" i="1"/>
  <c r="R703" i="1"/>
  <c r="Q703" i="1"/>
  <c r="U702" i="1"/>
  <c r="T702" i="1"/>
  <c r="S702" i="1"/>
  <c r="R702" i="1"/>
  <c r="Q702" i="1"/>
  <c r="U701" i="1"/>
  <c r="T701" i="1"/>
  <c r="S701" i="1"/>
  <c r="R701" i="1"/>
  <c r="Q701" i="1"/>
  <c r="U700" i="1"/>
  <c r="T700" i="1"/>
  <c r="S700" i="1"/>
  <c r="R700" i="1"/>
  <c r="Q700" i="1"/>
  <c r="U699" i="1"/>
  <c r="T699" i="1"/>
  <c r="S699" i="1"/>
  <c r="R699" i="1"/>
  <c r="Q699" i="1"/>
  <c r="U698" i="1"/>
  <c r="T698" i="1"/>
  <c r="S698" i="1"/>
  <c r="R698" i="1"/>
  <c r="Q698" i="1"/>
  <c r="U697" i="1"/>
  <c r="T697" i="1"/>
  <c r="S697" i="1"/>
  <c r="R697" i="1"/>
  <c r="Q697" i="1"/>
  <c r="U696" i="1"/>
  <c r="T696" i="1"/>
  <c r="S696" i="1"/>
  <c r="R696" i="1"/>
  <c r="Q696" i="1"/>
  <c r="U695" i="1"/>
  <c r="T695" i="1"/>
  <c r="S695" i="1"/>
  <c r="R695" i="1"/>
  <c r="Q695" i="1"/>
  <c r="U694" i="1"/>
  <c r="T694" i="1"/>
  <c r="S694" i="1"/>
  <c r="R694" i="1"/>
  <c r="Q694" i="1"/>
  <c r="U693" i="1"/>
  <c r="T693" i="1"/>
  <c r="S693" i="1"/>
  <c r="R693" i="1"/>
  <c r="Q693" i="1"/>
  <c r="U692" i="1"/>
  <c r="T692" i="1"/>
  <c r="S692" i="1"/>
  <c r="R692" i="1"/>
  <c r="Q692" i="1"/>
  <c r="U691" i="1"/>
  <c r="T691" i="1"/>
  <c r="S691" i="1"/>
  <c r="R691" i="1"/>
  <c r="Q691" i="1"/>
  <c r="U690" i="1"/>
  <c r="T690" i="1"/>
  <c r="S690" i="1"/>
  <c r="R690" i="1"/>
  <c r="Q690" i="1"/>
  <c r="U689" i="1"/>
  <c r="T689" i="1"/>
  <c r="S689" i="1"/>
  <c r="R689" i="1"/>
  <c r="Q689" i="1"/>
  <c r="U688" i="1"/>
  <c r="T688" i="1"/>
  <c r="S688" i="1"/>
  <c r="R688" i="1"/>
  <c r="Q688" i="1"/>
  <c r="U687" i="1"/>
  <c r="T687" i="1"/>
  <c r="S687" i="1"/>
  <c r="R687" i="1"/>
  <c r="Q687" i="1"/>
  <c r="U686" i="1"/>
  <c r="T686" i="1"/>
  <c r="S686" i="1"/>
  <c r="R686" i="1"/>
  <c r="Q686" i="1"/>
  <c r="U685" i="1"/>
  <c r="T685" i="1"/>
  <c r="S685" i="1"/>
  <c r="R685" i="1"/>
  <c r="Q685" i="1"/>
  <c r="U684" i="1"/>
  <c r="T684" i="1"/>
  <c r="S684" i="1"/>
  <c r="R684" i="1"/>
  <c r="Q684" i="1"/>
  <c r="U683" i="1"/>
  <c r="T683" i="1"/>
  <c r="S683" i="1"/>
  <c r="R683" i="1"/>
  <c r="Q683" i="1"/>
  <c r="U682" i="1"/>
  <c r="T682" i="1"/>
  <c r="S682" i="1"/>
  <c r="R682" i="1"/>
  <c r="Q682" i="1"/>
  <c r="U681" i="1"/>
  <c r="T681" i="1"/>
  <c r="S681" i="1"/>
  <c r="R681" i="1"/>
  <c r="Q681" i="1"/>
  <c r="U680" i="1"/>
  <c r="T680" i="1"/>
  <c r="S680" i="1"/>
  <c r="R680" i="1"/>
  <c r="Q680" i="1"/>
  <c r="U679" i="1"/>
  <c r="T679" i="1"/>
  <c r="S679" i="1"/>
  <c r="R679" i="1"/>
  <c r="Q679" i="1"/>
  <c r="U678" i="1"/>
  <c r="T678" i="1"/>
  <c r="S678" i="1"/>
  <c r="R678" i="1"/>
  <c r="Q678" i="1"/>
  <c r="U677" i="1"/>
  <c r="T677" i="1"/>
  <c r="S677" i="1"/>
  <c r="R677" i="1"/>
  <c r="Q677" i="1"/>
  <c r="U676" i="1"/>
  <c r="T676" i="1"/>
  <c r="S676" i="1"/>
  <c r="R676" i="1"/>
  <c r="Q676" i="1"/>
  <c r="U675" i="1"/>
  <c r="T675" i="1"/>
  <c r="S675" i="1"/>
  <c r="R675" i="1"/>
  <c r="Q675" i="1"/>
  <c r="U674" i="1"/>
  <c r="T674" i="1"/>
  <c r="S674" i="1"/>
  <c r="R674" i="1"/>
  <c r="Q674" i="1"/>
  <c r="U673" i="1"/>
  <c r="T673" i="1"/>
  <c r="S673" i="1"/>
  <c r="R673" i="1"/>
  <c r="Q673" i="1"/>
  <c r="U672" i="1"/>
  <c r="T672" i="1"/>
  <c r="S672" i="1"/>
  <c r="R672" i="1"/>
  <c r="Q672" i="1"/>
  <c r="U671" i="1"/>
  <c r="T671" i="1"/>
  <c r="S671" i="1"/>
  <c r="R671" i="1"/>
  <c r="Q671" i="1"/>
  <c r="U670" i="1"/>
  <c r="T670" i="1"/>
  <c r="S670" i="1"/>
  <c r="R670" i="1"/>
  <c r="Q670" i="1"/>
  <c r="U669" i="1"/>
  <c r="T669" i="1"/>
  <c r="S669" i="1"/>
  <c r="R669" i="1"/>
  <c r="Q669" i="1"/>
  <c r="U668" i="1"/>
  <c r="T668" i="1"/>
  <c r="S668" i="1"/>
  <c r="R668" i="1"/>
  <c r="Q668" i="1"/>
  <c r="U667" i="1"/>
  <c r="T667" i="1"/>
  <c r="S667" i="1"/>
  <c r="R667" i="1"/>
  <c r="Q667" i="1"/>
  <c r="U666" i="1"/>
  <c r="T666" i="1"/>
  <c r="S666" i="1"/>
  <c r="R666" i="1"/>
  <c r="Q666" i="1"/>
  <c r="U665" i="1"/>
  <c r="T665" i="1"/>
  <c r="S665" i="1"/>
  <c r="R665" i="1"/>
  <c r="Q665" i="1"/>
  <c r="U664" i="1"/>
  <c r="T664" i="1"/>
  <c r="S664" i="1"/>
  <c r="R664" i="1"/>
  <c r="Q664" i="1"/>
  <c r="U663" i="1"/>
  <c r="T663" i="1"/>
  <c r="S663" i="1"/>
  <c r="R663" i="1"/>
  <c r="Q663" i="1"/>
  <c r="U662" i="1"/>
  <c r="T662" i="1"/>
  <c r="S662" i="1"/>
  <c r="R662" i="1"/>
  <c r="Q662" i="1"/>
  <c r="U661" i="1"/>
  <c r="T661" i="1"/>
  <c r="S661" i="1"/>
  <c r="R661" i="1"/>
  <c r="Q661" i="1"/>
  <c r="U660" i="1"/>
  <c r="T660" i="1"/>
  <c r="S660" i="1"/>
  <c r="R660" i="1"/>
  <c r="Q660" i="1"/>
  <c r="U659" i="1"/>
  <c r="T659" i="1"/>
  <c r="S659" i="1"/>
  <c r="R659" i="1"/>
  <c r="Q659" i="1"/>
  <c r="U658" i="1"/>
  <c r="T658" i="1"/>
  <c r="S658" i="1"/>
  <c r="R658" i="1"/>
  <c r="Q658" i="1"/>
  <c r="U657" i="1"/>
  <c r="T657" i="1"/>
  <c r="S657" i="1"/>
  <c r="R657" i="1"/>
  <c r="Q657" i="1"/>
  <c r="U656" i="1"/>
  <c r="T656" i="1"/>
  <c r="S656" i="1"/>
  <c r="R656" i="1"/>
  <c r="Q656" i="1"/>
  <c r="U655" i="1"/>
  <c r="T655" i="1"/>
  <c r="S655" i="1"/>
  <c r="R655" i="1"/>
  <c r="Q655" i="1"/>
  <c r="U654" i="1"/>
  <c r="T654" i="1"/>
  <c r="S654" i="1"/>
  <c r="R654" i="1"/>
  <c r="Q654" i="1"/>
  <c r="U653" i="1"/>
  <c r="T653" i="1"/>
  <c r="S653" i="1"/>
  <c r="R653" i="1"/>
  <c r="Q653" i="1"/>
  <c r="U652" i="1"/>
  <c r="T652" i="1"/>
  <c r="S652" i="1"/>
  <c r="R652" i="1"/>
  <c r="Q652" i="1"/>
  <c r="U651" i="1"/>
  <c r="T651" i="1"/>
  <c r="S651" i="1"/>
  <c r="R651" i="1"/>
  <c r="Q651" i="1"/>
  <c r="U650" i="1"/>
  <c r="T650" i="1"/>
  <c r="S650" i="1"/>
  <c r="R650" i="1"/>
  <c r="Q650" i="1"/>
  <c r="U649" i="1"/>
  <c r="T649" i="1"/>
  <c r="S649" i="1"/>
  <c r="R649" i="1"/>
  <c r="Q649" i="1"/>
  <c r="U648" i="1"/>
  <c r="T648" i="1"/>
  <c r="S648" i="1"/>
  <c r="R648" i="1"/>
  <c r="Q648" i="1"/>
  <c r="U647" i="1"/>
  <c r="T647" i="1"/>
  <c r="S647" i="1"/>
  <c r="R647" i="1"/>
  <c r="Q647" i="1"/>
  <c r="U646" i="1"/>
  <c r="T646" i="1"/>
  <c r="S646" i="1"/>
  <c r="R646" i="1"/>
  <c r="Q646" i="1"/>
  <c r="U645" i="1"/>
  <c r="T645" i="1"/>
  <c r="S645" i="1"/>
  <c r="R645" i="1"/>
  <c r="Q645" i="1"/>
  <c r="U644" i="1"/>
  <c r="T644" i="1"/>
  <c r="S644" i="1"/>
  <c r="R644" i="1"/>
  <c r="Q644" i="1"/>
  <c r="U643" i="1"/>
  <c r="T643" i="1"/>
  <c r="S643" i="1"/>
  <c r="R643" i="1"/>
  <c r="Q643" i="1"/>
  <c r="U642" i="1"/>
  <c r="T642" i="1"/>
  <c r="S642" i="1"/>
  <c r="R642" i="1"/>
  <c r="Q642" i="1"/>
  <c r="U641" i="1"/>
  <c r="T641" i="1"/>
  <c r="S641" i="1"/>
  <c r="R641" i="1"/>
  <c r="Q641" i="1"/>
  <c r="U640" i="1"/>
  <c r="T640" i="1"/>
  <c r="S640" i="1"/>
  <c r="R640" i="1"/>
  <c r="Q640" i="1"/>
  <c r="U639" i="1"/>
  <c r="T639" i="1"/>
  <c r="S639" i="1"/>
  <c r="R639" i="1"/>
  <c r="Q639" i="1"/>
  <c r="U638" i="1"/>
  <c r="T638" i="1"/>
  <c r="S638" i="1"/>
  <c r="R638" i="1"/>
  <c r="Q638" i="1"/>
  <c r="U637" i="1"/>
  <c r="T637" i="1"/>
  <c r="S637" i="1"/>
  <c r="R637" i="1"/>
  <c r="Q637" i="1"/>
  <c r="U636" i="1"/>
  <c r="T636" i="1"/>
  <c r="S636" i="1"/>
  <c r="R636" i="1"/>
  <c r="Q636" i="1"/>
  <c r="U635" i="1"/>
  <c r="T635" i="1"/>
  <c r="S635" i="1"/>
  <c r="R635" i="1"/>
  <c r="Q635" i="1"/>
  <c r="U634" i="1"/>
  <c r="T634" i="1"/>
  <c r="S634" i="1"/>
  <c r="R634" i="1"/>
  <c r="Q634" i="1"/>
  <c r="U633" i="1"/>
  <c r="T633" i="1"/>
  <c r="S633" i="1"/>
  <c r="R633" i="1"/>
  <c r="Q633" i="1"/>
  <c r="U632" i="1"/>
  <c r="T632" i="1"/>
  <c r="S632" i="1"/>
  <c r="R632" i="1"/>
  <c r="Q632" i="1"/>
  <c r="U631" i="1"/>
  <c r="T631" i="1"/>
  <c r="S631" i="1"/>
  <c r="R631" i="1"/>
  <c r="Q631" i="1"/>
  <c r="U630" i="1"/>
  <c r="T630" i="1"/>
  <c r="S630" i="1"/>
  <c r="R630" i="1"/>
  <c r="Q630" i="1"/>
  <c r="U629" i="1"/>
  <c r="T629" i="1"/>
  <c r="S629" i="1"/>
  <c r="R629" i="1"/>
  <c r="Q629" i="1"/>
  <c r="U628" i="1"/>
  <c r="T628" i="1"/>
  <c r="S628" i="1"/>
  <c r="R628" i="1"/>
  <c r="Q628" i="1"/>
  <c r="U627" i="1"/>
  <c r="T627" i="1"/>
  <c r="S627" i="1"/>
  <c r="R627" i="1"/>
  <c r="Q627" i="1"/>
  <c r="U626" i="1"/>
  <c r="T626" i="1"/>
  <c r="S626" i="1"/>
  <c r="R626" i="1"/>
  <c r="Q626" i="1"/>
  <c r="U625" i="1"/>
  <c r="T625" i="1"/>
  <c r="S625" i="1"/>
  <c r="R625" i="1"/>
  <c r="Q625" i="1"/>
  <c r="U624" i="1"/>
  <c r="T624" i="1"/>
  <c r="S624" i="1"/>
  <c r="R624" i="1"/>
  <c r="Q624" i="1"/>
  <c r="U623" i="1"/>
  <c r="T623" i="1"/>
  <c r="S623" i="1"/>
  <c r="R623" i="1"/>
  <c r="Q623" i="1"/>
  <c r="U622" i="1"/>
  <c r="T622" i="1"/>
  <c r="S622" i="1"/>
  <c r="R622" i="1"/>
  <c r="Q622" i="1"/>
  <c r="U621" i="1"/>
  <c r="T621" i="1"/>
  <c r="S621" i="1"/>
  <c r="R621" i="1"/>
  <c r="Q621" i="1"/>
  <c r="U620" i="1"/>
  <c r="T620" i="1"/>
  <c r="S620" i="1"/>
  <c r="R620" i="1"/>
  <c r="Q620" i="1"/>
  <c r="U619" i="1"/>
  <c r="T619" i="1"/>
  <c r="S619" i="1"/>
  <c r="R619" i="1"/>
  <c r="Q619" i="1"/>
  <c r="U618" i="1"/>
  <c r="T618" i="1"/>
  <c r="S618" i="1"/>
  <c r="R618" i="1"/>
  <c r="Q618" i="1"/>
  <c r="U617" i="1"/>
  <c r="T617" i="1"/>
  <c r="S617" i="1"/>
  <c r="R617" i="1"/>
  <c r="Q617" i="1"/>
  <c r="U616" i="1"/>
  <c r="T616" i="1"/>
  <c r="S616" i="1"/>
  <c r="R616" i="1"/>
  <c r="Q616" i="1"/>
  <c r="U615" i="1"/>
  <c r="T615" i="1"/>
  <c r="S615" i="1"/>
  <c r="R615" i="1"/>
  <c r="Q615" i="1"/>
  <c r="U614" i="1"/>
  <c r="T614" i="1"/>
  <c r="S614" i="1"/>
  <c r="R614" i="1"/>
  <c r="Q614" i="1"/>
  <c r="U613" i="1"/>
  <c r="T613" i="1"/>
  <c r="S613" i="1"/>
  <c r="R613" i="1"/>
  <c r="Q613" i="1"/>
  <c r="U612" i="1"/>
  <c r="T612" i="1"/>
  <c r="S612" i="1"/>
  <c r="R612" i="1"/>
  <c r="Q612" i="1"/>
  <c r="U611" i="1"/>
  <c r="T611" i="1"/>
  <c r="S611" i="1"/>
  <c r="R611" i="1"/>
  <c r="Q611" i="1"/>
  <c r="U610" i="1"/>
  <c r="T610" i="1"/>
  <c r="S610" i="1"/>
  <c r="R610" i="1"/>
  <c r="Q610" i="1"/>
  <c r="U609" i="1"/>
  <c r="T609" i="1"/>
  <c r="S609" i="1"/>
  <c r="R609" i="1"/>
  <c r="Q609" i="1"/>
  <c r="U608" i="1"/>
  <c r="T608" i="1"/>
  <c r="S608" i="1"/>
  <c r="R608" i="1"/>
  <c r="Q608" i="1"/>
  <c r="U607" i="1"/>
  <c r="T607" i="1"/>
  <c r="S607" i="1"/>
  <c r="R607" i="1"/>
  <c r="Q607" i="1"/>
  <c r="U606" i="1"/>
  <c r="T606" i="1"/>
  <c r="S606" i="1"/>
  <c r="R606" i="1"/>
  <c r="Q606" i="1"/>
  <c r="U605" i="1"/>
  <c r="T605" i="1"/>
  <c r="S605" i="1"/>
  <c r="R605" i="1"/>
  <c r="Q605" i="1"/>
  <c r="U604" i="1"/>
  <c r="T604" i="1"/>
  <c r="S604" i="1"/>
  <c r="R604" i="1"/>
  <c r="Q604" i="1"/>
  <c r="U603" i="1"/>
  <c r="T603" i="1"/>
  <c r="S603" i="1"/>
  <c r="R603" i="1"/>
  <c r="Q603" i="1"/>
  <c r="U602" i="1"/>
  <c r="T602" i="1"/>
  <c r="S602" i="1"/>
  <c r="R602" i="1"/>
  <c r="Q602" i="1"/>
  <c r="U601" i="1"/>
  <c r="T601" i="1"/>
  <c r="S601" i="1"/>
  <c r="R601" i="1"/>
  <c r="Q601" i="1"/>
  <c r="U600" i="1"/>
  <c r="T600" i="1"/>
  <c r="S600" i="1"/>
  <c r="R600" i="1"/>
  <c r="Q600" i="1"/>
  <c r="U599" i="1"/>
  <c r="T599" i="1"/>
  <c r="S599" i="1"/>
  <c r="R599" i="1"/>
  <c r="Q599" i="1"/>
  <c r="U598" i="1"/>
  <c r="T598" i="1"/>
  <c r="S598" i="1"/>
  <c r="R598" i="1"/>
  <c r="Q598" i="1"/>
  <c r="U597" i="1"/>
  <c r="T597" i="1"/>
  <c r="S597" i="1"/>
  <c r="R597" i="1"/>
  <c r="Q597" i="1"/>
  <c r="U596" i="1"/>
  <c r="T596" i="1"/>
  <c r="S596" i="1"/>
  <c r="R596" i="1"/>
  <c r="Q596" i="1"/>
  <c r="U595" i="1"/>
  <c r="T595" i="1"/>
  <c r="S595" i="1"/>
  <c r="R595" i="1"/>
  <c r="Q595" i="1"/>
  <c r="U594" i="1"/>
  <c r="T594" i="1"/>
  <c r="S594" i="1"/>
  <c r="R594" i="1"/>
  <c r="Q594" i="1"/>
  <c r="U593" i="1"/>
  <c r="T593" i="1"/>
  <c r="S593" i="1"/>
  <c r="R593" i="1"/>
  <c r="Q593" i="1"/>
  <c r="U592" i="1"/>
  <c r="T592" i="1"/>
  <c r="S592" i="1"/>
  <c r="R592" i="1"/>
  <c r="Q592" i="1"/>
  <c r="U591" i="1"/>
  <c r="T591" i="1"/>
  <c r="S591" i="1"/>
  <c r="R591" i="1"/>
  <c r="Q591" i="1"/>
  <c r="U590" i="1"/>
  <c r="T590" i="1"/>
  <c r="S590" i="1"/>
  <c r="R590" i="1"/>
  <c r="Q590" i="1"/>
  <c r="U589" i="1"/>
  <c r="T589" i="1"/>
  <c r="S589" i="1"/>
  <c r="R589" i="1"/>
  <c r="Q589" i="1"/>
  <c r="U588" i="1"/>
  <c r="T588" i="1"/>
  <c r="S588" i="1"/>
  <c r="R588" i="1"/>
  <c r="Q588" i="1"/>
  <c r="U587" i="1"/>
  <c r="T587" i="1"/>
  <c r="S587" i="1"/>
  <c r="R587" i="1"/>
  <c r="Q587" i="1"/>
  <c r="U586" i="1"/>
  <c r="T586" i="1"/>
  <c r="S586" i="1"/>
  <c r="R586" i="1"/>
  <c r="Q586" i="1"/>
  <c r="U585" i="1"/>
  <c r="T585" i="1"/>
  <c r="S585" i="1"/>
  <c r="R585" i="1"/>
  <c r="Q585" i="1"/>
  <c r="U584" i="1"/>
  <c r="T584" i="1"/>
  <c r="S584" i="1"/>
  <c r="R584" i="1"/>
  <c r="Q584" i="1"/>
  <c r="U583" i="1"/>
  <c r="T583" i="1"/>
  <c r="S583" i="1"/>
  <c r="R583" i="1"/>
  <c r="Q583" i="1"/>
  <c r="U582" i="1"/>
  <c r="T582" i="1"/>
  <c r="S582" i="1"/>
  <c r="R582" i="1"/>
  <c r="Q582" i="1"/>
  <c r="U581" i="1"/>
  <c r="T581" i="1"/>
  <c r="S581" i="1"/>
  <c r="R581" i="1"/>
  <c r="Q581" i="1"/>
  <c r="U580" i="1"/>
  <c r="T580" i="1"/>
  <c r="S580" i="1"/>
  <c r="R580" i="1"/>
  <c r="Q580" i="1"/>
  <c r="U579" i="1"/>
  <c r="T579" i="1"/>
  <c r="S579" i="1"/>
  <c r="R579" i="1"/>
  <c r="Q579" i="1"/>
  <c r="U578" i="1"/>
  <c r="T578" i="1"/>
  <c r="S578" i="1"/>
  <c r="R578" i="1"/>
  <c r="Q578" i="1"/>
  <c r="U577" i="1"/>
  <c r="T577" i="1"/>
  <c r="S577" i="1"/>
  <c r="R577" i="1"/>
  <c r="Q577" i="1"/>
  <c r="U576" i="1"/>
  <c r="T576" i="1"/>
  <c r="S576" i="1"/>
  <c r="R576" i="1"/>
  <c r="Q576" i="1"/>
  <c r="U575" i="1"/>
  <c r="T575" i="1"/>
  <c r="S575" i="1"/>
  <c r="R575" i="1"/>
  <c r="Q575" i="1"/>
  <c r="U574" i="1"/>
  <c r="T574" i="1"/>
  <c r="S574" i="1"/>
  <c r="R574" i="1"/>
  <c r="Q574" i="1"/>
  <c r="U573" i="1"/>
  <c r="T573" i="1"/>
  <c r="S573" i="1"/>
  <c r="R573" i="1"/>
  <c r="Q573" i="1"/>
  <c r="U572" i="1"/>
  <c r="T572" i="1"/>
  <c r="S572" i="1"/>
  <c r="R572" i="1"/>
  <c r="Q572" i="1"/>
  <c r="U571" i="1"/>
  <c r="T571" i="1"/>
  <c r="S571" i="1"/>
  <c r="R571" i="1"/>
  <c r="Q571" i="1"/>
  <c r="U570" i="1"/>
  <c r="T570" i="1"/>
  <c r="S570" i="1"/>
  <c r="R570" i="1"/>
  <c r="Q570" i="1"/>
  <c r="U569" i="1"/>
  <c r="T569" i="1"/>
  <c r="S569" i="1"/>
  <c r="R569" i="1"/>
  <c r="Q569" i="1"/>
  <c r="U568" i="1"/>
  <c r="T568" i="1"/>
  <c r="S568" i="1"/>
  <c r="R568" i="1"/>
  <c r="Q568" i="1"/>
  <c r="U567" i="1"/>
  <c r="T567" i="1"/>
  <c r="S567" i="1"/>
  <c r="R567" i="1"/>
  <c r="Q567" i="1"/>
  <c r="U566" i="1"/>
  <c r="T566" i="1"/>
  <c r="S566" i="1"/>
  <c r="R566" i="1"/>
  <c r="Q566" i="1"/>
  <c r="U565" i="1"/>
  <c r="T565" i="1"/>
  <c r="S565" i="1"/>
  <c r="R565" i="1"/>
  <c r="Q565" i="1"/>
  <c r="U564" i="1"/>
  <c r="T564" i="1"/>
  <c r="S564" i="1"/>
  <c r="R564" i="1"/>
  <c r="Q564" i="1"/>
  <c r="U563" i="1"/>
  <c r="T563" i="1"/>
  <c r="S563" i="1"/>
  <c r="R563" i="1"/>
  <c r="Q563" i="1"/>
  <c r="U562" i="1"/>
  <c r="T562" i="1"/>
  <c r="S562" i="1"/>
  <c r="R562" i="1"/>
  <c r="Q562" i="1"/>
  <c r="U561" i="1"/>
  <c r="T561" i="1"/>
  <c r="S561" i="1"/>
  <c r="R561" i="1"/>
  <c r="Q561" i="1"/>
  <c r="U560" i="1"/>
  <c r="T560" i="1"/>
  <c r="S560" i="1"/>
  <c r="R560" i="1"/>
  <c r="Q560" i="1"/>
  <c r="U559" i="1"/>
  <c r="T559" i="1"/>
  <c r="S559" i="1"/>
  <c r="R559" i="1"/>
  <c r="Q559" i="1"/>
  <c r="U558" i="1"/>
  <c r="T558" i="1"/>
  <c r="S558" i="1"/>
  <c r="R558" i="1"/>
  <c r="Q558" i="1"/>
  <c r="U557" i="1"/>
  <c r="T557" i="1"/>
  <c r="S557" i="1"/>
  <c r="R557" i="1"/>
  <c r="Q557" i="1"/>
  <c r="U556" i="1"/>
  <c r="T556" i="1"/>
  <c r="S556" i="1"/>
  <c r="R556" i="1"/>
  <c r="Q556" i="1"/>
  <c r="U555" i="1"/>
  <c r="T555" i="1"/>
  <c r="S555" i="1"/>
  <c r="R555" i="1"/>
  <c r="Q555" i="1"/>
  <c r="U554" i="1"/>
  <c r="T554" i="1"/>
  <c r="S554" i="1"/>
  <c r="R554" i="1"/>
  <c r="Q554" i="1"/>
  <c r="U553" i="1"/>
  <c r="T553" i="1"/>
  <c r="S553" i="1"/>
  <c r="R553" i="1"/>
  <c r="Q553" i="1"/>
  <c r="U552" i="1"/>
  <c r="T552" i="1"/>
  <c r="S552" i="1"/>
  <c r="R552" i="1"/>
  <c r="Q552" i="1"/>
  <c r="U551" i="1"/>
  <c r="T551" i="1"/>
  <c r="S551" i="1"/>
  <c r="R551" i="1"/>
  <c r="Q551" i="1"/>
  <c r="U550" i="1"/>
  <c r="T550" i="1"/>
  <c r="S550" i="1"/>
  <c r="R550" i="1"/>
  <c r="Q550" i="1"/>
  <c r="U549" i="1"/>
  <c r="T549" i="1"/>
  <c r="S549" i="1"/>
  <c r="R549" i="1"/>
  <c r="Q549" i="1"/>
  <c r="U548" i="1"/>
  <c r="T548" i="1"/>
  <c r="S548" i="1"/>
  <c r="R548" i="1"/>
  <c r="Q548" i="1"/>
  <c r="U547" i="1"/>
  <c r="T547" i="1"/>
  <c r="S547" i="1"/>
  <c r="R547" i="1"/>
  <c r="Q547" i="1"/>
  <c r="U546" i="1"/>
  <c r="T546" i="1"/>
  <c r="S546" i="1"/>
  <c r="R546" i="1"/>
  <c r="Q546" i="1"/>
  <c r="U545" i="1"/>
  <c r="T545" i="1"/>
  <c r="S545" i="1"/>
  <c r="R545" i="1"/>
  <c r="Q545" i="1"/>
  <c r="U544" i="1"/>
  <c r="T544" i="1"/>
  <c r="S544" i="1"/>
  <c r="R544" i="1"/>
  <c r="Q544" i="1"/>
  <c r="U543" i="1"/>
  <c r="T543" i="1"/>
  <c r="S543" i="1"/>
  <c r="R543" i="1"/>
  <c r="Q543" i="1"/>
  <c r="U542" i="1"/>
  <c r="T542" i="1"/>
  <c r="S542" i="1"/>
  <c r="R542" i="1"/>
  <c r="Q542" i="1"/>
  <c r="U541" i="1"/>
  <c r="T541" i="1"/>
  <c r="S541" i="1"/>
  <c r="R541" i="1"/>
  <c r="Q541" i="1"/>
  <c r="U540" i="1"/>
  <c r="T540" i="1"/>
  <c r="S540" i="1"/>
  <c r="R540" i="1"/>
  <c r="Q540" i="1"/>
  <c r="U539" i="1"/>
  <c r="T539" i="1"/>
  <c r="S539" i="1"/>
  <c r="R539" i="1"/>
  <c r="Q539" i="1"/>
  <c r="U538" i="1"/>
  <c r="T538" i="1"/>
  <c r="S538" i="1"/>
  <c r="R538" i="1"/>
  <c r="Q538" i="1"/>
  <c r="U537" i="1"/>
  <c r="T537" i="1"/>
  <c r="S537" i="1"/>
  <c r="R537" i="1"/>
  <c r="Q537" i="1"/>
  <c r="U536" i="1"/>
  <c r="T536" i="1"/>
  <c r="S536" i="1"/>
  <c r="R536" i="1"/>
  <c r="Q536" i="1"/>
  <c r="U535" i="1"/>
  <c r="T535" i="1"/>
  <c r="S535" i="1"/>
  <c r="R535" i="1"/>
  <c r="Q535" i="1"/>
  <c r="U534" i="1"/>
  <c r="T534" i="1"/>
  <c r="S534" i="1"/>
  <c r="R534" i="1"/>
  <c r="Q534" i="1"/>
  <c r="U533" i="1"/>
  <c r="T533" i="1"/>
  <c r="S533" i="1"/>
  <c r="R533" i="1"/>
  <c r="Q533" i="1"/>
  <c r="U532" i="1"/>
  <c r="T532" i="1"/>
  <c r="S532" i="1"/>
  <c r="R532" i="1"/>
  <c r="Q532" i="1"/>
  <c r="U531" i="1"/>
  <c r="T531" i="1"/>
  <c r="S531" i="1"/>
  <c r="R531" i="1"/>
  <c r="Q531" i="1"/>
  <c r="U530" i="1"/>
  <c r="T530" i="1"/>
  <c r="S530" i="1"/>
  <c r="R530" i="1"/>
  <c r="Q530" i="1"/>
  <c r="U529" i="1"/>
  <c r="T529" i="1"/>
  <c r="S529" i="1"/>
  <c r="R529" i="1"/>
  <c r="Q529" i="1"/>
  <c r="U528" i="1"/>
  <c r="T528" i="1"/>
  <c r="S528" i="1"/>
  <c r="R528" i="1"/>
  <c r="Q528" i="1"/>
  <c r="U527" i="1"/>
  <c r="T527" i="1"/>
  <c r="S527" i="1"/>
  <c r="R527" i="1"/>
  <c r="Q527" i="1"/>
  <c r="U526" i="1"/>
  <c r="T526" i="1"/>
  <c r="S526" i="1"/>
  <c r="R526" i="1"/>
  <c r="Q526" i="1"/>
  <c r="U525" i="1"/>
  <c r="T525" i="1"/>
  <c r="S525" i="1"/>
  <c r="R525" i="1"/>
  <c r="Q525" i="1"/>
  <c r="U524" i="1"/>
  <c r="T524" i="1"/>
  <c r="S524" i="1"/>
  <c r="R524" i="1"/>
  <c r="Q524" i="1"/>
  <c r="U523" i="1"/>
  <c r="T523" i="1"/>
  <c r="S523" i="1"/>
  <c r="R523" i="1"/>
  <c r="Q523" i="1"/>
  <c r="U522" i="1"/>
  <c r="T522" i="1"/>
  <c r="S522" i="1"/>
  <c r="R522" i="1"/>
  <c r="Q522" i="1"/>
  <c r="U521" i="1"/>
  <c r="T521" i="1"/>
  <c r="S521" i="1"/>
  <c r="R521" i="1"/>
  <c r="Q521" i="1"/>
  <c r="U520" i="1"/>
  <c r="T520" i="1"/>
  <c r="S520" i="1"/>
  <c r="R520" i="1"/>
  <c r="Q520" i="1"/>
  <c r="U519" i="1"/>
  <c r="T519" i="1"/>
  <c r="S519" i="1"/>
  <c r="R519" i="1"/>
  <c r="Q519" i="1"/>
  <c r="U518" i="1"/>
  <c r="T518" i="1"/>
  <c r="S518" i="1"/>
  <c r="R518" i="1"/>
  <c r="Q518" i="1"/>
  <c r="U517" i="1"/>
  <c r="T517" i="1"/>
  <c r="S517" i="1"/>
  <c r="R517" i="1"/>
  <c r="Q517" i="1"/>
  <c r="U516" i="1"/>
  <c r="T516" i="1"/>
  <c r="S516" i="1"/>
  <c r="R516" i="1"/>
  <c r="Q516" i="1"/>
  <c r="U515" i="1"/>
  <c r="T515" i="1"/>
  <c r="S515" i="1"/>
  <c r="R515" i="1"/>
  <c r="Q515" i="1"/>
  <c r="U514" i="1"/>
  <c r="T514" i="1"/>
  <c r="S514" i="1"/>
  <c r="R514" i="1"/>
  <c r="Q514" i="1"/>
  <c r="U513" i="1"/>
  <c r="T513" i="1"/>
  <c r="S513" i="1"/>
  <c r="R513" i="1"/>
  <c r="Q513" i="1"/>
  <c r="U512" i="1"/>
  <c r="T512" i="1"/>
  <c r="S512" i="1"/>
  <c r="R512" i="1"/>
  <c r="Q512" i="1"/>
  <c r="U511" i="1"/>
  <c r="T511" i="1"/>
  <c r="S511" i="1"/>
  <c r="R511" i="1"/>
  <c r="Q511" i="1"/>
  <c r="U510" i="1"/>
  <c r="T510" i="1"/>
  <c r="S510" i="1"/>
  <c r="R510" i="1"/>
  <c r="Q510" i="1"/>
  <c r="U509" i="1"/>
  <c r="T509" i="1"/>
  <c r="S509" i="1"/>
  <c r="R509" i="1"/>
  <c r="Q509" i="1"/>
  <c r="U508" i="1"/>
  <c r="T508" i="1"/>
  <c r="S508" i="1"/>
  <c r="R508" i="1"/>
  <c r="Q508" i="1"/>
  <c r="U507" i="1"/>
  <c r="T507" i="1"/>
  <c r="S507" i="1"/>
  <c r="R507" i="1"/>
  <c r="Q507" i="1"/>
  <c r="U506" i="1"/>
  <c r="T506" i="1"/>
  <c r="S506" i="1"/>
  <c r="R506" i="1"/>
  <c r="Q506" i="1"/>
  <c r="U505" i="1"/>
  <c r="T505" i="1"/>
  <c r="S505" i="1"/>
  <c r="R505" i="1"/>
  <c r="Q505" i="1"/>
  <c r="U504" i="1"/>
  <c r="T504" i="1"/>
  <c r="S504" i="1"/>
  <c r="R504" i="1"/>
  <c r="Q504" i="1"/>
  <c r="U503" i="1"/>
  <c r="T503" i="1"/>
  <c r="S503" i="1"/>
  <c r="R503" i="1"/>
  <c r="Q503" i="1"/>
  <c r="U502" i="1"/>
  <c r="T502" i="1"/>
  <c r="S502" i="1"/>
  <c r="R502" i="1"/>
  <c r="Q502" i="1"/>
  <c r="U501" i="1"/>
  <c r="T501" i="1"/>
  <c r="S501" i="1"/>
  <c r="R501" i="1"/>
  <c r="Q501" i="1"/>
  <c r="U500" i="1"/>
  <c r="T500" i="1"/>
  <c r="S500" i="1"/>
  <c r="R500" i="1"/>
  <c r="Q500" i="1"/>
  <c r="U499" i="1"/>
  <c r="T499" i="1"/>
  <c r="S499" i="1"/>
  <c r="R499" i="1"/>
  <c r="Q499" i="1"/>
  <c r="U498" i="1"/>
  <c r="T498" i="1"/>
  <c r="S498" i="1"/>
  <c r="R498" i="1"/>
  <c r="Q498" i="1"/>
  <c r="U497" i="1"/>
  <c r="T497" i="1"/>
  <c r="S497" i="1"/>
  <c r="R497" i="1"/>
  <c r="Q497" i="1"/>
  <c r="U496" i="1"/>
  <c r="T496" i="1"/>
  <c r="S496" i="1"/>
  <c r="R496" i="1"/>
  <c r="Q496" i="1"/>
  <c r="U495" i="1"/>
  <c r="T495" i="1"/>
  <c r="S495" i="1"/>
  <c r="R495" i="1"/>
  <c r="Q495" i="1"/>
  <c r="U494" i="1"/>
  <c r="T494" i="1"/>
  <c r="S494" i="1"/>
  <c r="R494" i="1"/>
  <c r="Q494" i="1"/>
  <c r="U493" i="1"/>
  <c r="T493" i="1"/>
  <c r="S493" i="1"/>
  <c r="R493" i="1"/>
  <c r="Q493" i="1"/>
  <c r="U492" i="1"/>
  <c r="T492" i="1"/>
  <c r="S492" i="1"/>
  <c r="R492" i="1"/>
  <c r="Q492" i="1"/>
  <c r="U491" i="1"/>
  <c r="T491" i="1"/>
  <c r="S491" i="1"/>
  <c r="R491" i="1"/>
  <c r="Q491" i="1"/>
  <c r="U490" i="1"/>
  <c r="T490" i="1"/>
  <c r="S490" i="1"/>
  <c r="R490" i="1"/>
  <c r="Q490" i="1"/>
  <c r="U489" i="1"/>
  <c r="T489" i="1"/>
  <c r="S489" i="1"/>
  <c r="R489" i="1"/>
  <c r="Q489" i="1"/>
  <c r="U488" i="1"/>
  <c r="T488" i="1"/>
  <c r="S488" i="1"/>
  <c r="R488" i="1"/>
  <c r="Q488" i="1"/>
  <c r="U487" i="1"/>
  <c r="T487" i="1"/>
  <c r="S487" i="1"/>
  <c r="R487" i="1"/>
  <c r="Q487" i="1"/>
  <c r="U486" i="1"/>
  <c r="T486" i="1"/>
  <c r="S486" i="1"/>
  <c r="R486" i="1"/>
  <c r="Q486" i="1"/>
  <c r="U485" i="1"/>
  <c r="T485" i="1"/>
  <c r="S485" i="1"/>
  <c r="R485" i="1"/>
  <c r="Q485" i="1"/>
  <c r="U484" i="1"/>
  <c r="T484" i="1"/>
  <c r="S484" i="1"/>
  <c r="R484" i="1"/>
  <c r="Q484" i="1"/>
  <c r="U483" i="1"/>
  <c r="T483" i="1"/>
  <c r="S483" i="1"/>
  <c r="R483" i="1"/>
  <c r="Q483" i="1"/>
  <c r="U482" i="1"/>
  <c r="T482" i="1"/>
  <c r="S482" i="1"/>
  <c r="R482" i="1"/>
  <c r="Q482" i="1"/>
  <c r="U481" i="1"/>
  <c r="T481" i="1"/>
  <c r="S481" i="1"/>
  <c r="R481" i="1"/>
  <c r="Q481" i="1"/>
  <c r="U480" i="1"/>
  <c r="T480" i="1"/>
  <c r="S480" i="1"/>
  <c r="R480" i="1"/>
  <c r="Q480" i="1"/>
  <c r="U479" i="1"/>
  <c r="T479" i="1"/>
  <c r="S479" i="1"/>
  <c r="R479" i="1"/>
  <c r="Q479" i="1"/>
  <c r="U478" i="1"/>
  <c r="T478" i="1"/>
  <c r="S478" i="1"/>
  <c r="R478" i="1"/>
  <c r="Q478" i="1"/>
  <c r="U477" i="1"/>
  <c r="T477" i="1"/>
  <c r="S477" i="1"/>
  <c r="R477" i="1"/>
  <c r="Q477" i="1"/>
  <c r="U476" i="1"/>
  <c r="T476" i="1"/>
  <c r="S476" i="1"/>
  <c r="R476" i="1"/>
  <c r="Q476" i="1"/>
  <c r="U475" i="1"/>
  <c r="T475" i="1"/>
  <c r="S475" i="1"/>
  <c r="R475" i="1"/>
  <c r="Q475" i="1"/>
  <c r="U474" i="1"/>
  <c r="T474" i="1"/>
  <c r="S474" i="1"/>
  <c r="R474" i="1"/>
  <c r="Q474" i="1"/>
  <c r="U473" i="1"/>
  <c r="T473" i="1"/>
  <c r="S473" i="1"/>
  <c r="R473" i="1"/>
  <c r="Q473" i="1"/>
  <c r="U472" i="1"/>
  <c r="T472" i="1"/>
  <c r="S472" i="1"/>
  <c r="R472" i="1"/>
  <c r="Q472" i="1"/>
  <c r="U471" i="1"/>
  <c r="T471" i="1"/>
  <c r="S471" i="1"/>
  <c r="R471" i="1"/>
  <c r="Q471" i="1"/>
  <c r="U470" i="1"/>
  <c r="T470" i="1"/>
  <c r="S470" i="1"/>
  <c r="R470" i="1"/>
  <c r="Q470" i="1"/>
  <c r="U469" i="1"/>
  <c r="T469" i="1"/>
  <c r="S469" i="1"/>
  <c r="R469" i="1"/>
  <c r="Q469" i="1"/>
  <c r="U468" i="1"/>
  <c r="T468" i="1"/>
  <c r="S468" i="1"/>
  <c r="R468" i="1"/>
  <c r="Q468" i="1"/>
  <c r="U467" i="1"/>
  <c r="T467" i="1"/>
  <c r="S467" i="1"/>
  <c r="R467" i="1"/>
  <c r="Q467" i="1"/>
  <c r="U466" i="1"/>
  <c r="T466" i="1"/>
  <c r="S466" i="1"/>
  <c r="R466" i="1"/>
  <c r="Q466" i="1"/>
  <c r="U465" i="1"/>
  <c r="T465" i="1"/>
  <c r="S465" i="1"/>
  <c r="R465" i="1"/>
  <c r="Q465" i="1"/>
  <c r="U464" i="1"/>
  <c r="T464" i="1"/>
  <c r="S464" i="1"/>
  <c r="R464" i="1"/>
  <c r="Q464" i="1"/>
  <c r="U463" i="1"/>
  <c r="T463" i="1"/>
  <c r="S463" i="1"/>
  <c r="R463" i="1"/>
  <c r="Q463" i="1"/>
  <c r="U462" i="1"/>
  <c r="T462" i="1"/>
  <c r="S462" i="1"/>
  <c r="R462" i="1"/>
  <c r="Q462" i="1"/>
  <c r="U461" i="1"/>
  <c r="T461" i="1"/>
  <c r="S461" i="1"/>
  <c r="R461" i="1"/>
  <c r="Q461" i="1"/>
  <c r="U460" i="1"/>
  <c r="T460" i="1"/>
  <c r="S460" i="1"/>
  <c r="R460" i="1"/>
  <c r="Q460" i="1"/>
  <c r="U459" i="1"/>
  <c r="T459" i="1"/>
  <c r="S459" i="1"/>
  <c r="R459" i="1"/>
  <c r="Q459" i="1"/>
  <c r="U458" i="1"/>
  <c r="T458" i="1"/>
  <c r="S458" i="1"/>
  <c r="R458" i="1"/>
  <c r="Q458" i="1"/>
  <c r="U457" i="1"/>
  <c r="T457" i="1"/>
  <c r="S457" i="1"/>
  <c r="R457" i="1"/>
  <c r="Q457" i="1"/>
  <c r="U456" i="1"/>
  <c r="T456" i="1"/>
  <c r="S456" i="1"/>
  <c r="R456" i="1"/>
  <c r="Q456" i="1"/>
  <c r="U455" i="1"/>
  <c r="T455" i="1"/>
  <c r="S455" i="1"/>
  <c r="R455" i="1"/>
  <c r="Q455" i="1"/>
  <c r="U454" i="1"/>
  <c r="T454" i="1"/>
  <c r="S454" i="1"/>
  <c r="R454" i="1"/>
  <c r="Q454" i="1"/>
  <c r="U453" i="1"/>
  <c r="T453" i="1"/>
  <c r="S453" i="1"/>
  <c r="R453" i="1"/>
  <c r="Q453" i="1"/>
  <c r="U452" i="1"/>
  <c r="T452" i="1"/>
  <c r="S452" i="1"/>
  <c r="R452" i="1"/>
  <c r="Q452" i="1"/>
  <c r="U451" i="1"/>
  <c r="T451" i="1"/>
  <c r="S451" i="1"/>
  <c r="R451" i="1"/>
  <c r="Q451" i="1"/>
  <c r="U450" i="1"/>
  <c r="T450" i="1"/>
  <c r="S450" i="1"/>
  <c r="R450" i="1"/>
  <c r="Q450" i="1"/>
  <c r="U449" i="1"/>
  <c r="T449" i="1"/>
  <c r="S449" i="1"/>
  <c r="R449" i="1"/>
  <c r="Q449" i="1"/>
  <c r="U448" i="1"/>
  <c r="T448" i="1"/>
  <c r="S448" i="1"/>
  <c r="R448" i="1"/>
  <c r="Q448" i="1"/>
  <c r="U447" i="1"/>
  <c r="T447" i="1"/>
  <c r="S447" i="1"/>
  <c r="R447" i="1"/>
  <c r="Q447" i="1"/>
  <c r="U446" i="1"/>
  <c r="T446" i="1"/>
  <c r="S446" i="1"/>
  <c r="R446" i="1"/>
  <c r="Q446" i="1"/>
  <c r="U445" i="1"/>
  <c r="T445" i="1"/>
  <c r="S445" i="1"/>
  <c r="R445" i="1"/>
  <c r="Q445" i="1"/>
  <c r="U444" i="1"/>
  <c r="T444" i="1"/>
  <c r="S444" i="1"/>
  <c r="R444" i="1"/>
  <c r="Q444" i="1"/>
  <c r="U443" i="1"/>
  <c r="T443" i="1"/>
  <c r="S443" i="1"/>
  <c r="R443" i="1"/>
  <c r="Q443" i="1"/>
  <c r="U442" i="1"/>
  <c r="T442" i="1"/>
  <c r="S442" i="1"/>
  <c r="R442" i="1"/>
  <c r="Q442" i="1"/>
  <c r="U441" i="1"/>
  <c r="T441" i="1"/>
  <c r="S441" i="1"/>
  <c r="R441" i="1"/>
  <c r="Q441" i="1"/>
  <c r="U440" i="1"/>
  <c r="T440" i="1"/>
  <c r="S440" i="1"/>
  <c r="R440" i="1"/>
  <c r="Q440" i="1"/>
  <c r="U439" i="1"/>
  <c r="T439" i="1"/>
  <c r="S439" i="1"/>
  <c r="R439" i="1"/>
  <c r="Q439" i="1"/>
  <c r="U438" i="1"/>
  <c r="T438" i="1"/>
  <c r="S438" i="1"/>
  <c r="R438" i="1"/>
  <c r="Q438" i="1"/>
  <c r="U437" i="1"/>
  <c r="T437" i="1"/>
  <c r="S437" i="1"/>
  <c r="R437" i="1"/>
  <c r="Q437" i="1"/>
  <c r="U436" i="1"/>
  <c r="T436" i="1"/>
  <c r="S436" i="1"/>
  <c r="R436" i="1"/>
  <c r="Q436" i="1"/>
  <c r="U435" i="1"/>
  <c r="T435" i="1"/>
  <c r="S435" i="1"/>
  <c r="R435" i="1"/>
  <c r="Q435" i="1"/>
  <c r="U434" i="1"/>
  <c r="T434" i="1"/>
  <c r="S434" i="1"/>
  <c r="R434" i="1"/>
  <c r="Q434" i="1"/>
  <c r="U433" i="1"/>
  <c r="T433" i="1"/>
  <c r="S433" i="1"/>
  <c r="R433" i="1"/>
  <c r="Q433" i="1"/>
  <c r="U432" i="1"/>
  <c r="T432" i="1"/>
  <c r="S432" i="1"/>
  <c r="R432" i="1"/>
  <c r="Q432" i="1"/>
  <c r="U431" i="1"/>
  <c r="T431" i="1"/>
  <c r="S431" i="1"/>
  <c r="R431" i="1"/>
  <c r="Q431" i="1"/>
  <c r="U430" i="1"/>
  <c r="T430" i="1"/>
  <c r="S430" i="1"/>
  <c r="R430" i="1"/>
  <c r="Q430" i="1"/>
  <c r="U429" i="1"/>
  <c r="T429" i="1"/>
  <c r="S429" i="1"/>
  <c r="R429" i="1"/>
  <c r="Q429" i="1"/>
  <c r="U428" i="1"/>
  <c r="T428" i="1"/>
  <c r="S428" i="1"/>
  <c r="R428" i="1"/>
  <c r="Q428" i="1"/>
  <c r="U427" i="1"/>
  <c r="T427" i="1"/>
  <c r="S427" i="1"/>
  <c r="R427" i="1"/>
  <c r="Q427" i="1"/>
  <c r="U426" i="1"/>
  <c r="T426" i="1"/>
  <c r="S426" i="1"/>
  <c r="R426" i="1"/>
  <c r="Q426" i="1"/>
  <c r="U425" i="1"/>
  <c r="T425" i="1"/>
  <c r="S425" i="1"/>
  <c r="R425" i="1"/>
  <c r="Q425" i="1"/>
  <c r="U424" i="1"/>
  <c r="T424" i="1"/>
  <c r="S424" i="1"/>
  <c r="R424" i="1"/>
  <c r="Q424" i="1"/>
  <c r="U423" i="1"/>
  <c r="T423" i="1"/>
  <c r="S423" i="1"/>
  <c r="R423" i="1"/>
  <c r="Q423" i="1"/>
  <c r="U422" i="1"/>
  <c r="T422" i="1"/>
  <c r="S422" i="1"/>
  <c r="R422" i="1"/>
  <c r="Q422" i="1"/>
  <c r="U421" i="1"/>
  <c r="T421" i="1"/>
  <c r="S421" i="1"/>
  <c r="R421" i="1"/>
  <c r="Q421" i="1"/>
  <c r="U420" i="1"/>
  <c r="T420" i="1"/>
  <c r="S420" i="1"/>
  <c r="R420" i="1"/>
  <c r="Q420" i="1"/>
  <c r="U419" i="1"/>
  <c r="T419" i="1"/>
  <c r="S419" i="1"/>
  <c r="R419" i="1"/>
  <c r="Q419" i="1"/>
  <c r="U418" i="1"/>
  <c r="T418" i="1"/>
  <c r="S418" i="1"/>
  <c r="R418" i="1"/>
  <c r="Q418" i="1"/>
  <c r="U417" i="1"/>
  <c r="T417" i="1"/>
  <c r="S417" i="1"/>
  <c r="R417" i="1"/>
  <c r="Q417" i="1"/>
  <c r="U416" i="1"/>
  <c r="T416" i="1"/>
  <c r="S416" i="1"/>
  <c r="R416" i="1"/>
  <c r="Q416" i="1"/>
  <c r="U415" i="1"/>
  <c r="T415" i="1"/>
  <c r="S415" i="1"/>
  <c r="R415" i="1"/>
  <c r="Q415" i="1"/>
  <c r="U414" i="1"/>
  <c r="T414" i="1"/>
  <c r="S414" i="1"/>
  <c r="R414" i="1"/>
  <c r="Q414" i="1"/>
  <c r="U413" i="1"/>
  <c r="T413" i="1"/>
  <c r="S413" i="1"/>
  <c r="R413" i="1"/>
  <c r="Q413" i="1"/>
  <c r="U412" i="1"/>
  <c r="T412" i="1"/>
  <c r="S412" i="1"/>
  <c r="R412" i="1"/>
  <c r="Q412" i="1"/>
  <c r="U411" i="1"/>
  <c r="T411" i="1"/>
  <c r="S411" i="1"/>
  <c r="R411" i="1"/>
  <c r="Q411" i="1"/>
  <c r="U410" i="1"/>
  <c r="T410" i="1"/>
  <c r="S410" i="1"/>
  <c r="R410" i="1"/>
  <c r="Q410" i="1"/>
  <c r="U409" i="1"/>
  <c r="T409" i="1"/>
  <c r="S409" i="1"/>
  <c r="R409" i="1"/>
  <c r="Q409" i="1"/>
  <c r="U408" i="1"/>
  <c r="T408" i="1"/>
  <c r="S408" i="1"/>
  <c r="R408" i="1"/>
  <c r="Q408" i="1"/>
  <c r="U407" i="1"/>
  <c r="T407" i="1"/>
  <c r="S407" i="1"/>
  <c r="R407" i="1"/>
  <c r="Q407" i="1"/>
  <c r="U406" i="1"/>
  <c r="T406" i="1"/>
  <c r="S406" i="1"/>
  <c r="R406" i="1"/>
  <c r="Q406" i="1"/>
  <c r="U405" i="1"/>
  <c r="T405" i="1"/>
  <c r="S405" i="1"/>
  <c r="R405" i="1"/>
  <c r="Q405" i="1"/>
  <c r="U404" i="1"/>
  <c r="T404" i="1"/>
  <c r="S404" i="1"/>
  <c r="R404" i="1"/>
  <c r="Q404" i="1"/>
  <c r="U403" i="1"/>
  <c r="T403" i="1"/>
  <c r="S403" i="1"/>
  <c r="R403" i="1"/>
  <c r="Q403" i="1"/>
  <c r="U402" i="1"/>
  <c r="T402" i="1"/>
  <c r="S402" i="1"/>
  <c r="R402" i="1"/>
  <c r="Q402" i="1"/>
  <c r="U401" i="1"/>
  <c r="T401" i="1"/>
  <c r="S401" i="1"/>
  <c r="R401" i="1"/>
  <c r="Q401" i="1"/>
  <c r="U400" i="1"/>
  <c r="T400" i="1"/>
  <c r="S400" i="1"/>
  <c r="R400" i="1"/>
  <c r="Q400" i="1"/>
  <c r="U399" i="1"/>
  <c r="T399" i="1"/>
  <c r="S399" i="1"/>
  <c r="R399" i="1"/>
  <c r="Q399" i="1"/>
  <c r="U398" i="1"/>
  <c r="T398" i="1"/>
  <c r="S398" i="1"/>
  <c r="R398" i="1"/>
  <c r="Q398" i="1"/>
  <c r="U397" i="1"/>
  <c r="T397" i="1"/>
  <c r="S397" i="1"/>
  <c r="R397" i="1"/>
  <c r="Q397" i="1"/>
  <c r="U396" i="1"/>
  <c r="T396" i="1"/>
  <c r="S396" i="1"/>
  <c r="R396" i="1"/>
  <c r="Q396" i="1"/>
  <c r="U395" i="1"/>
  <c r="T395" i="1"/>
  <c r="S395" i="1"/>
  <c r="R395" i="1"/>
  <c r="Q395" i="1"/>
  <c r="U394" i="1"/>
  <c r="T394" i="1"/>
  <c r="S394" i="1"/>
  <c r="R394" i="1"/>
  <c r="Q394" i="1"/>
  <c r="U393" i="1"/>
  <c r="T393" i="1"/>
  <c r="S393" i="1"/>
  <c r="R393" i="1"/>
  <c r="Q393" i="1"/>
  <c r="U392" i="1"/>
  <c r="T392" i="1"/>
  <c r="S392" i="1"/>
  <c r="R392" i="1"/>
  <c r="Q392" i="1"/>
  <c r="Z1" i="1"/>
  <c r="Y1" i="1"/>
  <c r="X1" i="1"/>
  <c r="W1" i="1"/>
  <c r="V1" i="1"/>
  <c r="U1" i="1"/>
  <c r="T1" i="1"/>
  <c r="S1" i="1"/>
  <c r="R1" i="1"/>
  <c r="Q1" i="1"/>
  <c r="W3" i="1" l="1"/>
  <c r="W4" i="1" s="1"/>
  <c r="W5" i="1" s="1"/>
  <c r="W6" i="1" s="1"/>
  <c r="W7" i="1" s="1"/>
  <c r="W8" i="1" s="1"/>
  <c r="W9" i="1" s="1"/>
  <c r="W10" i="1" s="1"/>
  <c r="W11" i="1" s="1"/>
  <c r="W12" i="1" s="1"/>
  <c r="W13" i="1" s="1"/>
  <c r="W14" i="1" s="1"/>
  <c r="W15" i="1" s="1"/>
  <c r="W16" i="1" s="1"/>
  <c r="W17" i="1" s="1"/>
  <c r="W18" i="1" s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W663" i="1" s="1"/>
  <c r="W664" i="1" s="1"/>
  <c r="W665" i="1" s="1"/>
  <c r="W666" i="1" s="1"/>
  <c r="W667" i="1" s="1"/>
  <c r="W668" i="1" s="1"/>
  <c r="W669" i="1" s="1"/>
  <c r="W670" i="1" s="1"/>
  <c r="W671" i="1" s="1"/>
  <c r="W672" i="1" s="1"/>
  <c r="W673" i="1" s="1"/>
  <c r="W674" i="1" s="1"/>
  <c r="W675" i="1" s="1"/>
  <c r="W676" i="1" s="1"/>
  <c r="W677" i="1" s="1"/>
  <c r="W678" i="1" s="1"/>
  <c r="W679" i="1" s="1"/>
  <c r="W680" i="1" s="1"/>
  <c r="W681" i="1" s="1"/>
  <c r="W682" i="1" s="1"/>
  <c r="W683" i="1" s="1"/>
  <c r="W684" i="1" s="1"/>
  <c r="W685" i="1" s="1"/>
  <c r="W686" i="1" s="1"/>
  <c r="W687" i="1" s="1"/>
  <c r="W688" i="1" s="1"/>
  <c r="W689" i="1" s="1"/>
  <c r="W690" i="1" s="1"/>
  <c r="W691" i="1" s="1"/>
  <c r="W692" i="1" s="1"/>
  <c r="W693" i="1" s="1"/>
  <c r="W694" i="1" s="1"/>
  <c r="W695" i="1" s="1"/>
  <c r="W696" i="1" s="1"/>
  <c r="W697" i="1" s="1"/>
  <c r="W698" i="1" s="1"/>
  <c r="W699" i="1" s="1"/>
  <c r="W700" i="1" s="1"/>
  <c r="W701" i="1" s="1"/>
  <c r="W702" i="1" s="1"/>
  <c r="W703" i="1" s="1"/>
  <c r="W704" i="1" s="1"/>
  <c r="W705" i="1" s="1"/>
  <c r="W706" i="1" s="1"/>
  <c r="W707" i="1" s="1"/>
  <c r="W708" i="1" s="1"/>
  <c r="W709" i="1" s="1"/>
  <c r="W710" i="1" s="1"/>
  <c r="W711" i="1" s="1"/>
  <c r="W712" i="1" s="1"/>
  <c r="W713" i="1" s="1"/>
  <c r="W714" i="1" s="1"/>
  <c r="W715" i="1" s="1"/>
  <c r="W716" i="1" s="1"/>
  <c r="W717" i="1" s="1"/>
  <c r="W718" i="1" s="1"/>
  <c r="W719" i="1" s="1"/>
  <c r="W720" i="1" s="1"/>
  <c r="W721" i="1" s="1"/>
  <c r="W722" i="1" s="1"/>
  <c r="W723" i="1" s="1"/>
  <c r="W724" i="1" s="1"/>
  <c r="W725" i="1" s="1"/>
  <c r="W726" i="1" s="1"/>
  <c r="W727" i="1" s="1"/>
  <c r="W728" i="1" s="1"/>
  <c r="W729" i="1" s="1"/>
  <c r="W730" i="1" s="1"/>
  <c r="W731" i="1" s="1"/>
  <c r="W732" i="1" s="1"/>
  <c r="W733" i="1" s="1"/>
  <c r="W734" i="1" s="1"/>
  <c r="W735" i="1" s="1"/>
  <c r="W736" i="1" s="1"/>
  <c r="W737" i="1" s="1"/>
  <c r="W738" i="1" s="1"/>
  <c r="W739" i="1" s="1"/>
  <c r="W740" i="1" s="1"/>
  <c r="W741" i="1" s="1"/>
  <c r="W742" i="1" s="1"/>
  <c r="W743" i="1" s="1"/>
  <c r="W744" i="1" s="1"/>
  <c r="W745" i="1" s="1"/>
  <c r="W746" i="1" s="1"/>
  <c r="W747" i="1" s="1"/>
  <c r="W748" i="1" s="1"/>
  <c r="W749" i="1" s="1"/>
  <c r="W750" i="1" s="1"/>
  <c r="W751" i="1" s="1"/>
  <c r="W752" i="1" s="1"/>
  <c r="W753" i="1" s="1"/>
  <c r="W754" i="1" s="1"/>
  <c r="W755" i="1" s="1"/>
  <c r="W756" i="1" s="1"/>
  <c r="W757" i="1" s="1"/>
  <c r="W758" i="1" s="1"/>
  <c r="W759" i="1" s="1"/>
  <c r="W760" i="1" s="1"/>
  <c r="W761" i="1" s="1"/>
  <c r="W762" i="1" s="1"/>
  <c r="W763" i="1" s="1"/>
  <c r="W764" i="1" s="1"/>
  <c r="W765" i="1" s="1"/>
  <c r="W766" i="1" s="1"/>
  <c r="W767" i="1" s="1"/>
  <c r="W768" i="1" s="1"/>
  <c r="W769" i="1" s="1"/>
  <c r="W770" i="1" s="1"/>
  <c r="W771" i="1" s="1"/>
  <c r="W772" i="1" s="1"/>
  <c r="W773" i="1" s="1"/>
  <c r="W774" i="1" s="1"/>
  <c r="W775" i="1" s="1"/>
  <c r="W776" i="1" s="1"/>
  <c r="W777" i="1" s="1"/>
  <c r="W778" i="1" s="1"/>
  <c r="W779" i="1" s="1"/>
  <c r="W780" i="1" s="1"/>
  <c r="W781" i="1" s="1"/>
  <c r="W782" i="1" s="1"/>
  <c r="W783" i="1" s="1"/>
  <c r="W784" i="1" s="1"/>
  <c r="W785" i="1" s="1"/>
  <c r="W786" i="1" s="1"/>
  <c r="W787" i="1" s="1"/>
  <c r="W788" i="1" s="1"/>
  <c r="W789" i="1" s="1"/>
  <c r="W790" i="1" s="1"/>
  <c r="W791" i="1" s="1"/>
  <c r="W792" i="1" s="1"/>
  <c r="W793" i="1" s="1"/>
  <c r="W794" i="1" s="1"/>
  <c r="W795" i="1" s="1"/>
  <c r="W796" i="1" s="1"/>
  <c r="W797" i="1" s="1"/>
  <c r="W798" i="1" s="1"/>
  <c r="W799" i="1" s="1"/>
  <c r="W800" i="1" s="1"/>
  <c r="W801" i="1" s="1"/>
  <c r="W802" i="1" s="1"/>
  <c r="W803" i="1" s="1"/>
  <c r="W804" i="1" s="1"/>
  <c r="W805" i="1" s="1"/>
  <c r="W806" i="1" s="1"/>
  <c r="W807" i="1" s="1"/>
  <c r="W808" i="1" s="1"/>
  <c r="W809" i="1" s="1"/>
  <c r="W810" i="1" s="1"/>
  <c r="W811" i="1" s="1"/>
  <c r="W812" i="1" s="1"/>
  <c r="W813" i="1" s="1"/>
  <c r="W814" i="1" s="1"/>
  <c r="W815" i="1" s="1"/>
  <c r="W816" i="1" s="1"/>
  <c r="W817" i="1" s="1"/>
  <c r="W818" i="1" s="1"/>
  <c r="W819" i="1" s="1"/>
  <c r="W820" i="1" s="1"/>
  <c r="W821" i="1" s="1"/>
  <c r="W822" i="1" s="1"/>
  <c r="W823" i="1" s="1"/>
  <c r="W824" i="1" s="1"/>
  <c r="W825" i="1" s="1"/>
  <c r="W826" i="1" s="1"/>
  <c r="W827" i="1" s="1"/>
  <c r="W828" i="1" s="1"/>
  <c r="W829" i="1" s="1"/>
  <c r="W830" i="1" s="1"/>
  <c r="W831" i="1" s="1"/>
  <c r="W832" i="1" s="1"/>
  <c r="W833" i="1" s="1"/>
  <c r="W834" i="1" s="1"/>
  <c r="W835" i="1" s="1"/>
  <c r="W836" i="1" s="1"/>
  <c r="W837" i="1" s="1"/>
  <c r="W838" i="1" s="1"/>
  <c r="W839" i="1" s="1"/>
  <c r="W840" i="1" s="1"/>
  <c r="W841" i="1" s="1"/>
  <c r="W842" i="1" s="1"/>
  <c r="W843" i="1" s="1"/>
  <c r="W844" i="1" s="1"/>
  <c r="W845" i="1" s="1"/>
  <c r="W846" i="1" s="1"/>
  <c r="W847" i="1" s="1"/>
  <c r="W848" i="1" s="1"/>
  <c r="W849" i="1" s="1"/>
  <c r="W850" i="1" s="1"/>
  <c r="W851" i="1" s="1"/>
  <c r="W852" i="1" s="1"/>
  <c r="W853" i="1" s="1"/>
  <c r="W854" i="1" s="1"/>
  <c r="W855" i="1" s="1"/>
  <c r="W856" i="1" s="1"/>
  <c r="W857" i="1" s="1"/>
  <c r="W858" i="1" s="1"/>
  <c r="W859" i="1" s="1"/>
  <c r="W860" i="1" s="1"/>
  <c r="W861" i="1" s="1"/>
  <c r="W862" i="1" s="1"/>
  <c r="W863" i="1" s="1"/>
  <c r="W864" i="1" s="1"/>
  <c r="W865" i="1" s="1"/>
  <c r="W866" i="1" s="1"/>
  <c r="W867" i="1" s="1"/>
  <c r="W868" i="1" s="1"/>
  <c r="W869" i="1" s="1"/>
  <c r="W870" i="1" s="1"/>
  <c r="W871" i="1" s="1"/>
  <c r="W872" i="1" s="1"/>
  <c r="W873" i="1" s="1"/>
  <c r="W874" i="1" s="1"/>
  <c r="W875" i="1" s="1"/>
  <c r="W876" i="1" s="1"/>
  <c r="W877" i="1" s="1"/>
  <c r="W878" i="1" s="1"/>
  <c r="W879" i="1" s="1"/>
  <c r="W880" i="1" s="1"/>
  <c r="W881" i="1" s="1"/>
  <c r="W882" i="1" s="1"/>
  <c r="W883" i="1" s="1"/>
  <c r="W884" i="1" s="1"/>
  <c r="W885" i="1" s="1"/>
  <c r="W886" i="1" s="1"/>
  <c r="W887" i="1" s="1"/>
  <c r="W888" i="1" s="1"/>
  <c r="W889" i="1" s="1"/>
  <c r="W890" i="1" s="1"/>
  <c r="W891" i="1" s="1"/>
  <c r="W892" i="1" s="1"/>
  <c r="W893" i="1" s="1"/>
  <c r="W894" i="1" s="1"/>
  <c r="W895" i="1" s="1"/>
  <c r="W896" i="1" s="1"/>
  <c r="W897" i="1" s="1"/>
  <c r="W898" i="1" s="1"/>
  <c r="W899" i="1" s="1"/>
  <c r="W900" i="1" s="1"/>
  <c r="W901" i="1" s="1"/>
  <c r="W902" i="1" s="1"/>
  <c r="W903" i="1" s="1"/>
  <c r="W904" i="1" s="1"/>
  <c r="W905" i="1" s="1"/>
  <c r="W906" i="1" s="1"/>
  <c r="W907" i="1" s="1"/>
  <c r="W908" i="1" s="1"/>
  <c r="W909" i="1" s="1"/>
  <c r="W910" i="1" s="1"/>
  <c r="W911" i="1" s="1"/>
  <c r="W912" i="1" s="1"/>
  <c r="W913" i="1" s="1"/>
  <c r="W914" i="1" s="1"/>
  <c r="W915" i="1" s="1"/>
  <c r="W916" i="1" s="1"/>
  <c r="W917" i="1" s="1"/>
  <c r="W918" i="1" s="1"/>
  <c r="W919" i="1" s="1"/>
  <c r="W920" i="1" s="1"/>
  <c r="W921" i="1" s="1"/>
  <c r="W922" i="1" s="1"/>
  <c r="W923" i="1" s="1"/>
  <c r="W924" i="1" s="1"/>
  <c r="W925" i="1" s="1"/>
  <c r="W926" i="1" s="1"/>
  <c r="W927" i="1" s="1"/>
  <c r="W928" i="1" s="1"/>
  <c r="W929" i="1" s="1"/>
  <c r="W930" i="1" s="1"/>
  <c r="W931" i="1" s="1"/>
  <c r="W932" i="1" s="1"/>
  <c r="W933" i="1" s="1"/>
  <c r="W934" i="1" s="1"/>
  <c r="W935" i="1" s="1"/>
  <c r="W936" i="1" s="1"/>
  <c r="W937" i="1" s="1"/>
  <c r="W938" i="1" s="1"/>
  <c r="W939" i="1" s="1"/>
  <c r="W940" i="1" s="1"/>
  <c r="W941" i="1" s="1"/>
  <c r="W942" i="1" s="1"/>
  <c r="W943" i="1" s="1"/>
  <c r="W944" i="1" s="1"/>
  <c r="W945" i="1" s="1"/>
  <c r="W946" i="1" s="1"/>
  <c r="W947" i="1" s="1"/>
  <c r="W948" i="1" s="1"/>
  <c r="W949" i="1" s="1"/>
  <c r="W950" i="1" s="1"/>
  <c r="W951" i="1" s="1"/>
  <c r="W952" i="1" s="1"/>
  <c r="W953" i="1" s="1"/>
  <c r="W954" i="1" s="1"/>
  <c r="W955" i="1" s="1"/>
  <c r="W956" i="1" s="1"/>
  <c r="W957" i="1" s="1"/>
  <c r="W958" i="1" s="1"/>
  <c r="W959" i="1" s="1"/>
  <c r="W960" i="1" s="1"/>
  <c r="W961" i="1" s="1"/>
  <c r="W962" i="1" s="1"/>
  <c r="W963" i="1" s="1"/>
  <c r="W964" i="1" s="1"/>
  <c r="W965" i="1" s="1"/>
  <c r="W966" i="1" s="1"/>
  <c r="W967" i="1" s="1"/>
  <c r="W968" i="1" s="1"/>
  <c r="W969" i="1" s="1"/>
  <c r="W970" i="1" s="1"/>
  <c r="W971" i="1" s="1"/>
  <c r="W972" i="1" s="1"/>
  <c r="W973" i="1" s="1"/>
  <c r="W974" i="1" s="1"/>
  <c r="W975" i="1" s="1"/>
  <c r="W976" i="1" s="1"/>
  <c r="W977" i="1" s="1"/>
  <c r="W978" i="1" s="1"/>
  <c r="W979" i="1" s="1"/>
  <c r="W980" i="1" s="1"/>
  <c r="W981" i="1" s="1"/>
  <c r="W982" i="1" s="1"/>
  <c r="W983" i="1" s="1"/>
  <c r="W984" i="1" s="1"/>
  <c r="W985" i="1" s="1"/>
  <c r="W986" i="1" s="1"/>
  <c r="W987" i="1" s="1"/>
  <c r="W988" i="1" s="1"/>
  <c r="W989" i="1" s="1"/>
  <c r="W990" i="1" s="1"/>
  <c r="W991" i="1" s="1"/>
  <c r="W992" i="1" s="1"/>
  <c r="W993" i="1" s="1"/>
  <c r="W994" i="1" s="1"/>
  <c r="W995" i="1" s="1"/>
  <c r="W996" i="1" s="1"/>
  <c r="W997" i="1" s="1"/>
  <c r="W998" i="1" s="1"/>
  <c r="W999" i="1" s="1"/>
  <c r="W1000" i="1" s="1"/>
  <c r="W1001" i="1" s="1"/>
  <c r="W1002" i="1" s="1"/>
  <c r="W1003" i="1" s="1"/>
  <c r="W1004" i="1" s="1"/>
  <c r="W1005" i="1" s="1"/>
  <c r="W1006" i="1" s="1"/>
  <c r="W1007" i="1" s="1"/>
  <c r="W1008" i="1" s="1"/>
  <c r="W1009" i="1" s="1"/>
  <c r="W1010" i="1" s="1"/>
  <c r="W1011" i="1" s="1"/>
  <c r="W1012" i="1" s="1"/>
  <c r="W1013" i="1" s="1"/>
  <c r="W1014" i="1" s="1"/>
  <c r="W1015" i="1" s="1"/>
  <c r="W1016" i="1" s="1"/>
  <c r="W1017" i="1" s="1"/>
  <c r="W1018" i="1" s="1"/>
  <c r="W1019" i="1" s="1"/>
  <c r="W1020" i="1" s="1"/>
  <c r="W1021" i="1" s="1"/>
  <c r="W1022" i="1" s="1"/>
  <c r="W1023" i="1" s="1"/>
  <c r="W1024" i="1" s="1"/>
  <c r="W1025" i="1" s="1"/>
  <c r="W1026" i="1" s="1"/>
  <c r="W1027" i="1" s="1"/>
  <c r="W1028" i="1" s="1"/>
  <c r="W1029" i="1" s="1"/>
  <c r="W1030" i="1" s="1"/>
  <c r="W1031" i="1" s="1"/>
  <c r="W1032" i="1" s="1"/>
  <c r="W1033" i="1" s="1"/>
  <c r="W1034" i="1" s="1"/>
  <c r="W1035" i="1" s="1"/>
  <c r="W1036" i="1" s="1"/>
  <c r="W1037" i="1" s="1"/>
  <c r="W1038" i="1" s="1"/>
  <c r="W1039" i="1" s="1"/>
  <c r="W1040" i="1" s="1"/>
  <c r="W1041" i="1" s="1"/>
  <c r="W1042" i="1" s="1"/>
  <c r="W1043" i="1" s="1"/>
  <c r="W1044" i="1" s="1"/>
  <c r="W1045" i="1" s="1"/>
  <c r="W1046" i="1" s="1"/>
  <c r="W1047" i="1" s="1"/>
  <c r="W1048" i="1" s="1"/>
  <c r="W1049" i="1" s="1"/>
  <c r="W1050" i="1" s="1"/>
  <c r="W1051" i="1" s="1"/>
  <c r="W1052" i="1" s="1"/>
  <c r="W1053" i="1" s="1"/>
  <c r="W1054" i="1" s="1"/>
  <c r="W1055" i="1" s="1"/>
  <c r="W1056" i="1" s="1"/>
  <c r="W1057" i="1" s="1"/>
  <c r="W1058" i="1" s="1"/>
  <c r="W1059" i="1" s="1"/>
  <c r="W1060" i="1" s="1"/>
  <c r="W1061" i="1" s="1"/>
  <c r="W1062" i="1" s="1"/>
  <c r="W1063" i="1" s="1"/>
  <c r="W1064" i="1" s="1"/>
  <c r="W1065" i="1" s="1"/>
  <c r="W1066" i="1" s="1"/>
  <c r="W1067" i="1" s="1"/>
  <c r="W1068" i="1" s="1"/>
  <c r="W1069" i="1" s="1"/>
  <c r="W1070" i="1" s="1"/>
  <c r="W1071" i="1" s="1"/>
  <c r="W1072" i="1" s="1"/>
  <c r="W1073" i="1" s="1"/>
  <c r="W1074" i="1" s="1"/>
  <c r="W1075" i="1" s="1"/>
  <c r="W1076" i="1" s="1"/>
  <c r="W1077" i="1" s="1"/>
  <c r="W1078" i="1" s="1"/>
  <c r="W1079" i="1" s="1"/>
  <c r="W1080" i="1" s="1"/>
  <c r="W1081" i="1" s="1"/>
  <c r="W1082" i="1" s="1"/>
  <c r="W1083" i="1" s="1"/>
  <c r="W1084" i="1" s="1"/>
  <c r="W1085" i="1" s="1"/>
  <c r="W1086" i="1" s="1"/>
  <c r="W1087" i="1" s="1"/>
  <c r="W1088" i="1" s="1"/>
  <c r="W1089" i="1" s="1"/>
  <c r="W1090" i="1" s="1"/>
  <c r="W1091" i="1" s="1"/>
  <c r="W1092" i="1" s="1"/>
  <c r="W1093" i="1" s="1"/>
  <c r="W1094" i="1" s="1"/>
  <c r="W1095" i="1" s="1"/>
  <c r="W1096" i="1" s="1"/>
  <c r="W1097" i="1" s="1"/>
  <c r="W1098" i="1" s="1"/>
  <c r="W1099" i="1" s="1"/>
  <c r="W1100" i="1" s="1"/>
  <c r="W1101" i="1" s="1"/>
  <c r="W1102" i="1" s="1"/>
  <c r="W1103" i="1" s="1"/>
  <c r="W1104" i="1" s="1"/>
  <c r="W1105" i="1" s="1"/>
  <c r="W1106" i="1" s="1"/>
  <c r="W1107" i="1" s="1"/>
  <c r="W1108" i="1" s="1"/>
  <c r="W1109" i="1" s="1"/>
  <c r="W1110" i="1" s="1"/>
  <c r="W1111" i="1" s="1"/>
  <c r="W1112" i="1" s="1"/>
  <c r="W1113" i="1" s="1"/>
  <c r="W1114" i="1" s="1"/>
  <c r="W1115" i="1" s="1"/>
  <c r="W1116" i="1" s="1"/>
  <c r="W1117" i="1" s="1"/>
  <c r="W1118" i="1" s="1"/>
  <c r="W1119" i="1" s="1"/>
  <c r="W1120" i="1" s="1"/>
  <c r="W1121" i="1" s="1"/>
  <c r="W1122" i="1" s="1"/>
  <c r="W1123" i="1" s="1"/>
  <c r="W1124" i="1" s="1"/>
  <c r="W1125" i="1" s="1"/>
  <c r="W1126" i="1" s="1"/>
  <c r="W1127" i="1" s="1"/>
  <c r="W1128" i="1" s="1"/>
  <c r="W1129" i="1" s="1"/>
  <c r="W1130" i="1" s="1"/>
  <c r="W1131" i="1" s="1"/>
  <c r="W1132" i="1" s="1"/>
  <c r="W1133" i="1" s="1"/>
  <c r="W1134" i="1" s="1"/>
  <c r="W1135" i="1" s="1"/>
  <c r="W1136" i="1" s="1"/>
  <c r="W1137" i="1" s="1"/>
  <c r="W1138" i="1" s="1"/>
  <c r="W1139" i="1" s="1"/>
  <c r="W1140" i="1" s="1"/>
  <c r="W1141" i="1" s="1"/>
  <c r="W1142" i="1" s="1"/>
  <c r="W1143" i="1" s="1"/>
  <c r="W1144" i="1" s="1"/>
  <c r="W1145" i="1" s="1"/>
  <c r="W1146" i="1" s="1"/>
  <c r="W1147" i="1" s="1"/>
  <c r="W1148" i="1" s="1"/>
  <c r="W1149" i="1" s="1"/>
  <c r="W1150" i="1" s="1"/>
  <c r="W1151" i="1" s="1"/>
  <c r="W1152" i="1" s="1"/>
  <c r="W1153" i="1" s="1"/>
  <c r="W1154" i="1" s="1"/>
  <c r="W1155" i="1" s="1"/>
  <c r="W1156" i="1" s="1"/>
  <c r="W1157" i="1" s="1"/>
  <c r="W1158" i="1" s="1"/>
  <c r="W1159" i="1" s="1"/>
  <c r="W1160" i="1" s="1"/>
  <c r="W1161" i="1" s="1"/>
  <c r="W1162" i="1" s="1"/>
  <c r="W1163" i="1" s="1"/>
  <c r="W1164" i="1" s="1"/>
  <c r="W1165" i="1" s="1"/>
  <c r="W1166" i="1" s="1"/>
  <c r="W1167" i="1" s="1"/>
  <c r="W1168" i="1" s="1"/>
  <c r="W1169" i="1" s="1"/>
  <c r="W1170" i="1" s="1"/>
  <c r="W1171" i="1" s="1"/>
  <c r="W1172" i="1" s="1"/>
  <c r="W1173" i="1" s="1"/>
  <c r="W1174" i="1" s="1"/>
  <c r="W1175" i="1" s="1"/>
  <c r="W1176" i="1" s="1"/>
  <c r="W1177" i="1" s="1"/>
  <c r="W1178" i="1" s="1"/>
  <c r="W1179" i="1" s="1"/>
  <c r="W1180" i="1" s="1"/>
  <c r="W1181" i="1" s="1"/>
  <c r="W1182" i="1" s="1"/>
  <c r="W1183" i="1" s="1"/>
  <c r="W1184" i="1" s="1"/>
  <c r="W1185" i="1" s="1"/>
  <c r="W1186" i="1" s="1"/>
  <c r="W1187" i="1" s="1"/>
  <c r="W1188" i="1" s="1"/>
  <c r="W1189" i="1" s="1"/>
  <c r="W1190" i="1" s="1"/>
  <c r="W1191" i="1" s="1"/>
  <c r="W1192" i="1" s="1"/>
  <c r="W1193" i="1" s="1"/>
  <c r="W1194" i="1" s="1"/>
  <c r="W1195" i="1" s="1"/>
  <c r="W1196" i="1" s="1"/>
  <c r="W1197" i="1" s="1"/>
  <c r="W1198" i="1" s="1"/>
  <c r="W1199" i="1" s="1"/>
  <c r="W1200" i="1" s="1"/>
  <c r="W1201" i="1" s="1"/>
  <c r="W1202" i="1" s="1"/>
  <c r="W1203" i="1" s="1"/>
  <c r="W1204" i="1" s="1"/>
  <c r="W1205" i="1" s="1"/>
  <c r="W1206" i="1" s="1"/>
  <c r="W1207" i="1" s="1"/>
  <c r="W1208" i="1" s="1"/>
  <c r="W1209" i="1" s="1"/>
  <c r="W1210" i="1" s="1"/>
  <c r="W1211" i="1" s="1"/>
  <c r="W1212" i="1" s="1"/>
  <c r="W1213" i="1" s="1"/>
  <c r="W1214" i="1" s="1"/>
  <c r="W1215" i="1" s="1"/>
  <c r="W1216" i="1" s="1"/>
  <c r="W1217" i="1" s="1"/>
  <c r="W1218" i="1" s="1"/>
  <c r="W1219" i="1" s="1"/>
  <c r="W1220" i="1" s="1"/>
  <c r="W1221" i="1" s="1"/>
  <c r="W1222" i="1" s="1"/>
  <c r="W1223" i="1" s="1"/>
  <c r="W1224" i="1" s="1"/>
  <c r="W1225" i="1" s="1"/>
  <c r="W1226" i="1" s="1"/>
  <c r="W1227" i="1" s="1"/>
  <c r="W1228" i="1" s="1"/>
  <c r="W1229" i="1" s="1"/>
  <c r="W1230" i="1" s="1"/>
  <c r="W1231" i="1" s="1"/>
  <c r="W1232" i="1" s="1"/>
  <c r="W1233" i="1" s="1"/>
  <c r="W1234" i="1" s="1"/>
  <c r="W1235" i="1" s="1"/>
  <c r="W1236" i="1" s="1"/>
  <c r="W1237" i="1" s="1"/>
  <c r="W1238" i="1" s="1"/>
  <c r="W1239" i="1" s="1"/>
  <c r="W1240" i="1" s="1"/>
  <c r="W1241" i="1" s="1"/>
  <c r="W1242" i="1" s="1"/>
  <c r="W1243" i="1" s="1"/>
  <c r="W1244" i="1" s="1"/>
  <c r="W1245" i="1" s="1"/>
  <c r="W1246" i="1" s="1"/>
  <c r="W1247" i="1" s="1"/>
  <c r="W1248" i="1" s="1"/>
  <c r="W1249" i="1" s="1"/>
  <c r="W1250" i="1" s="1"/>
  <c r="W1251" i="1" s="1"/>
  <c r="W1252" i="1" s="1"/>
  <c r="W1253" i="1" s="1"/>
  <c r="W1254" i="1" s="1"/>
  <c r="W1255" i="1" s="1"/>
  <c r="W1256" i="1" s="1"/>
  <c r="W1257" i="1" s="1"/>
  <c r="W1258" i="1" s="1"/>
  <c r="W1259" i="1" s="1"/>
  <c r="W1260" i="1" s="1"/>
  <c r="W1261" i="1" s="1"/>
  <c r="W1262" i="1" s="1"/>
  <c r="W1263" i="1" s="1"/>
  <c r="W1264" i="1" s="1"/>
  <c r="W1265" i="1" s="1"/>
  <c r="W1266" i="1" s="1"/>
  <c r="W1267" i="1" s="1"/>
  <c r="W1268" i="1" s="1"/>
  <c r="W1269" i="1" s="1"/>
  <c r="W1270" i="1" s="1"/>
  <c r="W1271" i="1" s="1"/>
  <c r="W1272" i="1" s="1"/>
  <c r="W1273" i="1" s="1"/>
  <c r="W1274" i="1" s="1"/>
  <c r="W1275" i="1" s="1"/>
  <c r="W1276" i="1" s="1"/>
  <c r="W1277" i="1" s="1"/>
  <c r="W1278" i="1" s="1"/>
  <c r="W1279" i="1" s="1"/>
  <c r="W1280" i="1" s="1"/>
  <c r="W1281" i="1" s="1"/>
  <c r="W1282" i="1" s="1"/>
  <c r="W1283" i="1" s="1"/>
  <c r="W1284" i="1" s="1"/>
  <c r="W1285" i="1" s="1"/>
  <c r="W1286" i="1" s="1"/>
  <c r="W1287" i="1" s="1"/>
  <c r="W1288" i="1" s="1"/>
  <c r="W1289" i="1" s="1"/>
  <c r="W1290" i="1" s="1"/>
  <c r="W1291" i="1" s="1"/>
  <c r="W1292" i="1" s="1"/>
  <c r="W1293" i="1" s="1"/>
  <c r="W1294" i="1" s="1"/>
  <c r="W1295" i="1" s="1"/>
  <c r="W1296" i="1" s="1"/>
  <c r="W1297" i="1" s="1"/>
  <c r="W1298" i="1" s="1"/>
  <c r="W1299" i="1" s="1"/>
  <c r="W1300" i="1" s="1"/>
  <c r="W1301" i="1" s="1"/>
  <c r="W1302" i="1" s="1"/>
  <c r="W1303" i="1" s="1"/>
  <c r="W1304" i="1" s="1"/>
  <c r="W1305" i="1" s="1"/>
  <c r="W1306" i="1" s="1"/>
  <c r="W1307" i="1" s="1"/>
  <c r="W1308" i="1" s="1"/>
  <c r="W1309" i="1" s="1"/>
  <c r="W1310" i="1" s="1"/>
  <c r="W1311" i="1" s="1"/>
  <c r="W1312" i="1" s="1"/>
  <c r="W1313" i="1" s="1"/>
  <c r="W1314" i="1" s="1"/>
  <c r="W1315" i="1" s="1"/>
  <c r="W1316" i="1" s="1"/>
  <c r="W1317" i="1" s="1"/>
  <c r="W1318" i="1" s="1"/>
  <c r="W1319" i="1" s="1"/>
  <c r="W1320" i="1" s="1"/>
  <c r="W1321" i="1" s="1"/>
  <c r="W1322" i="1" s="1"/>
  <c r="W1323" i="1" s="1"/>
  <c r="W1324" i="1" s="1"/>
  <c r="W1325" i="1" s="1"/>
  <c r="W1326" i="1" s="1"/>
  <c r="W1327" i="1" s="1"/>
  <c r="W1328" i="1" s="1"/>
  <c r="W1329" i="1" s="1"/>
  <c r="W1330" i="1" s="1"/>
  <c r="W1331" i="1" s="1"/>
  <c r="W1332" i="1" s="1"/>
  <c r="W1333" i="1" s="1"/>
  <c r="W1334" i="1" s="1"/>
  <c r="W1335" i="1" s="1"/>
  <c r="W1336" i="1" s="1"/>
  <c r="W1337" i="1" s="1"/>
  <c r="W1338" i="1" s="1"/>
  <c r="W1339" i="1" s="1"/>
  <c r="W1340" i="1" s="1"/>
  <c r="W1341" i="1" s="1"/>
  <c r="W1342" i="1" s="1"/>
  <c r="W1343" i="1" s="1"/>
  <c r="W1344" i="1" s="1"/>
  <c r="W1345" i="1" s="1"/>
  <c r="W1346" i="1" s="1"/>
  <c r="W1347" i="1" s="1"/>
  <c r="W1348" i="1" s="1"/>
  <c r="W1349" i="1" s="1"/>
  <c r="W1350" i="1" s="1"/>
  <c r="W1351" i="1" s="1"/>
  <c r="W1352" i="1" s="1"/>
  <c r="W1353" i="1" s="1"/>
  <c r="W1354" i="1" s="1"/>
  <c r="W1355" i="1" s="1"/>
  <c r="W1356" i="1" s="1"/>
  <c r="W1357" i="1" s="1"/>
  <c r="W1358" i="1" s="1"/>
  <c r="W1359" i="1" s="1"/>
  <c r="W1360" i="1" s="1"/>
  <c r="W1361" i="1" s="1"/>
  <c r="W1362" i="1" s="1"/>
  <c r="W1363" i="1" s="1"/>
  <c r="W1364" i="1" s="1"/>
  <c r="W1365" i="1" s="1"/>
  <c r="W1366" i="1" s="1"/>
  <c r="W1367" i="1" s="1"/>
  <c r="W1368" i="1" s="1"/>
  <c r="W1369" i="1" s="1"/>
  <c r="W1370" i="1" s="1"/>
  <c r="W1371" i="1" s="1"/>
  <c r="W1372" i="1" s="1"/>
  <c r="W1373" i="1" s="1"/>
  <c r="W1374" i="1" s="1"/>
  <c r="W1375" i="1" s="1"/>
  <c r="W1376" i="1" s="1"/>
  <c r="W1377" i="1" s="1"/>
  <c r="W1378" i="1" s="1"/>
  <c r="W1379" i="1" s="1"/>
  <c r="W1380" i="1" s="1"/>
  <c r="W1381" i="1" s="1"/>
  <c r="W1382" i="1" s="1"/>
  <c r="W1383" i="1" s="1"/>
  <c r="W1384" i="1" s="1"/>
  <c r="W1385" i="1" s="1"/>
  <c r="W1386" i="1" s="1"/>
  <c r="W1387" i="1" s="1"/>
  <c r="W1388" i="1" s="1"/>
  <c r="W1389" i="1" s="1"/>
  <c r="W1390" i="1" s="1"/>
  <c r="W1391" i="1" s="1"/>
  <c r="W1392" i="1" s="1"/>
  <c r="W1393" i="1" s="1"/>
  <c r="W1394" i="1" s="1"/>
  <c r="W1395" i="1" s="1"/>
  <c r="W1396" i="1" s="1"/>
  <c r="W1397" i="1" s="1"/>
  <c r="W1398" i="1" s="1"/>
  <c r="W1399" i="1" s="1"/>
  <c r="W1400" i="1" s="1"/>
  <c r="W1401" i="1" s="1"/>
  <c r="W1402" i="1" s="1"/>
  <c r="W1403" i="1" s="1"/>
  <c r="W1404" i="1" s="1"/>
  <c r="W1405" i="1" s="1"/>
  <c r="W1406" i="1" s="1"/>
  <c r="W1407" i="1" s="1"/>
  <c r="W1408" i="1" s="1"/>
  <c r="W1409" i="1" s="1"/>
  <c r="W1410" i="1" s="1"/>
  <c r="W1411" i="1" s="1"/>
  <c r="W1412" i="1" s="1"/>
  <c r="W1413" i="1" s="1"/>
  <c r="W1414" i="1" s="1"/>
  <c r="W1415" i="1" s="1"/>
  <c r="W1416" i="1" s="1"/>
  <c r="W1417" i="1" s="1"/>
  <c r="W1418" i="1" s="1"/>
  <c r="W1419" i="1" s="1"/>
  <c r="W1420" i="1" s="1"/>
  <c r="W1421" i="1" s="1"/>
  <c r="W1422" i="1" s="1"/>
  <c r="W1423" i="1" s="1"/>
  <c r="W1424" i="1" s="1"/>
  <c r="W1425" i="1" s="1"/>
  <c r="W1426" i="1" s="1"/>
  <c r="W1427" i="1" s="1"/>
  <c r="W1428" i="1" s="1"/>
  <c r="W1429" i="1" s="1"/>
  <c r="W1430" i="1" s="1"/>
  <c r="W1431" i="1" s="1"/>
  <c r="W1432" i="1" s="1"/>
  <c r="W1433" i="1" s="1"/>
  <c r="W1434" i="1" s="1"/>
  <c r="W1435" i="1" s="1"/>
  <c r="W1436" i="1" s="1"/>
  <c r="W1437" i="1" s="1"/>
  <c r="W1438" i="1" s="1"/>
  <c r="W1439" i="1" s="1"/>
  <c r="W1440" i="1" s="1"/>
  <c r="W1441" i="1" s="1"/>
  <c r="W1442" i="1" s="1"/>
  <c r="W1443" i="1" s="1"/>
  <c r="W1444" i="1" s="1"/>
  <c r="W1445" i="1" s="1"/>
  <c r="W1446" i="1" s="1"/>
  <c r="W1447" i="1" s="1"/>
  <c r="W1448" i="1" s="1"/>
  <c r="W1449" i="1" s="1"/>
  <c r="W1450" i="1" s="1"/>
  <c r="W1451" i="1" s="1"/>
  <c r="W1452" i="1" s="1"/>
  <c r="W1453" i="1" s="1"/>
  <c r="W1454" i="1" s="1"/>
  <c r="W1455" i="1" s="1"/>
  <c r="W1456" i="1" s="1"/>
  <c r="W1457" i="1" s="1"/>
  <c r="W1458" i="1" s="1"/>
  <c r="W1459" i="1" s="1"/>
  <c r="W1460" i="1" s="1"/>
  <c r="W1461" i="1" s="1"/>
  <c r="W1462" i="1" s="1"/>
  <c r="W1463" i="1" s="1"/>
  <c r="W1464" i="1" s="1"/>
  <c r="W1465" i="1" s="1"/>
  <c r="W1466" i="1" s="1"/>
  <c r="W1467" i="1" s="1"/>
  <c r="W1468" i="1" s="1"/>
  <c r="W1469" i="1" s="1"/>
  <c r="W1470" i="1" s="1"/>
  <c r="W1471" i="1" s="1"/>
  <c r="W1472" i="1" s="1"/>
  <c r="W1473" i="1" s="1"/>
  <c r="W1474" i="1" s="1"/>
  <c r="W1475" i="1" s="1"/>
  <c r="W1476" i="1" s="1"/>
  <c r="W1477" i="1" s="1"/>
  <c r="W1478" i="1" s="1"/>
  <c r="W1479" i="1" s="1"/>
  <c r="W1480" i="1" s="1"/>
  <c r="W1481" i="1" s="1"/>
  <c r="W1482" i="1" s="1"/>
  <c r="W1483" i="1" s="1"/>
  <c r="W1484" i="1" s="1"/>
  <c r="W1485" i="1" s="1"/>
  <c r="W1486" i="1" s="1"/>
  <c r="W1487" i="1" s="1"/>
  <c r="W1488" i="1" s="1"/>
  <c r="W1489" i="1" s="1"/>
  <c r="W1490" i="1" s="1"/>
  <c r="W1491" i="1" s="1"/>
  <c r="W1492" i="1" s="1"/>
  <c r="W1493" i="1" s="1"/>
  <c r="W1494" i="1" s="1"/>
  <c r="W1495" i="1" s="1"/>
  <c r="W1496" i="1" s="1"/>
  <c r="W1497" i="1" s="1"/>
  <c r="W1498" i="1" s="1"/>
  <c r="W1499" i="1" s="1"/>
  <c r="W1500" i="1" s="1"/>
  <c r="W1501" i="1" s="1"/>
  <c r="W1502" i="1" s="1"/>
  <c r="W1503" i="1" s="1"/>
  <c r="W1504" i="1" s="1"/>
  <c r="W1505" i="1" s="1"/>
  <c r="W1506" i="1" s="1"/>
  <c r="W1507" i="1" s="1"/>
  <c r="W1508" i="1" s="1"/>
  <c r="W1509" i="1" s="1"/>
  <c r="W1510" i="1" s="1"/>
  <c r="W1511" i="1" s="1"/>
  <c r="W1512" i="1" s="1"/>
  <c r="W1513" i="1" s="1"/>
  <c r="W1514" i="1" s="1"/>
  <c r="W1515" i="1" s="1"/>
  <c r="W1516" i="1" s="1"/>
  <c r="W1517" i="1" s="1"/>
  <c r="W1518" i="1" s="1"/>
  <c r="W1519" i="1" s="1"/>
  <c r="W1520" i="1" s="1"/>
  <c r="W1521" i="1" s="1"/>
  <c r="W1522" i="1" s="1"/>
  <c r="W1523" i="1" s="1"/>
  <c r="W1524" i="1" s="1"/>
  <c r="W1525" i="1" s="1"/>
  <c r="W1526" i="1" s="1"/>
  <c r="W1527" i="1" s="1"/>
  <c r="W1528" i="1" s="1"/>
  <c r="W1529" i="1" s="1"/>
  <c r="W1530" i="1" s="1"/>
  <c r="W1531" i="1" s="1"/>
  <c r="W1532" i="1" s="1"/>
  <c r="W1533" i="1" s="1"/>
  <c r="W1534" i="1" s="1"/>
  <c r="W1535" i="1" s="1"/>
  <c r="W1536" i="1" s="1"/>
  <c r="W1537" i="1" s="1"/>
  <c r="W1538" i="1" s="1"/>
  <c r="W1539" i="1" s="1"/>
  <c r="W1540" i="1" s="1"/>
  <c r="W1541" i="1" s="1"/>
  <c r="W1542" i="1" s="1"/>
  <c r="W1543" i="1" s="1"/>
  <c r="W1544" i="1" s="1"/>
  <c r="W1545" i="1" s="1"/>
  <c r="W1546" i="1" s="1"/>
  <c r="W1547" i="1" s="1"/>
  <c r="W1548" i="1" s="1"/>
  <c r="W1549" i="1" s="1"/>
  <c r="W1550" i="1" s="1"/>
  <c r="W1551" i="1" s="1"/>
  <c r="W1552" i="1" s="1"/>
  <c r="W1553" i="1" s="1"/>
  <c r="W1554" i="1" s="1"/>
  <c r="W1555" i="1" s="1"/>
  <c r="W1556" i="1" s="1"/>
  <c r="W1557" i="1" s="1"/>
  <c r="W1558" i="1" s="1"/>
  <c r="W1559" i="1" s="1"/>
  <c r="W1560" i="1" s="1"/>
  <c r="W1561" i="1" s="1"/>
  <c r="W1562" i="1" s="1"/>
  <c r="W1563" i="1" s="1"/>
  <c r="W1564" i="1" s="1"/>
  <c r="W1565" i="1" s="1"/>
  <c r="W1566" i="1" s="1"/>
  <c r="W1567" i="1" s="1"/>
  <c r="W1568" i="1" s="1"/>
  <c r="W1569" i="1" s="1"/>
  <c r="W1570" i="1" s="1"/>
  <c r="W1571" i="1" s="1"/>
  <c r="W1572" i="1" s="1"/>
  <c r="W1573" i="1" s="1"/>
  <c r="W1574" i="1" s="1"/>
  <c r="W1575" i="1" s="1"/>
  <c r="W1576" i="1" s="1"/>
  <c r="W1577" i="1" s="1"/>
  <c r="W1578" i="1" s="1"/>
  <c r="W1579" i="1" s="1"/>
  <c r="W1580" i="1" s="1"/>
  <c r="W1581" i="1" s="1"/>
  <c r="W1582" i="1" s="1"/>
  <c r="W1583" i="1" s="1"/>
  <c r="W1584" i="1" s="1"/>
  <c r="W1585" i="1" s="1"/>
  <c r="W1586" i="1" s="1"/>
  <c r="W1587" i="1" s="1"/>
  <c r="W1588" i="1" s="1"/>
  <c r="W1589" i="1" s="1"/>
  <c r="W1590" i="1" s="1"/>
  <c r="W1591" i="1" s="1"/>
  <c r="W1592" i="1" s="1"/>
  <c r="W1593" i="1" s="1"/>
  <c r="W1594" i="1" s="1"/>
  <c r="W1595" i="1" s="1"/>
  <c r="W1596" i="1" s="1"/>
  <c r="W1597" i="1" s="1"/>
  <c r="W1598" i="1" s="1"/>
  <c r="W1599" i="1" s="1"/>
  <c r="W1600" i="1" s="1"/>
  <c r="W1601" i="1" s="1"/>
  <c r="W1602" i="1" s="1"/>
  <c r="W1603" i="1" s="1"/>
  <c r="W1604" i="1" s="1"/>
  <c r="W1605" i="1" s="1"/>
  <c r="W1606" i="1" s="1"/>
  <c r="W1607" i="1" s="1"/>
  <c r="W1608" i="1" s="1"/>
  <c r="W1609" i="1" s="1"/>
  <c r="W1610" i="1" s="1"/>
  <c r="W1611" i="1" s="1"/>
  <c r="W1612" i="1" s="1"/>
  <c r="W1613" i="1" s="1"/>
  <c r="W1614" i="1" s="1"/>
  <c r="W1615" i="1" s="1"/>
  <c r="W1616" i="1" s="1"/>
  <c r="W1617" i="1" s="1"/>
  <c r="W1618" i="1" s="1"/>
  <c r="W1619" i="1" s="1"/>
  <c r="W1620" i="1" s="1"/>
  <c r="W1621" i="1" s="1"/>
  <c r="W1622" i="1" s="1"/>
  <c r="W1623" i="1" s="1"/>
  <c r="W1624" i="1" s="1"/>
  <c r="W1625" i="1" s="1"/>
  <c r="W1626" i="1" s="1"/>
  <c r="W1627" i="1" s="1"/>
  <c r="W1628" i="1" s="1"/>
  <c r="W1629" i="1" s="1"/>
  <c r="W1630" i="1" s="1"/>
  <c r="W1631" i="1" s="1"/>
  <c r="W1632" i="1" s="1"/>
  <c r="W1633" i="1" s="1"/>
  <c r="W1634" i="1" s="1"/>
  <c r="W1635" i="1" s="1"/>
  <c r="W1636" i="1" s="1"/>
  <c r="W1637" i="1" s="1"/>
  <c r="W1638" i="1" s="1"/>
  <c r="W1639" i="1" s="1"/>
  <c r="W1640" i="1" s="1"/>
  <c r="W1641" i="1" s="1"/>
  <c r="W1642" i="1" s="1"/>
  <c r="W1643" i="1" s="1"/>
  <c r="W1644" i="1" s="1"/>
  <c r="W1645" i="1" s="1"/>
  <c r="W1646" i="1" s="1"/>
  <c r="W1647" i="1" s="1"/>
  <c r="W1648" i="1" s="1"/>
  <c r="W1649" i="1" s="1"/>
  <c r="W1650" i="1" s="1"/>
  <c r="W1651" i="1" s="1"/>
  <c r="W1652" i="1" s="1"/>
  <c r="W1653" i="1" s="1"/>
  <c r="W1654" i="1" s="1"/>
  <c r="W1655" i="1" s="1"/>
  <c r="W1656" i="1" s="1"/>
  <c r="W1657" i="1" s="1"/>
  <c r="W1658" i="1" s="1"/>
  <c r="W1659" i="1" s="1"/>
  <c r="W1660" i="1" s="1"/>
  <c r="W1661" i="1" s="1"/>
  <c r="W1662" i="1" s="1"/>
  <c r="W1663" i="1" s="1"/>
  <c r="W1664" i="1" s="1"/>
  <c r="W1665" i="1" s="1"/>
  <c r="W1666" i="1" s="1"/>
  <c r="W1667" i="1" s="1"/>
  <c r="W1668" i="1" s="1"/>
  <c r="W1669" i="1" s="1"/>
  <c r="W1670" i="1" s="1"/>
  <c r="W1671" i="1" s="1"/>
  <c r="W1672" i="1" s="1"/>
  <c r="W1673" i="1" s="1"/>
  <c r="W1674" i="1" s="1"/>
  <c r="W1675" i="1" s="1"/>
  <c r="W1676" i="1" s="1"/>
  <c r="W1677" i="1" s="1"/>
  <c r="W1678" i="1" s="1"/>
  <c r="W1679" i="1" s="1"/>
  <c r="W1680" i="1" s="1"/>
  <c r="W1681" i="1" s="1"/>
  <c r="W1682" i="1" s="1"/>
  <c r="W1683" i="1" s="1"/>
  <c r="W1684" i="1" s="1"/>
  <c r="W1685" i="1" s="1"/>
  <c r="W1686" i="1" s="1"/>
  <c r="W1687" i="1" s="1"/>
  <c r="W1688" i="1" s="1"/>
  <c r="W1689" i="1" s="1"/>
  <c r="W1690" i="1" s="1"/>
  <c r="W1691" i="1" s="1"/>
  <c r="W1692" i="1" s="1"/>
  <c r="W1693" i="1" s="1"/>
  <c r="W1694" i="1" s="1"/>
  <c r="W1695" i="1" s="1"/>
  <c r="W1696" i="1" s="1"/>
  <c r="W1697" i="1" s="1"/>
  <c r="W1698" i="1" s="1"/>
  <c r="W1699" i="1" s="1"/>
  <c r="W1700" i="1" s="1"/>
  <c r="W1701" i="1" s="1"/>
  <c r="W1702" i="1" s="1"/>
  <c r="W1703" i="1" s="1"/>
  <c r="W1704" i="1" s="1"/>
  <c r="W1705" i="1" s="1"/>
  <c r="W1706" i="1" s="1"/>
  <c r="W1707" i="1" s="1"/>
  <c r="W1708" i="1" s="1"/>
  <c r="W1709" i="1" s="1"/>
  <c r="W1710" i="1" s="1"/>
  <c r="W1711" i="1" s="1"/>
  <c r="W1712" i="1" s="1"/>
  <c r="W1713" i="1" s="1"/>
  <c r="W1714" i="1" s="1"/>
  <c r="W1715" i="1" s="1"/>
  <c r="W1716" i="1" s="1"/>
  <c r="W1717" i="1" s="1"/>
  <c r="W1718" i="1" s="1"/>
  <c r="W1719" i="1" s="1"/>
  <c r="W1720" i="1" s="1"/>
  <c r="W1721" i="1" s="1"/>
  <c r="W1722" i="1" s="1"/>
  <c r="W1723" i="1" s="1"/>
  <c r="W1724" i="1" s="1"/>
  <c r="W1725" i="1" s="1"/>
  <c r="W1726" i="1" s="1"/>
  <c r="W1727" i="1" s="1"/>
  <c r="W1728" i="1" s="1"/>
  <c r="W1729" i="1" s="1"/>
  <c r="W1730" i="1" s="1"/>
  <c r="W1731" i="1" s="1"/>
  <c r="W1732" i="1" s="1"/>
  <c r="W1733" i="1" s="1"/>
  <c r="W1734" i="1" s="1"/>
  <c r="W1735" i="1" s="1"/>
  <c r="W1736" i="1" s="1"/>
  <c r="W1737" i="1" s="1"/>
  <c r="W1738" i="1" s="1"/>
  <c r="W1739" i="1" s="1"/>
  <c r="W1740" i="1" s="1"/>
  <c r="W1741" i="1" s="1"/>
  <c r="W1742" i="1" s="1"/>
  <c r="W1743" i="1" s="1"/>
  <c r="W1744" i="1" s="1"/>
  <c r="W1745" i="1" s="1"/>
  <c r="W1746" i="1" s="1"/>
  <c r="W1747" i="1" s="1"/>
  <c r="W1748" i="1" s="1"/>
  <c r="W1749" i="1" s="1"/>
  <c r="W1750" i="1" s="1"/>
  <c r="W1751" i="1" s="1"/>
  <c r="W1752" i="1" s="1"/>
  <c r="W1753" i="1" s="1"/>
  <c r="W1754" i="1" s="1"/>
  <c r="W1755" i="1" s="1"/>
  <c r="W1756" i="1" s="1"/>
  <c r="W1757" i="1" s="1"/>
  <c r="W1758" i="1" s="1"/>
  <c r="W1759" i="1" s="1"/>
  <c r="W1760" i="1" s="1"/>
  <c r="W1761" i="1" s="1"/>
  <c r="W1762" i="1" s="1"/>
  <c r="W1763" i="1" s="1"/>
  <c r="W1764" i="1" s="1"/>
  <c r="W1765" i="1" s="1"/>
  <c r="W1766" i="1" s="1"/>
  <c r="W1767" i="1" s="1"/>
  <c r="W1768" i="1" s="1"/>
  <c r="W1769" i="1" s="1"/>
  <c r="W1770" i="1" s="1"/>
  <c r="W1771" i="1" s="1"/>
  <c r="W1772" i="1" s="1"/>
  <c r="W1773" i="1" s="1"/>
  <c r="W1774" i="1" s="1"/>
  <c r="W1775" i="1" s="1"/>
  <c r="W1776" i="1" s="1"/>
  <c r="W1777" i="1" s="1"/>
  <c r="W1778" i="1" s="1"/>
  <c r="W1779" i="1" s="1"/>
  <c r="W1780" i="1" s="1"/>
  <c r="W1781" i="1" s="1"/>
  <c r="W1782" i="1" s="1"/>
  <c r="W1783" i="1" s="1"/>
  <c r="W1784" i="1" s="1"/>
  <c r="W1785" i="1" s="1"/>
  <c r="W1786" i="1" s="1"/>
  <c r="W1787" i="1" s="1"/>
  <c r="W1788" i="1" s="1"/>
  <c r="W1789" i="1" s="1"/>
  <c r="W1790" i="1" s="1"/>
  <c r="W1791" i="1" s="1"/>
  <c r="W1792" i="1" s="1"/>
  <c r="W1793" i="1" s="1"/>
  <c r="W1794" i="1" s="1"/>
  <c r="W1795" i="1" s="1"/>
  <c r="W1796" i="1" s="1"/>
  <c r="W1797" i="1" s="1"/>
  <c r="W1798" i="1" s="1"/>
  <c r="W1799" i="1" s="1"/>
  <c r="W1800" i="1" s="1"/>
  <c r="W1801" i="1" s="1"/>
  <c r="W1802" i="1" s="1"/>
  <c r="W1803" i="1" s="1"/>
  <c r="W1804" i="1" s="1"/>
  <c r="W1805" i="1" s="1"/>
  <c r="W1806" i="1" s="1"/>
  <c r="W1807" i="1" s="1"/>
  <c r="W1808" i="1" s="1"/>
  <c r="W1809" i="1" s="1"/>
  <c r="W1810" i="1" s="1"/>
  <c r="W1811" i="1" s="1"/>
  <c r="W1812" i="1" s="1"/>
  <c r="W1813" i="1" s="1"/>
  <c r="W1814" i="1" s="1"/>
  <c r="W1815" i="1" s="1"/>
  <c r="W1816" i="1" s="1"/>
  <c r="W1817" i="1" s="1"/>
  <c r="W1818" i="1" s="1"/>
  <c r="W1819" i="1" s="1"/>
  <c r="W1820" i="1" s="1"/>
  <c r="W1821" i="1" s="1"/>
  <c r="W1822" i="1" s="1"/>
  <c r="W1823" i="1" s="1"/>
  <c r="W1824" i="1" s="1"/>
  <c r="W1825" i="1" s="1"/>
  <c r="W1826" i="1" s="1"/>
  <c r="W1827" i="1" s="1"/>
  <c r="W1828" i="1" s="1"/>
  <c r="W1829" i="1" s="1"/>
  <c r="W1830" i="1" s="1"/>
  <c r="W1831" i="1" s="1"/>
  <c r="W1832" i="1" s="1"/>
  <c r="W1833" i="1" s="1"/>
  <c r="W1834" i="1" s="1"/>
  <c r="W1835" i="1" s="1"/>
  <c r="W1836" i="1" s="1"/>
  <c r="W1837" i="1" s="1"/>
  <c r="W1838" i="1" s="1"/>
  <c r="W1839" i="1" s="1"/>
  <c r="W1840" i="1" s="1"/>
  <c r="W1841" i="1" s="1"/>
  <c r="W1842" i="1" s="1"/>
  <c r="W1843" i="1" s="1"/>
  <c r="W1844" i="1" s="1"/>
  <c r="W1845" i="1" s="1"/>
  <c r="W1846" i="1" s="1"/>
  <c r="W1847" i="1" s="1"/>
  <c r="W1848" i="1" s="1"/>
  <c r="W1849" i="1" s="1"/>
  <c r="W1850" i="1" s="1"/>
  <c r="W1851" i="1" s="1"/>
  <c r="W1852" i="1" s="1"/>
  <c r="W1853" i="1" s="1"/>
  <c r="W1854" i="1" s="1"/>
  <c r="W1855" i="1" s="1"/>
  <c r="W1856" i="1" s="1"/>
  <c r="W1857" i="1" s="1"/>
  <c r="W1858" i="1" s="1"/>
  <c r="W1859" i="1" s="1"/>
  <c r="W1860" i="1" s="1"/>
  <c r="W1861" i="1" s="1"/>
  <c r="W1862" i="1" s="1"/>
  <c r="W1863" i="1" s="1"/>
  <c r="W1864" i="1" s="1"/>
  <c r="W1865" i="1" s="1"/>
  <c r="W1866" i="1" s="1"/>
  <c r="W1867" i="1" s="1"/>
  <c r="W1868" i="1" s="1"/>
  <c r="W1869" i="1" s="1"/>
  <c r="W1870" i="1" s="1"/>
  <c r="W1871" i="1" s="1"/>
  <c r="W1872" i="1" s="1"/>
  <c r="W1873" i="1" s="1"/>
  <c r="W1874" i="1" s="1"/>
  <c r="W1875" i="1" s="1"/>
  <c r="W1876" i="1" s="1"/>
  <c r="W1877" i="1" s="1"/>
  <c r="W1878" i="1" s="1"/>
  <c r="W1879" i="1" s="1"/>
  <c r="W1880" i="1" s="1"/>
  <c r="W1881" i="1" s="1"/>
  <c r="W1882" i="1" s="1"/>
  <c r="W1883" i="1" s="1"/>
  <c r="W1884" i="1" s="1"/>
  <c r="W1885" i="1" s="1"/>
  <c r="W1886" i="1" s="1"/>
  <c r="W1887" i="1" s="1"/>
  <c r="W1888" i="1" s="1"/>
  <c r="W1889" i="1" s="1"/>
  <c r="W1890" i="1" s="1"/>
  <c r="W1891" i="1" s="1"/>
  <c r="W1892" i="1" s="1"/>
  <c r="W1893" i="1" s="1"/>
  <c r="W1894" i="1" s="1"/>
  <c r="W1895" i="1" s="1"/>
  <c r="W1896" i="1" s="1"/>
  <c r="W1897" i="1" s="1"/>
  <c r="W1898" i="1" s="1"/>
  <c r="W1899" i="1" s="1"/>
  <c r="W1900" i="1" s="1"/>
  <c r="W1901" i="1" s="1"/>
  <c r="W1902" i="1" s="1"/>
  <c r="W1903" i="1" s="1"/>
  <c r="W1904" i="1" s="1"/>
  <c r="W1905" i="1" s="1"/>
  <c r="W1906" i="1" s="1"/>
  <c r="W1907" i="1" s="1"/>
  <c r="W1908" i="1" s="1"/>
  <c r="W1909" i="1" s="1"/>
  <c r="W1910" i="1" s="1"/>
  <c r="W1911" i="1" s="1"/>
  <c r="W1912" i="1" s="1"/>
  <c r="W1913" i="1" s="1"/>
  <c r="W1914" i="1" s="1"/>
  <c r="W1915" i="1" s="1"/>
  <c r="W1916" i="1" s="1"/>
  <c r="W1917" i="1" s="1"/>
  <c r="W1918" i="1" s="1"/>
  <c r="W1919" i="1" s="1"/>
  <c r="W1920" i="1" s="1"/>
  <c r="W1921" i="1" s="1"/>
  <c r="W1922" i="1" s="1"/>
  <c r="W1923" i="1" s="1"/>
  <c r="W1924" i="1" s="1"/>
  <c r="W1925" i="1" s="1"/>
  <c r="W1926" i="1" s="1"/>
  <c r="W1927" i="1" s="1"/>
  <c r="W1928" i="1" s="1"/>
  <c r="W1929" i="1" s="1"/>
  <c r="W1930" i="1" s="1"/>
  <c r="W1931" i="1" s="1"/>
  <c r="W1932" i="1" s="1"/>
  <c r="W1933" i="1" s="1"/>
  <c r="W1934" i="1" s="1"/>
  <c r="W1935" i="1" s="1"/>
  <c r="W1936" i="1" s="1"/>
  <c r="W1937" i="1" s="1"/>
  <c r="W1938" i="1" s="1"/>
  <c r="W1939" i="1" s="1"/>
  <c r="W1940" i="1" s="1"/>
  <c r="W1941" i="1" s="1"/>
  <c r="W1942" i="1" s="1"/>
  <c r="W1943" i="1" s="1"/>
  <c r="W1944" i="1" s="1"/>
  <c r="W1945" i="1" s="1"/>
  <c r="W1946" i="1" s="1"/>
  <c r="W1947" i="1" s="1"/>
  <c r="W1948" i="1" s="1"/>
  <c r="W1949" i="1" s="1"/>
  <c r="W1950" i="1" s="1"/>
  <c r="W1951" i="1" s="1"/>
  <c r="W1952" i="1" s="1"/>
  <c r="W1953" i="1" s="1"/>
  <c r="W1954" i="1" s="1"/>
  <c r="W1955" i="1" s="1"/>
  <c r="W1956" i="1" s="1"/>
  <c r="W1957" i="1" s="1"/>
  <c r="W1958" i="1" s="1"/>
  <c r="W1959" i="1" s="1"/>
  <c r="W1960" i="1" s="1"/>
  <c r="W1961" i="1" s="1"/>
  <c r="W1962" i="1" s="1"/>
  <c r="W1963" i="1" s="1"/>
  <c r="W1964" i="1" s="1"/>
  <c r="W1965" i="1" s="1"/>
  <c r="W1966" i="1" s="1"/>
  <c r="W1967" i="1" s="1"/>
  <c r="W1968" i="1" s="1"/>
  <c r="W1969" i="1" s="1"/>
  <c r="W1970" i="1" s="1"/>
  <c r="W1971" i="1" s="1"/>
  <c r="W1972" i="1" s="1"/>
  <c r="W1973" i="1" s="1"/>
  <c r="W1974" i="1" s="1"/>
  <c r="W1975" i="1" s="1"/>
  <c r="W1976" i="1" s="1"/>
  <c r="W1977" i="1" s="1"/>
  <c r="W1978" i="1" s="1"/>
  <c r="W1979" i="1" s="1"/>
  <c r="W1980" i="1" s="1"/>
  <c r="W1981" i="1" s="1"/>
  <c r="W1982" i="1" s="1"/>
  <c r="W1983" i="1" s="1"/>
  <c r="W1984" i="1" s="1"/>
  <c r="W1985" i="1" s="1"/>
  <c r="W1986" i="1" s="1"/>
  <c r="W1987" i="1" s="1"/>
  <c r="W1988" i="1" s="1"/>
  <c r="W1989" i="1" s="1"/>
  <c r="W1990" i="1" s="1"/>
  <c r="W1991" i="1" s="1"/>
  <c r="W1992" i="1" s="1"/>
  <c r="W1993" i="1" s="1"/>
  <c r="W1994" i="1" s="1"/>
  <c r="W1995" i="1" s="1"/>
  <c r="W1996" i="1" s="1"/>
  <c r="W1997" i="1" s="1"/>
  <c r="W1998" i="1" s="1"/>
  <c r="W1999" i="1" s="1"/>
  <c r="W2000" i="1" s="1"/>
  <c r="W2001" i="1" s="1"/>
  <c r="W2002" i="1" s="1"/>
  <c r="W2003" i="1" s="1"/>
  <c r="W2004" i="1" s="1"/>
  <c r="W2005" i="1" s="1"/>
  <c r="W2006" i="1" s="1"/>
  <c r="W2007" i="1" s="1"/>
  <c r="W2008" i="1" s="1"/>
  <c r="W2009" i="1" s="1"/>
  <c r="W2010" i="1" s="1"/>
  <c r="W2011" i="1" s="1"/>
  <c r="W2012" i="1" s="1"/>
  <c r="W2013" i="1" s="1"/>
  <c r="W2014" i="1" s="1"/>
  <c r="W2015" i="1" s="1"/>
  <c r="W2016" i="1" s="1"/>
  <c r="W2017" i="1" s="1"/>
  <c r="W2018" i="1" s="1"/>
  <c r="W2019" i="1" s="1"/>
  <c r="W2020" i="1" s="1"/>
  <c r="W2021" i="1" s="1"/>
  <c r="W2022" i="1" s="1"/>
  <c r="W2023" i="1" s="1"/>
  <c r="W2024" i="1" s="1"/>
  <c r="W2025" i="1" s="1"/>
  <c r="W2026" i="1" s="1"/>
  <c r="W2027" i="1" s="1"/>
  <c r="W2028" i="1" s="1"/>
  <c r="W2029" i="1" s="1"/>
  <c r="W2030" i="1" s="1"/>
  <c r="W2031" i="1" s="1"/>
  <c r="W2032" i="1" s="1"/>
  <c r="W2033" i="1" s="1"/>
  <c r="W2034" i="1" s="1"/>
  <c r="W2035" i="1" s="1"/>
  <c r="W2036" i="1" s="1"/>
  <c r="W2037" i="1" s="1"/>
  <c r="W2038" i="1" s="1"/>
  <c r="W2039" i="1" s="1"/>
  <c r="W2040" i="1" s="1"/>
  <c r="W2041" i="1" s="1"/>
  <c r="W2042" i="1" s="1"/>
  <c r="W2043" i="1" s="1"/>
  <c r="W2044" i="1" s="1"/>
  <c r="W2045" i="1" s="1"/>
  <c r="W2046" i="1" s="1"/>
  <c r="W2047" i="1" s="1"/>
  <c r="W2048" i="1" s="1"/>
  <c r="W2049" i="1" s="1"/>
  <c r="W2050" i="1" s="1"/>
  <c r="W2051" i="1" s="1"/>
  <c r="W2052" i="1" s="1"/>
  <c r="W2053" i="1" s="1"/>
  <c r="W2054" i="1" s="1"/>
  <c r="W2055" i="1" s="1"/>
  <c r="W2056" i="1" s="1"/>
  <c r="W2057" i="1" s="1"/>
  <c r="W2058" i="1" s="1"/>
  <c r="W2059" i="1" s="1"/>
  <c r="W2060" i="1" s="1"/>
  <c r="W2061" i="1" s="1"/>
  <c r="W2062" i="1" s="1"/>
  <c r="W2063" i="1" s="1"/>
  <c r="W2064" i="1" s="1"/>
  <c r="W2065" i="1" s="1"/>
  <c r="W2066" i="1" s="1"/>
  <c r="W2067" i="1" s="1"/>
  <c r="W2068" i="1" s="1"/>
  <c r="W2069" i="1" s="1"/>
  <c r="W2070" i="1" s="1"/>
  <c r="W2071" i="1" s="1"/>
  <c r="W2072" i="1" s="1"/>
  <c r="W2073" i="1" s="1"/>
  <c r="W2074" i="1" s="1"/>
  <c r="W2075" i="1" s="1"/>
  <c r="W2076" i="1" s="1"/>
  <c r="W2077" i="1" s="1"/>
  <c r="W2078" i="1" s="1"/>
  <c r="W2079" i="1" s="1"/>
  <c r="W2080" i="1" s="1"/>
  <c r="W2081" i="1" s="1"/>
  <c r="W2082" i="1" s="1"/>
  <c r="W2083" i="1" s="1"/>
  <c r="W2084" i="1" s="1"/>
  <c r="W2085" i="1" s="1"/>
  <c r="W2086" i="1" s="1"/>
  <c r="W2087" i="1" s="1"/>
  <c r="W2088" i="1" s="1"/>
  <c r="W2089" i="1" s="1"/>
  <c r="W2090" i="1" s="1"/>
  <c r="W2091" i="1" s="1"/>
  <c r="W2092" i="1" s="1"/>
  <c r="W2093" i="1" s="1"/>
  <c r="W2094" i="1" s="1"/>
  <c r="W2095" i="1" s="1"/>
  <c r="W2096" i="1" s="1"/>
  <c r="W2097" i="1" s="1"/>
  <c r="W2098" i="1" s="1"/>
  <c r="W2099" i="1" s="1"/>
  <c r="W2100" i="1" s="1"/>
  <c r="W2101" i="1" s="1"/>
  <c r="W2102" i="1" s="1"/>
  <c r="W2103" i="1" s="1"/>
  <c r="W2104" i="1" s="1"/>
  <c r="W2105" i="1" s="1"/>
  <c r="W2106" i="1" s="1"/>
  <c r="W2107" i="1" s="1"/>
  <c r="W2108" i="1" s="1"/>
  <c r="W2109" i="1" s="1"/>
  <c r="W2110" i="1" s="1"/>
  <c r="W2111" i="1" s="1"/>
  <c r="W2112" i="1" s="1"/>
  <c r="W2113" i="1" s="1"/>
  <c r="W2114" i="1" s="1"/>
  <c r="W2115" i="1" s="1"/>
  <c r="W2116" i="1" s="1"/>
  <c r="W2117" i="1" s="1"/>
  <c r="W2118" i="1" s="1"/>
  <c r="W2119" i="1" s="1"/>
  <c r="W2120" i="1" s="1"/>
  <c r="W2121" i="1" s="1"/>
  <c r="W2122" i="1" s="1"/>
  <c r="W2123" i="1" s="1"/>
  <c r="W2124" i="1" s="1"/>
  <c r="W2125" i="1" s="1"/>
  <c r="W2126" i="1" s="1"/>
  <c r="W2127" i="1" s="1"/>
  <c r="W2128" i="1" s="1"/>
  <c r="W2129" i="1" s="1"/>
  <c r="W2130" i="1" s="1"/>
  <c r="W2131" i="1" s="1"/>
  <c r="W2132" i="1" s="1"/>
  <c r="W2133" i="1" s="1"/>
  <c r="W2134" i="1" s="1"/>
  <c r="W2135" i="1" s="1"/>
  <c r="W2136" i="1" s="1"/>
  <c r="W2137" i="1" s="1"/>
  <c r="W2138" i="1" s="1"/>
  <c r="W2139" i="1" s="1"/>
  <c r="W2140" i="1" s="1"/>
  <c r="W2141" i="1" s="1"/>
  <c r="W2142" i="1" s="1"/>
  <c r="W2143" i="1" s="1"/>
  <c r="W2144" i="1" s="1"/>
  <c r="W2145" i="1" s="1"/>
  <c r="W2146" i="1" s="1"/>
  <c r="W2147" i="1" s="1"/>
  <c r="W2148" i="1" s="1"/>
  <c r="W2149" i="1" s="1"/>
  <c r="W2150" i="1" s="1"/>
  <c r="W2151" i="1" s="1"/>
  <c r="W2152" i="1" s="1"/>
  <c r="W2153" i="1" s="1"/>
  <c r="W2154" i="1" s="1"/>
  <c r="W2155" i="1" s="1"/>
  <c r="W2156" i="1" s="1"/>
  <c r="W2157" i="1" s="1"/>
  <c r="W2158" i="1" s="1"/>
  <c r="W2159" i="1" s="1"/>
  <c r="W2160" i="1" s="1"/>
  <c r="W2161" i="1" s="1"/>
  <c r="W2162" i="1" s="1"/>
  <c r="W2163" i="1" s="1"/>
  <c r="W2164" i="1" s="1"/>
  <c r="W2165" i="1" s="1"/>
  <c r="W2166" i="1" s="1"/>
  <c r="W2167" i="1" s="1"/>
  <c r="W2168" i="1" s="1"/>
  <c r="W2169" i="1" s="1"/>
  <c r="W2170" i="1" s="1"/>
  <c r="W2171" i="1" s="1"/>
  <c r="W2172" i="1" s="1"/>
  <c r="W2173" i="1" s="1"/>
  <c r="W2174" i="1" s="1"/>
  <c r="W2175" i="1" s="1"/>
  <c r="W2176" i="1" s="1"/>
  <c r="W2177" i="1" s="1"/>
  <c r="W2178" i="1" s="1"/>
  <c r="W2179" i="1" s="1"/>
  <c r="W2180" i="1" s="1"/>
  <c r="W2181" i="1" s="1"/>
  <c r="W2182" i="1" s="1"/>
  <c r="W2183" i="1" s="1"/>
  <c r="W2184" i="1" s="1"/>
  <c r="W2185" i="1" s="1"/>
  <c r="W2186" i="1" s="1"/>
  <c r="W2187" i="1" s="1"/>
  <c r="W2188" i="1" s="1"/>
  <c r="W2189" i="1" s="1"/>
  <c r="W2190" i="1" s="1"/>
  <c r="W2191" i="1" s="1"/>
  <c r="W2192" i="1" s="1"/>
  <c r="W2193" i="1" s="1"/>
  <c r="W2194" i="1" s="1"/>
  <c r="W2195" i="1" s="1"/>
  <c r="W2196" i="1" s="1"/>
  <c r="W2197" i="1" s="1"/>
  <c r="W2198" i="1" s="1"/>
  <c r="W2199" i="1" s="1"/>
  <c r="W2200" i="1" s="1"/>
  <c r="W2201" i="1" s="1"/>
  <c r="W2202" i="1" s="1"/>
  <c r="W2203" i="1" s="1"/>
  <c r="W2204" i="1" s="1"/>
  <c r="W2205" i="1" s="1"/>
  <c r="W2206" i="1" s="1"/>
  <c r="W2207" i="1" s="1"/>
  <c r="W2208" i="1" s="1"/>
  <c r="W2209" i="1" s="1"/>
  <c r="W2210" i="1" s="1"/>
  <c r="W2211" i="1" s="1"/>
  <c r="W2212" i="1" s="1"/>
  <c r="W2213" i="1" s="1"/>
  <c r="W2214" i="1" s="1"/>
  <c r="W2215" i="1" s="1"/>
  <c r="W2216" i="1" s="1"/>
  <c r="W2217" i="1" s="1"/>
  <c r="W2218" i="1" s="1"/>
  <c r="W2219" i="1" s="1"/>
  <c r="W2220" i="1" s="1"/>
  <c r="W2221" i="1" s="1"/>
  <c r="W2222" i="1" s="1"/>
  <c r="W2223" i="1" s="1"/>
  <c r="W2224" i="1" s="1"/>
  <c r="W2225" i="1" s="1"/>
  <c r="W2226" i="1" s="1"/>
  <c r="W2227" i="1" s="1"/>
  <c r="W2228" i="1" s="1"/>
  <c r="W2229" i="1" s="1"/>
  <c r="W2230" i="1" s="1"/>
  <c r="W2231" i="1" s="1"/>
  <c r="W2232" i="1" s="1"/>
  <c r="W2233" i="1" s="1"/>
  <c r="W2234" i="1" s="1"/>
  <c r="W2235" i="1" s="1"/>
  <c r="W2236" i="1" s="1"/>
  <c r="W2237" i="1" s="1"/>
  <c r="W2238" i="1" s="1"/>
  <c r="W2239" i="1" s="1"/>
  <c r="W2240" i="1" s="1"/>
  <c r="W2241" i="1" s="1"/>
  <c r="W2242" i="1" s="1"/>
  <c r="W2243" i="1" s="1"/>
  <c r="W2244" i="1" s="1"/>
  <c r="W2245" i="1" s="1"/>
  <c r="W2246" i="1" s="1"/>
  <c r="W2247" i="1" s="1"/>
  <c r="W2248" i="1" s="1"/>
  <c r="W2249" i="1" s="1"/>
  <c r="W2250" i="1" s="1"/>
  <c r="W2251" i="1" s="1"/>
  <c r="W2252" i="1" s="1"/>
  <c r="W2253" i="1" s="1"/>
  <c r="W2254" i="1" s="1"/>
  <c r="W2255" i="1" s="1"/>
  <c r="W2256" i="1" s="1"/>
  <c r="W2257" i="1" s="1"/>
  <c r="W2258" i="1" s="1"/>
  <c r="W2259" i="1" s="1"/>
  <c r="W2260" i="1" s="1"/>
  <c r="W2261" i="1" s="1"/>
  <c r="W2262" i="1" s="1"/>
  <c r="W2263" i="1" s="1"/>
  <c r="W2264" i="1" s="1"/>
  <c r="W2265" i="1" s="1"/>
  <c r="W2266" i="1" s="1"/>
  <c r="W2267" i="1" s="1"/>
  <c r="W2268" i="1" s="1"/>
  <c r="W2269" i="1" s="1"/>
  <c r="W2270" i="1" s="1"/>
  <c r="W2271" i="1" s="1"/>
  <c r="W2272" i="1" s="1"/>
  <c r="W2273" i="1" s="1"/>
  <c r="W2274" i="1" s="1"/>
  <c r="W2275" i="1" s="1"/>
  <c r="W2276" i="1" s="1"/>
  <c r="W2277" i="1" s="1"/>
  <c r="W2278" i="1" s="1"/>
  <c r="W2279" i="1" s="1"/>
  <c r="W2280" i="1" s="1"/>
  <c r="W2281" i="1" s="1"/>
  <c r="W2282" i="1" s="1"/>
  <c r="W2283" i="1" s="1"/>
  <c r="W2284" i="1" s="1"/>
  <c r="W2285" i="1" s="1"/>
  <c r="W2286" i="1" s="1"/>
  <c r="W2287" i="1" s="1"/>
  <c r="W2288" i="1" s="1"/>
  <c r="W2289" i="1" s="1"/>
  <c r="W2290" i="1" s="1"/>
  <c r="W2291" i="1" s="1"/>
  <c r="W2292" i="1" s="1"/>
  <c r="W2293" i="1" s="1"/>
  <c r="W2294" i="1" s="1"/>
  <c r="W2295" i="1" s="1"/>
  <c r="W2296" i="1" s="1"/>
  <c r="W2297" i="1" s="1"/>
  <c r="W2298" i="1" s="1"/>
  <c r="W2299" i="1" s="1"/>
  <c r="W2300" i="1" s="1"/>
  <c r="W2301" i="1" s="1"/>
  <c r="W2302" i="1" s="1"/>
  <c r="W2303" i="1" s="1"/>
  <c r="W2304" i="1" s="1"/>
  <c r="W2305" i="1" s="1"/>
  <c r="W2306" i="1" s="1"/>
  <c r="W2307" i="1" s="1"/>
  <c r="W2308" i="1" s="1"/>
  <c r="W2309" i="1" s="1"/>
  <c r="W2310" i="1" s="1"/>
  <c r="W2311" i="1" s="1"/>
  <c r="W2312" i="1" s="1"/>
  <c r="W2313" i="1" s="1"/>
  <c r="W2314" i="1" s="1"/>
  <c r="W2315" i="1" s="1"/>
  <c r="W2316" i="1" s="1"/>
  <c r="W2317" i="1" s="1"/>
  <c r="W2318" i="1" s="1"/>
  <c r="W2319" i="1" s="1"/>
  <c r="W2320" i="1" s="1"/>
  <c r="W2321" i="1" s="1"/>
  <c r="W2322" i="1" s="1"/>
  <c r="W2323" i="1" s="1"/>
  <c r="W2324" i="1" s="1"/>
  <c r="W2325" i="1" s="1"/>
  <c r="W2326" i="1" s="1"/>
  <c r="W2327" i="1" s="1"/>
  <c r="W2328" i="1" s="1"/>
  <c r="W2329" i="1" s="1"/>
  <c r="W2330" i="1" s="1"/>
  <c r="W2331" i="1" s="1"/>
  <c r="W2332" i="1" s="1"/>
  <c r="W2333" i="1" s="1"/>
  <c r="W2334" i="1" s="1"/>
  <c r="W2335" i="1" s="1"/>
  <c r="W2336" i="1" s="1"/>
  <c r="W2337" i="1" s="1"/>
  <c r="W2338" i="1" s="1"/>
  <c r="W2339" i="1" s="1"/>
  <c r="W2340" i="1" s="1"/>
  <c r="W2341" i="1" s="1"/>
  <c r="W2342" i="1" s="1"/>
  <c r="W2343" i="1" s="1"/>
  <c r="W2344" i="1" s="1"/>
  <c r="W2345" i="1" s="1"/>
  <c r="W2346" i="1" s="1"/>
  <c r="W2347" i="1" s="1"/>
  <c r="W2348" i="1" s="1"/>
  <c r="W2349" i="1" s="1"/>
  <c r="W2350" i="1" s="1"/>
  <c r="W2351" i="1" s="1"/>
  <c r="W2352" i="1" s="1"/>
  <c r="W2353" i="1" s="1"/>
  <c r="W2354" i="1" s="1"/>
  <c r="W2355" i="1" s="1"/>
  <c r="W2356" i="1" s="1"/>
  <c r="W2357" i="1" s="1"/>
  <c r="W2358" i="1" s="1"/>
  <c r="W2359" i="1" s="1"/>
  <c r="W2360" i="1" s="1"/>
  <c r="W2361" i="1" s="1"/>
  <c r="W2362" i="1" s="1"/>
  <c r="W2363" i="1" s="1"/>
  <c r="W2364" i="1" s="1"/>
  <c r="W2365" i="1" s="1"/>
  <c r="W2366" i="1" s="1"/>
  <c r="W2367" i="1" s="1"/>
  <c r="W2368" i="1" s="1"/>
  <c r="W2369" i="1" s="1"/>
  <c r="W2370" i="1" s="1"/>
  <c r="W2371" i="1" s="1"/>
  <c r="W2372" i="1" s="1"/>
  <c r="W2373" i="1" s="1"/>
  <c r="W2374" i="1" s="1"/>
  <c r="W2375" i="1" s="1"/>
  <c r="W2376" i="1" s="1"/>
  <c r="W2377" i="1" s="1"/>
  <c r="W2378" i="1" s="1"/>
  <c r="W2379" i="1" s="1"/>
  <c r="W2380" i="1" s="1"/>
  <c r="W2381" i="1" s="1"/>
  <c r="W2382" i="1" s="1"/>
  <c r="W2383" i="1" s="1"/>
  <c r="W2384" i="1" s="1"/>
  <c r="W2385" i="1" s="1"/>
  <c r="W2386" i="1" s="1"/>
  <c r="W2387" i="1" s="1"/>
  <c r="W2388" i="1" s="1"/>
  <c r="W2389" i="1" s="1"/>
  <c r="W2390" i="1" s="1"/>
  <c r="W2391" i="1" s="1"/>
  <c r="W2392" i="1" s="1"/>
  <c r="W2393" i="1" s="1"/>
  <c r="W2394" i="1" s="1"/>
  <c r="W2395" i="1" s="1"/>
  <c r="W2396" i="1" s="1"/>
  <c r="W2397" i="1" s="1"/>
  <c r="W2398" i="1" s="1"/>
  <c r="W2399" i="1" s="1"/>
  <c r="W2400" i="1" s="1"/>
  <c r="W2401" i="1" s="1"/>
  <c r="W2402" i="1" s="1"/>
  <c r="W2403" i="1" s="1"/>
  <c r="W2404" i="1" s="1"/>
  <c r="W2405" i="1" s="1"/>
  <c r="W2406" i="1" s="1"/>
  <c r="W2407" i="1" s="1"/>
  <c r="W2408" i="1" s="1"/>
  <c r="W2409" i="1" s="1"/>
  <c r="W2410" i="1" s="1"/>
  <c r="W2411" i="1" s="1"/>
  <c r="W2412" i="1" s="1"/>
  <c r="W2413" i="1" s="1"/>
  <c r="W2414" i="1" s="1"/>
  <c r="W2415" i="1" s="1"/>
  <c r="W2416" i="1" s="1"/>
  <c r="W2417" i="1" s="1"/>
  <c r="W2418" i="1" s="1"/>
  <c r="W2419" i="1" s="1"/>
  <c r="W2420" i="1" s="1"/>
  <c r="W2421" i="1" s="1"/>
  <c r="W2422" i="1" s="1"/>
  <c r="W2423" i="1" s="1"/>
  <c r="W2424" i="1" s="1"/>
  <c r="W2425" i="1" s="1"/>
  <c r="W2426" i="1" s="1"/>
  <c r="W2427" i="1" s="1"/>
  <c r="W2428" i="1" s="1"/>
  <c r="W2429" i="1" s="1"/>
  <c r="W2430" i="1" s="1"/>
  <c r="W2431" i="1" s="1"/>
  <c r="W2432" i="1" s="1"/>
  <c r="W2433" i="1" s="1"/>
  <c r="W2434" i="1" s="1"/>
  <c r="W2435" i="1" s="1"/>
  <c r="W2436" i="1" s="1"/>
  <c r="W2437" i="1" s="1"/>
  <c r="W2438" i="1" s="1"/>
  <c r="W2439" i="1" s="1"/>
  <c r="W2440" i="1" s="1"/>
  <c r="W2441" i="1" s="1"/>
  <c r="W2442" i="1" s="1"/>
  <c r="W2443" i="1" s="1"/>
  <c r="W2444" i="1" s="1"/>
  <c r="W2445" i="1" s="1"/>
  <c r="W2446" i="1" s="1"/>
  <c r="W2447" i="1" s="1"/>
  <c r="W2448" i="1" s="1"/>
  <c r="W2449" i="1" s="1"/>
  <c r="W2450" i="1" s="1"/>
  <c r="W2451" i="1" s="1"/>
  <c r="W2452" i="1" s="1"/>
  <c r="W2453" i="1" s="1"/>
  <c r="W2454" i="1" s="1"/>
  <c r="W2455" i="1" s="1"/>
  <c r="W2456" i="1" s="1"/>
  <c r="W2457" i="1" s="1"/>
  <c r="W2458" i="1" s="1"/>
  <c r="W2459" i="1" s="1"/>
  <c r="W2460" i="1" s="1"/>
  <c r="W2461" i="1" s="1"/>
  <c r="W2462" i="1" s="1"/>
  <c r="W2463" i="1" s="1"/>
  <c r="W2464" i="1" s="1"/>
  <c r="W2465" i="1" s="1"/>
  <c r="W2466" i="1" s="1"/>
  <c r="W2467" i="1" s="1"/>
  <c r="W2468" i="1" s="1"/>
  <c r="W2469" i="1" s="1"/>
  <c r="W2470" i="1" s="1"/>
  <c r="W2471" i="1" s="1"/>
  <c r="W2472" i="1" s="1"/>
  <c r="W2473" i="1" s="1"/>
  <c r="W2474" i="1" s="1"/>
  <c r="W2475" i="1" s="1"/>
  <c r="W2476" i="1" s="1"/>
  <c r="W2477" i="1" s="1"/>
  <c r="W2478" i="1" s="1"/>
  <c r="W2479" i="1" s="1"/>
  <c r="W2480" i="1" s="1"/>
  <c r="W2481" i="1" s="1"/>
  <c r="W2482" i="1" s="1"/>
  <c r="W2483" i="1" s="1"/>
  <c r="W2484" i="1" s="1"/>
  <c r="W2485" i="1" s="1"/>
  <c r="W2486" i="1" s="1"/>
  <c r="W2487" i="1" s="1"/>
  <c r="W2488" i="1" s="1"/>
  <c r="W2489" i="1" s="1"/>
  <c r="W2490" i="1" s="1"/>
  <c r="W2491" i="1" s="1"/>
  <c r="W2492" i="1" s="1"/>
  <c r="W2493" i="1" s="1"/>
  <c r="W2494" i="1" s="1"/>
  <c r="W2495" i="1" s="1"/>
  <c r="W2496" i="1" s="1"/>
  <c r="W2497" i="1" s="1"/>
  <c r="W2498" i="1" s="1"/>
  <c r="W2499" i="1" s="1"/>
  <c r="W2500" i="1" s="1"/>
  <c r="W2501" i="1" s="1"/>
  <c r="W2502" i="1" s="1"/>
  <c r="W2503" i="1" s="1"/>
  <c r="W2504" i="1" s="1"/>
  <c r="W2505" i="1" s="1"/>
  <c r="W2506" i="1" s="1"/>
  <c r="W2507" i="1" s="1"/>
  <c r="W2508" i="1" s="1"/>
  <c r="W2509" i="1" s="1"/>
  <c r="W2510" i="1" s="1"/>
  <c r="W2511" i="1" s="1"/>
  <c r="W2512" i="1" s="1"/>
  <c r="W2513" i="1" s="1"/>
  <c r="W2514" i="1" s="1"/>
  <c r="W2515" i="1" s="1"/>
  <c r="W2516" i="1" s="1"/>
  <c r="W2517" i="1" s="1"/>
  <c r="W2518" i="1" s="1"/>
  <c r="W2519" i="1" s="1"/>
  <c r="W2520" i="1" s="1"/>
  <c r="W2521" i="1" s="1"/>
  <c r="W2522" i="1" s="1"/>
  <c r="W2523" i="1" s="1"/>
  <c r="W2524" i="1" s="1"/>
  <c r="W2525" i="1" s="1"/>
  <c r="W2526" i="1" s="1"/>
  <c r="W2527" i="1" s="1"/>
  <c r="W2528" i="1" s="1"/>
  <c r="W2529" i="1" s="1"/>
  <c r="W2530" i="1" s="1"/>
  <c r="W2531" i="1" s="1"/>
  <c r="W2532" i="1" s="1"/>
  <c r="W2533" i="1" s="1"/>
  <c r="W2534" i="1" s="1"/>
  <c r="W2535" i="1" s="1"/>
  <c r="W2536" i="1" s="1"/>
  <c r="W2537" i="1" s="1"/>
  <c r="W2538" i="1" s="1"/>
  <c r="W2539" i="1" s="1"/>
  <c r="W2540" i="1" s="1"/>
  <c r="W2541" i="1" s="1"/>
  <c r="W2542" i="1" s="1"/>
  <c r="W2543" i="1" s="1"/>
  <c r="W2544" i="1" s="1"/>
  <c r="W2545" i="1" s="1"/>
  <c r="W2546" i="1" s="1"/>
  <c r="W2547" i="1" s="1"/>
  <c r="W2548" i="1" s="1"/>
  <c r="W2549" i="1" s="1"/>
  <c r="W2550" i="1" s="1"/>
  <c r="W2551" i="1" s="1"/>
  <c r="W2552" i="1" s="1"/>
  <c r="W2553" i="1" s="1"/>
  <c r="W2554" i="1" s="1"/>
  <c r="W2555" i="1" s="1"/>
  <c r="W2556" i="1" s="1"/>
  <c r="W2557" i="1" s="1"/>
  <c r="W2558" i="1" s="1"/>
  <c r="W2559" i="1" s="1"/>
  <c r="W2560" i="1" s="1"/>
  <c r="W2561" i="1" s="1"/>
  <c r="W2562" i="1" s="1"/>
  <c r="W2563" i="1" s="1"/>
  <c r="W2564" i="1" s="1"/>
  <c r="W2565" i="1" s="1"/>
  <c r="W2566" i="1" s="1"/>
  <c r="W2567" i="1" s="1"/>
  <c r="W2568" i="1" s="1"/>
  <c r="W2569" i="1" s="1"/>
  <c r="W2570" i="1" s="1"/>
  <c r="W2571" i="1" s="1"/>
  <c r="W2572" i="1" s="1"/>
  <c r="W2573" i="1" s="1"/>
  <c r="W2574" i="1" s="1"/>
  <c r="W2575" i="1" s="1"/>
  <c r="W2576" i="1" s="1"/>
  <c r="W2577" i="1" s="1"/>
  <c r="W2578" i="1" s="1"/>
  <c r="W2579" i="1" s="1"/>
  <c r="W2580" i="1" s="1"/>
  <c r="W2581" i="1" s="1"/>
  <c r="W2582" i="1" s="1"/>
  <c r="W2583" i="1" s="1"/>
  <c r="W2584" i="1" s="1"/>
  <c r="W2585" i="1" s="1"/>
  <c r="W2586" i="1" s="1"/>
  <c r="W2587" i="1" s="1"/>
  <c r="W2588" i="1" s="1"/>
  <c r="W2589" i="1" s="1"/>
  <c r="W2590" i="1" s="1"/>
  <c r="W2591" i="1" s="1"/>
  <c r="W2592" i="1" s="1"/>
  <c r="W2593" i="1" s="1"/>
  <c r="W2594" i="1" s="1"/>
  <c r="W2595" i="1" s="1"/>
  <c r="W2596" i="1" s="1"/>
  <c r="W2597" i="1" s="1"/>
  <c r="W2598" i="1" s="1"/>
  <c r="W2599" i="1" s="1"/>
  <c r="W2600" i="1" s="1"/>
  <c r="W2601" i="1" s="1"/>
  <c r="W2602" i="1" s="1"/>
  <c r="W2603" i="1" s="1"/>
  <c r="W2604" i="1" s="1"/>
  <c r="W2605" i="1" s="1"/>
  <c r="W2606" i="1" s="1"/>
  <c r="W2607" i="1" s="1"/>
  <c r="W2608" i="1" s="1"/>
  <c r="W2609" i="1" s="1"/>
  <c r="W2610" i="1" s="1"/>
  <c r="W2611" i="1" s="1"/>
  <c r="W2612" i="1" s="1"/>
  <c r="W2613" i="1" s="1"/>
  <c r="W2614" i="1" s="1"/>
  <c r="W2615" i="1" s="1"/>
  <c r="W2616" i="1" s="1"/>
  <c r="W2617" i="1" s="1"/>
  <c r="W2618" i="1" s="1"/>
  <c r="W2619" i="1" s="1"/>
  <c r="W2620" i="1" s="1"/>
  <c r="W2621" i="1" s="1"/>
  <c r="W2622" i="1" s="1"/>
  <c r="W2623" i="1" s="1"/>
  <c r="W2624" i="1" s="1"/>
  <c r="W2625" i="1" s="1"/>
  <c r="W2626" i="1" s="1"/>
  <c r="W2627" i="1" s="1"/>
  <c r="W2628" i="1" s="1"/>
  <c r="W2629" i="1" s="1"/>
  <c r="W2630" i="1" s="1"/>
  <c r="W2631" i="1" s="1"/>
  <c r="W2632" i="1" s="1"/>
  <c r="W2633" i="1" s="1"/>
  <c r="W2634" i="1" s="1"/>
  <c r="W2635" i="1" s="1"/>
  <c r="W2636" i="1" s="1"/>
  <c r="W2637" i="1" s="1"/>
  <c r="W2638" i="1" s="1"/>
  <c r="W2639" i="1" s="1"/>
  <c r="W2640" i="1" s="1"/>
  <c r="W2641" i="1" s="1"/>
  <c r="W2642" i="1" s="1"/>
  <c r="W2643" i="1" s="1"/>
  <c r="W2644" i="1" s="1"/>
  <c r="W2645" i="1" s="1"/>
  <c r="W2646" i="1" s="1"/>
  <c r="W2647" i="1" s="1"/>
  <c r="W2648" i="1" s="1"/>
  <c r="W2649" i="1" s="1"/>
  <c r="W2650" i="1" s="1"/>
  <c r="W2651" i="1" s="1"/>
  <c r="W2652" i="1" s="1"/>
  <c r="W2653" i="1" s="1"/>
  <c r="W2654" i="1" s="1"/>
  <c r="W2655" i="1" s="1"/>
  <c r="W2656" i="1" s="1"/>
  <c r="W2657" i="1" s="1"/>
  <c r="W2658" i="1" s="1"/>
  <c r="W2659" i="1" s="1"/>
  <c r="W2660" i="1" s="1"/>
  <c r="W2661" i="1" s="1"/>
  <c r="W2662" i="1" s="1"/>
  <c r="W2663" i="1" s="1"/>
  <c r="W2664" i="1" s="1"/>
  <c r="W2665" i="1" s="1"/>
  <c r="W2666" i="1" s="1"/>
  <c r="W2667" i="1" s="1"/>
  <c r="W2668" i="1" s="1"/>
  <c r="W2669" i="1" s="1"/>
  <c r="W2670" i="1" s="1"/>
  <c r="W2671" i="1" s="1"/>
  <c r="W2672" i="1" s="1"/>
  <c r="W2673" i="1" s="1"/>
  <c r="W2674" i="1" s="1"/>
  <c r="W2675" i="1" s="1"/>
  <c r="W2676" i="1" s="1"/>
  <c r="W2677" i="1" s="1"/>
  <c r="W2678" i="1" s="1"/>
  <c r="W2679" i="1" s="1"/>
  <c r="W2680" i="1" s="1"/>
  <c r="W2681" i="1" s="1"/>
  <c r="W2682" i="1" s="1"/>
  <c r="W2683" i="1" s="1"/>
  <c r="W2684" i="1" s="1"/>
  <c r="W2685" i="1" s="1"/>
  <c r="W2686" i="1" s="1"/>
  <c r="W2687" i="1" s="1"/>
  <c r="W2688" i="1" s="1"/>
  <c r="W2689" i="1" s="1"/>
  <c r="W2690" i="1" s="1"/>
  <c r="W2691" i="1" s="1"/>
  <c r="W2692" i="1" s="1"/>
  <c r="W2693" i="1" s="1"/>
  <c r="W2694" i="1" s="1"/>
  <c r="W2695" i="1" s="1"/>
  <c r="W2696" i="1" s="1"/>
  <c r="W2697" i="1" s="1"/>
  <c r="W2698" i="1" s="1"/>
  <c r="W2699" i="1" s="1"/>
  <c r="W2700" i="1" s="1"/>
  <c r="W2701" i="1" s="1"/>
  <c r="W2702" i="1" s="1"/>
  <c r="W2703" i="1" s="1"/>
  <c r="W2704" i="1" s="1"/>
  <c r="W2705" i="1" s="1"/>
  <c r="W2706" i="1" s="1"/>
  <c r="W2707" i="1" s="1"/>
  <c r="W2708" i="1" s="1"/>
  <c r="W2709" i="1" s="1"/>
  <c r="W2710" i="1" s="1"/>
  <c r="W2711" i="1" s="1"/>
  <c r="W2712" i="1" s="1"/>
  <c r="W2713" i="1" s="1"/>
  <c r="W2714" i="1" s="1"/>
  <c r="W2715" i="1" s="1"/>
  <c r="W2716" i="1" s="1"/>
  <c r="W2717" i="1" s="1"/>
  <c r="W2718" i="1" s="1"/>
  <c r="W2719" i="1" s="1"/>
  <c r="W2720" i="1" s="1"/>
  <c r="W2721" i="1" s="1"/>
  <c r="W2722" i="1" s="1"/>
  <c r="W2723" i="1" s="1"/>
  <c r="W2724" i="1" s="1"/>
  <c r="W2725" i="1" s="1"/>
  <c r="W2726" i="1" s="1"/>
  <c r="W2727" i="1" s="1"/>
  <c r="W2728" i="1" s="1"/>
  <c r="W2729" i="1" s="1"/>
  <c r="W2730" i="1" s="1"/>
  <c r="W2731" i="1" s="1"/>
  <c r="W2732" i="1" s="1"/>
  <c r="W2733" i="1" s="1"/>
  <c r="W2734" i="1" s="1"/>
  <c r="W2735" i="1" s="1"/>
  <c r="W2736" i="1" s="1"/>
  <c r="W2737" i="1" s="1"/>
  <c r="W2738" i="1" s="1"/>
  <c r="W2739" i="1" s="1"/>
  <c r="W2740" i="1" s="1"/>
  <c r="W2741" i="1" s="1"/>
  <c r="W2742" i="1" s="1"/>
  <c r="W2743" i="1" s="1"/>
  <c r="W2744" i="1" s="1"/>
  <c r="W2745" i="1" s="1"/>
  <c r="W2746" i="1" s="1"/>
  <c r="W2747" i="1" s="1"/>
  <c r="W2748" i="1" s="1"/>
  <c r="W2749" i="1" s="1"/>
  <c r="W2750" i="1" s="1"/>
  <c r="W2751" i="1" s="1"/>
  <c r="W2752" i="1" s="1"/>
  <c r="W2753" i="1" s="1"/>
  <c r="W2754" i="1" s="1"/>
  <c r="W2755" i="1" s="1"/>
  <c r="W2756" i="1" s="1"/>
  <c r="W2757" i="1" s="1"/>
  <c r="W2758" i="1" s="1"/>
  <c r="W2759" i="1" s="1"/>
  <c r="W2760" i="1" s="1"/>
  <c r="W2761" i="1" s="1"/>
  <c r="W2762" i="1" s="1"/>
  <c r="W2763" i="1" s="1"/>
  <c r="W2764" i="1" s="1"/>
  <c r="W2765" i="1" s="1"/>
  <c r="W2766" i="1" s="1"/>
  <c r="W2767" i="1" s="1"/>
  <c r="W2768" i="1" s="1"/>
  <c r="W2769" i="1" s="1"/>
  <c r="W2770" i="1" s="1"/>
  <c r="W2771" i="1" s="1"/>
  <c r="W2772" i="1" s="1"/>
  <c r="W2773" i="1" s="1"/>
  <c r="W2774" i="1" s="1"/>
  <c r="W2775" i="1" s="1"/>
  <c r="W2776" i="1" s="1"/>
  <c r="W2777" i="1" s="1"/>
  <c r="W2778" i="1" s="1"/>
  <c r="W2779" i="1" s="1"/>
  <c r="W2780" i="1" s="1"/>
  <c r="W2781" i="1" s="1"/>
  <c r="W2782" i="1" s="1"/>
  <c r="W2783" i="1" s="1"/>
  <c r="W2784" i="1" s="1"/>
  <c r="W2785" i="1" s="1"/>
  <c r="W2786" i="1" s="1"/>
  <c r="W2787" i="1" s="1"/>
  <c r="W2788" i="1" s="1"/>
  <c r="W2789" i="1" s="1"/>
  <c r="W2790" i="1" s="1"/>
  <c r="W2791" i="1" s="1"/>
  <c r="W2792" i="1" s="1"/>
  <c r="W2793" i="1" s="1"/>
  <c r="W2794" i="1" s="1"/>
  <c r="W2795" i="1" s="1"/>
  <c r="W2796" i="1" s="1"/>
  <c r="W2797" i="1" s="1"/>
  <c r="W2798" i="1" s="1"/>
  <c r="W2799" i="1" s="1"/>
  <c r="W2800" i="1" s="1"/>
  <c r="W2801" i="1" s="1"/>
  <c r="W2802" i="1" s="1"/>
  <c r="W2803" i="1" s="1"/>
  <c r="W2804" i="1" s="1"/>
  <c r="W2805" i="1" s="1"/>
  <c r="W2806" i="1" s="1"/>
  <c r="W2807" i="1" s="1"/>
  <c r="W2808" i="1" s="1"/>
  <c r="W2809" i="1" s="1"/>
  <c r="W2810" i="1" s="1"/>
  <c r="W2811" i="1" s="1"/>
  <c r="W2812" i="1" s="1"/>
  <c r="W2813" i="1" s="1"/>
  <c r="W2814" i="1" s="1"/>
  <c r="W2815" i="1" s="1"/>
  <c r="W2816" i="1" s="1"/>
  <c r="W2817" i="1" s="1"/>
  <c r="W2818" i="1" s="1"/>
  <c r="W2819" i="1" s="1"/>
  <c r="W2820" i="1" s="1"/>
  <c r="W2821" i="1" s="1"/>
  <c r="W2822" i="1" s="1"/>
  <c r="W2823" i="1" s="1"/>
  <c r="W2824" i="1" s="1"/>
  <c r="W2825" i="1" s="1"/>
  <c r="W2826" i="1" s="1"/>
  <c r="W2827" i="1" s="1"/>
  <c r="W2828" i="1" s="1"/>
  <c r="W2829" i="1" s="1"/>
  <c r="W2830" i="1" s="1"/>
  <c r="W2831" i="1" s="1"/>
  <c r="W2832" i="1" s="1"/>
  <c r="W2833" i="1" s="1"/>
  <c r="W2834" i="1" s="1"/>
  <c r="W2835" i="1" s="1"/>
  <c r="W2836" i="1" s="1"/>
  <c r="W2837" i="1" s="1"/>
  <c r="W2838" i="1" s="1"/>
  <c r="W2839" i="1" s="1"/>
  <c r="W2840" i="1" s="1"/>
  <c r="W2841" i="1" s="1"/>
  <c r="W2842" i="1" s="1"/>
  <c r="W2843" i="1" s="1"/>
  <c r="W2844" i="1" s="1"/>
  <c r="W2845" i="1" s="1"/>
  <c r="W2846" i="1" s="1"/>
  <c r="W2847" i="1" s="1"/>
  <c r="W2848" i="1" s="1"/>
  <c r="W2849" i="1" s="1"/>
  <c r="W2850" i="1" s="1"/>
  <c r="W2851" i="1" s="1"/>
  <c r="W2852" i="1" s="1"/>
  <c r="W2853" i="1" s="1"/>
  <c r="W2854" i="1" s="1"/>
  <c r="W2855" i="1" s="1"/>
  <c r="W2856" i="1" s="1"/>
  <c r="W2857" i="1" s="1"/>
  <c r="W2858" i="1" s="1"/>
  <c r="W2859" i="1" s="1"/>
  <c r="W2860" i="1" s="1"/>
  <c r="W2861" i="1" s="1"/>
  <c r="W2862" i="1" s="1"/>
  <c r="W2863" i="1" s="1"/>
  <c r="W2864" i="1" s="1"/>
  <c r="W2865" i="1" s="1"/>
  <c r="W2866" i="1" s="1"/>
  <c r="W2867" i="1" s="1"/>
  <c r="W2868" i="1" s="1"/>
  <c r="W2869" i="1" s="1"/>
  <c r="W2870" i="1" s="1"/>
  <c r="W2871" i="1" s="1"/>
  <c r="W2872" i="1" s="1"/>
  <c r="W2873" i="1" s="1"/>
  <c r="W2874" i="1" s="1"/>
  <c r="W2875" i="1" s="1"/>
  <c r="W2876" i="1" s="1"/>
  <c r="W2877" i="1" s="1"/>
  <c r="W2878" i="1" s="1"/>
  <c r="W2879" i="1" s="1"/>
  <c r="W2880" i="1" s="1"/>
  <c r="W2881" i="1" s="1"/>
  <c r="W2882" i="1" s="1"/>
  <c r="W2883" i="1" s="1"/>
  <c r="W2884" i="1" s="1"/>
  <c r="W2885" i="1" s="1"/>
  <c r="W2886" i="1" s="1"/>
  <c r="W2887" i="1" s="1"/>
  <c r="W2888" i="1" s="1"/>
  <c r="W2889" i="1" s="1"/>
  <c r="W2890" i="1" s="1"/>
  <c r="W2891" i="1" s="1"/>
  <c r="W2892" i="1" s="1"/>
  <c r="W2893" i="1" s="1"/>
  <c r="W2894" i="1" s="1"/>
  <c r="W2895" i="1" s="1"/>
  <c r="W2896" i="1" s="1"/>
  <c r="W2897" i="1" s="1"/>
  <c r="W2898" i="1" s="1"/>
  <c r="W2899" i="1" s="1"/>
  <c r="W2900" i="1" s="1"/>
  <c r="W2901" i="1" s="1"/>
  <c r="W2902" i="1" s="1"/>
  <c r="W2903" i="1" s="1"/>
  <c r="W2904" i="1" s="1"/>
  <c r="W2905" i="1" s="1"/>
  <c r="W2906" i="1" s="1"/>
  <c r="W2907" i="1" s="1"/>
  <c r="W2908" i="1" s="1"/>
  <c r="W2909" i="1" s="1"/>
  <c r="W2910" i="1" s="1"/>
  <c r="W2911" i="1" s="1"/>
  <c r="W2912" i="1" s="1"/>
  <c r="W2913" i="1" s="1"/>
  <c r="W2914" i="1" s="1"/>
  <c r="W2915" i="1" s="1"/>
  <c r="W2916" i="1" s="1"/>
  <c r="W2917" i="1" s="1"/>
  <c r="W2918" i="1" s="1"/>
  <c r="W2919" i="1" s="1"/>
  <c r="W2920" i="1" s="1"/>
  <c r="W2921" i="1" s="1"/>
  <c r="W2922" i="1" s="1"/>
  <c r="W2923" i="1" s="1"/>
  <c r="W2924" i="1" s="1"/>
  <c r="W2925" i="1" s="1"/>
  <c r="W2926" i="1" s="1"/>
  <c r="W2927" i="1" s="1"/>
  <c r="W2928" i="1" s="1"/>
  <c r="W2929" i="1" s="1"/>
  <c r="W2930" i="1" s="1"/>
  <c r="W2931" i="1" s="1"/>
  <c r="W2932" i="1" s="1"/>
  <c r="W2933" i="1" s="1"/>
  <c r="W2934" i="1" s="1"/>
  <c r="W2935" i="1" s="1"/>
  <c r="W2936" i="1" s="1"/>
  <c r="W2937" i="1" s="1"/>
  <c r="W2938" i="1" s="1"/>
  <c r="W2939" i="1" s="1"/>
  <c r="W2940" i="1" s="1"/>
  <c r="W2941" i="1" s="1"/>
  <c r="W2942" i="1" s="1"/>
  <c r="W2943" i="1" s="1"/>
  <c r="W2944" i="1" s="1"/>
  <c r="W2945" i="1" s="1"/>
  <c r="W2946" i="1" s="1"/>
  <c r="W2947" i="1" s="1"/>
  <c r="W2948" i="1" s="1"/>
  <c r="W2949" i="1" s="1"/>
  <c r="W2950" i="1" s="1"/>
  <c r="W2951" i="1" s="1"/>
  <c r="W2952" i="1" s="1"/>
  <c r="W2953" i="1" s="1"/>
  <c r="W2954" i="1" s="1"/>
  <c r="W2955" i="1" s="1"/>
  <c r="W2956" i="1" s="1"/>
  <c r="W2957" i="1" s="1"/>
  <c r="W2958" i="1" s="1"/>
  <c r="W2959" i="1" s="1"/>
  <c r="W2960" i="1" s="1"/>
  <c r="W2961" i="1" s="1"/>
  <c r="W2962" i="1" s="1"/>
  <c r="W2963" i="1" s="1"/>
  <c r="W2964" i="1" s="1"/>
  <c r="W2965" i="1" s="1"/>
  <c r="W2966" i="1" s="1"/>
  <c r="W2967" i="1" s="1"/>
  <c r="W2968" i="1" s="1"/>
  <c r="W2969" i="1" s="1"/>
  <c r="W2970" i="1" s="1"/>
  <c r="W2971" i="1" s="1"/>
  <c r="W2972" i="1" s="1"/>
  <c r="W2973" i="1" s="1"/>
  <c r="W2974" i="1" s="1"/>
  <c r="W2975" i="1" s="1"/>
  <c r="W2976" i="1" s="1"/>
  <c r="W2977" i="1" s="1"/>
  <c r="W2978" i="1" s="1"/>
  <c r="W2979" i="1" s="1"/>
  <c r="W2980" i="1" s="1"/>
  <c r="W2981" i="1" s="1"/>
  <c r="W2982" i="1" s="1"/>
  <c r="W2983" i="1" s="1"/>
  <c r="W2984" i="1" s="1"/>
  <c r="W2985" i="1" s="1"/>
  <c r="W2986" i="1" s="1"/>
  <c r="W2987" i="1" s="1"/>
  <c r="W2988" i="1" s="1"/>
  <c r="W2989" i="1" s="1"/>
  <c r="W2990" i="1" s="1"/>
  <c r="W2991" i="1" s="1"/>
  <c r="W2992" i="1" s="1"/>
  <c r="W2993" i="1" s="1"/>
  <c r="W2994" i="1" s="1"/>
  <c r="W2995" i="1" s="1"/>
  <c r="W2996" i="1" s="1"/>
  <c r="W2997" i="1" s="1"/>
  <c r="W2998" i="1" s="1"/>
  <c r="W2999" i="1" s="1"/>
  <c r="W3000" i="1" s="1"/>
  <c r="W3001" i="1" s="1"/>
  <c r="W3002" i="1" s="1"/>
  <c r="W3003" i="1" s="1"/>
  <c r="W3004" i="1" s="1"/>
  <c r="W3005" i="1" s="1"/>
  <c r="W3006" i="1" s="1"/>
  <c r="W3007" i="1" s="1"/>
  <c r="W3008" i="1" s="1"/>
  <c r="W3009" i="1" s="1"/>
  <c r="W3010" i="1" s="1"/>
  <c r="W3011" i="1" s="1"/>
  <c r="W3012" i="1" s="1"/>
  <c r="W3013" i="1" s="1"/>
  <c r="W3014" i="1" s="1"/>
  <c r="W3015" i="1" s="1"/>
  <c r="W3016" i="1" s="1"/>
  <c r="W3017" i="1" s="1"/>
  <c r="W3018" i="1" s="1"/>
  <c r="W3019" i="1" s="1"/>
  <c r="W3020" i="1" s="1"/>
  <c r="W3021" i="1" s="1"/>
  <c r="W3022" i="1" s="1"/>
  <c r="W3023" i="1" s="1"/>
  <c r="W3024" i="1" s="1"/>
  <c r="W3025" i="1" s="1"/>
  <c r="W3026" i="1" s="1"/>
  <c r="W3027" i="1" s="1"/>
  <c r="W3028" i="1" s="1"/>
  <c r="W3029" i="1" s="1"/>
  <c r="W3030" i="1" s="1"/>
  <c r="W3031" i="1" s="1"/>
  <c r="W3032" i="1" s="1"/>
  <c r="W3033" i="1" s="1"/>
  <c r="W3034" i="1" s="1"/>
  <c r="W3035" i="1" s="1"/>
  <c r="W3036" i="1" s="1"/>
  <c r="W3037" i="1" s="1"/>
  <c r="W3038" i="1" s="1"/>
  <c r="W3039" i="1" s="1"/>
  <c r="W3040" i="1" s="1"/>
  <c r="W3041" i="1" s="1"/>
  <c r="W3042" i="1" s="1"/>
  <c r="W3043" i="1" s="1"/>
  <c r="W3044" i="1" s="1"/>
  <c r="W3045" i="1" s="1"/>
  <c r="W3046" i="1" s="1"/>
  <c r="W3047" i="1" s="1"/>
  <c r="W3048" i="1" s="1"/>
  <c r="W3049" i="1" s="1"/>
  <c r="W3050" i="1" s="1"/>
  <c r="W3051" i="1" s="1"/>
  <c r="W3052" i="1" s="1"/>
  <c r="W3053" i="1" s="1"/>
  <c r="W3054" i="1" s="1"/>
  <c r="W3055" i="1" s="1"/>
  <c r="W3056" i="1" s="1"/>
  <c r="W3057" i="1" s="1"/>
  <c r="W3058" i="1" s="1"/>
  <c r="W3059" i="1" s="1"/>
  <c r="W3060" i="1" s="1"/>
  <c r="W3061" i="1" s="1"/>
  <c r="W3062" i="1" s="1"/>
  <c r="W3063" i="1" s="1"/>
  <c r="W3064" i="1" s="1"/>
  <c r="W3065" i="1" s="1"/>
  <c r="W3066" i="1" s="1"/>
  <c r="W3067" i="1" s="1"/>
  <c r="W3068" i="1" s="1"/>
  <c r="W3069" i="1" s="1"/>
  <c r="W3070" i="1" s="1"/>
  <c r="W3071" i="1" s="1"/>
  <c r="W3072" i="1" s="1"/>
  <c r="W3073" i="1" s="1"/>
  <c r="W3074" i="1" s="1"/>
  <c r="W3075" i="1" s="1"/>
  <c r="W3076" i="1" s="1"/>
  <c r="W3077" i="1" s="1"/>
  <c r="W3078" i="1" s="1"/>
  <c r="W3079" i="1" s="1"/>
  <c r="W3080" i="1" s="1"/>
  <c r="W3081" i="1" s="1"/>
  <c r="W3082" i="1" s="1"/>
  <c r="W3083" i="1" s="1"/>
  <c r="W3084" i="1" s="1"/>
  <c r="W3085" i="1" s="1"/>
  <c r="W3086" i="1" s="1"/>
  <c r="W3087" i="1" s="1"/>
  <c r="W3088" i="1" s="1"/>
  <c r="W3089" i="1" s="1"/>
  <c r="W3090" i="1" s="1"/>
  <c r="W3091" i="1" s="1"/>
  <c r="W3092" i="1" s="1"/>
  <c r="W3093" i="1" s="1"/>
  <c r="W3094" i="1" s="1"/>
  <c r="W3095" i="1" s="1"/>
  <c r="W3096" i="1" s="1"/>
  <c r="W3097" i="1" s="1"/>
  <c r="W3098" i="1" s="1"/>
  <c r="W3099" i="1" s="1"/>
  <c r="W3100" i="1" s="1"/>
  <c r="W3101" i="1" s="1"/>
  <c r="W3102" i="1" s="1"/>
  <c r="W3103" i="1" s="1"/>
  <c r="W3104" i="1" s="1"/>
  <c r="W3105" i="1" s="1"/>
  <c r="W3106" i="1" s="1"/>
  <c r="W3107" i="1" s="1"/>
  <c r="W3108" i="1" s="1"/>
  <c r="W3109" i="1" s="1"/>
  <c r="W3110" i="1" s="1"/>
  <c r="W3111" i="1" s="1"/>
  <c r="W3112" i="1" s="1"/>
  <c r="W3113" i="1" s="1"/>
  <c r="W3114" i="1" s="1"/>
  <c r="W3115" i="1" s="1"/>
  <c r="W3116" i="1" s="1"/>
  <c r="W3117" i="1" s="1"/>
  <c r="W3118" i="1" s="1"/>
  <c r="W3119" i="1" s="1"/>
  <c r="W3120" i="1" s="1"/>
  <c r="W3121" i="1" s="1"/>
  <c r="W3122" i="1" s="1"/>
  <c r="W3123" i="1" s="1"/>
  <c r="W3124" i="1" s="1"/>
  <c r="W3125" i="1" s="1"/>
  <c r="W3126" i="1" s="1"/>
  <c r="W3127" i="1" s="1"/>
  <c r="W3128" i="1" s="1"/>
  <c r="W3129" i="1" s="1"/>
  <c r="W3130" i="1" s="1"/>
  <c r="W3131" i="1" s="1"/>
  <c r="W3132" i="1" s="1"/>
  <c r="W3133" i="1" s="1"/>
  <c r="W3134" i="1" s="1"/>
  <c r="W3135" i="1" s="1"/>
  <c r="W3136" i="1" s="1"/>
  <c r="W3137" i="1" s="1"/>
  <c r="W3138" i="1" s="1"/>
  <c r="W3139" i="1" s="1"/>
  <c r="W3140" i="1" s="1"/>
  <c r="W3141" i="1" s="1"/>
  <c r="W3142" i="1" s="1"/>
  <c r="W3143" i="1" s="1"/>
  <c r="W3144" i="1" s="1"/>
  <c r="W3145" i="1" s="1"/>
  <c r="W3146" i="1" s="1"/>
  <c r="W3147" i="1" s="1"/>
  <c r="W3148" i="1" s="1"/>
  <c r="W3149" i="1" s="1"/>
  <c r="W3150" i="1" s="1"/>
  <c r="W3151" i="1" s="1"/>
  <c r="W3152" i="1" s="1"/>
  <c r="W3153" i="1" s="1"/>
  <c r="W3154" i="1" s="1"/>
  <c r="W3155" i="1" s="1"/>
  <c r="W3156" i="1" s="1"/>
  <c r="W3157" i="1" s="1"/>
  <c r="W3158" i="1" s="1"/>
  <c r="W3159" i="1" s="1"/>
  <c r="W3160" i="1" s="1"/>
  <c r="W3161" i="1" s="1"/>
  <c r="W3162" i="1" s="1"/>
  <c r="W3163" i="1" s="1"/>
  <c r="W3164" i="1" s="1"/>
  <c r="W3165" i="1" s="1"/>
  <c r="W3166" i="1" s="1"/>
  <c r="W3167" i="1" s="1"/>
  <c r="W3168" i="1" s="1"/>
  <c r="W3169" i="1" s="1"/>
  <c r="W3170" i="1" s="1"/>
  <c r="W3171" i="1" s="1"/>
  <c r="W3172" i="1" s="1"/>
  <c r="W3173" i="1" s="1"/>
  <c r="W3174" i="1" s="1"/>
  <c r="W3175" i="1" s="1"/>
  <c r="W3176" i="1" s="1"/>
  <c r="W3177" i="1" s="1"/>
  <c r="W3178" i="1" s="1"/>
  <c r="W3179" i="1" s="1"/>
  <c r="W3180" i="1" s="1"/>
  <c r="W3181" i="1" s="1"/>
  <c r="W3182" i="1" s="1"/>
  <c r="W3183" i="1" s="1"/>
  <c r="W3184" i="1" s="1"/>
  <c r="W3185" i="1" s="1"/>
  <c r="W3186" i="1" s="1"/>
  <c r="W3187" i="1" s="1"/>
  <c r="W3188" i="1" s="1"/>
  <c r="W3189" i="1" s="1"/>
  <c r="W3190" i="1" s="1"/>
  <c r="W3191" i="1" s="1"/>
  <c r="W3192" i="1" s="1"/>
  <c r="W3193" i="1" s="1"/>
  <c r="W3194" i="1" s="1"/>
  <c r="W3195" i="1" s="1"/>
  <c r="W3196" i="1" s="1"/>
  <c r="W3197" i="1" s="1"/>
  <c r="W3198" i="1" s="1"/>
  <c r="W3199" i="1" s="1"/>
  <c r="W3200" i="1" s="1"/>
  <c r="W3201" i="1" s="1"/>
  <c r="W3202" i="1" s="1"/>
  <c r="W3203" i="1" s="1"/>
  <c r="W3204" i="1" s="1"/>
  <c r="W3205" i="1" s="1"/>
  <c r="W3206" i="1" s="1"/>
  <c r="W3207" i="1" s="1"/>
  <c r="W3208" i="1" s="1"/>
  <c r="W3209" i="1" s="1"/>
  <c r="W3210" i="1" s="1"/>
  <c r="W3211" i="1" s="1"/>
  <c r="W3212" i="1" s="1"/>
  <c r="W3213" i="1" s="1"/>
  <c r="W3214" i="1" s="1"/>
  <c r="W3215" i="1" s="1"/>
  <c r="W3216" i="1" s="1"/>
  <c r="W3217" i="1" s="1"/>
  <c r="W3218" i="1" s="1"/>
  <c r="W3219" i="1" s="1"/>
  <c r="W3220" i="1" s="1"/>
  <c r="W3221" i="1" s="1"/>
  <c r="W3222" i="1" s="1"/>
  <c r="W3223" i="1" s="1"/>
  <c r="W3224" i="1" s="1"/>
  <c r="W3225" i="1" s="1"/>
  <c r="W3226" i="1" s="1"/>
  <c r="W3227" i="1" s="1"/>
  <c r="W3228" i="1" s="1"/>
  <c r="W3229" i="1" s="1"/>
  <c r="W3230" i="1" s="1"/>
  <c r="W3231" i="1" s="1"/>
  <c r="W3232" i="1" s="1"/>
  <c r="W3233" i="1" s="1"/>
  <c r="W3234" i="1" s="1"/>
  <c r="W3235" i="1" s="1"/>
  <c r="W3236" i="1" s="1"/>
  <c r="W3237" i="1" s="1"/>
  <c r="W3238" i="1" s="1"/>
  <c r="W3239" i="1" s="1"/>
  <c r="W3240" i="1" s="1"/>
  <c r="W3241" i="1" s="1"/>
  <c r="W3242" i="1" s="1"/>
  <c r="W3243" i="1" s="1"/>
  <c r="W3244" i="1" s="1"/>
  <c r="W3245" i="1" s="1"/>
  <c r="W3246" i="1" s="1"/>
  <c r="W3247" i="1" s="1"/>
  <c r="W3248" i="1" s="1"/>
  <c r="W3249" i="1" s="1"/>
  <c r="W3250" i="1" s="1"/>
  <c r="W3251" i="1" s="1"/>
  <c r="W3252" i="1" s="1"/>
  <c r="W3253" i="1" s="1"/>
  <c r="W3254" i="1" s="1"/>
  <c r="W3255" i="1" s="1"/>
  <c r="W3256" i="1" s="1"/>
  <c r="W3257" i="1" s="1"/>
  <c r="W3258" i="1" s="1"/>
  <c r="W3259" i="1" s="1"/>
  <c r="W3260" i="1" s="1"/>
  <c r="W3261" i="1" s="1"/>
  <c r="W3262" i="1" s="1"/>
  <c r="W3263" i="1" s="1"/>
  <c r="W3264" i="1" s="1"/>
  <c r="W3265" i="1" s="1"/>
  <c r="W3266" i="1" s="1"/>
  <c r="W3267" i="1" s="1"/>
  <c r="W3268" i="1" s="1"/>
  <c r="W3269" i="1" s="1"/>
  <c r="W3270" i="1" s="1"/>
  <c r="W3271" i="1" s="1"/>
  <c r="W3272" i="1" s="1"/>
  <c r="W3273" i="1" s="1"/>
  <c r="W3274" i="1" s="1"/>
  <c r="W3275" i="1" s="1"/>
  <c r="W3276" i="1" s="1"/>
  <c r="W3277" i="1" s="1"/>
  <c r="W3278" i="1" s="1"/>
  <c r="W3279" i="1" s="1"/>
  <c r="W3280" i="1" s="1"/>
  <c r="W3281" i="1" s="1"/>
  <c r="W3282" i="1" s="1"/>
  <c r="W3283" i="1" s="1"/>
  <c r="W3284" i="1" s="1"/>
  <c r="W3285" i="1" s="1"/>
  <c r="W3286" i="1" s="1"/>
  <c r="W3287" i="1" s="1"/>
  <c r="W3288" i="1" s="1"/>
  <c r="W3289" i="1" s="1"/>
  <c r="W3290" i="1" s="1"/>
  <c r="W3291" i="1" s="1"/>
  <c r="W3292" i="1" s="1"/>
  <c r="W3293" i="1" s="1"/>
  <c r="W3294" i="1" s="1"/>
  <c r="W3295" i="1" s="1"/>
  <c r="W3296" i="1" s="1"/>
  <c r="W3297" i="1" s="1"/>
  <c r="W3298" i="1" s="1"/>
  <c r="W3299" i="1" s="1"/>
  <c r="W3300" i="1" s="1"/>
  <c r="W3301" i="1" s="1"/>
  <c r="W3302" i="1" s="1"/>
  <c r="W3303" i="1" s="1"/>
  <c r="W3304" i="1" s="1"/>
  <c r="W3305" i="1" s="1"/>
  <c r="W3306" i="1" s="1"/>
  <c r="W3307" i="1" s="1"/>
  <c r="W3308" i="1" s="1"/>
  <c r="W3309" i="1" s="1"/>
  <c r="W3310" i="1" s="1"/>
  <c r="W3311" i="1" s="1"/>
  <c r="W3312" i="1" s="1"/>
  <c r="W3313" i="1" s="1"/>
  <c r="W3314" i="1" s="1"/>
  <c r="W3315" i="1" s="1"/>
  <c r="W3316" i="1" s="1"/>
  <c r="W3317" i="1" s="1"/>
  <c r="W3318" i="1" s="1"/>
  <c r="W3319" i="1" s="1"/>
  <c r="W3320" i="1" s="1"/>
  <c r="W3321" i="1" s="1"/>
  <c r="W3322" i="1" s="1"/>
  <c r="W3323" i="1" s="1"/>
  <c r="W3324" i="1" s="1"/>
  <c r="W3325" i="1" s="1"/>
  <c r="W3326" i="1" s="1"/>
  <c r="W3327" i="1" s="1"/>
  <c r="W3328" i="1" s="1"/>
  <c r="W3329" i="1" s="1"/>
  <c r="W3330" i="1" s="1"/>
  <c r="W3331" i="1" s="1"/>
  <c r="W3332" i="1" s="1"/>
  <c r="W3333" i="1" s="1"/>
  <c r="W3334" i="1" s="1"/>
  <c r="W3335" i="1" s="1"/>
  <c r="W3336" i="1" s="1"/>
  <c r="W3337" i="1" s="1"/>
  <c r="W3338" i="1" s="1"/>
  <c r="W3339" i="1" s="1"/>
  <c r="W3340" i="1" s="1"/>
  <c r="W3341" i="1" s="1"/>
  <c r="W3342" i="1" s="1"/>
  <c r="W3343" i="1" s="1"/>
  <c r="W3344" i="1" s="1"/>
  <c r="W3345" i="1" s="1"/>
  <c r="W3346" i="1" s="1"/>
  <c r="W3347" i="1" s="1"/>
  <c r="W3348" i="1" s="1"/>
  <c r="W3349" i="1" s="1"/>
  <c r="W3350" i="1" s="1"/>
  <c r="W3351" i="1" s="1"/>
  <c r="W3352" i="1" s="1"/>
  <c r="W3353" i="1" s="1"/>
  <c r="W3354" i="1" s="1"/>
  <c r="W3355" i="1" s="1"/>
  <c r="W3356" i="1" s="1"/>
  <c r="W3357" i="1" s="1"/>
  <c r="W3358" i="1" s="1"/>
  <c r="W3359" i="1" s="1"/>
  <c r="W3360" i="1" s="1"/>
  <c r="W3361" i="1" s="1"/>
  <c r="W3362" i="1" s="1"/>
  <c r="W3363" i="1" s="1"/>
  <c r="W3364" i="1" s="1"/>
  <c r="W3365" i="1" s="1"/>
  <c r="W3366" i="1" s="1"/>
  <c r="W3367" i="1" s="1"/>
  <c r="W3368" i="1" s="1"/>
  <c r="W3369" i="1" s="1"/>
  <c r="W3370" i="1" s="1"/>
  <c r="W3371" i="1" s="1"/>
  <c r="W3372" i="1" s="1"/>
  <c r="W3373" i="1" s="1"/>
  <c r="W3374" i="1" s="1"/>
  <c r="W3375" i="1" s="1"/>
  <c r="W3376" i="1" s="1"/>
  <c r="W3377" i="1" s="1"/>
  <c r="W3378" i="1" s="1"/>
  <c r="W3379" i="1" s="1"/>
  <c r="W3380" i="1" s="1"/>
  <c r="W3381" i="1" s="1"/>
  <c r="W3382" i="1" s="1"/>
  <c r="W3383" i="1" s="1"/>
  <c r="W3384" i="1" s="1"/>
  <c r="W3385" i="1" s="1"/>
  <c r="W3386" i="1" s="1"/>
  <c r="W3387" i="1" s="1"/>
  <c r="W3388" i="1" s="1"/>
  <c r="W3389" i="1" s="1"/>
  <c r="W3390" i="1" s="1"/>
  <c r="W3391" i="1" s="1"/>
  <c r="W3392" i="1" s="1"/>
  <c r="W3393" i="1" s="1"/>
  <c r="W3394" i="1" s="1"/>
  <c r="W3395" i="1" s="1"/>
  <c r="W3396" i="1" s="1"/>
  <c r="W3397" i="1" s="1"/>
  <c r="W3398" i="1" s="1"/>
  <c r="W3399" i="1" s="1"/>
  <c r="W3400" i="1" s="1"/>
  <c r="W3401" i="1" s="1"/>
  <c r="W3402" i="1" s="1"/>
  <c r="W3403" i="1" s="1"/>
  <c r="W3404" i="1" s="1"/>
  <c r="W3405" i="1" s="1"/>
  <c r="W3406" i="1" s="1"/>
  <c r="W3407" i="1" s="1"/>
  <c r="W3408" i="1" s="1"/>
  <c r="W3409" i="1" s="1"/>
  <c r="W3410" i="1" s="1"/>
  <c r="W3411" i="1" s="1"/>
  <c r="W3412" i="1" s="1"/>
  <c r="W3413" i="1" s="1"/>
  <c r="W3414" i="1" s="1"/>
  <c r="W3415" i="1" s="1"/>
  <c r="W3416" i="1" s="1"/>
  <c r="W3417" i="1" s="1"/>
  <c r="W3418" i="1" s="1"/>
  <c r="W3419" i="1" s="1"/>
  <c r="W3420" i="1" s="1"/>
  <c r="W3421" i="1" s="1"/>
  <c r="W3422" i="1" s="1"/>
  <c r="W3423" i="1" s="1"/>
  <c r="W3424" i="1" s="1"/>
  <c r="W3425" i="1" s="1"/>
  <c r="W3426" i="1" s="1"/>
  <c r="W3427" i="1" s="1"/>
  <c r="W3428" i="1" s="1"/>
  <c r="W3429" i="1" s="1"/>
  <c r="W3430" i="1" s="1"/>
  <c r="W3431" i="1" s="1"/>
  <c r="W3432" i="1" s="1"/>
  <c r="W3433" i="1" s="1"/>
  <c r="W3434" i="1" s="1"/>
  <c r="W3435" i="1" s="1"/>
  <c r="W3436" i="1" s="1"/>
  <c r="W3437" i="1" s="1"/>
  <c r="W3438" i="1" s="1"/>
  <c r="W3439" i="1" s="1"/>
  <c r="W3440" i="1" s="1"/>
  <c r="W3441" i="1" s="1"/>
  <c r="W3442" i="1" s="1"/>
  <c r="W3443" i="1" s="1"/>
  <c r="W3444" i="1" s="1"/>
  <c r="W3445" i="1" s="1"/>
  <c r="W3446" i="1" s="1"/>
  <c r="W3447" i="1" s="1"/>
  <c r="W3448" i="1" s="1"/>
  <c r="W3449" i="1" s="1"/>
  <c r="W3450" i="1" s="1"/>
  <c r="W3451" i="1" s="1"/>
  <c r="W3452" i="1" s="1"/>
  <c r="W3453" i="1" s="1"/>
  <c r="W3454" i="1" s="1"/>
  <c r="W3455" i="1" s="1"/>
  <c r="W3456" i="1" s="1"/>
  <c r="W3457" i="1" s="1"/>
  <c r="W3458" i="1" s="1"/>
  <c r="W3459" i="1" s="1"/>
  <c r="W3460" i="1" s="1"/>
  <c r="W3461" i="1" s="1"/>
  <c r="W3462" i="1" s="1"/>
  <c r="W3463" i="1" s="1"/>
  <c r="W3464" i="1" s="1"/>
  <c r="W3465" i="1" s="1"/>
  <c r="W3466" i="1" s="1"/>
  <c r="W3467" i="1" s="1"/>
  <c r="W3468" i="1" s="1"/>
  <c r="W3469" i="1" s="1"/>
  <c r="W3470" i="1" s="1"/>
  <c r="W3471" i="1" s="1"/>
  <c r="W3472" i="1" s="1"/>
  <c r="W3473" i="1" s="1"/>
  <c r="W3474" i="1" s="1"/>
  <c r="W3475" i="1" s="1"/>
  <c r="W3476" i="1" s="1"/>
  <c r="W3477" i="1" s="1"/>
  <c r="W3478" i="1" s="1"/>
  <c r="W3479" i="1" s="1"/>
  <c r="W3480" i="1" s="1"/>
  <c r="W3481" i="1" s="1"/>
  <c r="W3482" i="1" s="1"/>
  <c r="W3483" i="1" s="1"/>
  <c r="W3484" i="1" s="1"/>
  <c r="W3485" i="1" s="1"/>
  <c r="W3486" i="1" s="1"/>
  <c r="W3487" i="1" s="1"/>
  <c r="W3488" i="1" s="1"/>
  <c r="W3489" i="1" s="1"/>
  <c r="W3490" i="1" s="1"/>
  <c r="W3491" i="1" s="1"/>
  <c r="W3492" i="1" s="1"/>
  <c r="W3493" i="1" s="1"/>
  <c r="W3494" i="1" s="1"/>
  <c r="W3495" i="1" s="1"/>
  <c r="W3496" i="1" s="1"/>
  <c r="W3497" i="1" s="1"/>
  <c r="W3498" i="1" s="1"/>
  <c r="W3499" i="1" s="1"/>
  <c r="W3500" i="1" s="1"/>
  <c r="W3501" i="1" s="1"/>
  <c r="W3502" i="1" s="1"/>
  <c r="W3503" i="1" s="1"/>
  <c r="W3504" i="1" s="1"/>
  <c r="W3505" i="1" s="1"/>
  <c r="W3506" i="1" s="1"/>
  <c r="W3507" i="1" s="1"/>
  <c r="X3" i="1"/>
  <c r="X4" i="1" s="1"/>
  <c r="X5" i="1" s="1"/>
  <c r="X6" i="1" s="1"/>
  <c r="X7" i="1" s="1"/>
  <c r="X8" i="1" s="1"/>
  <c r="X9" i="1" s="1"/>
  <c r="X10" i="1" s="1"/>
  <c r="X11" i="1" s="1"/>
  <c r="X12" i="1" s="1"/>
  <c r="X13" i="1" s="1"/>
  <c r="X14" i="1" s="1"/>
  <c r="X15" i="1" s="1"/>
  <c r="X16" i="1" s="1"/>
  <c r="X17" i="1" s="1"/>
  <c r="X18" i="1" s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Y3" i="1"/>
  <c r="Y4" i="1" s="1"/>
  <c r="Y5" i="1" s="1"/>
  <c r="Y6" i="1" s="1"/>
  <c r="Y7" i="1" s="1"/>
  <c r="Y8" i="1" s="1"/>
  <c r="Y9" i="1" s="1"/>
  <c r="Y10" i="1" s="1"/>
  <c r="Y11" i="1" s="1"/>
  <c r="Y12" i="1" s="1"/>
  <c r="Y13" i="1" s="1"/>
  <c r="Y14" i="1" s="1"/>
  <c r="Y15" i="1" s="1"/>
  <c r="Y16" i="1" s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Y663" i="1" s="1"/>
  <c r="Y664" i="1" s="1"/>
  <c r="Y665" i="1" s="1"/>
  <c r="Y666" i="1" s="1"/>
  <c r="Y667" i="1" s="1"/>
  <c r="Y668" i="1" s="1"/>
  <c r="Y669" i="1" s="1"/>
  <c r="Y670" i="1" s="1"/>
  <c r="Y671" i="1" s="1"/>
  <c r="Y672" i="1" s="1"/>
  <c r="Y673" i="1" s="1"/>
  <c r="Y674" i="1" s="1"/>
  <c r="Y675" i="1" s="1"/>
  <c r="Y676" i="1" s="1"/>
  <c r="Y677" i="1" s="1"/>
  <c r="Y678" i="1" s="1"/>
  <c r="Y679" i="1" s="1"/>
  <c r="Y680" i="1" s="1"/>
  <c r="Y681" i="1" s="1"/>
  <c r="Y682" i="1" s="1"/>
  <c r="Y683" i="1" s="1"/>
  <c r="Y684" i="1" s="1"/>
  <c r="Y685" i="1" s="1"/>
  <c r="Y686" i="1" s="1"/>
  <c r="Y687" i="1" s="1"/>
  <c r="Y688" i="1" s="1"/>
  <c r="Y689" i="1" s="1"/>
  <c r="Y690" i="1" s="1"/>
  <c r="Y691" i="1" s="1"/>
  <c r="Y692" i="1" s="1"/>
  <c r="Y693" i="1" s="1"/>
  <c r="Y694" i="1" s="1"/>
  <c r="Y695" i="1" s="1"/>
  <c r="Y696" i="1" s="1"/>
  <c r="Y697" i="1" s="1"/>
  <c r="Y698" i="1" s="1"/>
  <c r="Y699" i="1" s="1"/>
  <c r="Y700" i="1" s="1"/>
  <c r="Y701" i="1" s="1"/>
  <c r="Y702" i="1" s="1"/>
  <c r="Y703" i="1" s="1"/>
  <c r="Y704" i="1" s="1"/>
  <c r="Y705" i="1" s="1"/>
  <c r="Y706" i="1" s="1"/>
  <c r="Y707" i="1" s="1"/>
  <c r="Y708" i="1" s="1"/>
  <c r="Y709" i="1" s="1"/>
  <c r="Y710" i="1" s="1"/>
  <c r="Y711" i="1" s="1"/>
  <c r="Y712" i="1" s="1"/>
  <c r="Y713" i="1" s="1"/>
  <c r="Y714" i="1" s="1"/>
  <c r="Y715" i="1" s="1"/>
  <c r="Y716" i="1" s="1"/>
  <c r="Y717" i="1" s="1"/>
  <c r="Y718" i="1" s="1"/>
  <c r="Y719" i="1" s="1"/>
  <c r="Y720" i="1" s="1"/>
  <c r="Y721" i="1" s="1"/>
  <c r="Y722" i="1" s="1"/>
  <c r="Y723" i="1" s="1"/>
  <c r="Y724" i="1" s="1"/>
  <c r="Y725" i="1" s="1"/>
  <c r="Y726" i="1" s="1"/>
  <c r="Y727" i="1" s="1"/>
  <c r="Y728" i="1" s="1"/>
  <c r="Y729" i="1" s="1"/>
  <c r="Y730" i="1" s="1"/>
  <c r="Y731" i="1" s="1"/>
  <c r="Y732" i="1" s="1"/>
  <c r="Y733" i="1" s="1"/>
  <c r="Y734" i="1" s="1"/>
  <c r="Y735" i="1" s="1"/>
  <c r="Y736" i="1" s="1"/>
  <c r="Y737" i="1" s="1"/>
  <c r="Y738" i="1" s="1"/>
  <c r="Y739" i="1" s="1"/>
  <c r="Y740" i="1" s="1"/>
  <c r="Y741" i="1" s="1"/>
  <c r="Y742" i="1" s="1"/>
  <c r="Y743" i="1" s="1"/>
  <c r="Y744" i="1" s="1"/>
  <c r="Y745" i="1" s="1"/>
  <c r="Y746" i="1" s="1"/>
  <c r="Y747" i="1" s="1"/>
  <c r="Y748" i="1" s="1"/>
  <c r="Y749" i="1" s="1"/>
  <c r="Y750" i="1" s="1"/>
  <c r="Y751" i="1" s="1"/>
  <c r="Y752" i="1" s="1"/>
  <c r="Y753" i="1" s="1"/>
  <c r="Y754" i="1" s="1"/>
  <c r="Y755" i="1" s="1"/>
  <c r="Y756" i="1" s="1"/>
  <c r="Y757" i="1" s="1"/>
  <c r="Y758" i="1" s="1"/>
  <c r="Y759" i="1" s="1"/>
  <c r="Y760" i="1" s="1"/>
  <c r="Y761" i="1" s="1"/>
  <c r="Y762" i="1" s="1"/>
  <c r="Y763" i="1" s="1"/>
  <c r="Y764" i="1" s="1"/>
  <c r="Y765" i="1" s="1"/>
  <c r="Y766" i="1" s="1"/>
  <c r="Y767" i="1" s="1"/>
  <c r="Y768" i="1" s="1"/>
  <c r="Y769" i="1" s="1"/>
  <c r="Y770" i="1" s="1"/>
  <c r="Y771" i="1" s="1"/>
  <c r="Y772" i="1" s="1"/>
  <c r="Y773" i="1" s="1"/>
  <c r="Y774" i="1" s="1"/>
  <c r="Y775" i="1" s="1"/>
  <c r="Y776" i="1" s="1"/>
  <c r="Y777" i="1" s="1"/>
  <c r="Y778" i="1" s="1"/>
  <c r="Y779" i="1" s="1"/>
  <c r="Y780" i="1" s="1"/>
  <c r="Y781" i="1" s="1"/>
  <c r="Y782" i="1" s="1"/>
  <c r="Y783" i="1" s="1"/>
  <c r="Y784" i="1" s="1"/>
  <c r="Y785" i="1" s="1"/>
  <c r="Y786" i="1" s="1"/>
  <c r="Y787" i="1" s="1"/>
  <c r="Y788" i="1" s="1"/>
  <c r="Y789" i="1" s="1"/>
  <c r="Y790" i="1" s="1"/>
  <c r="Y791" i="1" s="1"/>
  <c r="Y792" i="1" s="1"/>
  <c r="Y793" i="1" s="1"/>
  <c r="Y794" i="1" s="1"/>
  <c r="Y795" i="1" s="1"/>
  <c r="Y796" i="1" s="1"/>
  <c r="Y797" i="1" s="1"/>
  <c r="Y798" i="1" s="1"/>
  <c r="Y799" i="1" s="1"/>
  <c r="Y800" i="1" s="1"/>
  <c r="Y801" i="1" s="1"/>
  <c r="Y802" i="1" s="1"/>
  <c r="Y803" i="1" s="1"/>
  <c r="Y804" i="1" s="1"/>
  <c r="Y805" i="1" s="1"/>
  <c r="Y806" i="1" s="1"/>
  <c r="Y807" i="1" s="1"/>
  <c r="Y808" i="1" s="1"/>
  <c r="Y809" i="1" s="1"/>
  <c r="Y810" i="1" s="1"/>
  <c r="Y811" i="1" s="1"/>
  <c r="Y812" i="1" s="1"/>
  <c r="Y813" i="1" s="1"/>
  <c r="Y814" i="1" s="1"/>
  <c r="Y815" i="1" s="1"/>
  <c r="Y816" i="1" s="1"/>
  <c r="Y817" i="1" s="1"/>
  <c r="Y818" i="1" s="1"/>
  <c r="Y819" i="1" s="1"/>
  <c r="Y820" i="1" s="1"/>
  <c r="Y821" i="1" s="1"/>
  <c r="Y822" i="1" s="1"/>
  <c r="Y823" i="1" s="1"/>
  <c r="Y824" i="1" s="1"/>
  <c r="Y825" i="1" s="1"/>
  <c r="Y826" i="1" s="1"/>
  <c r="Y827" i="1" s="1"/>
  <c r="Y828" i="1" s="1"/>
  <c r="Y829" i="1" s="1"/>
  <c r="Y830" i="1" s="1"/>
  <c r="Y831" i="1" s="1"/>
  <c r="Y832" i="1" s="1"/>
  <c r="Y833" i="1" s="1"/>
  <c r="Y834" i="1" s="1"/>
  <c r="Y835" i="1" s="1"/>
  <c r="Y836" i="1" s="1"/>
  <c r="Y837" i="1" s="1"/>
  <c r="Y838" i="1" s="1"/>
  <c r="Y839" i="1" s="1"/>
  <c r="Y840" i="1" s="1"/>
  <c r="Y841" i="1" s="1"/>
  <c r="Y842" i="1" s="1"/>
  <c r="Y843" i="1" s="1"/>
  <c r="Y844" i="1" s="1"/>
  <c r="Y845" i="1" s="1"/>
  <c r="Y846" i="1" s="1"/>
  <c r="Y847" i="1" s="1"/>
  <c r="Y848" i="1" s="1"/>
  <c r="Y849" i="1" s="1"/>
  <c r="Y850" i="1" s="1"/>
  <c r="Y851" i="1" s="1"/>
  <c r="Y852" i="1" s="1"/>
  <c r="Y853" i="1" s="1"/>
  <c r="Y854" i="1" s="1"/>
  <c r="Y855" i="1" s="1"/>
  <c r="Y856" i="1" s="1"/>
  <c r="Y857" i="1" s="1"/>
  <c r="Y858" i="1" s="1"/>
  <c r="Y859" i="1" s="1"/>
  <c r="Y860" i="1" s="1"/>
  <c r="Y861" i="1" s="1"/>
  <c r="Y862" i="1" s="1"/>
  <c r="Y863" i="1" s="1"/>
  <c r="Y864" i="1" s="1"/>
  <c r="Y865" i="1" s="1"/>
  <c r="Y866" i="1" s="1"/>
  <c r="Y867" i="1" s="1"/>
  <c r="Y868" i="1" s="1"/>
  <c r="Y869" i="1" s="1"/>
  <c r="Y870" i="1" s="1"/>
  <c r="Y871" i="1" s="1"/>
  <c r="Y872" i="1" s="1"/>
  <c r="Y873" i="1" s="1"/>
  <c r="Y874" i="1" s="1"/>
  <c r="Y875" i="1" s="1"/>
  <c r="Y876" i="1" s="1"/>
  <c r="Y877" i="1" s="1"/>
  <c r="Y878" i="1" s="1"/>
  <c r="Y879" i="1" s="1"/>
  <c r="Y880" i="1" s="1"/>
  <c r="Y881" i="1" s="1"/>
  <c r="Y882" i="1" s="1"/>
  <c r="Y883" i="1" s="1"/>
  <c r="Y884" i="1" s="1"/>
  <c r="Y885" i="1" s="1"/>
  <c r="Y886" i="1" s="1"/>
  <c r="Y887" i="1" s="1"/>
  <c r="Y888" i="1" s="1"/>
  <c r="Y889" i="1" s="1"/>
  <c r="Y890" i="1" s="1"/>
  <c r="Y891" i="1" s="1"/>
  <c r="Y892" i="1" s="1"/>
  <c r="Y893" i="1" s="1"/>
  <c r="Y894" i="1" s="1"/>
  <c r="Y895" i="1" s="1"/>
  <c r="Y896" i="1" s="1"/>
  <c r="Y897" i="1" s="1"/>
  <c r="Y898" i="1" s="1"/>
  <c r="Y899" i="1" s="1"/>
  <c r="Y900" i="1" s="1"/>
  <c r="Y901" i="1" s="1"/>
  <c r="Y902" i="1" s="1"/>
  <c r="Y903" i="1" s="1"/>
  <c r="Y904" i="1" s="1"/>
  <c r="Y905" i="1" s="1"/>
  <c r="Y906" i="1" s="1"/>
  <c r="Y907" i="1" s="1"/>
  <c r="Y908" i="1" s="1"/>
  <c r="Y909" i="1" s="1"/>
  <c r="Y910" i="1" s="1"/>
  <c r="Y911" i="1" s="1"/>
  <c r="Y912" i="1" s="1"/>
  <c r="Y913" i="1" s="1"/>
  <c r="Y914" i="1" s="1"/>
  <c r="Y915" i="1" s="1"/>
  <c r="Y916" i="1" s="1"/>
  <c r="Y917" i="1" s="1"/>
  <c r="Y918" i="1" s="1"/>
  <c r="Y919" i="1" s="1"/>
  <c r="Y920" i="1" s="1"/>
  <c r="Y921" i="1" s="1"/>
  <c r="Y922" i="1" s="1"/>
  <c r="Y923" i="1" s="1"/>
  <c r="Y924" i="1" s="1"/>
  <c r="Y925" i="1" s="1"/>
  <c r="Y926" i="1" s="1"/>
  <c r="Y927" i="1" s="1"/>
  <c r="Y928" i="1" s="1"/>
  <c r="Y929" i="1" s="1"/>
  <c r="Y930" i="1" s="1"/>
  <c r="Y931" i="1" s="1"/>
  <c r="Y932" i="1" s="1"/>
  <c r="Y933" i="1" s="1"/>
  <c r="Y934" i="1" s="1"/>
  <c r="Y935" i="1" s="1"/>
  <c r="Y936" i="1" s="1"/>
  <c r="Y937" i="1" s="1"/>
  <c r="Y938" i="1" s="1"/>
  <c r="Y939" i="1" s="1"/>
  <c r="Y940" i="1" s="1"/>
  <c r="Y941" i="1" s="1"/>
  <c r="Y942" i="1" s="1"/>
  <c r="Y943" i="1" s="1"/>
  <c r="Y944" i="1" s="1"/>
  <c r="Y945" i="1" s="1"/>
  <c r="Y946" i="1" s="1"/>
  <c r="Y947" i="1" s="1"/>
  <c r="Y948" i="1" s="1"/>
  <c r="Y949" i="1" s="1"/>
  <c r="Y950" i="1" s="1"/>
  <c r="Y951" i="1" s="1"/>
  <c r="Y952" i="1" s="1"/>
  <c r="Y953" i="1" s="1"/>
  <c r="Y954" i="1" s="1"/>
  <c r="Y955" i="1" s="1"/>
  <c r="Y956" i="1" s="1"/>
  <c r="Y957" i="1" s="1"/>
  <c r="Y958" i="1" s="1"/>
  <c r="Y959" i="1" s="1"/>
  <c r="Y960" i="1" s="1"/>
  <c r="Y961" i="1" s="1"/>
  <c r="Y962" i="1" s="1"/>
  <c r="Y963" i="1" s="1"/>
  <c r="Y964" i="1" s="1"/>
  <c r="Y965" i="1" s="1"/>
  <c r="Y966" i="1" s="1"/>
  <c r="Y967" i="1" s="1"/>
  <c r="Y968" i="1" s="1"/>
  <c r="Y969" i="1" s="1"/>
  <c r="Y970" i="1" s="1"/>
  <c r="Y971" i="1" s="1"/>
  <c r="Y972" i="1" s="1"/>
  <c r="Y973" i="1" s="1"/>
  <c r="Y974" i="1" s="1"/>
  <c r="Y975" i="1" s="1"/>
  <c r="Y976" i="1" s="1"/>
  <c r="Y977" i="1" s="1"/>
  <c r="Y978" i="1" s="1"/>
  <c r="Y979" i="1" s="1"/>
  <c r="Y980" i="1" s="1"/>
  <c r="Y981" i="1" s="1"/>
  <c r="Y982" i="1" s="1"/>
  <c r="Y983" i="1" s="1"/>
  <c r="Y984" i="1" s="1"/>
  <c r="Y985" i="1" s="1"/>
  <c r="Y986" i="1" s="1"/>
  <c r="Y987" i="1" s="1"/>
  <c r="Y988" i="1" s="1"/>
  <c r="Y989" i="1" s="1"/>
  <c r="Y990" i="1" s="1"/>
  <c r="Y991" i="1" s="1"/>
  <c r="Y992" i="1" s="1"/>
  <c r="Y993" i="1" s="1"/>
  <c r="Y994" i="1" s="1"/>
  <c r="Y995" i="1" s="1"/>
  <c r="Y996" i="1" s="1"/>
  <c r="Y997" i="1" s="1"/>
  <c r="Y998" i="1" s="1"/>
  <c r="Y999" i="1" s="1"/>
  <c r="Y1000" i="1" s="1"/>
  <c r="Y1001" i="1" s="1"/>
  <c r="Y1002" i="1" s="1"/>
  <c r="Y1003" i="1" s="1"/>
  <c r="Y1004" i="1" s="1"/>
  <c r="Y1005" i="1" s="1"/>
  <c r="Y1006" i="1" s="1"/>
  <c r="Y1007" i="1" s="1"/>
  <c r="Y1008" i="1" s="1"/>
  <c r="Y1009" i="1" s="1"/>
  <c r="Y1010" i="1" s="1"/>
  <c r="Y1011" i="1" s="1"/>
  <c r="Y1012" i="1" s="1"/>
  <c r="Y1013" i="1" s="1"/>
  <c r="Y1014" i="1" s="1"/>
  <c r="Y1015" i="1" s="1"/>
  <c r="Y1016" i="1" s="1"/>
  <c r="Y1017" i="1" s="1"/>
  <c r="Y1018" i="1" s="1"/>
  <c r="Y1019" i="1" s="1"/>
  <c r="Y1020" i="1" s="1"/>
  <c r="Y1021" i="1" s="1"/>
  <c r="Y1022" i="1" s="1"/>
  <c r="Y1023" i="1" s="1"/>
  <c r="Y1024" i="1" s="1"/>
  <c r="Y1025" i="1" s="1"/>
  <c r="Y1026" i="1" s="1"/>
  <c r="Y1027" i="1" s="1"/>
  <c r="Y1028" i="1" s="1"/>
  <c r="Y1029" i="1" s="1"/>
  <c r="Y1030" i="1" s="1"/>
  <c r="Y1031" i="1" s="1"/>
  <c r="Y1032" i="1" s="1"/>
  <c r="Y1033" i="1" s="1"/>
  <c r="Y1034" i="1" s="1"/>
  <c r="Y1035" i="1" s="1"/>
  <c r="Y1036" i="1" s="1"/>
  <c r="Y1037" i="1" s="1"/>
  <c r="Y1038" i="1" s="1"/>
  <c r="Y1039" i="1" s="1"/>
  <c r="Y1040" i="1" s="1"/>
  <c r="Y1041" i="1" s="1"/>
  <c r="Y1042" i="1" s="1"/>
  <c r="Y1043" i="1" s="1"/>
  <c r="Y1044" i="1" s="1"/>
  <c r="Y1045" i="1" s="1"/>
  <c r="Y1046" i="1" s="1"/>
  <c r="Y1047" i="1" s="1"/>
  <c r="Y1048" i="1" s="1"/>
  <c r="Y1049" i="1" s="1"/>
  <c r="Y1050" i="1" s="1"/>
  <c r="Y1051" i="1" s="1"/>
  <c r="Y1052" i="1" s="1"/>
  <c r="Y1053" i="1" s="1"/>
  <c r="Y1054" i="1" s="1"/>
  <c r="Y1055" i="1" s="1"/>
  <c r="Y1056" i="1" s="1"/>
  <c r="Y1057" i="1" s="1"/>
  <c r="Y1058" i="1" s="1"/>
  <c r="Y1059" i="1" s="1"/>
  <c r="Y1060" i="1" s="1"/>
  <c r="Y1061" i="1" s="1"/>
  <c r="Y1062" i="1" s="1"/>
  <c r="Y1063" i="1" s="1"/>
  <c r="Y1064" i="1" s="1"/>
  <c r="Y1065" i="1" s="1"/>
  <c r="Y1066" i="1" s="1"/>
  <c r="Y1067" i="1" s="1"/>
  <c r="Y1068" i="1" s="1"/>
  <c r="Y1069" i="1" s="1"/>
  <c r="Y1070" i="1" s="1"/>
  <c r="Y1071" i="1" s="1"/>
  <c r="Y1072" i="1" s="1"/>
  <c r="Y1073" i="1" s="1"/>
  <c r="Y1074" i="1" s="1"/>
  <c r="Y1075" i="1" s="1"/>
  <c r="Y1076" i="1" s="1"/>
  <c r="Y1077" i="1" s="1"/>
  <c r="Y1078" i="1" s="1"/>
  <c r="Y1079" i="1" s="1"/>
  <c r="Y1080" i="1" s="1"/>
  <c r="Y1081" i="1" s="1"/>
  <c r="Y1082" i="1" s="1"/>
  <c r="Y1083" i="1" s="1"/>
  <c r="Y1084" i="1" s="1"/>
  <c r="Y1085" i="1" s="1"/>
  <c r="Y1086" i="1" s="1"/>
  <c r="Y1087" i="1" s="1"/>
  <c r="Y1088" i="1" s="1"/>
  <c r="Y1089" i="1" s="1"/>
  <c r="Y1090" i="1" s="1"/>
  <c r="Y1091" i="1" s="1"/>
  <c r="Y1092" i="1" s="1"/>
  <c r="Y1093" i="1" s="1"/>
  <c r="Y1094" i="1" s="1"/>
  <c r="Y1095" i="1" s="1"/>
  <c r="Y1096" i="1" s="1"/>
  <c r="Y1097" i="1" s="1"/>
  <c r="Y1098" i="1" s="1"/>
  <c r="Y1099" i="1" s="1"/>
  <c r="Y1100" i="1" s="1"/>
  <c r="Y1101" i="1" s="1"/>
  <c r="Y1102" i="1" s="1"/>
  <c r="Y1103" i="1" s="1"/>
  <c r="Y1104" i="1" s="1"/>
  <c r="Y1105" i="1" s="1"/>
  <c r="Y1106" i="1" s="1"/>
  <c r="Y1107" i="1" s="1"/>
  <c r="Y1108" i="1" s="1"/>
  <c r="Y1109" i="1" s="1"/>
  <c r="Y1110" i="1" s="1"/>
  <c r="Y1111" i="1" s="1"/>
  <c r="Y1112" i="1" s="1"/>
  <c r="Y1113" i="1" s="1"/>
  <c r="Y1114" i="1" s="1"/>
  <c r="Y1115" i="1" s="1"/>
  <c r="Y1116" i="1" s="1"/>
  <c r="Y1117" i="1" s="1"/>
  <c r="Y1118" i="1" s="1"/>
  <c r="Y1119" i="1" s="1"/>
  <c r="Y1120" i="1" s="1"/>
  <c r="Y1121" i="1" s="1"/>
  <c r="Y1122" i="1" s="1"/>
  <c r="Y1123" i="1" s="1"/>
  <c r="Y1124" i="1" s="1"/>
  <c r="Y1125" i="1" s="1"/>
  <c r="Y1126" i="1" s="1"/>
  <c r="Y1127" i="1" s="1"/>
  <c r="Y1128" i="1" s="1"/>
  <c r="Y1129" i="1" s="1"/>
  <c r="Y1130" i="1" s="1"/>
  <c r="Y1131" i="1" s="1"/>
  <c r="Y1132" i="1" s="1"/>
  <c r="Y1133" i="1" s="1"/>
  <c r="Y1134" i="1" s="1"/>
  <c r="Y1135" i="1" s="1"/>
  <c r="Y1136" i="1" s="1"/>
  <c r="Y1137" i="1" s="1"/>
  <c r="Y1138" i="1" s="1"/>
  <c r="Y1139" i="1" s="1"/>
  <c r="Y1140" i="1" s="1"/>
  <c r="Y1141" i="1" s="1"/>
  <c r="Y1142" i="1" s="1"/>
  <c r="Y1143" i="1" s="1"/>
  <c r="Y1144" i="1" s="1"/>
  <c r="Y1145" i="1" s="1"/>
  <c r="Y1146" i="1" s="1"/>
  <c r="Y1147" i="1" s="1"/>
  <c r="Y1148" i="1" s="1"/>
  <c r="Y1149" i="1" s="1"/>
  <c r="Y1150" i="1" s="1"/>
  <c r="Y1151" i="1" s="1"/>
  <c r="Y1152" i="1" s="1"/>
  <c r="Y1153" i="1" s="1"/>
  <c r="Y1154" i="1" s="1"/>
  <c r="Y1155" i="1" s="1"/>
  <c r="Y1156" i="1" s="1"/>
  <c r="Y1157" i="1" s="1"/>
  <c r="Y1158" i="1" s="1"/>
  <c r="Y1159" i="1" s="1"/>
  <c r="Y1160" i="1" s="1"/>
  <c r="Y1161" i="1" s="1"/>
  <c r="Y1162" i="1" s="1"/>
  <c r="Y1163" i="1" s="1"/>
  <c r="Y1164" i="1" s="1"/>
  <c r="Y1165" i="1" s="1"/>
  <c r="Y1166" i="1" s="1"/>
  <c r="Y1167" i="1" s="1"/>
  <c r="Y1168" i="1" s="1"/>
  <c r="Y1169" i="1" s="1"/>
  <c r="Y1170" i="1" s="1"/>
  <c r="Y1171" i="1" s="1"/>
  <c r="Y1172" i="1" s="1"/>
  <c r="Y1173" i="1" s="1"/>
  <c r="Y1174" i="1" s="1"/>
  <c r="Y1175" i="1" s="1"/>
  <c r="Y1176" i="1" s="1"/>
  <c r="Y1177" i="1" s="1"/>
  <c r="Y1178" i="1" s="1"/>
  <c r="Y1179" i="1" s="1"/>
  <c r="Y1180" i="1" s="1"/>
  <c r="Y1181" i="1" s="1"/>
  <c r="Y1182" i="1" s="1"/>
  <c r="Y1183" i="1" s="1"/>
  <c r="Y1184" i="1" s="1"/>
  <c r="Y1185" i="1" s="1"/>
  <c r="Y1186" i="1" s="1"/>
  <c r="Y1187" i="1" s="1"/>
  <c r="Y1188" i="1" s="1"/>
  <c r="Y1189" i="1" s="1"/>
  <c r="Y1190" i="1" s="1"/>
  <c r="Y1191" i="1" s="1"/>
  <c r="Y1192" i="1" s="1"/>
  <c r="Y1193" i="1" s="1"/>
  <c r="Y1194" i="1" s="1"/>
  <c r="Y1195" i="1" s="1"/>
  <c r="Y1196" i="1" s="1"/>
  <c r="Y1197" i="1" s="1"/>
  <c r="Y1198" i="1" s="1"/>
  <c r="Y1199" i="1" s="1"/>
  <c r="Y1200" i="1" s="1"/>
  <c r="Y1201" i="1" s="1"/>
  <c r="Y1202" i="1" s="1"/>
  <c r="Y1203" i="1" s="1"/>
  <c r="Y1204" i="1" s="1"/>
  <c r="Y1205" i="1" s="1"/>
  <c r="Y1206" i="1" s="1"/>
  <c r="Y1207" i="1" s="1"/>
  <c r="Y1208" i="1" s="1"/>
  <c r="Y1209" i="1" s="1"/>
  <c r="Y1210" i="1" s="1"/>
  <c r="Y1211" i="1" s="1"/>
  <c r="Y1212" i="1" s="1"/>
  <c r="Y1213" i="1" s="1"/>
  <c r="Y1214" i="1" s="1"/>
  <c r="Y1215" i="1" s="1"/>
  <c r="Y1216" i="1" s="1"/>
  <c r="Y1217" i="1" s="1"/>
  <c r="Y1218" i="1" s="1"/>
  <c r="Y1219" i="1" s="1"/>
  <c r="Y1220" i="1" s="1"/>
  <c r="Y1221" i="1" s="1"/>
  <c r="Y1222" i="1" s="1"/>
  <c r="Y1223" i="1" s="1"/>
  <c r="Y1224" i="1" s="1"/>
  <c r="Y1225" i="1" s="1"/>
  <c r="Y1226" i="1" s="1"/>
  <c r="Y1227" i="1" s="1"/>
  <c r="Y1228" i="1" s="1"/>
  <c r="Y1229" i="1" s="1"/>
  <c r="Y1230" i="1" s="1"/>
  <c r="Y1231" i="1" s="1"/>
  <c r="Y1232" i="1" s="1"/>
  <c r="Y1233" i="1" s="1"/>
  <c r="Y1234" i="1" s="1"/>
  <c r="Y1235" i="1" s="1"/>
  <c r="Y1236" i="1" s="1"/>
  <c r="Y1237" i="1" s="1"/>
  <c r="Y1238" i="1" s="1"/>
  <c r="Y1239" i="1" s="1"/>
  <c r="Y1240" i="1" s="1"/>
  <c r="Y1241" i="1" s="1"/>
  <c r="Y1242" i="1" s="1"/>
  <c r="Y1243" i="1" s="1"/>
  <c r="Y1244" i="1" s="1"/>
  <c r="Y1245" i="1" s="1"/>
  <c r="Y1246" i="1" s="1"/>
  <c r="Y1247" i="1" s="1"/>
  <c r="Y1248" i="1" s="1"/>
  <c r="Y1249" i="1" s="1"/>
  <c r="Y1250" i="1" s="1"/>
  <c r="Y1251" i="1" s="1"/>
  <c r="Y1252" i="1" s="1"/>
  <c r="Y1253" i="1" s="1"/>
  <c r="Y1254" i="1" s="1"/>
  <c r="Y1255" i="1" s="1"/>
  <c r="Y1256" i="1" s="1"/>
  <c r="Y1257" i="1" s="1"/>
  <c r="Y1258" i="1" s="1"/>
  <c r="Y1259" i="1" s="1"/>
  <c r="Y1260" i="1" s="1"/>
  <c r="Y1261" i="1" s="1"/>
  <c r="Y1262" i="1" s="1"/>
  <c r="Y1263" i="1" s="1"/>
  <c r="Y1264" i="1" s="1"/>
  <c r="Y1265" i="1" s="1"/>
  <c r="Y1266" i="1" s="1"/>
  <c r="Y1267" i="1" s="1"/>
  <c r="Y1268" i="1" s="1"/>
  <c r="Y1269" i="1" s="1"/>
  <c r="Y1270" i="1" s="1"/>
  <c r="Y1271" i="1" s="1"/>
  <c r="Y1272" i="1" s="1"/>
  <c r="Y1273" i="1" s="1"/>
  <c r="Y1274" i="1" s="1"/>
  <c r="Y1275" i="1" s="1"/>
  <c r="Y1276" i="1" s="1"/>
  <c r="Y1277" i="1" s="1"/>
  <c r="Y1278" i="1" s="1"/>
  <c r="Y1279" i="1" s="1"/>
  <c r="Y1280" i="1" s="1"/>
  <c r="Y1281" i="1" s="1"/>
  <c r="Y1282" i="1" s="1"/>
  <c r="Y1283" i="1" s="1"/>
  <c r="Y1284" i="1" s="1"/>
  <c r="Y1285" i="1" s="1"/>
  <c r="Y1286" i="1" s="1"/>
  <c r="Y1287" i="1" s="1"/>
  <c r="Y1288" i="1" s="1"/>
  <c r="Y1289" i="1" s="1"/>
  <c r="Y1290" i="1" s="1"/>
  <c r="Y1291" i="1" s="1"/>
  <c r="Y1292" i="1" s="1"/>
  <c r="Y1293" i="1" s="1"/>
  <c r="Y1294" i="1" s="1"/>
  <c r="Y1295" i="1" s="1"/>
  <c r="Y1296" i="1" s="1"/>
  <c r="Y1297" i="1" s="1"/>
  <c r="Y1298" i="1" s="1"/>
  <c r="Y1299" i="1" s="1"/>
  <c r="Y1300" i="1" s="1"/>
  <c r="Y1301" i="1" s="1"/>
  <c r="Y1302" i="1" s="1"/>
  <c r="Y1303" i="1" s="1"/>
  <c r="Y1304" i="1" s="1"/>
  <c r="Y1305" i="1" s="1"/>
  <c r="Y1306" i="1" s="1"/>
  <c r="Y1307" i="1" s="1"/>
  <c r="Y1308" i="1" s="1"/>
  <c r="Y1309" i="1" s="1"/>
  <c r="Y1310" i="1" s="1"/>
  <c r="Y1311" i="1" s="1"/>
  <c r="Y1312" i="1" s="1"/>
  <c r="Y1313" i="1" s="1"/>
  <c r="Y1314" i="1" s="1"/>
  <c r="Y1315" i="1" s="1"/>
  <c r="Y1316" i="1" s="1"/>
  <c r="Y1317" i="1" s="1"/>
  <c r="Y1318" i="1" s="1"/>
  <c r="Y1319" i="1" s="1"/>
  <c r="Y1320" i="1" s="1"/>
  <c r="Y1321" i="1" s="1"/>
  <c r="Y1322" i="1" s="1"/>
  <c r="Y1323" i="1" s="1"/>
  <c r="Y1324" i="1" s="1"/>
  <c r="Y1325" i="1" s="1"/>
  <c r="Y1326" i="1" s="1"/>
  <c r="Y1327" i="1" s="1"/>
  <c r="Y1328" i="1" s="1"/>
  <c r="Y1329" i="1" s="1"/>
  <c r="Y1330" i="1" s="1"/>
  <c r="Y1331" i="1" s="1"/>
  <c r="Y1332" i="1" s="1"/>
  <c r="Y1333" i="1" s="1"/>
  <c r="Y1334" i="1" s="1"/>
  <c r="Y1335" i="1" s="1"/>
  <c r="Y1336" i="1" s="1"/>
  <c r="Y1337" i="1" s="1"/>
  <c r="Y1338" i="1" s="1"/>
  <c r="Y1339" i="1" s="1"/>
  <c r="Y1340" i="1" s="1"/>
  <c r="Y1341" i="1" s="1"/>
  <c r="Y1342" i="1" s="1"/>
  <c r="Y1343" i="1" s="1"/>
  <c r="Y1344" i="1" s="1"/>
  <c r="Y1345" i="1" s="1"/>
  <c r="Y1346" i="1" s="1"/>
  <c r="Y1347" i="1" s="1"/>
  <c r="Y1348" i="1" s="1"/>
  <c r="Y1349" i="1" s="1"/>
  <c r="Y1350" i="1" s="1"/>
  <c r="Y1351" i="1" s="1"/>
  <c r="Y1352" i="1" s="1"/>
  <c r="Y1353" i="1" s="1"/>
  <c r="Y1354" i="1" s="1"/>
  <c r="Y1355" i="1" s="1"/>
  <c r="Y1356" i="1" s="1"/>
  <c r="Y1357" i="1" s="1"/>
  <c r="Y1358" i="1" s="1"/>
  <c r="Y1359" i="1" s="1"/>
  <c r="Y1360" i="1" s="1"/>
  <c r="Y1361" i="1" s="1"/>
  <c r="Y1362" i="1" s="1"/>
  <c r="Y1363" i="1" s="1"/>
  <c r="Y1364" i="1" s="1"/>
  <c r="Y1365" i="1" s="1"/>
  <c r="Y1366" i="1" s="1"/>
  <c r="Y1367" i="1" s="1"/>
  <c r="Y1368" i="1" s="1"/>
  <c r="Y1369" i="1" s="1"/>
  <c r="Y1370" i="1" s="1"/>
  <c r="Y1371" i="1" s="1"/>
  <c r="Y1372" i="1" s="1"/>
  <c r="Y1373" i="1" s="1"/>
  <c r="Y1374" i="1" s="1"/>
  <c r="Y1375" i="1" s="1"/>
  <c r="Y1376" i="1" s="1"/>
  <c r="Y1377" i="1" s="1"/>
  <c r="Y1378" i="1" s="1"/>
  <c r="Y1379" i="1" s="1"/>
  <c r="Y1380" i="1" s="1"/>
  <c r="Y1381" i="1" s="1"/>
  <c r="Y1382" i="1" s="1"/>
  <c r="Y1383" i="1" s="1"/>
  <c r="Y1384" i="1" s="1"/>
  <c r="Y1385" i="1" s="1"/>
  <c r="Y1386" i="1" s="1"/>
  <c r="Y1387" i="1" s="1"/>
  <c r="Y1388" i="1" s="1"/>
  <c r="Y1389" i="1" s="1"/>
  <c r="Y1390" i="1" s="1"/>
  <c r="Y1391" i="1" s="1"/>
  <c r="Y1392" i="1" s="1"/>
  <c r="Y1393" i="1" s="1"/>
  <c r="Y1394" i="1" s="1"/>
  <c r="Y1395" i="1" s="1"/>
  <c r="Y1396" i="1" s="1"/>
  <c r="Y1397" i="1" s="1"/>
  <c r="Y1398" i="1" s="1"/>
  <c r="Y1399" i="1" s="1"/>
  <c r="Y1400" i="1" s="1"/>
  <c r="Y1401" i="1" s="1"/>
  <c r="Y1402" i="1" s="1"/>
  <c r="Y1403" i="1" s="1"/>
  <c r="Y1404" i="1" s="1"/>
  <c r="Y1405" i="1" s="1"/>
  <c r="Y1406" i="1" s="1"/>
  <c r="Y1407" i="1" s="1"/>
  <c r="Y1408" i="1" s="1"/>
  <c r="Y1409" i="1" s="1"/>
  <c r="Y1410" i="1" s="1"/>
  <c r="Y1411" i="1" s="1"/>
  <c r="Y1412" i="1" s="1"/>
  <c r="Y1413" i="1" s="1"/>
  <c r="Y1414" i="1" s="1"/>
  <c r="Y1415" i="1" s="1"/>
  <c r="Y1416" i="1" s="1"/>
  <c r="Y1417" i="1" s="1"/>
  <c r="Y1418" i="1" s="1"/>
  <c r="Y1419" i="1" s="1"/>
  <c r="Y1420" i="1" s="1"/>
  <c r="Y1421" i="1" s="1"/>
  <c r="Y1422" i="1" s="1"/>
  <c r="Y1423" i="1" s="1"/>
  <c r="Y1424" i="1" s="1"/>
  <c r="Y1425" i="1" s="1"/>
  <c r="Y1426" i="1" s="1"/>
  <c r="Y1427" i="1" s="1"/>
  <c r="Y1428" i="1" s="1"/>
  <c r="Y1429" i="1" s="1"/>
  <c r="Y1430" i="1" s="1"/>
  <c r="Y1431" i="1" s="1"/>
  <c r="Y1432" i="1" s="1"/>
  <c r="Y1433" i="1" s="1"/>
  <c r="Y1434" i="1" s="1"/>
  <c r="Y1435" i="1" s="1"/>
  <c r="Y1436" i="1" s="1"/>
  <c r="Y1437" i="1" s="1"/>
  <c r="Y1438" i="1" s="1"/>
  <c r="Y1439" i="1" s="1"/>
  <c r="Y1440" i="1" s="1"/>
  <c r="Y1441" i="1" s="1"/>
  <c r="Y1442" i="1" s="1"/>
  <c r="Y1443" i="1" s="1"/>
  <c r="Y1444" i="1" s="1"/>
  <c r="Y1445" i="1" s="1"/>
  <c r="Y1446" i="1" s="1"/>
  <c r="Y1447" i="1" s="1"/>
  <c r="Y1448" i="1" s="1"/>
  <c r="Y1449" i="1" s="1"/>
  <c r="Y1450" i="1" s="1"/>
  <c r="Y1451" i="1" s="1"/>
  <c r="Y1452" i="1" s="1"/>
  <c r="Y1453" i="1" s="1"/>
  <c r="Y1454" i="1" s="1"/>
  <c r="Y1455" i="1" s="1"/>
  <c r="Y1456" i="1" s="1"/>
  <c r="Y1457" i="1" s="1"/>
  <c r="Y1458" i="1" s="1"/>
  <c r="Y1459" i="1" s="1"/>
  <c r="Y1460" i="1" s="1"/>
  <c r="Y1461" i="1" s="1"/>
  <c r="Y1462" i="1" s="1"/>
  <c r="Y1463" i="1" s="1"/>
  <c r="Y1464" i="1" s="1"/>
  <c r="Y1465" i="1" s="1"/>
  <c r="Y1466" i="1" s="1"/>
  <c r="Y1467" i="1" s="1"/>
  <c r="Y1468" i="1" s="1"/>
  <c r="Y1469" i="1" s="1"/>
  <c r="Y1470" i="1" s="1"/>
  <c r="Y1471" i="1" s="1"/>
  <c r="Y1472" i="1" s="1"/>
  <c r="Y1473" i="1" s="1"/>
  <c r="Y1474" i="1" s="1"/>
  <c r="Y1475" i="1" s="1"/>
  <c r="Y1476" i="1" s="1"/>
  <c r="Y1477" i="1" s="1"/>
  <c r="Y1478" i="1" s="1"/>
  <c r="Y1479" i="1" s="1"/>
  <c r="Y1480" i="1" s="1"/>
  <c r="Y1481" i="1" s="1"/>
  <c r="Y1482" i="1" s="1"/>
  <c r="Y1483" i="1" s="1"/>
  <c r="Y1484" i="1" s="1"/>
  <c r="Y1485" i="1" s="1"/>
  <c r="Y1486" i="1" s="1"/>
  <c r="Y1487" i="1" s="1"/>
  <c r="Y1488" i="1" s="1"/>
  <c r="Y1489" i="1" s="1"/>
  <c r="Y1490" i="1" s="1"/>
  <c r="Y1491" i="1" s="1"/>
  <c r="Y1492" i="1" s="1"/>
  <c r="Y1493" i="1" s="1"/>
  <c r="Y1494" i="1" s="1"/>
  <c r="Y1495" i="1" s="1"/>
  <c r="Y1496" i="1" s="1"/>
  <c r="Y1497" i="1" s="1"/>
  <c r="Y1498" i="1" s="1"/>
  <c r="Y1499" i="1" s="1"/>
  <c r="Y1500" i="1" s="1"/>
  <c r="Y1501" i="1" s="1"/>
  <c r="Y1502" i="1" s="1"/>
  <c r="Y1503" i="1" s="1"/>
  <c r="Y1504" i="1" s="1"/>
  <c r="Y1505" i="1" s="1"/>
  <c r="Y1506" i="1" s="1"/>
  <c r="Y1507" i="1" s="1"/>
  <c r="Y1508" i="1" s="1"/>
  <c r="Y1509" i="1" s="1"/>
  <c r="Y1510" i="1" s="1"/>
  <c r="Y1511" i="1" s="1"/>
  <c r="Y1512" i="1" s="1"/>
  <c r="Y1513" i="1" s="1"/>
  <c r="Y1514" i="1" s="1"/>
  <c r="Y1515" i="1" s="1"/>
  <c r="Y1516" i="1" s="1"/>
  <c r="Y1517" i="1" s="1"/>
  <c r="Y1518" i="1" s="1"/>
  <c r="Y1519" i="1" s="1"/>
  <c r="Y1520" i="1" s="1"/>
  <c r="Y1521" i="1" s="1"/>
  <c r="Y1522" i="1" s="1"/>
  <c r="Y1523" i="1" s="1"/>
  <c r="Y1524" i="1" s="1"/>
  <c r="Y1525" i="1" s="1"/>
  <c r="Y1526" i="1" s="1"/>
  <c r="Y1527" i="1" s="1"/>
  <c r="Y1528" i="1" s="1"/>
  <c r="Y1529" i="1" s="1"/>
  <c r="Y1530" i="1" s="1"/>
  <c r="Y1531" i="1" s="1"/>
  <c r="Y1532" i="1" s="1"/>
  <c r="Y1533" i="1" s="1"/>
  <c r="Y1534" i="1" s="1"/>
  <c r="Y1535" i="1" s="1"/>
  <c r="Y1536" i="1" s="1"/>
  <c r="Y1537" i="1" s="1"/>
  <c r="Y1538" i="1" s="1"/>
  <c r="Y1539" i="1" s="1"/>
  <c r="Y1540" i="1" s="1"/>
  <c r="Y1541" i="1" s="1"/>
  <c r="Y1542" i="1" s="1"/>
  <c r="Y1543" i="1" s="1"/>
  <c r="Y1544" i="1" s="1"/>
  <c r="Y1545" i="1" s="1"/>
  <c r="Y1546" i="1" s="1"/>
  <c r="Y1547" i="1" s="1"/>
  <c r="Y1548" i="1" s="1"/>
  <c r="Y1549" i="1" s="1"/>
  <c r="Y1550" i="1" s="1"/>
  <c r="Y1551" i="1" s="1"/>
  <c r="Y1552" i="1" s="1"/>
  <c r="Y1553" i="1" s="1"/>
  <c r="Y1554" i="1" s="1"/>
  <c r="Y1555" i="1" s="1"/>
  <c r="Y1556" i="1" s="1"/>
  <c r="Y1557" i="1" s="1"/>
  <c r="Y1558" i="1" s="1"/>
  <c r="Y1559" i="1" s="1"/>
  <c r="Y1560" i="1" s="1"/>
  <c r="Y1561" i="1" s="1"/>
  <c r="Y1562" i="1" s="1"/>
  <c r="Y1563" i="1" s="1"/>
  <c r="Y1564" i="1" s="1"/>
  <c r="Y1565" i="1" s="1"/>
  <c r="Y1566" i="1" s="1"/>
  <c r="Y1567" i="1" s="1"/>
  <c r="Y1568" i="1" s="1"/>
  <c r="Y1569" i="1" s="1"/>
  <c r="Y1570" i="1" s="1"/>
  <c r="Y1571" i="1" s="1"/>
  <c r="Y1572" i="1" s="1"/>
  <c r="Y1573" i="1" s="1"/>
  <c r="Y1574" i="1" s="1"/>
  <c r="Y1575" i="1" s="1"/>
  <c r="Y1576" i="1" s="1"/>
  <c r="Y1577" i="1" s="1"/>
  <c r="Y1578" i="1" s="1"/>
  <c r="Y1579" i="1" s="1"/>
  <c r="Y1580" i="1" s="1"/>
  <c r="Y1581" i="1" s="1"/>
  <c r="Y1582" i="1" s="1"/>
  <c r="Y1583" i="1" s="1"/>
  <c r="Y1584" i="1" s="1"/>
  <c r="Y1585" i="1" s="1"/>
  <c r="Y1586" i="1" s="1"/>
  <c r="Y1587" i="1" s="1"/>
  <c r="Y1588" i="1" s="1"/>
  <c r="Y1589" i="1" s="1"/>
  <c r="Y1590" i="1" s="1"/>
  <c r="Y1591" i="1" s="1"/>
  <c r="Y1592" i="1" s="1"/>
  <c r="Y1593" i="1" s="1"/>
  <c r="Y1594" i="1" s="1"/>
  <c r="Y1595" i="1" s="1"/>
  <c r="Y1596" i="1" s="1"/>
  <c r="Y1597" i="1" s="1"/>
  <c r="Y1598" i="1" s="1"/>
  <c r="Y1599" i="1" s="1"/>
  <c r="Y1600" i="1" s="1"/>
  <c r="Y1601" i="1" s="1"/>
  <c r="Y1602" i="1" s="1"/>
  <c r="Y1603" i="1" s="1"/>
  <c r="Y1604" i="1" s="1"/>
  <c r="Y1605" i="1" s="1"/>
  <c r="Y1606" i="1" s="1"/>
  <c r="Y1607" i="1" s="1"/>
  <c r="Y1608" i="1" s="1"/>
  <c r="Y1609" i="1" s="1"/>
  <c r="Y1610" i="1" s="1"/>
  <c r="Y1611" i="1" s="1"/>
  <c r="Y1612" i="1" s="1"/>
  <c r="Y1613" i="1" s="1"/>
  <c r="Y1614" i="1" s="1"/>
  <c r="Y1615" i="1" s="1"/>
  <c r="Y1616" i="1" s="1"/>
  <c r="Y1617" i="1" s="1"/>
  <c r="Y1618" i="1" s="1"/>
  <c r="Y1619" i="1" s="1"/>
  <c r="Y1620" i="1" s="1"/>
  <c r="Y1621" i="1" s="1"/>
  <c r="Y1622" i="1" s="1"/>
  <c r="Y1623" i="1" s="1"/>
  <c r="Y1624" i="1" s="1"/>
  <c r="Y1625" i="1" s="1"/>
  <c r="Y1626" i="1" s="1"/>
  <c r="Y1627" i="1" s="1"/>
  <c r="Y1628" i="1" s="1"/>
  <c r="Y1629" i="1" s="1"/>
  <c r="Y1630" i="1" s="1"/>
  <c r="Y1631" i="1" s="1"/>
  <c r="Y1632" i="1" s="1"/>
  <c r="Y1633" i="1" s="1"/>
  <c r="Y1634" i="1" s="1"/>
  <c r="Y1635" i="1" s="1"/>
  <c r="Y1636" i="1" s="1"/>
  <c r="Y1637" i="1" s="1"/>
  <c r="Y1638" i="1" s="1"/>
  <c r="Y1639" i="1" s="1"/>
  <c r="Y1640" i="1" s="1"/>
  <c r="Y1641" i="1" s="1"/>
  <c r="Y1642" i="1" s="1"/>
  <c r="Y1643" i="1" s="1"/>
  <c r="Y1644" i="1" s="1"/>
  <c r="Y1645" i="1" s="1"/>
  <c r="Y1646" i="1" s="1"/>
  <c r="Y1647" i="1" s="1"/>
  <c r="Y1648" i="1" s="1"/>
  <c r="Y1649" i="1" s="1"/>
  <c r="Y1650" i="1" s="1"/>
  <c r="Y1651" i="1" s="1"/>
  <c r="Y1652" i="1" s="1"/>
  <c r="Y1653" i="1" s="1"/>
  <c r="Y1654" i="1" s="1"/>
  <c r="Y1655" i="1" s="1"/>
  <c r="Y1656" i="1" s="1"/>
  <c r="Y1657" i="1" s="1"/>
  <c r="Y1658" i="1" s="1"/>
  <c r="Y1659" i="1" s="1"/>
  <c r="Y1660" i="1" s="1"/>
  <c r="Y1661" i="1" s="1"/>
  <c r="Y1662" i="1" s="1"/>
  <c r="Y1663" i="1" s="1"/>
  <c r="Y1664" i="1" s="1"/>
  <c r="Y1665" i="1" s="1"/>
  <c r="Y1666" i="1" s="1"/>
  <c r="Y1667" i="1" s="1"/>
  <c r="Y1668" i="1" s="1"/>
  <c r="Y1669" i="1" s="1"/>
  <c r="Y1670" i="1" s="1"/>
  <c r="Y1671" i="1" s="1"/>
  <c r="Y1672" i="1" s="1"/>
  <c r="Y1673" i="1" s="1"/>
  <c r="Y1674" i="1" s="1"/>
  <c r="Y1675" i="1" s="1"/>
  <c r="Y1676" i="1" s="1"/>
  <c r="Y1677" i="1" s="1"/>
  <c r="Y1678" i="1" s="1"/>
  <c r="Y1679" i="1" s="1"/>
  <c r="Y1680" i="1" s="1"/>
  <c r="Y1681" i="1" s="1"/>
  <c r="Y1682" i="1" s="1"/>
  <c r="Y1683" i="1" s="1"/>
  <c r="Y1684" i="1" s="1"/>
  <c r="Y1685" i="1" s="1"/>
  <c r="Y1686" i="1" s="1"/>
  <c r="Y1687" i="1" s="1"/>
  <c r="Y1688" i="1" s="1"/>
  <c r="Y1689" i="1" s="1"/>
  <c r="Y1690" i="1" s="1"/>
  <c r="Y1691" i="1" s="1"/>
  <c r="Y1692" i="1" s="1"/>
  <c r="Y1693" i="1" s="1"/>
  <c r="Y1694" i="1" s="1"/>
  <c r="Y1695" i="1" s="1"/>
  <c r="Y1696" i="1" s="1"/>
  <c r="Y1697" i="1" s="1"/>
  <c r="Y1698" i="1" s="1"/>
  <c r="Y1699" i="1" s="1"/>
  <c r="Y1700" i="1" s="1"/>
  <c r="Y1701" i="1" s="1"/>
  <c r="Y1702" i="1" s="1"/>
  <c r="Y1703" i="1" s="1"/>
  <c r="Y1704" i="1" s="1"/>
  <c r="Y1705" i="1" s="1"/>
  <c r="Y1706" i="1" s="1"/>
  <c r="Y1707" i="1" s="1"/>
  <c r="Y1708" i="1" s="1"/>
  <c r="Y1709" i="1" s="1"/>
  <c r="Y1710" i="1" s="1"/>
  <c r="Y1711" i="1" s="1"/>
  <c r="Y1712" i="1" s="1"/>
  <c r="Y1713" i="1" s="1"/>
  <c r="Y1714" i="1" s="1"/>
  <c r="Y1715" i="1" s="1"/>
  <c r="Y1716" i="1" s="1"/>
  <c r="Y1717" i="1" s="1"/>
  <c r="Y1718" i="1" s="1"/>
  <c r="Y1719" i="1" s="1"/>
  <c r="Y1720" i="1" s="1"/>
  <c r="Y1721" i="1" s="1"/>
  <c r="Y1722" i="1" s="1"/>
  <c r="Y1723" i="1" s="1"/>
  <c r="Y1724" i="1" s="1"/>
  <c r="Y1725" i="1" s="1"/>
  <c r="Y1726" i="1" s="1"/>
  <c r="Y1727" i="1" s="1"/>
  <c r="Y1728" i="1" s="1"/>
  <c r="Y1729" i="1" s="1"/>
  <c r="Y1730" i="1" s="1"/>
  <c r="Y1731" i="1" s="1"/>
  <c r="Y1732" i="1" s="1"/>
  <c r="Y1733" i="1" s="1"/>
  <c r="Y1734" i="1" s="1"/>
  <c r="Y1735" i="1" s="1"/>
  <c r="Y1736" i="1" s="1"/>
  <c r="Y1737" i="1" s="1"/>
  <c r="Y1738" i="1" s="1"/>
  <c r="Y1739" i="1" s="1"/>
  <c r="Y1740" i="1" s="1"/>
  <c r="Y1741" i="1" s="1"/>
  <c r="Y1742" i="1" s="1"/>
  <c r="Y1743" i="1" s="1"/>
  <c r="Y1744" i="1" s="1"/>
  <c r="Y1745" i="1" s="1"/>
  <c r="Y1746" i="1" s="1"/>
  <c r="Y1747" i="1" s="1"/>
  <c r="Y1748" i="1" s="1"/>
  <c r="Y1749" i="1" s="1"/>
  <c r="Y1750" i="1" s="1"/>
  <c r="Y1751" i="1" s="1"/>
  <c r="Y1752" i="1" s="1"/>
  <c r="Y1753" i="1" s="1"/>
  <c r="Y1754" i="1" s="1"/>
  <c r="Y1755" i="1" s="1"/>
  <c r="Y1756" i="1" s="1"/>
  <c r="Y1757" i="1" s="1"/>
  <c r="Y1758" i="1" s="1"/>
  <c r="Y1759" i="1" s="1"/>
  <c r="Y1760" i="1" s="1"/>
  <c r="Y1761" i="1" s="1"/>
  <c r="Y1762" i="1" s="1"/>
  <c r="Y1763" i="1" s="1"/>
  <c r="Y1764" i="1" s="1"/>
  <c r="Y1765" i="1" s="1"/>
  <c r="Y1766" i="1" s="1"/>
  <c r="Y1767" i="1" s="1"/>
  <c r="Y1768" i="1" s="1"/>
  <c r="Y1769" i="1" s="1"/>
  <c r="Y1770" i="1" s="1"/>
  <c r="Y1771" i="1" s="1"/>
  <c r="Y1772" i="1" s="1"/>
  <c r="Y1773" i="1" s="1"/>
  <c r="Y1774" i="1" s="1"/>
  <c r="Y1775" i="1" s="1"/>
  <c r="Y1776" i="1" s="1"/>
  <c r="Y1777" i="1" s="1"/>
  <c r="Y1778" i="1" s="1"/>
  <c r="Y1779" i="1" s="1"/>
  <c r="Y1780" i="1" s="1"/>
  <c r="Y1781" i="1" s="1"/>
  <c r="Y1782" i="1" s="1"/>
  <c r="Y1783" i="1" s="1"/>
  <c r="Y1784" i="1" s="1"/>
  <c r="Y1785" i="1" s="1"/>
  <c r="Y1786" i="1" s="1"/>
  <c r="Y1787" i="1" s="1"/>
  <c r="Y1788" i="1" s="1"/>
  <c r="Y1789" i="1" s="1"/>
  <c r="Y1790" i="1" s="1"/>
  <c r="Y1791" i="1" s="1"/>
  <c r="Y1792" i="1" s="1"/>
  <c r="Y1793" i="1" s="1"/>
  <c r="Y1794" i="1" s="1"/>
  <c r="Y1795" i="1" s="1"/>
  <c r="Y1796" i="1" s="1"/>
  <c r="Y1797" i="1" s="1"/>
  <c r="Y1798" i="1" s="1"/>
  <c r="Y1799" i="1" s="1"/>
  <c r="Y1800" i="1" s="1"/>
  <c r="Y1801" i="1" s="1"/>
  <c r="Y1802" i="1" s="1"/>
  <c r="Y1803" i="1" s="1"/>
  <c r="Y1804" i="1" s="1"/>
  <c r="Y1805" i="1" s="1"/>
  <c r="Y1806" i="1" s="1"/>
  <c r="Y1807" i="1" s="1"/>
  <c r="Y1808" i="1" s="1"/>
  <c r="Y1809" i="1" s="1"/>
  <c r="Y1810" i="1" s="1"/>
  <c r="Y1811" i="1" s="1"/>
  <c r="Y1812" i="1" s="1"/>
  <c r="Y1813" i="1" s="1"/>
  <c r="Y1814" i="1" s="1"/>
  <c r="Y1815" i="1" s="1"/>
  <c r="Y1816" i="1" s="1"/>
  <c r="Y1817" i="1" s="1"/>
  <c r="Y1818" i="1" s="1"/>
  <c r="Y1819" i="1" s="1"/>
  <c r="Y1820" i="1" s="1"/>
  <c r="Y1821" i="1" s="1"/>
  <c r="Y1822" i="1" s="1"/>
  <c r="Y1823" i="1" s="1"/>
  <c r="Y1824" i="1" s="1"/>
  <c r="Y1825" i="1" s="1"/>
  <c r="Y1826" i="1" s="1"/>
  <c r="Y1827" i="1" s="1"/>
  <c r="Y1828" i="1" s="1"/>
  <c r="Y1829" i="1" s="1"/>
  <c r="Y1830" i="1" s="1"/>
  <c r="Y1831" i="1" s="1"/>
  <c r="Y1832" i="1" s="1"/>
  <c r="Y1833" i="1" s="1"/>
  <c r="Y1834" i="1" s="1"/>
  <c r="Y1835" i="1" s="1"/>
  <c r="Y1836" i="1" s="1"/>
  <c r="Y1837" i="1" s="1"/>
  <c r="Y1838" i="1" s="1"/>
  <c r="Y1839" i="1" s="1"/>
  <c r="Y1840" i="1" s="1"/>
  <c r="Y1841" i="1" s="1"/>
  <c r="Y1842" i="1" s="1"/>
  <c r="Y1843" i="1" s="1"/>
  <c r="Y1844" i="1" s="1"/>
  <c r="Y1845" i="1" s="1"/>
  <c r="Y1846" i="1" s="1"/>
  <c r="Y1847" i="1" s="1"/>
  <c r="Y1848" i="1" s="1"/>
  <c r="Y1849" i="1" s="1"/>
  <c r="Y1850" i="1" s="1"/>
  <c r="Y1851" i="1" s="1"/>
  <c r="Y1852" i="1" s="1"/>
  <c r="Y1853" i="1" s="1"/>
  <c r="Y1854" i="1" s="1"/>
  <c r="Y1855" i="1" s="1"/>
  <c r="Y1856" i="1" s="1"/>
  <c r="Y1857" i="1" s="1"/>
  <c r="Y1858" i="1" s="1"/>
  <c r="Y1859" i="1" s="1"/>
  <c r="Y1860" i="1" s="1"/>
  <c r="Y1861" i="1" s="1"/>
  <c r="Y1862" i="1" s="1"/>
  <c r="Y1863" i="1" s="1"/>
  <c r="Y1864" i="1" s="1"/>
  <c r="Y1865" i="1" s="1"/>
  <c r="Y1866" i="1" s="1"/>
  <c r="Y1867" i="1" s="1"/>
  <c r="Y1868" i="1" s="1"/>
  <c r="Y1869" i="1" s="1"/>
  <c r="Y1870" i="1" s="1"/>
  <c r="Y1871" i="1" s="1"/>
  <c r="Y1872" i="1" s="1"/>
  <c r="Y1873" i="1" s="1"/>
  <c r="Y1874" i="1" s="1"/>
  <c r="Y1875" i="1" s="1"/>
  <c r="Y1876" i="1" s="1"/>
  <c r="Y1877" i="1" s="1"/>
  <c r="Y1878" i="1" s="1"/>
  <c r="Y1879" i="1" s="1"/>
  <c r="Y1880" i="1" s="1"/>
  <c r="Y1881" i="1" s="1"/>
  <c r="Y1882" i="1" s="1"/>
  <c r="Y1883" i="1" s="1"/>
  <c r="Y1884" i="1" s="1"/>
  <c r="Y1885" i="1" s="1"/>
  <c r="Y1886" i="1" s="1"/>
  <c r="Y1887" i="1" s="1"/>
  <c r="Y1888" i="1" s="1"/>
  <c r="Y1889" i="1" s="1"/>
  <c r="Y1890" i="1" s="1"/>
  <c r="Y1891" i="1" s="1"/>
  <c r="Y1892" i="1" s="1"/>
  <c r="Y1893" i="1" s="1"/>
  <c r="Y1894" i="1" s="1"/>
  <c r="Y1895" i="1" s="1"/>
  <c r="Y1896" i="1" s="1"/>
  <c r="Y1897" i="1" s="1"/>
  <c r="Y1898" i="1" s="1"/>
  <c r="Y1899" i="1" s="1"/>
  <c r="Y1900" i="1" s="1"/>
  <c r="Y1901" i="1" s="1"/>
  <c r="Y1902" i="1" s="1"/>
  <c r="Y1903" i="1" s="1"/>
  <c r="Y1904" i="1" s="1"/>
  <c r="Y1905" i="1" s="1"/>
  <c r="Y1906" i="1" s="1"/>
  <c r="Y1907" i="1" s="1"/>
  <c r="Y1908" i="1" s="1"/>
  <c r="Y1909" i="1" s="1"/>
  <c r="Y1910" i="1" s="1"/>
  <c r="Y1911" i="1" s="1"/>
  <c r="Y1912" i="1" s="1"/>
  <c r="Y1913" i="1" s="1"/>
  <c r="Y1914" i="1" s="1"/>
  <c r="Y1915" i="1" s="1"/>
  <c r="Y1916" i="1" s="1"/>
  <c r="Y1917" i="1" s="1"/>
  <c r="Y1918" i="1" s="1"/>
  <c r="Y1919" i="1" s="1"/>
  <c r="Y1920" i="1" s="1"/>
  <c r="Y1921" i="1" s="1"/>
  <c r="Y1922" i="1" s="1"/>
  <c r="Y1923" i="1" s="1"/>
  <c r="Y1924" i="1" s="1"/>
  <c r="Y1925" i="1" s="1"/>
  <c r="Y1926" i="1" s="1"/>
  <c r="Y1927" i="1" s="1"/>
  <c r="Y1928" i="1" s="1"/>
  <c r="Y1929" i="1" s="1"/>
  <c r="Y1930" i="1" s="1"/>
  <c r="Y1931" i="1" s="1"/>
  <c r="Y1932" i="1" s="1"/>
  <c r="Y1933" i="1" s="1"/>
  <c r="Y1934" i="1" s="1"/>
  <c r="Y1935" i="1" s="1"/>
  <c r="Y1936" i="1" s="1"/>
  <c r="Y1937" i="1" s="1"/>
  <c r="Y1938" i="1" s="1"/>
  <c r="Y1939" i="1" s="1"/>
  <c r="Y1940" i="1" s="1"/>
  <c r="Y1941" i="1" s="1"/>
  <c r="Y1942" i="1" s="1"/>
  <c r="Y1943" i="1" s="1"/>
  <c r="Y1944" i="1" s="1"/>
  <c r="Y1945" i="1" s="1"/>
  <c r="Y1946" i="1" s="1"/>
  <c r="Y1947" i="1" s="1"/>
  <c r="Y1948" i="1" s="1"/>
  <c r="Y1949" i="1" s="1"/>
  <c r="Y1950" i="1" s="1"/>
  <c r="Y1951" i="1" s="1"/>
  <c r="Y1952" i="1" s="1"/>
  <c r="Y1953" i="1" s="1"/>
  <c r="Y1954" i="1" s="1"/>
  <c r="Y1955" i="1" s="1"/>
  <c r="Y1956" i="1" s="1"/>
  <c r="Y1957" i="1" s="1"/>
  <c r="Y1958" i="1" s="1"/>
  <c r="Y1959" i="1" s="1"/>
  <c r="Y1960" i="1" s="1"/>
  <c r="Y1961" i="1" s="1"/>
  <c r="Y1962" i="1" s="1"/>
  <c r="Y1963" i="1" s="1"/>
  <c r="Y1964" i="1" s="1"/>
  <c r="Y1965" i="1" s="1"/>
  <c r="Y1966" i="1" s="1"/>
  <c r="Y1967" i="1" s="1"/>
  <c r="Y1968" i="1" s="1"/>
  <c r="Y1969" i="1" s="1"/>
  <c r="Y1970" i="1" s="1"/>
  <c r="Y1971" i="1" s="1"/>
  <c r="Y1972" i="1" s="1"/>
  <c r="Y1973" i="1" s="1"/>
  <c r="Y1974" i="1" s="1"/>
  <c r="Y1975" i="1" s="1"/>
  <c r="Y1976" i="1" s="1"/>
  <c r="Y1977" i="1" s="1"/>
  <c r="Y1978" i="1" s="1"/>
  <c r="Y1979" i="1" s="1"/>
  <c r="Y1980" i="1" s="1"/>
  <c r="Y1981" i="1" s="1"/>
  <c r="Y1982" i="1" s="1"/>
  <c r="Y1983" i="1" s="1"/>
  <c r="Y1984" i="1" s="1"/>
  <c r="Y1985" i="1" s="1"/>
  <c r="Y1986" i="1" s="1"/>
  <c r="Y1987" i="1" s="1"/>
  <c r="Y1988" i="1" s="1"/>
  <c r="Y1989" i="1" s="1"/>
  <c r="Y1990" i="1" s="1"/>
  <c r="Y1991" i="1" s="1"/>
  <c r="Y1992" i="1" s="1"/>
  <c r="Y1993" i="1" s="1"/>
  <c r="Y1994" i="1" s="1"/>
  <c r="Y1995" i="1" s="1"/>
  <c r="Y1996" i="1" s="1"/>
  <c r="Y1997" i="1" s="1"/>
  <c r="Y1998" i="1" s="1"/>
  <c r="Y1999" i="1" s="1"/>
  <c r="Y2000" i="1" s="1"/>
  <c r="Y2001" i="1" s="1"/>
  <c r="Y2002" i="1" s="1"/>
  <c r="Y2003" i="1" s="1"/>
  <c r="Y2004" i="1" s="1"/>
  <c r="Y2005" i="1" s="1"/>
  <c r="Y2006" i="1" s="1"/>
  <c r="Y2007" i="1" s="1"/>
  <c r="Y2008" i="1" s="1"/>
  <c r="Y2009" i="1" s="1"/>
  <c r="Y2010" i="1" s="1"/>
  <c r="Y2011" i="1" s="1"/>
  <c r="Y2012" i="1" s="1"/>
  <c r="Y2013" i="1" s="1"/>
  <c r="Y2014" i="1" s="1"/>
  <c r="Y2015" i="1" s="1"/>
  <c r="Y2016" i="1" s="1"/>
  <c r="Y2017" i="1" s="1"/>
  <c r="Y2018" i="1" s="1"/>
  <c r="Y2019" i="1" s="1"/>
  <c r="Y2020" i="1" s="1"/>
  <c r="Y2021" i="1" s="1"/>
  <c r="Y2022" i="1" s="1"/>
  <c r="Y2023" i="1" s="1"/>
  <c r="Y2024" i="1" s="1"/>
  <c r="Y2025" i="1" s="1"/>
  <c r="Y2026" i="1" s="1"/>
  <c r="Y2027" i="1" s="1"/>
  <c r="Y2028" i="1" s="1"/>
  <c r="Y2029" i="1" s="1"/>
  <c r="Y2030" i="1" s="1"/>
  <c r="Y2031" i="1" s="1"/>
  <c r="Y2032" i="1" s="1"/>
  <c r="Y2033" i="1" s="1"/>
  <c r="Y2034" i="1" s="1"/>
  <c r="Y2035" i="1" s="1"/>
  <c r="Y2036" i="1" s="1"/>
  <c r="Y2037" i="1" s="1"/>
  <c r="Y2038" i="1" s="1"/>
  <c r="Y2039" i="1" s="1"/>
  <c r="Y2040" i="1" s="1"/>
  <c r="Y2041" i="1" s="1"/>
  <c r="Y2042" i="1" s="1"/>
  <c r="Y2043" i="1" s="1"/>
  <c r="Y2044" i="1" s="1"/>
  <c r="Y2045" i="1" s="1"/>
  <c r="Y2046" i="1" s="1"/>
  <c r="Y2047" i="1" s="1"/>
  <c r="Y2048" i="1" s="1"/>
  <c r="Y2049" i="1" s="1"/>
  <c r="Y2050" i="1" s="1"/>
  <c r="Y2051" i="1" s="1"/>
  <c r="Y2052" i="1" s="1"/>
  <c r="Y2053" i="1" s="1"/>
  <c r="Y2054" i="1" s="1"/>
  <c r="Y2055" i="1" s="1"/>
  <c r="Y2056" i="1" s="1"/>
  <c r="Y2057" i="1" s="1"/>
  <c r="Y2058" i="1" s="1"/>
  <c r="Y2059" i="1" s="1"/>
  <c r="Y2060" i="1" s="1"/>
  <c r="Y2061" i="1" s="1"/>
  <c r="Y2062" i="1" s="1"/>
  <c r="Y2063" i="1" s="1"/>
  <c r="Y2064" i="1" s="1"/>
  <c r="Y2065" i="1" s="1"/>
  <c r="Y2066" i="1" s="1"/>
  <c r="Y2067" i="1" s="1"/>
  <c r="Y2068" i="1" s="1"/>
  <c r="Y2069" i="1" s="1"/>
  <c r="Y2070" i="1" s="1"/>
  <c r="Y2071" i="1" s="1"/>
  <c r="Y2072" i="1" s="1"/>
  <c r="Y2073" i="1" s="1"/>
  <c r="Y2074" i="1" s="1"/>
  <c r="Y2075" i="1" s="1"/>
  <c r="Y2076" i="1" s="1"/>
  <c r="Y2077" i="1" s="1"/>
  <c r="Y2078" i="1" s="1"/>
  <c r="Y2079" i="1" s="1"/>
  <c r="Y2080" i="1" s="1"/>
  <c r="Y2081" i="1" s="1"/>
  <c r="Y2082" i="1" s="1"/>
  <c r="Y2083" i="1" s="1"/>
  <c r="Y2084" i="1" s="1"/>
  <c r="Y2085" i="1" s="1"/>
  <c r="Y2086" i="1" s="1"/>
  <c r="Y2087" i="1" s="1"/>
  <c r="Y2088" i="1" s="1"/>
  <c r="Y2089" i="1" s="1"/>
  <c r="Y2090" i="1" s="1"/>
  <c r="Y2091" i="1" s="1"/>
  <c r="Y2092" i="1" s="1"/>
  <c r="Y2093" i="1" s="1"/>
  <c r="Y2094" i="1" s="1"/>
  <c r="Y2095" i="1" s="1"/>
  <c r="Y2096" i="1" s="1"/>
  <c r="Y2097" i="1" s="1"/>
  <c r="Y2098" i="1" s="1"/>
  <c r="Y2099" i="1" s="1"/>
  <c r="Y2100" i="1" s="1"/>
  <c r="Y2101" i="1" s="1"/>
  <c r="Y2102" i="1" s="1"/>
  <c r="Y2103" i="1" s="1"/>
  <c r="Y2104" i="1" s="1"/>
  <c r="Y2105" i="1" s="1"/>
  <c r="Y2106" i="1" s="1"/>
  <c r="Y2107" i="1" s="1"/>
  <c r="Y2108" i="1" s="1"/>
  <c r="Y2109" i="1" s="1"/>
  <c r="Y2110" i="1" s="1"/>
  <c r="Y2111" i="1" s="1"/>
  <c r="Y2112" i="1" s="1"/>
  <c r="Y2113" i="1" s="1"/>
  <c r="Y2114" i="1" s="1"/>
  <c r="Y2115" i="1" s="1"/>
  <c r="Y2116" i="1" s="1"/>
  <c r="Y2117" i="1" s="1"/>
  <c r="Y2118" i="1" s="1"/>
  <c r="Y2119" i="1" s="1"/>
  <c r="Y2120" i="1" s="1"/>
  <c r="Y2121" i="1" s="1"/>
  <c r="Y2122" i="1" s="1"/>
  <c r="Y2123" i="1" s="1"/>
  <c r="Y2124" i="1" s="1"/>
  <c r="Y2125" i="1" s="1"/>
  <c r="Y2126" i="1" s="1"/>
  <c r="Y2127" i="1" s="1"/>
  <c r="Y2128" i="1" s="1"/>
  <c r="Y2129" i="1" s="1"/>
  <c r="Y2130" i="1" s="1"/>
  <c r="Y2131" i="1" s="1"/>
  <c r="Y2132" i="1" s="1"/>
  <c r="Y2133" i="1" s="1"/>
  <c r="Y2134" i="1" s="1"/>
  <c r="Y2135" i="1" s="1"/>
  <c r="Y2136" i="1" s="1"/>
  <c r="Y2137" i="1" s="1"/>
  <c r="Y2138" i="1" s="1"/>
  <c r="Y2139" i="1" s="1"/>
  <c r="Y2140" i="1" s="1"/>
  <c r="Y2141" i="1" s="1"/>
  <c r="Y2142" i="1" s="1"/>
  <c r="Y2143" i="1" s="1"/>
  <c r="Y2144" i="1" s="1"/>
  <c r="Y2145" i="1" s="1"/>
  <c r="Y2146" i="1" s="1"/>
  <c r="Y2147" i="1" s="1"/>
  <c r="Y2148" i="1" s="1"/>
  <c r="Y2149" i="1" s="1"/>
  <c r="Y2150" i="1" s="1"/>
  <c r="Y2151" i="1" s="1"/>
  <c r="Y2152" i="1" s="1"/>
  <c r="Y2153" i="1" s="1"/>
  <c r="Y2154" i="1" s="1"/>
  <c r="Y2155" i="1" s="1"/>
  <c r="Y2156" i="1" s="1"/>
  <c r="Y2157" i="1" s="1"/>
  <c r="Y2158" i="1" s="1"/>
  <c r="Y2159" i="1" s="1"/>
  <c r="Y2160" i="1" s="1"/>
  <c r="Y2161" i="1" s="1"/>
  <c r="Y2162" i="1" s="1"/>
  <c r="Y2163" i="1" s="1"/>
  <c r="Y2164" i="1" s="1"/>
  <c r="Y2165" i="1" s="1"/>
  <c r="Y2166" i="1" s="1"/>
  <c r="Y2167" i="1" s="1"/>
  <c r="Y2168" i="1" s="1"/>
  <c r="Y2169" i="1" s="1"/>
  <c r="Y2170" i="1" s="1"/>
  <c r="Y2171" i="1" s="1"/>
  <c r="Y2172" i="1" s="1"/>
  <c r="Y2173" i="1" s="1"/>
  <c r="Y2174" i="1" s="1"/>
  <c r="Y2175" i="1" s="1"/>
  <c r="Y2176" i="1" s="1"/>
  <c r="Y2177" i="1" s="1"/>
  <c r="Y2178" i="1" s="1"/>
  <c r="Y2179" i="1" s="1"/>
  <c r="Y2180" i="1" s="1"/>
  <c r="Y2181" i="1" s="1"/>
  <c r="Y2182" i="1" s="1"/>
  <c r="Y2183" i="1" s="1"/>
  <c r="Y2184" i="1" s="1"/>
  <c r="Y2185" i="1" s="1"/>
  <c r="Y2186" i="1" s="1"/>
  <c r="Y2187" i="1" s="1"/>
  <c r="Y2188" i="1" s="1"/>
  <c r="Y2189" i="1" s="1"/>
  <c r="Y2190" i="1" s="1"/>
  <c r="Y2191" i="1" s="1"/>
  <c r="Y2192" i="1" s="1"/>
  <c r="Y2193" i="1" s="1"/>
  <c r="Y2194" i="1" s="1"/>
  <c r="Y2195" i="1" s="1"/>
  <c r="Y2196" i="1" s="1"/>
  <c r="Y2197" i="1" s="1"/>
  <c r="Y2198" i="1" s="1"/>
  <c r="Y2199" i="1" s="1"/>
  <c r="Y2200" i="1" s="1"/>
  <c r="Y2201" i="1" s="1"/>
  <c r="Y2202" i="1" s="1"/>
  <c r="Y2203" i="1" s="1"/>
  <c r="Y2204" i="1" s="1"/>
  <c r="Y2205" i="1" s="1"/>
  <c r="Y2206" i="1" s="1"/>
  <c r="Y2207" i="1" s="1"/>
  <c r="Y2208" i="1" s="1"/>
  <c r="Y2209" i="1" s="1"/>
  <c r="Y2210" i="1" s="1"/>
  <c r="Y2211" i="1" s="1"/>
  <c r="Y2212" i="1" s="1"/>
  <c r="Y2213" i="1" s="1"/>
  <c r="Y2214" i="1" s="1"/>
  <c r="Y2215" i="1" s="1"/>
  <c r="Y2216" i="1" s="1"/>
  <c r="Y2217" i="1" s="1"/>
  <c r="Y2218" i="1" s="1"/>
  <c r="Y2219" i="1" s="1"/>
  <c r="Y2220" i="1" s="1"/>
  <c r="Y2221" i="1" s="1"/>
  <c r="Y2222" i="1" s="1"/>
  <c r="Y2223" i="1" s="1"/>
  <c r="Y2224" i="1" s="1"/>
  <c r="Y2225" i="1" s="1"/>
  <c r="Y2226" i="1" s="1"/>
  <c r="Y2227" i="1" s="1"/>
  <c r="Y2228" i="1" s="1"/>
  <c r="Y2229" i="1" s="1"/>
  <c r="Y2230" i="1" s="1"/>
  <c r="Y2231" i="1" s="1"/>
  <c r="Y2232" i="1" s="1"/>
  <c r="Y2233" i="1" s="1"/>
  <c r="Y2234" i="1" s="1"/>
  <c r="Y2235" i="1" s="1"/>
  <c r="Y2236" i="1" s="1"/>
  <c r="Y2237" i="1" s="1"/>
  <c r="Y2238" i="1" s="1"/>
  <c r="Y2239" i="1" s="1"/>
  <c r="Y2240" i="1" s="1"/>
  <c r="Y2241" i="1" s="1"/>
  <c r="Y2242" i="1" s="1"/>
  <c r="Y2243" i="1" s="1"/>
  <c r="Y2244" i="1" s="1"/>
  <c r="Y2245" i="1" s="1"/>
  <c r="Y2246" i="1" s="1"/>
  <c r="Y2247" i="1" s="1"/>
  <c r="Y2248" i="1" s="1"/>
  <c r="Y2249" i="1" s="1"/>
  <c r="Y2250" i="1" s="1"/>
  <c r="Y2251" i="1" s="1"/>
  <c r="Y2252" i="1" s="1"/>
  <c r="Y2253" i="1" s="1"/>
  <c r="Y2254" i="1" s="1"/>
  <c r="Y2255" i="1" s="1"/>
  <c r="Y2256" i="1" s="1"/>
  <c r="Y2257" i="1" s="1"/>
  <c r="Y2258" i="1" s="1"/>
  <c r="Y2259" i="1" s="1"/>
  <c r="Y2260" i="1" s="1"/>
  <c r="Y2261" i="1" s="1"/>
  <c r="Y2262" i="1" s="1"/>
  <c r="Y2263" i="1" s="1"/>
  <c r="Y2264" i="1" s="1"/>
  <c r="Y2265" i="1" s="1"/>
  <c r="Y2266" i="1" s="1"/>
  <c r="Y2267" i="1" s="1"/>
  <c r="Y2268" i="1" s="1"/>
  <c r="Y2269" i="1" s="1"/>
  <c r="Y2270" i="1" s="1"/>
  <c r="Y2271" i="1" s="1"/>
  <c r="Y2272" i="1" s="1"/>
  <c r="Y2273" i="1" s="1"/>
  <c r="Y2274" i="1" s="1"/>
  <c r="Y2275" i="1" s="1"/>
  <c r="Y2276" i="1" s="1"/>
  <c r="Y2277" i="1" s="1"/>
  <c r="Y2278" i="1" s="1"/>
  <c r="Y2279" i="1" s="1"/>
  <c r="Y2280" i="1" s="1"/>
  <c r="Y2281" i="1" s="1"/>
  <c r="Y2282" i="1" s="1"/>
  <c r="Y2283" i="1" s="1"/>
  <c r="Y2284" i="1" s="1"/>
  <c r="Y2285" i="1" s="1"/>
  <c r="Y2286" i="1" s="1"/>
  <c r="Y2287" i="1" s="1"/>
  <c r="Y2288" i="1" s="1"/>
  <c r="Y2289" i="1" s="1"/>
  <c r="Y2290" i="1" s="1"/>
  <c r="Y2291" i="1" s="1"/>
  <c r="Y2292" i="1" s="1"/>
  <c r="Y2293" i="1" s="1"/>
  <c r="Y2294" i="1" s="1"/>
  <c r="Y2295" i="1" s="1"/>
  <c r="Y2296" i="1" s="1"/>
  <c r="Y2297" i="1" s="1"/>
  <c r="Y2298" i="1" s="1"/>
  <c r="Y2299" i="1" s="1"/>
  <c r="Y2300" i="1" s="1"/>
  <c r="Y2301" i="1" s="1"/>
  <c r="Y2302" i="1" s="1"/>
  <c r="Y2303" i="1" s="1"/>
  <c r="Y2304" i="1" s="1"/>
  <c r="Y2305" i="1" s="1"/>
  <c r="Y2306" i="1" s="1"/>
  <c r="Y2307" i="1" s="1"/>
  <c r="Y2308" i="1" s="1"/>
  <c r="Y2309" i="1" s="1"/>
  <c r="Y2310" i="1" s="1"/>
  <c r="Y2311" i="1" s="1"/>
  <c r="Y2312" i="1" s="1"/>
  <c r="Y2313" i="1" s="1"/>
  <c r="Y2314" i="1" s="1"/>
  <c r="Y2315" i="1" s="1"/>
  <c r="Y2316" i="1" s="1"/>
  <c r="Y2317" i="1" s="1"/>
  <c r="Y2318" i="1" s="1"/>
  <c r="Y2319" i="1" s="1"/>
  <c r="Y2320" i="1" s="1"/>
  <c r="Y2321" i="1" s="1"/>
  <c r="Y2322" i="1" s="1"/>
  <c r="Y2323" i="1" s="1"/>
  <c r="Y2324" i="1" s="1"/>
  <c r="Y2325" i="1" s="1"/>
  <c r="Y2326" i="1" s="1"/>
  <c r="Y2327" i="1" s="1"/>
  <c r="Y2328" i="1" s="1"/>
  <c r="Y2329" i="1" s="1"/>
  <c r="Y2330" i="1" s="1"/>
  <c r="Y2331" i="1" s="1"/>
  <c r="Y2332" i="1" s="1"/>
  <c r="Y2333" i="1" s="1"/>
  <c r="Y2334" i="1" s="1"/>
  <c r="Y2335" i="1" s="1"/>
  <c r="Y2336" i="1" s="1"/>
  <c r="Y2337" i="1" s="1"/>
  <c r="Y2338" i="1" s="1"/>
  <c r="Y2339" i="1" s="1"/>
  <c r="Y2340" i="1" s="1"/>
  <c r="Y2341" i="1" s="1"/>
  <c r="Y2342" i="1" s="1"/>
  <c r="Y2343" i="1" s="1"/>
  <c r="Y2344" i="1" s="1"/>
  <c r="Y2345" i="1" s="1"/>
  <c r="Y2346" i="1" s="1"/>
  <c r="Y2347" i="1" s="1"/>
  <c r="Y2348" i="1" s="1"/>
  <c r="Y2349" i="1" s="1"/>
  <c r="Y2350" i="1" s="1"/>
  <c r="Y2351" i="1" s="1"/>
  <c r="Y2352" i="1" s="1"/>
  <c r="Y2353" i="1" s="1"/>
  <c r="Y2354" i="1" s="1"/>
  <c r="Y2355" i="1" s="1"/>
  <c r="Y2356" i="1" s="1"/>
  <c r="Y2357" i="1" s="1"/>
  <c r="Y2358" i="1" s="1"/>
  <c r="Y2359" i="1" s="1"/>
  <c r="Y2360" i="1" s="1"/>
  <c r="Y2361" i="1" s="1"/>
  <c r="Y2362" i="1" s="1"/>
  <c r="Y2363" i="1" s="1"/>
  <c r="Y2364" i="1" s="1"/>
  <c r="Y2365" i="1" s="1"/>
  <c r="Y2366" i="1" s="1"/>
  <c r="Y2367" i="1" s="1"/>
  <c r="Y2368" i="1" s="1"/>
  <c r="Y2369" i="1" s="1"/>
  <c r="Y2370" i="1" s="1"/>
  <c r="Y2371" i="1" s="1"/>
  <c r="Y2372" i="1" s="1"/>
  <c r="Y2373" i="1" s="1"/>
  <c r="Y2374" i="1" s="1"/>
  <c r="Y2375" i="1" s="1"/>
  <c r="Y2376" i="1" s="1"/>
  <c r="Y2377" i="1" s="1"/>
  <c r="Y2378" i="1" s="1"/>
  <c r="Y2379" i="1" s="1"/>
  <c r="Y2380" i="1" s="1"/>
  <c r="Y2381" i="1" s="1"/>
  <c r="Y2382" i="1" s="1"/>
  <c r="Y2383" i="1" s="1"/>
  <c r="Y2384" i="1" s="1"/>
  <c r="Y2385" i="1" s="1"/>
  <c r="Y2386" i="1" s="1"/>
  <c r="Y2387" i="1" s="1"/>
  <c r="Y2388" i="1" s="1"/>
  <c r="Y2389" i="1" s="1"/>
  <c r="Y2390" i="1" s="1"/>
  <c r="Y2391" i="1" s="1"/>
  <c r="Y2392" i="1" s="1"/>
  <c r="Y2393" i="1" s="1"/>
  <c r="Y2394" i="1" s="1"/>
  <c r="Y2395" i="1" s="1"/>
  <c r="Y2396" i="1" s="1"/>
  <c r="Y2397" i="1" s="1"/>
  <c r="Y2398" i="1" s="1"/>
  <c r="Y2399" i="1" s="1"/>
  <c r="Y2400" i="1" s="1"/>
  <c r="Y2401" i="1" s="1"/>
  <c r="Y2402" i="1" s="1"/>
  <c r="Y2403" i="1" s="1"/>
  <c r="Y2404" i="1" s="1"/>
  <c r="Y2405" i="1" s="1"/>
  <c r="Y2406" i="1" s="1"/>
  <c r="Y2407" i="1" s="1"/>
  <c r="Y2408" i="1" s="1"/>
  <c r="Y2409" i="1" s="1"/>
  <c r="Y2410" i="1" s="1"/>
  <c r="Y2411" i="1" s="1"/>
  <c r="Y2412" i="1" s="1"/>
  <c r="Y2413" i="1" s="1"/>
  <c r="Y2414" i="1" s="1"/>
  <c r="Y2415" i="1" s="1"/>
  <c r="Y2416" i="1" s="1"/>
  <c r="Y2417" i="1" s="1"/>
  <c r="Y2418" i="1" s="1"/>
  <c r="Y2419" i="1" s="1"/>
  <c r="Y2420" i="1" s="1"/>
  <c r="Y2421" i="1" s="1"/>
  <c r="Y2422" i="1" s="1"/>
  <c r="Y2423" i="1" s="1"/>
  <c r="Y2424" i="1" s="1"/>
  <c r="Y2425" i="1" s="1"/>
  <c r="Y2426" i="1" s="1"/>
  <c r="Y2427" i="1" s="1"/>
  <c r="Y2428" i="1" s="1"/>
  <c r="Y2429" i="1" s="1"/>
  <c r="Y2430" i="1" s="1"/>
  <c r="Y2431" i="1" s="1"/>
  <c r="Y2432" i="1" s="1"/>
  <c r="Y2433" i="1" s="1"/>
  <c r="Y2434" i="1" s="1"/>
  <c r="Y2435" i="1" s="1"/>
  <c r="Y2436" i="1" s="1"/>
  <c r="Y2437" i="1" s="1"/>
  <c r="Y2438" i="1" s="1"/>
  <c r="Y2439" i="1" s="1"/>
  <c r="Y2440" i="1" s="1"/>
  <c r="Y2441" i="1" s="1"/>
  <c r="Y2442" i="1" s="1"/>
  <c r="Y2443" i="1" s="1"/>
  <c r="Y2444" i="1" s="1"/>
  <c r="Y2445" i="1" s="1"/>
  <c r="Y2446" i="1" s="1"/>
  <c r="Y2447" i="1" s="1"/>
  <c r="Y2448" i="1" s="1"/>
  <c r="Y2449" i="1" s="1"/>
  <c r="Y2450" i="1" s="1"/>
  <c r="Y2451" i="1" s="1"/>
  <c r="Y2452" i="1" s="1"/>
  <c r="Y2453" i="1" s="1"/>
  <c r="Y2454" i="1" s="1"/>
  <c r="Y2455" i="1" s="1"/>
  <c r="Y2456" i="1" s="1"/>
  <c r="Y2457" i="1" s="1"/>
  <c r="Y2458" i="1" s="1"/>
  <c r="Y2459" i="1" s="1"/>
  <c r="Y2460" i="1" s="1"/>
  <c r="Y2461" i="1" s="1"/>
  <c r="Y2462" i="1" s="1"/>
  <c r="Y2463" i="1" s="1"/>
  <c r="Y2464" i="1" s="1"/>
  <c r="Y2465" i="1" s="1"/>
  <c r="Y2466" i="1" s="1"/>
  <c r="Y2467" i="1" s="1"/>
  <c r="Y2468" i="1" s="1"/>
  <c r="Y2469" i="1" s="1"/>
  <c r="Y2470" i="1" s="1"/>
  <c r="Y2471" i="1" s="1"/>
  <c r="Y2472" i="1" s="1"/>
  <c r="Y2473" i="1" s="1"/>
  <c r="Y2474" i="1" s="1"/>
  <c r="Y2475" i="1" s="1"/>
  <c r="Y2476" i="1" s="1"/>
  <c r="Y2477" i="1" s="1"/>
  <c r="Y2478" i="1" s="1"/>
  <c r="Y2479" i="1" s="1"/>
  <c r="Y2480" i="1" s="1"/>
  <c r="Y2481" i="1" s="1"/>
  <c r="Y2482" i="1" s="1"/>
  <c r="Y2483" i="1" s="1"/>
  <c r="Y2484" i="1" s="1"/>
  <c r="Y2485" i="1" s="1"/>
  <c r="Y2486" i="1" s="1"/>
  <c r="Y2487" i="1" s="1"/>
  <c r="Y2488" i="1" s="1"/>
  <c r="Y2489" i="1" s="1"/>
  <c r="Y2490" i="1" s="1"/>
  <c r="Y2491" i="1" s="1"/>
  <c r="Y2492" i="1" s="1"/>
  <c r="Y2493" i="1" s="1"/>
  <c r="Y2494" i="1" s="1"/>
  <c r="Y2495" i="1" s="1"/>
  <c r="Y2496" i="1" s="1"/>
  <c r="Y2497" i="1" s="1"/>
  <c r="Y2498" i="1" s="1"/>
  <c r="Y2499" i="1" s="1"/>
  <c r="Y2500" i="1" s="1"/>
  <c r="Y2501" i="1" s="1"/>
  <c r="Y2502" i="1" s="1"/>
  <c r="Y2503" i="1" s="1"/>
  <c r="Y2504" i="1" s="1"/>
  <c r="Y2505" i="1" s="1"/>
  <c r="Y2506" i="1" s="1"/>
  <c r="Y2507" i="1" s="1"/>
  <c r="Y2508" i="1" s="1"/>
  <c r="Y2509" i="1" s="1"/>
  <c r="Y2510" i="1" s="1"/>
  <c r="Y2511" i="1" s="1"/>
  <c r="Y2512" i="1" s="1"/>
  <c r="Y2513" i="1" s="1"/>
  <c r="Y2514" i="1" s="1"/>
  <c r="Y2515" i="1" s="1"/>
  <c r="Y2516" i="1" s="1"/>
  <c r="Y2517" i="1" s="1"/>
  <c r="Y2518" i="1" s="1"/>
  <c r="Y2519" i="1" s="1"/>
  <c r="Y2520" i="1" s="1"/>
  <c r="Y2521" i="1" s="1"/>
  <c r="Y2522" i="1" s="1"/>
  <c r="Y2523" i="1" s="1"/>
  <c r="Y2524" i="1" s="1"/>
  <c r="Y2525" i="1" s="1"/>
  <c r="Y2526" i="1" s="1"/>
  <c r="Y2527" i="1" s="1"/>
  <c r="Y2528" i="1" s="1"/>
  <c r="Y2529" i="1" s="1"/>
  <c r="Y2530" i="1" s="1"/>
  <c r="Y2531" i="1" s="1"/>
  <c r="Y2532" i="1" s="1"/>
  <c r="Y2533" i="1" s="1"/>
  <c r="Y2534" i="1" s="1"/>
  <c r="Y2535" i="1" s="1"/>
  <c r="Y2536" i="1" s="1"/>
  <c r="Y2537" i="1" s="1"/>
  <c r="Y2538" i="1" s="1"/>
  <c r="Y2539" i="1" s="1"/>
  <c r="Y2540" i="1" s="1"/>
  <c r="Y2541" i="1" s="1"/>
  <c r="Y2542" i="1" s="1"/>
  <c r="Y2543" i="1" s="1"/>
  <c r="Y2544" i="1" s="1"/>
  <c r="Y2545" i="1" s="1"/>
  <c r="Y2546" i="1" s="1"/>
  <c r="Y2547" i="1" s="1"/>
  <c r="Y2548" i="1" s="1"/>
  <c r="Y2549" i="1" s="1"/>
  <c r="Y2550" i="1" s="1"/>
  <c r="Y2551" i="1" s="1"/>
  <c r="Y2552" i="1" s="1"/>
  <c r="Y2553" i="1" s="1"/>
  <c r="Y2554" i="1" s="1"/>
  <c r="Y2555" i="1" s="1"/>
  <c r="Y2556" i="1" s="1"/>
  <c r="Y2557" i="1" s="1"/>
  <c r="Y2558" i="1" s="1"/>
  <c r="Y2559" i="1" s="1"/>
  <c r="Y2560" i="1" s="1"/>
  <c r="Y2561" i="1" s="1"/>
  <c r="Y2562" i="1" s="1"/>
  <c r="Y2563" i="1" s="1"/>
  <c r="Y2564" i="1" s="1"/>
  <c r="Y2565" i="1" s="1"/>
  <c r="Y2566" i="1" s="1"/>
  <c r="Y2567" i="1" s="1"/>
  <c r="Y2568" i="1" s="1"/>
  <c r="Y2569" i="1" s="1"/>
  <c r="Y2570" i="1" s="1"/>
  <c r="Y2571" i="1" s="1"/>
  <c r="Y2572" i="1" s="1"/>
  <c r="Y2573" i="1" s="1"/>
  <c r="Y2574" i="1" s="1"/>
  <c r="Y2575" i="1" s="1"/>
  <c r="Y2576" i="1" s="1"/>
  <c r="Y2577" i="1" s="1"/>
  <c r="Y2578" i="1" s="1"/>
  <c r="Y2579" i="1" s="1"/>
  <c r="Y2580" i="1" s="1"/>
  <c r="Y2581" i="1" s="1"/>
  <c r="Y2582" i="1" s="1"/>
  <c r="Y2583" i="1" s="1"/>
  <c r="Y2584" i="1" s="1"/>
  <c r="Y2585" i="1" s="1"/>
  <c r="Y2586" i="1" s="1"/>
  <c r="Y2587" i="1" s="1"/>
  <c r="Y2588" i="1" s="1"/>
  <c r="Y2589" i="1" s="1"/>
  <c r="Y2590" i="1" s="1"/>
  <c r="Y2591" i="1" s="1"/>
  <c r="Y2592" i="1" s="1"/>
  <c r="Y2593" i="1" s="1"/>
  <c r="Y2594" i="1" s="1"/>
  <c r="Y2595" i="1" s="1"/>
  <c r="Y2596" i="1" s="1"/>
  <c r="Y2597" i="1" s="1"/>
  <c r="Y2598" i="1" s="1"/>
  <c r="Y2599" i="1" s="1"/>
  <c r="Y2600" i="1" s="1"/>
  <c r="Y2601" i="1" s="1"/>
  <c r="Y2602" i="1" s="1"/>
  <c r="Y2603" i="1" s="1"/>
  <c r="Y2604" i="1" s="1"/>
  <c r="Y2605" i="1" s="1"/>
  <c r="Y2606" i="1" s="1"/>
  <c r="Y2607" i="1" s="1"/>
  <c r="Y2608" i="1" s="1"/>
  <c r="Y2609" i="1" s="1"/>
  <c r="Y2610" i="1" s="1"/>
  <c r="Y2611" i="1" s="1"/>
  <c r="Y2612" i="1" s="1"/>
  <c r="Y2613" i="1" s="1"/>
  <c r="Y2614" i="1" s="1"/>
  <c r="Y2615" i="1" s="1"/>
  <c r="Y2616" i="1" s="1"/>
  <c r="Y2617" i="1" s="1"/>
  <c r="Y2618" i="1" s="1"/>
  <c r="Y2619" i="1" s="1"/>
  <c r="Y2620" i="1" s="1"/>
  <c r="Y2621" i="1" s="1"/>
  <c r="Y2622" i="1" s="1"/>
  <c r="Y2623" i="1" s="1"/>
  <c r="Y2624" i="1" s="1"/>
  <c r="Y2625" i="1" s="1"/>
  <c r="Y2626" i="1" s="1"/>
  <c r="Y2627" i="1" s="1"/>
  <c r="Y2628" i="1" s="1"/>
  <c r="Y2629" i="1" s="1"/>
  <c r="Y2630" i="1" s="1"/>
  <c r="Y2631" i="1" s="1"/>
  <c r="Y2632" i="1" s="1"/>
  <c r="Y2633" i="1" s="1"/>
  <c r="Y2634" i="1" s="1"/>
  <c r="Y2635" i="1" s="1"/>
  <c r="Y2636" i="1" s="1"/>
  <c r="Y2637" i="1" s="1"/>
  <c r="Y2638" i="1" s="1"/>
  <c r="Y2639" i="1" s="1"/>
  <c r="Y2640" i="1" s="1"/>
  <c r="Y2641" i="1" s="1"/>
  <c r="Y2642" i="1" s="1"/>
  <c r="Y2643" i="1" s="1"/>
  <c r="Y2644" i="1" s="1"/>
  <c r="Y2645" i="1" s="1"/>
  <c r="Y2646" i="1" s="1"/>
  <c r="Y2647" i="1" s="1"/>
  <c r="Y2648" i="1" s="1"/>
  <c r="Y2649" i="1" s="1"/>
  <c r="Y2650" i="1" s="1"/>
  <c r="Y2651" i="1" s="1"/>
  <c r="Y2652" i="1" s="1"/>
  <c r="Y2653" i="1" s="1"/>
  <c r="Y2654" i="1" s="1"/>
  <c r="Y2655" i="1" s="1"/>
  <c r="Y2656" i="1" s="1"/>
  <c r="Y2657" i="1" s="1"/>
  <c r="Y2658" i="1" s="1"/>
  <c r="Y2659" i="1" s="1"/>
  <c r="Y2660" i="1" s="1"/>
  <c r="Y2661" i="1" s="1"/>
  <c r="Y2662" i="1" s="1"/>
  <c r="Y2663" i="1" s="1"/>
  <c r="Y2664" i="1" s="1"/>
  <c r="Y2665" i="1" s="1"/>
  <c r="Y2666" i="1" s="1"/>
  <c r="Y2667" i="1" s="1"/>
  <c r="Y2668" i="1" s="1"/>
  <c r="Y2669" i="1" s="1"/>
  <c r="Y2670" i="1" s="1"/>
  <c r="Y2671" i="1" s="1"/>
  <c r="Y2672" i="1" s="1"/>
  <c r="Y2673" i="1" s="1"/>
  <c r="Y2674" i="1" s="1"/>
  <c r="Y2675" i="1" s="1"/>
  <c r="Y2676" i="1" s="1"/>
  <c r="Y2677" i="1" s="1"/>
  <c r="Y2678" i="1" s="1"/>
  <c r="Y2679" i="1" s="1"/>
  <c r="Y2680" i="1" s="1"/>
  <c r="Y2681" i="1" s="1"/>
  <c r="Y2682" i="1" s="1"/>
  <c r="Y2683" i="1" s="1"/>
  <c r="Y2684" i="1" s="1"/>
  <c r="Y2685" i="1" s="1"/>
  <c r="Y2686" i="1" s="1"/>
  <c r="Y2687" i="1" s="1"/>
  <c r="Y2688" i="1" s="1"/>
  <c r="Y2689" i="1" s="1"/>
  <c r="Y2690" i="1" s="1"/>
  <c r="Y2691" i="1" s="1"/>
  <c r="Y2692" i="1" s="1"/>
  <c r="Y2693" i="1" s="1"/>
  <c r="Y2694" i="1" s="1"/>
  <c r="Y2695" i="1" s="1"/>
  <c r="Y2696" i="1" s="1"/>
  <c r="Y2697" i="1" s="1"/>
  <c r="Y2698" i="1" s="1"/>
  <c r="Y2699" i="1" s="1"/>
  <c r="Y2700" i="1" s="1"/>
  <c r="Y2701" i="1" s="1"/>
  <c r="Y2702" i="1" s="1"/>
  <c r="Y2703" i="1" s="1"/>
  <c r="Y2704" i="1" s="1"/>
  <c r="Y2705" i="1" s="1"/>
  <c r="Y2706" i="1" s="1"/>
  <c r="Y2707" i="1" s="1"/>
  <c r="Y2708" i="1" s="1"/>
  <c r="Y2709" i="1" s="1"/>
  <c r="Y2710" i="1" s="1"/>
  <c r="Y2711" i="1" s="1"/>
  <c r="Y2712" i="1" s="1"/>
  <c r="Y2713" i="1" s="1"/>
  <c r="Y2714" i="1" s="1"/>
  <c r="Y2715" i="1" s="1"/>
  <c r="Y2716" i="1" s="1"/>
  <c r="Y2717" i="1" s="1"/>
  <c r="Y2718" i="1" s="1"/>
  <c r="Y2719" i="1" s="1"/>
  <c r="Y2720" i="1" s="1"/>
  <c r="Y2721" i="1" s="1"/>
  <c r="Y2722" i="1" s="1"/>
  <c r="Y2723" i="1" s="1"/>
  <c r="Y2724" i="1" s="1"/>
  <c r="Y2725" i="1" s="1"/>
  <c r="Y2726" i="1" s="1"/>
  <c r="Y2727" i="1" s="1"/>
  <c r="Y2728" i="1" s="1"/>
  <c r="Y2729" i="1" s="1"/>
  <c r="Y2730" i="1" s="1"/>
  <c r="Y2731" i="1" s="1"/>
  <c r="Y2732" i="1" s="1"/>
  <c r="Y2733" i="1" s="1"/>
  <c r="Y2734" i="1" s="1"/>
  <c r="Y2735" i="1" s="1"/>
  <c r="Y2736" i="1" s="1"/>
  <c r="Y2737" i="1" s="1"/>
  <c r="Y2738" i="1" s="1"/>
  <c r="Y2739" i="1" s="1"/>
  <c r="Y2740" i="1" s="1"/>
  <c r="Y2741" i="1" s="1"/>
  <c r="Y2742" i="1" s="1"/>
  <c r="Y2743" i="1" s="1"/>
  <c r="Y2744" i="1" s="1"/>
  <c r="Y2745" i="1" s="1"/>
  <c r="Y2746" i="1" s="1"/>
  <c r="Y2747" i="1" s="1"/>
  <c r="Y2748" i="1" s="1"/>
  <c r="Y2749" i="1" s="1"/>
  <c r="Y2750" i="1" s="1"/>
  <c r="Y2751" i="1" s="1"/>
  <c r="Y2752" i="1" s="1"/>
  <c r="Y2753" i="1" s="1"/>
  <c r="Y2754" i="1" s="1"/>
  <c r="Y2755" i="1" s="1"/>
  <c r="Y2756" i="1" s="1"/>
  <c r="Y2757" i="1" s="1"/>
  <c r="Y2758" i="1" s="1"/>
  <c r="Y2759" i="1" s="1"/>
  <c r="Y2760" i="1" s="1"/>
  <c r="Y2761" i="1" s="1"/>
  <c r="Y2762" i="1" s="1"/>
  <c r="Y2763" i="1" s="1"/>
  <c r="Y2764" i="1" s="1"/>
  <c r="Y2765" i="1" s="1"/>
  <c r="Y2766" i="1" s="1"/>
  <c r="Y2767" i="1" s="1"/>
  <c r="Y2768" i="1" s="1"/>
  <c r="Y2769" i="1" s="1"/>
  <c r="Y2770" i="1" s="1"/>
  <c r="Y2771" i="1" s="1"/>
  <c r="Y2772" i="1" s="1"/>
  <c r="Y2773" i="1" s="1"/>
  <c r="Y2774" i="1" s="1"/>
  <c r="Y2775" i="1" s="1"/>
  <c r="Y2776" i="1" s="1"/>
  <c r="Y2777" i="1" s="1"/>
  <c r="Y2778" i="1" s="1"/>
  <c r="Y2779" i="1" s="1"/>
  <c r="Y2780" i="1" s="1"/>
  <c r="Y2781" i="1" s="1"/>
  <c r="Y2782" i="1" s="1"/>
  <c r="Y2783" i="1" s="1"/>
  <c r="Y2784" i="1" s="1"/>
  <c r="Y2785" i="1" s="1"/>
  <c r="Y2786" i="1" s="1"/>
  <c r="Y2787" i="1" s="1"/>
  <c r="Y2788" i="1" s="1"/>
  <c r="Y2789" i="1" s="1"/>
  <c r="Y2790" i="1" s="1"/>
  <c r="Y2791" i="1" s="1"/>
  <c r="Y2792" i="1" s="1"/>
  <c r="Y2793" i="1" s="1"/>
  <c r="Y2794" i="1" s="1"/>
  <c r="Y2795" i="1" s="1"/>
  <c r="Y2796" i="1" s="1"/>
  <c r="Y2797" i="1" s="1"/>
  <c r="Y2798" i="1" s="1"/>
  <c r="Y2799" i="1" s="1"/>
  <c r="Y2800" i="1" s="1"/>
  <c r="Y2801" i="1" s="1"/>
  <c r="Y2802" i="1" s="1"/>
  <c r="Y2803" i="1" s="1"/>
  <c r="Y2804" i="1" s="1"/>
  <c r="Y2805" i="1" s="1"/>
  <c r="Y2806" i="1" s="1"/>
  <c r="Y2807" i="1" s="1"/>
  <c r="Y2808" i="1" s="1"/>
  <c r="Y2809" i="1" s="1"/>
  <c r="Y2810" i="1" s="1"/>
  <c r="Y2811" i="1" s="1"/>
  <c r="Y2812" i="1" s="1"/>
  <c r="Y2813" i="1" s="1"/>
  <c r="Y2814" i="1" s="1"/>
  <c r="Y2815" i="1" s="1"/>
  <c r="Y2816" i="1" s="1"/>
  <c r="Y2817" i="1" s="1"/>
  <c r="Y2818" i="1" s="1"/>
  <c r="Y2819" i="1" s="1"/>
  <c r="Y2820" i="1" s="1"/>
  <c r="Y2821" i="1" s="1"/>
  <c r="Y2822" i="1" s="1"/>
  <c r="Y2823" i="1" s="1"/>
  <c r="Y2824" i="1" s="1"/>
  <c r="Y2825" i="1" s="1"/>
  <c r="Y2826" i="1" s="1"/>
  <c r="Y2827" i="1" s="1"/>
  <c r="Y2828" i="1" s="1"/>
  <c r="Y2829" i="1" s="1"/>
  <c r="Y2830" i="1" s="1"/>
  <c r="Y2831" i="1" s="1"/>
  <c r="Y2832" i="1" s="1"/>
  <c r="Y2833" i="1" s="1"/>
  <c r="Y2834" i="1" s="1"/>
  <c r="Y2835" i="1" s="1"/>
  <c r="Y2836" i="1" s="1"/>
  <c r="Y2837" i="1" s="1"/>
  <c r="Y2838" i="1" s="1"/>
  <c r="Y2839" i="1" s="1"/>
  <c r="Y2840" i="1" s="1"/>
  <c r="Y2841" i="1" s="1"/>
  <c r="Y2842" i="1" s="1"/>
  <c r="Y2843" i="1" s="1"/>
  <c r="Y2844" i="1" s="1"/>
  <c r="Y2845" i="1" s="1"/>
  <c r="Y2846" i="1" s="1"/>
  <c r="Y2847" i="1" s="1"/>
  <c r="Y2848" i="1" s="1"/>
  <c r="Y2849" i="1" s="1"/>
  <c r="Y2850" i="1" s="1"/>
  <c r="Y2851" i="1" s="1"/>
  <c r="Y2852" i="1" s="1"/>
  <c r="Y2853" i="1" s="1"/>
  <c r="Y2854" i="1" s="1"/>
  <c r="Y2855" i="1" s="1"/>
  <c r="Y2856" i="1" s="1"/>
  <c r="Y2857" i="1" s="1"/>
  <c r="Y2858" i="1" s="1"/>
  <c r="Y2859" i="1" s="1"/>
  <c r="Y2860" i="1" s="1"/>
  <c r="Y2861" i="1" s="1"/>
  <c r="Y2862" i="1" s="1"/>
  <c r="Y2863" i="1" s="1"/>
  <c r="Y2864" i="1" s="1"/>
  <c r="Y2865" i="1" s="1"/>
  <c r="Y2866" i="1" s="1"/>
  <c r="Y2867" i="1" s="1"/>
  <c r="Y2868" i="1" s="1"/>
  <c r="Y2869" i="1" s="1"/>
  <c r="Y2870" i="1" s="1"/>
  <c r="Y2871" i="1" s="1"/>
  <c r="Y2872" i="1" s="1"/>
  <c r="Y2873" i="1" s="1"/>
  <c r="Y2874" i="1" s="1"/>
  <c r="Y2875" i="1" s="1"/>
  <c r="Y2876" i="1" s="1"/>
  <c r="Y2877" i="1" s="1"/>
  <c r="Y2878" i="1" s="1"/>
  <c r="Y2879" i="1" s="1"/>
  <c r="Y2880" i="1" s="1"/>
  <c r="Y2881" i="1" s="1"/>
  <c r="Y2882" i="1" s="1"/>
  <c r="Y2883" i="1" s="1"/>
  <c r="Y2884" i="1" s="1"/>
  <c r="Y2885" i="1" s="1"/>
  <c r="Y2886" i="1" s="1"/>
  <c r="Y2887" i="1" s="1"/>
  <c r="Y2888" i="1" s="1"/>
  <c r="Y2889" i="1" s="1"/>
  <c r="Y2890" i="1" s="1"/>
  <c r="Y2891" i="1" s="1"/>
  <c r="Y2892" i="1" s="1"/>
  <c r="Y2893" i="1" s="1"/>
  <c r="Y2894" i="1" s="1"/>
  <c r="Y2895" i="1" s="1"/>
  <c r="Y2896" i="1" s="1"/>
  <c r="Y2897" i="1" s="1"/>
  <c r="Y2898" i="1" s="1"/>
  <c r="Y2899" i="1" s="1"/>
  <c r="Y2900" i="1" s="1"/>
  <c r="Y2901" i="1" s="1"/>
  <c r="Y2902" i="1" s="1"/>
  <c r="Y2903" i="1" s="1"/>
  <c r="Y2904" i="1" s="1"/>
  <c r="Y2905" i="1" s="1"/>
  <c r="Y2906" i="1" s="1"/>
  <c r="Y2907" i="1" s="1"/>
  <c r="Y2908" i="1" s="1"/>
  <c r="Y2909" i="1" s="1"/>
  <c r="Y2910" i="1" s="1"/>
  <c r="Y2911" i="1" s="1"/>
  <c r="Y2912" i="1" s="1"/>
  <c r="Y2913" i="1" s="1"/>
  <c r="Y2914" i="1" s="1"/>
  <c r="Y2915" i="1" s="1"/>
  <c r="Y2916" i="1" s="1"/>
  <c r="Y2917" i="1" s="1"/>
  <c r="Y2918" i="1" s="1"/>
  <c r="Y2919" i="1" s="1"/>
  <c r="Y2920" i="1" s="1"/>
  <c r="Y2921" i="1" s="1"/>
  <c r="Y2922" i="1" s="1"/>
  <c r="Y2923" i="1" s="1"/>
  <c r="Y2924" i="1" s="1"/>
  <c r="Y2925" i="1" s="1"/>
  <c r="Y2926" i="1" s="1"/>
  <c r="Y2927" i="1" s="1"/>
  <c r="Y2928" i="1" s="1"/>
  <c r="Y2929" i="1" s="1"/>
  <c r="Y2930" i="1" s="1"/>
  <c r="Y2931" i="1" s="1"/>
  <c r="Y2932" i="1" s="1"/>
  <c r="Y2933" i="1" s="1"/>
  <c r="Y2934" i="1" s="1"/>
  <c r="Y2935" i="1" s="1"/>
  <c r="Y2936" i="1" s="1"/>
  <c r="Y2937" i="1" s="1"/>
  <c r="Y2938" i="1" s="1"/>
  <c r="Y2939" i="1" s="1"/>
  <c r="Y2940" i="1" s="1"/>
  <c r="Y2941" i="1" s="1"/>
  <c r="Y2942" i="1" s="1"/>
  <c r="Y2943" i="1" s="1"/>
  <c r="Y2944" i="1" s="1"/>
  <c r="Y2945" i="1" s="1"/>
  <c r="Y2946" i="1" s="1"/>
  <c r="Y2947" i="1" s="1"/>
  <c r="Y2948" i="1" s="1"/>
  <c r="Y2949" i="1" s="1"/>
  <c r="Y2950" i="1" s="1"/>
  <c r="Y2951" i="1" s="1"/>
  <c r="Y2952" i="1" s="1"/>
  <c r="Y2953" i="1" s="1"/>
  <c r="Y2954" i="1" s="1"/>
  <c r="Y2955" i="1" s="1"/>
  <c r="Y2956" i="1" s="1"/>
  <c r="Y2957" i="1" s="1"/>
  <c r="Y2958" i="1" s="1"/>
  <c r="Y2959" i="1" s="1"/>
  <c r="Y2960" i="1" s="1"/>
  <c r="Y2961" i="1" s="1"/>
  <c r="Y2962" i="1" s="1"/>
  <c r="Y2963" i="1" s="1"/>
  <c r="Y2964" i="1" s="1"/>
  <c r="Y2965" i="1" s="1"/>
  <c r="Y2966" i="1" s="1"/>
  <c r="Y2967" i="1" s="1"/>
  <c r="Y2968" i="1" s="1"/>
  <c r="Y2969" i="1" s="1"/>
  <c r="Y2970" i="1" s="1"/>
  <c r="Y2971" i="1" s="1"/>
  <c r="Y2972" i="1" s="1"/>
  <c r="Y2973" i="1" s="1"/>
  <c r="Y2974" i="1" s="1"/>
  <c r="Y2975" i="1" s="1"/>
  <c r="Y2976" i="1" s="1"/>
  <c r="Y2977" i="1" s="1"/>
  <c r="Y2978" i="1" s="1"/>
  <c r="Y2979" i="1" s="1"/>
  <c r="Y2980" i="1" s="1"/>
  <c r="Y2981" i="1" s="1"/>
  <c r="Y2982" i="1" s="1"/>
  <c r="Y2983" i="1" s="1"/>
  <c r="Y2984" i="1" s="1"/>
  <c r="Y2985" i="1" s="1"/>
  <c r="Y2986" i="1" s="1"/>
  <c r="Y2987" i="1" s="1"/>
  <c r="Y2988" i="1" s="1"/>
  <c r="Y2989" i="1" s="1"/>
  <c r="Y2990" i="1" s="1"/>
  <c r="Y2991" i="1" s="1"/>
  <c r="Y2992" i="1" s="1"/>
  <c r="Y2993" i="1" s="1"/>
  <c r="Y2994" i="1" s="1"/>
  <c r="Y2995" i="1" s="1"/>
  <c r="Y2996" i="1" s="1"/>
  <c r="Y2997" i="1" s="1"/>
  <c r="Y2998" i="1" s="1"/>
  <c r="Y2999" i="1" s="1"/>
  <c r="Y3000" i="1" s="1"/>
  <c r="Y3001" i="1" s="1"/>
  <c r="Y3002" i="1" s="1"/>
  <c r="Y3003" i="1" s="1"/>
  <c r="Y3004" i="1" s="1"/>
  <c r="Y3005" i="1" s="1"/>
  <c r="Y3006" i="1" s="1"/>
  <c r="Y3007" i="1" s="1"/>
  <c r="Y3008" i="1" s="1"/>
  <c r="Y3009" i="1" s="1"/>
  <c r="Y3010" i="1" s="1"/>
  <c r="Y3011" i="1" s="1"/>
  <c r="Y3012" i="1" s="1"/>
  <c r="Y3013" i="1" s="1"/>
  <c r="Y3014" i="1" s="1"/>
  <c r="Y3015" i="1" s="1"/>
  <c r="Y3016" i="1" s="1"/>
  <c r="Y3017" i="1" s="1"/>
  <c r="Y3018" i="1" s="1"/>
  <c r="Y3019" i="1" s="1"/>
  <c r="Y3020" i="1" s="1"/>
  <c r="Y3021" i="1" s="1"/>
  <c r="Y3022" i="1" s="1"/>
  <c r="Y3023" i="1" s="1"/>
  <c r="Y3024" i="1" s="1"/>
  <c r="Y3025" i="1" s="1"/>
  <c r="Y3026" i="1" s="1"/>
  <c r="Y3027" i="1" s="1"/>
  <c r="Y3028" i="1" s="1"/>
  <c r="Y3029" i="1" s="1"/>
  <c r="Y3030" i="1" s="1"/>
  <c r="Y3031" i="1" s="1"/>
  <c r="Y3032" i="1" s="1"/>
  <c r="Y3033" i="1" s="1"/>
  <c r="Y3034" i="1" s="1"/>
  <c r="Y3035" i="1" s="1"/>
  <c r="Y3036" i="1" s="1"/>
  <c r="Y3037" i="1" s="1"/>
  <c r="Y3038" i="1" s="1"/>
  <c r="Y3039" i="1" s="1"/>
  <c r="Y3040" i="1" s="1"/>
  <c r="Y3041" i="1" s="1"/>
  <c r="Y3042" i="1" s="1"/>
  <c r="Y3043" i="1" s="1"/>
  <c r="Y3044" i="1" s="1"/>
  <c r="Y3045" i="1" s="1"/>
  <c r="Y3046" i="1" s="1"/>
  <c r="Y3047" i="1" s="1"/>
  <c r="Y3048" i="1" s="1"/>
  <c r="Y3049" i="1" s="1"/>
  <c r="Y3050" i="1" s="1"/>
  <c r="Y3051" i="1" s="1"/>
  <c r="Y3052" i="1" s="1"/>
  <c r="Y3053" i="1" s="1"/>
  <c r="Y3054" i="1" s="1"/>
  <c r="Y3055" i="1" s="1"/>
  <c r="Y3056" i="1" s="1"/>
  <c r="Y3057" i="1" s="1"/>
  <c r="Y3058" i="1" s="1"/>
  <c r="Y3059" i="1" s="1"/>
  <c r="Y3060" i="1" s="1"/>
  <c r="Y3061" i="1" s="1"/>
  <c r="Y3062" i="1" s="1"/>
  <c r="Y3063" i="1" s="1"/>
  <c r="Y3064" i="1" s="1"/>
  <c r="Y3065" i="1" s="1"/>
  <c r="Y3066" i="1" s="1"/>
  <c r="Y3067" i="1" s="1"/>
  <c r="Y3068" i="1" s="1"/>
  <c r="Y3069" i="1" s="1"/>
  <c r="Y3070" i="1" s="1"/>
  <c r="Y3071" i="1" s="1"/>
  <c r="Y3072" i="1" s="1"/>
  <c r="Y3073" i="1" s="1"/>
  <c r="Y3074" i="1" s="1"/>
  <c r="Y3075" i="1" s="1"/>
  <c r="Y3076" i="1" s="1"/>
  <c r="Y3077" i="1" s="1"/>
  <c r="Y3078" i="1" s="1"/>
  <c r="Y3079" i="1" s="1"/>
  <c r="Y3080" i="1" s="1"/>
  <c r="Y3081" i="1" s="1"/>
  <c r="Y3082" i="1" s="1"/>
  <c r="Y3083" i="1" s="1"/>
  <c r="Y3084" i="1" s="1"/>
  <c r="Y3085" i="1" s="1"/>
  <c r="Y3086" i="1" s="1"/>
  <c r="Y3087" i="1" s="1"/>
  <c r="Y3088" i="1" s="1"/>
  <c r="Y3089" i="1" s="1"/>
  <c r="Y3090" i="1" s="1"/>
  <c r="Y3091" i="1" s="1"/>
  <c r="Y3092" i="1" s="1"/>
  <c r="Y3093" i="1" s="1"/>
  <c r="Y3094" i="1" s="1"/>
  <c r="Y3095" i="1" s="1"/>
  <c r="Y3096" i="1" s="1"/>
  <c r="Y3097" i="1" s="1"/>
  <c r="Y3098" i="1" s="1"/>
  <c r="Y3099" i="1" s="1"/>
  <c r="Y3100" i="1" s="1"/>
  <c r="Y3101" i="1" s="1"/>
  <c r="Y3102" i="1" s="1"/>
  <c r="Y3103" i="1" s="1"/>
  <c r="Y3104" i="1" s="1"/>
  <c r="Y3105" i="1" s="1"/>
  <c r="Y3106" i="1" s="1"/>
  <c r="Y3107" i="1" s="1"/>
  <c r="Y3108" i="1" s="1"/>
  <c r="Y3109" i="1" s="1"/>
  <c r="Y3110" i="1" s="1"/>
  <c r="Y3111" i="1" s="1"/>
  <c r="Y3112" i="1" s="1"/>
  <c r="Y3113" i="1" s="1"/>
  <c r="Y3114" i="1" s="1"/>
  <c r="Y3115" i="1" s="1"/>
  <c r="Y3116" i="1" s="1"/>
  <c r="Y3117" i="1" s="1"/>
  <c r="Y3118" i="1" s="1"/>
  <c r="Y3119" i="1" s="1"/>
  <c r="Y3120" i="1" s="1"/>
  <c r="Y3121" i="1" s="1"/>
  <c r="Y3122" i="1" s="1"/>
  <c r="Y3123" i="1" s="1"/>
  <c r="Y3124" i="1" s="1"/>
  <c r="Y3125" i="1" s="1"/>
  <c r="Y3126" i="1" s="1"/>
  <c r="Y3127" i="1" s="1"/>
  <c r="Y3128" i="1" s="1"/>
  <c r="Y3129" i="1" s="1"/>
  <c r="Y3130" i="1" s="1"/>
  <c r="Y3131" i="1" s="1"/>
  <c r="Y3132" i="1" s="1"/>
  <c r="Y3133" i="1" s="1"/>
  <c r="Y3134" i="1" s="1"/>
  <c r="Y3135" i="1" s="1"/>
  <c r="Y3136" i="1" s="1"/>
  <c r="Y3137" i="1" s="1"/>
  <c r="Y3138" i="1" s="1"/>
  <c r="Y3139" i="1" s="1"/>
  <c r="Y3140" i="1" s="1"/>
  <c r="Y3141" i="1" s="1"/>
  <c r="Y3142" i="1" s="1"/>
  <c r="Y3143" i="1" s="1"/>
  <c r="Y3144" i="1" s="1"/>
  <c r="Y3145" i="1" s="1"/>
  <c r="Y3146" i="1" s="1"/>
  <c r="Y3147" i="1" s="1"/>
  <c r="Y3148" i="1" s="1"/>
  <c r="Y3149" i="1" s="1"/>
  <c r="Y3150" i="1" s="1"/>
  <c r="Y3151" i="1" s="1"/>
  <c r="Y3152" i="1" s="1"/>
  <c r="Y3153" i="1" s="1"/>
  <c r="Y3154" i="1" s="1"/>
  <c r="Y3155" i="1" s="1"/>
  <c r="Y3156" i="1" s="1"/>
  <c r="Y3157" i="1" s="1"/>
  <c r="Y3158" i="1" s="1"/>
  <c r="Y3159" i="1" s="1"/>
  <c r="Y3160" i="1" s="1"/>
  <c r="Y3161" i="1" s="1"/>
  <c r="Y3162" i="1" s="1"/>
  <c r="Y3163" i="1" s="1"/>
  <c r="Y3164" i="1" s="1"/>
  <c r="Y3165" i="1" s="1"/>
  <c r="Y3166" i="1" s="1"/>
  <c r="Y3167" i="1" s="1"/>
  <c r="Y3168" i="1" s="1"/>
  <c r="Y3169" i="1" s="1"/>
  <c r="Y3170" i="1" s="1"/>
  <c r="Y3171" i="1" s="1"/>
  <c r="Y3172" i="1" s="1"/>
  <c r="Y3173" i="1" s="1"/>
  <c r="Y3174" i="1" s="1"/>
  <c r="Y3175" i="1" s="1"/>
  <c r="Y3176" i="1" s="1"/>
  <c r="Y3177" i="1" s="1"/>
  <c r="Y3178" i="1" s="1"/>
  <c r="Y3179" i="1" s="1"/>
  <c r="Y3180" i="1" s="1"/>
  <c r="Y3181" i="1" s="1"/>
  <c r="Y3182" i="1" s="1"/>
  <c r="Y3183" i="1" s="1"/>
  <c r="Y3184" i="1" s="1"/>
  <c r="Y3185" i="1" s="1"/>
  <c r="Y3186" i="1" s="1"/>
  <c r="Y3187" i="1" s="1"/>
  <c r="Y3188" i="1" s="1"/>
  <c r="Y3189" i="1" s="1"/>
  <c r="Y3190" i="1" s="1"/>
  <c r="Y3191" i="1" s="1"/>
  <c r="Y3192" i="1" s="1"/>
  <c r="Y3193" i="1" s="1"/>
  <c r="Y3194" i="1" s="1"/>
  <c r="Y3195" i="1" s="1"/>
  <c r="Y3196" i="1" s="1"/>
  <c r="Y3197" i="1" s="1"/>
  <c r="Y3198" i="1" s="1"/>
  <c r="Y3199" i="1" s="1"/>
  <c r="Y3200" i="1" s="1"/>
  <c r="Y3201" i="1" s="1"/>
  <c r="Y3202" i="1" s="1"/>
  <c r="Y3203" i="1" s="1"/>
  <c r="Y3204" i="1" s="1"/>
  <c r="Y3205" i="1" s="1"/>
  <c r="Y3206" i="1" s="1"/>
  <c r="Y3207" i="1" s="1"/>
  <c r="Y3208" i="1" s="1"/>
  <c r="Y3209" i="1" s="1"/>
  <c r="Y3210" i="1" s="1"/>
  <c r="Y3211" i="1" s="1"/>
  <c r="Y3212" i="1" s="1"/>
  <c r="Y3213" i="1" s="1"/>
  <c r="Y3214" i="1" s="1"/>
  <c r="Y3215" i="1" s="1"/>
  <c r="Y3216" i="1" s="1"/>
  <c r="Y3217" i="1" s="1"/>
  <c r="Y3218" i="1" s="1"/>
  <c r="Y3219" i="1" s="1"/>
  <c r="Y3220" i="1" s="1"/>
  <c r="Y3221" i="1" s="1"/>
  <c r="Y3222" i="1" s="1"/>
  <c r="Y3223" i="1" s="1"/>
  <c r="Y3224" i="1" s="1"/>
  <c r="Y3225" i="1" s="1"/>
  <c r="Y3226" i="1" s="1"/>
  <c r="Y3227" i="1" s="1"/>
  <c r="Y3228" i="1" s="1"/>
  <c r="Y3229" i="1" s="1"/>
  <c r="Y3230" i="1" s="1"/>
  <c r="Y3231" i="1" s="1"/>
  <c r="Y3232" i="1" s="1"/>
  <c r="Y3233" i="1" s="1"/>
  <c r="Y3234" i="1" s="1"/>
  <c r="Y3235" i="1" s="1"/>
  <c r="Y3236" i="1" s="1"/>
  <c r="Y3237" i="1" s="1"/>
  <c r="Y3238" i="1" s="1"/>
  <c r="Y3239" i="1" s="1"/>
  <c r="Y3240" i="1" s="1"/>
  <c r="Y3241" i="1" s="1"/>
  <c r="Y3242" i="1" s="1"/>
  <c r="Y3243" i="1" s="1"/>
  <c r="Y3244" i="1" s="1"/>
  <c r="Y3245" i="1" s="1"/>
  <c r="Y3246" i="1" s="1"/>
  <c r="Y3247" i="1" s="1"/>
  <c r="Y3248" i="1" s="1"/>
  <c r="Y3249" i="1" s="1"/>
  <c r="Y3250" i="1" s="1"/>
  <c r="Y3251" i="1" s="1"/>
  <c r="Y3252" i="1" s="1"/>
  <c r="Y3253" i="1" s="1"/>
  <c r="Y3254" i="1" s="1"/>
  <c r="Y3255" i="1" s="1"/>
  <c r="Y3256" i="1" s="1"/>
  <c r="Y3257" i="1" s="1"/>
  <c r="Y3258" i="1" s="1"/>
  <c r="Y3259" i="1" s="1"/>
  <c r="Y3260" i="1" s="1"/>
  <c r="Y3261" i="1" s="1"/>
  <c r="Y3262" i="1" s="1"/>
  <c r="Y3263" i="1" s="1"/>
  <c r="Y3264" i="1" s="1"/>
  <c r="Y3265" i="1" s="1"/>
  <c r="Y3266" i="1" s="1"/>
  <c r="Y3267" i="1" s="1"/>
  <c r="Y3268" i="1" s="1"/>
  <c r="Y3269" i="1" s="1"/>
  <c r="Y3270" i="1" s="1"/>
  <c r="Y3271" i="1" s="1"/>
  <c r="Y3272" i="1" s="1"/>
  <c r="Y3273" i="1" s="1"/>
  <c r="Y3274" i="1" s="1"/>
  <c r="Y3275" i="1" s="1"/>
  <c r="Y3276" i="1" s="1"/>
  <c r="Y3277" i="1" s="1"/>
  <c r="Y3278" i="1" s="1"/>
  <c r="Y3279" i="1" s="1"/>
  <c r="Y3280" i="1" s="1"/>
  <c r="Y3281" i="1" s="1"/>
  <c r="Y3282" i="1" s="1"/>
  <c r="Y3283" i="1" s="1"/>
  <c r="Y3284" i="1" s="1"/>
  <c r="Y3285" i="1" s="1"/>
  <c r="Y3286" i="1" s="1"/>
  <c r="Y3287" i="1" s="1"/>
  <c r="Y3288" i="1" s="1"/>
  <c r="Y3289" i="1" s="1"/>
  <c r="Y3290" i="1" s="1"/>
  <c r="Y3291" i="1" s="1"/>
  <c r="Y3292" i="1" s="1"/>
  <c r="Y3293" i="1" s="1"/>
  <c r="Y3294" i="1" s="1"/>
  <c r="Y3295" i="1" s="1"/>
  <c r="Y3296" i="1" s="1"/>
  <c r="Y3297" i="1" s="1"/>
  <c r="Y3298" i="1" s="1"/>
  <c r="Y3299" i="1" s="1"/>
  <c r="Y3300" i="1" s="1"/>
  <c r="Y3301" i="1" s="1"/>
  <c r="Y3302" i="1" s="1"/>
  <c r="Y3303" i="1" s="1"/>
  <c r="Y3304" i="1" s="1"/>
  <c r="Y3305" i="1" s="1"/>
  <c r="Y3306" i="1" s="1"/>
  <c r="Y3307" i="1" s="1"/>
  <c r="Y3308" i="1" s="1"/>
  <c r="Y3309" i="1" s="1"/>
  <c r="Y3310" i="1" s="1"/>
  <c r="Y3311" i="1" s="1"/>
  <c r="Y3312" i="1" s="1"/>
  <c r="Y3313" i="1" s="1"/>
  <c r="Y3314" i="1" s="1"/>
  <c r="Y3315" i="1" s="1"/>
  <c r="Y3316" i="1" s="1"/>
  <c r="Y3317" i="1" s="1"/>
  <c r="Y3318" i="1" s="1"/>
  <c r="Y3319" i="1" s="1"/>
  <c r="Y3320" i="1" s="1"/>
  <c r="Y3321" i="1" s="1"/>
  <c r="Y3322" i="1" s="1"/>
  <c r="Y3323" i="1" s="1"/>
  <c r="Y3324" i="1" s="1"/>
  <c r="Y3325" i="1" s="1"/>
  <c r="Y3326" i="1" s="1"/>
  <c r="Y3327" i="1" s="1"/>
  <c r="Y3328" i="1" s="1"/>
  <c r="Y3329" i="1" s="1"/>
  <c r="Y3330" i="1" s="1"/>
  <c r="Y3331" i="1" s="1"/>
  <c r="Y3332" i="1" s="1"/>
  <c r="Y3333" i="1" s="1"/>
  <c r="Y3334" i="1" s="1"/>
  <c r="Y3335" i="1" s="1"/>
  <c r="Y3336" i="1" s="1"/>
  <c r="Y3337" i="1" s="1"/>
  <c r="Y3338" i="1" s="1"/>
  <c r="Y3339" i="1" s="1"/>
  <c r="Y3340" i="1" s="1"/>
  <c r="Y3341" i="1" s="1"/>
  <c r="Y3342" i="1" s="1"/>
  <c r="Y3343" i="1" s="1"/>
  <c r="Y3344" i="1" s="1"/>
  <c r="Y3345" i="1" s="1"/>
  <c r="Y3346" i="1" s="1"/>
  <c r="Y3347" i="1" s="1"/>
  <c r="Y3348" i="1" s="1"/>
  <c r="Y3349" i="1" s="1"/>
  <c r="Y3350" i="1" s="1"/>
  <c r="Y3351" i="1" s="1"/>
  <c r="Y3352" i="1" s="1"/>
  <c r="Y3353" i="1" s="1"/>
  <c r="Y3354" i="1" s="1"/>
  <c r="Y3355" i="1" s="1"/>
  <c r="Y3356" i="1" s="1"/>
  <c r="Y3357" i="1" s="1"/>
  <c r="Y3358" i="1" s="1"/>
  <c r="Y3359" i="1" s="1"/>
  <c r="Y3360" i="1" s="1"/>
  <c r="Y3361" i="1" s="1"/>
  <c r="Y3362" i="1" s="1"/>
  <c r="Y3363" i="1" s="1"/>
  <c r="Y3364" i="1" s="1"/>
  <c r="Y3365" i="1" s="1"/>
  <c r="Y3366" i="1" s="1"/>
  <c r="Y3367" i="1" s="1"/>
  <c r="Y3368" i="1" s="1"/>
  <c r="Y3369" i="1" s="1"/>
  <c r="Y3370" i="1" s="1"/>
  <c r="Y3371" i="1" s="1"/>
  <c r="Y3372" i="1" s="1"/>
  <c r="Y3373" i="1" s="1"/>
  <c r="Y3374" i="1" s="1"/>
  <c r="Y3375" i="1" s="1"/>
  <c r="Y3376" i="1" s="1"/>
  <c r="Y3377" i="1" s="1"/>
  <c r="Y3378" i="1" s="1"/>
  <c r="Y3379" i="1" s="1"/>
  <c r="Y3380" i="1" s="1"/>
  <c r="Y3381" i="1" s="1"/>
  <c r="Y3382" i="1" s="1"/>
  <c r="Y3383" i="1" s="1"/>
  <c r="Y3384" i="1" s="1"/>
  <c r="Y3385" i="1" s="1"/>
  <c r="Y3386" i="1" s="1"/>
  <c r="Y3387" i="1" s="1"/>
  <c r="Y3388" i="1" s="1"/>
  <c r="Y3389" i="1" s="1"/>
  <c r="Y3390" i="1" s="1"/>
  <c r="Y3391" i="1" s="1"/>
  <c r="Y3392" i="1" s="1"/>
  <c r="Y3393" i="1" s="1"/>
  <c r="Y3394" i="1" s="1"/>
  <c r="Y3395" i="1" s="1"/>
  <c r="Y3396" i="1" s="1"/>
  <c r="Y3397" i="1" s="1"/>
  <c r="Y3398" i="1" s="1"/>
  <c r="Y3399" i="1" s="1"/>
  <c r="Y3400" i="1" s="1"/>
  <c r="Y3401" i="1" s="1"/>
  <c r="Y3402" i="1" s="1"/>
  <c r="Y3403" i="1" s="1"/>
  <c r="Y3404" i="1" s="1"/>
  <c r="Y3405" i="1" s="1"/>
  <c r="Y3406" i="1" s="1"/>
  <c r="Y3407" i="1" s="1"/>
  <c r="Y3408" i="1" s="1"/>
  <c r="Y3409" i="1" s="1"/>
  <c r="Y3410" i="1" s="1"/>
  <c r="Y3411" i="1" s="1"/>
  <c r="Y3412" i="1" s="1"/>
  <c r="Y3413" i="1" s="1"/>
  <c r="Y3414" i="1" s="1"/>
  <c r="Y3415" i="1" s="1"/>
  <c r="Y3416" i="1" s="1"/>
  <c r="Y3417" i="1" s="1"/>
  <c r="Y3418" i="1" s="1"/>
  <c r="Y3419" i="1" s="1"/>
  <c r="Y3420" i="1" s="1"/>
  <c r="Y3421" i="1" s="1"/>
  <c r="Y3422" i="1" s="1"/>
  <c r="Y3423" i="1" s="1"/>
  <c r="Y3424" i="1" s="1"/>
  <c r="Y3425" i="1" s="1"/>
  <c r="Y3426" i="1" s="1"/>
  <c r="Y3427" i="1" s="1"/>
  <c r="Y3428" i="1" s="1"/>
  <c r="Y3429" i="1" s="1"/>
  <c r="Y3430" i="1" s="1"/>
  <c r="Y3431" i="1" s="1"/>
  <c r="Y3432" i="1" s="1"/>
  <c r="Y3433" i="1" s="1"/>
  <c r="Y3434" i="1" s="1"/>
  <c r="Y3435" i="1" s="1"/>
  <c r="Y3436" i="1" s="1"/>
  <c r="Y3437" i="1" s="1"/>
  <c r="Y3438" i="1" s="1"/>
  <c r="Y3439" i="1" s="1"/>
  <c r="Y3440" i="1" s="1"/>
  <c r="Y3441" i="1" s="1"/>
  <c r="Y3442" i="1" s="1"/>
  <c r="Y3443" i="1" s="1"/>
  <c r="Y3444" i="1" s="1"/>
  <c r="Y3445" i="1" s="1"/>
  <c r="Y3446" i="1" s="1"/>
  <c r="Y3447" i="1" s="1"/>
  <c r="Y3448" i="1" s="1"/>
  <c r="Y3449" i="1" s="1"/>
  <c r="Y3450" i="1" s="1"/>
  <c r="Y3451" i="1" s="1"/>
  <c r="Y3452" i="1" s="1"/>
  <c r="Y3453" i="1" s="1"/>
  <c r="Y3454" i="1" s="1"/>
  <c r="Y3455" i="1" s="1"/>
  <c r="Y3456" i="1" s="1"/>
  <c r="Y3457" i="1" s="1"/>
  <c r="Y3458" i="1" s="1"/>
  <c r="Y3459" i="1" s="1"/>
  <c r="Y3460" i="1" s="1"/>
  <c r="Y3461" i="1" s="1"/>
  <c r="Y3462" i="1" s="1"/>
  <c r="Y3463" i="1" s="1"/>
  <c r="Y3464" i="1" s="1"/>
  <c r="Y3465" i="1" s="1"/>
  <c r="Y3466" i="1" s="1"/>
  <c r="Y3467" i="1" s="1"/>
  <c r="Y3468" i="1" s="1"/>
  <c r="Y3469" i="1" s="1"/>
  <c r="Y3470" i="1" s="1"/>
  <c r="Y3471" i="1" s="1"/>
  <c r="Y3472" i="1" s="1"/>
  <c r="Y3473" i="1" s="1"/>
  <c r="Y3474" i="1" s="1"/>
  <c r="Y3475" i="1" s="1"/>
  <c r="Y3476" i="1" s="1"/>
  <c r="Y3477" i="1" s="1"/>
  <c r="Y3478" i="1" s="1"/>
  <c r="Y3479" i="1" s="1"/>
  <c r="Y3480" i="1" s="1"/>
  <c r="Y3481" i="1" s="1"/>
  <c r="Y3482" i="1" s="1"/>
  <c r="Y3483" i="1" s="1"/>
  <c r="Y3484" i="1" s="1"/>
  <c r="Y3485" i="1" s="1"/>
  <c r="Y3486" i="1" s="1"/>
  <c r="Y3487" i="1" s="1"/>
  <c r="Y3488" i="1" s="1"/>
  <c r="Y3489" i="1" s="1"/>
  <c r="Y3490" i="1" s="1"/>
  <c r="Y3491" i="1" s="1"/>
  <c r="Y3492" i="1" s="1"/>
  <c r="Y3493" i="1" s="1"/>
  <c r="Y3494" i="1" s="1"/>
  <c r="Y3495" i="1" s="1"/>
  <c r="Y3496" i="1" s="1"/>
  <c r="Y3497" i="1" s="1"/>
  <c r="Y3498" i="1" s="1"/>
  <c r="Y3499" i="1" s="1"/>
  <c r="Y3500" i="1" s="1"/>
  <c r="Y3501" i="1" s="1"/>
  <c r="Y3502" i="1" s="1"/>
  <c r="Y3503" i="1" s="1"/>
  <c r="Y3504" i="1" s="1"/>
  <c r="Y3505" i="1" s="1"/>
  <c r="Y3506" i="1" s="1"/>
  <c r="Y3507" i="1" s="1"/>
  <c r="V3" i="1"/>
  <c r="V4" i="1" s="1"/>
  <c r="V5" i="1" s="1"/>
  <c r="V6" i="1" s="1"/>
  <c r="V7" i="1" s="1"/>
  <c r="V8" i="1" s="1"/>
  <c r="V9" i="1" s="1"/>
  <c r="V10" i="1" s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V51" i="1" s="1"/>
  <c r="V52" i="1" s="1"/>
  <c r="V53" i="1" s="1"/>
  <c r="V54" i="1" s="1"/>
  <c r="V55" i="1" s="1"/>
  <c r="V56" i="1" s="1"/>
  <c r="V57" i="1" s="1"/>
  <c r="V58" i="1" s="1"/>
  <c r="V59" i="1" s="1"/>
  <c r="V60" i="1" s="1"/>
  <c r="V61" i="1" s="1"/>
  <c r="V62" i="1" s="1"/>
  <c r="V63" i="1" s="1"/>
  <c r="V64" i="1" s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V104" i="1" s="1"/>
  <c r="V105" i="1" s="1"/>
  <c r="V106" i="1" s="1"/>
  <c r="V107" i="1" s="1"/>
  <c r="V108" i="1" s="1"/>
  <c r="V109" i="1" s="1"/>
  <c r="V110" i="1" s="1"/>
  <c r="V111" i="1" s="1"/>
  <c r="V112" i="1" s="1"/>
  <c r="V113" i="1" s="1"/>
  <c r="V114" i="1" s="1"/>
  <c r="V115" i="1" s="1"/>
  <c r="V116" i="1" s="1"/>
  <c r="V117" i="1" s="1"/>
  <c r="V118" i="1" s="1"/>
  <c r="V119" i="1" s="1"/>
  <c r="V120" i="1" s="1"/>
  <c r="V121" i="1" s="1"/>
  <c r="V122" i="1" s="1"/>
  <c r="V123" i="1" s="1"/>
  <c r="V124" i="1" s="1"/>
  <c r="V125" i="1" s="1"/>
  <c r="V126" i="1" s="1"/>
  <c r="V127" i="1" s="1"/>
  <c r="V128" i="1" s="1"/>
  <c r="V129" i="1" s="1"/>
  <c r="V130" i="1" s="1"/>
  <c r="V131" i="1" s="1"/>
  <c r="V132" i="1" s="1"/>
  <c r="V133" i="1" s="1"/>
  <c r="V134" i="1" s="1"/>
  <c r="V135" i="1" s="1"/>
  <c r="V136" i="1" s="1"/>
  <c r="V137" i="1" s="1"/>
  <c r="V138" i="1" s="1"/>
  <c r="V139" i="1" s="1"/>
  <c r="V140" i="1" s="1"/>
  <c r="V141" i="1" s="1"/>
  <c r="V142" i="1" s="1"/>
  <c r="V143" i="1" s="1"/>
  <c r="V144" i="1" s="1"/>
  <c r="V145" i="1" s="1"/>
  <c r="V146" i="1" s="1"/>
  <c r="V147" i="1" s="1"/>
  <c r="V148" i="1" s="1"/>
  <c r="V149" i="1" s="1"/>
  <c r="V150" i="1" s="1"/>
  <c r="V151" i="1" s="1"/>
  <c r="V152" i="1" s="1"/>
  <c r="V153" i="1" s="1"/>
  <c r="V154" i="1" s="1"/>
  <c r="V155" i="1" s="1"/>
  <c r="V156" i="1" s="1"/>
  <c r="V157" i="1" s="1"/>
  <c r="V158" i="1" s="1"/>
  <c r="V159" i="1" s="1"/>
  <c r="V160" i="1" s="1"/>
  <c r="V161" i="1" s="1"/>
  <c r="V162" i="1" s="1"/>
  <c r="V163" i="1" s="1"/>
  <c r="V164" i="1" s="1"/>
  <c r="V165" i="1" s="1"/>
  <c r="V166" i="1" s="1"/>
  <c r="V167" i="1" s="1"/>
  <c r="V168" i="1" s="1"/>
  <c r="V169" i="1" s="1"/>
  <c r="V170" i="1" s="1"/>
  <c r="V171" i="1" s="1"/>
  <c r="V172" i="1" s="1"/>
  <c r="V173" i="1" s="1"/>
  <c r="V174" i="1" s="1"/>
  <c r="V175" i="1" s="1"/>
  <c r="V176" i="1" s="1"/>
  <c r="V177" i="1" s="1"/>
  <c r="V178" i="1" s="1"/>
  <c r="V179" i="1" s="1"/>
  <c r="V180" i="1" s="1"/>
  <c r="V181" i="1" s="1"/>
  <c r="V182" i="1" s="1"/>
  <c r="V183" i="1" s="1"/>
  <c r="V184" i="1" s="1"/>
  <c r="V185" i="1" s="1"/>
  <c r="V186" i="1" s="1"/>
  <c r="V187" i="1" s="1"/>
  <c r="V188" i="1" s="1"/>
  <c r="V189" i="1" s="1"/>
  <c r="V190" i="1" s="1"/>
  <c r="V191" i="1" s="1"/>
  <c r="V192" i="1" s="1"/>
  <c r="V193" i="1" s="1"/>
  <c r="V194" i="1" s="1"/>
  <c r="V195" i="1" s="1"/>
  <c r="V196" i="1" s="1"/>
  <c r="V197" i="1" s="1"/>
  <c r="V198" i="1" s="1"/>
  <c r="V199" i="1" s="1"/>
  <c r="V200" i="1" s="1"/>
  <c r="V201" i="1" s="1"/>
  <c r="V202" i="1" s="1"/>
  <c r="V203" i="1" s="1"/>
  <c r="V204" i="1" s="1"/>
  <c r="V205" i="1" s="1"/>
  <c r="V206" i="1" s="1"/>
  <c r="V207" i="1" s="1"/>
  <c r="V208" i="1" s="1"/>
  <c r="V209" i="1" s="1"/>
  <c r="V210" i="1" s="1"/>
  <c r="V211" i="1" s="1"/>
  <c r="V212" i="1" s="1"/>
  <c r="V213" i="1" s="1"/>
  <c r="V214" i="1" s="1"/>
  <c r="V215" i="1" s="1"/>
  <c r="V216" i="1" s="1"/>
  <c r="V217" i="1" s="1"/>
  <c r="V218" i="1" s="1"/>
  <c r="V219" i="1" s="1"/>
  <c r="V220" i="1" s="1"/>
  <c r="V221" i="1" s="1"/>
  <c r="V222" i="1" s="1"/>
  <c r="V223" i="1" s="1"/>
  <c r="V224" i="1" s="1"/>
  <c r="V225" i="1" s="1"/>
  <c r="V226" i="1" s="1"/>
  <c r="V227" i="1" s="1"/>
  <c r="V228" i="1" s="1"/>
  <c r="V229" i="1" s="1"/>
  <c r="V230" i="1" s="1"/>
  <c r="V231" i="1" s="1"/>
  <c r="V232" i="1" s="1"/>
  <c r="V233" i="1" s="1"/>
  <c r="V234" i="1" s="1"/>
  <c r="V235" i="1" s="1"/>
  <c r="V236" i="1" s="1"/>
  <c r="V237" i="1" s="1"/>
  <c r="V238" i="1" s="1"/>
  <c r="V239" i="1" s="1"/>
  <c r="V240" i="1" s="1"/>
  <c r="V241" i="1" s="1"/>
  <c r="V242" i="1" s="1"/>
  <c r="V243" i="1" s="1"/>
  <c r="V244" i="1" s="1"/>
  <c r="V245" i="1" s="1"/>
  <c r="V246" i="1" s="1"/>
  <c r="V247" i="1" s="1"/>
  <c r="V248" i="1" s="1"/>
  <c r="V249" i="1" s="1"/>
  <c r="V250" i="1" s="1"/>
  <c r="V251" i="1" s="1"/>
  <c r="V252" i="1" s="1"/>
  <c r="V253" i="1" s="1"/>
  <c r="V254" i="1" s="1"/>
  <c r="V255" i="1" s="1"/>
  <c r="V256" i="1" s="1"/>
  <c r="V257" i="1" s="1"/>
  <c r="V258" i="1" s="1"/>
  <c r="V259" i="1" s="1"/>
  <c r="V260" i="1" s="1"/>
  <c r="V261" i="1" s="1"/>
  <c r="V262" i="1" s="1"/>
  <c r="V263" i="1" s="1"/>
  <c r="V264" i="1" s="1"/>
  <c r="V265" i="1" s="1"/>
  <c r="V266" i="1" s="1"/>
  <c r="V267" i="1" s="1"/>
  <c r="V268" i="1" s="1"/>
  <c r="V269" i="1" s="1"/>
  <c r="V270" i="1" s="1"/>
  <c r="V271" i="1" s="1"/>
  <c r="V272" i="1" s="1"/>
  <c r="V273" i="1" s="1"/>
  <c r="V274" i="1" s="1"/>
  <c r="V275" i="1" s="1"/>
  <c r="V276" i="1" s="1"/>
  <c r="V277" i="1" s="1"/>
  <c r="V278" i="1" s="1"/>
  <c r="V279" i="1" s="1"/>
  <c r="V280" i="1" s="1"/>
  <c r="V281" i="1" s="1"/>
  <c r="V282" i="1" s="1"/>
  <c r="V283" i="1" s="1"/>
  <c r="V284" i="1" s="1"/>
  <c r="V285" i="1" s="1"/>
  <c r="V286" i="1" s="1"/>
  <c r="V287" i="1" s="1"/>
  <c r="V288" i="1" s="1"/>
  <c r="V289" i="1" s="1"/>
  <c r="V290" i="1" s="1"/>
  <c r="V291" i="1" s="1"/>
  <c r="V292" i="1" s="1"/>
  <c r="V293" i="1" s="1"/>
  <c r="V294" i="1" s="1"/>
  <c r="V295" i="1" s="1"/>
  <c r="V296" i="1" s="1"/>
  <c r="V297" i="1" s="1"/>
  <c r="V298" i="1" s="1"/>
  <c r="V299" i="1" s="1"/>
  <c r="V300" i="1" s="1"/>
  <c r="V301" i="1" s="1"/>
  <c r="V302" i="1" s="1"/>
  <c r="V303" i="1" s="1"/>
  <c r="V304" i="1" s="1"/>
  <c r="V305" i="1" s="1"/>
  <c r="V306" i="1" s="1"/>
  <c r="V307" i="1" s="1"/>
  <c r="V308" i="1" s="1"/>
  <c r="V309" i="1" s="1"/>
  <c r="V310" i="1" s="1"/>
  <c r="V311" i="1" s="1"/>
  <c r="V312" i="1" s="1"/>
  <c r="V313" i="1" s="1"/>
  <c r="V314" i="1" s="1"/>
  <c r="V315" i="1" s="1"/>
  <c r="V316" i="1" s="1"/>
  <c r="V317" i="1" s="1"/>
  <c r="V318" i="1" s="1"/>
  <c r="V319" i="1" s="1"/>
  <c r="V320" i="1" s="1"/>
  <c r="V321" i="1" s="1"/>
  <c r="V322" i="1" s="1"/>
  <c r="V323" i="1" s="1"/>
  <c r="V324" i="1" s="1"/>
  <c r="V325" i="1" s="1"/>
  <c r="V326" i="1" s="1"/>
  <c r="V327" i="1" s="1"/>
  <c r="V328" i="1" s="1"/>
  <c r="V329" i="1" s="1"/>
  <c r="V330" i="1" s="1"/>
  <c r="V331" i="1" s="1"/>
  <c r="V332" i="1" s="1"/>
  <c r="V333" i="1" s="1"/>
  <c r="V334" i="1" s="1"/>
  <c r="V335" i="1" s="1"/>
  <c r="V336" i="1" s="1"/>
  <c r="V337" i="1" s="1"/>
  <c r="V338" i="1" s="1"/>
  <c r="V339" i="1" s="1"/>
  <c r="V340" i="1" s="1"/>
  <c r="V341" i="1" s="1"/>
  <c r="V342" i="1" s="1"/>
  <c r="V343" i="1" s="1"/>
  <c r="V344" i="1" s="1"/>
  <c r="V345" i="1" s="1"/>
  <c r="V346" i="1" s="1"/>
  <c r="V347" i="1" s="1"/>
  <c r="V348" i="1" s="1"/>
  <c r="V349" i="1" s="1"/>
  <c r="V350" i="1" s="1"/>
  <c r="V351" i="1" s="1"/>
  <c r="V352" i="1" s="1"/>
  <c r="V353" i="1" s="1"/>
  <c r="V354" i="1" s="1"/>
  <c r="V355" i="1" s="1"/>
  <c r="V356" i="1" s="1"/>
  <c r="V357" i="1" s="1"/>
  <c r="V358" i="1" s="1"/>
  <c r="V359" i="1" s="1"/>
  <c r="V360" i="1" s="1"/>
  <c r="V361" i="1" s="1"/>
  <c r="V362" i="1" s="1"/>
  <c r="V363" i="1" s="1"/>
  <c r="V364" i="1" s="1"/>
  <c r="V365" i="1" s="1"/>
  <c r="V366" i="1" s="1"/>
  <c r="V367" i="1" s="1"/>
  <c r="V368" i="1" s="1"/>
  <c r="V369" i="1" s="1"/>
  <c r="V370" i="1" s="1"/>
  <c r="V371" i="1" s="1"/>
  <c r="V372" i="1" s="1"/>
  <c r="V373" i="1" s="1"/>
  <c r="V374" i="1" s="1"/>
  <c r="V375" i="1" s="1"/>
  <c r="V376" i="1" s="1"/>
  <c r="V377" i="1" s="1"/>
  <c r="V378" i="1" s="1"/>
  <c r="V379" i="1" s="1"/>
  <c r="V380" i="1" s="1"/>
  <c r="V381" i="1" s="1"/>
  <c r="V382" i="1" s="1"/>
  <c r="V383" i="1" s="1"/>
  <c r="V384" i="1" s="1"/>
  <c r="V385" i="1" s="1"/>
  <c r="V386" i="1" s="1"/>
  <c r="V387" i="1" s="1"/>
  <c r="V388" i="1" s="1"/>
  <c r="V389" i="1" s="1"/>
  <c r="V390" i="1" s="1"/>
  <c r="V391" i="1" s="1"/>
  <c r="V392" i="1" s="1"/>
  <c r="V393" i="1" s="1"/>
  <c r="V394" i="1" s="1"/>
  <c r="V395" i="1" s="1"/>
  <c r="V396" i="1" s="1"/>
  <c r="V397" i="1" s="1"/>
  <c r="V398" i="1" s="1"/>
  <c r="V399" i="1" s="1"/>
  <c r="V400" i="1" s="1"/>
  <c r="V401" i="1" s="1"/>
  <c r="V402" i="1" s="1"/>
  <c r="V403" i="1" s="1"/>
  <c r="V404" i="1" s="1"/>
  <c r="V405" i="1" s="1"/>
  <c r="V406" i="1" s="1"/>
  <c r="V407" i="1" s="1"/>
  <c r="V408" i="1" s="1"/>
  <c r="V409" i="1" s="1"/>
  <c r="V410" i="1" s="1"/>
  <c r="V411" i="1" s="1"/>
  <c r="V412" i="1" s="1"/>
  <c r="V413" i="1" s="1"/>
  <c r="V414" i="1" s="1"/>
  <c r="V415" i="1" s="1"/>
  <c r="V416" i="1" s="1"/>
  <c r="V417" i="1" s="1"/>
  <c r="V418" i="1" s="1"/>
  <c r="V419" i="1" s="1"/>
  <c r="V420" i="1" s="1"/>
  <c r="V421" i="1" s="1"/>
  <c r="V422" i="1" s="1"/>
  <c r="V423" i="1" s="1"/>
  <c r="V424" i="1" s="1"/>
  <c r="V425" i="1" s="1"/>
  <c r="V426" i="1" s="1"/>
  <c r="V427" i="1" s="1"/>
  <c r="V428" i="1" s="1"/>
  <c r="V429" i="1" s="1"/>
  <c r="V430" i="1" s="1"/>
  <c r="V431" i="1" s="1"/>
  <c r="V432" i="1" s="1"/>
  <c r="V433" i="1" s="1"/>
  <c r="V434" i="1" s="1"/>
  <c r="V435" i="1" s="1"/>
  <c r="V436" i="1" s="1"/>
  <c r="V437" i="1" s="1"/>
  <c r="V438" i="1" s="1"/>
  <c r="V439" i="1" s="1"/>
  <c r="V440" i="1" s="1"/>
  <c r="V441" i="1" s="1"/>
  <c r="V442" i="1" s="1"/>
  <c r="V443" i="1" s="1"/>
  <c r="V444" i="1" s="1"/>
  <c r="V445" i="1" s="1"/>
  <c r="V446" i="1" s="1"/>
  <c r="V447" i="1" s="1"/>
  <c r="V448" i="1" s="1"/>
  <c r="V449" i="1" s="1"/>
  <c r="V450" i="1" s="1"/>
  <c r="V451" i="1" s="1"/>
  <c r="V452" i="1" s="1"/>
  <c r="V453" i="1" s="1"/>
  <c r="V454" i="1" s="1"/>
  <c r="V455" i="1" s="1"/>
  <c r="V456" i="1" s="1"/>
  <c r="V457" i="1" s="1"/>
  <c r="V458" i="1" s="1"/>
  <c r="V459" i="1" s="1"/>
  <c r="V460" i="1" s="1"/>
  <c r="V461" i="1" s="1"/>
  <c r="V462" i="1" s="1"/>
  <c r="V463" i="1" s="1"/>
  <c r="V464" i="1" s="1"/>
  <c r="V465" i="1" s="1"/>
  <c r="V466" i="1" s="1"/>
  <c r="V467" i="1" s="1"/>
  <c r="V468" i="1" s="1"/>
  <c r="V469" i="1" s="1"/>
  <c r="V470" i="1" s="1"/>
  <c r="V471" i="1" s="1"/>
  <c r="V472" i="1" s="1"/>
  <c r="V473" i="1" s="1"/>
  <c r="V474" i="1" s="1"/>
  <c r="V475" i="1" s="1"/>
  <c r="V476" i="1" s="1"/>
  <c r="V477" i="1" s="1"/>
  <c r="V478" i="1" s="1"/>
  <c r="V479" i="1" s="1"/>
  <c r="V480" i="1" s="1"/>
  <c r="V481" i="1" s="1"/>
  <c r="V482" i="1" s="1"/>
  <c r="V483" i="1" s="1"/>
  <c r="V484" i="1" s="1"/>
  <c r="V485" i="1" s="1"/>
  <c r="V486" i="1" s="1"/>
  <c r="V487" i="1" s="1"/>
  <c r="V488" i="1" s="1"/>
  <c r="V489" i="1" s="1"/>
  <c r="V490" i="1" s="1"/>
  <c r="V491" i="1" s="1"/>
  <c r="V492" i="1" s="1"/>
  <c r="V493" i="1" s="1"/>
  <c r="V494" i="1" s="1"/>
  <c r="V495" i="1" s="1"/>
  <c r="V496" i="1" s="1"/>
  <c r="V497" i="1" s="1"/>
  <c r="V498" i="1" s="1"/>
  <c r="V499" i="1" s="1"/>
  <c r="V500" i="1" s="1"/>
  <c r="V501" i="1" s="1"/>
  <c r="V502" i="1" s="1"/>
  <c r="V503" i="1" s="1"/>
  <c r="V504" i="1" s="1"/>
  <c r="V505" i="1" s="1"/>
  <c r="V506" i="1" s="1"/>
  <c r="V507" i="1" s="1"/>
  <c r="V508" i="1" s="1"/>
  <c r="V509" i="1" s="1"/>
  <c r="V510" i="1" s="1"/>
  <c r="V511" i="1" s="1"/>
  <c r="V512" i="1" s="1"/>
  <c r="V513" i="1" s="1"/>
  <c r="V514" i="1" s="1"/>
  <c r="V515" i="1" s="1"/>
  <c r="V516" i="1" s="1"/>
  <c r="V517" i="1" s="1"/>
  <c r="V518" i="1" s="1"/>
  <c r="V519" i="1" s="1"/>
  <c r="V520" i="1" s="1"/>
  <c r="V521" i="1" s="1"/>
  <c r="V522" i="1" s="1"/>
  <c r="V523" i="1" s="1"/>
  <c r="V524" i="1" s="1"/>
  <c r="V525" i="1" s="1"/>
  <c r="V526" i="1" s="1"/>
  <c r="V527" i="1" s="1"/>
  <c r="V528" i="1" s="1"/>
  <c r="V529" i="1" s="1"/>
  <c r="V530" i="1" s="1"/>
  <c r="V531" i="1" s="1"/>
  <c r="V532" i="1" s="1"/>
  <c r="V533" i="1" s="1"/>
  <c r="V534" i="1" s="1"/>
  <c r="V535" i="1" s="1"/>
  <c r="V536" i="1" s="1"/>
  <c r="V537" i="1" s="1"/>
  <c r="V538" i="1" s="1"/>
  <c r="V539" i="1" s="1"/>
  <c r="V540" i="1" s="1"/>
  <c r="V541" i="1" s="1"/>
  <c r="V542" i="1" s="1"/>
  <c r="V543" i="1" s="1"/>
  <c r="V544" i="1" s="1"/>
  <c r="V545" i="1" s="1"/>
  <c r="V546" i="1" s="1"/>
  <c r="V547" i="1" s="1"/>
  <c r="V548" i="1" s="1"/>
  <c r="V549" i="1" s="1"/>
  <c r="V550" i="1" s="1"/>
  <c r="V551" i="1" s="1"/>
  <c r="V552" i="1" s="1"/>
  <c r="V553" i="1" s="1"/>
  <c r="V554" i="1" s="1"/>
  <c r="V555" i="1" s="1"/>
  <c r="V556" i="1" s="1"/>
  <c r="V557" i="1" s="1"/>
  <c r="V558" i="1" s="1"/>
  <c r="V559" i="1" s="1"/>
  <c r="V560" i="1" s="1"/>
  <c r="V561" i="1" s="1"/>
  <c r="V562" i="1" s="1"/>
  <c r="V563" i="1" s="1"/>
  <c r="V564" i="1" s="1"/>
  <c r="V565" i="1" s="1"/>
  <c r="V566" i="1" s="1"/>
  <c r="V567" i="1" s="1"/>
  <c r="V568" i="1" s="1"/>
  <c r="V569" i="1" s="1"/>
  <c r="V570" i="1" s="1"/>
  <c r="V571" i="1" s="1"/>
  <c r="V572" i="1" s="1"/>
  <c r="V573" i="1" s="1"/>
  <c r="V574" i="1" s="1"/>
  <c r="V575" i="1" s="1"/>
  <c r="V576" i="1" s="1"/>
  <c r="V577" i="1" s="1"/>
  <c r="V578" i="1" s="1"/>
  <c r="V579" i="1" s="1"/>
  <c r="V580" i="1" s="1"/>
  <c r="V581" i="1" s="1"/>
  <c r="V582" i="1" s="1"/>
  <c r="V583" i="1" s="1"/>
  <c r="V584" i="1" s="1"/>
  <c r="V585" i="1" s="1"/>
  <c r="V586" i="1" s="1"/>
  <c r="V587" i="1" s="1"/>
  <c r="V588" i="1" s="1"/>
  <c r="V589" i="1" s="1"/>
  <c r="V590" i="1" s="1"/>
  <c r="V591" i="1" s="1"/>
  <c r="V592" i="1" s="1"/>
  <c r="V593" i="1" s="1"/>
  <c r="V594" i="1" s="1"/>
  <c r="V595" i="1" s="1"/>
  <c r="V596" i="1" s="1"/>
  <c r="V597" i="1" s="1"/>
  <c r="V598" i="1" s="1"/>
  <c r="V599" i="1" s="1"/>
  <c r="V600" i="1" s="1"/>
  <c r="V601" i="1" s="1"/>
  <c r="V602" i="1" s="1"/>
  <c r="V603" i="1" s="1"/>
  <c r="V604" i="1" s="1"/>
  <c r="V605" i="1" s="1"/>
  <c r="V606" i="1" s="1"/>
  <c r="V607" i="1" s="1"/>
  <c r="V608" i="1" s="1"/>
  <c r="V609" i="1" s="1"/>
  <c r="V610" i="1" s="1"/>
  <c r="V611" i="1" s="1"/>
  <c r="V612" i="1" s="1"/>
  <c r="V613" i="1" s="1"/>
  <c r="V614" i="1" s="1"/>
  <c r="V615" i="1" s="1"/>
  <c r="V616" i="1" s="1"/>
  <c r="V617" i="1" s="1"/>
  <c r="V618" i="1" s="1"/>
  <c r="V619" i="1" s="1"/>
  <c r="V620" i="1" s="1"/>
  <c r="V621" i="1" s="1"/>
  <c r="V622" i="1" s="1"/>
  <c r="V623" i="1" s="1"/>
  <c r="V624" i="1" s="1"/>
  <c r="V625" i="1" s="1"/>
  <c r="V626" i="1" s="1"/>
  <c r="V627" i="1" s="1"/>
  <c r="V628" i="1" s="1"/>
  <c r="V629" i="1" s="1"/>
  <c r="V630" i="1" s="1"/>
  <c r="V631" i="1" s="1"/>
  <c r="V632" i="1" s="1"/>
  <c r="V633" i="1" s="1"/>
  <c r="V634" i="1" s="1"/>
  <c r="V635" i="1" s="1"/>
  <c r="V636" i="1" s="1"/>
  <c r="V637" i="1" s="1"/>
  <c r="V638" i="1" s="1"/>
  <c r="V639" i="1" s="1"/>
  <c r="V640" i="1" s="1"/>
  <c r="V641" i="1" s="1"/>
  <c r="V642" i="1" s="1"/>
  <c r="V643" i="1" s="1"/>
  <c r="V644" i="1" s="1"/>
  <c r="V645" i="1" s="1"/>
  <c r="V646" i="1" s="1"/>
  <c r="V647" i="1" s="1"/>
  <c r="V648" i="1" s="1"/>
  <c r="V649" i="1" s="1"/>
  <c r="V650" i="1" s="1"/>
  <c r="V651" i="1" s="1"/>
  <c r="V652" i="1" s="1"/>
  <c r="V653" i="1" s="1"/>
  <c r="V654" i="1" s="1"/>
  <c r="V655" i="1" s="1"/>
  <c r="V656" i="1" s="1"/>
  <c r="V657" i="1" s="1"/>
  <c r="V658" i="1" s="1"/>
  <c r="V659" i="1" s="1"/>
  <c r="V660" i="1" s="1"/>
  <c r="V661" i="1" s="1"/>
  <c r="V662" i="1" s="1"/>
  <c r="V663" i="1" s="1"/>
  <c r="V664" i="1" s="1"/>
  <c r="V665" i="1" s="1"/>
  <c r="V666" i="1" s="1"/>
  <c r="V667" i="1" s="1"/>
  <c r="V668" i="1" s="1"/>
  <c r="V669" i="1" s="1"/>
  <c r="V670" i="1" s="1"/>
  <c r="V671" i="1" s="1"/>
  <c r="V672" i="1" s="1"/>
  <c r="V673" i="1" s="1"/>
  <c r="V674" i="1" s="1"/>
  <c r="V675" i="1" s="1"/>
  <c r="V676" i="1" s="1"/>
  <c r="V677" i="1" s="1"/>
  <c r="V678" i="1" s="1"/>
  <c r="V679" i="1" s="1"/>
  <c r="V680" i="1" s="1"/>
  <c r="V681" i="1" s="1"/>
  <c r="V682" i="1" s="1"/>
  <c r="V683" i="1" s="1"/>
  <c r="V684" i="1" s="1"/>
  <c r="V685" i="1" s="1"/>
  <c r="V686" i="1" s="1"/>
  <c r="V687" i="1" s="1"/>
  <c r="V688" i="1" s="1"/>
  <c r="V689" i="1" s="1"/>
  <c r="V690" i="1" s="1"/>
  <c r="V691" i="1" s="1"/>
  <c r="V692" i="1" s="1"/>
  <c r="V693" i="1" s="1"/>
  <c r="V694" i="1" s="1"/>
  <c r="V695" i="1" s="1"/>
  <c r="V696" i="1" s="1"/>
  <c r="V697" i="1" s="1"/>
  <c r="V698" i="1" s="1"/>
  <c r="V699" i="1" s="1"/>
  <c r="V700" i="1" s="1"/>
  <c r="V701" i="1" s="1"/>
  <c r="V702" i="1" s="1"/>
  <c r="V703" i="1" s="1"/>
  <c r="V704" i="1" s="1"/>
  <c r="V705" i="1" s="1"/>
  <c r="V706" i="1" s="1"/>
  <c r="V707" i="1" s="1"/>
  <c r="V708" i="1" s="1"/>
  <c r="V709" i="1" s="1"/>
  <c r="V710" i="1" s="1"/>
  <c r="V711" i="1" s="1"/>
  <c r="V712" i="1" s="1"/>
  <c r="V713" i="1" s="1"/>
  <c r="V714" i="1" s="1"/>
  <c r="V715" i="1" s="1"/>
  <c r="V716" i="1" s="1"/>
  <c r="V717" i="1" s="1"/>
  <c r="V718" i="1" s="1"/>
  <c r="V719" i="1" s="1"/>
  <c r="V720" i="1" s="1"/>
  <c r="V721" i="1" s="1"/>
  <c r="V722" i="1" s="1"/>
  <c r="V723" i="1" s="1"/>
  <c r="V724" i="1" s="1"/>
  <c r="V725" i="1" s="1"/>
  <c r="V726" i="1" s="1"/>
  <c r="V727" i="1" s="1"/>
  <c r="V728" i="1" s="1"/>
  <c r="V729" i="1" s="1"/>
  <c r="V730" i="1" s="1"/>
  <c r="V731" i="1" s="1"/>
  <c r="V732" i="1" s="1"/>
  <c r="V733" i="1" s="1"/>
  <c r="V734" i="1" s="1"/>
  <c r="V735" i="1" s="1"/>
  <c r="V736" i="1" s="1"/>
  <c r="V737" i="1" s="1"/>
  <c r="V738" i="1" s="1"/>
  <c r="V739" i="1" s="1"/>
  <c r="V740" i="1" s="1"/>
  <c r="V741" i="1" s="1"/>
  <c r="V742" i="1" s="1"/>
  <c r="V743" i="1" s="1"/>
  <c r="V744" i="1" s="1"/>
  <c r="V745" i="1" s="1"/>
  <c r="V746" i="1" s="1"/>
  <c r="V747" i="1" s="1"/>
  <c r="V748" i="1" s="1"/>
  <c r="V749" i="1" s="1"/>
  <c r="V750" i="1" s="1"/>
  <c r="V751" i="1" s="1"/>
  <c r="V752" i="1" s="1"/>
  <c r="V753" i="1" s="1"/>
  <c r="V754" i="1" s="1"/>
  <c r="V755" i="1" s="1"/>
  <c r="V756" i="1" s="1"/>
  <c r="V757" i="1" s="1"/>
  <c r="V758" i="1" s="1"/>
  <c r="V759" i="1" s="1"/>
  <c r="V760" i="1" s="1"/>
  <c r="V761" i="1" s="1"/>
  <c r="V762" i="1" s="1"/>
  <c r="V763" i="1" s="1"/>
  <c r="V764" i="1" s="1"/>
  <c r="V765" i="1" s="1"/>
  <c r="V766" i="1" s="1"/>
  <c r="V767" i="1" s="1"/>
  <c r="V768" i="1" s="1"/>
  <c r="V769" i="1" s="1"/>
  <c r="V770" i="1" s="1"/>
  <c r="V771" i="1" s="1"/>
  <c r="V772" i="1" s="1"/>
  <c r="V773" i="1" s="1"/>
  <c r="V774" i="1" s="1"/>
  <c r="V775" i="1" s="1"/>
  <c r="V776" i="1" s="1"/>
  <c r="V777" i="1" s="1"/>
  <c r="V778" i="1" s="1"/>
  <c r="V779" i="1" s="1"/>
  <c r="V780" i="1" s="1"/>
  <c r="V781" i="1" s="1"/>
  <c r="V782" i="1" s="1"/>
  <c r="V783" i="1" s="1"/>
  <c r="V784" i="1" s="1"/>
  <c r="V785" i="1" s="1"/>
  <c r="V786" i="1" s="1"/>
  <c r="V787" i="1" s="1"/>
  <c r="V788" i="1" s="1"/>
  <c r="V789" i="1" s="1"/>
  <c r="V790" i="1" s="1"/>
  <c r="V791" i="1" s="1"/>
  <c r="V792" i="1" s="1"/>
  <c r="V793" i="1" s="1"/>
  <c r="V794" i="1" s="1"/>
  <c r="V795" i="1" s="1"/>
  <c r="V796" i="1" s="1"/>
  <c r="V797" i="1" s="1"/>
  <c r="V798" i="1" s="1"/>
  <c r="V799" i="1" s="1"/>
  <c r="V800" i="1" s="1"/>
  <c r="V801" i="1" s="1"/>
  <c r="V802" i="1" s="1"/>
  <c r="V803" i="1" s="1"/>
  <c r="V804" i="1" s="1"/>
  <c r="V805" i="1" s="1"/>
  <c r="V806" i="1" s="1"/>
  <c r="V807" i="1" s="1"/>
  <c r="V808" i="1" s="1"/>
  <c r="V809" i="1" s="1"/>
  <c r="V810" i="1" s="1"/>
  <c r="V811" i="1" s="1"/>
  <c r="V812" i="1" s="1"/>
  <c r="V813" i="1" s="1"/>
  <c r="V814" i="1" s="1"/>
  <c r="V815" i="1" s="1"/>
  <c r="V816" i="1" s="1"/>
  <c r="V817" i="1" s="1"/>
  <c r="V818" i="1" s="1"/>
  <c r="V819" i="1" s="1"/>
  <c r="V820" i="1" s="1"/>
  <c r="V821" i="1" s="1"/>
  <c r="V822" i="1" s="1"/>
  <c r="V823" i="1" s="1"/>
  <c r="V824" i="1" s="1"/>
  <c r="V825" i="1" s="1"/>
  <c r="V826" i="1" s="1"/>
  <c r="V827" i="1" s="1"/>
  <c r="V828" i="1" s="1"/>
  <c r="V829" i="1" s="1"/>
  <c r="V830" i="1" s="1"/>
  <c r="V831" i="1" s="1"/>
  <c r="V832" i="1" s="1"/>
  <c r="V833" i="1" s="1"/>
  <c r="V834" i="1" s="1"/>
  <c r="V835" i="1" s="1"/>
  <c r="V836" i="1" s="1"/>
  <c r="V837" i="1" s="1"/>
  <c r="V838" i="1" s="1"/>
  <c r="V839" i="1" s="1"/>
  <c r="V840" i="1" s="1"/>
  <c r="V841" i="1" s="1"/>
  <c r="V842" i="1" s="1"/>
  <c r="V843" i="1" s="1"/>
  <c r="V844" i="1" s="1"/>
  <c r="V845" i="1" s="1"/>
  <c r="V846" i="1" s="1"/>
  <c r="V847" i="1" s="1"/>
  <c r="V848" i="1" s="1"/>
  <c r="V849" i="1" s="1"/>
  <c r="V850" i="1" s="1"/>
  <c r="V851" i="1" s="1"/>
  <c r="V852" i="1" s="1"/>
  <c r="V853" i="1" s="1"/>
  <c r="V854" i="1" s="1"/>
  <c r="V855" i="1" s="1"/>
  <c r="V856" i="1" s="1"/>
  <c r="V857" i="1" s="1"/>
  <c r="V858" i="1" s="1"/>
  <c r="V859" i="1" s="1"/>
  <c r="V860" i="1" s="1"/>
  <c r="V861" i="1" s="1"/>
  <c r="V862" i="1" s="1"/>
  <c r="V863" i="1" s="1"/>
  <c r="V864" i="1" s="1"/>
  <c r="V865" i="1" s="1"/>
  <c r="V866" i="1" s="1"/>
  <c r="V867" i="1" s="1"/>
  <c r="V868" i="1" s="1"/>
  <c r="V869" i="1" s="1"/>
  <c r="V870" i="1" s="1"/>
  <c r="V871" i="1" s="1"/>
  <c r="V872" i="1" s="1"/>
  <c r="V873" i="1" s="1"/>
  <c r="V874" i="1" s="1"/>
  <c r="V875" i="1" s="1"/>
  <c r="V876" i="1" s="1"/>
  <c r="V877" i="1" s="1"/>
  <c r="V878" i="1" s="1"/>
  <c r="V879" i="1" s="1"/>
  <c r="V880" i="1" s="1"/>
  <c r="V881" i="1" s="1"/>
  <c r="V882" i="1" s="1"/>
  <c r="V883" i="1" s="1"/>
  <c r="V884" i="1" s="1"/>
  <c r="V885" i="1" s="1"/>
  <c r="V886" i="1" s="1"/>
  <c r="V887" i="1" s="1"/>
  <c r="V888" i="1" s="1"/>
  <c r="V889" i="1" s="1"/>
  <c r="V890" i="1" s="1"/>
  <c r="V891" i="1" s="1"/>
  <c r="V892" i="1" s="1"/>
  <c r="V893" i="1" s="1"/>
  <c r="V894" i="1" s="1"/>
  <c r="V895" i="1" s="1"/>
  <c r="V896" i="1" s="1"/>
  <c r="V897" i="1" s="1"/>
  <c r="V898" i="1" s="1"/>
  <c r="V899" i="1" s="1"/>
  <c r="V900" i="1" s="1"/>
  <c r="V901" i="1" s="1"/>
  <c r="V902" i="1" s="1"/>
  <c r="V903" i="1" s="1"/>
  <c r="V904" i="1" s="1"/>
  <c r="V905" i="1" s="1"/>
  <c r="V906" i="1" s="1"/>
  <c r="V907" i="1" s="1"/>
  <c r="V908" i="1" s="1"/>
  <c r="V909" i="1" s="1"/>
  <c r="V910" i="1" s="1"/>
  <c r="V911" i="1" s="1"/>
  <c r="V912" i="1" s="1"/>
  <c r="V913" i="1" s="1"/>
  <c r="V914" i="1" s="1"/>
  <c r="V915" i="1" s="1"/>
  <c r="V916" i="1" s="1"/>
  <c r="V917" i="1" s="1"/>
  <c r="V918" i="1" s="1"/>
  <c r="V919" i="1" s="1"/>
  <c r="V920" i="1" s="1"/>
  <c r="V921" i="1" s="1"/>
  <c r="V922" i="1" s="1"/>
  <c r="V923" i="1" s="1"/>
  <c r="V924" i="1" s="1"/>
  <c r="V925" i="1" s="1"/>
  <c r="V926" i="1" s="1"/>
  <c r="V927" i="1" s="1"/>
  <c r="V928" i="1" s="1"/>
  <c r="V929" i="1" s="1"/>
  <c r="V930" i="1" s="1"/>
  <c r="V931" i="1" s="1"/>
  <c r="V932" i="1" s="1"/>
  <c r="V933" i="1" s="1"/>
  <c r="V934" i="1" s="1"/>
  <c r="V935" i="1" s="1"/>
  <c r="V936" i="1" s="1"/>
  <c r="V937" i="1" s="1"/>
  <c r="V938" i="1" s="1"/>
  <c r="V939" i="1" s="1"/>
  <c r="V940" i="1" s="1"/>
  <c r="V941" i="1" s="1"/>
  <c r="V942" i="1" s="1"/>
  <c r="V943" i="1" s="1"/>
  <c r="V944" i="1" s="1"/>
  <c r="V945" i="1" s="1"/>
  <c r="V946" i="1" s="1"/>
  <c r="V947" i="1" s="1"/>
  <c r="V948" i="1" s="1"/>
  <c r="V949" i="1" s="1"/>
  <c r="V950" i="1" s="1"/>
  <c r="V951" i="1" s="1"/>
  <c r="V952" i="1" s="1"/>
  <c r="V953" i="1" s="1"/>
  <c r="V954" i="1" s="1"/>
  <c r="V955" i="1" s="1"/>
  <c r="V956" i="1" s="1"/>
  <c r="V957" i="1" s="1"/>
  <c r="V958" i="1" s="1"/>
  <c r="V959" i="1" s="1"/>
  <c r="V960" i="1" s="1"/>
  <c r="V961" i="1" s="1"/>
  <c r="V962" i="1" s="1"/>
  <c r="V963" i="1" s="1"/>
  <c r="V964" i="1" s="1"/>
  <c r="V965" i="1" s="1"/>
  <c r="V966" i="1" s="1"/>
  <c r="V967" i="1" s="1"/>
  <c r="V968" i="1" s="1"/>
  <c r="V969" i="1" s="1"/>
  <c r="V970" i="1" s="1"/>
  <c r="V971" i="1" s="1"/>
  <c r="V972" i="1" s="1"/>
  <c r="V973" i="1" s="1"/>
  <c r="V974" i="1" s="1"/>
  <c r="V975" i="1" s="1"/>
  <c r="V976" i="1" s="1"/>
  <c r="V977" i="1" s="1"/>
  <c r="V978" i="1" s="1"/>
  <c r="V979" i="1" s="1"/>
  <c r="V980" i="1" s="1"/>
  <c r="V981" i="1" s="1"/>
  <c r="V982" i="1" s="1"/>
  <c r="V983" i="1" s="1"/>
  <c r="V984" i="1" s="1"/>
  <c r="V985" i="1" s="1"/>
  <c r="V986" i="1" s="1"/>
  <c r="V987" i="1" s="1"/>
  <c r="V988" i="1" s="1"/>
  <c r="V989" i="1" s="1"/>
  <c r="V990" i="1" s="1"/>
  <c r="V991" i="1" s="1"/>
  <c r="V992" i="1" s="1"/>
  <c r="V993" i="1" s="1"/>
  <c r="V994" i="1" s="1"/>
  <c r="V995" i="1" s="1"/>
  <c r="V996" i="1" s="1"/>
  <c r="V997" i="1" s="1"/>
  <c r="V998" i="1" s="1"/>
  <c r="V999" i="1" s="1"/>
  <c r="V1000" i="1" s="1"/>
  <c r="V1001" i="1" s="1"/>
  <c r="V1002" i="1" s="1"/>
  <c r="V1003" i="1" s="1"/>
  <c r="V1004" i="1" s="1"/>
  <c r="V1005" i="1" s="1"/>
  <c r="V1006" i="1" s="1"/>
  <c r="V1007" i="1" s="1"/>
  <c r="V1008" i="1" s="1"/>
  <c r="V1009" i="1" s="1"/>
  <c r="V1010" i="1" s="1"/>
  <c r="V1011" i="1" s="1"/>
  <c r="V1012" i="1" s="1"/>
  <c r="V1013" i="1" s="1"/>
  <c r="V1014" i="1" s="1"/>
  <c r="V1015" i="1" s="1"/>
  <c r="V1016" i="1" s="1"/>
  <c r="V1017" i="1" s="1"/>
  <c r="V1018" i="1" s="1"/>
  <c r="V1019" i="1" s="1"/>
  <c r="V1020" i="1" s="1"/>
  <c r="V1021" i="1" s="1"/>
  <c r="V1022" i="1" s="1"/>
  <c r="V1023" i="1" s="1"/>
  <c r="V1024" i="1" s="1"/>
  <c r="V1025" i="1" s="1"/>
  <c r="V1026" i="1" s="1"/>
  <c r="V1027" i="1" s="1"/>
  <c r="V1028" i="1" s="1"/>
  <c r="V1029" i="1" s="1"/>
  <c r="V1030" i="1" s="1"/>
  <c r="V1031" i="1" s="1"/>
  <c r="V1032" i="1" s="1"/>
  <c r="V1033" i="1" s="1"/>
  <c r="V1034" i="1" s="1"/>
  <c r="V1035" i="1" s="1"/>
  <c r="V1036" i="1" s="1"/>
  <c r="V1037" i="1" s="1"/>
  <c r="V1038" i="1" s="1"/>
  <c r="V1039" i="1" s="1"/>
  <c r="V1040" i="1" s="1"/>
  <c r="V1041" i="1" s="1"/>
  <c r="V1042" i="1" s="1"/>
  <c r="V1043" i="1" s="1"/>
  <c r="V1044" i="1" s="1"/>
  <c r="V1045" i="1" s="1"/>
  <c r="V1046" i="1" s="1"/>
  <c r="V1047" i="1" s="1"/>
  <c r="V1048" i="1" s="1"/>
  <c r="V1049" i="1" s="1"/>
  <c r="V1050" i="1" s="1"/>
  <c r="V1051" i="1" s="1"/>
  <c r="V1052" i="1" s="1"/>
  <c r="V1053" i="1" s="1"/>
  <c r="V1054" i="1" s="1"/>
  <c r="V1055" i="1" s="1"/>
  <c r="V1056" i="1" s="1"/>
  <c r="V1057" i="1" s="1"/>
  <c r="V1058" i="1" s="1"/>
  <c r="V1059" i="1" s="1"/>
  <c r="V1060" i="1" s="1"/>
  <c r="V1061" i="1" s="1"/>
  <c r="V1062" i="1" s="1"/>
  <c r="V1063" i="1" s="1"/>
  <c r="V1064" i="1" s="1"/>
  <c r="V1065" i="1" s="1"/>
  <c r="V1066" i="1" s="1"/>
  <c r="V1067" i="1" s="1"/>
  <c r="V1068" i="1" s="1"/>
  <c r="V1069" i="1" s="1"/>
  <c r="V1070" i="1" s="1"/>
  <c r="V1071" i="1" s="1"/>
  <c r="V1072" i="1" s="1"/>
  <c r="V1073" i="1" s="1"/>
  <c r="V1074" i="1" s="1"/>
  <c r="V1075" i="1" s="1"/>
  <c r="V1076" i="1" s="1"/>
  <c r="V1077" i="1" s="1"/>
  <c r="V1078" i="1" s="1"/>
  <c r="V1079" i="1" s="1"/>
  <c r="V1080" i="1" s="1"/>
  <c r="V1081" i="1" s="1"/>
  <c r="V1082" i="1" s="1"/>
  <c r="V1083" i="1" s="1"/>
  <c r="V1084" i="1" s="1"/>
  <c r="V1085" i="1" s="1"/>
  <c r="V1086" i="1" s="1"/>
  <c r="V1087" i="1" s="1"/>
  <c r="V1088" i="1" s="1"/>
  <c r="V1089" i="1" s="1"/>
  <c r="V1090" i="1" s="1"/>
  <c r="V1091" i="1" s="1"/>
  <c r="V1092" i="1" s="1"/>
  <c r="V1093" i="1" s="1"/>
  <c r="V1094" i="1" s="1"/>
  <c r="V1095" i="1" s="1"/>
  <c r="V1096" i="1" s="1"/>
  <c r="V1097" i="1" s="1"/>
  <c r="V1098" i="1" s="1"/>
  <c r="V1099" i="1" s="1"/>
  <c r="V1100" i="1" s="1"/>
  <c r="V1101" i="1" s="1"/>
  <c r="V1102" i="1" s="1"/>
  <c r="V1103" i="1" s="1"/>
  <c r="V1104" i="1" s="1"/>
  <c r="V1105" i="1" s="1"/>
  <c r="V1106" i="1" s="1"/>
  <c r="V1107" i="1" s="1"/>
  <c r="V1108" i="1" s="1"/>
  <c r="V1109" i="1" s="1"/>
  <c r="V1110" i="1" s="1"/>
  <c r="V1111" i="1" s="1"/>
  <c r="V1112" i="1" s="1"/>
  <c r="V1113" i="1" s="1"/>
  <c r="V1114" i="1" s="1"/>
  <c r="V1115" i="1" s="1"/>
  <c r="V1116" i="1" s="1"/>
  <c r="V1117" i="1" s="1"/>
  <c r="V1118" i="1" s="1"/>
  <c r="V1119" i="1" s="1"/>
  <c r="V1120" i="1" s="1"/>
  <c r="V1121" i="1" s="1"/>
  <c r="V1122" i="1" s="1"/>
  <c r="V1123" i="1" s="1"/>
  <c r="V1124" i="1" s="1"/>
  <c r="V1125" i="1" s="1"/>
  <c r="V1126" i="1" s="1"/>
  <c r="V1127" i="1" s="1"/>
  <c r="V1128" i="1" s="1"/>
  <c r="V1129" i="1" s="1"/>
  <c r="V1130" i="1" s="1"/>
  <c r="V1131" i="1" s="1"/>
  <c r="V1132" i="1" s="1"/>
  <c r="V1133" i="1" s="1"/>
  <c r="V1134" i="1" s="1"/>
  <c r="V1135" i="1" s="1"/>
  <c r="V1136" i="1" s="1"/>
  <c r="V1137" i="1" s="1"/>
  <c r="V1138" i="1" s="1"/>
  <c r="V1139" i="1" s="1"/>
  <c r="V1140" i="1" s="1"/>
  <c r="V1141" i="1" s="1"/>
  <c r="V1142" i="1" s="1"/>
  <c r="V1143" i="1" s="1"/>
  <c r="V1144" i="1" s="1"/>
  <c r="V1145" i="1" s="1"/>
  <c r="V1146" i="1" s="1"/>
  <c r="V1147" i="1" s="1"/>
  <c r="V1148" i="1" s="1"/>
  <c r="V1149" i="1" s="1"/>
  <c r="V1150" i="1" s="1"/>
  <c r="V1151" i="1" s="1"/>
  <c r="V1152" i="1" s="1"/>
  <c r="V1153" i="1" s="1"/>
  <c r="V1154" i="1" s="1"/>
  <c r="V1155" i="1" s="1"/>
  <c r="V1156" i="1" s="1"/>
  <c r="V1157" i="1" s="1"/>
  <c r="V1158" i="1" s="1"/>
  <c r="V1159" i="1" s="1"/>
  <c r="V1160" i="1" s="1"/>
  <c r="V1161" i="1" s="1"/>
  <c r="V1162" i="1" s="1"/>
  <c r="V1163" i="1" s="1"/>
  <c r="V1164" i="1" s="1"/>
  <c r="V1165" i="1" s="1"/>
  <c r="V1166" i="1" s="1"/>
  <c r="V1167" i="1" s="1"/>
  <c r="V1168" i="1" s="1"/>
  <c r="V1169" i="1" s="1"/>
  <c r="V1170" i="1" s="1"/>
  <c r="V1171" i="1" s="1"/>
  <c r="V1172" i="1" s="1"/>
  <c r="V1173" i="1" s="1"/>
  <c r="V1174" i="1" s="1"/>
  <c r="V1175" i="1" s="1"/>
  <c r="V1176" i="1" s="1"/>
  <c r="V1177" i="1" s="1"/>
  <c r="V1178" i="1" s="1"/>
  <c r="V1179" i="1" s="1"/>
  <c r="V1180" i="1" s="1"/>
  <c r="V1181" i="1" s="1"/>
  <c r="V1182" i="1" s="1"/>
  <c r="V1183" i="1" s="1"/>
  <c r="V1184" i="1" s="1"/>
  <c r="V1185" i="1" s="1"/>
  <c r="V1186" i="1" s="1"/>
  <c r="V1187" i="1" s="1"/>
  <c r="V1188" i="1" s="1"/>
  <c r="V1189" i="1" s="1"/>
  <c r="V1190" i="1" s="1"/>
  <c r="V1191" i="1" s="1"/>
  <c r="V1192" i="1" s="1"/>
  <c r="V1193" i="1" s="1"/>
  <c r="V1194" i="1" s="1"/>
  <c r="V1195" i="1" s="1"/>
  <c r="V1196" i="1" s="1"/>
  <c r="V1197" i="1" s="1"/>
  <c r="V1198" i="1" s="1"/>
  <c r="V1199" i="1" s="1"/>
  <c r="V1200" i="1" s="1"/>
  <c r="V1201" i="1" s="1"/>
  <c r="V1202" i="1" s="1"/>
  <c r="V1203" i="1" s="1"/>
  <c r="V1204" i="1" s="1"/>
  <c r="V1205" i="1" s="1"/>
  <c r="V1206" i="1" s="1"/>
  <c r="V1207" i="1" s="1"/>
  <c r="V1208" i="1" s="1"/>
  <c r="V1209" i="1" s="1"/>
  <c r="V1210" i="1" s="1"/>
  <c r="V1211" i="1" s="1"/>
  <c r="V1212" i="1" s="1"/>
  <c r="V1213" i="1" s="1"/>
  <c r="V1214" i="1" s="1"/>
  <c r="V1215" i="1" s="1"/>
  <c r="V1216" i="1" s="1"/>
  <c r="V1217" i="1" s="1"/>
  <c r="V1218" i="1" s="1"/>
  <c r="V1219" i="1" s="1"/>
  <c r="V1220" i="1" s="1"/>
  <c r="V1221" i="1" s="1"/>
  <c r="V1222" i="1" s="1"/>
  <c r="V1223" i="1" s="1"/>
  <c r="V1224" i="1" s="1"/>
  <c r="V1225" i="1" s="1"/>
  <c r="V1226" i="1" s="1"/>
  <c r="V1227" i="1" s="1"/>
  <c r="V1228" i="1" s="1"/>
  <c r="V1229" i="1" s="1"/>
  <c r="V1230" i="1" s="1"/>
  <c r="V1231" i="1" s="1"/>
  <c r="V1232" i="1" s="1"/>
  <c r="V1233" i="1" s="1"/>
  <c r="V1234" i="1" s="1"/>
  <c r="V1235" i="1" s="1"/>
  <c r="V1236" i="1" s="1"/>
  <c r="V1237" i="1" s="1"/>
  <c r="V1238" i="1" s="1"/>
  <c r="V1239" i="1" s="1"/>
  <c r="V1240" i="1" s="1"/>
  <c r="V1241" i="1" s="1"/>
  <c r="V1242" i="1" s="1"/>
  <c r="V1243" i="1" s="1"/>
  <c r="V1244" i="1" s="1"/>
  <c r="V1245" i="1" s="1"/>
  <c r="V1246" i="1" s="1"/>
  <c r="V1247" i="1" s="1"/>
  <c r="V1248" i="1" s="1"/>
  <c r="V1249" i="1" s="1"/>
  <c r="V1250" i="1" s="1"/>
  <c r="V1251" i="1" s="1"/>
  <c r="V1252" i="1" s="1"/>
  <c r="V1253" i="1" s="1"/>
  <c r="V1254" i="1" s="1"/>
  <c r="V1255" i="1" s="1"/>
  <c r="V1256" i="1" s="1"/>
  <c r="V1257" i="1" s="1"/>
  <c r="V1258" i="1" s="1"/>
  <c r="V1259" i="1" s="1"/>
  <c r="V1260" i="1" s="1"/>
  <c r="V1261" i="1" s="1"/>
  <c r="V1262" i="1" s="1"/>
  <c r="V1263" i="1" s="1"/>
  <c r="V1264" i="1" s="1"/>
  <c r="V1265" i="1" s="1"/>
  <c r="V1266" i="1" s="1"/>
  <c r="V1267" i="1" s="1"/>
  <c r="V1268" i="1" s="1"/>
  <c r="V1269" i="1" s="1"/>
  <c r="V1270" i="1" s="1"/>
  <c r="V1271" i="1" s="1"/>
  <c r="V1272" i="1" s="1"/>
  <c r="V1273" i="1" s="1"/>
  <c r="V1274" i="1" s="1"/>
  <c r="V1275" i="1" s="1"/>
  <c r="V1276" i="1" s="1"/>
  <c r="V1277" i="1" s="1"/>
  <c r="V1278" i="1" s="1"/>
  <c r="V1279" i="1" s="1"/>
  <c r="V1280" i="1" s="1"/>
  <c r="V1281" i="1" s="1"/>
  <c r="V1282" i="1" s="1"/>
  <c r="V1283" i="1" s="1"/>
  <c r="V1284" i="1" s="1"/>
  <c r="V1285" i="1" s="1"/>
  <c r="V1286" i="1" s="1"/>
  <c r="V1287" i="1" s="1"/>
  <c r="V1288" i="1" s="1"/>
  <c r="V1289" i="1" s="1"/>
  <c r="V1290" i="1" s="1"/>
  <c r="V1291" i="1" s="1"/>
  <c r="V1292" i="1" s="1"/>
  <c r="V1293" i="1" s="1"/>
  <c r="V1294" i="1" s="1"/>
  <c r="V1295" i="1" s="1"/>
  <c r="V1296" i="1" s="1"/>
  <c r="V1297" i="1" s="1"/>
  <c r="V1298" i="1" s="1"/>
  <c r="V1299" i="1" s="1"/>
  <c r="V1300" i="1" s="1"/>
  <c r="V1301" i="1" s="1"/>
  <c r="V1302" i="1" s="1"/>
  <c r="V1303" i="1" s="1"/>
  <c r="V1304" i="1" s="1"/>
  <c r="V1305" i="1" s="1"/>
  <c r="V1306" i="1" s="1"/>
  <c r="V1307" i="1" s="1"/>
  <c r="V1308" i="1" s="1"/>
  <c r="V1309" i="1" s="1"/>
  <c r="V1310" i="1" s="1"/>
  <c r="V1311" i="1" s="1"/>
  <c r="V1312" i="1" s="1"/>
  <c r="V1313" i="1" s="1"/>
  <c r="V1314" i="1" s="1"/>
  <c r="V1315" i="1" s="1"/>
  <c r="V1316" i="1" s="1"/>
  <c r="V1317" i="1" s="1"/>
  <c r="V1318" i="1" s="1"/>
  <c r="V1319" i="1" s="1"/>
  <c r="V1320" i="1" s="1"/>
  <c r="V1321" i="1" s="1"/>
  <c r="V1322" i="1" s="1"/>
  <c r="V1323" i="1" s="1"/>
  <c r="V1324" i="1" s="1"/>
  <c r="V1325" i="1" s="1"/>
  <c r="V1326" i="1" s="1"/>
  <c r="V1327" i="1" s="1"/>
  <c r="V1328" i="1" s="1"/>
  <c r="V1329" i="1" s="1"/>
  <c r="V1330" i="1" s="1"/>
  <c r="V1331" i="1" s="1"/>
  <c r="V1332" i="1" s="1"/>
  <c r="V1333" i="1" s="1"/>
  <c r="V1334" i="1" s="1"/>
  <c r="V1335" i="1" s="1"/>
  <c r="V1336" i="1" s="1"/>
  <c r="V1337" i="1" s="1"/>
  <c r="V1338" i="1" s="1"/>
  <c r="V1339" i="1" s="1"/>
  <c r="V1340" i="1" s="1"/>
  <c r="V1341" i="1" s="1"/>
  <c r="V1342" i="1" s="1"/>
  <c r="V1343" i="1" s="1"/>
  <c r="V1344" i="1" s="1"/>
  <c r="V1345" i="1" s="1"/>
  <c r="V1346" i="1" s="1"/>
  <c r="V1347" i="1" s="1"/>
  <c r="V1348" i="1" s="1"/>
  <c r="V1349" i="1" s="1"/>
  <c r="V1350" i="1" s="1"/>
  <c r="V1351" i="1" s="1"/>
  <c r="V1352" i="1" s="1"/>
  <c r="V1353" i="1" s="1"/>
  <c r="V1354" i="1" s="1"/>
  <c r="V1355" i="1" s="1"/>
  <c r="V1356" i="1" s="1"/>
  <c r="V1357" i="1" s="1"/>
  <c r="V1358" i="1" s="1"/>
  <c r="V1359" i="1" s="1"/>
  <c r="V1360" i="1" s="1"/>
  <c r="V1361" i="1" s="1"/>
  <c r="V1362" i="1" s="1"/>
  <c r="V1363" i="1" s="1"/>
  <c r="V1364" i="1" s="1"/>
  <c r="V1365" i="1" s="1"/>
  <c r="V1366" i="1" s="1"/>
  <c r="V1367" i="1" s="1"/>
  <c r="V1368" i="1" s="1"/>
  <c r="V1369" i="1" s="1"/>
  <c r="V1370" i="1" s="1"/>
  <c r="V1371" i="1" s="1"/>
  <c r="V1372" i="1" s="1"/>
  <c r="V1373" i="1" s="1"/>
  <c r="V1374" i="1" s="1"/>
  <c r="V1375" i="1" s="1"/>
  <c r="V1376" i="1" s="1"/>
  <c r="V1377" i="1" s="1"/>
  <c r="V1378" i="1" s="1"/>
  <c r="V1379" i="1" s="1"/>
  <c r="V1380" i="1" s="1"/>
  <c r="V1381" i="1" s="1"/>
  <c r="V1382" i="1" s="1"/>
  <c r="V1383" i="1" s="1"/>
  <c r="V1384" i="1" s="1"/>
  <c r="V1385" i="1" s="1"/>
  <c r="V1386" i="1" s="1"/>
  <c r="V1387" i="1" s="1"/>
  <c r="V1388" i="1" s="1"/>
  <c r="V1389" i="1" s="1"/>
  <c r="V1390" i="1" s="1"/>
  <c r="V1391" i="1" s="1"/>
  <c r="V1392" i="1" s="1"/>
  <c r="V1393" i="1" s="1"/>
  <c r="V1394" i="1" s="1"/>
  <c r="V1395" i="1" s="1"/>
  <c r="V1396" i="1" s="1"/>
  <c r="V1397" i="1" s="1"/>
  <c r="V1398" i="1" s="1"/>
  <c r="V1399" i="1" s="1"/>
  <c r="V1400" i="1" s="1"/>
  <c r="V1401" i="1" s="1"/>
  <c r="V1402" i="1" s="1"/>
  <c r="V1403" i="1" s="1"/>
  <c r="V1404" i="1" s="1"/>
  <c r="V1405" i="1" s="1"/>
  <c r="V1406" i="1" s="1"/>
  <c r="V1407" i="1" s="1"/>
  <c r="V1408" i="1" s="1"/>
  <c r="V1409" i="1" s="1"/>
  <c r="V1410" i="1" s="1"/>
  <c r="V1411" i="1" s="1"/>
  <c r="V1412" i="1" s="1"/>
  <c r="V1413" i="1" s="1"/>
  <c r="V1414" i="1" s="1"/>
  <c r="V1415" i="1" s="1"/>
  <c r="V1416" i="1" s="1"/>
  <c r="V1417" i="1" s="1"/>
  <c r="V1418" i="1" s="1"/>
  <c r="V1419" i="1" s="1"/>
  <c r="V1420" i="1" s="1"/>
  <c r="V1421" i="1" s="1"/>
  <c r="V1422" i="1" s="1"/>
  <c r="V1423" i="1" s="1"/>
  <c r="V1424" i="1" s="1"/>
  <c r="V1425" i="1" s="1"/>
  <c r="V1426" i="1" s="1"/>
  <c r="V1427" i="1" s="1"/>
  <c r="V1428" i="1" s="1"/>
  <c r="V1429" i="1" s="1"/>
  <c r="V1430" i="1" s="1"/>
  <c r="V1431" i="1" s="1"/>
  <c r="V1432" i="1" s="1"/>
  <c r="V1433" i="1" s="1"/>
  <c r="V1434" i="1" s="1"/>
  <c r="V1435" i="1" s="1"/>
  <c r="V1436" i="1" s="1"/>
  <c r="V1437" i="1" s="1"/>
  <c r="V1438" i="1" s="1"/>
  <c r="V1439" i="1" s="1"/>
  <c r="V1440" i="1" s="1"/>
  <c r="V1441" i="1" s="1"/>
  <c r="V1442" i="1" s="1"/>
  <c r="V1443" i="1" s="1"/>
  <c r="V1444" i="1" s="1"/>
  <c r="V1445" i="1" s="1"/>
  <c r="V1446" i="1" s="1"/>
  <c r="V1447" i="1" s="1"/>
  <c r="V1448" i="1" s="1"/>
  <c r="V1449" i="1" s="1"/>
  <c r="V1450" i="1" s="1"/>
  <c r="V1451" i="1" s="1"/>
  <c r="V1452" i="1" s="1"/>
  <c r="V1453" i="1" s="1"/>
  <c r="V1454" i="1" s="1"/>
  <c r="V1455" i="1" s="1"/>
  <c r="V1456" i="1" s="1"/>
  <c r="V1457" i="1" s="1"/>
  <c r="V1458" i="1" s="1"/>
  <c r="V1459" i="1" s="1"/>
  <c r="V1460" i="1" s="1"/>
  <c r="V1461" i="1" s="1"/>
  <c r="V1462" i="1" s="1"/>
  <c r="V1463" i="1" s="1"/>
  <c r="V1464" i="1" s="1"/>
  <c r="V1465" i="1" s="1"/>
  <c r="V1466" i="1" s="1"/>
  <c r="V1467" i="1" s="1"/>
  <c r="V1468" i="1" s="1"/>
  <c r="V1469" i="1" s="1"/>
  <c r="V1470" i="1" s="1"/>
  <c r="V1471" i="1" s="1"/>
  <c r="V1472" i="1" s="1"/>
  <c r="V1473" i="1" s="1"/>
  <c r="V1474" i="1" s="1"/>
  <c r="V1475" i="1" s="1"/>
  <c r="V1476" i="1" s="1"/>
  <c r="V1477" i="1" s="1"/>
  <c r="V1478" i="1" s="1"/>
  <c r="V1479" i="1" s="1"/>
  <c r="V1480" i="1" s="1"/>
  <c r="V1481" i="1" s="1"/>
  <c r="V1482" i="1" s="1"/>
  <c r="V1483" i="1" s="1"/>
  <c r="V1484" i="1" s="1"/>
  <c r="V1485" i="1" s="1"/>
  <c r="V1486" i="1" s="1"/>
  <c r="V1487" i="1" s="1"/>
  <c r="V1488" i="1" s="1"/>
  <c r="V1489" i="1" s="1"/>
  <c r="V1490" i="1" s="1"/>
  <c r="V1491" i="1" s="1"/>
  <c r="V1492" i="1" s="1"/>
  <c r="V1493" i="1" s="1"/>
  <c r="V1494" i="1" s="1"/>
  <c r="V1495" i="1" s="1"/>
  <c r="V1496" i="1" s="1"/>
  <c r="V1497" i="1" s="1"/>
  <c r="V1498" i="1" s="1"/>
  <c r="V1499" i="1" s="1"/>
  <c r="V1500" i="1" s="1"/>
  <c r="V1501" i="1" s="1"/>
  <c r="V1502" i="1" s="1"/>
  <c r="V1503" i="1" s="1"/>
  <c r="V1504" i="1" s="1"/>
  <c r="V1505" i="1" s="1"/>
  <c r="V1506" i="1" s="1"/>
  <c r="V1507" i="1" s="1"/>
  <c r="V1508" i="1" s="1"/>
  <c r="V1509" i="1" s="1"/>
  <c r="V1510" i="1" s="1"/>
  <c r="V1511" i="1" s="1"/>
  <c r="V1512" i="1" s="1"/>
  <c r="V1513" i="1" s="1"/>
  <c r="V1514" i="1" s="1"/>
  <c r="V1515" i="1" s="1"/>
  <c r="V1516" i="1" s="1"/>
  <c r="V1517" i="1" s="1"/>
  <c r="V1518" i="1" s="1"/>
  <c r="V1519" i="1" s="1"/>
  <c r="V1520" i="1" s="1"/>
  <c r="V1521" i="1" s="1"/>
  <c r="V1522" i="1" s="1"/>
  <c r="V1523" i="1" s="1"/>
  <c r="V1524" i="1" s="1"/>
  <c r="V1525" i="1" s="1"/>
  <c r="V1526" i="1" s="1"/>
  <c r="V1527" i="1" s="1"/>
  <c r="V1528" i="1" s="1"/>
  <c r="V1529" i="1" s="1"/>
  <c r="V1530" i="1" s="1"/>
  <c r="V1531" i="1" s="1"/>
  <c r="V1532" i="1" s="1"/>
  <c r="V1533" i="1" s="1"/>
  <c r="V1534" i="1" s="1"/>
  <c r="V1535" i="1" s="1"/>
  <c r="V1536" i="1" s="1"/>
  <c r="V1537" i="1" s="1"/>
  <c r="V1538" i="1" s="1"/>
  <c r="V1539" i="1" s="1"/>
  <c r="V1540" i="1" s="1"/>
  <c r="V1541" i="1" s="1"/>
  <c r="V1542" i="1" s="1"/>
  <c r="V1543" i="1" s="1"/>
  <c r="V1544" i="1" s="1"/>
  <c r="V1545" i="1" s="1"/>
  <c r="V1546" i="1" s="1"/>
  <c r="V1547" i="1" s="1"/>
  <c r="V1548" i="1" s="1"/>
  <c r="V1549" i="1" s="1"/>
  <c r="V1550" i="1" s="1"/>
  <c r="V1551" i="1" s="1"/>
  <c r="V1552" i="1" s="1"/>
  <c r="V1553" i="1" s="1"/>
  <c r="V1554" i="1" s="1"/>
  <c r="V1555" i="1" s="1"/>
  <c r="V1556" i="1" s="1"/>
  <c r="V1557" i="1" s="1"/>
  <c r="V1558" i="1" s="1"/>
  <c r="V1559" i="1" s="1"/>
  <c r="V1560" i="1" s="1"/>
  <c r="V1561" i="1" s="1"/>
  <c r="V1562" i="1" s="1"/>
  <c r="V1563" i="1" s="1"/>
  <c r="V1564" i="1" s="1"/>
  <c r="V1565" i="1" s="1"/>
  <c r="V1566" i="1" s="1"/>
  <c r="V1567" i="1" s="1"/>
  <c r="V1568" i="1" s="1"/>
  <c r="V1569" i="1" s="1"/>
  <c r="V1570" i="1" s="1"/>
  <c r="V1571" i="1" s="1"/>
  <c r="V1572" i="1" s="1"/>
  <c r="V1573" i="1" s="1"/>
  <c r="V1574" i="1" s="1"/>
  <c r="V1575" i="1" s="1"/>
  <c r="V1576" i="1" s="1"/>
  <c r="V1577" i="1" s="1"/>
  <c r="V1578" i="1" s="1"/>
  <c r="V1579" i="1" s="1"/>
  <c r="V1580" i="1" s="1"/>
  <c r="V1581" i="1" s="1"/>
  <c r="V1582" i="1" s="1"/>
  <c r="V1583" i="1" s="1"/>
  <c r="V1584" i="1" s="1"/>
  <c r="V1585" i="1" s="1"/>
  <c r="V1586" i="1" s="1"/>
  <c r="V1587" i="1" s="1"/>
  <c r="V1588" i="1" s="1"/>
  <c r="V1589" i="1" s="1"/>
  <c r="V1590" i="1" s="1"/>
  <c r="V1591" i="1" s="1"/>
  <c r="V1592" i="1" s="1"/>
  <c r="V1593" i="1" s="1"/>
  <c r="V1594" i="1" s="1"/>
  <c r="V1595" i="1" s="1"/>
  <c r="V1596" i="1" s="1"/>
  <c r="V1597" i="1" s="1"/>
  <c r="V1598" i="1" s="1"/>
  <c r="V1599" i="1" s="1"/>
  <c r="V1600" i="1" s="1"/>
  <c r="V1601" i="1" s="1"/>
  <c r="V1602" i="1" s="1"/>
  <c r="V1603" i="1" s="1"/>
  <c r="V1604" i="1" s="1"/>
  <c r="V1605" i="1" s="1"/>
  <c r="V1606" i="1" s="1"/>
  <c r="V1607" i="1" s="1"/>
  <c r="V1608" i="1" s="1"/>
  <c r="V1609" i="1" s="1"/>
  <c r="V1610" i="1" s="1"/>
  <c r="V1611" i="1" s="1"/>
  <c r="V1612" i="1" s="1"/>
  <c r="V1613" i="1" s="1"/>
  <c r="V1614" i="1" s="1"/>
  <c r="V1615" i="1" s="1"/>
  <c r="V1616" i="1" s="1"/>
  <c r="V1617" i="1" s="1"/>
  <c r="V1618" i="1" s="1"/>
  <c r="V1619" i="1" s="1"/>
  <c r="V1620" i="1" s="1"/>
  <c r="V1621" i="1" s="1"/>
  <c r="V1622" i="1" s="1"/>
  <c r="V1623" i="1" s="1"/>
  <c r="V1624" i="1" s="1"/>
  <c r="V1625" i="1" s="1"/>
  <c r="V1626" i="1" s="1"/>
  <c r="V1627" i="1" s="1"/>
  <c r="V1628" i="1" s="1"/>
  <c r="V1629" i="1" s="1"/>
  <c r="V1630" i="1" s="1"/>
  <c r="V1631" i="1" s="1"/>
  <c r="V1632" i="1" s="1"/>
  <c r="V1633" i="1" s="1"/>
  <c r="V1634" i="1" s="1"/>
  <c r="V1635" i="1" s="1"/>
  <c r="V1636" i="1" s="1"/>
  <c r="V1637" i="1" s="1"/>
  <c r="V1638" i="1" s="1"/>
  <c r="V1639" i="1" s="1"/>
  <c r="V1640" i="1" s="1"/>
  <c r="V1641" i="1" s="1"/>
  <c r="V1642" i="1" s="1"/>
  <c r="V1643" i="1" s="1"/>
  <c r="V1644" i="1" s="1"/>
  <c r="V1645" i="1" s="1"/>
  <c r="V1646" i="1" s="1"/>
  <c r="V1647" i="1" s="1"/>
  <c r="V1648" i="1" s="1"/>
  <c r="V1649" i="1" s="1"/>
  <c r="V1650" i="1" s="1"/>
  <c r="V1651" i="1" s="1"/>
  <c r="V1652" i="1" s="1"/>
  <c r="V1653" i="1" s="1"/>
  <c r="V1654" i="1" s="1"/>
  <c r="V1655" i="1" s="1"/>
  <c r="V1656" i="1" s="1"/>
  <c r="V1657" i="1" s="1"/>
  <c r="V1658" i="1" s="1"/>
  <c r="V1659" i="1" s="1"/>
  <c r="V1660" i="1" s="1"/>
  <c r="V1661" i="1" s="1"/>
  <c r="V1662" i="1" s="1"/>
  <c r="V1663" i="1" s="1"/>
  <c r="V1664" i="1" s="1"/>
  <c r="V1665" i="1" s="1"/>
  <c r="V1666" i="1" s="1"/>
  <c r="V1667" i="1" s="1"/>
  <c r="V1668" i="1" s="1"/>
  <c r="V1669" i="1" s="1"/>
  <c r="V1670" i="1" s="1"/>
  <c r="V1671" i="1" s="1"/>
  <c r="V1672" i="1" s="1"/>
  <c r="V1673" i="1" s="1"/>
  <c r="V1674" i="1" s="1"/>
  <c r="V1675" i="1" s="1"/>
  <c r="V1676" i="1" s="1"/>
  <c r="V1677" i="1" s="1"/>
  <c r="V1678" i="1" s="1"/>
  <c r="V1679" i="1" s="1"/>
  <c r="V1680" i="1" s="1"/>
  <c r="V1681" i="1" s="1"/>
  <c r="V1682" i="1" s="1"/>
  <c r="V1683" i="1" s="1"/>
  <c r="V1684" i="1" s="1"/>
  <c r="V1685" i="1" s="1"/>
  <c r="V1686" i="1" s="1"/>
  <c r="V1687" i="1" s="1"/>
  <c r="V1688" i="1" s="1"/>
  <c r="V1689" i="1" s="1"/>
  <c r="V1690" i="1" s="1"/>
  <c r="V1691" i="1" s="1"/>
  <c r="V1692" i="1" s="1"/>
  <c r="V1693" i="1" s="1"/>
  <c r="V1694" i="1" s="1"/>
  <c r="V1695" i="1" s="1"/>
  <c r="V1696" i="1" s="1"/>
  <c r="V1697" i="1" s="1"/>
  <c r="V1698" i="1" s="1"/>
  <c r="V1699" i="1" s="1"/>
  <c r="V1700" i="1" s="1"/>
  <c r="V1701" i="1" s="1"/>
  <c r="V1702" i="1" s="1"/>
  <c r="V1703" i="1" s="1"/>
  <c r="V1704" i="1" s="1"/>
  <c r="V1705" i="1" s="1"/>
  <c r="V1706" i="1" s="1"/>
  <c r="V1707" i="1" s="1"/>
  <c r="V1708" i="1" s="1"/>
  <c r="V1709" i="1" s="1"/>
  <c r="V1710" i="1" s="1"/>
  <c r="V1711" i="1" s="1"/>
  <c r="V1712" i="1" s="1"/>
  <c r="V1713" i="1" s="1"/>
  <c r="V1714" i="1" s="1"/>
  <c r="V1715" i="1" s="1"/>
  <c r="V1716" i="1" s="1"/>
  <c r="V1717" i="1" s="1"/>
  <c r="V1718" i="1" s="1"/>
  <c r="V1719" i="1" s="1"/>
  <c r="V1720" i="1" s="1"/>
  <c r="V1721" i="1" s="1"/>
  <c r="V1722" i="1" s="1"/>
  <c r="V1723" i="1" s="1"/>
  <c r="V1724" i="1" s="1"/>
  <c r="V1725" i="1" s="1"/>
  <c r="V1726" i="1" s="1"/>
  <c r="V1727" i="1" s="1"/>
  <c r="V1728" i="1" s="1"/>
  <c r="V1729" i="1" s="1"/>
  <c r="V1730" i="1" s="1"/>
  <c r="V1731" i="1" s="1"/>
  <c r="V1732" i="1" s="1"/>
  <c r="V1733" i="1" s="1"/>
  <c r="V1734" i="1" s="1"/>
  <c r="V1735" i="1" s="1"/>
  <c r="V1736" i="1" s="1"/>
  <c r="V1737" i="1" s="1"/>
  <c r="V1738" i="1" s="1"/>
  <c r="V1739" i="1" s="1"/>
  <c r="V1740" i="1" s="1"/>
  <c r="V1741" i="1" s="1"/>
  <c r="V1742" i="1" s="1"/>
  <c r="V1743" i="1" s="1"/>
  <c r="V1744" i="1" s="1"/>
  <c r="V1745" i="1" s="1"/>
  <c r="V1746" i="1" s="1"/>
  <c r="V1747" i="1" s="1"/>
  <c r="V1748" i="1" s="1"/>
  <c r="V1749" i="1" s="1"/>
  <c r="V1750" i="1" s="1"/>
  <c r="V1751" i="1" s="1"/>
  <c r="V1752" i="1" s="1"/>
  <c r="V1753" i="1" s="1"/>
  <c r="V1754" i="1" s="1"/>
  <c r="V1755" i="1" s="1"/>
  <c r="V1756" i="1" s="1"/>
  <c r="V1757" i="1" s="1"/>
  <c r="V1758" i="1" s="1"/>
  <c r="V1759" i="1" s="1"/>
  <c r="V1760" i="1" s="1"/>
  <c r="V1761" i="1" s="1"/>
  <c r="V1762" i="1" s="1"/>
  <c r="V1763" i="1" s="1"/>
  <c r="V1764" i="1" s="1"/>
  <c r="V1765" i="1" s="1"/>
  <c r="V1766" i="1" s="1"/>
  <c r="V1767" i="1" s="1"/>
  <c r="V1768" i="1" s="1"/>
  <c r="V1769" i="1" s="1"/>
  <c r="V1770" i="1" s="1"/>
  <c r="V1771" i="1" s="1"/>
  <c r="V1772" i="1" s="1"/>
  <c r="V1773" i="1" s="1"/>
  <c r="V1774" i="1" s="1"/>
  <c r="V1775" i="1" s="1"/>
  <c r="V1776" i="1" s="1"/>
  <c r="V1777" i="1" s="1"/>
  <c r="V1778" i="1" s="1"/>
  <c r="V1779" i="1" s="1"/>
  <c r="V1780" i="1" s="1"/>
  <c r="V1781" i="1" s="1"/>
  <c r="V1782" i="1" s="1"/>
  <c r="V1783" i="1" s="1"/>
  <c r="V1784" i="1" s="1"/>
  <c r="V1785" i="1" s="1"/>
  <c r="V1786" i="1" s="1"/>
  <c r="V1787" i="1" s="1"/>
  <c r="V1788" i="1" s="1"/>
  <c r="V1789" i="1" s="1"/>
  <c r="V1790" i="1" s="1"/>
  <c r="V1791" i="1" s="1"/>
  <c r="V1792" i="1" s="1"/>
  <c r="V1793" i="1" s="1"/>
  <c r="V1794" i="1" s="1"/>
  <c r="V1795" i="1" s="1"/>
  <c r="V1796" i="1" s="1"/>
  <c r="V1797" i="1" s="1"/>
  <c r="V1798" i="1" s="1"/>
  <c r="V1799" i="1" s="1"/>
  <c r="V1800" i="1" s="1"/>
  <c r="V1801" i="1" s="1"/>
  <c r="V1802" i="1" s="1"/>
  <c r="V1803" i="1" s="1"/>
  <c r="V1804" i="1" s="1"/>
  <c r="V1805" i="1" s="1"/>
  <c r="V1806" i="1" s="1"/>
  <c r="V1807" i="1" s="1"/>
  <c r="V1808" i="1" s="1"/>
  <c r="V1809" i="1" s="1"/>
  <c r="V1810" i="1" s="1"/>
  <c r="V1811" i="1" s="1"/>
  <c r="V1812" i="1" s="1"/>
  <c r="V1813" i="1" s="1"/>
  <c r="V1814" i="1" s="1"/>
  <c r="V1815" i="1" s="1"/>
  <c r="V1816" i="1" s="1"/>
  <c r="V1817" i="1" s="1"/>
  <c r="V1818" i="1" s="1"/>
  <c r="V1819" i="1" s="1"/>
  <c r="V1820" i="1" s="1"/>
  <c r="V1821" i="1" s="1"/>
  <c r="V1822" i="1" s="1"/>
  <c r="V1823" i="1" s="1"/>
  <c r="V1824" i="1" s="1"/>
  <c r="V1825" i="1" s="1"/>
  <c r="V1826" i="1" s="1"/>
  <c r="V1827" i="1" s="1"/>
  <c r="V1828" i="1" s="1"/>
  <c r="V1829" i="1" s="1"/>
  <c r="V1830" i="1" s="1"/>
  <c r="V1831" i="1" s="1"/>
  <c r="V1832" i="1" s="1"/>
  <c r="V1833" i="1" s="1"/>
  <c r="V1834" i="1" s="1"/>
  <c r="V1835" i="1" s="1"/>
  <c r="V1836" i="1" s="1"/>
  <c r="V1837" i="1" s="1"/>
  <c r="V1838" i="1" s="1"/>
  <c r="V1839" i="1" s="1"/>
  <c r="V1840" i="1" s="1"/>
  <c r="V1841" i="1" s="1"/>
  <c r="V1842" i="1" s="1"/>
  <c r="V1843" i="1" s="1"/>
  <c r="V1844" i="1" s="1"/>
  <c r="V1845" i="1" s="1"/>
  <c r="V1846" i="1" s="1"/>
  <c r="V1847" i="1" s="1"/>
  <c r="V1848" i="1" s="1"/>
  <c r="V1849" i="1" s="1"/>
  <c r="V1850" i="1" s="1"/>
  <c r="V1851" i="1" s="1"/>
  <c r="V1852" i="1" s="1"/>
  <c r="V1853" i="1" s="1"/>
  <c r="V1854" i="1" s="1"/>
  <c r="V1855" i="1" s="1"/>
  <c r="V1856" i="1" s="1"/>
  <c r="V1857" i="1" s="1"/>
  <c r="V1858" i="1" s="1"/>
  <c r="V1859" i="1" s="1"/>
  <c r="V1860" i="1" s="1"/>
  <c r="V1861" i="1" s="1"/>
  <c r="V1862" i="1" s="1"/>
  <c r="V1863" i="1" s="1"/>
  <c r="V1864" i="1" s="1"/>
  <c r="V1865" i="1" s="1"/>
  <c r="V1866" i="1" s="1"/>
  <c r="V1867" i="1" s="1"/>
  <c r="V1868" i="1" s="1"/>
  <c r="V1869" i="1" s="1"/>
  <c r="V1870" i="1" s="1"/>
  <c r="V1871" i="1" s="1"/>
  <c r="V1872" i="1" s="1"/>
  <c r="V1873" i="1" s="1"/>
  <c r="V1874" i="1" s="1"/>
  <c r="V1875" i="1" s="1"/>
  <c r="V1876" i="1" s="1"/>
  <c r="V1877" i="1" s="1"/>
  <c r="V1878" i="1" s="1"/>
  <c r="V1879" i="1" s="1"/>
  <c r="V1880" i="1" s="1"/>
  <c r="V1881" i="1" s="1"/>
  <c r="V1882" i="1" s="1"/>
  <c r="V1883" i="1" s="1"/>
  <c r="V1884" i="1" s="1"/>
  <c r="V1885" i="1" s="1"/>
  <c r="V1886" i="1" s="1"/>
  <c r="V1887" i="1" s="1"/>
  <c r="V1888" i="1" s="1"/>
  <c r="V1889" i="1" s="1"/>
  <c r="V1890" i="1" s="1"/>
  <c r="V1891" i="1" s="1"/>
  <c r="V1892" i="1" s="1"/>
  <c r="V1893" i="1" s="1"/>
  <c r="V1894" i="1" s="1"/>
  <c r="V1895" i="1" s="1"/>
  <c r="V1896" i="1" s="1"/>
  <c r="V1897" i="1" s="1"/>
  <c r="V1898" i="1" s="1"/>
  <c r="V1899" i="1" s="1"/>
  <c r="V1900" i="1" s="1"/>
  <c r="V1901" i="1" s="1"/>
  <c r="V1902" i="1" s="1"/>
  <c r="V1903" i="1" s="1"/>
  <c r="V1904" i="1" s="1"/>
  <c r="V1905" i="1" s="1"/>
  <c r="V1906" i="1" s="1"/>
  <c r="V1907" i="1" s="1"/>
  <c r="V1908" i="1" s="1"/>
  <c r="V1909" i="1" s="1"/>
  <c r="V1910" i="1" s="1"/>
  <c r="V1911" i="1" s="1"/>
  <c r="V1912" i="1" s="1"/>
  <c r="V1913" i="1" s="1"/>
  <c r="V1914" i="1" s="1"/>
  <c r="V1915" i="1" s="1"/>
  <c r="V1916" i="1" s="1"/>
  <c r="V1917" i="1" s="1"/>
  <c r="V1918" i="1" s="1"/>
  <c r="V1919" i="1" s="1"/>
  <c r="V1920" i="1" s="1"/>
  <c r="V1921" i="1" s="1"/>
  <c r="V1922" i="1" s="1"/>
  <c r="V1923" i="1" s="1"/>
  <c r="V1924" i="1" s="1"/>
  <c r="V1925" i="1" s="1"/>
  <c r="V1926" i="1" s="1"/>
  <c r="V1927" i="1" s="1"/>
  <c r="V1928" i="1" s="1"/>
  <c r="V1929" i="1" s="1"/>
  <c r="V1930" i="1" s="1"/>
  <c r="V1931" i="1" s="1"/>
  <c r="V1932" i="1" s="1"/>
  <c r="V1933" i="1" s="1"/>
  <c r="V1934" i="1" s="1"/>
  <c r="V1935" i="1" s="1"/>
  <c r="V1936" i="1" s="1"/>
  <c r="V1937" i="1" s="1"/>
  <c r="V1938" i="1" s="1"/>
  <c r="V1939" i="1" s="1"/>
  <c r="V1940" i="1" s="1"/>
  <c r="V1941" i="1" s="1"/>
  <c r="V1942" i="1" s="1"/>
  <c r="V1943" i="1" s="1"/>
  <c r="V1944" i="1" s="1"/>
  <c r="V1945" i="1" s="1"/>
  <c r="V1946" i="1" s="1"/>
  <c r="V1947" i="1" s="1"/>
  <c r="V1948" i="1" s="1"/>
  <c r="V1949" i="1" s="1"/>
  <c r="V1950" i="1" s="1"/>
  <c r="V1951" i="1" s="1"/>
  <c r="V1952" i="1" s="1"/>
  <c r="V1953" i="1" s="1"/>
  <c r="V1954" i="1" s="1"/>
  <c r="V1955" i="1" s="1"/>
  <c r="V1956" i="1" s="1"/>
  <c r="V1957" i="1" s="1"/>
  <c r="V1958" i="1" s="1"/>
  <c r="V1959" i="1" s="1"/>
  <c r="V1960" i="1" s="1"/>
  <c r="V1961" i="1" s="1"/>
  <c r="V1962" i="1" s="1"/>
  <c r="V1963" i="1" s="1"/>
  <c r="V1964" i="1" s="1"/>
  <c r="V1965" i="1" s="1"/>
  <c r="V1966" i="1" s="1"/>
  <c r="V1967" i="1" s="1"/>
  <c r="V1968" i="1" s="1"/>
  <c r="V1969" i="1" s="1"/>
  <c r="V1970" i="1" s="1"/>
  <c r="V1971" i="1" s="1"/>
  <c r="V1972" i="1" s="1"/>
  <c r="V1973" i="1" s="1"/>
  <c r="V1974" i="1" s="1"/>
  <c r="V1975" i="1" s="1"/>
  <c r="V1976" i="1" s="1"/>
  <c r="V1977" i="1" s="1"/>
  <c r="V1978" i="1" s="1"/>
  <c r="V1979" i="1" s="1"/>
  <c r="V1980" i="1" s="1"/>
  <c r="V1981" i="1" s="1"/>
  <c r="V1982" i="1" s="1"/>
  <c r="V1983" i="1" s="1"/>
  <c r="V1984" i="1" s="1"/>
  <c r="V1985" i="1" s="1"/>
  <c r="V1986" i="1" s="1"/>
  <c r="V1987" i="1" s="1"/>
  <c r="V1988" i="1" s="1"/>
  <c r="V1989" i="1" s="1"/>
  <c r="V1990" i="1" s="1"/>
  <c r="V1991" i="1" s="1"/>
  <c r="V1992" i="1" s="1"/>
  <c r="V1993" i="1" s="1"/>
  <c r="V1994" i="1" s="1"/>
  <c r="V1995" i="1" s="1"/>
  <c r="V1996" i="1" s="1"/>
  <c r="V1997" i="1" s="1"/>
  <c r="V1998" i="1" s="1"/>
  <c r="V1999" i="1" s="1"/>
  <c r="V2000" i="1" s="1"/>
  <c r="V2001" i="1" s="1"/>
  <c r="V2002" i="1" s="1"/>
  <c r="V2003" i="1" s="1"/>
  <c r="V2004" i="1" s="1"/>
  <c r="V2005" i="1" s="1"/>
  <c r="V2006" i="1" s="1"/>
  <c r="V2007" i="1" s="1"/>
  <c r="V2008" i="1" s="1"/>
  <c r="V2009" i="1" s="1"/>
  <c r="V2010" i="1" s="1"/>
  <c r="V2011" i="1" s="1"/>
  <c r="V2012" i="1" s="1"/>
  <c r="V2013" i="1" s="1"/>
  <c r="V2014" i="1" s="1"/>
  <c r="V2015" i="1" s="1"/>
  <c r="V2016" i="1" s="1"/>
  <c r="V2017" i="1" s="1"/>
  <c r="V2018" i="1" s="1"/>
  <c r="V2019" i="1" s="1"/>
  <c r="V2020" i="1" s="1"/>
  <c r="V2021" i="1" s="1"/>
  <c r="V2022" i="1" s="1"/>
  <c r="V2023" i="1" s="1"/>
  <c r="V2024" i="1" s="1"/>
  <c r="V2025" i="1" s="1"/>
  <c r="V2026" i="1" s="1"/>
  <c r="V2027" i="1" s="1"/>
  <c r="V2028" i="1" s="1"/>
  <c r="V2029" i="1" s="1"/>
  <c r="V2030" i="1" s="1"/>
  <c r="V2031" i="1" s="1"/>
  <c r="V2032" i="1" s="1"/>
  <c r="V2033" i="1" s="1"/>
  <c r="V2034" i="1" s="1"/>
  <c r="V2035" i="1" s="1"/>
  <c r="V2036" i="1" s="1"/>
  <c r="V2037" i="1" s="1"/>
  <c r="V2038" i="1" s="1"/>
  <c r="V2039" i="1" s="1"/>
  <c r="V2040" i="1" s="1"/>
  <c r="V2041" i="1" s="1"/>
  <c r="V2042" i="1" s="1"/>
  <c r="V2043" i="1" s="1"/>
  <c r="V2044" i="1" s="1"/>
  <c r="V2045" i="1" s="1"/>
  <c r="V2046" i="1" s="1"/>
  <c r="V2047" i="1" s="1"/>
  <c r="V2048" i="1" s="1"/>
  <c r="V2049" i="1" s="1"/>
  <c r="V2050" i="1" s="1"/>
  <c r="V2051" i="1" s="1"/>
  <c r="V2052" i="1" s="1"/>
  <c r="V2053" i="1" s="1"/>
  <c r="V2054" i="1" s="1"/>
  <c r="V2055" i="1" s="1"/>
  <c r="V2056" i="1" s="1"/>
  <c r="V2057" i="1" s="1"/>
  <c r="V2058" i="1" s="1"/>
  <c r="V2059" i="1" s="1"/>
  <c r="V2060" i="1" s="1"/>
  <c r="V2061" i="1" s="1"/>
  <c r="V2062" i="1" s="1"/>
  <c r="V2063" i="1" s="1"/>
  <c r="V2064" i="1" s="1"/>
  <c r="V2065" i="1" s="1"/>
  <c r="V2066" i="1" s="1"/>
  <c r="V2067" i="1" s="1"/>
  <c r="V2068" i="1" s="1"/>
  <c r="V2069" i="1" s="1"/>
  <c r="V2070" i="1" s="1"/>
  <c r="V2071" i="1" s="1"/>
  <c r="V2072" i="1" s="1"/>
  <c r="V2073" i="1" s="1"/>
  <c r="V2074" i="1" s="1"/>
  <c r="V2075" i="1" s="1"/>
  <c r="V2076" i="1" s="1"/>
  <c r="V2077" i="1" s="1"/>
  <c r="V2078" i="1" s="1"/>
  <c r="V2079" i="1" s="1"/>
  <c r="V2080" i="1" s="1"/>
  <c r="V2081" i="1" s="1"/>
  <c r="V2082" i="1" s="1"/>
  <c r="V2083" i="1" s="1"/>
  <c r="V2084" i="1" s="1"/>
  <c r="V2085" i="1" s="1"/>
  <c r="V2086" i="1" s="1"/>
  <c r="V2087" i="1" s="1"/>
  <c r="V2088" i="1" s="1"/>
  <c r="V2089" i="1" s="1"/>
  <c r="V2090" i="1" s="1"/>
  <c r="V2091" i="1" s="1"/>
  <c r="V2092" i="1" s="1"/>
  <c r="V2093" i="1" s="1"/>
  <c r="V2094" i="1" s="1"/>
  <c r="V2095" i="1" s="1"/>
  <c r="V2096" i="1" s="1"/>
  <c r="V2097" i="1" s="1"/>
  <c r="V2098" i="1" s="1"/>
  <c r="V2099" i="1" s="1"/>
  <c r="V2100" i="1" s="1"/>
  <c r="V2101" i="1" s="1"/>
  <c r="V2102" i="1" s="1"/>
  <c r="V2103" i="1" s="1"/>
  <c r="V2104" i="1" s="1"/>
  <c r="V2105" i="1" s="1"/>
  <c r="V2106" i="1" s="1"/>
  <c r="V2107" i="1" s="1"/>
  <c r="V2108" i="1" s="1"/>
  <c r="V2109" i="1" s="1"/>
  <c r="V2110" i="1" s="1"/>
  <c r="V2111" i="1" s="1"/>
  <c r="V2112" i="1" s="1"/>
  <c r="V2113" i="1" s="1"/>
  <c r="V2114" i="1" s="1"/>
  <c r="V2115" i="1" s="1"/>
  <c r="V2116" i="1" s="1"/>
  <c r="V2117" i="1" s="1"/>
  <c r="V2118" i="1" s="1"/>
  <c r="V2119" i="1" s="1"/>
  <c r="V2120" i="1" s="1"/>
  <c r="V2121" i="1" s="1"/>
  <c r="V2122" i="1" s="1"/>
  <c r="V2123" i="1" s="1"/>
  <c r="V2124" i="1" s="1"/>
  <c r="V2125" i="1" s="1"/>
  <c r="V2126" i="1" s="1"/>
  <c r="V2127" i="1" s="1"/>
  <c r="V2128" i="1" s="1"/>
  <c r="V2129" i="1" s="1"/>
  <c r="V2130" i="1" s="1"/>
  <c r="V2131" i="1" s="1"/>
  <c r="V2132" i="1" s="1"/>
  <c r="V2133" i="1" s="1"/>
  <c r="V2134" i="1" s="1"/>
  <c r="V2135" i="1" s="1"/>
  <c r="V2136" i="1" s="1"/>
  <c r="V2137" i="1" s="1"/>
  <c r="V2138" i="1" s="1"/>
  <c r="V2139" i="1" s="1"/>
  <c r="V2140" i="1" s="1"/>
  <c r="V2141" i="1" s="1"/>
  <c r="V2142" i="1" s="1"/>
  <c r="V2143" i="1" s="1"/>
  <c r="V2144" i="1" s="1"/>
  <c r="V2145" i="1" s="1"/>
  <c r="V2146" i="1" s="1"/>
  <c r="V2147" i="1" s="1"/>
  <c r="V2148" i="1" s="1"/>
  <c r="V2149" i="1" s="1"/>
  <c r="V2150" i="1" s="1"/>
  <c r="V2151" i="1" s="1"/>
  <c r="V2152" i="1" s="1"/>
  <c r="V2153" i="1" s="1"/>
  <c r="V2154" i="1" s="1"/>
  <c r="V2155" i="1" s="1"/>
  <c r="V2156" i="1" s="1"/>
  <c r="V2157" i="1" s="1"/>
  <c r="V2158" i="1" s="1"/>
  <c r="V2159" i="1" s="1"/>
  <c r="V2160" i="1" s="1"/>
  <c r="V2161" i="1" s="1"/>
  <c r="V2162" i="1" s="1"/>
  <c r="V2163" i="1" s="1"/>
  <c r="V2164" i="1" s="1"/>
  <c r="V2165" i="1" s="1"/>
  <c r="V2166" i="1" s="1"/>
  <c r="V2167" i="1" s="1"/>
  <c r="V2168" i="1" s="1"/>
  <c r="V2169" i="1" s="1"/>
  <c r="V2170" i="1" s="1"/>
  <c r="V2171" i="1" s="1"/>
  <c r="V2172" i="1" s="1"/>
  <c r="V2173" i="1" s="1"/>
  <c r="V2174" i="1" s="1"/>
  <c r="V2175" i="1" s="1"/>
  <c r="V2176" i="1" s="1"/>
  <c r="V2177" i="1" s="1"/>
  <c r="V2178" i="1" s="1"/>
  <c r="V2179" i="1" s="1"/>
  <c r="V2180" i="1" s="1"/>
  <c r="V2181" i="1" s="1"/>
  <c r="V2182" i="1" s="1"/>
  <c r="V2183" i="1" s="1"/>
  <c r="V2184" i="1" s="1"/>
  <c r="V2185" i="1" s="1"/>
  <c r="V2186" i="1" s="1"/>
  <c r="V2187" i="1" s="1"/>
  <c r="V2188" i="1" s="1"/>
  <c r="V2189" i="1" s="1"/>
  <c r="V2190" i="1" s="1"/>
  <c r="V2191" i="1" s="1"/>
  <c r="V2192" i="1" s="1"/>
  <c r="V2193" i="1" s="1"/>
  <c r="V2194" i="1" s="1"/>
  <c r="V2195" i="1" s="1"/>
  <c r="V2196" i="1" s="1"/>
  <c r="V2197" i="1" s="1"/>
  <c r="V2198" i="1" s="1"/>
  <c r="V2199" i="1" s="1"/>
  <c r="V2200" i="1" s="1"/>
  <c r="V2201" i="1" s="1"/>
  <c r="V2202" i="1" s="1"/>
  <c r="V2203" i="1" s="1"/>
  <c r="V2204" i="1" s="1"/>
  <c r="V2205" i="1" s="1"/>
  <c r="V2206" i="1" s="1"/>
  <c r="V2207" i="1" s="1"/>
  <c r="V2208" i="1" s="1"/>
  <c r="V2209" i="1" s="1"/>
  <c r="V2210" i="1" s="1"/>
  <c r="V2211" i="1" s="1"/>
  <c r="V2212" i="1" s="1"/>
  <c r="V2213" i="1" s="1"/>
  <c r="V2214" i="1" s="1"/>
  <c r="V2215" i="1" s="1"/>
  <c r="V2216" i="1" s="1"/>
  <c r="V2217" i="1" s="1"/>
  <c r="V2218" i="1" s="1"/>
  <c r="V2219" i="1" s="1"/>
  <c r="V2220" i="1" s="1"/>
  <c r="V2221" i="1" s="1"/>
  <c r="V2222" i="1" s="1"/>
  <c r="V2223" i="1" s="1"/>
  <c r="V2224" i="1" s="1"/>
  <c r="V2225" i="1" s="1"/>
  <c r="V2226" i="1" s="1"/>
  <c r="V2227" i="1" s="1"/>
  <c r="V2228" i="1" s="1"/>
  <c r="V2229" i="1" s="1"/>
  <c r="V2230" i="1" s="1"/>
  <c r="V2231" i="1" s="1"/>
  <c r="V2232" i="1" s="1"/>
  <c r="V2233" i="1" s="1"/>
  <c r="V2234" i="1" s="1"/>
  <c r="V2235" i="1" s="1"/>
  <c r="V2236" i="1" s="1"/>
  <c r="V2237" i="1" s="1"/>
  <c r="V2238" i="1" s="1"/>
  <c r="V2239" i="1" s="1"/>
  <c r="V2240" i="1" s="1"/>
  <c r="V2241" i="1" s="1"/>
  <c r="V2242" i="1" s="1"/>
  <c r="V2243" i="1" s="1"/>
  <c r="V2244" i="1" s="1"/>
  <c r="V2245" i="1" s="1"/>
  <c r="V2246" i="1" s="1"/>
  <c r="V2247" i="1" s="1"/>
  <c r="V2248" i="1" s="1"/>
  <c r="V2249" i="1" s="1"/>
  <c r="V2250" i="1" s="1"/>
  <c r="V2251" i="1" s="1"/>
  <c r="V2252" i="1" s="1"/>
  <c r="V2253" i="1" s="1"/>
  <c r="V2254" i="1" s="1"/>
  <c r="V2255" i="1" s="1"/>
  <c r="V2256" i="1" s="1"/>
  <c r="V2257" i="1" s="1"/>
  <c r="V2258" i="1" s="1"/>
  <c r="V2259" i="1" s="1"/>
  <c r="V2260" i="1" s="1"/>
  <c r="V2261" i="1" s="1"/>
  <c r="V2262" i="1" s="1"/>
  <c r="V2263" i="1" s="1"/>
  <c r="V2264" i="1" s="1"/>
  <c r="V2265" i="1" s="1"/>
  <c r="V2266" i="1" s="1"/>
  <c r="V2267" i="1" s="1"/>
  <c r="V2268" i="1" s="1"/>
  <c r="V2269" i="1" s="1"/>
  <c r="V2270" i="1" s="1"/>
  <c r="V2271" i="1" s="1"/>
  <c r="V2272" i="1" s="1"/>
  <c r="V2273" i="1" s="1"/>
  <c r="V2274" i="1" s="1"/>
  <c r="V2275" i="1" s="1"/>
  <c r="V2276" i="1" s="1"/>
  <c r="V2277" i="1" s="1"/>
  <c r="V2278" i="1" s="1"/>
  <c r="V2279" i="1" s="1"/>
  <c r="V2280" i="1" s="1"/>
  <c r="V2281" i="1" s="1"/>
  <c r="V2282" i="1" s="1"/>
  <c r="V2283" i="1" s="1"/>
  <c r="V2284" i="1" s="1"/>
  <c r="V2285" i="1" s="1"/>
  <c r="V2286" i="1" s="1"/>
  <c r="V2287" i="1" s="1"/>
  <c r="V2288" i="1" s="1"/>
  <c r="V2289" i="1" s="1"/>
  <c r="V2290" i="1" s="1"/>
  <c r="V2291" i="1" s="1"/>
  <c r="V2292" i="1" s="1"/>
  <c r="V2293" i="1" s="1"/>
  <c r="V2294" i="1" s="1"/>
  <c r="V2295" i="1" s="1"/>
  <c r="V2296" i="1" s="1"/>
  <c r="V2297" i="1" s="1"/>
  <c r="V2298" i="1" s="1"/>
  <c r="V2299" i="1" s="1"/>
  <c r="V2300" i="1" s="1"/>
  <c r="V2301" i="1" s="1"/>
  <c r="V2302" i="1" s="1"/>
  <c r="V2303" i="1" s="1"/>
  <c r="V2304" i="1" s="1"/>
  <c r="V2305" i="1" s="1"/>
  <c r="V2306" i="1" s="1"/>
  <c r="V2307" i="1" s="1"/>
  <c r="V2308" i="1" s="1"/>
  <c r="V2309" i="1" s="1"/>
  <c r="V2310" i="1" s="1"/>
  <c r="V2311" i="1" s="1"/>
  <c r="V2312" i="1" s="1"/>
  <c r="V2313" i="1" s="1"/>
  <c r="V2314" i="1" s="1"/>
  <c r="V2315" i="1" s="1"/>
  <c r="V2316" i="1" s="1"/>
  <c r="V2317" i="1" s="1"/>
  <c r="V2318" i="1" s="1"/>
  <c r="V2319" i="1" s="1"/>
  <c r="V2320" i="1" s="1"/>
  <c r="V2321" i="1" s="1"/>
  <c r="V2322" i="1" s="1"/>
  <c r="V2323" i="1" s="1"/>
  <c r="V2324" i="1" s="1"/>
  <c r="V2325" i="1" s="1"/>
  <c r="V2326" i="1" s="1"/>
  <c r="V2327" i="1" s="1"/>
  <c r="V2328" i="1" s="1"/>
  <c r="V2329" i="1" s="1"/>
  <c r="V2330" i="1" s="1"/>
  <c r="V2331" i="1" s="1"/>
  <c r="V2332" i="1" s="1"/>
  <c r="V2333" i="1" s="1"/>
  <c r="V2334" i="1" s="1"/>
  <c r="V2335" i="1" s="1"/>
  <c r="V2336" i="1" s="1"/>
  <c r="V2337" i="1" s="1"/>
  <c r="V2338" i="1" s="1"/>
  <c r="V2339" i="1" s="1"/>
  <c r="V2340" i="1" s="1"/>
  <c r="V2341" i="1" s="1"/>
  <c r="V2342" i="1" s="1"/>
  <c r="V2343" i="1" s="1"/>
  <c r="V2344" i="1" s="1"/>
  <c r="V2345" i="1" s="1"/>
  <c r="V2346" i="1" s="1"/>
  <c r="V2347" i="1" s="1"/>
  <c r="V2348" i="1" s="1"/>
  <c r="V2349" i="1" s="1"/>
  <c r="V2350" i="1" s="1"/>
  <c r="V2351" i="1" s="1"/>
  <c r="V2352" i="1" s="1"/>
  <c r="V2353" i="1" s="1"/>
  <c r="V2354" i="1" s="1"/>
  <c r="V2355" i="1" s="1"/>
  <c r="V2356" i="1" s="1"/>
  <c r="V2357" i="1" s="1"/>
  <c r="V2358" i="1" s="1"/>
  <c r="V2359" i="1" s="1"/>
  <c r="V2360" i="1" s="1"/>
  <c r="V2361" i="1" s="1"/>
  <c r="V2362" i="1" s="1"/>
  <c r="V2363" i="1" s="1"/>
  <c r="V2364" i="1" s="1"/>
  <c r="V2365" i="1" s="1"/>
  <c r="V2366" i="1" s="1"/>
  <c r="V2367" i="1" s="1"/>
  <c r="V2368" i="1" s="1"/>
  <c r="V2369" i="1" s="1"/>
  <c r="V2370" i="1" s="1"/>
  <c r="V2371" i="1" s="1"/>
  <c r="V2372" i="1" s="1"/>
  <c r="V2373" i="1" s="1"/>
  <c r="V2374" i="1" s="1"/>
  <c r="V2375" i="1" s="1"/>
  <c r="V2376" i="1" s="1"/>
  <c r="V2377" i="1" s="1"/>
  <c r="V2378" i="1" s="1"/>
  <c r="V2379" i="1" s="1"/>
  <c r="V2380" i="1" s="1"/>
  <c r="V2381" i="1" s="1"/>
  <c r="V2382" i="1" s="1"/>
  <c r="V2383" i="1" s="1"/>
  <c r="V2384" i="1" s="1"/>
  <c r="V2385" i="1" s="1"/>
  <c r="V2386" i="1" s="1"/>
  <c r="V2387" i="1" s="1"/>
  <c r="V2388" i="1" s="1"/>
  <c r="V2389" i="1" s="1"/>
  <c r="V2390" i="1" s="1"/>
  <c r="V2391" i="1" s="1"/>
  <c r="V2392" i="1" s="1"/>
  <c r="V2393" i="1" s="1"/>
  <c r="V2394" i="1" s="1"/>
  <c r="V2395" i="1" s="1"/>
  <c r="V2396" i="1" s="1"/>
  <c r="V2397" i="1" s="1"/>
  <c r="V2398" i="1" s="1"/>
  <c r="V2399" i="1" s="1"/>
  <c r="V2400" i="1" s="1"/>
  <c r="V2401" i="1" s="1"/>
  <c r="V2402" i="1" s="1"/>
  <c r="V2403" i="1" s="1"/>
  <c r="V2404" i="1" s="1"/>
  <c r="V2405" i="1" s="1"/>
  <c r="V2406" i="1" s="1"/>
  <c r="V2407" i="1" s="1"/>
  <c r="V2408" i="1" s="1"/>
  <c r="V2409" i="1" s="1"/>
  <c r="V2410" i="1" s="1"/>
  <c r="V2411" i="1" s="1"/>
  <c r="V2412" i="1" s="1"/>
  <c r="V2413" i="1" s="1"/>
  <c r="V2414" i="1" s="1"/>
  <c r="V2415" i="1" s="1"/>
  <c r="V2416" i="1" s="1"/>
  <c r="V2417" i="1" s="1"/>
  <c r="V2418" i="1" s="1"/>
  <c r="V2419" i="1" s="1"/>
  <c r="V2420" i="1" s="1"/>
  <c r="V2421" i="1" s="1"/>
  <c r="V2422" i="1" s="1"/>
  <c r="V2423" i="1" s="1"/>
  <c r="V2424" i="1" s="1"/>
  <c r="V2425" i="1" s="1"/>
  <c r="V2426" i="1" s="1"/>
  <c r="V2427" i="1" s="1"/>
  <c r="V2428" i="1" s="1"/>
  <c r="V2429" i="1" s="1"/>
  <c r="V2430" i="1" s="1"/>
  <c r="V2431" i="1" s="1"/>
  <c r="V2432" i="1" s="1"/>
  <c r="V2433" i="1" s="1"/>
  <c r="V2434" i="1" s="1"/>
  <c r="V2435" i="1" s="1"/>
  <c r="V2436" i="1" s="1"/>
  <c r="V2437" i="1" s="1"/>
  <c r="V2438" i="1" s="1"/>
  <c r="V2439" i="1" s="1"/>
  <c r="V2440" i="1" s="1"/>
  <c r="V2441" i="1" s="1"/>
  <c r="V2442" i="1" s="1"/>
  <c r="V2443" i="1" s="1"/>
  <c r="V2444" i="1" s="1"/>
  <c r="V2445" i="1" s="1"/>
  <c r="V2446" i="1" s="1"/>
  <c r="V2447" i="1" s="1"/>
  <c r="V2448" i="1" s="1"/>
  <c r="V2449" i="1" s="1"/>
  <c r="V2450" i="1" s="1"/>
  <c r="V2451" i="1" s="1"/>
  <c r="V2452" i="1" s="1"/>
  <c r="V2453" i="1" s="1"/>
  <c r="V2454" i="1" s="1"/>
  <c r="V2455" i="1" s="1"/>
  <c r="V2456" i="1" s="1"/>
  <c r="V2457" i="1" s="1"/>
  <c r="V2458" i="1" s="1"/>
  <c r="V2459" i="1" s="1"/>
  <c r="V2460" i="1" s="1"/>
  <c r="V2461" i="1" s="1"/>
  <c r="V2462" i="1" s="1"/>
  <c r="V2463" i="1" s="1"/>
  <c r="V2464" i="1" s="1"/>
  <c r="V2465" i="1" s="1"/>
  <c r="V2466" i="1" s="1"/>
  <c r="V2467" i="1" s="1"/>
  <c r="V2468" i="1" s="1"/>
  <c r="V2469" i="1" s="1"/>
  <c r="V2470" i="1" s="1"/>
  <c r="V2471" i="1" s="1"/>
  <c r="V2472" i="1" s="1"/>
  <c r="V2473" i="1" s="1"/>
  <c r="V2474" i="1" s="1"/>
  <c r="V2475" i="1" s="1"/>
  <c r="V2476" i="1" s="1"/>
  <c r="V2477" i="1" s="1"/>
  <c r="V2478" i="1" s="1"/>
  <c r="V2479" i="1" s="1"/>
  <c r="V2480" i="1" s="1"/>
  <c r="V2481" i="1" s="1"/>
  <c r="V2482" i="1" s="1"/>
  <c r="V2483" i="1" s="1"/>
  <c r="V2484" i="1" s="1"/>
  <c r="V2485" i="1" s="1"/>
  <c r="V2486" i="1" s="1"/>
  <c r="V2487" i="1" s="1"/>
  <c r="V2488" i="1" s="1"/>
  <c r="V2489" i="1" s="1"/>
  <c r="V2490" i="1" s="1"/>
  <c r="V2491" i="1" s="1"/>
  <c r="V2492" i="1" s="1"/>
  <c r="V2493" i="1" s="1"/>
  <c r="V2494" i="1" s="1"/>
  <c r="V2495" i="1" s="1"/>
  <c r="V2496" i="1" s="1"/>
  <c r="V2497" i="1" s="1"/>
  <c r="V2498" i="1" s="1"/>
  <c r="V2499" i="1" s="1"/>
  <c r="V2500" i="1" s="1"/>
  <c r="V2501" i="1" s="1"/>
  <c r="V2502" i="1" s="1"/>
  <c r="V2503" i="1" s="1"/>
  <c r="V2504" i="1" s="1"/>
  <c r="V2505" i="1" s="1"/>
  <c r="V2506" i="1" s="1"/>
  <c r="V2507" i="1" s="1"/>
  <c r="V2508" i="1" s="1"/>
  <c r="V2509" i="1" s="1"/>
  <c r="V2510" i="1" s="1"/>
  <c r="V2511" i="1" s="1"/>
  <c r="V2512" i="1" s="1"/>
  <c r="V2513" i="1" s="1"/>
  <c r="V2514" i="1" s="1"/>
  <c r="V2515" i="1" s="1"/>
  <c r="V2516" i="1" s="1"/>
  <c r="V2517" i="1" s="1"/>
  <c r="V2518" i="1" s="1"/>
  <c r="V2519" i="1" s="1"/>
  <c r="V2520" i="1" s="1"/>
  <c r="V2521" i="1" s="1"/>
  <c r="V2522" i="1" s="1"/>
  <c r="V2523" i="1" s="1"/>
  <c r="V2524" i="1" s="1"/>
  <c r="V2525" i="1" s="1"/>
  <c r="V2526" i="1" s="1"/>
  <c r="V2527" i="1" s="1"/>
  <c r="V2528" i="1" s="1"/>
  <c r="V2529" i="1" s="1"/>
  <c r="V2530" i="1" s="1"/>
  <c r="V2531" i="1" s="1"/>
  <c r="V2532" i="1" s="1"/>
  <c r="V2533" i="1" s="1"/>
  <c r="V2534" i="1" s="1"/>
  <c r="V2535" i="1" s="1"/>
  <c r="V2536" i="1" s="1"/>
  <c r="V2537" i="1" s="1"/>
  <c r="V2538" i="1" s="1"/>
  <c r="V2539" i="1" s="1"/>
  <c r="V2540" i="1" s="1"/>
  <c r="V2541" i="1" s="1"/>
  <c r="V2542" i="1" s="1"/>
  <c r="V2543" i="1" s="1"/>
  <c r="V2544" i="1" s="1"/>
  <c r="V2545" i="1" s="1"/>
  <c r="V2546" i="1" s="1"/>
  <c r="V2547" i="1" s="1"/>
  <c r="V2548" i="1" s="1"/>
  <c r="V2549" i="1" s="1"/>
  <c r="V2550" i="1" s="1"/>
  <c r="V2551" i="1" s="1"/>
  <c r="V2552" i="1" s="1"/>
  <c r="V2553" i="1" s="1"/>
  <c r="V2554" i="1" s="1"/>
  <c r="V2555" i="1" s="1"/>
  <c r="V2556" i="1" s="1"/>
  <c r="V2557" i="1" s="1"/>
  <c r="V2558" i="1" s="1"/>
  <c r="V2559" i="1" s="1"/>
  <c r="V2560" i="1" s="1"/>
  <c r="V2561" i="1" s="1"/>
  <c r="V2562" i="1" s="1"/>
  <c r="V2563" i="1" s="1"/>
  <c r="V2564" i="1" s="1"/>
  <c r="V2565" i="1" s="1"/>
  <c r="V2566" i="1" s="1"/>
  <c r="V2567" i="1" s="1"/>
  <c r="V2568" i="1" s="1"/>
  <c r="V2569" i="1" s="1"/>
  <c r="V2570" i="1" s="1"/>
  <c r="V2571" i="1" s="1"/>
  <c r="V2572" i="1" s="1"/>
  <c r="V2573" i="1" s="1"/>
  <c r="V2574" i="1" s="1"/>
  <c r="V2575" i="1" s="1"/>
  <c r="V2576" i="1" s="1"/>
  <c r="V2577" i="1" s="1"/>
  <c r="V2578" i="1" s="1"/>
  <c r="V2579" i="1" s="1"/>
  <c r="V2580" i="1" s="1"/>
  <c r="V2581" i="1" s="1"/>
  <c r="V2582" i="1" s="1"/>
  <c r="V2583" i="1" s="1"/>
  <c r="V2584" i="1" s="1"/>
  <c r="V2585" i="1" s="1"/>
  <c r="V2586" i="1" s="1"/>
  <c r="V2587" i="1" s="1"/>
  <c r="V2588" i="1" s="1"/>
  <c r="V2589" i="1" s="1"/>
  <c r="V2590" i="1" s="1"/>
  <c r="V2591" i="1" s="1"/>
  <c r="V2592" i="1" s="1"/>
  <c r="V2593" i="1" s="1"/>
  <c r="V2594" i="1" s="1"/>
  <c r="V2595" i="1" s="1"/>
  <c r="V2596" i="1" s="1"/>
  <c r="V2597" i="1" s="1"/>
  <c r="V2598" i="1" s="1"/>
  <c r="V2599" i="1" s="1"/>
  <c r="V2600" i="1" s="1"/>
  <c r="V2601" i="1" s="1"/>
  <c r="V2602" i="1" s="1"/>
  <c r="V2603" i="1" s="1"/>
  <c r="V2604" i="1" s="1"/>
  <c r="V2605" i="1" s="1"/>
  <c r="V2606" i="1" s="1"/>
  <c r="V2607" i="1" s="1"/>
  <c r="V2608" i="1" s="1"/>
  <c r="V2609" i="1" s="1"/>
  <c r="V2610" i="1" s="1"/>
  <c r="V2611" i="1" s="1"/>
  <c r="V2612" i="1" s="1"/>
  <c r="V2613" i="1" s="1"/>
  <c r="V2614" i="1" s="1"/>
  <c r="V2615" i="1" s="1"/>
  <c r="V2616" i="1" s="1"/>
  <c r="V2617" i="1" s="1"/>
  <c r="V2618" i="1" s="1"/>
  <c r="V2619" i="1" s="1"/>
  <c r="V2620" i="1" s="1"/>
  <c r="V2621" i="1" s="1"/>
  <c r="V2622" i="1" s="1"/>
  <c r="V2623" i="1" s="1"/>
  <c r="V2624" i="1" s="1"/>
  <c r="V2625" i="1" s="1"/>
  <c r="V2626" i="1" s="1"/>
  <c r="V2627" i="1" s="1"/>
  <c r="V2628" i="1" s="1"/>
  <c r="V2629" i="1" s="1"/>
  <c r="V2630" i="1" s="1"/>
  <c r="V2631" i="1" s="1"/>
  <c r="V2632" i="1" s="1"/>
  <c r="V2633" i="1" s="1"/>
  <c r="V2634" i="1" s="1"/>
  <c r="V2635" i="1" s="1"/>
  <c r="V2636" i="1" s="1"/>
  <c r="V2637" i="1" s="1"/>
  <c r="V2638" i="1" s="1"/>
  <c r="V2639" i="1" s="1"/>
  <c r="V2640" i="1" s="1"/>
  <c r="V2641" i="1" s="1"/>
  <c r="V2642" i="1" s="1"/>
  <c r="V2643" i="1" s="1"/>
  <c r="V2644" i="1" s="1"/>
  <c r="V2645" i="1" s="1"/>
  <c r="V2646" i="1" s="1"/>
  <c r="V2647" i="1" s="1"/>
  <c r="V2648" i="1" s="1"/>
  <c r="V2649" i="1" s="1"/>
  <c r="V2650" i="1" s="1"/>
  <c r="V2651" i="1" s="1"/>
  <c r="V2652" i="1" s="1"/>
  <c r="V2653" i="1" s="1"/>
  <c r="V2654" i="1" s="1"/>
  <c r="V2655" i="1" s="1"/>
  <c r="V2656" i="1" s="1"/>
  <c r="V2657" i="1" s="1"/>
  <c r="V2658" i="1" s="1"/>
  <c r="V2659" i="1" s="1"/>
  <c r="V2660" i="1" s="1"/>
  <c r="V2661" i="1" s="1"/>
  <c r="V2662" i="1" s="1"/>
  <c r="V2663" i="1" s="1"/>
  <c r="V2664" i="1" s="1"/>
  <c r="V2665" i="1" s="1"/>
  <c r="V2666" i="1" s="1"/>
  <c r="V2667" i="1" s="1"/>
  <c r="V2668" i="1" s="1"/>
  <c r="V2669" i="1" s="1"/>
  <c r="V2670" i="1" s="1"/>
  <c r="V2671" i="1" s="1"/>
  <c r="V2672" i="1" s="1"/>
  <c r="V2673" i="1" s="1"/>
  <c r="V2674" i="1" s="1"/>
  <c r="V2675" i="1" s="1"/>
  <c r="V2676" i="1" s="1"/>
  <c r="V2677" i="1" s="1"/>
  <c r="V2678" i="1" s="1"/>
  <c r="V2679" i="1" s="1"/>
  <c r="V2680" i="1" s="1"/>
  <c r="V2681" i="1" s="1"/>
  <c r="V2682" i="1" s="1"/>
  <c r="V2683" i="1" s="1"/>
  <c r="V2684" i="1" s="1"/>
  <c r="V2685" i="1" s="1"/>
  <c r="V2686" i="1" s="1"/>
  <c r="V2687" i="1" s="1"/>
  <c r="V2688" i="1" s="1"/>
  <c r="V2689" i="1" s="1"/>
  <c r="V2690" i="1" s="1"/>
  <c r="V2691" i="1" s="1"/>
  <c r="V2692" i="1" s="1"/>
  <c r="V2693" i="1" s="1"/>
  <c r="V2694" i="1" s="1"/>
  <c r="V2695" i="1" s="1"/>
  <c r="V2696" i="1" s="1"/>
  <c r="V2697" i="1" s="1"/>
  <c r="V2698" i="1" s="1"/>
  <c r="V2699" i="1" s="1"/>
  <c r="V2700" i="1" s="1"/>
  <c r="V2701" i="1" s="1"/>
  <c r="V2702" i="1" s="1"/>
  <c r="V2703" i="1" s="1"/>
  <c r="V2704" i="1" s="1"/>
  <c r="V2705" i="1" s="1"/>
  <c r="V2706" i="1" s="1"/>
  <c r="V2707" i="1" s="1"/>
  <c r="V2708" i="1" s="1"/>
  <c r="V2709" i="1" s="1"/>
  <c r="V2710" i="1" s="1"/>
  <c r="V2711" i="1" s="1"/>
  <c r="V2712" i="1" s="1"/>
  <c r="V2713" i="1" s="1"/>
  <c r="V2714" i="1" s="1"/>
  <c r="V2715" i="1" s="1"/>
  <c r="V2716" i="1" s="1"/>
  <c r="V2717" i="1" s="1"/>
  <c r="V2718" i="1" s="1"/>
  <c r="V2719" i="1" s="1"/>
  <c r="V2720" i="1" s="1"/>
  <c r="V2721" i="1" s="1"/>
  <c r="V2722" i="1" s="1"/>
  <c r="V2723" i="1" s="1"/>
  <c r="V2724" i="1" s="1"/>
  <c r="V2725" i="1" s="1"/>
  <c r="V2726" i="1" s="1"/>
  <c r="V2727" i="1" s="1"/>
  <c r="V2728" i="1" s="1"/>
  <c r="V2729" i="1" s="1"/>
  <c r="V2730" i="1" s="1"/>
  <c r="V2731" i="1" s="1"/>
  <c r="V2732" i="1" s="1"/>
  <c r="V2733" i="1" s="1"/>
  <c r="V2734" i="1" s="1"/>
  <c r="V2735" i="1" s="1"/>
  <c r="V2736" i="1" s="1"/>
  <c r="V2737" i="1" s="1"/>
  <c r="V2738" i="1" s="1"/>
  <c r="V2739" i="1" s="1"/>
  <c r="V2740" i="1" s="1"/>
  <c r="V2741" i="1" s="1"/>
  <c r="V2742" i="1" s="1"/>
  <c r="V2743" i="1" s="1"/>
  <c r="V2744" i="1" s="1"/>
  <c r="V2745" i="1" s="1"/>
  <c r="V2746" i="1" s="1"/>
  <c r="V2747" i="1" s="1"/>
  <c r="V2748" i="1" s="1"/>
  <c r="V2749" i="1" s="1"/>
  <c r="V2750" i="1" s="1"/>
  <c r="V2751" i="1" s="1"/>
  <c r="V2752" i="1" s="1"/>
  <c r="V2753" i="1" s="1"/>
  <c r="V2754" i="1" s="1"/>
  <c r="V2755" i="1" s="1"/>
  <c r="V2756" i="1" s="1"/>
  <c r="V2757" i="1" s="1"/>
  <c r="V2758" i="1" s="1"/>
  <c r="V2759" i="1" s="1"/>
  <c r="V2760" i="1" s="1"/>
  <c r="V2761" i="1" s="1"/>
  <c r="V2762" i="1" s="1"/>
  <c r="V2763" i="1" s="1"/>
  <c r="V2764" i="1" s="1"/>
  <c r="V2765" i="1" s="1"/>
  <c r="V2766" i="1" s="1"/>
  <c r="V2767" i="1" s="1"/>
  <c r="V2768" i="1" s="1"/>
  <c r="V2769" i="1" s="1"/>
  <c r="V2770" i="1" s="1"/>
  <c r="V2771" i="1" s="1"/>
  <c r="V2772" i="1" s="1"/>
  <c r="V2773" i="1" s="1"/>
  <c r="V2774" i="1" s="1"/>
  <c r="V2775" i="1" s="1"/>
  <c r="V2776" i="1" s="1"/>
  <c r="V2777" i="1" s="1"/>
  <c r="V2778" i="1" s="1"/>
  <c r="V2779" i="1" s="1"/>
  <c r="V2780" i="1" s="1"/>
  <c r="V2781" i="1" s="1"/>
  <c r="V2782" i="1" s="1"/>
  <c r="V2783" i="1" s="1"/>
  <c r="V2784" i="1" s="1"/>
  <c r="V2785" i="1" s="1"/>
  <c r="V2786" i="1" s="1"/>
  <c r="V2787" i="1" s="1"/>
  <c r="V2788" i="1" s="1"/>
  <c r="V2789" i="1" s="1"/>
  <c r="V2790" i="1" s="1"/>
  <c r="V2791" i="1" s="1"/>
  <c r="V2792" i="1" s="1"/>
  <c r="V2793" i="1" s="1"/>
  <c r="V2794" i="1" s="1"/>
  <c r="V2795" i="1" s="1"/>
  <c r="V2796" i="1" s="1"/>
  <c r="V2797" i="1" s="1"/>
  <c r="V2798" i="1" s="1"/>
  <c r="V2799" i="1" s="1"/>
  <c r="V2800" i="1" s="1"/>
  <c r="V2801" i="1" s="1"/>
  <c r="V2802" i="1" s="1"/>
  <c r="V2803" i="1" s="1"/>
  <c r="V2804" i="1" s="1"/>
  <c r="V2805" i="1" s="1"/>
  <c r="V2806" i="1" s="1"/>
  <c r="V2807" i="1" s="1"/>
  <c r="V2808" i="1" s="1"/>
  <c r="V2809" i="1" s="1"/>
  <c r="V2810" i="1" s="1"/>
  <c r="V2811" i="1" s="1"/>
  <c r="V2812" i="1" s="1"/>
  <c r="V2813" i="1" s="1"/>
  <c r="V2814" i="1" s="1"/>
  <c r="V2815" i="1" s="1"/>
  <c r="V2816" i="1" s="1"/>
  <c r="V2817" i="1" s="1"/>
  <c r="V2818" i="1" s="1"/>
  <c r="V2819" i="1" s="1"/>
  <c r="V2820" i="1" s="1"/>
  <c r="V2821" i="1" s="1"/>
  <c r="V2822" i="1" s="1"/>
  <c r="V2823" i="1" s="1"/>
  <c r="V2824" i="1" s="1"/>
  <c r="V2825" i="1" s="1"/>
  <c r="V2826" i="1" s="1"/>
  <c r="V2827" i="1" s="1"/>
  <c r="V2828" i="1" s="1"/>
  <c r="V2829" i="1" s="1"/>
  <c r="V2830" i="1" s="1"/>
  <c r="V2831" i="1" s="1"/>
  <c r="V2832" i="1" s="1"/>
  <c r="V2833" i="1" s="1"/>
  <c r="V2834" i="1" s="1"/>
  <c r="V2835" i="1" s="1"/>
  <c r="V2836" i="1" s="1"/>
  <c r="V2837" i="1" s="1"/>
  <c r="V2838" i="1" s="1"/>
  <c r="V2839" i="1" s="1"/>
  <c r="V2840" i="1" s="1"/>
  <c r="V2841" i="1" s="1"/>
  <c r="V2842" i="1" s="1"/>
  <c r="V2843" i="1" s="1"/>
  <c r="V2844" i="1" s="1"/>
  <c r="V2845" i="1" s="1"/>
  <c r="V2846" i="1" s="1"/>
  <c r="V2847" i="1" s="1"/>
  <c r="V2848" i="1" s="1"/>
  <c r="V2849" i="1" s="1"/>
  <c r="V2850" i="1" s="1"/>
  <c r="V2851" i="1" s="1"/>
  <c r="V2852" i="1" s="1"/>
  <c r="V2853" i="1" s="1"/>
  <c r="V2854" i="1" s="1"/>
  <c r="V2855" i="1" s="1"/>
  <c r="V2856" i="1" s="1"/>
  <c r="V2857" i="1" s="1"/>
  <c r="V2858" i="1" s="1"/>
  <c r="V2859" i="1" s="1"/>
  <c r="V2860" i="1" s="1"/>
  <c r="V2861" i="1" s="1"/>
  <c r="V2862" i="1" s="1"/>
  <c r="V2863" i="1" s="1"/>
  <c r="V2864" i="1" s="1"/>
  <c r="V2865" i="1" s="1"/>
  <c r="V2866" i="1" s="1"/>
  <c r="V2867" i="1" s="1"/>
  <c r="V2868" i="1" s="1"/>
  <c r="V2869" i="1" s="1"/>
  <c r="V2870" i="1" s="1"/>
  <c r="V2871" i="1" s="1"/>
  <c r="V2872" i="1" s="1"/>
  <c r="V2873" i="1" s="1"/>
  <c r="V2874" i="1" s="1"/>
  <c r="V2875" i="1" s="1"/>
  <c r="V2876" i="1" s="1"/>
  <c r="V2877" i="1" s="1"/>
  <c r="V2878" i="1" s="1"/>
  <c r="V2879" i="1" s="1"/>
  <c r="V2880" i="1" s="1"/>
  <c r="V2881" i="1" s="1"/>
  <c r="V2882" i="1" s="1"/>
  <c r="V2883" i="1" s="1"/>
  <c r="V2884" i="1" s="1"/>
  <c r="V2885" i="1" s="1"/>
  <c r="V2886" i="1" s="1"/>
  <c r="V2887" i="1" s="1"/>
  <c r="V2888" i="1" s="1"/>
  <c r="V2889" i="1" s="1"/>
  <c r="V2890" i="1" s="1"/>
  <c r="V2891" i="1" s="1"/>
  <c r="V2892" i="1" s="1"/>
  <c r="V2893" i="1" s="1"/>
  <c r="V2894" i="1" s="1"/>
  <c r="V2895" i="1" s="1"/>
  <c r="V2896" i="1" s="1"/>
  <c r="V2897" i="1" s="1"/>
  <c r="V2898" i="1" s="1"/>
  <c r="V2899" i="1" s="1"/>
  <c r="V2900" i="1" s="1"/>
  <c r="V2901" i="1" s="1"/>
  <c r="V2902" i="1" s="1"/>
  <c r="V2903" i="1" s="1"/>
  <c r="V2904" i="1" s="1"/>
  <c r="V2905" i="1" s="1"/>
  <c r="V2906" i="1" s="1"/>
  <c r="V2907" i="1" s="1"/>
  <c r="V2908" i="1" s="1"/>
  <c r="V2909" i="1" s="1"/>
  <c r="V2910" i="1" s="1"/>
  <c r="V2911" i="1" s="1"/>
  <c r="V2912" i="1" s="1"/>
  <c r="V2913" i="1" s="1"/>
  <c r="V2914" i="1" s="1"/>
  <c r="V2915" i="1" s="1"/>
  <c r="V2916" i="1" s="1"/>
  <c r="V2917" i="1" s="1"/>
  <c r="V2918" i="1" s="1"/>
  <c r="V2919" i="1" s="1"/>
  <c r="V2920" i="1" s="1"/>
  <c r="V2921" i="1" s="1"/>
  <c r="V2922" i="1" s="1"/>
  <c r="V2923" i="1" s="1"/>
  <c r="V2924" i="1" s="1"/>
  <c r="V2925" i="1" s="1"/>
  <c r="V2926" i="1" s="1"/>
  <c r="V2927" i="1" s="1"/>
  <c r="V2928" i="1" s="1"/>
  <c r="V2929" i="1" s="1"/>
  <c r="V2930" i="1" s="1"/>
  <c r="V2931" i="1" s="1"/>
  <c r="V2932" i="1" s="1"/>
  <c r="V2933" i="1" s="1"/>
  <c r="V2934" i="1" s="1"/>
  <c r="V2935" i="1" s="1"/>
  <c r="V2936" i="1" s="1"/>
  <c r="V2937" i="1" s="1"/>
  <c r="V2938" i="1" s="1"/>
  <c r="V2939" i="1" s="1"/>
  <c r="V2940" i="1" s="1"/>
  <c r="V2941" i="1" s="1"/>
  <c r="V2942" i="1" s="1"/>
  <c r="V2943" i="1" s="1"/>
  <c r="V2944" i="1" s="1"/>
  <c r="V2945" i="1" s="1"/>
  <c r="V2946" i="1" s="1"/>
  <c r="V2947" i="1" s="1"/>
  <c r="V2948" i="1" s="1"/>
  <c r="V2949" i="1" s="1"/>
  <c r="V2950" i="1" s="1"/>
  <c r="V2951" i="1" s="1"/>
  <c r="V2952" i="1" s="1"/>
  <c r="V2953" i="1" s="1"/>
  <c r="V2954" i="1" s="1"/>
  <c r="V2955" i="1" s="1"/>
  <c r="V2956" i="1" s="1"/>
  <c r="V2957" i="1" s="1"/>
  <c r="V2958" i="1" s="1"/>
  <c r="V2959" i="1" s="1"/>
  <c r="V2960" i="1" s="1"/>
  <c r="V2961" i="1" s="1"/>
  <c r="V2962" i="1" s="1"/>
  <c r="V2963" i="1" s="1"/>
  <c r="V2964" i="1" s="1"/>
  <c r="V2965" i="1" s="1"/>
  <c r="V2966" i="1" s="1"/>
  <c r="V2967" i="1" s="1"/>
  <c r="V2968" i="1" s="1"/>
  <c r="V2969" i="1" s="1"/>
  <c r="V2970" i="1" s="1"/>
  <c r="V2971" i="1" s="1"/>
  <c r="V2972" i="1" s="1"/>
  <c r="V2973" i="1" s="1"/>
  <c r="V2974" i="1" s="1"/>
  <c r="V2975" i="1" s="1"/>
  <c r="V2976" i="1" s="1"/>
  <c r="V2977" i="1" s="1"/>
  <c r="V2978" i="1" s="1"/>
  <c r="V2979" i="1" s="1"/>
  <c r="V2980" i="1" s="1"/>
  <c r="V2981" i="1" s="1"/>
  <c r="V2982" i="1" s="1"/>
  <c r="V2983" i="1" s="1"/>
  <c r="V2984" i="1" s="1"/>
  <c r="V2985" i="1" s="1"/>
  <c r="V2986" i="1" s="1"/>
  <c r="V2987" i="1" s="1"/>
  <c r="V2988" i="1" s="1"/>
  <c r="V2989" i="1" s="1"/>
  <c r="V2990" i="1" s="1"/>
  <c r="V2991" i="1" s="1"/>
  <c r="V2992" i="1" s="1"/>
  <c r="V2993" i="1" s="1"/>
  <c r="V2994" i="1" s="1"/>
  <c r="V2995" i="1" s="1"/>
  <c r="V2996" i="1" s="1"/>
  <c r="V2997" i="1" s="1"/>
  <c r="V2998" i="1" s="1"/>
  <c r="V2999" i="1" s="1"/>
  <c r="V3000" i="1" s="1"/>
  <c r="V3001" i="1" s="1"/>
  <c r="V3002" i="1" s="1"/>
  <c r="V3003" i="1" s="1"/>
  <c r="V3004" i="1" s="1"/>
  <c r="V3005" i="1" s="1"/>
  <c r="V3006" i="1" s="1"/>
  <c r="V3007" i="1" s="1"/>
  <c r="V3008" i="1" s="1"/>
  <c r="V3009" i="1" s="1"/>
  <c r="V3010" i="1" s="1"/>
  <c r="V3011" i="1" s="1"/>
  <c r="V3012" i="1" s="1"/>
  <c r="V3013" i="1" s="1"/>
  <c r="V3014" i="1" s="1"/>
  <c r="V3015" i="1" s="1"/>
  <c r="V3016" i="1" s="1"/>
  <c r="V3017" i="1" s="1"/>
  <c r="V3018" i="1" s="1"/>
  <c r="V3019" i="1" s="1"/>
  <c r="V3020" i="1" s="1"/>
  <c r="V3021" i="1" s="1"/>
  <c r="V3022" i="1" s="1"/>
  <c r="V3023" i="1" s="1"/>
  <c r="V3024" i="1" s="1"/>
  <c r="V3025" i="1" s="1"/>
  <c r="V3026" i="1" s="1"/>
  <c r="V3027" i="1" s="1"/>
  <c r="V3028" i="1" s="1"/>
  <c r="V3029" i="1" s="1"/>
  <c r="V3030" i="1" s="1"/>
  <c r="V3031" i="1" s="1"/>
  <c r="V3032" i="1" s="1"/>
  <c r="V3033" i="1" s="1"/>
  <c r="V3034" i="1" s="1"/>
  <c r="V3035" i="1" s="1"/>
  <c r="V3036" i="1" s="1"/>
  <c r="V3037" i="1" s="1"/>
  <c r="V3038" i="1" s="1"/>
  <c r="V3039" i="1" s="1"/>
  <c r="V3040" i="1" s="1"/>
  <c r="V3041" i="1" s="1"/>
  <c r="V3042" i="1" s="1"/>
  <c r="V3043" i="1" s="1"/>
  <c r="V3044" i="1" s="1"/>
  <c r="V3045" i="1" s="1"/>
  <c r="V3046" i="1" s="1"/>
  <c r="V3047" i="1" s="1"/>
  <c r="V3048" i="1" s="1"/>
  <c r="V3049" i="1" s="1"/>
  <c r="V3050" i="1" s="1"/>
  <c r="V3051" i="1" s="1"/>
  <c r="V3052" i="1" s="1"/>
  <c r="V3053" i="1" s="1"/>
  <c r="V3054" i="1" s="1"/>
  <c r="V3055" i="1" s="1"/>
  <c r="V3056" i="1" s="1"/>
  <c r="V3057" i="1" s="1"/>
  <c r="V3058" i="1" s="1"/>
  <c r="V3059" i="1" s="1"/>
  <c r="V3060" i="1" s="1"/>
  <c r="V3061" i="1" s="1"/>
  <c r="V3062" i="1" s="1"/>
  <c r="V3063" i="1" s="1"/>
  <c r="V3064" i="1" s="1"/>
  <c r="V3065" i="1" s="1"/>
  <c r="V3066" i="1" s="1"/>
  <c r="V3067" i="1" s="1"/>
  <c r="V3068" i="1" s="1"/>
  <c r="V3069" i="1" s="1"/>
  <c r="V3070" i="1" s="1"/>
  <c r="V3071" i="1" s="1"/>
  <c r="V3072" i="1" s="1"/>
  <c r="V3073" i="1" s="1"/>
  <c r="V3074" i="1" s="1"/>
  <c r="V3075" i="1" s="1"/>
  <c r="V3076" i="1" s="1"/>
  <c r="V3077" i="1" s="1"/>
  <c r="V3078" i="1" s="1"/>
  <c r="V3079" i="1" s="1"/>
  <c r="V3080" i="1" s="1"/>
  <c r="V3081" i="1" s="1"/>
  <c r="V3082" i="1" s="1"/>
  <c r="V3083" i="1" s="1"/>
  <c r="V3084" i="1" s="1"/>
  <c r="V3085" i="1" s="1"/>
  <c r="V3086" i="1" s="1"/>
  <c r="V3087" i="1" s="1"/>
  <c r="V3088" i="1" s="1"/>
  <c r="V3089" i="1" s="1"/>
  <c r="V3090" i="1" s="1"/>
  <c r="V3091" i="1" s="1"/>
  <c r="V3092" i="1" s="1"/>
  <c r="V3093" i="1" s="1"/>
  <c r="V3094" i="1" s="1"/>
  <c r="V3095" i="1" s="1"/>
  <c r="V3096" i="1" s="1"/>
  <c r="V3097" i="1" s="1"/>
  <c r="V3098" i="1" s="1"/>
  <c r="V3099" i="1" s="1"/>
  <c r="V3100" i="1" s="1"/>
  <c r="V3101" i="1" s="1"/>
  <c r="V3102" i="1" s="1"/>
  <c r="V3103" i="1" s="1"/>
  <c r="V3104" i="1" s="1"/>
  <c r="V3105" i="1" s="1"/>
  <c r="V3106" i="1" s="1"/>
  <c r="V3107" i="1" s="1"/>
  <c r="V3108" i="1" s="1"/>
  <c r="V3109" i="1" s="1"/>
  <c r="V3110" i="1" s="1"/>
  <c r="V3111" i="1" s="1"/>
  <c r="V3112" i="1" s="1"/>
  <c r="V3113" i="1" s="1"/>
  <c r="V3114" i="1" s="1"/>
  <c r="V3115" i="1" s="1"/>
  <c r="V3116" i="1" s="1"/>
  <c r="V3117" i="1" s="1"/>
  <c r="V3118" i="1" s="1"/>
  <c r="V3119" i="1" s="1"/>
  <c r="V3120" i="1" s="1"/>
  <c r="V3121" i="1" s="1"/>
  <c r="V3122" i="1" s="1"/>
  <c r="V3123" i="1" s="1"/>
  <c r="V3124" i="1" s="1"/>
  <c r="V3125" i="1" s="1"/>
  <c r="V3126" i="1" s="1"/>
  <c r="V3127" i="1" s="1"/>
  <c r="V3128" i="1" s="1"/>
  <c r="V3129" i="1" s="1"/>
  <c r="V3130" i="1" s="1"/>
  <c r="V3131" i="1" s="1"/>
  <c r="V3132" i="1" s="1"/>
  <c r="V3133" i="1" s="1"/>
  <c r="V3134" i="1" s="1"/>
  <c r="V3135" i="1" s="1"/>
  <c r="V3136" i="1" s="1"/>
  <c r="V3137" i="1" s="1"/>
  <c r="V3138" i="1" s="1"/>
  <c r="V3139" i="1" s="1"/>
  <c r="V3140" i="1" s="1"/>
  <c r="V3141" i="1" s="1"/>
  <c r="V3142" i="1" s="1"/>
  <c r="V3143" i="1" s="1"/>
  <c r="V3144" i="1" s="1"/>
  <c r="V3145" i="1" s="1"/>
  <c r="V3146" i="1" s="1"/>
  <c r="V3147" i="1" s="1"/>
  <c r="V3148" i="1" s="1"/>
  <c r="V3149" i="1" s="1"/>
  <c r="V3150" i="1" s="1"/>
  <c r="V3151" i="1" s="1"/>
  <c r="V3152" i="1" s="1"/>
  <c r="V3153" i="1" s="1"/>
  <c r="V3154" i="1" s="1"/>
  <c r="V3155" i="1" s="1"/>
  <c r="V3156" i="1" s="1"/>
  <c r="V3157" i="1" s="1"/>
  <c r="V3158" i="1" s="1"/>
  <c r="V3159" i="1" s="1"/>
  <c r="V3160" i="1" s="1"/>
  <c r="V3161" i="1" s="1"/>
  <c r="V3162" i="1" s="1"/>
  <c r="V3163" i="1" s="1"/>
  <c r="V3164" i="1" s="1"/>
  <c r="V3165" i="1" s="1"/>
  <c r="V3166" i="1" s="1"/>
  <c r="V3167" i="1" s="1"/>
  <c r="V3168" i="1" s="1"/>
  <c r="V3169" i="1" s="1"/>
  <c r="V3170" i="1" s="1"/>
  <c r="V3171" i="1" s="1"/>
  <c r="V3172" i="1" s="1"/>
  <c r="V3173" i="1" s="1"/>
  <c r="V3174" i="1" s="1"/>
  <c r="V3175" i="1" s="1"/>
  <c r="V3176" i="1" s="1"/>
  <c r="V3177" i="1" s="1"/>
  <c r="V3178" i="1" s="1"/>
  <c r="V3179" i="1" s="1"/>
  <c r="V3180" i="1" s="1"/>
  <c r="V3181" i="1" s="1"/>
  <c r="V3182" i="1" s="1"/>
  <c r="V3183" i="1" s="1"/>
  <c r="V3184" i="1" s="1"/>
  <c r="V3185" i="1" s="1"/>
  <c r="V3186" i="1" s="1"/>
  <c r="V3187" i="1" s="1"/>
  <c r="V3188" i="1" s="1"/>
  <c r="V3189" i="1" s="1"/>
  <c r="V3190" i="1" s="1"/>
  <c r="V3191" i="1" s="1"/>
  <c r="V3192" i="1" s="1"/>
  <c r="V3193" i="1" s="1"/>
  <c r="V3194" i="1" s="1"/>
  <c r="V3195" i="1" s="1"/>
  <c r="V3196" i="1" s="1"/>
  <c r="V3197" i="1" s="1"/>
  <c r="V3198" i="1" s="1"/>
  <c r="V3199" i="1" s="1"/>
  <c r="V3200" i="1" s="1"/>
  <c r="V3201" i="1" s="1"/>
  <c r="V3202" i="1" s="1"/>
  <c r="V3203" i="1" s="1"/>
  <c r="V3204" i="1" s="1"/>
  <c r="V3205" i="1" s="1"/>
  <c r="V3206" i="1" s="1"/>
  <c r="V3207" i="1" s="1"/>
  <c r="V3208" i="1" s="1"/>
  <c r="V3209" i="1" s="1"/>
  <c r="V3210" i="1" s="1"/>
  <c r="V3211" i="1" s="1"/>
  <c r="V3212" i="1" s="1"/>
  <c r="V3213" i="1" s="1"/>
  <c r="V3214" i="1" s="1"/>
  <c r="V3215" i="1" s="1"/>
  <c r="V3216" i="1" s="1"/>
  <c r="V3217" i="1" s="1"/>
  <c r="V3218" i="1" s="1"/>
  <c r="V3219" i="1" s="1"/>
  <c r="V3220" i="1" s="1"/>
  <c r="V3221" i="1" s="1"/>
  <c r="V3222" i="1" s="1"/>
  <c r="V3223" i="1" s="1"/>
  <c r="V3224" i="1" s="1"/>
  <c r="V3225" i="1" s="1"/>
  <c r="V3226" i="1" s="1"/>
  <c r="V3227" i="1" s="1"/>
  <c r="V3228" i="1" s="1"/>
  <c r="V3229" i="1" s="1"/>
  <c r="V3230" i="1" s="1"/>
  <c r="V3231" i="1" s="1"/>
  <c r="V3232" i="1" s="1"/>
  <c r="V3233" i="1" s="1"/>
  <c r="V3234" i="1" s="1"/>
  <c r="V3235" i="1" s="1"/>
  <c r="V3236" i="1" s="1"/>
  <c r="V3237" i="1" s="1"/>
  <c r="V3238" i="1" s="1"/>
  <c r="V3239" i="1" s="1"/>
  <c r="V3240" i="1" s="1"/>
  <c r="V3241" i="1" s="1"/>
  <c r="V3242" i="1" s="1"/>
  <c r="V3243" i="1" s="1"/>
  <c r="V3244" i="1" s="1"/>
  <c r="V3245" i="1" s="1"/>
  <c r="V3246" i="1" s="1"/>
  <c r="V3247" i="1" s="1"/>
  <c r="V3248" i="1" s="1"/>
  <c r="V3249" i="1" s="1"/>
  <c r="V3250" i="1" s="1"/>
  <c r="V3251" i="1" s="1"/>
  <c r="V3252" i="1" s="1"/>
  <c r="V3253" i="1" s="1"/>
  <c r="V3254" i="1" s="1"/>
  <c r="V3255" i="1" s="1"/>
  <c r="V3256" i="1" s="1"/>
  <c r="V3257" i="1" s="1"/>
  <c r="V3258" i="1" s="1"/>
  <c r="V3259" i="1" s="1"/>
  <c r="V3260" i="1" s="1"/>
  <c r="V3261" i="1" s="1"/>
  <c r="V3262" i="1" s="1"/>
  <c r="V3263" i="1" s="1"/>
  <c r="V3264" i="1" s="1"/>
  <c r="V3265" i="1" s="1"/>
  <c r="V3266" i="1" s="1"/>
  <c r="V3267" i="1" s="1"/>
  <c r="V3268" i="1" s="1"/>
  <c r="V3269" i="1" s="1"/>
  <c r="V3270" i="1" s="1"/>
  <c r="V3271" i="1" s="1"/>
  <c r="V3272" i="1" s="1"/>
  <c r="V3273" i="1" s="1"/>
  <c r="V3274" i="1" s="1"/>
  <c r="V3275" i="1" s="1"/>
  <c r="V3276" i="1" s="1"/>
  <c r="V3277" i="1" s="1"/>
  <c r="V3278" i="1" s="1"/>
  <c r="V3279" i="1" s="1"/>
  <c r="V3280" i="1" s="1"/>
  <c r="V3281" i="1" s="1"/>
  <c r="V3282" i="1" s="1"/>
  <c r="V3283" i="1" s="1"/>
  <c r="V3284" i="1" s="1"/>
  <c r="V3285" i="1" s="1"/>
  <c r="V3286" i="1" s="1"/>
  <c r="V3287" i="1" s="1"/>
  <c r="V3288" i="1" s="1"/>
  <c r="V3289" i="1" s="1"/>
  <c r="V3290" i="1" s="1"/>
  <c r="V3291" i="1" s="1"/>
  <c r="V3292" i="1" s="1"/>
  <c r="V3293" i="1" s="1"/>
  <c r="V3294" i="1" s="1"/>
  <c r="V3295" i="1" s="1"/>
  <c r="V3296" i="1" s="1"/>
  <c r="V3297" i="1" s="1"/>
  <c r="V3298" i="1" s="1"/>
  <c r="V3299" i="1" s="1"/>
  <c r="V3300" i="1" s="1"/>
  <c r="V3301" i="1" s="1"/>
  <c r="V3302" i="1" s="1"/>
  <c r="V3303" i="1" s="1"/>
  <c r="V3304" i="1" s="1"/>
  <c r="V3305" i="1" s="1"/>
  <c r="V3306" i="1" s="1"/>
  <c r="V3307" i="1" s="1"/>
  <c r="V3308" i="1" s="1"/>
  <c r="V3309" i="1" s="1"/>
  <c r="V3310" i="1" s="1"/>
  <c r="V3311" i="1" s="1"/>
  <c r="V3312" i="1" s="1"/>
  <c r="V3313" i="1" s="1"/>
  <c r="V3314" i="1" s="1"/>
  <c r="V3315" i="1" s="1"/>
  <c r="V3316" i="1" s="1"/>
  <c r="V3317" i="1" s="1"/>
  <c r="V3318" i="1" s="1"/>
  <c r="V3319" i="1" s="1"/>
  <c r="V3320" i="1" s="1"/>
  <c r="V3321" i="1" s="1"/>
  <c r="V3322" i="1" s="1"/>
  <c r="V3323" i="1" s="1"/>
  <c r="V3324" i="1" s="1"/>
  <c r="V3325" i="1" s="1"/>
  <c r="V3326" i="1" s="1"/>
  <c r="V3327" i="1" s="1"/>
  <c r="V3328" i="1" s="1"/>
  <c r="V3329" i="1" s="1"/>
  <c r="V3330" i="1" s="1"/>
  <c r="V3331" i="1" s="1"/>
  <c r="V3332" i="1" s="1"/>
  <c r="V3333" i="1" s="1"/>
  <c r="V3334" i="1" s="1"/>
  <c r="V3335" i="1" s="1"/>
  <c r="V3336" i="1" s="1"/>
  <c r="V3337" i="1" s="1"/>
  <c r="V3338" i="1" s="1"/>
  <c r="V3339" i="1" s="1"/>
  <c r="V3340" i="1" s="1"/>
  <c r="V3341" i="1" s="1"/>
  <c r="V3342" i="1" s="1"/>
  <c r="V3343" i="1" s="1"/>
  <c r="V3344" i="1" s="1"/>
  <c r="V3345" i="1" s="1"/>
  <c r="V3346" i="1" s="1"/>
  <c r="V3347" i="1" s="1"/>
  <c r="V3348" i="1" s="1"/>
  <c r="V3349" i="1" s="1"/>
  <c r="V3350" i="1" s="1"/>
  <c r="V3351" i="1" s="1"/>
  <c r="V3352" i="1" s="1"/>
  <c r="V3353" i="1" s="1"/>
  <c r="V3354" i="1" s="1"/>
  <c r="V3355" i="1" s="1"/>
  <c r="V3356" i="1" s="1"/>
  <c r="V3357" i="1" s="1"/>
  <c r="V3358" i="1" s="1"/>
  <c r="V3359" i="1" s="1"/>
  <c r="V3360" i="1" s="1"/>
  <c r="V3361" i="1" s="1"/>
  <c r="V3362" i="1" s="1"/>
  <c r="V3363" i="1" s="1"/>
  <c r="V3364" i="1" s="1"/>
  <c r="V3365" i="1" s="1"/>
  <c r="V3366" i="1" s="1"/>
  <c r="V3367" i="1" s="1"/>
  <c r="V3368" i="1" s="1"/>
  <c r="V3369" i="1" s="1"/>
  <c r="V3370" i="1" s="1"/>
  <c r="V3371" i="1" s="1"/>
  <c r="V3372" i="1" s="1"/>
  <c r="V3373" i="1" s="1"/>
  <c r="V3374" i="1" s="1"/>
  <c r="V3375" i="1" s="1"/>
  <c r="V3376" i="1" s="1"/>
  <c r="V3377" i="1" s="1"/>
  <c r="V3378" i="1" s="1"/>
  <c r="V3379" i="1" s="1"/>
  <c r="V3380" i="1" s="1"/>
  <c r="V3381" i="1" s="1"/>
  <c r="V3382" i="1" s="1"/>
  <c r="V3383" i="1" s="1"/>
  <c r="V3384" i="1" s="1"/>
  <c r="V3385" i="1" s="1"/>
  <c r="V3386" i="1" s="1"/>
  <c r="V3387" i="1" s="1"/>
  <c r="V3388" i="1" s="1"/>
  <c r="V3389" i="1" s="1"/>
  <c r="V3390" i="1" s="1"/>
  <c r="V3391" i="1" s="1"/>
  <c r="V3392" i="1" s="1"/>
  <c r="V3393" i="1" s="1"/>
  <c r="V3394" i="1" s="1"/>
  <c r="V3395" i="1" s="1"/>
  <c r="V3396" i="1" s="1"/>
  <c r="V3397" i="1" s="1"/>
  <c r="V3398" i="1" s="1"/>
  <c r="V3399" i="1" s="1"/>
  <c r="V3400" i="1" s="1"/>
  <c r="V3401" i="1" s="1"/>
  <c r="V3402" i="1" s="1"/>
  <c r="V3403" i="1" s="1"/>
  <c r="V3404" i="1" s="1"/>
  <c r="V3405" i="1" s="1"/>
  <c r="V3406" i="1" s="1"/>
  <c r="V3407" i="1" s="1"/>
  <c r="V3408" i="1" s="1"/>
  <c r="V3409" i="1" s="1"/>
  <c r="V3410" i="1" s="1"/>
  <c r="V3411" i="1" s="1"/>
  <c r="V3412" i="1" s="1"/>
  <c r="V3413" i="1" s="1"/>
  <c r="V3414" i="1" s="1"/>
  <c r="V3415" i="1" s="1"/>
  <c r="V3416" i="1" s="1"/>
  <c r="V3417" i="1" s="1"/>
  <c r="V3418" i="1" s="1"/>
  <c r="V3419" i="1" s="1"/>
  <c r="V3420" i="1" s="1"/>
  <c r="V3421" i="1" s="1"/>
  <c r="V3422" i="1" s="1"/>
  <c r="V3423" i="1" s="1"/>
  <c r="V3424" i="1" s="1"/>
  <c r="V3425" i="1" s="1"/>
  <c r="V3426" i="1" s="1"/>
  <c r="V3427" i="1" s="1"/>
  <c r="V3428" i="1" s="1"/>
  <c r="V3429" i="1" s="1"/>
  <c r="V3430" i="1" s="1"/>
  <c r="V3431" i="1" s="1"/>
  <c r="V3432" i="1" s="1"/>
  <c r="V3433" i="1" s="1"/>
  <c r="V3434" i="1" s="1"/>
  <c r="V3435" i="1" s="1"/>
  <c r="V3436" i="1" s="1"/>
  <c r="V3437" i="1" s="1"/>
  <c r="V3438" i="1" s="1"/>
  <c r="V3439" i="1" s="1"/>
  <c r="V3440" i="1" s="1"/>
  <c r="V3441" i="1" s="1"/>
  <c r="V3442" i="1" s="1"/>
  <c r="V3443" i="1" s="1"/>
  <c r="V3444" i="1" s="1"/>
  <c r="V3445" i="1" s="1"/>
  <c r="V3446" i="1" s="1"/>
  <c r="V3447" i="1" s="1"/>
  <c r="V3448" i="1" s="1"/>
  <c r="V3449" i="1" s="1"/>
  <c r="V3450" i="1" s="1"/>
  <c r="V3451" i="1" s="1"/>
  <c r="V3452" i="1" s="1"/>
  <c r="V3453" i="1" s="1"/>
  <c r="V3454" i="1" s="1"/>
  <c r="V3455" i="1" s="1"/>
  <c r="V3456" i="1" s="1"/>
  <c r="V3457" i="1" s="1"/>
  <c r="V3458" i="1" s="1"/>
  <c r="V3459" i="1" s="1"/>
  <c r="V3460" i="1" s="1"/>
  <c r="V3461" i="1" s="1"/>
  <c r="V3462" i="1" s="1"/>
  <c r="V3463" i="1" s="1"/>
  <c r="V3464" i="1" s="1"/>
  <c r="V3465" i="1" s="1"/>
  <c r="V3466" i="1" s="1"/>
  <c r="V3467" i="1" s="1"/>
  <c r="V3468" i="1" s="1"/>
  <c r="V3469" i="1" s="1"/>
  <c r="V3470" i="1" s="1"/>
  <c r="V3471" i="1" s="1"/>
  <c r="V3472" i="1" s="1"/>
  <c r="V3473" i="1" s="1"/>
  <c r="V3474" i="1" s="1"/>
  <c r="V3475" i="1" s="1"/>
  <c r="V3476" i="1" s="1"/>
  <c r="V3477" i="1" s="1"/>
  <c r="V3478" i="1" s="1"/>
  <c r="V3479" i="1" s="1"/>
  <c r="V3480" i="1" s="1"/>
  <c r="V3481" i="1" s="1"/>
  <c r="V3482" i="1" s="1"/>
  <c r="V3483" i="1" s="1"/>
  <c r="V3484" i="1" s="1"/>
  <c r="V3485" i="1" s="1"/>
  <c r="V3486" i="1" s="1"/>
  <c r="V3487" i="1" s="1"/>
  <c r="V3488" i="1" s="1"/>
  <c r="V3489" i="1" s="1"/>
  <c r="V3490" i="1" s="1"/>
  <c r="V3491" i="1" s="1"/>
  <c r="V3492" i="1" s="1"/>
  <c r="V3493" i="1" s="1"/>
  <c r="V3494" i="1" s="1"/>
  <c r="V3495" i="1" s="1"/>
  <c r="V3496" i="1" s="1"/>
  <c r="V3497" i="1" s="1"/>
  <c r="V3498" i="1" s="1"/>
  <c r="V3499" i="1" s="1"/>
  <c r="V3500" i="1" s="1"/>
  <c r="V3501" i="1" s="1"/>
  <c r="V3502" i="1" s="1"/>
  <c r="V3503" i="1" s="1"/>
  <c r="V3504" i="1" s="1"/>
  <c r="V3505" i="1" s="1"/>
  <c r="V3506" i="1" s="1"/>
  <c r="V3507" i="1" s="1"/>
  <c r="Z3" i="1"/>
  <c r="Z4" i="1" s="1"/>
  <c r="Z5" i="1" s="1"/>
  <c r="Z6" i="1" s="1"/>
  <c r="Z7" i="1" s="1"/>
  <c r="Z8" i="1" s="1"/>
  <c r="Z9" i="1" s="1"/>
  <c r="Z10" i="1" s="1"/>
  <c r="Z11" i="1" s="1"/>
  <c r="Z12" i="1" s="1"/>
  <c r="Z13" i="1" s="1"/>
  <c r="Z14" i="1" s="1"/>
  <c r="Z15" i="1" s="1"/>
  <c r="Z16" i="1" s="1"/>
  <c r="Z17" i="1" s="1"/>
  <c r="Z18" i="1" s="1"/>
  <c r="Z19" i="1" s="1"/>
  <c r="Z20" i="1" s="1"/>
  <c r="Z21" i="1" s="1"/>
  <c r="Z22" i="1" s="1"/>
  <c r="Z23" i="1" s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Z127" i="1" s="1"/>
  <c r="Z128" i="1" s="1"/>
  <c r="Z129" i="1" s="1"/>
  <c r="Z130" i="1" s="1"/>
  <c r="Z131" i="1" s="1"/>
  <c r="Z132" i="1" s="1"/>
  <c r="Z133" i="1" s="1"/>
  <c r="Z134" i="1" s="1"/>
  <c r="Z135" i="1" s="1"/>
  <c r="Z136" i="1" s="1"/>
  <c r="Z137" i="1" s="1"/>
  <c r="Z138" i="1" s="1"/>
  <c r="Z139" i="1" s="1"/>
  <c r="Z140" i="1" s="1"/>
  <c r="Z141" i="1" s="1"/>
  <c r="Z142" i="1" s="1"/>
  <c r="Z143" i="1" s="1"/>
  <c r="Z144" i="1" s="1"/>
  <c r="Z145" i="1" s="1"/>
  <c r="Z146" i="1" s="1"/>
  <c r="Z147" i="1" s="1"/>
  <c r="Z148" i="1" s="1"/>
  <c r="Z149" i="1" s="1"/>
  <c r="Z150" i="1" s="1"/>
  <c r="Z151" i="1" s="1"/>
  <c r="Z152" i="1" s="1"/>
  <c r="Z153" i="1" s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65" i="1" s="1"/>
  <c r="Z166" i="1" s="1"/>
  <c r="Z167" i="1" s="1"/>
  <c r="Z168" i="1" s="1"/>
  <c r="Z169" i="1" s="1"/>
  <c r="Z170" i="1" s="1"/>
  <c r="Z171" i="1" s="1"/>
  <c r="Z172" i="1" s="1"/>
  <c r="Z173" i="1" s="1"/>
  <c r="Z174" i="1" s="1"/>
  <c r="Z175" i="1" s="1"/>
  <c r="Z176" i="1" s="1"/>
  <c r="Z177" i="1" s="1"/>
  <c r="Z178" i="1" s="1"/>
  <c r="Z179" i="1" s="1"/>
  <c r="Z180" i="1" s="1"/>
  <c r="Z181" i="1" s="1"/>
  <c r="Z182" i="1" s="1"/>
  <c r="Z183" i="1" s="1"/>
  <c r="Z184" i="1" s="1"/>
  <c r="Z185" i="1" s="1"/>
  <c r="Z186" i="1" s="1"/>
  <c r="Z187" i="1" s="1"/>
  <c r="Z188" i="1" s="1"/>
  <c r="Z189" i="1" s="1"/>
  <c r="Z190" i="1" s="1"/>
  <c r="Z191" i="1" s="1"/>
  <c r="Z192" i="1" s="1"/>
  <c r="Z193" i="1" s="1"/>
  <c r="Z194" i="1" s="1"/>
  <c r="Z195" i="1" s="1"/>
  <c r="Z196" i="1" s="1"/>
  <c r="Z197" i="1" s="1"/>
  <c r="Z198" i="1" s="1"/>
  <c r="Z199" i="1" s="1"/>
  <c r="Z200" i="1" s="1"/>
  <c r="Z201" i="1" s="1"/>
  <c r="Z202" i="1" s="1"/>
  <c r="Z203" i="1" s="1"/>
  <c r="Z204" i="1" s="1"/>
  <c r="Z205" i="1" s="1"/>
  <c r="Z206" i="1" s="1"/>
  <c r="Z207" i="1" s="1"/>
  <c r="Z208" i="1" s="1"/>
  <c r="Z209" i="1" s="1"/>
  <c r="Z210" i="1" s="1"/>
  <c r="Z211" i="1" s="1"/>
  <c r="Z212" i="1" s="1"/>
  <c r="Z213" i="1" s="1"/>
  <c r="Z214" i="1" s="1"/>
  <c r="Z215" i="1" s="1"/>
  <c r="Z216" i="1" s="1"/>
  <c r="Z217" i="1" s="1"/>
  <c r="Z218" i="1" s="1"/>
  <c r="Z219" i="1" s="1"/>
  <c r="Z220" i="1" s="1"/>
  <c r="Z221" i="1" s="1"/>
  <c r="Z222" i="1" s="1"/>
  <c r="Z223" i="1" s="1"/>
  <c r="Z224" i="1" s="1"/>
  <c r="Z225" i="1" s="1"/>
  <c r="Z226" i="1" s="1"/>
  <c r="Z227" i="1" s="1"/>
  <c r="Z228" i="1" s="1"/>
  <c r="Z229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Z258" i="1" s="1"/>
  <c r="Z259" i="1" s="1"/>
  <c r="Z260" i="1" s="1"/>
  <c r="Z261" i="1" s="1"/>
  <c r="Z262" i="1" s="1"/>
  <c r="Z263" i="1" s="1"/>
  <c r="Z264" i="1" s="1"/>
  <c r="Z265" i="1" s="1"/>
  <c r="Z266" i="1" s="1"/>
  <c r="Z267" i="1" s="1"/>
  <c r="Z268" i="1" s="1"/>
  <c r="Z269" i="1" s="1"/>
  <c r="Z270" i="1" s="1"/>
  <c r="Z271" i="1" s="1"/>
  <c r="Z272" i="1" s="1"/>
  <c r="Z273" i="1" s="1"/>
  <c r="Z274" i="1" s="1"/>
  <c r="Z275" i="1" s="1"/>
  <c r="Z276" i="1" s="1"/>
  <c r="Z277" i="1" s="1"/>
  <c r="Z278" i="1" s="1"/>
  <c r="Z279" i="1" s="1"/>
  <c r="Z280" i="1" s="1"/>
  <c r="Z281" i="1" s="1"/>
  <c r="Z282" i="1" s="1"/>
  <c r="Z283" i="1" s="1"/>
  <c r="Z284" i="1" s="1"/>
  <c r="Z285" i="1" s="1"/>
  <c r="Z286" i="1" s="1"/>
  <c r="Z287" i="1" s="1"/>
  <c r="Z288" i="1" s="1"/>
  <c r="Z289" i="1" s="1"/>
  <c r="Z290" i="1" s="1"/>
  <c r="Z291" i="1" s="1"/>
  <c r="Z292" i="1" s="1"/>
  <c r="Z293" i="1" s="1"/>
  <c r="Z294" i="1" s="1"/>
  <c r="Z295" i="1" s="1"/>
  <c r="Z296" i="1" s="1"/>
  <c r="Z297" i="1" s="1"/>
  <c r="Z298" i="1" s="1"/>
  <c r="Z299" i="1" s="1"/>
  <c r="Z300" i="1" s="1"/>
  <c r="Z301" i="1" s="1"/>
  <c r="Z302" i="1" s="1"/>
  <c r="Z303" i="1" s="1"/>
  <c r="Z304" i="1" s="1"/>
  <c r="Z305" i="1" s="1"/>
  <c r="Z306" i="1" s="1"/>
  <c r="Z307" i="1" s="1"/>
  <c r="Z308" i="1" s="1"/>
  <c r="Z309" i="1" s="1"/>
  <c r="Z310" i="1" s="1"/>
  <c r="Z311" i="1" s="1"/>
  <c r="Z312" i="1" s="1"/>
  <c r="Z313" i="1" s="1"/>
  <c r="Z314" i="1" s="1"/>
  <c r="Z315" i="1" s="1"/>
  <c r="Z316" i="1" s="1"/>
  <c r="Z317" i="1" s="1"/>
  <c r="Z318" i="1" s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Z329" i="1" s="1"/>
  <c r="Z330" i="1" s="1"/>
  <c r="Z331" i="1" s="1"/>
  <c r="Z332" i="1" s="1"/>
  <c r="Z333" i="1" s="1"/>
  <c r="Z334" i="1" s="1"/>
  <c r="Z335" i="1" s="1"/>
  <c r="Z336" i="1" s="1"/>
  <c r="Z337" i="1" s="1"/>
  <c r="Z338" i="1" s="1"/>
  <c r="Z339" i="1" s="1"/>
  <c r="Z340" i="1" s="1"/>
  <c r="Z341" i="1" s="1"/>
  <c r="Z342" i="1" s="1"/>
  <c r="Z343" i="1" s="1"/>
  <c r="Z344" i="1" s="1"/>
  <c r="Z345" i="1" s="1"/>
  <c r="Z346" i="1" s="1"/>
  <c r="Z347" i="1" s="1"/>
  <c r="Z348" i="1" s="1"/>
  <c r="Z349" i="1" s="1"/>
  <c r="Z350" i="1" s="1"/>
  <c r="Z351" i="1" s="1"/>
  <c r="Z352" i="1" s="1"/>
  <c r="Z353" i="1" s="1"/>
  <c r="Z354" i="1" s="1"/>
  <c r="Z355" i="1" s="1"/>
  <c r="Z356" i="1" s="1"/>
  <c r="Z357" i="1" s="1"/>
  <c r="Z358" i="1" s="1"/>
  <c r="Z359" i="1" s="1"/>
  <c r="Z360" i="1" s="1"/>
  <c r="Z361" i="1" s="1"/>
  <c r="Z362" i="1" s="1"/>
  <c r="Z363" i="1" s="1"/>
  <c r="Z364" i="1" s="1"/>
  <c r="Z365" i="1" s="1"/>
  <c r="Z366" i="1" s="1"/>
  <c r="Z367" i="1" s="1"/>
  <c r="Z368" i="1" s="1"/>
  <c r="Z369" i="1" s="1"/>
  <c r="Z370" i="1" s="1"/>
  <c r="Z371" i="1" s="1"/>
  <c r="Z372" i="1" s="1"/>
  <c r="Z373" i="1" s="1"/>
  <c r="Z374" i="1" s="1"/>
  <c r="Z375" i="1" s="1"/>
  <c r="Z376" i="1" s="1"/>
  <c r="Z377" i="1" s="1"/>
  <c r="Z378" i="1" s="1"/>
  <c r="Z379" i="1" s="1"/>
  <c r="Z380" i="1" s="1"/>
  <c r="Z381" i="1" s="1"/>
  <c r="Z382" i="1" s="1"/>
  <c r="Z383" i="1" s="1"/>
  <c r="Z384" i="1" s="1"/>
  <c r="Z385" i="1" s="1"/>
  <c r="Z386" i="1" s="1"/>
  <c r="Z387" i="1" s="1"/>
  <c r="Z388" i="1" s="1"/>
  <c r="Z389" i="1" s="1"/>
  <c r="Z390" i="1" s="1"/>
  <c r="Z391" i="1" s="1"/>
  <c r="Z392" i="1" s="1"/>
  <c r="Z393" i="1" s="1"/>
  <c r="Z394" i="1" s="1"/>
  <c r="Z395" i="1" s="1"/>
  <c r="Z396" i="1" s="1"/>
  <c r="Z397" i="1" s="1"/>
  <c r="Z398" i="1" s="1"/>
  <c r="Z399" i="1" s="1"/>
  <c r="Z400" i="1" s="1"/>
  <c r="Z401" i="1" s="1"/>
  <c r="Z402" i="1" s="1"/>
  <c r="Z403" i="1" s="1"/>
  <c r="Z404" i="1" s="1"/>
  <c r="Z405" i="1" s="1"/>
  <c r="Z406" i="1" s="1"/>
  <c r="Z407" i="1" s="1"/>
  <c r="Z408" i="1" s="1"/>
  <c r="Z409" i="1" s="1"/>
  <c r="Z410" i="1" s="1"/>
  <c r="Z411" i="1" s="1"/>
  <c r="Z412" i="1" s="1"/>
  <c r="Z413" i="1" s="1"/>
  <c r="Z414" i="1" s="1"/>
  <c r="Z415" i="1" s="1"/>
  <c r="Z416" i="1" s="1"/>
  <c r="Z417" i="1" s="1"/>
  <c r="Z418" i="1" s="1"/>
  <c r="Z419" i="1" s="1"/>
  <c r="Z420" i="1" s="1"/>
  <c r="Z421" i="1" s="1"/>
  <c r="Z422" i="1" s="1"/>
  <c r="Z423" i="1" s="1"/>
  <c r="Z424" i="1" s="1"/>
  <c r="Z425" i="1" s="1"/>
  <c r="Z426" i="1" s="1"/>
  <c r="Z427" i="1" s="1"/>
  <c r="Z428" i="1" s="1"/>
  <c r="Z429" i="1" s="1"/>
  <c r="Z430" i="1" s="1"/>
  <c r="Z431" i="1" s="1"/>
  <c r="Z432" i="1" s="1"/>
  <c r="Z433" i="1" s="1"/>
  <c r="Z434" i="1" s="1"/>
  <c r="Z435" i="1" s="1"/>
  <c r="Z436" i="1" s="1"/>
  <c r="Z437" i="1" s="1"/>
  <c r="Z438" i="1" s="1"/>
  <c r="Z439" i="1" s="1"/>
  <c r="Z440" i="1" s="1"/>
  <c r="Z441" i="1" s="1"/>
  <c r="Z442" i="1" s="1"/>
  <c r="Z443" i="1" s="1"/>
  <c r="Z444" i="1" s="1"/>
  <c r="Z445" i="1" s="1"/>
  <c r="Z446" i="1" s="1"/>
  <c r="Z447" i="1" s="1"/>
  <c r="Z448" i="1" s="1"/>
  <c r="Z449" i="1" s="1"/>
  <c r="Z450" i="1" s="1"/>
  <c r="Z451" i="1" s="1"/>
  <c r="Z452" i="1" s="1"/>
  <c r="Z453" i="1" s="1"/>
  <c r="Z454" i="1" s="1"/>
  <c r="Z455" i="1" s="1"/>
  <c r="Z456" i="1" s="1"/>
  <c r="Z457" i="1" s="1"/>
  <c r="Z458" i="1" s="1"/>
  <c r="Z459" i="1" s="1"/>
  <c r="Z460" i="1" s="1"/>
  <c r="Z461" i="1" s="1"/>
  <c r="Z462" i="1" s="1"/>
  <c r="Z463" i="1" s="1"/>
  <c r="Z464" i="1" s="1"/>
  <c r="Z465" i="1" s="1"/>
  <c r="Z466" i="1" s="1"/>
  <c r="Z467" i="1" s="1"/>
  <c r="Z468" i="1" s="1"/>
  <c r="Z469" i="1" s="1"/>
  <c r="Z470" i="1" s="1"/>
  <c r="Z471" i="1" s="1"/>
  <c r="Z472" i="1" s="1"/>
  <c r="Z473" i="1" s="1"/>
  <c r="Z474" i="1" s="1"/>
  <c r="Z475" i="1" s="1"/>
  <c r="Z476" i="1" s="1"/>
  <c r="Z477" i="1" s="1"/>
  <c r="Z478" i="1" s="1"/>
  <c r="Z479" i="1" s="1"/>
  <c r="Z480" i="1" s="1"/>
  <c r="Z481" i="1" s="1"/>
  <c r="Z482" i="1" s="1"/>
  <c r="Z483" i="1" s="1"/>
  <c r="Z484" i="1" s="1"/>
  <c r="Z485" i="1" s="1"/>
  <c r="Z486" i="1" s="1"/>
  <c r="Z487" i="1" s="1"/>
  <c r="Z488" i="1" s="1"/>
  <c r="Z489" i="1" s="1"/>
  <c r="Z490" i="1" s="1"/>
  <c r="Z491" i="1" s="1"/>
  <c r="Z492" i="1" s="1"/>
  <c r="Z493" i="1" s="1"/>
  <c r="Z494" i="1" s="1"/>
  <c r="Z495" i="1" s="1"/>
  <c r="Z496" i="1" s="1"/>
  <c r="Z497" i="1" s="1"/>
  <c r="Z498" i="1" s="1"/>
  <c r="Z499" i="1" s="1"/>
  <c r="Z500" i="1" s="1"/>
  <c r="Z501" i="1" s="1"/>
  <c r="Z502" i="1" s="1"/>
  <c r="Z503" i="1" s="1"/>
  <c r="Z504" i="1" s="1"/>
  <c r="Z505" i="1" s="1"/>
  <c r="Z506" i="1" s="1"/>
  <c r="Z507" i="1" s="1"/>
  <c r="Z508" i="1" s="1"/>
  <c r="Z509" i="1" s="1"/>
  <c r="Z510" i="1" s="1"/>
  <c r="Z511" i="1" s="1"/>
  <c r="Z512" i="1" s="1"/>
  <c r="Z513" i="1" s="1"/>
  <c r="Z514" i="1" s="1"/>
  <c r="Z515" i="1" s="1"/>
  <c r="Z516" i="1" s="1"/>
  <c r="Z517" i="1" s="1"/>
  <c r="Z518" i="1" s="1"/>
  <c r="Z519" i="1" s="1"/>
  <c r="Z520" i="1" s="1"/>
  <c r="Z521" i="1" s="1"/>
  <c r="Z522" i="1" s="1"/>
  <c r="Z523" i="1" s="1"/>
  <c r="Z524" i="1" s="1"/>
  <c r="Z525" i="1" s="1"/>
  <c r="Z526" i="1" s="1"/>
  <c r="Z527" i="1" s="1"/>
  <c r="Z528" i="1" s="1"/>
  <c r="Z529" i="1" s="1"/>
  <c r="Z530" i="1" s="1"/>
  <c r="Z531" i="1" s="1"/>
  <c r="Z532" i="1" s="1"/>
  <c r="Z533" i="1" s="1"/>
  <c r="Z534" i="1" s="1"/>
  <c r="Z535" i="1" s="1"/>
  <c r="Z536" i="1" s="1"/>
  <c r="Z537" i="1" s="1"/>
  <c r="Z538" i="1" s="1"/>
  <c r="Z539" i="1" s="1"/>
  <c r="Z540" i="1" s="1"/>
  <c r="Z541" i="1" s="1"/>
  <c r="Z542" i="1" s="1"/>
  <c r="Z543" i="1" s="1"/>
  <c r="Z544" i="1" s="1"/>
  <c r="Z545" i="1" s="1"/>
  <c r="Z546" i="1" s="1"/>
  <c r="Z547" i="1" s="1"/>
  <c r="Z548" i="1" s="1"/>
  <c r="Z549" i="1" s="1"/>
  <c r="Z550" i="1" s="1"/>
  <c r="Z551" i="1" s="1"/>
  <c r="Z552" i="1" s="1"/>
  <c r="Z553" i="1" s="1"/>
  <c r="Z554" i="1" s="1"/>
  <c r="Z555" i="1" s="1"/>
  <c r="Z556" i="1" s="1"/>
  <c r="Z557" i="1" s="1"/>
  <c r="Z558" i="1" s="1"/>
  <c r="Z559" i="1" s="1"/>
  <c r="Z560" i="1" s="1"/>
  <c r="Z561" i="1" s="1"/>
  <c r="Z562" i="1" s="1"/>
  <c r="Z563" i="1" s="1"/>
  <c r="Z564" i="1" s="1"/>
  <c r="Z565" i="1" s="1"/>
  <c r="Z566" i="1" s="1"/>
  <c r="Z567" i="1" s="1"/>
  <c r="Z568" i="1" s="1"/>
  <c r="Z569" i="1" s="1"/>
  <c r="Z570" i="1" s="1"/>
  <c r="Z571" i="1" s="1"/>
  <c r="Z572" i="1" s="1"/>
  <c r="Z573" i="1" s="1"/>
  <c r="Z574" i="1" s="1"/>
  <c r="Z575" i="1" s="1"/>
  <c r="Z576" i="1" s="1"/>
  <c r="Z577" i="1" s="1"/>
  <c r="Z578" i="1" s="1"/>
  <c r="Z579" i="1" s="1"/>
  <c r="Z580" i="1" s="1"/>
  <c r="Z581" i="1" s="1"/>
  <c r="Z582" i="1" s="1"/>
  <c r="Z583" i="1" s="1"/>
  <c r="Z584" i="1" s="1"/>
  <c r="Z585" i="1" s="1"/>
  <c r="Z586" i="1" s="1"/>
  <c r="Z587" i="1" s="1"/>
  <c r="Z588" i="1" s="1"/>
  <c r="Z589" i="1" s="1"/>
  <c r="Z590" i="1" s="1"/>
  <c r="Z591" i="1" s="1"/>
  <c r="Z592" i="1" s="1"/>
  <c r="Z593" i="1" s="1"/>
  <c r="Z594" i="1" s="1"/>
  <c r="Z595" i="1" s="1"/>
  <c r="Z596" i="1" s="1"/>
  <c r="Z597" i="1" s="1"/>
  <c r="Z598" i="1" s="1"/>
  <c r="Z599" i="1" s="1"/>
  <c r="Z600" i="1" s="1"/>
  <c r="Z601" i="1" s="1"/>
  <c r="Z602" i="1" s="1"/>
  <c r="Z603" i="1" s="1"/>
  <c r="Z604" i="1" s="1"/>
  <c r="Z605" i="1" s="1"/>
  <c r="Z606" i="1" s="1"/>
  <c r="Z607" i="1" s="1"/>
  <c r="Z608" i="1" s="1"/>
  <c r="Z609" i="1" s="1"/>
  <c r="Z610" i="1" s="1"/>
  <c r="Z611" i="1" s="1"/>
  <c r="Z612" i="1" s="1"/>
  <c r="Z613" i="1" s="1"/>
  <c r="Z614" i="1" s="1"/>
  <c r="Z615" i="1" s="1"/>
  <c r="Z616" i="1" s="1"/>
  <c r="Z617" i="1" s="1"/>
  <c r="Z618" i="1" s="1"/>
  <c r="Z619" i="1" s="1"/>
  <c r="Z620" i="1" s="1"/>
  <c r="Z621" i="1" s="1"/>
  <c r="Z622" i="1" s="1"/>
  <c r="Z623" i="1" s="1"/>
  <c r="Z624" i="1" s="1"/>
  <c r="Z625" i="1" s="1"/>
  <c r="Z626" i="1" s="1"/>
  <c r="Z627" i="1" s="1"/>
  <c r="Z628" i="1" s="1"/>
  <c r="Z629" i="1" s="1"/>
  <c r="Z630" i="1" s="1"/>
  <c r="Z631" i="1" s="1"/>
  <c r="Z632" i="1" s="1"/>
  <c r="Z633" i="1" s="1"/>
  <c r="Z634" i="1" s="1"/>
  <c r="Z635" i="1" s="1"/>
  <c r="Z636" i="1" s="1"/>
  <c r="Z637" i="1" s="1"/>
  <c r="Z638" i="1" s="1"/>
  <c r="Z639" i="1" s="1"/>
  <c r="Z640" i="1" s="1"/>
  <c r="Z641" i="1" s="1"/>
  <c r="Z642" i="1" s="1"/>
  <c r="Z643" i="1" s="1"/>
  <c r="Z644" i="1" s="1"/>
  <c r="Z645" i="1" s="1"/>
  <c r="Z646" i="1" s="1"/>
  <c r="Z647" i="1" s="1"/>
  <c r="Z648" i="1" s="1"/>
  <c r="Z649" i="1" s="1"/>
  <c r="Z650" i="1" s="1"/>
  <c r="Z651" i="1" s="1"/>
  <c r="Z652" i="1" s="1"/>
  <c r="Z653" i="1" s="1"/>
  <c r="Z654" i="1" s="1"/>
  <c r="Z655" i="1" s="1"/>
  <c r="Z656" i="1" s="1"/>
  <c r="Z657" i="1" s="1"/>
  <c r="Z658" i="1" s="1"/>
  <c r="Z659" i="1" s="1"/>
  <c r="Z660" i="1" s="1"/>
  <c r="Z661" i="1" s="1"/>
  <c r="Z662" i="1" s="1"/>
  <c r="Z663" i="1" s="1"/>
  <c r="Z664" i="1" s="1"/>
  <c r="Z665" i="1" s="1"/>
  <c r="Z666" i="1" s="1"/>
  <c r="Z667" i="1" s="1"/>
  <c r="Z668" i="1" s="1"/>
  <c r="Z669" i="1" s="1"/>
  <c r="Z670" i="1" s="1"/>
  <c r="Z671" i="1" s="1"/>
  <c r="Z672" i="1" s="1"/>
  <c r="Z673" i="1" s="1"/>
  <c r="Z674" i="1" s="1"/>
  <c r="Z675" i="1" s="1"/>
  <c r="Z676" i="1" s="1"/>
  <c r="Z677" i="1" s="1"/>
  <c r="Z678" i="1" s="1"/>
  <c r="Z679" i="1" s="1"/>
  <c r="Z680" i="1" s="1"/>
  <c r="Z681" i="1" s="1"/>
  <c r="Z682" i="1" s="1"/>
  <c r="Z683" i="1" s="1"/>
  <c r="Z684" i="1" s="1"/>
  <c r="Z685" i="1" s="1"/>
  <c r="Z686" i="1" s="1"/>
  <c r="Z687" i="1" s="1"/>
  <c r="Z688" i="1" s="1"/>
  <c r="Z689" i="1" s="1"/>
  <c r="Z690" i="1" s="1"/>
  <c r="Z691" i="1" s="1"/>
  <c r="Z692" i="1" s="1"/>
  <c r="Z693" i="1" s="1"/>
  <c r="Z694" i="1" s="1"/>
  <c r="Z695" i="1" s="1"/>
  <c r="Z696" i="1" s="1"/>
  <c r="Z697" i="1" s="1"/>
  <c r="Z698" i="1" s="1"/>
  <c r="Z699" i="1" s="1"/>
  <c r="Z700" i="1" s="1"/>
  <c r="Z701" i="1" s="1"/>
  <c r="Z702" i="1" s="1"/>
  <c r="Z703" i="1" s="1"/>
  <c r="Z704" i="1" s="1"/>
  <c r="Z705" i="1" s="1"/>
  <c r="Z706" i="1" s="1"/>
  <c r="Z707" i="1" s="1"/>
  <c r="Z708" i="1" s="1"/>
  <c r="Z709" i="1" s="1"/>
  <c r="Z710" i="1" s="1"/>
  <c r="Z711" i="1" s="1"/>
  <c r="Z712" i="1" s="1"/>
  <c r="Z713" i="1" s="1"/>
  <c r="Z714" i="1" s="1"/>
  <c r="Z715" i="1" s="1"/>
  <c r="Z716" i="1" s="1"/>
  <c r="Z717" i="1" s="1"/>
  <c r="Z718" i="1" s="1"/>
  <c r="Z719" i="1" s="1"/>
  <c r="Z720" i="1" s="1"/>
  <c r="Z721" i="1" s="1"/>
  <c r="Z722" i="1" s="1"/>
  <c r="Z723" i="1" s="1"/>
  <c r="Z724" i="1" s="1"/>
  <c r="Z725" i="1" s="1"/>
  <c r="Z726" i="1" s="1"/>
  <c r="Z727" i="1" s="1"/>
  <c r="Z728" i="1" s="1"/>
  <c r="Z729" i="1" s="1"/>
  <c r="Z730" i="1" s="1"/>
  <c r="Z731" i="1" s="1"/>
  <c r="Z732" i="1" s="1"/>
  <c r="Z733" i="1" s="1"/>
  <c r="Z734" i="1" s="1"/>
  <c r="Z735" i="1" s="1"/>
  <c r="Z736" i="1" s="1"/>
  <c r="Z737" i="1" s="1"/>
  <c r="Z738" i="1" s="1"/>
  <c r="Z739" i="1" s="1"/>
  <c r="Z740" i="1" s="1"/>
  <c r="Z741" i="1" s="1"/>
  <c r="Z742" i="1" s="1"/>
  <c r="Z743" i="1" s="1"/>
  <c r="Z744" i="1" s="1"/>
  <c r="Z745" i="1" s="1"/>
  <c r="Z746" i="1" s="1"/>
  <c r="Z747" i="1" s="1"/>
  <c r="Z748" i="1" s="1"/>
  <c r="Z749" i="1" s="1"/>
  <c r="Z750" i="1" s="1"/>
  <c r="Z751" i="1" s="1"/>
  <c r="Z752" i="1" s="1"/>
  <c r="Z753" i="1" s="1"/>
  <c r="Z754" i="1" s="1"/>
  <c r="Z755" i="1" s="1"/>
  <c r="Z756" i="1" s="1"/>
  <c r="Z757" i="1" s="1"/>
  <c r="Z758" i="1" s="1"/>
  <c r="Z759" i="1" s="1"/>
  <c r="Z760" i="1" s="1"/>
  <c r="Z761" i="1" s="1"/>
  <c r="Z762" i="1" s="1"/>
  <c r="Z763" i="1" s="1"/>
  <c r="Z764" i="1" s="1"/>
  <c r="Z765" i="1" s="1"/>
  <c r="Z766" i="1" s="1"/>
  <c r="Z767" i="1" s="1"/>
  <c r="Z768" i="1" s="1"/>
  <c r="Z769" i="1" s="1"/>
  <c r="Z770" i="1" s="1"/>
  <c r="Z771" i="1" s="1"/>
  <c r="Z772" i="1" s="1"/>
  <c r="Z773" i="1" s="1"/>
  <c r="Z774" i="1" s="1"/>
  <c r="Z775" i="1" s="1"/>
  <c r="Z776" i="1" s="1"/>
  <c r="Z777" i="1" s="1"/>
  <c r="Z778" i="1" s="1"/>
  <c r="Z779" i="1" s="1"/>
  <c r="Z780" i="1" s="1"/>
  <c r="Z781" i="1" s="1"/>
  <c r="Z782" i="1" s="1"/>
  <c r="Z783" i="1" s="1"/>
  <c r="Z784" i="1" s="1"/>
  <c r="Z785" i="1" s="1"/>
  <c r="Z786" i="1" s="1"/>
  <c r="Z787" i="1" s="1"/>
  <c r="Z788" i="1" s="1"/>
  <c r="Z789" i="1" s="1"/>
  <c r="Z790" i="1" s="1"/>
  <c r="Z791" i="1" s="1"/>
  <c r="Z792" i="1" s="1"/>
  <c r="Z793" i="1" s="1"/>
  <c r="Z794" i="1" s="1"/>
  <c r="Z795" i="1" s="1"/>
  <c r="Z796" i="1" s="1"/>
  <c r="Z797" i="1" s="1"/>
  <c r="Z798" i="1" s="1"/>
  <c r="Z799" i="1" s="1"/>
  <c r="Z800" i="1" s="1"/>
  <c r="Z801" i="1" s="1"/>
  <c r="Z802" i="1" s="1"/>
  <c r="Z803" i="1" s="1"/>
  <c r="Z804" i="1" s="1"/>
  <c r="Z805" i="1" s="1"/>
  <c r="Z806" i="1" s="1"/>
  <c r="Z807" i="1" s="1"/>
  <c r="Z808" i="1" s="1"/>
  <c r="Z809" i="1" s="1"/>
  <c r="Z810" i="1" s="1"/>
  <c r="Z811" i="1" s="1"/>
  <c r="Z812" i="1" s="1"/>
  <c r="Z813" i="1" s="1"/>
  <c r="Z814" i="1" s="1"/>
  <c r="Z815" i="1" s="1"/>
  <c r="Z816" i="1" s="1"/>
  <c r="Z817" i="1" s="1"/>
  <c r="Z818" i="1" s="1"/>
  <c r="Z819" i="1" s="1"/>
  <c r="Z820" i="1" s="1"/>
  <c r="Z821" i="1" s="1"/>
  <c r="Z822" i="1" s="1"/>
  <c r="Z823" i="1" s="1"/>
  <c r="Z824" i="1" s="1"/>
  <c r="Z825" i="1" s="1"/>
  <c r="Z826" i="1" s="1"/>
  <c r="Z827" i="1" s="1"/>
  <c r="Z828" i="1" s="1"/>
  <c r="Z829" i="1" s="1"/>
  <c r="Z830" i="1" s="1"/>
  <c r="Z831" i="1" s="1"/>
  <c r="Z832" i="1" s="1"/>
  <c r="Z833" i="1" s="1"/>
  <c r="Z834" i="1" s="1"/>
  <c r="Z835" i="1" s="1"/>
  <c r="Z836" i="1" s="1"/>
  <c r="Z837" i="1" s="1"/>
  <c r="Z838" i="1" s="1"/>
  <c r="Z839" i="1" s="1"/>
  <c r="Z840" i="1" s="1"/>
  <c r="Z841" i="1" s="1"/>
  <c r="Z842" i="1" s="1"/>
  <c r="Z843" i="1" s="1"/>
  <c r="Z844" i="1" s="1"/>
  <c r="Z845" i="1" s="1"/>
  <c r="Z846" i="1" s="1"/>
  <c r="Z847" i="1" s="1"/>
  <c r="Z848" i="1" s="1"/>
  <c r="Z849" i="1" s="1"/>
  <c r="Z850" i="1" s="1"/>
  <c r="Z851" i="1" s="1"/>
  <c r="Z852" i="1" s="1"/>
  <c r="Z853" i="1" s="1"/>
  <c r="Z854" i="1" s="1"/>
  <c r="Z855" i="1" s="1"/>
  <c r="Z856" i="1" s="1"/>
  <c r="Z857" i="1" s="1"/>
  <c r="Z858" i="1" s="1"/>
  <c r="Z859" i="1" s="1"/>
  <c r="Z860" i="1" s="1"/>
  <c r="Z861" i="1" s="1"/>
  <c r="Z862" i="1" s="1"/>
  <c r="Z863" i="1" s="1"/>
  <c r="Z864" i="1" s="1"/>
  <c r="Z865" i="1" s="1"/>
  <c r="Z866" i="1" s="1"/>
  <c r="Z867" i="1" s="1"/>
  <c r="Z868" i="1" s="1"/>
  <c r="Z869" i="1" s="1"/>
  <c r="Z870" i="1" s="1"/>
  <c r="Z871" i="1" s="1"/>
  <c r="Z872" i="1" s="1"/>
  <c r="Z873" i="1" s="1"/>
  <c r="Z874" i="1" s="1"/>
  <c r="Z875" i="1" s="1"/>
  <c r="Z876" i="1" s="1"/>
  <c r="Z877" i="1" s="1"/>
  <c r="Z878" i="1" s="1"/>
  <c r="Z879" i="1" s="1"/>
  <c r="Z880" i="1" s="1"/>
  <c r="Z881" i="1" s="1"/>
  <c r="Z882" i="1" s="1"/>
  <c r="Z883" i="1" s="1"/>
  <c r="Z884" i="1" s="1"/>
  <c r="Z885" i="1" s="1"/>
  <c r="Z886" i="1" s="1"/>
  <c r="Z887" i="1" s="1"/>
  <c r="Z888" i="1" s="1"/>
  <c r="Z889" i="1" s="1"/>
  <c r="Z890" i="1" s="1"/>
  <c r="Z891" i="1" s="1"/>
  <c r="Z892" i="1" s="1"/>
  <c r="Z893" i="1" s="1"/>
  <c r="Z894" i="1" s="1"/>
  <c r="Z895" i="1" s="1"/>
  <c r="Z896" i="1" s="1"/>
  <c r="Z897" i="1" s="1"/>
  <c r="Z898" i="1" s="1"/>
  <c r="Z899" i="1" s="1"/>
  <c r="Z900" i="1" s="1"/>
  <c r="Z901" i="1" s="1"/>
  <c r="Z902" i="1" s="1"/>
  <c r="Z903" i="1" s="1"/>
  <c r="Z904" i="1" s="1"/>
  <c r="Z905" i="1" s="1"/>
  <c r="Z906" i="1" s="1"/>
  <c r="Z907" i="1" s="1"/>
  <c r="Z908" i="1" s="1"/>
  <c r="Z909" i="1" s="1"/>
  <c r="Z910" i="1" s="1"/>
  <c r="Z911" i="1" s="1"/>
  <c r="Z912" i="1" s="1"/>
  <c r="Z913" i="1" s="1"/>
  <c r="Z914" i="1" s="1"/>
  <c r="Z915" i="1" s="1"/>
  <c r="Z916" i="1" s="1"/>
  <c r="Z917" i="1" s="1"/>
  <c r="Z918" i="1" s="1"/>
  <c r="Z919" i="1" s="1"/>
  <c r="Z920" i="1" s="1"/>
  <c r="Z921" i="1" s="1"/>
  <c r="Z922" i="1" s="1"/>
  <c r="Z923" i="1" s="1"/>
  <c r="Z924" i="1" s="1"/>
  <c r="Z925" i="1" s="1"/>
  <c r="Z926" i="1" s="1"/>
  <c r="Z927" i="1" s="1"/>
  <c r="Z928" i="1" s="1"/>
  <c r="Z929" i="1" s="1"/>
  <c r="Z930" i="1" s="1"/>
  <c r="Z931" i="1" s="1"/>
  <c r="Z932" i="1" s="1"/>
  <c r="Z933" i="1" s="1"/>
  <c r="Z934" i="1" s="1"/>
  <c r="Z935" i="1" s="1"/>
  <c r="Z936" i="1" s="1"/>
  <c r="Z937" i="1" s="1"/>
  <c r="Z938" i="1" s="1"/>
  <c r="Z939" i="1" s="1"/>
  <c r="Z940" i="1" s="1"/>
  <c r="Z941" i="1" s="1"/>
  <c r="Z942" i="1" s="1"/>
  <c r="Z943" i="1" s="1"/>
  <c r="Z944" i="1" s="1"/>
  <c r="Z945" i="1" s="1"/>
  <c r="Z946" i="1" s="1"/>
  <c r="Z947" i="1" s="1"/>
  <c r="Z948" i="1" s="1"/>
  <c r="Z949" i="1" s="1"/>
  <c r="Z950" i="1" s="1"/>
  <c r="Z951" i="1" s="1"/>
  <c r="Z952" i="1" s="1"/>
  <c r="Z953" i="1" s="1"/>
  <c r="Z954" i="1" s="1"/>
  <c r="Z955" i="1" s="1"/>
  <c r="Z956" i="1" s="1"/>
  <c r="Z957" i="1" s="1"/>
  <c r="Z958" i="1" s="1"/>
  <c r="Z959" i="1" s="1"/>
  <c r="Z960" i="1" s="1"/>
  <c r="Z961" i="1" s="1"/>
  <c r="Z962" i="1" s="1"/>
  <c r="Z963" i="1" s="1"/>
  <c r="Z964" i="1" s="1"/>
  <c r="Z965" i="1" s="1"/>
  <c r="Z966" i="1" s="1"/>
  <c r="Z967" i="1" s="1"/>
  <c r="Z968" i="1" s="1"/>
  <c r="Z969" i="1" s="1"/>
  <c r="Z970" i="1" s="1"/>
  <c r="Z971" i="1" s="1"/>
  <c r="Z972" i="1" s="1"/>
  <c r="Z973" i="1" s="1"/>
  <c r="Z974" i="1" s="1"/>
  <c r="Z975" i="1" s="1"/>
  <c r="Z976" i="1" s="1"/>
  <c r="Z977" i="1" s="1"/>
  <c r="Z978" i="1" s="1"/>
  <c r="Z979" i="1" s="1"/>
  <c r="Z980" i="1" s="1"/>
  <c r="Z981" i="1" s="1"/>
  <c r="Z982" i="1" s="1"/>
  <c r="Z983" i="1" s="1"/>
  <c r="Z984" i="1" s="1"/>
  <c r="Z985" i="1" s="1"/>
  <c r="Z986" i="1" s="1"/>
  <c r="Z987" i="1" s="1"/>
  <c r="Z988" i="1" s="1"/>
  <c r="Z989" i="1" s="1"/>
  <c r="Z990" i="1" s="1"/>
  <c r="Z991" i="1" s="1"/>
  <c r="Z992" i="1" s="1"/>
  <c r="Z993" i="1" s="1"/>
  <c r="Z994" i="1" s="1"/>
  <c r="Z995" i="1" s="1"/>
  <c r="Z996" i="1" s="1"/>
  <c r="Z997" i="1" s="1"/>
  <c r="Z998" i="1" s="1"/>
  <c r="Z999" i="1" s="1"/>
  <c r="Z1000" i="1" s="1"/>
  <c r="Z1001" i="1" s="1"/>
  <c r="Z1002" i="1" s="1"/>
  <c r="Z1003" i="1" s="1"/>
  <c r="Z1004" i="1" s="1"/>
  <c r="Z1005" i="1" s="1"/>
  <c r="Z1006" i="1" s="1"/>
  <c r="Z1007" i="1" s="1"/>
  <c r="Z1008" i="1" s="1"/>
  <c r="Z1009" i="1" s="1"/>
  <c r="Z1010" i="1" s="1"/>
  <c r="Z1011" i="1" s="1"/>
  <c r="Z1012" i="1" s="1"/>
  <c r="Z1013" i="1" s="1"/>
  <c r="Z1014" i="1" s="1"/>
  <c r="Z1015" i="1" s="1"/>
  <c r="Z1016" i="1" s="1"/>
  <c r="Z1017" i="1" s="1"/>
  <c r="Z1018" i="1" s="1"/>
  <c r="Z1019" i="1" s="1"/>
  <c r="Z1020" i="1" s="1"/>
  <c r="Z1021" i="1" s="1"/>
  <c r="Z1022" i="1" s="1"/>
  <c r="Z1023" i="1" s="1"/>
  <c r="Z1024" i="1" s="1"/>
  <c r="Z1025" i="1" s="1"/>
  <c r="Z1026" i="1" s="1"/>
  <c r="Z1027" i="1" s="1"/>
  <c r="Z1028" i="1" s="1"/>
  <c r="Z1029" i="1" s="1"/>
  <c r="Z1030" i="1" s="1"/>
  <c r="Z1031" i="1" s="1"/>
  <c r="Z1032" i="1" s="1"/>
  <c r="Z1033" i="1" s="1"/>
  <c r="Z1034" i="1" s="1"/>
  <c r="Z1035" i="1" s="1"/>
  <c r="Z1036" i="1" s="1"/>
  <c r="Z1037" i="1" s="1"/>
  <c r="Z1038" i="1" s="1"/>
  <c r="Z1039" i="1" s="1"/>
  <c r="Z1040" i="1" s="1"/>
  <c r="Z1041" i="1" s="1"/>
  <c r="Z1042" i="1" s="1"/>
  <c r="Z1043" i="1" s="1"/>
  <c r="Z1044" i="1" s="1"/>
  <c r="Z1045" i="1" s="1"/>
  <c r="Z1046" i="1" s="1"/>
  <c r="Z1047" i="1" s="1"/>
  <c r="Z1048" i="1" s="1"/>
  <c r="Z1049" i="1" s="1"/>
  <c r="Z1050" i="1" s="1"/>
  <c r="Z1051" i="1" s="1"/>
  <c r="Z1052" i="1" s="1"/>
  <c r="Z1053" i="1" s="1"/>
  <c r="Z1054" i="1" s="1"/>
  <c r="Z1055" i="1" s="1"/>
  <c r="Z1056" i="1" s="1"/>
  <c r="Z1057" i="1" s="1"/>
  <c r="Z1058" i="1" s="1"/>
  <c r="Z1059" i="1" s="1"/>
  <c r="Z1060" i="1" s="1"/>
  <c r="Z1061" i="1" s="1"/>
  <c r="Z1062" i="1" s="1"/>
  <c r="Z1063" i="1" s="1"/>
  <c r="Z1064" i="1" s="1"/>
  <c r="Z1065" i="1" s="1"/>
  <c r="Z1066" i="1" s="1"/>
  <c r="Z1067" i="1" s="1"/>
  <c r="Z1068" i="1" s="1"/>
  <c r="Z1069" i="1" s="1"/>
  <c r="Z1070" i="1" s="1"/>
  <c r="Z1071" i="1" s="1"/>
  <c r="Z1072" i="1" s="1"/>
  <c r="Z1073" i="1" s="1"/>
  <c r="Z1074" i="1" s="1"/>
  <c r="Z1075" i="1" s="1"/>
  <c r="Z1076" i="1" s="1"/>
  <c r="Z1077" i="1" s="1"/>
  <c r="Z1078" i="1" s="1"/>
  <c r="Z1079" i="1" s="1"/>
  <c r="Z1080" i="1" s="1"/>
  <c r="Z1081" i="1" s="1"/>
  <c r="Z1082" i="1" s="1"/>
  <c r="Z1083" i="1" s="1"/>
  <c r="Z1084" i="1" s="1"/>
  <c r="Z1085" i="1" s="1"/>
  <c r="Z1086" i="1" s="1"/>
  <c r="Z1087" i="1" s="1"/>
  <c r="Z1088" i="1" s="1"/>
  <c r="Z1089" i="1" s="1"/>
  <c r="Z1090" i="1" s="1"/>
  <c r="Z1091" i="1" s="1"/>
  <c r="Z1092" i="1" s="1"/>
  <c r="Z1093" i="1" s="1"/>
  <c r="Z1094" i="1" s="1"/>
  <c r="Z1095" i="1" s="1"/>
  <c r="Z1096" i="1" s="1"/>
  <c r="Z1097" i="1" s="1"/>
  <c r="Z1098" i="1" s="1"/>
  <c r="Z1099" i="1" s="1"/>
  <c r="Z1100" i="1" s="1"/>
  <c r="Z1101" i="1" s="1"/>
  <c r="Z1102" i="1" s="1"/>
  <c r="Z1103" i="1" s="1"/>
  <c r="Z1104" i="1" s="1"/>
  <c r="Z1105" i="1" s="1"/>
  <c r="Z1106" i="1" s="1"/>
  <c r="Z1107" i="1" s="1"/>
  <c r="Z1108" i="1" s="1"/>
  <c r="Z1109" i="1" s="1"/>
  <c r="Z1110" i="1" s="1"/>
  <c r="Z1111" i="1" s="1"/>
  <c r="Z1112" i="1" s="1"/>
  <c r="Z1113" i="1" s="1"/>
  <c r="Z1114" i="1" s="1"/>
  <c r="Z1115" i="1" s="1"/>
  <c r="Z1116" i="1" s="1"/>
  <c r="Z1117" i="1" s="1"/>
  <c r="Z1118" i="1" s="1"/>
  <c r="Z1119" i="1" s="1"/>
  <c r="Z1120" i="1" s="1"/>
  <c r="Z1121" i="1" s="1"/>
  <c r="Z1122" i="1" s="1"/>
  <c r="Z1123" i="1" s="1"/>
  <c r="Z1124" i="1" s="1"/>
  <c r="Z1125" i="1" s="1"/>
  <c r="Z1126" i="1" s="1"/>
  <c r="Z1127" i="1" s="1"/>
  <c r="Z1128" i="1" s="1"/>
  <c r="Z1129" i="1" s="1"/>
  <c r="Z1130" i="1" s="1"/>
  <c r="Z1131" i="1" s="1"/>
  <c r="Z1132" i="1" s="1"/>
  <c r="Z1133" i="1" s="1"/>
  <c r="Z1134" i="1" s="1"/>
  <c r="Z1135" i="1" s="1"/>
  <c r="Z1136" i="1" s="1"/>
  <c r="Z1137" i="1" s="1"/>
  <c r="Z1138" i="1" s="1"/>
  <c r="Z1139" i="1" s="1"/>
  <c r="Z1140" i="1" s="1"/>
  <c r="Z1141" i="1" s="1"/>
  <c r="Z1142" i="1" s="1"/>
  <c r="Z1143" i="1" s="1"/>
  <c r="Z1144" i="1" s="1"/>
  <c r="Z1145" i="1" s="1"/>
  <c r="Z1146" i="1" s="1"/>
  <c r="Z1147" i="1" s="1"/>
  <c r="Z1148" i="1" s="1"/>
  <c r="Z1149" i="1" s="1"/>
  <c r="Z1150" i="1" s="1"/>
  <c r="Z1151" i="1" s="1"/>
  <c r="Z1152" i="1" s="1"/>
  <c r="Z1153" i="1" s="1"/>
  <c r="Z1154" i="1" s="1"/>
  <c r="Z1155" i="1" s="1"/>
  <c r="Z1156" i="1" s="1"/>
  <c r="Z1157" i="1" s="1"/>
  <c r="Z1158" i="1" s="1"/>
  <c r="Z1159" i="1" s="1"/>
  <c r="Z1160" i="1" s="1"/>
  <c r="Z1161" i="1" s="1"/>
  <c r="Z1162" i="1" s="1"/>
  <c r="Z1163" i="1" s="1"/>
  <c r="Z1164" i="1" s="1"/>
  <c r="Z1165" i="1" s="1"/>
  <c r="Z1166" i="1" s="1"/>
  <c r="Z1167" i="1" s="1"/>
  <c r="Z1168" i="1" s="1"/>
  <c r="Z1169" i="1" s="1"/>
  <c r="Z1170" i="1" s="1"/>
  <c r="Z1171" i="1" s="1"/>
  <c r="Z1172" i="1" s="1"/>
  <c r="Z1173" i="1" s="1"/>
  <c r="Z1174" i="1" s="1"/>
  <c r="Z1175" i="1" s="1"/>
  <c r="Z1176" i="1" s="1"/>
  <c r="Z1177" i="1" s="1"/>
  <c r="Z1178" i="1" s="1"/>
  <c r="Z1179" i="1" s="1"/>
  <c r="Z1180" i="1" s="1"/>
  <c r="Z1181" i="1" s="1"/>
  <c r="Z1182" i="1" s="1"/>
  <c r="Z1183" i="1" s="1"/>
  <c r="Z1184" i="1" s="1"/>
  <c r="Z1185" i="1" s="1"/>
  <c r="Z1186" i="1" s="1"/>
  <c r="Z1187" i="1" s="1"/>
  <c r="Z1188" i="1" s="1"/>
  <c r="Z1189" i="1" s="1"/>
  <c r="Z1190" i="1" s="1"/>
  <c r="Z1191" i="1" s="1"/>
  <c r="Z1192" i="1" s="1"/>
  <c r="Z1193" i="1" s="1"/>
  <c r="Z1194" i="1" s="1"/>
  <c r="Z1195" i="1" s="1"/>
  <c r="Z1196" i="1" s="1"/>
  <c r="Z1197" i="1" s="1"/>
  <c r="Z1198" i="1" s="1"/>
  <c r="Z1199" i="1" s="1"/>
  <c r="Z1200" i="1" s="1"/>
  <c r="Z1201" i="1" s="1"/>
  <c r="Z1202" i="1" s="1"/>
  <c r="Z1203" i="1" s="1"/>
  <c r="Z1204" i="1" s="1"/>
  <c r="Z1205" i="1" s="1"/>
  <c r="Z1206" i="1" s="1"/>
  <c r="Z1207" i="1" s="1"/>
  <c r="Z1208" i="1" s="1"/>
  <c r="Z1209" i="1" s="1"/>
  <c r="Z1210" i="1" s="1"/>
  <c r="Z1211" i="1" s="1"/>
  <c r="Z1212" i="1" s="1"/>
  <c r="Z1213" i="1" s="1"/>
  <c r="Z1214" i="1" s="1"/>
  <c r="Z1215" i="1" s="1"/>
  <c r="Z1216" i="1" s="1"/>
  <c r="Z1217" i="1" s="1"/>
  <c r="Z1218" i="1" s="1"/>
  <c r="Z1219" i="1" s="1"/>
  <c r="Z1220" i="1" s="1"/>
  <c r="Z1221" i="1" s="1"/>
  <c r="Z1222" i="1" s="1"/>
  <c r="Z1223" i="1" s="1"/>
  <c r="Z1224" i="1" s="1"/>
  <c r="Z1225" i="1" s="1"/>
  <c r="Z1226" i="1" s="1"/>
  <c r="Z1227" i="1" s="1"/>
  <c r="Z1228" i="1" s="1"/>
  <c r="Z1229" i="1" s="1"/>
  <c r="Z1230" i="1" s="1"/>
  <c r="Z1231" i="1" s="1"/>
  <c r="Z1232" i="1" s="1"/>
  <c r="Z1233" i="1" s="1"/>
  <c r="Z1234" i="1" s="1"/>
  <c r="Z1235" i="1" s="1"/>
  <c r="Z1236" i="1" s="1"/>
  <c r="Z1237" i="1" s="1"/>
  <c r="Z1238" i="1" s="1"/>
  <c r="Z1239" i="1" s="1"/>
  <c r="Z1240" i="1" s="1"/>
  <c r="Z1241" i="1" s="1"/>
  <c r="Z1242" i="1" s="1"/>
  <c r="Z1243" i="1" s="1"/>
  <c r="Z1244" i="1" s="1"/>
  <c r="Z1245" i="1" s="1"/>
  <c r="Z1246" i="1" s="1"/>
  <c r="Z1247" i="1" s="1"/>
  <c r="Z1248" i="1" s="1"/>
  <c r="Z1249" i="1" s="1"/>
  <c r="Z1250" i="1" s="1"/>
  <c r="Z1251" i="1" s="1"/>
  <c r="Z1252" i="1" s="1"/>
  <c r="Z1253" i="1" s="1"/>
  <c r="Z1254" i="1" s="1"/>
  <c r="Z1255" i="1" s="1"/>
  <c r="Z1256" i="1" s="1"/>
  <c r="Z1257" i="1" s="1"/>
  <c r="Z1258" i="1" s="1"/>
  <c r="Z1259" i="1" s="1"/>
  <c r="Z1260" i="1" s="1"/>
  <c r="Z1261" i="1" s="1"/>
  <c r="Z1262" i="1" s="1"/>
  <c r="Z1263" i="1" s="1"/>
  <c r="Z1264" i="1" s="1"/>
  <c r="Z1265" i="1" s="1"/>
  <c r="Z1266" i="1" s="1"/>
  <c r="Z1267" i="1" s="1"/>
  <c r="Z1268" i="1" s="1"/>
  <c r="Z1269" i="1" s="1"/>
  <c r="Z1270" i="1" s="1"/>
  <c r="Z1271" i="1" s="1"/>
  <c r="Z1272" i="1" s="1"/>
  <c r="Z1273" i="1" s="1"/>
  <c r="Z1274" i="1" s="1"/>
  <c r="Z1275" i="1" s="1"/>
  <c r="Z1276" i="1" s="1"/>
  <c r="Z1277" i="1" s="1"/>
  <c r="Z1278" i="1" s="1"/>
  <c r="Z1279" i="1" s="1"/>
  <c r="Z1280" i="1" s="1"/>
  <c r="Z1281" i="1" s="1"/>
  <c r="Z1282" i="1" s="1"/>
  <c r="Z1283" i="1" s="1"/>
  <c r="Z1284" i="1" s="1"/>
  <c r="Z1285" i="1" s="1"/>
  <c r="Z1286" i="1" s="1"/>
  <c r="Z1287" i="1" s="1"/>
  <c r="Z1288" i="1" s="1"/>
  <c r="Z1289" i="1" s="1"/>
  <c r="Z1290" i="1" s="1"/>
  <c r="Z1291" i="1" s="1"/>
  <c r="Z1292" i="1" s="1"/>
  <c r="Z1293" i="1" s="1"/>
  <c r="Z1294" i="1" s="1"/>
  <c r="Z1295" i="1" s="1"/>
  <c r="Z1296" i="1" s="1"/>
  <c r="Z1297" i="1" s="1"/>
  <c r="Z1298" i="1" s="1"/>
  <c r="Z1299" i="1" s="1"/>
  <c r="Z1300" i="1" s="1"/>
  <c r="Z1301" i="1" s="1"/>
  <c r="Z1302" i="1" s="1"/>
  <c r="Z1303" i="1" s="1"/>
  <c r="Z1304" i="1" s="1"/>
  <c r="Z1305" i="1" s="1"/>
  <c r="Z1306" i="1" s="1"/>
  <c r="Z1307" i="1" s="1"/>
  <c r="Z1308" i="1" s="1"/>
  <c r="Z1309" i="1" s="1"/>
  <c r="Z1310" i="1" s="1"/>
  <c r="Z1311" i="1" s="1"/>
  <c r="Z1312" i="1" s="1"/>
  <c r="Z1313" i="1" s="1"/>
  <c r="Z1314" i="1" s="1"/>
  <c r="Z1315" i="1" s="1"/>
  <c r="Z1316" i="1" s="1"/>
  <c r="Z1317" i="1" s="1"/>
  <c r="Z1318" i="1" s="1"/>
  <c r="Z1319" i="1" s="1"/>
  <c r="Z1320" i="1" s="1"/>
  <c r="Z1321" i="1" s="1"/>
  <c r="Z1322" i="1" s="1"/>
  <c r="Z1323" i="1" s="1"/>
  <c r="Z1324" i="1" s="1"/>
  <c r="Z1325" i="1" s="1"/>
  <c r="Z1326" i="1" s="1"/>
  <c r="Z1327" i="1" s="1"/>
  <c r="Z1328" i="1" s="1"/>
  <c r="Z1329" i="1" s="1"/>
  <c r="Z1330" i="1" s="1"/>
  <c r="Z1331" i="1" s="1"/>
  <c r="Z1332" i="1" s="1"/>
  <c r="Z1333" i="1" s="1"/>
  <c r="Z1334" i="1" s="1"/>
  <c r="Z1335" i="1" s="1"/>
  <c r="Z1336" i="1" s="1"/>
  <c r="Z1337" i="1" s="1"/>
  <c r="Z1338" i="1" s="1"/>
  <c r="Z1339" i="1" s="1"/>
  <c r="Z1340" i="1" s="1"/>
  <c r="Z1341" i="1" s="1"/>
  <c r="Z1342" i="1" s="1"/>
  <c r="Z1343" i="1" s="1"/>
  <c r="Z1344" i="1" s="1"/>
  <c r="Z1345" i="1" s="1"/>
  <c r="Z1346" i="1" s="1"/>
  <c r="Z1347" i="1" s="1"/>
  <c r="Z1348" i="1" s="1"/>
  <c r="Z1349" i="1" s="1"/>
  <c r="Z1350" i="1" s="1"/>
  <c r="Z1351" i="1" s="1"/>
  <c r="Z1352" i="1" s="1"/>
  <c r="Z1353" i="1" s="1"/>
  <c r="Z1354" i="1" s="1"/>
  <c r="Z1355" i="1" s="1"/>
  <c r="Z1356" i="1" s="1"/>
  <c r="Z1357" i="1" s="1"/>
  <c r="Z1358" i="1" s="1"/>
  <c r="Z1359" i="1" s="1"/>
  <c r="Z1360" i="1" s="1"/>
  <c r="Z1361" i="1" s="1"/>
  <c r="Z1362" i="1" s="1"/>
  <c r="Z1363" i="1" s="1"/>
  <c r="Z1364" i="1" s="1"/>
  <c r="Z1365" i="1" s="1"/>
  <c r="Z1366" i="1" s="1"/>
  <c r="Z1367" i="1" s="1"/>
  <c r="Z1368" i="1" s="1"/>
  <c r="Z1369" i="1" s="1"/>
  <c r="Z1370" i="1" s="1"/>
  <c r="Z1371" i="1" s="1"/>
  <c r="Z1372" i="1" s="1"/>
  <c r="Z1373" i="1" s="1"/>
  <c r="Z1374" i="1" s="1"/>
  <c r="Z1375" i="1" s="1"/>
  <c r="Z1376" i="1" s="1"/>
  <c r="Z1377" i="1" s="1"/>
  <c r="Z1378" i="1" s="1"/>
  <c r="Z1379" i="1" s="1"/>
  <c r="Z1380" i="1" s="1"/>
  <c r="Z1381" i="1" s="1"/>
  <c r="Z1382" i="1" s="1"/>
  <c r="Z1383" i="1" s="1"/>
  <c r="Z1384" i="1" s="1"/>
  <c r="Z1385" i="1" s="1"/>
  <c r="Z1386" i="1" s="1"/>
  <c r="Z1387" i="1" s="1"/>
  <c r="Z1388" i="1" s="1"/>
  <c r="Z1389" i="1" s="1"/>
  <c r="Z1390" i="1" s="1"/>
  <c r="Z1391" i="1" s="1"/>
  <c r="Z1392" i="1" s="1"/>
  <c r="Z1393" i="1" s="1"/>
  <c r="Z1394" i="1" s="1"/>
  <c r="Z1395" i="1" s="1"/>
  <c r="Z1396" i="1" s="1"/>
  <c r="Z1397" i="1" s="1"/>
  <c r="Z1398" i="1" s="1"/>
  <c r="Z1399" i="1" s="1"/>
  <c r="Z1400" i="1" s="1"/>
  <c r="Z1401" i="1" s="1"/>
  <c r="Z1402" i="1" s="1"/>
  <c r="Z1403" i="1" s="1"/>
  <c r="Z1404" i="1" s="1"/>
  <c r="Z1405" i="1" s="1"/>
  <c r="Z1406" i="1" s="1"/>
  <c r="Z1407" i="1" s="1"/>
  <c r="Z1408" i="1" s="1"/>
  <c r="Z1409" i="1" s="1"/>
  <c r="Z1410" i="1" s="1"/>
  <c r="Z1411" i="1" s="1"/>
  <c r="Z1412" i="1" s="1"/>
  <c r="Z1413" i="1" s="1"/>
  <c r="Z1414" i="1" s="1"/>
  <c r="Z1415" i="1" s="1"/>
  <c r="Z1416" i="1" s="1"/>
  <c r="Z1417" i="1" s="1"/>
  <c r="Z1418" i="1" s="1"/>
  <c r="Z1419" i="1" s="1"/>
  <c r="Z1420" i="1" s="1"/>
  <c r="Z1421" i="1" s="1"/>
  <c r="Z1422" i="1" s="1"/>
  <c r="Z1423" i="1" s="1"/>
  <c r="Z1424" i="1" s="1"/>
  <c r="Z1425" i="1" s="1"/>
  <c r="Z1426" i="1" s="1"/>
  <c r="Z1427" i="1" s="1"/>
  <c r="Z1428" i="1" s="1"/>
  <c r="Z1429" i="1" s="1"/>
  <c r="Z1430" i="1" s="1"/>
  <c r="Z1431" i="1" s="1"/>
  <c r="Z1432" i="1" s="1"/>
  <c r="Z1433" i="1" s="1"/>
  <c r="Z1434" i="1" s="1"/>
  <c r="Z1435" i="1" s="1"/>
  <c r="Z1436" i="1" s="1"/>
  <c r="Z1437" i="1" s="1"/>
  <c r="Z1438" i="1" s="1"/>
  <c r="Z1439" i="1" s="1"/>
  <c r="Z1440" i="1" s="1"/>
  <c r="Z1441" i="1" s="1"/>
  <c r="Z1442" i="1" s="1"/>
  <c r="Z1443" i="1" s="1"/>
  <c r="Z1444" i="1" s="1"/>
  <c r="Z1445" i="1" s="1"/>
  <c r="Z1446" i="1" s="1"/>
  <c r="Z1447" i="1" s="1"/>
  <c r="Z1448" i="1" s="1"/>
  <c r="Z1449" i="1" s="1"/>
  <c r="Z1450" i="1" s="1"/>
  <c r="Z1451" i="1" s="1"/>
  <c r="Z1452" i="1" s="1"/>
  <c r="Z1453" i="1" s="1"/>
  <c r="Z1454" i="1" s="1"/>
  <c r="Z1455" i="1" s="1"/>
  <c r="Z1456" i="1" s="1"/>
  <c r="Z1457" i="1" s="1"/>
  <c r="Z1458" i="1" s="1"/>
  <c r="Z1459" i="1" s="1"/>
  <c r="Z1460" i="1" s="1"/>
  <c r="Z1461" i="1" s="1"/>
  <c r="Z1462" i="1" s="1"/>
  <c r="Z1463" i="1" s="1"/>
  <c r="Z1464" i="1" s="1"/>
  <c r="Z1465" i="1" s="1"/>
  <c r="Z1466" i="1" s="1"/>
  <c r="Z1467" i="1" s="1"/>
  <c r="Z1468" i="1" s="1"/>
  <c r="Z1469" i="1" s="1"/>
  <c r="Z1470" i="1" s="1"/>
  <c r="Z1471" i="1" s="1"/>
  <c r="Z1472" i="1" s="1"/>
  <c r="Z1473" i="1" s="1"/>
  <c r="Z1474" i="1" s="1"/>
  <c r="Z1475" i="1" s="1"/>
  <c r="Z1476" i="1" s="1"/>
  <c r="Z1477" i="1" s="1"/>
  <c r="Z1478" i="1" s="1"/>
  <c r="Z1479" i="1" s="1"/>
  <c r="Z1480" i="1" s="1"/>
  <c r="Z1481" i="1" s="1"/>
  <c r="Z1482" i="1" s="1"/>
  <c r="Z1483" i="1" s="1"/>
  <c r="Z1484" i="1" s="1"/>
  <c r="Z1485" i="1" s="1"/>
  <c r="Z1486" i="1" s="1"/>
  <c r="Z1487" i="1" s="1"/>
  <c r="Z1488" i="1" s="1"/>
  <c r="Z1489" i="1" s="1"/>
  <c r="Z1490" i="1" s="1"/>
  <c r="Z1491" i="1" s="1"/>
  <c r="Z1492" i="1" s="1"/>
  <c r="Z1493" i="1" s="1"/>
  <c r="Z1494" i="1" s="1"/>
  <c r="Z1495" i="1" s="1"/>
  <c r="Z1496" i="1" s="1"/>
  <c r="Z1497" i="1" s="1"/>
  <c r="Z1498" i="1" s="1"/>
  <c r="Z1499" i="1" s="1"/>
  <c r="Z1500" i="1" s="1"/>
  <c r="Z1501" i="1" s="1"/>
  <c r="Z1502" i="1" s="1"/>
  <c r="Z1503" i="1" s="1"/>
  <c r="Z1504" i="1" s="1"/>
  <c r="Z1505" i="1" s="1"/>
  <c r="Z1506" i="1" s="1"/>
  <c r="Z1507" i="1" s="1"/>
  <c r="Z1508" i="1" s="1"/>
  <c r="Z1509" i="1" s="1"/>
  <c r="Z1510" i="1" s="1"/>
  <c r="Z1511" i="1" s="1"/>
  <c r="Z1512" i="1" s="1"/>
  <c r="Z1513" i="1" s="1"/>
  <c r="Z1514" i="1" s="1"/>
  <c r="Z1515" i="1" s="1"/>
  <c r="Z1516" i="1" s="1"/>
  <c r="Z1517" i="1" s="1"/>
  <c r="Z1518" i="1" s="1"/>
  <c r="Z1519" i="1" s="1"/>
  <c r="Z1520" i="1" s="1"/>
  <c r="Z1521" i="1" s="1"/>
  <c r="Z1522" i="1" s="1"/>
  <c r="Z1523" i="1" s="1"/>
  <c r="Z1524" i="1" s="1"/>
  <c r="Z1525" i="1" s="1"/>
  <c r="Z1526" i="1" s="1"/>
  <c r="Z1527" i="1" s="1"/>
  <c r="Z1528" i="1" s="1"/>
  <c r="Z1529" i="1" s="1"/>
  <c r="Z1530" i="1" s="1"/>
  <c r="Z1531" i="1" s="1"/>
  <c r="Z1532" i="1" s="1"/>
  <c r="Z1533" i="1" s="1"/>
  <c r="Z1534" i="1" s="1"/>
  <c r="Z1535" i="1" s="1"/>
  <c r="Z1536" i="1" s="1"/>
  <c r="Z1537" i="1" s="1"/>
  <c r="Z1538" i="1" s="1"/>
  <c r="Z1539" i="1" s="1"/>
  <c r="Z1540" i="1" s="1"/>
  <c r="Z1541" i="1" s="1"/>
  <c r="Z1542" i="1" s="1"/>
  <c r="Z1543" i="1" s="1"/>
  <c r="Z1544" i="1" s="1"/>
  <c r="Z1545" i="1" s="1"/>
  <c r="Z1546" i="1" s="1"/>
  <c r="Z1547" i="1" s="1"/>
  <c r="Z1548" i="1" s="1"/>
  <c r="Z1549" i="1" s="1"/>
  <c r="Z1550" i="1" s="1"/>
  <c r="Z1551" i="1" s="1"/>
  <c r="Z1552" i="1" s="1"/>
  <c r="Z1553" i="1" s="1"/>
  <c r="Z1554" i="1" s="1"/>
  <c r="Z1555" i="1" s="1"/>
  <c r="Z1556" i="1" s="1"/>
  <c r="Z1557" i="1" s="1"/>
  <c r="Z1558" i="1" s="1"/>
  <c r="Z1559" i="1" s="1"/>
  <c r="Z1560" i="1" s="1"/>
  <c r="Z1561" i="1" s="1"/>
  <c r="Z1562" i="1" s="1"/>
  <c r="Z1563" i="1" s="1"/>
  <c r="Z1564" i="1" s="1"/>
  <c r="Z1565" i="1" s="1"/>
  <c r="Z1566" i="1" s="1"/>
  <c r="Z1567" i="1" s="1"/>
  <c r="Z1568" i="1" s="1"/>
  <c r="Z1569" i="1" s="1"/>
  <c r="Z1570" i="1" s="1"/>
  <c r="Z1571" i="1" s="1"/>
  <c r="Z1572" i="1" s="1"/>
  <c r="Z1573" i="1" s="1"/>
  <c r="Z1574" i="1" s="1"/>
  <c r="Z1575" i="1" s="1"/>
  <c r="Z1576" i="1" s="1"/>
  <c r="Z1577" i="1" s="1"/>
  <c r="Z1578" i="1" s="1"/>
  <c r="Z1579" i="1" s="1"/>
  <c r="Z1580" i="1" s="1"/>
  <c r="Z1581" i="1" s="1"/>
  <c r="Z1582" i="1" s="1"/>
  <c r="Z1583" i="1" s="1"/>
  <c r="Z1584" i="1" s="1"/>
  <c r="Z1585" i="1" s="1"/>
  <c r="Z1586" i="1" s="1"/>
  <c r="Z1587" i="1" s="1"/>
  <c r="Z1588" i="1" s="1"/>
  <c r="Z1589" i="1" s="1"/>
  <c r="Z1590" i="1" s="1"/>
  <c r="Z1591" i="1" s="1"/>
  <c r="Z1592" i="1" s="1"/>
  <c r="Z1593" i="1" s="1"/>
  <c r="Z1594" i="1" s="1"/>
  <c r="Z1595" i="1" s="1"/>
  <c r="Z1596" i="1" s="1"/>
  <c r="Z1597" i="1" s="1"/>
  <c r="Z1598" i="1" s="1"/>
  <c r="Z1599" i="1" s="1"/>
  <c r="Z1600" i="1" s="1"/>
  <c r="Z1601" i="1" s="1"/>
  <c r="Z1602" i="1" s="1"/>
  <c r="Z1603" i="1" s="1"/>
  <c r="Z1604" i="1" s="1"/>
  <c r="Z1605" i="1" s="1"/>
  <c r="Z1606" i="1" s="1"/>
  <c r="Z1607" i="1" s="1"/>
  <c r="Z1608" i="1" s="1"/>
  <c r="Z1609" i="1" s="1"/>
  <c r="Z1610" i="1" s="1"/>
  <c r="Z1611" i="1" s="1"/>
  <c r="Z1612" i="1" s="1"/>
  <c r="Z1613" i="1" s="1"/>
  <c r="Z1614" i="1" s="1"/>
  <c r="Z1615" i="1" s="1"/>
  <c r="Z1616" i="1" s="1"/>
  <c r="Z1617" i="1" s="1"/>
  <c r="Z1618" i="1" s="1"/>
  <c r="Z1619" i="1" s="1"/>
  <c r="Z1620" i="1" s="1"/>
  <c r="Z1621" i="1" s="1"/>
  <c r="Z1622" i="1" s="1"/>
  <c r="Z1623" i="1" s="1"/>
  <c r="Z1624" i="1" s="1"/>
  <c r="Z1625" i="1" s="1"/>
  <c r="Z1626" i="1" s="1"/>
  <c r="Z1627" i="1" s="1"/>
  <c r="Z1628" i="1" s="1"/>
  <c r="Z1629" i="1" s="1"/>
  <c r="Z1630" i="1" s="1"/>
  <c r="Z1631" i="1" s="1"/>
  <c r="Z1632" i="1" s="1"/>
  <c r="Z1633" i="1" s="1"/>
  <c r="Z1634" i="1" s="1"/>
  <c r="Z1635" i="1" s="1"/>
  <c r="Z1636" i="1" s="1"/>
  <c r="Z1637" i="1" s="1"/>
  <c r="Z1638" i="1" s="1"/>
  <c r="Z1639" i="1" s="1"/>
  <c r="Z1640" i="1" s="1"/>
  <c r="Z1641" i="1" s="1"/>
  <c r="Z1642" i="1" s="1"/>
  <c r="Z1643" i="1" s="1"/>
  <c r="Z1644" i="1" s="1"/>
  <c r="Z1645" i="1" s="1"/>
  <c r="Z1646" i="1" s="1"/>
  <c r="Z1647" i="1" s="1"/>
  <c r="Z1648" i="1" s="1"/>
  <c r="Z1649" i="1" s="1"/>
  <c r="Z1650" i="1" s="1"/>
  <c r="Z1651" i="1" s="1"/>
  <c r="Z1652" i="1" s="1"/>
  <c r="Z1653" i="1" s="1"/>
  <c r="Z1654" i="1" s="1"/>
  <c r="Z1655" i="1" s="1"/>
  <c r="Z1656" i="1" s="1"/>
  <c r="Z1657" i="1" s="1"/>
  <c r="Z1658" i="1" s="1"/>
  <c r="Z1659" i="1" s="1"/>
  <c r="Z1660" i="1" s="1"/>
  <c r="Z1661" i="1" s="1"/>
  <c r="Z1662" i="1" s="1"/>
  <c r="Z1663" i="1" s="1"/>
  <c r="Z1664" i="1" s="1"/>
  <c r="Z1665" i="1" s="1"/>
  <c r="Z1666" i="1" s="1"/>
  <c r="Z1667" i="1" s="1"/>
  <c r="Z1668" i="1" s="1"/>
  <c r="Z1669" i="1" s="1"/>
  <c r="Z1670" i="1" s="1"/>
  <c r="Z1671" i="1" s="1"/>
  <c r="Z1672" i="1" s="1"/>
  <c r="Z1673" i="1" s="1"/>
  <c r="Z1674" i="1" s="1"/>
  <c r="Z1675" i="1" s="1"/>
  <c r="Z1676" i="1" s="1"/>
  <c r="Z1677" i="1" s="1"/>
  <c r="Z1678" i="1" s="1"/>
  <c r="Z1679" i="1" s="1"/>
  <c r="Z1680" i="1" s="1"/>
  <c r="Z1681" i="1" s="1"/>
  <c r="Z1682" i="1" s="1"/>
  <c r="Z1683" i="1" s="1"/>
  <c r="Z1684" i="1" s="1"/>
  <c r="Z1685" i="1" s="1"/>
  <c r="Z1686" i="1" s="1"/>
  <c r="Z1687" i="1" s="1"/>
  <c r="Z1688" i="1" s="1"/>
  <c r="Z1689" i="1" s="1"/>
  <c r="Z1690" i="1" s="1"/>
  <c r="Z1691" i="1" s="1"/>
  <c r="Z1692" i="1" s="1"/>
  <c r="Z1693" i="1" s="1"/>
  <c r="Z1694" i="1" s="1"/>
  <c r="Z1695" i="1" s="1"/>
  <c r="Z1696" i="1" s="1"/>
  <c r="Z1697" i="1" s="1"/>
  <c r="Z1698" i="1" s="1"/>
  <c r="Z1699" i="1" s="1"/>
  <c r="Z1700" i="1" s="1"/>
  <c r="Z1701" i="1" s="1"/>
  <c r="Z1702" i="1" s="1"/>
  <c r="Z1703" i="1" s="1"/>
  <c r="Z1704" i="1" s="1"/>
  <c r="Z1705" i="1" s="1"/>
  <c r="Z1706" i="1" s="1"/>
  <c r="Z1707" i="1" s="1"/>
  <c r="Z1708" i="1" s="1"/>
  <c r="Z1709" i="1" s="1"/>
  <c r="Z1710" i="1" s="1"/>
  <c r="Z1711" i="1" s="1"/>
  <c r="Z1712" i="1" s="1"/>
  <c r="Z1713" i="1" s="1"/>
  <c r="Z1714" i="1" s="1"/>
  <c r="Z1715" i="1" s="1"/>
  <c r="Z1716" i="1" s="1"/>
  <c r="Z1717" i="1" s="1"/>
  <c r="Z1718" i="1" s="1"/>
  <c r="Z1719" i="1" s="1"/>
  <c r="Z1720" i="1" s="1"/>
  <c r="Z1721" i="1" s="1"/>
  <c r="Z1722" i="1" s="1"/>
  <c r="Z1723" i="1" s="1"/>
  <c r="Z1724" i="1" s="1"/>
  <c r="Z1725" i="1" s="1"/>
  <c r="Z1726" i="1" s="1"/>
  <c r="Z1727" i="1" s="1"/>
  <c r="Z1728" i="1" s="1"/>
  <c r="Z1729" i="1" s="1"/>
  <c r="Z1730" i="1" s="1"/>
  <c r="Z1731" i="1" s="1"/>
  <c r="Z1732" i="1" s="1"/>
  <c r="Z1733" i="1" s="1"/>
  <c r="Z1734" i="1" s="1"/>
  <c r="Z1735" i="1" s="1"/>
  <c r="Z1736" i="1" s="1"/>
  <c r="Z1737" i="1" s="1"/>
  <c r="Z1738" i="1" s="1"/>
  <c r="Z1739" i="1" s="1"/>
  <c r="Z1740" i="1" s="1"/>
  <c r="Z1741" i="1" s="1"/>
  <c r="Z1742" i="1" s="1"/>
  <c r="Z1743" i="1" s="1"/>
  <c r="Z1744" i="1" s="1"/>
  <c r="Z1745" i="1" s="1"/>
  <c r="Z1746" i="1" s="1"/>
  <c r="Z1747" i="1" s="1"/>
  <c r="Z1748" i="1" s="1"/>
  <c r="Z1749" i="1" s="1"/>
  <c r="Z1750" i="1" s="1"/>
  <c r="Z1751" i="1" s="1"/>
  <c r="Z1752" i="1" s="1"/>
  <c r="Z1753" i="1" s="1"/>
  <c r="Z1754" i="1" s="1"/>
  <c r="Z1755" i="1" s="1"/>
  <c r="Z1756" i="1" s="1"/>
  <c r="Z1757" i="1" s="1"/>
  <c r="Z1758" i="1" s="1"/>
  <c r="Z1759" i="1" s="1"/>
  <c r="Z1760" i="1" s="1"/>
  <c r="Z1761" i="1" s="1"/>
  <c r="Z1762" i="1" s="1"/>
  <c r="Z1763" i="1" s="1"/>
  <c r="Z1764" i="1" s="1"/>
  <c r="Z1765" i="1" s="1"/>
  <c r="Z1766" i="1" s="1"/>
  <c r="Z1767" i="1" s="1"/>
  <c r="Z1768" i="1" s="1"/>
  <c r="Z1769" i="1" s="1"/>
  <c r="Z1770" i="1" s="1"/>
  <c r="Z1771" i="1" s="1"/>
  <c r="Z1772" i="1" s="1"/>
  <c r="Z1773" i="1" s="1"/>
  <c r="Z1774" i="1" s="1"/>
  <c r="Z1775" i="1" s="1"/>
  <c r="Z1776" i="1" s="1"/>
  <c r="Z1777" i="1" s="1"/>
  <c r="Z1778" i="1" s="1"/>
  <c r="Z1779" i="1" s="1"/>
  <c r="Z1780" i="1" s="1"/>
  <c r="Z1781" i="1" s="1"/>
  <c r="Z1782" i="1" s="1"/>
  <c r="Z1783" i="1" s="1"/>
  <c r="Z1784" i="1" s="1"/>
  <c r="Z1785" i="1" s="1"/>
  <c r="Z1786" i="1" s="1"/>
  <c r="Z1787" i="1" s="1"/>
  <c r="Z1788" i="1" s="1"/>
  <c r="Z1789" i="1" s="1"/>
  <c r="Z1790" i="1" s="1"/>
  <c r="Z1791" i="1" s="1"/>
  <c r="Z1792" i="1" s="1"/>
  <c r="Z1793" i="1" s="1"/>
  <c r="Z1794" i="1" s="1"/>
  <c r="Z1795" i="1" s="1"/>
  <c r="Z1796" i="1" s="1"/>
  <c r="Z1797" i="1" s="1"/>
  <c r="Z1798" i="1" s="1"/>
  <c r="Z1799" i="1" s="1"/>
  <c r="Z1800" i="1" s="1"/>
  <c r="Z1801" i="1" s="1"/>
  <c r="Z1802" i="1" s="1"/>
  <c r="Z1803" i="1" s="1"/>
  <c r="Z1804" i="1" s="1"/>
  <c r="Z1805" i="1" s="1"/>
  <c r="Z1806" i="1" s="1"/>
  <c r="Z1807" i="1" s="1"/>
  <c r="Z1808" i="1" s="1"/>
  <c r="Z1809" i="1" s="1"/>
  <c r="Z1810" i="1" s="1"/>
  <c r="Z1811" i="1" s="1"/>
  <c r="Z1812" i="1" s="1"/>
  <c r="Z1813" i="1" s="1"/>
  <c r="Z1814" i="1" s="1"/>
  <c r="Z1815" i="1" s="1"/>
  <c r="Z1816" i="1" s="1"/>
  <c r="Z1817" i="1" s="1"/>
  <c r="Z1818" i="1" s="1"/>
  <c r="Z1819" i="1" s="1"/>
  <c r="Z1820" i="1" s="1"/>
  <c r="Z1821" i="1" s="1"/>
  <c r="Z1822" i="1" s="1"/>
  <c r="Z1823" i="1" s="1"/>
  <c r="Z1824" i="1" s="1"/>
  <c r="Z1825" i="1" s="1"/>
  <c r="Z1826" i="1" s="1"/>
  <c r="Z1827" i="1" s="1"/>
  <c r="Z1828" i="1" s="1"/>
  <c r="Z1829" i="1" s="1"/>
  <c r="Z1830" i="1" s="1"/>
  <c r="Z1831" i="1" s="1"/>
  <c r="Z1832" i="1" s="1"/>
  <c r="Z1833" i="1" s="1"/>
  <c r="Z1834" i="1" s="1"/>
  <c r="Z1835" i="1" s="1"/>
  <c r="Z1836" i="1" s="1"/>
  <c r="Z1837" i="1" s="1"/>
  <c r="Z1838" i="1" s="1"/>
  <c r="Z1839" i="1" s="1"/>
  <c r="Z1840" i="1" s="1"/>
  <c r="Z1841" i="1" s="1"/>
  <c r="Z1842" i="1" s="1"/>
  <c r="Z1843" i="1" s="1"/>
  <c r="Z1844" i="1" s="1"/>
  <c r="Z1845" i="1" s="1"/>
  <c r="Z1846" i="1" s="1"/>
  <c r="Z1847" i="1" s="1"/>
  <c r="Z1848" i="1" s="1"/>
  <c r="Z1849" i="1" s="1"/>
  <c r="Z1850" i="1" s="1"/>
  <c r="Z1851" i="1" s="1"/>
  <c r="Z1852" i="1" s="1"/>
  <c r="Z1853" i="1" s="1"/>
  <c r="Z1854" i="1" s="1"/>
  <c r="Z1855" i="1" s="1"/>
  <c r="Z1856" i="1" s="1"/>
  <c r="Z1857" i="1" s="1"/>
  <c r="Z1858" i="1" s="1"/>
  <c r="Z1859" i="1" s="1"/>
  <c r="Z1860" i="1" s="1"/>
  <c r="Z1861" i="1" s="1"/>
  <c r="Z1862" i="1" s="1"/>
  <c r="Z1863" i="1" s="1"/>
  <c r="Z1864" i="1" s="1"/>
  <c r="Z1865" i="1" s="1"/>
  <c r="Z1866" i="1" s="1"/>
  <c r="Z1867" i="1" s="1"/>
  <c r="Z1868" i="1" s="1"/>
  <c r="Z1869" i="1" s="1"/>
  <c r="Z1870" i="1" s="1"/>
  <c r="Z1871" i="1" s="1"/>
  <c r="Z1872" i="1" s="1"/>
  <c r="Z1873" i="1" s="1"/>
  <c r="Z1874" i="1" s="1"/>
  <c r="Z1875" i="1" s="1"/>
  <c r="Z1876" i="1" s="1"/>
  <c r="Z1877" i="1" s="1"/>
  <c r="Z1878" i="1" s="1"/>
  <c r="Z1879" i="1" s="1"/>
  <c r="Z1880" i="1" s="1"/>
  <c r="Z1881" i="1" s="1"/>
  <c r="Z1882" i="1" s="1"/>
  <c r="Z1883" i="1" s="1"/>
  <c r="Z1884" i="1" s="1"/>
  <c r="Z1885" i="1" s="1"/>
  <c r="Z1886" i="1" s="1"/>
  <c r="Z1887" i="1" s="1"/>
  <c r="Z1888" i="1" s="1"/>
  <c r="Z1889" i="1" s="1"/>
  <c r="Z1890" i="1" s="1"/>
  <c r="Z1891" i="1" s="1"/>
  <c r="Z1892" i="1" s="1"/>
  <c r="Z1893" i="1" s="1"/>
  <c r="Z1894" i="1" s="1"/>
  <c r="Z1895" i="1" s="1"/>
  <c r="Z1896" i="1" s="1"/>
  <c r="Z1897" i="1" s="1"/>
  <c r="Z1898" i="1" s="1"/>
  <c r="Z1899" i="1" s="1"/>
  <c r="Z1900" i="1" s="1"/>
  <c r="Z1901" i="1" s="1"/>
  <c r="Z1902" i="1" s="1"/>
  <c r="Z1903" i="1" s="1"/>
  <c r="Z1904" i="1" s="1"/>
  <c r="Z1905" i="1" s="1"/>
  <c r="Z1906" i="1" s="1"/>
  <c r="Z1907" i="1" s="1"/>
  <c r="Z1908" i="1" s="1"/>
  <c r="Z1909" i="1" s="1"/>
  <c r="Z1910" i="1" s="1"/>
  <c r="Z1911" i="1" s="1"/>
  <c r="Z1912" i="1" s="1"/>
  <c r="Z1913" i="1" s="1"/>
  <c r="Z1914" i="1" s="1"/>
  <c r="Z1915" i="1" s="1"/>
  <c r="Z1916" i="1" s="1"/>
  <c r="Z1917" i="1" s="1"/>
  <c r="Z1918" i="1" s="1"/>
  <c r="Z1919" i="1" s="1"/>
  <c r="Z1920" i="1" s="1"/>
  <c r="Z1921" i="1" s="1"/>
  <c r="Z1922" i="1" s="1"/>
  <c r="Z1923" i="1" s="1"/>
  <c r="Z1924" i="1" s="1"/>
  <c r="Z1925" i="1" s="1"/>
  <c r="Z1926" i="1" s="1"/>
  <c r="Z1927" i="1" s="1"/>
  <c r="Z1928" i="1" s="1"/>
  <c r="Z1929" i="1" s="1"/>
  <c r="Z1930" i="1" s="1"/>
  <c r="Z1931" i="1" s="1"/>
  <c r="Z1932" i="1" s="1"/>
  <c r="Z1933" i="1" s="1"/>
  <c r="Z1934" i="1" s="1"/>
  <c r="Z1935" i="1" s="1"/>
  <c r="Z1936" i="1" s="1"/>
  <c r="Z1937" i="1" s="1"/>
  <c r="Z1938" i="1" s="1"/>
  <c r="Z1939" i="1" s="1"/>
  <c r="Z1940" i="1" s="1"/>
  <c r="Z1941" i="1" s="1"/>
  <c r="Z1942" i="1" s="1"/>
  <c r="Z1943" i="1" s="1"/>
  <c r="Z1944" i="1" s="1"/>
  <c r="Z1945" i="1" s="1"/>
  <c r="Z1946" i="1" s="1"/>
  <c r="Z1947" i="1" s="1"/>
  <c r="Z1948" i="1" s="1"/>
  <c r="Z1949" i="1" s="1"/>
  <c r="Z1950" i="1" s="1"/>
  <c r="Z1951" i="1" s="1"/>
  <c r="Z1952" i="1" s="1"/>
  <c r="Z1953" i="1" s="1"/>
  <c r="Z1954" i="1" s="1"/>
  <c r="Z1955" i="1" s="1"/>
  <c r="Z1956" i="1" s="1"/>
  <c r="Z1957" i="1" s="1"/>
  <c r="Z1958" i="1" s="1"/>
  <c r="Z1959" i="1" s="1"/>
  <c r="Z1960" i="1" s="1"/>
  <c r="Z1961" i="1" s="1"/>
  <c r="Z1962" i="1" s="1"/>
  <c r="Z1963" i="1" s="1"/>
  <c r="Z1964" i="1" s="1"/>
  <c r="Z1965" i="1" s="1"/>
  <c r="Z1966" i="1" s="1"/>
  <c r="Z1967" i="1" s="1"/>
  <c r="Z1968" i="1" s="1"/>
  <c r="Z1969" i="1" s="1"/>
  <c r="Z1970" i="1" s="1"/>
  <c r="Z1971" i="1" s="1"/>
  <c r="Z1972" i="1" s="1"/>
  <c r="Z1973" i="1" s="1"/>
  <c r="Z1974" i="1" s="1"/>
  <c r="Z1975" i="1" s="1"/>
  <c r="Z1976" i="1" s="1"/>
  <c r="Z1977" i="1" s="1"/>
  <c r="Z1978" i="1" s="1"/>
  <c r="Z1979" i="1" s="1"/>
  <c r="Z1980" i="1" s="1"/>
  <c r="Z1981" i="1" s="1"/>
  <c r="Z1982" i="1" s="1"/>
  <c r="Z1983" i="1" s="1"/>
  <c r="Z1984" i="1" s="1"/>
  <c r="Z1985" i="1" s="1"/>
  <c r="Z1986" i="1" s="1"/>
  <c r="Z1987" i="1" s="1"/>
  <c r="Z1988" i="1" s="1"/>
  <c r="Z1989" i="1" s="1"/>
  <c r="Z1990" i="1" s="1"/>
  <c r="Z1991" i="1" s="1"/>
  <c r="Z1992" i="1" s="1"/>
  <c r="Z1993" i="1" s="1"/>
  <c r="Z1994" i="1" s="1"/>
  <c r="Z1995" i="1" s="1"/>
  <c r="Z1996" i="1" s="1"/>
  <c r="Z1997" i="1" s="1"/>
  <c r="Z1998" i="1" s="1"/>
  <c r="Z1999" i="1" s="1"/>
  <c r="Z2000" i="1" s="1"/>
  <c r="Z2001" i="1" s="1"/>
  <c r="Z2002" i="1" s="1"/>
  <c r="Z2003" i="1" s="1"/>
  <c r="Z2004" i="1" s="1"/>
  <c r="Z2005" i="1" s="1"/>
  <c r="Z2006" i="1" s="1"/>
  <c r="Z2007" i="1" s="1"/>
  <c r="Z2008" i="1" s="1"/>
  <c r="Z2009" i="1" s="1"/>
  <c r="Z2010" i="1" s="1"/>
  <c r="Z2011" i="1" s="1"/>
  <c r="Z2012" i="1" s="1"/>
  <c r="Z2013" i="1" s="1"/>
  <c r="Z2014" i="1" s="1"/>
  <c r="Z2015" i="1" s="1"/>
  <c r="Z2016" i="1" s="1"/>
  <c r="Z2017" i="1" s="1"/>
  <c r="Z2018" i="1" s="1"/>
  <c r="Z2019" i="1" s="1"/>
  <c r="Z2020" i="1" s="1"/>
  <c r="Z2021" i="1" s="1"/>
  <c r="Z2022" i="1" s="1"/>
  <c r="Z2023" i="1" s="1"/>
  <c r="Z2024" i="1" s="1"/>
  <c r="Z2025" i="1" s="1"/>
  <c r="Z2026" i="1" s="1"/>
  <c r="Z2027" i="1" s="1"/>
  <c r="Z2028" i="1" s="1"/>
  <c r="Z2029" i="1" s="1"/>
  <c r="Z2030" i="1" s="1"/>
  <c r="Z2031" i="1" s="1"/>
  <c r="Z2032" i="1" s="1"/>
  <c r="Z2033" i="1" s="1"/>
  <c r="Z2034" i="1" s="1"/>
  <c r="Z2035" i="1" s="1"/>
  <c r="Z2036" i="1" s="1"/>
  <c r="Z2037" i="1" s="1"/>
  <c r="Z2038" i="1" s="1"/>
  <c r="Z2039" i="1" s="1"/>
  <c r="Z2040" i="1" s="1"/>
  <c r="Z2041" i="1" s="1"/>
  <c r="Z2042" i="1" s="1"/>
  <c r="Z2043" i="1" s="1"/>
  <c r="Z2044" i="1" s="1"/>
  <c r="Z2045" i="1" s="1"/>
  <c r="Z2046" i="1" s="1"/>
  <c r="Z2047" i="1" s="1"/>
  <c r="Z2048" i="1" s="1"/>
  <c r="Z2049" i="1" s="1"/>
  <c r="Z2050" i="1" s="1"/>
  <c r="Z2051" i="1" s="1"/>
  <c r="Z2052" i="1" s="1"/>
  <c r="Z2053" i="1" s="1"/>
  <c r="Z2054" i="1" s="1"/>
  <c r="Z2055" i="1" s="1"/>
  <c r="Z2056" i="1" s="1"/>
  <c r="Z2057" i="1" s="1"/>
  <c r="Z2058" i="1" s="1"/>
  <c r="Z2059" i="1" s="1"/>
  <c r="Z2060" i="1" s="1"/>
  <c r="Z2061" i="1" s="1"/>
  <c r="Z2062" i="1" s="1"/>
  <c r="Z2063" i="1" s="1"/>
  <c r="Z2064" i="1" s="1"/>
  <c r="Z2065" i="1" s="1"/>
  <c r="Z2066" i="1" s="1"/>
  <c r="Z2067" i="1" s="1"/>
  <c r="Z2068" i="1" s="1"/>
  <c r="Z2069" i="1" s="1"/>
  <c r="Z2070" i="1" s="1"/>
  <c r="Z2071" i="1" s="1"/>
  <c r="Z2072" i="1" s="1"/>
  <c r="Z2073" i="1" s="1"/>
  <c r="Z2074" i="1" s="1"/>
  <c r="Z2075" i="1" s="1"/>
  <c r="Z2076" i="1" s="1"/>
  <c r="Z2077" i="1" s="1"/>
  <c r="Z2078" i="1" s="1"/>
  <c r="Z2079" i="1" s="1"/>
  <c r="Z2080" i="1" s="1"/>
  <c r="Z2081" i="1" s="1"/>
  <c r="Z2082" i="1" s="1"/>
  <c r="Z2083" i="1" s="1"/>
  <c r="Z2084" i="1" s="1"/>
  <c r="Z2085" i="1" s="1"/>
  <c r="Z2086" i="1" s="1"/>
  <c r="Z2087" i="1" s="1"/>
  <c r="Z2088" i="1" s="1"/>
  <c r="Z2089" i="1" s="1"/>
  <c r="Z2090" i="1" s="1"/>
  <c r="Z2091" i="1" s="1"/>
  <c r="Z2092" i="1" s="1"/>
  <c r="Z2093" i="1" s="1"/>
  <c r="Z2094" i="1" s="1"/>
  <c r="Z2095" i="1" s="1"/>
  <c r="Z2096" i="1" s="1"/>
  <c r="Z2097" i="1" s="1"/>
  <c r="Z2098" i="1" s="1"/>
  <c r="Z2099" i="1" s="1"/>
  <c r="Z2100" i="1" s="1"/>
  <c r="Z2101" i="1" s="1"/>
  <c r="Z2102" i="1" s="1"/>
  <c r="Z2103" i="1" s="1"/>
  <c r="Z2104" i="1" s="1"/>
  <c r="Z2105" i="1" s="1"/>
  <c r="Z2106" i="1" s="1"/>
  <c r="Z2107" i="1" s="1"/>
  <c r="Z2108" i="1" s="1"/>
  <c r="Z2109" i="1" s="1"/>
  <c r="Z2110" i="1" s="1"/>
  <c r="Z2111" i="1" s="1"/>
  <c r="Z2112" i="1" s="1"/>
  <c r="Z2113" i="1" s="1"/>
  <c r="Z2114" i="1" s="1"/>
  <c r="Z2115" i="1" s="1"/>
  <c r="Z2116" i="1" s="1"/>
  <c r="Z2117" i="1" s="1"/>
  <c r="Z2118" i="1" s="1"/>
  <c r="Z2119" i="1" s="1"/>
  <c r="Z2120" i="1" s="1"/>
  <c r="Z2121" i="1" s="1"/>
  <c r="Z2122" i="1" s="1"/>
  <c r="Z2123" i="1" s="1"/>
  <c r="Z2124" i="1" s="1"/>
  <c r="Z2125" i="1" s="1"/>
  <c r="Z2126" i="1" s="1"/>
  <c r="Z2127" i="1" s="1"/>
  <c r="Z2128" i="1" s="1"/>
  <c r="Z2129" i="1" s="1"/>
  <c r="Z2130" i="1" s="1"/>
  <c r="Z2131" i="1" s="1"/>
  <c r="Z2132" i="1" s="1"/>
  <c r="Z2133" i="1" s="1"/>
  <c r="Z2134" i="1" s="1"/>
  <c r="Z2135" i="1" s="1"/>
  <c r="Z2136" i="1" s="1"/>
  <c r="Z2137" i="1" s="1"/>
  <c r="Z2138" i="1" s="1"/>
  <c r="Z2139" i="1" s="1"/>
  <c r="Z2140" i="1" s="1"/>
  <c r="Z2141" i="1" s="1"/>
  <c r="Z2142" i="1" s="1"/>
  <c r="Z2143" i="1" s="1"/>
  <c r="Z2144" i="1" s="1"/>
  <c r="Z2145" i="1" s="1"/>
  <c r="Z2146" i="1" s="1"/>
  <c r="Z2147" i="1" s="1"/>
  <c r="Z2148" i="1" s="1"/>
  <c r="Z2149" i="1" s="1"/>
  <c r="Z2150" i="1" s="1"/>
  <c r="Z2151" i="1" s="1"/>
  <c r="Z2152" i="1" s="1"/>
  <c r="Z2153" i="1" s="1"/>
  <c r="Z2154" i="1" s="1"/>
  <c r="Z2155" i="1" s="1"/>
  <c r="Z2156" i="1" s="1"/>
  <c r="Z2157" i="1" s="1"/>
  <c r="Z2158" i="1" s="1"/>
  <c r="Z2159" i="1" s="1"/>
  <c r="Z2160" i="1" s="1"/>
  <c r="Z2161" i="1" s="1"/>
  <c r="Z2162" i="1" s="1"/>
  <c r="Z2163" i="1" s="1"/>
  <c r="Z2164" i="1" s="1"/>
  <c r="Z2165" i="1" s="1"/>
  <c r="Z2166" i="1" s="1"/>
  <c r="Z2167" i="1" s="1"/>
  <c r="Z2168" i="1" s="1"/>
  <c r="Z2169" i="1" s="1"/>
  <c r="Z2170" i="1" s="1"/>
  <c r="Z2171" i="1" s="1"/>
  <c r="Z2172" i="1" s="1"/>
  <c r="Z2173" i="1" s="1"/>
  <c r="Z2174" i="1" s="1"/>
  <c r="Z2175" i="1" s="1"/>
  <c r="Z2176" i="1" s="1"/>
  <c r="Z2177" i="1" s="1"/>
  <c r="Z2178" i="1" s="1"/>
  <c r="Z2179" i="1" s="1"/>
  <c r="Z2180" i="1" s="1"/>
  <c r="Z2181" i="1" s="1"/>
  <c r="Z2182" i="1" s="1"/>
  <c r="Z2183" i="1" s="1"/>
  <c r="Z2184" i="1" s="1"/>
  <c r="Z2185" i="1" s="1"/>
  <c r="Z2186" i="1" s="1"/>
  <c r="Z2187" i="1" s="1"/>
  <c r="Z2188" i="1" s="1"/>
  <c r="Z2189" i="1" s="1"/>
  <c r="Z2190" i="1" s="1"/>
  <c r="Z2191" i="1" s="1"/>
  <c r="Z2192" i="1" s="1"/>
  <c r="Z2193" i="1" s="1"/>
  <c r="Z2194" i="1" s="1"/>
  <c r="Z2195" i="1" s="1"/>
  <c r="Z2196" i="1" s="1"/>
  <c r="Z2197" i="1" s="1"/>
  <c r="Z2198" i="1" s="1"/>
  <c r="Z2199" i="1" s="1"/>
  <c r="Z2200" i="1" s="1"/>
  <c r="Z2201" i="1" s="1"/>
  <c r="Z2202" i="1" s="1"/>
  <c r="Z2203" i="1" s="1"/>
  <c r="Z2204" i="1" s="1"/>
  <c r="Z2205" i="1" s="1"/>
  <c r="Z2206" i="1" s="1"/>
  <c r="Z2207" i="1" s="1"/>
  <c r="Z2208" i="1" s="1"/>
  <c r="Z2209" i="1" s="1"/>
  <c r="Z2210" i="1" s="1"/>
  <c r="Z2211" i="1" s="1"/>
  <c r="Z2212" i="1" s="1"/>
  <c r="Z2213" i="1" s="1"/>
  <c r="Z2214" i="1" s="1"/>
  <c r="Z2215" i="1" s="1"/>
  <c r="Z2216" i="1" s="1"/>
  <c r="Z2217" i="1" s="1"/>
  <c r="Z2218" i="1" s="1"/>
  <c r="Z2219" i="1" s="1"/>
  <c r="Z2220" i="1" s="1"/>
  <c r="Z2221" i="1" s="1"/>
  <c r="Z2222" i="1" s="1"/>
  <c r="Z2223" i="1" s="1"/>
  <c r="Z2224" i="1" s="1"/>
  <c r="Z2225" i="1" s="1"/>
  <c r="Z2226" i="1" s="1"/>
  <c r="Z2227" i="1" s="1"/>
  <c r="Z2228" i="1" s="1"/>
  <c r="Z2229" i="1" s="1"/>
  <c r="Z2230" i="1" s="1"/>
  <c r="Z2231" i="1" s="1"/>
  <c r="Z2232" i="1" s="1"/>
  <c r="Z2233" i="1" s="1"/>
  <c r="Z2234" i="1" s="1"/>
  <c r="Z2235" i="1" s="1"/>
  <c r="Z2236" i="1" s="1"/>
  <c r="Z2237" i="1" s="1"/>
  <c r="Z2238" i="1" s="1"/>
  <c r="Z2239" i="1" s="1"/>
  <c r="Z2240" i="1" s="1"/>
  <c r="Z2241" i="1" s="1"/>
  <c r="Z2242" i="1" s="1"/>
  <c r="Z2243" i="1" s="1"/>
  <c r="Z2244" i="1" s="1"/>
  <c r="Z2245" i="1" s="1"/>
  <c r="Z2246" i="1" s="1"/>
  <c r="Z2247" i="1" s="1"/>
  <c r="Z2248" i="1" s="1"/>
  <c r="Z2249" i="1" s="1"/>
  <c r="Z2250" i="1" s="1"/>
  <c r="Z2251" i="1" s="1"/>
  <c r="Z2252" i="1" s="1"/>
  <c r="Z2253" i="1" s="1"/>
  <c r="Z2254" i="1" s="1"/>
  <c r="Z2255" i="1" s="1"/>
  <c r="Z2256" i="1" s="1"/>
  <c r="Z2257" i="1" s="1"/>
  <c r="Z2258" i="1" s="1"/>
  <c r="Z2259" i="1" s="1"/>
  <c r="Z2260" i="1" s="1"/>
  <c r="Z2261" i="1" s="1"/>
  <c r="Z2262" i="1" s="1"/>
  <c r="Z2263" i="1" s="1"/>
  <c r="Z2264" i="1" s="1"/>
  <c r="Z2265" i="1" s="1"/>
  <c r="Z2266" i="1" s="1"/>
  <c r="Z2267" i="1" s="1"/>
  <c r="Z2268" i="1" s="1"/>
  <c r="Z2269" i="1" s="1"/>
  <c r="Z2270" i="1" s="1"/>
  <c r="Z2271" i="1" s="1"/>
  <c r="Z2272" i="1" s="1"/>
  <c r="Z2273" i="1" s="1"/>
  <c r="Z2274" i="1" s="1"/>
  <c r="Z2275" i="1" s="1"/>
  <c r="Z2276" i="1" s="1"/>
  <c r="Z2277" i="1" s="1"/>
  <c r="Z2278" i="1" s="1"/>
  <c r="Z2279" i="1" s="1"/>
  <c r="Z2280" i="1" s="1"/>
  <c r="Z2281" i="1" s="1"/>
  <c r="Z2282" i="1" s="1"/>
  <c r="Z2283" i="1" s="1"/>
  <c r="Z2284" i="1" s="1"/>
  <c r="Z2285" i="1" s="1"/>
  <c r="Z2286" i="1" s="1"/>
  <c r="Z2287" i="1" s="1"/>
  <c r="Z2288" i="1" s="1"/>
  <c r="Z2289" i="1" s="1"/>
  <c r="Z2290" i="1" s="1"/>
  <c r="Z2291" i="1" s="1"/>
  <c r="Z2292" i="1" s="1"/>
  <c r="Z2293" i="1" s="1"/>
  <c r="Z2294" i="1" s="1"/>
  <c r="Z2295" i="1" s="1"/>
  <c r="Z2296" i="1" s="1"/>
  <c r="Z2297" i="1" s="1"/>
  <c r="Z2298" i="1" s="1"/>
  <c r="Z2299" i="1" s="1"/>
  <c r="Z2300" i="1" s="1"/>
  <c r="Z2301" i="1" s="1"/>
  <c r="Z2302" i="1" s="1"/>
  <c r="Z2303" i="1" s="1"/>
  <c r="Z2304" i="1" s="1"/>
  <c r="Z2305" i="1" s="1"/>
  <c r="Z2306" i="1" s="1"/>
  <c r="Z2307" i="1" s="1"/>
  <c r="Z2308" i="1" s="1"/>
  <c r="Z2309" i="1" s="1"/>
  <c r="Z2310" i="1" s="1"/>
  <c r="Z2311" i="1" s="1"/>
  <c r="Z2312" i="1" s="1"/>
  <c r="Z2313" i="1" s="1"/>
  <c r="Z2314" i="1" s="1"/>
  <c r="Z2315" i="1" s="1"/>
  <c r="Z2316" i="1" s="1"/>
  <c r="Z2317" i="1" s="1"/>
  <c r="Z2318" i="1" s="1"/>
  <c r="Z2319" i="1" s="1"/>
  <c r="Z2320" i="1" s="1"/>
  <c r="Z2321" i="1" s="1"/>
  <c r="Z2322" i="1" s="1"/>
  <c r="Z2323" i="1" s="1"/>
  <c r="Z2324" i="1" s="1"/>
  <c r="Z2325" i="1" s="1"/>
  <c r="Z2326" i="1" s="1"/>
  <c r="Z2327" i="1" s="1"/>
  <c r="Z2328" i="1" s="1"/>
  <c r="Z2329" i="1" s="1"/>
  <c r="Z2330" i="1" s="1"/>
  <c r="Z2331" i="1" s="1"/>
  <c r="Z2332" i="1" s="1"/>
  <c r="Z2333" i="1" s="1"/>
  <c r="Z2334" i="1" s="1"/>
  <c r="Z2335" i="1" s="1"/>
  <c r="Z2336" i="1" s="1"/>
  <c r="Z2337" i="1" s="1"/>
  <c r="Z2338" i="1" s="1"/>
  <c r="Z2339" i="1" s="1"/>
  <c r="Z2340" i="1" s="1"/>
  <c r="Z2341" i="1" s="1"/>
  <c r="Z2342" i="1" s="1"/>
  <c r="Z2343" i="1" s="1"/>
  <c r="Z2344" i="1" s="1"/>
  <c r="Z2345" i="1" s="1"/>
  <c r="Z2346" i="1" s="1"/>
  <c r="Z2347" i="1" s="1"/>
  <c r="Z2348" i="1" s="1"/>
  <c r="Z2349" i="1" s="1"/>
  <c r="Z2350" i="1" s="1"/>
  <c r="Z2351" i="1" s="1"/>
  <c r="Z2352" i="1" s="1"/>
  <c r="Z2353" i="1" s="1"/>
  <c r="Z2354" i="1" s="1"/>
  <c r="Z2355" i="1" s="1"/>
  <c r="Z2356" i="1" s="1"/>
  <c r="Z2357" i="1" s="1"/>
  <c r="Z2358" i="1" s="1"/>
  <c r="Z2359" i="1" s="1"/>
  <c r="Z2360" i="1" s="1"/>
  <c r="Z2361" i="1" s="1"/>
  <c r="Z2362" i="1" s="1"/>
  <c r="Z2363" i="1" s="1"/>
  <c r="Z2364" i="1" s="1"/>
  <c r="Z2365" i="1" s="1"/>
  <c r="Z2366" i="1" s="1"/>
  <c r="Z2367" i="1" s="1"/>
  <c r="Z2368" i="1" s="1"/>
  <c r="Z2369" i="1" s="1"/>
  <c r="Z2370" i="1" s="1"/>
  <c r="Z2371" i="1" s="1"/>
  <c r="Z2372" i="1" s="1"/>
  <c r="Z2373" i="1" s="1"/>
  <c r="Z2374" i="1" s="1"/>
  <c r="Z2375" i="1" s="1"/>
  <c r="Z2376" i="1" s="1"/>
  <c r="Z2377" i="1" s="1"/>
  <c r="Z2378" i="1" s="1"/>
  <c r="Z2379" i="1" s="1"/>
  <c r="Z2380" i="1" s="1"/>
  <c r="Z2381" i="1" s="1"/>
  <c r="Z2382" i="1" s="1"/>
  <c r="Z2383" i="1" s="1"/>
  <c r="Z2384" i="1" s="1"/>
  <c r="Z2385" i="1" s="1"/>
  <c r="Z2386" i="1" s="1"/>
  <c r="Z2387" i="1" s="1"/>
  <c r="Z2388" i="1" s="1"/>
  <c r="Z2389" i="1" s="1"/>
  <c r="Z2390" i="1" s="1"/>
  <c r="Z2391" i="1" s="1"/>
  <c r="Z2392" i="1" s="1"/>
  <c r="Z2393" i="1" s="1"/>
  <c r="Z2394" i="1" s="1"/>
  <c r="Z2395" i="1" s="1"/>
  <c r="Z2396" i="1" s="1"/>
  <c r="Z2397" i="1" s="1"/>
  <c r="Z2398" i="1" s="1"/>
  <c r="Z2399" i="1" s="1"/>
  <c r="Z2400" i="1" s="1"/>
  <c r="Z2401" i="1" s="1"/>
  <c r="Z2402" i="1" s="1"/>
  <c r="Z2403" i="1" s="1"/>
  <c r="Z2404" i="1" s="1"/>
  <c r="Z2405" i="1" s="1"/>
  <c r="Z2406" i="1" s="1"/>
  <c r="Z2407" i="1" s="1"/>
  <c r="Z2408" i="1" s="1"/>
  <c r="Z2409" i="1" s="1"/>
  <c r="Z2410" i="1" s="1"/>
  <c r="Z2411" i="1" s="1"/>
  <c r="Z2412" i="1" s="1"/>
  <c r="Z2413" i="1" s="1"/>
  <c r="Z2414" i="1" s="1"/>
  <c r="Z2415" i="1" s="1"/>
  <c r="Z2416" i="1" s="1"/>
  <c r="Z2417" i="1" s="1"/>
  <c r="Z2418" i="1" s="1"/>
  <c r="Z2419" i="1" s="1"/>
  <c r="Z2420" i="1" s="1"/>
  <c r="Z2421" i="1" s="1"/>
  <c r="Z2422" i="1" s="1"/>
  <c r="Z2423" i="1" s="1"/>
  <c r="Z2424" i="1" s="1"/>
  <c r="Z2425" i="1" s="1"/>
  <c r="Z2426" i="1" s="1"/>
  <c r="Z2427" i="1" s="1"/>
  <c r="Z2428" i="1" s="1"/>
  <c r="Z2429" i="1" s="1"/>
  <c r="Z2430" i="1" s="1"/>
  <c r="Z2431" i="1" s="1"/>
  <c r="Z2432" i="1" s="1"/>
  <c r="Z2433" i="1" s="1"/>
  <c r="Z2434" i="1" s="1"/>
  <c r="Z2435" i="1" s="1"/>
  <c r="Z2436" i="1" s="1"/>
  <c r="Z2437" i="1" s="1"/>
  <c r="Z2438" i="1" s="1"/>
  <c r="Z2439" i="1" s="1"/>
  <c r="Z2440" i="1" s="1"/>
  <c r="Z2441" i="1" s="1"/>
  <c r="Z2442" i="1" s="1"/>
  <c r="Z2443" i="1" s="1"/>
  <c r="Z2444" i="1" s="1"/>
  <c r="Z2445" i="1" s="1"/>
  <c r="Z2446" i="1" s="1"/>
  <c r="Z2447" i="1" s="1"/>
  <c r="Z2448" i="1" s="1"/>
  <c r="Z2449" i="1" s="1"/>
  <c r="Z2450" i="1" s="1"/>
  <c r="Z2451" i="1" s="1"/>
  <c r="Z2452" i="1" s="1"/>
  <c r="Z2453" i="1" s="1"/>
  <c r="Z2454" i="1" s="1"/>
  <c r="Z2455" i="1" s="1"/>
  <c r="Z2456" i="1" s="1"/>
  <c r="Z2457" i="1" s="1"/>
  <c r="Z2458" i="1" s="1"/>
  <c r="Z2459" i="1" s="1"/>
  <c r="Z2460" i="1" s="1"/>
  <c r="Z2461" i="1" s="1"/>
  <c r="Z2462" i="1" s="1"/>
  <c r="Z2463" i="1" s="1"/>
  <c r="Z2464" i="1" s="1"/>
  <c r="Z2465" i="1" s="1"/>
  <c r="Z2466" i="1" s="1"/>
  <c r="Z2467" i="1" s="1"/>
  <c r="Z2468" i="1" s="1"/>
  <c r="Z2469" i="1" s="1"/>
  <c r="Z2470" i="1" s="1"/>
  <c r="Z2471" i="1" s="1"/>
  <c r="Z2472" i="1" s="1"/>
  <c r="Z2473" i="1" s="1"/>
  <c r="Z2474" i="1" s="1"/>
  <c r="Z2475" i="1" s="1"/>
  <c r="Z2476" i="1" s="1"/>
  <c r="Z2477" i="1" s="1"/>
  <c r="Z2478" i="1" s="1"/>
  <c r="Z2479" i="1" s="1"/>
  <c r="Z2480" i="1" s="1"/>
  <c r="Z2481" i="1" s="1"/>
  <c r="Z2482" i="1" s="1"/>
  <c r="Z2483" i="1" s="1"/>
  <c r="Z2484" i="1" s="1"/>
  <c r="Z2485" i="1" s="1"/>
  <c r="Z2486" i="1" s="1"/>
  <c r="Z2487" i="1" s="1"/>
  <c r="Z2488" i="1" s="1"/>
  <c r="Z2489" i="1" s="1"/>
  <c r="Z2490" i="1" s="1"/>
  <c r="Z2491" i="1" s="1"/>
  <c r="Z2492" i="1" s="1"/>
  <c r="Z2493" i="1" s="1"/>
  <c r="Z2494" i="1" s="1"/>
  <c r="Z2495" i="1" s="1"/>
  <c r="Z2496" i="1" s="1"/>
  <c r="Z2497" i="1" s="1"/>
  <c r="Z2498" i="1" s="1"/>
  <c r="Z2499" i="1" s="1"/>
  <c r="Z2500" i="1" s="1"/>
  <c r="Z2501" i="1" s="1"/>
  <c r="Z2502" i="1" s="1"/>
  <c r="Z2503" i="1" s="1"/>
  <c r="Z2504" i="1" s="1"/>
  <c r="Z2505" i="1" s="1"/>
  <c r="Z2506" i="1" s="1"/>
  <c r="Z2507" i="1" s="1"/>
  <c r="Z2508" i="1" s="1"/>
  <c r="Z2509" i="1" s="1"/>
  <c r="Z2510" i="1" s="1"/>
  <c r="Z2511" i="1" s="1"/>
  <c r="Z2512" i="1" s="1"/>
  <c r="Z2513" i="1" s="1"/>
  <c r="Z2514" i="1" s="1"/>
  <c r="Z2515" i="1" s="1"/>
  <c r="Z2516" i="1" s="1"/>
  <c r="Z2517" i="1" s="1"/>
  <c r="Z2518" i="1" s="1"/>
  <c r="Z2519" i="1" s="1"/>
  <c r="Z2520" i="1" s="1"/>
  <c r="Z2521" i="1" s="1"/>
  <c r="Z2522" i="1" s="1"/>
  <c r="Z2523" i="1" s="1"/>
  <c r="Z2524" i="1" s="1"/>
  <c r="Z2525" i="1" s="1"/>
  <c r="Z2526" i="1" s="1"/>
  <c r="Z2527" i="1" s="1"/>
  <c r="Z2528" i="1" s="1"/>
  <c r="Z2529" i="1" s="1"/>
  <c r="Z2530" i="1" s="1"/>
  <c r="Z2531" i="1" s="1"/>
  <c r="Z2532" i="1" s="1"/>
  <c r="Z2533" i="1" s="1"/>
  <c r="Z2534" i="1" s="1"/>
  <c r="Z2535" i="1" s="1"/>
  <c r="Z2536" i="1" s="1"/>
  <c r="Z2537" i="1" s="1"/>
  <c r="Z2538" i="1" s="1"/>
  <c r="Z2539" i="1" s="1"/>
  <c r="Z2540" i="1" s="1"/>
  <c r="Z2541" i="1" s="1"/>
  <c r="Z2542" i="1" s="1"/>
  <c r="Z2543" i="1" s="1"/>
  <c r="Z2544" i="1" s="1"/>
  <c r="Z2545" i="1" s="1"/>
  <c r="Z2546" i="1" s="1"/>
  <c r="Z2547" i="1" s="1"/>
  <c r="Z2548" i="1" s="1"/>
  <c r="Z2549" i="1" s="1"/>
  <c r="Z2550" i="1" s="1"/>
  <c r="Z2551" i="1" s="1"/>
  <c r="Z2552" i="1" s="1"/>
  <c r="Z2553" i="1" s="1"/>
  <c r="Z2554" i="1" s="1"/>
  <c r="Z2555" i="1" s="1"/>
  <c r="Z2556" i="1" s="1"/>
  <c r="Z2557" i="1" s="1"/>
  <c r="Z2558" i="1" s="1"/>
  <c r="Z2559" i="1" s="1"/>
  <c r="Z2560" i="1" s="1"/>
  <c r="Z2561" i="1" s="1"/>
  <c r="Z2562" i="1" s="1"/>
  <c r="Z2563" i="1" s="1"/>
  <c r="Z2564" i="1" s="1"/>
  <c r="Z2565" i="1" s="1"/>
  <c r="Z2566" i="1" s="1"/>
  <c r="Z2567" i="1" s="1"/>
  <c r="Z2568" i="1" s="1"/>
  <c r="Z2569" i="1" s="1"/>
  <c r="Z2570" i="1" s="1"/>
  <c r="Z2571" i="1" s="1"/>
  <c r="Z2572" i="1" s="1"/>
  <c r="Z2573" i="1" s="1"/>
  <c r="Z2574" i="1" s="1"/>
  <c r="Z2575" i="1" s="1"/>
  <c r="Z2576" i="1" s="1"/>
  <c r="Z2577" i="1" s="1"/>
  <c r="Z2578" i="1" s="1"/>
  <c r="Z2579" i="1" s="1"/>
  <c r="Z2580" i="1" s="1"/>
  <c r="Z2581" i="1" s="1"/>
  <c r="Z2582" i="1" s="1"/>
  <c r="Z2583" i="1" s="1"/>
  <c r="Z2584" i="1" s="1"/>
  <c r="Z2585" i="1" s="1"/>
  <c r="Z2586" i="1" s="1"/>
  <c r="Z2587" i="1" s="1"/>
  <c r="Z2588" i="1" s="1"/>
  <c r="Z2589" i="1" s="1"/>
  <c r="Z2590" i="1" s="1"/>
  <c r="Z2591" i="1" s="1"/>
  <c r="Z2592" i="1" s="1"/>
  <c r="Z2593" i="1" s="1"/>
  <c r="Z2594" i="1" s="1"/>
  <c r="Z2595" i="1" s="1"/>
  <c r="Z2596" i="1" s="1"/>
  <c r="Z2597" i="1" s="1"/>
  <c r="Z2598" i="1" s="1"/>
  <c r="Z2599" i="1" s="1"/>
  <c r="Z2600" i="1" s="1"/>
  <c r="Z2601" i="1" s="1"/>
  <c r="Z2602" i="1" s="1"/>
  <c r="Z2603" i="1" s="1"/>
  <c r="Z2604" i="1" s="1"/>
  <c r="Z2605" i="1" s="1"/>
  <c r="Z2606" i="1" s="1"/>
  <c r="Z2607" i="1" s="1"/>
  <c r="Z2608" i="1" s="1"/>
  <c r="Z2609" i="1" s="1"/>
  <c r="Z2610" i="1" s="1"/>
  <c r="Z2611" i="1" s="1"/>
  <c r="Z2612" i="1" s="1"/>
  <c r="Z2613" i="1" s="1"/>
  <c r="Z2614" i="1" s="1"/>
  <c r="Z2615" i="1" s="1"/>
  <c r="Z2616" i="1" s="1"/>
  <c r="Z2617" i="1" s="1"/>
  <c r="Z2618" i="1" s="1"/>
  <c r="Z2619" i="1" s="1"/>
  <c r="Z2620" i="1" s="1"/>
  <c r="Z2621" i="1" s="1"/>
  <c r="Z2622" i="1" s="1"/>
  <c r="Z2623" i="1" s="1"/>
  <c r="Z2624" i="1" s="1"/>
  <c r="Z2625" i="1" s="1"/>
  <c r="Z2626" i="1" s="1"/>
  <c r="Z2627" i="1" s="1"/>
  <c r="Z2628" i="1" s="1"/>
  <c r="Z2629" i="1" s="1"/>
  <c r="Z2630" i="1" s="1"/>
  <c r="Z2631" i="1" s="1"/>
  <c r="Z2632" i="1" s="1"/>
  <c r="Z2633" i="1" s="1"/>
  <c r="Z2634" i="1" s="1"/>
  <c r="Z2635" i="1" s="1"/>
  <c r="Z2636" i="1" s="1"/>
  <c r="Z2637" i="1" s="1"/>
  <c r="Z2638" i="1" s="1"/>
  <c r="Z2639" i="1" s="1"/>
  <c r="Z2640" i="1" s="1"/>
  <c r="Z2641" i="1" s="1"/>
  <c r="Z2642" i="1" s="1"/>
  <c r="Z2643" i="1" s="1"/>
  <c r="Z2644" i="1" s="1"/>
  <c r="Z2645" i="1" s="1"/>
  <c r="Z2646" i="1" s="1"/>
  <c r="Z2647" i="1" s="1"/>
  <c r="Z2648" i="1" s="1"/>
  <c r="Z2649" i="1" s="1"/>
  <c r="Z2650" i="1" s="1"/>
  <c r="Z2651" i="1" s="1"/>
  <c r="Z2652" i="1" s="1"/>
  <c r="Z2653" i="1" s="1"/>
  <c r="Z2654" i="1" s="1"/>
  <c r="Z2655" i="1" s="1"/>
  <c r="Z2656" i="1" s="1"/>
  <c r="Z2657" i="1" s="1"/>
  <c r="Z2658" i="1" s="1"/>
  <c r="Z2659" i="1" s="1"/>
  <c r="Z2660" i="1" s="1"/>
  <c r="Z2661" i="1" s="1"/>
  <c r="Z2662" i="1" s="1"/>
  <c r="Z2663" i="1" s="1"/>
  <c r="Z2664" i="1" s="1"/>
  <c r="Z2665" i="1" s="1"/>
  <c r="Z2666" i="1" s="1"/>
  <c r="Z2667" i="1" s="1"/>
  <c r="Z2668" i="1" s="1"/>
  <c r="Z2669" i="1" s="1"/>
  <c r="Z2670" i="1" s="1"/>
  <c r="Z2671" i="1" s="1"/>
  <c r="Z2672" i="1" s="1"/>
  <c r="Z2673" i="1" s="1"/>
  <c r="Z2674" i="1" s="1"/>
  <c r="Z2675" i="1" s="1"/>
  <c r="Z2676" i="1" s="1"/>
  <c r="Z2677" i="1" s="1"/>
  <c r="Z2678" i="1" s="1"/>
  <c r="Z2679" i="1" s="1"/>
  <c r="Z2680" i="1" s="1"/>
  <c r="Z2681" i="1" s="1"/>
  <c r="Z2682" i="1" s="1"/>
  <c r="Z2683" i="1" s="1"/>
  <c r="Z2684" i="1" s="1"/>
  <c r="Z2685" i="1" s="1"/>
  <c r="Z2686" i="1" s="1"/>
  <c r="Z2687" i="1" s="1"/>
  <c r="Z2688" i="1" s="1"/>
  <c r="Z2689" i="1" s="1"/>
  <c r="Z2690" i="1" s="1"/>
  <c r="Z2691" i="1" s="1"/>
  <c r="Z2692" i="1" s="1"/>
  <c r="Z2693" i="1" s="1"/>
  <c r="Z2694" i="1" s="1"/>
  <c r="Z2695" i="1" s="1"/>
  <c r="Z2696" i="1" s="1"/>
  <c r="Z2697" i="1" s="1"/>
  <c r="Z2698" i="1" s="1"/>
  <c r="Z2699" i="1" s="1"/>
  <c r="Z2700" i="1" s="1"/>
  <c r="Z2701" i="1" s="1"/>
  <c r="Z2702" i="1" s="1"/>
  <c r="Z2703" i="1" s="1"/>
  <c r="Z2704" i="1" s="1"/>
  <c r="Z2705" i="1" s="1"/>
  <c r="Z2706" i="1" s="1"/>
  <c r="Z2707" i="1" s="1"/>
  <c r="Z2708" i="1" s="1"/>
  <c r="Z2709" i="1" s="1"/>
  <c r="Z2710" i="1" s="1"/>
  <c r="Z2711" i="1" s="1"/>
  <c r="Z2712" i="1" s="1"/>
  <c r="Z2713" i="1" s="1"/>
  <c r="Z2714" i="1" s="1"/>
  <c r="Z2715" i="1" s="1"/>
  <c r="Z2716" i="1" s="1"/>
  <c r="Z2717" i="1" s="1"/>
  <c r="Z2718" i="1" s="1"/>
  <c r="Z2719" i="1" s="1"/>
  <c r="Z2720" i="1" s="1"/>
  <c r="Z2721" i="1" s="1"/>
  <c r="Z2722" i="1" s="1"/>
  <c r="Z2723" i="1" s="1"/>
  <c r="Z2724" i="1" s="1"/>
  <c r="Z2725" i="1" s="1"/>
  <c r="Z2726" i="1" s="1"/>
  <c r="Z2727" i="1" s="1"/>
  <c r="Z2728" i="1" s="1"/>
  <c r="Z2729" i="1" s="1"/>
  <c r="Z2730" i="1" s="1"/>
  <c r="Z2731" i="1" s="1"/>
  <c r="Z2732" i="1" s="1"/>
  <c r="Z2733" i="1" s="1"/>
  <c r="Z2734" i="1" s="1"/>
  <c r="Z2735" i="1" s="1"/>
  <c r="Z2736" i="1" s="1"/>
  <c r="Z2737" i="1" s="1"/>
  <c r="Z2738" i="1" s="1"/>
  <c r="Z2739" i="1" s="1"/>
  <c r="Z2740" i="1" s="1"/>
  <c r="Z2741" i="1" s="1"/>
  <c r="Z2742" i="1" s="1"/>
  <c r="Z2743" i="1" s="1"/>
  <c r="Z2744" i="1" s="1"/>
  <c r="Z2745" i="1" s="1"/>
  <c r="Z2746" i="1" s="1"/>
  <c r="Z2747" i="1" s="1"/>
  <c r="Z2748" i="1" s="1"/>
  <c r="Z2749" i="1" s="1"/>
  <c r="Z2750" i="1" s="1"/>
  <c r="Z2751" i="1" s="1"/>
  <c r="Z2752" i="1" s="1"/>
  <c r="Z2753" i="1" s="1"/>
  <c r="Z2754" i="1" s="1"/>
  <c r="Z2755" i="1" s="1"/>
  <c r="Z2756" i="1" s="1"/>
  <c r="Z2757" i="1" s="1"/>
  <c r="Z2758" i="1" s="1"/>
  <c r="Z2759" i="1" s="1"/>
  <c r="Z2760" i="1" s="1"/>
  <c r="Z2761" i="1" s="1"/>
  <c r="Z2762" i="1" s="1"/>
  <c r="Z2763" i="1" s="1"/>
  <c r="Z2764" i="1" s="1"/>
  <c r="Z2765" i="1" s="1"/>
  <c r="Z2766" i="1" s="1"/>
  <c r="Z2767" i="1" s="1"/>
  <c r="Z2768" i="1" s="1"/>
  <c r="Z2769" i="1" s="1"/>
  <c r="Z2770" i="1" s="1"/>
  <c r="Z2771" i="1" s="1"/>
  <c r="Z2772" i="1" s="1"/>
  <c r="Z2773" i="1" s="1"/>
  <c r="Z2774" i="1" s="1"/>
  <c r="Z2775" i="1" s="1"/>
  <c r="Z2776" i="1" s="1"/>
  <c r="Z2777" i="1" s="1"/>
  <c r="Z2778" i="1" s="1"/>
  <c r="Z2779" i="1" s="1"/>
  <c r="Z2780" i="1" s="1"/>
  <c r="Z2781" i="1" s="1"/>
  <c r="Z2782" i="1" s="1"/>
  <c r="Z2783" i="1" s="1"/>
  <c r="Z2784" i="1" s="1"/>
  <c r="Z2785" i="1" s="1"/>
  <c r="Z2786" i="1" s="1"/>
  <c r="Z2787" i="1" s="1"/>
  <c r="Z2788" i="1" s="1"/>
  <c r="Z2789" i="1" s="1"/>
  <c r="Z2790" i="1" s="1"/>
  <c r="Z2791" i="1" s="1"/>
  <c r="Z2792" i="1" s="1"/>
  <c r="Z2793" i="1" s="1"/>
  <c r="Z2794" i="1" s="1"/>
  <c r="Z2795" i="1" s="1"/>
  <c r="Z2796" i="1" s="1"/>
  <c r="Z2797" i="1" s="1"/>
  <c r="Z2798" i="1" s="1"/>
  <c r="Z2799" i="1" s="1"/>
  <c r="Z2800" i="1" s="1"/>
  <c r="Z2801" i="1" s="1"/>
  <c r="Z2802" i="1" s="1"/>
  <c r="Z2803" i="1" s="1"/>
  <c r="Z2804" i="1" s="1"/>
  <c r="Z2805" i="1" s="1"/>
  <c r="Z2806" i="1" s="1"/>
  <c r="Z2807" i="1" s="1"/>
  <c r="Z2808" i="1" s="1"/>
  <c r="Z2809" i="1" s="1"/>
  <c r="Z2810" i="1" s="1"/>
  <c r="Z2811" i="1" s="1"/>
  <c r="Z2812" i="1" s="1"/>
  <c r="Z2813" i="1" s="1"/>
  <c r="Z2814" i="1" s="1"/>
  <c r="Z2815" i="1" s="1"/>
  <c r="Z2816" i="1" s="1"/>
  <c r="Z2817" i="1" s="1"/>
  <c r="Z2818" i="1" s="1"/>
  <c r="Z2819" i="1" s="1"/>
  <c r="Z2820" i="1" s="1"/>
  <c r="Z2821" i="1" s="1"/>
  <c r="Z2822" i="1" s="1"/>
  <c r="Z2823" i="1" s="1"/>
  <c r="Z2824" i="1" s="1"/>
  <c r="Z2825" i="1" s="1"/>
  <c r="Z2826" i="1" s="1"/>
  <c r="Z2827" i="1" s="1"/>
  <c r="Z2828" i="1" s="1"/>
  <c r="Z2829" i="1" s="1"/>
  <c r="Z2830" i="1" s="1"/>
  <c r="Z2831" i="1" s="1"/>
  <c r="Z2832" i="1" s="1"/>
  <c r="Z2833" i="1" s="1"/>
  <c r="Z2834" i="1" s="1"/>
  <c r="Z2835" i="1" s="1"/>
  <c r="Z2836" i="1" s="1"/>
  <c r="Z2837" i="1" s="1"/>
  <c r="Z2838" i="1" s="1"/>
  <c r="Z2839" i="1" s="1"/>
  <c r="Z2840" i="1" s="1"/>
  <c r="Z2841" i="1" s="1"/>
  <c r="Z2842" i="1" s="1"/>
  <c r="Z2843" i="1" s="1"/>
  <c r="Z2844" i="1" s="1"/>
  <c r="Z2845" i="1" s="1"/>
  <c r="Z2846" i="1" s="1"/>
  <c r="Z2847" i="1" s="1"/>
  <c r="Z2848" i="1" s="1"/>
  <c r="Z2849" i="1" s="1"/>
  <c r="Z2850" i="1" s="1"/>
  <c r="Z2851" i="1" s="1"/>
  <c r="Z2852" i="1" s="1"/>
  <c r="Z2853" i="1" s="1"/>
  <c r="Z2854" i="1" s="1"/>
  <c r="Z2855" i="1" s="1"/>
  <c r="Z2856" i="1" s="1"/>
  <c r="Z2857" i="1" s="1"/>
  <c r="Z2858" i="1" s="1"/>
  <c r="Z2859" i="1" s="1"/>
  <c r="Z2860" i="1" s="1"/>
  <c r="Z2861" i="1" s="1"/>
  <c r="Z2862" i="1" s="1"/>
  <c r="Z2863" i="1" s="1"/>
  <c r="Z2864" i="1" s="1"/>
  <c r="Z2865" i="1" s="1"/>
  <c r="Z2866" i="1" s="1"/>
  <c r="Z2867" i="1" s="1"/>
  <c r="Z2868" i="1" s="1"/>
  <c r="Z2869" i="1" s="1"/>
  <c r="Z2870" i="1" s="1"/>
  <c r="Z2871" i="1" s="1"/>
  <c r="Z2872" i="1" s="1"/>
  <c r="Z2873" i="1" s="1"/>
  <c r="Z2874" i="1" s="1"/>
  <c r="Z2875" i="1" s="1"/>
  <c r="Z2876" i="1" s="1"/>
  <c r="Z2877" i="1" s="1"/>
  <c r="Z2878" i="1" s="1"/>
  <c r="Z2879" i="1" s="1"/>
  <c r="Z2880" i="1" s="1"/>
  <c r="Z2881" i="1" s="1"/>
  <c r="Z2882" i="1" s="1"/>
  <c r="Z2883" i="1" s="1"/>
  <c r="Z2884" i="1" s="1"/>
  <c r="Z2885" i="1" s="1"/>
  <c r="Z2886" i="1" s="1"/>
  <c r="Z2887" i="1" s="1"/>
  <c r="Z2888" i="1" s="1"/>
  <c r="Z2889" i="1" s="1"/>
  <c r="Z2890" i="1" s="1"/>
  <c r="Z2891" i="1" s="1"/>
  <c r="Z2892" i="1" s="1"/>
  <c r="Z2893" i="1" s="1"/>
  <c r="Z2894" i="1" s="1"/>
  <c r="Z2895" i="1" s="1"/>
  <c r="Z2896" i="1" s="1"/>
  <c r="Z2897" i="1" s="1"/>
  <c r="Z2898" i="1" s="1"/>
  <c r="Z2899" i="1" s="1"/>
  <c r="Z2900" i="1" s="1"/>
  <c r="Z2901" i="1" s="1"/>
  <c r="Z2902" i="1" s="1"/>
  <c r="Z2903" i="1" s="1"/>
  <c r="Z2904" i="1" s="1"/>
  <c r="Z2905" i="1" s="1"/>
  <c r="Z2906" i="1" s="1"/>
  <c r="Z2907" i="1" s="1"/>
  <c r="Z2908" i="1" s="1"/>
  <c r="Z2909" i="1" s="1"/>
  <c r="Z2910" i="1" s="1"/>
  <c r="Z2911" i="1" s="1"/>
  <c r="Z2912" i="1" s="1"/>
  <c r="Z2913" i="1" s="1"/>
  <c r="Z2914" i="1" s="1"/>
  <c r="Z2915" i="1" s="1"/>
  <c r="Z2916" i="1" s="1"/>
  <c r="Z2917" i="1" s="1"/>
  <c r="Z2918" i="1" s="1"/>
  <c r="Z2919" i="1" s="1"/>
  <c r="Z2920" i="1" s="1"/>
  <c r="Z2921" i="1" s="1"/>
  <c r="Z2922" i="1" s="1"/>
  <c r="Z2923" i="1" s="1"/>
  <c r="Z2924" i="1" s="1"/>
  <c r="Z2925" i="1" s="1"/>
  <c r="Z2926" i="1" s="1"/>
  <c r="Z2927" i="1" s="1"/>
  <c r="Z2928" i="1" s="1"/>
  <c r="Z2929" i="1" s="1"/>
  <c r="Z2930" i="1" s="1"/>
  <c r="Z2931" i="1" s="1"/>
  <c r="Z2932" i="1" s="1"/>
  <c r="Z2933" i="1" s="1"/>
  <c r="Z2934" i="1" s="1"/>
  <c r="Z2935" i="1" s="1"/>
  <c r="Z2936" i="1" s="1"/>
  <c r="Z2937" i="1" s="1"/>
  <c r="Z2938" i="1" s="1"/>
  <c r="Z2939" i="1" s="1"/>
  <c r="Z2940" i="1" s="1"/>
  <c r="Z2941" i="1" s="1"/>
  <c r="Z2942" i="1" s="1"/>
  <c r="Z2943" i="1" s="1"/>
  <c r="Z2944" i="1" s="1"/>
  <c r="Z2945" i="1" s="1"/>
  <c r="Z2946" i="1" s="1"/>
  <c r="Z2947" i="1" s="1"/>
  <c r="Z2948" i="1" s="1"/>
  <c r="Z2949" i="1" s="1"/>
  <c r="Z2950" i="1" s="1"/>
  <c r="Z2951" i="1" s="1"/>
  <c r="Z2952" i="1" s="1"/>
  <c r="Z2953" i="1" s="1"/>
  <c r="Z2954" i="1" s="1"/>
  <c r="Z2955" i="1" s="1"/>
  <c r="Z2956" i="1" s="1"/>
  <c r="Z2957" i="1" s="1"/>
  <c r="Z2958" i="1" s="1"/>
  <c r="Z2959" i="1" s="1"/>
  <c r="Z2960" i="1" s="1"/>
  <c r="Z2961" i="1" s="1"/>
  <c r="Z2962" i="1" s="1"/>
  <c r="Z2963" i="1" s="1"/>
  <c r="Z2964" i="1" s="1"/>
  <c r="Z2965" i="1" s="1"/>
  <c r="Z2966" i="1" s="1"/>
  <c r="Z2967" i="1" s="1"/>
  <c r="Z2968" i="1" s="1"/>
  <c r="Z2969" i="1" s="1"/>
  <c r="Z2970" i="1" s="1"/>
  <c r="Z2971" i="1" s="1"/>
  <c r="Z2972" i="1" s="1"/>
  <c r="Z2973" i="1" s="1"/>
  <c r="Z2974" i="1" s="1"/>
  <c r="Z2975" i="1" s="1"/>
  <c r="Z2976" i="1" s="1"/>
  <c r="Z2977" i="1" s="1"/>
  <c r="Z2978" i="1" s="1"/>
  <c r="Z2979" i="1" s="1"/>
  <c r="Z2980" i="1" s="1"/>
  <c r="Z2981" i="1" s="1"/>
  <c r="Z2982" i="1" s="1"/>
  <c r="Z2983" i="1" s="1"/>
  <c r="Z2984" i="1" s="1"/>
  <c r="Z2985" i="1" s="1"/>
  <c r="Z2986" i="1" s="1"/>
  <c r="Z2987" i="1" s="1"/>
  <c r="Z2988" i="1" s="1"/>
  <c r="Z2989" i="1" s="1"/>
  <c r="Z2990" i="1" s="1"/>
  <c r="Z2991" i="1" s="1"/>
  <c r="Z2992" i="1" s="1"/>
  <c r="Z2993" i="1" s="1"/>
  <c r="Z2994" i="1" s="1"/>
  <c r="Z2995" i="1" s="1"/>
  <c r="Z2996" i="1" s="1"/>
  <c r="Z2997" i="1" s="1"/>
  <c r="Z2998" i="1" s="1"/>
  <c r="Z2999" i="1" s="1"/>
  <c r="Z3000" i="1" s="1"/>
  <c r="Z3001" i="1" s="1"/>
  <c r="Z3002" i="1" s="1"/>
  <c r="Z3003" i="1" s="1"/>
  <c r="Z3004" i="1" s="1"/>
  <c r="Z3005" i="1" s="1"/>
  <c r="Z3006" i="1" s="1"/>
  <c r="Z3007" i="1" s="1"/>
  <c r="Z3008" i="1" s="1"/>
  <c r="Z3009" i="1" s="1"/>
  <c r="Z3010" i="1" s="1"/>
  <c r="Z3011" i="1" s="1"/>
  <c r="Z3012" i="1" s="1"/>
  <c r="Z3013" i="1" s="1"/>
  <c r="Z3014" i="1" s="1"/>
  <c r="Z3015" i="1" s="1"/>
  <c r="Z3016" i="1" s="1"/>
  <c r="Z3017" i="1" s="1"/>
  <c r="Z3018" i="1" s="1"/>
  <c r="Z3019" i="1" s="1"/>
  <c r="Z3020" i="1" s="1"/>
  <c r="Z3021" i="1" s="1"/>
  <c r="Z3022" i="1" s="1"/>
  <c r="Z3023" i="1" s="1"/>
  <c r="Z3024" i="1" s="1"/>
  <c r="Z3025" i="1" s="1"/>
  <c r="Z3026" i="1" s="1"/>
  <c r="Z3027" i="1" s="1"/>
  <c r="Z3028" i="1" s="1"/>
  <c r="Z3029" i="1" s="1"/>
  <c r="Z3030" i="1" s="1"/>
  <c r="Z3031" i="1" s="1"/>
  <c r="Z3032" i="1" s="1"/>
  <c r="Z3033" i="1" s="1"/>
  <c r="Z3034" i="1" s="1"/>
  <c r="Z3035" i="1" s="1"/>
  <c r="Z3036" i="1" s="1"/>
  <c r="Z3037" i="1" s="1"/>
  <c r="Z3038" i="1" s="1"/>
  <c r="Z3039" i="1" s="1"/>
  <c r="Z3040" i="1" s="1"/>
  <c r="Z3041" i="1" s="1"/>
  <c r="Z3042" i="1" s="1"/>
  <c r="Z3043" i="1" s="1"/>
  <c r="Z3044" i="1" s="1"/>
  <c r="Z3045" i="1" s="1"/>
  <c r="Z3046" i="1" s="1"/>
  <c r="Z3047" i="1" s="1"/>
  <c r="Z3048" i="1" s="1"/>
  <c r="Z3049" i="1" s="1"/>
  <c r="Z3050" i="1" s="1"/>
  <c r="Z3051" i="1" s="1"/>
  <c r="Z3052" i="1" s="1"/>
  <c r="Z3053" i="1" s="1"/>
  <c r="Z3054" i="1" s="1"/>
  <c r="Z3055" i="1" s="1"/>
  <c r="Z3056" i="1" s="1"/>
  <c r="Z3057" i="1" s="1"/>
  <c r="Z3058" i="1" s="1"/>
  <c r="Z3059" i="1" s="1"/>
  <c r="Z3060" i="1" s="1"/>
  <c r="Z3061" i="1" s="1"/>
  <c r="Z3062" i="1" s="1"/>
  <c r="Z3063" i="1" s="1"/>
  <c r="Z3064" i="1" s="1"/>
  <c r="Z3065" i="1" s="1"/>
  <c r="Z3066" i="1" s="1"/>
  <c r="Z3067" i="1" s="1"/>
  <c r="Z3068" i="1" s="1"/>
  <c r="Z3069" i="1" s="1"/>
  <c r="Z3070" i="1" s="1"/>
  <c r="Z3071" i="1" s="1"/>
  <c r="Z3072" i="1" s="1"/>
  <c r="Z3073" i="1" s="1"/>
  <c r="Z3074" i="1" s="1"/>
  <c r="Z3075" i="1" s="1"/>
  <c r="Z3076" i="1" s="1"/>
  <c r="Z3077" i="1" s="1"/>
  <c r="Z3078" i="1" s="1"/>
  <c r="Z3079" i="1" s="1"/>
  <c r="Z3080" i="1" s="1"/>
  <c r="Z3081" i="1" s="1"/>
  <c r="Z3082" i="1" s="1"/>
  <c r="Z3083" i="1" s="1"/>
  <c r="Z3084" i="1" s="1"/>
  <c r="Z3085" i="1" s="1"/>
  <c r="Z3086" i="1" s="1"/>
  <c r="Z3087" i="1" s="1"/>
  <c r="Z3088" i="1" s="1"/>
  <c r="Z3089" i="1" s="1"/>
  <c r="Z3090" i="1" s="1"/>
  <c r="Z3091" i="1" s="1"/>
  <c r="Z3092" i="1" s="1"/>
  <c r="Z3093" i="1" s="1"/>
  <c r="Z3094" i="1" s="1"/>
  <c r="Z3095" i="1" s="1"/>
  <c r="Z3096" i="1" s="1"/>
  <c r="Z3097" i="1" s="1"/>
  <c r="Z3098" i="1" s="1"/>
  <c r="Z3099" i="1" s="1"/>
  <c r="Z3100" i="1" s="1"/>
  <c r="Z3101" i="1" s="1"/>
  <c r="Z3102" i="1" s="1"/>
  <c r="Z3103" i="1" s="1"/>
  <c r="Z3104" i="1" s="1"/>
  <c r="Z3105" i="1" s="1"/>
  <c r="Z3106" i="1" s="1"/>
  <c r="Z3107" i="1" s="1"/>
  <c r="Z3108" i="1" s="1"/>
  <c r="Z3109" i="1" s="1"/>
  <c r="Z3110" i="1" s="1"/>
  <c r="Z3111" i="1" s="1"/>
  <c r="Z3112" i="1" s="1"/>
  <c r="Z3113" i="1" s="1"/>
  <c r="Z3114" i="1" s="1"/>
  <c r="Z3115" i="1" s="1"/>
  <c r="Z3116" i="1" s="1"/>
  <c r="Z3117" i="1" s="1"/>
  <c r="Z3118" i="1" s="1"/>
  <c r="Z3119" i="1" s="1"/>
  <c r="Z3120" i="1" s="1"/>
  <c r="Z3121" i="1" s="1"/>
  <c r="Z3122" i="1" s="1"/>
  <c r="Z3123" i="1" s="1"/>
  <c r="Z3124" i="1" s="1"/>
  <c r="Z3125" i="1" s="1"/>
  <c r="Z3126" i="1" s="1"/>
  <c r="Z3127" i="1" s="1"/>
  <c r="Z3128" i="1" s="1"/>
  <c r="Z3129" i="1" s="1"/>
  <c r="Z3130" i="1" s="1"/>
  <c r="Z3131" i="1" s="1"/>
  <c r="Z3132" i="1" s="1"/>
  <c r="Z3133" i="1" s="1"/>
  <c r="Z3134" i="1" s="1"/>
  <c r="Z3135" i="1" s="1"/>
  <c r="Z3136" i="1" s="1"/>
  <c r="Z3137" i="1" s="1"/>
  <c r="Z3138" i="1" s="1"/>
  <c r="Z3139" i="1" s="1"/>
  <c r="Z3140" i="1" s="1"/>
  <c r="Z3141" i="1" s="1"/>
  <c r="Z3142" i="1" s="1"/>
  <c r="Z3143" i="1" s="1"/>
  <c r="Z3144" i="1" s="1"/>
  <c r="Z3145" i="1" s="1"/>
  <c r="Z3146" i="1" s="1"/>
  <c r="Z3147" i="1" s="1"/>
  <c r="Z3148" i="1" s="1"/>
  <c r="Z3149" i="1" s="1"/>
  <c r="Z3150" i="1" s="1"/>
  <c r="Z3151" i="1" s="1"/>
  <c r="Z3152" i="1" s="1"/>
  <c r="Z3153" i="1" s="1"/>
  <c r="Z3154" i="1" s="1"/>
  <c r="Z3155" i="1" s="1"/>
  <c r="Z3156" i="1" s="1"/>
  <c r="Z3157" i="1" s="1"/>
  <c r="Z3158" i="1" s="1"/>
  <c r="Z3159" i="1" s="1"/>
  <c r="Z3160" i="1" s="1"/>
  <c r="Z3161" i="1" s="1"/>
  <c r="Z3162" i="1" s="1"/>
  <c r="Z3163" i="1" s="1"/>
  <c r="Z3164" i="1" s="1"/>
  <c r="Z3165" i="1" s="1"/>
  <c r="Z3166" i="1" s="1"/>
  <c r="Z3167" i="1" s="1"/>
  <c r="Z3168" i="1" s="1"/>
  <c r="Z3169" i="1" s="1"/>
  <c r="Z3170" i="1" s="1"/>
  <c r="Z3171" i="1" s="1"/>
  <c r="Z3172" i="1" s="1"/>
  <c r="Z3173" i="1" s="1"/>
  <c r="Z3174" i="1" s="1"/>
  <c r="Z3175" i="1" s="1"/>
  <c r="Z3176" i="1" s="1"/>
  <c r="Z3177" i="1" s="1"/>
  <c r="Z3178" i="1" s="1"/>
  <c r="Z3179" i="1" s="1"/>
  <c r="Z3180" i="1" s="1"/>
  <c r="Z3181" i="1" s="1"/>
  <c r="Z3182" i="1" s="1"/>
  <c r="Z3183" i="1" s="1"/>
  <c r="Z3184" i="1" s="1"/>
  <c r="Z3185" i="1" s="1"/>
  <c r="Z3186" i="1" s="1"/>
  <c r="Z3187" i="1" s="1"/>
  <c r="Z3188" i="1" s="1"/>
  <c r="Z3189" i="1" s="1"/>
  <c r="Z3190" i="1" s="1"/>
  <c r="Z3191" i="1" s="1"/>
  <c r="Z3192" i="1" s="1"/>
  <c r="Z3193" i="1" s="1"/>
  <c r="Z3194" i="1" s="1"/>
  <c r="Z3195" i="1" s="1"/>
  <c r="Z3196" i="1" s="1"/>
  <c r="Z3197" i="1" s="1"/>
  <c r="Z3198" i="1" s="1"/>
  <c r="Z3199" i="1" s="1"/>
  <c r="Z3200" i="1" s="1"/>
  <c r="Z3201" i="1" s="1"/>
  <c r="Z3202" i="1" s="1"/>
  <c r="Z3203" i="1" s="1"/>
  <c r="Z3204" i="1" s="1"/>
  <c r="Z3205" i="1" s="1"/>
  <c r="Z3206" i="1" s="1"/>
  <c r="Z3207" i="1" s="1"/>
  <c r="Z3208" i="1" s="1"/>
  <c r="Z3209" i="1" s="1"/>
  <c r="Z3210" i="1" s="1"/>
  <c r="Z3211" i="1" s="1"/>
  <c r="Z3212" i="1" s="1"/>
  <c r="Z3213" i="1" s="1"/>
  <c r="Z3214" i="1" s="1"/>
  <c r="Z3215" i="1" s="1"/>
  <c r="Z3216" i="1" s="1"/>
  <c r="Z3217" i="1" s="1"/>
  <c r="Z3218" i="1" s="1"/>
  <c r="Z3219" i="1" s="1"/>
  <c r="Z3220" i="1" s="1"/>
  <c r="Z3221" i="1" s="1"/>
  <c r="Z3222" i="1" s="1"/>
  <c r="Z3223" i="1" s="1"/>
  <c r="Z3224" i="1" s="1"/>
  <c r="Z3225" i="1" s="1"/>
  <c r="Z3226" i="1" s="1"/>
  <c r="Z3227" i="1" s="1"/>
  <c r="Z3228" i="1" s="1"/>
  <c r="Z3229" i="1" s="1"/>
  <c r="Z3230" i="1" s="1"/>
  <c r="Z3231" i="1" s="1"/>
  <c r="Z3232" i="1" s="1"/>
  <c r="Z3233" i="1" s="1"/>
  <c r="Z3234" i="1" s="1"/>
  <c r="Z3235" i="1" s="1"/>
  <c r="Z3236" i="1" s="1"/>
  <c r="Z3237" i="1" s="1"/>
  <c r="Z3238" i="1" s="1"/>
  <c r="Z3239" i="1" s="1"/>
  <c r="Z3240" i="1" s="1"/>
  <c r="Z3241" i="1" s="1"/>
  <c r="Z3242" i="1" s="1"/>
  <c r="Z3243" i="1" s="1"/>
  <c r="Z3244" i="1" s="1"/>
  <c r="Z3245" i="1" s="1"/>
  <c r="Z3246" i="1" s="1"/>
  <c r="Z3247" i="1" s="1"/>
  <c r="Z3248" i="1" s="1"/>
  <c r="Z3249" i="1" s="1"/>
  <c r="Z3250" i="1" s="1"/>
  <c r="Z3251" i="1" s="1"/>
  <c r="Z3252" i="1" s="1"/>
  <c r="Z3253" i="1" s="1"/>
  <c r="Z3254" i="1" s="1"/>
  <c r="Z3255" i="1" s="1"/>
  <c r="Z3256" i="1" s="1"/>
  <c r="Z3257" i="1" s="1"/>
  <c r="Z3258" i="1" s="1"/>
  <c r="Z3259" i="1" s="1"/>
  <c r="Z3260" i="1" s="1"/>
  <c r="Z3261" i="1" s="1"/>
  <c r="Z3262" i="1" s="1"/>
  <c r="Z3263" i="1" s="1"/>
  <c r="Z3264" i="1" s="1"/>
  <c r="Z3265" i="1" s="1"/>
  <c r="Z3266" i="1" s="1"/>
  <c r="Z3267" i="1" s="1"/>
  <c r="Z3268" i="1" s="1"/>
  <c r="Z3269" i="1" s="1"/>
  <c r="Z3270" i="1" s="1"/>
  <c r="Z3271" i="1" s="1"/>
  <c r="Z3272" i="1" s="1"/>
  <c r="Z3273" i="1" s="1"/>
  <c r="Z3274" i="1" s="1"/>
  <c r="Z3275" i="1" s="1"/>
  <c r="Z3276" i="1" s="1"/>
  <c r="Z3277" i="1" s="1"/>
  <c r="Z3278" i="1" s="1"/>
  <c r="Z3279" i="1" s="1"/>
  <c r="Z3280" i="1" s="1"/>
  <c r="Z3281" i="1" s="1"/>
  <c r="Z3282" i="1" s="1"/>
  <c r="Z3283" i="1" s="1"/>
  <c r="Z3284" i="1" s="1"/>
  <c r="Z3285" i="1" s="1"/>
  <c r="Z3286" i="1" s="1"/>
  <c r="Z3287" i="1" s="1"/>
  <c r="Z3288" i="1" s="1"/>
  <c r="Z3289" i="1" s="1"/>
  <c r="Z3290" i="1" s="1"/>
  <c r="Z3291" i="1" s="1"/>
  <c r="Z3292" i="1" s="1"/>
  <c r="Z3293" i="1" s="1"/>
  <c r="Z3294" i="1" s="1"/>
  <c r="Z3295" i="1" s="1"/>
  <c r="Z3296" i="1" s="1"/>
  <c r="Z3297" i="1" s="1"/>
  <c r="Z3298" i="1" s="1"/>
  <c r="Z3299" i="1" s="1"/>
  <c r="Z3300" i="1" s="1"/>
  <c r="Z3301" i="1" s="1"/>
  <c r="Z3302" i="1" s="1"/>
  <c r="Z3303" i="1" s="1"/>
  <c r="Z3304" i="1" s="1"/>
  <c r="Z3305" i="1" s="1"/>
  <c r="Z3306" i="1" s="1"/>
  <c r="Z3307" i="1" s="1"/>
  <c r="Z3308" i="1" s="1"/>
  <c r="Z3309" i="1" s="1"/>
  <c r="Z3310" i="1" s="1"/>
  <c r="Z3311" i="1" s="1"/>
  <c r="Z3312" i="1" s="1"/>
  <c r="Z3313" i="1" s="1"/>
  <c r="Z3314" i="1" s="1"/>
  <c r="Z3315" i="1" s="1"/>
  <c r="Z3316" i="1" s="1"/>
  <c r="Z3317" i="1" s="1"/>
  <c r="Z3318" i="1" s="1"/>
  <c r="Z3319" i="1" s="1"/>
  <c r="Z3320" i="1" s="1"/>
  <c r="Z3321" i="1" s="1"/>
  <c r="Z3322" i="1" s="1"/>
  <c r="Z3323" i="1" s="1"/>
  <c r="Z3324" i="1" s="1"/>
  <c r="Z3325" i="1" s="1"/>
  <c r="Z3326" i="1" s="1"/>
  <c r="Z3327" i="1" s="1"/>
  <c r="Z3328" i="1" s="1"/>
  <c r="Z3329" i="1" s="1"/>
  <c r="Z3330" i="1" s="1"/>
  <c r="Z3331" i="1" s="1"/>
  <c r="Z3332" i="1" s="1"/>
  <c r="Z3333" i="1" s="1"/>
  <c r="Z3334" i="1" s="1"/>
  <c r="Z3335" i="1" s="1"/>
  <c r="Z3336" i="1" s="1"/>
  <c r="Z3337" i="1" s="1"/>
  <c r="Z3338" i="1" s="1"/>
  <c r="Z3339" i="1" s="1"/>
  <c r="Z3340" i="1" s="1"/>
  <c r="Z3341" i="1" s="1"/>
  <c r="Z3342" i="1" s="1"/>
  <c r="Z3343" i="1" s="1"/>
  <c r="Z3344" i="1" s="1"/>
  <c r="Z3345" i="1" s="1"/>
  <c r="Z3346" i="1" s="1"/>
  <c r="Z3347" i="1" s="1"/>
  <c r="Z3348" i="1" s="1"/>
  <c r="Z3349" i="1" s="1"/>
  <c r="Z3350" i="1" s="1"/>
  <c r="Z3351" i="1" s="1"/>
  <c r="Z3352" i="1" s="1"/>
  <c r="Z3353" i="1" s="1"/>
  <c r="Z3354" i="1" s="1"/>
  <c r="Z3355" i="1" s="1"/>
  <c r="Z3356" i="1" s="1"/>
  <c r="Z3357" i="1" s="1"/>
  <c r="Z3358" i="1" s="1"/>
  <c r="Z3359" i="1" s="1"/>
  <c r="Z3360" i="1" s="1"/>
  <c r="Z3361" i="1" s="1"/>
  <c r="Z3362" i="1" s="1"/>
  <c r="Z3363" i="1" s="1"/>
  <c r="Z3364" i="1" s="1"/>
  <c r="Z3365" i="1" s="1"/>
  <c r="Z3366" i="1" s="1"/>
  <c r="Z3367" i="1" s="1"/>
  <c r="Z3368" i="1" s="1"/>
  <c r="Z3369" i="1" s="1"/>
  <c r="Z3370" i="1" s="1"/>
  <c r="Z3371" i="1" s="1"/>
  <c r="Z3372" i="1" s="1"/>
  <c r="Z3373" i="1" s="1"/>
  <c r="Z3374" i="1" s="1"/>
  <c r="Z3375" i="1" s="1"/>
  <c r="Z3376" i="1" s="1"/>
  <c r="Z3377" i="1" s="1"/>
  <c r="Z3378" i="1" s="1"/>
  <c r="Z3379" i="1" s="1"/>
  <c r="Z3380" i="1" s="1"/>
  <c r="Z3381" i="1" s="1"/>
  <c r="Z3382" i="1" s="1"/>
  <c r="Z3383" i="1" s="1"/>
  <c r="Z3384" i="1" s="1"/>
  <c r="Z3385" i="1" s="1"/>
  <c r="Z3386" i="1" s="1"/>
  <c r="Z3387" i="1" s="1"/>
  <c r="Z3388" i="1" s="1"/>
  <c r="Z3389" i="1" s="1"/>
  <c r="Z3390" i="1" s="1"/>
  <c r="Z3391" i="1" s="1"/>
  <c r="Z3392" i="1" s="1"/>
  <c r="Z3393" i="1" s="1"/>
  <c r="Z3394" i="1" s="1"/>
  <c r="Z3395" i="1" s="1"/>
  <c r="Z3396" i="1" s="1"/>
  <c r="Z3397" i="1" s="1"/>
  <c r="Z3398" i="1" s="1"/>
  <c r="Z3399" i="1" s="1"/>
  <c r="Z3400" i="1" s="1"/>
  <c r="Z3401" i="1" s="1"/>
  <c r="Z3402" i="1" s="1"/>
  <c r="Z3403" i="1" s="1"/>
  <c r="Z3404" i="1" s="1"/>
  <c r="Z3405" i="1" s="1"/>
  <c r="Z3406" i="1" s="1"/>
  <c r="Z3407" i="1" s="1"/>
  <c r="Z3408" i="1" s="1"/>
  <c r="Z3409" i="1" s="1"/>
  <c r="Z3410" i="1" s="1"/>
  <c r="Z3411" i="1" s="1"/>
  <c r="Z3412" i="1" s="1"/>
  <c r="Z3413" i="1" s="1"/>
  <c r="Z3414" i="1" s="1"/>
  <c r="Z3415" i="1" s="1"/>
  <c r="Z3416" i="1" s="1"/>
  <c r="Z3417" i="1" s="1"/>
  <c r="Z3418" i="1" s="1"/>
  <c r="Z3419" i="1" s="1"/>
  <c r="Z3420" i="1" s="1"/>
  <c r="Z3421" i="1" s="1"/>
  <c r="Z3422" i="1" s="1"/>
  <c r="Z3423" i="1" s="1"/>
  <c r="Z3424" i="1" s="1"/>
  <c r="Z3425" i="1" s="1"/>
  <c r="Z3426" i="1" s="1"/>
  <c r="Z3427" i="1" s="1"/>
  <c r="Z3428" i="1" s="1"/>
  <c r="Z3429" i="1" s="1"/>
  <c r="Z3430" i="1" s="1"/>
  <c r="Z3431" i="1" s="1"/>
  <c r="Z3432" i="1" s="1"/>
  <c r="Z3433" i="1" s="1"/>
  <c r="Z3434" i="1" s="1"/>
  <c r="Z3435" i="1" s="1"/>
  <c r="Z3436" i="1" s="1"/>
  <c r="Z3437" i="1" s="1"/>
  <c r="Z3438" i="1" s="1"/>
  <c r="Z3439" i="1" s="1"/>
  <c r="Z3440" i="1" s="1"/>
  <c r="Z3441" i="1" s="1"/>
  <c r="Z3442" i="1" s="1"/>
  <c r="Z3443" i="1" s="1"/>
  <c r="Z3444" i="1" s="1"/>
  <c r="Z3445" i="1" s="1"/>
  <c r="Z3446" i="1" s="1"/>
  <c r="Z3447" i="1" s="1"/>
  <c r="Z3448" i="1" s="1"/>
  <c r="Z3449" i="1" s="1"/>
  <c r="Z3450" i="1" s="1"/>
  <c r="Z3451" i="1" s="1"/>
  <c r="Z3452" i="1" s="1"/>
  <c r="Z3453" i="1" s="1"/>
  <c r="Z3454" i="1" s="1"/>
  <c r="Z3455" i="1" s="1"/>
  <c r="Z3456" i="1" s="1"/>
  <c r="Z3457" i="1" s="1"/>
  <c r="Z3458" i="1" s="1"/>
  <c r="Z3459" i="1" s="1"/>
  <c r="Z3460" i="1" s="1"/>
  <c r="Z3461" i="1" s="1"/>
  <c r="Z3462" i="1" s="1"/>
  <c r="Z3463" i="1" s="1"/>
  <c r="Z3464" i="1" s="1"/>
  <c r="Z3465" i="1" s="1"/>
  <c r="Z3466" i="1" s="1"/>
  <c r="Z3467" i="1" s="1"/>
  <c r="Z3468" i="1" s="1"/>
  <c r="Z3469" i="1" s="1"/>
  <c r="Z3470" i="1" s="1"/>
  <c r="Z3471" i="1" s="1"/>
  <c r="Z3472" i="1" s="1"/>
  <c r="Z3473" i="1" s="1"/>
  <c r="Z3474" i="1" s="1"/>
  <c r="Z3475" i="1" s="1"/>
  <c r="Z3476" i="1" s="1"/>
  <c r="Z3477" i="1" s="1"/>
  <c r="Z3478" i="1" s="1"/>
  <c r="Z3479" i="1" s="1"/>
  <c r="Z3480" i="1" s="1"/>
  <c r="Z3481" i="1" s="1"/>
  <c r="Z3482" i="1" s="1"/>
  <c r="Z3483" i="1" s="1"/>
  <c r="Z3484" i="1" s="1"/>
  <c r="Z3485" i="1" s="1"/>
  <c r="Z3486" i="1" s="1"/>
  <c r="Z3487" i="1" s="1"/>
  <c r="Z3488" i="1" s="1"/>
  <c r="Z3489" i="1" s="1"/>
  <c r="Z3490" i="1" s="1"/>
  <c r="Z3491" i="1" s="1"/>
  <c r="Z3492" i="1" s="1"/>
  <c r="Z3493" i="1" s="1"/>
  <c r="Z3494" i="1" s="1"/>
  <c r="Z3495" i="1" s="1"/>
  <c r="Z3496" i="1" s="1"/>
  <c r="Z3497" i="1" s="1"/>
  <c r="Z3498" i="1" s="1"/>
  <c r="Z3499" i="1" s="1"/>
  <c r="Z3500" i="1" s="1"/>
  <c r="Z3501" i="1" s="1"/>
  <c r="Z3502" i="1" s="1"/>
  <c r="Z3503" i="1" s="1"/>
  <c r="Z3504" i="1" s="1"/>
  <c r="Z3505" i="1" s="1"/>
  <c r="Z3506" i="1" s="1"/>
  <c r="Z3507" i="1" s="1"/>
  <c r="V7" i="9"/>
  <c r="M7" i="9"/>
  <c r="M5" i="9"/>
  <c r="J3504" i="1" l="1"/>
  <c r="G3504" i="1"/>
  <c r="J3503" i="1"/>
  <c r="G3503" i="1"/>
  <c r="J3502" i="1"/>
  <c r="G3502" i="1"/>
  <c r="J3501" i="1"/>
  <c r="G3501" i="1"/>
  <c r="J3500" i="1"/>
  <c r="G3500" i="1"/>
  <c r="J3499" i="1"/>
  <c r="G3499" i="1"/>
  <c r="J3498" i="1"/>
  <c r="G3498" i="1"/>
  <c r="J3497" i="1"/>
  <c r="G3497" i="1"/>
  <c r="J3496" i="1"/>
  <c r="G3496" i="1"/>
  <c r="J3495" i="1"/>
  <c r="G3495" i="1"/>
  <c r="J3494" i="1"/>
  <c r="G3494" i="1"/>
  <c r="J3493" i="1"/>
  <c r="G3493" i="1"/>
  <c r="J3492" i="1"/>
  <c r="G3492" i="1"/>
  <c r="J3491" i="1"/>
  <c r="G3491" i="1"/>
  <c r="J3490" i="1"/>
  <c r="G3490" i="1"/>
  <c r="J3489" i="1"/>
  <c r="G3489" i="1"/>
  <c r="J3488" i="1"/>
  <c r="G3488" i="1"/>
  <c r="J3487" i="1"/>
  <c r="G3487" i="1"/>
  <c r="J3486" i="1"/>
  <c r="G3486" i="1"/>
  <c r="J3485" i="1"/>
  <c r="G3485" i="1"/>
  <c r="J3484" i="1"/>
  <c r="G3484" i="1"/>
  <c r="J3483" i="1"/>
  <c r="G3483" i="1"/>
  <c r="J3482" i="1"/>
  <c r="G3482" i="1"/>
  <c r="J3481" i="1"/>
  <c r="G3481" i="1"/>
  <c r="J3480" i="1"/>
  <c r="G3480" i="1"/>
  <c r="J3479" i="1"/>
  <c r="G3479" i="1"/>
  <c r="J3478" i="1"/>
  <c r="G3478" i="1"/>
  <c r="J3477" i="1"/>
  <c r="G3477" i="1"/>
  <c r="J3476" i="1"/>
  <c r="G3476" i="1"/>
  <c r="J3475" i="1"/>
  <c r="G3475" i="1"/>
  <c r="J3474" i="1"/>
  <c r="G3474" i="1"/>
  <c r="J3473" i="1"/>
  <c r="G3473" i="1"/>
  <c r="J3472" i="1"/>
  <c r="G3472" i="1"/>
  <c r="J3471" i="1"/>
  <c r="G3471" i="1"/>
  <c r="J3470" i="1"/>
  <c r="G3470" i="1"/>
  <c r="J3469" i="1"/>
  <c r="G3469" i="1"/>
  <c r="J3468" i="1"/>
  <c r="G3468" i="1"/>
  <c r="J3467" i="1"/>
  <c r="G3467" i="1"/>
  <c r="J3466" i="1"/>
  <c r="G3466" i="1"/>
  <c r="J3465" i="1"/>
  <c r="G3465" i="1"/>
  <c r="J3464" i="1"/>
  <c r="G3464" i="1"/>
  <c r="J3463" i="1"/>
  <c r="G3463" i="1"/>
  <c r="J3462" i="1"/>
  <c r="G3462" i="1"/>
  <c r="J3461" i="1"/>
  <c r="G3461" i="1"/>
  <c r="J3460" i="1"/>
  <c r="G3460" i="1"/>
  <c r="J3459" i="1"/>
  <c r="G3459" i="1"/>
  <c r="J3458" i="1"/>
  <c r="G3458" i="1"/>
  <c r="J3457" i="1"/>
  <c r="G3457" i="1"/>
  <c r="J3456" i="1"/>
  <c r="G3456" i="1"/>
  <c r="J3455" i="1"/>
  <c r="G3455" i="1"/>
  <c r="J3454" i="1"/>
  <c r="G3454" i="1"/>
  <c r="J3453" i="1"/>
  <c r="G3453" i="1"/>
  <c r="J3452" i="1"/>
  <c r="G3452" i="1"/>
  <c r="J3451" i="1"/>
  <c r="G3451" i="1"/>
  <c r="J3450" i="1"/>
  <c r="G3450" i="1"/>
  <c r="J3449" i="1"/>
  <c r="G3449" i="1"/>
  <c r="J3448" i="1"/>
  <c r="G3448" i="1"/>
  <c r="J3447" i="1"/>
  <c r="G3447" i="1"/>
  <c r="J3446" i="1"/>
  <c r="G3446" i="1"/>
  <c r="J3445" i="1"/>
  <c r="G3445" i="1"/>
  <c r="J3444" i="1"/>
  <c r="G3444" i="1"/>
  <c r="J3443" i="1"/>
  <c r="G3443" i="1"/>
  <c r="J3442" i="1"/>
  <c r="G3442" i="1"/>
  <c r="J3441" i="1"/>
  <c r="G3441" i="1"/>
  <c r="J3440" i="1"/>
  <c r="G3440" i="1"/>
  <c r="J3439" i="1"/>
  <c r="G3439" i="1"/>
  <c r="J3438" i="1"/>
  <c r="G3438" i="1"/>
  <c r="J3437" i="1"/>
  <c r="G3437" i="1"/>
  <c r="J3436" i="1"/>
  <c r="G3436" i="1"/>
  <c r="J3435" i="1"/>
  <c r="G3435" i="1"/>
  <c r="J3434" i="1"/>
  <c r="G3434" i="1"/>
  <c r="J3433" i="1"/>
  <c r="G3433" i="1"/>
  <c r="J3432" i="1"/>
  <c r="G3432" i="1"/>
  <c r="J3431" i="1"/>
  <c r="G3431" i="1"/>
  <c r="J3430" i="1"/>
  <c r="G3430" i="1"/>
  <c r="J3429" i="1"/>
  <c r="G3429" i="1"/>
  <c r="J3428" i="1"/>
  <c r="G3428" i="1"/>
  <c r="J3427" i="1"/>
  <c r="G3427" i="1"/>
  <c r="J3426" i="1"/>
  <c r="G3426" i="1"/>
  <c r="J3425" i="1"/>
  <c r="G3425" i="1"/>
  <c r="J3424" i="1"/>
  <c r="G3424" i="1"/>
  <c r="J3423" i="1"/>
  <c r="G3423" i="1"/>
  <c r="J3422" i="1"/>
  <c r="G3422" i="1"/>
  <c r="J3421" i="1"/>
  <c r="G3421" i="1"/>
  <c r="J3420" i="1"/>
  <c r="G3420" i="1"/>
  <c r="J3419" i="1"/>
  <c r="G3419" i="1"/>
  <c r="J3418" i="1"/>
  <c r="G3418" i="1"/>
  <c r="J3417" i="1"/>
  <c r="G3417" i="1"/>
  <c r="J3416" i="1"/>
  <c r="G3416" i="1"/>
  <c r="J3415" i="1"/>
  <c r="G3415" i="1"/>
  <c r="J3414" i="1"/>
  <c r="G3414" i="1"/>
  <c r="J3413" i="1"/>
  <c r="G3413" i="1"/>
  <c r="J3412" i="1"/>
  <c r="G3412" i="1"/>
  <c r="J3411" i="1"/>
  <c r="G3411" i="1"/>
  <c r="J3410" i="1"/>
  <c r="G3410" i="1"/>
  <c r="J3409" i="1"/>
  <c r="G3409" i="1"/>
  <c r="J3408" i="1"/>
  <c r="G3408" i="1"/>
  <c r="J3407" i="1"/>
  <c r="G3407" i="1"/>
  <c r="J3406" i="1"/>
  <c r="G3406" i="1"/>
  <c r="J3405" i="1"/>
  <c r="G3405" i="1"/>
  <c r="J3404" i="1"/>
  <c r="G3404" i="1"/>
  <c r="J3403" i="1"/>
  <c r="G3403" i="1"/>
  <c r="J3402" i="1"/>
  <c r="G3402" i="1"/>
  <c r="J3401" i="1"/>
  <c r="G3401" i="1"/>
  <c r="J3400" i="1"/>
  <c r="G3400" i="1"/>
  <c r="J3399" i="1"/>
  <c r="G3399" i="1"/>
  <c r="J3398" i="1"/>
  <c r="G3398" i="1"/>
  <c r="J3397" i="1"/>
  <c r="G3397" i="1"/>
  <c r="J3396" i="1"/>
  <c r="G3396" i="1"/>
  <c r="J3395" i="1"/>
  <c r="G3395" i="1"/>
  <c r="J3394" i="1"/>
  <c r="G3394" i="1"/>
  <c r="J3393" i="1"/>
  <c r="G3393" i="1"/>
  <c r="J3392" i="1"/>
  <c r="G3392" i="1"/>
  <c r="J3391" i="1"/>
  <c r="G3391" i="1"/>
  <c r="J3390" i="1"/>
  <c r="G3390" i="1"/>
  <c r="J3389" i="1"/>
  <c r="G3389" i="1"/>
  <c r="J3388" i="1"/>
  <c r="G3388" i="1"/>
  <c r="J3387" i="1"/>
  <c r="G3387" i="1"/>
  <c r="J3386" i="1"/>
  <c r="G3386" i="1"/>
  <c r="J3385" i="1"/>
  <c r="G3385" i="1"/>
  <c r="J3384" i="1"/>
  <c r="G3384" i="1"/>
  <c r="J3383" i="1"/>
  <c r="G3383" i="1"/>
  <c r="J3382" i="1"/>
  <c r="G3382" i="1"/>
  <c r="J3381" i="1"/>
  <c r="G3381" i="1"/>
  <c r="J3380" i="1"/>
  <c r="G3380" i="1"/>
  <c r="J3379" i="1"/>
  <c r="G3379" i="1"/>
  <c r="J3378" i="1"/>
  <c r="G3378" i="1"/>
  <c r="J3377" i="1"/>
  <c r="G3377" i="1"/>
  <c r="J3376" i="1"/>
  <c r="G3376" i="1"/>
  <c r="J3375" i="1"/>
  <c r="G3375" i="1"/>
  <c r="J3374" i="1"/>
  <c r="G3374" i="1"/>
  <c r="J3373" i="1" l="1"/>
  <c r="G3373" i="1"/>
  <c r="J3372" i="1"/>
  <c r="G3372" i="1"/>
  <c r="J3371" i="1"/>
  <c r="G3371" i="1"/>
  <c r="J3370" i="1"/>
  <c r="G3370" i="1"/>
  <c r="J3369" i="1"/>
  <c r="G3369" i="1"/>
  <c r="J3368" i="1"/>
  <c r="G3368" i="1"/>
  <c r="J3367" i="1"/>
  <c r="G3367" i="1"/>
  <c r="J3366" i="1"/>
  <c r="G3366" i="1"/>
  <c r="J3365" i="1"/>
  <c r="G3365" i="1"/>
  <c r="J3364" i="1"/>
  <c r="G3364" i="1"/>
  <c r="J3363" i="1"/>
  <c r="G3363" i="1"/>
  <c r="J3362" i="1"/>
  <c r="G3362" i="1"/>
  <c r="J3361" i="1"/>
  <c r="G3361" i="1"/>
  <c r="J3360" i="1"/>
  <c r="G3360" i="1"/>
  <c r="J3359" i="1"/>
  <c r="G3359" i="1"/>
  <c r="J3358" i="1"/>
  <c r="G3358" i="1"/>
  <c r="J3357" i="1"/>
  <c r="G3357" i="1"/>
  <c r="J3356" i="1"/>
  <c r="G3356" i="1"/>
  <c r="J3355" i="1"/>
  <c r="G3355" i="1"/>
  <c r="J3354" i="1"/>
  <c r="G3354" i="1"/>
  <c r="J3353" i="1"/>
  <c r="G3353" i="1"/>
  <c r="J3352" i="1"/>
  <c r="G3352" i="1"/>
  <c r="J3351" i="1"/>
  <c r="G3351" i="1"/>
  <c r="J3350" i="1"/>
  <c r="G3350" i="1"/>
  <c r="J3349" i="1"/>
  <c r="G3349" i="1"/>
  <c r="J3348" i="1"/>
  <c r="G3348" i="1"/>
  <c r="J3347" i="1"/>
  <c r="G3347" i="1"/>
  <c r="J3346" i="1"/>
  <c r="G3346" i="1"/>
  <c r="J3345" i="1"/>
  <c r="G3345" i="1"/>
  <c r="J3344" i="1"/>
  <c r="G3344" i="1"/>
  <c r="J3343" i="1"/>
  <c r="G3343" i="1"/>
  <c r="J3342" i="1"/>
  <c r="G3342" i="1"/>
  <c r="J3341" i="1"/>
  <c r="G3341" i="1"/>
  <c r="J3340" i="1"/>
  <c r="G3340" i="1"/>
  <c r="J3339" i="1"/>
  <c r="G3339" i="1"/>
  <c r="J3338" i="1"/>
  <c r="G3338" i="1"/>
  <c r="J3337" i="1"/>
  <c r="G3337" i="1"/>
  <c r="J3336" i="1"/>
  <c r="G3336" i="1"/>
  <c r="J3335" i="1"/>
  <c r="G3335" i="1"/>
  <c r="J3334" i="1"/>
  <c r="G3334" i="1"/>
  <c r="J3333" i="1"/>
  <c r="G3333" i="1"/>
  <c r="J3332" i="1"/>
  <c r="G3332" i="1"/>
  <c r="J3331" i="1"/>
  <c r="G3331" i="1"/>
  <c r="J3330" i="1"/>
  <c r="G3330" i="1"/>
  <c r="J3329" i="1"/>
  <c r="G3329" i="1"/>
  <c r="J3328" i="1"/>
  <c r="G3328" i="1"/>
  <c r="J3327" i="1"/>
  <c r="G3327" i="1"/>
  <c r="J3326" i="1"/>
  <c r="G3326" i="1"/>
  <c r="J3325" i="1"/>
  <c r="G3325" i="1"/>
  <c r="J3324" i="1"/>
  <c r="G3324" i="1"/>
  <c r="J3323" i="1"/>
  <c r="G3323" i="1"/>
  <c r="J3322" i="1"/>
  <c r="G3322" i="1"/>
  <c r="J3321" i="1"/>
  <c r="G3321" i="1"/>
  <c r="J3320" i="1"/>
  <c r="G3320" i="1"/>
  <c r="J3319" i="1"/>
  <c r="G3319" i="1"/>
  <c r="J3318" i="1"/>
  <c r="G3318" i="1"/>
  <c r="J3317" i="1"/>
  <c r="G3317" i="1"/>
  <c r="J3316" i="1"/>
  <c r="G3316" i="1"/>
  <c r="J3315" i="1"/>
  <c r="G3315" i="1"/>
  <c r="J3314" i="1"/>
  <c r="G3314" i="1"/>
  <c r="J3313" i="1"/>
  <c r="G3313" i="1"/>
  <c r="J3312" i="1"/>
  <c r="G3312" i="1"/>
  <c r="J3311" i="1"/>
  <c r="G3311" i="1"/>
  <c r="J3310" i="1"/>
  <c r="G3310" i="1"/>
  <c r="J3309" i="1"/>
  <c r="G3309" i="1"/>
  <c r="J3308" i="1"/>
  <c r="G3308" i="1"/>
  <c r="J3307" i="1"/>
  <c r="G3307" i="1"/>
  <c r="J3306" i="1"/>
  <c r="G3306" i="1"/>
  <c r="J3305" i="1"/>
  <c r="G3305" i="1"/>
  <c r="J3304" i="1"/>
  <c r="G3304" i="1"/>
  <c r="J3303" i="1"/>
  <c r="G3303" i="1"/>
  <c r="J3302" i="1"/>
  <c r="G3302" i="1"/>
  <c r="J3301" i="1"/>
  <c r="G3301" i="1"/>
  <c r="J3300" i="1"/>
  <c r="G3300" i="1"/>
  <c r="J3299" i="1"/>
  <c r="G3299" i="1"/>
  <c r="J3298" i="1"/>
  <c r="G3298" i="1"/>
  <c r="J3297" i="1"/>
  <c r="G3297" i="1"/>
  <c r="J3296" i="1"/>
  <c r="G3296" i="1"/>
  <c r="J3295" i="1"/>
  <c r="G3295" i="1"/>
  <c r="J3294" i="1"/>
  <c r="G3294" i="1"/>
  <c r="J3293" i="1"/>
  <c r="G3293" i="1"/>
  <c r="J3292" i="1"/>
  <c r="G3292" i="1"/>
  <c r="J3291" i="1"/>
  <c r="G3291" i="1"/>
  <c r="J3290" i="1"/>
  <c r="G3290" i="1"/>
  <c r="J3289" i="1"/>
  <c r="G3289" i="1"/>
  <c r="J3288" i="1"/>
  <c r="G3288" i="1"/>
  <c r="J3287" i="1"/>
  <c r="G3287" i="1"/>
  <c r="J3286" i="1"/>
  <c r="G3286" i="1"/>
  <c r="J3285" i="1"/>
  <c r="G3285" i="1"/>
  <c r="J3284" i="1"/>
  <c r="G3284" i="1"/>
  <c r="J3283" i="1"/>
  <c r="G3283" i="1"/>
  <c r="J3282" i="1"/>
  <c r="G3282" i="1"/>
  <c r="J3281" i="1"/>
  <c r="G3281" i="1"/>
  <c r="J3280" i="1"/>
  <c r="G3280" i="1"/>
  <c r="J3279" i="1"/>
  <c r="G3279" i="1"/>
  <c r="J3278" i="1"/>
  <c r="G3278" i="1"/>
  <c r="J3277" i="1"/>
  <c r="G3277" i="1"/>
  <c r="J3276" i="1"/>
  <c r="G3276" i="1"/>
  <c r="J3275" i="1"/>
  <c r="G3275" i="1"/>
  <c r="J3274" i="1"/>
  <c r="G3274" i="1"/>
  <c r="J3273" i="1"/>
  <c r="G3273" i="1"/>
  <c r="J3272" i="1"/>
  <c r="G3272" i="1"/>
  <c r="J3271" i="1"/>
  <c r="G3271" i="1"/>
  <c r="J3270" i="1"/>
  <c r="G3270" i="1"/>
  <c r="J3269" i="1"/>
  <c r="G3269" i="1"/>
  <c r="J3268" i="1"/>
  <c r="G3268" i="1"/>
  <c r="J3267" i="1"/>
  <c r="G3267" i="1"/>
  <c r="J3266" i="1"/>
  <c r="G3266" i="1"/>
  <c r="J3265" i="1"/>
  <c r="G3265" i="1"/>
  <c r="J3264" i="1"/>
  <c r="G3264" i="1"/>
  <c r="J3263" i="1"/>
  <c r="G3263" i="1"/>
  <c r="J3262" i="1"/>
  <c r="G3262" i="1"/>
  <c r="J3261" i="1"/>
  <c r="G3261" i="1"/>
  <c r="J3260" i="1"/>
  <c r="G3260" i="1"/>
  <c r="J3259" i="1"/>
  <c r="G3259" i="1"/>
  <c r="J3258" i="1"/>
  <c r="G3258" i="1"/>
  <c r="J3257" i="1"/>
  <c r="G3257" i="1"/>
  <c r="J3256" i="1"/>
  <c r="G3256" i="1"/>
  <c r="J3255" i="1"/>
  <c r="G3255" i="1"/>
  <c r="J3254" i="1"/>
  <c r="G3254" i="1"/>
  <c r="J3253" i="1"/>
  <c r="G3253" i="1"/>
  <c r="J3252" i="1"/>
  <c r="G3252" i="1"/>
  <c r="J3251" i="1"/>
  <c r="G3251" i="1"/>
  <c r="J3250" i="1"/>
  <c r="G3250" i="1"/>
  <c r="J3249" i="1"/>
  <c r="G3249" i="1"/>
  <c r="J3248" i="1"/>
  <c r="G3248" i="1"/>
  <c r="J3247" i="1"/>
  <c r="G3247" i="1"/>
  <c r="J3246" i="1"/>
  <c r="G3246" i="1"/>
  <c r="J3245" i="1"/>
  <c r="G3245" i="1"/>
  <c r="J3244" i="1"/>
  <c r="G3244" i="1"/>
  <c r="J3243" i="1"/>
  <c r="G3243" i="1"/>
  <c r="J3242" i="1"/>
  <c r="G3242" i="1"/>
  <c r="J3241" i="1"/>
  <c r="G3241" i="1"/>
  <c r="J3240" i="1"/>
  <c r="G3240" i="1"/>
  <c r="J3239" i="1"/>
  <c r="G3239" i="1"/>
  <c r="J3238" i="1"/>
  <c r="G3238" i="1"/>
  <c r="J3237" i="1"/>
  <c r="G3237" i="1"/>
  <c r="J3236" i="1"/>
  <c r="G3236" i="1"/>
  <c r="J3235" i="1"/>
  <c r="G3235" i="1"/>
  <c r="J3234" i="1"/>
  <c r="G3234" i="1"/>
  <c r="J3233" i="1"/>
  <c r="G3233" i="1"/>
  <c r="J3232" i="1"/>
  <c r="G3232" i="1"/>
  <c r="J3231" i="1"/>
  <c r="G3231" i="1"/>
  <c r="J3230" i="1"/>
  <c r="G3230" i="1"/>
  <c r="J3229" i="1"/>
  <c r="G3229" i="1"/>
  <c r="J3228" i="1"/>
  <c r="G3228" i="1"/>
  <c r="J3227" i="1"/>
  <c r="G3227" i="1"/>
  <c r="J3226" i="1"/>
  <c r="G3226" i="1"/>
  <c r="J3225" i="1"/>
  <c r="G3225" i="1"/>
  <c r="J3224" i="1"/>
  <c r="G3224" i="1"/>
  <c r="J3223" i="1"/>
  <c r="G3223" i="1"/>
  <c r="J3222" i="1"/>
  <c r="G3222" i="1"/>
  <c r="J3221" i="1"/>
  <c r="G3221" i="1"/>
  <c r="J3220" i="1"/>
  <c r="G3220" i="1"/>
  <c r="J3219" i="1"/>
  <c r="G3219" i="1"/>
  <c r="J3218" i="1"/>
  <c r="G3218" i="1"/>
  <c r="J3217" i="1"/>
  <c r="G3217" i="1"/>
  <c r="J3216" i="1"/>
  <c r="G3216" i="1"/>
  <c r="J3215" i="1"/>
  <c r="G3215" i="1"/>
  <c r="J3214" i="1"/>
  <c r="G3214" i="1"/>
  <c r="J3213" i="1"/>
  <c r="G3213" i="1"/>
  <c r="J3212" i="1"/>
  <c r="G3212" i="1"/>
  <c r="J3211" i="1"/>
  <c r="G3211" i="1"/>
  <c r="J3210" i="1"/>
  <c r="G3210" i="1"/>
  <c r="J3209" i="1"/>
  <c r="G3209" i="1"/>
  <c r="J3208" i="1"/>
  <c r="G3208" i="1"/>
  <c r="J3207" i="1"/>
  <c r="G3207" i="1"/>
  <c r="J3206" i="1"/>
  <c r="G3206" i="1"/>
  <c r="J3205" i="1"/>
  <c r="G3205" i="1"/>
  <c r="J3204" i="1"/>
  <c r="G3204" i="1"/>
  <c r="J3203" i="1"/>
  <c r="G3203" i="1"/>
  <c r="J3202" i="1"/>
  <c r="G3202" i="1"/>
  <c r="J3201" i="1"/>
  <c r="G3201" i="1"/>
  <c r="J3200" i="1"/>
  <c r="G3200" i="1"/>
  <c r="J3199" i="1"/>
  <c r="G3199" i="1"/>
  <c r="J3198" i="1"/>
  <c r="G3198" i="1"/>
  <c r="J3197" i="1"/>
  <c r="G3197" i="1"/>
  <c r="J3196" i="1"/>
  <c r="G3196" i="1"/>
  <c r="J3195" i="1"/>
  <c r="G3195" i="1"/>
  <c r="J3194" i="1"/>
  <c r="G3194" i="1"/>
  <c r="J3193" i="1"/>
  <c r="G3193" i="1"/>
  <c r="J3192" i="1"/>
  <c r="G3192" i="1"/>
  <c r="J3191" i="1"/>
  <c r="G3191" i="1"/>
  <c r="J3190" i="1"/>
  <c r="G3190" i="1"/>
  <c r="J3189" i="1"/>
  <c r="G3189" i="1"/>
  <c r="J3188" i="1"/>
  <c r="G3188" i="1"/>
  <c r="J3187" i="1"/>
  <c r="G3187" i="1"/>
  <c r="J3186" i="1"/>
  <c r="G3186" i="1"/>
  <c r="J3185" i="1"/>
  <c r="G3185" i="1"/>
  <c r="J3184" i="1"/>
  <c r="G3184" i="1"/>
  <c r="J3183" i="1"/>
  <c r="G3183" i="1"/>
  <c r="J3182" i="1"/>
  <c r="G3182" i="1"/>
  <c r="J3181" i="1"/>
  <c r="G3181" i="1"/>
  <c r="J3180" i="1"/>
  <c r="G3180" i="1"/>
  <c r="J3179" i="1"/>
  <c r="G3179" i="1"/>
  <c r="J3178" i="1"/>
  <c r="G3178" i="1"/>
  <c r="J3177" i="1"/>
  <c r="G3177" i="1"/>
  <c r="J3176" i="1"/>
  <c r="G3176" i="1"/>
  <c r="J3175" i="1"/>
  <c r="G3175" i="1"/>
  <c r="J3174" i="1"/>
  <c r="G3174" i="1"/>
  <c r="J3173" i="1"/>
  <c r="G3173" i="1"/>
  <c r="J3172" i="1"/>
  <c r="G3172" i="1"/>
  <c r="J3171" i="1"/>
  <c r="G3171" i="1"/>
  <c r="J3170" i="1"/>
  <c r="G3170" i="1"/>
  <c r="J3169" i="1"/>
  <c r="G3169" i="1"/>
  <c r="J3168" i="1"/>
  <c r="G3168" i="1"/>
  <c r="J3167" i="1"/>
  <c r="G3167" i="1"/>
  <c r="J3166" i="1"/>
  <c r="G3166" i="1"/>
  <c r="J3165" i="1"/>
  <c r="G3165" i="1"/>
  <c r="J3164" i="1"/>
  <c r="G3164" i="1"/>
  <c r="J3163" i="1"/>
  <c r="G3163" i="1"/>
  <c r="J3162" i="1"/>
  <c r="G3162" i="1"/>
  <c r="J3161" i="1"/>
  <c r="G3161" i="1"/>
  <c r="J3160" i="1"/>
  <c r="G3160" i="1"/>
  <c r="J3159" i="1"/>
  <c r="G3159" i="1"/>
  <c r="J3158" i="1"/>
  <c r="G3158" i="1"/>
  <c r="J3157" i="1"/>
  <c r="G3157" i="1"/>
  <c r="J3156" i="1"/>
  <c r="G3156" i="1"/>
  <c r="J3155" i="1"/>
  <c r="G3155" i="1"/>
  <c r="J3154" i="1"/>
  <c r="G3154" i="1"/>
  <c r="J3153" i="1"/>
  <c r="G3153" i="1"/>
  <c r="J3152" i="1"/>
  <c r="G3152" i="1"/>
  <c r="J3151" i="1"/>
  <c r="G3151" i="1"/>
  <c r="J3150" i="1"/>
  <c r="G3150" i="1"/>
  <c r="J3149" i="1"/>
  <c r="G3149" i="1"/>
  <c r="J3148" i="1"/>
  <c r="G3148" i="1"/>
  <c r="J3147" i="1"/>
  <c r="G3147" i="1"/>
  <c r="J3146" i="1"/>
  <c r="G3146" i="1"/>
  <c r="J3145" i="1"/>
  <c r="G3145" i="1"/>
  <c r="J3144" i="1"/>
  <c r="G3144" i="1"/>
  <c r="J3143" i="1"/>
  <c r="G3143" i="1"/>
  <c r="J3142" i="1"/>
  <c r="G3142" i="1"/>
  <c r="J3141" i="1"/>
  <c r="G3141" i="1"/>
  <c r="J3140" i="1"/>
  <c r="G3140" i="1"/>
  <c r="J3139" i="1"/>
  <c r="G3139" i="1"/>
  <c r="J3138" i="1"/>
  <c r="G3138" i="1"/>
  <c r="J3137" i="1"/>
  <c r="G3137" i="1"/>
  <c r="J3136" i="1"/>
  <c r="G3136" i="1"/>
  <c r="J3135" i="1"/>
  <c r="G3135" i="1"/>
  <c r="J3134" i="1"/>
  <c r="G3134" i="1"/>
  <c r="J3133" i="1"/>
  <c r="G3133" i="1"/>
  <c r="J3132" i="1"/>
  <c r="G3132" i="1"/>
  <c r="J3131" i="1"/>
  <c r="G3131" i="1"/>
  <c r="J3130" i="1"/>
  <c r="G3130" i="1"/>
  <c r="J3129" i="1"/>
  <c r="G3129" i="1"/>
  <c r="J3128" i="1"/>
  <c r="G3128" i="1"/>
  <c r="J3127" i="1"/>
  <c r="G3127" i="1"/>
  <c r="J3126" i="1"/>
  <c r="G3126" i="1"/>
  <c r="J3125" i="1"/>
  <c r="G3125" i="1"/>
  <c r="J3124" i="1"/>
  <c r="G3124" i="1"/>
  <c r="J3123" i="1"/>
  <c r="G3123" i="1"/>
  <c r="J3122" i="1"/>
  <c r="G3122" i="1"/>
  <c r="J3121" i="1"/>
  <c r="G3121" i="1"/>
  <c r="J3120" i="1"/>
  <c r="G3120" i="1"/>
  <c r="J3119" i="1"/>
  <c r="G3119" i="1"/>
  <c r="J3118" i="1"/>
  <c r="G3118" i="1"/>
  <c r="J3117" i="1"/>
  <c r="G3117" i="1"/>
  <c r="J3116" i="1"/>
  <c r="G3116" i="1"/>
  <c r="J3115" i="1"/>
  <c r="G3115" i="1"/>
  <c r="J3114" i="1"/>
  <c r="G3114" i="1"/>
  <c r="J3113" i="1"/>
  <c r="G3113" i="1"/>
  <c r="J3112" i="1"/>
  <c r="G3112" i="1"/>
  <c r="J3111" i="1"/>
  <c r="G3111" i="1"/>
  <c r="J3110" i="1"/>
  <c r="G3110" i="1"/>
  <c r="J3109" i="1"/>
  <c r="G3109" i="1"/>
  <c r="J3108" i="1"/>
  <c r="G3108" i="1"/>
  <c r="J3107" i="1"/>
  <c r="G3107" i="1"/>
  <c r="J3106" i="1"/>
  <c r="G3106" i="1"/>
  <c r="J3105" i="1"/>
  <c r="G3105" i="1"/>
  <c r="J3104" i="1"/>
  <c r="G3104" i="1"/>
  <c r="J3103" i="1"/>
  <c r="G3103" i="1"/>
  <c r="J3102" i="1"/>
  <c r="G3102" i="1"/>
  <c r="J3101" i="1"/>
  <c r="G3101" i="1"/>
  <c r="J3100" i="1"/>
  <c r="G3100" i="1"/>
  <c r="J3099" i="1"/>
  <c r="G3099" i="1"/>
  <c r="J3098" i="1"/>
  <c r="G3098" i="1"/>
  <c r="J3097" i="1"/>
  <c r="G3097" i="1"/>
  <c r="J3096" i="1"/>
  <c r="G3096" i="1"/>
  <c r="J3095" i="1"/>
  <c r="G3095" i="1"/>
  <c r="J3094" i="1"/>
  <c r="G3094" i="1"/>
  <c r="J3093" i="1"/>
  <c r="G3093" i="1"/>
  <c r="J3092" i="1"/>
  <c r="G3092" i="1"/>
  <c r="J3091" i="1"/>
  <c r="G3091" i="1"/>
  <c r="J3090" i="1"/>
  <c r="G3090" i="1"/>
  <c r="J3089" i="1"/>
  <c r="G3089" i="1"/>
  <c r="J3088" i="1"/>
  <c r="G3088" i="1"/>
  <c r="J3087" i="1"/>
  <c r="G3087" i="1"/>
  <c r="J3086" i="1"/>
  <c r="G3086" i="1"/>
  <c r="J3085" i="1"/>
  <c r="G3085" i="1"/>
  <c r="J3084" i="1"/>
  <c r="G3084" i="1"/>
  <c r="J3083" i="1"/>
  <c r="G3083" i="1"/>
  <c r="J3082" i="1"/>
  <c r="G3082" i="1"/>
  <c r="J3081" i="1"/>
  <c r="G3081" i="1"/>
  <c r="J3080" i="1"/>
  <c r="G3080" i="1"/>
  <c r="J3079" i="1"/>
  <c r="G3079" i="1"/>
  <c r="J3078" i="1"/>
  <c r="G3078" i="1"/>
  <c r="J3077" i="1"/>
  <c r="G3077" i="1"/>
  <c r="J3076" i="1"/>
  <c r="G3076" i="1"/>
  <c r="J3075" i="1"/>
  <c r="G3075" i="1"/>
  <c r="J3074" i="1"/>
  <c r="G3074" i="1"/>
  <c r="J3073" i="1"/>
  <c r="G3073" i="1"/>
  <c r="J3072" i="1"/>
  <c r="G3072" i="1"/>
  <c r="J3071" i="1"/>
  <c r="G3071" i="1"/>
  <c r="J3070" i="1"/>
  <c r="G3070" i="1"/>
  <c r="J3069" i="1"/>
  <c r="G3069" i="1"/>
  <c r="J3068" i="1"/>
  <c r="G3068" i="1"/>
  <c r="J3067" i="1"/>
  <c r="G3067" i="1"/>
  <c r="J3066" i="1"/>
  <c r="G3066" i="1"/>
  <c r="J3065" i="1"/>
  <c r="G3065" i="1"/>
  <c r="J3064" i="1"/>
  <c r="G3064" i="1"/>
  <c r="J3063" i="1"/>
  <c r="G3063" i="1"/>
  <c r="J3062" i="1"/>
  <c r="G3062" i="1"/>
  <c r="J3061" i="1"/>
  <c r="G3061" i="1"/>
  <c r="J3060" i="1"/>
  <c r="G3060" i="1"/>
  <c r="J3059" i="1"/>
  <c r="G3059" i="1"/>
  <c r="J3058" i="1"/>
  <c r="G3058" i="1"/>
  <c r="J3057" i="1"/>
  <c r="G3057" i="1"/>
  <c r="J3056" i="1"/>
  <c r="G3056" i="1"/>
  <c r="J3055" i="1"/>
  <c r="G3055" i="1"/>
  <c r="J3054" i="1"/>
  <c r="G3054" i="1"/>
  <c r="J3053" i="1"/>
  <c r="G3053" i="1"/>
  <c r="J3052" i="1"/>
  <c r="G3052" i="1"/>
  <c r="J3051" i="1"/>
  <c r="G3051" i="1"/>
  <c r="J3050" i="1"/>
  <c r="G3050" i="1"/>
  <c r="J3049" i="1"/>
  <c r="G3049" i="1"/>
  <c r="J3048" i="1"/>
  <c r="G3048" i="1"/>
  <c r="J3047" i="1"/>
  <c r="G3047" i="1"/>
  <c r="J3046" i="1"/>
  <c r="G3046" i="1"/>
  <c r="J3045" i="1"/>
  <c r="G3045" i="1"/>
  <c r="J3044" i="1"/>
  <c r="G3044" i="1"/>
  <c r="J3043" i="1"/>
  <c r="G3043" i="1"/>
  <c r="J3042" i="1"/>
  <c r="G3042" i="1"/>
  <c r="J3041" i="1"/>
  <c r="G3041" i="1"/>
  <c r="J3040" i="1"/>
  <c r="G3040" i="1"/>
  <c r="J3039" i="1"/>
  <c r="G3039" i="1"/>
  <c r="J3038" i="1"/>
  <c r="G3038" i="1"/>
  <c r="J3037" i="1"/>
  <c r="G3037" i="1"/>
  <c r="J3036" i="1"/>
  <c r="G3036" i="1"/>
  <c r="J3035" i="1"/>
  <c r="G3035" i="1"/>
  <c r="J3034" i="1"/>
  <c r="G3034" i="1"/>
  <c r="J3033" i="1"/>
  <c r="G3033" i="1"/>
  <c r="J3032" i="1"/>
  <c r="G3032" i="1"/>
  <c r="J3031" i="1"/>
  <c r="G3031" i="1"/>
  <c r="J3030" i="1"/>
  <c r="G3030" i="1"/>
  <c r="J3029" i="1"/>
  <c r="G3029" i="1"/>
  <c r="J3028" i="1"/>
  <c r="G3028" i="1"/>
  <c r="J3027" i="1"/>
  <c r="G3027" i="1"/>
  <c r="J3026" i="1"/>
  <c r="G3026" i="1"/>
  <c r="J3025" i="1"/>
  <c r="G3025" i="1"/>
  <c r="J3024" i="1"/>
  <c r="G3024" i="1"/>
  <c r="J3023" i="1"/>
  <c r="G3023" i="1"/>
  <c r="J3022" i="1"/>
  <c r="G3022" i="1"/>
  <c r="J3021" i="1"/>
  <c r="G3021" i="1"/>
  <c r="J3020" i="1"/>
  <c r="G3020" i="1"/>
  <c r="J3019" i="1"/>
  <c r="G3019" i="1"/>
  <c r="J3018" i="1"/>
  <c r="G3018" i="1"/>
  <c r="J3017" i="1"/>
  <c r="G3017" i="1"/>
  <c r="J3016" i="1"/>
  <c r="G3016" i="1"/>
  <c r="J3015" i="1"/>
  <c r="G3015" i="1"/>
  <c r="J3014" i="1"/>
  <c r="G3014" i="1"/>
  <c r="J3013" i="1"/>
  <c r="G3013" i="1"/>
  <c r="J3012" i="1"/>
  <c r="G3012" i="1"/>
  <c r="J3011" i="1"/>
  <c r="G3011" i="1"/>
  <c r="J3010" i="1"/>
  <c r="G3010" i="1"/>
  <c r="J3009" i="1"/>
  <c r="G3009" i="1"/>
  <c r="J3008" i="1"/>
  <c r="G3008" i="1"/>
  <c r="J3007" i="1"/>
  <c r="G3007" i="1"/>
  <c r="J3006" i="1"/>
  <c r="G3006" i="1"/>
  <c r="J3005" i="1"/>
  <c r="G3005" i="1"/>
  <c r="J3004" i="1"/>
  <c r="G3004" i="1"/>
  <c r="J3003" i="1"/>
  <c r="G3003" i="1"/>
  <c r="J3002" i="1"/>
  <c r="G3002" i="1"/>
  <c r="J3001" i="1"/>
  <c r="G3001" i="1"/>
  <c r="J3000" i="1"/>
  <c r="G3000" i="1"/>
  <c r="J2999" i="1"/>
  <c r="G2999" i="1"/>
  <c r="J2998" i="1"/>
  <c r="G2998" i="1"/>
  <c r="J2997" i="1"/>
  <c r="G2997" i="1"/>
  <c r="J2996" i="1"/>
  <c r="G2996" i="1"/>
  <c r="J2995" i="1"/>
  <c r="G2995" i="1"/>
  <c r="J2994" i="1"/>
  <c r="G2994" i="1"/>
  <c r="J2993" i="1"/>
  <c r="G2993" i="1"/>
  <c r="J2992" i="1"/>
  <c r="G2992" i="1"/>
  <c r="J2991" i="1"/>
  <c r="G2991" i="1"/>
  <c r="J2990" i="1"/>
  <c r="G2990" i="1"/>
  <c r="J2989" i="1"/>
  <c r="G2989" i="1"/>
  <c r="J2988" i="1"/>
  <c r="G2988" i="1"/>
  <c r="J2987" i="1"/>
  <c r="G2987" i="1"/>
  <c r="J2986" i="1"/>
  <c r="G2986" i="1"/>
  <c r="J2985" i="1"/>
  <c r="G2985" i="1"/>
  <c r="J2984" i="1"/>
  <c r="G2984" i="1"/>
  <c r="J2983" i="1"/>
  <c r="G2983" i="1"/>
  <c r="J2982" i="1"/>
  <c r="G2982" i="1"/>
  <c r="J2981" i="1"/>
  <c r="G2981" i="1"/>
  <c r="J2980" i="1"/>
  <c r="G2980" i="1"/>
  <c r="J2979" i="1"/>
  <c r="G2979" i="1"/>
  <c r="J2978" i="1"/>
  <c r="G2978" i="1"/>
  <c r="J2977" i="1"/>
  <c r="G2977" i="1"/>
  <c r="J2976" i="1"/>
  <c r="G2976" i="1"/>
  <c r="J2975" i="1"/>
  <c r="G2975" i="1"/>
  <c r="J2974" i="1"/>
  <c r="G2974" i="1"/>
  <c r="J2973" i="1"/>
  <c r="G2973" i="1"/>
  <c r="J2972" i="1"/>
  <c r="G2972" i="1"/>
  <c r="J2971" i="1"/>
  <c r="G2971" i="1"/>
  <c r="J2970" i="1"/>
  <c r="G2970" i="1"/>
  <c r="J2969" i="1"/>
  <c r="G2969" i="1"/>
  <c r="J2968" i="1"/>
  <c r="G2968" i="1"/>
  <c r="J2967" i="1"/>
  <c r="G2967" i="1"/>
  <c r="J2966" i="1"/>
  <c r="G2966" i="1"/>
  <c r="J2965" i="1"/>
  <c r="G2965" i="1"/>
  <c r="J2964" i="1"/>
  <c r="G2964" i="1"/>
  <c r="J2963" i="1"/>
  <c r="G2963" i="1"/>
  <c r="J2962" i="1"/>
  <c r="G2962" i="1"/>
  <c r="J2961" i="1"/>
  <c r="G2961" i="1"/>
  <c r="J2960" i="1"/>
  <c r="G2960" i="1"/>
  <c r="J2959" i="1"/>
  <c r="G2959" i="1"/>
  <c r="J2958" i="1"/>
  <c r="G2958" i="1"/>
  <c r="J2957" i="1"/>
  <c r="G2957" i="1"/>
  <c r="J2956" i="1"/>
  <c r="G2956" i="1"/>
  <c r="J2955" i="1"/>
  <c r="G2955" i="1"/>
  <c r="J2954" i="1"/>
  <c r="G2954" i="1"/>
  <c r="J2953" i="1"/>
  <c r="G2953" i="1"/>
  <c r="J2952" i="1"/>
  <c r="G2952" i="1"/>
  <c r="J2951" i="1"/>
  <c r="G2951" i="1"/>
  <c r="J2950" i="1"/>
  <c r="G2950" i="1"/>
  <c r="J2949" i="1"/>
  <c r="G2949" i="1"/>
  <c r="J2948" i="1"/>
  <c r="G2948" i="1"/>
  <c r="J2947" i="1"/>
  <c r="G2947" i="1"/>
  <c r="J2946" i="1"/>
  <c r="G2946" i="1"/>
  <c r="J2945" i="1"/>
  <c r="G2945" i="1"/>
  <c r="J2944" i="1"/>
  <c r="G2944" i="1"/>
  <c r="J2943" i="1"/>
  <c r="G2943" i="1"/>
  <c r="J2942" i="1"/>
  <c r="G2942" i="1"/>
  <c r="J2941" i="1"/>
  <c r="G2941" i="1"/>
  <c r="J2940" i="1"/>
  <c r="G2940" i="1"/>
  <c r="J2939" i="1"/>
  <c r="G2939" i="1"/>
  <c r="J2938" i="1"/>
  <c r="G2938" i="1"/>
  <c r="J2937" i="1"/>
  <c r="G2937" i="1"/>
  <c r="J2936" i="1"/>
  <c r="G2936" i="1"/>
  <c r="J2935" i="1"/>
  <c r="G2935" i="1"/>
  <c r="J2934" i="1"/>
  <c r="G2934" i="1"/>
  <c r="J2933" i="1"/>
  <c r="G2933" i="1"/>
  <c r="J2932" i="1"/>
  <c r="G2932" i="1"/>
  <c r="J2931" i="1"/>
  <c r="G2931" i="1"/>
  <c r="J2930" i="1"/>
  <c r="G2930" i="1"/>
  <c r="J2929" i="1"/>
  <c r="G2929" i="1"/>
  <c r="J2928" i="1"/>
  <c r="G2928" i="1"/>
  <c r="J2927" i="1"/>
  <c r="G2927" i="1"/>
  <c r="J2926" i="1"/>
  <c r="G2926" i="1"/>
  <c r="J2925" i="1"/>
  <c r="G2925" i="1"/>
  <c r="J2924" i="1"/>
  <c r="G2924" i="1"/>
  <c r="J2923" i="1"/>
  <c r="G2923" i="1"/>
  <c r="J2922" i="1"/>
  <c r="G2922" i="1"/>
  <c r="J2921" i="1"/>
  <c r="G2921" i="1"/>
  <c r="J2920" i="1"/>
  <c r="G2920" i="1"/>
  <c r="J2919" i="1"/>
  <c r="G2919" i="1"/>
  <c r="J2918" i="1"/>
  <c r="G2918" i="1"/>
  <c r="J2917" i="1"/>
  <c r="G2917" i="1"/>
  <c r="J2916" i="1"/>
  <c r="G2916" i="1"/>
  <c r="J2915" i="1"/>
  <c r="G2915" i="1"/>
  <c r="J2914" i="1"/>
  <c r="G2914" i="1"/>
  <c r="J2913" i="1"/>
  <c r="G2913" i="1"/>
  <c r="J2912" i="1"/>
  <c r="G2912" i="1"/>
  <c r="J2911" i="1"/>
  <c r="G2911" i="1"/>
  <c r="J2910" i="1"/>
  <c r="G2910" i="1"/>
  <c r="J2909" i="1"/>
  <c r="G2909" i="1"/>
  <c r="J2908" i="1"/>
  <c r="G2908" i="1"/>
  <c r="J2907" i="1"/>
  <c r="G2907" i="1"/>
  <c r="J2906" i="1"/>
  <c r="G2906" i="1"/>
  <c r="J2905" i="1"/>
  <c r="G2905" i="1"/>
  <c r="J2904" i="1"/>
  <c r="G2904" i="1"/>
  <c r="J2903" i="1"/>
  <c r="G2903" i="1"/>
  <c r="J2902" i="1"/>
  <c r="G2902" i="1"/>
  <c r="J2901" i="1"/>
  <c r="G2901" i="1"/>
  <c r="J2900" i="1"/>
  <c r="G2900" i="1"/>
  <c r="J2899" i="1"/>
  <c r="G2899" i="1"/>
  <c r="J2898" i="1"/>
  <c r="G2898" i="1"/>
  <c r="J2897" i="1"/>
  <c r="G2897" i="1"/>
  <c r="J2896" i="1"/>
  <c r="G2896" i="1"/>
  <c r="J2895" i="1"/>
  <c r="G2895" i="1"/>
  <c r="J2894" i="1"/>
  <c r="G2894" i="1"/>
  <c r="J2893" i="1"/>
  <c r="G2893" i="1"/>
  <c r="J2892" i="1"/>
  <c r="G2892" i="1"/>
  <c r="J2891" i="1"/>
  <c r="G2891" i="1"/>
  <c r="J2890" i="1"/>
  <c r="G2890" i="1"/>
  <c r="J2889" i="1"/>
  <c r="G2889" i="1"/>
  <c r="J2888" i="1"/>
  <c r="G2888" i="1"/>
  <c r="J2887" i="1"/>
  <c r="G2887" i="1"/>
  <c r="J2886" i="1"/>
  <c r="G2886" i="1"/>
  <c r="J2885" i="1"/>
  <c r="G2885" i="1"/>
  <c r="J2884" i="1"/>
  <c r="G2884" i="1"/>
  <c r="J2883" i="1"/>
  <c r="G2883" i="1"/>
  <c r="J2882" i="1"/>
  <c r="G2882" i="1"/>
  <c r="J2881" i="1"/>
  <c r="G2881" i="1"/>
  <c r="J2880" i="1"/>
  <c r="G2880" i="1"/>
  <c r="J2879" i="1"/>
  <c r="G2879" i="1"/>
  <c r="J2878" i="1"/>
  <c r="G2878" i="1"/>
  <c r="J2877" i="1"/>
  <c r="G2877" i="1"/>
  <c r="J2876" i="1"/>
  <c r="G2876" i="1"/>
  <c r="J2875" i="1"/>
  <c r="G2875" i="1"/>
  <c r="J2874" i="1"/>
  <c r="G2874" i="1"/>
  <c r="J2873" i="1"/>
  <c r="G2873" i="1"/>
  <c r="J2872" i="1"/>
  <c r="G2872" i="1"/>
  <c r="J2871" i="1"/>
  <c r="G2871" i="1"/>
  <c r="J2870" i="1"/>
  <c r="G2870" i="1"/>
  <c r="J2869" i="1"/>
  <c r="G2869" i="1"/>
  <c r="J2868" i="1"/>
  <c r="G2868" i="1"/>
  <c r="J2867" i="1"/>
  <c r="G2867" i="1"/>
  <c r="J2866" i="1"/>
  <c r="G2866" i="1"/>
  <c r="J2865" i="1"/>
  <c r="G2865" i="1"/>
  <c r="J2864" i="1"/>
  <c r="G2864" i="1"/>
  <c r="J2863" i="1"/>
  <c r="G2863" i="1"/>
  <c r="J2862" i="1"/>
  <c r="G2862" i="1"/>
  <c r="J2861" i="1"/>
  <c r="G2861" i="1"/>
  <c r="J2860" i="1"/>
  <c r="G2860" i="1"/>
  <c r="J2859" i="1"/>
  <c r="G2859" i="1"/>
  <c r="J2858" i="1"/>
  <c r="G2858" i="1"/>
  <c r="J2857" i="1"/>
  <c r="G2857" i="1"/>
  <c r="J2856" i="1"/>
  <c r="G2856" i="1"/>
  <c r="J2855" i="1"/>
  <c r="G2855" i="1"/>
  <c r="J2854" i="1"/>
  <c r="G2854" i="1"/>
  <c r="J2853" i="1"/>
  <c r="G2853" i="1"/>
  <c r="J2852" i="1"/>
  <c r="G2852" i="1"/>
  <c r="J2851" i="1"/>
  <c r="G2851" i="1"/>
  <c r="J2850" i="1"/>
  <c r="G2850" i="1"/>
  <c r="J2849" i="1"/>
  <c r="G2849" i="1"/>
  <c r="J2848" i="1"/>
  <c r="G2848" i="1"/>
  <c r="J2847" i="1"/>
  <c r="G2847" i="1"/>
  <c r="J2846" i="1"/>
  <c r="G2846" i="1"/>
  <c r="J2845" i="1"/>
  <c r="G2845" i="1"/>
  <c r="J2844" i="1"/>
  <c r="G2844" i="1"/>
  <c r="J2843" i="1"/>
  <c r="G2843" i="1"/>
  <c r="J2842" i="1"/>
  <c r="G2842" i="1"/>
  <c r="J2841" i="1"/>
  <c r="G2841" i="1"/>
  <c r="J2840" i="1"/>
  <c r="G2840" i="1"/>
  <c r="J2839" i="1"/>
  <c r="G2839" i="1"/>
  <c r="J2838" i="1"/>
  <c r="G2838" i="1"/>
  <c r="J2837" i="1"/>
  <c r="G2837" i="1"/>
  <c r="J2836" i="1"/>
  <c r="G2836" i="1"/>
  <c r="J2835" i="1"/>
  <c r="G2835" i="1"/>
  <c r="J2834" i="1"/>
  <c r="G2834" i="1"/>
  <c r="J2833" i="1"/>
  <c r="G2833" i="1"/>
  <c r="J2832" i="1"/>
  <c r="G2832" i="1"/>
  <c r="J2831" i="1"/>
  <c r="G2831" i="1"/>
  <c r="J2830" i="1"/>
  <c r="G2830" i="1"/>
  <c r="J2829" i="1"/>
  <c r="G2829" i="1"/>
  <c r="J2828" i="1"/>
  <c r="G2828" i="1"/>
  <c r="J2827" i="1"/>
  <c r="G2827" i="1"/>
  <c r="J2826" i="1"/>
  <c r="G2826" i="1"/>
  <c r="J2825" i="1"/>
  <c r="G2825" i="1"/>
  <c r="J2824" i="1"/>
  <c r="G2824" i="1"/>
  <c r="J2823" i="1"/>
  <c r="G2823" i="1"/>
  <c r="J2822" i="1"/>
  <c r="G2822" i="1"/>
  <c r="J2821" i="1"/>
  <c r="G2821" i="1"/>
  <c r="J2820" i="1"/>
  <c r="G2820" i="1"/>
  <c r="J2819" i="1"/>
  <c r="G2819" i="1"/>
  <c r="J2818" i="1"/>
  <c r="G2818" i="1"/>
  <c r="J2817" i="1"/>
  <c r="G2817" i="1"/>
  <c r="J2816" i="1"/>
  <c r="G2816" i="1"/>
  <c r="J2815" i="1"/>
  <c r="G2815" i="1"/>
  <c r="J2814" i="1"/>
  <c r="G2814" i="1"/>
  <c r="J2813" i="1"/>
  <c r="G2813" i="1"/>
  <c r="J2812" i="1"/>
  <c r="G2812" i="1"/>
  <c r="J2811" i="1"/>
  <c r="G2811" i="1"/>
  <c r="J2810" i="1"/>
  <c r="G2810" i="1"/>
  <c r="J2809" i="1"/>
  <c r="G2809" i="1"/>
  <c r="J2808" i="1"/>
  <c r="G2808" i="1"/>
  <c r="J2807" i="1"/>
  <c r="G2807" i="1"/>
  <c r="J2806" i="1"/>
  <c r="G2806" i="1"/>
  <c r="J2805" i="1"/>
  <c r="G2805" i="1"/>
  <c r="J2804" i="1"/>
  <c r="G2804" i="1"/>
  <c r="J2803" i="1"/>
  <c r="G2803" i="1"/>
  <c r="J2802" i="1"/>
  <c r="G2802" i="1"/>
  <c r="J2801" i="1"/>
  <c r="G2801" i="1"/>
  <c r="J2800" i="1"/>
  <c r="G2800" i="1"/>
  <c r="J2799" i="1"/>
  <c r="G2799" i="1"/>
  <c r="J2798" i="1"/>
  <c r="G2798" i="1"/>
  <c r="J2797" i="1"/>
  <c r="G2797" i="1"/>
  <c r="J2796" i="1"/>
  <c r="G2796" i="1"/>
  <c r="J2795" i="1"/>
  <c r="G2795" i="1"/>
  <c r="J2794" i="1"/>
  <c r="G2794" i="1"/>
  <c r="J2793" i="1"/>
  <c r="G2793" i="1"/>
  <c r="J2792" i="1"/>
  <c r="G2792" i="1"/>
  <c r="J2791" i="1"/>
  <c r="G2791" i="1"/>
  <c r="J2790" i="1"/>
  <c r="G2790" i="1"/>
  <c r="J2789" i="1"/>
  <c r="G2789" i="1"/>
  <c r="J2788" i="1"/>
  <c r="G2788" i="1"/>
  <c r="J2787" i="1"/>
  <c r="G2787" i="1"/>
  <c r="J2786" i="1"/>
  <c r="G2786" i="1"/>
  <c r="J2785" i="1"/>
  <c r="G2785" i="1"/>
  <c r="J2784" i="1"/>
  <c r="G2784" i="1"/>
  <c r="J2783" i="1"/>
  <c r="G2783" i="1"/>
  <c r="J2782" i="1"/>
  <c r="G2782" i="1"/>
  <c r="J2781" i="1"/>
  <c r="G2781" i="1"/>
  <c r="J2780" i="1"/>
  <c r="G2780" i="1"/>
  <c r="J2779" i="1"/>
  <c r="G2779" i="1"/>
  <c r="J2778" i="1"/>
  <c r="G2778" i="1"/>
  <c r="J2777" i="1"/>
  <c r="G2777" i="1"/>
  <c r="J2776" i="1"/>
  <c r="G2776" i="1"/>
  <c r="J2775" i="1"/>
  <c r="G2775" i="1"/>
  <c r="J2774" i="1"/>
  <c r="G2774" i="1"/>
  <c r="J2773" i="1"/>
  <c r="G2773" i="1"/>
  <c r="J2772" i="1"/>
  <c r="G2772" i="1"/>
  <c r="J2771" i="1"/>
  <c r="G2771" i="1"/>
  <c r="J2770" i="1"/>
  <c r="G2770" i="1"/>
  <c r="J2769" i="1"/>
  <c r="G2769" i="1"/>
  <c r="J2768" i="1"/>
  <c r="G2768" i="1"/>
  <c r="J2767" i="1"/>
  <c r="G2767" i="1"/>
  <c r="J2766" i="1"/>
  <c r="G2766" i="1"/>
  <c r="J2765" i="1"/>
  <c r="G2765" i="1"/>
  <c r="J2764" i="1"/>
  <c r="G2764" i="1"/>
  <c r="J2763" i="1"/>
  <c r="G2763" i="1"/>
  <c r="J2762" i="1"/>
  <c r="G2762" i="1"/>
  <c r="J2761" i="1"/>
  <c r="G2761" i="1"/>
  <c r="J2760" i="1"/>
  <c r="G2760" i="1"/>
  <c r="J2759" i="1"/>
  <c r="G2759" i="1"/>
  <c r="J2758" i="1"/>
  <c r="G2758" i="1"/>
  <c r="J2757" i="1"/>
  <c r="G2757" i="1"/>
  <c r="J2756" i="1"/>
  <c r="G2756" i="1"/>
  <c r="J2755" i="1"/>
  <c r="G2755" i="1"/>
  <c r="J2754" i="1"/>
  <c r="G2754" i="1"/>
  <c r="J2753" i="1"/>
  <c r="G2753" i="1"/>
  <c r="J2752" i="1"/>
  <c r="G2752" i="1"/>
  <c r="J2751" i="1"/>
  <c r="G2751" i="1"/>
  <c r="J2750" i="1"/>
  <c r="G2750" i="1"/>
  <c r="J2749" i="1"/>
  <c r="G2749" i="1"/>
  <c r="J2748" i="1"/>
  <c r="G2748" i="1"/>
  <c r="J2747" i="1"/>
  <c r="G2747" i="1"/>
  <c r="J2746" i="1"/>
  <c r="G2746" i="1"/>
  <c r="J2745" i="1"/>
  <c r="G2745" i="1"/>
  <c r="J2744" i="1"/>
  <c r="G2744" i="1"/>
  <c r="J2743" i="1"/>
  <c r="G2743" i="1"/>
  <c r="J2742" i="1"/>
  <c r="G2742" i="1"/>
  <c r="J2741" i="1"/>
  <c r="G2741" i="1"/>
  <c r="J2740" i="1"/>
  <c r="G2740" i="1"/>
  <c r="J2739" i="1"/>
  <c r="G2739" i="1"/>
  <c r="J2738" i="1"/>
  <c r="G2738" i="1"/>
  <c r="J2737" i="1"/>
  <c r="G2737" i="1"/>
  <c r="J2736" i="1"/>
  <c r="G2736" i="1"/>
  <c r="J2735" i="1"/>
  <c r="G2735" i="1"/>
  <c r="J2734" i="1"/>
  <c r="G2734" i="1"/>
  <c r="J2733" i="1"/>
  <c r="G2733" i="1"/>
  <c r="J2732" i="1"/>
  <c r="G2732" i="1"/>
  <c r="J2731" i="1"/>
  <c r="G2731" i="1"/>
  <c r="J2730" i="1"/>
  <c r="G2730" i="1"/>
  <c r="J2729" i="1"/>
  <c r="G2729" i="1"/>
  <c r="J2728" i="1"/>
  <c r="G2728" i="1"/>
  <c r="J2727" i="1"/>
  <c r="G2727" i="1"/>
  <c r="J2726" i="1"/>
  <c r="G2726" i="1"/>
  <c r="J2725" i="1"/>
  <c r="G2725" i="1"/>
  <c r="J2724" i="1"/>
  <c r="G2724" i="1"/>
  <c r="J2723" i="1"/>
  <c r="G2723" i="1"/>
  <c r="J2722" i="1"/>
  <c r="G2722" i="1"/>
  <c r="J2721" i="1"/>
  <c r="G2721" i="1"/>
  <c r="J2720" i="1"/>
  <c r="G2720" i="1"/>
  <c r="J2719" i="1"/>
  <c r="G2719" i="1"/>
  <c r="J2718" i="1"/>
  <c r="G2718" i="1"/>
  <c r="J2717" i="1"/>
  <c r="G2717" i="1"/>
  <c r="J2716" i="1"/>
  <c r="G2716" i="1"/>
  <c r="J2715" i="1"/>
  <c r="G2715" i="1"/>
  <c r="J2714" i="1"/>
  <c r="G2714" i="1"/>
  <c r="J2713" i="1"/>
  <c r="G2713" i="1"/>
  <c r="J2712" i="1"/>
  <c r="G2712" i="1"/>
  <c r="J2711" i="1"/>
  <c r="G2711" i="1"/>
  <c r="J2710" i="1"/>
  <c r="G2710" i="1"/>
  <c r="J2709" i="1"/>
  <c r="G2709" i="1"/>
  <c r="J2708" i="1"/>
  <c r="G2708" i="1"/>
  <c r="J2707" i="1"/>
  <c r="G2707" i="1"/>
  <c r="J2706" i="1"/>
  <c r="G2706" i="1"/>
  <c r="J2705" i="1"/>
  <c r="G2705" i="1"/>
  <c r="J2704" i="1"/>
  <c r="G2704" i="1"/>
  <c r="J2703" i="1"/>
  <c r="G2703" i="1"/>
  <c r="J2702" i="1"/>
  <c r="G2702" i="1"/>
  <c r="J2701" i="1"/>
  <c r="G2701" i="1"/>
  <c r="J2700" i="1"/>
  <c r="G2700" i="1"/>
  <c r="J2699" i="1"/>
  <c r="G2699" i="1"/>
  <c r="J2698" i="1"/>
  <c r="G2698" i="1"/>
  <c r="J2697" i="1"/>
  <c r="G2697" i="1"/>
  <c r="J2696" i="1"/>
  <c r="G2696" i="1"/>
  <c r="J2695" i="1"/>
  <c r="G2695" i="1"/>
  <c r="J2694" i="1"/>
  <c r="G2694" i="1"/>
  <c r="J2693" i="1"/>
  <c r="G2693" i="1"/>
  <c r="J2692" i="1"/>
  <c r="G2692" i="1"/>
  <c r="J2691" i="1"/>
  <c r="G2691" i="1"/>
  <c r="J2690" i="1"/>
  <c r="G2690" i="1"/>
  <c r="J2689" i="1"/>
  <c r="G2689" i="1"/>
  <c r="J2688" i="1"/>
  <c r="G2688" i="1"/>
  <c r="J2687" i="1"/>
  <c r="G2687" i="1"/>
  <c r="J2686" i="1"/>
  <c r="G2686" i="1"/>
  <c r="J2685" i="1"/>
  <c r="G2685" i="1"/>
  <c r="J2684" i="1"/>
  <c r="G2684" i="1"/>
  <c r="J2683" i="1"/>
  <c r="G2683" i="1"/>
  <c r="J2682" i="1"/>
  <c r="G2682" i="1"/>
  <c r="J2681" i="1"/>
  <c r="G2681" i="1"/>
  <c r="J2680" i="1"/>
  <c r="G2680" i="1"/>
  <c r="J2679" i="1"/>
  <c r="G2679" i="1"/>
  <c r="J2678" i="1"/>
  <c r="G2678" i="1"/>
  <c r="J2677" i="1"/>
  <c r="G2677" i="1"/>
  <c r="J2676" i="1"/>
  <c r="G2676" i="1"/>
  <c r="J2675" i="1"/>
  <c r="G2675" i="1"/>
  <c r="J2674" i="1"/>
  <c r="G2674" i="1"/>
  <c r="J2673" i="1"/>
  <c r="G2673" i="1"/>
  <c r="J2672" i="1"/>
  <c r="G2672" i="1"/>
  <c r="J2671" i="1"/>
  <c r="G2671" i="1"/>
  <c r="J2670" i="1"/>
  <c r="G2670" i="1"/>
  <c r="J2669" i="1"/>
  <c r="G2669" i="1"/>
  <c r="J2668" i="1"/>
  <c r="G2668" i="1"/>
  <c r="J2667" i="1"/>
  <c r="G2667" i="1"/>
  <c r="J2666" i="1"/>
  <c r="G2666" i="1"/>
  <c r="J2665" i="1"/>
  <c r="G2665" i="1"/>
  <c r="J2664" i="1"/>
  <c r="G2664" i="1"/>
  <c r="J2663" i="1"/>
  <c r="G2663" i="1"/>
  <c r="J2662" i="1"/>
  <c r="G2662" i="1"/>
  <c r="J2661" i="1"/>
  <c r="G2661" i="1"/>
  <c r="J2660" i="1"/>
  <c r="G2660" i="1"/>
  <c r="J2659" i="1"/>
  <c r="G2659" i="1"/>
  <c r="J2658" i="1"/>
  <c r="G2658" i="1"/>
  <c r="J2657" i="1"/>
  <c r="G2657" i="1"/>
  <c r="J2656" i="1"/>
  <c r="G2656" i="1"/>
  <c r="J2655" i="1"/>
  <c r="G2655" i="1"/>
  <c r="J2654" i="1"/>
  <c r="G2654" i="1"/>
  <c r="J2653" i="1"/>
  <c r="G2653" i="1"/>
  <c r="J2652" i="1"/>
  <c r="G2652" i="1"/>
  <c r="J2651" i="1"/>
  <c r="G2651" i="1"/>
  <c r="J2650" i="1"/>
  <c r="G2650" i="1"/>
  <c r="J2649" i="1"/>
  <c r="G2649" i="1"/>
  <c r="J2648" i="1"/>
  <c r="G2648" i="1"/>
  <c r="J2647" i="1"/>
  <c r="G2647" i="1"/>
  <c r="J2646" i="1"/>
  <c r="G2646" i="1"/>
  <c r="J2645" i="1"/>
  <c r="G2645" i="1"/>
  <c r="J2644" i="1"/>
  <c r="G2644" i="1"/>
  <c r="J2643" i="1"/>
  <c r="G2643" i="1"/>
  <c r="J2642" i="1"/>
  <c r="G2642" i="1"/>
  <c r="J2641" i="1"/>
  <c r="G2641" i="1"/>
  <c r="J2640" i="1"/>
  <c r="G2640" i="1"/>
  <c r="J2639" i="1"/>
  <c r="G2639" i="1"/>
  <c r="J2638" i="1"/>
  <c r="G2638" i="1"/>
  <c r="J2637" i="1"/>
  <c r="G2637" i="1"/>
  <c r="J2636" i="1"/>
  <c r="G2636" i="1"/>
  <c r="J2635" i="1"/>
  <c r="G2635" i="1"/>
  <c r="J2634" i="1"/>
  <c r="G2634" i="1"/>
  <c r="J2633" i="1"/>
  <c r="G2633" i="1"/>
  <c r="J2632" i="1"/>
  <c r="G2632" i="1"/>
  <c r="J2631" i="1"/>
  <c r="G2631" i="1"/>
  <c r="J2630" i="1"/>
  <c r="G2630" i="1"/>
  <c r="J2629" i="1"/>
  <c r="G2629" i="1"/>
  <c r="J2628" i="1"/>
  <c r="G2628" i="1"/>
  <c r="J2627" i="1"/>
  <c r="G2627" i="1"/>
  <c r="J2626" i="1"/>
  <c r="G2626" i="1"/>
  <c r="J2625" i="1"/>
  <c r="G2625" i="1"/>
  <c r="J2624" i="1"/>
  <c r="G2624" i="1"/>
  <c r="J2623" i="1"/>
  <c r="G2623" i="1"/>
  <c r="J2622" i="1"/>
  <c r="G2622" i="1"/>
  <c r="J2621" i="1"/>
  <c r="G2621" i="1"/>
  <c r="J2620" i="1"/>
  <c r="G2620" i="1"/>
  <c r="J2619" i="1"/>
  <c r="G2619" i="1"/>
  <c r="J2618" i="1"/>
  <c r="G2618" i="1"/>
  <c r="J2617" i="1"/>
  <c r="G2617" i="1"/>
  <c r="J2616" i="1"/>
  <c r="G2616" i="1"/>
  <c r="J2615" i="1"/>
  <c r="G2615" i="1"/>
  <c r="J2614" i="1"/>
  <c r="G2614" i="1"/>
  <c r="J2613" i="1"/>
  <c r="G2613" i="1"/>
  <c r="J2612" i="1"/>
  <c r="G2612" i="1"/>
  <c r="J2611" i="1"/>
  <c r="G2611" i="1"/>
  <c r="J2610" i="1"/>
  <c r="G2610" i="1"/>
  <c r="J2609" i="1"/>
  <c r="G2609" i="1"/>
  <c r="J2608" i="1"/>
  <c r="G2608" i="1"/>
  <c r="J2607" i="1"/>
  <c r="G2607" i="1"/>
  <c r="J2606" i="1"/>
  <c r="G2606" i="1"/>
  <c r="J2605" i="1"/>
  <c r="G2605" i="1"/>
  <c r="J2604" i="1"/>
  <c r="G2604" i="1"/>
  <c r="J2603" i="1"/>
  <c r="G2603" i="1"/>
  <c r="J2602" i="1"/>
  <c r="G2602" i="1"/>
  <c r="J2601" i="1"/>
  <c r="G2601" i="1"/>
  <c r="J2600" i="1"/>
  <c r="G2600" i="1"/>
  <c r="J2599" i="1"/>
  <c r="G2599" i="1"/>
  <c r="J2598" i="1"/>
  <c r="G2598" i="1"/>
  <c r="J2597" i="1"/>
  <c r="G2597" i="1"/>
  <c r="J2596" i="1"/>
  <c r="G2596" i="1"/>
  <c r="J2595" i="1"/>
  <c r="G2595" i="1"/>
  <c r="J2594" i="1"/>
  <c r="G2594" i="1"/>
  <c r="J2593" i="1"/>
  <c r="G2593" i="1"/>
  <c r="J2592" i="1"/>
  <c r="G2592" i="1"/>
  <c r="J2591" i="1"/>
  <c r="G2591" i="1"/>
  <c r="J2590" i="1"/>
  <c r="G2590" i="1"/>
  <c r="J2589" i="1"/>
  <c r="G2589" i="1"/>
  <c r="J2588" i="1"/>
  <c r="G2588" i="1"/>
  <c r="J2587" i="1"/>
  <c r="G2587" i="1"/>
  <c r="J2586" i="1"/>
  <c r="G2586" i="1"/>
  <c r="J2585" i="1"/>
  <c r="G2585" i="1"/>
  <c r="J2584" i="1"/>
  <c r="G2584" i="1"/>
  <c r="J2583" i="1"/>
  <c r="G2583" i="1"/>
  <c r="J2582" i="1"/>
  <c r="G2582" i="1"/>
  <c r="J2581" i="1"/>
  <c r="G2581" i="1"/>
  <c r="J2580" i="1"/>
  <c r="G2580" i="1"/>
  <c r="J2579" i="1"/>
  <c r="G2579" i="1"/>
  <c r="J2578" i="1"/>
  <c r="G2578" i="1"/>
  <c r="J2577" i="1"/>
  <c r="G2577" i="1"/>
  <c r="J2576" i="1"/>
  <c r="G2576" i="1"/>
  <c r="J2575" i="1"/>
  <c r="G2575" i="1"/>
  <c r="J2574" i="1"/>
  <c r="G2574" i="1"/>
  <c r="J2573" i="1"/>
  <c r="G2573" i="1"/>
  <c r="J2572" i="1"/>
  <c r="G2572" i="1"/>
  <c r="J2571" i="1"/>
  <c r="G2571" i="1"/>
  <c r="J2570" i="1"/>
  <c r="G2570" i="1"/>
  <c r="J2569" i="1"/>
  <c r="G2569" i="1"/>
  <c r="J2568" i="1"/>
  <c r="G2568" i="1"/>
  <c r="J2567" i="1"/>
  <c r="G2567" i="1"/>
  <c r="J2566" i="1"/>
  <c r="G2566" i="1"/>
  <c r="J2565" i="1"/>
  <c r="G2565" i="1"/>
  <c r="J2564" i="1"/>
  <c r="G2564" i="1"/>
  <c r="J2563" i="1"/>
  <c r="G2563" i="1"/>
  <c r="J2562" i="1"/>
  <c r="G2562" i="1"/>
  <c r="J2561" i="1"/>
  <c r="G2561" i="1"/>
  <c r="J2560" i="1"/>
  <c r="G2560" i="1"/>
  <c r="J2559" i="1"/>
  <c r="G2559" i="1"/>
  <c r="J2558" i="1"/>
  <c r="G2558" i="1"/>
  <c r="J2557" i="1"/>
  <c r="G2557" i="1"/>
  <c r="J2556" i="1"/>
  <c r="G2556" i="1"/>
  <c r="J2555" i="1"/>
  <c r="G2555" i="1"/>
  <c r="J2554" i="1"/>
  <c r="G2554" i="1"/>
  <c r="J2553" i="1"/>
  <c r="G2553" i="1"/>
  <c r="J2552" i="1"/>
  <c r="G2552" i="1"/>
  <c r="J2551" i="1"/>
  <c r="G2551" i="1"/>
  <c r="J2550" i="1"/>
  <c r="G2550" i="1"/>
  <c r="J2549" i="1"/>
  <c r="G2549" i="1"/>
  <c r="J2548" i="1"/>
  <c r="G2548" i="1"/>
  <c r="J2547" i="1"/>
  <c r="G2547" i="1"/>
  <c r="J2546" i="1"/>
  <c r="G2546" i="1"/>
  <c r="J2545" i="1"/>
  <c r="G2545" i="1"/>
  <c r="J2544" i="1"/>
  <c r="G2544" i="1"/>
  <c r="J2543" i="1"/>
  <c r="G2543" i="1"/>
  <c r="J2542" i="1"/>
  <c r="G2542" i="1"/>
  <c r="J2541" i="1"/>
  <c r="G2541" i="1"/>
  <c r="J2540" i="1"/>
  <c r="G2540" i="1"/>
  <c r="J2539" i="1"/>
  <c r="G2539" i="1"/>
  <c r="J2538" i="1"/>
  <c r="G2538" i="1"/>
  <c r="J2537" i="1"/>
  <c r="G2537" i="1"/>
  <c r="J2536" i="1"/>
  <c r="G2536" i="1"/>
  <c r="J2535" i="1"/>
  <c r="G2535" i="1"/>
  <c r="J2534" i="1"/>
  <c r="G2534" i="1"/>
  <c r="J2533" i="1"/>
  <c r="G2533" i="1"/>
  <c r="J2532" i="1"/>
  <c r="G2532" i="1"/>
  <c r="J2531" i="1"/>
  <c r="G2531" i="1"/>
  <c r="J2530" i="1"/>
  <c r="G2530" i="1"/>
  <c r="J2529" i="1"/>
  <c r="G2529" i="1"/>
  <c r="J2528" i="1"/>
  <c r="G2528" i="1"/>
  <c r="J2527" i="1"/>
  <c r="G2527" i="1"/>
  <c r="J2526" i="1"/>
  <c r="G2526" i="1"/>
  <c r="J2525" i="1"/>
  <c r="G2525" i="1"/>
  <c r="J2524" i="1"/>
  <c r="G2524" i="1"/>
  <c r="J2523" i="1"/>
  <c r="G2523" i="1"/>
  <c r="J2522" i="1"/>
  <c r="G2522" i="1"/>
  <c r="J2521" i="1"/>
  <c r="G2521" i="1"/>
  <c r="J2520" i="1"/>
  <c r="G2520" i="1"/>
  <c r="J2519" i="1"/>
  <c r="G2519" i="1"/>
  <c r="J2518" i="1"/>
  <c r="G2518" i="1"/>
  <c r="J2517" i="1"/>
  <c r="G2517" i="1"/>
  <c r="J2516" i="1"/>
  <c r="G2516" i="1"/>
  <c r="J2515" i="1"/>
  <c r="G2515" i="1"/>
  <c r="J2514" i="1"/>
  <c r="G2514" i="1"/>
  <c r="J2513" i="1"/>
  <c r="G2513" i="1"/>
  <c r="J2512" i="1"/>
  <c r="G2512" i="1"/>
  <c r="J2511" i="1"/>
  <c r="G2511" i="1"/>
  <c r="J2510" i="1"/>
  <c r="G2510" i="1"/>
  <c r="J2509" i="1"/>
  <c r="G2509" i="1"/>
  <c r="J2508" i="1"/>
  <c r="G2508" i="1"/>
  <c r="J2507" i="1"/>
  <c r="G2507" i="1"/>
  <c r="J2506" i="1"/>
  <c r="G2506" i="1"/>
  <c r="J2505" i="1"/>
  <c r="G2505" i="1"/>
  <c r="J2504" i="1"/>
  <c r="G2504" i="1"/>
  <c r="J2503" i="1"/>
  <c r="G2503" i="1"/>
  <c r="J2502" i="1"/>
  <c r="G2502" i="1"/>
  <c r="J2501" i="1"/>
  <c r="G2501" i="1"/>
  <c r="J2500" i="1"/>
  <c r="G2500" i="1"/>
  <c r="J2499" i="1"/>
  <c r="G2499" i="1"/>
  <c r="J2498" i="1"/>
  <c r="G2498" i="1"/>
  <c r="J2497" i="1"/>
  <c r="G2497" i="1"/>
  <c r="J2496" i="1"/>
  <c r="G2496" i="1"/>
  <c r="J2495" i="1"/>
  <c r="G2495" i="1"/>
  <c r="J2494" i="1"/>
  <c r="G2494" i="1"/>
  <c r="J2493" i="1"/>
  <c r="G2493" i="1"/>
  <c r="J2492" i="1"/>
  <c r="G2492" i="1"/>
  <c r="J2491" i="1"/>
  <c r="G2491" i="1"/>
  <c r="J2490" i="1"/>
  <c r="G2490" i="1"/>
  <c r="J2489" i="1"/>
  <c r="G2489" i="1"/>
  <c r="J2488" i="1"/>
  <c r="G2488" i="1"/>
  <c r="J2487" i="1"/>
  <c r="G2487" i="1"/>
  <c r="J2486" i="1"/>
  <c r="G2486" i="1"/>
  <c r="J2485" i="1"/>
  <c r="G2485" i="1"/>
  <c r="J2484" i="1"/>
  <c r="G2484" i="1"/>
  <c r="J2483" i="1"/>
  <c r="G2483" i="1"/>
  <c r="J2482" i="1"/>
  <c r="G2482" i="1"/>
  <c r="J2481" i="1"/>
  <c r="G2481" i="1"/>
  <c r="J2480" i="1"/>
  <c r="G2480" i="1"/>
  <c r="J2479" i="1"/>
  <c r="G2479" i="1"/>
  <c r="J2478" i="1"/>
  <c r="G2478" i="1"/>
  <c r="J2477" i="1"/>
  <c r="G2477" i="1"/>
  <c r="J2476" i="1"/>
  <c r="G2476" i="1"/>
  <c r="J2475" i="1"/>
  <c r="G2475" i="1"/>
  <c r="J2474" i="1"/>
  <c r="G2474" i="1"/>
  <c r="J2473" i="1"/>
  <c r="G2473" i="1"/>
  <c r="J2472" i="1"/>
  <c r="G2472" i="1"/>
  <c r="J2471" i="1"/>
  <c r="G2471" i="1"/>
  <c r="J2470" i="1"/>
  <c r="G2470" i="1"/>
  <c r="J2469" i="1"/>
  <c r="G2469" i="1"/>
  <c r="J2468" i="1"/>
  <c r="G2468" i="1"/>
  <c r="J2467" i="1"/>
  <c r="G2467" i="1"/>
  <c r="J2466" i="1"/>
  <c r="G2466" i="1"/>
  <c r="J2465" i="1"/>
  <c r="G2465" i="1"/>
  <c r="J2464" i="1"/>
  <c r="G2464" i="1"/>
  <c r="J2463" i="1"/>
  <c r="G2463" i="1"/>
  <c r="J2462" i="1"/>
  <c r="G2462" i="1"/>
  <c r="J2461" i="1"/>
  <c r="G2461" i="1"/>
  <c r="J2460" i="1"/>
  <c r="G2460" i="1"/>
  <c r="J2459" i="1"/>
  <c r="G2459" i="1"/>
  <c r="J2458" i="1"/>
  <c r="G2458" i="1"/>
  <c r="J2457" i="1"/>
  <c r="G2457" i="1"/>
  <c r="J2456" i="1"/>
  <c r="G2456" i="1"/>
  <c r="J2455" i="1"/>
  <c r="G2455" i="1"/>
  <c r="J2454" i="1"/>
  <c r="G2454" i="1"/>
  <c r="J2453" i="1"/>
  <c r="G2453" i="1"/>
  <c r="J2452" i="1"/>
  <c r="G2452" i="1"/>
  <c r="J2451" i="1"/>
  <c r="G2451" i="1"/>
  <c r="J2450" i="1"/>
  <c r="G2450" i="1"/>
  <c r="J2449" i="1"/>
  <c r="G2449" i="1"/>
  <c r="J2448" i="1"/>
  <c r="G2448" i="1"/>
  <c r="J2447" i="1"/>
  <c r="G2447" i="1"/>
  <c r="J2446" i="1"/>
  <c r="G2446" i="1"/>
  <c r="J2445" i="1"/>
  <c r="G2445" i="1"/>
  <c r="J2444" i="1"/>
  <c r="G2444" i="1"/>
  <c r="J2443" i="1"/>
  <c r="G2443" i="1"/>
  <c r="J2442" i="1"/>
  <c r="G2442" i="1"/>
  <c r="J2441" i="1"/>
  <c r="G2441" i="1"/>
  <c r="J2440" i="1"/>
  <c r="G2440" i="1"/>
  <c r="J2439" i="1"/>
  <c r="G2439" i="1"/>
  <c r="J2438" i="1"/>
  <c r="G2438" i="1"/>
  <c r="J2437" i="1"/>
  <c r="G2437" i="1"/>
  <c r="J2436" i="1"/>
  <c r="G2436" i="1"/>
  <c r="J2435" i="1"/>
  <c r="G2435" i="1"/>
  <c r="J2434" i="1"/>
  <c r="G2434" i="1"/>
  <c r="J2433" i="1"/>
  <c r="G2433" i="1"/>
  <c r="J2432" i="1"/>
  <c r="G2432" i="1"/>
  <c r="J2431" i="1"/>
  <c r="G2431" i="1"/>
  <c r="J2430" i="1"/>
  <c r="G2430" i="1"/>
  <c r="J2429" i="1"/>
  <c r="G2429" i="1"/>
  <c r="J2428" i="1"/>
  <c r="G2428" i="1"/>
  <c r="J2427" i="1"/>
  <c r="G2427" i="1"/>
  <c r="J2426" i="1"/>
  <c r="G2426" i="1"/>
  <c r="J2425" i="1"/>
  <c r="G2425" i="1"/>
  <c r="J2424" i="1"/>
  <c r="G2424" i="1"/>
  <c r="J2423" i="1"/>
  <c r="G2423" i="1"/>
  <c r="J2422" i="1"/>
  <c r="G2422" i="1"/>
  <c r="J2421" i="1"/>
  <c r="G2421" i="1"/>
  <c r="J2420" i="1"/>
  <c r="G2420" i="1"/>
  <c r="J2419" i="1"/>
  <c r="G2419" i="1"/>
  <c r="J2418" i="1"/>
  <c r="G2418" i="1"/>
  <c r="J2417" i="1"/>
  <c r="G2417" i="1"/>
  <c r="J2416" i="1"/>
  <c r="G2416" i="1"/>
  <c r="J2415" i="1"/>
  <c r="G2415" i="1"/>
  <c r="J2414" i="1"/>
  <c r="G2414" i="1"/>
  <c r="J2413" i="1"/>
  <c r="G2413" i="1"/>
  <c r="J2412" i="1"/>
  <c r="G2412" i="1"/>
  <c r="J2411" i="1"/>
  <c r="G2411" i="1"/>
  <c r="J2410" i="1"/>
  <c r="G2410" i="1"/>
  <c r="J2409" i="1"/>
  <c r="G2409" i="1"/>
  <c r="J2408" i="1"/>
  <c r="G2408" i="1"/>
  <c r="J2407" i="1"/>
  <c r="G2407" i="1"/>
  <c r="J2406" i="1"/>
  <c r="G2406" i="1"/>
  <c r="J2405" i="1"/>
  <c r="G2405" i="1"/>
  <c r="J2404" i="1"/>
  <c r="G2404" i="1"/>
  <c r="J2403" i="1"/>
  <c r="G2403" i="1"/>
  <c r="J2402" i="1"/>
  <c r="G2402" i="1"/>
  <c r="J2401" i="1"/>
  <c r="G2401" i="1"/>
  <c r="J2400" i="1"/>
  <c r="G2400" i="1"/>
  <c r="J2399" i="1"/>
  <c r="G2399" i="1"/>
  <c r="J2398" i="1"/>
  <c r="G2398" i="1"/>
  <c r="J2397" i="1"/>
  <c r="G2397" i="1"/>
  <c r="J2396" i="1"/>
  <c r="G2396" i="1"/>
  <c r="J2395" i="1"/>
  <c r="G2395" i="1"/>
  <c r="J2394" i="1"/>
  <c r="G2394" i="1"/>
  <c r="J2393" i="1"/>
  <c r="G2393" i="1"/>
  <c r="J2392" i="1"/>
  <c r="G2392" i="1"/>
  <c r="J2391" i="1"/>
  <c r="G2391" i="1"/>
  <c r="J2390" i="1"/>
  <c r="G2390" i="1"/>
  <c r="J2389" i="1"/>
  <c r="G2389" i="1"/>
  <c r="J2388" i="1"/>
  <c r="G2388" i="1"/>
  <c r="J2387" i="1"/>
  <c r="G2387" i="1"/>
  <c r="J2386" i="1"/>
  <c r="G2386" i="1"/>
  <c r="J2385" i="1"/>
  <c r="G2385" i="1"/>
  <c r="J2384" i="1"/>
  <c r="G2384" i="1"/>
  <c r="J2383" i="1"/>
  <c r="G2383" i="1"/>
  <c r="J2382" i="1"/>
  <c r="G2382" i="1"/>
  <c r="J2381" i="1"/>
  <c r="G2381" i="1"/>
  <c r="J2380" i="1"/>
  <c r="G2380" i="1"/>
  <c r="J2379" i="1"/>
  <c r="G2379" i="1"/>
  <c r="J2378" i="1"/>
  <c r="G2378" i="1"/>
  <c r="J2377" i="1"/>
  <c r="G2377" i="1"/>
  <c r="J2376" i="1"/>
  <c r="G2376" i="1"/>
  <c r="J2375" i="1"/>
  <c r="G2375" i="1"/>
  <c r="J2374" i="1"/>
  <c r="G2374" i="1"/>
  <c r="J2373" i="1"/>
  <c r="G2373" i="1"/>
  <c r="J2372" i="1"/>
  <c r="G2372" i="1"/>
  <c r="J2371" i="1"/>
  <c r="G2371" i="1"/>
  <c r="J2370" i="1"/>
  <c r="G2370" i="1"/>
  <c r="J2369" i="1"/>
  <c r="G2369" i="1"/>
  <c r="J2368" i="1"/>
  <c r="G2368" i="1"/>
  <c r="J2367" i="1"/>
  <c r="G2367" i="1"/>
  <c r="J2366" i="1"/>
  <c r="G2366" i="1"/>
  <c r="J2365" i="1"/>
  <c r="G2365" i="1"/>
  <c r="J2364" i="1"/>
  <c r="G2364" i="1"/>
  <c r="J2363" i="1"/>
  <c r="G2363" i="1"/>
  <c r="J2362" i="1"/>
  <c r="G2362" i="1"/>
  <c r="J2361" i="1"/>
  <c r="G2361" i="1"/>
  <c r="J2360" i="1"/>
  <c r="G2360" i="1"/>
  <c r="J2359" i="1"/>
  <c r="G2359" i="1"/>
  <c r="J2358" i="1"/>
  <c r="G2358" i="1"/>
  <c r="J2357" i="1"/>
  <c r="G2357" i="1"/>
  <c r="J2356" i="1"/>
  <c r="G2356" i="1"/>
  <c r="J2355" i="1"/>
  <c r="G2355" i="1"/>
  <c r="J2354" i="1"/>
  <c r="G2354" i="1"/>
  <c r="J2353" i="1"/>
  <c r="G2353" i="1"/>
  <c r="J2352" i="1"/>
  <c r="G2352" i="1"/>
  <c r="J2351" i="1"/>
  <c r="G2351" i="1"/>
  <c r="J2350" i="1"/>
  <c r="G2350" i="1"/>
  <c r="J2349" i="1"/>
  <c r="G2349" i="1"/>
  <c r="J2348" i="1"/>
  <c r="G2348" i="1"/>
  <c r="J2347" i="1"/>
  <c r="G2347" i="1"/>
  <c r="J2346" i="1"/>
  <c r="G2346" i="1"/>
  <c r="J2345" i="1"/>
  <c r="G2345" i="1"/>
  <c r="J2344" i="1"/>
  <c r="G2344" i="1"/>
  <c r="J2343" i="1"/>
  <c r="G2343" i="1"/>
  <c r="J2342" i="1"/>
  <c r="G2342" i="1"/>
  <c r="J2341" i="1"/>
  <c r="G2341" i="1"/>
  <c r="J2340" i="1"/>
  <c r="G2340" i="1"/>
  <c r="J2339" i="1"/>
  <c r="G2339" i="1"/>
  <c r="J2338" i="1"/>
  <c r="G2338" i="1"/>
  <c r="J2337" i="1"/>
  <c r="G2337" i="1"/>
  <c r="J2336" i="1"/>
  <c r="G2336" i="1"/>
  <c r="J2335" i="1"/>
  <c r="G2335" i="1"/>
  <c r="J2334" i="1"/>
  <c r="G2334" i="1"/>
  <c r="J2333" i="1"/>
  <c r="G2333" i="1"/>
  <c r="J2332" i="1"/>
  <c r="G2332" i="1"/>
  <c r="J2331" i="1"/>
  <c r="G2331" i="1"/>
  <c r="J2330" i="1"/>
  <c r="G2330" i="1"/>
  <c r="J2329" i="1"/>
  <c r="G2329" i="1"/>
  <c r="J2328" i="1"/>
  <c r="G2328" i="1"/>
  <c r="J2327" i="1"/>
  <c r="G2327" i="1"/>
  <c r="J2326" i="1"/>
  <c r="G2326" i="1"/>
  <c r="J2325" i="1"/>
  <c r="G2325" i="1"/>
  <c r="J2324" i="1"/>
  <c r="G2324" i="1"/>
  <c r="J2323" i="1"/>
  <c r="G2323" i="1"/>
  <c r="J2322" i="1"/>
  <c r="G2322" i="1"/>
  <c r="J2321" i="1"/>
  <c r="G2321" i="1"/>
  <c r="J2320" i="1"/>
  <c r="G2320" i="1"/>
  <c r="J2319" i="1"/>
  <c r="G2319" i="1"/>
  <c r="J2318" i="1"/>
  <c r="G2318" i="1"/>
  <c r="J2317" i="1"/>
  <c r="G2317" i="1"/>
  <c r="J2316" i="1"/>
  <c r="G2316" i="1"/>
  <c r="J2315" i="1"/>
  <c r="G2315" i="1"/>
  <c r="J2314" i="1"/>
  <c r="G2314" i="1"/>
  <c r="J2313" i="1"/>
  <c r="G2313" i="1"/>
  <c r="J2312" i="1"/>
  <c r="G2312" i="1"/>
  <c r="J2311" i="1"/>
  <c r="G2311" i="1"/>
  <c r="J2310" i="1"/>
  <c r="G2310" i="1"/>
  <c r="J2309" i="1"/>
  <c r="G2309" i="1"/>
  <c r="J2308" i="1"/>
  <c r="G2308" i="1"/>
  <c r="J2307" i="1"/>
  <c r="G2307" i="1"/>
  <c r="J2306" i="1"/>
  <c r="G2306" i="1"/>
  <c r="J2305" i="1"/>
  <c r="G2305" i="1"/>
  <c r="J2304" i="1"/>
  <c r="G2304" i="1"/>
  <c r="J2303" i="1"/>
  <c r="G2303" i="1"/>
  <c r="J2302" i="1"/>
  <c r="G2302" i="1"/>
  <c r="J2301" i="1"/>
  <c r="G2301" i="1"/>
  <c r="J2300" i="1"/>
  <c r="G2300" i="1"/>
  <c r="J2299" i="1"/>
  <c r="G2299" i="1"/>
  <c r="J2298" i="1"/>
  <c r="G2298" i="1"/>
  <c r="J2297" i="1"/>
  <c r="G2297" i="1"/>
  <c r="J2296" i="1"/>
  <c r="G2296" i="1"/>
  <c r="J2295" i="1"/>
  <c r="G2295" i="1"/>
  <c r="J2294" i="1"/>
  <c r="G2294" i="1"/>
  <c r="J2293" i="1"/>
  <c r="G2293" i="1"/>
  <c r="J2292" i="1"/>
  <c r="G2292" i="1"/>
  <c r="J2291" i="1"/>
  <c r="G2291" i="1"/>
  <c r="J2290" i="1"/>
  <c r="G2290" i="1"/>
  <c r="J2289" i="1"/>
  <c r="G2289" i="1"/>
  <c r="J2288" i="1"/>
  <c r="G2288" i="1"/>
  <c r="J2287" i="1"/>
  <c r="G2287" i="1"/>
  <c r="J2286" i="1"/>
  <c r="G2286" i="1"/>
  <c r="J2285" i="1"/>
  <c r="G2285" i="1"/>
  <c r="J2284" i="1"/>
  <c r="G2284" i="1"/>
  <c r="J2283" i="1"/>
  <c r="G2283" i="1"/>
  <c r="J2282" i="1"/>
  <c r="G2282" i="1"/>
  <c r="J2281" i="1"/>
  <c r="G2281" i="1"/>
  <c r="J2280" i="1"/>
  <c r="G2280" i="1"/>
  <c r="J2279" i="1"/>
  <c r="G2279" i="1"/>
  <c r="J2278" i="1"/>
  <c r="G2278" i="1"/>
  <c r="J2277" i="1"/>
  <c r="G2277" i="1"/>
  <c r="J2276" i="1"/>
  <c r="G2276" i="1"/>
  <c r="J2275" i="1"/>
  <c r="G2275" i="1"/>
  <c r="J2274" i="1"/>
  <c r="G2274" i="1"/>
  <c r="J2273" i="1"/>
  <c r="G2273" i="1"/>
  <c r="J2272" i="1"/>
  <c r="G2272" i="1"/>
  <c r="J2271" i="1"/>
  <c r="G2271" i="1"/>
  <c r="J2270" i="1"/>
  <c r="G2270" i="1"/>
  <c r="J2269" i="1"/>
  <c r="G2269" i="1"/>
  <c r="J2268" i="1"/>
  <c r="G2268" i="1"/>
  <c r="J2267" i="1"/>
  <c r="G2267" i="1"/>
  <c r="J2266" i="1"/>
  <c r="G2266" i="1"/>
  <c r="J2265" i="1"/>
  <c r="G2265" i="1"/>
  <c r="J2264" i="1"/>
  <c r="G2264" i="1"/>
  <c r="J2263" i="1"/>
  <c r="G2263" i="1"/>
  <c r="J2262" i="1"/>
  <c r="G2262" i="1"/>
  <c r="J2261" i="1"/>
  <c r="G2261" i="1"/>
  <c r="J2260" i="1"/>
  <c r="G2260" i="1"/>
  <c r="J2259" i="1"/>
  <c r="G2259" i="1"/>
  <c r="J2258" i="1"/>
  <c r="G2258" i="1"/>
  <c r="J2257" i="1"/>
  <c r="G2257" i="1"/>
  <c r="J2256" i="1"/>
  <c r="G2256" i="1"/>
  <c r="J2255" i="1"/>
  <c r="G2255" i="1"/>
  <c r="J2254" i="1"/>
  <c r="G2254" i="1"/>
  <c r="J2253" i="1"/>
  <c r="G2253" i="1"/>
  <c r="J2252" i="1"/>
  <c r="G2252" i="1"/>
  <c r="J2251" i="1"/>
  <c r="G2251" i="1"/>
  <c r="J2250" i="1"/>
  <c r="G2250" i="1"/>
  <c r="J2249" i="1"/>
  <c r="G2249" i="1"/>
  <c r="J2248" i="1"/>
  <c r="G2248" i="1"/>
  <c r="J2247" i="1"/>
  <c r="G2247" i="1"/>
  <c r="J2246" i="1"/>
  <c r="G2246" i="1"/>
  <c r="J2245" i="1"/>
  <c r="G2245" i="1"/>
  <c r="J2244" i="1"/>
  <c r="G2244" i="1"/>
  <c r="J2243" i="1"/>
  <c r="G2243" i="1"/>
  <c r="J2242" i="1"/>
  <c r="G2242" i="1"/>
  <c r="J2241" i="1"/>
  <c r="G2241" i="1"/>
  <c r="J2240" i="1"/>
  <c r="G2240" i="1"/>
  <c r="J2239" i="1"/>
  <c r="G2239" i="1"/>
  <c r="J2238" i="1"/>
  <c r="G2238" i="1"/>
  <c r="J2237" i="1"/>
  <c r="G2237" i="1"/>
  <c r="J2236" i="1"/>
  <c r="G2236" i="1"/>
  <c r="J2235" i="1"/>
  <c r="G2235" i="1"/>
  <c r="J2234" i="1"/>
  <c r="G2234" i="1"/>
  <c r="J2233" i="1"/>
  <c r="G2233" i="1"/>
  <c r="J2232" i="1"/>
  <c r="G2232" i="1"/>
  <c r="J2231" i="1"/>
  <c r="G2231" i="1"/>
  <c r="J2230" i="1"/>
  <c r="G2230" i="1"/>
  <c r="J2229" i="1"/>
  <c r="G2229" i="1"/>
  <c r="J2228" i="1"/>
  <c r="G2228" i="1"/>
  <c r="J2227" i="1"/>
  <c r="G2227" i="1"/>
  <c r="J2226" i="1"/>
  <c r="G2226" i="1"/>
  <c r="J2225" i="1"/>
  <c r="G2225" i="1"/>
  <c r="J2224" i="1"/>
  <c r="G2224" i="1"/>
  <c r="J2223" i="1"/>
  <c r="G2223" i="1"/>
  <c r="J2222" i="1"/>
  <c r="G2222" i="1"/>
  <c r="J2221" i="1"/>
  <c r="G2221" i="1"/>
  <c r="J2220" i="1"/>
  <c r="G2220" i="1"/>
  <c r="J2219" i="1"/>
  <c r="G2219" i="1"/>
  <c r="J2218" i="1"/>
  <c r="G2218" i="1"/>
  <c r="J2217" i="1"/>
  <c r="G2217" i="1"/>
  <c r="J2216" i="1"/>
  <c r="G2216" i="1"/>
  <c r="J2215" i="1"/>
  <c r="G2215" i="1"/>
  <c r="J2214" i="1"/>
  <c r="G2214" i="1"/>
  <c r="J2213" i="1"/>
  <c r="G2213" i="1"/>
  <c r="J2212" i="1"/>
  <c r="G2212" i="1"/>
  <c r="J2211" i="1"/>
  <c r="G2211" i="1"/>
  <c r="J2210" i="1"/>
  <c r="G2210" i="1"/>
  <c r="J2209" i="1"/>
  <c r="G2209" i="1"/>
  <c r="J2208" i="1"/>
  <c r="G2208" i="1"/>
  <c r="J2207" i="1"/>
  <c r="G2207" i="1"/>
  <c r="J2206" i="1"/>
  <c r="G2206" i="1"/>
  <c r="J2205" i="1"/>
  <c r="G2205" i="1"/>
  <c r="J2204" i="1"/>
  <c r="G2204" i="1"/>
  <c r="J2203" i="1"/>
  <c r="G2203" i="1"/>
  <c r="J2202" i="1"/>
  <c r="G2202" i="1"/>
  <c r="J2201" i="1"/>
  <c r="G2201" i="1"/>
  <c r="J2200" i="1"/>
  <c r="G2200" i="1"/>
  <c r="J2199" i="1"/>
  <c r="G2199" i="1"/>
  <c r="J2198" i="1"/>
  <c r="G2198" i="1"/>
  <c r="J2197" i="1"/>
  <c r="G2197" i="1"/>
  <c r="J2196" i="1"/>
  <c r="G2196" i="1"/>
  <c r="J2195" i="1"/>
  <c r="G2195" i="1"/>
  <c r="J2194" i="1"/>
  <c r="G2194" i="1"/>
  <c r="J2193" i="1"/>
  <c r="G2193" i="1"/>
  <c r="J2192" i="1"/>
  <c r="G2192" i="1"/>
  <c r="J2191" i="1"/>
  <c r="G2191" i="1"/>
  <c r="J2190" i="1"/>
  <c r="G2190" i="1"/>
  <c r="J2189" i="1"/>
  <c r="G2189" i="1"/>
  <c r="J2188" i="1"/>
  <c r="G2188" i="1"/>
  <c r="J2187" i="1"/>
  <c r="G2187" i="1"/>
  <c r="J2186" i="1"/>
  <c r="G2186" i="1"/>
  <c r="J2185" i="1"/>
  <c r="G2185" i="1"/>
  <c r="J2184" i="1"/>
  <c r="G2184" i="1"/>
  <c r="J2183" i="1"/>
  <c r="G2183" i="1"/>
  <c r="J2182" i="1"/>
  <c r="G2182" i="1"/>
  <c r="J2181" i="1"/>
  <c r="G2181" i="1"/>
  <c r="J2180" i="1"/>
  <c r="G2180" i="1"/>
  <c r="J2179" i="1"/>
  <c r="G2179" i="1"/>
  <c r="J2178" i="1"/>
  <c r="G2178" i="1"/>
  <c r="J2177" i="1"/>
  <c r="G2177" i="1"/>
  <c r="J2176" i="1"/>
  <c r="G2176" i="1"/>
  <c r="J2175" i="1"/>
  <c r="G2175" i="1"/>
  <c r="J2174" i="1"/>
  <c r="G2174" i="1"/>
  <c r="J2173" i="1"/>
  <c r="G2173" i="1"/>
  <c r="J2172" i="1"/>
  <c r="G2172" i="1"/>
  <c r="J2171" i="1"/>
  <c r="G2171" i="1"/>
  <c r="J2170" i="1"/>
  <c r="G2170" i="1"/>
  <c r="J2169" i="1"/>
  <c r="G2169" i="1"/>
  <c r="J2168" i="1"/>
  <c r="G2168" i="1"/>
  <c r="J2167" i="1"/>
  <c r="G2167" i="1"/>
  <c r="J2166" i="1"/>
  <c r="G2166" i="1"/>
  <c r="J2165" i="1"/>
  <c r="G2165" i="1"/>
  <c r="J2164" i="1"/>
  <c r="G2164" i="1"/>
  <c r="J2163" i="1"/>
  <c r="G2163" i="1"/>
  <c r="J2162" i="1"/>
  <c r="G2162" i="1"/>
  <c r="J2161" i="1"/>
  <c r="G2161" i="1"/>
  <c r="J2160" i="1"/>
  <c r="G2160" i="1"/>
  <c r="J2159" i="1"/>
  <c r="G2159" i="1"/>
  <c r="J2158" i="1"/>
  <c r="G2158" i="1"/>
  <c r="J2157" i="1"/>
  <c r="G2157" i="1"/>
  <c r="J2156" i="1"/>
  <c r="G2156" i="1"/>
  <c r="J2155" i="1"/>
  <c r="G2155" i="1"/>
  <c r="J2154" i="1"/>
  <c r="G2154" i="1"/>
  <c r="J2153" i="1"/>
  <c r="G2153" i="1"/>
  <c r="J2152" i="1"/>
  <c r="G2152" i="1"/>
  <c r="J2151" i="1"/>
  <c r="G2151" i="1"/>
  <c r="J2150" i="1"/>
  <c r="G2150" i="1"/>
  <c r="J2149" i="1"/>
  <c r="G2149" i="1"/>
  <c r="J2148" i="1"/>
  <c r="G2148" i="1"/>
  <c r="J2147" i="1"/>
  <c r="G2147" i="1"/>
  <c r="J2146" i="1"/>
  <c r="G2146" i="1"/>
  <c r="J2145" i="1"/>
  <c r="G2145" i="1"/>
  <c r="J2144" i="1"/>
  <c r="G2144" i="1"/>
  <c r="J2143" i="1"/>
  <c r="G2143" i="1"/>
  <c r="J2142" i="1"/>
  <c r="G2142" i="1"/>
  <c r="J2141" i="1"/>
  <c r="G2141" i="1"/>
  <c r="J2140" i="1"/>
  <c r="G2140" i="1"/>
  <c r="J2139" i="1"/>
  <c r="G2139" i="1"/>
  <c r="J2138" i="1"/>
  <c r="G2138" i="1"/>
  <c r="J2137" i="1"/>
  <c r="G2137" i="1"/>
  <c r="J2136" i="1"/>
  <c r="G2136" i="1"/>
  <c r="J2135" i="1"/>
  <c r="G2135" i="1"/>
  <c r="J2134" i="1"/>
  <c r="G2134" i="1"/>
  <c r="J2133" i="1"/>
  <c r="G2133" i="1"/>
  <c r="J2132" i="1"/>
  <c r="G2132" i="1"/>
  <c r="J2131" i="1"/>
  <c r="G2131" i="1"/>
  <c r="J2130" i="1"/>
  <c r="G2130" i="1"/>
  <c r="J2129" i="1"/>
  <c r="G2129" i="1"/>
  <c r="J2128" i="1"/>
  <c r="G2128" i="1"/>
  <c r="J2127" i="1"/>
  <c r="G2127" i="1"/>
  <c r="J2126" i="1"/>
  <c r="G2126" i="1"/>
  <c r="J2125" i="1"/>
  <c r="G2125" i="1"/>
  <c r="J2124" i="1"/>
  <c r="G2124" i="1"/>
  <c r="J2123" i="1"/>
  <c r="G2123" i="1"/>
  <c r="J2122" i="1"/>
  <c r="G2122" i="1"/>
  <c r="J2121" i="1"/>
  <c r="G2121" i="1"/>
  <c r="J2120" i="1"/>
  <c r="G2120" i="1"/>
  <c r="J2119" i="1"/>
  <c r="G2119" i="1"/>
  <c r="J2118" i="1"/>
  <c r="G2118" i="1"/>
  <c r="J2117" i="1"/>
  <c r="G2117" i="1"/>
  <c r="J2116" i="1"/>
  <c r="G2116" i="1"/>
  <c r="J2115" i="1"/>
  <c r="G2115" i="1"/>
  <c r="J2114" i="1"/>
  <c r="G2114" i="1"/>
  <c r="J2113" i="1"/>
  <c r="G2113" i="1"/>
  <c r="J2112" i="1"/>
  <c r="G2112" i="1"/>
  <c r="J2111" i="1"/>
  <c r="G2111" i="1"/>
  <c r="J2110" i="1"/>
  <c r="G2110" i="1"/>
  <c r="J2109" i="1"/>
  <c r="G2109" i="1"/>
  <c r="J2108" i="1"/>
  <c r="G2108" i="1"/>
  <c r="J2107" i="1"/>
  <c r="G2107" i="1"/>
  <c r="J2106" i="1"/>
  <c r="G2106" i="1"/>
  <c r="J2105" i="1"/>
  <c r="G2105" i="1"/>
  <c r="J2104" i="1"/>
  <c r="G2104" i="1"/>
  <c r="J2103" i="1"/>
  <c r="G2103" i="1"/>
  <c r="J2102" i="1"/>
  <c r="G2102" i="1"/>
  <c r="J2101" i="1"/>
  <c r="G2101" i="1"/>
  <c r="J2100" i="1"/>
  <c r="G2100" i="1"/>
  <c r="J2099" i="1"/>
  <c r="G2099" i="1"/>
  <c r="J2098" i="1"/>
  <c r="G2098" i="1"/>
  <c r="J2097" i="1"/>
  <c r="G2097" i="1"/>
  <c r="J2096" i="1"/>
  <c r="G2096" i="1"/>
  <c r="J2095" i="1"/>
  <c r="G2095" i="1"/>
  <c r="J2094" i="1"/>
  <c r="G2094" i="1"/>
  <c r="J2093" i="1"/>
  <c r="G2093" i="1"/>
  <c r="J2092" i="1"/>
  <c r="G2092" i="1"/>
  <c r="J2091" i="1"/>
  <c r="G2091" i="1"/>
  <c r="J2090" i="1"/>
  <c r="G2090" i="1"/>
  <c r="J2089" i="1"/>
  <c r="G2089" i="1"/>
  <c r="J2088" i="1"/>
  <c r="G2088" i="1"/>
  <c r="J2087" i="1"/>
  <c r="G2087" i="1"/>
  <c r="J2086" i="1"/>
  <c r="G2086" i="1"/>
  <c r="J2085" i="1"/>
  <c r="G2085" i="1"/>
  <c r="J2084" i="1"/>
  <c r="G2084" i="1"/>
  <c r="J2083" i="1"/>
  <c r="G2083" i="1"/>
  <c r="J2082" i="1"/>
  <c r="G2082" i="1"/>
  <c r="J2081" i="1"/>
  <c r="G2081" i="1"/>
  <c r="J2080" i="1"/>
  <c r="G2080" i="1"/>
  <c r="J2079" i="1"/>
  <c r="G2079" i="1"/>
  <c r="J2078" i="1"/>
  <c r="G2078" i="1"/>
  <c r="J2077" i="1"/>
  <c r="G2077" i="1"/>
  <c r="J2076" i="1"/>
  <c r="G2076" i="1"/>
  <c r="J2075" i="1"/>
  <c r="G2075" i="1"/>
  <c r="J2074" i="1"/>
  <c r="G2074" i="1"/>
  <c r="J2073" i="1"/>
  <c r="G2073" i="1"/>
  <c r="J2072" i="1"/>
  <c r="G2072" i="1"/>
  <c r="J2071" i="1"/>
  <c r="G2071" i="1"/>
  <c r="J2070" i="1"/>
  <c r="G2070" i="1"/>
  <c r="J2069" i="1"/>
  <c r="G2069" i="1"/>
  <c r="J2068" i="1"/>
  <c r="G2068" i="1"/>
  <c r="J2067" i="1"/>
  <c r="G2067" i="1"/>
  <c r="J2066" i="1"/>
  <c r="G2066" i="1"/>
  <c r="J2065" i="1"/>
  <c r="G2065" i="1"/>
  <c r="J2064" i="1"/>
  <c r="G2064" i="1"/>
  <c r="J2063" i="1"/>
  <c r="G2063" i="1"/>
  <c r="J2062" i="1"/>
  <c r="G2062" i="1"/>
  <c r="J2061" i="1"/>
  <c r="G2061" i="1"/>
  <c r="J2060" i="1"/>
  <c r="G2060" i="1"/>
  <c r="J2059" i="1"/>
  <c r="G2059" i="1"/>
  <c r="J2058" i="1"/>
  <c r="G2058" i="1"/>
  <c r="J2057" i="1"/>
  <c r="G2057" i="1"/>
  <c r="J2056" i="1"/>
  <c r="G2056" i="1"/>
  <c r="J2055" i="1"/>
  <c r="G2055" i="1"/>
  <c r="J2054" i="1"/>
  <c r="G2054" i="1"/>
  <c r="J2053" i="1"/>
  <c r="G2053" i="1"/>
  <c r="J2052" i="1"/>
  <c r="G2052" i="1"/>
  <c r="J2051" i="1"/>
  <c r="G2051" i="1"/>
  <c r="J2050" i="1"/>
  <c r="G2050" i="1"/>
  <c r="J2049" i="1"/>
  <c r="G2049" i="1"/>
  <c r="J2048" i="1"/>
  <c r="G2048" i="1"/>
  <c r="J2047" i="1"/>
  <c r="G2047" i="1"/>
  <c r="J2046" i="1"/>
  <c r="G2046" i="1"/>
  <c r="J2045" i="1"/>
  <c r="G2045" i="1"/>
  <c r="J2044" i="1"/>
  <c r="G2044" i="1"/>
  <c r="J2043" i="1"/>
  <c r="G2043" i="1"/>
  <c r="J2042" i="1"/>
  <c r="G2042" i="1"/>
  <c r="J2041" i="1"/>
  <c r="G2041" i="1"/>
  <c r="J2040" i="1"/>
  <c r="G2040" i="1"/>
  <c r="J2039" i="1"/>
  <c r="G2039" i="1"/>
  <c r="J2038" i="1"/>
  <c r="G2038" i="1"/>
  <c r="J2037" i="1"/>
  <c r="G2037" i="1"/>
  <c r="J2036" i="1"/>
  <c r="G2036" i="1"/>
  <c r="J2035" i="1"/>
  <c r="G2035" i="1"/>
  <c r="J2034" i="1"/>
  <c r="G2034" i="1"/>
  <c r="J2033" i="1"/>
  <c r="G2033" i="1"/>
  <c r="J2032" i="1"/>
  <c r="G2032" i="1"/>
  <c r="J2031" i="1"/>
  <c r="G2031" i="1"/>
  <c r="J2030" i="1"/>
  <c r="G2030" i="1"/>
  <c r="J2029" i="1"/>
  <c r="G2029" i="1"/>
  <c r="J2028" i="1"/>
  <c r="G2028" i="1"/>
  <c r="J2027" i="1"/>
  <c r="G2027" i="1"/>
  <c r="J2026" i="1"/>
  <c r="G2026" i="1"/>
  <c r="J2025" i="1"/>
  <c r="G2025" i="1"/>
  <c r="J2024" i="1"/>
  <c r="G2024" i="1"/>
  <c r="J2023" i="1"/>
  <c r="G2023" i="1"/>
  <c r="J2022" i="1"/>
  <c r="G2022" i="1"/>
  <c r="J2021" i="1"/>
  <c r="G2021" i="1"/>
  <c r="J2020" i="1"/>
  <c r="G2020" i="1"/>
  <c r="J2019" i="1"/>
  <c r="G2019" i="1"/>
  <c r="J2018" i="1"/>
  <c r="G2018" i="1"/>
  <c r="J2017" i="1"/>
  <c r="G2017" i="1"/>
  <c r="J2016" i="1"/>
  <c r="G2016" i="1"/>
  <c r="J2015" i="1"/>
  <c r="G2015" i="1"/>
  <c r="J2014" i="1"/>
  <c r="G2014" i="1"/>
  <c r="J2013" i="1"/>
  <c r="G2013" i="1"/>
  <c r="J2012" i="1"/>
  <c r="G2012" i="1"/>
  <c r="J2011" i="1"/>
  <c r="G2011" i="1"/>
  <c r="J2010" i="1"/>
  <c r="G2010" i="1"/>
  <c r="J2009" i="1"/>
  <c r="G2009" i="1"/>
  <c r="J2008" i="1"/>
  <c r="G2008" i="1"/>
  <c r="J2007" i="1"/>
  <c r="G2007" i="1"/>
  <c r="J2006" i="1"/>
  <c r="G2006" i="1"/>
  <c r="J2005" i="1"/>
  <c r="G2005" i="1"/>
  <c r="J2004" i="1"/>
  <c r="G2004" i="1"/>
  <c r="J2003" i="1"/>
  <c r="G2003" i="1"/>
  <c r="J2002" i="1"/>
  <c r="G2002" i="1"/>
  <c r="J2001" i="1"/>
  <c r="G2001" i="1"/>
  <c r="J2000" i="1"/>
  <c r="G2000" i="1"/>
  <c r="J1999" i="1"/>
  <c r="G1999" i="1"/>
  <c r="J1998" i="1"/>
  <c r="G1998" i="1"/>
  <c r="J1997" i="1"/>
  <c r="G1997" i="1"/>
  <c r="J1996" i="1"/>
  <c r="G1996" i="1"/>
  <c r="J1995" i="1"/>
  <c r="G1995" i="1"/>
  <c r="J1994" i="1"/>
  <c r="G1994" i="1"/>
  <c r="J1993" i="1"/>
  <c r="G1993" i="1"/>
  <c r="J1992" i="1"/>
  <c r="G1992" i="1"/>
  <c r="J1991" i="1"/>
  <c r="G1991" i="1"/>
  <c r="J1990" i="1"/>
  <c r="G1990" i="1"/>
  <c r="J1989" i="1"/>
  <c r="G1989" i="1"/>
  <c r="J1988" i="1"/>
  <c r="G1988" i="1"/>
  <c r="J1987" i="1"/>
  <c r="G1987" i="1"/>
  <c r="J1986" i="1"/>
  <c r="G1986" i="1"/>
  <c r="J1985" i="1"/>
  <c r="G1985" i="1"/>
  <c r="J1984" i="1"/>
  <c r="G1984" i="1"/>
  <c r="J1983" i="1"/>
  <c r="G1983" i="1"/>
  <c r="J1982" i="1"/>
  <c r="G1982" i="1"/>
  <c r="J1981" i="1"/>
  <c r="G1981" i="1"/>
  <c r="J1980" i="1"/>
  <c r="G1980" i="1"/>
  <c r="J1979" i="1"/>
  <c r="G1979" i="1"/>
  <c r="J1978" i="1"/>
  <c r="G1978" i="1"/>
  <c r="J1977" i="1"/>
  <c r="G1977" i="1"/>
  <c r="J1976" i="1"/>
  <c r="G1976" i="1"/>
  <c r="J1975" i="1"/>
  <c r="G1975" i="1"/>
  <c r="J1974" i="1"/>
  <c r="G1974" i="1"/>
  <c r="J1973" i="1"/>
  <c r="G1973" i="1"/>
  <c r="J1972" i="1"/>
  <c r="G1972" i="1"/>
  <c r="J1971" i="1"/>
  <c r="G1971" i="1"/>
  <c r="J1970" i="1"/>
  <c r="G1970" i="1"/>
  <c r="J1969" i="1"/>
  <c r="G1969" i="1"/>
  <c r="J1968" i="1"/>
  <c r="G1968" i="1"/>
  <c r="J1967" i="1"/>
  <c r="G1967" i="1"/>
  <c r="J1966" i="1"/>
  <c r="G1966" i="1"/>
  <c r="J1965" i="1"/>
  <c r="G1965" i="1"/>
  <c r="J1964" i="1"/>
  <c r="G1964" i="1"/>
  <c r="J1963" i="1"/>
  <c r="G1963" i="1"/>
  <c r="J1962" i="1"/>
  <c r="G1962" i="1"/>
  <c r="J1961" i="1"/>
  <c r="G1961" i="1"/>
  <c r="J1960" i="1"/>
  <c r="G1960" i="1"/>
  <c r="J1959" i="1"/>
  <c r="G1959" i="1"/>
  <c r="J1958" i="1"/>
  <c r="G1958" i="1"/>
  <c r="J1957" i="1"/>
  <c r="G1957" i="1"/>
  <c r="J1956" i="1"/>
  <c r="G1956" i="1"/>
  <c r="J1955" i="1"/>
  <c r="G1955" i="1"/>
  <c r="J1954" i="1"/>
  <c r="G1954" i="1"/>
  <c r="J1953" i="1"/>
  <c r="G1953" i="1"/>
  <c r="J1952" i="1"/>
  <c r="G1952" i="1"/>
  <c r="J1951" i="1"/>
  <c r="G1951" i="1"/>
  <c r="J1950" i="1"/>
  <c r="G1950" i="1"/>
  <c r="J1949" i="1"/>
  <c r="G1949" i="1"/>
  <c r="J1948" i="1"/>
  <c r="G1948" i="1"/>
  <c r="J1947" i="1"/>
  <c r="G1947" i="1"/>
  <c r="J1946" i="1"/>
  <c r="G1946" i="1"/>
  <c r="J1945" i="1"/>
  <c r="G1945" i="1"/>
  <c r="J1944" i="1"/>
  <c r="G1944" i="1"/>
  <c r="J1943" i="1"/>
  <c r="G1943" i="1"/>
  <c r="J1942" i="1"/>
  <c r="G1942" i="1"/>
  <c r="J1941" i="1"/>
  <c r="G1941" i="1"/>
  <c r="J1940" i="1"/>
  <c r="G1940" i="1"/>
  <c r="J1939" i="1"/>
  <c r="G1939" i="1"/>
  <c r="J1938" i="1"/>
  <c r="G1938" i="1"/>
  <c r="J1937" i="1"/>
  <c r="G1937" i="1"/>
  <c r="J1936" i="1"/>
  <c r="G1936" i="1"/>
  <c r="J1935" i="1"/>
  <c r="G1935" i="1"/>
  <c r="J1934" i="1"/>
  <c r="G1934" i="1"/>
  <c r="J1933" i="1"/>
  <c r="G1933" i="1"/>
  <c r="J1932" i="1"/>
  <c r="G1932" i="1"/>
  <c r="J1931" i="1"/>
  <c r="G1931" i="1"/>
  <c r="J1930" i="1"/>
  <c r="G1930" i="1"/>
  <c r="J1929" i="1"/>
  <c r="G1929" i="1"/>
  <c r="J1928" i="1"/>
  <c r="G1928" i="1"/>
  <c r="J1927" i="1"/>
  <c r="G1927" i="1"/>
  <c r="J1926" i="1"/>
  <c r="G1926" i="1"/>
  <c r="J1925" i="1"/>
  <c r="G1925" i="1"/>
  <c r="J1924" i="1"/>
  <c r="G1924" i="1"/>
  <c r="J1923" i="1"/>
  <c r="G1923" i="1"/>
  <c r="J1922" i="1"/>
  <c r="G1922" i="1"/>
  <c r="J1921" i="1"/>
  <c r="G1921" i="1"/>
  <c r="J1920" i="1"/>
  <c r="G1920" i="1"/>
  <c r="J1919" i="1"/>
  <c r="G1919" i="1"/>
  <c r="J1918" i="1"/>
  <c r="G1918" i="1"/>
  <c r="J1917" i="1"/>
  <c r="G1917" i="1"/>
  <c r="J1916" i="1"/>
  <c r="G1916" i="1"/>
  <c r="J1915" i="1"/>
  <c r="G1915" i="1"/>
  <c r="J1914" i="1"/>
  <c r="G1914" i="1"/>
  <c r="J1913" i="1"/>
  <c r="G1913" i="1"/>
  <c r="J1912" i="1"/>
  <c r="G1912" i="1"/>
  <c r="J1911" i="1"/>
  <c r="G1911" i="1"/>
  <c r="J1910" i="1"/>
  <c r="G1910" i="1"/>
  <c r="J1909" i="1"/>
  <c r="G1909" i="1"/>
  <c r="J1908" i="1"/>
  <c r="G1908" i="1"/>
  <c r="J1907" i="1"/>
  <c r="G1907" i="1"/>
  <c r="J1906" i="1"/>
  <c r="G1906" i="1"/>
  <c r="J1905" i="1"/>
  <c r="G1905" i="1"/>
  <c r="J1904" i="1"/>
  <c r="G1904" i="1"/>
  <c r="J1903" i="1"/>
  <c r="G1903" i="1"/>
  <c r="J1902" i="1"/>
  <c r="G1902" i="1"/>
  <c r="J1901" i="1"/>
  <c r="G1901" i="1"/>
  <c r="J1900" i="1"/>
  <c r="G1900" i="1"/>
  <c r="J1899" i="1"/>
  <c r="G1899" i="1"/>
  <c r="J1898" i="1"/>
  <c r="G1898" i="1"/>
  <c r="J1897" i="1"/>
  <c r="G1897" i="1"/>
  <c r="J1896" i="1"/>
  <c r="G1896" i="1"/>
  <c r="J1895" i="1"/>
  <c r="G1895" i="1"/>
  <c r="J1894" i="1"/>
  <c r="G1894" i="1"/>
  <c r="J1893" i="1"/>
  <c r="G1893" i="1"/>
  <c r="J1892" i="1"/>
  <c r="G1892" i="1"/>
  <c r="J1891" i="1"/>
  <c r="G1891" i="1"/>
  <c r="J1890" i="1"/>
  <c r="G1890" i="1"/>
  <c r="J1889" i="1"/>
  <c r="G1889" i="1"/>
  <c r="J1888" i="1"/>
  <c r="G1888" i="1"/>
  <c r="J1887" i="1"/>
  <c r="G1887" i="1"/>
  <c r="J1886" i="1"/>
  <c r="G1886" i="1"/>
  <c r="J1885" i="1"/>
  <c r="G1885" i="1"/>
  <c r="J1884" i="1"/>
  <c r="G1884" i="1"/>
  <c r="J1883" i="1"/>
  <c r="G1883" i="1"/>
  <c r="J1882" i="1"/>
  <c r="G1882" i="1"/>
  <c r="J1881" i="1"/>
  <c r="G1881" i="1"/>
  <c r="J1880" i="1"/>
  <c r="G1880" i="1"/>
  <c r="J1879" i="1"/>
  <c r="G1879" i="1"/>
  <c r="J1878" i="1"/>
  <c r="G1878" i="1"/>
  <c r="J1877" i="1"/>
  <c r="G1877" i="1"/>
  <c r="J1876" i="1"/>
  <c r="G1876" i="1"/>
  <c r="J1875" i="1"/>
  <c r="G1875" i="1"/>
  <c r="J1874" i="1"/>
  <c r="G1874" i="1"/>
  <c r="J1873" i="1"/>
  <c r="G1873" i="1"/>
  <c r="J1872" i="1"/>
  <c r="G1872" i="1"/>
  <c r="J1871" i="1"/>
  <c r="G1871" i="1"/>
  <c r="J1870" i="1"/>
  <c r="G1870" i="1"/>
  <c r="J1869" i="1"/>
  <c r="G1869" i="1"/>
  <c r="J1868" i="1"/>
  <c r="G1868" i="1"/>
  <c r="J1867" i="1"/>
  <c r="G1867" i="1"/>
  <c r="J1866" i="1"/>
  <c r="G1866" i="1"/>
  <c r="J1865" i="1"/>
  <c r="G1865" i="1"/>
  <c r="J1864" i="1"/>
  <c r="G1864" i="1"/>
  <c r="J1863" i="1"/>
  <c r="G1863" i="1"/>
  <c r="J1862" i="1"/>
  <c r="G1862" i="1"/>
  <c r="J1861" i="1"/>
  <c r="G1861" i="1"/>
  <c r="J1860" i="1"/>
  <c r="G1860" i="1"/>
  <c r="J1859" i="1"/>
  <c r="G1859" i="1"/>
  <c r="J1858" i="1"/>
  <c r="G1858" i="1"/>
  <c r="J1857" i="1"/>
  <c r="G1857" i="1"/>
  <c r="J1856" i="1"/>
  <c r="G1856" i="1"/>
  <c r="J1855" i="1"/>
  <c r="G1855" i="1"/>
  <c r="J1854" i="1"/>
  <c r="G1854" i="1"/>
  <c r="J1853" i="1"/>
  <c r="G1853" i="1"/>
  <c r="J1852" i="1"/>
  <c r="G1852" i="1"/>
  <c r="J1851" i="1"/>
  <c r="G1851" i="1"/>
  <c r="J1850" i="1"/>
  <c r="G1850" i="1"/>
  <c r="J1849" i="1"/>
  <c r="G1849" i="1"/>
  <c r="J1848" i="1"/>
  <c r="G1848" i="1"/>
  <c r="J1847" i="1"/>
  <c r="G1847" i="1"/>
  <c r="J1846" i="1"/>
  <c r="G1846" i="1"/>
  <c r="J1845" i="1"/>
  <c r="G1845" i="1"/>
  <c r="J1844" i="1"/>
  <c r="G1844" i="1"/>
  <c r="J1843" i="1"/>
  <c r="G1843" i="1"/>
  <c r="J1842" i="1"/>
  <c r="G1842" i="1"/>
  <c r="J1841" i="1"/>
  <c r="G1841" i="1"/>
  <c r="J1840" i="1"/>
  <c r="G1840" i="1"/>
  <c r="J1839" i="1"/>
  <c r="G1839" i="1"/>
  <c r="J1838" i="1"/>
  <c r="G1838" i="1"/>
  <c r="J1837" i="1"/>
  <c r="G1837" i="1"/>
  <c r="J1836" i="1"/>
  <c r="G1836" i="1"/>
  <c r="J1835" i="1"/>
  <c r="G1835" i="1"/>
  <c r="J1834" i="1"/>
  <c r="G1834" i="1"/>
  <c r="J1833" i="1"/>
  <c r="G1833" i="1"/>
  <c r="J1832" i="1"/>
  <c r="G1832" i="1"/>
  <c r="J1831" i="1"/>
  <c r="G1831" i="1"/>
  <c r="J1830" i="1"/>
  <c r="G1830" i="1"/>
  <c r="J1829" i="1"/>
  <c r="G1829" i="1"/>
  <c r="J1828" i="1"/>
  <c r="G1828" i="1"/>
  <c r="J1827" i="1"/>
  <c r="G1827" i="1"/>
  <c r="J1826" i="1"/>
  <c r="G1826" i="1"/>
  <c r="J1825" i="1"/>
  <c r="G1825" i="1"/>
  <c r="J1824" i="1"/>
  <c r="G1824" i="1"/>
  <c r="J1823" i="1"/>
  <c r="G1823" i="1"/>
  <c r="J1822" i="1"/>
  <c r="G1822" i="1"/>
  <c r="J1821" i="1"/>
  <c r="G1821" i="1"/>
  <c r="J1820" i="1"/>
  <c r="G1820" i="1"/>
  <c r="J1819" i="1"/>
  <c r="G1819" i="1"/>
  <c r="J1818" i="1"/>
  <c r="G1818" i="1"/>
  <c r="J1817" i="1"/>
  <c r="G1817" i="1"/>
  <c r="J1816" i="1"/>
  <c r="G1816" i="1"/>
  <c r="J1815" i="1"/>
  <c r="G1815" i="1"/>
  <c r="J1814" i="1"/>
  <c r="G1814" i="1"/>
  <c r="J1813" i="1"/>
  <c r="G1813" i="1"/>
  <c r="J1812" i="1"/>
  <c r="G1812" i="1"/>
  <c r="J1811" i="1"/>
  <c r="G1811" i="1"/>
  <c r="J1810" i="1"/>
  <c r="G1810" i="1"/>
  <c r="J1809" i="1"/>
  <c r="G1809" i="1"/>
  <c r="J1808" i="1"/>
  <c r="G1808" i="1"/>
  <c r="J1807" i="1"/>
  <c r="G1807" i="1"/>
  <c r="J1806" i="1"/>
  <c r="G1806" i="1"/>
  <c r="J1805" i="1"/>
  <c r="G1805" i="1"/>
  <c r="J1804" i="1"/>
  <c r="G1804" i="1"/>
  <c r="J1803" i="1"/>
  <c r="G1803" i="1"/>
  <c r="J1802" i="1"/>
  <c r="G1802" i="1"/>
  <c r="J1801" i="1"/>
  <c r="G1801" i="1"/>
  <c r="J1800" i="1"/>
  <c r="G1800" i="1"/>
  <c r="J1799" i="1"/>
  <c r="G1799" i="1"/>
  <c r="J1798" i="1"/>
  <c r="G1798" i="1"/>
  <c r="J1797" i="1"/>
  <c r="G1797" i="1"/>
  <c r="J1796" i="1"/>
  <c r="G1796" i="1"/>
  <c r="J1795" i="1"/>
  <c r="G1795" i="1"/>
  <c r="J1794" i="1"/>
  <c r="G1794" i="1"/>
  <c r="J1793" i="1"/>
  <c r="G1793" i="1"/>
  <c r="J1792" i="1"/>
  <c r="G1792" i="1"/>
  <c r="J1791" i="1"/>
  <c r="G1791" i="1"/>
  <c r="J1790" i="1"/>
  <c r="G1790" i="1"/>
  <c r="J1789" i="1"/>
  <c r="G1789" i="1"/>
  <c r="J1788" i="1"/>
  <c r="G1788" i="1"/>
  <c r="J1787" i="1"/>
  <c r="G1787" i="1"/>
  <c r="J1786" i="1"/>
  <c r="G1786" i="1"/>
  <c r="J1785" i="1"/>
  <c r="G1785" i="1"/>
  <c r="J1784" i="1"/>
  <c r="G1784" i="1"/>
  <c r="J1783" i="1"/>
  <c r="G1783" i="1"/>
  <c r="J1782" i="1"/>
  <c r="G1782" i="1"/>
  <c r="J1781" i="1"/>
  <c r="G1781" i="1"/>
  <c r="J1780" i="1"/>
  <c r="G1780" i="1"/>
  <c r="J1779" i="1"/>
  <c r="G1779" i="1"/>
  <c r="J1778" i="1"/>
  <c r="G1778" i="1"/>
  <c r="J1777" i="1"/>
  <c r="G1777" i="1"/>
  <c r="J1776" i="1"/>
  <c r="G1776" i="1"/>
  <c r="J1775" i="1"/>
  <c r="G1775" i="1"/>
  <c r="J1774" i="1"/>
  <c r="G1774" i="1"/>
  <c r="J1773" i="1"/>
  <c r="G1773" i="1"/>
  <c r="J1772" i="1"/>
  <c r="G1772" i="1"/>
  <c r="J1771" i="1"/>
  <c r="G1771" i="1"/>
  <c r="J1770" i="1"/>
  <c r="G1770" i="1"/>
  <c r="J1769" i="1"/>
  <c r="G1769" i="1"/>
  <c r="J1768" i="1"/>
  <c r="G1768" i="1"/>
  <c r="J1767" i="1"/>
  <c r="G1767" i="1"/>
  <c r="J1766" i="1"/>
  <c r="G1766" i="1"/>
  <c r="J1765" i="1"/>
  <c r="G1765" i="1"/>
  <c r="J1764" i="1"/>
  <c r="G1764" i="1"/>
  <c r="J1763" i="1"/>
  <c r="G1763" i="1"/>
  <c r="J1762" i="1"/>
  <c r="G1762" i="1"/>
  <c r="J1761" i="1"/>
  <c r="G1761" i="1"/>
  <c r="J1760" i="1"/>
  <c r="G1760" i="1"/>
  <c r="J1759" i="1"/>
  <c r="G1759" i="1"/>
  <c r="J1758" i="1"/>
  <c r="G1758" i="1"/>
  <c r="J1757" i="1"/>
  <c r="G1757" i="1"/>
  <c r="J1756" i="1"/>
  <c r="G1756" i="1"/>
  <c r="J1755" i="1"/>
  <c r="G1755" i="1"/>
  <c r="J1754" i="1"/>
  <c r="G1754" i="1"/>
  <c r="J1753" i="1"/>
  <c r="G1753" i="1"/>
  <c r="J1752" i="1"/>
  <c r="G1752" i="1"/>
  <c r="J1751" i="1"/>
  <c r="G1751" i="1"/>
  <c r="J1750" i="1"/>
  <c r="G1750" i="1"/>
  <c r="J1749" i="1"/>
  <c r="G1749" i="1"/>
  <c r="J1748" i="1"/>
  <c r="G1748" i="1"/>
  <c r="J1747" i="1"/>
  <c r="G1747" i="1"/>
  <c r="J1746" i="1"/>
  <c r="G1746" i="1"/>
  <c r="J1745" i="1"/>
  <c r="G1745" i="1"/>
  <c r="J1744" i="1"/>
  <c r="G1744" i="1"/>
  <c r="J1743" i="1"/>
  <c r="G1743" i="1"/>
  <c r="J1742" i="1"/>
  <c r="G1742" i="1"/>
  <c r="J1741" i="1"/>
  <c r="G1741" i="1"/>
  <c r="J1740" i="1"/>
  <c r="G1740" i="1"/>
  <c r="J1739" i="1"/>
  <c r="G1739" i="1"/>
  <c r="J1738" i="1"/>
  <c r="G1738" i="1"/>
  <c r="J1737" i="1"/>
  <c r="G1737" i="1"/>
  <c r="J1736" i="1"/>
  <c r="G1736" i="1"/>
  <c r="J1735" i="1"/>
  <c r="G1735" i="1"/>
  <c r="J1734" i="1"/>
  <c r="G1734" i="1"/>
  <c r="J1733" i="1"/>
  <c r="G1733" i="1"/>
  <c r="J1732" i="1"/>
  <c r="G1732" i="1"/>
  <c r="J1731" i="1"/>
  <c r="G1731" i="1"/>
  <c r="J1730" i="1"/>
  <c r="G1730" i="1"/>
  <c r="J1729" i="1"/>
  <c r="G1729" i="1"/>
  <c r="J1728" i="1"/>
  <c r="G1728" i="1"/>
  <c r="J1727" i="1"/>
  <c r="G1727" i="1"/>
  <c r="J1726" i="1"/>
  <c r="G1726" i="1"/>
  <c r="J1725" i="1"/>
  <c r="G1725" i="1"/>
  <c r="J1724" i="1"/>
  <c r="G1724" i="1"/>
  <c r="J1723" i="1"/>
  <c r="G1723" i="1"/>
  <c r="J1722" i="1"/>
  <c r="G1722" i="1"/>
  <c r="J1721" i="1"/>
  <c r="G1721" i="1"/>
  <c r="J1720" i="1"/>
  <c r="G1720" i="1"/>
  <c r="J1719" i="1"/>
  <c r="G1719" i="1"/>
  <c r="J1718" i="1"/>
  <c r="G1718" i="1"/>
  <c r="J1717" i="1"/>
  <c r="G1717" i="1"/>
  <c r="J1716" i="1"/>
  <c r="G1716" i="1"/>
  <c r="J1715" i="1"/>
  <c r="G1715" i="1"/>
  <c r="J1714" i="1"/>
  <c r="G1714" i="1"/>
  <c r="J1713" i="1"/>
  <c r="G1713" i="1"/>
  <c r="J1712" i="1"/>
  <c r="G1712" i="1"/>
  <c r="J1711" i="1"/>
  <c r="G1711" i="1"/>
  <c r="J1710" i="1"/>
  <c r="G1710" i="1"/>
  <c r="J1709" i="1"/>
  <c r="G1709" i="1"/>
  <c r="J1708" i="1"/>
  <c r="G1708" i="1"/>
  <c r="J1707" i="1"/>
  <c r="G1707" i="1"/>
  <c r="J1706" i="1"/>
  <c r="G1706" i="1"/>
  <c r="J1705" i="1"/>
  <c r="G1705" i="1"/>
  <c r="J1704" i="1"/>
  <c r="G1704" i="1"/>
  <c r="J1703" i="1"/>
  <c r="G1703" i="1"/>
  <c r="J1702" i="1"/>
  <c r="G1702" i="1"/>
  <c r="J1701" i="1"/>
  <c r="G1701" i="1"/>
  <c r="J1700" i="1"/>
  <c r="G1700" i="1"/>
  <c r="J1699" i="1"/>
  <c r="G1699" i="1"/>
  <c r="J1698" i="1"/>
  <c r="G1698" i="1"/>
  <c r="J1697" i="1"/>
  <c r="G1697" i="1"/>
  <c r="J1696" i="1"/>
  <c r="G1696" i="1"/>
  <c r="J1695" i="1"/>
  <c r="G1695" i="1"/>
  <c r="J1694" i="1"/>
  <c r="G1694" i="1"/>
  <c r="J1693" i="1"/>
  <c r="G1693" i="1"/>
  <c r="J1692" i="1"/>
  <c r="G1692" i="1"/>
  <c r="J1691" i="1"/>
  <c r="G1691" i="1"/>
  <c r="J1690" i="1"/>
  <c r="G1690" i="1"/>
  <c r="J1689" i="1"/>
  <c r="G1689" i="1"/>
  <c r="J1688" i="1"/>
  <c r="G1688" i="1"/>
  <c r="J1687" i="1"/>
  <c r="G1687" i="1"/>
  <c r="J1686" i="1"/>
  <c r="G1686" i="1"/>
  <c r="J1685" i="1"/>
  <c r="G1685" i="1"/>
  <c r="J1684" i="1"/>
  <c r="G1684" i="1"/>
  <c r="J1683" i="1"/>
  <c r="G1683" i="1"/>
  <c r="J1682" i="1"/>
  <c r="G1682" i="1"/>
  <c r="J1681" i="1"/>
  <c r="G1681" i="1"/>
  <c r="J1680" i="1"/>
  <c r="G1680" i="1"/>
  <c r="J1679" i="1"/>
  <c r="G1679" i="1"/>
  <c r="J1678" i="1"/>
  <c r="G1678" i="1"/>
  <c r="J1677" i="1"/>
  <c r="G1677" i="1"/>
  <c r="J1676" i="1"/>
  <c r="G1676" i="1"/>
  <c r="J1675" i="1"/>
  <c r="G1675" i="1"/>
  <c r="J1674" i="1"/>
  <c r="G1674" i="1"/>
  <c r="J1673" i="1"/>
  <c r="G1673" i="1"/>
  <c r="J1672" i="1"/>
  <c r="G1672" i="1"/>
  <c r="J1671" i="1"/>
  <c r="G1671" i="1"/>
  <c r="J1670" i="1"/>
  <c r="G1670" i="1"/>
  <c r="J1669" i="1"/>
  <c r="G1669" i="1"/>
  <c r="J1668" i="1"/>
  <c r="G1668" i="1"/>
  <c r="J1667" i="1"/>
  <c r="G1667" i="1"/>
  <c r="J1666" i="1"/>
  <c r="G1666" i="1"/>
  <c r="J1665" i="1"/>
  <c r="G1665" i="1"/>
  <c r="J1664" i="1"/>
  <c r="G1664" i="1"/>
  <c r="J1663" i="1"/>
  <c r="G1663" i="1"/>
  <c r="J1662" i="1"/>
  <c r="G1662" i="1"/>
  <c r="J1661" i="1"/>
  <c r="G1661" i="1"/>
  <c r="J1660" i="1"/>
  <c r="G1660" i="1"/>
  <c r="J1659" i="1"/>
  <c r="G1659" i="1"/>
  <c r="J1658" i="1"/>
  <c r="G1658" i="1"/>
  <c r="J1657" i="1"/>
  <c r="G1657" i="1"/>
  <c r="J1656" i="1"/>
  <c r="G1656" i="1"/>
  <c r="J1655" i="1"/>
  <c r="G1655" i="1"/>
  <c r="J1654" i="1"/>
  <c r="G1654" i="1"/>
  <c r="J1653" i="1"/>
  <c r="G1653" i="1"/>
  <c r="J1652" i="1"/>
  <c r="G1652" i="1"/>
  <c r="J1651" i="1"/>
  <c r="G1651" i="1"/>
  <c r="J1650" i="1"/>
  <c r="G1650" i="1"/>
  <c r="J1649" i="1"/>
  <c r="G1649" i="1"/>
  <c r="J1648" i="1"/>
  <c r="G1648" i="1"/>
  <c r="J1647" i="1"/>
  <c r="G1647" i="1"/>
  <c r="J1646" i="1"/>
  <c r="G1646" i="1"/>
  <c r="J1645" i="1"/>
  <c r="G1645" i="1"/>
  <c r="J1644" i="1"/>
  <c r="G1644" i="1"/>
  <c r="J1643" i="1"/>
  <c r="G1643" i="1"/>
  <c r="J1642" i="1"/>
  <c r="G1642" i="1"/>
  <c r="J1641" i="1"/>
  <c r="G1641" i="1"/>
  <c r="J1640" i="1"/>
  <c r="G1640" i="1"/>
  <c r="J1639" i="1"/>
  <c r="G1639" i="1"/>
  <c r="J1638" i="1"/>
  <c r="G1638" i="1"/>
  <c r="J1637" i="1"/>
  <c r="G1637" i="1"/>
  <c r="J1636" i="1"/>
  <c r="G1636" i="1"/>
  <c r="J1635" i="1"/>
  <c r="G1635" i="1"/>
  <c r="J1634" i="1"/>
  <c r="G1634" i="1"/>
  <c r="J1633" i="1"/>
  <c r="G1633" i="1"/>
  <c r="J1632" i="1"/>
  <c r="G1632" i="1"/>
  <c r="J1631" i="1"/>
  <c r="G1631" i="1"/>
  <c r="J1630" i="1"/>
  <c r="G1630" i="1"/>
  <c r="J1629" i="1"/>
  <c r="G1629" i="1"/>
  <c r="J1628" i="1"/>
  <c r="G1628" i="1"/>
  <c r="J1627" i="1"/>
  <c r="G1627" i="1"/>
  <c r="J1626" i="1"/>
  <c r="G1626" i="1"/>
  <c r="J1625" i="1"/>
  <c r="G1625" i="1"/>
  <c r="J1624" i="1"/>
  <c r="G1624" i="1"/>
  <c r="J1623" i="1"/>
  <c r="G1623" i="1"/>
  <c r="J1622" i="1"/>
  <c r="G1622" i="1"/>
  <c r="J1621" i="1"/>
  <c r="G1621" i="1"/>
  <c r="J1620" i="1"/>
  <c r="G1620" i="1"/>
  <c r="J1619" i="1"/>
  <c r="G1619" i="1"/>
  <c r="J1618" i="1"/>
  <c r="G1618" i="1"/>
  <c r="J1617" i="1"/>
  <c r="G1617" i="1"/>
  <c r="J1616" i="1"/>
  <c r="G1616" i="1"/>
  <c r="J1615" i="1"/>
  <c r="G1615" i="1"/>
  <c r="J1614" i="1"/>
  <c r="G1614" i="1"/>
  <c r="J1613" i="1"/>
  <c r="G1613" i="1"/>
  <c r="J1612" i="1"/>
  <c r="G1612" i="1"/>
  <c r="J1611" i="1"/>
  <c r="G1611" i="1"/>
  <c r="J1610" i="1"/>
  <c r="G1610" i="1"/>
  <c r="J1609" i="1"/>
  <c r="G1609" i="1"/>
  <c r="J1608" i="1"/>
  <c r="G1608" i="1"/>
  <c r="J1607" i="1"/>
  <c r="G1607" i="1"/>
  <c r="J1606" i="1"/>
  <c r="G1606" i="1"/>
  <c r="J1605" i="1"/>
  <c r="G1605" i="1"/>
  <c r="J1604" i="1"/>
  <c r="G1604" i="1"/>
  <c r="J1603" i="1"/>
  <c r="G1603" i="1"/>
  <c r="J1602" i="1"/>
  <c r="G1602" i="1"/>
  <c r="J1601" i="1"/>
  <c r="G1601" i="1"/>
  <c r="J1600" i="1"/>
  <c r="G1600" i="1"/>
  <c r="J1599" i="1"/>
  <c r="G1599" i="1"/>
  <c r="J1598" i="1"/>
  <c r="G1598" i="1"/>
  <c r="J1597" i="1"/>
  <c r="G1597" i="1"/>
  <c r="J1596" i="1"/>
  <c r="G1596" i="1"/>
  <c r="J1595" i="1"/>
  <c r="G1595" i="1"/>
  <c r="J1594" i="1"/>
  <c r="G1594" i="1"/>
  <c r="J1593" i="1"/>
  <c r="G1593" i="1"/>
  <c r="J1592" i="1"/>
  <c r="G1592" i="1"/>
  <c r="J1591" i="1"/>
  <c r="G1591" i="1"/>
  <c r="J1590" i="1"/>
  <c r="G1590" i="1"/>
  <c r="J1589" i="1"/>
  <c r="G1589" i="1"/>
  <c r="J1588" i="1"/>
  <c r="G1588" i="1"/>
  <c r="J1587" i="1"/>
  <c r="G1587" i="1"/>
  <c r="J1586" i="1"/>
  <c r="G1586" i="1"/>
  <c r="J1585" i="1"/>
  <c r="G1585" i="1"/>
  <c r="J1584" i="1"/>
  <c r="G1584" i="1"/>
  <c r="J1583" i="1"/>
  <c r="G1583" i="1"/>
  <c r="J1582" i="1"/>
  <c r="G1582" i="1"/>
  <c r="J1581" i="1"/>
  <c r="G1581" i="1"/>
  <c r="J1580" i="1"/>
  <c r="G1580" i="1"/>
  <c r="J1579" i="1"/>
  <c r="G1579" i="1"/>
  <c r="J1578" i="1"/>
  <c r="G1578" i="1"/>
  <c r="J1577" i="1"/>
  <c r="G1577" i="1"/>
  <c r="J1576" i="1"/>
  <c r="G1576" i="1"/>
  <c r="J1575" i="1"/>
  <c r="G1575" i="1"/>
  <c r="J1574" i="1"/>
  <c r="G1574" i="1"/>
  <c r="J1573" i="1"/>
  <c r="G1573" i="1"/>
  <c r="J1572" i="1"/>
  <c r="G1572" i="1"/>
  <c r="J1571" i="1"/>
  <c r="G1571" i="1"/>
  <c r="J1570" i="1"/>
  <c r="G1570" i="1"/>
  <c r="J1569" i="1"/>
  <c r="G1569" i="1"/>
  <c r="J1568" i="1"/>
  <c r="G1568" i="1"/>
  <c r="J1567" i="1"/>
  <c r="G1567" i="1"/>
  <c r="J1566" i="1"/>
  <c r="G1566" i="1"/>
  <c r="J1565" i="1"/>
  <c r="G1565" i="1"/>
  <c r="J1564" i="1"/>
  <c r="G1564" i="1"/>
  <c r="J1563" i="1"/>
  <c r="G1563" i="1"/>
  <c r="J1562" i="1"/>
  <c r="G1562" i="1"/>
  <c r="J1561" i="1"/>
  <c r="G1561" i="1"/>
  <c r="J1560" i="1"/>
  <c r="G1560" i="1"/>
  <c r="J1559" i="1"/>
  <c r="G1559" i="1"/>
  <c r="J1558" i="1"/>
  <c r="G1558" i="1"/>
  <c r="J1557" i="1"/>
  <c r="G1557" i="1"/>
  <c r="J1556" i="1"/>
  <c r="G1556" i="1"/>
  <c r="J1555" i="1"/>
  <c r="G1555" i="1"/>
  <c r="J1554" i="1"/>
  <c r="G1554" i="1"/>
  <c r="J1553" i="1"/>
  <c r="G1553" i="1"/>
  <c r="J1552" i="1"/>
  <c r="G1552" i="1"/>
  <c r="J1551" i="1"/>
  <c r="G1551" i="1"/>
  <c r="J1550" i="1"/>
  <c r="G1550" i="1"/>
  <c r="J1549" i="1"/>
  <c r="G1549" i="1"/>
  <c r="J1548" i="1"/>
  <c r="G1548" i="1"/>
  <c r="J1547" i="1"/>
  <c r="G1547" i="1"/>
  <c r="J1546" i="1"/>
  <c r="G1546" i="1"/>
  <c r="J1545" i="1"/>
  <c r="G1545" i="1"/>
  <c r="J1544" i="1"/>
  <c r="G1544" i="1"/>
  <c r="J1543" i="1"/>
  <c r="G1543" i="1"/>
  <c r="J1542" i="1"/>
  <c r="G1542" i="1"/>
  <c r="J1541" i="1"/>
  <c r="G1541" i="1"/>
  <c r="J1540" i="1"/>
  <c r="G1540" i="1"/>
  <c r="J1539" i="1"/>
  <c r="G1539" i="1"/>
  <c r="J1538" i="1"/>
  <c r="G1538" i="1"/>
  <c r="J1537" i="1"/>
  <c r="G1537" i="1"/>
  <c r="J1536" i="1"/>
  <c r="G1536" i="1"/>
  <c r="J1535" i="1"/>
  <c r="G1535" i="1"/>
  <c r="J1534" i="1"/>
  <c r="G1534" i="1"/>
  <c r="J1533" i="1"/>
  <c r="G1533" i="1"/>
  <c r="J1532" i="1"/>
  <c r="G1532" i="1"/>
  <c r="J1531" i="1"/>
  <c r="G1531" i="1"/>
  <c r="J1530" i="1"/>
  <c r="G1530" i="1"/>
  <c r="J1529" i="1"/>
  <c r="G1529" i="1"/>
  <c r="J1528" i="1"/>
  <c r="G1528" i="1"/>
  <c r="J1527" i="1"/>
  <c r="G1527" i="1"/>
  <c r="J1526" i="1"/>
  <c r="G1526" i="1"/>
  <c r="J1525" i="1"/>
  <c r="G1525" i="1"/>
  <c r="J1524" i="1"/>
  <c r="G1524" i="1"/>
  <c r="J1523" i="1"/>
  <c r="G1523" i="1"/>
  <c r="J1522" i="1"/>
  <c r="G1522" i="1"/>
  <c r="J1521" i="1"/>
  <c r="G1521" i="1"/>
  <c r="J1520" i="1"/>
  <c r="G1520" i="1"/>
  <c r="J1519" i="1"/>
  <c r="G1519" i="1"/>
  <c r="J1518" i="1"/>
  <c r="G1518" i="1"/>
  <c r="J1517" i="1"/>
  <c r="G1517" i="1"/>
  <c r="J1516" i="1"/>
  <c r="G1516" i="1"/>
  <c r="J1515" i="1"/>
  <c r="G1515" i="1"/>
  <c r="J1514" i="1"/>
  <c r="G1514" i="1"/>
  <c r="J1513" i="1"/>
  <c r="G1513" i="1"/>
  <c r="J1512" i="1"/>
  <c r="G1512" i="1"/>
  <c r="J1511" i="1"/>
  <c r="G1511" i="1"/>
  <c r="J1510" i="1"/>
  <c r="G1510" i="1"/>
  <c r="J1509" i="1"/>
  <c r="G1509" i="1"/>
  <c r="J1508" i="1"/>
  <c r="G1508" i="1"/>
  <c r="J1507" i="1"/>
  <c r="G1507" i="1"/>
  <c r="J1506" i="1"/>
  <c r="G1506" i="1"/>
  <c r="J1505" i="1"/>
  <c r="G1505" i="1"/>
  <c r="J1504" i="1"/>
  <c r="G1504" i="1"/>
  <c r="J1503" i="1"/>
  <c r="G1503" i="1"/>
  <c r="J1502" i="1"/>
  <c r="G1502" i="1"/>
  <c r="J1501" i="1"/>
  <c r="G1501" i="1"/>
  <c r="J1500" i="1"/>
  <c r="G1500" i="1"/>
  <c r="J1499" i="1"/>
  <c r="G1499" i="1"/>
  <c r="J1498" i="1"/>
  <c r="G1498" i="1"/>
  <c r="J1497" i="1"/>
  <c r="G1497" i="1"/>
  <c r="J1496" i="1"/>
  <c r="G1496" i="1"/>
  <c r="J1495" i="1"/>
  <c r="G1495" i="1"/>
  <c r="J1494" i="1"/>
  <c r="G1494" i="1"/>
  <c r="J1493" i="1"/>
  <c r="G1493" i="1"/>
  <c r="J1492" i="1"/>
  <c r="G1492" i="1"/>
  <c r="J1491" i="1"/>
  <c r="G1491" i="1"/>
  <c r="J1490" i="1"/>
  <c r="G1490" i="1"/>
  <c r="J1489" i="1"/>
  <c r="G1489" i="1"/>
  <c r="J1488" i="1"/>
  <c r="G1488" i="1"/>
  <c r="J1487" i="1"/>
  <c r="G1487" i="1"/>
  <c r="J1486" i="1"/>
  <c r="G1486" i="1"/>
  <c r="J1485" i="1"/>
  <c r="G1485" i="1"/>
  <c r="J1484" i="1"/>
  <c r="G1484" i="1"/>
  <c r="J1483" i="1"/>
  <c r="G1483" i="1"/>
  <c r="J1482" i="1"/>
  <c r="G1482" i="1"/>
  <c r="J1481" i="1"/>
  <c r="G1481" i="1"/>
  <c r="J1480" i="1"/>
  <c r="G1480" i="1"/>
  <c r="J1479" i="1"/>
  <c r="G1479" i="1"/>
  <c r="J1478" i="1"/>
  <c r="G1478" i="1"/>
  <c r="J1477" i="1"/>
  <c r="G1477" i="1"/>
  <c r="J1476" i="1"/>
  <c r="G1476" i="1"/>
  <c r="J1475" i="1"/>
  <c r="G1475" i="1"/>
  <c r="J1474" i="1"/>
  <c r="G1474" i="1"/>
  <c r="J1473" i="1"/>
  <c r="G1473" i="1"/>
  <c r="J1472" i="1"/>
  <c r="G1472" i="1"/>
  <c r="J1471" i="1"/>
  <c r="G1471" i="1"/>
  <c r="J1470" i="1"/>
  <c r="G1470" i="1"/>
  <c r="J1469" i="1"/>
  <c r="G1469" i="1"/>
  <c r="J1468" i="1"/>
  <c r="G1468" i="1"/>
  <c r="J1467" i="1"/>
  <c r="G1467" i="1"/>
  <c r="J1466" i="1"/>
  <c r="G1466" i="1"/>
  <c r="J1465" i="1"/>
  <c r="G1465" i="1"/>
  <c r="J1464" i="1"/>
  <c r="G1464" i="1"/>
  <c r="J1463" i="1"/>
  <c r="G1463" i="1"/>
  <c r="J1462" i="1"/>
  <c r="G1462" i="1"/>
  <c r="J1461" i="1"/>
  <c r="G1461" i="1"/>
  <c r="J1460" i="1"/>
  <c r="G1460" i="1"/>
  <c r="J1459" i="1"/>
  <c r="G1459" i="1"/>
  <c r="J1458" i="1"/>
  <c r="G1458" i="1"/>
  <c r="J1457" i="1"/>
  <c r="G1457" i="1"/>
  <c r="J1456" i="1"/>
  <c r="G1456" i="1"/>
  <c r="J1455" i="1"/>
  <c r="G1455" i="1"/>
  <c r="J1454" i="1"/>
  <c r="G1454" i="1"/>
  <c r="J1453" i="1"/>
  <c r="G1453" i="1"/>
  <c r="J1452" i="1"/>
  <c r="G1452" i="1"/>
  <c r="J1451" i="1"/>
  <c r="G1451" i="1"/>
  <c r="J1450" i="1"/>
  <c r="G1450" i="1"/>
  <c r="J1449" i="1"/>
  <c r="G1449" i="1"/>
  <c r="J1448" i="1"/>
  <c r="G1448" i="1"/>
  <c r="J1447" i="1"/>
  <c r="G1447" i="1"/>
  <c r="J1446" i="1"/>
  <c r="G1446" i="1"/>
  <c r="J1445" i="1"/>
  <c r="G1445" i="1"/>
  <c r="J1444" i="1"/>
  <c r="G1444" i="1"/>
  <c r="J1443" i="1"/>
  <c r="G1443" i="1"/>
  <c r="J1442" i="1"/>
  <c r="G1442" i="1"/>
  <c r="J1441" i="1"/>
  <c r="G1441" i="1"/>
  <c r="J1440" i="1"/>
  <c r="G1440" i="1"/>
  <c r="J1439" i="1"/>
  <c r="G1439" i="1"/>
  <c r="J1438" i="1"/>
  <c r="G1438" i="1"/>
  <c r="J1437" i="1"/>
  <c r="G1437" i="1"/>
  <c r="J1436" i="1"/>
  <c r="G1436" i="1"/>
  <c r="J1435" i="1"/>
  <c r="G1435" i="1"/>
  <c r="J1434" i="1"/>
  <c r="G1434" i="1"/>
  <c r="J1433" i="1"/>
  <c r="G1433" i="1"/>
  <c r="J1432" i="1"/>
  <c r="G1432" i="1"/>
  <c r="J1431" i="1"/>
  <c r="G1431" i="1"/>
  <c r="J1430" i="1"/>
  <c r="G1430" i="1"/>
  <c r="J1429" i="1"/>
  <c r="G1429" i="1"/>
  <c r="J1428" i="1"/>
  <c r="G1428" i="1"/>
  <c r="J1427" i="1"/>
  <c r="G1427" i="1"/>
  <c r="J1426" i="1"/>
  <c r="G1426" i="1"/>
  <c r="J1425" i="1"/>
  <c r="G1425" i="1"/>
  <c r="J1424" i="1"/>
  <c r="G1424" i="1"/>
  <c r="J1423" i="1"/>
  <c r="G1423" i="1"/>
  <c r="J1422" i="1"/>
  <c r="G1422" i="1"/>
  <c r="J1421" i="1"/>
  <c r="G1421" i="1"/>
  <c r="J1420" i="1"/>
  <c r="G1420" i="1"/>
  <c r="J1419" i="1"/>
  <c r="G1419" i="1"/>
  <c r="J1418" i="1"/>
  <c r="G1418" i="1"/>
  <c r="J1417" i="1"/>
  <c r="G1417" i="1"/>
  <c r="J1416" i="1"/>
  <c r="G1416" i="1"/>
  <c r="J1415" i="1"/>
  <c r="G1415" i="1"/>
  <c r="J1414" i="1"/>
  <c r="G1414" i="1"/>
  <c r="J1413" i="1"/>
  <c r="G1413" i="1"/>
  <c r="J1412" i="1"/>
  <c r="G1412" i="1"/>
  <c r="J1411" i="1"/>
  <c r="G1411" i="1"/>
  <c r="J1410" i="1"/>
  <c r="G1410" i="1"/>
  <c r="J1409" i="1"/>
  <c r="G1409" i="1"/>
  <c r="J1408" i="1"/>
  <c r="G1408" i="1"/>
  <c r="J1407" i="1"/>
  <c r="G1407" i="1"/>
  <c r="J1406" i="1"/>
  <c r="G1406" i="1"/>
  <c r="J1405" i="1"/>
  <c r="G1405" i="1"/>
  <c r="J1404" i="1"/>
  <c r="G1404" i="1"/>
  <c r="J1403" i="1"/>
  <c r="G1403" i="1"/>
  <c r="J1402" i="1"/>
  <c r="G1402" i="1"/>
  <c r="J1401" i="1"/>
  <c r="G1401" i="1"/>
  <c r="J1400" i="1"/>
  <c r="G1400" i="1"/>
  <c r="J1399" i="1"/>
  <c r="G1399" i="1"/>
  <c r="J1398" i="1"/>
  <c r="G1398" i="1"/>
  <c r="J1397" i="1"/>
  <c r="G1397" i="1"/>
  <c r="J1396" i="1"/>
  <c r="G1396" i="1"/>
  <c r="J1395" i="1"/>
  <c r="G1395" i="1"/>
  <c r="J1394" i="1"/>
  <c r="G1394" i="1"/>
  <c r="J1393" i="1"/>
  <c r="G1393" i="1"/>
  <c r="J1392" i="1"/>
  <c r="G1392" i="1"/>
  <c r="J1391" i="1"/>
  <c r="G1391" i="1"/>
  <c r="J1390" i="1"/>
  <c r="G1390" i="1"/>
  <c r="J1389" i="1"/>
  <c r="G1389" i="1"/>
  <c r="J1388" i="1"/>
  <c r="G1388" i="1"/>
  <c r="J1387" i="1"/>
  <c r="G1387" i="1"/>
  <c r="J1386" i="1"/>
  <c r="G1386" i="1"/>
  <c r="J1385" i="1"/>
  <c r="G1385" i="1"/>
  <c r="J1384" i="1"/>
  <c r="G1384" i="1"/>
  <c r="J1383" i="1"/>
  <c r="G1383" i="1"/>
  <c r="J1382" i="1"/>
  <c r="G1382" i="1"/>
  <c r="J1381" i="1"/>
  <c r="G1381" i="1"/>
  <c r="J1380" i="1"/>
  <c r="G1380" i="1"/>
  <c r="J1379" i="1"/>
  <c r="G1379" i="1"/>
  <c r="J1378" i="1"/>
  <c r="G1378" i="1"/>
  <c r="J1377" i="1"/>
  <c r="G1377" i="1"/>
  <c r="J1376" i="1"/>
  <c r="G1376" i="1"/>
  <c r="J1375" i="1"/>
  <c r="G1375" i="1"/>
  <c r="J1374" i="1"/>
  <c r="G1374" i="1"/>
  <c r="J1373" i="1"/>
  <c r="G1373" i="1"/>
  <c r="J1372" i="1"/>
  <c r="G1372" i="1"/>
  <c r="J1371" i="1"/>
  <c r="G1371" i="1"/>
  <c r="J1370" i="1"/>
  <c r="G1370" i="1"/>
  <c r="J1369" i="1"/>
  <c r="G1369" i="1"/>
  <c r="J1368" i="1"/>
  <c r="G1368" i="1"/>
  <c r="J1367" i="1"/>
  <c r="G1367" i="1"/>
  <c r="J1366" i="1"/>
  <c r="G1366" i="1"/>
  <c r="J1365" i="1"/>
  <c r="G1365" i="1"/>
  <c r="J1364" i="1"/>
  <c r="G1364" i="1"/>
  <c r="J1363" i="1"/>
  <c r="G1363" i="1"/>
  <c r="J1362" i="1"/>
  <c r="G1362" i="1"/>
  <c r="J1361" i="1"/>
  <c r="G1361" i="1"/>
  <c r="J1360" i="1"/>
  <c r="G1360" i="1"/>
  <c r="J1359" i="1"/>
  <c r="G1359" i="1"/>
  <c r="J1358" i="1"/>
  <c r="G1358" i="1"/>
  <c r="J1357" i="1"/>
  <c r="G1357" i="1"/>
  <c r="J1356" i="1"/>
  <c r="G1356" i="1"/>
  <c r="J1355" i="1"/>
  <c r="G1355" i="1"/>
  <c r="J1354" i="1"/>
  <c r="G1354" i="1"/>
  <c r="J1353" i="1"/>
  <c r="G1353" i="1"/>
  <c r="J1352" i="1"/>
  <c r="G1352" i="1"/>
  <c r="J1351" i="1"/>
  <c r="G1351" i="1"/>
  <c r="J1350" i="1"/>
  <c r="G1350" i="1"/>
  <c r="J1349" i="1"/>
  <c r="G1349" i="1"/>
  <c r="J1348" i="1"/>
  <c r="G1348" i="1"/>
  <c r="J1347" i="1"/>
  <c r="G1347" i="1"/>
  <c r="J1346" i="1"/>
  <c r="G1346" i="1"/>
  <c r="J1345" i="1"/>
  <c r="G1345" i="1"/>
  <c r="J1344" i="1"/>
  <c r="G1344" i="1"/>
  <c r="J1343" i="1"/>
  <c r="G1343" i="1"/>
  <c r="J1342" i="1"/>
  <c r="G1342" i="1"/>
  <c r="J1341" i="1"/>
  <c r="G1341" i="1"/>
  <c r="J1340" i="1"/>
  <c r="G1340" i="1"/>
  <c r="J1339" i="1"/>
  <c r="G1339" i="1"/>
  <c r="J1338" i="1"/>
  <c r="G1338" i="1"/>
  <c r="J1337" i="1"/>
  <c r="G1337" i="1"/>
  <c r="J1336" i="1"/>
  <c r="G1336" i="1"/>
  <c r="J1335" i="1"/>
  <c r="G1335" i="1"/>
  <c r="J1334" i="1"/>
  <c r="G1334" i="1"/>
  <c r="J1333" i="1"/>
  <c r="G1333" i="1"/>
  <c r="J1332" i="1"/>
  <c r="G1332" i="1"/>
  <c r="J1331" i="1"/>
  <c r="G1331" i="1"/>
  <c r="J1330" i="1"/>
  <c r="G1330" i="1"/>
  <c r="J1329" i="1"/>
  <c r="G1329" i="1"/>
  <c r="J1328" i="1"/>
  <c r="G1328" i="1"/>
  <c r="J1327" i="1"/>
  <c r="G1327" i="1"/>
  <c r="J1326" i="1"/>
  <c r="G1326" i="1"/>
  <c r="J1325" i="1"/>
  <c r="G1325" i="1"/>
  <c r="J1324" i="1"/>
  <c r="G1324" i="1"/>
  <c r="J1323" i="1"/>
  <c r="G1323" i="1"/>
  <c r="J1322" i="1"/>
  <c r="G1322" i="1"/>
  <c r="J1321" i="1"/>
  <c r="G1321" i="1"/>
  <c r="J1320" i="1"/>
  <c r="G1320" i="1"/>
  <c r="J1319" i="1"/>
  <c r="G1319" i="1"/>
  <c r="J1318" i="1"/>
  <c r="G1318" i="1"/>
  <c r="J1317" i="1"/>
  <c r="G1317" i="1"/>
  <c r="J1316" i="1"/>
  <c r="G1316" i="1"/>
  <c r="J1315" i="1"/>
  <c r="G1315" i="1"/>
  <c r="J1314" i="1"/>
  <c r="G1314" i="1"/>
  <c r="J1313" i="1"/>
  <c r="G1313" i="1"/>
  <c r="J1312" i="1"/>
  <c r="G1312" i="1"/>
  <c r="J1311" i="1"/>
  <c r="G1311" i="1"/>
  <c r="J1310" i="1"/>
  <c r="G1310" i="1"/>
  <c r="J1309" i="1"/>
  <c r="G1309" i="1"/>
  <c r="J1308" i="1"/>
  <c r="G1308" i="1"/>
  <c r="J1307" i="1"/>
  <c r="G1307" i="1"/>
  <c r="J1306" i="1"/>
  <c r="G1306" i="1"/>
  <c r="J1305" i="1"/>
  <c r="G1305" i="1"/>
  <c r="J1304" i="1"/>
  <c r="G1304" i="1"/>
  <c r="J1303" i="1"/>
  <c r="G1303" i="1"/>
  <c r="J1302" i="1"/>
  <c r="G1302" i="1"/>
  <c r="J1301" i="1"/>
  <c r="G1301" i="1"/>
  <c r="J1300" i="1"/>
  <c r="G1300" i="1"/>
  <c r="J1299" i="1"/>
  <c r="G1299" i="1"/>
  <c r="J1298" i="1"/>
  <c r="G1298" i="1"/>
  <c r="J1297" i="1"/>
  <c r="G1297" i="1"/>
  <c r="J1296" i="1"/>
  <c r="G1296" i="1"/>
  <c r="J1295" i="1"/>
  <c r="G1295" i="1"/>
  <c r="J1294" i="1"/>
  <c r="G1294" i="1"/>
  <c r="J1293" i="1"/>
  <c r="G1293" i="1"/>
  <c r="J1292" i="1"/>
  <c r="G1292" i="1"/>
  <c r="J1291" i="1"/>
  <c r="G1291" i="1"/>
  <c r="J1290" i="1"/>
  <c r="G1290" i="1"/>
  <c r="J1289" i="1"/>
  <c r="G1289" i="1"/>
  <c r="J1288" i="1"/>
  <c r="G1288" i="1"/>
  <c r="J1287" i="1"/>
  <c r="G1287" i="1"/>
  <c r="J1286" i="1"/>
  <c r="G1286" i="1"/>
  <c r="J1285" i="1"/>
  <c r="G1285" i="1"/>
  <c r="J1284" i="1"/>
  <c r="G1284" i="1"/>
  <c r="J1283" i="1"/>
  <c r="G1283" i="1"/>
  <c r="J1282" i="1"/>
  <c r="G1282" i="1"/>
  <c r="J1281" i="1"/>
  <c r="G1281" i="1"/>
  <c r="J1280" i="1"/>
  <c r="G1280" i="1"/>
  <c r="J1279" i="1"/>
  <c r="G1279" i="1"/>
  <c r="J1278" i="1"/>
  <c r="G1278" i="1"/>
  <c r="J1277" i="1"/>
  <c r="G1277" i="1"/>
  <c r="J1276" i="1"/>
  <c r="G1276" i="1"/>
  <c r="J1275" i="1"/>
  <c r="G1275" i="1"/>
  <c r="J1274" i="1"/>
  <c r="G1274" i="1"/>
  <c r="J1273" i="1"/>
  <c r="G1273" i="1"/>
  <c r="J1272" i="1"/>
  <c r="G1272" i="1"/>
  <c r="J1271" i="1"/>
  <c r="G1271" i="1"/>
  <c r="J1270" i="1"/>
  <c r="G1270" i="1"/>
  <c r="J1269" i="1"/>
  <c r="G1269" i="1"/>
  <c r="J1268" i="1"/>
  <c r="G1268" i="1"/>
  <c r="J1267" i="1"/>
  <c r="G1267" i="1"/>
  <c r="J1266" i="1"/>
  <c r="G1266" i="1"/>
  <c r="J1265" i="1"/>
  <c r="G1265" i="1"/>
  <c r="J1264" i="1"/>
  <c r="G1264" i="1"/>
  <c r="J1263" i="1"/>
  <c r="G1263" i="1"/>
  <c r="J1262" i="1"/>
  <c r="G1262" i="1"/>
  <c r="J1261" i="1"/>
  <c r="G1261" i="1"/>
  <c r="J1260" i="1"/>
  <c r="G1260" i="1"/>
  <c r="J1259" i="1"/>
  <c r="G1259" i="1"/>
  <c r="J1258" i="1"/>
  <c r="G1258" i="1"/>
  <c r="J1257" i="1"/>
  <c r="G1257" i="1"/>
  <c r="J1256" i="1"/>
  <c r="G1256" i="1"/>
  <c r="J1255" i="1"/>
  <c r="G1255" i="1"/>
  <c r="J1254" i="1"/>
  <c r="G1254" i="1"/>
  <c r="J1253" i="1"/>
  <c r="G1253" i="1"/>
  <c r="J1252" i="1"/>
  <c r="G1252" i="1"/>
  <c r="J1251" i="1"/>
  <c r="G1251" i="1"/>
  <c r="J1250" i="1"/>
  <c r="G1250" i="1"/>
  <c r="J1249" i="1"/>
  <c r="G1249" i="1"/>
  <c r="J1248" i="1"/>
  <c r="G1248" i="1"/>
  <c r="J1247" i="1"/>
  <c r="G1247" i="1"/>
  <c r="J1246" i="1"/>
  <c r="G1246" i="1"/>
  <c r="J1245" i="1"/>
  <c r="G1245" i="1"/>
  <c r="J1244" i="1"/>
  <c r="G1244" i="1"/>
  <c r="J1243" i="1"/>
  <c r="G1243" i="1"/>
  <c r="J1242" i="1"/>
  <c r="G1242" i="1"/>
  <c r="J1241" i="1"/>
  <c r="G1241" i="1"/>
  <c r="J1240" i="1"/>
  <c r="G1240" i="1"/>
  <c r="J1239" i="1"/>
  <c r="G1239" i="1"/>
  <c r="J1238" i="1"/>
  <c r="G1238" i="1"/>
  <c r="J1237" i="1"/>
  <c r="G1237" i="1"/>
  <c r="J1236" i="1"/>
  <c r="G1236" i="1"/>
  <c r="J1235" i="1"/>
  <c r="G1235" i="1"/>
  <c r="J1234" i="1"/>
  <c r="G1234" i="1"/>
  <c r="J1233" i="1"/>
  <c r="G1233" i="1"/>
  <c r="J1232" i="1"/>
  <c r="G1232" i="1"/>
  <c r="J1231" i="1"/>
  <c r="G1231" i="1"/>
  <c r="J1230" i="1"/>
  <c r="G1230" i="1"/>
  <c r="J1229" i="1"/>
  <c r="G1229" i="1"/>
  <c r="J1228" i="1"/>
  <c r="G1228" i="1"/>
  <c r="J1227" i="1"/>
  <c r="G1227" i="1"/>
  <c r="J1226" i="1"/>
  <c r="G1226" i="1"/>
  <c r="J1225" i="1"/>
  <c r="G1225" i="1"/>
  <c r="J1224" i="1"/>
  <c r="G1224" i="1"/>
  <c r="J1223" i="1"/>
  <c r="G1223" i="1"/>
  <c r="J1222" i="1"/>
  <c r="G1222" i="1"/>
  <c r="J1221" i="1"/>
  <c r="G1221" i="1"/>
  <c r="J1220" i="1"/>
  <c r="G1220" i="1"/>
  <c r="J1219" i="1"/>
  <c r="G1219" i="1"/>
  <c r="J1218" i="1"/>
  <c r="G1218" i="1"/>
  <c r="J1217" i="1"/>
  <c r="G1217" i="1"/>
  <c r="J1216" i="1"/>
  <c r="G1216" i="1"/>
  <c r="J1215" i="1"/>
  <c r="G1215" i="1"/>
  <c r="J1214" i="1"/>
  <c r="G1214" i="1"/>
  <c r="J1213" i="1"/>
  <c r="G1213" i="1"/>
  <c r="J1212" i="1"/>
  <c r="G1212" i="1"/>
  <c r="J1211" i="1"/>
  <c r="G1211" i="1"/>
  <c r="J1210" i="1"/>
  <c r="G1210" i="1"/>
  <c r="J1209" i="1"/>
  <c r="G1209" i="1"/>
  <c r="J1208" i="1"/>
  <c r="G1208" i="1"/>
  <c r="J1207" i="1"/>
  <c r="G1207" i="1"/>
  <c r="J1206" i="1"/>
  <c r="G1206" i="1"/>
  <c r="J1205" i="1"/>
  <c r="G1205" i="1"/>
  <c r="J1204" i="1"/>
  <c r="G1204" i="1"/>
  <c r="J1203" i="1"/>
  <c r="G1203" i="1"/>
  <c r="J1202" i="1"/>
  <c r="G1202" i="1"/>
  <c r="J1201" i="1"/>
  <c r="G1201" i="1"/>
  <c r="J1200" i="1"/>
  <c r="G1200" i="1"/>
  <c r="J1199" i="1"/>
  <c r="G1199" i="1"/>
  <c r="J1198" i="1"/>
  <c r="G1198" i="1"/>
  <c r="J1197" i="1"/>
  <c r="G1197" i="1"/>
  <c r="J1196" i="1"/>
  <c r="G1196" i="1"/>
  <c r="J1195" i="1"/>
  <c r="G1195" i="1"/>
  <c r="J1194" i="1"/>
  <c r="G1194" i="1"/>
  <c r="J1193" i="1"/>
  <c r="G1193" i="1"/>
  <c r="J1192" i="1"/>
  <c r="G1192" i="1"/>
  <c r="J1191" i="1"/>
  <c r="G1191" i="1"/>
  <c r="J1190" i="1"/>
  <c r="G1190" i="1"/>
  <c r="J1189" i="1"/>
  <c r="G1189" i="1"/>
  <c r="J1188" i="1"/>
  <c r="G1188" i="1"/>
  <c r="J1187" i="1"/>
  <c r="G1187" i="1"/>
  <c r="J1186" i="1"/>
  <c r="G1186" i="1"/>
  <c r="J1185" i="1"/>
  <c r="G1185" i="1"/>
  <c r="J1184" i="1"/>
  <c r="G1184" i="1"/>
  <c r="J1183" i="1"/>
  <c r="G1183" i="1"/>
  <c r="J1182" i="1"/>
  <c r="G1182" i="1"/>
  <c r="J1181" i="1"/>
  <c r="G1181" i="1"/>
  <c r="J1180" i="1"/>
  <c r="G1180" i="1"/>
  <c r="J1179" i="1"/>
  <c r="G1179" i="1"/>
  <c r="J1178" i="1"/>
  <c r="G1178" i="1"/>
  <c r="J1177" i="1"/>
  <c r="G1177" i="1"/>
  <c r="J1176" i="1"/>
  <c r="G1176" i="1"/>
  <c r="J1175" i="1"/>
  <c r="G1175" i="1"/>
  <c r="J1174" i="1"/>
  <c r="G1174" i="1"/>
  <c r="J1173" i="1"/>
  <c r="G1173" i="1"/>
  <c r="J1172" i="1"/>
  <c r="G1172" i="1"/>
  <c r="J1171" i="1"/>
  <c r="G1171" i="1"/>
  <c r="J1170" i="1"/>
  <c r="G1170" i="1"/>
  <c r="J1169" i="1"/>
  <c r="G1169" i="1"/>
  <c r="J1168" i="1"/>
  <c r="G1168" i="1"/>
  <c r="J1167" i="1"/>
  <c r="G1167" i="1"/>
  <c r="J1166" i="1"/>
  <c r="G1166" i="1"/>
  <c r="J1165" i="1"/>
  <c r="G1165" i="1"/>
  <c r="J1164" i="1"/>
  <c r="G1164" i="1"/>
  <c r="J1163" i="1"/>
  <c r="G1163" i="1"/>
  <c r="J1162" i="1"/>
  <c r="G1162" i="1"/>
  <c r="J1161" i="1"/>
  <c r="G1161" i="1"/>
  <c r="J1160" i="1"/>
  <c r="G1160" i="1"/>
  <c r="J1159" i="1"/>
  <c r="G1159" i="1"/>
  <c r="J1158" i="1"/>
  <c r="G1158" i="1"/>
  <c r="J1157" i="1"/>
  <c r="G1157" i="1"/>
  <c r="J1156" i="1"/>
  <c r="G1156" i="1"/>
  <c r="J1155" i="1"/>
  <c r="G1155" i="1"/>
  <c r="J1154" i="1"/>
  <c r="G1154" i="1"/>
  <c r="J1153" i="1"/>
  <c r="G1153" i="1"/>
  <c r="J1152" i="1"/>
  <c r="G1152" i="1"/>
  <c r="J1151" i="1"/>
  <c r="G1151" i="1"/>
  <c r="J1150" i="1"/>
  <c r="G1150" i="1"/>
  <c r="J1149" i="1"/>
  <c r="G1149" i="1"/>
  <c r="J1148" i="1"/>
  <c r="G1148" i="1"/>
  <c r="J1147" i="1"/>
  <c r="G1147" i="1"/>
  <c r="J1146" i="1"/>
  <c r="G1146" i="1"/>
  <c r="J1145" i="1"/>
  <c r="G1145" i="1"/>
  <c r="J1144" i="1"/>
  <c r="G1144" i="1"/>
  <c r="J1143" i="1"/>
  <c r="G1143" i="1"/>
  <c r="J1142" i="1"/>
  <c r="G1142" i="1"/>
  <c r="J1141" i="1"/>
  <c r="G1141" i="1"/>
  <c r="J1140" i="1"/>
  <c r="G1140" i="1"/>
  <c r="J1139" i="1"/>
  <c r="G1139" i="1"/>
  <c r="J1138" i="1"/>
  <c r="G1138" i="1"/>
  <c r="J1137" i="1"/>
  <c r="G1137" i="1"/>
  <c r="J1136" i="1"/>
  <c r="G1136" i="1"/>
  <c r="J1135" i="1"/>
  <c r="G1135" i="1"/>
  <c r="J1134" i="1"/>
  <c r="G1134" i="1"/>
  <c r="J1133" i="1"/>
  <c r="G1133" i="1"/>
  <c r="J1132" i="1"/>
  <c r="G1132" i="1"/>
  <c r="J1131" i="1"/>
  <c r="G1131" i="1"/>
  <c r="J1130" i="1"/>
  <c r="G1130" i="1"/>
  <c r="J1129" i="1"/>
  <c r="G1129" i="1"/>
  <c r="J1128" i="1"/>
  <c r="G1128" i="1"/>
  <c r="J1127" i="1"/>
  <c r="G1127" i="1"/>
  <c r="J1126" i="1"/>
  <c r="G1126" i="1"/>
  <c r="J1125" i="1"/>
  <c r="G1125" i="1"/>
  <c r="J1124" i="1"/>
  <c r="G1124" i="1"/>
  <c r="J1123" i="1"/>
  <c r="G1123" i="1"/>
  <c r="J1122" i="1"/>
  <c r="G1122" i="1"/>
  <c r="J1121" i="1"/>
  <c r="G1121" i="1"/>
  <c r="J1120" i="1"/>
  <c r="G1120" i="1"/>
  <c r="J1119" i="1"/>
  <c r="G1119" i="1"/>
  <c r="J1118" i="1"/>
  <c r="G1118" i="1"/>
  <c r="J1117" i="1"/>
  <c r="G1117" i="1"/>
  <c r="J1116" i="1"/>
  <c r="G1116" i="1"/>
  <c r="J1115" i="1"/>
  <c r="G1115" i="1"/>
  <c r="J1114" i="1"/>
  <c r="G1114" i="1"/>
  <c r="J1113" i="1"/>
  <c r="G1113" i="1"/>
  <c r="J1112" i="1"/>
  <c r="G1112" i="1"/>
  <c r="J1111" i="1"/>
  <c r="G1111" i="1"/>
  <c r="J1110" i="1"/>
  <c r="G1110" i="1"/>
  <c r="J1109" i="1"/>
  <c r="G1109" i="1"/>
  <c r="J1108" i="1"/>
  <c r="G1108" i="1"/>
  <c r="J1107" i="1"/>
  <c r="G1107" i="1"/>
  <c r="J1106" i="1"/>
  <c r="G1106" i="1"/>
  <c r="J1105" i="1"/>
  <c r="G1105" i="1"/>
  <c r="J1104" i="1"/>
  <c r="G1104" i="1"/>
  <c r="J1103" i="1"/>
  <c r="G1103" i="1"/>
  <c r="J1102" i="1"/>
  <c r="G1102" i="1"/>
  <c r="J1101" i="1"/>
  <c r="G1101" i="1"/>
  <c r="J1100" i="1"/>
  <c r="G1100" i="1"/>
  <c r="J1099" i="1"/>
  <c r="G1099" i="1"/>
  <c r="J1098" i="1"/>
  <c r="G1098" i="1"/>
  <c r="J1097" i="1"/>
  <c r="G1097" i="1"/>
  <c r="J1096" i="1"/>
  <c r="G1096" i="1"/>
  <c r="J1095" i="1"/>
  <c r="G1095" i="1"/>
  <c r="J1094" i="1"/>
  <c r="G1094" i="1"/>
  <c r="J1093" i="1"/>
  <c r="G1093" i="1"/>
  <c r="J1092" i="1"/>
  <c r="G1092" i="1"/>
  <c r="J1091" i="1"/>
  <c r="G1091" i="1"/>
  <c r="J1090" i="1"/>
  <c r="G1090" i="1"/>
  <c r="J1089" i="1"/>
  <c r="G1089" i="1"/>
  <c r="J1088" i="1"/>
  <c r="G1088" i="1"/>
  <c r="J1087" i="1"/>
  <c r="G1087" i="1"/>
  <c r="J1086" i="1"/>
  <c r="G1086" i="1"/>
  <c r="J1085" i="1"/>
  <c r="G1085" i="1"/>
  <c r="J1084" i="1"/>
  <c r="G1084" i="1"/>
  <c r="J1083" i="1"/>
  <c r="G1083" i="1"/>
  <c r="J1082" i="1"/>
  <c r="G1082" i="1"/>
  <c r="J1081" i="1"/>
  <c r="G1081" i="1"/>
  <c r="J1080" i="1"/>
  <c r="G1080" i="1"/>
  <c r="J1079" i="1"/>
  <c r="G1079" i="1"/>
  <c r="J1078" i="1"/>
  <c r="G1078" i="1"/>
  <c r="J1077" i="1"/>
  <c r="G1077" i="1"/>
  <c r="J1076" i="1"/>
  <c r="G1076" i="1"/>
  <c r="J1075" i="1"/>
  <c r="G1075" i="1"/>
  <c r="J1074" i="1"/>
  <c r="G1074" i="1"/>
  <c r="J1073" i="1"/>
  <c r="G1073" i="1"/>
  <c r="J1072" i="1"/>
  <c r="G1072" i="1"/>
  <c r="J1071" i="1"/>
  <c r="G1071" i="1"/>
  <c r="J1070" i="1"/>
  <c r="G1070" i="1"/>
  <c r="J1069" i="1"/>
  <c r="G1069" i="1"/>
  <c r="J1068" i="1"/>
  <c r="G1068" i="1"/>
  <c r="J1067" i="1"/>
  <c r="G1067" i="1"/>
  <c r="J1066" i="1"/>
  <c r="G1066" i="1"/>
  <c r="J1065" i="1"/>
  <c r="G1065" i="1"/>
  <c r="J1064" i="1"/>
  <c r="G1064" i="1"/>
  <c r="J1063" i="1"/>
  <c r="G1063" i="1"/>
  <c r="J1062" i="1"/>
  <c r="G1062" i="1"/>
  <c r="J1061" i="1"/>
  <c r="G1061" i="1"/>
  <c r="J1060" i="1"/>
  <c r="G1060" i="1"/>
  <c r="J1059" i="1"/>
  <c r="G1059" i="1"/>
  <c r="J1058" i="1"/>
  <c r="G1058" i="1"/>
  <c r="J1057" i="1"/>
  <c r="G1057" i="1"/>
  <c r="J1056" i="1"/>
  <c r="G1056" i="1"/>
  <c r="J1055" i="1"/>
  <c r="G1055" i="1"/>
  <c r="J1054" i="1"/>
  <c r="G1054" i="1"/>
  <c r="J1053" i="1"/>
  <c r="G1053" i="1"/>
  <c r="J1052" i="1"/>
  <c r="G1052" i="1"/>
  <c r="J1051" i="1"/>
  <c r="G1051" i="1"/>
  <c r="J1050" i="1"/>
  <c r="G1050" i="1"/>
  <c r="J1049" i="1"/>
  <c r="G1049" i="1"/>
  <c r="J1048" i="1"/>
  <c r="G1048" i="1"/>
  <c r="J1047" i="1"/>
  <c r="G1047" i="1"/>
  <c r="J1046" i="1"/>
  <c r="G1046" i="1"/>
  <c r="J1045" i="1"/>
  <c r="G1045" i="1"/>
  <c r="J1044" i="1"/>
  <c r="G1044" i="1"/>
  <c r="J1043" i="1"/>
  <c r="G1043" i="1"/>
  <c r="J1042" i="1"/>
  <c r="G1042" i="1"/>
  <c r="J1041" i="1"/>
  <c r="G1041" i="1"/>
  <c r="J1040" i="1"/>
  <c r="G1040" i="1"/>
  <c r="J1039" i="1"/>
  <c r="G1039" i="1"/>
  <c r="J1038" i="1"/>
  <c r="G1038" i="1"/>
  <c r="J1037" i="1"/>
  <c r="G1037" i="1"/>
  <c r="J1036" i="1"/>
  <c r="G1036" i="1"/>
  <c r="J1035" i="1"/>
  <c r="G1035" i="1"/>
  <c r="J1034" i="1"/>
  <c r="G1034" i="1"/>
  <c r="J1033" i="1"/>
  <c r="G1033" i="1"/>
  <c r="J1032" i="1"/>
  <c r="G1032" i="1"/>
  <c r="J1031" i="1"/>
  <c r="G1031" i="1"/>
  <c r="J1030" i="1"/>
  <c r="G1030" i="1"/>
  <c r="J1029" i="1"/>
  <c r="G1029" i="1"/>
  <c r="J1028" i="1"/>
  <c r="G1028" i="1"/>
  <c r="J1027" i="1"/>
  <c r="G1027" i="1"/>
  <c r="J1026" i="1"/>
  <c r="G1026" i="1"/>
  <c r="J1025" i="1"/>
  <c r="G1025" i="1"/>
  <c r="J1024" i="1"/>
  <c r="G1024" i="1"/>
  <c r="J1023" i="1"/>
  <c r="G1023" i="1"/>
  <c r="J1022" i="1"/>
  <c r="G1022" i="1"/>
  <c r="J1021" i="1"/>
  <c r="G1021" i="1"/>
  <c r="J1020" i="1"/>
  <c r="G1020" i="1"/>
  <c r="J1019" i="1"/>
  <c r="G1019" i="1"/>
  <c r="J1018" i="1"/>
  <c r="G1018" i="1"/>
  <c r="J1017" i="1"/>
  <c r="G1017" i="1"/>
  <c r="J1016" i="1"/>
  <c r="G1016" i="1"/>
  <c r="J1015" i="1"/>
  <c r="G1015" i="1"/>
  <c r="J1014" i="1"/>
  <c r="G1014" i="1"/>
  <c r="J1013" i="1"/>
  <c r="G1013" i="1"/>
  <c r="J1012" i="1"/>
  <c r="G1012" i="1"/>
  <c r="J1011" i="1"/>
  <c r="G1011" i="1"/>
  <c r="J1010" i="1"/>
  <c r="G1010" i="1"/>
  <c r="J1009" i="1"/>
  <c r="G1009" i="1"/>
  <c r="J1008" i="1"/>
  <c r="G1008" i="1"/>
  <c r="J1007" i="1"/>
  <c r="G1007" i="1"/>
  <c r="J1006" i="1"/>
  <c r="G1006" i="1"/>
  <c r="J1005" i="1"/>
  <c r="G1005" i="1"/>
  <c r="J1004" i="1"/>
  <c r="G1004" i="1"/>
  <c r="J1003" i="1"/>
  <c r="G1003" i="1"/>
  <c r="J1002" i="1"/>
  <c r="G1002" i="1"/>
  <c r="J1001" i="1"/>
  <c r="G1001" i="1"/>
  <c r="J1000" i="1"/>
  <c r="G1000" i="1"/>
  <c r="J999" i="1"/>
  <c r="G999" i="1"/>
  <c r="J998" i="1"/>
  <c r="G998" i="1"/>
  <c r="J997" i="1"/>
  <c r="G997" i="1"/>
  <c r="J996" i="1"/>
  <c r="G996" i="1"/>
  <c r="J995" i="1"/>
  <c r="G995" i="1"/>
  <c r="J994" i="1"/>
  <c r="G994" i="1"/>
  <c r="J993" i="1"/>
  <c r="G993" i="1"/>
  <c r="J992" i="1"/>
  <c r="G992" i="1"/>
  <c r="J991" i="1"/>
  <c r="G991" i="1"/>
  <c r="J990" i="1"/>
  <c r="G990" i="1"/>
  <c r="J989" i="1"/>
  <c r="G989" i="1"/>
  <c r="J988" i="1"/>
  <c r="G988" i="1"/>
  <c r="J987" i="1"/>
  <c r="G987" i="1"/>
  <c r="J986" i="1"/>
  <c r="G986" i="1"/>
  <c r="J985" i="1"/>
  <c r="G985" i="1"/>
  <c r="J984" i="1"/>
  <c r="G984" i="1"/>
  <c r="J983" i="1"/>
  <c r="G983" i="1"/>
  <c r="J982" i="1"/>
  <c r="G982" i="1"/>
  <c r="J981" i="1"/>
  <c r="G981" i="1"/>
  <c r="J980" i="1"/>
  <c r="G980" i="1"/>
  <c r="J979" i="1"/>
  <c r="G979" i="1"/>
  <c r="J978" i="1"/>
  <c r="G978" i="1"/>
  <c r="J977" i="1"/>
  <c r="G977" i="1"/>
  <c r="J976" i="1"/>
  <c r="G976" i="1"/>
  <c r="J975" i="1"/>
  <c r="G975" i="1"/>
  <c r="J974" i="1"/>
  <c r="G974" i="1"/>
  <c r="J973" i="1"/>
  <c r="G973" i="1"/>
  <c r="J972" i="1"/>
  <c r="G972" i="1"/>
  <c r="J971" i="1"/>
  <c r="G971" i="1"/>
  <c r="J970" i="1"/>
  <c r="G970" i="1"/>
  <c r="J969" i="1"/>
  <c r="G969" i="1"/>
  <c r="J968" i="1"/>
  <c r="G968" i="1"/>
  <c r="J967" i="1"/>
  <c r="G967" i="1"/>
  <c r="J966" i="1"/>
  <c r="G966" i="1"/>
  <c r="J965" i="1"/>
  <c r="G965" i="1"/>
  <c r="J964" i="1"/>
  <c r="G964" i="1"/>
  <c r="J963" i="1"/>
  <c r="G963" i="1"/>
  <c r="J962" i="1"/>
  <c r="G962" i="1"/>
  <c r="J961" i="1"/>
  <c r="G961" i="1"/>
  <c r="J960" i="1"/>
  <c r="G960" i="1"/>
  <c r="J959" i="1"/>
  <c r="G959" i="1"/>
  <c r="J958" i="1"/>
  <c r="G958" i="1"/>
  <c r="J957" i="1"/>
  <c r="G957" i="1"/>
  <c r="J956" i="1"/>
  <c r="G956" i="1"/>
  <c r="J955" i="1"/>
  <c r="G955" i="1"/>
  <c r="J954" i="1"/>
  <c r="G954" i="1"/>
  <c r="J953" i="1"/>
  <c r="G953" i="1"/>
  <c r="J952" i="1"/>
  <c r="G952" i="1"/>
  <c r="J951" i="1"/>
  <c r="G951" i="1"/>
  <c r="J950" i="1"/>
  <c r="G950" i="1"/>
  <c r="J949" i="1"/>
  <c r="G949" i="1"/>
  <c r="J948" i="1"/>
  <c r="G948" i="1"/>
  <c r="J947" i="1"/>
  <c r="G947" i="1"/>
  <c r="J946" i="1"/>
  <c r="G946" i="1"/>
  <c r="J945" i="1"/>
  <c r="G945" i="1"/>
  <c r="J944" i="1"/>
  <c r="G944" i="1"/>
  <c r="J943" i="1"/>
  <c r="G943" i="1"/>
  <c r="J942" i="1"/>
  <c r="G942" i="1"/>
  <c r="J941" i="1"/>
  <c r="G941" i="1"/>
  <c r="J940" i="1"/>
  <c r="G940" i="1"/>
  <c r="J939" i="1"/>
  <c r="G939" i="1"/>
  <c r="J938" i="1"/>
  <c r="G938" i="1"/>
  <c r="J937" i="1"/>
  <c r="G937" i="1"/>
  <c r="J936" i="1"/>
  <c r="G936" i="1"/>
  <c r="J935" i="1"/>
  <c r="G935" i="1"/>
  <c r="J934" i="1"/>
  <c r="G934" i="1"/>
  <c r="J933" i="1"/>
  <c r="G933" i="1"/>
  <c r="J932" i="1"/>
  <c r="G932" i="1"/>
  <c r="J931" i="1"/>
  <c r="G931" i="1"/>
  <c r="J930" i="1"/>
  <c r="G930" i="1"/>
  <c r="J929" i="1"/>
  <c r="G929" i="1"/>
  <c r="J928" i="1"/>
  <c r="G928" i="1"/>
  <c r="J927" i="1"/>
  <c r="G927" i="1"/>
  <c r="J926" i="1"/>
  <c r="G926" i="1"/>
  <c r="J925" i="1"/>
  <c r="G925" i="1"/>
  <c r="J924" i="1"/>
  <c r="G924" i="1"/>
  <c r="J923" i="1"/>
  <c r="G923" i="1"/>
  <c r="J922" i="1"/>
  <c r="G922" i="1"/>
  <c r="J921" i="1"/>
  <c r="G921" i="1"/>
  <c r="J920" i="1"/>
  <c r="G920" i="1"/>
  <c r="J919" i="1"/>
  <c r="G919" i="1"/>
  <c r="J918" i="1"/>
  <c r="G918" i="1"/>
  <c r="J917" i="1"/>
  <c r="G917" i="1"/>
  <c r="J916" i="1"/>
  <c r="G916" i="1"/>
  <c r="J915" i="1"/>
  <c r="G915" i="1"/>
  <c r="J914" i="1"/>
  <c r="G914" i="1"/>
  <c r="J913" i="1"/>
  <c r="G913" i="1"/>
  <c r="J912" i="1"/>
  <c r="G912" i="1"/>
  <c r="J911" i="1"/>
  <c r="G911" i="1"/>
  <c r="J910" i="1"/>
  <c r="G910" i="1"/>
  <c r="J909" i="1"/>
  <c r="G909" i="1"/>
  <c r="J908" i="1"/>
  <c r="G908" i="1"/>
  <c r="J907" i="1"/>
  <c r="G907" i="1"/>
  <c r="J906" i="1"/>
  <c r="G906" i="1"/>
  <c r="J905" i="1"/>
  <c r="G905" i="1"/>
  <c r="J904" i="1"/>
  <c r="G904" i="1"/>
  <c r="J903" i="1"/>
  <c r="G903" i="1"/>
  <c r="J902" i="1"/>
  <c r="G902" i="1"/>
  <c r="J901" i="1"/>
  <c r="G901" i="1"/>
  <c r="J900" i="1"/>
  <c r="G900" i="1"/>
  <c r="J899" i="1"/>
  <c r="G899" i="1"/>
  <c r="J898" i="1"/>
  <c r="G898" i="1"/>
  <c r="J897" i="1"/>
  <c r="G897" i="1"/>
  <c r="J896" i="1"/>
  <c r="G896" i="1"/>
  <c r="J895" i="1"/>
  <c r="G895" i="1"/>
  <c r="J894" i="1"/>
  <c r="G894" i="1"/>
  <c r="J893" i="1"/>
  <c r="G893" i="1"/>
  <c r="J892" i="1"/>
  <c r="G892" i="1"/>
  <c r="J891" i="1"/>
  <c r="G891" i="1"/>
  <c r="J890" i="1"/>
  <c r="G890" i="1"/>
  <c r="J889" i="1"/>
  <c r="G889" i="1"/>
  <c r="J888" i="1"/>
  <c r="G888" i="1"/>
  <c r="J887" i="1"/>
  <c r="G887" i="1"/>
  <c r="J886" i="1"/>
  <c r="G886" i="1"/>
  <c r="J885" i="1"/>
  <c r="G885" i="1"/>
  <c r="J884" i="1"/>
  <c r="G884" i="1"/>
  <c r="J883" i="1"/>
  <c r="G883" i="1"/>
  <c r="J882" i="1"/>
  <c r="G882" i="1"/>
  <c r="J881" i="1"/>
  <c r="G881" i="1"/>
  <c r="J880" i="1"/>
  <c r="G880" i="1"/>
  <c r="J879" i="1"/>
  <c r="G879" i="1"/>
  <c r="J878" i="1"/>
  <c r="G878" i="1"/>
  <c r="J877" i="1"/>
  <c r="G877" i="1"/>
  <c r="J876" i="1"/>
  <c r="G876" i="1"/>
  <c r="J875" i="1"/>
  <c r="G875" i="1"/>
  <c r="J874" i="1"/>
  <c r="G874" i="1"/>
  <c r="J873" i="1"/>
  <c r="G873" i="1"/>
  <c r="J872" i="1"/>
  <c r="G872" i="1"/>
  <c r="J871" i="1"/>
  <c r="G871" i="1"/>
  <c r="J870" i="1"/>
  <c r="G870" i="1"/>
  <c r="J869" i="1"/>
  <c r="G869" i="1"/>
  <c r="J868" i="1"/>
  <c r="G868" i="1"/>
  <c r="J867" i="1"/>
  <c r="G867" i="1"/>
  <c r="J866" i="1"/>
  <c r="G866" i="1"/>
  <c r="J865" i="1"/>
  <c r="G865" i="1"/>
  <c r="J864" i="1"/>
  <c r="G864" i="1"/>
  <c r="J863" i="1"/>
  <c r="G863" i="1"/>
  <c r="J862" i="1"/>
  <c r="G862" i="1"/>
  <c r="J861" i="1"/>
  <c r="G861" i="1"/>
  <c r="J860" i="1"/>
  <c r="G860" i="1"/>
  <c r="J859" i="1"/>
  <c r="G859" i="1"/>
  <c r="J858" i="1"/>
  <c r="G858" i="1"/>
  <c r="J857" i="1"/>
  <c r="G857" i="1"/>
  <c r="J856" i="1"/>
  <c r="G856" i="1"/>
  <c r="J855" i="1"/>
  <c r="G855" i="1"/>
  <c r="J854" i="1"/>
  <c r="G854" i="1"/>
  <c r="J853" i="1"/>
  <c r="G853" i="1"/>
  <c r="J852" i="1"/>
  <c r="G852" i="1"/>
  <c r="J851" i="1"/>
  <c r="G851" i="1"/>
  <c r="J850" i="1"/>
  <c r="G850" i="1"/>
  <c r="J849" i="1"/>
  <c r="G849" i="1"/>
  <c r="J848" i="1"/>
  <c r="G848" i="1"/>
  <c r="J847" i="1"/>
  <c r="G847" i="1"/>
  <c r="J846" i="1"/>
  <c r="G846" i="1"/>
  <c r="J845" i="1"/>
  <c r="G845" i="1"/>
  <c r="J844" i="1"/>
  <c r="G844" i="1"/>
  <c r="J843" i="1"/>
  <c r="G843" i="1"/>
  <c r="J842" i="1"/>
  <c r="G842" i="1"/>
  <c r="J841" i="1"/>
  <c r="G841" i="1"/>
  <c r="J840" i="1"/>
  <c r="G840" i="1"/>
  <c r="J839" i="1"/>
  <c r="G839" i="1"/>
  <c r="J838" i="1"/>
  <c r="G838" i="1"/>
  <c r="J837" i="1"/>
  <c r="G837" i="1"/>
  <c r="J836" i="1"/>
  <c r="G836" i="1"/>
  <c r="J835" i="1"/>
  <c r="G835" i="1"/>
  <c r="J834" i="1"/>
  <c r="G834" i="1"/>
  <c r="J833" i="1"/>
  <c r="G833" i="1"/>
  <c r="J832" i="1"/>
  <c r="G832" i="1"/>
  <c r="J831" i="1"/>
  <c r="G831" i="1"/>
  <c r="J830" i="1"/>
  <c r="G830" i="1"/>
  <c r="J829" i="1"/>
  <c r="G829" i="1"/>
  <c r="J828" i="1"/>
  <c r="G828" i="1"/>
  <c r="J827" i="1"/>
  <c r="G827" i="1"/>
  <c r="J826" i="1"/>
  <c r="G826" i="1"/>
  <c r="J825" i="1"/>
  <c r="G825" i="1"/>
  <c r="J824" i="1"/>
  <c r="G824" i="1"/>
  <c r="J823" i="1"/>
  <c r="G823" i="1"/>
  <c r="J822" i="1"/>
  <c r="G822" i="1"/>
  <c r="J821" i="1"/>
  <c r="G821" i="1"/>
  <c r="J820" i="1"/>
  <c r="G820" i="1"/>
  <c r="J819" i="1"/>
  <c r="G819" i="1"/>
  <c r="J818" i="1"/>
  <c r="G818" i="1"/>
  <c r="J817" i="1"/>
  <c r="G817" i="1"/>
  <c r="J816" i="1"/>
  <c r="G816" i="1"/>
  <c r="J815" i="1"/>
  <c r="G815" i="1"/>
  <c r="J814" i="1"/>
  <c r="G814" i="1"/>
  <c r="J813" i="1"/>
  <c r="G813" i="1"/>
  <c r="J812" i="1"/>
  <c r="G812" i="1"/>
  <c r="J811" i="1"/>
  <c r="G811" i="1"/>
  <c r="J810" i="1"/>
  <c r="G810" i="1"/>
  <c r="J809" i="1"/>
  <c r="G809" i="1"/>
  <c r="J808" i="1"/>
  <c r="G808" i="1"/>
  <c r="J807" i="1"/>
  <c r="G807" i="1"/>
  <c r="J806" i="1"/>
  <c r="G806" i="1"/>
  <c r="J805" i="1"/>
  <c r="G805" i="1"/>
  <c r="J804" i="1"/>
  <c r="G804" i="1"/>
  <c r="J803" i="1"/>
  <c r="G803" i="1"/>
  <c r="J802" i="1"/>
  <c r="G802" i="1"/>
  <c r="J801" i="1"/>
  <c r="G801" i="1"/>
  <c r="J800" i="1"/>
  <c r="G800" i="1"/>
  <c r="J799" i="1"/>
  <c r="G799" i="1"/>
  <c r="J798" i="1"/>
  <c r="G798" i="1"/>
  <c r="J797" i="1"/>
  <c r="G797" i="1"/>
  <c r="J796" i="1"/>
  <c r="G796" i="1"/>
  <c r="J795" i="1"/>
  <c r="G795" i="1"/>
  <c r="J794" i="1"/>
  <c r="G794" i="1"/>
  <c r="J793" i="1"/>
  <c r="G793" i="1"/>
  <c r="J792" i="1"/>
  <c r="G792" i="1"/>
  <c r="J791" i="1"/>
  <c r="G791" i="1"/>
  <c r="J790" i="1"/>
  <c r="G790" i="1"/>
  <c r="J789" i="1"/>
  <c r="G789" i="1"/>
  <c r="J788" i="1"/>
  <c r="G788" i="1"/>
  <c r="J787" i="1"/>
  <c r="G787" i="1"/>
  <c r="J786" i="1"/>
  <c r="G786" i="1"/>
  <c r="J785" i="1"/>
  <c r="G785" i="1"/>
  <c r="J784" i="1"/>
  <c r="G784" i="1"/>
  <c r="J783" i="1"/>
  <c r="G783" i="1"/>
  <c r="J782" i="1"/>
  <c r="G782" i="1"/>
  <c r="J781" i="1"/>
  <c r="G781" i="1"/>
  <c r="J780" i="1"/>
  <c r="G780" i="1"/>
  <c r="J779" i="1"/>
  <c r="G779" i="1"/>
  <c r="J778" i="1"/>
  <c r="G778" i="1"/>
  <c r="J777" i="1"/>
  <c r="G777" i="1"/>
  <c r="J776" i="1"/>
  <c r="G776" i="1"/>
  <c r="J775" i="1"/>
  <c r="G775" i="1"/>
  <c r="J774" i="1"/>
  <c r="G774" i="1"/>
  <c r="J773" i="1"/>
  <c r="G773" i="1"/>
  <c r="J772" i="1"/>
  <c r="G772" i="1"/>
  <c r="J771" i="1"/>
  <c r="G771" i="1"/>
  <c r="J770" i="1"/>
  <c r="G770" i="1"/>
  <c r="J769" i="1"/>
  <c r="G769" i="1"/>
  <c r="J768" i="1"/>
  <c r="G768" i="1"/>
  <c r="J767" i="1"/>
  <c r="G767" i="1"/>
  <c r="J766" i="1"/>
  <c r="G766" i="1"/>
  <c r="J765" i="1"/>
  <c r="G765" i="1"/>
  <c r="J764" i="1"/>
  <c r="G764" i="1"/>
  <c r="J763" i="1"/>
  <c r="G763" i="1"/>
  <c r="J762" i="1"/>
  <c r="G762" i="1"/>
  <c r="J761" i="1"/>
  <c r="G761" i="1"/>
  <c r="J760" i="1"/>
  <c r="G760" i="1"/>
  <c r="J759" i="1"/>
  <c r="G759" i="1"/>
  <c r="J758" i="1"/>
  <c r="G758" i="1"/>
  <c r="J757" i="1"/>
  <c r="G757" i="1"/>
  <c r="J756" i="1"/>
  <c r="G756" i="1"/>
  <c r="J755" i="1"/>
  <c r="G755" i="1"/>
  <c r="J754" i="1"/>
  <c r="G754" i="1"/>
  <c r="J753" i="1"/>
  <c r="G753" i="1"/>
  <c r="J752" i="1"/>
  <c r="G752" i="1"/>
  <c r="J751" i="1"/>
  <c r="G751" i="1"/>
  <c r="J750" i="1"/>
  <c r="G750" i="1"/>
  <c r="J749" i="1"/>
  <c r="G749" i="1"/>
  <c r="J748" i="1"/>
  <c r="G748" i="1"/>
  <c r="J747" i="1"/>
  <c r="G747" i="1"/>
  <c r="J746" i="1"/>
  <c r="G746" i="1"/>
  <c r="J745" i="1"/>
  <c r="G745" i="1"/>
  <c r="J744" i="1"/>
  <c r="G744" i="1"/>
  <c r="J743" i="1"/>
  <c r="G743" i="1"/>
  <c r="J742" i="1"/>
  <c r="G742" i="1"/>
  <c r="J741" i="1"/>
  <c r="G741" i="1"/>
  <c r="J740" i="1"/>
  <c r="G740" i="1"/>
  <c r="J739" i="1"/>
  <c r="G739" i="1"/>
  <c r="J738" i="1"/>
  <c r="G738" i="1"/>
  <c r="J737" i="1"/>
  <c r="G737" i="1"/>
  <c r="J736" i="1"/>
  <c r="G736" i="1"/>
  <c r="J735" i="1"/>
  <c r="G735" i="1"/>
  <c r="J734" i="1"/>
  <c r="G734" i="1"/>
  <c r="J733" i="1"/>
  <c r="G733" i="1"/>
  <c r="J732" i="1"/>
  <c r="G732" i="1"/>
  <c r="J731" i="1"/>
  <c r="G731" i="1"/>
  <c r="J730" i="1"/>
  <c r="G730" i="1"/>
  <c r="J729" i="1"/>
  <c r="G729" i="1"/>
  <c r="J728" i="1"/>
  <c r="G728" i="1"/>
  <c r="J727" i="1"/>
  <c r="G727" i="1"/>
  <c r="J726" i="1"/>
  <c r="G726" i="1"/>
  <c r="J725" i="1"/>
  <c r="G725" i="1"/>
  <c r="J724" i="1"/>
  <c r="G724" i="1"/>
  <c r="J723" i="1"/>
  <c r="G723" i="1"/>
  <c r="J722" i="1"/>
  <c r="G722" i="1"/>
  <c r="J721" i="1"/>
  <c r="G721" i="1"/>
  <c r="J720" i="1"/>
  <c r="G720" i="1"/>
  <c r="J719" i="1"/>
  <c r="G719" i="1"/>
  <c r="J718" i="1"/>
  <c r="G718" i="1"/>
  <c r="J717" i="1"/>
  <c r="G717" i="1"/>
  <c r="J716" i="1"/>
  <c r="G716" i="1"/>
  <c r="J715" i="1"/>
  <c r="G715" i="1"/>
  <c r="J714" i="1"/>
  <c r="G714" i="1"/>
  <c r="J713" i="1"/>
  <c r="G713" i="1"/>
  <c r="J712" i="1"/>
  <c r="G712" i="1"/>
  <c r="J711" i="1"/>
  <c r="G711" i="1"/>
  <c r="J710" i="1"/>
  <c r="G710" i="1"/>
  <c r="J709" i="1"/>
  <c r="G709" i="1"/>
  <c r="J708" i="1"/>
  <c r="G708" i="1"/>
  <c r="J707" i="1"/>
  <c r="G707" i="1"/>
  <c r="J706" i="1"/>
  <c r="G706" i="1"/>
  <c r="J705" i="1"/>
  <c r="G705" i="1"/>
  <c r="J704" i="1"/>
  <c r="G704" i="1"/>
  <c r="J703" i="1"/>
  <c r="G703" i="1"/>
  <c r="J702" i="1"/>
  <c r="G702" i="1"/>
  <c r="J701" i="1"/>
  <c r="G701" i="1"/>
  <c r="J700" i="1"/>
  <c r="G700" i="1"/>
  <c r="J699" i="1"/>
  <c r="G699" i="1"/>
  <c r="J698" i="1"/>
  <c r="G698" i="1"/>
  <c r="J697" i="1"/>
  <c r="G697" i="1"/>
  <c r="J696" i="1"/>
  <c r="G696" i="1"/>
  <c r="J695" i="1"/>
  <c r="G695" i="1"/>
  <c r="J694" i="1"/>
  <c r="G694" i="1"/>
  <c r="J693" i="1"/>
  <c r="G693" i="1"/>
  <c r="J692" i="1"/>
  <c r="G692" i="1"/>
  <c r="J691" i="1"/>
  <c r="G691" i="1"/>
  <c r="J690" i="1"/>
  <c r="G690" i="1"/>
  <c r="J689" i="1"/>
  <c r="G689" i="1"/>
  <c r="J688" i="1"/>
  <c r="G688" i="1"/>
  <c r="J687" i="1"/>
  <c r="G687" i="1"/>
  <c r="J686" i="1"/>
  <c r="G686" i="1"/>
  <c r="J685" i="1"/>
  <c r="G685" i="1"/>
  <c r="J684" i="1"/>
  <c r="G684" i="1"/>
  <c r="J683" i="1"/>
  <c r="G683" i="1"/>
  <c r="J682" i="1"/>
  <c r="G682" i="1"/>
  <c r="J681" i="1"/>
  <c r="G681" i="1"/>
  <c r="J680" i="1"/>
  <c r="G680" i="1"/>
  <c r="J679" i="1"/>
  <c r="G679" i="1"/>
  <c r="J678" i="1"/>
  <c r="G678" i="1"/>
  <c r="J677" i="1"/>
  <c r="G677" i="1"/>
  <c r="J676" i="1"/>
  <c r="G676" i="1"/>
  <c r="J675" i="1"/>
  <c r="G675" i="1"/>
  <c r="J674" i="1"/>
  <c r="G674" i="1"/>
  <c r="J673" i="1"/>
  <c r="G673" i="1"/>
  <c r="J672" i="1"/>
  <c r="G672" i="1"/>
  <c r="J671" i="1"/>
  <c r="G671" i="1"/>
  <c r="J670" i="1"/>
  <c r="G670" i="1"/>
  <c r="J669" i="1"/>
  <c r="G669" i="1"/>
  <c r="J668" i="1"/>
  <c r="G668" i="1"/>
  <c r="J667" i="1"/>
  <c r="G667" i="1"/>
  <c r="J666" i="1"/>
  <c r="G666" i="1"/>
  <c r="J665" i="1"/>
  <c r="G665" i="1"/>
  <c r="J664" i="1"/>
  <c r="G664" i="1"/>
  <c r="J663" i="1"/>
  <c r="G663" i="1"/>
  <c r="J662" i="1"/>
  <c r="G662" i="1"/>
  <c r="J661" i="1"/>
  <c r="G661" i="1"/>
  <c r="J660" i="1"/>
  <c r="G660" i="1"/>
  <c r="J659" i="1"/>
  <c r="G659" i="1"/>
  <c r="J658" i="1"/>
  <c r="G658" i="1"/>
  <c r="J657" i="1"/>
  <c r="G657" i="1"/>
  <c r="J656" i="1"/>
  <c r="G656" i="1"/>
  <c r="J655" i="1"/>
  <c r="G655" i="1"/>
  <c r="J654" i="1"/>
  <c r="G654" i="1"/>
  <c r="J653" i="1"/>
  <c r="G653" i="1"/>
  <c r="J652" i="1"/>
  <c r="G652" i="1"/>
  <c r="J651" i="1"/>
  <c r="G651" i="1"/>
  <c r="J650" i="1"/>
  <c r="G650" i="1"/>
  <c r="J649" i="1"/>
  <c r="G649" i="1"/>
  <c r="J648" i="1"/>
  <c r="G648" i="1"/>
  <c r="J647" i="1"/>
  <c r="G647" i="1"/>
  <c r="J646" i="1"/>
  <c r="G646" i="1"/>
  <c r="J645" i="1"/>
  <c r="G645" i="1"/>
  <c r="J644" i="1"/>
  <c r="G644" i="1"/>
  <c r="J643" i="1"/>
  <c r="G643" i="1"/>
  <c r="J642" i="1"/>
  <c r="G642" i="1"/>
  <c r="J641" i="1"/>
  <c r="G641" i="1"/>
  <c r="J640" i="1"/>
  <c r="G640" i="1"/>
  <c r="J639" i="1"/>
  <c r="G639" i="1"/>
  <c r="J638" i="1"/>
  <c r="G638" i="1"/>
  <c r="J637" i="1"/>
  <c r="G637" i="1"/>
  <c r="J636" i="1"/>
  <c r="G636" i="1"/>
  <c r="J635" i="1"/>
  <c r="G635" i="1"/>
  <c r="J634" i="1"/>
  <c r="G634" i="1"/>
  <c r="J633" i="1"/>
  <c r="G633" i="1"/>
  <c r="J632" i="1"/>
  <c r="G632" i="1"/>
  <c r="J631" i="1"/>
  <c r="G631" i="1"/>
  <c r="J630" i="1"/>
  <c r="G630" i="1"/>
  <c r="J629" i="1"/>
  <c r="G629" i="1"/>
  <c r="J628" i="1"/>
  <c r="G628" i="1"/>
  <c r="J627" i="1"/>
  <c r="G627" i="1"/>
  <c r="J626" i="1"/>
  <c r="G626" i="1"/>
  <c r="J625" i="1"/>
  <c r="G625" i="1"/>
  <c r="J624" i="1"/>
  <c r="G624" i="1"/>
  <c r="J623" i="1"/>
  <c r="G623" i="1"/>
  <c r="J622" i="1"/>
  <c r="G622" i="1"/>
  <c r="J621" i="1"/>
  <c r="G621" i="1"/>
  <c r="J620" i="1"/>
  <c r="G620" i="1"/>
  <c r="J619" i="1"/>
  <c r="G619" i="1"/>
  <c r="J618" i="1"/>
  <c r="G618" i="1"/>
  <c r="J617" i="1"/>
  <c r="G617" i="1"/>
  <c r="J616" i="1"/>
  <c r="G616" i="1"/>
  <c r="J615" i="1"/>
  <c r="G615" i="1"/>
  <c r="J614" i="1"/>
  <c r="G614" i="1"/>
  <c r="J613" i="1"/>
  <c r="G613" i="1"/>
  <c r="J612" i="1"/>
  <c r="G612" i="1"/>
  <c r="J611" i="1"/>
  <c r="G611" i="1"/>
  <c r="J610" i="1"/>
  <c r="G610" i="1"/>
  <c r="J609" i="1"/>
  <c r="G609" i="1"/>
  <c r="J608" i="1"/>
  <c r="G608" i="1"/>
  <c r="J607" i="1"/>
  <c r="G607" i="1"/>
  <c r="J606" i="1"/>
  <c r="G606" i="1"/>
  <c r="J605" i="1"/>
  <c r="G605" i="1"/>
  <c r="J604" i="1"/>
  <c r="G604" i="1"/>
  <c r="J603" i="1"/>
  <c r="G603" i="1"/>
  <c r="J602" i="1"/>
  <c r="G602" i="1"/>
  <c r="J601" i="1"/>
  <c r="G601" i="1"/>
  <c r="J600" i="1"/>
  <c r="G600" i="1"/>
  <c r="J599" i="1"/>
  <c r="G599" i="1"/>
  <c r="J598" i="1"/>
  <c r="G598" i="1"/>
  <c r="J597" i="1"/>
  <c r="G597" i="1"/>
  <c r="J596" i="1"/>
  <c r="G596" i="1"/>
  <c r="J595" i="1"/>
  <c r="G595" i="1"/>
  <c r="J594" i="1"/>
  <c r="G594" i="1"/>
  <c r="J593" i="1"/>
  <c r="G593" i="1"/>
  <c r="J592" i="1"/>
  <c r="G592" i="1"/>
  <c r="J591" i="1"/>
  <c r="G591" i="1"/>
  <c r="J590" i="1"/>
  <c r="G590" i="1"/>
  <c r="J589" i="1"/>
  <c r="G589" i="1"/>
  <c r="J588" i="1"/>
  <c r="G588" i="1"/>
  <c r="J587" i="1"/>
  <c r="G587" i="1"/>
  <c r="J586" i="1"/>
  <c r="G586" i="1"/>
  <c r="J585" i="1"/>
  <c r="G585" i="1"/>
  <c r="J584" i="1"/>
  <c r="G584" i="1"/>
  <c r="J583" i="1"/>
  <c r="G583" i="1"/>
  <c r="J582" i="1"/>
  <c r="G582" i="1"/>
  <c r="J581" i="1"/>
  <c r="G581" i="1"/>
  <c r="J580" i="1"/>
  <c r="G580" i="1"/>
  <c r="J579" i="1"/>
  <c r="G579" i="1"/>
  <c r="J578" i="1"/>
  <c r="G578" i="1"/>
  <c r="J577" i="1"/>
  <c r="G577" i="1"/>
  <c r="J576" i="1"/>
  <c r="G576" i="1"/>
  <c r="J575" i="1"/>
  <c r="G575" i="1"/>
  <c r="J574" i="1"/>
  <c r="G574" i="1"/>
  <c r="J573" i="1"/>
  <c r="G573" i="1"/>
  <c r="J572" i="1"/>
  <c r="G572" i="1"/>
  <c r="J571" i="1"/>
  <c r="G571" i="1"/>
  <c r="J570" i="1"/>
  <c r="G570" i="1"/>
  <c r="J569" i="1"/>
  <c r="G569" i="1"/>
  <c r="J568" i="1"/>
  <c r="G568" i="1"/>
  <c r="J567" i="1"/>
  <c r="G567" i="1"/>
  <c r="J566" i="1"/>
  <c r="G566" i="1"/>
  <c r="J565" i="1"/>
  <c r="G565" i="1"/>
  <c r="J564" i="1"/>
  <c r="G564" i="1"/>
  <c r="J563" i="1"/>
  <c r="G563" i="1"/>
  <c r="J562" i="1"/>
  <c r="G562" i="1"/>
  <c r="J561" i="1"/>
  <c r="G561" i="1"/>
  <c r="J560" i="1"/>
  <c r="G560" i="1"/>
  <c r="J559" i="1"/>
  <c r="G559" i="1"/>
  <c r="J558" i="1"/>
  <c r="G558" i="1"/>
  <c r="J557" i="1"/>
  <c r="G557" i="1"/>
  <c r="J556" i="1"/>
  <c r="G556" i="1"/>
  <c r="J555" i="1"/>
  <c r="G555" i="1"/>
  <c r="J554" i="1"/>
  <c r="G554" i="1"/>
  <c r="J553" i="1"/>
  <c r="G553" i="1"/>
  <c r="J552" i="1"/>
  <c r="G552" i="1"/>
  <c r="J551" i="1"/>
  <c r="G551" i="1"/>
  <c r="J550" i="1"/>
  <c r="G550" i="1"/>
  <c r="J549" i="1"/>
  <c r="G549" i="1"/>
  <c r="J548" i="1"/>
  <c r="G548" i="1"/>
  <c r="J547" i="1"/>
  <c r="G547" i="1"/>
  <c r="J546" i="1"/>
  <c r="G546" i="1"/>
  <c r="J545" i="1"/>
  <c r="G545" i="1"/>
  <c r="J544" i="1"/>
  <c r="G544" i="1"/>
  <c r="J543" i="1"/>
  <c r="G543" i="1"/>
  <c r="J542" i="1"/>
  <c r="G542" i="1"/>
  <c r="J541" i="1"/>
  <c r="G541" i="1"/>
  <c r="J540" i="1"/>
  <c r="G540" i="1"/>
  <c r="J539" i="1"/>
  <c r="G539" i="1"/>
  <c r="J538" i="1"/>
  <c r="G538" i="1"/>
  <c r="J537" i="1"/>
  <c r="G537" i="1"/>
  <c r="J536" i="1"/>
  <c r="G536" i="1"/>
  <c r="J535" i="1"/>
  <c r="G535" i="1"/>
  <c r="J534" i="1"/>
  <c r="G534" i="1"/>
  <c r="J533" i="1"/>
  <c r="G533" i="1"/>
  <c r="J532" i="1"/>
  <c r="G532" i="1"/>
  <c r="J531" i="1"/>
  <c r="G531" i="1"/>
  <c r="J530" i="1"/>
  <c r="G530" i="1"/>
  <c r="J529" i="1"/>
  <c r="G529" i="1"/>
  <c r="J528" i="1"/>
  <c r="G528" i="1"/>
  <c r="J527" i="1"/>
  <c r="G527" i="1"/>
  <c r="J526" i="1"/>
  <c r="G526" i="1"/>
  <c r="J525" i="1"/>
  <c r="G525" i="1"/>
  <c r="J524" i="1"/>
  <c r="G524" i="1"/>
  <c r="J523" i="1"/>
  <c r="G523" i="1"/>
  <c r="J522" i="1"/>
  <c r="G522" i="1"/>
  <c r="J521" i="1"/>
  <c r="G521" i="1"/>
  <c r="J520" i="1"/>
  <c r="G520" i="1"/>
  <c r="J519" i="1"/>
  <c r="G519" i="1"/>
  <c r="J518" i="1"/>
  <c r="G518" i="1"/>
  <c r="J517" i="1"/>
  <c r="G517" i="1"/>
  <c r="J516" i="1"/>
  <c r="G516" i="1"/>
  <c r="J515" i="1"/>
  <c r="G515" i="1"/>
  <c r="J514" i="1"/>
  <c r="G514" i="1"/>
  <c r="J513" i="1"/>
  <c r="G513" i="1"/>
  <c r="J512" i="1"/>
  <c r="G512" i="1"/>
  <c r="J511" i="1"/>
  <c r="G511" i="1"/>
  <c r="J510" i="1"/>
  <c r="G510" i="1"/>
  <c r="J509" i="1"/>
  <c r="G509" i="1"/>
  <c r="J508" i="1"/>
  <c r="G508" i="1"/>
  <c r="J507" i="1"/>
  <c r="G507" i="1"/>
  <c r="J506" i="1"/>
  <c r="G506" i="1"/>
  <c r="J505" i="1"/>
  <c r="G505" i="1"/>
  <c r="J504" i="1"/>
  <c r="G504" i="1"/>
  <c r="J503" i="1"/>
  <c r="G503" i="1"/>
  <c r="J502" i="1"/>
  <c r="G502" i="1"/>
  <c r="J501" i="1"/>
  <c r="G501" i="1"/>
  <c r="J500" i="1"/>
  <c r="G500" i="1"/>
  <c r="J499" i="1"/>
  <c r="G499" i="1"/>
  <c r="J498" i="1"/>
  <c r="G498" i="1"/>
  <c r="J497" i="1"/>
  <c r="G497" i="1"/>
  <c r="J496" i="1"/>
  <c r="G496" i="1"/>
  <c r="J495" i="1"/>
  <c r="G495" i="1"/>
  <c r="J494" i="1"/>
  <c r="G494" i="1"/>
  <c r="J493" i="1"/>
  <c r="G493" i="1"/>
  <c r="J492" i="1"/>
  <c r="G492" i="1"/>
  <c r="J491" i="1"/>
  <c r="G491" i="1"/>
  <c r="J490" i="1"/>
  <c r="G490" i="1"/>
  <c r="J489" i="1"/>
  <c r="G489" i="1"/>
  <c r="J488" i="1"/>
  <c r="G488" i="1"/>
  <c r="J487" i="1"/>
  <c r="G487" i="1"/>
  <c r="J486" i="1"/>
  <c r="G486" i="1"/>
  <c r="J485" i="1"/>
  <c r="G485" i="1"/>
  <c r="J484" i="1"/>
  <c r="G484" i="1"/>
  <c r="J483" i="1"/>
  <c r="G483" i="1"/>
  <c r="J482" i="1"/>
  <c r="G482" i="1"/>
  <c r="J481" i="1"/>
  <c r="G481" i="1"/>
  <c r="J480" i="1"/>
  <c r="G480" i="1"/>
  <c r="J479" i="1"/>
  <c r="G479" i="1"/>
  <c r="J478" i="1"/>
  <c r="G478" i="1"/>
  <c r="J477" i="1"/>
  <c r="G477" i="1"/>
  <c r="J476" i="1"/>
  <c r="G476" i="1"/>
  <c r="J475" i="1"/>
  <c r="G475" i="1"/>
  <c r="J474" i="1"/>
  <c r="G474" i="1"/>
  <c r="J473" i="1"/>
  <c r="G473" i="1"/>
  <c r="J472" i="1"/>
  <c r="G472" i="1"/>
  <c r="J471" i="1"/>
  <c r="G471" i="1"/>
  <c r="J470" i="1"/>
  <c r="G470" i="1"/>
  <c r="J469" i="1"/>
  <c r="G469" i="1"/>
  <c r="J468" i="1"/>
  <c r="G468" i="1"/>
  <c r="J467" i="1"/>
  <c r="G467" i="1"/>
  <c r="J466" i="1"/>
  <c r="G466" i="1"/>
  <c r="J465" i="1"/>
  <c r="G465" i="1"/>
  <c r="J464" i="1"/>
  <c r="G464" i="1"/>
  <c r="J463" i="1"/>
  <c r="G463" i="1"/>
  <c r="J462" i="1"/>
  <c r="G462" i="1"/>
  <c r="J461" i="1"/>
  <c r="G461" i="1"/>
  <c r="J460" i="1"/>
  <c r="G460" i="1"/>
  <c r="J459" i="1"/>
  <c r="G459" i="1"/>
  <c r="J458" i="1"/>
  <c r="G458" i="1"/>
  <c r="J457" i="1"/>
  <c r="G457" i="1"/>
  <c r="J456" i="1"/>
  <c r="G456" i="1"/>
  <c r="J455" i="1"/>
  <c r="G455" i="1"/>
  <c r="J454" i="1"/>
  <c r="G454" i="1"/>
  <c r="J453" i="1"/>
  <c r="G453" i="1"/>
  <c r="J452" i="1"/>
  <c r="G452" i="1"/>
  <c r="J451" i="1"/>
  <c r="G451" i="1"/>
  <c r="J450" i="1"/>
  <c r="G450" i="1"/>
  <c r="J449" i="1"/>
  <c r="G449" i="1"/>
  <c r="J448" i="1"/>
  <c r="G448" i="1"/>
  <c r="J447" i="1"/>
  <c r="G447" i="1"/>
  <c r="J446" i="1"/>
  <c r="G446" i="1"/>
  <c r="J445" i="1"/>
  <c r="G445" i="1"/>
  <c r="J444" i="1"/>
  <c r="G444" i="1"/>
  <c r="J443" i="1"/>
  <c r="G443" i="1"/>
  <c r="J442" i="1"/>
  <c r="G442" i="1"/>
  <c r="J441" i="1"/>
  <c r="G441" i="1"/>
  <c r="J440" i="1"/>
  <c r="G440" i="1"/>
  <c r="J439" i="1"/>
  <c r="G439" i="1"/>
  <c r="J438" i="1"/>
  <c r="G438" i="1"/>
  <c r="J437" i="1"/>
  <c r="G437" i="1"/>
  <c r="J436" i="1"/>
  <c r="G436" i="1"/>
  <c r="J435" i="1"/>
  <c r="G435" i="1"/>
  <c r="J434" i="1"/>
  <c r="G434" i="1"/>
  <c r="J433" i="1"/>
  <c r="G433" i="1"/>
  <c r="J432" i="1"/>
  <c r="G432" i="1"/>
  <c r="J431" i="1"/>
  <c r="G431" i="1"/>
  <c r="J430" i="1"/>
  <c r="G430" i="1"/>
  <c r="J429" i="1"/>
  <c r="G429" i="1"/>
  <c r="J428" i="1"/>
  <c r="G428" i="1"/>
  <c r="J427" i="1"/>
  <c r="G427" i="1"/>
  <c r="J426" i="1"/>
  <c r="G426" i="1"/>
  <c r="J425" i="1"/>
  <c r="G425" i="1"/>
  <c r="J424" i="1"/>
  <c r="G424" i="1"/>
  <c r="J423" i="1"/>
  <c r="G423" i="1"/>
  <c r="J422" i="1"/>
  <c r="G422" i="1"/>
  <c r="J421" i="1"/>
  <c r="G421" i="1"/>
  <c r="J420" i="1"/>
  <c r="G420" i="1"/>
  <c r="J419" i="1"/>
  <c r="G419" i="1"/>
  <c r="J418" i="1"/>
  <c r="G418" i="1"/>
  <c r="J417" i="1"/>
  <c r="G417" i="1"/>
  <c r="J416" i="1"/>
  <c r="G416" i="1"/>
  <c r="J415" i="1"/>
  <c r="G415" i="1"/>
  <c r="J414" i="1"/>
  <c r="G414" i="1"/>
  <c r="J413" i="1"/>
  <c r="G413" i="1"/>
  <c r="J412" i="1"/>
  <c r="G412" i="1"/>
  <c r="J411" i="1"/>
  <c r="G411" i="1"/>
  <c r="J410" i="1"/>
  <c r="G410" i="1"/>
  <c r="J409" i="1"/>
  <c r="G409" i="1"/>
  <c r="J408" i="1"/>
  <c r="G408" i="1"/>
  <c r="J407" i="1"/>
  <c r="G407" i="1"/>
  <c r="J406" i="1"/>
  <c r="G406" i="1"/>
  <c r="J405" i="1"/>
  <c r="G405" i="1"/>
  <c r="J404" i="1"/>
  <c r="G404" i="1"/>
  <c r="J403" i="1"/>
  <c r="G403" i="1"/>
  <c r="J402" i="1"/>
  <c r="G402" i="1"/>
  <c r="J401" i="1"/>
  <c r="G401" i="1"/>
  <c r="J400" i="1"/>
  <c r="G400" i="1"/>
  <c r="J399" i="1"/>
  <c r="G399" i="1"/>
  <c r="J398" i="1"/>
  <c r="G398" i="1"/>
  <c r="J397" i="1"/>
  <c r="G397" i="1"/>
  <c r="J396" i="1"/>
  <c r="G396" i="1"/>
  <c r="J395" i="1"/>
  <c r="G395" i="1"/>
  <c r="J394" i="1"/>
  <c r="G394" i="1"/>
  <c r="J393" i="1"/>
  <c r="G393" i="1"/>
  <c r="J392" i="1"/>
  <c r="G392" i="1"/>
  <c r="J391" i="1"/>
  <c r="G391" i="1"/>
  <c r="J390" i="1"/>
  <c r="G390" i="1"/>
  <c r="J389" i="1"/>
  <c r="G389" i="1"/>
  <c r="J388" i="1"/>
  <c r="G388" i="1"/>
  <c r="J387" i="1"/>
  <c r="G387" i="1"/>
  <c r="J386" i="1"/>
  <c r="G386" i="1"/>
  <c r="J385" i="1"/>
  <c r="G385" i="1"/>
  <c r="J384" i="1"/>
  <c r="G384" i="1"/>
  <c r="J383" i="1"/>
  <c r="G383" i="1"/>
  <c r="J382" i="1"/>
  <c r="G382" i="1"/>
  <c r="J381" i="1"/>
  <c r="G381" i="1"/>
  <c r="J380" i="1"/>
  <c r="G380" i="1"/>
  <c r="J379" i="1"/>
  <c r="G379" i="1"/>
  <c r="J378" i="1"/>
  <c r="G378" i="1"/>
  <c r="J377" i="1"/>
  <c r="G377" i="1"/>
  <c r="J376" i="1"/>
  <c r="G376" i="1"/>
  <c r="J375" i="1"/>
  <c r="G375" i="1"/>
  <c r="J374" i="1"/>
  <c r="G374" i="1"/>
  <c r="J373" i="1"/>
  <c r="G373" i="1"/>
  <c r="J372" i="1"/>
  <c r="G372" i="1"/>
  <c r="J371" i="1"/>
  <c r="G371" i="1"/>
  <c r="J370" i="1"/>
  <c r="G370" i="1"/>
  <c r="J369" i="1"/>
  <c r="G369" i="1"/>
  <c r="J368" i="1"/>
  <c r="G368" i="1"/>
  <c r="J367" i="1"/>
  <c r="G367" i="1"/>
  <c r="J366" i="1"/>
  <c r="G366" i="1"/>
  <c r="J365" i="1"/>
  <c r="G365" i="1"/>
  <c r="J364" i="1"/>
  <c r="G364" i="1"/>
  <c r="J363" i="1"/>
  <c r="G363" i="1"/>
  <c r="J362" i="1"/>
  <c r="G362" i="1"/>
  <c r="J361" i="1"/>
  <c r="G361" i="1"/>
  <c r="J360" i="1"/>
  <c r="G360" i="1"/>
  <c r="J359" i="1"/>
  <c r="G359" i="1"/>
  <c r="J358" i="1"/>
  <c r="G358" i="1"/>
  <c r="J357" i="1"/>
  <c r="G357" i="1"/>
  <c r="J356" i="1"/>
  <c r="G356" i="1"/>
  <c r="J355" i="1"/>
  <c r="G355" i="1"/>
  <c r="J354" i="1"/>
  <c r="G354" i="1"/>
  <c r="J353" i="1"/>
  <c r="G353" i="1"/>
  <c r="J352" i="1"/>
  <c r="G352" i="1"/>
  <c r="J351" i="1"/>
  <c r="G351" i="1"/>
  <c r="J350" i="1"/>
  <c r="G350" i="1"/>
  <c r="J349" i="1"/>
  <c r="G349" i="1"/>
  <c r="J348" i="1"/>
  <c r="G348" i="1"/>
  <c r="J347" i="1"/>
  <c r="G347" i="1"/>
  <c r="J346" i="1"/>
  <c r="G346" i="1"/>
  <c r="J345" i="1"/>
  <c r="G345" i="1"/>
  <c r="J344" i="1"/>
  <c r="G344" i="1"/>
  <c r="J343" i="1"/>
  <c r="G343" i="1"/>
  <c r="J342" i="1"/>
  <c r="G342" i="1"/>
  <c r="J341" i="1"/>
  <c r="G341" i="1"/>
  <c r="J340" i="1"/>
  <c r="G340" i="1"/>
  <c r="J339" i="1"/>
  <c r="G339" i="1"/>
  <c r="J338" i="1"/>
  <c r="G338" i="1"/>
  <c r="J337" i="1"/>
  <c r="G337" i="1"/>
  <c r="J336" i="1"/>
  <c r="G336" i="1"/>
  <c r="J335" i="1"/>
  <c r="G335" i="1"/>
  <c r="J334" i="1"/>
  <c r="G334" i="1"/>
  <c r="J333" i="1"/>
  <c r="G333" i="1"/>
  <c r="J332" i="1"/>
  <c r="G332" i="1"/>
  <c r="J331" i="1"/>
  <c r="G331" i="1"/>
  <c r="J330" i="1"/>
  <c r="G330" i="1"/>
  <c r="J329" i="1"/>
  <c r="G329" i="1"/>
  <c r="J328" i="1"/>
  <c r="G328" i="1"/>
  <c r="J327" i="1"/>
  <c r="G327" i="1"/>
  <c r="J326" i="1"/>
  <c r="G326" i="1"/>
  <c r="J325" i="1"/>
  <c r="G325" i="1"/>
  <c r="J324" i="1"/>
  <c r="G324" i="1"/>
  <c r="J323" i="1"/>
  <c r="G323" i="1"/>
  <c r="J322" i="1"/>
  <c r="G322" i="1"/>
  <c r="J321" i="1"/>
  <c r="G321" i="1"/>
  <c r="J320" i="1"/>
  <c r="G320" i="1"/>
  <c r="J319" i="1"/>
  <c r="G319" i="1"/>
  <c r="J318" i="1"/>
  <c r="G318" i="1"/>
  <c r="J317" i="1"/>
  <c r="G317" i="1"/>
  <c r="J316" i="1"/>
  <c r="G316" i="1"/>
  <c r="J315" i="1"/>
  <c r="G315" i="1"/>
  <c r="J314" i="1"/>
  <c r="G314" i="1"/>
  <c r="J313" i="1"/>
  <c r="G313" i="1"/>
  <c r="J312" i="1"/>
  <c r="G312" i="1"/>
  <c r="J311" i="1"/>
  <c r="G311" i="1"/>
  <c r="J310" i="1"/>
  <c r="G310" i="1"/>
  <c r="J309" i="1"/>
  <c r="G309" i="1"/>
  <c r="J308" i="1"/>
  <c r="G308" i="1"/>
  <c r="J307" i="1"/>
  <c r="G307" i="1"/>
  <c r="J306" i="1"/>
  <c r="G306" i="1"/>
  <c r="J305" i="1"/>
  <c r="G305" i="1"/>
  <c r="J304" i="1"/>
  <c r="G304" i="1"/>
  <c r="J303" i="1"/>
  <c r="G303" i="1"/>
  <c r="J302" i="1"/>
  <c r="G302" i="1"/>
  <c r="J301" i="1"/>
  <c r="G301" i="1"/>
  <c r="J300" i="1"/>
  <c r="G300" i="1"/>
  <c r="J299" i="1"/>
  <c r="G299" i="1"/>
  <c r="J298" i="1"/>
  <c r="G298" i="1"/>
  <c r="J297" i="1"/>
  <c r="G297" i="1"/>
  <c r="J296" i="1"/>
  <c r="G296" i="1"/>
  <c r="J295" i="1"/>
  <c r="G295" i="1"/>
  <c r="J294" i="1"/>
  <c r="G294" i="1"/>
  <c r="J293" i="1"/>
  <c r="G293" i="1"/>
  <c r="J292" i="1"/>
  <c r="G292" i="1"/>
  <c r="J291" i="1"/>
  <c r="G291" i="1"/>
  <c r="J290" i="1"/>
  <c r="G290" i="1"/>
  <c r="J289" i="1"/>
  <c r="G289" i="1"/>
  <c r="J288" i="1"/>
  <c r="G288" i="1"/>
  <c r="J287" i="1"/>
  <c r="G287" i="1"/>
  <c r="J286" i="1"/>
  <c r="G286" i="1"/>
  <c r="J285" i="1"/>
  <c r="G285" i="1"/>
  <c r="J284" i="1"/>
  <c r="G284" i="1"/>
  <c r="J283" i="1"/>
  <c r="G283" i="1"/>
  <c r="J282" i="1"/>
  <c r="G282" i="1"/>
  <c r="J281" i="1"/>
  <c r="G281" i="1"/>
  <c r="J280" i="1"/>
  <c r="G280" i="1"/>
  <c r="J279" i="1"/>
  <c r="G279" i="1"/>
  <c r="J278" i="1"/>
  <c r="G278" i="1"/>
  <c r="J277" i="1"/>
  <c r="G277" i="1"/>
  <c r="J276" i="1"/>
  <c r="G276" i="1"/>
  <c r="J275" i="1"/>
  <c r="G275" i="1"/>
  <c r="J274" i="1"/>
  <c r="G274" i="1"/>
  <c r="J273" i="1"/>
  <c r="G273" i="1"/>
  <c r="J272" i="1"/>
  <c r="G272" i="1"/>
  <c r="J271" i="1"/>
  <c r="G271" i="1"/>
  <c r="J270" i="1"/>
  <c r="G270" i="1"/>
  <c r="J269" i="1"/>
  <c r="G269" i="1"/>
  <c r="J268" i="1"/>
  <c r="G268" i="1"/>
  <c r="J267" i="1"/>
  <c r="G267" i="1"/>
  <c r="J266" i="1"/>
  <c r="G266" i="1"/>
  <c r="J265" i="1"/>
  <c r="G265" i="1"/>
  <c r="J264" i="1"/>
  <c r="G264" i="1"/>
  <c r="J263" i="1"/>
  <c r="G263" i="1"/>
  <c r="J262" i="1"/>
  <c r="G262" i="1"/>
  <c r="J261" i="1"/>
  <c r="G261" i="1"/>
  <c r="J260" i="1"/>
  <c r="G260" i="1"/>
  <c r="J259" i="1"/>
  <c r="G259" i="1"/>
  <c r="J258" i="1"/>
  <c r="G258" i="1"/>
  <c r="J257" i="1"/>
  <c r="G257" i="1"/>
  <c r="J256" i="1"/>
  <c r="G256" i="1"/>
  <c r="J255" i="1"/>
  <c r="G255" i="1"/>
  <c r="J254" i="1"/>
  <c r="G254" i="1"/>
  <c r="J253" i="1"/>
  <c r="G253" i="1"/>
  <c r="J252" i="1"/>
  <c r="G252" i="1"/>
  <c r="J251" i="1"/>
  <c r="G251" i="1"/>
  <c r="J250" i="1"/>
  <c r="G250" i="1"/>
  <c r="J249" i="1"/>
  <c r="G249" i="1"/>
  <c r="J248" i="1"/>
  <c r="G248" i="1"/>
  <c r="J247" i="1"/>
  <c r="G247" i="1"/>
  <c r="J246" i="1"/>
  <c r="G246" i="1"/>
  <c r="J245" i="1"/>
  <c r="G245" i="1"/>
  <c r="J244" i="1"/>
  <c r="G244" i="1"/>
  <c r="J243" i="1"/>
  <c r="G243" i="1"/>
  <c r="J242" i="1"/>
  <c r="G242" i="1"/>
  <c r="J241" i="1"/>
  <c r="G241" i="1"/>
  <c r="J240" i="1"/>
  <c r="G240" i="1"/>
  <c r="J239" i="1"/>
  <c r="G239" i="1"/>
  <c r="J238" i="1"/>
  <c r="G238" i="1"/>
  <c r="J237" i="1"/>
  <c r="G237" i="1"/>
  <c r="J236" i="1"/>
  <c r="G236" i="1"/>
  <c r="J235" i="1"/>
  <c r="G235" i="1"/>
  <c r="J234" i="1"/>
  <c r="G234" i="1"/>
  <c r="J233" i="1"/>
  <c r="G233" i="1"/>
  <c r="J232" i="1"/>
  <c r="G232" i="1"/>
  <c r="J231" i="1"/>
  <c r="G231" i="1"/>
  <c r="J230" i="1"/>
  <c r="G230" i="1"/>
  <c r="J229" i="1"/>
  <c r="G229" i="1"/>
  <c r="J228" i="1"/>
  <c r="G228" i="1"/>
  <c r="J227" i="1"/>
  <c r="G227" i="1"/>
  <c r="J226" i="1"/>
  <c r="G226" i="1"/>
  <c r="J225" i="1"/>
  <c r="G225" i="1"/>
  <c r="J224" i="1"/>
  <c r="G224" i="1"/>
  <c r="J223" i="1"/>
  <c r="G223" i="1"/>
  <c r="J222" i="1"/>
  <c r="G222" i="1"/>
  <c r="J221" i="1"/>
  <c r="G221" i="1"/>
  <c r="J220" i="1"/>
  <c r="G220" i="1"/>
  <c r="J219" i="1"/>
  <c r="G219" i="1"/>
  <c r="J218" i="1"/>
  <c r="G218" i="1"/>
  <c r="J217" i="1"/>
  <c r="G217" i="1"/>
  <c r="J216" i="1"/>
  <c r="G216" i="1"/>
  <c r="J215" i="1"/>
  <c r="G215" i="1"/>
  <c r="J214" i="1"/>
  <c r="G214" i="1"/>
  <c r="J213" i="1"/>
  <c r="G213" i="1"/>
  <c r="J212" i="1"/>
  <c r="G212" i="1"/>
  <c r="J211" i="1"/>
  <c r="G211" i="1"/>
  <c r="J210" i="1"/>
  <c r="G210" i="1"/>
  <c r="J209" i="1"/>
  <c r="G209" i="1"/>
  <c r="J208" i="1"/>
  <c r="G208" i="1"/>
  <c r="J207" i="1"/>
  <c r="G207" i="1"/>
  <c r="J206" i="1"/>
  <c r="G206" i="1"/>
  <c r="J205" i="1"/>
  <c r="G205" i="1"/>
  <c r="J204" i="1"/>
  <c r="G204" i="1"/>
  <c r="J203" i="1"/>
  <c r="G203" i="1"/>
  <c r="J202" i="1"/>
  <c r="G202" i="1"/>
  <c r="J201" i="1"/>
  <c r="G201" i="1"/>
  <c r="J200" i="1"/>
  <c r="G200" i="1"/>
  <c r="J199" i="1"/>
  <c r="G199" i="1"/>
  <c r="J198" i="1"/>
  <c r="G198" i="1"/>
  <c r="J197" i="1"/>
  <c r="G197" i="1"/>
  <c r="J196" i="1"/>
  <c r="G196" i="1"/>
  <c r="J195" i="1"/>
  <c r="G195" i="1"/>
  <c r="J194" i="1"/>
  <c r="G194" i="1"/>
  <c r="J193" i="1"/>
  <c r="G193" i="1"/>
  <c r="J192" i="1"/>
  <c r="G192" i="1"/>
  <c r="J191" i="1"/>
  <c r="G191" i="1"/>
  <c r="J190" i="1"/>
  <c r="G190" i="1"/>
  <c r="J189" i="1"/>
  <c r="G189" i="1"/>
  <c r="J188" i="1"/>
  <c r="G188" i="1"/>
  <c r="J187" i="1"/>
  <c r="G187" i="1"/>
  <c r="J186" i="1"/>
  <c r="G186" i="1"/>
  <c r="J185" i="1"/>
  <c r="G185" i="1"/>
  <c r="J184" i="1"/>
  <c r="G184" i="1"/>
  <c r="J183" i="1"/>
  <c r="G183" i="1"/>
  <c r="J182" i="1"/>
  <c r="G182" i="1"/>
  <c r="J181" i="1"/>
  <c r="G181" i="1"/>
  <c r="J180" i="1"/>
  <c r="G180" i="1"/>
  <c r="J179" i="1"/>
  <c r="G179" i="1"/>
  <c r="J178" i="1"/>
  <c r="G178" i="1"/>
  <c r="J177" i="1"/>
  <c r="G177" i="1"/>
  <c r="J176" i="1"/>
  <c r="G176" i="1"/>
  <c r="J175" i="1"/>
  <c r="G175" i="1"/>
  <c r="J174" i="1"/>
  <c r="G174" i="1"/>
  <c r="J173" i="1"/>
  <c r="G173" i="1"/>
  <c r="J172" i="1"/>
  <c r="G172" i="1"/>
  <c r="J171" i="1"/>
  <c r="G171" i="1"/>
  <c r="J170" i="1"/>
  <c r="G170" i="1"/>
  <c r="J169" i="1"/>
  <c r="G169" i="1"/>
  <c r="J168" i="1"/>
  <c r="G168" i="1"/>
  <c r="J167" i="1"/>
  <c r="G167" i="1"/>
  <c r="J166" i="1"/>
  <c r="G166" i="1"/>
  <c r="J165" i="1"/>
  <c r="G165" i="1"/>
  <c r="J164" i="1"/>
  <c r="G164" i="1"/>
  <c r="J163" i="1"/>
  <c r="G163" i="1"/>
  <c r="J162" i="1"/>
  <c r="G162" i="1"/>
  <c r="J161" i="1"/>
  <c r="G161" i="1"/>
  <c r="J160" i="1"/>
  <c r="G160" i="1"/>
  <c r="J159" i="1"/>
  <c r="G159" i="1"/>
  <c r="J158" i="1"/>
  <c r="G158" i="1"/>
  <c r="J157" i="1"/>
  <c r="G157" i="1"/>
  <c r="J156" i="1"/>
  <c r="G156" i="1"/>
  <c r="J155" i="1"/>
  <c r="G155" i="1"/>
  <c r="J154" i="1"/>
  <c r="G154" i="1"/>
  <c r="J153" i="1"/>
  <c r="G153" i="1"/>
  <c r="J152" i="1"/>
  <c r="G152" i="1"/>
  <c r="J151" i="1"/>
  <c r="G151" i="1"/>
  <c r="J150" i="1"/>
  <c r="G150" i="1"/>
  <c r="J149" i="1"/>
  <c r="G149" i="1"/>
  <c r="J148" i="1"/>
  <c r="G148" i="1"/>
  <c r="J147" i="1"/>
  <c r="G147" i="1"/>
  <c r="J146" i="1"/>
  <c r="G146" i="1"/>
  <c r="J145" i="1"/>
  <c r="G145" i="1"/>
  <c r="J144" i="1"/>
  <c r="G144" i="1"/>
  <c r="J143" i="1"/>
  <c r="G143" i="1"/>
  <c r="J142" i="1"/>
  <c r="G142" i="1"/>
  <c r="J141" i="1"/>
  <c r="G141" i="1"/>
  <c r="J140" i="1"/>
  <c r="G140" i="1"/>
  <c r="J139" i="1"/>
  <c r="G139" i="1"/>
  <c r="J138" i="1"/>
  <c r="G138" i="1"/>
  <c r="J137" i="1"/>
  <c r="G137" i="1"/>
  <c r="J136" i="1"/>
  <c r="G136" i="1"/>
  <c r="J135" i="1"/>
  <c r="G135" i="1"/>
  <c r="J134" i="1"/>
  <c r="G134" i="1"/>
  <c r="J133" i="1"/>
  <c r="G133" i="1"/>
  <c r="J132" i="1"/>
  <c r="G132" i="1"/>
  <c r="J131" i="1"/>
  <c r="G131" i="1"/>
  <c r="J130" i="1"/>
  <c r="G130" i="1"/>
  <c r="J129" i="1"/>
  <c r="G129" i="1"/>
  <c r="J128" i="1"/>
  <c r="G128" i="1"/>
  <c r="J127" i="1"/>
  <c r="G127" i="1"/>
  <c r="J126" i="1"/>
  <c r="G126" i="1"/>
  <c r="J125" i="1"/>
  <c r="G125" i="1"/>
  <c r="J124" i="1"/>
  <c r="G124" i="1"/>
  <c r="J123" i="1"/>
  <c r="G123" i="1"/>
  <c r="J122" i="1"/>
  <c r="G122" i="1"/>
  <c r="J121" i="1"/>
  <c r="G121" i="1"/>
  <c r="J120" i="1"/>
  <c r="G120" i="1"/>
  <c r="J119" i="1"/>
  <c r="G119" i="1"/>
  <c r="J118" i="1"/>
  <c r="G118" i="1"/>
  <c r="J117" i="1"/>
  <c r="G117" i="1"/>
  <c r="J116" i="1"/>
  <c r="G116" i="1"/>
  <c r="J115" i="1"/>
  <c r="G115" i="1"/>
  <c r="J114" i="1"/>
  <c r="G114" i="1"/>
  <c r="J113" i="1"/>
  <c r="G113" i="1"/>
  <c r="J112" i="1"/>
  <c r="G112" i="1"/>
  <c r="J111" i="1"/>
  <c r="G111" i="1"/>
  <c r="J110" i="1"/>
  <c r="G110" i="1"/>
  <c r="J109" i="1"/>
  <c r="G109" i="1"/>
  <c r="J108" i="1"/>
  <c r="G108" i="1"/>
  <c r="J107" i="1"/>
  <c r="G107" i="1"/>
  <c r="J106" i="1"/>
  <c r="G106" i="1"/>
  <c r="J105" i="1"/>
  <c r="G105" i="1"/>
  <c r="J104" i="1"/>
  <c r="G104" i="1"/>
  <c r="J103" i="1"/>
  <c r="G103" i="1"/>
  <c r="J102" i="1"/>
  <c r="G102" i="1"/>
  <c r="J101" i="1"/>
  <c r="G101" i="1"/>
  <c r="J100" i="1"/>
  <c r="G100" i="1"/>
  <c r="J99" i="1"/>
  <c r="G99" i="1"/>
  <c r="J98" i="1"/>
  <c r="G98" i="1"/>
  <c r="G97" i="1"/>
  <c r="G96" i="1"/>
  <c r="J95" i="1"/>
  <c r="G95" i="1"/>
  <c r="J94" i="1"/>
  <c r="G94" i="1"/>
  <c r="J93" i="1"/>
  <c r="G93" i="1"/>
  <c r="J92" i="1"/>
  <c r="G92" i="1"/>
  <c r="J91" i="1"/>
  <c r="G91" i="1"/>
  <c r="J90" i="1"/>
  <c r="G90" i="1"/>
  <c r="J89" i="1"/>
  <c r="G89" i="1"/>
  <c r="J88" i="1"/>
  <c r="G88" i="1"/>
  <c r="J87" i="1"/>
  <c r="G87" i="1"/>
  <c r="J86" i="1"/>
  <c r="G86" i="1"/>
  <c r="J85" i="1"/>
  <c r="G85" i="1"/>
  <c r="G84" i="1"/>
  <c r="J83" i="1"/>
  <c r="G83" i="1"/>
  <c r="G82" i="1"/>
  <c r="G81" i="1"/>
  <c r="J80" i="1"/>
  <c r="G80" i="1"/>
  <c r="J79" i="1"/>
  <c r="G79" i="1"/>
  <c r="G78" i="1"/>
  <c r="J77" i="1"/>
  <c r="G77" i="1"/>
  <c r="J76" i="1"/>
  <c r="G76" i="1"/>
  <c r="J75" i="1"/>
  <c r="G75" i="1"/>
  <c r="J74" i="1"/>
  <c r="G74" i="1"/>
  <c r="G73" i="1"/>
  <c r="G72" i="1"/>
  <c r="J71" i="1"/>
  <c r="G71" i="1"/>
  <c r="J70" i="1"/>
  <c r="G70" i="1"/>
  <c r="G69" i="1"/>
  <c r="J68" i="1"/>
  <c r="G68" i="1"/>
  <c r="J67" i="1"/>
  <c r="G67" i="1"/>
  <c r="G66" i="1"/>
  <c r="J65" i="1"/>
  <c r="G65" i="1"/>
  <c r="J64" i="1"/>
  <c r="G64" i="1"/>
  <c r="J63" i="1"/>
  <c r="G63" i="1"/>
  <c r="J62" i="1"/>
  <c r="G62" i="1"/>
  <c r="J61" i="1"/>
  <c r="G61" i="1"/>
  <c r="G60" i="1" l="1"/>
  <c r="J59" i="1"/>
  <c r="G59" i="1"/>
  <c r="G58" i="1"/>
  <c r="J57" i="1"/>
  <c r="G57" i="1"/>
  <c r="J56" i="1"/>
  <c r="G56" i="1"/>
  <c r="G55" i="1"/>
  <c r="J54" i="1"/>
  <c r="G54" i="1"/>
  <c r="J53" i="1"/>
  <c r="J51" i="1"/>
  <c r="J50" i="1"/>
  <c r="J49" i="1"/>
  <c r="J48" i="1"/>
  <c r="J46" i="1"/>
  <c r="J45" i="1"/>
  <c r="J44" i="1"/>
  <c r="J43" i="1"/>
  <c r="J42" i="1"/>
  <c r="J40" i="1"/>
  <c r="J39" i="1"/>
  <c r="J38" i="1"/>
  <c r="J37" i="1"/>
  <c r="J36" i="1"/>
  <c r="J34" i="1"/>
  <c r="J33" i="1"/>
  <c r="J32" i="1"/>
  <c r="J31" i="1"/>
  <c r="J30" i="1"/>
  <c r="J28" i="1"/>
  <c r="J27" i="1"/>
  <c r="J26" i="1"/>
  <c r="J25" i="1"/>
  <c r="J24" i="1"/>
  <c r="J23" i="1"/>
  <c r="J22" i="1"/>
  <c r="J21" i="1"/>
  <c r="J20" i="1"/>
  <c r="J18" i="1"/>
  <c r="J17" i="1"/>
  <c r="J16" i="1"/>
  <c r="J15" i="1"/>
  <c r="J14" i="1"/>
  <c r="J13" i="1"/>
  <c r="J12" i="1"/>
  <c r="J11" i="1"/>
  <c r="J10" i="1"/>
  <c r="J8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I2" i="1" s="1"/>
  <c r="AA2" i="1" s="1"/>
  <c r="I3" i="1" l="1"/>
  <c r="AA3" i="1" l="1"/>
  <c r="I4" i="1"/>
  <c r="AA4" i="1" s="1"/>
  <c r="I5" i="1" l="1"/>
  <c r="AA5" i="1" s="1"/>
  <c r="I6" i="1" l="1"/>
  <c r="AA6" i="1" s="1"/>
  <c r="J7" i="1"/>
  <c r="J6" i="1"/>
  <c r="J5" i="1"/>
  <c r="J4" i="1"/>
  <c r="J3" i="1"/>
  <c r="I7" i="1" l="1"/>
  <c r="AA7" i="1" s="1"/>
  <c r="I8" i="1" l="1"/>
  <c r="AA8" i="1" s="1"/>
  <c r="I9" i="1" l="1"/>
  <c r="AA9" i="1" s="1"/>
  <c r="I10" i="1" l="1"/>
  <c r="AA10" i="1" s="1"/>
  <c r="J9" i="1"/>
  <c r="F1" i="5"/>
  <c r="I11" i="1" l="1"/>
  <c r="AA11" i="1" s="1"/>
  <c r="J2" i="1"/>
  <c r="I12" i="1" l="1"/>
  <c r="AA12" i="1" s="1"/>
  <c r="J78" i="1"/>
  <c r="I13" i="1" l="1"/>
  <c r="AA13" i="1" s="1"/>
  <c r="I14" i="1" l="1"/>
  <c r="AA14" i="1" s="1"/>
  <c r="I15" i="1" l="1"/>
  <c r="AA15" i="1" s="1"/>
  <c r="I16" i="1" l="1"/>
  <c r="AA16" i="1" s="1"/>
  <c r="I17" i="1" l="1"/>
  <c r="AA17" i="1" s="1"/>
  <c r="I18" i="1" l="1"/>
  <c r="AA18" i="1" s="1"/>
  <c r="I19" i="1" l="1"/>
  <c r="AA19" i="1" s="1"/>
  <c r="J19" i="1" l="1"/>
  <c r="I20" i="1"/>
  <c r="AA20" i="1" s="1"/>
  <c r="I21" i="1" l="1"/>
  <c r="AA21" i="1" s="1"/>
  <c r="I22" i="1" l="1"/>
  <c r="AA22" i="1" s="1"/>
  <c r="I23" i="1" l="1"/>
  <c r="AA23" i="1" s="1"/>
  <c r="I24" i="1" l="1"/>
  <c r="AA24" i="1" s="1"/>
  <c r="I25" i="1" l="1"/>
  <c r="AA25" i="1" s="1"/>
  <c r="I26" i="1" l="1"/>
  <c r="AA26" i="1" s="1"/>
  <c r="I27" i="1" l="1"/>
  <c r="AA27" i="1" s="1"/>
  <c r="I28" i="1" l="1"/>
  <c r="AA28" i="1" s="1"/>
  <c r="I29" i="1" l="1"/>
  <c r="AA29" i="1" s="1"/>
  <c r="I30" i="1" l="1"/>
  <c r="AA30" i="1" s="1"/>
  <c r="J29" i="1"/>
  <c r="I31" i="1" l="1"/>
  <c r="AA31" i="1" s="1"/>
  <c r="I32" i="1" l="1"/>
  <c r="AA32" i="1" s="1"/>
  <c r="I33" i="1" l="1"/>
  <c r="AA33" i="1" s="1"/>
  <c r="I34" i="1" l="1"/>
  <c r="AA34" i="1" s="1"/>
  <c r="I35" i="1" l="1"/>
  <c r="AA35" i="1" s="1"/>
  <c r="I36" i="1" l="1"/>
  <c r="AA36" i="1" s="1"/>
  <c r="J35" i="1"/>
  <c r="I37" i="1" l="1"/>
  <c r="AA37" i="1" s="1"/>
  <c r="I38" i="1" l="1"/>
  <c r="AA38" i="1" s="1"/>
  <c r="I39" i="1" l="1"/>
  <c r="AA39" i="1" s="1"/>
  <c r="I40" i="1" l="1"/>
  <c r="AA40" i="1" s="1"/>
  <c r="I41" i="1" l="1"/>
  <c r="AA41" i="1" s="1"/>
  <c r="I42" i="1" l="1"/>
  <c r="AA42" i="1" s="1"/>
  <c r="J41" i="1"/>
  <c r="I43" i="1" l="1"/>
  <c r="AA43" i="1" s="1"/>
  <c r="I44" i="1" l="1"/>
  <c r="AA44" i="1" s="1"/>
  <c r="I45" i="1" l="1"/>
  <c r="AA45" i="1" s="1"/>
  <c r="I46" i="1" l="1"/>
  <c r="AA46" i="1" s="1"/>
  <c r="I47" i="1" l="1"/>
  <c r="AA47" i="1" s="1"/>
  <c r="I48" i="1" l="1"/>
  <c r="AA48" i="1" s="1"/>
  <c r="J47" i="1"/>
  <c r="I49" i="1" l="1"/>
  <c r="AA49" i="1" s="1"/>
  <c r="I50" i="1" l="1"/>
  <c r="AA50" i="1" s="1"/>
  <c r="I51" i="1" l="1"/>
  <c r="AA51" i="1" s="1"/>
  <c r="I52" i="1" l="1"/>
  <c r="AA52" i="1" s="1"/>
  <c r="I53" i="1" l="1"/>
  <c r="AA53" i="1" s="1"/>
  <c r="J52" i="1"/>
  <c r="I54" i="1" l="1"/>
  <c r="AA54" i="1" s="1"/>
  <c r="I55" i="1" l="1"/>
  <c r="AA55" i="1" s="1"/>
  <c r="I56" i="1" l="1"/>
  <c r="AA56" i="1" s="1"/>
  <c r="J55" i="1"/>
  <c r="I57" i="1" l="1"/>
  <c r="AA57" i="1" s="1"/>
  <c r="I58" i="1" l="1"/>
  <c r="AA58" i="1" s="1"/>
  <c r="I59" i="1" l="1"/>
  <c r="AA59" i="1" s="1"/>
  <c r="J58" i="1"/>
  <c r="I60" i="1" l="1"/>
  <c r="AA60" i="1" s="1"/>
  <c r="I61" i="1" l="1"/>
  <c r="AA61" i="1" s="1"/>
  <c r="J60" i="1"/>
  <c r="I62" i="1" l="1"/>
  <c r="AA62" i="1" s="1"/>
  <c r="I63" i="1" l="1"/>
  <c r="AA63" i="1" s="1"/>
  <c r="I64" i="1" l="1"/>
  <c r="AA64" i="1" s="1"/>
  <c r="I65" i="1" l="1"/>
  <c r="AA65" i="1" s="1"/>
  <c r="I66" i="1" l="1"/>
  <c r="AA66" i="1" s="1"/>
  <c r="I67" i="1" l="1"/>
  <c r="AA67" i="1" s="1"/>
  <c r="J66" i="1"/>
  <c r="I68" i="1" l="1"/>
  <c r="AA68" i="1" s="1"/>
  <c r="I69" i="1" l="1"/>
  <c r="AA69" i="1" s="1"/>
  <c r="I70" i="1" l="1"/>
  <c r="AA70" i="1" s="1"/>
  <c r="J69" i="1"/>
  <c r="I71" i="1" l="1"/>
  <c r="AA71" i="1" s="1"/>
  <c r="I72" i="1" l="1"/>
  <c r="AA72" i="1" s="1"/>
  <c r="I73" i="1" l="1"/>
  <c r="AA73" i="1" s="1"/>
  <c r="J72" i="1"/>
  <c r="I74" i="1" l="1"/>
  <c r="AA74" i="1" s="1"/>
  <c r="J73" i="1"/>
  <c r="I75" i="1" l="1"/>
  <c r="AA75" i="1" s="1"/>
  <c r="I76" i="1" l="1"/>
  <c r="AA76" i="1" s="1"/>
  <c r="I77" i="1" l="1"/>
  <c r="AA77" i="1" s="1"/>
  <c r="I78" i="1" l="1"/>
  <c r="AA78" i="1" s="1"/>
  <c r="I79" i="1" l="1"/>
  <c r="AA79" i="1" s="1"/>
  <c r="I80" i="1" l="1"/>
  <c r="AA80" i="1" s="1"/>
  <c r="I81" i="1" l="1"/>
  <c r="AA81" i="1" s="1"/>
  <c r="J81" i="1" l="1"/>
  <c r="I82" i="1"/>
  <c r="AA82" i="1" s="1"/>
  <c r="J82" i="1" l="1"/>
  <c r="I83" i="1"/>
  <c r="AA83" i="1" s="1"/>
  <c r="I84" i="1" l="1"/>
  <c r="AA84" i="1" s="1"/>
  <c r="J84" i="1" l="1"/>
  <c r="I85" i="1"/>
  <c r="AA85" i="1" s="1"/>
  <c r="I86" i="1" l="1"/>
  <c r="AA86" i="1" s="1"/>
  <c r="I87" i="1" l="1"/>
  <c r="AA87" i="1" s="1"/>
  <c r="I88" i="1" l="1"/>
  <c r="AA88" i="1" s="1"/>
  <c r="I89" i="1" l="1"/>
  <c r="AA89" i="1" s="1"/>
  <c r="I90" i="1" l="1"/>
  <c r="AA90" i="1" s="1"/>
  <c r="I91" i="1" l="1"/>
  <c r="AA91" i="1" s="1"/>
  <c r="I92" i="1" l="1"/>
  <c r="AA92" i="1" s="1"/>
  <c r="I93" i="1" l="1"/>
  <c r="AA93" i="1" s="1"/>
  <c r="I94" i="1" l="1"/>
  <c r="AA94" i="1" s="1"/>
  <c r="I95" i="1" l="1"/>
  <c r="AA95" i="1" s="1"/>
  <c r="I96" i="1" l="1"/>
  <c r="AA96" i="1" s="1"/>
  <c r="J96" i="1" l="1"/>
  <c r="I97" i="1"/>
  <c r="AA97" i="1" s="1"/>
  <c r="J97" i="1" l="1"/>
  <c r="I98" i="1"/>
  <c r="AA98" i="1" s="1"/>
  <c r="I99" i="1" l="1"/>
  <c r="AA99" i="1" s="1"/>
  <c r="I100" i="1" l="1"/>
  <c r="AA100" i="1" s="1"/>
  <c r="I101" i="1" l="1"/>
  <c r="AA101" i="1" s="1"/>
  <c r="I102" i="1" l="1"/>
  <c r="AA102" i="1" s="1"/>
  <c r="I103" i="1" l="1"/>
  <c r="AA103" i="1" s="1"/>
  <c r="I104" i="1" l="1"/>
  <c r="AA104" i="1" s="1"/>
  <c r="I105" i="1" l="1"/>
  <c r="AA105" i="1" s="1"/>
  <c r="I106" i="1" l="1"/>
  <c r="AA106" i="1" s="1"/>
  <c r="I107" i="1" l="1"/>
  <c r="AA107" i="1" s="1"/>
  <c r="I108" i="1" l="1"/>
  <c r="AA108" i="1" s="1"/>
  <c r="I109" i="1" l="1"/>
  <c r="AA109" i="1" s="1"/>
  <c r="I110" i="1" l="1"/>
  <c r="AA110" i="1" s="1"/>
  <c r="I111" i="1" l="1"/>
  <c r="AA111" i="1" s="1"/>
  <c r="I112" i="1" l="1"/>
  <c r="AA112" i="1" s="1"/>
  <c r="I113" i="1" l="1"/>
  <c r="AA113" i="1" s="1"/>
  <c r="I114" i="1" l="1"/>
  <c r="AA114" i="1" s="1"/>
  <c r="I115" i="1" l="1"/>
  <c r="AA115" i="1" s="1"/>
  <c r="I116" i="1" l="1"/>
  <c r="AA116" i="1" s="1"/>
  <c r="I117" i="1" l="1"/>
  <c r="AA117" i="1" s="1"/>
  <c r="I118" i="1" l="1"/>
  <c r="AA118" i="1" s="1"/>
  <c r="I119" i="1" l="1"/>
  <c r="AA119" i="1" s="1"/>
  <c r="I120" i="1" l="1"/>
  <c r="AA120" i="1" s="1"/>
  <c r="I121" i="1" l="1"/>
  <c r="AA121" i="1" s="1"/>
  <c r="I122" i="1" l="1"/>
  <c r="AA122" i="1" s="1"/>
  <c r="I123" i="1" l="1"/>
  <c r="AA123" i="1" s="1"/>
  <c r="I124" i="1" l="1"/>
  <c r="AA124" i="1" s="1"/>
  <c r="I125" i="1" l="1"/>
  <c r="AA125" i="1" s="1"/>
  <c r="I126" i="1" l="1"/>
  <c r="AA126" i="1" s="1"/>
  <c r="I127" i="1" l="1"/>
  <c r="AA127" i="1" s="1"/>
  <c r="I128" i="1" l="1"/>
  <c r="AA128" i="1" s="1"/>
  <c r="I129" i="1" l="1"/>
  <c r="AA129" i="1" s="1"/>
  <c r="I130" i="1" l="1"/>
  <c r="AA130" i="1" s="1"/>
  <c r="I131" i="1" l="1"/>
  <c r="AA131" i="1" s="1"/>
  <c r="I132" i="1" l="1"/>
  <c r="AA132" i="1" s="1"/>
  <c r="I133" i="1" l="1"/>
  <c r="AA133" i="1" s="1"/>
  <c r="I134" i="1" l="1"/>
  <c r="AA134" i="1" s="1"/>
  <c r="I135" i="1" l="1"/>
  <c r="AA135" i="1" s="1"/>
  <c r="I136" i="1" l="1"/>
  <c r="AA136" i="1" s="1"/>
  <c r="I137" i="1" l="1"/>
  <c r="AA137" i="1" s="1"/>
  <c r="I138" i="1" l="1"/>
  <c r="AA138" i="1" s="1"/>
  <c r="I139" i="1" l="1"/>
  <c r="AA139" i="1" s="1"/>
  <c r="I140" i="1" l="1"/>
  <c r="AA140" i="1" s="1"/>
  <c r="I141" i="1" l="1"/>
  <c r="AA141" i="1" s="1"/>
  <c r="I142" i="1" l="1"/>
  <c r="AA142" i="1" s="1"/>
  <c r="I143" i="1" l="1"/>
  <c r="AA143" i="1" s="1"/>
  <c r="I144" i="1" l="1"/>
  <c r="AA144" i="1" s="1"/>
  <c r="I145" i="1" l="1"/>
  <c r="AA145" i="1" s="1"/>
  <c r="I146" i="1" l="1"/>
  <c r="AA146" i="1" s="1"/>
  <c r="I147" i="1" l="1"/>
  <c r="AA147" i="1" s="1"/>
  <c r="I148" i="1" l="1"/>
  <c r="AA148" i="1" s="1"/>
  <c r="I149" i="1" l="1"/>
  <c r="AA149" i="1" s="1"/>
  <c r="I150" i="1" l="1"/>
  <c r="AA150" i="1" s="1"/>
  <c r="I151" i="1" l="1"/>
  <c r="AA151" i="1" s="1"/>
  <c r="I152" i="1" l="1"/>
  <c r="AA152" i="1" s="1"/>
  <c r="I153" i="1" l="1"/>
  <c r="AA153" i="1" s="1"/>
  <c r="I154" i="1" l="1"/>
  <c r="AA154" i="1" s="1"/>
  <c r="I155" i="1" l="1"/>
  <c r="AA155" i="1" s="1"/>
  <c r="I156" i="1" l="1"/>
  <c r="AA156" i="1" s="1"/>
  <c r="I157" i="1" l="1"/>
  <c r="AA157" i="1" s="1"/>
  <c r="I158" i="1" l="1"/>
  <c r="AA158" i="1" s="1"/>
  <c r="I159" i="1" l="1"/>
  <c r="AA159" i="1" s="1"/>
  <c r="I160" i="1" l="1"/>
  <c r="AA160" i="1" s="1"/>
  <c r="I161" i="1" l="1"/>
  <c r="AA161" i="1" s="1"/>
  <c r="I162" i="1" l="1"/>
  <c r="AA162" i="1" s="1"/>
  <c r="I163" i="1" l="1"/>
  <c r="AA163" i="1" s="1"/>
  <c r="I164" i="1" l="1"/>
  <c r="AA164" i="1" s="1"/>
  <c r="I165" i="1" l="1"/>
  <c r="AA165" i="1" s="1"/>
  <c r="I166" i="1" l="1"/>
  <c r="AA166" i="1" s="1"/>
  <c r="I167" i="1" l="1"/>
  <c r="AA167" i="1" s="1"/>
  <c r="I168" i="1" l="1"/>
  <c r="AA168" i="1" s="1"/>
  <c r="I169" i="1" l="1"/>
  <c r="AA169" i="1" s="1"/>
  <c r="I170" i="1" l="1"/>
  <c r="AA170" i="1" s="1"/>
  <c r="I171" i="1" l="1"/>
  <c r="AA171" i="1" s="1"/>
  <c r="I172" i="1" l="1"/>
  <c r="AA172" i="1" s="1"/>
  <c r="I173" i="1" l="1"/>
  <c r="AA173" i="1" s="1"/>
  <c r="I174" i="1" l="1"/>
  <c r="AA174" i="1" s="1"/>
  <c r="I175" i="1" l="1"/>
  <c r="AA175" i="1" s="1"/>
  <c r="I176" i="1" l="1"/>
  <c r="AA176" i="1" s="1"/>
  <c r="I177" i="1" l="1"/>
  <c r="AA177" i="1" s="1"/>
  <c r="I178" i="1" l="1"/>
  <c r="AA178" i="1" s="1"/>
  <c r="I179" i="1" l="1"/>
  <c r="AA179" i="1" s="1"/>
  <c r="I180" i="1" l="1"/>
  <c r="AA180" i="1" s="1"/>
  <c r="I181" i="1" l="1"/>
  <c r="AA181" i="1" s="1"/>
  <c r="I182" i="1" l="1"/>
  <c r="AA182" i="1" s="1"/>
  <c r="I183" i="1" l="1"/>
  <c r="AA183" i="1" s="1"/>
  <c r="I184" i="1" l="1"/>
  <c r="AA184" i="1" s="1"/>
  <c r="I185" i="1" l="1"/>
  <c r="AA185" i="1" s="1"/>
  <c r="I186" i="1" l="1"/>
  <c r="AA186" i="1" s="1"/>
  <c r="I187" i="1" l="1"/>
  <c r="AA187" i="1" s="1"/>
  <c r="I188" i="1" l="1"/>
  <c r="AA188" i="1" s="1"/>
  <c r="I189" i="1" l="1"/>
  <c r="AA189" i="1" s="1"/>
  <c r="I190" i="1" l="1"/>
  <c r="AA190" i="1" s="1"/>
  <c r="I191" i="1" l="1"/>
  <c r="AA191" i="1" s="1"/>
  <c r="I192" i="1" l="1"/>
  <c r="AA192" i="1" s="1"/>
  <c r="I193" i="1" l="1"/>
  <c r="AA193" i="1" s="1"/>
  <c r="I194" i="1" l="1"/>
  <c r="AA194" i="1" s="1"/>
  <c r="I195" i="1" l="1"/>
  <c r="AA195" i="1" s="1"/>
  <c r="I196" i="1" l="1"/>
  <c r="AA196" i="1" s="1"/>
  <c r="I197" i="1" l="1"/>
  <c r="AA197" i="1" s="1"/>
  <c r="I198" i="1" l="1"/>
  <c r="AA198" i="1" s="1"/>
  <c r="I199" i="1" l="1"/>
  <c r="AA199" i="1" s="1"/>
  <c r="I200" i="1" l="1"/>
  <c r="AA200" i="1" s="1"/>
  <c r="I201" i="1" l="1"/>
  <c r="AA201" i="1" s="1"/>
  <c r="I202" i="1" l="1"/>
  <c r="AA202" i="1" s="1"/>
  <c r="I203" i="1" l="1"/>
  <c r="AA203" i="1" s="1"/>
  <c r="I204" i="1" l="1"/>
  <c r="AA204" i="1" s="1"/>
  <c r="I205" i="1" l="1"/>
  <c r="AA205" i="1" s="1"/>
  <c r="I206" i="1" l="1"/>
  <c r="AA206" i="1" s="1"/>
  <c r="I207" i="1" l="1"/>
  <c r="AA207" i="1" s="1"/>
  <c r="I208" i="1" l="1"/>
  <c r="AA208" i="1" s="1"/>
  <c r="I209" i="1" l="1"/>
  <c r="AA209" i="1" s="1"/>
  <c r="I210" i="1" l="1"/>
  <c r="AA210" i="1" s="1"/>
  <c r="I211" i="1" l="1"/>
  <c r="AA211" i="1" s="1"/>
  <c r="I212" i="1" l="1"/>
  <c r="AA212" i="1" s="1"/>
  <c r="I213" i="1" l="1"/>
  <c r="AA213" i="1" s="1"/>
  <c r="I214" i="1" l="1"/>
  <c r="AA214" i="1" s="1"/>
  <c r="I215" i="1" l="1"/>
  <c r="AA215" i="1" s="1"/>
  <c r="I216" i="1" l="1"/>
  <c r="AA216" i="1" s="1"/>
  <c r="I217" i="1" l="1"/>
  <c r="AA217" i="1" s="1"/>
  <c r="I218" i="1" l="1"/>
  <c r="AA218" i="1" s="1"/>
  <c r="I219" i="1" l="1"/>
  <c r="AA219" i="1" s="1"/>
  <c r="I220" i="1" l="1"/>
  <c r="AA220" i="1" s="1"/>
  <c r="I221" i="1" l="1"/>
  <c r="AA221" i="1" s="1"/>
  <c r="I222" i="1" l="1"/>
  <c r="AA222" i="1" s="1"/>
  <c r="I223" i="1" l="1"/>
  <c r="AA223" i="1" s="1"/>
  <c r="I224" i="1" l="1"/>
  <c r="AA224" i="1" s="1"/>
  <c r="I225" i="1" l="1"/>
  <c r="AA225" i="1" s="1"/>
  <c r="I226" i="1" l="1"/>
  <c r="AA226" i="1" s="1"/>
  <c r="I227" i="1" l="1"/>
  <c r="AA227" i="1" s="1"/>
  <c r="I228" i="1" l="1"/>
  <c r="AA228" i="1" s="1"/>
  <c r="I229" i="1" l="1"/>
  <c r="AA229" i="1" s="1"/>
  <c r="I230" i="1" l="1"/>
  <c r="AA230" i="1" s="1"/>
  <c r="I231" i="1" l="1"/>
  <c r="AA231" i="1" s="1"/>
  <c r="I232" i="1" l="1"/>
  <c r="AA232" i="1" s="1"/>
  <c r="I233" i="1" l="1"/>
  <c r="AA233" i="1" s="1"/>
  <c r="I234" i="1" l="1"/>
  <c r="AA234" i="1" s="1"/>
  <c r="I235" i="1" l="1"/>
  <c r="AA235" i="1" s="1"/>
  <c r="I236" i="1" l="1"/>
  <c r="AA236" i="1" s="1"/>
  <c r="I237" i="1" l="1"/>
  <c r="AA237" i="1" s="1"/>
  <c r="I238" i="1" l="1"/>
  <c r="AA238" i="1" s="1"/>
  <c r="I239" i="1" l="1"/>
  <c r="AA239" i="1" s="1"/>
  <c r="I240" i="1" l="1"/>
  <c r="AA240" i="1" s="1"/>
  <c r="I241" i="1" l="1"/>
  <c r="AA241" i="1" s="1"/>
  <c r="I242" i="1" l="1"/>
  <c r="AA242" i="1" s="1"/>
  <c r="I243" i="1" l="1"/>
  <c r="AA243" i="1" s="1"/>
  <c r="I244" i="1" l="1"/>
  <c r="AA244" i="1" s="1"/>
  <c r="I245" i="1" l="1"/>
  <c r="AA245" i="1" s="1"/>
  <c r="I246" i="1" l="1"/>
  <c r="AA246" i="1" s="1"/>
  <c r="I247" i="1" l="1"/>
  <c r="AA247" i="1" s="1"/>
  <c r="I248" i="1" l="1"/>
  <c r="AA248" i="1" s="1"/>
  <c r="I249" i="1" l="1"/>
  <c r="AA249" i="1" s="1"/>
  <c r="I250" i="1" l="1"/>
  <c r="AA250" i="1" s="1"/>
  <c r="I251" i="1" l="1"/>
  <c r="AA251" i="1" s="1"/>
  <c r="I252" i="1" l="1"/>
  <c r="AA252" i="1" s="1"/>
  <c r="I253" i="1" l="1"/>
  <c r="AA253" i="1" s="1"/>
  <c r="I254" i="1" l="1"/>
  <c r="AA254" i="1" s="1"/>
  <c r="I255" i="1" l="1"/>
  <c r="AA255" i="1" s="1"/>
  <c r="I256" i="1" l="1"/>
  <c r="AA256" i="1" s="1"/>
  <c r="I257" i="1" l="1"/>
  <c r="AA257" i="1" s="1"/>
  <c r="I258" i="1" l="1"/>
  <c r="AA258" i="1" s="1"/>
  <c r="I259" i="1" l="1"/>
  <c r="AA259" i="1" s="1"/>
  <c r="I260" i="1" l="1"/>
  <c r="AA260" i="1" s="1"/>
  <c r="I261" i="1" l="1"/>
  <c r="AA261" i="1" s="1"/>
  <c r="I262" i="1" l="1"/>
  <c r="AA262" i="1" s="1"/>
  <c r="I263" i="1" l="1"/>
  <c r="AA263" i="1" s="1"/>
  <c r="I264" i="1" l="1"/>
  <c r="AA264" i="1" s="1"/>
  <c r="I265" i="1" l="1"/>
  <c r="AA265" i="1" s="1"/>
  <c r="I266" i="1" l="1"/>
  <c r="AA266" i="1" s="1"/>
  <c r="I267" i="1" l="1"/>
  <c r="AA267" i="1" s="1"/>
  <c r="I268" i="1" l="1"/>
  <c r="AA268" i="1" s="1"/>
  <c r="I269" i="1" l="1"/>
  <c r="AA269" i="1" s="1"/>
  <c r="I270" i="1" l="1"/>
  <c r="AA270" i="1" s="1"/>
  <c r="I271" i="1" l="1"/>
  <c r="AA271" i="1" s="1"/>
  <c r="I272" i="1" l="1"/>
  <c r="AA272" i="1" s="1"/>
  <c r="I273" i="1" l="1"/>
  <c r="AA273" i="1" s="1"/>
  <c r="I274" i="1" l="1"/>
  <c r="AA274" i="1" s="1"/>
  <c r="I275" i="1" l="1"/>
  <c r="AA275" i="1" s="1"/>
  <c r="I276" i="1" l="1"/>
  <c r="AA276" i="1" s="1"/>
  <c r="I277" i="1" l="1"/>
  <c r="AA277" i="1" s="1"/>
  <c r="I278" i="1" l="1"/>
  <c r="AA278" i="1" s="1"/>
  <c r="I279" i="1" l="1"/>
  <c r="AA279" i="1" s="1"/>
  <c r="I280" i="1" l="1"/>
  <c r="AA280" i="1" s="1"/>
  <c r="I281" i="1" l="1"/>
  <c r="AA281" i="1" s="1"/>
  <c r="I282" i="1" l="1"/>
  <c r="AA282" i="1" s="1"/>
  <c r="I283" i="1" l="1"/>
  <c r="AA283" i="1" s="1"/>
  <c r="I284" i="1" l="1"/>
  <c r="AA284" i="1" s="1"/>
  <c r="I285" i="1" l="1"/>
  <c r="AA285" i="1" s="1"/>
  <c r="I286" i="1" l="1"/>
  <c r="AA286" i="1" s="1"/>
  <c r="I287" i="1" l="1"/>
  <c r="AA287" i="1" s="1"/>
  <c r="I288" i="1" l="1"/>
  <c r="AA288" i="1" s="1"/>
  <c r="I289" i="1" l="1"/>
  <c r="AA289" i="1" s="1"/>
  <c r="I290" i="1" l="1"/>
  <c r="AA290" i="1" s="1"/>
  <c r="I291" i="1" l="1"/>
  <c r="AA291" i="1" s="1"/>
  <c r="I292" i="1" l="1"/>
  <c r="AA292" i="1" s="1"/>
  <c r="I293" i="1" l="1"/>
  <c r="AA293" i="1" s="1"/>
  <c r="I294" i="1" l="1"/>
  <c r="AA294" i="1" s="1"/>
  <c r="I295" i="1" l="1"/>
  <c r="AA295" i="1" s="1"/>
  <c r="I296" i="1" l="1"/>
  <c r="AA296" i="1" s="1"/>
  <c r="I297" i="1" l="1"/>
  <c r="AA297" i="1" s="1"/>
  <c r="I298" i="1" l="1"/>
  <c r="AA298" i="1" s="1"/>
  <c r="I299" i="1" l="1"/>
  <c r="AA299" i="1" s="1"/>
  <c r="I300" i="1" l="1"/>
  <c r="AA300" i="1" s="1"/>
  <c r="I301" i="1" l="1"/>
  <c r="AA301" i="1" s="1"/>
  <c r="I302" i="1" l="1"/>
  <c r="AA302" i="1" s="1"/>
  <c r="I303" i="1" l="1"/>
  <c r="AA303" i="1" s="1"/>
  <c r="I304" i="1" l="1"/>
  <c r="AA304" i="1" s="1"/>
  <c r="I305" i="1" l="1"/>
  <c r="AA305" i="1" s="1"/>
  <c r="I306" i="1" l="1"/>
  <c r="AA306" i="1" s="1"/>
  <c r="I307" i="1" l="1"/>
  <c r="AA307" i="1" s="1"/>
  <c r="I308" i="1" l="1"/>
  <c r="AA308" i="1" s="1"/>
  <c r="I309" i="1" l="1"/>
  <c r="AA309" i="1" s="1"/>
  <c r="I310" i="1" l="1"/>
  <c r="AA310" i="1" s="1"/>
  <c r="I311" i="1" l="1"/>
  <c r="AA311" i="1" s="1"/>
  <c r="I312" i="1" l="1"/>
  <c r="AA312" i="1" s="1"/>
  <c r="I313" i="1" l="1"/>
  <c r="AA313" i="1" s="1"/>
  <c r="I314" i="1" l="1"/>
  <c r="AA314" i="1" s="1"/>
  <c r="I315" i="1" l="1"/>
  <c r="AA315" i="1" s="1"/>
  <c r="I316" i="1" l="1"/>
  <c r="AA316" i="1" s="1"/>
  <c r="I317" i="1" l="1"/>
  <c r="AA317" i="1" s="1"/>
  <c r="I318" i="1" l="1"/>
  <c r="AA318" i="1" s="1"/>
  <c r="I319" i="1" l="1"/>
  <c r="AA319" i="1" s="1"/>
  <c r="I320" i="1" l="1"/>
  <c r="AA320" i="1" s="1"/>
  <c r="I321" i="1" l="1"/>
  <c r="AA321" i="1" s="1"/>
  <c r="I322" i="1" l="1"/>
  <c r="AA322" i="1" s="1"/>
  <c r="I323" i="1" l="1"/>
  <c r="AA323" i="1" s="1"/>
  <c r="I324" i="1" l="1"/>
  <c r="AA324" i="1" s="1"/>
  <c r="I325" i="1" l="1"/>
  <c r="AA325" i="1" s="1"/>
  <c r="I326" i="1" l="1"/>
  <c r="AA326" i="1" s="1"/>
  <c r="I327" i="1" l="1"/>
  <c r="AA327" i="1" s="1"/>
  <c r="I328" i="1" l="1"/>
  <c r="AA328" i="1" s="1"/>
  <c r="I329" i="1" l="1"/>
  <c r="AA329" i="1" s="1"/>
  <c r="I330" i="1" l="1"/>
  <c r="AA330" i="1" s="1"/>
  <c r="I331" i="1" l="1"/>
  <c r="AA331" i="1" s="1"/>
  <c r="I332" i="1" l="1"/>
  <c r="AA332" i="1" s="1"/>
  <c r="I333" i="1" l="1"/>
  <c r="AA333" i="1" s="1"/>
  <c r="I334" i="1" l="1"/>
  <c r="AA334" i="1" s="1"/>
  <c r="I335" i="1" l="1"/>
  <c r="AA335" i="1" s="1"/>
  <c r="I336" i="1" l="1"/>
  <c r="AA336" i="1" s="1"/>
  <c r="I337" i="1" l="1"/>
  <c r="AA337" i="1" s="1"/>
  <c r="I338" i="1" l="1"/>
  <c r="AA338" i="1" s="1"/>
  <c r="I339" i="1" l="1"/>
  <c r="AA339" i="1" s="1"/>
  <c r="I340" i="1" l="1"/>
  <c r="AA340" i="1" s="1"/>
  <c r="I341" i="1" l="1"/>
  <c r="AA341" i="1" s="1"/>
  <c r="I342" i="1" l="1"/>
  <c r="AA342" i="1" s="1"/>
  <c r="I343" i="1" l="1"/>
  <c r="AA343" i="1" s="1"/>
  <c r="I344" i="1" l="1"/>
  <c r="AA344" i="1" s="1"/>
  <c r="I345" i="1" l="1"/>
  <c r="AA345" i="1" s="1"/>
  <c r="I346" i="1" l="1"/>
  <c r="AA346" i="1" s="1"/>
  <c r="I347" i="1" l="1"/>
  <c r="AA347" i="1" s="1"/>
  <c r="I348" i="1" l="1"/>
  <c r="AA348" i="1" s="1"/>
  <c r="I349" i="1" l="1"/>
  <c r="AA349" i="1" s="1"/>
  <c r="I350" i="1" l="1"/>
  <c r="AA350" i="1" s="1"/>
  <c r="I351" i="1" l="1"/>
  <c r="AA351" i="1" s="1"/>
  <c r="I352" i="1" l="1"/>
  <c r="AA352" i="1" s="1"/>
  <c r="I353" i="1" l="1"/>
  <c r="AA353" i="1" s="1"/>
  <c r="I354" i="1" l="1"/>
  <c r="AA354" i="1" s="1"/>
  <c r="I355" i="1" l="1"/>
  <c r="AA355" i="1" s="1"/>
  <c r="I356" i="1" l="1"/>
  <c r="AA356" i="1" s="1"/>
  <c r="I357" i="1" l="1"/>
  <c r="AA357" i="1" s="1"/>
  <c r="I358" i="1" l="1"/>
  <c r="AA358" i="1" s="1"/>
  <c r="I359" i="1" l="1"/>
  <c r="AA359" i="1" s="1"/>
  <c r="I360" i="1" l="1"/>
  <c r="AA360" i="1" s="1"/>
  <c r="I361" i="1" l="1"/>
  <c r="AA361" i="1" s="1"/>
  <c r="I362" i="1" l="1"/>
  <c r="AA362" i="1" s="1"/>
  <c r="I363" i="1" l="1"/>
  <c r="AA363" i="1" s="1"/>
  <c r="I364" i="1" l="1"/>
  <c r="AA364" i="1" s="1"/>
  <c r="I365" i="1" l="1"/>
  <c r="AA365" i="1" s="1"/>
  <c r="I366" i="1" l="1"/>
  <c r="AA366" i="1" s="1"/>
  <c r="I367" i="1" l="1"/>
  <c r="AA367" i="1" s="1"/>
  <c r="I368" i="1" l="1"/>
  <c r="AA368" i="1" s="1"/>
  <c r="I369" i="1" l="1"/>
  <c r="AA369" i="1" s="1"/>
  <c r="I370" i="1" l="1"/>
  <c r="AA370" i="1" s="1"/>
  <c r="I371" i="1" l="1"/>
  <c r="AA371" i="1" s="1"/>
  <c r="I372" i="1" l="1"/>
  <c r="AA372" i="1" s="1"/>
  <c r="I373" i="1" l="1"/>
  <c r="AA373" i="1" s="1"/>
  <c r="I374" i="1" l="1"/>
  <c r="AA374" i="1" s="1"/>
  <c r="I375" i="1" l="1"/>
  <c r="AA375" i="1" s="1"/>
  <c r="I376" i="1" l="1"/>
  <c r="AA376" i="1" s="1"/>
  <c r="I377" i="1" l="1"/>
  <c r="AA377" i="1" s="1"/>
  <c r="I378" i="1" l="1"/>
  <c r="AA378" i="1" s="1"/>
  <c r="I379" i="1" l="1"/>
  <c r="AA379" i="1" s="1"/>
  <c r="I380" i="1" l="1"/>
  <c r="AA380" i="1" s="1"/>
  <c r="I381" i="1" l="1"/>
  <c r="AA381" i="1" s="1"/>
  <c r="I382" i="1" l="1"/>
  <c r="AA382" i="1" s="1"/>
  <c r="I383" i="1" l="1"/>
  <c r="AA383" i="1" s="1"/>
  <c r="I384" i="1" l="1"/>
  <c r="AA384" i="1" s="1"/>
  <c r="I385" i="1" l="1"/>
  <c r="AA385" i="1" s="1"/>
  <c r="I386" i="1" l="1"/>
  <c r="AA386" i="1" s="1"/>
  <c r="X392" i="1" l="1"/>
  <c r="I387" i="1"/>
  <c r="AA387" i="1" s="1"/>
  <c r="AA392" i="1" l="1"/>
  <c r="X393" i="1"/>
  <c r="I388" i="1"/>
  <c r="AA388" i="1" s="1"/>
  <c r="X394" i="1" l="1"/>
  <c r="AA393" i="1"/>
  <c r="I389" i="1"/>
  <c r="AA389" i="1" s="1"/>
  <c r="X395" i="1" l="1"/>
  <c r="AA394" i="1"/>
  <c r="I390" i="1"/>
  <c r="AA390" i="1" s="1"/>
  <c r="X396" i="1" l="1"/>
  <c r="AA395" i="1"/>
  <c r="I391" i="1"/>
  <c r="AA391" i="1" s="1"/>
  <c r="X397" i="1" l="1"/>
  <c r="AA396" i="1"/>
  <c r="I392" i="1"/>
  <c r="X398" i="1" l="1"/>
  <c r="AA397" i="1"/>
  <c r="I393" i="1"/>
  <c r="X399" i="1" l="1"/>
  <c r="AA398" i="1"/>
  <c r="I394" i="1"/>
  <c r="X400" i="1" l="1"/>
  <c r="AA399" i="1"/>
  <c r="I395" i="1"/>
  <c r="AA400" i="1" l="1"/>
  <c r="X401" i="1"/>
  <c r="I396" i="1"/>
  <c r="X402" i="1" l="1"/>
  <c r="AA401" i="1"/>
  <c r="I397" i="1"/>
  <c r="X403" i="1" l="1"/>
  <c r="AA402" i="1"/>
  <c r="I398" i="1"/>
  <c r="X404" i="1" l="1"/>
  <c r="AA403" i="1"/>
  <c r="I399" i="1"/>
  <c r="X405" i="1" l="1"/>
  <c r="AA404" i="1"/>
  <c r="I400" i="1"/>
  <c r="X406" i="1" l="1"/>
  <c r="AA405" i="1"/>
  <c r="I401" i="1"/>
  <c r="X407" i="1" l="1"/>
  <c r="AA406" i="1"/>
  <c r="I402" i="1"/>
  <c r="X408" i="1" l="1"/>
  <c r="AA407" i="1"/>
  <c r="I403" i="1"/>
  <c r="AA408" i="1" l="1"/>
  <c r="X409" i="1"/>
  <c r="I404" i="1"/>
  <c r="X410" i="1" l="1"/>
  <c r="AA409" i="1"/>
  <c r="I405" i="1"/>
  <c r="X411" i="1" l="1"/>
  <c r="AA410" i="1"/>
  <c r="I406" i="1"/>
  <c r="X412" i="1" l="1"/>
  <c r="AA411" i="1"/>
  <c r="I407" i="1"/>
  <c r="X413" i="1" l="1"/>
  <c r="AA412" i="1"/>
  <c r="I408" i="1"/>
  <c r="X414" i="1" l="1"/>
  <c r="AA413" i="1"/>
  <c r="I409" i="1"/>
  <c r="X415" i="1" l="1"/>
  <c r="AA414" i="1"/>
  <c r="I410" i="1"/>
  <c r="X416" i="1" l="1"/>
  <c r="AA415" i="1"/>
  <c r="I411" i="1"/>
  <c r="AA416" i="1" l="1"/>
  <c r="X417" i="1"/>
  <c r="I412" i="1"/>
  <c r="X418" i="1" l="1"/>
  <c r="AA417" i="1"/>
  <c r="I413" i="1"/>
  <c r="X419" i="1" l="1"/>
  <c r="AA418" i="1"/>
  <c r="I414" i="1"/>
  <c r="X420" i="1" l="1"/>
  <c r="AA419" i="1"/>
  <c r="I415" i="1"/>
  <c r="X421" i="1" l="1"/>
  <c r="AA420" i="1"/>
  <c r="I416" i="1"/>
  <c r="X422" i="1" l="1"/>
  <c r="AA421" i="1"/>
  <c r="I417" i="1"/>
  <c r="X423" i="1" l="1"/>
  <c r="AA422" i="1"/>
  <c r="I418" i="1"/>
  <c r="X424" i="1" l="1"/>
  <c r="AA423" i="1"/>
  <c r="I419" i="1"/>
  <c r="AA424" i="1" l="1"/>
  <c r="X425" i="1"/>
  <c r="I420" i="1"/>
  <c r="X426" i="1" l="1"/>
  <c r="AA425" i="1"/>
  <c r="I421" i="1"/>
  <c r="X427" i="1" l="1"/>
  <c r="AA426" i="1"/>
  <c r="I422" i="1"/>
  <c r="X428" i="1" l="1"/>
  <c r="AA427" i="1"/>
  <c r="I423" i="1"/>
  <c r="X429" i="1" l="1"/>
  <c r="AA428" i="1"/>
  <c r="I424" i="1"/>
  <c r="X430" i="1" l="1"/>
  <c r="AA429" i="1"/>
  <c r="I425" i="1"/>
  <c r="X431" i="1" l="1"/>
  <c r="AA430" i="1"/>
  <c r="I426" i="1"/>
  <c r="X432" i="1" l="1"/>
  <c r="AA431" i="1"/>
  <c r="I427" i="1"/>
  <c r="AA432" i="1" l="1"/>
  <c r="X433" i="1"/>
  <c r="I428" i="1"/>
  <c r="X434" i="1" l="1"/>
  <c r="AA433" i="1"/>
  <c r="I429" i="1"/>
  <c r="X435" i="1" l="1"/>
  <c r="AA434" i="1"/>
  <c r="I430" i="1"/>
  <c r="X436" i="1" l="1"/>
  <c r="AA435" i="1"/>
  <c r="I431" i="1"/>
  <c r="X437" i="1" l="1"/>
  <c r="AA436" i="1"/>
  <c r="I432" i="1"/>
  <c r="X438" i="1" l="1"/>
  <c r="AA437" i="1"/>
  <c r="I433" i="1"/>
  <c r="X439" i="1" l="1"/>
  <c r="AA438" i="1"/>
  <c r="I434" i="1"/>
  <c r="X440" i="1" l="1"/>
  <c r="AA439" i="1"/>
  <c r="I435" i="1"/>
  <c r="AA440" i="1" l="1"/>
  <c r="X441" i="1"/>
  <c r="I436" i="1"/>
  <c r="X442" i="1" l="1"/>
  <c r="AA441" i="1"/>
  <c r="I437" i="1"/>
  <c r="X443" i="1" l="1"/>
  <c r="AA442" i="1"/>
  <c r="I438" i="1"/>
  <c r="X444" i="1" l="1"/>
  <c r="AA443" i="1"/>
  <c r="I439" i="1"/>
  <c r="X445" i="1" l="1"/>
  <c r="AA444" i="1"/>
  <c r="I440" i="1"/>
  <c r="X446" i="1" l="1"/>
  <c r="AA445" i="1"/>
  <c r="I441" i="1"/>
  <c r="X447" i="1" l="1"/>
  <c r="AA446" i="1"/>
  <c r="I442" i="1"/>
  <c r="X448" i="1" l="1"/>
  <c r="AA447" i="1"/>
  <c r="I443" i="1"/>
  <c r="AA448" i="1" l="1"/>
  <c r="X449" i="1"/>
  <c r="I444" i="1"/>
  <c r="X450" i="1" l="1"/>
  <c r="AA449" i="1"/>
  <c r="I445" i="1"/>
  <c r="X451" i="1" l="1"/>
  <c r="AA450" i="1"/>
  <c r="I446" i="1"/>
  <c r="X452" i="1" l="1"/>
  <c r="AA451" i="1"/>
  <c r="I447" i="1"/>
  <c r="X453" i="1" l="1"/>
  <c r="AA452" i="1"/>
  <c r="I448" i="1"/>
  <c r="X454" i="1" l="1"/>
  <c r="AA453" i="1"/>
  <c r="I449" i="1"/>
  <c r="X455" i="1" l="1"/>
  <c r="AA454" i="1"/>
  <c r="I450" i="1"/>
  <c r="X456" i="1" l="1"/>
  <c r="AA455" i="1"/>
  <c r="I451" i="1"/>
  <c r="AA456" i="1" l="1"/>
  <c r="X457" i="1"/>
  <c r="I452" i="1"/>
  <c r="X458" i="1" l="1"/>
  <c r="AA457" i="1"/>
  <c r="I453" i="1"/>
  <c r="X459" i="1" l="1"/>
  <c r="AA458" i="1"/>
  <c r="I454" i="1"/>
  <c r="X460" i="1" l="1"/>
  <c r="AA459" i="1"/>
  <c r="I455" i="1"/>
  <c r="X461" i="1" l="1"/>
  <c r="AA460" i="1"/>
  <c r="I456" i="1"/>
  <c r="X462" i="1" l="1"/>
  <c r="AA461" i="1"/>
  <c r="I457" i="1"/>
  <c r="X463" i="1" l="1"/>
  <c r="AA462" i="1"/>
  <c r="I458" i="1"/>
  <c r="X464" i="1" l="1"/>
  <c r="AA463" i="1"/>
  <c r="I459" i="1"/>
  <c r="AA464" i="1" l="1"/>
  <c r="X465" i="1"/>
  <c r="I460" i="1"/>
  <c r="X466" i="1" l="1"/>
  <c r="AA465" i="1"/>
  <c r="I461" i="1"/>
  <c r="X467" i="1" l="1"/>
  <c r="AA466" i="1"/>
  <c r="I462" i="1"/>
  <c r="X468" i="1" l="1"/>
  <c r="AA467" i="1"/>
  <c r="I463" i="1"/>
  <c r="X469" i="1" l="1"/>
  <c r="AA468" i="1"/>
  <c r="I464" i="1"/>
  <c r="X470" i="1" l="1"/>
  <c r="AA469" i="1"/>
  <c r="I465" i="1"/>
  <c r="X471" i="1" l="1"/>
  <c r="AA470" i="1"/>
  <c r="I466" i="1"/>
  <c r="X472" i="1" l="1"/>
  <c r="AA471" i="1"/>
  <c r="I467" i="1"/>
  <c r="AA472" i="1" l="1"/>
  <c r="X473" i="1"/>
  <c r="I468" i="1"/>
  <c r="X474" i="1" l="1"/>
  <c r="AA473" i="1"/>
  <c r="I469" i="1"/>
  <c r="X475" i="1" l="1"/>
  <c r="AA474" i="1"/>
  <c r="I470" i="1"/>
  <c r="X476" i="1" l="1"/>
  <c r="AA475" i="1"/>
  <c r="I471" i="1"/>
  <c r="X477" i="1" l="1"/>
  <c r="AA476" i="1"/>
  <c r="I472" i="1"/>
  <c r="X478" i="1" l="1"/>
  <c r="AA477" i="1"/>
  <c r="I473" i="1"/>
  <c r="X479" i="1" l="1"/>
  <c r="AA478" i="1"/>
  <c r="I474" i="1"/>
  <c r="X480" i="1" l="1"/>
  <c r="AA479" i="1"/>
  <c r="I475" i="1"/>
  <c r="AA480" i="1" l="1"/>
  <c r="X481" i="1"/>
  <c r="I476" i="1"/>
  <c r="X482" i="1" l="1"/>
  <c r="AA481" i="1"/>
  <c r="I477" i="1"/>
  <c r="X483" i="1" l="1"/>
  <c r="AA482" i="1"/>
  <c r="I478" i="1"/>
  <c r="X484" i="1" l="1"/>
  <c r="AA483" i="1"/>
  <c r="I479" i="1"/>
  <c r="X485" i="1" l="1"/>
  <c r="AA484" i="1"/>
  <c r="I480" i="1"/>
  <c r="X486" i="1" l="1"/>
  <c r="AA485" i="1"/>
  <c r="I481" i="1"/>
  <c r="X487" i="1" l="1"/>
  <c r="AA486" i="1"/>
  <c r="I482" i="1"/>
  <c r="X488" i="1" l="1"/>
  <c r="AA487" i="1"/>
  <c r="I483" i="1"/>
  <c r="AA488" i="1" l="1"/>
  <c r="X489" i="1"/>
  <c r="I484" i="1"/>
  <c r="X490" i="1" l="1"/>
  <c r="AA489" i="1"/>
  <c r="I485" i="1"/>
  <c r="X491" i="1" l="1"/>
  <c r="AA490" i="1"/>
  <c r="I486" i="1"/>
  <c r="X492" i="1" l="1"/>
  <c r="AA491" i="1"/>
  <c r="I487" i="1"/>
  <c r="X493" i="1" l="1"/>
  <c r="AA492" i="1"/>
  <c r="I488" i="1"/>
  <c r="X494" i="1" l="1"/>
  <c r="AA493" i="1"/>
  <c r="I489" i="1"/>
  <c r="X495" i="1" l="1"/>
  <c r="AA494" i="1"/>
  <c r="I490" i="1"/>
  <c r="X496" i="1" l="1"/>
  <c r="AA495" i="1"/>
  <c r="I491" i="1"/>
  <c r="AA496" i="1" l="1"/>
  <c r="X497" i="1"/>
  <c r="I492" i="1"/>
  <c r="X498" i="1" l="1"/>
  <c r="AA497" i="1"/>
  <c r="I493" i="1"/>
  <c r="X499" i="1" l="1"/>
  <c r="AA498" i="1"/>
  <c r="I494" i="1"/>
  <c r="X500" i="1" l="1"/>
  <c r="AA499" i="1"/>
  <c r="I495" i="1"/>
  <c r="X501" i="1" l="1"/>
  <c r="AA500" i="1"/>
  <c r="I496" i="1"/>
  <c r="X502" i="1" l="1"/>
  <c r="AA501" i="1"/>
  <c r="I497" i="1"/>
  <c r="X503" i="1" l="1"/>
  <c r="AA502" i="1"/>
  <c r="I498" i="1"/>
  <c r="X504" i="1" l="1"/>
  <c r="AA503" i="1"/>
  <c r="I499" i="1"/>
  <c r="AA504" i="1" l="1"/>
  <c r="X505" i="1"/>
  <c r="I500" i="1"/>
  <c r="X506" i="1" l="1"/>
  <c r="AA505" i="1"/>
  <c r="I501" i="1"/>
  <c r="X507" i="1" l="1"/>
  <c r="AA506" i="1"/>
  <c r="I502" i="1"/>
  <c r="X508" i="1" l="1"/>
  <c r="AA507" i="1"/>
  <c r="I503" i="1"/>
  <c r="X509" i="1" l="1"/>
  <c r="AA508" i="1"/>
  <c r="I504" i="1"/>
  <c r="X510" i="1" l="1"/>
  <c r="AA509" i="1"/>
  <c r="I505" i="1"/>
  <c r="X511" i="1" l="1"/>
  <c r="AA510" i="1"/>
  <c r="I506" i="1"/>
  <c r="X512" i="1" l="1"/>
  <c r="AA511" i="1"/>
  <c r="I507" i="1"/>
  <c r="AA512" i="1" l="1"/>
  <c r="X513" i="1"/>
  <c r="I508" i="1"/>
  <c r="X514" i="1" l="1"/>
  <c r="AA513" i="1"/>
  <c r="I509" i="1"/>
  <c r="X515" i="1" l="1"/>
  <c r="AA514" i="1"/>
  <c r="I510" i="1"/>
  <c r="X516" i="1" l="1"/>
  <c r="AA515" i="1"/>
  <c r="I511" i="1"/>
  <c r="X517" i="1" l="1"/>
  <c r="AA516" i="1"/>
  <c r="I512" i="1"/>
  <c r="X518" i="1" l="1"/>
  <c r="AA517" i="1"/>
  <c r="I513" i="1"/>
  <c r="X519" i="1" l="1"/>
  <c r="AA518" i="1"/>
  <c r="I514" i="1"/>
  <c r="X520" i="1" l="1"/>
  <c r="AA519" i="1"/>
  <c r="I515" i="1"/>
  <c r="AA520" i="1" l="1"/>
  <c r="X521" i="1"/>
  <c r="I516" i="1"/>
  <c r="X522" i="1" l="1"/>
  <c r="AA521" i="1"/>
  <c r="I517" i="1"/>
  <c r="X523" i="1" l="1"/>
  <c r="AA522" i="1"/>
  <c r="I518" i="1"/>
  <c r="X524" i="1" l="1"/>
  <c r="AA523" i="1"/>
  <c r="I519" i="1"/>
  <c r="X525" i="1" l="1"/>
  <c r="AA524" i="1"/>
  <c r="I520" i="1"/>
  <c r="X526" i="1" l="1"/>
  <c r="AA525" i="1"/>
  <c r="I521" i="1"/>
  <c r="X527" i="1" l="1"/>
  <c r="AA526" i="1"/>
  <c r="I522" i="1"/>
  <c r="X528" i="1" l="1"/>
  <c r="AA527" i="1"/>
  <c r="I523" i="1"/>
  <c r="AA528" i="1" l="1"/>
  <c r="X529" i="1"/>
  <c r="I524" i="1"/>
  <c r="X530" i="1" l="1"/>
  <c r="AA529" i="1"/>
  <c r="I525" i="1"/>
  <c r="X531" i="1" l="1"/>
  <c r="AA530" i="1"/>
  <c r="I526" i="1"/>
  <c r="X532" i="1" l="1"/>
  <c r="AA531" i="1"/>
  <c r="I527" i="1"/>
  <c r="X533" i="1" l="1"/>
  <c r="AA532" i="1"/>
  <c r="I528" i="1"/>
  <c r="X534" i="1" l="1"/>
  <c r="AA533" i="1"/>
  <c r="I529" i="1"/>
  <c r="X535" i="1" l="1"/>
  <c r="AA534" i="1"/>
  <c r="I530" i="1"/>
  <c r="X536" i="1" l="1"/>
  <c r="AA535" i="1"/>
  <c r="I531" i="1"/>
  <c r="AA536" i="1" l="1"/>
  <c r="X537" i="1"/>
  <c r="I532" i="1"/>
  <c r="X538" i="1" l="1"/>
  <c r="AA537" i="1"/>
  <c r="I533" i="1"/>
  <c r="X539" i="1" l="1"/>
  <c r="AA538" i="1"/>
  <c r="I534" i="1"/>
  <c r="X540" i="1" l="1"/>
  <c r="AA539" i="1"/>
  <c r="I535" i="1"/>
  <c r="X541" i="1" l="1"/>
  <c r="AA540" i="1"/>
  <c r="I536" i="1"/>
  <c r="X542" i="1" l="1"/>
  <c r="AA541" i="1"/>
  <c r="I537" i="1"/>
  <c r="X543" i="1" l="1"/>
  <c r="AA542" i="1"/>
  <c r="I538" i="1"/>
  <c r="X544" i="1" l="1"/>
  <c r="AA543" i="1"/>
  <c r="I539" i="1"/>
  <c r="AA544" i="1" l="1"/>
  <c r="X545" i="1"/>
  <c r="I540" i="1"/>
  <c r="X546" i="1" l="1"/>
  <c r="AA545" i="1"/>
  <c r="I541" i="1"/>
  <c r="X547" i="1" l="1"/>
  <c r="AA546" i="1"/>
  <c r="I542" i="1"/>
  <c r="X548" i="1" l="1"/>
  <c r="AA547" i="1"/>
  <c r="I543" i="1"/>
  <c r="X549" i="1" l="1"/>
  <c r="AA548" i="1"/>
  <c r="I544" i="1"/>
  <c r="X550" i="1" l="1"/>
  <c r="AA549" i="1"/>
  <c r="I545" i="1"/>
  <c r="X551" i="1" l="1"/>
  <c r="AA550" i="1"/>
  <c r="I546" i="1"/>
  <c r="X552" i="1" l="1"/>
  <c r="AA551" i="1"/>
  <c r="I547" i="1"/>
  <c r="AA552" i="1" l="1"/>
  <c r="X553" i="1"/>
  <c r="I548" i="1"/>
  <c r="X554" i="1" l="1"/>
  <c r="AA553" i="1"/>
  <c r="I549" i="1"/>
  <c r="X555" i="1" l="1"/>
  <c r="AA554" i="1"/>
  <c r="I550" i="1"/>
  <c r="X556" i="1" l="1"/>
  <c r="AA555" i="1"/>
  <c r="I551" i="1"/>
  <c r="X557" i="1" l="1"/>
  <c r="AA556" i="1"/>
  <c r="I552" i="1"/>
  <c r="X558" i="1" l="1"/>
  <c r="AA557" i="1"/>
  <c r="I553" i="1"/>
  <c r="X559" i="1" l="1"/>
  <c r="AA558" i="1"/>
  <c r="I554" i="1"/>
  <c r="X560" i="1" l="1"/>
  <c r="AA559" i="1"/>
  <c r="I555" i="1"/>
  <c r="AA560" i="1" l="1"/>
  <c r="X561" i="1"/>
  <c r="I556" i="1"/>
  <c r="X562" i="1" l="1"/>
  <c r="AA561" i="1"/>
  <c r="I557" i="1"/>
  <c r="X563" i="1" l="1"/>
  <c r="AA562" i="1"/>
  <c r="I558" i="1"/>
  <c r="X564" i="1" l="1"/>
  <c r="AA563" i="1"/>
  <c r="I559" i="1"/>
  <c r="X565" i="1" l="1"/>
  <c r="AA564" i="1"/>
  <c r="I560" i="1"/>
  <c r="X566" i="1" l="1"/>
  <c r="AA565" i="1"/>
  <c r="I561" i="1"/>
  <c r="X567" i="1" l="1"/>
  <c r="AA566" i="1"/>
  <c r="I562" i="1"/>
  <c r="X568" i="1" l="1"/>
  <c r="AA567" i="1"/>
  <c r="I563" i="1"/>
  <c r="AA568" i="1" l="1"/>
  <c r="X569" i="1"/>
  <c r="I564" i="1"/>
  <c r="X570" i="1" l="1"/>
  <c r="AA569" i="1"/>
  <c r="I565" i="1"/>
  <c r="X571" i="1" l="1"/>
  <c r="AA570" i="1"/>
  <c r="I566" i="1"/>
  <c r="X572" i="1" l="1"/>
  <c r="AA571" i="1"/>
  <c r="I567" i="1"/>
  <c r="X573" i="1" l="1"/>
  <c r="AA572" i="1"/>
  <c r="I568" i="1"/>
  <c r="X574" i="1" l="1"/>
  <c r="AA573" i="1"/>
  <c r="I569" i="1"/>
  <c r="X575" i="1" l="1"/>
  <c r="AA574" i="1"/>
  <c r="I570" i="1"/>
  <c r="X576" i="1" l="1"/>
  <c r="AA575" i="1"/>
  <c r="I571" i="1"/>
  <c r="AA576" i="1" l="1"/>
  <c r="X577" i="1"/>
  <c r="I572" i="1"/>
  <c r="X578" i="1" l="1"/>
  <c r="AA577" i="1"/>
  <c r="I573" i="1"/>
  <c r="X579" i="1" l="1"/>
  <c r="AA578" i="1"/>
  <c r="I574" i="1"/>
  <c r="X580" i="1" l="1"/>
  <c r="AA579" i="1"/>
  <c r="I575" i="1"/>
  <c r="X581" i="1" l="1"/>
  <c r="AA580" i="1"/>
  <c r="I576" i="1"/>
  <c r="X582" i="1" l="1"/>
  <c r="AA581" i="1"/>
  <c r="I577" i="1"/>
  <c r="X583" i="1" l="1"/>
  <c r="AA582" i="1"/>
  <c r="I578" i="1"/>
  <c r="X584" i="1" l="1"/>
  <c r="AA583" i="1"/>
  <c r="I579" i="1"/>
  <c r="AA584" i="1" l="1"/>
  <c r="X585" i="1"/>
  <c r="I580" i="1"/>
  <c r="X586" i="1" l="1"/>
  <c r="AA585" i="1"/>
  <c r="I581" i="1"/>
  <c r="X587" i="1" l="1"/>
  <c r="AA586" i="1"/>
  <c r="I582" i="1"/>
  <c r="X588" i="1" l="1"/>
  <c r="AA587" i="1"/>
  <c r="I583" i="1"/>
  <c r="X589" i="1" l="1"/>
  <c r="AA588" i="1"/>
  <c r="I584" i="1"/>
  <c r="X590" i="1" l="1"/>
  <c r="AA589" i="1"/>
  <c r="I585" i="1"/>
  <c r="X591" i="1" l="1"/>
  <c r="AA590" i="1"/>
  <c r="I586" i="1"/>
  <c r="X592" i="1" l="1"/>
  <c r="AA591" i="1"/>
  <c r="I587" i="1"/>
  <c r="AA592" i="1" l="1"/>
  <c r="X593" i="1"/>
  <c r="I588" i="1"/>
  <c r="X594" i="1" l="1"/>
  <c r="AA593" i="1"/>
  <c r="I589" i="1"/>
  <c r="X595" i="1" l="1"/>
  <c r="AA594" i="1"/>
  <c r="I590" i="1"/>
  <c r="X596" i="1" l="1"/>
  <c r="AA595" i="1"/>
  <c r="I591" i="1"/>
  <c r="X597" i="1" l="1"/>
  <c r="AA596" i="1"/>
  <c r="I592" i="1"/>
  <c r="X598" i="1" l="1"/>
  <c r="AA597" i="1"/>
  <c r="I593" i="1"/>
  <c r="X599" i="1" l="1"/>
  <c r="AA598" i="1"/>
  <c r="I594" i="1"/>
  <c r="X600" i="1" l="1"/>
  <c r="AA599" i="1"/>
  <c r="I595" i="1"/>
  <c r="AA600" i="1" l="1"/>
  <c r="X601" i="1"/>
  <c r="I596" i="1"/>
  <c r="X602" i="1" l="1"/>
  <c r="AA601" i="1"/>
  <c r="I597" i="1"/>
  <c r="X603" i="1" l="1"/>
  <c r="AA602" i="1"/>
  <c r="I598" i="1"/>
  <c r="X604" i="1" l="1"/>
  <c r="AA603" i="1"/>
  <c r="I599" i="1"/>
  <c r="X605" i="1" l="1"/>
  <c r="AA604" i="1"/>
  <c r="I600" i="1"/>
  <c r="X606" i="1" l="1"/>
  <c r="AA605" i="1"/>
  <c r="I601" i="1"/>
  <c r="X607" i="1" l="1"/>
  <c r="AA606" i="1"/>
  <c r="I602" i="1"/>
  <c r="X608" i="1" l="1"/>
  <c r="AA607" i="1"/>
  <c r="I603" i="1"/>
  <c r="AA608" i="1" l="1"/>
  <c r="X609" i="1"/>
  <c r="I604" i="1"/>
  <c r="X610" i="1" l="1"/>
  <c r="AA609" i="1"/>
  <c r="I605" i="1"/>
  <c r="X611" i="1" l="1"/>
  <c r="AA610" i="1"/>
  <c r="I606" i="1"/>
  <c r="X612" i="1" l="1"/>
  <c r="AA611" i="1"/>
  <c r="I607" i="1"/>
  <c r="X613" i="1" l="1"/>
  <c r="AA612" i="1"/>
  <c r="I608" i="1"/>
  <c r="X614" i="1" l="1"/>
  <c r="AA613" i="1"/>
  <c r="I609" i="1"/>
  <c r="X615" i="1" l="1"/>
  <c r="AA614" i="1"/>
  <c r="I610" i="1"/>
  <c r="X616" i="1" l="1"/>
  <c r="AA615" i="1"/>
  <c r="I611" i="1"/>
  <c r="AA616" i="1" l="1"/>
  <c r="X617" i="1"/>
  <c r="I612" i="1"/>
  <c r="X618" i="1" l="1"/>
  <c r="AA617" i="1"/>
  <c r="I613" i="1"/>
  <c r="X619" i="1" l="1"/>
  <c r="AA618" i="1"/>
  <c r="I614" i="1"/>
  <c r="X620" i="1" l="1"/>
  <c r="AA619" i="1"/>
  <c r="I615" i="1"/>
  <c r="X621" i="1" l="1"/>
  <c r="AA620" i="1"/>
  <c r="I616" i="1"/>
  <c r="X622" i="1" l="1"/>
  <c r="AA621" i="1"/>
  <c r="I617" i="1"/>
  <c r="X623" i="1" l="1"/>
  <c r="AA622" i="1"/>
  <c r="I618" i="1"/>
  <c r="X624" i="1" l="1"/>
  <c r="AA623" i="1"/>
  <c r="I619" i="1"/>
  <c r="AA624" i="1" l="1"/>
  <c r="X625" i="1"/>
  <c r="I620" i="1"/>
  <c r="X626" i="1" l="1"/>
  <c r="AA625" i="1"/>
  <c r="I621" i="1"/>
  <c r="X627" i="1" l="1"/>
  <c r="AA626" i="1"/>
  <c r="I622" i="1"/>
  <c r="X628" i="1" l="1"/>
  <c r="AA627" i="1"/>
  <c r="I623" i="1"/>
  <c r="X629" i="1" l="1"/>
  <c r="AA628" i="1"/>
  <c r="I624" i="1"/>
  <c r="X630" i="1" l="1"/>
  <c r="AA629" i="1"/>
  <c r="I625" i="1"/>
  <c r="X631" i="1" l="1"/>
  <c r="AA630" i="1"/>
  <c r="I626" i="1"/>
  <c r="X632" i="1" l="1"/>
  <c r="AA631" i="1"/>
  <c r="I627" i="1"/>
  <c r="AA632" i="1" l="1"/>
  <c r="X633" i="1"/>
  <c r="I628" i="1"/>
  <c r="X634" i="1" l="1"/>
  <c r="AA633" i="1"/>
  <c r="I629" i="1"/>
  <c r="X635" i="1" l="1"/>
  <c r="AA634" i="1"/>
  <c r="I630" i="1"/>
  <c r="X636" i="1" l="1"/>
  <c r="AA635" i="1"/>
  <c r="I631" i="1"/>
  <c r="X637" i="1" l="1"/>
  <c r="AA636" i="1"/>
  <c r="I632" i="1"/>
  <c r="X638" i="1" l="1"/>
  <c r="AA637" i="1"/>
  <c r="I633" i="1"/>
  <c r="X639" i="1" l="1"/>
  <c r="AA638" i="1"/>
  <c r="I634" i="1"/>
  <c r="X640" i="1" l="1"/>
  <c r="AA639" i="1"/>
  <c r="I635" i="1"/>
  <c r="AA640" i="1" l="1"/>
  <c r="X641" i="1"/>
  <c r="I636" i="1"/>
  <c r="X642" i="1" l="1"/>
  <c r="AA641" i="1"/>
  <c r="I637" i="1"/>
  <c r="X643" i="1" l="1"/>
  <c r="AA642" i="1"/>
  <c r="I638" i="1"/>
  <c r="X644" i="1" l="1"/>
  <c r="AA643" i="1"/>
  <c r="I639" i="1"/>
  <c r="X645" i="1" l="1"/>
  <c r="AA644" i="1"/>
  <c r="I640" i="1"/>
  <c r="X646" i="1" l="1"/>
  <c r="AA645" i="1"/>
  <c r="I641" i="1"/>
  <c r="X647" i="1" l="1"/>
  <c r="AA646" i="1"/>
  <c r="I642" i="1"/>
  <c r="X648" i="1" l="1"/>
  <c r="AA647" i="1"/>
  <c r="I643" i="1"/>
  <c r="AA648" i="1" l="1"/>
  <c r="X649" i="1"/>
  <c r="I644" i="1"/>
  <c r="X650" i="1" l="1"/>
  <c r="AA649" i="1"/>
  <c r="I645" i="1"/>
  <c r="X651" i="1" l="1"/>
  <c r="AA650" i="1"/>
  <c r="I646" i="1"/>
  <c r="X652" i="1" l="1"/>
  <c r="AA651" i="1"/>
  <c r="I647" i="1"/>
  <c r="X653" i="1" l="1"/>
  <c r="AA652" i="1"/>
  <c r="I648" i="1"/>
  <c r="X654" i="1" l="1"/>
  <c r="AA653" i="1"/>
  <c r="I649" i="1"/>
  <c r="X655" i="1" l="1"/>
  <c r="AA654" i="1"/>
  <c r="I650" i="1"/>
  <c r="X656" i="1" l="1"/>
  <c r="AA655" i="1"/>
  <c r="I651" i="1"/>
  <c r="AA656" i="1" l="1"/>
  <c r="X657" i="1"/>
  <c r="I652" i="1"/>
  <c r="X658" i="1" l="1"/>
  <c r="AA657" i="1"/>
  <c r="I653" i="1"/>
  <c r="X659" i="1" l="1"/>
  <c r="AA658" i="1"/>
  <c r="I654" i="1"/>
  <c r="X660" i="1" l="1"/>
  <c r="AA659" i="1"/>
  <c r="I655" i="1"/>
  <c r="X661" i="1" l="1"/>
  <c r="AA660" i="1"/>
  <c r="I656" i="1"/>
  <c r="X662" i="1" l="1"/>
  <c r="AA661" i="1"/>
  <c r="I657" i="1"/>
  <c r="X663" i="1" l="1"/>
  <c r="AA662" i="1"/>
  <c r="I658" i="1"/>
  <c r="X664" i="1" l="1"/>
  <c r="AA663" i="1"/>
  <c r="I659" i="1"/>
  <c r="AA664" i="1" l="1"/>
  <c r="X665" i="1"/>
  <c r="I660" i="1"/>
  <c r="X666" i="1" l="1"/>
  <c r="AA665" i="1"/>
  <c r="I661" i="1"/>
  <c r="X667" i="1" l="1"/>
  <c r="AA666" i="1"/>
  <c r="I662" i="1"/>
  <c r="X668" i="1" l="1"/>
  <c r="AA667" i="1"/>
  <c r="I663" i="1"/>
  <c r="X669" i="1" l="1"/>
  <c r="AA668" i="1"/>
  <c r="I664" i="1"/>
  <c r="X670" i="1" l="1"/>
  <c r="AA669" i="1"/>
  <c r="I665" i="1"/>
  <c r="X671" i="1" l="1"/>
  <c r="AA670" i="1"/>
  <c r="I666" i="1"/>
  <c r="X672" i="1" l="1"/>
  <c r="AA671" i="1"/>
  <c r="I667" i="1"/>
  <c r="AA672" i="1" l="1"/>
  <c r="X673" i="1"/>
  <c r="I668" i="1"/>
  <c r="X674" i="1" l="1"/>
  <c r="AA673" i="1"/>
  <c r="I669" i="1"/>
  <c r="X675" i="1" l="1"/>
  <c r="AA674" i="1"/>
  <c r="I670" i="1"/>
  <c r="X676" i="1" l="1"/>
  <c r="AA675" i="1"/>
  <c r="I671" i="1"/>
  <c r="X677" i="1" l="1"/>
  <c r="AA676" i="1"/>
  <c r="I672" i="1"/>
  <c r="X678" i="1" l="1"/>
  <c r="AA677" i="1"/>
  <c r="I673" i="1"/>
  <c r="X679" i="1" l="1"/>
  <c r="AA678" i="1"/>
  <c r="I674" i="1"/>
  <c r="X680" i="1" l="1"/>
  <c r="AA679" i="1"/>
  <c r="I675" i="1"/>
  <c r="AA680" i="1" l="1"/>
  <c r="X681" i="1"/>
  <c r="I676" i="1"/>
  <c r="X682" i="1" l="1"/>
  <c r="AA681" i="1"/>
  <c r="I677" i="1"/>
  <c r="X683" i="1" l="1"/>
  <c r="AA682" i="1"/>
  <c r="I678" i="1"/>
  <c r="X684" i="1" l="1"/>
  <c r="AA683" i="1"/>
  <c r="I679" i="1"/>
  <c r="X685" i="1" l="1"/>
  <c r="AA684" i="1"/>
  <c r="I680" i="1"/>
  <c r="X686" i="1" l="1"/>
  <c r="AA685" i="1"/>
  <c r="I681" i="1"/>
  <c r="X687" i="1" l="1"/>
  <c r="AA686" i="1"/>
  <c r="I682" i="1"/>
  <c r="X688" i="1" l="1"/>
  <c r="AA687" i="1"/>
  <c r="I683" i="1"/>
  <c r="AA688" i="1" l="1"/>
  <c r="X689" i="1"/>
  <c r="I684" i="1"/>
  <c r="X690" i="1" l="1"/>
  <c r="AA689" i="1"/>
  <c r="I685" i="1"/>
  <c r="X691" i="1" l="1"/>
  <c r="AA690" i="1"/>
  <c r="I686" i="1"/>
  <c r="X692" i="1" l="1"/>
  <c r="AA691" i="1"/>
  <c r="I687" i="1"/>
  <c r="X693" i="1" l="1"/>
  <c r="AA692" i="1"/>
  <c r="I688" i="1"/>
  <c r="X694" i="1" l="1"/>
  <c r="AA693" i="1"/>
  <c r="I689" i="1"/>
  <c r="X695" i="1" l="1"/>
  <c r="AA694" i="1"/>
  <c r="I690" i="1"/>
  <c r="X696" i="1" l="1"/>
  <c r="AA695" i="1"/>
  <c r="I691" i="1"/>
  <c r="AA696" i="1" l="1"/>
  <c r="X697" i="1"/>
  <c r="I692" i="1"/>
  <c r="X698" i="1" l="1"/>
  <c r="AA697" i="1"/>
  <c r="I693" i="1"/>
  <c r="X699" i="1" l="1"/>
  <c r="AA698" i="1"/>
  <c r="I694" i="1"/>
  <c r="X700" i="1" l="1"/>
  <c r="AA699" i="1"/>
  <c r="I695" i="1"/>
  <c r="X701" i="1" l="1"/>
  <c r="AA700" i="1"/>
  <c r="I696" i="1"/>
  <c r="X702" i="1" l="1"/>
  <c r="AA701" i="1"/>
  <c r="I697" i="1"/>
  <c r="X703" i="1" l="1"/>
  <c r="AA702" i="1"/>
  <c r="I698" i="1"/>
  <c r="X704" i="1" l="1"/>
  <c r="AA703" i="1"/>
  <c r="I699" i="1"/>
  <c r="AA704" i="1" l="1"/>
  <c r="X705" i="1"/>
  <c r="I700" i="1"/>
  <c r="X706" i="1" l="1"/>
  <c r="AA705" i="1"/>
  <c r="I701" i="1"/>
  <c r="X707" i="1" l="1"/>
  <c r="AA706" i="1"/>
  <c r="I702" i="1"/>
  <c r="X708" i="1" l="1"/>
  <c r="AA707" i="1"/>
  <c r="I703" i="1"/>
  <c r="X709" i="1" l="1"/>
  <c r="AA708" i="1"/>
  <c r="I704" i="1"/>
  <c r="X710" i="1" l="1"/>
  <c r="AA709" i="1"/>
  <c r="I705" i="1"/>
  <c r="X711" i="1" l="1"/>
  <c r="AA710" i="1"/>
  <c r="I706" i="1"/>
  <c r="X712" i="1" l="1"/>
  <c r="AA711" i="1"/>
  <c r="I707" i="1"/>
  <c r="AA712" i="1" l="1"/>
  <c r="X713" i="1"/>
  <c r="I708" i="1"/>
  <c r="X714" i="1" l="1"/>
  <c r="AA713" i="1"/>
  <c r="I709" i="1"/>
  <c r="X715" i="1" l="1"/>
  <c r="AA714" i="1"/>
  <c r="I710" i="1"/>
  <c r="X716" i="1" l="1"/>
  <c r="AA715" i="1"/>
  <c r="I711" i="1"/>
  <c r="X717" i="1" l="1"/>
  <c r="AA716" i="1"/>
  <c r="I712" i="1"/>
  <c r="X718" i="1" l="1"/>
  <c r="AA717" i="1"/>
  <c r="I713" i="1"/>
  <c r="X719" i="1" l="1"/>
  <c r="AA718" i="1"/>
  <c r="I714" i="1"/>
  <c r="X720" i="1" l="1"/>
  <c r="AA719" i="1"/>
  <c r="I715" i="1"/>
  <c r="AA720" i="1" l="1"/>
  <c r="X721" i="1"/>
  <c r="I716" i="1"/>
  <c r="X722" i="1" l="1"/>
  <c r="AA721" i="1"/>
  <c r="I717" i="1"/>
  <c r="X723" i="1" l="1"/>
  <c r="AA722" i="1"/>
  <c r="I718" i="1"/>
  <c r="X724" i="1" l="1"/>
  <c r="AA723" i="1"/>
  <c r="I719" i="1"/>
  <c r="X725" i="1" l="1"/>
  <c r="AA724" i="1"/>
  <c r="I720" i="1"/>
  <c r="X726" i="1" l="1"/>
  <c r="AA725" i="1"/>
  <c r="I721" i="1"/>
  <c r="X727" i="1" l="1"/>
  <c r="AA726" i="1"/>
  <c r="I722" i="1"/>
  <c r="X728" i="1" l="1"/>
  <c r="AA727" i="1"/>
  <c r="I723" i="1"/>
  <c r="AA728" i="1" l="1"/>
  <c r="X729" i="1"/>
  <c r="I724" i="1"/>
  <c r="X730" i="1" l="1"/>
  <c r="AA729" i="1"/>
  <c r="I725" i="1"/>
  <c r="X731" i="1" l="1"/>
  <c r="AA730" i="1"/>
  <c r="I726" i="1"/>
  <c r="X732" i="1" l="1"/>
  <c r="AA731" i="1"/>
  <c r="I727" i="1"/>
  <c r="X733" i="1" l="1"/>
  <c r="AA732" i="1"/>
  <c r="I728" i="1"/>
  <c r="X734" i="1" l="1"/>
  <c r="AA733" i="1"/>
  <c r="I729" i="1"/>
  <c r="X735" i="1" l="1"/>
  <c r="AA734" i="1"/>
  <c r="I730" i="1"/>
  <c r="X736" i="1" l="1"/>
  <c r="AA735" i="1"/>
  <c r="I731" i="1"/>
  <c r="AA736" i="1" l="1"/>
  <c r="X737" i="1"/>
  <c r="I732" i="1"/>
  <c r="X738" i="1" l="1"/>
  <c r="AA737" i="1"/>
  <c r="I733" i="1"/>
  <c r="X739" i="1" l="1"/>
  <c r="AA738" i="1"/>
  <c r="I734" i="1"/>
  <c r="X740" i="1" l="1"/>
  <c r="AA739" i="1"/>
  <c r="I735" i="1"/>
  <c r="X741" i="1" l="1"/>
  <c r="AA740" i="1"/>
  <c r="I736" i="1"/>
  <c r="X742" i="1" l="1"/>
  <c r="AA741" i="1"/>
  <c r="I737" i="1"/>
  <c r="X743" i="1" l="1"/>
  <c r="AA742" i="1"/>
  <c r="I738" i="1"/>
  <c r="X744" i="1" l="1"/>
  <c r="AA743" i="1"/>
  <c r="I739" i="1"/>
  <c r="AA744" i="1" l="1"/>
  <c r="X745" i="1"/>
  <c r="I740" i="1"/>
  <c r="X746" i="1" l="1"/>
  <c r="AA745" i="1"/>
  <c r="I741" i="1"/>
  <c r="X747" i="1" l="1"/>
  <c r="AA746" i="1"/>
  <c r="I742" i="1"/>
  <c r="X748" i="1" l="1"/>
  <c r="AA747" i="1"/>
  <c r="I743" i="1"/>
  <c r="X749" i="1" l="1"/>
  <c r="AA748" i="1"/>
  <c r="I744" i="1"/>
  <c r="X750" i="1" l="1"/>
  <c r="AA749" i="1"/>
  <c r="I745" i="1"/>
  <c r="X751" i="1" l="1"/>
  <c r="AA750" i="1"/>
  <c r="I746" i="1"/>
  <c r="X752" i="1" l="1"/>
  <c r="AA751" i="1"/>
  <c r="I747" i="1"/>
  <c r="AA752" i="1" l="1"/>
  <c r="X753" i="1"/>
  <c r="I748" i="1"/>
  <c r="X754" i="1" l="1"/>
  <c r="AA753" i="1"/>
  <c r="I749" i="1"/>
  <c r="X755" i="1" l="1"/>
  <c r="AA754" i="1"/>
  <c r="I750" i="1"/>
  <c r="X756" i="1" l="1"/>
  <c r="AA755" i="1"/>
  <c r="I751" i="1"/>
  <c r="X757" i="1" l="1"/>
  <c r="AA756" i="1"/>
  <c r="I752" i="1"/>
  <c r="X758" i="1" l="1"/>
  <c r="AA757" i="1"/>
  <c r="I753" i="1"/>
  <c r="X759" i="1" l="1"/>
  <c r="AA758" i="1"/>
  <c r="I754" i="1"/>
  <c r="X760" i="1" l="1"/>
  <c r="AA759" i="1"/>
  <c r="I755" i="1"/>
  <c r="AA760" i="1" l="1"/>
  <c r="X761" i="1"/>
  <c r="I756" i="1"/>
  <c r="X762" i="1" l="1"/>
  <c r="AA761" i="1"/>
  <c r="I757" i="1"/>
  <c r="X763" i="1" l="1"/>
  <c r="AA762" i="1"/>
  <c r="I758" i="1"/>
  <c r="X764" i="1" l="1"/>
  <c r="AA763" i="1"/>
  <c r="I759" i="1"/>
  <c r="X765" i="1" l="1"/>
  <c r="AA764" i="1"/>
  <c r="I760" i="1"/>
  <c r="X766" i="1" l="1"/>
  <c r="AA765" i="1"/>
  <c r="I761" i="1"/>
  <c r="X767" i="1" l="1"/>
  <c r="AA766" i="1"/>
  <c r="I762" i="1"/>
  <c r="X768" i="1" l="1"/>
  <c r="AA767" i="1"/>
  <c r="I763" i="1"/>
  <c r="AA768" i="1" l="1"/>
  <c r="X769" i="1"/>
  <c r="I764" i="1"/>
  <c r="X770" i="1" l="1"/>
  <c r="AA769" i="1"/>
  <c r="I765" i="1"/>
  <c r="X771" i="1" l="1"/>
  <c r="AA770" i="1"/>
  <c r="I766" i="1"/>
  <c r="X772" i="1" l="1"/>
  <c r="AA771" i="1"/>
  <c r="I767" i="1"/>
  <c r="X773" i="1" l="1"/>
  <c r="AA772" i="1"/>
  <c r="I768" i="1"/>
  <c r="X774" i="1" l="1"/>
  <c r="AA773" i="1"/>
  <c r="I769" i="1"/>
  <c r="X775" i="1" l="1"/>
  <c r="AA774" i="1"/>
  <c r="I770" i="1"/>
  <c r="X776" i="1" l="1"/>
  <c r="AA775" i="1"/>
  <c r="I771" i="1"/>
  <c r="AA776" i="1" l="1"/>
  <c r="X777" i="1"/>
  <c r="I772" i="1"/>
  <c r="X778" i="1" l="1"/>
  <c r="AA777" i="1"/>
  <c r="I773" i="1"/>
  <c r="X779" i="1" l="1"/>
  <c r="AA778" i="1"/>
  <c r="I774" i="1"/>
  <c r="X780" i="1" l="1"/>
  <c r="AA779" i="1"/>
  <c r="I775" i="1"/>
  <c r="X781" i="1" l="1"/>
  <c r="AA780" i="1"/>
  <c r="I776" i="1"/>
  <c r="X782" i="1" l="1"/>
  <c r="AA781" i="1"/>
  <c r="I777" i="1"/>
  <c r="X783" i="1" l="1"/>
  <c r="AA782" i="1"/>
  <c r="I778" i="1"/>
  <c r="X784" i="1" l="1"/>
  <c r="AA783" i="1"/>
  <c r="I779" i="1"/>
  <c r="AA784" i="1" l="1"/>
  <c r="X785" i="1"/>
  <c r="I780" i="1"/>
  <c r="X786" i="1" l="1"/>
  <c r="AA785" i="1"/>
  <c r="I781" i="1"/>
  <c r="X787" i="1" l="1"/>
  <c r="AA786" i="1"/>
  <c r="I782" i="1"/>
  <c r="X788" i="1" l="1"/>
  <c r="AA787" i="1"/>
  <c r="I783" i="1"/>
  <c r="X789" i="1" l="1"/>
  <c r="AA788" i="1"/>
  <c r="I784" i="1"/>
  <c r="X790" i="1" l="1"/>
  <c r="AA789" i="1"/>
  <c r="I785" i="1"/>
  <c r="X791" i="1" l="1"/>
  <c r="AA790" i="1"/>
  <c r="I786" i="1"/>
  <c r="X792" i="1" l="1"/>
  <c r="AA791" i="1"/>
  <c r="I787" i="1"/>
  <c r="AA792" i="1" l="1"/>
  <c r="X793" i="1"/>
  <c r="I788" i="1"/>
  <c r="X794" i="1" l="1"/>
  <c r="AA793" i="1"/>
  <c r="I789" i="1"/>
  <c r="X795" i="1" l="1"/>
  <c r="AA794" i="1"/>
  <c r="I790" i="1"/>
  <c r="X796" i="1" l="1"/>
  <c r="AA795" i="1"/>
  <c r="I791" i="1"/>
  <c r="X797" i="1" l="1"/>
  <c r="AA796" i="1"/>
  <c r="I792" i="1"/>
  <c r="X798" i="1" l="1"/>
  <c r="AA797" i="1"/>
  <c r="I793" i="1"/>
  <c r="X799" i="1" l="1"/>
  <c r="AA798" i="1"/>
  <c r="I794" i="1"/>
  <c r="X800" i="1" l="1"/>
  <c r="AA799" i="1"/>
  <c r="I795" i="1"/>
  <c r="AA800" i="1" l="1"/>
  <c r="X801" i="1"/>
  <c r="I796" i="1"/>
  <c r="X802" i="1" l="1"/>
  <c r="AA801" i="1"/>
  <c r="I797" i="1"/>
  <c r="X803" i="1" l="1"/>
  <c r="AA802" i="1"/>
  <c r="I798" i="1"/>
  <c r="X804" i="1" l="1"/>
  <c r="AA803" i="1"/>
  <c r="I799" i="1"/>
  <c r="X805" i="1" l="1"/>
  <c r="AA804" i="1"/>
  <c r="I800" i="1"/>
  <c r="X806" i="1" l="1"/>
  <c r="AA805" i="1"/>
  <c r="I801" i="1"/>
  <c r="X807" i="1" l="1"/>
  <c r="AA806" i="1"/>
  <c r="I802" i="1"/>
  <c r="X808" i="1" l="1"/>
  <c r="AA807" i="1"/>
  <c r="I803" i="1"/>
  <c r="AA808" i="1" l="1"/>
  <c r="X809" i="1"/>
  <c r="I804" i="1"/>
  <c r="X810" i="1" l="1"/>
  <c r="AA809" i="1"/>
  <c r="I805" i="1"/>
  <c r="X811" i="1" l="1"/>
  <c r="AA810" i="1"/>
  <c r="I806" i="1"/>
  <c r="X812" i="1" l="1"/>
  <c r="AA811" i="1"/>
  <c r="I807" i="1"/>
  <c r="X813" i="1" l="1"/>
  <c r="AA812" i="1"/>
  <c r="I808" i="1"/>
  <c r="X814" i="1" l="1"/>
  <c r="AA813" i="1"/>
  <c r="I809" i="1"/>
  <c r="X815" i="1" l="1"/>
  <c r="AA814" i="1"/>
  <c r="I810" i="1"/>
  <c r="X816" i="1" l="1"/>
  <c r="AA815" i="1"/>
  <c r="I811" i="1"/>
  <c r="AA816" i="1" l="1"/>
  <c r="X817" i="1"/>
  <c r="I812" i="1"/>
  <c r="X818" i="1" l="1"/>
  <c r="AA817" i="1"/>
  <c r="I813" i="1"/>
  <c r="X819" i="1" l="1"/>
  <c r="AA818" i="1"/>
  <c r="I814" i="1"/>
  <c r="X820" i="1" l="1"/>
  <c r="AA819" i="1"/>
  <c r="I815" i="1"/>
  <c r="X821" i="1" l="1"/>
  <c r="AA820" i="1"/>
  <c r="I816" i="1"/>
  <c r="X822" i="1" l="1"/>
  <c r="AA821" i="1"/>
  <c r="I817" i="1"/>
  <c r="X823" i="1" l="1"/>
  <c r="AA822" i="1"/>
  <c r="I818" i="1"/>
  <c r="X824" i="1" l="1"/>
  <c r="AA823" i="1"/>
  <c r="I819" i="1"/>
  <c r="AA824" i="1" l="1"/>
  <c r="X825" i="1"/>
  <c r="I820" i="1"/>
  <c r="X826" i="1" l="1"/>
  <c r="AA825" i="1"/>
  <c r="I821" i="1"/>
  <c r="X827" i="1" l="1"/>
  <c r="AA826" i="1"/>
  <c r="I822" i="1"/>
  <c r="X828" i="1" l="1"/>
  <c r="AA827" i="1"/>
  <c r="I823" i="1"/>
  <c r="X829" i="1" l="1"/>
  <c r="AA828" i="1"/>
  <c r="I824" i="1"/>
  <c r="X830" i="1" l="1"/>
  <c r="AA829" i="1"/>
  <c r="I825" i="1"/>
  <c r="X831" i="1" l="1"/>
  <c r="AA830" i="1"/>
  <c r="I826" i="1"/>
  <c r="X832" i="1" l="1"/>
  <c r="AA831" i="1"/>
  <c r="I827" i="1"/>
  <c r="AA832" i="1" l="1"/>
  <c r="X833" i="1"/>
  <c r="I828" i="1"/>
  <c r="X834" i="1" l="1"/>
  <c r="AA833" i="1"/>
  <c r="I829" i="1"/>
  <c r="X835" i="1" l="1"/>
  <c r="AA834" i="1"/>
  <c r="I830" i="1"/>
  <c r="X836" i="1" l="1"/>
  <c r="AA835" i="1"/>
  <c r="I831" i="1"/>
  <c r="X837" i="1" l="1"/>
  <c r="AA836" i="1"/>
  <c r="I832" i="1"/>
  <c r="X838" i="1" l="1"/>
  <c r="AA837" i="1"/>
  <c r="I833" i="1"/>
  <c r="X839" i="1" l="1"/>
  <c r="AA838" i="1"/>
  <c r="I834" i="1"/>
  <c r="X840" i="1" l="1"/>
  <c r="AA839" i="1"/>
  <c r="I835" i="1"/>
  <c r="AA840" i="1" l="1"/>
  <c r="X841" i="1"/>
  <c r="I836" i="1"/>
  <c r="X842" i="1" l="1"/>
  <c r="AA841" i="1"/>
  <c r="I837" i="1"/>
  <c r="X843" i="1" l="1"/>
  <c r="AA842" i="1"/>
  <c r="I838" i="1"/>
  <c r="X844" i="1" l="1"/>
  <c r="AA843" i="1"/>
  <c r="I839" i="1"/>
  <c r="X845" i="1" l="1"/>
  <c r="AA844" i="1"/>
  <c r="I840" i="1"/>
  <c r="X846" i="1" l="1"/>
  <c r="AA845" i="1"/>
  <c r="I841" i="1"/>
  <c r="X847" i="1" l="1"/>
  <c r="AA846" i="1"/>
  <c r="I842" i="1"/>
  <c r="X848" i="1" l="1"/>
  <c r="AA847" i="1"/>
  <c r="I843" i="1"/>
  <c r="AA848" i="1" l="1"/>
  <c r="X849" i="1"/>
  <c r="I844" i="1"/>
  <c r="X850" i="1" l="1"/>
  <c r="AA849" i="1"/>
  <c r="I845" i="1"/>
  <c r="X851" i="1" l="1"/>
  <c r="AA850" i="1"/>
  <c r="I846" i="1"/>
  <c r="X852" i="1" l="1"/>
  <c r="AA851" i="1"/>
  <c r="I847" i="1"/>
  <c r="X853" i="1" l="1"/>
  <c r="AA852" i="1"/>
  <c r="I848" i="1"/>
  <c r="X854" i="1" l="1"/>
  <c r="AA853" i="1"/>
  <c r="I849" i="1"/>
  <c r="X855" i="1" l="1"/>
  <c r="AA854" i="1"/>
  <c r="I850" i="1"/>
  <c r="X856" i="1" l="1"/>
  <c r="AA855" i="1"/>
  <c r="I851" i="1"/>
  <c r="AA856" i="1" l="1"/>
  <c r="X857" i="1"/>
  <c r="I852" i="1"/>
  <c r="X858" i="1" l="1"/>
  <c r="AA857" i="1"/>
  <c r="I853" i="1"/>
  <c r="X859" i="1" l="1"/>
  <c r="AA858" i="1"/>
  <c r="I854" i="1"/>
  <c r="X860" i="1" l="1"/>
  <c r="AA859" i="1"/>
  <c r="I855" i="1"/>
  <c r="X861" i="1" l="1"/>
  <c r="AA860" i="1"/>
  <c r="I856" i="1"/>
  <c r="X862" i="1" l="1"/>
  <c r="AA861" i="1"/>
  <c r="I857" i="1"/>
  <c r="X863" i="1" l="1"/>
  <c r="AA862" i="1"/>
  <c r="I858" i="1"/>
  <c r="X864" i="1" l="1"/>
  <c r="AA863" i="1"/>
  <c r="I859" i="1"/>
  <c r="AA864" i="1" l="1"/>
  <c r="X865" i="1"/>
  <c r="I860" i="1"/>
  <c r="X866" i="1" l="1"/>
  <c r="AA865" i="1"/>
  <c r="I861" i="1"/>
  <c r="X867" i="1" l="1"/>
  <c r="AA866" i="1"/>
  <c r="I862" i="1"/>
  <c r="X868" i="1" l="1"/>
  <c r="AA867" i="1"/>
  <c r="I863" i="1"/>
  <c r="X869" i="1" l="1"/>
  <c r="AA868" i="1"/>
  <c r="I864" i="1"/>
  <c r="X870" i="1" l="1"/>
  <c r="AA869" i="1"/>
  <c r="I865" i="1"/>
  <c r="X871" i="1" l="1"/>
  <c r="AA870" i="1"/>
  <c r="I866" i="1"/>
  <c r="X872" i="1" l="1"/>
  <c r="AA871" i="1"/>
  <c r="I867" i="1"/>
  <c r="AA872" i="1" l="1"/>
  <c r="X873" i="1"/>
  <c r="I868" i="1"/>
  <c r="X874" i="1" l="1"/>
  <c r="AA873" i="1"/>
  <c r="I869" i="1"/>
  <c r="X875" i="1" l="1"/>
  <c r="AA874" i="1"/>
  <c r="I870" i="1"/>
  <c r="X876" i="1" l="1"/>
  <c r="AA875" i="1"/>
  <c r="I871" i="1"/>
  <c r="X877" i="1" l="1"/>
  <c r="AA876" i="1"/>
  <c r="I872" i="1"/>
  <c r="X878" i="1" l="1"/>
  <c r="AA877" i="1"/>
  <c r="I873" i="1"/>
  <c r="X879" i="1" l="1"/>
  <c r="AA878" i="1"/>
  <c r="I874" i="1"/>
  <c r="X880" i="1" l="1"/>
  <c r="AA879" i="1"/>
  <c r="I875" i="1"/>
  <c r="AA880" i="1" l="1"/>
  <c r="X881" i="1"/>
  <c r="I876" i="1"/>
  <c r="X882" i="1" l="1"/>
  <c r="AA881" i="1"/>
  <c r="I877" i="1"/>
  <c r="X883" i="1" l="1"/>
  <c r="AA882" i="1"/>
  <c r="I878" i="1"/>
  <c r="X884" i="1" l="1"/>
  <c r="AA883" i="1"/>
  <c r="I879" i="1"/>
  <c r="X885" i="1" l="1"/>
  <c r="AA884" i="1"/>
  <c r="I880" i="1"/>
  <c r="X886" i="1" l="1"/>
  <c r="AA885" i="1"/>
  <c r="I881" i="1"/>
  <c r="X887" i="1" l="1"/>
  <c r="AA886" i="1"/>
  <c r="I882" i="1"/>
  <c r="X888" i="1" l="1"/>
  <c r="AA887" i="1"/>
  <c r="I883" i="1"/>
  <c r="X889" i="1" l="1"/>
  <c r="AA888" i="1"/>
  <c r="I884" i="1"/>
  <c r="X890" i="1" l="1"/>
  <c r="AA889" i="1"/>
  <c r="I885" i="1"/>
  <c r="AA890" i="1" l="1"/>
  <c r="X891" i="1"/>
  <c r="I886" i="1"/>
  <c r="AA891" i="1" l="1"/>
  <c r="X892" i="1"/>
  <c r="I887" i="1"/>
  <c r="X893" i="1" l="1"/>
  <c r="AA892" i="1"/>
  <c r="I888" i="1"/>
  <c r="X894" i="1" l="1"/>
  <c r="AA893" i="1"/>
  <c r="I889" i="1"/>
  <c r="AA894" i="1" l="1"/>
  <c r="X895" i="1"/>
  <c r="I890" i="1"/>
  <c r="AA895" i="1" l="1"/>
  <c r="X896" i="1"/>
  <c r="I891" i="1"/>
  <c r="X897" i="1" l="1"/>
  <c r="AA896" i="1"/>
  <c r="I892" i="1"/>
  <c r="X898" i="1" l="1"/>
  <c r="AA897" i="1"/>
  <c r="I893" i="1"/>
  <c r="AA898" i="1" l="1"/>
  <c r="X899" i="1"/>
  <c r="I894" i="1"/>
  <c r="AA899" i="1" l="1"/>
  <c r="X900" i="1"/>
  <c r="I895" i="1"/>
  <c r="X901" i="1" l="1"/>
  <c r="AA900" i="1"/>
  <c r="I896" i="1"/>
  <c r="X902" i="1" l="1"/>
  <c r="AA901" i="1"/>
  <c r="I897" i="1"/>
  <c r="AA902" i="1" l="1"/>
  <c r="X903" i="1"/>
  <c r="I898" i="1"/>
  <c r="AA903" i="1" l="1"/>
  <c r="X904" i="1"/>
  <c r="I899" i="1"/>
  <c r="X905" i="1" l="1"/>
  <c r="AA904" i="1"/>
  <c r="I900" i="1"/>
  <c r="X906" i="1" l="1"/>
  <c r="AA905" i="1"/>
  <c r="I901" i="1"/>
  <c r="AA906" i="1" l="1"/>
  <c r="X907" i="1"/>
  <c r="I902" i="1"/>
  <c r="AA907" i="1" l="1"/>
  <c r="X908" i="1"/>
  <c r="I903" i="1"/>
  <c r="X909" i="1" l="1"/>
  <c r="AA908" i="1"/>
  <c r="I904" i="1"/>
  <c r="X910" i="1" l="1"/>
  <c r="AA909" i="1"/>
  <c r="I905" i="1"/>
  <c r="AA910" i="1" l="1"/>
  <c r="X911" i="1"/>
  <c r="I906" i="1"/>
  <c r="AA911" i="1" l="1"/>
  <c r="X912" i="1"/>
  <c r="I907" i="1"/>
  <c r="X913" i="1" l="1"/>
  <c r="AA912" i="1"/>
  <c r="I908" i="1"/>
  <c r="X914" i="1" l="1"/>
  <c r="AA913" i="1"/>
  <c r="I909" i="1"/>
  <c r="AA914" i="1" l="1"/>
  <c r="X915" i="1"/>
  <c r="I910" i="1"/>
  <c r="AA915" i="1" l="1"/>
  <c r="X916" i="1"/>
  <c r="I911" i="1"/>
  <c r="X917" i="1" l="1"/>
  <c r="AA916" i="1"/>
  <c r="I912" i="1"/>
  <c r="X918" i="1" l="1"/>
  <c r="AA917" i="1"/>
  <c r="I913" i="1"/>
  <c r="AA918" i="1" l="1"/>
  <c r="X919" i="1"/>
  <c r="I914" i="1"/>
  <c r="AA919" i="1" l="1"/>
  <c r="X920" i="1"/>
  <c r="I915" i="1"/>
  <c r="X921" i="1" l="1"/>
  <c r="AA920" i="1"/>
  <c r="I916" i="1"/>
  <c r="X922" i="1" l="1"/>
  <c r="AA921" i="1"/>
  <c r="I917" i="1"/>
  <c r="AA922" i="1" l="1"/>
  <c r="X923" i="1"/>
  <c r="I918" i="1"/>
  <c r="AA923" i="1" l="1"/>
  <c r="X924" i="1"/>
  <c r="I919" i="1"/>
  <c r="X925" i="1" l="1"/>
  <c r="AA924" i="1"/>
  <c r="I920" i="1"/>
  <c r="X926" i="1" l="1"/>
  <c r="AA925" i="1"/>
  <c r="I921" i="1"/>
  <c r="AA926" i="1" l="1"/>
  <c r="X927" i="1"/>
  <c r="I922" i="1"/>
  <c r="AA927" i="1" l="1"/>
  <c r="X928" i="1"/>
  <c r="I923" i="1"/>
  <c r="X929" i="1" l="1"/>
  <c r="AA928" i="1"/>
  <c r="I924" i="1"/>
  <c r="X930" i="1" l="1"/>
  <c r="AA929" i="1"/>
  <c r="I925" i="1"/>
  <c r="AA930" i="1" l="1"/>
  <c r="X931" i="1"/>
  <c r="I926" i="1"/>
  <c r="AA931" i="1" l="1"/>
  <c r="X932" i="1"/>
  <c r="I927" i="1"/>
  <c r="X933" i="1" l="1"/>
  <c r="AA932" i="1"/>
  <c r="I928" i="1"/>
  <c r="X934" i="1" l="1"/>
  <c r="AA933" i="1"/>
  <c r="I929" i="1"/>
  <c r="AA934" i="1" l="1"/>
  <c r="X935" i="1"/>
  <c r="I930" i="1"/>
  <c r="AA935" i="1" l="1"/>
  <c r="X936" i="1"/>
  <c r="I931" i="1"/>
  <c r="X937" i="1" l="1"/>
  <c r="AA936" i="1"/>
  <c r="I932" i="1"/>
  <c r="X938" i="1" l="1"/>
  <c r="AA937" i="1"/>
  <c r="I933" i="1"/>
  <c r="AA938" i="1" l="1"/>
  <c r="X939" i="1"/>
  <c r="I934" i="1"/>
  <c r="AA939" i="1" l="1"/>
  <c r="X940" i="1"/>
  <c r="I935" i="1"/>
  <c r="X941" i="1" l="1"/>
  <c r="AA940" i="1"/>
  <c r="I936" i="1"/>
  <c r="X942" i="1" l="1"/>
  <c r="AA941" i="1"/>
  <c r="I937" i="1"/>
  <c r="AA942" i="1" l="1"/>
  <c r="X943" i="1"/>
  <c r="I938" i="1"/>
  <c r="AA943" i="1" l="1"/>
  <c r="X944" i="1"/>
  <c r="I939" i="1"/>
  <c r="X945" i="1" l="1"/>
  <c r="AA944" i="1"/>
  <c r="I940" i="1"/>
  <c r="X946" i="1" l="1"/>
  <c r="AA945" i="1"/>
  <c r="I941" i="1"/>
  <c r="AA946" i="1" l="1"/>
  <c r="X947" i="1"/>
  <c r="I942" i="1"/>
  <c r="AA947" i="1" l="1"/>
  <c r="X948" i="1"/>
  <c r="I943" i="1"/>
  <c r="X949" i="1" l="1"/>
  <c r="AA948" i="1"/>
  <c r="I944" i="1"/>
  <c r="X950" i="1" l="1"/>
  <c r="AA949" i="1"/>
  <c r="I945" i="1"/>
  <c r="AA950" i="1" l="1"/>
  <c r="X951" i="1"/>
  <c r="I946" i="1"/>
  <c r="AA951" i="1" l="1"/>
  <c r="X952" i="1"/>
  <c r="I947" i="1"/>
  <c r="X953" i="1" l="1"/>
  <c r="AA952" i="1"/>
  <c r="I948" i="1"/>
  <c r="X954" i="1" l="1"/>
  <c r="AA953" i="1"/>
  <c r="I949" i="1"/>
  <c r="AA954" i="1" l="1"/>
  <c r="X955" i="1"/>
  <c r="I950" i="1"/>
  <c r="AA955" i="1" l="1"/>
  <c r="X956" i="1"/>
  <c r="I951" i="1"/>
  <c r="X957" i="1" l="1"/>
  <c r="AA956" i="1"/>
  <c r="I952" i="1"/>
  <c r="X958" i="1" l="1"/>
  <c r="AA957" i="1"/>
  <c r="I953" i="1"/>
  <c r="AA958" i="1" l="1"/>
  <c r="X959" i="1"/>
  <c r="I954" i="1"/>
  <c r="AA959" i="1" l="1"/>
  <c r="X960" i="1"/>
  <c r="I955" i="1"/>
  <c r="X961" i="1" l="1"/>
  <c r="AA960" i="1"/>
  <c r="I956" i="1"/>
  <c r="X962" i="1" l="1"/>
  <c r="AA961" i="1"/>
  <c r="I957" i="1"/>
  <c r="AA962" i="1" l="1"/>
  <c r="X963" i="1"/>
  <c r="I958" i="1"/>
  <c r="AA963" i="1" l="1"/>
  <c r="X964" i="1"/>
  <c r="I959" i="1"/>
  <c r="X965" i="1" l="1"/>
  <c r="AA964" i="1"/>
  <c r="I960" i="1"/>
  <c r="X966" i="1" l="1"/>
  <c r="AA965" i="1"/>
  <c r="I961" i="1"/>
  <c r="AA966" i="1" l="1"/>
  <c r="X967" i="1"/>
  <c r="I962" i="1"/>
  <c r="AA967" i="1" l="1"/>
  <c r="X968" i="1"/>
  <c r="I963" i="1"/>
  <c r="X969" i="1" l="1"/>
  <c r="AA968" i="1"/>
  <c r="I964" i="1"/>
  <c r="X970" i="1" l="1"/>
  <c r="AA969" i="1"/>
  <c r="I965" i="1"/>
  <c r="AA970" i="1" l="1"/>
  <c r="X971" i="1"/>
  <c r="I966" i="1"/>
  <c r="AA971" i="1" l="1"/>
  <c r="X972" i="1"/>
  <c r="I967" i="1"/>
  <c r="X973" i="1" l="1"/>
  <c r="AA972" i="1"/>
  <c r="I968" i="1"/>
  <c r="X974" i="1" l="1"/>
  <c r="AA973" i="1"/>
  <c r="I969" i="1"/>
  <c r="AA974" i="1" l="1"/>
  <c r="X975" i="1"/>
  <c r="I970" i="1"/>
  <c r="AA975" i="1" l="1"/>
  <c r="X976" i="1"/>
  <c r="I971" i="1"/>
  <c r="X977" i="1" l="1"/>
  <c r="AA976" i="1"/>
  <c r="I972" i="1"/>
  <c r="X978" i="1" l="1"/>
  <c r="AA977" i="1"/>
  <c r="I973" i="1"/>
  <c r="AA978" i="1" l="1"/>
  <c r="X979" i="1"/>
  <c r="I974" i="1"/>
  <c r="AA979" i="1" l="1"/>
  <c r="X980" i="1"/>
  <c r="I975" i="1"/>
  <c r="X981" i="1" l="1"/>
  <c r="AA980" i="1"/>
  <c r="I976" i="1"/>
  <c r="X982" i="1" l="1"/>
  <c r="AA981" i="1"/>
  <c r="I977" i="1"/>
  <c r="AA982" i="1" l="1"/>
  <c r="X983" i="1"/>
  <c r="I978" i="1"/>
  <c r="AA983" i="1" l="1"/>
  <c r="X984" i="1"/>
  <c r="I979" i="1"/>
  <c r="X985" i="1" l="1"/>
  <c r="AA984" i="1"/>
  <c r="I980" i="1"/>
  <c r="X986" i="1" l="1"/>
  <c r="AA985" i="1"/>
  <c r="I981" i="1"/>
  <c r="AA986" i="1" l="1"/>
  <c r="X987" i="1"/>
  <c r="I982" i="1"/>
  <c r="AA987" i="1" l="1"/>
  <c r="X988" i="1"/>
  <c r="I983" i="1"/>
  <c r="X989" i="1" l="1"/>
  <c r="AA988" i="1"/>
  <c r="I984" i="1"/>
  <c r="X990" i="1" l="1"/>
  <c r="AA989" i="1"/>
  <c r="I985" i="1"/>
  <c r="AA990" i="1" l="1"/>
  <c r="X991" i="1"/>
  <c r="I986" i="1"/>
  <c r="AA991" i="1" l="1"/>
  <c r="X992" i="1"/>
  <c r="I987" i="1"/>
  <c r="X993" i="1" l="1"/>
  <c r="AA992" i="1"/>
  <c r="I988" i="1"/>
  <c r="X994" i="1" l="1"/>
  <c r="AA993" i="1"/>
  <c r="I989" i="1"/>
  <c r="AA994" i="1" l="1"/>
  <c r="X995" i="1"/>
  <c r="I990" i="1"/>
  <c r="AA995" i="1" l="1"/>
  <c r="X996" i="1"/>
  <c r="I991" i="1"/>
  <c r="X997" i="1" l="1"/>
  <c r="AA996" i="1"/>
  <c r="I992" i="1"/>
  <c r="X998" i="1" l="1"/>
  <c r="AA997" i="1"/>
  <c r="I993" i="1"/>
  <c r="AA998" i="1" l="1"/>
  <c r="X999" i="1"/>
  <c r="I994" i="1"/>
  <c r="AA999" i="1" l="1"/>
  <c r="X1000" i="1"/>
  <c r="I995" i="1"/>
  <c r="X1001" i="1" l="1"/>
  <c r="AA1000" i="1"/>
  <c r="I996" i="1"/>
  <c r="X1002" i="1" l="1"/>
  <c r="AA1001" i="1"/>
  <c r="I997" i="1"/>
  <c r="AA1002" i="1" l="1"/>
  <c r="X1003" i="1"/>
  <c r="I998" i="1"/>
  <c r="AA1003" i="1" l="1"/>
  <c r="X1004" i="1"/>
  <c r="I999" i="1"/>
  <c r="X1005" i="1" l="1"/>
  <c r="AA1004" i="1"/>
  <c r="I1000" i="1"/>
  <c r="X1006" i="1" l="1"/>
  <c r="AA1005" i="1"/>
  <c r="I1001" i="1"/>
  <c r="AA1006" i="1" l="1"/>
  <c r="X1007" i="1"/>
  <c r="I1002" i="1"/>
  <c r="AA1007" i="1" l="1"/>
  <c r="X1008" i="1"/>
  <c r="I1003" i="1"/>
  <c r="X1009" i="1" l="1"/>
  <c r="AA1008" i="1"/>
  <c r="I1004" i="1"/>
  <c r="X1010" i="1" l="1"/>
  <c r="AA1009" i="1"/>
  <c r="I1005" i="1"/>
  <c r="AA1010" i="1" l="1"/>
  <c r="X1011" i="1"/>
  <c r="I1006" i="1"/>
  <c r="AA1011" i="1" l="1"/>
  <c r="X1012" i="1"/>
  <c r="I1007" i="1"/>
  <c r="X1013" i="1" l="1"/>
  <c r="AA1012" i="1"/>
  <c r="I1008" i="1"/>
  <c r="X1014" i="1" l="1"/>
  <c r="AA1013" i="1"/>
  <c r="I1009" i="1"/>
  <c r="AA1014" i="1" l="1"/>
  <c r="X1015" i="1"/>
  <c r="I1010" i="1"/>
  <c r="AA1015" i="1" l="1"/>
  <c r="X1016" i="1"/>
  <c r="I1011" i="1"/>
  <c r="X1017" i="1" l="1"/>
  <c r="AA1016" i="1"/>
  <c r="I1012" i="1"/>
  <c r="X1018" i="1" l="1"/>
  <c r="AA1017" i="1"/>
  <c r="I1013" i="1"/>
  <c r="X1019" i="1" l="1"/>
  <c r="AA1018" i="1"/>
  <c r="I1014" i="1"/>
  <c r="X1020" i="1" l="1"/>
  <c r="AA1019" i="1"/>
  <c r="I1015" i="1"/>
  <c r="X1021" i="1" l="1"/>
  <c r="AA1020" i="1"/>
  <c r="I1016" i="1"/>
  <c r="X1022" i="1" l="1"/>
  <c r="AA1021" i="1"/>
  <c r="I1017" i="1"/>
  <c r="X1023" i="1" l="1"/>
  <c r="AA1022" i="1"/>
  <c r="I1018" i="1"/>
  <c r="AA1023" i="1" l="1"/>
  <c r="X1024" i="1"/>
  <c r="I1019" i="1"/>
  <c r="X1025" i="1" l="1"/>
  <c r="AA1024" i="1"/>
  <c r="I1020" i="1"/>
  <c r="X1026" i="1" l="1"/>
  <c r="AA1025" i="1"/>
  <c r="I1021" i="1"/>
  <c r="X1027" i="1" l="1"/>
  <c r="AA1026" i="1"/>
  <c r="I1022" i="1"/>
  <c r="X1028" i="1" l="1"/>
  <c r="AA1027" i="1"/>
  <c r="I1023" i="1"/>
  <c r="X1029" i="1" l="1"/>
  <c r="AA1028" i="1"/>
  <c r="I1024" i="1"/>
  <c r="X1030" i="1" l="1"/>
  <c r="AA1029" i="1"/>
  <c r="I1025" i="1"/>
  <c r="X1031" i="1" l="1"/>
  <c r="AA1030" i="1"/>
  <c r="I1026" i="1"/>
  <c r="AA1031" i="1" l="1"/>
  <c r="X1032" i="1"/>
  <c r="I1027" i="1"/>
  <c r="X1033" i="1" l="1"/>
  <c r="AA1032" i="1"/>
  <c r="I1028" i="1"/>
  <c r="X1034" i="1" l="1"/>
  <c r="AA1033" i="1"/>
  <c r="I1029" i="1"/>
  <c r="X1035" i="1" l="1"/>
  <c r="AA1034" i="1"/>
  <c r="I1030" i="1"/>
  <c r="X1036" i="1" l="1"/>
  <c r="AA1035" i="1"/>
  <c r="I1031" i="1"/>
  <c r="X1037" i="1" l="1"/>
  <c r="AA1036" i="1"/>
  <c r="I1032" i="1"/>
  <c r="X1038" i="1" l="1"/>
  <c r="AA1037" i="1"/>
  <c r="I1033" i="1"/>
  <c r="X1039" i="1" l="1"/>
  <c r="AA1038" i="1"/>
  <c r="I1034" i="1"/>
  <c r="AA1039" i="1" l="1"/>
  <c r="X1040" i="1"/>
  <c r="I1035" i="1"/>
  <c r="X1041" i="1" l="1"/>
  <c r="AA1040" i="1"/>
  <c r="I1036" i="1"/>
  <c r="X1042" i="1" l="1"/>
  <c r="AA1041" i="1"/>
  <c r="I1037" i="1"/>
  <c r="X1043" i="1" l="1"/>
  <c r="AA1042" i="1"/>
  <c r="I1038" i="1"/>
  <c r="X1044" i="1" l="1"/>
  <c r="AA1043" i="1"/>
  <c r="I1039" i="1"/>
  <c r="X1045" i="1" l="1"/>
  <c r="AA1044" i="1"/>
  <c r="I1040" i="1"/>
  <c r="X1046" i="1" l="1"/>
  <c r="AA1045" i="1"/>
  <c r="I1041" i="1"/>
  <c r="X1047" i="1" l="1"/>
  <c r="AA1046" i="1"/>
  <c r="I1042" i="1"/>
  <c r="AA1047" i="1" l="1"/>
  <c r="X1048" i="1"/>
  <c r="I1043" i="1"/>
  <c r="X1049" i="1" l="1"/>
  <c r="AA1048" i="1"/>
  <c r="I1044" i="1"/>
  <c r="X1050" i="1" l="1"/>
  <c r="AA1049" i="1"/>
  <c r="I1045" i="1"/>
  <c r="X1051" i="1" l="1"/>
  <c r="AA1050" i="1"/>
  <c r="I1046" i="1"/>
  <c r="X1052" i="1" l="1"/>
  <c r="AA1051" i="1"/>
  <c r="I1047" i="1"/>
  <c r="X1053" i="1" l="1"/>
  <c r="AA1052" i="1"/>
  <c r="I1048" i="1"/>
  <c r="X1054" i="1" l="1"/>
  <c r="AA1053" i="1"/>
  <c r="I1049" i="1"/>
  <c r="X1055" i="1" l="1"/>
  <c r="AA1054" i="1"/>
  <c r="I1050" i="1"/>
  <c r="AA1055" i="1" l="1"/>
  <c r="X1056" i="1"/>
  <c r="I1051" i="1"/>
  <c r="X1057" i="1" l="1"/>
  <c r="AA1056" i="1"/>
  <c r="I1052" i="1"/>
  <c r="X1058" i="1" l="1"/>
  <c r="AA1057" i="1"/>
  <c r="I1053" i="1"/>
  <c r="X1059" i="1" l="1"/>
  <c r="AA1058" i="1"/>
  <c r="I1054" i="1"/>
  <c r="X1060" i="1" l="1"/>
  <c r="AA1059" i="1"/>
  <c r="I1055" i="1"/>
  <c r="X1061" i="1" l="1"/>
  <c r="AA1060" i="1"/>
  <c r="I1056" i="1"/>
  <c r="X1062" i="1" l="1"/>
  <c r="AA1061" i="1"/>
  <c r="I1057" i="1"/>
  <c r="X1063" i="1" l="1"/>
  <c r="AA1062" i="1"/>
  <c r="I1058" i="1"/>
  <c r="AA1063" i="1" l="1"/>
  <c r="X1064" i="1"/>
  <c r="I1059" i="1"/>
  <c r="X1065" i="1" l="1"/>
  <c r="AA1064" i="1"/>
  <c r="I1060" i="1"/>
  <c r="X1066" i="1" l="1"/>
  <c r="AA1065" i="1"/>
  <c r="I1061" i="1"/>
  <c r="X1067" i="1" l="1"/>
  <c r="AA1066" i="1"/>
  <c r="I1062" i="1"/>
  <c r="X1068" i="1" l="1"/>
  <c r="AA1067" i="1"/>
  <c r="I1063" i="1"/>
  <c r="X1069" i="1" l="1"/>
  <c r="AA1068" i="1"/>
  <c r="I1064" i="1"/>
  <c r="X1070" i="1" l="1"/>
  <c r="AA1069" i="1"/>
  <c r="I1065" i="1"/>
  <c r="X1071" i="1" l="1"/>
  <c r="AA1070" i="1"/>
  <c r="I1066" i="1"/>
  <c r="AA1071" i="1" l="1"/>
  <c r="X1072" i="1"/>
  <c r="I1067" i="1"/>
  <c r="X1073" i="1" l="1"/>
  <c r="AA1072" i="1"/>
  <c r="I1068" i="1"/>
  <c r="X1074" i="1" l="1"/>
  <c r="AA1073" i="1"/>
  <c r="I1069" i="1"/>
  <c r="X1075" i="1" l="1"/>
  <c r="AA1074" i="1"/>
  <c r="I1070" i="1"/>
  <c r="X1076" i="1" l="1"/>
  <c r="AA1075" i="1"/>
  <c r="I1071" i="1"/>
  <c r="X1077" i="1" l="1"/>
  <c r="AA1076" i="1"/>
  <c r="I1072" i="1"/>
  <c r="X1078" i="1" l="1"/>
  <c r="AA1077" i="1"/>
  <c r="I1073" i="1"/>
  <c r="X1079" i="1" l="1"/>
  <c r="AA1078" i="1"/>
  <c r="I1074" i="1"/>
  <c r="AA1079" i="1" l="1"/>
  <c r="X1080" i="1"/>
  <c r="I1075" i="1"/>
  <c r="X1081" i="1" l="1"/>
  <c r="AA1080" i="1"/>
  <c r="I1076" i="1"/>
  <c r="X1082" i="1" l="1"/>
  <c r="AA1081" i="1"/>
  <c r="I1077" i="1"/>
  <c r="X1083" i="1" l="1"/>
  <c r="AA1082" i="1"/>
  <c r="I1078" i="1"/>
  <c r="X1084" i="1" l="1"/>
  <c r="AA1083" i="1"/>
  <c r="I1079" i="1"/>
  <c r="X1085" i="1" l="1"/>
  <c r="AA1084" i="1"/>
  <c r="I1080" i="1"/>
  <c r="X1086" i="1" l="1"/>
  <c r="AA1085" i="1"/>
  <c r="I1081" i="1"/>
  <c r="X1087" i="1" l="1"/>
  <c r="AA1086" i="1"/>
  <c r="I1082" i="1"/>
  <c r="AA1087" i="1" l="1"/>
  <c r="X1088" i="1"/>
  <c r="I1083" i="1"/>
  <c r="X1089" i="1" l="1"/>
  <c r="AA1088" i="1"/>
  <c r="I1084" i="1"/>
  <c r="X1090" i="1" l="1"/>
  <c r="AA1089" i="1"/>
  <c r="I1085" i="1"/>
  <c r="X1091" i="1" l="1"/>
  <c r="AA1090" i="1"/>
  <c r="I1086" i="1"/>
  <c r="X1092" i="1" l="1"/>
  <c r="AA1091" i="1"/>
  <c r="I1087" i="1"/>
  <c r="X1093" i="1" l="1"/>
  <c r="AA1092" i="1"/>
  <c r="I1088" i="1"/>
  <c r="X1094" i="1" l="1"/>
  <c r="AA1093" i="1"/>
  <c r="I1089" i="1"/>
  <c r="X1095" i="1" l="1"/>
  <c r="AA1094" i="1"/>
  <c r="I1090" i="1"/>
  <c r="AA1095" i="1" l="1"/>
  <c r="X1096" i="1"/>
  <c r="I1091" i="1"/>
  <c r="X1097" i="1" l="1"/>
  <c r="AA1096" i="1"/>
  <c r="I1092" i="1"/>
  <c r="X1098" i="1" l="1"/>
  <c r="AA1097" i="1"/>
  <c r="I1093" i="1"/>
  <c r="X1099" i="1" l="1"/>
  <c r="AA1098" i="1"/>
  <c r="I1094" i="1"/>
  <c r="X1100" i="1" l="1"/>
  <c r="AA1099" i="1"/>
  <c r="I1095" i="1"/>
  <c r="X1101" i="1" l="1"/>
  <c r="AA1100" i="1"/>
  <c r="I1096" i="1"/>
  <c r="X1102" i="1" l="1"/>
  <c r="AA1101" i="1"/>
  <c r="I1097" i="1"/>
  <c r="X1103" i="1" l="1"/>
  <c r="AA1102" i="1"/>
  <c r="I1098" i="1"/>
  <c r="AA1103" i="1" l="1"/>
  <c r="X1104" i="1"/>
  <c r="I1099" i="1"/>
  <c r="X1105" i="1" l="1"/>
  <c r="AA1104" i="1"/>
  <c r="I1100" i="1"/>
  <c r="X1106" i="1" l="1"/>
  <c r="AA1105" i="1"/>
  <c r="I1101" i="1"/>
  <c r="X1107" i="1" l="1"/>
  <c r="AA1106" i="1"/>
  <c r="I1102" i="1"/>
  <c r="X1108" i="1" l="1"/>
  <c r="AA1107" i="1"/>
  <c r="I1103" i="1"/>
  <c r="X1109" i="1" l="1"/>
  <c r="AA1108" i="1"/>
  <c r="I1104" i="1"/>
  <c r="X1110" i="1" l="1"/>
  <c r="AA1109" i="1"/>
  <c r="I1105" i="1"/>
  <c r="X1111" i="1" l="1"/>
  <c r="AA1110" i="1"/>
  <c r="I1106" i="1"/>
  <c r="AA1111" i="1" l="1"/>
  <c r="X1112" i="1"/>
  <c r="I1107" i="1"/>
  <c r="X1113" i="1" l="1"/>
  <c r="AA1112" i="1"/>
  <c r="I1108" i="1"/>
  <c r="X1114" i="1" l="1"/>
  <c r="AA1113" i="1"/>
  <c r="I1109" i="1"/>
  <c r="X1115" i="1" l="1"/>
  <c r="AA1114" i="1"/>
  <c r="I1110" i="1"/>
  <c r="X1116" i="1" l="1"/>
  <c r="AA1115" i="1"/>
  <c r="I1111" i="1"/>
  <c r="X1117" i="1" l="1"/>
  <c r="AA1116" i="1"/>
  <c r="I1112" i="1"/>
  <c r="X1118" i="1" l="1"/>
  <c r="AA1117" i="1"/>
  <c r="I1113" i="1"/>
  <c r="X1119" i="1" l="1"/>
  <c r="AA1118" i="1"/>
  <c r="I1114" i="1"/>
  <c r="AA1119" i="1" l="1"/>
  <c r="X1120" i="1"/>
  <c r="I1115" i="1"/>
  <c r="X1121" i="1" l="1"/>
  <c r="AA1120" i="1"/>
  <c r="I1116" i="1"/>
  <c r="X1122" i="1" l="1"/>
  <c r="AA1121" i="1"/>
  <c r="I1117" i="1"/>
  <c r="X1123" i="1" l="1"/>
  <c r="AA1122" i="1"/>
  <c r="I1118" i="1"/>
  <c r="X1124" i="1" l="1"/>
  <c r="AA1123" i="1"/>
  <c r="I1119" i="1"/>
  <c r="X1125" i="1" l="1"/>
  <c r="AA1124" i="1"/>
  <c r="I1120" i="1"/>
  <c r="X1126" i="1" l="1"/>
  <c r="AA1125" i="1"/>
  <c r="I1121" i="1"/>
  <c r="X1127" i="1" l="1"/>
  <c r="AA1126" i="1"/>
  <c r="I1122" i="1"/>
  <c r="AA1127" i="1" l="1"/>
  <c r="X1128" i="1"/>
  <c r="I1123" i="1"/>
  <c r="X1129" i="1" l="1"/>
  <c r="AA1128" i="1"/>
  <c r="I1124" i="1"/>
  <c r="X1130" i="1" l="1"/>
  <c r="AA1129" i="1"/>
  <c r="I1125" i="1"/>
  <c r="X1131" i="1" l="1"/>
  <c r="AA1130" i="1"/>
  <c r="I1126" i="1"/>
  <c r="X1132" i="1" l="1"/>
  <c r="AA1131" i="1"/>
  <c r="I1127" i="1"/>
  <c r="X1133" i="1" l="1"/>
  <c r="AA1132" i="1"/>
  <c r="I1128" i="1"/>
  <c r="X1134" i="1" l="1"/>
  <c r="AA1133" i="1"/>
  <c r="I1129" i="1"/>
  <c r="X1135" i="1" l="1"/>
  <c r="AA1134" i="1"/>
  <c r="I1130" i="1"/>
  <c r="AA1135" i="1" l="1"/>
  <c r="X1136" i="1"/>
  <c r="I1131" i="1"/>
  <c r="X1137" i="1" l="1"/>
  <c r="AA1136" i="1"/>
  <c r="I1132" i="1"/>
  <c r="X1138" i="1" l="1"/>
  <c r="AA1137" i="1"/>
  <c r="I1133" i="1"/>
  <c r="X1139" i="1" l="1"/>
  <c r="AA1138" i="1"/>
  <c r="I1134" i="1"/>
  <c r="X1140" i="1" l="1"/>
  <c r="AA1139" i="1"/>
  <c r="I1135" i="1"/>
  <c r="X1141" i="1" l="1"/>
  <c r="AA1140" i="1"/>
  <c r="I1136" i="1"/>
  <c r="X1142" i="1" l="1"/>
  <c r="AA1141" i="1"/>
  <c r="I1137" i="1"/>
  <c r="X1143" i="1" l="1"/>
  <c r="AA1142" i="1"/>
  <c r="I1138" i="1"/>
  <c r="AA1143" i="1" l="1"/>
  <c r="X1144" i="1"/>
  <c r="I1139" i="1"/>
  <c r="X1145" i="1" l="1"/>
  <c r="AA1144" i="1"/>
  <c r="I1140" i="1"/>
  <c r="X1146" i="1" l="1"/>
  <c r="AA1145" i="1"/>
  <c r="I1141" i="1"/>
  <c r="X1147" i="1" l="1"/>
  <c r="AA1146" i="1"/>
  <c r="I1142" i="1"/>
  <c r="X1148" i="1" l="1"/>
  <c r="AA1147" i="1"/>
  <c r="I1143" i="1"/>
  <c r="X1149" i="1" l="1"/>
  <c r="AA1148" i="1"/>
  <c r="I1144" i="1"/>
  <c r="X1150" i="1" l="1"/>
  <c r="AA1149" i="1"/>
  <c r="I1145" i="1"/>
  <c r="X1151" i="1" l="1"/>
  <c r="AA1150" i="1"/>
  <c r="I1146" i="1"/>
  <c r="AA1151" i="1" l="1"/>
  <c r="X1152" i="1"/>
  <c r="I1147" i="1"/>
  <c r="X1153" i="1" l="1"/>
  <c r="AA1152" i="1"/>
  <c r="I1148" i="1"/>
  <c r="X1154" i="1" l="1"/>
  <c r="AA1153" i="1"/>
  <c r="I1149" i="1"/>
  <c r="X1155" i="1" l="1"/>
  <c r="AA1154" i="1"/>
  <c r="I1150" i="1"/>
  <c r="X1156" i="1" l="1"/>
  <c r="AA1155" i="1"/>
  <c r="I1151" i="1"/>
  <c r="X1157" i="1" l="1"/>
  <c r="AA1156" i="1"/>
  <c r="I1152" i="1"/>
  <c r="X1158" i="1" l="1"/>
  <c r="AA1157" i="1"/>
  <c r="I1153" i="1"/>
  <c r="X1159" i="1" l="1"/>
  <c r="AA1158" i="1"/>
  <c r="I1154" i="1"/>
  <c r="AA1159" i="1" l="1"/>
  <c r="X1160" i="1"/>
  <c r="I1155" i="1"/>
  <c r="X1161" i="1" l="1"/>
  <c r="AA1160" i="1"/>
  <c r="I1156" i="1"/>
  <c r="X1162" i="1" l="1"/>
  <c r="AA1161" i="1"/>
  <c r="I1157" i="1"/>
  <c r="X1163" i="1" l="1"/>
  <c r="AA1162" i="1"/>
  <c r="I1158" i="1"/>
  <c r="X1164" i="1" l="1"/>
  <c r="AA1163" i="1"/>
  <c r="I1159" i="1"/>
  <c r="X1165" i="1" l="1"/>
  <c r="AA1164" i="1"/>
  <c r="I1160" i="1"/>
  <c r="X1166" i="1" l="1"/>
  <c r="AA1165" i="1"/>
  <c r="I1161" i="1"/>
  <c r="X1167" i="1" l="1"/>
  <c r="AA1166" i="1"/>
  <c r="I1162" i="1"/>
  <c r="AA1167" i="1" l="1"/>
  <c r="X1168" i="1"/>
  <c r="I1163" i="1"/>
  <c r="X1169" i="1" l="1"/>
  <c r="AA1168" i="1"/>
  <c r="I1164" i="1"/>
  <c r="X1170" i="1" l="1"/>
  <c r="AA1169" i="1"/>
  <c r="I1165" i="1"/>
  <c r="X1171" i="1" l="1"/>
  <c r="AA1170" i="1"/>
  <c r="I1166" i="1"/>
  <c r="X1172" i="1" l="1"/>
  <c r="AA1171" i="1"/>
  <c r="I1167" i="1"/>
  <c r="X1173" i="1" l="1"/>
  <c r="AA1172" i="1"/>
  <c r="I1168" i="1"/>
  <c r="X1174" i="1" l="1"/>
  <c r="AA1173" i="1"/>
  <c r="I1169" i="1"/>
  <c r="X1175" i="1" l="1"/>
  <c r="AA1174" i="1"/>
  <c r="I1170" i="1"/>
  <c r="AA1175" i="1" l="1"/>
  <c r="X1176" i="1"/>
  <c r="I1171" i="1"/>
  <c r="X1177" i="1" l="1"/>
  <c r="AA1176" i="1"/>
  <c r="I1172" i="1"/>
  <c r="X1178" i="1" l="1"/>
  <c r="AA1177" i="1"/>
  <c r="I1173" i="1"/>
  <c r="X1179" i="1" l="1"/>
  <c r="AA1178" i="1"/>
  <c r="I1174" i="1"/>
  <c r="X1180" i="1" l="1"/>
  <c r="AA1179" i="1"/>
  <c r="I1175" i="1"/>
  <c r="X1181" i="1" l="1"/>
  <c r="AA1180" i="1"/>
  <c r="I1176" i="1"/>
  <c r="X1182" i="1" l="1"/>
  <c r="AA1181" i="1"/>
  <c r="I1177" i="1"/>
  <c r="X1183" i="1" l="1"/>
  <c r="AA1182" i="1"/>
  <c r="I1178" i="1"/>
  <c r="AA1183" i="1" l="1"/>
  <c r="X1184" i="1"/>
  <c r="I1179" i="1"/>
  <c r="X1185" i="1" l="1"/>
  <c r="AA1184" i="1"/>
  <c r="I1180" i="1"/>
  <c r="X1186" i="1" l="1"/>
  <c r="AA1185" i="1"/>
  <c r="I1181" i="1"/>
  <c r="X1187" i="1" l="1"/>
  <c r="AA1186" i="1"/>
  <c r="I1182" i="1"/>
  <c r="X1188" i="1" l="1"/>
  <c r="AA1187" i="1"/>
  <c r="I1183" i="1"/>
  <c r="X1189" i="1" l="1"/>
  <c r="AA1188" i="1"/>
  <c r="I1184" i="1"/>
  <c r="X1190" i="1" l="1"/>
  <c r="AA1189" i="1"/>
  <c r="I1185" i="1"/>
  <c r="X1191" i="1" l="1"/>
  <c r="AA1190" i="1"/>
  <c r="I1186" i="1"/>
  <c r="AA1191" i="1" l="1"/>
  <c r="X1192" i="1"/>
  <c r="I1187" i="1"/>
  <c r="X1193" i="1" l="1"/>
  <c r="AA1192" i="1"/>
  <c r="I1188" i="1"/>
  <c r="X1194" i="1" l="1"/>
  <c r="AA1193" i="1"/>
  <c r="I1189" i="1"/>
  <c r="X1195" i="1" l="1"/>
  <c r="AA1194" i="1"/>
  <c r="I1190" i="1"/>
  <c r="X1196" i="1" l="1"/>
  <c r="AA1195" i="1"/>
  <c r="I1191" i="1"/>
  <c r="X1197" i="1" l="1"/>
  <c r="AA1196" i="1"/>
  <c r="I1192" i="1"/>
  <c r="X1198" i="1" l="1"/>
  <c r="AA1197" i="1"/>
  <c r="I1193" i="1"/>
  <c r="X1199" i="1" l="1"/>
  <c r="AA1198" i="1"/>
  <c r="I1194" i="1"/>
  <c r="AA1199" i="1" l="1"/>
  <c r="X1200" i="1"/>
  <c r="I1195" i="1"/>
  <c r="X1201" i="1" l="1"/>
  <c r="AA1200" i="1"/>
  <c r="I1196" i="1"/>
  <c r="X1202" i="1" l="1"/>
  <c r="AA1201" i="1"/>
  <c r="I1197" i="1"/>
  <c r="X1203" i="1" l="1"/>
  <c r="AA1202" i="1"/>
  <c r="I1198" i="1"/>
  <c r="X1204" i="1" l="1"/>
  <c r="AA1203" i="1"/>
  <c r="I1199" i="1"/>
  <c r="X1205" i="1" l="1"/>
  <c r="AA1204" i="1"/>
  <c r="I1200" i="1"/>
  <c r="X1206" i="1" l="1"/>
  <c r="AA1205" i="1"/>
  <c r="I1201" i="1"/>
  <c r="X1207" i="1" l="1"/>
  <c r="AA1206" i="1"/>
  <c r="I1202" i="1"/>
  <c r="AA1207" i="1" l="1"/>
  <c r="X1208" i="1"/>
  <c r="I1203" i="1"/>
  <c r="X1209" i="1" l="1"/>
  <c r="AA1208" i="1"/>
  <c r="I1204" i="1"/>
  <c r="X1210" i="1" l="1"/>
  <c r="AA1209" i="1"/>
  <c r="I1205" i="1"/>
  <c r="X1211" i="1" l="1"/>
  <c r="AA1210" i="1"/>
  <c r="I1206" i="1"/>
  <c r="X1212" i="1" l="1"/>
  <c r="AA1211" i="1"/>
  <c r="I1207" i="1"/>
  <c r="X1213" i="1" l="1"/>
  <c r="AA1212" i="1"/>
  <c r="I1208" i="1"/>
  <c r="X1214" i="1" l="1"/>
  <c r="AA1213" i="1"/>
  <c r="I1209" i="1"/>
  <c r="X1215" i="1" l="1"/>
  <c r="AA1214" i="1"/>
  <c r="I1210" i="1"/>
  <c r="AA1215" i="1" l="1"/>
  <c r="X1216" i="1"/>
  <c r="I1211" i="1"/>
  <c r="X1217" i="1" l="1"/>
  <c r="AA1216" i="1"/>
  <c r="I1212" i="1"/>
  <c r="X1218" i="1" l="1"/>
  <c r="AA1217" i="1"/>
  <c r="I1213" i="1"/>
  <c r="X1219" i="1" l="1"/>
  <c r="AA1218" i="1"/>
  <c r="I1214" i="1"/>
  <c r="X1220" i="1" l="1"/>
  <c r="AA1219" i="1"/>
  <c r="I1215" i="1"/>
  <c r="X1221" i="1" l="1"/>
  <c r="AA1220" i="1"/>
  <c r="I1216" i="1"/>
  <c r="X1222" i="1" l="1"/>
  <c r="AA1221" i="1"/>
  <c r="I1217" i="1"/>
  <c r="X1223" i="1" l="1"/>
  <c r="AA1222" i="1"/>
  <c r="I1218" i="1"/>
  <c r="AA1223" i="1" l="1"/>
  <c r="X1224" i="1"/>
  <c r="I1219" i="1"/>
  <c r="X1225" i="1" l="1"/>
  <c r="AA1224" i="1"/>
  <c r="I1220" i="1"/>
  <c r="X1226" i="1" l="1"/>
  <c r="AA1225" i="1"/>
  <c r="I1221" i="1"/>
  <c r="X1227" i="1" l="1"/>
  <c r="AA1226" i="1"/>
  <c r="I1222" i="1"/>
  <c r="X1228" i="1" l="1"/>
  <c r="AA1227" i="1"/>
  <c r="I1223" i="1"/>
  <c r="X1229" i="1" l="1"/>
  <c r="AA1228" i="1"/>
  <c r="I1224" i="1"/>
  <c r="X1230" i="1" l="1"/>
  <c r="AA1229" i="1"/>
  <c r="I1225" i="1"/>
  <c r="X1231" i="1" l="1"/>
  <c r="AA1230" i="1"/>
  <c r="I1226" i="1"/>
  <c r="AA1231" i="1" l="1"/>
  <c r="X1232" i="1"/>
  <c r="I1227" i="1"/>
  <c r="X1233" i="1" l="1"/>
  <c r="AA1232" i="1"/>
  <c r="I1228" i="1"/>
  <c r="X1234" i="1" l="1"/>
  <c r="AA1233" i="1"/>
  <c r="I1229" i="1"/>
  <c r="X1235" i="1" l="1"/>
  <c r="AA1234" i="1"/>
  <c r="I1230" i="1"/>
  <c r="X1236" i="1" l="1"/>
  <c r="AA1235" i="1"/>
  <c r="I1231" i="1"/>
  <c r="X1237" i="1" l="1"/>
  <c r="AA1236" i="1"/>
  <c r="I1232" i="1"/>
  <c r="X1238" i="1" l="1"/>
  <c r="AA1237" i="1"/>
  <c r="I1233" i="1"/>
  <c r="X1239" i="1" l="1"/>
  <c r="AA1238" i="1"/>
  <c r="I1234" i="1"/>
  <c r="AA1239" i="1" l="1"/>
  <c r="X1240" i="1"/>
  <c r="I1235" i="1"/>
  <c r="X1241" i="1" l="1"/>
  <c r="AA1240" i="1"/>
  <c r="I1236" i="1"/>
  <c r="X1242" i="1" l="1"/>
  <c r="AA1241" i="1"/>
  <c r="I1237" i="1"/>
  <c r="X1243" i="1" l="1"/>
  <c r="AA1242" i="1"/>
  <c r="I1238" i="1"/>
  <c r="X1244" i="1" l="1"/>
  <c r="AA1243" i="1"/>
  <c r="I1239" i="1"/>
  <c r="X1245" i="1" l="1"/>
  <c r="AA1244" i="1"/>
  <c r="I1240" i="1"/>
  <c r="X1246" i="1" l="1"/>
  <c r="AA1245" i="1"/>
  <c r="I1241" i="1"/>
  <c r="X1247" i="1" l="1"/>
  <c r="AA1246" i="1"/>
  <c r="I1242" i="1"/>
  <c r="AA1247" i="1" l="1"/>
  <c r="X1248" i="1"/>
  <c r="I1243" i="1"/>
  <c r="X1249" i="1" l="1"/>
  <c r="AA1248" i="1"/>
  <c r="I1244" i="1"/>
  <c r="X1250" i="1" l="1"/>
  <c r="AA1249" i="1"/>
  <c r="I1245" i="1"/>
  <c r="X1251" i="1" l="1"/>
  <c r="AA1250" i="1"/>
  <c r="I1246" i="1"/>
  <c r="X1252" i="1" l="1"/>
  <c r="AA1251" i="1"/>
  <c r="I1247" i="1"/>
  <c r="X1253" i="1" l="1"/>
  <c r="AA1252" i="1"/>
  <c r="I1248" i="1"/>
  <c r="X1254" i="1" l="1"/>
  <c r="AA1253" i="1"/>
  <c r="I1249" i="1"/>
  <c r="X1255" i="1" l="1"/>
  <c r="AA1254" i="1"/>
  <c r="I1250" i="1"/>
  <c r="AA1255" i="1" l="1"/>
  <c r="X1256" i="1"/>
  <c r="I1251" i="1"/>
  <c r="X1257" i="1" l="1"/>
  <c r="AA1256" i="1"/>
  <c r="I1252" i="1"/>
  <c r="X1258" i="1" l="1"/>
  <c r="AA1257" i="1"/>
  <c r="I1253" i="1"/>
  <c r="X1259" i="1" l="1"/>
  <c r="AA1258" i="1"/>
  <c r="I1254" i="1"/>
  <c r="X1260" i="1" l="1"/>
  <c r="AA1259" i="1"/>
  <c r="I1255" i="1"/>
  <c r="X1261" i="1" l="1"/>
  <c r="AA1260" i="1"/>
  <c r="I1256" i="1"/>
  <c r="X1262" i="1" l="1"/>
  <c r="AA1261" i="1"/>
  <c r="I1257" i="1"/>
  <c r="X1263" i="1" l="1"/>
  <c r="AA1262" i="1"/>
  <c r="I1258" i="1"/>
  <c r="AA1263" i="1" l="1"/>
  <c r="X1264" i="1"/>
  <c r="I1259" i="1"/>
  <c r="X1265" i="1" l="1"/>
  <c r="AA1264" i="1"/>
  <c r="I1260" i="1"/>
  <c r="X1266" i="1" l="1"/>
  <c r="AA1265" i="1"/>
  <c r="I1261" i="1"/>
  <c r="X1267" i="1" l="1"/>
  <c r="AA1266" i="1"/>
  <c r="I1262" i="1"/>
  <c r="X1268" i="1" l="1"/>
  <c r="AA1267" i="1"/>
  <c r="I1263" i="1"/>
  <c r="X1269" i="1" l="1"/>
  <c r="AA1268" i="1"/>
  <c r="I1264" i="1"/>
  <c r="X1270" i="1" l="1"/>
  <c r="AA1269" i="1"/>
  <c r="I1265" i="1"/>
  <c r="X1271" i="1" l="1"/>
  <c r="AA1270" i="1"/>
  <c r="I1266" i="1"/>
  <c r="AA1271" i="1" l="1"/>
  <c r="X1272" i="1"/>
  <c r="I1267" i="1"/>
  <c r="X1273" i="1" l="1"/>
  <c r="AA1272" i="1"/>
  <c r="I1268" i="1"/>
  <c r="X1274" i="1" l="1"/>
  <c r="AA1273" i="1"/>
  <c r="I1269" i="1"/>
  <c r="X1275" i="1" l="1"/>
  <c r="AA1274" i="1"/>
  <c r="I1270" i="1"/>
  <c r="X1276" i="1" l="1"/>
  <c r="AA1275" i="1"/>
  <c r="I1271" i="1"/>
  <c r="X1277" i="1" l="1"/>
  <c r="AA1276" i="1"/>
  <c r="I1272" i="1"/>
  <c r="X1278" i="1" l="1"/>
  <c r="AA1277" i="1"/>
  <c r="I1273" i="1"/>
  <c r="X1279" i="1" l="1"/>
  <c r="AA1278" i="1"/>
  <c r="I1274" i="1"/>
  <c r="AA1279" i="1" l="1"/>
  <c r="X1280" i="1"/>
  <c r="I1275" i="1"/>
  <c r="X1281" i="1" l="1"/>
  <c r="AA1280" i="1"/>
  <c r="I1276" i="1"/>
  <c r="X1282" i="1" l="1"/>
  <c r="AA1281" i="1"/>
  <c r="I1277" i="1"/>
  <c r="X1283" i="1" l="1"/>
  <c r="AA1282" i="1"/>
  <c r="I1278" i="1"/>
  <c r="X1284" i="1" l="1"/>
  <c r="AA1283" i="1"/>
  <c r="I1279" i="1"/>
  <c r="X1285" i="1" l="1"/>
  <c r="AA1284" i="1"/>
  <c r="I1280" i="1"/>
  <c r="X1286" i="1" l="1"/>
  <c r="AA1285" i="1"/>
  <c r="I1281" i="1"/>
  <c r="X1287" i="1" l="1"/>
  <c r="AA1286" i="1"/>
  <c r="I1282" i="1"/>
  <c r="AA1287" i="1" l="1"/>
  <c r="X1288" i="1"/>
  <c r="I1283" i="1"/>
  <c r="X1289" i="1" l="1"/>
  <c r="AA1288" i="1"/>
  <c r="I1284" i="1"/>
  <c r="X1290" i="1" l="1"/>
  <c r="AA1289" i="1"/>
  <c r="I1285" i="1"/>
  <c r="X1291" i="1" l="1"/>
  <c r="AA1290" i="1"/>
  <c r="I1286" i="1"/>
  <c r="X1292" i="1" l="1"/>
  <c r="AA1291" i="1"/>
  <c r="I1287" i="1"/>
  <c r="X1293" i="1" l="1"/>
  <c r="AA1292" i="1"/>
  <c r="I1288" i="1"/>
  <c r="X1294" i="1" l="1"/>
  <c r="AA1293" i="1"/>
  <c r="I1289" i="1"/>
  <c r="X1295" i="1" l="1"/>
  <c r="AA1294" i="1"/>
  <c r="I1290" i="1"/>
  <c r="AA1295" i="1" l="1"/>
  <c r="X1296" i="1"/>
  <c r="I1291" i="1"/>
  <c r="X1297" i="1" l="1"/>
  <c r="AA1296" i="1"/>
  <c r="I1292" i="1"/>
  <c r="X1298" i="1" l="1"/>
  <c r="AA1297" i="1"/>
  <c r="I1293" i="1"/>
  <c r="X1299" i="1" l="1"/>
  <c r="AA1298" i="1"/>
  <c r="I1294" i="1"/>
  <c r="X1300" i="1" l="1"/>
  <c r="AA1299" i="1"/>
  <c r="I1295" i="1"/>
  <c r="X1301" i="1" l="1"/>
  <c r="AA1300" i="1"/>
  <c r="I1296" i="1"/>
  <c r="X1302" i="1" l="1"/>
  <c r="AA1301" i="1"/>
  <c r="I1297" i="1"/>
  <c r="X1303" i="1" l="1"/>
  <c r="AA1302" i="1"/>
  <c r="I1298" i="1"/>
  <c r="AA1303" i="1" l="1"/>
  <c r="X1304" i="1"/>
  <c r="I1299" i="1"/>
  <c r="X1305" i="1" l="1"/>
  <c r="AA1304" i="1"/>
  <c r="I1300" i="1"/>
  <c r="X1306" i="1" l="1"/>
  <c r="AA1305" i="1"/>
  <c r="I1301" i="1"/>
  <c r="X1307" i="1" l="1"/>
  <c r="AA1306" i="1"/>
  <c r="I1302" i="1"/>
  <c r="X1308" i="1" l="1"/>
  <c r="AA1307" i="1"/>
  <c r="I1303" i="1"/>
  <c r="X1309" i="1" l="1"/>
  <c r="AA1308" i="1"/>
  <c r="I1304" i="1"/>
  <c r="X1310" i="1" l="1"/>
  <c r="AA1309" i="1"/>
  <c r="I1305" i="1"/>
  <c r="X1311" i="1" l="1"/>
  <c r="AA1310" i="1"/>
  <c r="I1306" i="1"/>
  <c r="AA1311" i="1" l="1"/>
  <c r="X1312" i="1"/>
  <c r="I1307" i="1"/>
  <c r="X1313" i="1" l="1"/>
  <c r="AA1312" i="1"/>
  <c r="I1308" i="1"/>
  <c r="X1314" i="1" l="1"/>
  <c r="AA1313" i="1"/>
  <c r="I1309" i="1"/>
  <c r="X1315" i="1" l="1"/>
  <c r="AA1314" i="1"/>
  <c r="I1310" i="1"/>
  <c r="X1316" i="1" l="1"/>
  <c r="AA1315" i="1"/>
  <c r="I1311" i="1"/>
  <c r="X1317" i="1" l="1"/>
  <c r="AA1316" i="1"/>
  <c r="I1312" i="1"/>
  <c r="X1318" i="1" l="1"/>
  <c r="AA1317" i="1"/>
  <c r="I1313" i="1"/>
  <c r="X1319" i="1" l="1"/>
  <c r="AA1318" i="1"/>
  <c r="I1314" i="1"/>
  <c r="AA1319" i="1" l="1"/>
  <c r="X1320" i="1"/>
  <c r="I1315" i="1"/>
  <c r="X1321" i="1" l="1"/>
  <c r="AA1320" i="1"/>
  <c r="I1316" i="1"/>
  <c r="X1322" i="1" l="1"/>
  <c r="AA1321" i="1"/>
  <c r="I1317" i="1"/>
  <c r="X1323" i="1" l="1"/>
  <c r="AA1322" i="1"/>
  <c r="I1318" i="1"/>
  <c r="X1324" i="1" l="1"/>
  <c r="AA1323" i="1"/>
  <c r="I1319" i="1"/>
  <c r="X1325" i="1" l="1"/>
  <c r="AA1324" i="1"/>
  <c r="I1320" i="1"/>
  <c r="X1326" i="1" l="1"/>
  <c r="AA1325" i="1"/>
  <c r="I1321" i="1"/>
  <c r="X1327" i="1" l="1"/>
  <c r="AA1326" i="1"/>
  <c r="I1322" i="1"/>
  <c r="AA1327" i="1" l="1"/>
  <c r="X1328" i="1"/>
  <c r="I1323" i="1"/>
  <c r="X1329" i="1" l="1"/>
  <c r="AA1328" i="1"/>
  <c r="I1324" i="1"/>
  <c r="X1330" i="1" l="1"/>
  <c r="AA1329" i="1"/>
  <c r="I1325" i="1"/>
  <c r="X1331" i="1" l="1"/>
  <c r="AA1330" i="1"/>
  <c r="I1326" i="1"/>
  <c r="X1332" i="1" l="1"/>
  <c r="AA1331" i="1"/>
  <c r="I1327" i="1"/>
  <c r="X1333" i="1" l="1"/>
  <c r="AA1332" i="1"/>
  <c r="I1328" i="1"/>
  <c r="X1334" i="1" l="1"/>
  <c r="AA1333" i="1"/>
  <c r="I1329" i="1"/>
  <c r="X1335" i="1" l="1"/>
  <c r="AA1334" i="1"/>
  <c r="I1330" i="1"/>
  <c r="AA1335" i="1" l="1"/>
  <c r="X1336" i="1"/>
  <c r="I1331" i="1"/>
  <c r="X1337" i="1" l="1"/>
  <c r="AA1336" i="1"/>
  <c r="I1332" i="1"/>
  <c r="X1338" i="1" l="1"/>
  <c r="AA1337" i="1"/>
  <c r="I1333" i="1"/>
  <c r="X1339" i="1" l="1"/>
  <c r="AA1338" i="1"/>
  <c r="I1334" i="1"/>
  <c r="X1340" i="1" l="1"/>
  <c r="AA1339" i="1"/>
  <c r="I1335" i="1"/>
  <c r="X1341" i="1" l="1"/>
  <c r="AA1340" i="1"/>
  <c r="I1336" i="1"/>
  <c r="X1342" i="1" l="1"/>
  <c r="AA1341" i="1"/>
  <c r="I1337" i="1"/>
  <c r="X1343" i="1" l="1"/>
  <c r="AA1342" i="1"/>
  <c r="I1338" i="1"/>
  <c r="AA1343" i="1" l="1"/>
  <c r="X1344" i="1"/>
  <c r="I1339" i="1"/>
  <c r="X1345" i="1" l="1"/>
  <c r="AA1344" i="1"/>
  <c r="I1340" i="1"/>
  <c r="X1346" i="1" l="1"/>
  <c r="AA1345" i="1"/>
  <c r="I1341" i="1"/>
  <c r="X1347" i="1" l="1"/>
  <c r="AA1346" i="1"/>
  <c r="I1342" i="1"/>
  <c r="X1348" i="1" l="1"/>
  <c r="AA1347" i="1"/>
  <c r="I1343" i="1"/>
  <c r="X1349" i="1" l="1"/>
  <c r="AA1348" i="1"/>
  <c r="I1344" i="1"/>
  <c r="X1350" i="1" l="1"/>
  <c r="AA1349" i="1"/>
  <c r="I1345" i="1"/>
  <c r="X1351" i="1" l="1"/>
  <c r="AA1350" i="1"/>
  <c r="I1346" i="1"/>
  <c r="AA1351" i="1" l="1"/>
  <c r="X1352" i="1"/>
  <c r="I1347" i="1"/>
  <c r="X1353" i="1" l="1"/>
  <c r="AA1352" i="1"/>
  <c r="I1348" i="1"/>
  <c r="X1354" i="1" l="1"/>
  <c r="AA1353" i="1"/>
  <c r="I1349" i="1"/>
  <c r="X1355" i="1" l="1"/>
  <c r="AA1354" i="1"/>
  <c r="I1350" i="1"/>
  <c r="X1356" i="1" l="1"/>
  <c r="AA1355" i="1"/>
  <c r="I1351" i="1"/>
  <c r="X1357" i="1" l="1"/>
  <c r="AA1356" i="1"/>
  <c r="I1352" i="1"/>
  <c r="X1358" i="1" l="1"/>
  <c r="AA1357" i="1"/>
  <c r="I1353" i="1"/>
  <c r="X1359" i="1" l="1"/>
  <c r="AA1358" i="1"/>
  <c r="I1354" i="1"/>
  <c r="AA1359" i="1" l="1"/>
  <c r="X1360" i="1"/>
  <c r="I1355" i="1"/>
  <c r="X1361" i="1" l="1"/>
  <c r="AA1360" i="1"/>
  <c r="I1356" i="1"/>
  <c r="X1362" i="1" l="1"/>
  <c r="AA1361" i="1"/>
  <c r="I1357" i="1"/>
  <c r="X1363" i="1" l="1"/>
  <c r="AA1362" i="1"/>
  <c r="I1358" i="1"/>
  <c r="X1364" i="1" l="1"/>
  <c r="AA1363" i="1"/>
  <c r="I1359" i="1"/>
  <c r="X1365" i="1" l="1"/>
  <c r="AA1364" i="1"/>
  <c r="I1360" i="1"/>
  <c r="X1366" i="1" l="1"/>
  <c r="AA1365" i="1"/>
  <c r="I1361" i="1"/>
  <c r="X1367" i="1" l="1"/>
  <c r="AA1366" i="1"/>
  <c r="I1362" i="1"/>
  <c r="AA1367" i="1" l="1"/>
  <c r="X1368" i="1"/>
  <c r="I1363" i="1"/>
  <c r="X1369" i="1" l="1"/>
  <c r="AA1368" i="1"/>
  <c r="I1364" i="1"/>
  <c r="X1370" i="1" l="1"/>
  <c r="AA1369" i="1"/>
  <c r="I1365" i="1"/>
  <c r="X1371" i="1" l="1"/>
  <c r="AA1370" i="1"/>
  <c r="I1366" i="1"/>
  <c r="X1372" i="1" l="1"/>
  <c r="AA1371" i="1"/>
  <c r="I1367" i="1"/>
  <c r="X1373" i="1" l="1"/>
  <c r="AA1372" i="1"/>
  <c r="I1368" i="1"/>
  <c r="X1374" i="1" l="1"/>
  <c r="AA1373" i="1"/>
  <c r="I1369" i="1"/>
  <c r="X1375" i="1" l="1"/>
  <c r="AA1374" i="1"/>
  <c r="I1370" i="1"/>
  <c r="AA1375" i="1" l="1"/>
  <c r="X1376" i="1"/>
  <c r="I1371" i="1"/>
  <c r="X1377" i="1" l="1"/>
  <c r="AA1376" i="1"/>
  <c r="I1372" i="1"/>
  <c r="X1378" i="1" l="1"/>
  <c r="AA1377" i="1"/>
  <c r="I1373" i="1"/>
  <c r="X1379" i="1" l="1"/>
  <c r="AA1378" i="1"/>
  <c r="I1374" i="1"/>
  <c r="X1380" i="1" l="1"/>
  <c r="AA1379" i="1"/>
  <c r="I1375" i="1"/>
  <c r="X1381" i="1" l="1"/>
  <c r="AA1380" i="1"/>
  <c r="I1376" i="1"/>
  <c r="X1382" i="1" l="1"/>
  <c r="AA1381" i="1"/>
  <c r="I1377" i="1"/>
  <c r="X1383" i="1" l="1"/>
  <c r="AA1382" i="1"/>
  <c r="I1378" i="1"/>
  <c r="AA1383" i="1" l="1"/>
  <c r="X1384" i="1"/>
  <c r="I1379" i="1"/>
  <c r="X1385" i="1" l="1"/>
  <c r="AA1384" i="1"/>
  <c r="I1380" i="1"/>
  <c r="X1386" i="1" l="1"/>
  <c r="AA1385" i="1"/>
  <c r="I1381" i="1"/>
  <c r="X1387" i="1" l="1"/>
  <c r="AA1386" i="1"/>
  <c r="I1382" i="1"/>
  <c r="X1388" i="1" l="1"/>
  <c r="AA1387" i="1"/>
  <c r="I1383" i="1"/>
  <c r="X1389" i="1" l="1"/>
  <c r="AA1388" i="1"/>
  <c r="I1384" i="1"/>
  <c r="X1390" i="1" l="1"/>
  <c r="AA1389" i="1"/>
  <c r="I1385" i="1"/>
  <c r="X1391" i="1" l="1"/>
  <c r="AA1390" i="1"/>
  <c r="I1386" i="1"/>
  <c r="AA1391" i="1" l="1"/>
  <c r="X1392" i="1"/>
  <c r="I1387" i="1"/>
  <c r="X1393" i="1" l="1"/>
  <c r="AA1392" i="1"/>
  <c r="I1388" i="1"/>
  <c r="X1394" i="1" l="1"/>
  <c r="AA1393" i="1"/>
  <c r="I1389" i="1"/>
  <c r="X1395" i="1" l="1"/>
  <c r="AA1394" i="1"/>
  <c r="I1390" i="1"/>
  <c r="X1396" i="1" l="1"/>
  <c r="AA1395" i="1"/>
  <c r="I1391" i="1"/>
  <c r="X1397" i="1" l="1"/>
  <c r="AA1396" i="1"/>
  <c r="I1392" i="1"/>
  <c r="X1398" i="1" l="1"/>
  <c r="AA1397" i="1"/>
  <c r="I1393" i="1"/>
  <c r="X1399" i="1" l="1"/>
  <c r="AA1398" i="1"/>
  <c r="I1394" i="1"/>
  <c r="AA1399" i="1" l="1"/>
  <c r="X1400" i="1"/>
  <c r="I1395" i="1"/>
  <c r="X1401" i="1" l="1"/>
  <c r="AA1400" i="1"/>
  <c r="I1396" i="1"/>
  <c r="X1402" i="1" l="1"/>
  <c r="AA1401" i="1"/>
  <c r="I1397" i="1"/>
  <c r="X1403" i="1" l="1"/>
  <c r="AA1402" i="1"/>
  <c r="I1398" i="1"/>
  <c r="X1404" i="1" l="1"/>
  <c r="AA1403" i="1"/>
  <c r="I1399" i="1"/>
  <c r="X1405" i="1" l="1"/>
  <c r="AA1404" i="1"/>
  <c r="I1400" i="1"/>
  <c r="X1406" i="1" l="1"/>
  <c r="AA1405" i="1"/>
  <c r="I1401" i="1"/>
  <c r="X1407" i="1" l="1"/>
  <c r="AA1406" i="1"/>
  <c r="I1402" i="1"/>
  <c r="AA1407" i="1" l="1"/>
  <c r="X1408" i="1"/>
  <c r="I1403" i="1"/>
  <c r="X1409" i="1" l="1"/>
  <c r="AA1408" i="1"/>
  <c r="I1404" i="1"/>
  <c r="X1410" i="1" l="1"/>
  <c r="AA1409" i="1"/>
  <c r="I1405" i="1"/>
  <c r="X1411" i="1" l="1"/>
  <c r="AA1410" i="1"/>
  <c r="I1406" i="1"/>
  <c r="X1412" i="1" l="1"/>
  <c r="AA1411" i="1"/>
  <c r="I1407" i="1"/>
  <c r="X1413" i="1" l="1"/>
  <c r="AA1412" i="1"/>
  <c r="I1408" i="1"/>
  <c r="X1414" i="1" l="1"/>
  <c r="AA1413" i="1"/>
  <c r="I1409" i="1"/>
  <c r="X1415" i="1" l="1"/>
  <c r="AA1414" i="1"/>
  <c r="I1410" i="1"/>
  <c r="AA1415" i="1" l="1"/>
  <c r="X1416" i="1"/>
  <c r="I1411" i="1"/>
  <c r="X1417" i="1" l="1"/>
  <c r="AA1416" i="1"/>
  <c r="I1412" i="1"/>
  <c r="X1418" i="1" l="1"/>
  <c r="AA1417" i="1"/>
  <c r="I1413" i="1"/>
  <c r="X1419" i="1" l="1"/>
  <c r="AA1418" i="1"/>
  <c r="I1414" i="1"/>
  <c r="X1420" i="1" l="1"/>
  <c r="AA1419" i="1"/>
  <c r="I1415" i="1"/>
  <c r="X1421" i="1" l="1"/>
  <c r="AA1420" i="1"/>
  <c r="I1416" i="1"/>
  <c r="X1422" i="1" l="1"/>
  <c r="AA1421" i="1"/>
  <c r="I1417" i="1"/>
  <c r="X1423" i="1" l="1"/>
  <c r="AA1422" i="1"/>
  <c r="I1418" i="1"/>
  <c r="AA1423" i="1" l="1"/>
  <c r="X1424" i="1"/>
  <c r="I1419" i="1"/>
  <c r="X1425" i="1" l="1"/>
  <c r="AA1424" i="1"/>
  <c r="I1420" i="1"/>
  <c r="X1426" i="1" l="1"/>
  <c r="AA1425" i="1"/>
  <c r="I1421" i="1"/>
  <c r="X1427" i="1" l="1"/>
  <c r="AA1426" i="1"/>
  <c r="I1422" i="1"/>
  <c r="X1428" i="1" l="1"/>
  <c r="AA1427" i="1"/>
  <c r="I1423" i="1"/>
  <c r="X1429" i="1" l="1"/>
  <c r="AA1428" i="1"/>
  <c r="I1424" i="1"/>
  <c r="X1430" i="1" l="1"/>
  <c r="AA1429" i="1"/>
  <c r="I1425" i="1"/>
  <c r="X1431" i="1" l="1"/>
  <c r="AA1430" i="1"/>
  <c r="I1426" i="1"/>
  <c r="AA1431" i="1" l="1"/>
  <c r="X1432" i="1"/>
  <c r="I1427" i="1"/>
  <c r="X1433" i="1" l="1"/>
  <c r="AA1432" i="1"/>
  <c r="I1428" i="1"/>
  <c r="X1434" i="1" l="1"/>
  <c r="AA1433" i="1"/>
  <c r="I1429" i="1"/>
  <c r="X1435" i="1" l="1"/>
  <c r="AA1434" i="1"/>
  <c r="I1430" i="1"/>
  <c r="X1436" i="1" l="1"/>
  <c r="AA1435" i="1"/>
  <c r="I1431" i="1"/>
  <c r="X1437" i="1" l="1"/>
  <c r="AA1436" i="1"/>
  <c r="I1432" i="1"/>
  <c r="X1438" i="1" l="1"/>
  <c r="AA1437" i="1"/>
  <c r="I1433" i="1"/>
  <c r="X1439" i="1" l="1"/>
  <c r="AA1438" i="1"/>
  <c r="I1434" i="1"/>
  <c r="AA1439" i="1" l="1"/>
  <c r="X1440" i="1"/>
  <c r="I1435" i="1"/>
  <c r="X1441" i="1" l="1"/>
  <c r="AA1440" i="1"/>
  <c r="I1436" i="1"/>
  <c r="X1442" i="1" l="1"/>
  <c r="AA1441" i="1"/>
  <c r="I1437" i="1"/>
  <c r="X1443" i="1" l="1"/>
  <c r="AA1442" i="1"/>
  <c r="I1438" i="1"/>
  <c r="X1444" i="1" l="1"/>
  <c r="AA1443" i="1"/>
  <c r="I1439" i="1"/>
  <c r="X1445" i="1" l="1"/>
  <c r="AA1444" i="1"/>
  <c r="I1440" i="1"/>
  <c r="X1446" i="1" l="1"/>
  <c r="AA1445" i="1"/>
  <c r="I1441" i="1"/>
  <c r="X1447" i="1" l="1"/>
  <c r="AA1446" i="1"/>
  <c r="I1442" i="1"/>
  <c r="AA1447" i="1" l="1"/>
  <c r="X1448" i="1"/>
  <c r="I1443" i="1"/>
  <c r="X1449" i="1" l="1"/>
  <c r="AA1448" i="1"/>
  <c r="I1444" i="1"/>
  <c r="X1450" i="1" l="1"/>
  <c r="AA1449" i="1"/>
  <c r="I1445" i="1"/>
  <c r="X1451" i="1" l="1"/>
  <c r="AA1450" i="1"/>
  <c r="I1446" i="1"/>
  <c r="X1452" i="1" l="1"/>
  <c r="AA1451" i="1"/>
  <c r="I1447" i="1"/>
  <c r="X1453" i="1" l="1"/>
  <c r="AA1452" i="1"/>
  <c r="I1448" i="1"/>
  <c r="X1454" i="1" l="1"/>
  <c r="AA1453" i="1"/>
  <c r="I1449" i="1"/>
  <c r="X1455" i="1" l="1"/>
  <c r="AA1454" i="1"/>
  <c r="I1450" i="1"/>
  <c r="AA1455" i="1" l="1"/>
  <c r="X1456" i="1"/>
  <c r="I1451" i="1"/>
  <c r="X1457" i="1" l="1"/>
  <c r="AA1456" i="1"/>
  <c r="I1452" i="1"/>
  <c r="X1458" i="1" l="1"/>
  <c r="AA1457" i="1"/>
  <c r="I1453" i="1"/>
  <c r="X1459" i="1" l="1"/>
  <c r="AA1458" i="1"/>
  <c r="I1454" i="1"/>
  <c r="X1460" i="1" l="1"/>
  <c r="AA1459" i="1"/>
  <c r="I1455" i="1"/>
  <c r="X1461" i="1" l="1"/>
  <c r="AA1460" i="1"/>
  <c r="I1456" i="1"/>
  <c r="X1462" i="1" l="1"/>
  <c r="AA1461" i="1"/>
  <c r="I1457" i="1"/>
  <c r="X1463" i="1" l="1"/>
  <c r="AA1462" i="1"/>
  <c r="I1458" i="1"/>
  <c r="AA1463" i="1" l="1"/>
  <c r="X1464" i="1"/>
  <c r="I1459" i="1"/>
  <c r="X1465" i="1" l="1"/>
  <c r="AA1464" i="1"/>
  <c r="I1460" i="1"/>
  <c r="X1466" i="1" l="1"/>
  <c r="AA1465" i="1"/>
  <c r="I1461" i="1"/>
  <c r="X1467" i="1" l="1"/>
  <c r="AA1466" i="1"/>
  <c r="I1462" i="1"/>
  <c r="X1468" i="1" l="1"/>
  <c r="AA1467" i="1"/>
  <c r="I1463" i="1"/>
  <c r="X1469" i="1" l="1"/>
  <c r="AA1468" i="1"/>
  <c r="I1464" i="1"/>
  <c r="X1470" i="1" l="1"/>
  <c r="AA1469" i="1"/>
  <c r="I1465" i="1"/>
  <c r="X1471" i="1" l="1"/>
  <c r="AA1470" i="1"/>
  <c r="I1466" i="1"/>
  <c r="AA1471" i="1" l="1"/>
  <c r="X1472" i="1"/>
  <c r="I1467" i="1"/>
  <c r="X1473" i="1" l="1"/>
  <c r="AA1472" i="1"/>
  <c r="I1468" i="1"/>
  <c r="X1474" i="1" l="1"/>
  <c r="AA1473" i="1"/>
  <c r="I1469" i="1"/>
  <c r="X1475" i="1" l="1"/>
  <c r="AA1474" i="1"/>
  <c r="I1470" i="1"/>
  <c r="X1476" i="1" l="1"/>
  <c r="AA1475" i="1"/>
  <c r="I1471" i="1"/>
  <c r="X1477" i="1" l="1"/>
  <c r="AA1476" i="1"/>
  <c r="I1472" i="1"/>
  <c r="X1478" i="1" l="1"/>
  <c r="AA1477" i="1"/>
  <c r="I1473" i="1"/>
  <c r="X1479" i="1" l="1"/>
  <c r="AA1478" i="1"/>
  <c r="I1474" i="1"/>
  <c r="AA1479" i="1" l="1"/>
  <c r="X1480" i="1"/>
  <c r="I1475" i="1"/>
  <c r="X1481" i="1" l="1"/>
  <c r="AA1480" i="1"/>
  <c r="I1476" i="1"/>
  <c r="X1482" i="1" l="1"/>
  <c r="AA1481" i="1"/>
  <c r="I1477" i="1"/>
  <c r="X1483" i="1" l="1"/>
  <c r="AA1482" i="1"/>
  <c r="I1478" i="1"/>
  <c r="X1484" i="1" l="1"/>
  <c r="AA1483" i="1"/>
  <c r="I1479" i="1"/>
  <c r="X1485" i="1" l="1"/>
  <c r="AA1484" i="1"/>
  <c r="I1480" i="1"/>
  <c r="X1486" i="1" l="1"/>
  <c r="AA1485" i="1"/>
  <c r="I1481" i="1"/>
  <c r="X1487" i="1" l="1"/>
  <c r="AA1486" i="1"/>
  <c r="I1482" i="1"/>
  <c r="AA1487" i="1" l="1"/>
  <c r="X1488" i="1"/>
  <c r="I1483" i="1"/>
  <c r="X1489" i="1" l="1"/>
  <c r="AA1488" i="1"/>
  <c r="I1484" i="1"/>
  <c r="X1490" i="1" l="1"/>
  <c r="AA1489" i="1"/>
  <c r="I1485" i="1"/>
  <c r="X1491" i="1" l="1"/>
  <c r="AA1490" i="1"/>
  <c r="I1486" i="1"/>
  <c r="X1492" i="1" l="1"/>
  <c r="AA1491" i="1"/>
  <c r="I1487" i="1"/>
  <c r="X1493" i="1" l="1"/>
  <c r="AA1492" i="1"/>
  <c r="I1488" i="1"/>
  <c r="X1494" i="1" l="1"/>
  <c r="AA1493" i="1"/>
  <c r="I1489" i="1"/>
  <c r="X1495" i="1" l="1"/>
  <c r="AA1494" i="1"/>
  <c r="I1490" i="1"/>
  <c r="AA1495" i="1" l="1"/>
  <c r="X1496" i="1"/>
  <c r="I1491" i="1"/>
  <c r="X1497" i="1" l="1"/>
  <c r="AA1496" i="1"/>
  <c r="I1492" i="1"/>
  <c r="X1498" i="1" l="1"/>
  <c r="AA1497" i="1"/>
  <c r="I1493" i="1"/>
  <c r="X1499" i="1" l="1"/>
  <c r="AA1498" i="1"/>
  <c r="I1494" i="1"/>
  <c r="X1500" i="1" l="1"/>
  <c r="AA1499" i="1"/>
  <c r="I1495" i="1"/>
  <c r="X1501" i="1" l="1"/>
  <c r="AA1500" i="1"/>
  <c r="I1496" i="1"/>
  <c r="X1502" i="1" l="1"/>
  <c r="AA1501" i="1"/>
  <c r="I1497" i="1"/>
  <c r="X1503" i="1" l="1"/>
  <c r="AA1502" i="1"/>
  <c r="I1498" i="1"/>
  <c r="AA1503" i="1" l="1"/>
  <c r="X1504" i="1"/>
  <c r="I1499" i="1"/>
  <c r="X1505" i="1" l="1"/>
  <c r="AA1504" i="1"/>
  <c r="I1500" i="1"/>
  <c r="X1506" i="1" l="1"/>
  <c r="AA1505" i="1"/>
  <c r="I1501" i="1"/>
  <c r="X1507" i="1" l="1"/>
  <c r="AA1506" i="1"/>
  <c r="I1502" i="1"/>
  <c r="X1508" i="1" l="1"/>
  <c r="AA1507" i="1"/>
  <c r="I1503" i="1"/>
  <c r="X1509" i="1" l="1"/>
  <c r="AA1508" i="1"/>
  <c r="I1504" i="1"/>
  <c r="X1510" i="1" l="1"/>
  <c r="AA1509" i="1"/>
  <c r="I1505" i="1"/>
  <c r="X1511" i="1" l="1"/>
  <c r="AA1510" i="1"/>
  <c r="I1506" i="1"/>
  <c r="AA1511" i="1" l="1"/>
  <c r="X1512" i="1"/>
  <c r="I1507" i="1"/>
  <c r="X1513" i="1" l="1"/>
  <c r="AA1512" i="1"/>
  <c r="I1508" i="1"/>
  <c r="X1514" i="1" l="1"/>
  <c r="AA1513" i="1"/>
  <c r="I1509" i="1"/>
  <c r="X1515" i="1" l="1"/>
  <c r="AA1514" i="1"/>
  <c r="I1510" i="1"/>
  <c r="X1516" i="1" l="1"/>
  <c r="AA1515" i="1"/>
  <c r="I1511" i="1"/>
  <c r="X1517" i="1" l="1"/>
  <c r="AA1516" i="1"/>
  <c r="I1512" i="1"/>
  <c r="X1518" i="1" l="1"/>
  <c r="AA1517" i="1"/>
  <c r="I1513" i="1"/>
  <c r="X1519" i="1" l="1"/>
  <c r="AA1518" i="1"/>
  <c r="I1514" i="1"/>
  <c r="AA1519" i="1" l="1"/>
  <c r="X1520" i="1"/>
  <c r="I1515" i="1"/>
  <c r="X1521" i="1" l="1"/>
  <c r="AA1520" i="1"/>
  <c r="I1516" i="1"/>
  <c r="X1522" i="1" l="1"/>
  <c r="AA1521" i="1"/>
  <c r="I1517" i="1"/>
  <c r="X1523" i="1" l="1"/>
  <c r="AA1522" i="1"/>
  <c r="I1518" i="1"/>
  <c r="X1524" i="1" l="1"/>
  <c r="AA1523" i="1"/>
  <c r="I1519" i="1"/>
  <c r="X1525" i="1" l="1"/>
  <c r="AA1524" i="1"/>
  <c r="I1520" i="1"/>
  <c r="X1526" i="1" l="1"/>
  <c r="AA1525" i="1"/>
  <c r="I1521" i="1"/>
  <c r="X1527" i="1" l="1"/>
  <c r="AA1526" i="1"/>
  <c r="I1522" i="1"/>
  <c r="AA1527" i="1" l="1"/>
  <c r="X1528" i="1"/>
  <c r="I1523" i="1"/>
  <c r="X1529" i="1" l="1"/>
  <c r="AA1528" i="1"/>
  <c r="I1524" i="1"/>
  <c r="X1530" i="1" l="1"/>
  <c r="AA1529" i="1"/>
  <c r="I1525" i="1"/>
  <c r="X1531" i="1" l="1"/>
  <c r="AA1530" i="1"/>
  <c r="I1526" i="1"/>
  <c r="X1532" i="1" l="1"/>
  <c r="AA1531" i="1"/>
  <c r="I1527" i="1"/>
  <c r="X1533" i="1" l="1"/>
  <c r="AA1532" i="1"/>
  <c r="I1528" i="1"/>
  <c r="X1534" i="1" l="1"/>
  <c r="AA1533" i="1"/>
  <c r="I1529" i="1"/>
  <c r="X1535" i="1" l="1"/>
  <c r="AA1534" i="1"/>
  <c r="I1530" i="1"/>
  <c r="AA1535" i="1" l="1"/>
  <c r="X1536" i="1"/>
  <c r="I1531" i="1"/>
  <c r="X1537" i="1" l="1"/>
  <c r="AA1536" i="1"/>
  <c r="I1532" i="1"/>
  <c r="X1538" i="1" l="1"/>
  <c r="AA1537" i="1"/>
  <c r="I1533" i="1"/>
  <c r="X1539" i="1" l="1"/>
  <c r="AA1538" i="1"/>
  <c r="I1534" i="1"/>
  <c r="X1540" i="1" l="1"/>
  <c r="AA1539" i="1"/>
  <c r="I1535" i="1"/>
  <c r="X1541" i="1" l="1"/>
  <c r="AA1540" i="1"/>
  <c r="I1536" i="1"/>
  <c r="X1542" i="1" l="1"/>
  <c r="AA1541" i="1"/>
  <c r="I1537" i="1"/>
  <c r="X1543" i="1" l="1"/>
  <c r="AA1542" i="1"/>
  <c r="I1538" i="1"/>
  <c r="AA1543" i="1" l="1"/>
  <c r="X1544" i="1"/>
  <c r="I1539" i="1"/>
  <c r="X1545" i="1" l="1"/>
  <c r="AA1544" i="1"/>
  <c r="I1540" i="1"/>
  <c r="X1546" i="1" l="1"/>
  <c r="AA1545" i="1"/>
  <c r="I1541" i="1"/>
  <c r="X1547" i="1" l="1"/>
  <c r="AA1546" i="1"/>
  <c r="I1542" i="1"/>
  <c r="X1548" i="1" l="1"/>
  <c r="AA1547" i="1"/>
  <c r="I1543" i="1"/>
  <c r="X1549" i="1" l="1"/>
  <c r="AA1548" i="1"/>
  <c r="I1544" i="1"/>
  <c r="X1550" i="1" l="1"/>
  <c r="AA1549" i="1"/>
  <c r="I1545" i="1"/>
  <c r="X1551" i="1" l="1"/>
  <c r="AA1550" i="1"/>
  <c r="I1546" i="1"/>
  <c r="AA1551" i="1" l="1"/>
  <c r="X1552" i="1"/>
  <c r="I1547" i="1"/>
  <c r="X1553" i="1" l="1"/>
  <c r="AA1552" i="1"/>
  <c r="I1548" i="1"/>
  <c r="X1554" i="1" l="1"/>
  <c r="AA1553" i="1"/>
  <c r="I1549" i="1"/>
  <c r="X1555" i="1" l="1"/>
  <c r="AA1554" i="1"/>
  <c r="I1550" i="1"/>
  <c r="X1556" i="1" l="1"/>
  <c r="AA1555" i="1"/>
  <c r="I1551" i="1"/>
  <c r="X1557" i="1" l="1"/>
  <c r="AA1556" i="1"/>
  <c r="I1552" i="1"/>
  <c r="X1558" i="1" l="1"/>
  <c r="AA1557" i="1"/>
  <c r="I1553" i="1"/>
  <c r="X1559" i="1" l="1"/>
  <c r="AA1558" i="1"/>
  <c r="I1554" i="1"/>
  <c r="AA1559" i="1" l="1"/>
  <c r="X1560" i="1"/>
  <c r="I1555" i="1"/>
  <c r="X1561" i="1" l="1"/>
  <c r="AA1560" i="1"/>
  <c r="I1556" i="1"/>
  <c r="X1562" i="1" l="1"/>
  <c r="AA1561" i="1"/>
  <c r="I1557" i="1"/>
  <c r="X1563" i="1" l="1"/>
  <c r="AA1562" i="1"/>
  <c r="I1558" i="1"/>
  <c r="X1564" i="1" l="1"/>
  <c r="AA1563" i="1"/>
  <c r="I1559" i="1"/>
  <c r="X1565" i="1" l="1"/>
  <c r="AA1564" i="1"/>
  <c r="I1560" i="1"/>
  <c r="X1566" i="1" l="1"/>
  <c r="AA1565" i="1"/>
  <c r="I1561" i="1"/>
  <c r="X1567" i="1" l="1"/>
  <c r="AA1566" i="1"/>
  <c r="I1562" i="1"/>
  <c r="AA1567" i="1" l="1"/>
  <c r="X1568" i="1"/>
  <c r="I1563" i="1"/>
  <c r="X1569" i="1" l="1"/>
  <c r="AA1568" i="1"/>
  <c r="I1564" i="1"/>
  <c r="X1570" i="1" l="1"/>
  <c r="AA1569" i="1"/>
  <c r="I1565" i="1"/>
  <c r="X1571" i="1" l="1"/>
  <c r="AA1570" i="1"/>
  <c r="I1566" i="1"/>
  <c r="X1572" i="1" l="1"/>
  <c r="AA1571" i="1"/>
  <c r="I1567" i="1"/>
  <c r="X1573" i="1" l="1"/>
  <c r="AA1572" i="1"/>
  <c r="I1568" i="1"/>
  <c r="X1574" i="1" l="1"/>
  <c r="AA1573" i="1"/>
  <c r="I1569" i="1"/>
  <c r="X1575" i="1" l="1"/>
  <c r="AA1574" i="1"/>
  <c r="I1570" i="1"/>
  <c r="AA1575" i="1" l="1"/>
  <c r="X1576" i="1"/>
  <c r="I1571" i="1"/>
  <c r="X1577" i="1" l="1"/>
  <c r="AA1576" i="1"/>
  <c r="I1572" i="1"/>
  <c r="X1578" i="1" l="1"/>
  <c r="AA1577" i="1"/>
  <c r="I1573" i="1"/>
  <c r="X1579" i="1" l="1"/>
  <c r="AA1578" i="1"/>
  <c r="I1574" i="1"/>
  <c r="X1580" i="1" l="1"/>
  <c r="AA1579" i="1"/>
  <c r="I1575" i="1"/>
  <c r="X1581" i="1" l="1"/>
  <c r="AA1580" i="1"/>
  <c r="I1576" i="1"/>
  <c r="X1582" i="1" l="1"/>
  <c r="AA1581" i="1"/>
  <c r="I1577" i="1"/>
  <c r="X1583" i="1" l="1"/>
  <c r="AA1582" i="1"/>
  <c r="I1578" i="1"/>
  <c r="AA1583" i="1" l="1"/>
  <c r="X1584" i="1"/>
  <c r="I1579" i="1"/>
  <c r="X1585" i="1" l="1"/>
  <c r="AA1584" i="1"/>
  <c r="I1580" i="1"/>
  <c r="X1586" i="1" l="1"/>
  <c r="AA1585" i="1"/>
  <c r="I1581" i="1"/>
  <c r="X1587" i="1" l="1"/>
  <c r="AA1586" i="1"/>
  <c r="I1582" i="1"/>
  <c r="X1588" i="1" l="1"/>
  <c r="AA1587" i="1"/>
  <c r="I1583" i="1"/>
  <c r="X1589" i="1" l="1"/>
  <c r="AA1588" i="1"/>
  <c r="I1584" i="1"/>
  <c r="X1590" i="1" l="1"/>
  <c r="AA1589" i="1"/>
  <c r="I1585" i="1"/>
  <c r="X1591" i="1" l="1"/>
  <c r="AA1590" i="1"/>
  <c r="I1586" i="1"/>
  <c r="AA1591" i="1" l="1"/>
  <c r="X1592" i="1"/>
  <c r="I1587" i="1"/>
  <c r="X1593" i="1" l="1"/>
  <c r="AA1592" i="1"/>
  <c r="I1588" i="1"/>
  <c r="X1594" i="1" l="1"/>
  <c r="AA1593" i="1"/>
  <c r="I1589" i="1"/>
  <c r="X1595" i="1" l="1"/>
  <c r="AA1594" i="1"/>
  <c r="I1590" i="1"/>
  <c r="X1596" i="1" l="1"/>
  <c r="AA1595" i="1"/>
  <c r="I1591" i="1"/>
  <c r="X1597" i="1" l="1"/>
  <c r="AA1596" i="1"/>
  <c r="I1592" i="1"/>
  <c r="X1598" i="1" l="1"/>
  <c r="AA1597" i="1"/>
  <c r="I1593" i="1"/>
  <c r="X1599" i="1" l="1"/>
  <c r="AA1598" i="1"/>
  <c r="I1594" i="1"/>
  <c r="AA1599" i="1" l="1"/>
  <c r="X1600" i="1"/>
  <c r="I1595" i="1"/>
  <c r="X1601" i="1" l="1"/>
  <c r="AA1600" i="1"/>
  <c r="I1596" i="1"/>
  <c r="X1602" i="1" l="1"/>
  <c r="AA1601" i="1"/>
  <c r="I1597" i="1"/>
  <c r="X1603" i="1" l="1"/>
  <c r="AA1602" i="1"/>
  <c r="I1598" i="1"/>
  <c r="X1604" i="1" l="1"/>
  <c r="AA1603" i="1"/>
  <c r="I1599" i="1"/>
  <c r="X1605" i="1" l="1"/>
  <c r="AA1604" i="1"/>
  <c r="I1600" i="1"/>
  <c r="X1606" i="1" l="1"/>
  <c r="AA1605" i="1"/>
  <c r="I1601" i="1"/>
  <c r="X1607" i="1" l="1"/>
  <c r="AA1606" i="1"/>
  <c r="I1602" i="1"/>
  <c r="AA1607" i="1" l="1"/>
  <c r="X1608" i="1"/>
  <c r="I1603" i="1"/>
  <c r="X1609" i="1" l="1"/>
  <c r="AA1608" i="1"/>
  <c r="I1604" i="1"/>
  <c r="X1610" i="1" l="1"/>
  <c r="AA1609" i="1"/>
  <c r="I1605" i="1"/>
  <c r="X1611" i="1" l="1"/>
  <c r="AA1610" i="1"/>
  <c r="I1606" i="1"/>
  <c r="X1612" i="1" l="1"/>
  <c r="AA1611" i="1"/>
  <c r="I1607" i="1"/>
  <c r="X1613" i="1" l="1"/>
  <c r="AA1612" i="1"/>
  <c r="I1608" i="1"/>
  <c r="X1614" i="1" l="1"/>
  <c r="AA1613" i="1"/>
  <c r="I1609" i="1"/>
  <c r="X1615" i="1" l="1"/>
  <c r="AA1614" i="1"/>
  <c r="I1610" i="1"/>
  <c r="AA1615" i="1" l="1"/>
  <c r="X1616" i="1"/>
  <c r="I1611" i="1"/>
  <c r="X1617" i="1" l="1"/>
  <c r="AA1616" i="1"/>
  <c r="I1612" i="1"/>
  <c r="X1618" i="1" l="1"/>
  <c r="AA1617" i="1"/>
  <c r="I1613" i="1"/>
  <c r="X1619" i="1" l="1"/>
  <c r="AA1618" i="1"/>
  <c r="I1614" i="1"/>
  <c r="X1620" i="1" l="1"/>
  <c r="AA1619" i="1"/>
  <c r="I1615" i="1"/>
  <c r="X1621" i="1" l="1"/>
  <c r="AA1620" i="1"/>
  <c r="I1616" i="1"/>
  <c r="X1622" i="1" l="1"/>
  <c r="AA1621" i="1"/>
  <c r="I1617" i="1"/>
  <c r="X1623" i="1" l="1"/>
  <c r="AA1622" i="1"/>
  <c r="I1618" i="1"/>
  <c r="X1624" i="1" l="1"/>
  <c r="AA1623" i="1"/>
  <c r="I1619" i="1"/>
  <c r="X1625" i="1" l="1"/>
  <c r="AA1624" i="1"/>
  <c r="I1620" i="1"/>
  <c r="X1626" i="1" l="1"/>
  <c r="AA1625" i="1"/>
  <c r="I1621" i="1"/>
  <c r="X1627" i="1" l="1"/>
  <c r="AA1626" i="1"/>
  <c r="I1622" i="1"/>
  <c r="X1628" i="1" l="1"/>
  <c r="AA1627" i="1"/>
  <c r="I1623" i="1"/>
  <c r="X1629" i="1" l="1"/>
  <c r="AA1628" i="1"/>
  <c r="I1624" i="1"/>
  <c r="X1630" i="1" l="1"/>
  <c r="AA1629" i="1"/>
  <c r="I1625" i="1"/>
  <c r="X1631" i="1" l="1"/>
  <c r="AA1630" i="1"/>
  <c r="I1626" i="1"/>
  <c r="X1632" i="1" l="1"/>
  <c r="AA1631" i="1"/>
  <c r="I1627" i="1"/>
  <c r="X1633" i="1" l="1"/>
  <c r="AA1632" i="1"/>
  <c r="I1628" i="1"/>
  <c r="X1634" i="1" l="1"/>
  <c r="AA1633" i="1"/>
  <c r="I1629" i="1"/>
  <c r="X1635" i="1" l="1"/>
  <c r="AA1634" i="1"/>
  <c r="I1630" i="1"/>
  <c r="X1636" i="1" l="1"/>
  <c r="AA1635" i="1"/>
  <c r="I1631" i="1"/>
  <c r="X1637" i="1" l="1"/>
  <c r="AA1636" i="1"/>
  <c r="I1632" i="1"/>
  <c r="X1638" i="1" l="1"/>
  <c r="AA1637" i="1"/>
  <c r="I1633" i="1"/>
  <c r="X1639" i="1" l="1"/>
  <c r="AA1638" i="1"/>
  <c r="I1634" i="1"/>
  <c r="X1640" i="1" l="1"/>
  <c r="AA1639" i="1"/>
  <c r="I1635" i="1"/>
  <c r="X1641" i="1" l="1"/>
  <c r="AA1640" i="1"/>
  <c r="I1636" i="1"/>
  <c r="X1642" i="1" l="1"/>
  <c r="AA1641" i="1"/>
  <c r="I1637" i="1"/>
  <c r="X1643" i="1" l="1"/>
  <c r="AA1642" i="1"/>
  <c r="I1638" i="1"/>
  <c r="X1644" i="1" l="1"/>
  <c r="AA1643" i="1"/>
  <c r="I1639" i="1"/>
  <c r="X1645" i="1" l="1"/>
  <c r="AA1644" i="1"/>
  <c r="I1640" i="1"/>
  <c r="X1646" i="1" l="1"/>
  <c r="AA1645" i="1"/>
  <c r="I1641" i="1"/>
  <c r="X1647" i="1" l="1"/>
  <c r="AA1646" i="1"/>
  <c r="I1642" i="1"/>
  <c r="X1648" i="1" l="1"/>
  <c r="AA1647" i="1"/>
  <c r="I1643" i="1"/>
  <c r="X1649" i="1" l="1"/>
  <c r="AA1648" i="1"/>
  <c r="I1644" i="1"/>
  <c r="X1650" i="1" l="1"/>
  <c r="AA1649" i="1"/>
  <c r="I1645" i="1"/>
  <c r="X1651" i="1" l="1"/>
  <c r="AA1650" i="1"/>
  <c r="I1646" i="1"/>
  <c r="X1652" i="1" l="1"/>
  <c r="AA1651" i="1"/>
  <c r="I1647" i="1"/>
  <c r="X1653" i="1" l="1"/>
  <c r="AA1652" i="1"/>
  <c r="I1648" i="1"/>
  <c r="X1654" i="1" l="1"/>
  <c r="AA1653" i="1"/>
  <c r="I1649" i="1"/>
  <c r="X1655" i="1" l="1"/>
  <c r="AA1654" i="1"/>
  <c r="I1650" i="1"/>
  <c r="X1656" i="1" l="1"/>
  <c r="AA1655" i="1"/>
  <c r="I1651" i="1"/>
  <c r="X1657" i="1" l="1"/>
  <c r="AA1656" i="1"/>
  <c r="I1652" i="1"/>
  <c r="X1658" i="1" l="1"/>
  <c r="AA1657" i="1"/>
  <c r="I1653" i="1"/>
  <c r="X1659" i="1" l="1"/>
  <c r="AA1658" i="1"/>
  <c r="I1654" i="1"/>
  <c r="X1660" i="1" l="1"/>
  <c r="AA1659" i="1"/>
  <c r="I1655" i="1"/>
  <c r="X1661" i="1" l="1"/>
  <c r="AA1660" i="1"/>
  <c r="I1656" i="1"/>
  <c r="X1662" i="1" l="1"/>
  <c r="AA1661" i="1"/>
  <c r="I1657" i="1"/>
  <c r="X1663" i="1" l="1"/>
  <c r="AA1662" i="1"/>
  <c r="I1658" i="1"/>
  <c r="X1664" i="1" l="1"/>
  <c r="AA1663" i="1"/>
  <c r="I1659" i="1"/>
  <c r="X1665" i="1" l="1"/>
  <c r="AA1664" i="1"/>
  <c r="I1660" i="1"/>
  <c r="X1666" i="1" l="1"/>
  <c r="AA1665" i="1"/>
  <c r="I1661" i="1"/>
  <c r="X1667" i="1" l="1"/>
  <c r="AA1666" i="1"/>
  <c r="I1662" i="1"/>
  <c r="X1668" i="1" l="1"/>
  <c r="AA1667" i="1"/>
  <c r="I1663" i="1"/>
  <c r="X1669" i="1" l="1"/>
  <c r="AA1668" i="1"/>
  <c r="I1664" i="1"/>
  <c r="X1670" i="1" l="1"/>
  <c r="AA1669" i="1"/>
  <c r="I1665" i="1"/>
  <c r="X1671" i="1" l="1"/>
  <c r="AA1670" i="1"/>
  <c r="I1666" i="1"/>
  <c r="X1672" i="1" l="1"/>
  <c r="AA1671" i="1"/>
  <c r="I1667" i="1"/>
  <c r="X1673" i="1" l="1"/>
  <c r="AA1672" i="1"/>
  <c r="I1668" i="1"/>
  <c r="X1674" i="1" l="1"/>
  <c r="AA1673" i="1"/>
  <c r="I1669" i="1"/>
  <c r="X1675" i="1" l="1"/>
  <c r="AA1674" i="1"/>
  <c r="I1670" i="1"/>
  <c r="X1676" i="1" l="1"/>
  <c r="AA1675" i="1"/>
  <c r="I1671" i="1"/>
  <c r="X1677" i="1" l="1"/>
  <c r="AA1676" i="1"/>
  <c r="I1672" i="1"/>
  <c r="X1678" i="1" l="1"/>
  <c r="AA1677" i="1"/>
  <c r="I1673" i="1"/>
  <c r="X1679" i="1" l="1"/>
  <c r="AA1678" i="1"/>
  <c r="I1674" i="1"/>
  <c r="X1680" i="1" l="1"/>
  <c r="AA1679" i="1"/>
  <c r="I1675" i="1"/>
  <c r="X1681" i="1" l="1"/>
  <c r="AA1680" i="1"/>
  <c r="I1676" i="1"/>
  <c r="X1682" i="1" l="1"/>
  <c r="AA1681" i="1"/>
  <c r="I1677" i="1"/>
  <c r="X1683" i="1" l="1"/>
  <c r="AA1682" i="1"/>
  <c r="I1678" i="1"/>
  <c r="X1684" i="1" l="1"/>
  <c r="AA1683" i="1"/>
  <c r="I1679" i="1"/>
  <c r="X1685" i="1" l="1"/>
  <c r="AA1684" i="1"/>
  <c r="I1680" i="1"/>
  <c r="X1686" i="1" l="1"/>
  <c r="AA1685" i="1"/>
  <c r="I1681" i="1"/>
  <c r="AA1686" i="1" l="1"/>
  <c r="X1687" i="1"/>
  <c r="I1682" i="1"/>
  <c r="X1688" i="1" l="1"/>
  <c r="AA1687" i="1"/>
  <c r="I1683" i="1"/>
  <c r="X1689" i="1" l="1"/>
  <c r="AA1688" i="1"/>
  <c r="I1684" i="1"/>
  <c r="X1690" i="1" l="1"/>
  <c r="AA1689" i="1"/>
  <c r="I1685" i="1"/>
  <c r="X1691" i="1" l="1"/>
  <c r="AA1690" i="1"/>
  <c r="I1686" i="1"/>
  <c r="X1692" i="1" l="1"/>
  <c r="AA1691" i="1"/>
  <c r="I1687" i="1"/>
  <c r="X1693" i="1" l="1"/>
  <c r="AA1692" i="1"/>
  <c r="I1688" i="1"/>
  <c r="X1694" i="1" l="1"/>
  <c r="AA1693" i="1"/>
  <c r="I1689" i="1"/>
  <c r="AA1694" i="1" l="1"/>
  <c r="X1695" i="1"/>
  <c r="I1690" i="1"/>
  <c r="X1696" i="1" l="1"/>
  <c r="AA1695" i="1"/>
  <c r="I1691" i="1"/>
  <c r="X1697" i="1" l="1"/>
  <c r="AA1696" i="1"/>
  <c r="I1692" i="1"/>
  <c r="X1698" i="1" l="1"/>
  <c r="AA1697" i="1"/>
  <c r="I1693" i="1"/>
  <c r="X1699" i="1" l="1"/>
  <c r="AA1698" i="1"/>
  <c r="I1694" i="1"/>
  <c r="X1700" i="1" l="1"/>
  <c r="AA1699" i="1"/>
  <c r="I1695" i="1"/>
  <c r="X1701" i="1" l="1"/>
  <c r="AA1700" i="1"/>
  <c r="I1696" i="1"/>
  <c r="X1702" i="1" l="1"/>
  <c r="AA1701" i="1"/>
  <c r="I1697" i="1"/>
  <c r="AA1702" i="1" l="1"/>
  <c r="X1703" i="1"/>
  <c r="I1698" i="1"/>
  <c r="X1704" i="1" l="1"/>
  <c r="AA1703" i="1"/>
  <c r="I1699" i="1"/>
  <c r="X1705" i="1" l="1"/>
  <c r="AA1704" i="1"/>
  <c r="I1700" i="1"/>
  <c r="X1706" i="1" l="1"/>
  <c r="AA1705" i="1"/>
  <c r="I1701" i="1"/>
  <c r="X1707" i="1" l="1"/>
  <c r="AA1706" i="1"/>
  <c r="I1702" i="1"/>
  <c r="X1708" i="1" l="1"/>
  <c r="AA1707" i="1"/>
  <c r="I1703" i="1"/>
  <c r="X1709" i="1" l="1"/>
  <c r="AA1708" i="1"/>
  <c r="I1704" i="1"/>
  <c r="X1710" i="1" l="1"/>
  <c r="AA1709" i="1"/>
  <c r="I1705" i="1"/>
  <c r="AA1710" i="1" l="1"/>
  <c r="X1711" i="1"/>
  <c r="I1706" i="1"/>
  <c r="X1712" i="1" l="1"/>
  <c r="AA1711" i="1"/>
  <c r="I1707" i="1"/>
  <c r="X1713" i="1" l="1"/>
  <c r="AA1712" i="1"/>
  <c r="I1708" i="1"/>
  <c r="X1714" i="1" l="1"/>
  <c r="AA1713" i="1"/>
  <c r="I1709" i="1"/>
  <c r="X1715" i="1" l="1"/>
  <c r="AA1714" i="1"/>
  <c r="I1710" i="1"/>
  <c r="X1716" i="1" l="1"/>
  <c r="AA1715" i="1"/>
  <c r="I1711" i="1"/>
  <c r="X1717" i="1" l="1"/>
  <c r="AA1716" i="1"/>
  <c r="I1712" i="1"/>
  <c r="X1718" i="1" l="1"/>
  <c r="AA1717" i="1"/>
  <c r="I1713" i="1"/>
  <c r="AA1718" i="1" l="1"/>
  <c r="X1719" i="1"/>
  <c r="I1714" i="1"/>
  <c r="X1720" i="1" l="1"/>
  <c r="AA1719" i="1"/>
  <c r="I1715" i="1"/>
  <c r="X1721" i="1" l="1"/>
  <c r="AA1720" i="1"/>
  <c r="I1716" i="1"/>
  <c r="X1722" i="1" l="1"/>
  <c r="AA1721" i="1"/>
  <c r="I1717" i="1"/>
  <c r="X1723" i="1" l="1"/>
  <c r="AA1722" i="1"/>
  <c r="I1718" i="1"/>
  <c r="X1724" i="1" l="1"/>
  <c r="AA1723" i="1"/>
  <c r="I1719" i="1"/>
  <c r="X1725" i="1" l="1"/>
  <c r="AA1724" i="1"/>
  <c r="I1720" i="1"/>
  <c r="X1726" i="1" l="1"/>
  <c r="AA1725" i="1"/>
  <c r="I1721" i="1"/>
  <c r="AA1726" i="1" l="1"/>
  <c r="X1727" i="1"/>
  <c r="I1722" i="1"/>
  <c r="X1728" i="1" l="1"/>
  <c r="AA1727" i="1"/>
  <c r="I1723" i="1"/>
  <c r="X1729" i="1" l="1"/>
  <c r="AA1728" i="1"/>
  <c r="I1724" i="1"/>
  <c r="X1730" i="1" l="1"/>
  <c r="AA1729" i="1"/>
  <c r="I1725" i="1"/>
  <c r="X1731" i="1" l="1"/>
  <c r="AA1730" i="1"/>
  <c r="I1726" i="1"/>
  <c r="X1732" i="1" l="1"/>
  <c r="AA1731" i="1"/>
  <c r="I1727" i="1"/>
  <c r="X1733" i="1" l="1"/>
  <c r="AA1732" i="1"/>
  <c r="I1728" i="1"/>
  <c r="X1734" i="1" l="1"/>
  <c r="AA1733" i="1"/>
  <c r="I1729" i="1"/>
  <c r="AA1734" i="1" l="1"/>
  <c r="X1735" i="1"/>
  <c r="I1730" i="1"/>
  <c r="X1736" i="1" l="1"/>
  <c r="AA1735" i="1"/>
  <c r="I1731" i="1"/>
  <c r="X1737" i="1" l="1"/>
  <c r="AA1736" i="1"/>
  <c r="I1732" i="1"/>
  <c r="X1738" i="1" l="1"/>
  <c r="AA1737" i="1"/>
  <c r="I1733" i="1"/>
  <c r="X1739" i="1" l="1"/>
  <c r="AA1738" i="1"/>
  <c r="I1734" i="1"/>
  <c r="X1740" i="1" l="1"/>
  <c r="AA1739" i="1"/>
  <c r="I1735" i="1"/>
  <c r="X1741" i="1" l="1"/>
  <c r="AA1740" i="1"/>
  <c r="I1736" i="1"/>
  <c r="X1742" i="1" l="1"/>
  <c r="AA1741" i="1"/>
  <c r="I1737" i="1"/>
  <c r="AA1742" i="1" l="1"/>
  <c r="X1743" i="1"/>
  <c r="I1738" i="1"/>
  <c r="X1744" i="1" l="1"/>
  <c r="AA1743" i="1"/>
  <c r="I1739" i="1"/>
  <c r="X1745" i="1" l="1"/>
  <c r="AA1744" i="1"/>
  <c r="I1740" i="1"/>
  <c r="X1746" i="1" l="1"/>
  <c r="AA1745" i="1"/>
  <c r="I1741" i="1"/>
  <c r="X1747" i="1" l="1"/>
  <c r="AA1746" i="1"/>
  <c r="I1742" i="1"/>
  <c r="X1748" i="1" l="1"/>
  <c r="AA1747" i="1"/>
  <c r="I1743" i="1"/>
  <c r="X1749" i="1" l="1"/>
  <c r="AA1748" i="1"/>
  <c r="I1744" i="1"/>
  <c r="X1750" i="1" l="1"/>
  <c r="AA1749" i="1"/>
  <c r="I1745" i="1"/>
  <c r="AA1750" i="1" l="1"/>
  <c r="X1751" i="1"/>
  <c r="I1746" i="1"/>
  <c r="X1752" i="1" l="1"/>
  <c r="AA1751" i="1"/>
  <c r="I1747" i="1"/>
  <c r="X1753" i="1" l="1"/>
  <c r="AA1752" i="1"/>
  <c r="I1748" i="1"/>
  <c r="X1754" i="1" l="1"/>
  <c r="AA1753" i="1"/>
  <c r="I1749" i="1"/>
  <c r="X1755" i="1" l="1"/>
  <c r="AA1754" i="1"/>
  <c r="I1750" i="1"/>
  <c r="X1756" i="1" l="1"/>
  <c r="AA1755" i="1"/>
  <c r="I1751" i="1"/>
  <c r="X1757" i="1" l="1"/>
  <c r="AA1756" i="1"/>
  <c r="I1752" i="1"/>
  <c r="X1758" i="1" l="1"/>
  <c r="AA1757" i="1"/>
  <c r="I1753" i="1"/>
  <c r="AA1758" i="1" l="1"/>
  <c r="X1759" i="1"/>
  <c r="I1754" i="1"/>
  <c r="X1760" i="1" l="1"/>
  <c r="AA1759" i="1"/>
  <c r="I1755" i="1"/>
  <c r="X1761" i="1" l="1"/>
  <c r="AA1760" i="1"/>
  <c r="I1756" i="1"/>
  <c r="X1762" i="1" l="1"/>
  <c r="AA1761" i="1"/>
  <c r="I1757" i="1"/>
  <c r="X1763" i="1" l="1"/>
  <c r="AA1762" i="1"/>
  <c r="I1758" i="1"/>
  <c r="X1764" i="1" l="1"/>
  <c r="AA1763" i="1"/>
  <c r="I1759" i="1"/>
  <c r="X1765" i="1" l="1"/>
  <c r="AA1764" i="1"/>
  <c r="I1760" i="1"/>
  <c r="X1766" i="1" l="1"/>
  <c r="AA1765" i="1"/>
  <c r="I1761" i="1"/>
  <c r="AA1766" i="1" l="1"/>
  <c r="X1767" i="1"/>
  <c r="I1762" i="1"/>
  <c r="X1768" i="1" l="1"/>
  <c r="AA1767" i="1"/>
  <c r="I1763" i="1"/>
  <c r="X1769" i="1" l="1"/>
  <c r="AA1768" i="1"/>
  <c r="I1764" i="1"/>
  <c r="X1770" i="1" l="1"/>
  <c r="AA1769" i="1"/>
  <c r="I1765" i="1"/>
  <c r="X1771" i="1" l="1"/>
  <c r="AA1770" i="1"/>
  <c r="I1766" i="1"/>
  <c r="X1772" i="1" l="1"/>
  <c r="AA1771" i="1"/>
  <c r="I1767" i="1"/>
  <c r="X1773" i="1" l="1"/>
  <c r="AA1772" i="1"/>
  <c r="I1768" i="1"/>
  <c r="X1774" i="1" l="1"/>
  <c r="AA1773" i="1"/>
  <c r="I1769" i="1"/>
  <c r="AA1774" i="1" l="1"/>
  <c r="X1775" i="1"/>
  <c r="I1770" i="1"/>
  <c r="X1776" i="1" l="1"/>
  <c r="AA1775" i="1"/>
  <c r="I1771" i="1"/>
  <c r="X1777" i="1" l="1"/>
  <c r="AA1776" i="1"/>
  <c r="I1772" i="1"/>
  <c r="X1778" i="1" l="1"/>
  <c r="AA1777" i="1"/>
  <c r="I1773" i="1"/>
  <c r="X1779" i="1" l="1"/>
  <c r="AA1778" i="1"/>
  <c r="I1774" i="1"/>
  <c r="X1780" i="1" l="1"/>
  <c r="AA1779" i="1"/>
  <c r="I1775" i="1"/>
  <c r="X1781" i="1" l="1"/>
  <c r="AA1780" i="1"/>
  <c r="I1776" i="1"/>
  <c r="X1782" i="1" l="1"/>
  <c r="AA1781" i="1"/>
  <c r="I1777" i="1"/>
  <c r="AA1782" i="1" l="1"/>
  <c r="X1783" i="1"/>
  <c r="I1778" i="1"/>
  <c r="X1784" i="1" l="1"/>
  <c r="AA1783" i="1"/>
  <c r="I1779" i="1"/>
  <c r="X1785" i="1" l="1"/>
  <c r="AA1784" i="1"/>
  <c r="I1780" i="1"/>
  <c r="X1786" i="1" l="1"/>
  <c r="AA1785" i="1"/>
  <c r="I1781" i="1"/>
  <c r="X1787" i="1" l="1"/>
  <c r="AA1786" i="1"/>
  <c r="I1782" i="1"/>
  <c r="X1788" i="1" l="1"/>
  <c r="AA1787" i="1"/>
  <c r="I1783" i="1"/>
  <c r="X1789" i="1" l="1"/>
  <c r="AA1788" i="1"/>
  <c r="I1784" i="1"/>
  <c r="X1790" i="1" l="1"/>
  <c r="AA1789" i="1"/>
  <c r="I1785" i="1"/>
  <c r="AA1790" i="1" l="1"/>
  <c r="X1791" i="1"/>
  <c r="I1786" i="1"/>
  <c r="X1792" i="1" l="1"/>
  <c r="AA1791" i="1"/>
  <c r="I1787" i="1"/>
  <c r="X1793" i="1" l="1"/>
  <c r="AA1792" i="1"/>
  <c r="I1788" i="1"/>
  <c r="X1794" i="1" l="1"/>
  <c r="AA1793" i="1"/>
  <c r="I1789" i="1"/>
  <c r="X1795" i="1" l="1"/>
  <c r="AA1794" i="1"/>
  <c r="I1790" i="1"/>
  <c r="X1796" i="1" l="1"/>
  <c r="AA1795" i="1"/>
  <c r="I1791" i="1"/>
  <c r="X1797" i="1" l="1"/>
  <c r="AA1796" i="1"/>
  <c r="I1792" i="1"/>
  <c r="X1798" i="1" l="1"/>
  <c r="AA1797" i="1"/>
  <c r="I1793" i="1"/>
  <c r="AA1798" i="1" l="1"/>
  <c r="X1799" i="1"/>
  <c r="I1794" i="1"/>
  <c r="X1800" i="1" l="1"/>
  <c r="AA1799" i="1"/>
  <c r="I1795" i="1"/>
  <c r="X1801" i="1" l="1"/>
  <c r="AA1800" i="1"/>
  <c r="I1796" i="1"/>
  <c r="X1802" i="1" l="1"/>
  <c r="AA1801" i="1"/>
  <c r="I1797" i="1"/>
  <c r="X1803" i="1" l="1"/>
  <c r="AA1802" i="1"/>
  <c r="I1798" i="1"/>
  <c r="X1804" i="1" l="1"/>
  <c r="AA1803" i="1"/>
  <c r="I1799" i="1"/>
  <c r="X1805" i="1" l="1"/>
  <c r="AA1804" i="1"/>
  <c r="I1800" i="1"/>
  <c r="X1806" i="1" l="1"/>
  <c r="AA1805" i="1"/>
  <c r="I1801" i="1"/>
  <c r="AA1806" i="1" l="1"/>
  <c r="X1807" i="1"/>
  <c r="I1802" i="1"/>
  <c r="X1808" i="1" l="1"/>
  <c r="AA1807" i="1"/>
  <c r="I1803" i="1"/>
  <c r="X1809" i="1" l="1"/>
  <c r="AA1808" i="1"/>
  <c r="I1804" i="1"/>
  <c r="X1810" i="1" l="1"/>
  <c r="AA1809" i="1"/>
  <c r="I1805" i="1"/>
  <c r="X1811" i="1" l="1"/>
  <c r="AA1810" i="1"/>
  <c r="I1806" i="1"/>
  <c r="X1812" i="1" l="1"/>
  <c r="AA1811" i="1"/>
  <c r="I1807" i="1"/>
  <c r="X1813" i="1" l="1"/>
  <c r="AA1812" i="1"/>
  <c r="I1808" i="1"/>
  <c r="X1814" i="1" l="1"/>
  <c r="AA1813" i="1"/>
  <c r="I1809" i="1"/>
  <c r="AA1814" i="1" l="1"/>
  <c r="X1815" i="1"/>
  <c r="I1810" i="1"/>
  <c r="X1816" i="1" l="1"/>
  <c r="AA1815" i="1"/>
  <c r="I1811" i="1"/>
  <c r="X1817" i="1" l="1"/>
  <c r="AA1816" i="1"/>
  <c r="I1812" i="1"/>
  <c r="X1818" i="1" l="1"/>
  <c r="AA1817" i="1"/>
  <c r="I1813" i="1"/>
  <c r="X1819" i="1" l="1"/>
  <c r="AA1818" i="1"/>
  <c r="I1814" i="1"/>
  <c r="X1820" i="1" l="1"/>
  <c r="AA1819" i="1"/>
  <c r="I1815" i="1"/>
  <c r="X1821" i="1" l="1"/>
  <c r="AA1820" i="1"/>
  <c r="I1816" i="1"/>
  <c r="X1822" i="1" l="1"/>
  <c r="AA1821" i="1"/>
  <c r="I1817" i="1"/>
  <c r="AA1822" i="1" l="1"/>
  <c r="X1823" i="1"/>
  <c r="I1818" i="1"/>
  <c r="X1824" i="1" l="1"/>
  <c r="AA1823" i="1"/>
  <c r="I1819" i="1"/>
  <c r="X1825" i="1" l="1"/>
  <c r="AA1824" i="1"/>
  <c r="I1820" i="1"/>
  <c r="X1826" i="1" l="1"/>
  <c r="AA1825" i="1"/>
  <c r="I1821" i="1"/>
  <c r="X1827" i="1" l="1"/>
  <c r="AA1826" i="1"/>
  <c r="I1822" i="1"/>
  <c r="X1828" i="1" l="1"/>
  <c r="AA1827" i="1"/>
  <c r="I1823" i="1"/>
  <c r="X1829" i="1" l="1"/>
  <c r="AA1828" i="1"/>
  <c r="I1824" i="1"/>
  <c r="X1830" i="1" l="1"/>
  <c r="AA1829" i="1"/>
  <c r="I1825" i="1"/>
  <c r="AA1830" i="1" l="1"/>
  <c r="X1831" i="1"/>
  <c r="I1826" i="1"/>
  <c r="X1832" i="1" l="1"/>
  <c r="AA1831" i="1"/>
  <c r="I1827" i="1"/>
  <c r="X1833" i="1" l="1"/>
  <c r="AA1832" i="1"/>
  <c r="I1828" i="1"/>
  <c r="X1834" i="1" l="1"/>
  <c r="AA1833" i="1"/>
  <c r="I1829" i="1"/>
  <c r="X1835" i="1" l="1"/>
  <c r="AA1834" i="1"/>
  <c r="I1830" i="1"/>
  <c r="X1836" i="1" l="1"/>
  <c r="AA1835" i="1"/>
  <c r="I1831" i="1"/>
  <c r="X1837" i="1" l="1"/>
  <c r="AA1836" i="1"/>
  <c r="I1832" i="1"/>
  <c r="X1838" i="1" l="1"/>
  <c r="AA1837" i="1"/>
  <c r="I1833" i="1"/>
  <c r="AA1838" i="1" l="1"/>
  <c r="X1839" i="1"/>
  <c r="I1834" i="1"/>
  <c r="X1840" i="1" l="1"/>
  <c r="AA1839" i="1"/>
  <c r="I1835" i="1"/>
  <c r="X1841" i="1" l="1"/>
  <c r="AA1840" i="1"/>
  <c r="I1836" i="1"/>
  <c r="X1842" i="1" l="1"/>
  <c r="AA1841" i="1"/>
  <c r="I1837" i="1"/>
  <c r="X1843" i="1" l="1"/>
  <c r="AA1842" i="1"/>
  <c r="I1838" i="1"/>
  <c r="X1844" i="1" l="1"/>
  <c r="AA1843" i="1"/>
  <c r="I1839" i="1"/>
  <c r="X1845" i="1" l="1"/>
  <c r="AA1844" i="1"/>
  <c r="I1840" i="1"/>
  <c r="X1846" i="1" l="1"/>
  <c r="AA1845" i="1"/>
  <c r="I1841" i="1"/>
  <c r="AA1846" i="1" l="1"/>
  <c r="X1847" i="1"/>
  <c r="I1842" i="1"/>
  <c r="X1848" i="1" l="1"/>
  <c r="AA1847" i="1"/>
  <c r="I1843" i="1"/>
  <c r="X1849" i="1" l="1"/>
  <c r="AA1848" i="1"/>
  <c r="I1844" i="1"/>
  <c r="X1850" i="1" l="1"/>
  <c r="AA1849" i="1"/>
  <c r="I1845" i="1"/>
  <c r="X1851" i="1" l="1"/>
  <c r="AA1850" i="1"/>
  <c r="I1846" i="1"/>
  <c r="X1852" i="1" l="1"/>
  <c r="AA1851" i="1"/>
  <c r="I1847" i="1"/>
  <c r="X1853" i="1" l="1"/>
  <c r="AA1852" i="1"/>
  <c r="I1848" i="1"/>
  <c r="X1854" i="1" l="1"/>
  <c r="AA1853" i="1"/>
  <c r="I1849" i="1"/>
  <c r="AA1854" i="1" l="1"/>
  <c r="X1855" i="1"/>
  <c r="I1850" i="1"/>
  <c r="X1856" i="1" l="1"/>
  <c r="AA1855" i="1"/>
  <c r="I1851" i="1"/>
  <c r="X1857" i="1" l="1"/>
  <c r="AA1856" i="1"/>
  <c r="I1852" i="1"/>
  <c r="X1858" i="1" l="1"/>
  <c r="AA1857" i="1"/>
  <c r="I1853" i="1"/>
  <c r="X1859" i="1" l="1"/>
  <c r="AA1858" i="1"/>
  <c r="I1854" i="1"/>
  <c r="X1860" i="1" l="1"/>
  <c r="AA1859" i="1"/>
  <c r="I1855" i="1"/>
  <c r="X1861" i="1" l="1"/>
  <c r="AA1860" i="1"/>
  <c r="I1856" i="1"/>
  <c r="X1862" i="1" l="1"/>
  <c r="AA1861" i="1"/>
  <c r="I1857" i="1"/>
  <c r="AA1862" i="1" l="1"/>
  <c r="X1863" i="1"/>
  <c r="I1858" i="1"/>
  <c r="X1864" i="1" l="1"/>
  <c r="AA1863" i="1"/>
  <c r="I1859" i="1"/>
  <c r="X1865" i="1" l="1"/>
  <c r="AA1864" i="1"/>
  <c r="I1860" i="1"/>
  <c r="X1866" i="1" l="1"/>
  <c r="AA1865" i="1"/>
  <c r="I1861" i="1"/>
  <c r="X1867" i="1" l="1"/>
  <c r="AA1866" i="1"/>
  <c r="I1862" i="1"/>
  <c r="X1868" i="1" l="1"/>
  <c r="AA1867" i="1"/>
  <c r="I1863" i="1"/>
  <c r="X1869" i="1" l="1"/>
  <c r="AA1868" i="1"/>
  <c r="I1864" i="1"/>
  <c r="X1870" i="1" l="1"/>
  <c r="AA1869" i="1"/>
  <c r="I1865" i="1"/>
  <c r="AA1870" i="1" l="1"/>
  <c r="X1871" i="1"/>
  <c r="I1866" i="1"/>
  <c r="X1872" i="1" l="1"/>
  <c r="AA1871" i="1"/>
  <c r="I1867" i="1"/>
  <c r="X1873" i="1" l="1"/>
  <c r="AA1872" i="1"/>
  <c r="I1868" i="1"/>
  <c r="X1874" i="1" l="1"/>
  <c r="AA1873" i="1"/>
  <c r="I1869" i="1"/>
  <c r="X1875" i="1" l="1"/>
  <c r="AA1874" i="1"/>
  <c r="I1870" i="1"/>
  <c r="X1876" i="1" l="1"/>
  <c r="AA1875" i="1"/>
  <c r="I1871" i="1"/>
  <c r="X1877" i="1" l="1"/>
  <c r="AA1876" i="1"/>
  <c r="I1872" i="1"/>
  <c r="X1878" i="1" l="1"/>
  <c r="AA1877" i="1"/>
  <c r="I1873" i="1"/>
  <c r="AA1878" i="1" l="1"/>
  <c r="X1879" i="1"/>
  <c r="I1874" i="1"/>
  <c r="X1880" i="1" l="1"/>
  <c r="AA1879" i="1"/>
  <c r="I1875" i="1"/>
  <c r="X1881" i="1" l="1"/>
  <c r="AA1880" i="1"/>
  <c r="I1876" i="1"/>
  <c r="X1882" i="1" l="1"/>
  <c r="AA1881" i="1"/>
  <c r="I1877" i="1"/>
  <c r="X1883" i="1" l="1"/>
  <c r="AA1882" i="1"/>
  <c r="I1878" i="1"/>
  <c r="X1884" i="1" l="1"/>
  <c r="AA1883" i="1"/>
  <c r="I1879" i="1"/>
  <c r="X1885" i="1" l="1"/>
  <c r="AA1884" i="1"/>
  <c r="I1880" i="1"/>
  <c r="X1886" i="1" l="1"/>
  <c r="AA1885" i="1"/>
  <c r="I1881" i="1"/>
  <c r="AA1886" i="1" l="1"/>
  <c r="X1887" i="1"/>
  <c r="I1882" i="1"/>
  <c r="X1888" i="1" l="1"/>
  <c r="AA1887" i="1"/>
  <c r="I1883" i="1"/>
  <c r="X1889" i="1" l="1"/>
  <c r="AA1888" i="1"/>
  <c r="I1884" i="1"/>
  <c r="X1890" i="1" l="1"/>
  <c r="AA1889" i="1"/>
  <c r="I1885" i="1"/>
  <c r="X1891" i="1" l="1"/>
  <c r="AA1890" i="1"/>
  <c r="I1886" i="1"/>
  <c r="X1892" i="1" l="1"/>
  <c r="AA1891" i="1"/>
  <c r="I1887" i="1"/>
  <c r="X1893" i="1" l="1"/>
  <c r="AA1892" i="1"/>
  <c r="I1888" i="1"/>
  <c r="X1894" i="1" l="1"/>
  <c r="AA1893" i="1"/>
  <c r="I1889" i="1"/>
  <c r="AA1894" i="1" l="1"/>
  <c r="X1895" i="1"/>
  <c r="I1890" i="1"/>
  <c r="X1896" i="1" l="1"/>
  <c r="AA1895" i="1"/>
  <c r="I1891" i="1"/>
  <c r="X1897" i="1" l="1"/>
  <c r="AA1896" i="1"/>
  <c r="I1892" i="1"/>
  <c r="X1898" i="1" l="1"/>
  <c r="AA1897" i="1"/>
  <c r="I1893" i="1"/>
  <c r="X1899" i="1" l="1"/>
  <c r="AA1898" i="1"/>
  <c r="I1894" i="1"/>
  <c r="X1900" i="1" l="1"/>
  <c r="AA1899" i="1"/>
  <c r="I1895" i="1"/>
  <c r="X1901" i="1" l="1"/>
  <c r="AA1900" i="1"/>
  <c r="I1896" i="1"/>
  <c r="X1902" i="1" l="1"/>
  <c r="AA1901" i="1"/>
  <c r="I1897" i="1"/>
  <c r="AA1902" i="1" l="1"/>
  <c r="X1903" i="1"/>
  <c r="I1898" i="1"/>
  <c r="X1904" i="1" l="1"/>
  <c r="AA1903" i="1"/>
  <c r="I1899" i="1"/>
  <c r="X1905" i="1" l="1"/>
  <c r="AA1904" i="1"/>
  <c r="I1900" i="1"/>
  <c r="X1906" i="1" l="1"/>
  <c r="AA1905" i="1"/>
  <c r="I1901" i="1"/>
  <c r="X1907" i="1" l="1"/>
  <c r="AA1906" i="1"/>
  <c r="I1902" i="1"/>
  <c r="X1908" i="1" l="1"/>
  <c r="AA1907" i="1"/>
  <c r="I1903" i="1"/>
  <c r="X1909" i="1" l="1"/>
  <c r="AA1908" i="1"/>
  <c r="I1904" i="1"/>
  <c r="X1910" i="1" l="1"/>
  <c r="AA1909" i="1"/>
  <c r="I1905" i="1"/>
  <c r="AA1910" i="1" l="1"/>
  <c r="X1911" i="1"/>
  <c r="I1906" i="1"/>
  <c r="X1912" i="1" l="1"/>
  <c r="AA1911" i="1"/>
  <c r="I1907" i="1"/>
  <c r="X1913" i="1" l="1"/>
  <c r="AA1912" i="1"/>
  <c r="I1908" i="1"/>
  <c r="X1914" i="1" l="1"/>
  <c r="AA1913" i="1"/>
  <c r="I1909" i="1"/>
  <c r="X1915" i="1" l="1"/>
  <c r="AA1914" i="1"/>
  <c r="I1910" i="1"/>
  <c r="X1916" i="1" l="1"/>
  <c r="AA1915" i="1"/>
  <c r="I1911" i="1"/>
  <c r="X1917" i="1" l="1"/>
  <c r="AA1916" i="1"/>
  <c r="I1912" i="1"/>
  <c r="X1918" i="1" l="1"/>
  <c r="AA1917" i="1"/>
  <c r="I1913" i="1"/>
  <c r="AA1918" i="1" l="1"/>
  <c r="X1919" i="1"/>
  <c r="I1914" i="1"/>
  <c r="X1920" i="1" l="1"/>
  <c r="AA1919" i="1"/>
  <c r="I1915" i="1"/>
  <c r="X1921" i="1" l="1"/>
  <c r="AA1920" i="1"/>
  <c r="I1916" i="1"/>
  <c r="X1922" i="1" l="1"/>
  <c r="AA1921" i="1"/>
  <c r="I1917" i="1"/>
  <c r="X1923" i="1" l="1"/>
  <c r="AA1922" i="1"/>
  <c r="I1918" i="1"/>
  <c r="X1924" i="1" l="1"/>
  <c r="AA1923" i="1"/>
  <c r="I1919" i="1"/>
  <c r="X1925" i="1" l="1"/>
  <c r="AA1924" i="1"/>
  <c r="I1920" i="1"/>
  <c r="X1926" i="1" l="1"/>
  <c r="AA1925" i="1"/>
  <c r="I1921" i="1"/>
  <c r="AA1926" i="1" l="1"/>
  <c r="X1927" i="1"/>
  <c r="I1922" i="1"/>
  <c r="X1928" i="1" l="1"/>
  <c r="AA1927" i="1"/>
  <c r="I1923" i="1"/>
  <c r="X1929" i="1" l="1"/>
  <c r="AA1928" i="1"/>
  <c r="I1924" i="1"/>
  <c r="X1930" i="1" l="1"/>
  <c r="AA1929" i="1"/>
  <c r="I1925" i="1"/>
  <c r="X1931" i="1" l="1"/>
  <c r="AA1930" i="1"/>
  <c r="I1926" i="1"/>
  <c r="X1932" i="1" l="1"/>
  <c r="AA1931" i="1"/>
  <c r="I1927" i="1"/>
  <c r="X1933" i="1" l="1"/>
  <c r="AA1932" i="1"/>
  <c r="I1928" i="1"/>
  <c r="X1934" i="1" l="1"/>
  <c r="AA1933" i="1"/>
  <c r="I1929" i="1"/>
  <c r="AA1934" i="1" l="1"/>
  <c r="X1935" i="1"/>
  <c r="I1930" i="1"/>
  <c r="X1936" i="1" l="1"/>
  <c r="AA1935" i="1"/>
  <c r="I1931" i="1"/>
  <c r="X1937" i="1" l="1"/>
  <c r="AA1936" i="1"/>
  <c r="I1932" i="1"/>
  <c r="X1938" i="1" l="1"/>
  <c r="AA1937" i="1"/>
  <c r="I1933" i="1"/>
  <c r="X1939" i="1" l="1"/>
  <c r="AA1938" i="1"/>
  <c r="I1934" i="1"/>
  <c r="X1940" i="1" l="1"/>
  <c r="AA1939" i="1"/>
  <c r="I1935" i="1"/>
  <c r="X1941" i="1" l="1"/>
  <c r="AA1940" i="1"/>
  <c r="I1936" i="1"/>
  <c r="X1942" i="1" l="1"/>
  <c r="AA1941" i="1"/>
  <c r="I1937" i="1"/>
  <c r="AA1942" i="1" l="1"/>
  <c r="X1943" i="1"/>
  <c r="I1938" i="1"/>
  <c r="X1944" i="1" l="1"/>
  <c r="AA1943" i="1"/>
  <c r="I1939" i="1"/>
  <c r="X1945" i="1" l="1"/>
  <c r="AA1944" i="1"/>
  <c r="I1940" i="1"/>
  <c r="X1946" i="1" l="1"/>
  <c r="AA1945" i="1"/>
  <c r="I1941" i="1"/>
  <c r="X1947" i="1" l="1"/>
  <c r="AA1946" i="1"/>
  <c r="I1942" i="1"/>
  <c r="X1948" i="1" l="1"/>
  <c r="AA1947" i="1"/>
  <c r="I1943" i="1"/>
  <c r="X1949" i="1" l="1"/>
  <c r="AA1948" i="1"/>
  <c r="I1944" i="1"/>
  <c r="X1950" i="1" l="1"/>
  <c r="AA1949" i="1"/>
  <c r="I1945" i="1"/>
  <c r="AA1950" i="1" l="1"/>
  <c r="X1951" i="1"/>
  <c r="I1946" i="1"/>
  <c r="X1952" i="1" l="1"/>
  <c r="AA1951" i="1"/>
  <c r="I1947" i="1"/>
  <c r="X1953" i="1" l="1"/>
  <c r="AA1952" i="1"/>
  <c r="I1948" i="1"/>
  <c r="X1954" i="1" l="1"/>
  <c r="AA1953" i="1"/>
  <c r="I1949" i="1"/>
  <c r="X1955" i="1" l="1"/>
  <c r="AA1954" i="1"/>
  <c r="I1950" i="1"/>
  <c r="X1956" i="1" l="1"/>
  <c r="AA1955" i="1"/>
  <c r="I1951" i="1"/>
  <c r="X1957" i="1" l="1"/>
  <c r="AA1956" i="1"/>
  <c r="I1952" i="1"/>
  <c r="X1958" i="1" l="1"/>
  <c r="AA1957" i="1"/>
  <c r="I1953" i="1"/>
  <c r="AA1958" i="1" l="1"/>
  <c r="X1959" i="1"/>
  <c r="I1954" i="1"/>
  <c r="X1960" i="1" l="1"/>
  <c r="AA1959" i="1"/>
  <c r="I1955" i="1"/>
  <c r="X1961" i="1" l="1"/>
  <c r="AA1960" i="1"/>
  <c r="I1956" i="1"/>
  <c r="X1962" i="1" l="1"/>
  <c r="AA1961" i="1"/>
  <c r="I1957" i="1"/>
  <c r="X1963" i="1" l="1"/>
  <c r="AA1962" i="1"/>
  <c r="I1958" i="1"/>
  <c r="X1964" i="1" l="1"/>
  <c r="AA1963" i="1"/>
  <c r="I1959" i="1"/>
  <c r="X1965" i="1" l="1"/>
  <c r="AA1964" i="1"/>
  <c r="I1960" i="1"/>
  <c r="X1966" i="1" l="1"/>
  <c r="AA1965" i="1"/>
  <c r="I1961" i="1"/>
  <c r="AA1966" i="1" l="1"/>
  <c r="X1967" i="1"/>
  <c r="I1962" i="1"/>
  <c r="X1968" i="1" l="1"/>
  <c r="AA1967" i="1"/>
  <c r="I1963" i="1"/>
  <c r="X1969" i="1" l="1"/>
  <c r="AA1968" i="1"/>
  <c r="I1964" i="1"/>
  <c r="X1970" i="1" l="1"/>
  <c r="AA1969" i="1"/>
  <c r="I1965" i="1"/>
  <c r="X1971" i="1" l="1"/>
  <c r="AA1970" i="1"/>
  <c r="I1966" i="1"/>
  <c r="X1972" i="1" l="1"/>
  <c r="AA1971" i="1"/>
  <c r="I1967" i="1"/>
  <c r="X1973" i="1" l="1"/>
  <c r="AA1972" i="1"/>
  <c r="I1968" i="1"/>
  <c r="X1974" i="1" l="1"/>
  <c r="AA1973" i="1"/>
  <c r="I1969" i="1"/>
  <c r="AA1974" i="1" l="1"/>
  <c r="X1975" i="1"/>
  <c r="I1970" i="1"/>
  <c r="X1976" i="1" l="1"/>
  <c r="AA1975" i="1"/>
  <c r="I1971" i="1"/>
  <c r="X1977" i="1" l="1"/>
  <c r="AA1976" i="1"/>
  <c r="I1972" i="1"/>
  <c r="X1978" i="1" l="1"/>
  <c r="AA1977" i="1"/>
  <c r="I1973" i="1"/>
  <c r="X1979" i="1" l="1"/>
  <c r="AA1978" i="1"/>
  <c r="I1974" i="1"/>
  <c r="X1980" i="1" l="1"/>
  <c r="AA1979" i="1"/>
  <c r="I1975" i="1"/>
  <c r="AA1980" i="1" l="1"/>
  <c r="X1981" i="1"/>
  <c r="I1976" i="1"/>
  <c r="X1982" i="1" l="1"/>
  <c r="AA1981" i="1"/>
  <c r="I1977" i="1"/>
  <c r="X1983" i="1" l="1"/>
  <c r="AA1982" i="1"/>
  <c r="I1978" i="1"/>
  <c r="X1984" i="1" l="1"/>
  <c r="AA1983" i="1"/>
  <c r="I1979" i="1"/>
  <c r="AA1984" i="1" l="1"/>
  <c r="X1985" i="1"/>
  <c r="I1980" i="1"/>
  <c r="X1986" i="1" l="1"/>
  <c r="AA1985" i="1"/>
  <c r="I1981" i="1"/>
  <c r="X1987" i="1" l="1"/>
  <c r="AA1986" i="1"/>
  <c r="I1982" i="1"/>
  <c r="X1988" i="1" l="1"/>
  <c r="AA1987" i="1"/>
  <c r="I1983" i="1"/>
  <c r="AA1988" i="1" l="1"/>
  <c r="X1989" i="1"/>
  <c r="I1984" i="1"/>
  <c r="X1990" i="1" l="1"/>
  <c r="AA1989" i="1"/>
  <c r="I1985" i="1"/>
  <c r="X1991" i="1" l="1"/>
  <c r="AA1990" i="1"/>
  <c r="I1986" i="1"/>
  <c r="X1992" i="1" l="1"/>
  <c r="AA1991" i="1"/>
  <c r="I1987" i="1"/>
  <c r="AA1992" i="1" l="1"/>
  <c r="X1993" i="1"/>
  <c r="I1988" i="1"/>
  <c r="X1994" i="1" l="1"/>
  <c r="AA1993" i="1"/>
  <c r="I1989" i="1"/>
  <c r="X1995" i="1" l="1"/>
  <c r="AA1994" i="1"/>
  <c r="I1990" i="1"/>
  <c r="X1996" i="1" l="1"/>
  <c r="AA1995" i="1"/>
  <c r="I1991" i="1"/>
  <c r="AA1996" i="1" l="1"/>
  <c r="X1997" i="1"/>
  <c r="I1992" i="1"/>
  <c r="X1998" i="1" l="1"/>
  <c r="AA1997" i="1"/>
  <c r="I1993" i="1"/>
  <c r="X1999" i="1" l="1"/>
  <c r="AA1998" i="1"/>
  <c r="I1994" i="1"/>
  <c r="X2000" i="1" l="1"/>
  <c r="AA1999" i="1"/>
  <c r="I1995" i="1"/>
  <c r="AA2000" i="1" l="1"/>
  <c r="X2001" i="1"/>
  <c r="I1996" i="1"/>
  <c r="X2002" i="1" l="1"/>
  <c r="AA2001" i="1"/>
  <c r="I1997" i="1"/>
  <c r="X2003" i="1" l="1"/>
  <c r="AA2002" i="1"/>
  <c r="I1998" i="1"/>
  <c r="X2004" i="1" l="1"/>
  <c r="AA2003" i="1"/>
  <c r="I1999" i="1"/>
  <c r="AA2004" i="1" l="1"/>
  <c r="X2005" i="1"/>
  <c r="I2000" i="1"/>
  <c r="X2006" i="1" l="1"/>
  <c r="AA2005" i="1"/>
  <c r="I2001" i="1"/>
  <c r="X2007" i="1" l="1"/>
  <c r="AA2006" i="1"/>
  <c r="I2002" i="1"/>
  <c r="X2008" i="1" l="1"/>
  <c r="AA2007" i="1"/>
  <c r="I2003" i="1"/>
  <c r="AA2008" i="1" l="1"/>
  <c r="X2009" i="1"/>
  <c r="I2004" i="1"/>
  <c r="X2010" i="1" l="1"/>
  <c r="AA2009" i="1"/>
  <c r="I2005" i="1"/>
  <c r="X2011" i="1" l="1"/>
  <c r="AA2010" i="1"/>
  <c r="I2006" i="1"/>
  <c r="X2012" i="1" l="1"/>
  <c r="AA2011" i="1"/>
  <c r="I2007" i="1"/>
  <c r="AA2012" i="1" l="1"/>
  <c r="X2013" i="1"/>
  <c r="I2008" i="1"/>
  <c r="X2014" i="1" l="1"/>
  <c r="AA2013" i="1"/>
  <c r="I2009" i="1"/>
  <c r="X2015" i="1" l="1"/>
  <c r="AA2014" i="1"/>
  <c r="I2010" i="1"/>
  <c r="X2016" i="1" l="1"/>
  <c r="AA2015" i="1"/>
  <c r="I2011" i="1"/>
  <c r="AA2016" i="1" l="1"/>
  <c r="X2017" i="1"/>
  <c r="I2012" i="1"/>
  <c r="X2018" i="1" l="1"/>
  <c r="AA2017" i="1"/>
  <c r="I2013" i="1"/>
  <c r="X2019" i="1" l="1"/>
  <c r="AA2018" i="1"/>
  <c r="I2014" i="1"/>
  <c r="X2020" i="1" l="1"/>
  <c r="AA2019" i="1"/>
  <c r="I2015" i="1"/>
  <c r="AA2020" i="1" l="1"/>
  <c r="X2021" i="1"/>
  <c r="I2016" i="1"/>
  <c r="X2022" i="1" l="1"/>
  <c r="AA2021" i="1"/>
  <c r="I2017" i="1"/>
  <c r="X2023" i="1" l="1"/>
  <c r="AA2022" i="1"/>
  <c r="I2018" i="1"/>
  <c r="X2024" i="1" l="1"/>
  <c r="AA2023" i="1"/>
  <c r="I2019" i="1"/>
  <c r="AA2024" i="1" l="1"/>
  <c r="X2025" i="1"/>
  <c r="I2020" i="1"/>
  <c r="X2026" i="1" l="1"/>
  <c r="AA2025" i="1"/>
  <c r="I2021" i="1"/>
  <c r="X2027" i="1" l="1"/>
  <c r="AA2026" i="1"/>
  <c r="I2022" i="1"/>
  <c r="X2028" i="1" l="1"/>
  <c r="AA2027" i="1"/>
  <c r="I2023" i="1"/>
  <c r="AA2028" i="1" l="1"/>
  <c r="X2029" i="1"/>
  <c r="I2024" i="1"/>
  <c r="X2030" i="1" l="1"/>
  <c r="AA2029" i="1"/>
  <c r="I2025" i="1"/>
  <c r="X2031" i="1" l="1"/>
  <c r="AA2030" i="1"/>
  <c r="I2026" i="1"/>
  <c r="X2032" i="1" l="1"/>
  <c r="AA2031" i="1"/>
  <c r="I2027" i="1"/>
  <c r="AA2032" i="1" l="1"/>
  <c r="X2033" i="1"/>
  <c r="I2028" i="1"/>
  <c r="X2034" i="1" l="1"/>
  <c r="AA2033" i="1"/>
  <c r="I2029" i="1"/>
  <c r="X2035" i="1" l="1"/>
  <c r="AA2034" i="1"/>
  <c r="I2030" i="1"/>
  <c r="X2036" i="1" l="1"/>
  <c r="AA2035" i="1"/>
  <c r="I2031" i="1"/>
  <c r="X2037" i="1" l="1"/>
  <c r="AA2036" i="1"/>
  <c r="I2032" i="1"/>
  <c r="X2038" i="1" l="1"/>
  <c r="AA2037" i="1"/>
  <c r="I2033" i="1"/>
  <c r="X2039" i="1" l="1"/>
  <c r="AA2038" i="1"/>
  <c r="I2034" i="1"/>
  <c r="X2040" i="1" l="1"/>
  <c r="AA2039" i="1"/>
  <c r="I2035" i="1"/>
  <c r="X2041" i="1" l="1"/>
  <c r="AA2040" i="1"/>
  <c r="I2036" i="1"/>
  <c r="AA2041" i="1" l="1"/>
  <c r="X2042" i="1"/>
  <c r="I2037" i="1"/>
  <c r="X2043" i="1" l="1"/>
  <c r="AA2042" i="1"/>
  <c r="I2038" i="1"/>
  <c r="X2044" i="1" l="1"/>
  <c r="AA2043" i="1"/>
  <c r="I2039" i="1"/>
  <c r="X2045" i="1" l="1"/>
  <c r="AA2044" i="1"/>
  <c r="I2040" i="1"/>
  <c r="X2046" i="1" l="1"/>
  <c r="AA2045" i="1"/>
  <c r="I2041" i="1"/>
  <c r="X2047" i="1" l="1"/>
  <c r="AA2046" i="1"/>
  <c r="I2042" i="1"/>
  <c r="X2048" i="1" l="1"/>
  <c r="AA2047" i="1"/>
  <c r="I2043" i="1"/>
  <c r="X2049" i="1" l="1"/>
  <c r="AA2048" i="1"/>
  <c r="I2044" i="1"/>
  <c r="AA2049" i="1" l="1"/>
  <c r="X2050" i="1"/>
  <c r="I2045" i="1"/>
  <c r="X2051" i="1" l="1"/>
  <c r="AA2050" i="1"/>
  <c r="I2046" i="1"/>
  <c r="X2052" i="1" l="1"/>
  <c r="AA2051" i="1"/>
  <c r="I2047" i="1"/>
  <c r="X2053" i="1" l="1"/>
  <c r="AA2052" i="1"/>
  <c r="I2048" i="1"/>
  <c r="X2054" i="1" l="1"/>
  <c r="AA2053" i="1"/>
  <c r="I2049" i="1"/>
  <c r="X2055" i="1" l="1"/>
  <c r="AA2054" i="1"/>
  <c r="I2050" i="1"/>
  <c r="X2056" i="1" l="1"/>
  <c r="AA2055" i="1"/>
  <c r="I2051" i="1"/>
  <c r="X2057" i="1" l="1"/>
  <c r="AA2056" i="1"/>
  <c r="I2052" i="1"/>
  <c r="AA2057" i="1" l="1"/>
  <c r="X2058" i="1"/>
  <c r="I2053" i="1"/>
  <c r="X2059" i="1" l="1"/>
  <c r="AA2058" i="1"/>
  <c r="I2054" i="1"/>
  <c r="X2060" i="1" l="1"/>
  <c r="AA2059" i="1"/>
  <c r="I2055" i="1"/>
  <c r="X2061" i="1" l="1"/>
  <c r="AA2060" i="1"/>
  <c r="I2056" i="1"/>
  <c r="X2062" i="1" l="1"/>
  <c r="AA2061" i="1"/>
  <c r="I2057" i="1"/>
  <c r="X2063" i="1" l="1"/>
  <c r="AA2062" i="1"/>
  <c r="I2058" i="1"/>
  <c r="X2064" i="1" l="1"/>
  <c r="AA2063" i="1"/>
  <c r="I2059" i="1"/>
  <c r="X2065" i="1" l="1"/>
  <c r="AA2064" i="1"/>
  <c r="I2060" i="1"/>
  <c r="AA2065" i="1" l="1"/>
  <c r="X2066" i="1"/>
  <c r="I2061" i="1"/>
  <c r="X2067" i="1" l="1"/>
  <c r="AA2066" i="1"/>
  <c r="I2062" i="1"/>
  <c r="X2068" i="1" l="1"/>
  <c r="AA2067" i="1"/>
  <c r="I2063" i="1"/>
  <c r="X2069" i="1" l="1"/>
  <c r="AA2068" i="1"/>
  <c r="I2064" i="1"/>
  <c r="X2070" i="1" l="1"/>
  <c r="AA2069" i="1"/>
  <c r="I2065" i="1"/>
  <c r="X2071" i="1" l="1"/>
  <c r="AA2070" i="1"/>
  <c r="I2066" i="1"/>
  <c r="X2072" i="1" l="1"/>
  <c r="AA2071" i="1"/>
  <c r="I2067" i="1"/>
  <c r="X2073" i="1" l="1"/>
  <c r="AA2072" i="1"/>
  <c r="I2068" i="1"/>
  <c r="AA2073" i="1" l="1"/>
  <c r="X2074" i="1"/>
  <c r="I2069" i="1"/>
  <c r="X2075" i="1" l="1"/>
  <c r="AA2074" i="1"/>
  <c r="I2070" i="1"/>
  <c r="X2076" i="1" l="1"/>
  <c r="AA2075" i="1"/>
  <c r="I2071" i="1"/>
  <c r="X2077" i="1" l="1"/>
  <c r="AA2076" i="1"/>
  <c r="I2072" i="1"/>
  <c r="X2078" i="1" l="1"/>
  <c r="AA2077" i="1"/>
  <c r="I2073" i="1"/>
  <c r="X2079" i="1" l="1"/>
  <c r="AA2078" i="1"/>
  <c r="I2074" i="1"/>
  <c r="X2080" i="1" l="1"/>
  <c r="AA2079" i="1"/>
  <c r="I2075" i="1"/>
  <c r="X2081" i="1" l="1"/>
  <c r="AA2080" i="1"/>
  <c r="I2076" i="1"/>
  <c r="AA2081" i="1" l="1"/>
  <c r="X2082" i="1"/>
  <c r="I2077" i="1"/>
  <c r="X2083" i="1" l="1"/>
  <c r="AA2082" i="1"/>
  <c r="I2078" i="1"/>
  <c r="X2084" i="1" l="1"/>
  <c r="AA2083" i="1"/>
  <c r="I2079" i="1"/>
  <c r="X2085" i="1" l="1"/>
  <c r="AA2084" i="1"/>
  <c r="I2080" i="1"/>
  <c r="X2086" i="1" l="1"/>
  <c r="AA2085" i="1"/>
  <c r="I2081" i="1"/>
  <c r="X2087" i="1" l="1"/>
  <c r="AA2086" i="1"/>
  <c r="I2082" i="1"/>
  <c r="X2088" i="1" l="1"/>
  <c r="AA2087" i="1"/>
  <c r="I2083" i="1"/>
  <c r="X2089" i="1" l="1"/>
  <c r="AA2088" i="1"/>
  <c r="I2084" i="1"/>
  <c r="AA2089" i="1" l="1"/>
  <c r="X2090" i="1"/>
  <c r="I2085" i="1"/>
  <c r="X2091" i="1" l="1"/>
  <c r="AA2090" i="1"/>
  <c r="I2086" i="1"/>
  <c r="X2092" i="1" l="1"/>
  <c r="AA2091" i="1"/>
  <c r="I2087" i="1"/>
  <c r="X2093" i="1" l="1"/>
  <c r="AA2092" i="1"/>
  <c r="I2088" i="1"/>
  <c r="X2094" i="1" l="1"/>
  <c r="AA2093" i="1"/>
  <c r="I2089" i="1"/>
  <c r="X2095" i="1" l="1"/>
  <c r="AA2094" i="1"/>
  <c r="I2090" i="1"/>
  <c r="X2096" i="1" l="1"/>
  <c r="AA2095" i="1"/>
  <c r="I2091" i="1"/>
  <c r="X2097" i="1" l="1"/>
  <c r="AA2096" i="1"/>
  <c r="I2092" i="1"/>
  <c r="AA2097" i="1" l="1"/>
  <c r="X2098" i="1"/>
  <c r="I2093" i="1"/>
  <c r="X2099" i="1" l="1"/>
  <c r="AA2098" i="1"/>
  <c r="I2094" i="1"/>
  <c r="X2100" i="1" l="1"/>
  <c r="AA2099" i="1"/>
  <c r="I2095" i="1"/>
  <c r="X2101" i="1" l="1"/>
  <c r="AA2100" i="1"/>
  <c r="I2096" i="1"/>
  <c r="X2102" i="1" l="1"/>
  <c r="AA2101" i="1"/>
  <c r="I2097" i="1"/>
  <c r="X2103" i="1" l="1"/>
  <c r="AA2102" i="1"/>
  <c r="I2098" i="1"/>
  <c r="X2104" i="1" l="1"/>
  <c r="AA2103" i="1"/>
  <c r="I2099" i="1"/>
  <c r="X2105" i="1" l="1"/>
  <c r="AA2104" i="1"/>
  <c r="I2100" i="1"/>
  <c r="AA2105" i="1" l="1"/>
  <c r="X2106" i="1"/>
  <c r="I2101" i="1"/>
  <c r="X2107" i="1" l="1"/>
  <c r="AA2106" i="1"/>
  <c r="I2102" i="1"/>
  <c r="X2108" i="1" l="1"/>
  <c r="AA2107" i="1"/>
  <c r="I2103" i="1"/>
  <c r="X2109" i="1" l="1"/>
  <c r="AA2108" i="1"/>
  <c r="I2104" i="1"/>
  <c r="X2110" i="1" l="1"/>
  <c r="AA2109" i="1"/>
  <c r="I2105" i="1"/>
  <c r="X2111" i="1" l="1"/>
  <c r="AA2110" i="1"/>
  <c r="I2106" i="1"/>
  <c r="X2112" i="1" l="1"/>
  <c r="AA2111" i="1"/>
  <c r="I2107" i="1"/>
  <c r="X2113" i="1" l="1"/>
  <c r="AA2112" i="1"/>
  <c r="I2108" i="1"/>
  <c r="AA2113" i="1" l="1"/>
  <c r="X2114" i="1"/>
  <c r="I2109" i="1"/>
  <c r="X2115" i="1" l="1"/>
  <c r="AA2114" i="1"/>
  <c r="I2110" i="1"/>
  <c r="X2116" i="1" l="1"/>
  <c r="AA2115" i="1"/>
  <c r="I2111" i="1"/>
  <c r="X2117" i="1" l="1"/>
  <c r="AA2116" i="1"/>
  <c r="I2112" i="1"/>
  <c r="X2118" i="1" l="1"/>
  <c r="AA2117" i="1"/>
  <c r="I2113" i="1"/>
  <c r="X2119" i="1" l="1"/>
  <c r="AA2118" i="1"/>
  <c r="I2114" i="1"/>
  <c r="X2120" i="1" l="1"/>
  <c r="AA2119" i="1"/>
  <c r="I2115" i="1"/>
  <c r="X2121" i="1" l="1"/>
  <c r="AA2120" i="1"/>
  <c r="I2116" i="1"/>
  <c r="AA2121" i="1" l="1"/>
  <c r="X2122" i="1"/>
  <c r="I2117" i="1"/>
  <c r="X2123" i="1" l="1"/>
  <c r="AA2122" i="1"/>
  <c r="I2118" i="1"/>
  <c r="X2124" i="1" l="1"/>
  <c r="AA2123" i="1"/>
  <c r="I2119" i="1"/>
  <c r="X2125" i="1" l="1"/>
  <c r="AA2124" i="1"/>
  <c r="I2120" i="1"/>
  <c r="X2126" i="1" l="1"/>
  <c r="AA2125" i="1"/>
  <c r="I2121" i="1"/>
  <c r="X2127" i="1" l="1"/>
  <c r="AA2126" i="1"/>
  <c r="I2122" i="1"/>
  <c r="X2128" i="1" l="1"/>
  <c r="AA2127" i="1"/>
  <c r="I2123" i="1"/>
  <c r="X2129" i="1" l="1"/>
  <c r="AA2128" i="1"/>
  <c r="I2124" i="1"/>
  <c r="AA2129" i="1" l="1"/>
  <c r="X2130" i="1"/>
  <c r="I2125" i="1"/>
  <c r="X2131" i="1" l="1"/>
  <c r="AA2130" i="1"/>
  <c r="I2126" i="1"/>
  <c r="X2132" i="1" l="1"/>
  <c r="AA2131" i="1"/>
  <c r="I2127" i="1"/>
  <c r="X2133" i="1" l="1"/>
  <c r="AA2132" i="1"/>
  <c r="I2128" i="1"/>
  <c r="X2134" i="1" l="1"/>
  <c r="AA2133" i="1"/>
  <c r="I2129" i="1"/>
  <c r="X2135" i="1" l="1"/>
  <c r="AA2134" i="1"/>
  <c r="I2130" i="1"/>
  <c r="X2136" i="1" l="1"/>
  <c r="AA2135" i="1"/>
  <c r="I2131" i="1"/>
  <c r="X2137" i="1" l="1"/>
  <c r="AA2136" i="1"/>
  <c r="I2132" i="1"/>
  <c r="AA2137" i="1" l="1"/>
  <c r="X2138" i="1"/>
  <c r="I2133" i="1"/>
  <c r="X2139" i="1" l="1"/>
  <c r="AA2138" i="1"/>
  <c r="I2134" i="1"/>
  <c r="X2140" i="1" l="1"/>
  <c r="AA2139" i="1"/>
  <c r="I2135" i="1"/>
  <c r="X2141" i="1" l="1"/>
  <c r="AA2140" i="1"/>
  <c r="I2136" i="1"/>
  <c r="X2142" i="1" l="1"/>
  <c r="AA2141" i="1"/>
  <c r="I2137" i="1"/>
  <c r="X2143" i="1" l="1"/>
  <c r="AA2142" i="1"/>
  <c r="I2138" i="1"/>
  <c r="X2144" i="1" l="1"/>
  <c r="AA2143" i="1"/>
  <c r="I2139" i="1"/>
  <c r="X2145" i="1" l="1"/>
  <c r="AA2144" i="1"/>
  <c r="I2140" i="1"/>
  <c r="AA2145" i="1" l="1"/>
  <c r="X2146" i="1"/>
  <c r="I2141" i="1"/>
  <c r="X2147" i="1" l="1"/>
  <c r="AA2146" i="1"/>
  <c r="I2142" i="1"/>
  <c r="X2148" i="1" l="1"/>
  <c r="AA2147" i="1"/>
  <c r="I2143" i="1"/>
  <c r="X2149" i="1" l="1"/>
  <c r="AA2148" i="1"/>
  <c r="I2144" i="1"/>
  <c r="X2150" i="1" l="1"/>
  <c r="AA2149" i="1"/>
  <c r="I2145" i="1"/>
  <c r="X2151" i="1" l="1"/>
  <c r="AA2150" i="1"/>
  <c r="I2146" i="1"/>
  <c r="X2152" i="1" l="1"/>
  <c r="AA2151" i="1"/>
  <c r="I2147" i="1"/>
  <c r="X2153" i="1" l="1"/>
  <c r="AA2152" i="1"/>
  <c r="I2148" i="1"/>
  <c r="AA2153" i="1" l="1"/>
  <c r="X2154" i="1"/>
  <c r="I2149" i="1"/>
  <c r="X2155" i="1" l="1"/>
  <c r="AA2154" i="1"/>
  <c r="I2150" i="1"/>
  <c r="X2156" i="1" l="1"/>
  <c r="AA2155" i="1"/>
  <c r="I2151" i="1"/>
  <c r="X2157" i="1" l="1"/>
  <c r="AA2156" i="1"/>
  <c r="I2152" i="1"/>
  <c r="X2158" i="1" l="1"/>
  <c r="AA2157" i="1"/>
  <c r="I2153" i="1"/>
  <c r="X2159" i="1" l="1"/>
  <c r="AA2158" i="1"/>
  <c r="I2154" i="1"/>
  <c r="X2160" i="1" l="1"/>
  <c r="AA2159" i="1"/>
  <c r="I2155" i="1"/>
  <c r="X2161" i="1" l="1"/>
  <c r="AA2160" i="1"/>
  <c r="I2156" i="1"/>
  <c r="AA2161" i="1" l="1"/>
  <c r="X2162" i="1"/>
  <c r="I2157" i="1"/>
  <c r="X2163" i="1" l="1"/>
  <c r="AA2162" i="1"/>
  <c r="I2158" i="1"/>
  <c r="X2164" i="1" l="1"/>
  <c r="AA2163" i="1"/>
  <c r="I2159" i="1"/>
  <c r="X2165" i="1" l="1"/>
  <c r="AA2164" i="1"/>
  <c r="I2160" i="1"/>
  <c r="X2166" i="1" l="1"/>
  <c r="AA2165" i="1"/>
  <c r="I2161" i="1"/>
  <c r="X2167" i="1" l="1"/>
  <c r="AA2166" i="1"/>
  <c r="I2162" i="1"/>
  <c r="X2168" i="1" l="1"/>
  <c r="AA2167" i="1"/>
  <c r="I2163" i="1"/>
  <c r="X2169" i="1" l="1"/>
  <c r="AA2168" i="1"/>
  <c r="I2164" i="1"/>
  <c r="AA2169" i="1" l="1"/>
  <c r="X2170" i="1"/>
  <c r="I2165" i="1"/>
  <c r="X2171" i="1" l="1"/>
  <c r="AA2170" i="1"/>
  <c r="I2166" i="1"/>
  <c r="X2172" i="1" l="1"/>
  <c r="AA2171" i="1"/>
  <c r="I2167" i="1"/>
  <c r="X2173" i="1" l="1"/>
  <c r="AA2172" i="1"/>
  <c r="I2168" i="1"/>
  <c r="X2174" i="1" l="1"/>
  <c r="AA2173" i="1"/>
  <c r="I2169" i="1"/>
  <c r="X2175" i="1" l="1"/>
  <c r="AA2174" i="1"/>
  <c r="I2170" i="1"/>
  <c r="X2176" i="1" l="1"/>
  <c r="AA2175" i="1"/>
  <c r="I2171" i="1"/>
  <c r="X2177" i="1" l="1"/>
  <c r="AA2176" i="1"/>
  <c r="I2172" i="1"/>
  <c r="AA2177" i="1" l="1"/>
  <c r="X2178" i="1"/>
  <c r="I2173" i="1"/>
  <c r="X2179" i="1" l="1"/>
  <c r="AA2178" i="1"/>
  <c r="I2174" i="1"/>
  <c r="X2180" i="1" l="1"/>
  <c r="AA2179" i="1"/>
  <c r="I2175" i="1"/>
  <c r="X2181" i="1" l="1"/>
  <c r="AA2180" i="1"/>
  <c r="I2176" i="1"/>
  <c r="X2182" i="1" l="1"/>
  <c r="AA2181" i="1"/>
  <c r="I2177" i="1"/>
  <c r="X2183" i="1" l="1"/>
  <c r="AA2182" i="1"/>
  <c r="I2178" i="1"/>
  <c r="X2184" i="1" l="1"/>
  <c r="AA2183" i="1"/>
  <c r="I2179" i="1"/>
  <c r="X2185" i="1" l="1"/>
  <c r="AA2184" i="1"/>
  <c r="I2180" i="1"/>
  <c r="AA2185" i="1" l="1"/>
  <c r="X2186" i="1"/>
  <c r="I2181" i="1"/>
  <c r="X2187" i="1" l="1"/>
  <c r="AA2186" i="1"/>
  <c r="I2182" i="1"/>
  <c r="X2188" i="1" l="1"/>
  <c r="AA2187" i="1"/>
  <c r="I2183" i="1"/>
  <c r="X2189" i="1" l="1"/>
  <c r="AA2188" i="1"/>
  <c r="I2184" i="1"/>
  <c r="X2190" i="1" l="1"/>
  <c r="AA2189" i="1"/>
  <c r="I2185" i="1"/>
  <c r="X2191" i="1" l="1"/>
  <c r="AA2190" i="1"/>
  <c r="I2186" i="1"/>
  <c r="X2192" i="1" l="1"/>
  <c r="AA2191" i="1"/>
  <c r="I2187" i="1"/>
  <c r="X2193" i="1" l="1"/>
  <c r="AA2192" i="1"/>
  <c r="I2188" i="1"/>
  <c r="AA2193" i="1" l="1"/>
  <c r="X2194" i="1"/>
  <c r="I2189" i="1"/>
  <c r="X2195" i="1" l="1"/>
  <c r="AA2194" i="1"/>
  <c r="I2190" i="1"/>
  <c r="X2196" i="1" l="1"/>
  <c r="AA2195" i="1"/>
  <c r="I2191" i="1"/>
  <c r="X2197" i="1" l="1"/>
  <c r="AA2196" i="1"/>
  <c r="I2192" i="1"/>
  <c r="X2198" i="1" l="1"/>
  <c r="AA2197" i="1"/>
  <c r="I2193" i="1"/>
  <c r="X2199" i="1" l="1"/>
  <c r="AA2198" i="1"/>
  <c r="I2194" i="1"/>
  <c r="X2200" i="1" l="1"/>
  <c r="AA2199" i="1"/>
  <c r="I2195" i="1"/>
  <c r="X2201" i="1" l="1"/>
  <c r="AA2200" i="1"/>
  <c r="I2196" i="1"/>
  <c r="AA2201" i="1" l="1"/>
  <c r="X2202" i="1"/>
  <c r="I2197" i="1"/>
  <c r="X2203" i="1" l="1"/>
  <c r="AA2202" i="1"/>
  <c r="I2198" i="1"/>
  <c r="X2204" i="1" l="1"/>
  <c r="AA2203" i="1"/>
  <c r="I2199" i="1"/>
  <c r="X2205" i="1" l="1"/>
  <c r="AA2204" i="1"/>
  <c r="I2200" i="1"/>
  <c r="X2206" i="1" l="1"/>
  <c r="AA2205" i="1"/>
  <c r="I2201" i="1"/>
  <c r="X2207" i="1" l="1"/>
  <c r="AA2206" i="1"/>
  <c r="I2202" i="1"/>
  <c r="X2208" i="1" l="1"/>
  <c r="AA2207" i="1"/>
  <c r="I2203" i="1"/>
  <c r="X2209" i="1" l="1"/>
  <c r="AA2208" i="1"/>
  <c r="I2204" i="1"/>
  <c r="AA2209" i="1" l="1"/>
  <c r="X2210" i="1"/>
  <c r="I2205" i="1"/>
  <c r="X2211" i="1" l="1"/>
  <c r="AA2210" i="1"/>
  <c r="I2206" i="1"/>
  <c r="X2212" i="1" l="1"/>
  <c r="AA2211" i="1"/>
  <c r="I2207" i="1"/>
  <c r="X2213" i="1" l="1"/>
  <c r="AA2212" i="1"/>
  <c r="I2208" i="1"/>
  <c r="X2214" i="1" l="1"/>
  <c r="AA2213" i="1"/>
  <c r="I2209" i="1"/>
  <c r="X2215" i="1" l="1"/>
  <c r="AA2214" i="1"/>
  <c r="I2210" i="1"/>
  <c r="X2216" i="1" l="1"/>
  <c r="AA2215" i="1"/>
  <c r="I2211" i="1"/>
  <c r="X2217" i="1" l="1"/>
  <c r="AA2216" i="1"/>
  <c r="I2212" i="1"/>
  <c r="AA2217" i="1" l="1"/>
  <c r="X2218" i="1"/>
  <c r="I2213" i="1"/>
  <c r="X2219" i="1" l="1"/>
  <c r="AA2218" i="1"/>
  <c r="I2214" i="1"/>
  <c r="X2220" i="1" l="1"/>
  <c r="AA2219" i="1"/>
  <c r="I2215" i="1"/>
  <c r="X2221" i="1" l="1"/>
  <c r="AA2220" i="1"/>
  <c r="I2216" i="1"/>
  <c r="X2222" i="1" l="1"/>
  <c r="AA2221" i="1"/>
  <c r="I2217" i="1"/>
  <c r="X2223" i="1" l="1"/>
  <c r="AA2222" i="1"/>
  <c r="I2218" i="1"/>
  <c r="X2224" i="1" l="1"/>
  <c r="AA2223" i="1"/>
  <c r="I2219" i="1"/>
  <c r="X2225" i="1" l="1"/>
  <c r="AA2224" i="1"/>
  <c r="I2220" i="1"/>
  <c r="AA2225" i="1" l="1"/>
  <c r="X2226" i="1"/>
  <c r="I2221" i="1"/>
  <c r="X2227" i="1" l="1"/>
  <c r="AA2226" i="1"/>
  <c r="I2222" i="1"/>
  <c r="X2228" i="1" l="1"/>
  <c r="AA2227" i="1"/>
  <c r="I2223" i="1"/>
  <c r="X2229" i="1" l="1"/>
  <c r="AA2228" i="1"/>
  <c r="I2224" i="1"/>
  <c r="X2230" i="1" l="1"/>
  <c r="AA2229" i="1"/>
  <c r="I2225" i="1"/>
  <c r="X2231" i="1" l="1"/>
  <c r="AA2230" i="1"/>
  <c r="I2226" i="1"/>
  <c r="X2232" i="1" l="1"/>
  <c r="AA2231" i="1"/>
  <c r="I2227" i="1"/>
  <c r="X2233" i="1" l="1"/>
  <c r="AA2232" i="1"/>
  <c r="I2228" i="1"/>
  <c r="AA2233" i="1" l="1"/>
  <c r="X2234" i="1"/>
  <c r="I2229" i="1"/>
  <c r="X2235" i="1" l="1"/>
  <c r="AA2234" i="1"/>
  <c r="I2230" i="1"/>
  <c r="X2236" i="1" l="1"/>
  <c r="AA2235" i="1"/>
  <c r="I2231" i="1"/>
  <c r="X2237" i="1" l="1"/>
  <c r="AA2236" i="1"/>
  <c r="I2232" i="1"/>
  <c r="X2238" i="1" l="1"/>
  <c r="AA2237" i="1"/>
  <c r="I2233" i="1"/>
  <c r="X2239" i="1" l="1"/>
  <c r="AA2238" i="1"/>
  <c r="I2234" i="1"/>
  <c r="X2240" i="1" l="1"/>
  <c r="AA2239" i="1"/>
  <c r="I2235" i="1"/>
  <c r="X2241" i="1" l="1"/>
  <c r="AA2240" i="1"/>
  <c r="I2236" i="1"/>
  <c r="AA2241" i="1" l="1"/>
  <c r="X2242" i="1"/>
  <c r="I2237" i="1"/>
  <c r="X2243" i="1" l="1"/>
  <c r="AA2242" i="1"/>
  <c r="I2238" i="1"/>
  <c r="X2244" i="1" l="1"/>
  <c r="AA2243" i="1"/>
  <c r="I2239" i="1"/>
  <c r="X2245" i="1" l="1"/>
  <c r="AA2244" i="1"/>
  <c r="I2240" i="1"/>
  <c r="X2246" i="1" l="1"/>
  <c r="AA2245" i="1"/>
  <c r="I2241" i="1"/>
  <c r="X2247" i="1" l="1"/>
  <c r="AA2246" i="1"/>
  <c r="I2242" i="1"/>
  <c r="X2248" i="1" l="1"/>
  <c r="AA2247" i="1"/>
  <c r="I2243" i="1"/>
  <c r="X2249" i="1" l="1"/>
  <c r="AA2248" i="1"/>
  <c r="I2244" i="1"/>
  <c r="AA2249" i="1" l="1"/>
  <c r="X2250" i="1"/>
  <c r="I2245" i="1"/>
  <c r="X2251" i="1" l="1"/>
  <c r="AA2250" i="1"/>
  <c r="I2246" i="1"/>
  <c r="X2252" i="1" l="1"/>
  <c r="AA2251" i="1"/>
  <c r="I2247" i="1"/>
  <c r="X2253" i="1" l="1"/>
  <c r="AA2252" i="1"/>
  <c r="I2248" i="1"/>
  <c r="X2254" i="1" l="1"/>
  <c r="AA2253" i="1"/>
  <c r="I2249" i="1"/>
  <c r="X2255" i="1" l="1"/>
  <c r="AA2254" i="1"/>
  <c r="I2250" i="1"/>
  <c r="X2256" i="1" l="1"/>
  <c r="AA2255" i="1"/>
  <c r="I2251" i="1"/>
  <c r="X2257" i="1" l="1"/>
  <c r="AA2256" i="1"/>
  <c r="I2252" i="1"/>
  <c r="AA2257" i="1" l="1"/>
  <c r="X2258" i="1"/>
  <c r="I2253" i="1"/>
  <c r="X2259" i="1" l="1"/>
  <c r="AA2258" i="1"/>
  <c r="I2254" i="1"/>
  <c r="X2260" i="1" l="1"/>
  <c r="AA2259" i="1"/>
  <c r="I2255" i="1"/>
  <c r="X2261" i="1" l="1"/>
  <c r="AA2260" i="1"/>
  <c r="I2256" i="1"/>
  <c r="X2262" i="1" l="1"/>
  <c r="AA2261" i="1"/>
  <c r="I2257" i="1"/>
  <c r="X2263" i="1" l="1"/>
  <c r="AA2262" i="1"/>
  <c r="I2258" i="1"/>
  <c r="X2264" i="1" l="1"/>
  <c r="AA2263" i="1"/>
  <c r="I2259" i="1"/>
  <c r="X2265" i="1" l="1"/>
  <c r="AA2264" i="1"/>
  <c r="I2260" i="1"/>
  <c r="AA2265" i="1" l="1"/>
  <c r="X2266" i="1"/>
  <c r="I2261" i="1"/>
  <c r="X2267" i="1" l="1"/>
  <c r="AA2266" i="1"/>
  <c r="I2262" i="1"/>
  <c r="X2268" i="1" l="1"/>
  <c r="AA2267" i="1"/>
  <c r="I2263" i="1"/>
  <c r="X2269" i="1" l="1"/>
  <c r="AA2268" i="1"/>
  <c r="I2264" i="1"/>
  <c r="X2270" i="1" l="1"/>
  <c r="AA2269" i="1"/>
  <c r="I2265" i="1"/>
  <c r="X2271" i="1" l="1"/>
  <c r="AA2270" i="1"/>
  <c r="I2266" i="1"/>
  <c r="AA2271" i="1" l="1"/>
  <c r="X2272" i="1"/>
  <c r="I2267" i="1"/>
  <c r="AA2272" i="1" l="1"/>
  <c r="X2273" i="1"/>
  <c r="I2268" i="1"/>
  <c r="X2274" i="1" l="1"/>
  <c r="AA2273" i="1"/>
  <c r="I2269" i="1"/>
  <c r="X2275" i="1" l="1"/>
  <c r="AA2274" i="1"/>
  <c r="I2270" i="1"/>
  <c r="AA2275" i="1" l="1"/>
  <c r="X2276" i="1"/>
  <c r="I2271" i="1"/>
  <c r="X2277" i="1" l="1"/>
  <c r="AA2276" i="1"/>
  <c r="I2272" i="1"/>
  <c r="X2278" i="1" l="1"/>
  <c r="AA2277" i="1"/>
  <c r="I2273" i="1"/>
  <c r="AA2278" i="1" l="1"/>
  <c r="X2279" i="1"/>
  <c r="I2274" i="1"/>
  <c r="AA2279" i="1" l="1"/>
  <c r="X2280" i="1"/>
  <c r="I2275" i="1"/>
  <c r="X2281" i="1" l="1"/>
  <c r="AA2280" i="1"/>
  <c r="I2276" i="1"/>
  <c r="X2282" i="1" l="1"/>
  <c r="AA2281" i="1"/>
  <c r="I2277" i="1"/>
  <c r="AA2282" i="1" l="1"/>
  <c r="X2283" i="1"/>
  <c r="I2278" i="1"/>
  <c r="AA2283" i="1" l="1"/>
  <c r="X2284" i="1"/>
  <c r="I2279" i="1"/>
  <c r="X2285" i="1" l="1"/>
  <c r="AA2284" i="1"/>
  <c r="I2280" i="1"/>
  <c r="X2286" i="1" l="1"/>
  <c r="AA2285" i="1"/>
  <c r="I2281" i="1"/>
  <c r="AA2286" i="1" l="1"/>
  <c r="X2287" i="1"/>
  <c r="I2282" i="1"/>
  <c r="AA2287" i="1" l="1"/>
  <c r="X2288" i="1"/>
  <c r="I2283" i="1"/>
  <c r="X2289" i="1" l="1"/>
  <c r="AA2288" i="1"/>
  <c r="I2284" i="1"/>
  <c r="X2290" i="1" l="1"/>
  <c r="AA2289" i="1"/>
  <c r="I2285" i="1"/>
  <c r="AA2290" i="1" l="1"/>
  <c r="X2291" i="1"/>
  <c r="I2286" i="1"/>
  <c r="AA2291" i="1" l="1"/>
  <c r="X2292" i="1"/>
  <c r="I2287" i="1"/>
  <c r="X2293" i="1" l="1"/>
  <c r="AA2292" i="1"/>
  <c r="I2288" i="1"/>
  <c r="X2294" i="1" l="1"/>
  <c r="AA2293" i="1"/>
  <c r="I2289" i="1"/>
  <c r="AA2294" i="1" l="1"/>
  <c r="X2295" i="1"/>
  <c r="I2290" i="1"/>
  <c r="AA2295" i="1" l="1"/>
  <c r="X2296" i="1"/>
  <c r="I2291" i="1"/>
  <c r="X2297" i="1" l="1"/>
  <c r="AA2296" i="1"/>
  <c r="I2292" i="1"/>
  <c r="X2298" i="1" l="1"/>
  <c r="AA2297" i="1"/>
  <c r="I2293" i="1"/>
  <c r="AA2298" i="1" l="1"/>
  <c r="X2299" i="1"/>
  <c r="I2294" i="1"/>
  <c r="AA2299" i="1" l="1"/>
  <c r="X2300" i="1"/>
  <c r="I2295" i="1"/>
  <c r="X2301" i="1" l="1"/>
  <c r="AA2300" i="1"/>
  <c r="I2296" i="1"/>
  <c r="X2302" i="1" l="1"/>
  <c r="AA2301" i="1"/>
  <c r="I2297" i="1"/>
  <c r="AA2302" i="1" l="1"/>
  <c r="X2303" i="1"/>
  <c r="I2298" i="1"/>
  <c r="AA2303" i="1" l="1"/>
  <c r="X2304" i="1"/>
  <c r="I2299" i="1"/>
  <c r="X2305" i="1" l="1"/>
  <c r="AA2304" i="1"/>
  <c r="I2300" i="1"/>
  <c r="X2306" i="1" l="1"/>
  <c r="AA2305" i="1"/>
  <c r="I2301" i="1"/>
  <c r="AA2306" i="1" l="1"/>
  <c r="X2307" i="1"/>
  <c r="I2302" i="1"/>
  <c r="AA2307" i="1" l="1"/>
  <c r="X2308" i="1"/>
  <c r="I2303" i="1"/>
  <c r="X2309" i="1" l="1"/>
  <c r="AA2308" i="1"/>
  <c r="I2304" i="1"/>
  <c r="X2310" i="1" l="1"/>
  <c r="AA2309" i="1"/>
  <c r="I2305" i="1"/>
  <c r="AA2310" i="1" l="1"/>
  <c r="X2311" i="1"/>
  <c r="I2306" i="1"/>
  <c r="AA2311" i="1" l="1"/>
  <c r="X2312" i="1"/>
  <c r="I2307" i="1"/>
  <c r="X2313" i="1" l="1"/>
  <c r="AA2312" i="1"/>
  <c r="I2308" i="1"/>
  <c r="X2314" i="1" l="1"/>
  <c r="AA2313" i="1"/>
  <c r="I2309" i="1"/>
  <c r="AA2314" i="1" l="1"/>
  <c r="X2315" i="1"/>
  <c r="I2310" i="1"/>
  <c r="AA2315" i="1" l="1"/>
  <c r="X2316" i="1"/>
  <c r="I2311" i="1"/>
  <c r="X2317" i="1" l="1"/>
  <c r="AA2316" i="1"/>
  <c r="I2312" i="1"/>
  <c r="X2318" i="1" l="1"/>
  <c r="AA2317" i="1"/>
  <c r="I2313" i="1"/>
  <c r="AA2318" i="1" l="1"/>
  <c r="X2319" i="1"/>
  <c r="I2314" i="1"/>
  <c r="AA2319" i="1" l="1"/>
  <c r="X2320" i="1"/>
  <c r="I2315" i="1"/>
  <c r="X2321" i="1" l="1"/>
  <c r="AA2320" i="1"/>
  <c r="I2316" i="1"/>
  <c r="X2322" i="1" l="1"/>
  <c r="AA2321" i="1"/>
  <c r="I2317" i="1"/>
  <c r="AA2322" i="1" l="1"/>
  <c r="X2323" i="1"/>
  <c r="I2318" i="1"/>
  <c r="AA2323" i="1" l="1"/>
  <c r="X2324" i="1"/>
  <c r="I2319" i="1"/>
  <c r="X2325" i="1" l="1"/>
  <c r="AA2324" i="1"/>
  <c r="I2320" i="1"/>
  <c r="X2326" i="1" l="1"/>
  <c r="AA2325" i="1"/>
  <c r="I2321" i="1"/>
  <c r="X2327" i="1" l="1"/>
  <c r="AA2326" i="1"/>
  <c r="I2322" i="1"/>
  <c r="X2328" i="1" l="1"/>
  <c r="AA2327" i="1"/>
  <c r="I2323" i="1"/>
  <c r="X2329" i="1" l="1"/>
  <c r="AA2328" i="1"/>
  <c r="I2324" i="1"/>
  <c r="X2330" i="1" l="1"/>
  <c r="AA2329" i="1"/>
  <c r="I2325" i="1"/>
  <c r="X2331" i="1" l="1"/>
  <c r="AA2330" i="1"/>
  <c r="I2326" i="1"/>
  <c r="AA2331" i="1" l="1"/>
  <c r="X2332" i="1"/>
  <c r="I2327" i="1"/>
  <c r="X2333" i="1" l="1"/>
  <c r="AA2332" i="1"/>
  <c r="I2328" i="1"/>
  <c r="X2334" i="1" l="1"/>
  <c r="AA2333" i="1"/>
  <c r="I2329" i="1"/>
  <c r="X2335" i="1" l="1"/>
  <c r="AA2334" i="1"/>
  <c r="I2330" i="1"/>
  <c r="X2336" i="1" l="1"/>
  <c r="AA2335" i="1"/>
  <c r="I2331" i="1"/>
  <c r="X2337" i="1" l="1"/>
  <c r="AA2336" i="1"/>
  <c r="I2332" i="1"/>
  <c r="X2338" i="1" l="1"/>
  <c r="AA2337" i="1"/>
  <c r="I2333" i="1"/>
  <c r="X2339" i="1" l="1"/>
  <c r="AA2338" i="1"/>
  <c r="I2334" i="1"/>
  <c r="AA2339" i="1" l="1"/>
  <c r="X2340" i="1"/>
  <c r="I2335" i="1"/>
  <c r="X2341" i="1" l="1"/>
  <c r="AA2340" i="1"/>
  <c r="I2336" i="1"/>
  <c r="X2342" i="1" l="1"/>
  <c r="AA2341" i="1"/>
  <c r="I2337" i="1"/>
  <c r="X2343" i="1" l="1"/>
  <c r="AA2342" i="1"/>
  <c r="I2338" i="1"/>
  <c r="X2344" i="1" l="1"/>
  <c r="AA2343" i="1"/>
  <c r="I2339" i="1"/>
  <c r="X2345" i="1" l="1"/>
  <c r="AA2344" i="1"/>
  <c r="I2340" i="1"/>
  <c r="X2346" i="1" l="1"/>
  <c r="AA2345" i="1"/>
  <c r="I2341" i="1"/>
  <c r="X2347" i="1" l="1"/>
  <c r="AA2346" i="1"/>
  <c r="I2342" i="1"/>
  <c r="AA2347" i="1" l="1"/>
  <c r="X2348" i="1"/>
  <c r="I2343" i="1"/>
  <c r="X2349" i="1" l="1"/>
  <c r="AA2348" i="1"/>
  <c r="I2344" i="1"/>
  <c r="X2350" i="1" l="1"/>
  <c r="AA2349" i="1"/>
  <c r="I2345" i="1"/>
  <c r="X2351" i="1" l="1"/>
  <c r="AA2350" i="1"/>
  <c r="I2346" i="1"/>
  <c r="X2352" i="1" l="1"/>
  <c r="AA2351" i="1"/>
  <c r="I2347" i="1"/>
  <c r="X2353" i="1" l="1"/>
  <c r="AA2352" i="1"/>
  <c r="I2348" i="1"/>
  <c r="X2354" i="1" l="1"/>
  <c r="AA2353" i="1"/>
  <c r="I2349" i="1"/>
  <c r="X2355" i="1" l="1"/>
  <c r="AA2354" i="1"/>
  <c r="I2350" i="1"/>
  <c r="AA2355" i="1" l="1"/>
  <c r="X2356" i="1"/>
  <c r="I2351" i="1"/>
  <c r="X2357" i="1" l="1"/>
  <c r="AA2356" i="1"/>
  <c r="I2352" i="1"/>
  <c r="X2358" i="1" l="1"/>
  <c r="AA2357" i="1"/>
  <c r="I2353" i="1"/>
  <c r="X2359" i="1" l="1"/>
  <c r="AA2358" i="1"/>
  <c r="I2354" i="1"/>
  <c r="X2360" i="1" l="1"/>
  <c r="AA2359" i="1"/>
  <c r="I2355" i="1"/>
  <c r="X2361" i="1" l="1"/>
  <c r="AA2360" i="1"/>
  <c r="I2356" i="1"/>
  <c r="X2362" i="1" l="1"/>
  <c r="AA2361" i="1"/>
  <c r="I2357" i="1"/>
  <c r="X2363" i="1" l="1"/>
  <c r="AA2362" i="1"/>
  <c r="I2358" i="1"/>
  <c r="AA2363" i="1" l="1"/>
  <c r="X2364" i="1"/>
  <c r="I2359" i="1"/>
  <c r="X2365" i="1" l="1"/>
  <c r="AA2364" i="1"/>
  <c r="I2360" i="1"/>
  <c r="X2366" i="1" l="1"/>
  <c r="AA2365" i="1"/>
  <c r="I2361" i="1"/>
  <c r="X2367" i="1" l="1"/>
  <c r="AA2366" i="1"/>
  <c r="I2362" i="1"/>
  <c r="X2368" i="1" l="1"/>
  <c r="AA2367" i="1"/>
  <c r="I2363" i="1"/>
  <c r="X2369" i="1" l="1"/>
  <c r="AA2368" i="1"/>
  <c r="I2364" i="1"/>
  <c r="X2370" i="1" l="1"/>
  <c r="AA2369" i="1"/>
  <c r="I2365" i="1"/>
  <c r="X2371" i="1" l="1"/>
  <c r="AA2370" i="1"/>
  <c r="I2366" i="1"/>
  <c r="AA2371" i="1" l="1"/>
  <c r="X2372" i="1"/>
  <c r="I2367" i="1"/>
  <c r="X2373" i="1" l="1"/>
  <c r="AA2372" i="1"/>
  <c r="I2368" i="1"/>
  <c r="X2374" i="1" l="1"/>
  <c r="AA2373" i="1"/>
  <c r="I2369" i="1"/>
  <c r="X2375" i="1" l="1"/>
  <c r="AA2374" i="1"/>
  <c r="I2370" i="1"/>
  <c r="X2376" i="1" l="1"/>
  <c r="AA2375" i="1"/>
  <c r="I2371" i="1"/>
  <c r="X2377" i="1" l="1"/>
  <c r="AA2376" i="1"/>
  <c r="I2372" i="1"/>
  <c r="X2378" i="1" l="1"/>
  <c r="AA2377" i="1"/>
  <c r="I2373" i="1"/>
  <c r="X2379" i="1" l="1"/>
  <c r="AA2378" i="1"/>
  <c r="I2374" i="1"/>
  <c r="AA2379" i="1" l="1"/>
  <c r="X2380" i="1"/>
  <c r="I2375" i="1"/>
  <c r="X2381" i="1" l="1"/>
  <c r="AA2380" i="1"/>
  <c r="I2376" i="1"/>
  <c r="X2382" i="1" l="1"/>
  <c r="AA2381" i="1"/>
  <c r="I2377" i="1"/>
  <c r="X2383" i="1" l="1"/>
  <c r="AA2382" i="1"/>
  <c r="I2378" i="1"/>
  <c r="X2384" i="1" l="1"/>
  <c r="AA2383" i="1"/>
  <c r="I2379" i="1"/>
  <c r="X2385" i="1" l="1"/>
  <c r="AA2384" i="1"/>
  <c r="I2380" i="1"/>
  <c r="X2386" i="1" l="1"/>
  <c r="AA2385" i="1"/>
  <c r="I2381" i="1"/>
  <c r="X2387" i="1" l="1"/>
  <c r="AA2386" i="1"/>
  <c r="I2382" i="1"/>
  <c r="AA2387" i="1" l="1"/>
  <c r="X2388" i="1"/>
  <c r="I2383" i="1"/>
  <c r="X2389" i="1" l="1"/>
  <c r="AA2388" i="1"/>
  <c r="I2384" i="1"/>
  <c r="X2390" i="1" l="1"/>
  <c r="AA2389" i="1"/>
  <c r="I2385" i="1"/>
  <c r="X2391" i="1" l="1"/>
  <c r="AA2390" i="1"/>
  <c r="I2386" i="1"/>
  <c r="X2392" i="1" l="1"/>
  <c r="AA2391" i="1"/>
  <c r="I2387" i="1"/>
  <c r="X2393" i="1" l="1"/>
  <c r="AA2392" i="1"/>
  <c r="I2388" i="1"/>
  <c r="X2394" i="1" l="1"/>
  <c r="AA2393" i="1"/>
  <c r="I2389" i="1"/>
  <c r="X2395" i="1" l="1"/>
  <c r="AA2394" i="1"/>
  <c r="I2390" i="1"/>
  <c r="AA2395" i="1" l="1"/>
  <c r="X2396" i="1"/>
  <c r="I2391" i="1"/>
  <c r="X2397" i="1" l="1"/>
  <c r="AA2396" i="1"/>
  <c r="I2392" i="1"/>
  <c r="X2398" i="1" l="1"/>
  <c r="AA2397" i="1"/>
  <c r="I2393" i="1"/>
  <c r="X2399" i="1" l="1"/>
  <c r="AA2398" i="1"/>
  <c r="I2394" i="1"/>
  <c r="X2400" i="1" l="1"/>
  <c r="AA2399" i="1"/>
  <c r="I2395" i="1"/>
  <c r="X2401" i="1" l="1"/>
  <c r="AA2400" i="1"/>
  <c r="I2396" i="1"/>
  <c r="X2402" i="1" l="1"/>
  <c r="AA2401" i="1"/>
  <c r="I2397" i="1"/>
  <c r="X2403" i="1" l="1"/>
  <c r="AA2402" i="1"/>
  <c r="I2398" i="1"/>
  <c r="AA2403" i="1" l="1"/>
  <c r="X2404" i="1"/>
  <c r="I2399" i="1"/>
  <c r="X2405" i="1" l="1"/>
  <c r="AA2404" i="1"/>
  <c r="I2400" i="1"/>
  <c r="X2406" i="1" l="1"/>
  <c r="AA2405" i="1"/>
  <c r="I2401" i="1"/>
  <c r="X2407" i="1" l="1"/>
  <c r="AA2406" i="1"/>
  <c r="I2402" i="1"/>
  <c r="X2408" i="1" l="1"/>
  <c r="AA2407" i="1"/>
  <c r="I2403" i="1"/>
  <c r="X2409" i="1" l="1"/>
  <c r="AA2408" i="1"/>
  <c r="I2404" i="1"/>
  <c r="X2410" i="1" l="1"/>
  <c r="AA2409" i="1"/>
  <c r="I2405" i="1"/>
  <c r="X2411" i="1" l="1"/>
  <c r="AA2410" i="1"/>
  <c r="I2406" i="1"/>
  <c r="AA2411" i="1" l="1"/>
  <c r="X2412" i="1"/>
  <c r="I2407" i="1"/>
  <c r="X2413" i="1" l="1"/>
  <c r="AA2412" i="1"/>
  <c r="I2408" i="1"/>
  <c r="X2414" i="1" l="1"/>
  <c r="AA2413" i="1"/>
  <c r="I2409" i="1"/>
  <c r="X2415" i="1" l="1"/>
  <c r="AA2414" i="1"/>
  <c r="I2410" i="1"/>
  <c r="X2416" i="1" l="1"/>
  <c r="AA2415" i="1"/>
  <c r="I2411" i="1"/>
  <c r="X2417" i="1" l="1"/>
  <c r="AA2416" i="1"/>
  <c r="I2412" i="1"/>
  <c r="X2418" i="1" l="1"/>
  <c r="AA2417" i="1"/>
  <c r="I2413" i="1"/>
  <c r="X2419" i="1" l="1"/>
  <c r="AA2418" i="1"/>
  <c r="I2414" i="1"/>
  <c r="AA2419" i="1" l="1"/>
  <c r="X2420" i="1"/>
  <c r="I2415" i="1"/>
  <c r="X2421" i="1" l="1"/>
  <c r="AA2420" i="1"/>
  <c r="I2416" i="1"/>
  <c r="X2422" i="1" l="1"/>
  <c r="AA2421" i="1"/>
  <c r="I2417" i="1"/>
  <c r="X2423" i="1" l="1"/>
  <c r="AA2422" i="1"/>
  <c r="I2418" i="1"/>
  <c r="X2424" i="1" l="1"/>
  <c r="AA2423" i="1"/>
  <c r="I2419" i="1"/>
  <c r="X2425" i="1" l="1"/>
  <c r="AA2424" i="1"/>
  <c r="I2420" i="1"/>
  <c r="X2426" i="1" l="1"/>
  <c r="AA2425" i="1"/>
  <c r="I2421" i="1"/>
  <c r="X2427" i="1" l="1"/>
  <c r="AA2426" i="1"/>
  <c r="I2422" i="1"/>
  <c r="AA2427" i="1" l="1"/>
  <c r="X2428" i="1"/>
  <c r="I2423" i="1"/>
  <c r="X2429" i="1" l="1"/>
  <c r="AA2428" i="1"/>
  <c r="I2424" i="1"/>
  <c r="X2430" i="1" l="1"/>
  <c r="AA2429" i="1"/>
  <c r="I2425" i="1"/>
  <c r="X2431" i="1" l="1"/>
  <c r="AA2430" i="1"/>
  <c r="I2426" i="1"/>
  <c r="X2432" i="1" l="1"/>
  <c r="AA2431" i="1"/>
  <c r="I2427" i="1"/>
  <c r="X2433" i="1" l="1"/>
  <c r="AA2432" i="1"/>
  <c r="I2428" i="1"/>
  <c r="X2434" i="1" l="1"/>
  <c r="AA2433" i="1"/>
  <c r="I2429" i="1"/>
  <c r="X2435" i="1" l="1"/>
  <c r="AA2434" i="1"/>
  <c r="I2430" i="1"/>
  <c r="AA2435" i="1" l="1"/>
  <c r="X2436" i="1"/>
  <c r="I2431" i="1"/>
  <c r="X2437" i="1" l="1"/>
  <c r="AA2436" i="1"/>
  <c r="I2432" i="1"/>
  <c r="X2438" i="1" l="1"/>
  <c r="AA2437" i="1"/>
  <c r="I2433" i="1"/>
  <c r="X2439" i="1" l="1"/>
  <c r="AA2438" i="1"/>
  <c r="I2434" i="1"/>
  <c r="X2440" i="1" l="1"/>
  <c r="AA2439" i="1"/>
  <c r="I2435" i="1"/>
  <c r="X2441" i="1" l="1"/>
  <c r="AA2440" i="1"/>
  <c r="I2436" i="1"/>
  <c r="X2442" i="1" l="1"/>
  <c r="AA2441" i="1"/>
  <c r="I2437" i="1"/>
  <c r="X2443" i="1" l="1"/>
  <c r="AA2442" i="1"/>
  <c r="I2438" i="1"/>
  <c r="AA2443" i="1" l="1"/>
  <c r="X2444" i="1"/>
  <c r="I2439" i="1"/>
  <c r="X2445" i="1" l="1"/>
  <c r="AA2444" i="1"/>
  <c r="I2440" i="1"/>
  <c r="X2446" i="1" l="1"/>
  <c r="AA2445" i="1"/>
  <c r="I2441" i="1"/>
  <c r="X2447" i="1" l="1"/>
  <c r="AA2446" i="1"/>
  <c r="I2442" i="1"/>
  <c r="X2448" i="1" l="1"/>
  <c r="AA2447" i="1"/>
  <c r="I2443" i="1"/>
  <c r="X2449" i="1" l="1"/>
  <c r="AA2448" i="1"/>
  <c r="I2444" i="1"/>
  <c r="X2450" i="1" l="1"/>
  <c r="AA2449" i="1"/>
  <c r="I2445" i="1"/>
  <c r="X2451" i="1" l="1"/>
  <c r="AA2450" i="1"/>
  <c r="I2446" i="1"/>
  <c r="AA2451" i="1" l="1"/>
  <c r="X2452" i="1"/>
  <c r="I2447" i="1"/>
  <c r="X2453" i="1" l="1"/>
  <c r="AA2452" i="1"/>
  <c r="I2448" i="1"/>
  <c r="X2454" i="1" l="1"/>
  <c r="AA2453" i="1"/>
  <c r="I2449" i="1"/>
  <c r="X2455" i="1" l="1"/>
  <c r="AA2454" i="1"/>
  <c r="I2450" i="1"/>
  <c r="X2456" i="1" l="1"/>
  <c r="AA2455" i="1"/>
  <c r="I2451" i="1"/>
  <c r="X2457" i="1" l="1"/>
  <c r="AA2456" i="1"/>
  <c r="I2452" i="1"/>
  <c r="X2458" i="1" l="1"/>
  <c r="AA2457" i="1"/>
  <c r="I2453" i="1"/>
  <c r="X2459" i="1" l="1"/>
  <c r="AA2458" i="1"/>
  <c r="I2454" i="1"/>
  <c r="AA2459" i="1" l="1"/>
  <c r="X2460" i="1"/>
  <c r="I2455" i="1"/>
  <c r="X2461" i="1" l="1"/>
  <c r="AA2460" i="1"/>
  <c r="I2456" i="1"/>
  <c r="X2462" i="1" l="1"/>
  <c r="AA2461" i="1"/>
  <c r="I2457" i="1"/>
  <c r="X2463" i="1" l="1"/>
  <c r="AA2462" i="1"/>
  <c r="I2458" i="1"/>
  <c r="X2464" i="1" l="1"/>
  <c r="AA2463" i="1"/>
  <c r="I2459" i="1"/>
  <c r="X2465" i="1" l="1"/>
  <c r="AA2464" i="1"/>
  <c r="I2460" i="1"/>
  <c r="X2466" i="1" l="1"/>
  <c r="AA2465" i="1"/>
  <c r="I2461" i="1"/>
  <c r="X2467" i="1" l="1"/>
  <c r="AA2466" i="1"/>
  <c r="I2462" i="1"/>
  <c r="AA2467" i="1" l="1"/>
  <c r="X2468" i="1"/>
  <c r="I2463" i="1"/>
  <c r="X2469" i="1" l="1"/>
  <c r="AA2468" i="1"/>
  <c r="I2464" i="1"/>
  <c r="X2470" i="1" l="1"/>
  <c r="AA2469" i="1"/>
  <c r="I2465" i="1"/>
  <c r="X2471" i="1" l="1"/>
  <c r="AA2470" i="1"/>
  <c r="I2466" i="1"/>
  <c r="X2472" i="1" l="1"/>
  <c r="AA2471" i="1"/>
  <c r="I2467" i="1"/>
  <c r="X2473" i="1" l="1"/>
  <c r="AA2472" i="1"/>
  <c r="I2468" i="1"/>
  <c r="X2474" i="1" l="1"/>
  <c r="AA2473" i="1"/>
  <c r="I2469" i="1"/>
  <c r="X2475" i="1" l="1"/>
  <c r="AA2474" i="1"/>
  <c r="I2470" i="1"/>
  <c r="AA2475" i="1" l="1"/>
  <c r="X2476" i="1"/>
  <c r="I2471" i="1"/>
  <c r="X2477" i="1" l="1"/>
  <c r="AA2476" i="1"/>
  <c r="I2472" i="1"/>
  <c r="X2478" i="1" l="1"/>
  <c r="AA2477" i="1"/>
  <c r="I2473" i="1"/>
  <c r="X2479" i="1" l="1"/>
  <c r="AA2478" i="1"/>
  <c r="I2474" i="1"/>
  <c r="X2480" i="1" l="1"/>
  <c r="AA2479" i="1"/>
  <c r="I2475" i="1"/>
  <c r="X2481" i="1" l="1"/>
  <c r="AA2480" i="1"/>
  <c r="I2476" i="1"/>
  <c r="X2482" i="1" l="1"/>
  <c r="AA2481" i="1"/>
  <c r="I2477" i="1"/>
  <c r="X2483" i="1" l="1"/>
  <c r="AA2482" i="1"/>
  <c r="I2478" i="1"/>
  <c r="AA2483" i="1" l="1"/>
  <c r="X2484" i="1"/>
  <c r="I2479" i="1"/>
  <c r="X2485" i="1" l="1"/>
  <c r="AA2484" i="1"/>
  <c r="I2480" i="1"/>
  <c r="X2486" i="1" l="1"/>
  <c r="AA2485" i="1"/>
  <c r="I2481" i="1"/>
  <c r="X2487" i="1" l="1"/>
  <c r="AA2486" i="1"/>
  <c r="I2482" i="1"/>
  <c r="X2488" i="1" l="1"/>
  <c r="AA2487" i="1"/>
  <c r="I2483" i="1"/>
  <c r="X2489" i="1" l="1"/>
  <c r="AA2488" i="1"/>
  <c r="I2484" i="1"/>
  <c r="X2490" i="1" l="1"/>
  <c r="AA2489" i="1"/>
  <c r="I2485" i="1"/>
  <c r="X2491" i="1" l="1"/>
  <c r="AA2490" i="1"/>
  <c r="I2486" i="1"/>
  <c r="AA2491" i="1" l="1"/>
  <c r="X2492" i="1"/>
  <c r="I2487" i="1"/>
  <c r="X2493" i="1" l="1"/>
  <c r="AA2492" i="1"/>
  <c r="I2488" i="1"/>
  <c r="X2494" i="1" l="1"/>
  <c r="AA2493" i="1"/>
  <c r="I2489" i="1"/>
  <c r="X2495" i="1" l="1"/>
  <c r="AA2494" i="1"/>
  <c r="I2490" i="1"/>
  <c r="X2496" i="1" l="1"/>
  <c r="AA2495" i="1"/>
  <c r="I2491" i="1"/>
  <c r="X2497" i="1" l="1"/>
  <c r="AA2496" i="1"/>
  <c r="I2492" i="1"/>
  <c r="X2498" i="1" l="1"/>
  <c r="AA2497" i="1"/>
  <c r="I2493" i="1"/>
  <c r="X2499" i="1" l="1"/>
  <c r="AA2498" i="1"/>
  <c r="I2494" i="1"/>
  <c r="AA2499" i="1" l="1"/>
  <c r="X2500" i="1"/>
  <c r="I2495" i="1"/>
  <c r="X2501" i="1" l="1"/>
  <c r="AA2500" i="1"/>
  <c r="I2496" i="1"/>
  <c r="X2502" i="1" l="1"/>
  <c r="AA2501" i="1"/>
  <c r="I2497" i="1"/>
  <c r="X2503" i="1" l="1"/>
  <c r="AA2502" i="1"/>
  <c r="I2498" i="1"/>
  <c r="X2504" i="1" l="1"/>
  <c r="AA2503" i="1"/>
  <c r="I2499" i="1"/>
  <c r="X2505" i="1" l="1"/>
  <c r="AA2504" i="1"/>
  <c r="I2500" i="1"/>
  <c r="X2506" i="1" l="1"/>
  <c r="AA2505" i="1"/>
  <c r="I2501" i="1"/>
  <c r="X2507" i="1" l="1"/>
  <c r="AA2506" i="1"/>
  <c r="I2502" i="1"/>
  <c r="AA2507" i="1" l="1"/>
  <c r="X2508" i="1"/>
  <c r="I2503" i="1"/>
  <c r="X2509" i="1" l="1"/>
  <c r="AA2508" i="1"/>
  <c r="I2504" i="1"/>
  <c r="X2510" i="1" l="1"/>
  <c r="AA2509" i="1"/>
  <c r="I2505" i="1"/>
  <c r="X2511" i="1" l="1"/>
  <c r="AA2510" i="1"/>
  <c r="I2506" i="1"/>
  <c r="X2512" i="1" l="1"/>
  <c r="AA2511" i="1"/>
  <c r="I2507" i="1"/>
  <c r="X2513" i="1" l="1"/>
  <c r="AA2512" i="1"/>
  <c r="I2508" i="1"/>
  <c r="X2514" i="1" l="1"/>
  <c r="AA2513" i="1"/>
  <c r="I2509" i="1"/>
  <c r="X2515" i="1" l="1"/>
  <c r="AA2514" i="1"/>
  <c r="I2510" i="1"/>
  <c r="AA2515" i="1" l="1"/>
  <c r="X2516" i="1"/>
  <c r="I2511" i="1"/>
  <c r="X2517" i="1" l="1"/>
  <c r="AA2516" i="1"/>
  <c r="I2512" i="1"/>
  <c r="X2518" i="1" l="1"/>
  <c r="AA2517" i="1"/>
  <c r="I2513" i="1"/>
  <c r="X2519" i="1" l="1"/>
  <c r="AA2518" i="1"/>
  <c r="I2514" i="1"/>
  <c r="X2520" i="1" l="1"/>
  <c r="AA2519" i="1"/>
  <c r="I2515" i="1"/>
  <c r="X2521" i="1" l="1"/>
  <c r="AA2520" i="1"/>
  <c r="I2516" i="1"/>
  <c r="X2522" i="1" l="1"/>
  <c r="AA2521" i="1"/>
  <c r="I2517" i="1"/>
  <c r="X2523" i="1" l="1"/>
  <c r="AA2522" i="1"/>
  <c r="I2518" i="1"/>
  <c r="AA2523" i="1" l="1"/>
  <c r="X2524" i="1"/>
  <c r="I2519" i="1"/>
  <c r="X2525" i="1" l="1"/>
  <c r="AA2524" i="1"/>
  <c r="I2520" i="1"/>
  <c r="X2526" i="1" l="1"/>
  <c r="AA2525" i="1"/>
  <c r="I2521" i="1"/>
  <c r="X2527" i="1" l="1"/>
  <c r="AA2526" i="1"/>
  <c r="I2522" i="1"/>
  <c r="X2528" i="1" l="1"/>
  <c r="AA2527" i="1"/>
  <c r="I2523" i="1"/>
  <c r="X2529" i="1" l="1"/>
  <c r="AA2528" i="1"/>
  <c r="I2524" i="1"/>
  <c r="X2530" i="1" l="1"/>
  <c r="AA2529" i="1"/>
  <c r="I2525" i="1"/>
  <c r="X2531" i="1" l="1"/>
  <c r="AA2530" i="1"/>
  <c r="I2526" i="1"/>
  <c r="AA2531" i="1" l="1"/>
  <c r="X2532" i="1"/>
  <c r="I2527" i="1"/>
  <c r="X2533" i="1" l="1"/>
  <c r="AA2532" i="1"/>
  <c r="I2528" i="1"/>
  <c r="X2534" i="1" l="1"/>
  <c r="AA2533" i="1"/>
  <c r="I2529" i="1"/>
  <c r="X2535" i="1" l="1"/>
  <c r="AA2534" i="1"/>
  <c r="I2530" i="1"/>
  <c r="X2536" i="1" l="1"/>
  <c r="AA2535" i="1"/>
  <c r="I2531" i="1"/>
  <c r="X2537" i="1" l="1"/>
  <c r="AA2536" i="1"/>
  <c r="I2532" i="1"/>
  <c r="X2538" i="1" l="1"/>
  <c r="AA2537" i="1"/>
  <c r="I2533" i="1"/>
  <c r="X2539" i="1" l="1"/>
  <c r="AA2538" i="1"/>
  <c r="I2534" i="1"/>
  <c r="AA2539" i="1" l="1"/>
  <c r="X2540" i="1"/>
  <c r="I2535" i="1"/>
  <c r="X2541" i="1" l="1"/>
  <c r="AA2540" i="1"/>
  <c r="I2536" i="1"/>
  <c r="X2542" i="1" l="1"/>
  <c r="AA2541" i="1"/>
  <c r="I2537" i="1"/>
  <c r="X2543" i="1" l="1"/>
  <c r="AA2542" i="1"/>
  <c r="I2538" i="1"/>
  <c r="X2544" i="1" l="1"/>
  <c r="AA2543" i="1"/>
  <c r="I2539" i="1"/>
  <c r="X2545" i="1" l="1"/>
  <c r="AA2544" i="1"/>
  <c r="I2540" i="1"/>
  <c r="X2546" i="1" l="1"/>
  <c r="AA2545" i="1"/>
  <c r="I2541" i="1"/>
  <c r="X2547" i="1" l="1"/>
  <c r="AA2546" i="1"/>
  <c r="I2542" i="1"/>
  <c r="AA2547" i="1" l="1"/>
  <c r="X2548" i="1"/>
  <c r="I2543" i="1"/>
  <c r="X2549" i="1" l="1"/>
  <c r="AA2548" i="1"/>
  <c r="I2544" i="1"/>
  <c r="X2550" i="1" l="1"/>
  <c r="AA2549" i="1"/>
  <c r="I2545" i="1"/>
  <c r="X2551" i="1" l="1"/>
  <c r="AA2550" i="1"/>
  <c r="I2546" i="1"/>
  <c r="X2552" i="1" l="1"/>
  <c r="AA2551" i="1"/>
  <c r="I2547" i="1"/>
  <c r="X2553" i="1" l="1"/>
  <c r="AA2552" i="1"/>
  <c r="I2548" i="1"/>
  <c r="X2554" i="1" l="1"/>
  <c r="AA2553" i="1"/>
  <c r="I2549" i="1"/>
  <c r="X2555" i="1" l="1"/>
  <c r="AA2554" i="1"/>
  <c r="I2550" i="1"/>
  <c r="AA2555" i="1" l="1"/>
  <c r="X2556" i="1"/>
  <c r="I2551" i="1"/>
  <c r="X2557" i="1" l="1"/>
  <c r="AA2556" i="1"/>
  <c r="I2552" i="1"/>
  <c r="X2558" i="1" l="1"/>
  <c r="AA2557" i="1"/>
  <c r="I2553" i="1"/>
  <c r="X2559" i="1" l="1"/>
  <c r="AA2558" i="1"/>
  <c r="I2554" i="1"/>
  <c r="X2560" i="1" l="1"/>
  <c r="AA2559" i="1"/>
  <c r="I2555" i="1"/>
  <c r="X2561" i="1" l="1"/>
  <c r="AA2560" i="1"/>
  <c r="I2556" i="1"/>
  <c r="X2562" i="1" l="1"/>
  <c r="AA2561" i="1"/>
  <c r="I2557" i="1"/>
  <c r="X2563" i="1" l="1"/>
  <c r="AA2562" i="1"/>
  <c r="I2558" i="1"/>
  <c r="AA2563" i="1" l="1"/>
  <c r="X2564" i="1"/>
  <c r="I2559" i="1"/>
  <c r="X2565" i="1" l="1"/>
  <c r="AA2564" i="1"/>
  <c r="I2560" i="1"/>
  <c r="X2566" i="1" l="1"/>
  <c r="AA2565" i="1"/>
  <c r="I2561" i="1"/>
  <c r="X2567" i="1" l="1"/>
  <c r="AA2566" i="1"/>
  <c r="I2562" i="1"/>
  <c r="X2568" i="1" l="1"/>
  <c r="AA2567" i="1"/>
  <c r="I2563" i="1"/>
  <c r="X2569" i="1" l="1"/>
  <c r="AA2568" i="1"/>
  <c r="I2564" i="1"/>
  <c r="X2570" i="1" l="1"/>
  <c r="AA2569" i="1"/>
  <c r="I2565" i="1"/>
  <c r="X2571" i="1" l="1"/>
  <c r="AA2570" i="1"/>
  <c r="I2566" i="1"/>
  <c r="AA2571" i="1" l="1"/>
  <c r="X2572" i="1"/>
  <c r="I2567" i="1"/>
  <c r="X2573" i="1" l="1"/>
  <c r="AA2572" i="1"/>
  <c r="I2568" i="1"/>
  <c r="X2574" i="1" l="1"/>
  <c r="AA2573" i="1"/>
  <c r="I2569" i="1"/>
  <c r="X2575" i="1" l="1"/>
  <c r="AA2574" i="1"/>
  <c r="I2570" i="1"/>
  <c r="X2576" i="1" l="1"/>
  <c r="AA2575" i="1"/>
  <c r="I2571" i="1"/>
  <c r="X2577" i="1" l="1"/>
  <c r="AA2576" i="1"/>
  <c r="I2572" i="1"/>
  <c r="X2578" i="1" l="1"/>
  <c r="AA2577" i="1"/>
  <c r="I2573" i="1"/>
  <c r="X2579" i="1" l="1"/>
  <c r="AA2578" i="1"/>
  <c r="I2574" i="1"/>
  <c r="AA2579" i="1" l="1"/>
  <c r="X2580" i="1"/>
  <c r="I2575" i="1"/>
  <c r="X2581" i="1" l="1"/>
  <c r="AA2580" i="1"/>
  <c r="I2576" i="1"/>
  <c r="X2582" i="1" l="1"/>
  <c r="AA2581" i="1"/>
  <c r="I2577" i="1"/>
  <c r="X2583" i="1" l="1"/>
  <c r="AA2582" i="1"/>
  <c r="I2578" i="1"/>
  <c r="X2584" i="1" l="1"/>
  <c r="AA2583" i="1"/>
  <c r="I2579" i="1"/>
  <c r="X2585" i="1" l="1"/>
  <c r="AA2584" i="1"/>
  <c r="I2580" i="1"/>
  <c r="X2586" i="1" l="1"/>
  <c r="AA2585" i="1"/>
  <c r="I2581" i="1"/>
  <c r="X2587" i="1" l="1"/>
  <c r="AA2586" i="1"/>
  <c r="I2582" i="1"/>
  <c r="AA2587" i="1" l="1"/>
  <c r="X2588" i="1"/>
  <c r="I2583" i="1"/>
  <c r="X2589" i="1" l="1"/>
  <c r="AA2588" i="1"/>
  <c r="I2584" i="1"/>
  <c r="X2590" i="1" l="1"/>
  <c r="AA2589" i="1"/>
  <c r="I2585" i="1"/>
  <c r="X2591" i="1" l="1"/>
  <c r="AA2590" i="1"/>
  <c r="I2586" i="1"/>
  <c r="X2592" i="1" l="1"/>
  <c r="AA2591" i="1"/>
  <c r="I2587" i="1"/>
  <c r="X2593" i="1" l="1"/>
  <c r="AA2592" i="1"/>
  <c r="I2588" i="1"/>
  <c r="X2594" i="1" l="1"/>
  <c r="AA2593" i="1"/>
  <c r="I2589" i="1"/>
  <c r="X2595" i="1" l="1"/>
  <c r="AA2594" i="1"/>
  <c r="I2590" i="1"/>
  <c r="AA2595" i="1" l="1"/>
  <c r="X2596" i="1"/>
  <c r="I2591" i="1"/>
  <c r="X2597" i="1" l="1"/>
  <c r="AA2596" i="1"/>
  <c r="I2592" i="1"/>
  <c r="X2598" i="1" l="1"/>
  <c r="AA2597" i="1"/>
  <c r="I2593" i="1"/>
  <c r="X2599" i="1" l="1"/>
  <c r="AA2598" i="1"/>
  <c r="I2594" i="1"/>
  <c r="X2600" i="1" l="1"/>
  <c r="AA2599" i="1"/>
  <c r="I2595" i="1"/>
  <c r="X2601" i="1" l="1"/>
  <c r="AA2600" i="1"/>
  <c r="I2596" i="1"/>
  <c r="X2602" i="1" l="1"/>
  <c r="AA2601" i="1"/>
  <c r="I2597" i="1"/>
  <c r="X2603" i="1" l="1"/>
  <c r="AA2602" i="1"/>
  <c r="I2598" i="1"/>
  <c r="AA2603" i="1" l="1"/>
  <c r="X2604" i="1"/>
  <c r="I2599" i="1"/>
  <c r="X2605" i="1" l="1"/>
  <c r="AA2604" i="1"/>
  <c r="I2600" i="1"/>
  <c r="X2606" i="1" l="1"/>
  <c r="AA2605" i="1"/>
  <c r="I2601" i="1"/>
  <c r="X2607" i="1" l="1"/>
  <c r="AA2606" i="1"/>
  <c r="I2602" i="1"/>
  <c r="X2608" i="1" l="1"/>
  <c r="AA2607" i="1"/>
  <c r="I2603" i="1"/>
  <c r="X2609" i="1" l="1"/>
  <c r="AA2608" i="1"/>
  <c r="I2604" i="1"/>
  <c r="X2610" i="1" l="1"/>
  <c r="AA2609" i="1"/>
  <c r="I2605" i="1"/>
  <c r="X2611" i="1" l="1"/>
  <c r="AA2610" i="1"/>
  <c r="I2606" i="1"/>
  <c r="AA2611" i="1" l="1"/>
  <c r="X2612" i="1"/>
  <c r="I2607" i="1"/>
  <c r="X2613" i="1" l="1"/>
  <c r="AA2612" i="1"/>
  <c r="I2608" i="1"/>
  <c r="X2614" i="1" l="1"/>
  <c r="AA2613" i="1"/>
  <c r="I2609" i="1"/>
  <c r="X2615" i="1" l="1"/>
  <c r="AA2614" i="1"/>
  <c r="I2610" i="1"/>
  <c r="X2616" i="1" l="1"/>
  <c r="AA2615" i="1"/>
  <c r="I2611" i="1"/>
  <c r="X2617" i="1" l="1"/>
  <c r="AA2616" i="1"/>
  <c r="I2612" i="1"/>
  <c r="X2618" i="1" l="1"/>
  <c r="AA2617" i="1"/>
  <c r="I2613" i="1"/>
  <c r="X2619" i="1" l="1"/>
  <c r="AA2618" i="1"/>
  <c r="I2614" i="1"/>
  <c r="AA2619" i="1" l="1"/>
  <c r="X2620" i="1"/>
  <c r="I2615" i="1"/>
  <c r="X2621" i="1" l="1"/>
  <c r="AA2620" i="1"/>
  <c r="I2616" i="1"/>
  <c r="X2622" i="1" l="1"/>
  <c r="AA2621" i="1"/>
  <c r="I2617" i="1"/>
  <c r="X2623" i="1" l="1"/>
  <c r="AA2622" i="1"/>
  <c r="I2618" i="1"/>
  <c r="X2624" i="1" l="1"/>
  <c r="AA2623" i="1"/>
  <c r="I2619" i="1"/>
  <c r="X2625" i="1" l="1"/>
  <c r="AA2624" i="1"/>
  <c r="I2620" i="1"/>
  <c r="X2626" i="1" l="1"/>
  <c r="AA2625" i="1"/>
  <c r="I2621" i="1"/>
  <c r="X2627" i="1" l="1"/>
  <c r="AA2626" i="1"/>
  <c r="I2622" i="1"/>
  <c r="AA2627" i="1" l="1"/>
  <c r="X2628" i="1"/>
  <c r="I2623" i="1"/>
  <c r="X2629" i="1" l="1"/>
  <c r="AA2628" i="1"/>
  <c r="I2624" i="1"/>
  <c r="X2630" i="1" l="1"/>
  <c r="AA2629" i="1"/>
  <c r="I2625" i="1"/>
  <c r="X2631" i="1" l="1"/>
  <c r="AA2630" i="1"/>
  <c r="I2626" i="1"/>
  <c r="X2632" i="1" l="1"/>
  <c r="AA2631" i="1"/>
  <c r="I2627" i="1"/>
  <c r="X2633" i="1" l="1"/>
  <c r="AA2632" i="1"/>
  <c r="I2628" i="1"/>
  <c r="X2634" i="1" l="1"/>
  <c r="AA2633" i="1"/>
  <c r="I2629" i="1"/>
  <c r="X2635" i="1" l="1"/>
  <c r="AA2634" i="1"/>
  <c r="I2630" i="1"/>
  <c r="AA2635" i="1" l="1"/>
  <c r="X2636" i="1"/>
  <c r="I2631" i="1"/>
  <c r="X2637" i="1" l="1"/>
  <c r="AA2636" i="1"/>
  <c r="I2632" i="1"/>
  <c r="X2638" i="1" l="1"/>
  <c r="AA2637" i="1"/>
  <c r="I2633" i="1"/>
  <c r="X2639" i="1" l="1"/>
  <c r="AA2638" i="1"/>
  <c r="I2634" i="1"/>
  <c r="X2640" i="1" l="1"/>
  <c r="AA2639" i="1"/>
  <c r="I2635" i="1"/>
  <c r="X2641" i="1" l="1"/>
  <c r="AA2640" i="1"/>
  <c r="I2636" i="1"/>
  <c r="X2642" i="1" l="1"/>
  <c r="AA2641" i="1"/>
  <c r="I2637" i="1"/>
  <c r="X2643" i="1" l="1"/>
  <c r="AA2642" i="1"/>
  <c r="I2638" i="1"/>
  <c r="AA2643" i="1" l="1"/>
  <c r="X2644" i="1"/>
  <c r="I2639" i="1"/>
  <c r="X2645" i="1" l="1"/>
  <c r="AA2644" i="1"/>
  <c r="I2640" i="1"/>
  <c r="X2646" i="1" l="1"/>
  <c r="AA2645" i="1"/>
  <c r="I2641" i="1"/>
  <c r="X2647" i="1" l="1"/>
  <c r="AA2646" i="1"/>
  <c r="I2642" i="1"/>
  <c r="X2648" i="1" l="1"/>
  <c r="AA2647" i="1"/>
  <c r="I2643" i="1"/>
  <c r="X2649" i="1" l="1"/>
  <c r="AA2648" i="1"/>
  <c r="I2644" i="1"/>
  <c r="X2650" i="1" l="1"/>
  <c r="AA2649" i="1"/>
  <c r="I2645" i="1"/>
  <c r="X2651" i="1" l="1"/>
  <c r="AA2650" i="1"/>
  <c r="I2646" i="1"/>
  <c r="AA2651" i="1" l="1"/>
  <c r="X2652" i="1"/>
  <c r="I2647" i="1"/>
  <c r="X2653" i="1" l="1"/>
  <c r="AA2652" i="1"/>
  <c r="I2648" i="1"/>
  <c r="X2654" i="1" l="1"/>
  <c r="AA2653" i="1"/>
  <c r="I2649" i="1"/>
  <c r="AA2654" i="1" l="1"/>
  <c r="X2655" i="1"/>
  <c r="I2650" i="1"/>
  <c r="X2656" i="1" l="1"/>
  <c r="AA2655" i="1"/>
  <c r="I2651" i="1"/>
  <c r="X2657" i="1" l="1"/>
  <c r="AA2656" i="1"/>
  <c r="I2652" i="1"/>
  <c r="AA2657" i="1" l="1"/>
  <c r="X2658" i="1"/>
  <c r="I2653" i="1"/>
  <c r="X2659" i="1" l="1"/>
  <c r="AA2658" i="1"/>
  <c r="I2654" i="1"/>
  <c r="X2660" i="1" l="1"/>
  <c r="AA2659" i="1"/>
  <c r="I2655" i="1"/>
  <c r="X2661" i="1" l="1"/>
  <c r="AA2660" i="1"/>
  <c r="I2656" i="1"/>
  <c r="AA2661" i="1" l="1"/>
  <c r="X2662" i="1"/>
  <c r="I2657" i="1"/>
  <c r="X2663" i="1" l="1"/>
  <c r="AA2662" i="1"/>
  <c r="I2658" i="1"/>
  <c r="X2664" i="1" l="1"/>
  <c r="AA2663" i="1"/>
  <c r="I2659" i="1"/>
  <c r="X2665" i="1" l="1"/>
  <c r="AA2664" i="1"/>
  <c r="I2660" i="1"/>
  <c r="X2666" i="1" l="1"/>
  <c r="AA2665" i="1"/>
  <c r="I2661" i="1"/>
  <c r="X2667" i="1" l="1"/>
  <c r="AA2666" i="1"/>
  <c r="I2662" i="1"/>
  <c r="X2668" i="1" l="1"/>
  <c r="AA2667" i="1"/>
  <c r="I2663" i="1"/>
  <c r="X2669" i="1" l="1"/>
  <c r="AA2668" i="1"/>
  <c r="I2664" i="1"/>
  <c r="AA2669" i="1" l="1"/>
  <c r="X2670" i="1"/>
  <c r="I2665" i="1"/>
  <c r="X2671" i="1" l="1"/>
  <c r="AA2670" i="1"/>
  <c r="I2666" i="1"/>
  <c r="X2672" i="1" l="1"/>
  <c r="AA2671" i="1"/>
  <c r="I2667" i="1"/>
  <c r="X2673" i="1" l="1"/>
  <c r="AA2672" i="1"/>
  <c r="I2668" i="1"/>
  <c r="X2674" i="1" l="1"/>
  <c r="AA2673" i="1"/>
  <c r="I2669" i="1"/>
  <c r="X2675" i="1" l="1"/>
  <c r="AA2674" i="1"/>
  <c r="I2670" i="1"/>
  <c r="X2676" i="1" l="1"/>
  <c r="AA2675" i="1"/>
  <c r="I2671" i="1"/>
  <c r="X2677" i="1" l="1"/>
  <c r="AA2676" i="1"/>
  <c r="I2672" i="1"/>
  <c r="AA2677" i="1" l="1"/>
  <c r="X2678" i="1"/>
  <c r="I2673" i="1"/>
  <c r="X2679" i="1" l="1"/>
  <c r="AA2678" i="1"/>
  <c r="I2674" i="1"/>
  <c r="X2680" i="1" l="1"/>
  <c r="AA2679" i="1"/>
  <c r="I2675" i="1"/>
  <c r="X2681" i="1" l="1"/>
  <c r="AA2680" i="1"/>
  <c r="I2676" i="1"/>
  <c r="X2682" i="1" l="1"/>
  <c r="AA2681" i="1"/>
  <c r="I2677" i="1"/>
  <c r="X2683" i="1" l="1"/>
  <c r="AA2682" i="1"/>
  <c r="I2678" i="1"/>
  <c r="X2684" i="1" l="1"/>
  <c r="AA2683" i="1"/>
  <c r="I2679" i="1"/>
  <c r="X2685" i="1" l="1"/>
  <c r="AA2684" i="1"/>
  <c r="I2680" i="1"/>
  <c r="AA2685" i="1" l="1"/>
  <c r="X2686" i="1"/>
  <c r="I2681" i="1"/>
  <c r="X2687" i="1" l="1"/>
  <c r="AA2686" i="1"/>
  <c r="I2682" i="1"/>
  <c r="X2688" i="1" l="1"/>
  <c r="AA2687" i="1"/>
  <c r="I2683" i="1"/>
  <c r="X2689" i="1" l="1"/>
  <c r="AA2688" i="1"/>
  <c r="I2684" i="1"/>
  <c r="X2690" i="1" l="1"/>
  <c r="AA2689" i="1"/>
  <c r="I2685" i="1"/>
  <c r="X2691" i="1" l="1"/>
  <c r="AA2690" i="1"/>
  <c r="I2686" i="1"/>
  <c r="X2692" i="1" l="1"/>
  <c r="AA2691" i="1"/>
  <c r="I2687" i="1"/>
  <c r="X2693" i="1" l="1"/>
  <c r="AA2692" i="1"/>
  <c r="I2688" i="1"/>
  <c r="AA2693" i="1" l="1"/>
  <c r="X2694" i="1"/>
  <c r="I2689" i="1"/>
  <c r="X2695" i="1" l="1"/>
  <c r="AA2694" i="1"/>
  <c r="I2690" i="1"/>
  <c r="X2696" i="1" l="1"/>
  <c r="AA2695" i="1"/>
  <c r="I2691" i="1"/>
  <c r="X2697" i="1" l="1"/>
  <c r="AA2696" i="1"/>
  <c r="I2692" i="1"/>
  <c r="X2698" i="1" l="1"/>
  <c r="AA2697" i="1"/>
  <c r="I2693" i="1"/>
  <c r="X2699" i="1" l="1"/>
  <c r="AA2698" i="1"/>
  <c r="I2694" i="1"/>
  <c r="X2700" i="1" l="1"/>
  <c r="AA2699" i="1"/>
  <c r="I2695" i="1"/>
  <c r="X2701" i="1" l="1"/>
  <c r="AA2700" i="1"/>
  <c r="I2696" i="1"/>
  <c r="AA2701" i="1" l="1"/>
  <c r="X2702" i="1"/>
  <c r="I2697" i="1"/>
  <c r="X2703" i="1" l="1"/>
  <c r="AA2702" i="1"/>
  <c r="I2698" i="1"/>
  <c r="X2704" i="1" l="1"/>
  <c r="AA2703" i="1"/>
  <c r="I2699" i="1"/>
  <c r="X2705" i="1" l="1"/>
  <c r="AA2704" i="1"/>
  <c r="I2700" i="1"/>
  <c r="X2706" i="1" l="1"/>
  <c r="AA2705" i="1"/>
  <c r="I2701" i="1"/>
  <c r="X2707" i="1" l="1"/>
  <c r="AA2706" i="1"/>
  <c r="I2702" i="1"/>
  <c r="X2708" i="1" l="1"/>
  <c r="AA2707" i="1"/>
  <c r="I2703" i="1"/>
  <c r="X2709" i="1" l="1"/>
  <c r="AA2708" i="1"/>
  <c r="I2704" i="1"/>
  <c r="AA2709" i="1" l="1"/>
  <c r="X2710" i="1"/>
  <c r="I2705" i="1"/>
  <c r="X2711" i="1" l="1"/>
  <c r="AA2710" i="1"/>
  <c r="I2706" i="1"/>
  <c r="X2712" i="1" l="1"/>
  <c r="AA2711" i="1"/>
  <c r="I2707" i="1"/>
  <c r="X2713" i="1" l="1"/>
  <c r="AA2712" i="1"/>
  <c r="I2708" i="1"/>
  <c r="X2714" i="1" l="1"/>
  <c r="AA2713" i="1"/>
  <c r="I2709" i="1"/>
  <c r="X2715" i="1" l="1"/>
  <c r="AA2714" i="1"/>
  <c r="I2710" i="1"/>
  <c r="X2716" i="1" l="1"/>
  <c r="AA2715" i="1"/>
  <c r="I2711" i="1"/>
  <c r="X2717" i="1" l="1"/>
  <c r="AA2716" i="1"/>
  <c r="I2712" i="1"/>
  <c r="AA2717" i="1" l="1"/>
  <c r="X2718" i="1"/>
  <c r="I2713" i="1"/>
  <c r="X2719" i="1" l="1"/>
  <c r="AA2718" i="1"/>
  <c r="I2714" i="1"/>
  <c r="X2720" i="1" l="1"/>
  <c r="AA2719" i="1"/>
  <c r="I2715" i="1"/>
  <c r="X2721" i="1" l="1"/>
  <c r="AA2720" i="1"/>
  <c r="I2716" i="1"/>
  <c r="X2722" i="1" l="1"/>
  <c r="AA2721" i="1"/>
  <c r="I2717" i="1"/>
  <c r="X2723" i="1" l="1"/>
  <c r="AA2722" i="1"/>
  <c r="I2718" i="1"/>
  <c r="X2724" i="1" l="1"/>
  <c r="AA2723" i="1"/>
  <c r="I2719" i="1"/>
  <c r="X2725" i="1" l="1"/>
  <c r="AA2724" i="1"/>
  <c r="I2720" i="1"/>
  <c r="AA2725" i="1" l="1"/>
  <c r="X2726" i="1"/>
  <c r="I2721" i="1"/>
  <c r="X2727" i="1" l="1"/>
  <c r="AA2726" i="1"/>
  <c r="I2722" i="1"/>
  <c r="X2728" i="1" l="1"/>
  <c r="AA2727" i="1"/>
  <c r="I2723" i="1"/>
  <c r="X2729" i="1" l="1"/>
  <c r="AA2728" i="1"/>
  <c r="I2724" i="1"/>
  <c r="X2730" i="1" l="1"/>
  <c r="AA2729" i="1"/>
  <c r="I2725" i="1"/>
  <c r="X2731" i="1" l="1"/>
  <c r="AA2730" i="1"/>
  <c r="I2726" i="1"/>
  <c r="X2732" i="1" l="1"/>
  <c r="AA2731" i="1"/>
  <c r="I2727" i="1"/>
  <c r="X2733" i="1" l="1"/>
  <c r="AA2732" i="1"/>
  <c r="I2728" i="1"/>
  <c r="AA2733" i="1" l="1"/>
  <c r="X2734" i="1"/>
  <c r="I2729" i="1"/>
  <c r="X2735" i="1" l="1"/>
  <c r="AA2734" i="1"/>
  <c r="I2730" i="1"/>
  <c r="X2736" i="1" l="1"/>
  <c r="AA2735" i="1"/>
  <c r="I2731" i="1"/>
  <c r="X2737" i="1" l="1"/>
  <c r="AA2736" i="1"/>
  <c r="I2732" i="1"/>
  <c r="X2738" i="1" l="1"/>
  <c r="AA2737" i="1"/>
  <c r="I2733" i="1"/>
  <c r="X2739" i="1" l="1"/>
  <c r="AA2738" i="1"/>
  <c r="I2734" i="1"/>
  <c r="X2740" i="1" l="1"/>
  <c r="AA2739" i="1"/>
  <c r="I2735" i="1"/>
  <c r="X2741" i="1" l="1"/>
  <c r="AA2740" i="1"/>
  <c r="I2736" i="1"/>
  <c r="AA2741" i="1" l="1"/>
  <c r="X2742" i="1"/>
  <c r="I2737" i="1"/>
  <c r="X2743" i="1" l="1"/>
  <c r="AA2742" i="1"/>
  <c r="I2738" i="1"/>
  <c r="X2744" i="1" l="1"/>
  <c r="AA2743" i="1"/>
  <c r="I2739" i="1"/>
  <c r="X2745" i="1" l="1"/>
  <c r="AA2744" i="1"/>
  <c r="I2740" i="1"/>
  <c r="X2746" i="1" l="1"/>
  <c r="AA2745" i="1"/>
  <c r="I2741" i="1"/>
  <c r="X2747" i="1" l="1"/>
  <c r="AA2746" i="1"/>
  <c r="I2742" i="1"/>
  <c r="X2748" i="1" l="1"/>
  <c r="AA2747" i="1"/>
  <c r="I2743" i="1"/>
  <c r="X2749" i="1" l="1"/>
  <c r="AA2748" i="1"/>
  <c r="I2744" i="1"/>
  <c r="AA2749" i="1" l="1"/>
  <c r="X2750" i="1"/>
  <c r="I2745" i="1"/>
  <c r="X2751" i="1" l="1"/>
  <c r="AA2750" i="1"/>
  <c r="I2746" i="1"/>
  <c r="X2752" i="1" l="1"/>
  <c r="AA2751" i="1"/>
  <c r="I2747" i="1"/>
  <c r="X2753" i="1" l="1"/>
  <c r="AA2752" i="1"/>
  <c r="I2748" i="1"/>
  <c r="X2754" i="1" l="1"/>
  <c r="AA2753" i="1"/>
  <c r="I2749" i="1"/>
  <c r="X2755" i="1" l="1"/>
  <c r="AA2754" i="1"/>
  <c r="I2750" i="1"/>
  <c r="X2756" i="1" l="1"/>
  <c r="AA2755" i="1"/>
  <c r="I2751" i="1"/>
  <c r="X2757" i="1" l="1"/>
  <c r="AA2756" i="1"/>
  <c r="I2752" i="1"/>
  <c r="AA2757" i="1" l="1"/>
  <c r="X2758" i="1"/>
  <c r="I2753" i="1"/>
  <c r="X2759" i="1" l="1"/>
  <c r="AA2758" i="1"/>
  <c r="I2754" i="1"/>
  <c r="X2760" i="1" l="1"/>
  <c r="AA2759" i="1"/>
  <c r="I2755" i="1"/>
  <c r="X2761" i="1" l="1"/>
  <c r="AA2760" i="1"/>
  <c r="I2756" i="1"/>
  <c r="X2762" i="1" l="1"/>
  <c r="AA2761" i="1"/>
  <c r="I2757" i="1"/>
  <c r="X2763" i="1" l="1"/>
  <c r="AA2762" i="1"/>
  <c r="I2758" i="1"/>
  <c r="X2764" i="1" l="1"/>
  <c r="AA2763" i="1"/>
  <c r="I2759" i="1"/>
  <c r="X2765" i="1" l="1"/>
  <c r="AA2764" i="1"/>
  <c r="I2760" i="1"/>
  <c r="AA2765" i="1" l="1"/>
  <c r="X2766" i="1"/>
  <c r="I2761" i="1"/>
  <c r="X2767" i="1" l="1"/>
  <c r="AA2766" i="1"/>
  <c r="I2762" i="1"/>
  <c r="X2768" i="1" l="1"/>
  <c r="AA2767" i="1"/>
  <c r="I2763" i="1"/>
  <c r="X2769" i="1" l="1"/>
  <c r="AA2768" i="1"/>
  <c r="I2764" i="1"/>
  <c r="X2770" i="1" l="1"/>
  <c r="AA2769" i="1"/>
  <c r="I2765" i="1"/>
  <c r="X2771" i="1" l="1"/>
  <c r="AA2770" i="1"/>
  <c r="I2766" i="1"/>
  <c r="X2772" i="1" l="1"/>
  <c r="AA2771" i="1"/>
  <c r="I2767" i="1"/>
  <c r="X2773" i="1" l="1"/>
  <c r="AA2772" i="1"/>
  <c r="I2768" i="1"/>
  <c r="AA2773" i="1" l="1"/>
  <c r="X2774" i="1"/>
  <c r="I2769" i="1"/>
  <c r="X2775" i="1" l="1"/>
  <c r="AA2774" i="1"/>
  <c r="I2770" i="1"/>
  <c r="X2776" i="1" l="1"/>
  <c r="AA2775" i="1"/>
  <c r="I2771" i="1"/>
  <c r="X2777" i="1" l="1"/>
  <c r="AA2776" i="1"/>
  <c r="I2772" i="1"/>
  <c r="X2778" i="1" l="1"/>
  <c r="AA2777" i="1"/>
  <c r="I2773" i="1"/>
  <c r="X2779" i="1" l="1"/>
  <c r="AA2778" i="1"/>
  <c r="I2774" i="1"/>
  <c r="X2780" i="1" l="1"/>
  <c r="AA2779" i="1"/>
  <c r="I2775" i="1"/>
  <c r="X2781" i="1" l="1"/>
  <c r="AA2780" i="1"/>
  <c r="I2776" i="1"/>
  <c r="AA2781" i="1" l="1"/>
  <c r="X2782" i="1"/>
  <c r="I2777" i="1"/>
  <c r="X2783" i="1" l="1"/>
  <c r="AA2782" i="1"/>
  <c r="I2778" i="1"/>
  <c r="X2784" i="1" l="1"/>
  <c r="AA2783" i="1"/>
  <c r="I2779" i="1"/>
  <c r="X2785" i="1" l="1"/>
  <c r="AA2784" i="1"/>
  <c r="I2780" i="1"/>
  <c r="X2786" i="1" l="1"/>
  <c r="AA2785" i="1"/>
  <c r="I2781" i="1"/>
  <c r="X2787" i="1" l="1"/>
  <c r="AA2786" i="1"/>
  <c r="I2782" i="1"/>
  <c r="X2788" i="1" l="1"/>
  <c r="AA2787" i="1"/>
  <c r="I2783" i="1"/>
  <c r="X2789" i="1" l="1"/>
  <c r="AA2788" i="1"/>
  <c r="I2784" i="1"/>
  <c r="AA2789" i="1" l="1"/>
  <c r="X2790" i="1"/>
  <c r="I2785" i="1"/>
  <c r="X2791" i="1" l="1"/>
  <c r="AA2790" i="1"/>
  <c r="I2786" i="1"/>
  <c r="X2792" i="1" l="1"/>
  <c r="AA2791" i="1"/>
  <c r="I2787" i="1"/>
  <c r="X2793" i="1" l="1"/>
  <c r="AA2792" i="1"/>
  <c r="I2788" i="1"/>
  <c r="X2794" i="1" l="1"/>
  <c r="AA2793" i="1"/>
  <c r="I2789" i="1"/>
  <c r="X2795" i="1" l="1"/>
  <c r="AA2794" i="1"/>
  <c r="I2790" i="1"/>
  <c r="X2796" i="1" l="1"/>
  <c r="AA2795" i="1"/>
  <c r="I2791" i="1"/>
  <c r="X2797" i="1" l="1"/>
  <c r="AA2796" i="1"/>
  <c r="I2792" i="1"/>
  <c r="AA2797" i="1" l="1"/>
  <c r="X2798" i="1"/>
  <c r="I2793" i="1"/>
  <c r="X2799" i="1" l="1"/>
  <c r="AA2798" i="1"/>
  <c r="I2794" i="1"/>
  <c r="X2800" i="1" l="1"/>
  <c r="AA2799" i="1"/>
  <c r="I2795" i="1"/>
  <c r="X2801" i="1" l="1"/>
  <c r="AA2800" i="1"/>
  <c r="I2796" i="1"/>
  <c r="X2802" i="1" l="1"/>
  <c r="AA2801" i="1"/>
  <c r="I2797" i="1"/>
  <c r="X2803" i="1" l="1"/>
  <c r="AA2802" i="1"/>
  <c r="I2798" i="1"/>
  <c r="X2804" i="1" l="1"/>
  <c r="AA2803" i="1"/>
  <c r="I2799" i="1"/>
  <c r="X2805" i="1" l="1"/>
  <c r="AA2804" i="1"/>
  <c r="I2800" i="1"/>
  <c r="AA2805" i="1" l="1"/>
  <c r="X2806" i="1"/>
  <c r="I2801" i="1"/>
  <c r="X2807" i="1" l="1"/>
  <c r="AA2806" i="1"/>
  <c r="I2802" i="1"/>
  <c r="X2808" i="1" l="1"/>
  <c r="AA2807" i="1"/>
  <c r="I2803" i="1"/>
  <c r="X2809" i="1" l="1"/>
  <c r="AA2808" i="1"/>
  <c r="I2804" i="1"/>
  <c r="X2810" i="1" l="1"/>
  <c r="AA2809" i="1"/>
  <c r="I2805" i="1"/>
  <c r="X2811" i="1" l="1"/>
  <c r="AA2810" i="1"/>
  <c r="I2806" i="1"/>
  <c r="X2812" i="1" l="1"/>
  <c r="AA2811" i="1"/>
  <c r="I2807" i="1"/>
  <c r="X2813" i="1" l="1"/>
  <c r="AA2812" i="1"/>
  <c r="I2808" i="1"/>
  <c r="AA2813" i="1" l="1"/>
  <c r="X2814" i="1"/>
  <c r="I2809" i="1"/>
  <c r="X2815" i="1" l="1"/>
  <c r="AA2814" i="1"/>
  <c r="I2810" i="1"/>
  <c r="X2816" i="1" l="1"/>
  <c r="AA2815" i="1"/>
  <c r="I2811" i="1"/>
  <c r="X2817" i="1" l="1"/>
  <c r="AA2816" i="1"/>
  <c r="I2812" i="1"/>
  <c r="X2818" i="1" l="1"/>
  <c r="AA2817" i="1"/>
  <c r="I2813" i="1"/>
  <c r="X2819" i="1" l="1"/>
  <c r="AA2818" i="1"/>
  <c r="I2814" i="1"/>
  <c r="X2820" i="1" l="1"/>
  <c r="AA2819" i="1"/>
  <c r="I2815" i="1"/>
  <c r="X2821" i="1" l="1"/>
  <c r="AA2820" i="1"/>
  <c r="I2816" i="1"/>
  <c r="AA2821" i="1" l="1"/>
  <c r="X2822" i="1"/>
  <c r="I2817" i="1"/>
  <c r="X2823" i="1" l="1"/>
  <c r="AA2822" i="1"/>
  <c r="I2818" i="1"/>
  <c r="X2824" i="1" l="1"/>
  <c r="AA2823" i="1"/>
  <c r="I2819" i="1"/>
  <c r="X2825" i="1" l="1"/>
  <c r="AA2824" i="1"/>
  <c r="I2820" i="1"/>
  <c r="X2826" i="1" l="1"/>
  <c r="AA2825" i="1"/>
  <c r="I2821" i="1"/>
  <c r="X2827" i="1" l="1"/>
  <c r="AA2826" i="1"/>
  <c r="I2822" i="1"/>
  <c r="X2828" i="1" l="1"/>
  <c r="AA2827" i="1"/>
  <c r="I2823" i="1"/>
  <c r="X2829" i="1" l="1"/>
  <c r="AA2828" i="1"/>
  <c r="I2824" i="1"/>
  <c r="AA2829" i="1" l="1"/>
  <c r="X2830" i="1"/>
  <c r="I2825" i="1"/>
  <c r="X2831" i="1" l="1"/>
  <c r="AA2830" i="1"/>
  <c r="I2826" i="1"/>
  <c r="X2832" i="1" l="1"/>
  <c r="AA2831" i="1"/>
  <c r="I2827" i="1"/>
  <c r="X2833" i="1" l="1"/>
  <c r="AA2832" i="1"/>
  <c r="I2828" i="1"/>
  <c r="X2834" i="1" l="1"/>
  <c r="AA2833" i="1"/>
  <c r="I2829" i="1"/>
  <c r="X2835" i="1" l="1"/>
  <c r="AA2834" i="1"/>
  <c r="I2830" i="1"/>
  <c r="X2836" i="1" l="1"/>
  <c r="AA2835" i="1"/>
  <c r="I2831" i="1"/>
  <c r="X2837" i="1" l="1"/>
  <c r="AA2836" i="1"/>
  <c r="I2832" i="1"/>
  <c r="AA2837" i="1" l="1"/>
  <c r="X2838" i="1"/>
  <c r="I2833" i="1"/>
  <c r="X2839" i="1" l="1"/>
  <c r="AA2838" i="1"/>
  <c r="I2834" i="1"/>
  <c r="X2840" i="1" l="1"/>
  <c r="AA2839" i="1"/>
  <c r="I2835" i="1"/>
  <c r="X2841" i="1" l="1"/>
  <c r="AA2840" i="1"/>
  <c r="I2836" i="1"/>
  <c r="X2842" i="1" l="1"/>
  <c r="AA2841" i="1"/>
  <c r="I2837" i="1"/>
  <c r="X2843" i="1" l="1"/>
  <c r="AA2842" i="1"/>
  <c r="I2838" i="1"/>
  <c r="X2844" i="1" l="1"/>
  <c r="AA2843" i="1"/>
  <c r="I2839" i="1"/>
  <c r="X2845" i="1" l="1"/>
  <c r="AA2844" i="1"/>
  <c r="I2840" i="1"/>
  <c r="AA2845" i="1" l="1"/>
  <c r="X2846" i="1"/>
  <c r="I2841" i="1"/>
  <c r="X2847" i="1" l="1"/>
  <c r="AA2846" i="1"/>
  <c r="I2842" i="1"/>
  <c r="X2848" i="1" l="1"/>
  <c r="AA2847" i="1"/>
  <c r="I2843" i="1"/>
  <c r="X2849" i="1" l="1"/>
  <c r="AA2848" i="1"/>
  <c r="I2844" i="1"/>
  <c r="X2850" i="1" l="1"/>
  <c r="AA2849" i="1"/>
  <c r="I2845" i="1"/>
  <c r="X2851" i="1" l="1"/>
  <c r="AA2850" i="1"/>
  <c r="I2846" i="1"/>
  <c r="X2852" i="1" l="1"/>
  <c r="AA2851" i="1"/>
  <c r="I2847" i="1"/>
  <c r="AA2852" i="1" l="1"/>
  <c r="X2853" i="1"/>
  <c r="I2848" i="1"/>
  <c r="AA2853" i="1" l="1"/>
  <c r="X2854" i="1"/>
  <c r="I2849" i="1"/>
  <c r="X2855" i="1" l="1"/>
  <c r="AA2854" i="1"/>
  <c r="I2850" i="1"/>
  <c r="X2856" i="1" l="1"/>
  <c r="AA2855" i="1"/>
  <c r="I2851" i="1"/>
  <c r="X2857" i="1" l="1"/>
  <c r="AA2856" i="1"/>
  <c r="I2852" i="1"/>
  <c r="AA2857" i="1" l="1"/>
  <c r="X2858" i="1"/>
  <c r="I2853" i="1"/>
  <c r="X2859" i="1" l="1"/>
  <c r="AA2858" i="1"/>
  <c r="I2854" i="1"/>
  <c r="X2860" i="1" l="1"/>
  <c r="AA2859" i="1"/>
  <c r="I2855" i="1"/>
  <c r="AA2860" i="1" l="1"/>
  <c r="X2861" i="1"/>
  <c r="I2856" i="1"/>
  <c r="X2862" i="1" l="1"/>
  <c r="AA2861" i="1"/>
  <c r="I2857" i="1"/>
  <c r="X2863" i="1" l="1"/>
  <c r="AA2862" i="1"/>
  <c r="I2858" i="1"/>
  <c r="X2864" i="1" l="1"/>
  <c r="AA2863" i="1"/>
  <c r="I2859" i="1"/>
  <c r="AA2864" i="1" l="1"/>
  <c r="X2865" i="1"/>
  <c r="I2860" i="1"/>
  <c r="X2866" i="1" l="1"/>
  <c r="AA2865" i="1"/>
  <c r="I2861" i="1"/>
  <c r="X2867" i="1" l="1"/>
  <c r="AA2866" i="1"/>
  <c r="I2862" i="1"/>
  <c r="X2868" i="1" l="1"/>
  <c r="AA2867" i="1"/>
  <c r="I2863" i="1"/>
  <c r="AA2868" i="1" l="1"/>
  <c r="X2869" i="1"/>
  <c r="I2864" i="1"/>
  <c r="X2870" i="1" l="1"/>
  <c r="AA2869" i="1"/>
  <c r="I2865" i="1"/>
  <c r="X2871" i="1" l="1"/>
  <c r="AA2870" i="1"/>
  <c r="I2866" i="1"/>
  <c r="X2872" i="1" l="1"/>
  <c r="AA2871" i="1"/>
  <c r="I2867" i="1"/>
  <c r="X2873" i="1" l="1"/>
  <c r="AA2872" i="1"/>
  <c r="I2868" i="1"/>
  <c r="AA2873" i="1" l="1"/>
  <c r="X2874" i="1"/>
  <c r="I2869" i="1"/>
  <c r="X2875" i="1" l="1"/>
  <c r="AA2874" i="1"/>
  <c r="I2870" i="1"/>
  <c r="X2876" i="1" l="1"/>
  <c r="AA2875" i="1"/>
  <c r="I2871" i="1"/>
  <c r="X2877" i="1" l="1"/>
  <c r="AA2876" i="1"/>
  <c r="I2872" i="1"/>
  <c r="X2878" i="1" l="1"/>
  <c r="AA2877" i="1"/>
  <c r="I2873" i="1"/>
  <c r="X2879" i="1" l="1"/>
  <c r="AA2878" i="1"/>
  <c r="I2874" i="1"/>
  <c r="X2880" i="1" l="1"/>
  <c r="AA2879" i="1"/>
  <c r="I2875" i="1"/>
  <c r="X2881" i="1" l="1"/>
  <c r="AA2880" i="1"/>
  <c r="I2876" i="1"/>
  <c r="AA2881" i="1" l="1"/>
  <c r="X2882" i="1"/>
  <c r="I2877" i="1"/>
  <c r="X2883" i="1" l="1"/>
  <c r="AA2882" i="1"/>
  <c r="I2878" i="1"/>
  <c r="X2884" i="1" l="1"/>
  <c r="AA2883" i="1"/>
  <c r="I2879" i="1"/>
  <c r="X2885" i="1" l="1"/>
  <c r="AA2884" i="1"/>
  <c r="I2880" i="1"/>
  <c r="X2886" i="1" l="1"/>
  <c r="AA2885" i="1"/>
  <c r="I2881" i="1"/>
  <c r="X2887" i="1" l="1"/>
  <c r="AA2886" i="1"/>
  <c r="I2882" i="1"/>
  <c r="X2888" i="1" l="1"/>
  <c r="AA2887" i="1"/>
  <c r="I2883" i="1"/>
  <c r="X2889" i="1" l="1"/>
  <c r="AA2888" i="1"/>
  <c r="I2884" i="1"/>
  <c r="AA2889" i="1" l="1"/>
  <c r="X2890" i="1"/>
  <c r="I2885" i="1"/>
  <c r="X2891" i="1" l="1"/>
  <c r="AA2890" i="1"/>
  <c r="I2886" i="1"/>
  <c r="X2892" i="1" l="1"/>
  <c r="AA2891" i="1"/>
  <c r="I2887" i="1"/>
  <c r="X2893" i="1" l="1"/>
  <c r="AA2892" i="1"/>
  <c r="I2888" i="1"/>
  <c r="X2894" i="1" l="1"/>
  <c r="AA2893" i="1"/>
  <c r="I2889" i="1"/>
  <c r="X2895" i="1" l="1"/>
  <c r="AA2894" i="1"/>
  <c r="I2890" i="1"/>
  <c r="X2896" i="1" l="1"/>
  <c r="AA2895" i="1"/>
  <c r="I2891" i="1"/>
  <c r="X2897" i="1" l="1"/>
  <c r="AA2896" i="1"/>
  <c r="I2892" i="1"/>
  <c r="AA2897" i="1" l="1"/>
  <c r="X2898" i="1"/>
  <c r="I2893" i="1"/>
  <c r="X2899" i="1" l="1"/>
  <c r="AA2898" i="1"/>
  <c r="I2894" i="1"/>
  <c r="X2900" i="1" l="1"/>
  <c r="AA2899" i="1"/>
  <c r="I2895" i="1"/>
  <c r="X2901" i="1" l="1"/>
  <c r="AA2900" i="1"/>
  <c r="I2896" i="1"/>
  <c r="X2902" i="1" l="1"/>
  <c r="AA2901" i="1"/>
  <c r="I2897" i="1"/>
  <c r="X2903" i="1" l="1"/>
  <c r="AA2902" i="1"/>
  <c r="I2898" i="1"/>
  <c r="X2904" i="1" l="1"/>
  <c r="AA2903" i="1"/>
  <c r="I2899" i="1"/>
  <c r="X2905" i="1" l="1"/>
  <c r="AA2904" i="1"/>
  <c r="I2900" i="1"/>
  <c r="AA2905" i="1" l="1"/>
  <c r="X2906" i="1"/>
  <c r="I2901" i="1"/>
  <c r="X2907" i="1" l="1"/>
  <c r="AA2906" i="1"/>
  <c r="I2902" i="1"/>
  <c r="X2908" i="1" l="1"/>
  <c r="AA2907" i="1"/>
  <c r="I2903" i="1"/>
  <c r="X2909" i="1" l="1"/>
  <c r="AA2908" i="1"/>
  <c r="I2904" i="1"/>
  <c r="X2910" i="1" l="1"/>
  <c r="AA2909" i="1"/>
  <c r="I2905" i="1"/>
  <c r="X2911" i="1" l="1"/>
  <c r="AA2910" i="1"/>
  <c r="I2906" i="1"/>
  <c r="X2912" i="1" l="1"/>
  <c r="AA2911" i="1"/>
  <c r="I2907" i="1"/>
  <c r="X2913" i="1" l="1"/>
  <c r="AA2912" i="1"/>
  <c r="I2908" i="1"/>
  <c r="AA2913" i="1" l="1"/>
  <c r="X2914" i="1"/>
  <c r="I2909" i="1"/>
  <c r="X2915" i="1" l="1"/>
  <c r="AA2914" i="1"/>
  <c r="I2910" i="1"/>
  <c r="X2916" i="1" l="1"/>
  <c r="AA2915" i="1"/>
  <c r="I2911" i="1"/>
  <c r="X2917" i="1" l="1"/>
  <c r="AA2916" i="1"/>
  <c r="I2912" i="1"/>
  <c r="AA2917" i="1" l="1"/>
  <c r="X2918" i="1"/>
  <c r="I2913" i="1"/>
  <c r="X2919" i="1" l="1"/>
  <c r="AA2918" i="1"/>
  <c r="I2914" i="1"/>
  <c r="X2920" i="1" l="1"/>
  <c r="AA2919" i="1"/>
  <c r="I2915" i="1"/>
  <c r="X2921" i="1" l="1"/>
  <c r="AA2920" i="1"/>
  <c r="I2916" i="1"/>
  <c r="AA2921" i="1" l="1"/>
  <c r="X2922" i="1"/>
  <c r="I2917" i="1"/>
  <c r="AA2922" i="1" l="1"/>
  <c r="X2923" i="1"/>
  <c r="I2918" i="1"/>
  <c r="X2924" i="1" l="1"/>
  <c r="AA2923" i="1"/>
  <c r="I2919" i="1"/>
  <c r="X2925" i="1" l="1"/>
  <c r="AA2924" i="1"/>
  <c r="I2920" i="1"/>
  <c r="AA2925" i="1" l="1"/>
  <c r="X2926" i="1"/>
  <c r="I2921" i="1"/>
  <c r="X2927" i="1" l="1"/>
  <c r="AA2926" i="1"/>
  <c r="I2922" i="1"/>
  <c r="X2928" i="1" l="1"/>
  <c r="AA2927" i="1"/>
  <c r="I2923" i="1"/>
  <c r="X2929" i="1" l="1"/>
  <c r="AA2928" i="1"/>
  <c r="I2924" i="1"/>
  <c r="AA2929" i="1" l="1"/>
  <c r="X2930" i="1"/>
  <c r="I2925" i="1"/>
  <c r="AA2930" i="1" l="1"/>
  <c r="X2931" i="1"/>
  <c r="I2926" i="1"/>
  <c r="X2932" i="1" l="1"/>
  <c r="AA2931" i="1"/>
  <c r="I2927" i="1"/>
  <c r="X2933" i="1" l="1"/>
  <c r="AA2932" i="1"/>
  <c r="I2928" i="1"/>
  <c r="AA2933" i="1" l="1"/>
  <c r="X2934" i="1"/>
  <c r="I2929" i="1"/>
  <c r="X2935" i="1" l="1"/>
  <c r="AA2934" i="1"/>
  <c r="I2930" i="1"/>
  <c r="X2936" i="1" l="1"/>
  <c r="AA2935" i="1"/>
  <c r="I2931" i="1"/>
  <c r="X2937" i="1" l="1"/>
  <c r="AA2936" i="1"/>
  <c r="I2932" i="1"/>
  <c r="AA2937" i="1" l="1"/>
  <c r="X2938" i="1"/>
  <c r="I2933" i="1"/>
  <c r="AA2938" i="1" l="1"/>
  <c r="X2939" i="1"/>
  <c r="I2934" i="1"/>
  <c r="X2940" i="1" l="1"/>
  <c r="AA2939" i="1"/>
  <c r="I2935" i="1"/>
  <c r="X2941" i="1" l="1"/>
  <c r="AA2940" i="1"/>
  <c r="I2936" i="1"/>
  <c r="AA2941" i="1" l="1"/>
  <c r="X2942" i="1"/>
  <c r="I2937" i="1"/>
  <c r="X2943" i="1" l="1"/>
  <c r="AA2942" i="1"/>
  <c r="I2938" i="1"/>
  <c r="X2944" i="1" l="1"/>
  <c r="AA2943" i="1"/>
  <c r="I2939" i="1"/>
  <c r="X2945" i="1" l="1"/>
  <c r="AA2944" i="1"/>
  <c r="I2940" i="1"/>
  <c r="AA2945" i="1" l="1"/>
  <c r="X2946" i="1"/>
  <c r="I2941" i="1"/>
  <c r="AA2946" i="1" l="1"/>
  <c r="X2947" i="1"/>
  <c r="I2942" i="1"/>
  <c r="X2948" i="1" l="1"/>
  <c r="AA2947" i="1"/>
  <c r="I2943" i="1"/>
  <c r="X2949" i="1" l="1"/>
  <c r="AA2948" i="1"/>
  <c r="I2944" i="1"/>
  <c r="AA2949" i="1" l="1"/>
  <c r="X2950" i="1"/>
  <c r="I2945" i="1"/>
  <c r="X2951" i="1" l="1"/>
  <c r="AA2950" i="1"/>
  <c r="I2946" i="1"/>
  <c r="X2952" i="1" l="1"/>
  <c r="AA2951" i="1"/>
  <c r="I2947" i="1"/>
  <c r="X2953" i="1" l="1"/>
  <c r="AA2952" i="1"/>
  <c r="I2948" i="1"/>
  <c r="AA2953" i="1" l="1"/>
  <c r="X2954" i="1"/>
  <c r="I2949" i="1"/>
  <c r="AA2954" i="1" l="1"/>
  <c r="X2955" i="1"/>
  <c r="I2950" i="1"/>
  <c r="X2956" i="1" l="1"/>
  <c r="AA2955" i="1"/>
  <c r="I2951" i="1"/>
  <c r="X2957" i="1" l="1"/>
  <c r="AA2956" i="1"/>
  <c r="I2952" i="1"/>
  <c r="X2958" i="1" l="1"/>
  <c r="AA2957" i="1"/>
  <c r="I2953" i="1"/>
  <c r="X2959" i="1" l="1"/>
  <c r="AA2958" i="1"/>
  <c r="I2954" i="1"/>
  <c r="X2960" i="1" l="1"/>
  <c r="AA2959" i="1"/>
  <c r="I2955" i="1"/>
  <c r="X2961" i="1" l="1"/>
  <c r="AA2960" i="1"/>
  <c r="I2956" i="1"/>
  <c r="X2962" i="1" l="1"/>
  <c r="AA2961" i="1"/>
  <c r="I2957" i="1"/>
  <c r="X2963" i="1" l="1"/>
  <c r="AA2962" i="1"/>
  <c r="I2958" i="1"/>
  <c r="X2964" i="1" l="1"/>
  <c r="AA2963" i="1"/>
  <c r="I2959" i="1"/>
  <c r="X2965" i="1" l="1"/>
  <c r="AA2964" i="1"/>
  <c r="I2960" i="1"/>
  <c r="X2966" i="1" l="1"/>
  <c r="AA2965" i="1"/>
  <c r="I2961" i="1"/>
  <c r="X2967" i="1" l="1"/>
  <c r="AA2966" i="1"/>
  <c r="I2962" i="1"/>
  <c r="X2968" i="1" l="1"/>
  <c r="AA2967" i="1"/>
  <c r="I2963" i="1"/>
  <c r="X2969" i="1" l="1"/>
  <c r="AA2968" i="1"/>
  <c r="I2964" i="1"/>
  <c r="X2970" i="1" l="1"/>
  <c r="AA2969" i="1"/>
  <c r="I2965" i="1"/>
  <c r="X2971" i="1" l="1"/>
  <c r="AA2970" i="1"/>
  <c r="I2966" i="1"/>
  <c r="X2972" i="1" l="1"/>
  <c r="AA2971" i="1"/>
  <c r="I2967" i="1"/>
  <c r="X2973" i="1" l="1"/>
  <c r="AA2972" i="1"/>
  <c r="I2968" i="1"/>
  <c r="X2974" i="1" l="1"/>
  <c r="AA2973" i="1"/>
  <c r="I2969" i="1"/>
  <c r="X2975" i="1" l="1"/>
  <c r="AA2974" i="1"/>
  <c r="I2970" i="1"/>
  <c r="X2976" i="1" l="1"/>
  <c r="AA2975" i="1"/>
  <c r="I2971" i="1"/>
  <c r="X2977" i="1" l="1"/>
  <c r="AA2976" i="1"/>
  <c r="I2972" i="1"/>
  <c r="X2978" i="1" l="1"/>
  <c r="AA2977" i="1"/>
  <c r="I2973" i="1"/>
  <c r="X2979" i="1" l="1"/>
  <c r="AA2978" i="1"/>
  <c r="I2974" i="1"/>
  <c r="X2980" i="1" l="1"/>
  <c r="AA2979" i="1"/>
  <c r="I2975" i="1"/>
  <c r="X2981" i="1" l="1"/>
  <c r="AA2980" i="1"/>
  <c r="I2976" i="1"/>
  <c r="X2982" i="1" l="1"/>
  <c r="AA2981" i="1"/>
  <c r="I2977" i="1"/>
  <c r="X2983" i="1" l="1"/>
  <c r="AA2982" i="1"/>
  <c r="I2978" i="1"/>
  <c r="X2984" i="1" l="1"/>
  <c r="AA2983" i="1"/>
  <c r="I2979" i="1"/>
  <c r="X2985" i="1" l="1"/>
  <c r="AA2984" i="1"/>
  <c r="I2980" i="1"/>
  <c r="X2986" i="1" l="1"/>
  <c r="AA2985" i="1"/>
  <c r="I2981" i="1"/>
  <c r="X2987" i="1" l="1"/>
  <c r="AA2986" i="1"/>
  <c r="I2982" i="1"/>
  <c r="X2988" i="1" l="1"/>
  <c r="AA2987" i="1"/>
  <c r="I2983" i="1"/>
  <c r="X2989" i="1" l="1"/>
  <c r="AA2988" i="1"/>
  <c r="I2984" i="1"/>
  <c r="X2990" i="1" l="1"/>
  <c r="AA2989" i="1"/>
  <c r="I2985" i="1"/>
  <c r="X2991" i="1" l="1"/>
  <c r="AA2990" i="1"/>
  <c r="I2986" i="1"/>
  <c r="X2992" i="1" l="1"/>
  <c r="AA2991" i="1"/>
  <c r="I2987" i="1"/>
  <c r="X2993" i="1" l="1"/>
  <c r="AA2992" i="1"/>
  <c r="I2988" i="1"/>
  <c r="X2994" i="1" l="1"/>
  <c r="AA2993" i="1"/>
  <c r="I2989" i="1"/>
  <c r="X2995" i="1" l="1"/>
  <c r="AA2994" i="1"/>
  <c r="I2990" i="1"/>
  <c r="X2996" i="1" l="1"/>
  <c r="AA2995" i="1"/>
  <c r="I2991" i="1"/>
  <c r="X2997" i="1" l="1"/>
  <c r="AA2996" i="1"/>
  <c r="I2992" i="1"/>
  <c r="X2998" i="1" l="1"/>
  <c r="AA2997" i="1"/>
  <c r="I2993" i="1"/>
  <c r="X2999" i="1" l="1"/>
  <c r="AA2998" i="1"/>
  <c r="I2994" i="1"/>
  <c r="X3000" i="1" l="1"/>
  <c r="AA2999" i="1"/>
  <c r="I2995" i="1"/>
  <c r="X3001" i="1" l="1"/>
  <c r="AA3000" i="1"/>
  <c r="I2996" i="1"/>
  <c r="X3002" i="1" l="1"/>
  <c r="AA3001" i="1"/>
  <c r="I2997" i="1"/>
  <c r="X3003" i="1" l="1"/>
  <c r="AA3002" i="1"/>
  <c r="I2998" i="1"/>
  <c r="X3004" i="1" l="1"/>
  <c r="AA3003" i="1"/>
  <c r="I2999" i="1"/>
  <c r="X3005" i="1" l="1"/>
  <c r="AA3004" i="1"/>
  <c r="I3000" i="1"/>
  <c r="X3006" i="1" l="1"/>
  <c r="AA3005" i="1"/>
  <c r="I3001" i="1"/>
  <c r="X3007" i="1" l="1"/>
  <c r="AA3006" i="1"/>
  <c r="I3002" i="1"/>
  <c r="X3008" i="1" l="1"/>
  <c r="AA3007" i="1"/>
  <c r="I3003" i="1"/>
  <c r="X3009" i="1" l="1"/>
  <c r="AA3008" i="1"/>
  <c r="I3004" i="1"/>
  <c r="X3010" i="1" l="1"/>
  <c r="AA3009" i="1"/>
  <c r="I3005" i="1"/>
  <c r="X3011" i="1" l="1"/>
  <c r="AA3010" i="1"/>
  <c r="I3006" i="1"/>
  <c r="X3012" i="1" l="1"/>
  <c r="AA3011" i="1"/>
  <c r="I3007" i="1"/>
  <c r="X3013" i="1" l="1"/>
  <c r="AA3012" i="1"/>
  <c r="I3008" i="1"/>
  <c r="X3014" i="1" l="1"/>
  <c r="AA3013" i="1"/>
  <c r="I3009" i="1"/>
  <c r="X3015" i="1" l="1"/>
  <c r="AA3014" i="1"/>
  <c r="I3010" i="1"/>
  <c r="X3016" i="1" l="1"/>
  <c r="AA3015" i="1"/>
  <c r="I3011" i="1"/>
  <c r="X3017" i="1" l="1"/>
  <c r="AA3016" i="1"/>
  <c r="I3012" i="1"/>
  <c r="X3018" i="1" l="1"/>
  <c r="AA3017" i="1"/>
  <c r="I3013" i="1"/>
  <c r="X3019" i="1" l="1"/>
  <c r="AA3018" i="1"/>
  <c r="I3014" i="1"/>
  <c r="X3020" i="1" l="1"/>
  <c r="AA3019" i="1"/>
  <c r="I3015" i="1"/>
  <c r="X3021" i="1" l="1"/>
  <c r="AA3020" i="1"/>
  <c r="I3016" i="1"/>
  <c r="X3022" i="1" l="1"/>
  <c r="AA3021" i="1"/>
  <c r="I3017" i="1"/>
  <c r="X3023" i="1" l="1"/>
  <c r="AA3022" i="1"/>
  <c r="I3018" i="1"/>
  <c r="X3024" i="1" l="1"/>
  <c r="AA3023" i="1"/>
  <c r="I3019" i="1"/>
  <c r="X3025" i="1" l="1"/>
  <c r="AA3024" i="1"/>
  <c r="I3020" i="1"/>
  <c r="X3026" i="1" l="1"/>
  <c r="AA3025" i="1"/>
  <c r="I3021" i="1"/>
  <c r="X3027" i="1" l="1"/>
  <c r="AA3026" i="1"/>
  <c r="I3022" i="1"/>
  <c r="X3028" i="1" l="1"/>
  <c r="AA3027" i="1"/>
  <c r="I3023" i="1"/>
  <c r="X3029" i="1" l="1"/>
  <c r="AA3028" i="1"/>
  <c r="I3024" i="1"/>
  <c r="X3030" i="1" l="1"/>
  <c r="AA3029" i="1"/>
  <c r="I3025" i="1"/>
  <c r="X3031" i="1" l="1"/>
  <c r="AA3030" i="1"/>
  <c r="I3026" i="1"/>
  <c r="X3032" i="1" l="1"/>
  <c r="AA3031" i="1"/>
  <c r="I3027" i="1"/>
  <c r="X3033" i="1" l="1"/>
  <c r="AA3032" i="1"/>
  <c r="I3028" i="1"/>
  <c r="X3034" i="1" l="1"/>
  <c r="AA3033" i="1"/>
  <c r="I3029" i="1"/>
  <c r="X3035" i="1" l="1"/>
  <c r="AA3034" i="1"/>
  <c r="I3030" i="1"/>
  <c r="X3036" i="1" l="1"/>
  <c r="AA3035" i="1"/>
  <c r="I3031" i="1"/>
  <c r="X3037" i="1" l="1"/>
  <c r="AA3036" i="1"/>
  <c r="I3032" i="1"/>
  <c r="X3038" i="1" l="1"/>
  <c r="AA3037" i="1"/>
  <c r="I3033" i="1"/>
  <c r="X3039" i="1" l="1"/>
  <c r="AA3038" i="1"/>
  <c r="I3034" i="1"/>
  <c r="X3040" i="1" l="1"/>
  <c r="AA3039" i="1"/>
  <c r="I3035" i="1"/>
  <c r="X3041" i="1" l="1"/>
  <c r="AA3040" i="1"/>
  <c r="I3036" i="1"/>
  <c r="X3042" i="1" l="1"/>
  <c r="AA3041" i="1"/>
  <c r="I3037" i="1"/>
  <c r="X3043" i="1" l="1"/>
  <c r="AA3042" i="1"/>
  <c r="I3038" i="1"/>
  <c r="X3044" i="1" l="1"/>
  <c r="AA3043" i="1"/>
  <c r="I3039" i="1"/>
  <c r="X3045" i="1" l="1"/>
  <c r="AA3044" i="1"/>
  <c r="I3040" i="1"/>
  <c r="X3046" i="1" l="1"/>
  <c r="AA3045" i="1"/>
  <c r="I3041" i="1"/>
  <c r="X3047" i="1" l="1"/>
  <c r="AA3046" i="1"/>
  <c r="I3042" i="1"/>
  <c r="X3048" i="1" l="1"/>
  <c r="AA3047" i="1"/>
  <c r="I3043" i="1"/>
  <c r="X3049" i="1" l="1"/>
  <c r="AA3048" i="1"/>
  <c r="I3044" i="1"/>
  <c r="X3050" i="1" l="1"/>
  <c r="AA3049" i="1"/>
  <c r="I3045" i="1"/>
  <c r="X3051" i="1" l="1"/>
  <c r="AA3050" i="1"/>
  <c r="I3046" i="1"/>
  <c r="X3052" i="1" l="1"/>
  <c r="AA3051" i="1"/>
  <c r="I3047" i="1"/>
  <c r="X3053" i="1" l="1"/>
  <c r="AA3052" i="1"/>
  <c r="I3048" i="1"/>
  <c r="X3054" i="1" l="1"/>
  <c r="AA3053" i="1"/>
  <c r="I3049" i="1"/>
  <c r="X3055" i="1" l="1"/>
  <c r="AA3054" i="1"/>
  <c r="I3050" i="1"/>
  <c r="X3056" i="1" l="1"/>
  <c r="AA3055" i="1"/>
  <c r="I3051" i="1"/>
  <c r="X3057" i="1" l="1"/>
  <c r="AA3056" i="1"/>
  <c r="I3052" i="1"/>
  <c r="X3058" i="1" l="1"/>
  <c r="AA3057" i="1"/>
  <c r="I3053" i="1"/>
  <c r="X3059" i="1" l="1"/>
  <c r="AA3058" i="1"/>
  <c r="I3054" i="1"/>
  <c r="X3060" i="1" l="1"/>
  <c r="AA3059" i="1"/>
  <c r="I3055" i="1"/>
  <c r="X3061" i="1" l="1"/>
  <c r="AA3060" i="1"/>
  <c r="I3056" i="1"/>
  <c r="X3062" i="1" l="1"/>
  <c r="AA3061" i="1"/>
  <c r="I3057" i="1"/>
  <c r="X3063" i="1" l="1"/>
  <c r="AA3062" i="1"/>
  <c r="I3058" i="1"/>
  <c r="X3064" i="1" l="1"/>
  <c r="AA3063" i="1"/>
  <c r="I3059" i="1"/>
  <c r="X3065" i="1" l="1"/>
  <c r="AA3064" i="1"/>
  <c r="I3060" i="1"/>
  <c r="X3066" i="1" l="1"/>
  <c r="AA3065" i="1"/>
  <c r="I3061" i="1"/>
  <c r="X3067" i="1" l="1"/>
  <c r="AA3066" i="1"/>
  <c r="I3062" i="1"/>
  <c r="X3068" i="1" l="1"/>
  <c r="AA3067" i="1"/>
  <c r="I3063" i="1"/>
  <c r="X3069" i="1" l="1"/>
  <c r="AA3068" i="1"/>
  <c r="I3064" i="1"/>
  <c r="X3070" i="1" l="1"/>
  <c r="AA3069" i="1"/>
  <c r="I3065" i="1"/>
  <c r="X3071" i="1" l="1"/>
  <c r="AA3070" i="1"/>
  <c r="I3066" i="1"/>
  <c r="X3072" i="1" l="1"/>
  <c r="AA3071" i="1"/>
  <c r="I3067" i="1"/>
  <c r="X3073" i="1" l="1"/>
  <c r="AA3072" i="1"/>
  <c r="I3068" i="1"/>
  <c r="X3074" i="1" l="1"/>
  <c r="AA3073" i="1"/>
  <c r="I3069" i="1"/>
  <c r="X3075" i="1" l="1"/>
  <c r="AA3074" i="1"/>
  <c r="I3070" i="1"/>
  <c r="X3076" i="1" l="1"/>
  <c r="AA3075" i="1"/>
  <c r="I3071" i="1"/>
  <c r="X3077" i="1" l="1"/>
  <c r="AA3076" i="1"/>
  <c r="I3072" i="1"/>
  <c r="X3078" i="1" l="1"/>
  <c r="AA3077" i="1"/>
  <c r="I3073" i="1"/>
  <c r="X3079" i="1" l="1"/>
  <c r="AA3078" i="1"/>
  <c r="I3074" i="1"/>
  <c r="X3080" i="1" l="1"/>
  <c r="AA3079" i="1"/>
  <c r="I3075" i="1"/>
  <c r="X3081" i="1" l="1"/>
  <c r="AA3080" i="1"/>
  <c r="I3076" i="1"/>
  <c r="X3082" i="1" l="1"/>
  <c r="AA3081" i="1"/>
  <c r="I3077" i="1"/>
  <c r="X3083" i="1" l="1"/>
  <c r="AA3082" i="1"/>
  <c r="I3078" i="1"/>
  <c r="X3084" i="1" l="1"/>
  <c r="AA3083" i="1"/>
  <c r="I3079" i="1"/>
  <c r="X3085" i="1" l="1"/>
  <c r="AA3084" i="1"/>
  <c r="I3080" i="1"/>
  <c r="X3086" i="1" l="1"/>
  <c r="AA3085" i="1"/>
  <c r="I3081" i="1"/>
  <c r="X3087" i="1" l="1"/>
  <c r="AA3086" i="1"/>
  <c r="I3082" i="1"/>
  <c r="X3088" i="1" l="1"/>
  <c r="AA3087" i="1"/>
  <c r="I3083" i="1"/>
  <c r="X3089" i="1" l="1"/>
  <c r="AA3088" i="1"/>
  <c r="I3084" i="1"/>
  <c r="X3090" i="1" l="1"/>
  <c r="AA3089" i="1"/>
  <c r="I3085" i="1"/>
  <c r="X3091" i="1" l="1"/>
  <c r="AA3090" i="1"/>
  <c r="I3086" i="1"/>
  <c r="X3092" i="1" l="1"/>
  <c r="AA3091" i="1"/>
  <c r="I3087" i="1"/>
  <c r="X3093" i="1" l="1"/>
  <c r="AA3092" i="1"/>
  <c r="I3088" i="1"/>
  <c r="X3094" i="1" l="1"/>
  <c r="AA3093" i="1"/>
  <c r="I3089" i="1"/>
  <c r="X3095" i="1" l="1"/>
  <c r="AA3094" i="1"/>
  <c r="I3090" i="1"/>
  <c r="X3096" i="1" l="1"/>
  <c r="AA3095" i="1"/>
  <c r="I3091" i="1"/>
  <c r="X3097" i="1" l="1"/>
  <c r="AA3096" i="1"/>
  <c r="I3092" i="1"/>
  <c r="X3098" i="1" l="1"/>
  <c r="AA3097" i="1"/>
  <c r="I3093" i="1"/>
  <c r="X3099" i="1" l="1"/>
  <c r="AA3098" i="1"/>
  <c r="I3094" i="1"/>
  <c r="X3100" i="1" l="1"/>
  <c r="AA3099" i="1"/>
  <c r="I3095" i="1"/>
  <c r="X3101" i="1" l="1"/>
  <c r="AA3100" i="1"/>
  <c r="I3096" i="1"/>
  <c r="X3102" i="1" l="1"/>
  <c r="AA3101" i="1"/>
  <c r="I3097" i="1"/>
  <c r="X3103" i="1" l="1"/>
  <c r="AA3102" i="1"/>
  <c r="I3098" i="1"/>
  <c r="X3104" i="1" l="1"/>
  <c r="AA3103" i="1"/>
  <c r="I3099" i="1"/>
  <c r="X3105" i="1" l="1"/>
  <c r="AA3104" i="1"/>
  <c r="I3100" i="1"/>
  <c r="X3106" i="1" l="1"/>
  <c r="AA3105" i="1"/>
  <c r="I3101" i="1"/>
  <c r="X3107" i="1" l="1"/>
  <c r="AA3106" i="1"/>
  <c r="I3102" i="1"/>
  <c r="X3108" i="1" l="1"/>
  <c r="AA3107" i="1"/>
  <c r="I3103" i="1"/>
  <c r="X3109" i="1" l="1"/>
  <c r="AA3108" i="1"/>
  <c r="I3104" i="1"/>
  <c r="X3110" i="1" l="1"/>
  <c r="AA3109" i="1"/>
  <c r="I3105" i="1"/>
  <c r="X3111" i="1" l="1"/>
  <c r="AA3110" i="1"/>
  <c r="I3106" i="1"/>
  <c r="X3112" i="1" l="1"/>
  <c r="AA3111" i="1"/>
  <c r="I3107" i="1"/>
  <c r="X3113" i="1" l="1"/>
  <c r="AA3112" i="1"/>
  <c r="I3108" i="1"/>
  <c r="X3114" i="1" l="1"/>
  <c r="AA3113" i="1"/>
  <c r="I3109" i="1"/>
  <c r="X3115" i="1" l="1"/>
  <c r="AA3114" i="1"/>
  <c r="I3110" i="1"/>
  <c r="X3116" i="1" l="1"/>
  <c r="AA3115" i="1"/>
  <c r="I3111" i="1"/>
  <c r="X3117" i="1" l="1"/>
  <c r="AA3116" i="1"/>
  <c r="I3112" i="1"/>
  <c r="X3118" i="1" l="1"/>
  <c r="AA3117" i="1"/>
  <c r="I3113" i="1"/>
  <c r="X3119" i="1" l="1"/>
  <c r="AA3118" i="1"/>
  <c r="I3114" i="1"/>
  <c r="X3120" i="1" l="1"/>
  <c r="AA3119" i="1"/>
  <c r="I3115" i="1"/>
  <c r="AA3120" i="1" l="1"/>
  <c r="X3121" i="1"/>
  <c r="I3116" i="1"/>
  <c r="X3122" i="1" l="1"/>
  <c r="AA3121" i="1"/>
  <c r="I3117" i="1"/>
  <c r="X3123" i="1" l="1"/>
  <c r="AA3122" i="1"/>
  <c r="I3118" i="1"/>
  <c r="AA3123" i="1" l="1"/>
  <c r="X3124" i="1"/>
  <c r="I3119" i="1"/>
  <c r="AA3124" i="1" l="1"/>
  <c r="X3125" i="1"/>
  <c r="I3120" i="1"/>
  <c r="X3126" i="1" l="1"/>
  <c r="AA3125" i="1"/>
  <c r="I3121" i="1"/>
  <c r="X3127" i="1" l="1"/>
  <c r="AA3126" i="1"/>
  <c r="I3122" i="1"/>
  <c r="AA3127" i="1" l="1"/>
  <c r="X3128" i="1"/>
  <c r="I3123" i="1"/>
  <c r="AA3128" i="1" l="1"/>
  <c r="X3129" i="1"/>
  <c r="I3124" i="1"/>
  <c r="X3130" i="1" l="1"/>
  <c r="AA3129" i="1"/>
  <c r="I3125" i="1"/>
  <c r="X3131" i="1" l="1"/>
  <c r="AA3130" i="1"/>
  <c r="I3126" i="1"/>
  <c r="AA3131" i="1" l="1"/>
  <c r="X3132" i="1"/>
  <c r="I3127" i="1"/>
  <c r="X3133" i="1" l="1"/>
  <c r="AA3132" i="1"/>
  <c r="I3128" i="1"/>
  <c r="X3134" i="1" l="1"/>
  <c r="AA3133" i="1"/>
  <c r="I3129" i="1"/>
  <c r="X3135" i="1" l="1"/>
  <c r="AA3134" i="1"/>
  <c r="I3130" i="1"/>
  <c r="X3136" i="1" l="1"/>
  <c r="AA3135" i="1"/>
  <c r="I3131" i="1"/>
  <c r="X3137" i="1" l="1"/>
  <c r="AA3136" i="1"/>
  <c r="I3132" i="1"/>
  <c r="X3138" i="1" l="1"/>
  <c r="AA3137" i="1"/>
  <c r="I3133" i="1"/>
  <c r="X3139" i="1" l="1"/>
  <c r="AA3138" i="1"/>
  <c r="I3134" i="1"/>
  <c r="AA3139" i="1" l="1"/>
  <c r="X3140" i="1"/>
  <c r="I3135" i="1"/>
  <c r="X3141" i="1" l="1"/>
  <c r="AA3140" i="1"/>
  <c r="I3136" i="1"/>
  <c r="X3142" i="1" l="1"/>
  <c r="AA3141" i="1"/>
  <c r="I3137" i="1"/>
  <c r="X3143" i="1" l="1"/>
  <c r="AA3142" i="1"/>
  <c r="I3138" i="1"/>
  <c r="X3144" i="1" l="1"/>
  <c r="AA3143" i="1"/>
  <c r="I3139" i="1"/>
  <c r="X3145" i="1" l="1"/>
  <c r="AA3144" i="1"/>
  <c r="I3140" i="1"/>
  <c r="X3146" i="1" l="1"/>
  <c r="AA3145" i="1"/>
  <c r="I3141" i="1"/>
  <c r="X3147" i="1" l="1"/>
  <c r="AA3146" i="1"/>
  <c r="I3142" i="1"/>
  <c r="AA3147" i="1" l="1"/>
  <c r="X3148" i="1"/>
  <c r="I3143" i="1"/>
  <c r="X3149" i="1" l="1"/>
  <c r="AA3148" i="1"/>
  <c r="I3144" i="1"/>
  <c r="X3150" i="1" l="1"/>
  <c r="AA3149" i="1"/>
  <c r="I3145" i="1"/>
  <c r="X3151" i="1" l="1"/>
  <c r="AA3150" i="1"/>
  <c r="I3146" i="1"/>
  <c r="X3152" i="1" l="1"/>
  <c r="AA3151" i="1"/>
  <c r="I3147" i="1"/>
  <c r="X3153" i="1" l="1"/>
  <c r="AA3152" i="1"/>
  <c r="I3148" i="1"/>
  <c r="X3154" i="1" l="1"/>
  <c r="AA3153" i="1"/>
  <c r="I3149" i="1"/>
  <c r="X3155" i="1" l="1"/>
  <c r="AA3154" i="1"/>
  <c r="I3150" i="1"/>
  <c r="AA3155" i="1" l="1"/>
  <c r="X3156" i="1"/>
  <c r="I3151" i="1"/>
  <c r="X3157" i="1" l="1"/>
  <c r="AA3156" i="1"/>
  <c r="I3152" i="1"/>
  <c r="X3158" i="1" l="1"/>
  <c r="AA3157" i="1"/>
  <c r="I3153" i="1"/>
  <c r="X3159" i="1" l="1"/>
  <c r="AA3158" i="1"/>
  <c r="I3154" i="1"/>
  <c r="X3160" i="1" l="1"/>
  <c r="AA3159" i="1"/>
  <c r="I3155" i="1"/>
  <c r="X3161" i="1" l="1"/>
  <c r="AA3160" i="1"/>
  <c r="I3156" i="1"/>
  <c r="X3162" i="1" l="1"/>
  <c r="AA3161" i="1"/>
  <c r="I3157" i="1"/>
  <c r="X3163" i="1" l="1"/>
  <c r="AA3162" i="1"/>
  <c r="I3158" i="1"/>
  <c r="AA3163" i="1" l="1"/>
  <c r="X3164" i="1"/>
  <c r="I3159" i="1"/>
  <c r="X3165" i="1" l="1"/>
  <c r="AA3164" i="1"/>
  <c r="I3160" i="1"/>
  <c r="X3166" i="1" l="1"/>
  <c r="AA3165" i="1"/>
  <c r="I3161" i="1"/>
  <c r="X3167" i="1" l="1"/>
  <c r="AA3166" i="1"/>
  <c r="I3162" i="1"/>
  <c r="X3168" i="1" l="1"/>
  <c r="AA3167" i="1"/>
  <c r="I3163" i="1"/>
  <c r="X3169" i="1" l="1"/>
  <c r="AA3168" i="1"/>
  <c r="I3164" i="1"/>
  <c r="X3170" i="1" l="1"/>
  <c r="AA3169" i="1"/>
  <c r="I3165" i="1"/>
  <c r="X3171" i="1" l="1"/>
  <c r="AA3170" i="1"/>
  <c r="I3166" i="1"/>
  <c r="AA3171" i="1" l="1"/>
  <c r="X3172" i="1"/>
  <c r="I3167" i="1"/>
  <c r="X3173" i="1" l="1"/>
  <c r="AA3172" i="1"/>
  <c r="I3168" i="1"/>
  <c r="X3174" i="1" l="1"/>
  <c r="AA3173" i="1"/>
  <c r="I3169" i="1"/>
  <c r="X3175" i="1" l="1"/>
  <c r="AA3174" i="1"/>
  <c r="I3170" i="1"/>
  <c r="X3176" i="1" l="1"/>
  <c r="AA3175" i="1"/>
  <c r="I3171" i="1"/>
  <c r="X3177" i="1" l="1"/>
  <c r="AA3176" i="1"/>
  <c r="I3172" i="1"/>
  <c r="X3178" i="1" l="1"/>
  <c r="AA3177" i="1"/>
  <c r="I3173" i="1"/>
  <c r="X3179" i="1" l="1"/>
  <c r="AA3178" i="1"/>
  <c r="I3174" i="1"/>
  <c r="AA3179" i="1" l="1"/>
  <c r="X3180" i="1"/>
  <c r="I3175" i="1"/>
  <c r="X3181" i="1" l="1"/>
  <c r="AA3180" i="1"/>
  <c r="I3176" i="1"/>
  <c r="X3182" i="1" l="1"/>
  <c r="AA3181" i="1"/>
  <c r="I3177" i="1"/>
  <c r="X3183" i="1" l="1"/>
  <c r="AA3182" i="1"/>
  <c r="I3178" i="1"/>
  <c r="X3184" i="1" l="1"/>
  <c r="AA3183" i="1"/>
  <c r="I3179" i="1"/>
  <c r="X3185" i="1" l="1"/>
  <c r="AA3184" i="1"/>
  <c r="I3180" i="1"/>
  <c r="X3186" i="1" l="1"/>
  <c r="AA3185" i="1"/>
  <c r="I3181" i="1"/>
  <c r="X3187" i="1" l="1"/>
  <c r="AA3186" i="1"/>
  <c r="I3182" i="1"/>
  <c r="AA3187" i="1" l="1"/>
  <c r="X3188" i="1"/>
  <c r="I3183" i="1"/>
  <c r="X3189" i="1" l="1"/>
  <c r="AA3188" i="1"/>
  <c r="I3184" i="1"/>
  <c r="X3190" i="1" l="1"/>
  <c r="AA3189" i="1"/>
  <c r="I3185" i="1"/>
  <c r="X3191" i="1" l="1"/>
  <c r="AA3190" i="1"/>
  <c r="I3186" i="1"/>
  <c r="X3192" i="1" l="1"/>
  <c r="AA3191" i="1"/>
  <c r="I3187" i="1"/>
  <c r="X3193" i="1" l="1"/>
  <c r="AA3192" i="1"/>
  <c r="I3188" i="1"/>
  <c r="X3194" i="1" l="1"/>
  <c r="AA3193" i="1"/>
  <c r="I3189" i="1"/>
  <c r="X3195" i="1" l="1"/>
  <c r="AA3194" i="1"/>
  <c r="I3190" i="1"/>
  <c r="AA3195" i="1" l="1"/>
  <c r="X3196" i="1"/>
  <c r="I3191" i="1"/>
  <c r="X3197" i="1" l="1"/>
  <c r="AA3196" i="1"/>
  <c r="I3192" i="1"/>
  <c r="X3198" i="1" l="1"/>
  <c r="AA3197" i="1"/>
  <c r="I3193" i="1"/>
  <c r="X3199" i="1" l="1"/>
  <c r="AA3198" i="1"/>
  <c r="I3194" i="1"/>
  <c r="X3200" i="1" l="1"/>
  <c r="AA3199" i="1"/>
  <c r="I3195" i="1"/>
  <c r="X3201" i="1" l="1"/>
  <c r="AA3200" i="1"/>
  <c r="I3196" i="1"/>
  <c r="X3202" i="1" l="1"/>
  <c r="AA3201" i="1"/>
  <c r="I3197" i="1"/>
  <c r="X3203" i="1" l="1"/>
  <c r="AA3202" i="1"/>
  <c r="I3198" i="1"/>
  <c r="AA3203" i="1" l="1"/>
  <c r="X3204" i="1"/>
  <c r="I3199" i="1"/>
  <c r="X3205" i="1" l="1"/>
  <c r="AA3204" i="1"/>
  <c r="I3200" i="1"/>
  <c r="X3206" i="1" l="1"/>
  <c r="AA3205" i="1"/>
  <c r="I3201" i="1"/>
  <c r="X3207" i="1" l="1"/>
  <c r="AA3206" i="1"/>
  <c r="I3202" i="1"/>
  <c r="X3208" i="1" l="1"/>
  <c r="AA3207" i="1"/>
  <c r="I3203" i="1"/>
  <c r="X3209" i="1" l="1"/>
  <c r="AA3208" i="1"/>
  <c r="I3204" i="1"/>
  <c r="X3210" i="1" l="1"/>
  <c r="AA3209" i="1"/>
  <c r="I3205" i="1"/>
  <c r="X3211" i="1" l="1"/>
  <c r="AA3210" i="1"/>
  <c r="I3206" i="1"/>
  <c r="AA3211" i="1" l="1"/>
  <c r="X3212" i="1"/>
  <c r="I3207" i="1"/>
  <c r="X3213" i="1" l="1"/>
  <c r="AA3212" i="1"/>
  <c r="I3208" i="1"/>
  <c r="X3214" i="1" l="1"/>
  <c r="AA3213" i="1"/>
  <c r="I3209" i="1"/>
  <c r="X3215" i="1" l="1"/>
  <c r="AA3214" i="1"/>
  <c r="I3210" i="1"/>
  <c r="X3216" i="1" l="1"/>
  <c r="AA3215" i="1"/>
  <c r="I3211" i="1"/>
  <c r="X3217" i="1" l="1"/>
  <c r="AA3216" i="1"/>
  <c r="I3212" i="1"/>
  <c r="X3218" i="1" l="1"/>
  <c r="AA3217" i="1"/>
  <c r="I3213" i="1"/>
  <c r="X3219" i="1" l="1"/>
  <c r="AA3218" i="1"/>
  <c r="I3214" i="1"/>
  <c r="AA3219" i="1" l="1"/>
  <c r="X3220" i="1"/>
  <c r="I3215" i="1"/>
  <c r="X3221" i="1" l="1"/>
  <c r="AA3220" i="1"/>
  <c r="I3216" i="1"/>
  <c r="X3222" i="1" l="1"/>
  <c r="AA3221" i="1"/>
  <c r="I3217" i="1"/>
  <c r="X3223" i="1" l="1"/>
  <c r="AA3222" i="1"/>
  <c r="I3218" i="1"/>
  <c r="AA3223" i="1" l="1"/>
  <c r="X3224" i="1"/>
  <c r="I3219" i="1"/>
  <c r="X3225" i="1" l="1"/>
  <c r="AA3224" i="1"/>
  <c r="I3220" i="1"/>
  <c r="X3226" i="1" l="1"/>
  <c r="AA3225" i="1"/>
  <c r="I3221" i="1"/>
  <c r="AA3226" i="1" l="1"/>
  <c r="X3227" i="1"/>
  <c r="I3222" i="1"/>
  <c r="X3228" i="1" l="1"/>
  <c r="AA3227" i="1"/>
  <c r="I3223" i="1"/>
  <c r="X3229" i="1" l="1"/>
  <c r="AA3228" i="1"/>
  <c r="I3224" i="1"/>
  <c r="AA3229" i="1" l="1"/>
  <c r="X3230" i="1"/>
  <c r="I3225" i="1"/>
  <c r="X3231" i="1" l="1"/>
  <c r="AA3230" i="1"/>
  <c r="I3226" i="1"/>
  <c r="X3232" i="1" l="1"/>
  <c r="AA3231" i="1"/>
  <c r="I3227" i="1"/>
  <c r="X3233" i="1" l="1"/>
  <c r="AA3232" i="1"/>
  <c r="I3228" i="1"/>
  <c r="X3234" i="1" l="1"/>
  <c r="AA3233" i="1"/>
  <c r="I3229" i="1"/>
  <c r="X3235" i="1" l="1"/>
  <c r="AA3234" i="1"/>
  <c r="I3230" i="1"/>
  <c r="X3236" i="1" l="1"/>
  <c r="AA3235" i="1"/>
  <c r="I3231" i="1"/>
  <c r="X3237" i="1" l="1"/>
  <c r="AA3236" i="1"/>
  <c r="I3232" i="1"/>
  <c r="AA3237" i="1" l="1"/>
  <c r="X3238" i="1"/>
  <c r="I3233" i="1"/>
  <c r="X3239" i="1" l="1"/>
  <c r="AA3238" i="1"/>
  <c r="I3234" i="1"/>
  <c r="X3240" i="1" l="1"/>
  <c r="AA3239" i="1"/>
  <c r="I3235" i="1"/>
  <c r="X3241" i="1" l="1"/>
  <c r="AA3240" i="1"/>
  <c r="I3236" i="1"/>
  <c r="X3242" i="1" l="1"/>
  <c r="AA3241" i="1"/>
  <c r="I3237" i="1"/>
  <c r="X3243" i="1" l="1"/>
  <c r="AA3242" i="1"/>
  <c r="I3238" i="1"/>
  <c r="X3244" i="1" l="1"/>
  <c r="AA3243" i="1"/>
  <c r="I3239" i="1"/>
  <c r="X3245" i="1" l="1"/>
  <c r="AA3244" i="1"/>
  <c r="I3240" i="1"/>
  <c r="AA3245" i="1" l="1"/>
  <c r="X3246" i="1"/>
  <c r="I3241" i="1"/>
  <c r="X3247" i="1" l="1"/>
  <c r="AA3246" i="1"/>
  <c r="I3242" i="1"/>
  <c r="X3248" i="1" l="1"/>
  <c r="AA3247" i="1"/>
  <c r="I3243" i="1"/>
  <c r="X3249" i="1" l="1"/>
  <c r="AA3248" i="1"/>
  <c r="I3244" i="1"/>
  <c r="X3250" i="1" l="1"/>
  <c r="AA3249" i="1"/>
  <c r="I3245" i="1"/>
  <c r="X3251" i="1" l="1"/>
  <c r="AA3250" i="1"/>
  <c r="I3246" i="1"/>
  <c r="X3252" i="1" l="1"/>
  <c r="AA3251" i="1"/>
  <c r="I3247" i="1"/>
  <c r="X3253" i="1" l="1"/>
  <c r="AA3252" i="1"/>
  <c r="I3248" i="1"/>
  <c r="AA3253" i="1" l="1"/>
  <c r="X3254" i="1"/>
  <c r="I3249" i="1"/>
  <c r="X3255" i="1" l="1"/>
  <c r="AA3254" i="1"/>
  <c r="I3250" i="1"/>
  <c r="X3256" i="1" l="1"/>
  <c r="AA3255" i="1"/>
  <c r="I3251" i="1"/>
  <c r="X3257" i="1" l="1"/>
  <c r="AA3256" i="1"/>
  <c r="I3252" i="1"/>
  <c r="X3258" i="1" l="1"/>
  <c r="AA3257" i="1"/>
  <c r="I3253" i="1"/>
  <c r="X3259" i="1" l="1"/>
  <c r="AA3258" i="1"/>
  <c r="I3254" i="1"/>
  <c r="X3260" i="1" l="1"/>
  <c r="AA3259" i="1"/>
  <c r="I3255" i="1"/>
  <c r="X3261" i="1" l="1"/>
  <c r="AA3260" i="1"/>
  <c r="I3256" i="1"/>
  <c r="AA3261" i="1" l="1"/>
  <c r="X3262" i="1"/>
  <c r="I3257" i="1"/>
  <c r="AA3262" i="1" l="1"/>
  <c r="X3263" i="1"/>
  <c r="I3258" i="1"/>
  <c r="X3264" i="1" l="1"/>
  <c r="AA3263" i="1"/>
  <c r="I3259" i="1"/>
  <c r="X3265" i="1" l="1"/>
  <c r="AA3264" i="1"/>
  <c r="I3260" i="1"/>
  <c r="X3266" i="1" l="1"/>
  <c r="AA3265" i="1"/>
  <c r="I3261" i="1"/>
  <c r="X3267" i="1" l="1"/>
  <c r="AA3266" i="1"/>
  <c r="I3262" i="1"/>
  <c r="AA3267" i="1" l="1"/>
  <c r="X3268" i="1"/>
  <c r="I3263" i="1"/>
  <c r="X3269" i="1" l="1"/>
  <c r="AA3268" i="1"/>
  <c r="I3264" i="1"/>
  <c r="AA3269" i="1" l="1"/>
  <c r="X3270" i="1"/>
  <c r="I3265" i="1"/>
  <c r="X3271" i="1" l="1"/>
  <c r="AA3270" i="1"/>
  <c r="I3266" i="1"/>
  <c r="AA3271" i="1" l="1"/>
  <c r="X3272" i="1"/>
  <c r="I3267" i="1"/>
  <c r="X3273" i="1" l="1"/>
  <c r="AA3272" i="1"/>
  <c r="I3268" i="1"/>
  <c r="AA3273" i="1" l="1"/>
  <c r="X3274" i="1"/>
  <c r="I3269" i="1"/>
  <c r="X3275" i="1" l="1"/>
  <c r="AA3274" i="1"/>
  <c r="I3270" i="1"/>
  <c r="AA3275" i="1" l="1"/>
  <c r="X3276" i="1"/>
  <c r="I3271" i="1"/>
  <c r="X3277" i="1" l="1"/>
  <c r="AA3276" i="1"/>
  <c r="I3272" i="1"/>
  <c r="AA3277" i="1" l="1"/>
  <c r="X3278" i="1"/>
  <c r="I3273" i="1"/>
  <c r="X3279" i="1" l="1"/>
  <c r="AA3278" i="1"/>
  <c r="I3274" i="1"/>
  <c r="AA3279" i="1" l="1"/>
  <c r="X3280" i="1"/>
  <c r="I3275" i="1"/>
  <c r="X3281" i="1" l="1"/>
  <c r="AA3280" i="1"/>
  <c r="I3276" i="1"/>
  <c r="AA3281" i="1" l="1"/>
  <c r="X3282" i="1"/>
  <c r="I3277" i="1"/>
  <c r="X3283" i="1" l="1"/>
  <c r="AA3282" i="1"/>
  <c r="I3278" i="1"/>
  <c r="AA3283" i="1" l="1"/>
  <c r="X3284" i="1"/>
  <c r="I3279" i="1"/>
  <c r="X3285" i="1" l="1"/>
  <c r="AA3284" i="1"/>
  <c r="I3280" i="1"/>
  <c r="AA3285" i="1" l="1"/>
  <c r="X3286" i="1"/>
  <c r="I3281" i="1"/>
  <c r="X3287" i="1" l="1"/>
  <c r="AA3286" i="1"/>
  <c r="I3282" i="1"/>
  <c r="AA3287" i="1" l="1"/>
  <c r="X3288" i="1"/>
  <c r="I3283" i="1"/>
  <c r="X3289" i="1" l="1"/>
  <c r="AA3288" i="1"/>
  <c r="I3284" i="1"/>
  <c r="AA3289" i="1" l="1"/>
  <c r="X3290" i="1"/>
  <c r="I3285" i="1"/>
  <c r="X3291" i="1" l="1"/>
  <c r="AA3290" i="1"/>
  <c r="I3286" i="1"/>
  <c r="AA3291" i="1" l="1"/>
  <c r="X3292" i="1"/>
  <c r="I3287" i="1"/>
  <c r="X3293" i="1" l="1"/>
  <c r="AA3292" i="1"/>
  <c r="I3288" i="1"/>
  <c r="AA3293" i="1" l="1"/>
  <c r="X3294" i="1"/>
  <c r="I3289" i="1"/>
  <c r="X3295" i="1" l="1"/>
  <c r="AA3294" i="1"/>
  <c r="I3290" i="1"/>
  <c r="AA3295" i="1" l="1"/>
  <c r="X3296" i="1"/>
  <c r="I3291" i="1"/>
  <c r="X3297" i="1" l="1"/>
  <c r="AA3296" i="1"/>
  <c r="I3292" i="1"/>
  <c r="AA3297" i="1" l="1"/>
  <c r="X3298" i="1"/>
  <c r="I3293" i="1"/>
  <c r="X3299" i="1" l="1"/>
  <c r="AA3298" i="1"/>
  <c r="I3294" i="1"/>
  <c r="AA3299" i="1" l="1"/>
  <c r="X3300" i="1"/>
  <c r="I3295" i="1"/>
  <c r="X3301" i="1" l="1"/>
  <c r="AA3300" i="1"/>
  <c r="I3296" i="1"/>
  <c r="AA3301" i="1" l="1"/>
  <c r="X3302" i="1"/>
  <c r="I3297" i="1"/>
  <c r="X3303" i="1" l="1"/>
  <c r="AA3302" i="1"/>
  <c r="I3298" i="1"/>
  <c r="AA3303" i="1" l="1"/>
  <c r="X3304" i="1"/>
  <c r="I3299" i="1"/>
  <c r="X3305" i="1" l="1"/>
  <c r="AA3304" i="1"/>
  <c r="I3300" i="1"/>
  <c r="AA3305" i="1" l="1"/>
  <c r="X3306" i="1"/>
  <c r="I3301" i="1"/>
  <c r="X3307" i="1" l="1"/>
  <c r="AA3306" i="1"/>
  <c r="I3302" i="1"/>
  <c r="AA3307" i="1" l="1"/>
  <c r="X3308" i="1"/>
  <c r="I3303" i="1"/>
  <c r="X3309" i="1" l="1"/>
  <c r="AA3308" i="1"/>
  <c r="I3304" i="1"/>
  <c r="AA3309" i="1" l="1"/>
  <c r="X3310" i="1"/>
  <c r="I3305" i="1"/>
  <c r="X3311" i="1" l="1"/>
  <c r="AA3310" i="1"/>
  <c r="I3306" i="1"/>
  <c r="AA3311" i="1" l="1"/>
  <c r="X3312" i="1"/>
  <c r="I3307" i="1"/>
  <c r="X3313" i="1" l="1"/>
  <c r="AA3312" i="1"/>
  <c r="I3308" i="1"/>
  <c r="AA3313" i="1" l="1"/>
  <c r="X3314" i="1"/>
  <c r="I3309" i="1"/>
  <c r="X3315" i="1" l="1"/>
  <c r="AA3314" i="1"/>
  <c r="I3310" i="1"/>
  <c r="AA3315" i="1" l="1"/>
  <c r="X3316" i="1"/>
  <c r="I3311" i="1"/>
  <c r="X3317" i="1" l="1"/>
  <c r="AA3316" i="1"/>
  <c r="I3312" i="1"/>
  <c r="AA3317" i="1" l="1"/>
  <c r="X3318" i="1"/>
  <c r="I3313" i="1"/>
  <c r="X3319" i="1" l="1"/>
  <c r="AA3318" i="1"/>
  <c r="I3314" i="1"/>
  <c r="AA3319" i="1" l="1"/>
  <c r="X3320" i="1"/>
  <c r="I3315" i="1"/>
  <c r="X3321" i="1" l="1"/>
  <c r="AA3320" i="1"/>
  <c r="I3316" i="1"/>
  <c r="AA3321" i="1" l="1"/>
  <c r="X3322" i="1"/>
  <c r="I3317" i="1"/>
  <c r="X3323" i="1" l="1"/>
  <c r="AA3322" i="1"/>
  <c r="I3318" i="1"/>
  <c r="AA3323" i="1" l="1"/>
  <c r="X3324" i="1"/>
  <c r="I3319" i="1"/>
  <c r="X3325" i="1" l="1"/>
  <c r="AA3324" i="1"/>
  <c r="I3320" i="1"/>
  <c r="AA3325" i="1" l="1"/>
  <c r="X3326" i="1"/>
  <c r="I3321" i="1"/>
  <c r="X3327" i="1" l="1"/>
  <c r="AA3326" i="1"/>
  <c r="I3322" i="1"/>
  <c r="AA3327" i="1" l="1"/>
  <c r="X3328" i="1"/>
  <c r="I3323" i="1"/>
  <c r="X3329" i="1" l="1"/>
  <c r="AA3328" i="1"/>
  <c r="I3324" i="1"/>
  <c r="AA3329" i="1" l="1"/>
  <c r="X3330" i="1"/>
  <c r="I3325" i="1"/>
  <c r="X3331" i="1" l="1"/>
  <c r="AA3330" i="1"/>
  <c r="I3326" i="1"/>
  <c r="AA3331" i="1" l="1"/>
  <c r="X3332" i="1"/>
  <c r="I3327" i="1"/>
  <c r="X3333" i="1" l="1"/>
  <c r="AA3332" i="1"/>
  <c r="I3328" i="1"/>
  <c r="AA3333" i="1" l="1"/>
  <c r="X3334" i="1"/>
  <c r="I3329" i="1"/>
  <c r="X3335" i="1" l="1"/>
  <c r="AA3334" i="1"/>
  <c r="I3330" i="1"/>
  <c r="AA3335" i="1" l="1"/>
  <c r="X3336" i="1"/>
  <c r="I3331" i="1"/>
  <c r="X3337" i="1" l="1"/>
  <c r="AA3336" i="1"/>
  <c r="I3332" i="1"/>
  <c r="AA3337" i="1" l="1"/>
  <c r="X3338" i="1"/>
  <c r="I3333" i="1"/>
  <c r="X3339" i="1" l="1"/>
  <c r="AA3338" i="1"/>
  <c r="I3334" i="1"/>
  <c r="AA3339" i="1" l="1"/>
  <c r="X3340" i="1"/>
  <c r="I3335" i="1"/>
  <c r="X3341" i="1" l="1"/>
  <c r="AA3340" i="1"/>
  <c r="I3336" i="1"/>
  <c r="AA3341" i="1" l="1"/>
  <c r="X3342" i="1"/>
  <c r="I3337" i="1"/>
  <c r="X3343" i="1" l="1"/>
  <c r="AA3342" i="1"/>
  <c r="I3338" i="1"/>
  <c r="AA3343" i="1" l="1"/>
  <c r="X3344" i="1"/>
  <c r="I3339" i="1"/>
  <c r="X3345" i="1" l="1"/>
  <c r="AA3344" i="1"/>
  <c r="I3340" i="1"/>
  <c r="AA3345" i="1" l="1"/>
  <c r="X3346" i="1"/>
  <c r="I3341" i="1"/>
  <c r="X3347" i="1" l="1"/>
  <c r="AA3346" i="1"/>
  <c r="I3342" i="1"/>
  <c r="AA3347" i="1" l="1"/>
  <c r="X3348" i="1"/>
  <c r="I3343" i="1"/>
  <c r="X3349" i="1" l="1"/>
  <c r="AA3348" i="1"/>
  <c r="I3344" i="1"/>
  <c r="X3350" i="1" l="1"/>
  <c r="AA3349" i="1"/>
  <c r="I3345" i="1"/>
  <c r="X3351" i="1" l="1"/>
  <c r="AA3350" i="1"/>
  <c r="I3346" i="1"/>
  <c r="X3352" i="1" l="1"/>
  <c r="AA3351" i="1"/>
  <c r="I3347" i="1"/>
  <c r="X3353" i="1" l="1"/>
  <c r="AA3352" i="1"/>
  <c r="I3348" i="1"/>
  <c r="X3354" i="1" l="1"/>
  <c r="AA3353" i="1"/>
  <c r="I3349" i="1"/>
  <c r="X3355" i="1" l="1"/>
  <c r="AA3354" i="1"/>
  <c r="I3350" i="1"/>
  <c r="AA3355" i="1" l="1"/>
  <c r="X3356" i="1"/>
  <c r="I3351" i="1"/>
  <c r="X3357" i="1" l="1"/>
  <c r="AA3356" i="1"/>
  <c r="I3352" i="1"/>
  <c r="X3358" i="1" l="1"/>
  <c r="AA3357" i="1"/>
  <c r="I3353" i="1"/>
  <c r="X3359" i="1" l="1"/>
  <c r="AA3358" i="1"/>
  <c r="I3354" i="1"/>
  <c r="X3360" i="1" l="1"/>
  <c r="AA3359" i="1"/>
  <c r="I3355" i="1"/>
  <c r="X3361" i="1" l="1"/>
  <c r="AA3360" i="1"/>
  <c r="I3356" i="1"/>
  <c r="X3362" i="1" l="1"/>
  <c r="AA3361" i="1"/>
  <c r="I3357" i="1"/>
  <c r="X3363" i="1" l="1"/>
  <c r="AA3362" i="1"/>
  <c r="I3358" i="1"/>
  <c r="AA3363" i="1" l="1"/>
  <c r="X3364" i="1"/>
  <c r="I3359" i="1"/>
  <c r="X3365" i="1" l="1"/>
  <c r="AA3364" i="1"/>
  <c r="I3360" i="1"/>
  <c r="AA3365" i="1" l="1"/>
  <c r="X3366" i="1"/>
  <c r="I3361" i="1"/>
  <c r="X3367" i="1" l="1"/>
  <c r="AA3366" i="1"/>
  <c r="I3362" i="1"/>
  <c r="X3368" i="1" l="1"/>
  <c r="AA3367" i="1"/>
  <c r="I3363" i="1"/>
  <c r="X3369" i="1" l="1"/>
  <c r="AA3368" i="1"/>
  <c r="I3364" i="1"/>
  <c r="X3370" i="1" l="1"/>
  <c r="AA3369" i="1"/>
  <c r="I3365" i="1"/>
  <c r="X3371" i="1" l="1"/>
  <c r="AA3370" i="1"/>
  <c r="I3366" i="1"/>
  <c r="X3372" i="1" l="1"/>
  <c r="AA3371" i="1"/>
  <c r="I3367" i="1"/>
  <c r="X3373" i="1" l="1"/>
  <c r="AA3372" i="1"/>
  <c r="I3368" i="1"/>
  <c r="AA3373" i="1" l="1"/>
  <c r="X3374" i="1"/>
  <c r="I3369" i="1"/>
  <c r="X3375" i="1" l="1"/>
  <c r="AA3374" i="1"/>
  <c r="I3370" i="1"/>
  <c r="X3376" i="1" l="1"/>
  <c r="AA3375" i="1"/>
  <c r="I3371" i="1"/>
  <c r="X3377" i="1" l="1"/>
  <c r="AA3376" i="1"/>
  <c r="I3372" i="1"/>
  <c r="X3378" i="1" l="1"/>
  <c r="AA3377" i="1"/>
  <c r="I3373" i="1"/>
  <c r="X3379" i="1" l="1"/>
  <c r="AA3378" i="1"/>
  <c r="I3374" i="1"/>
  <c r="X3380" i="1" l="1"/>
  <c r="AA3379" i="1"/>
  <c r="I3375" i="1"/>
  <c r="X3381" i="1" l="1"/>
  <c r="AA3380" i="1"/>
  <c r="I3376" i="1"/>
  <c r="AA3381" i="1" l="1"/>
  <c r="X3382" i="1"/>
  <c r="I3377" i="1"/>
  <c r="X3383" i="1" l="1"/>
  <c r="AA3382" i="1"/>
  <c r="I3378" i="1"/>
  <c r="X3384" i="1" l="1"/>
  <c r="AA3383" i="1"/>
  <c r="I3379" i="1"/>
  <c r="X3385" i="1" l="1"/>
  <c r="AA3384" i="1"/>
  <c r="I3380" i="1"/>
  <c r="X3386" i="1" l="1"/>
  <c r="AA3385" i="1"/>
  <c r="I3381" i="1"/>
  <c r="X3387" i="1" l="1"/>
  <c r="AA3386" i="1"/>
  <c r="I3382" i="1"/>
  <c r="X3388" i="1" l="1"/>
  <c r="AA3387" i="1"/>
  <c r="I3383" i="1"/>
  <c r="X3389" i="1" l="1"/>
  <c r="AA3388" i="1"/>
  <c r="I3384" i="1"/>
  <c r="AA3389" i="1" l="1"/>
  <c r="X3390" i="1"/>
  <c r="I3385" i="1"/>
  <c r="X3391" i="1" l="1"/>
  <c r="AA3390" i="1"/>
  <c r="I3386" i="1"/>
  <c r="X3392" i="1" l="1"/>
  <c r="AA3391" i="1"/>
  <c r="I3387" i="1"/>
  <c r="X3393" i="1" l="1"/>
  <c r="AA3392" i="1"/>
  <c r="I3388" i="1"/>
  <c r="X3394" i="1" l="1"/>
  <c r="AA3393" i="1"/>
  <c r="I3389" i="1"/>
  <c r="X3395" i="1" l="1"/>
  <c r="AA3394" i="1"/>
  <c r="I3390" i="1"/>
  <c r="X3396" i="1" l="1"/>
  <c r="AA3395" i="1"/>
  <c r="I3391" i="1"/>
  <c r="X3397" i="1" l="1"/>
  <c r="AA3396" i="1"/>
  <c r="I3392" i="1"/>
  <c r="AA3397" i="1" l="1"/>
  <c r="X3398" i="1"/>
  <c r="I3393" i="1"/>
  <c r="X3399" i="1" l="1"/>
  <c r="AA3398" i="1"/>
  <c r="I3394" i="1"/>
  <c r="X3400" i="1" l="1"/>
  <c r="AA3399" i="1"/>
  <c r="I3395" i="1"/>
  <c r="X3401" i="1" l="1"/>
  <c r="AA3400" i="1"/>
  <c r="I3396" i="1"/>
  <c r="X3402" i="1" l="1"/>
  <c r="AA3401" i="1"/>
  <c r="I3397" i="1"/>
  <c r="X3403" i="1" l="1"/>
  <c r="AA3402" i="1"/>
  <c r="I3398" i="1"/>
  <c r="X3404" i="1" l="1"/>
  <c r="AA3403" i="1"/>
  <c r="I3399" i="1"/>
  <c r="X3405" i="1" l="1"/>
  <c r="AA3404" i="1"/>
  <c r="I3400" i="1"/>
  <c r="AA3405" i="1" l="1"/>
  <c r="X3406" i="1"/>
  <c r="I3401" i="1"/>
  <c r="X3407" i="1" l="1"/>
  <c r="AA3406" i="1"/>
  <c r="I3402" i="1"/>
  <c r="X3408" i="1" l="1"/>
  <c r="AA3407" i="1"/>
  <c r="I3403" i="1"/>
  <c r="X3409" i="1" l="1"/>
  <c r="AA3408" i="1"/>
  <c r="I3404" i="1"/>
  <c r="X3410" i="1" l="1"/>
  <c r="AA3409" i="1"/>
  <c r="I3405" i="1"/>
  <c r="X3411" i="1" l="1"/>
  <c r="AA3410" i="1"/>
  <c r="I3406" i="1"/>
  <c r="X3412" i="1" l="1"/>
  <c r="AA3411" i="1"/>
  <c r="I3407" i="1"/>
  <c r="AA3412" i="1" l="1"/>
  <c r="X3413" i="1"/>
  <c r="I3408" i="1"/>
  <c r="AA3413" i="1" l="1"/>
  <c r="X3414" i="1"/>
  <c r="I3409" i="1"/>
  <c r="X3415" i="1" l="1"/>
  <c r="AA3414" i="1"/>
  <c r="I3410" i="1"/>
  <c r="X3416" i="1" l="1"/>
  <c r="AA3415" i="1"/>
  <c r="I3411" i="1"/>
  <c r="AA3416" i="1" l="1"/>
  <c r="X3417" i="1"/>
  <c r="I3412" i="1"/>
  <c r="X3418" i="1" l="1"/>
  <c r="AA3417" i="1"/>
  <c r="I3413" i="1"/>
  <c r="X3419" i="1" l="1"/>
  <c r="AA3418" i="1"/>
  <c r="I3414" i="1"/>
  <c r="X3420" i="1" l="1"/>
  <c r="AA3419" i="1"/>
  <c r="I3415" i="1"/>
  <c r="X3421" i="1" l="1"/>
  <c r="AA3420" i="1"/>
  <c r="I3416" i="1"/>
  <c r="X3422" i="1" l="1"/>
  <c r="AA3421" i="1"/>
  <c r="I3417" i="1"/>
  <c r="X3423" i="1" l="1"/>
  <c r="AA3422" i="1"/>
  <c r="I3418" i="1"/>
  <c r="X3424" i="1" l="1"/>
  <c r="AA3423" i="1"/>
  <c r="I3419" i="1"/>
  <c r="AA3424" i="1" l="1"/>
  <c r="X3425" i="1"/>
  <c r="I3420" i="1"/>
  <c r="X3426" i="1" l="1"/>
  <c r="AA3425" i="1"/>
  <c r="I3421" i="1"/>
  <c r="X3427" i="1" l="1"/>
  <c r="AA3426" i="1"/>
  <c r="I3422" i="1"/>
  <c r="X3428" i="1" l="1"/>
  <c r="AA3427" i="1"/>
  <c r="I3423" i="1"/>
  <c r="X3429" i="1" l="1"/>
  <c r="AA3428" i="1"/>
  <c r="I3424" i="1"/>
  <c r="X3430" i="1" l="1"/>
  <c r="AA3429" i="1"/>
  <c r="I3425" i="1"/>
  <c r="X3431" i="1" l="1"/>
  <c r="AA3430" i="1"/>
  <c r="I3426" i="1"/>
  <c r="X3432" i="1" l="1"/>
  <c r="AA3431" i="1"/>
  <c r="I3427" i="1"/>
  <c r="AA3432" i="1" l="1"/>
  <c r="X3433" i="1"/>
  <c r="I3428" i="1"/>
  <c r="X3434" i="1" l="1"/>
  <c r="AA3433" i="1"/>
  <c r="I3429" i="1"/>
  <c r="X3435" i="1" l="1"/>
  <c r="AA3434" i="1"/>
  <c r="I3430" i="1"/>
  <c r="X3436" i="1" l="1"/>
  <c r="AA3435" i="1"/>
  <c r="I3431" i="1"/>
  <c r="X3437" i="1" l="1"/>
  <c r="AA3436" i="1"/>
  <c r="I3432" i="1"/>
  <c r="X3438" i="1" l="1"/>
  <c r="AA3437" i="1"/>
  <c r="I3433" i="1"/>
  <c r="X3439" i="1" l="1"/>
  <c r="AA3438" i="1"/>
  <c r="I3434" i="1"/>
  <c r="X3440" i="1" l="1"/>
  <c r="AA3439" i="1"/>
  <c r="I3435" i="1"/>
  <c r="AA3440" i="1" l="1"/>
  <c r="X3441" i="1"/>
  <c r="I3436" i="1"/>
  <c r="X3442" i="1" l="1"/>
  <c r="AA3441" i="1"/>
  <c r="I3437" i="1"/>
  <c r="X3443" i="1" l="1"/>
  <c r="AA3442" i="1"/>
  <c r="I3438" i="1"/>
  <c r="X3444" i="1" l="1"/>
  <c r="AA3443" i="1"/>
  <c r="I3439" i="1"/>
  <c r="X3445" i="1" l="1"/>
  <c r="AA3444" i="1"/>
  <c r="I3440" i="1"/>
  <c r="X3446" i="1" l="1"/>
  <c r="AA3445" i="1"/>
  <c r="I3441" i="1"/>
  <c r="X3447" i="1" l="1"/>
  <c r="AA3446" i="1"/>
  <c r="I3442" i="1"/>
  <c r="X3448" i="1" l="1"/>
  <c r="AA3447" i="1"/>
  <c r="I3443" i="1"/>
  <c r="AA3448" i="1" l="1"/>
  <c r="X3449" i="1"/>
  <c r="I3444" i="1"/>
  <c r="X3450" i="1" l="1"/>
  <c r="AA3449" i="1"/>
  <c r="I3445" i="1"/>
  <c r="X3451" i="1" l="1"/>
  <c r="AA3450" i="1"/>
  <c r="I3446" i="1"/>
  <c r="X3452" i="1" l="1"/>
  <c r="AA3451" i="1"/>
  <c r="I3447" i="1"/>
  <c r="X3453" i="1" l="1"/>
  <c r="AA3452" i="1"/>
  <c r="I3448" i="1"/>
  <c r="X3454" i="1" l="1"/>
  <c r="AA3453" i="1"/>
  <c r="I3449" i="1"/>
  <c r="AA3454" i="1" l="1"/>
  <c r="X3455" i="1"/>
  <c r="I3450" i="1"/>
  <c r="X3456" i="1" l="1"/>
  <c r="AA3455" i="1"/>
  <c r="I3451" i="1"/>
  <c r="X3457" i="1" l="1"/>
  <c r="AA3456" i="1"/>
  <c r="I3452" i="1"/>
  <c r="X3458" i="1" l="1"/>
  <c r="AA3457" i="1"/>
  <c r="I3453" i="1"/>
  <c r="X3459" i="1" l="1"/>
  <c r="AA3458" i="1"/>
  <c r="I3454" i="1"/>
  <c r="X3460" i="1" l="1"/>
  <c r="AA3459" i="1"/>
  <c r="I3455" i="1"/>
  <c r="X3461" i="1" l="1"/>
  <c r="AA3460" i="1"/>
  <c r="I3456" i="1"/>
  <c r="X3462" i="1" l="1"/>
  <c r="AA3461" i="1"/>
  <c r="I3457" i="1"/>
  <c r="AA3462" i="1" l="1"/>
  <c r="X3463" i="1"/>
  <c r="I3458" i="1"/>
  <c r="X3464" i="1" l="1"/>
  <c r="AA3463" i="1"/>
  <c r="I3459" i="1"/>
  <c r="X3465" i="1" l="1"/>
  <c r="AA3464" i="1"/>
  <c r="I3460" i="1"/>
  <c r="X3466" i="1" l="1"/>
  <c r="AA3465" i="1"/>
  <c r="I3461" i="1"/>
  <c r="X3467" i="1" l="1"/>
  <c r="AA3466" i="1"/>
  <c r="I3462" i="1"/>
  <c r="X3468" i="1" l="1"/>
  <c r="AA3467" i="1"/>
  <c r="I3463" i="1"/>
  <c r="X3469" i="1" l="1"/>
  <c r="AA3468" i="1"/>
  <c r="I3464" i="1"/>
  <c r="X3470" i="1" l="1"/>
  <c r="AA3469" i="1"/>
  <c r="I3465" i="1"/>
  <c r="AA3470" i="1" l="1"/>
  <c r="X3471" i="1"/>
  <c r="I3466" i="1"/>
  <c r="X3472" i="1" l="1"/>
  <c r="AA3471" i="1"/>
  <c r="I3467" i="1"/>
  <c r="X3473" i="1" l="1"/>
  <c r="AA3472" i="1"/>
  <c r="I3468" i="1"/>
  <c r="X3474" i="1" l="1"/>
  <c r="AA3473" i="1"/>
  <c r="I3469" i="1"/>
  <c r="X3475" i="1" l="1"/>
  <c r="AA3474" i="1"/>
  <c r="I3470" i="1"/>
  <c r="X3476" i="1" l="1"/>
  <c r="AA3475" i="1"/>
  <c r="I3471" i="1"/>
  <c r="X3477" i="1" l="1"/>
  <c r="AA3476" i="1"/>
  <c r="I3472" i="1"/>
  <c r="X3478" i="1" l="1"/>
  <c r="AA3477" i="1"/>
  <c r="I3473" i="1"/>
  <c r="AA3478" i="1" l="1"/>
  <c r="X3479" i="1"/>
  <c r="I3474" i="1"/>
  <c r="X3480" i="1" l="1"/>
  <c r="AA3479" i="1"/>
  <c r="I3475" i="1"/>
  <c r="X3481" i="1" l="1"/>
  <c r="AA3480" i="1"/>
  <c r="I3476" i="1"/>
  <c r="X3482" i="1" l="1"/>
  <c r="AA3481" i="1"/>
  <c r="I3477" i="1"/>
  <c r="X3483" i="1" l="1"/>
  <c r="AA3482" i="1"/>
  <c r="I3478" i="1"/>
  <c r="X3484" i="1" l="1"/>
  <c r="AA3483" i="1"/>
  <c r="I3479" i="1"/>
  <c r="X3485" i="1" l="1"/>
  <c r="AA3484" i="1"/>
  <c r="I3480" i="1"/>
  <c r="X3486" i="1" l="1"/>
  <c r="AA3485" i="1"/>
  <c r="I3481" i="1"/>
  <c r="AA3486" i="1" l="1"/>
  <c r="X3487" i="1"/>
  <c r="I3482" i="1"/>
  <c r="X3488" i="1" l="1"/>
  <c r="AA3487" i="1"/>
  <c r="I3483" i="1"/>
  <c r="X3489" i="1" l="1"/>
  <c r="AA3488" i="1"/>
  <c r="I3484" i="1"/>
  <c r="X3490" i="1" l="1"/>
  <c r="AA3489" i="1"/>
  <c r="I3485" i="1"/>
  <c r="X3491" i="1" l="1"/>
  <c r="AA3490" i="1"/>
  <c r="I3486" i="1"/>
  <c r="X3492" i="1" l="1"/>
  <c r="AA3491" i="1"/>
  <c r="I3487" i="1"/>
  <c r="X3493" i="1" l="1"/>
  <c r="AA3492" i="1"/>
  <c r="I3488" i="1"/>
  <c r="X3494" i="1" l="1"/>
  <c r="AA3493" i="1"/>
  <c r="I3489" i="1"/>
  <c r="AA3494" i="1" l="1"/>
  <c r="X3495" i="1"/>
  <c r="I3490" i="1"/>
  <c r="X3496" i="1" l="1"/>
  <c r="AA3495" i="1"/>
  <c r="I3491" i="1"/>
  <c r="X3497" i="1" l="1"/>
  <c r="AA3496" i="1"/>
  <c r="I3492" i="1"/>
  <c r="X3498" i="1" l="1"/>
  <c r="AA3497" i="1"/>
  <c r="I3493" i="1"/>
  <c r="X3499" i="1" l="1"/>
  <c r="AA3498" i="1"/>
  <c r="I3494" i="1"/>
  <c r="X3500" i="1" l="1"/>
  <c r="AA3499" i="1"/>
  <c r="I3495" i="1"/>
  <c r="X3501" i="1" l="1"/>
  <c r="AA3500" i="1"/>
  <c r="I3496" i="1"/>
  <c r="X3502" i="1" l="1"/>
  <c r="AA3501" i="1"/>
  <c r="I3497" i="1"/>
  <c r="AA3502" i="1" l="1"/>
  <c r="X3503" i="1"/>
  <c r="I3498" i="1"/>
  <c r="X3504" i="1" l="1"/>
  <c r="AA3503" i="1"/>
  <c r="I3499" i="1"/>
  <c r="X3505" i="1" l="1"/>
  <c r="AA3504" i="1"/>
  <c r="I3500" i="1"/>
  <c r="X3506" i="1" l="1"/>
  <c r="AA3505" i="1"/>
  <c r="I3501" i="1"/>
  <c r="X3507" i="1" l="1"/>
  <c r="AA3507" i="1" s="1"/>
  <c r="AA3506" i="1"/>
  <c r="I3502" i="1"/>
  <c r="I3503" i="1" l="1"/>
  <c r="I3504" i="1" l="1"/>
</calcChain>
</file>

<file path=xl/sharedStrings.xml><?xml version="1.0" encoding="utf-8"?>
<sst xmlns="http://schemas.openxmlformats.org/spreadsheetml/2006/main" count="2116" uniqueCount="306">
  <si>
    <t>Дата</t>
  </si>
  <si>
    <t>Объект</t>
  </si>
  <si>
    <t xml:space="preserve">Получатель </t>
  </si>
  <si>
    <t>Примечание</t>
  </si>
  <si>
    <t>Названия строк</t>
  </si>
  <si>
    <t>(пусто)</t>
  </si>
  <si>
    <t>Общий итог</t>
  </si>
  <si>
    <t>Дата:</t>
  </si>
  <si>
    <t>Всего по объекту</t>
  </si>
  <si>
    <t>Вид платежа</t>
  </si>
  <si>
    <t>остаток на начало</t>
  </si>
  <si>
    <t>Агаев</t>
  </si>
  <si>
    <t>КП</t>
  </si>
  <si>
    <t>Мост</t>
  </si>
  <si>
    <t>Володя Бур</t>
  </si>
  <si>
    <t>Ирина мед. Ушко</t>
  </si>
  <si>
    <t>Равиль дом 1</t>
  </si>
  <si>
    <t>Равиль дом 2</t>
  </si>
  <si>
    <t>ЗП</t>
  </si>
  <si>
    <t>Макс</t>
  </si>
  <si>
    <t>Эдик</t>
  </si>
  <si>
    <t xml:space="preserve">Артур </t>
  </si>
  <si>
    <t>Анна</t>
  </si>
  <si>
    <t>бут</t>
  </si>
  <si>
    <t>(пусто) Итог</t>
  </si>
  <si>
    <t>Всего по получателю</t>
  </si>
  <si>
    <t>Юра магазин</t>
  </si>
  <si>
    <t>Ольга</t>
  </si>
  <si>
    <t>Макс электрик</t>
  </si>
  <si>
    <t>ЗАЙМ</t>
  </si>
  <si>
    <t>банк</t>
  </si>
  <si>
    <t>Сегодня:</t>
  </si>
  <si>
    <t>Всего всего</t>
  </si>
  <si>
    <t>Равиль баня</t>
  </si>
  <si>
    <t>Объекты</t>
  </si>
  <si>
    <t>Получатели</t>
  </si>
  <si>
    <t>1</t>
  </si>
  <si>
    <t>Касса</t>
  </si>
  <si>
    <t>Другое</t>
  </si>
  <si>
    <t>Источники_ДС</t>
  </si>
  <si>
    <t>Сальдо на конец дня</t>
  </si>
  <si>
    <t>Остаток после операции</t>
  </si>
  <si>
    <t>Агаев Итог</t>
  </si>
  <si>
    <t>Володя Бур Итог</t>
  </si>
  <si>
    <t>Ирина мед. Ушко Итог</t>
  </si>
  <si>
    <t>КП Итог</t>
  </si>
  <si>
    <t>Мост Итог</t>
  </si>
  <si>
    <t>остаток на начало Итог</t>
  </si>
  <si>
    <t>Равиль баня Итог</t>
  </si>
  <si>
    <t>Равиль дом 1 Итог</t>
  </si>
  <si>
    <t>Равиль дом 2 Итог</t>
  </si>
  <si>
    <t>Движение денежных средств по дням</t>
  </si>
  <si>
    <t>Приход ДС</t>
  </si>
  <si>
    <t>Расход ДС</t>
  </si>
  <si>
    <t>пароль для защиты листа "Учет": 11</t>
  </si>
  <si>
    <t>Карта Макс</t>
  </si>
  <si>
    <t>Карта Эдик</t>
  </si>
  <si>
    <t>Карта Аня</t>
  </si>
  <si>
    <t>Ник Ник</t>
  </si>
  <si>
    <t>общие расходы</t>
  </si>
  <si>
    <t>личные Макс</t>
  </si>
  <si>
    <t>КП офис</t>
  </si>
  <si>
    <t>Аня</t>
  </si>
  <si>
    <t>Рустем JCB</t>
  </si>
  <si>
    <t>Антон топливо</t>
  </si>
  <si>
    <t>Массаж Аня,Макс, Артур</t>
  </si>
  <si>
    <t>Макс электрик возврат</t>
  </si>
  <si>
    <t>заливка подбетонки</t>
  </si>
  <si>
    <t>плитка</t>
  </si>
  <si>
    <t>покраска, подшива</t>
  </si>
  <si>
    <t>дорога</t>
  </si>
  <si>
    <t>кровля</t>
  </si>
  <si>
    <t>гидроизоляция</t>
  </si>
  <si>
    <t>Анна Итог</t>
  </si>
  <si>
    <t>ЗП Итог</t>
  </si>
  <si>
    <t>КП офис Итог</t>
  </si>
  <si>
    <t>личные Макс Итог</t>
  </si>
  <si>
    <t>Ник Ник Итог</t>
  </si>
  <si>
    <t>общие расходы Итог</t>
  </si>
  <si>
    <t>Ольга Итог</t>
  </si>
  <si>
    <t>Движение денежных средств подробно (по всем источникам)</t>
  </si>
  <si>
    <t>Стараться заполнить все поля таблицы (Объект, Откуда списано, Получатель), не оставлять пустые строки</t>
  </si>
  <si>
    <t>Вставлять между строками не надо.</t>
  </si>
  <si>
    <t xml:space="preserve">Введено формул на 3500 строк. </t>
  </si>
  <si>
    <t>Если строки закончились, скопировать последнюю строку и вставить еще сколько нужно, но ниже.</t>
  </si>
  <si>
    <t>Сальдо по всем источникам</t>
  </si>
  <si>
    <t>Электрик М</t>
  </si>
  <si>
    <t>массаж</t>
  </si>
  <si>
    <t>Антон</t>
  </si>
  <si>
    <t>Джони аванс</t>
  </si>
  <si>
    <t>Откуда списаны ДС</t>
  </si>
  <si>
    <t>Услуга</t>
  </si>
  <si>
    <t>Материал</t>
  </si>
  <si>
    <t>Прочее</t>
  </si>
  <si>
    <t>Внутреннее перемещение ДС</t>
  </si>
  <si>
    <t>Учет денежных средств</t>
  </si>
  <si>
    <t>Есть данные за период с:</t>
  </si>
  <si>
    <t>по</t>
  </si>
  <si>
    <t xml:space="preserve">Сделать выборку </t>
  </si>
  <si>
    <t>Заработная плата:</t>
  </si>
  <si>
    <t>Денежные средства:</t>
  </si>
  <si>
    <t>Аренда оборудования</t>
  </si>
  <si>
    <t>Аванс</t>
  </si>
  <si>
    <t>Налог</t>
  </si>
  <si>
    <t>Внутреннее перемещение</t>
  </si>
  <si>
    <t>Возврат ДС</t>
  </si>
  <si>
    <t>Аня Итог</t>
  </si>
  <si>
    <t>Артур  Итог</t>
  </si>
  <si>
    <t>Эдик Итог</t>
  </si>
  <si>
    <t>Зарплата по Получателям</t>
  </si>
  <si>
    <t>Зарплата по назначению (конечный получатель)</t>
  </si>
  <si>
    <t>Зарплата по Объектам</t>
  </si>
  <si>
    <t>Весь список</t>
  </si>
  <si>
    <t>По объектам</t>
  </si>
  <si>
    <t>По получателям</t>
  </si>
  <si>
    <t>По конечным получателям</t>
  </si>
  <si>
    <t>Выбрать период с:</t>
  </si>
  <si>
    <t>Выбрать вид выборки:</t>
  </si>
  <si>
    <t>Если возврат денежных средств:</t>
  </si>
  <si>
    <t>Внести в графу "Приход" (выбрать нужную) с минусом, в графе "Вид платежа" выбрать "Возврат"</t>
  </si>
  <si>
    <t>Nr</t>
  </si>
  <si>
    <t>Кому</t>
  </si>
  <si>
    <t>Через кого</t>
  </si>
  <si>
    <t>Зарплата готова 29.08.2023</t>
  </si>
  <si>
    <t xml:space="preserve"> в 9:34:33</t>
  </si>
  <si>
    <t>Уточнение платежа (кому , наим.материала или услуги и т.д.)</t>
  </si>
  <si>
    <t>Сумма зп</t>
  </si>
  <si>
    <t>Откуда выдано</t>
  </si>
  <si>
    <t>Дата формирования ведомости</t>
  </si>
  <si>
    <t>Зарплата</t>
  </si>
  <si>
    <t>Расход всего</t>
  </si>
  <si>
    <t>Приход касса</t>
  </si>
  <si>
    <t>Приход карта Макс</t>
  </si>
  <si>
    <t>Приход карта Эдик</t>
  </si>
  <si>
    <t>Приход карта Аня</t>
  </si>
  <si>
    <t>Приход другое</t>
  </si>
  <si>
    <t>Приход всего</t>
  </si>
  <si>
    <t>02.08.2023 Итог</t>
  </si>
  <si>
    <t>03.08.2023 Итог</t>
  </si>
  <si>
    <t>04.08.2023 Итог</t>
  </si>
  <si>
    <t>05.08.2023 Итог</t>
  </si>
  <si>
    <t>08.08.2023 Итог</t>
  </si>
  <si>
    <t>09.08.2023 Итог</t>
  </si>
  <si>
    <t>10.08.2023 Итог</t>
  </si>
  <si>
    <t>11.08.2023 Итог</t>
  </si>
  <si>
    <t>14.08.2023 Итог</t>
  </si>
  <si>
    <t>15.08.2023 Итог</t>
  </si>
  <si>
    <t>16.08.2023 Итог</t>
  </si>
  <si>
    <t>17.08.2023 Итог</t>
  </si>
  <si>
    <t>18.08.2023 Итог</t>
  </si>
  <si>
    <t>19.08.2023 Итог</t>
  </si>
  <si>
    <t>20.08.2023 Итог</t>
  </si>
  <si>
    <t>21.08.2023 Итог</t>
  </si>
  <si>
    <t>22.08.2023 Итог</t>
  </si>
  <si>
    <t>23.08.2023 Итог</t>
  </si>
  <si>
    <t>Зарплата готова для объекта КП офис 29.08.2023</t>
  </si>
  <si>
    <t xml:space="preserve"> в 12:31:07</t>
  </si>
  <si>
    <t>Зарплата готова для всех конечных получателей 29.08.2023</t>
  </si>
  <si>
    <t xml:space="preserve"> в 12:49:48</t>
  </si>
  <si>
    <t>Эдик Губернатор</t>
  </si>
  <si>
    <t>Артур</t>
  </si>
  <si>
    <t>Бахрум</t>
  </si>
  <si>
    <t>Джонни</t>
  </si>
  <si>
    <t>Илья</t>
  </si>
  <si>
    <t xml:space="preserve">Руслан </t>
  </si>
  <si>
    <t>Алексей</t>
  </si>
  <si>
    <t>Жека</t>
  </si>
  <si>
    <t>Коляны</t>
  </si>
  <si>
    <t>Руслан бутовщик</t>
  </si>
  <si>
    <t>Саша Докуч</t>
  </si>
  <si>
    <t>(выбрать объект)</t>
  </si>
  <si>
    <t>(выбрать получателя)</t>
  </si>
  <si>
    <t>(вся зп в хронологическом порядке)</t>
  </si>
  <si>
    <t>Алексей Итог</t>
  </si>
  <si>
    <t>Антон Итог</t>
  </si>
  <si>
    <t>Жека Итог</t>
  </si>
  <si>
    <t>Илья Итог</t>
  </si>
  <si>
    <t>Макс Итог</t>
  </si>
  <si>
    <t>Макс электрик Итог</t>
  </si>
  <si>
    <t>Руслан  Итог</t>
  </si>
  <si>
    <t>Саша Докуч Итог</t>
  </si>
  <si>
    <t>Эдик Губернатор Итог</t>
  </si>
  <si>
    <t>Зарплата готова для всех конечных получателей 30.08.2023</t>
  </si>
  <si>
    <t xml:space="preserve"> в 9:02:17</t>
  </si>
  <si>
    <t>(для всех получателей, отсортировано, с итогами)</t>
  </si>
  <si>
    <t>Остаток на начало</t>
  </si>
  <si>
    <t>Уточнение платежа</t>
  </si>
  <si>
    <t>Приход</t>
  </si>
  <si>
    <t>Расход</t>
  </si>
  <si>
    <t>Остаток на конец</t>
  </si>
  <si>
    <t>Платежи разнесены 30.08.2023</t>
  </si>
  <si>
    <t xml:space="preserve"> в 10:46:32</t>
  </si>
  <si>
    <t>Сумма по полю Расход всего</t>
  </si>
  <si>
    <t>(несколько элементов)</t>
  </si>
  <si>
    <t xml:space="preserve">Приход касса </t>
  </si>
  <si>
    <t xml:space="preserve">Приход карта Макс </t>
  </si>
  <si>
    <t xml:space="preserve">Приход карта Эдик </t>
  </si>
  <si>
    <t xml:space="preserve">Приход карта Аня </t>
  </si>
  <si>
    <t xml:space="preserve">Приход другое </t>
  </si>
  <si>
    <t>Названия столбцов</t>
  </si>
  <si>
    <t>без учета внутренних перемещений</t>
  </si>
  <si>
    <t>Остаток на начало (касса)</t>
  </si>
  <si>
    <t>Приход (касса)</t>
  </si>
  <si>
    <t>Расход (касса)</t>
  </si>
  <si>
    <t>Остаток на конец (касса)</t>
  </si>
  <si>
    <t>Остаток на начало (карта Макс)</t>
  </si>
  <si>
    <t>Приход (карта Макс)</t>
  </si>
  <si>
    <t>Расход (карта Макс)</t>
  </si>
  <si>
    <t>Остаток на конец (карта Макс)</t>
  </si>
  <si>
    <t>Остаток на начало (карта Эдик)</t>
  </si>
  <si>
    <t>Приход (карта Эдик)</t>
  </si>
  <si>
    <t>Расход (карта Эдик)</t>
  </si>
  <si>
    <t>Остаток на конец (карта Эдик)</t>
  </si>
  <si>
    <t>Остаток на начало (карта Аня)</t>
  </si>
  <si>
    <t>Приход (карта Аня)</t>
  </si>
  <si>
    <t>Расход (карта Аня)</t>
  </si>
  <si>
    <t>Остаток на конец (карта Аня)</t>
  </si>
  <si>
    <t>Остаток на начало (другое)</t>
  </si>
  <si>
    <t>Приход (другое)</t>
  </si>
  <si>
    <t>Расход (другое)</t>
  </si>
  <si>
    <t>Остаток на конец (другое)</t>
  </si>
  <si>
    <t xml:space="preserve"> в 16:26:28</t>
  </si>
  <si>
    <t>Артур Итог</t>
  </si>
  <si>
    <t>Бахрум Итог</t>
  </si>
  <si>
    <t>Джонни Итог</t>
  </si>
  <si>
    <t>Коляны Итог</t>
  </si>
  <si>
    <t>Руслан бутовщик Итог</t>
  </si>
  <si>
    <t>Остаток Касса</t>
  </si>
  <si>
    <t>Остаток Карта Эдик</t>
  </si>
  <si>
    <t>Total</t>
  </si>
  <si>
    <t>Всего по видам платежа</t>
  </si>
  <si>
    <t>Газ</t>
  </si>
  <si>
    <t>Бетон</t>
  </si>
  <si>
    <t xml:space="preserve">Арматура </t>
  </si>
  <si>
    <t>Бут</t>
  </si>
  <si>
    <t>Вывоз мусора</t>
  </si>
  <si>
    <t>Вывоз мусора мал. дом</t>
  </si>
  <si>
    <t>Аванс техника</t>
  </si>
  <si>
    <t>Доставка арматуры</t>
  </si>
  <si>
    <t>Доставкка Технониколь</t>
  </si>
  <si>
    <t>Доставка бут</t>
  </si>
  <si>
    <t>Камни для шлифовки</t>
  </si>
  <si>
    <t>Манипулятор доставка арматуры</t>
  </si>
  <si>
    <t>Манирулятор</t>
  </si>
  <si>
    <t>Обработка собак</t>
  </si>
  <si>
    <t>Миксер</t>
  </si>
  <si>
    <t>На машину</t>
  </si>
  <si>
    <t>Массаж Аня,Артур, Макс</t>
  </si>
  <si>
    <t>Налог Антон</t>
  </si>
  <si>
    <t>Массаж Аня, Макс, Артур</t>
  </si>
  <si>
    <t>Техника</t>
  </si>
  <si>
    <t>Перевод на карту Ани</t>
  </si>
  <si>
    <t>Продукты</t>
  </si>
  <si>
    <t>Перевод на карту Макс</t>
  </si>
  <si>
    <t>Пиво ИИ</t>
  </si>
  <si>
    <t>Топливо</t>
  </si>
  <si>
    <t>Уборка дома</t>
  </si>
  <si>
    <t>Перевоз патио манипулятор</t>
  </si>
  <si>
    <t>Ремонт автобуса</t>
  </si>
  <si>
    <t>Налог Аня</t>
  </si>
  <si>
    <t>Налог Эдик</t>
  </si>
  <si>
    <t>Перевоз вагончиков манипулятор</t>
  </si>
  <si>
    <t>Расходники</t>
  </si>
  <si>
    <t>Топливо Антон</t>
  </si>
  <si>
    <t>Вид платежа по объекту</t>
  </si>
  <si>
    <t>(выберите вид платежа)</t>
  </si>
  <si>
    <t>(выберите платеж и объект)</t>
  </si>
  <si>
    <t>Платежи разнесены 02.09.2023</t>
  </si>
  <si>
    <t>Зарплата готова для объекта  02.09.2023</t>
  </si>
  <si>
    <t>Зарплата готова для объекта КП офис 02.09.2023</t>
  </si>
  <si>
    <t>Зарплата готова 02.09.2023</t>
  </si>
  <si>
    <t>Зарплата готова для всех конечных получателей 02.09.2023</t>
  </si>
  <si>
    <t>Все платежи</t>
  </si>
  <si>
    <t>По видам платежа:</t>
  </si>
  <si>
    <t>Всего0</t>
  </si>
  <si>
    <t xml:space="preserve"> в 17:24:31</t>
  </si>
  <si>
    <t xml:space="preserve"> в 17:24:34</t>
  </si>
  <si>
    <t xml:space="preserve"> в 18:21:30</t>
  </si>
  <si>
    <t xml:space="preserve"> в 18:21:32</t>
  </si>
  <si>
    <t>Зарплата готова для объекта Макс 02.09.2023</t>
  </si>
  <si>
    <t xml:space="preserve"> в 18:21:34</t>
  </si>
  <si>
    <t xml:space="preserve"> в 18:21:37</t>
  </si>
  <si>
    <t xml:space="preserve"> в 18:22:53</t>
  </si>
  <si>
    <t xml:space="preserve"> в 18:22:59</t>
  </si>
  <si>
    <t xml:space="preserve"> в 18:23:05</t>
  </si>
  <si>
    <t xml:space="preserve"> в 18:23:13</t>
  </si>
  <si>
    <t xml:space="preserve"> в 18:23:41</t>
  </si>
  <si>
    <t>(все платежи в хронологическом порядке)</t>
  </si>
  <si>
    <t>Инструкция</t>
  </si>
  <si>
    <t>В справочниках не надо оставлять пустые строки, они должны быть отсотрированы по алфавиту</t>
  </si>
  <si>
    <t>Вводить данные на листе "Учет"</t>
  </si>
  <si>
    <t>Выбрать "Объект", "Получатель", "Откуда списаны ДС". Если затрудняетесь с выбором, укжите "Другое", "Прочее".</t>
  </si>
  <si>
    <t>Сначала выбрать "Вид платежа", потом введите "Уточнение платежа" (уже свободным текстом)</t>
  </si>
  <si>
    <t>Платежи разнесены 15.09.2023</t>
  </si>
  <si>
    <t xml:space="preserve"> в 11:28:09</t>
  </si>
  <si>
    <t>Пока не появилось сообщение "Готово", не нажимайте ничего - идет расчет. Эксель считает не так уж быстро.</t>
  </si>
  <si>
    <t>Нужны еще данные для тестирования этой программы. Наверняка вылезут ошибки. Жду Ваших комментариев и пожеланий.</t>
  </si>
  <si>
    <t>Имя файла менять можно, названия листов - нет</t>
  </si>
  <si>
    <t>Ввод</t>
  </si>
  <si>
    <t>Для получения отчета на Обложке выберите нужные параметры (даты начала и конца выборки, объекты и пр), затем нажмите соответствующую кнопку.</t>
  </si>
  <si>
    <t>Получение отчетов, итогов</t>
  </si>
  <si>
    <t>Итоги по сводным таблицам: выберите нужны параметры, нажмите "Обновить"</t>
  </si>
  <si>
    <t>Статус, выполненные действия</t>
  </si>
  <si>
    <t>По получателю Макс в указанный период зп отсутствует</t>
  </si>
  <si>
    <t>Зарплата готова для объекта Макс 15.09.2023</t>
  </si>
  <si>
    <t xml:space="preserve"> в 11:33:25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</si>
</sst>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_ ;[Red]\-#,##0.00\ "/>
    <numFmt numFmtId="165" formatCode="[$-419]d\ mmm\ yy;@"/>
  </numFmts>
  <fonts count="39" x14ac:knownFonts="1">
    <font>
      <sz val="11"/>
      <color theme="1"/>
      <name val="Calibri"/>
      <family val="2"/>
      <charset val="204"/>
      <scheme val="minor"/>
    </font>
    <font>
      <sz val="11"/>
      <color rgb="FF0000CC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sz val="11"/>
      <color theme="9" tint="-0.499984740745262"/>
      <name val="Calibri"/>
      <family val="2"/>
      <charset val="204"/>
      <scheme val="minor"/>
    </font>
    <font>
      <sz val="11"/>
      <color rgb="FF7030A0"/>
      <name val="Calibri"/>
      <family val="2"/>
      <charset val="204"/>
      <scheme val="minor"/>
    </font>
    <font>
      <b/>
      <sz val="16"/>
      <color rgb="FFC00000"/>
      <name val="Calibri"/>
      <family val="2"/>
      <charset val="204"/>
      <scheme val="minor"/>
    </font>
    <font>
      <b/>
      <sz val="11"/>
      <color rgb="FF0000CC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9" tint="-0.499984740745262"/>
      <name val="Calibri"/>
      <family val="2"/>
      <charset val="204"/>
      <scheme val="minor"/>
    </font>
    <font>
      <b/>
      <sz val="11"/>
      <color rgb="FFC00000"/>
      <name val="Calibri"/>
      <family val="2"/>
      <charset val="204"/>
      <scheme val="minor"/>
    </font>
    <font>
      <b/>
      <sz val="11"/>
      <color rgb="FF7030A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color rgb="FF0000CC"/>
      <name val="Calibri"/>
      <family val="2"/>
      <charset val="204"/>
      <scheme val="minor"/>
    </font>
    <font>
      <b/>
      <sz val="9"/>
      <color rgb="FFC00000"/>
      <name val="Calibri"/>
      <family val="2"/>
      <charset val="204"/>
      <scheme val="minor"/>
    </font>
    <font>
      <sz val="9"/>
      <color rgb="FFC00000"/>
      <name val="Calibri"/>
      <family val="2"/>
      <charset val="204"/>
      <scheme val="minor"/>
    </font>
    <font>
      <b/>
      <sz val="12"/>
      <color rgb="FFC00000"/>
      <name val="Calibri"/>
      <family val="2"/>
      <charset val="204"/>
      <scheme val="minor"/>
    </font>
    <font>
      <b/>
      <i/>
      <sz val="11"/>
      <color rgb="FF0000FF"/>
      <name val="Calibri"/>
      <family val="2"/>
      <charset val="204"/>
      <scheme val="minor"/>
    </font>
    <font>
      <b/>
      <i/>
      <sz val="18"/>
      <color rgb="FFC00000"/>
      <name val="Calibri"/>
      <family val="2"/>
      <charset val="204"/>
      <scheme val="minor"/>
    </font>
    <font>
      <i/>
      <sz val="18"/>
      <color rgb="FFC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i/>
      <u/>
      <sz val="14"/>
      <color rgb="FFC00000"/>
      <name val="Calibri"/>
      <family val="2"/>
      <charset val="204"/>
      <scheme val="minor"/>
    </font>
    <font>
      <b/>
      <u/>
      <sz val="11"/>
      <color rgb="FF7030A0"/>
      <name val="Calibri"/>
      <family val="2"/>
      <charset val="204"/>
      <scheme val="minor"/>
    </font>
    <font>
      <i/>
      <sz val="11"/>
      <color rgb="FF7030A0"/>
      <name val="Calibri"/>
      <family val="2"/>
      <charset val="204"/>
      <scheme val="minor"/>
    </font>
    <font>
      <b/>
      <i/>
      <sz val="11"/>
      <color rgb="FFFF0000"/>
      <name val="Calibri"/>
      <family val="2"/>
      <charset val="204"/>
      <scheme val="minor"/>
    </font>
    <font>
      <i/>
      <sz val="8"/>
      <color rgb="FFFF0000"/>
      <name val="Calibri"/>
      <family val="2"/>
      <charset val="204"/>
      <scheme val="minor"/>
    </font>
    <font>
      <sz val="10"/>
      <color rgb="FFC0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u/>
      <sz val="11"/>
      <color rgb="FF0000CC"/>
      <name val="Calibri"/>
      <family val="2"/>
      <charset val="204"/>
      <scheme val="minor"/>
    </font>
    <font>
      <b/>
      <i/>
      <sz val="11"/>
      <color theme="9" tint="-0.499984740745262"/>
      <name val="Calibri"/>
      <family val="2"/>
      <charset val="204"/>
      <scheme val="minor"/>
    </font>
    <font>
      <b/>
      <i/>
      <sz val="10"/>
      <color theme="9" tint="-0.499984740745262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DF2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E1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DotDot">
        <color rgb="FFC00000"/>
      </left>
      <right/>
      <top style="mediumDashDotDot">
        <color rgb="FFC00000"/>
      </top>
      <bottom/>
      <diagonal/>
    </border>
    <border>
      <left/>
      <right/>
      <top style="mediumDashDotDot">
        <color rgb="FFC00000"/>
      </top>
      <bottom/>
      <diagonal/>
    </border>
    <border>
      <left/>
      <right style="mediumDashDotDot">
        <color rgb="FFC00000"/>
      </right>
      <top style="mediumDashDotDot">
        <color rgb="FFC00000"/>
      </top>
      <bottom/>
      <diagonal/>
    </border>
    <border>
      <left style="mediumDashDotDot">
        <color rgb="FFC00000"/>
      </left>
      <right/>
      <top/>
      <bottom/>
      <diagonal/>
    </border>
    <border>
      <left/>
      <right style="mediumDashDotDot">
        <color rgb="FFC00000"/>
      </right>
      <top/>
      <bottom/>
      <diagonal/>
    </border>
    <border>
      <left style="mediumDashDotDot">
        <color rgb="FFC00000"/>
      </left>
      <right/>
      <top/>
      <bottom style="mediumDashDotDot">
        <color rgb="FFC00000"/>
      </bottom>
      <diagonal/>
    </border>
    <border>
      <left/>
      <right/>
      <top/>
      <bottom style="mediumDashDotDot">
        <color rgb="FFC00000"/>
      </bottom>
      <diagonal/>
    </border>
    <border>
      <left/>
      <right style="mediumDashDotDot">
        <color rgb="FFC00000"/>
      </right>
      <top/>
      <bottom style="mediumDashDotDot">
        <color rgb="FFC00000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0000CC"/>
      </left>
      <right/>
      <top style="thin">
        <color rgb="FF0000CC"/>
      </top>
      <bottom style="thin">
        <color rgb="FF0000CC"/>
      </bottom>
      <diagonal/>
    </border>
    <border>
      <left/>
      <right/>
      <top style="thin">
        <color rgb="FF0000CC"/>
      </top>
      <bottom style="thin">
        <color rgb="FF0000CC"/>
      </bottom>
      <diagonal/>
    </border>
    <border>
      <left/>
      <right style="thin">
        <color rgb="FF0000CC"/>
      </right>
      <top style="thin">
        <color rgb="FF0000CC"/>
      </top>
      <bottom style="thin">
        <color rgb="FF0000CC"/>
      </bottom>
      <diagonal/>
    </border>
    <border>
      <left style="thin">
        <color rgb="FF0000FF"/>
      </left>
      <right/>
      <top style="thin">
        <color rgb="FF0000FF"/>
      </top>
      <bottom/>
      <diagonal/>
    </border>
    <border>
      <left/>
      <right/>
      <top style="thin">
        <color rgb="FF0000FF"/>
      </top>
      <bottom/>
      <diagonal/>
    </border>
    <border>
      <left/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/>
      <top/>
      <bottom/>
      <diagonal/>
    </border>
    <border>
      <left/>
      <right style="thin">
        <color rgb="FF0000FF"/>
      </right>
      <top/>
      <bottom/>
      <diagonal/>
    </border>
    <border>
      <left style="thin">
        <color rgb="FF0000FF"/>
      </left>
      <right/>
      <top/>
      <bottom style="thin">
        <color rgb="FF0000FF"/>
      </bottom>
      <diagonal/>
    </border>
    <border>
      <left/>
      <right/>
      <top/>
      <bottom style="thin">
        <color rgb="FF0000FF"/>
      </bottom>
      <diagonal/>
    </border>
    <border>
      <left/>
      <right style="thin">
        <color rgb="FF0000FF"/>
      </right>
      <top/>
      <bottom style="thin">
        <color rgb="FF0000FF"/>
      </bottom>
      <diagonal/>
    </border>
    <border>
      <left style="thin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  <border>
      <left/>
      <right/>
      <top style="thin">
        <color theme="9" tint="-0.499984740745262"/>
      </top>
      <bottom style="thin">
        <color theme="9" tint="-0.499984740745262"/>
      </bottom>
      <diagonal/>
    </border>
    <border>
      <left/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</borders>
  <cellStyleXfs count="1">
    <xf numFmtId="0" fontId="0" fillId="0" borderId="0"/>
  </cellStyleXfs>
  <cellXfs count="160">
    <xf numFmtId="0" fontId="0" fillId="0" borderId="0" xfId="0"/>
    <xf numFmtId="14" fontId="1" fillId="0" borderId="1" xfId="0" applyNumberFormat="1" applyFont="1" applyBorder="1" applyProtection="1">
      <protection locked="0"/>
    </xf>
    <xf numFmtId="0" fontId="2" fillId="2" borderId="1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164" fontId="0" fillId="4" borderId="1" xfId="0" applyNumberFormat="1" applyFill="1" applyBorder="1"/>
    <xf numFmtId="0" fontId="4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5" fillId="0" borderId="0" xfId="0" applyFont="1"/>
    <xf numFmtId="0" fontId="0" fillId="0" borderId="2" xfId="0" applyBorder="1" applyAlignment="1">
      <alignment horizontal="right"/>
    </xf>
    <xf numFmtId="14" fontId="6" fillId="0" borderId="2" xfId="0" applyNumberFormat="1" applyFont="1" applyBorder="1"/>
    <xf numFmtId="165" fontId="0" fillId="0" borderId="0" xfId="0" applyNumberFormat="1"/>
    <xf numFmtId="165" fontId="0" fillId="0" borderId="0" xfId="0" pivotButton="1" applyNumberFormat="1"/>
    <xf numFmtId="165" fontId="0" fillId="0" borderId="0" xfId="0" applyNumberFormat="1" applyAlignment="1">
      <alignment horizontal="left"/>
    </xf>
    <xf numFmtId="0" fontId="7" fillId="0" borderId="0" xfId="0" applyFont="1"/>
    <xf numFmtId="164" fontId="11" fillId="3" borderId="1" xfId="0" applyNumberFormat="1" applyFont="1" applyFill="1" applyBorder="1" applyProtection="1">
      <protection locked="0"/>
    </xf>
    <xf numFmtId="14" fontId="12" fillId="5" borderId="1" xfId="0" applyNumberFormat="1" applyFont="1" applyFill="1" applyBorder="1" applyProtection="1">
      <protection locked="0"/>
    </xf>
    <xf numFmtId="164" fontId="13" fillId="5" borderId="1" xfId="0" applyNumberFormat="1" applyFont="1" applyFill="1" applyBorder="1" applyProtection="1">
      <protection locked="0"/>
    </xf>
    <xf numFmtId="164" fontId="12" fillId="5" borderId="1" xfId="0" applyNumberFormat="1" applyFont="1" applyFill="1" applyBorder="1"/>
    <xf numFmtId="0" fontId="12" fillId="5" borderId="1" xfId="0" applyFont="1" applyFill="1" applyBorder="1" applyProtection="1">
      <protection locked="0"/>
    </xf>
    <xf numFmtId="0" fontId="11" fillId="0" borderId="0" xfId="0" applyFont="1"/>
    <xf numFmtId="14" fontId="6" fillId="0" borderId="1" xfId="0" applyNumberFormat="1" applyFont="1" applyBorder="1" applyAlignment="1" applyProtection="1">
      <alignment horizontal="center" vertical="center" wrapText="1"/>
      <protection locked="0"/>
    </xf>
    <xf numFmtId="164" fontId="7" fillId="4" borderId="1" xfId="0" applyNumberFormat="1" applyFont="1" applyFill="1" applyBorder="1" applyAlignment="1">
      <alignment horizontal="center" vertical="center" wrapText="1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9" fillId="2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164" fontId="7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>
      <alignment horizontal="right"/>
    </xf>
    <xf numFmtId="0" fontId="14" fillId="0" borderId="0" xfId="0" applyFont="1"/>
    <xf numFmtId="164" fontId="7" fillId="4" borderId="1" xfId="0" applyNumberFormat="1" applyFont="1" applyFill="1" applyBorder="1"/>
    <xf numFmtId="164" fontId="7" fillId="0" borderId="0" xfId="0" applyNumberFormat="1" applyFont="1"/>
    <xf numFmtId="0" fontId="15" fillId="0" borderId="0" xfId="0" applyFont="1"/>
    <xf numFmtId="0" fontId="15" fillId="0" borderId="0" xfId="0" pivotButton="1" applyFont="1"/>
    <xf numFmtId="0" fontId="15" fillId="0" borderId="0" xfId="0" applyFont="1" applyAlignment="1">
      <alignment horizontal="left"/>
    </xf>
    <xf numFmtId="14" fontId="0" fillId="0" borderId="0" xfId="0" applyNumberFormat="1" applyProtection="1">
      <protection locked="0"/>
    </xf>
    <xf numFmtId="0" fontId="11" fillId="0" borderId="0" xfId="0" applyFont="1" applyProtection="1">
      <protection locked="0"/>
    </xf>
    <xf numFmtId="0" fontId="0" fillId="0" borderId="0" xfId="0" applyProtection="1">
      <protection locked="0"/>
    </xf>
    <xf numFmtId="0" fontId="16" fillId="0" borderId="0" xfId="0" applyFont="1"/>
    <xf numFmtId="0" fontId="7" fillId="0" borderId="0" xfId="0" applyFont="1" applyAlignment="1">
      <alignment wrapText="1"/>
    </xf>
    <xf numFmtId="164" fontId="7" fillId="4" borderId="1" xfId="0" applyNumberFormat="1" applyFont="1" applyFill="1" applyBorder="1" applyAlignment="1" applyProtection="1">
      <alignment horizontal="center" vertical="center" wrapText="1"/>
    </xf>
    <xf numFmtId="164" fontId="0" fillId="4" borderId="1" xfId="0" applyNumberFormat="1" applyFill="1" applyBorder="1" applyProtection="1"/>
    <xf numFmtId="164" fontId="0" fillId="0" borderId="0" xfId="0" applyNumberFormat="1" applyProtection="1"/>
    <xf numFmtId="164" fontId="12" fillId="7" borderId="1" xfId="0" applyNumberFormat="1" applyFont="1" applyFill="1" applyBorder="1" applyProtection="1"/>
    <xf numFmtId="164" fontId="18" fillId="6" borderId="1" xfId="0" applyNumberFormat="1" applyFont="1" applyFill="1" applyBorder="1" applyAlignment="1" applyProtection="1">
      <alignment horizontal="center" vertical="center" wrapText="1"/>
    </xf>
    <xf numFmtId="164" fontId="18" fillId="7" borderId="1" xfId="0" applyNumberFormat="1" applyFont="1" applyFill="1" applyBorder="1" applyProtection="1"/>
    <xf numFmtId="164" fontId="19" fillId="6" borderId="1" xfId="0" applyNumberFormat="1" applyFont="1" applyFill="1" applyBorder="1" applyProtection="1"/>
    <xf numFmtId="164" fontId="19" fillId="6" borderId="0" xfId="0" applyNumberFormat="1" applyFont="1" applyFill="1" applyProtection="1"/>
    <xf numFmtId="0" fontId="20" fillId="0" borderId="0" xfId="0" applyFont="1"/>
    <xf numFmtId="0" fontId="0" fillId="0" borderId="0" xfId="0" applyFont="1" applyAlignment="1"/>
    <xf numFmtId="0" fontId="0" fillId="0" borderId="0" xfId="0" applyFont="1" applyAlignment="1">
      <alignment wrapText="1"/>
    </xf>
    <xf numFmtId="0" fontId="0" fillId="0" borderId="0" xfId="0" applyFont="1"/>
    <xf numFmtId="0" fontId="16" fillId="0" borderId="0" xfId="0" applyFont="1" applyAlignment="1">
      <alignment horizontal="right"/>
    </xf>
    <xf numFmtId="164" fontId="7" fillId="7" borderId="1" xfId="0" applyNumberFormat="1" applyFont="1" applyFill="1" applyBorder="1" applyAlignment="1" applyProtection="1">
      <alignment horizontal="center" vertical="center" wrapText="1"/>
    </xf>
    <xf numFmtId="164" fontId="0" fillId="7" borderId="0" xfId="0" applyNumberFormat="1" applyFill="1" applyProtection="1"/>
    <xf numFmtId="0" fontId="0" fillId="0" borderId="0" xfId="0" applyBorder="1"/>
    <xf numFmtId="0" fontId="0" fillId="0" borderId="0" xfId="0" applyFill="1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0" borderId="0" xfId="0" applyFont="1" applyBorder="1"/>
    <xf numFmtId="0" fontId="6" fillId="0" borderId="0" xfId="0" applyFont="1"/>
    <xf numFmtId="0" fontId="21" fillId="0" borderId="0" xfId="0" applyFont="1" applyBorder="1"/>
    <xf numFmtId="0" fontId="22" fillId="0" borderId="0" xfId="0" applyFont="1" applyBorder="1"/>
    <xf numFmtId="0" fontId="23" fillId="0" borderId="0" xfId="0" applyFont="1" applyBorder="1"/>
    <xf numFmtId="0" fontId="12" fillId="0" borderId="1" xfId="0" applyFont="1" applyBorder="1" applyAlignment="1" applyProtection="1">
      <alignment horizontal="center" vertical="center" wrapText="1"/>
      <protection locked="0"/>
    </xf>
    <xf numFmtId="0" fontId="24" fillId="0" borderId="1" xfId="0" applyFont="1" applyBorder="1" applyProtection="1">
      <protection locked="0"/>
    </xf>
    <xf numFmtId="0" fontId="24" fillId="0" borderId="0" xfId="0" applyFont="1" applyProtection="1">
      <protection locked="0"/>
    </xf>
    <xf numFmtId="14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25" fillId="0" borderId="0" xfId="0" applyFont="1" applyBorder="1"/>
    <xf numFmtId="14" fontId="21" fillId="0" borderId="0" xfId="0" applyNumberFormat="1" applyFont="1" applyBorder="1" applyAlignment="1">
      <alignment horizontal="center"/>
    </xf>
    <xf numFmtId="14" fontId="1" fillId="0" borderId="0" xfId="0" applyNumberFormat="1" applyFont="1"/>
    <xf numFmtId="164" fontId="2" fillId="0" borderId="0" xfId="0" applyNumberFormat="1" applyFont="1"/>
    <xf numFmtId="14" fontId="0" fillId="0" borderId="0" xfId="0" applyNumberFormat="1"/>
    <xf numFmtId="14" fontId="0" fillId="0" borderId="0" xfId="0" applyNumberFormat="1" applyAlignment="1">
      <alignment horizontal="left"/>
    </xf>
    <xf numFmtId="14" fontId="1" fillId="6" borderId="0" xfId="0" applyNumberFormat="1" applyFont="1" applyFill="1" applyAlignment="1">
      <alignment horizontal="center" wrapText="1"/>
    </xf>
    <xf numFmtId="164" fontId="2" fillId="6" borderId="0" xfId="0" applyNumberFormat="1" applyFont="1" applyFill="1" applyAlignment="1">
      <alignment horizontal="center" wrapText="1"/>
    </xf>
    <xf numFmtId="14" fontId="1" fillId="0" borderId="0" xfId="0" applyNumberFormat="1" applyFont="1" applyAlignment="1">
      <alignment horizontal="center"/>
    </xf>
    <xf numFmtId="0" fontId="26" fillId="0" borderId="0" xfId="0" applyFont="1"/>
    <xf numFmtId="0" fontId="4" fillId="0" borderId="0" xfId="0" applyFont="1"/>
    <xf numFmtId="0" fontId="27" fillId="0" borderId="0" xfId="0" applyFont="1"/>
    <xf numFmtId="0" fontId="28" fillId="0" borderId="0" xfId="0" applyFont="1" applyBorder="1"/>
    <xf numFmtId="14" fontId="29" fillId="0" borderId="0" xfId="0" applyNumberFormat="1" applyFont="1" applyBorder="1" applyAlignment="1">
      <alignment horizontal="left" vertical="top"/>
    </xf>
    <xf numFmtId="0" fontId="6" fillId="0" borderId="17" xfId="0" applyFont="1" applyBorder="1"/>
    <xf numFmtId="0" fontId="6" fillId="0" borderId="18" xfId="0" applyFont="1" applyBorder="1"/>
    <xf numFmtId="0" fontId="0" fillId="0" borderId="18" xfId="0" applyBorder="1"/>
    <xf numFmtId="14" fontId="0" fillId="0" borderId="18" xfId="0" applyNumberFormat="1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6" fillId="0" borderId="20" xfId="0" applyFont="1" applyBorder="1"/>
    <xf numFmtId="0" fontId="0" fillId="0" borderId="21" xfId="0" applyBorder="1" applyAlignment="1">
      <alignment horizontal="left"/>
    </xf>
    <xf numFmtId="0" fontId="6" fillId="0" borderId="22" xfId="0" applyFont="1" applyBorder="1"/>
    <xf numFmtId="0" fontId="6" fillId="0" borderId="23" xfId="0" applyFont="1" applyBorder="1"/>
    <xf numFmtId="0" fontId="0" fillId="0" borderId="23" xfId="0" applyBorder="1"/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14" fontId="0" fillId="0" borderId="23" xfId="0" applyNumberFormat="1" applyBorder="1" applyAlignment="1">
      <alignment horizontal="left"/>
    </xf>
    <xf numFmtId="0" fontId="0" fillId="0" borderId="24" xfId="0" applyBorder="1"/>
    <xf numFmtId="0" fontId="0" fillId="0" borderId="17" xfId="0" applyBorder="1" applyAlignment="1">
      <alignment horizontal="left"/>
    </xf>
    <xf numFmtId="0" fontId="0" fillId="0" borderId="19" xfId="0" applyBorder="1"/>
    <xf numFmtId="0" fontId="0" fillId="0" borderId="20" xfId="0" applyBorder="1" applyAlignment="1">
      <alignment horizontal="left"/>
    </xf>
    <xf numFmtId="0" fontId="0" fillId="0" borderId="21" xfId="0" applyBorder="1"/>
    <xf numFmtId="0" fontId="0" fillId="0" borderId="22" xfId="0" applyBorder="1" applyAlignment="1">
      <alignment horizontal="left"/>
    </xf>
    <xf numFmtId="14" fontId="29" fillId="0" borderId="0" xfId="0" applyNumberFormat="1" applyFont="1" applyBorder="1" applyAlignment="1">
      <alignment horizontal="left"/>
    </xf>
    <xf numFmtId="14" fontId="7" fillId="0" borderId="0" xfId="0" applyNumberFormat="1" applyFont="1"/>
    <xf numFmtId="164" fontId="15" fillId="0" borderId="0" xfId="0" applyNumberFormat="1" applyFont="1"/>
    <xf numFmtId="0" fontId="11" fillId="0" borderId="0" xfId="0" applyFont="1" applyFill="1"/>
    <xf numFmtId="0" fontId="0" fillId="0" borderId="0" xfId="0" applyFont="1" applyFill="1"/>
    <xf numFmtId="14" fontId="32" fillId="0" borderId="0" xfId="0" applyNumberFormat="1" applyFont="1" applyFill="1" applyAlignment="1">
      <alignment horizontal="left"/>
    </xf>
    <xf numFmtId="164" fontId="0" fillId="0" borderId="0" xfId="0" applyNumberFormat="1" applyFont="1" applyFill="1" applyProtection="1"/>
    <xf numFmtId="164" fontId="19" fillId="0" borderId="0" xfId="0" applyNumberFormat="1" applyFont="1" applyFill="1" applyProtection="1"/>
    <xf numFmtId="14" fontId="31" fillId="0" borderId="0" xfId="0" applyNumberFormat="1" applyFont="1" applyFill="1" applyBorder="1" applyAlignment="1" applyProtection="1">
      <alignment horizontal="left"/>
      <protection locked="0"/>
    </xf>
    <xf numFmtId="164" fontId="24" fillId="0" borderId="0" xfId="0" applyNumberFormat="1" applyFont="1" applyFill="1" applyBorder="1" applyProtection="1"/>
    <xf numFmtId="164" fontId="19" fillId="0" borderId="0" xfId="0" applyNumberFormat="1" applyFont="1" applyFill="1" applyBorder="1" applyProtection="1"/>
    <xf numFmtId="14" fontId="32" fillId="0" borderId="0" xfId="0" applyNumberFormat="1" applyFont="1" applyFill="1" applyBorder="1" applyAlignment="1">
      <alignment horizontal="left"/>
    </xf>
    <xf numFmtId="164" fontId="0" fillId="0" borderId="0" xfId="0" applyNumberFormat="1" applyFont="1" applyFill="1" applyBorder="1" applyProtection="1"/>
    <xf numFmtId="14" fontId="13" fillId="0" borderId="0" xfId="0" applyNumberFormat="1" applyFont="1" applyFill="1" applyBorder="1" applyAlignment="1" applyProtection="1">
      <alignment horizontal="left"/>
      <protection locked="0"/>
    </xf>
    <xf numFmtId="14" fontId="11" fillId="0" borderId="0" xfId="0" applyNumberFormat="1" applyFont="1" applyFill="1" applyAlignment="1">
      <alignment horizontal="left"/>
    </xf>
    <xf numFmtId="14" fontId="11" fillId="0" borderId="0" xfId="0" applyNumberFormat="1" applyFont="1" applyFill="1" applyBorder="1" applyAlignment="1">
      <alignment horizontal="left"/>
    </xf>
    <xf numFmtId="14" fontId="17" fillId="6" borderId="1" xfId="0" applyNumberFormat="1" applyFont="1" applyFill="1" applyBorder="1" applyAlignment="1" applyProtection="1">
      <alignment horizontal="center" vertical="center" wrapText="1"/>
      <protection locked="0"/>
    </xf>
    <xf numFmtId="164" fontId="11" fillId="8" borderId="1" xfId="0" applyNumberFormat="1" applyFont="1" applyFill="1" applyBorder="1" applyAlignment="1" applyProtection="1">
      <alignment horizontal="center" vertical="center" wrapText="1"/>
    </xf>
    <xf numFmtId="164" fontId="30" fillId="3" borderId="1" xfId="0" applyNumberFormat="1" applyFont="1" applyFill="1" applyBorder="1" applyAlignment="1" applyProtection="1">
      <alignment horizontal="center" vertical="center" wrapText="1"/>
    </xf>
    <xf numFmtId="164" fontId="11" fillId="9" borderId="1" xfId="0" applyNumberFormat="1" applyFont="1" applyFill="1" applyBorder="1" applyAlignment="1" applyProtection="1">
      <alignment horizontal="center" vertical="center" wrapText="1"/>
    </xf>
    <xf numFmtId="0" fontId="0" fillId="0" borderId="0" xfId="0" applyFont="1" applyAlignment="1">
      <alignment horizontal="left"/>
    </xf>
    <xf numFmtId="14" fontId="0" fillId="0" borderId="0" xfId="0" applyNumberFormat="1" applyFont="1"/>
    <xf numFmtId="0" fontId="33" fillId="0" borderId="0" xfId="0" applyFont="1" applyBorder="1"/>
    <xf numFmtId="0" fontId="0" fillId="6" borderId="0" xfId="0" applyFont="1" applyFill="1" applyAlignment="1">
      <alignment horizontal="center" wrapText="1"/>
    </xf>
    <xf numFmtId="0" fontId="0" fillId="10" borderId="0" xfId="0" applyFill="1"/>
    <xf numFmtId="0" fontId="34" fillId="0" borderId="18" xfId="0" applyFont="1" applyBorder="1"/>
    <xf numFmtId="0" fontId="35" fillId="0" borderId="0" xfId="0" applyFont="1" applyBorder="1" applyAlignment="1">
      <alignment horizontal="left"/>
    </xf>
    <xf numFmtId="0" fontId="28" fillId="0" borderId="18" xfId="0" applyFont="1" applyBorder="1"/>
    <xf numFmtId="0" fontId="28" fillId="0" borderId="7" xfId="0" applyFont="1" applyBorder="1"/>
    <xf numFmtId="0" fontId="28" fillId="0" borderId="9" xfId="0" applyFont="1" applyBorder="1"/>
    <xf numFmtId="0" fontId="28" fillId="0" borderId="10" xfId="0" applyFont="1" applyBorder="1"/>
    <xf numFmtId="0" fontId="36" fillId="0" borderId="0" xfId="0" applyFont="1" applyBorder="1" applyAlignment="1">
      <alignment horizontal="left"/>
    </xf>
    <xf numFmtId="0" fontId="0" fillId="4" borderId="14" xfId="0" applyFill="1" applyBorder="1" applyAlignment="1">
      <alignment horizontal="left"/>
    </xf>
    <xf numFmtId="0" fontId="0" fillId="4" borderId="15" xfId="0" applyFill="1" applyBorder="1" applyAlignment="1">
      <alignment horizontal="left"/>
    </xf>
    <xf numFmtId="0" fontId="0" fillId="4" borderId="16" xfId="0" applyFill="1" applyBorder="1" applyAlignment="1">
      <alignment horizontal="left"/>
    </xf>
    <xf numFmtId="14" fontId="21" fillId="6" borderId="11" xfId="0" applyNumberFormat="1" applyFont="1" applyFill="1" applyBorder="1" applyAlignment="1">
      <alignment horizontal="center"/>
    </xf>
    <xf numFmtId="14" fontId="21" fillId="6" borderId="12" xfId="0" applyNumberFormat="1" applyFont="1" applyFill="1" applyBorder="1" applyAlignment="1">
      <alignment horizontal="center"/>
    </xf>
    <xf numFmtId="14" fontId="21" fillId="6" borderId="13" xfId="0" applyNumberFormat="1" applyFont="1" applyFill="1" applyBorder="1" applyAlignment="1">
      <alignment horizontal="center"/>
    </xf>
    <xf numFmtId="14" fontId="21" fillId="4" borderId="25" xfId="0" applyNumberFormat="1" applyFont="1" applyFill="1" applyBorder="1" applyAlignment="1">
      <alignment horizontal="center"/>
    </xf>
    <xf numFmtId="14" fontId="21" fillId="4" borderId="26" xfId="0" applyNumberFormat="1" applyFont="1" applyFill="1" applyBorder="1" applyAlignment="1">
      <alignment horizontal="center"/>
    </xf>
    <xf numFmtId="14" fontId="21" fillId="4" borderId="27" xfId="0" applyNumberFormat="1" applyFont="1" applyFill="1" applyBorder="1" applyAlignment="1">
      <alignment horizontal="center"/>
    </xf>
    <xf numFmtId="0" fontId="7" fillId="10" borderId="0" xfId="0" applyFont="1" applyFill="1" applyAlignment="1">
      <alignment wrapText="1"/>
    </xf>
    <xf numFmtId="0" fontId="16" fillId="10" borderId="0" xfId="0" applyFont="1" applyFill="1" applyAlignment="1">
      <alignment horizontal="right"/>
    </xf>
    <xf numFmtId="0" fontId="0" fillId="10" borderId="0" xfId="0" applyFont="1" applyFill="1" applyAlignment="1"/>
    <xf numFmtId="0" fontId="0" fillId="10" borderId="0" xfId="0" applyFont="1" applyFill="1" applyAlignment="1">
      <alignment wrapText="1"/>
    </xf>
    <xf numFmtId="0" fontId="7" fillId="10" borderId="0" xfId="0" applyFont="1" applyFill="1"/>
    <xf numFmtId="0" fontId="0" fillId="10" borderId="0" xfId="0" applyFont="1" applyFill="1"/>
    <xf numFmtId="0" fontId="37" fillId="10" borderId="0" xfId="0" applyFont="1" applyFill="1"/>
    <xf numFmtId="0" fontId="38" fillId="10" borderId="0" xfId="0" applyFont="1" applyFill="1"/>
    <xf numFmtId="0" fontId="16" fillId="10" borderId="0" xfId="0" applyFont="1" applyFill="1"/>
  </cellXfs>
  <cellStyles count="1">
    <cellStyle name="Обычный" xfId="0" builtinId="0"/>
  </cellStyles>
  <dxfs count="35">
    <dxf>
      <numFmt numFmtId="164" formatCode="#,##0.00_ ;[Red]\-#,##0.00\ "/>
    </dxf>
    <dxf>
      <numFmt numFmtId="164" formatCode="#,##0.00_ ;[Red]\-#,##0.00\ "/>
    </dxf>
    <dxf>
      <numFmt numFmtId="165" formatCode="[$-419]d\ mmm\ yy;@"/>
    </dxf>
    <dxf>
      <numFmt numFmtId="165" formatCode="[$-419]d\ mmm\ yy;@"/>
    </dxf>
    <dxf>
      <numFmt numFmtId="164" formatCode="#,##0.00_ ;[Red]\-#,##0.00\ "/>
    </dxf>
    <dxf>
      <numFmt numFmtId="164" formatCode="#,##0.00_ ;[Red]\-#,##0.00\ "/>
    </dxf>
    <dxf>
      <numFmt numFmtId="165" formatCode="[$-419]d\ mmm\ yy;@"/>
    </dxf>
    <dxf>
      <numFmt numFmtId="165" formatCode="[$-419]d\ mmm\ yy;@"/>
    </dxf>
    <dxf>
      <numFmt numFmtId="164" formatCode="#,##0.00_ ;[Red]\-#,##0.00\ "/>
    </dxf>
    <dxf>
      <numFmt numFmtId="164" formatCode="#,##0.00_ ;[Red]\-#,##0.00\ "/>
    </dxf>
    <dxf>
      <numFmt numFmtId="165" formatCode="[$-419]d\ mmm\ yy;@"/>
    </dxf>
    <dxf>
      <numFmt numFmtId="165" formatCode="[$-419]d\ mmm\ yy;@"/>
    </dxf>
    <dxf>
      <numFmt numFmtId="165" formatCode="[$-419]d\ mmm\ yy;@"/>
    </dxf>
    <dxf>
      <numFmt numFmtId="19" formatCode="dd/mm/yyyy"/>
    </dxf>
    <dxf>
      <numFmt numFmtId="164" formatCode="#,##0.00_ ;[Red]\-#,##0.00\ "/>
    </dxf>
    <dxf>
      <numFmt numFmtId="164" formatCode="#,##0.00_ ;[Red]\-#,##0.00\ "/>
    </dxf>
    <dxf>
      <numFmt numFmtId="165" formatCode="[$-419]d\ mmm\ yy;@"/>
    </dxf>
    <dxf>
      <numFmt numFmtId="165" formatCode="[$-419]d\ mmm\ yy;@"/>
    </dxf>
    <dxf>
      <numFmt numFmtId="165" formatCode="[$-419]d\ mmm\ yy;@"/>
    </dxf>
    <dxf>
      <numFmt numFmtId="19" formatCode="dd/mm/yyyy"/>
    </dxf>
    <dxf>
      <numFmt numFmtId="164" formatCode="#,##0.00_ ;[Red]\-#,##0.00\ "/>
    </dxf>
    <dxf>
      <numFmt numFmtId="164" formatCode="#,##0.00_ ;[Red]\-#,##0.00\ "/>
    </dxf>
    <dxf>
      <numFmt numFmtId="165" formatCode="[$-419]d\ mmm\ yy;@"/>
    </dxf>
    <dxf>
      <numFmt numFmtId="165" formatCode="[$-419]d\ mmm\ yy;@"/>
    </dxf>
    <dxf>
      <numFmt numFmtId="164" formatCode="#,##0.00_ ;[Red]\-#,##0.00\ "/>
    </dxf>
    <dxf>
      <numFmt numFmtId="164" formatCode="#,##0.00_ ;[Red]\-#,##0.00\ "/>
    </dxf>
    <dxf>
      <numFmt numFmtId="164" formatCode="#,##0.00_ ;[Red]\-#,##0.00\ "/>
    </dxf>
    <dxf>
      <numFmt numFmtId="164" formatCode="#,##0.00_ ;[Red]\-#,##0.00\ "/>
    </dxf>
    <dxf>
      <numFmt numFmtId="164" formatCode="#,##0.00_ ;[Red]\-#,##0.00\ 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</dxfs>
  <tableStyles count="0" defaultTableStyle="TableStyleMedium2" defaultPivotStyle="PivotStyleLight16"/>
  <colors>
    <mruColors>
      <color rgb="FF0000CC"/>
      <color rgb="FF99FF99"/>
      <color rgb="FFFFFFCC"/>
      <color rgb="FFCCFFCC"/>
      <color rgb="FFCCFFFF"/>
      <color rgb="FF0000FF"/>
      <color rgb="FFFFE1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47625</xdr:colOff>
      <xdr:row>14</xdr:row>
      <xdr:rowOff>161925</xdr:rowOff>
    </xdr:from>
    <xdr:to>
      <xdr:col>33</xdr:col>
      <xdr:colOff>95250</xdr:colOff>
      <xdr:row>16</xdr:row>
      <xdr:rowOff>85725</xdr:rowOff>
    </xdr:to>
    <xdr:sp macro="[0]!Money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48200" y="2924175"/>
          <a:ext cx="695325" cy="32385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rgbClr val="0000CC"/>
              </a:solidFill>
            </a:rPr>
            <a:t>ДС</a:t>
          </a:r>
        </a:p>
      </xdr:txBody>
    </xdr:sp>
    <xdr:clientData/>
  </xdr:twoCellAnchor>
  <xdr:twoCellAnchor>
    <xdr:from>
      <xdr:col>29</xdr:col>
      <xdr:colOff>9525</xdr:colOff>
      <xdr:row>18</xdr:row>
      <xdr:rowOff>38100</xdr:rowOff>
    </xdr:from>
    <xdr:to>
      <xdr:col>35</xdr:col>
      <xdr:colOff>28575</xdr:colOff>
      <xdr:row>20</xdr:row>
      <xdr:rowOff>0</xdr:rowOff>
    </xdr:to>
    <xdr:sp macro="[0]!Salary" textlink="">
      <xdr:nvSpPr>
        <xdr:cNvPr id="11" name="Скругленный прямоугольни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610100" y="3600450"/>
          <a:ext cx="990600" cy="361950"/>
        </a:xfrm>
        <a:prstGeom prst="roundRect">
          <a:avLst/>
        </a:prstGeom>
        <a:solidFill>
          <a:srgbClr val="99FF99"/>
        </a:solidFill>
        <a:ln>
          <a:solidFill>
            <a:schemeClr val="accent6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rgbClr val="0000CC"/>
              </a:solidFill>
            </a:rPr>
            <a:t>ЗП вся</a:t>
          </a:r>
        </a:p>
      </xdr:txBody>
    </xdr:sp>
    <xdr:clientData/>
  </xdr:twoCellAnchor>
  <xdr:twoCellAnchor>
    <xdr:from>
      <xdr:col>29</xdr:col>
      <xdr:colOff>9525</xdr:colOff>
      <xdr:row>20</xdr:row>
      <xdr:rowOff>57149</xdr:rowOff>
    </xdr:from>
    <xdr:to>
      <xdr:col>35</xdr:col>
      <xdr:colOff>28575</xdr:colOff>
      <xdr:row>22</xdr:row>
      <xdr:rowOff>28575</xdr:rowOff>
    </xdr:to>
    <xdr:sp macro="[0]!Salary_object" textlink="">
      <xdr:nvSpPr>
        <xdr:cNvPr id="12" name="Скругленный прямоугольник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610100" y="4019549"/>
          <a:ext cx="990600" cy="371476"/>
        </a:xfrm>
        <a:prstGeom prst="roundRect">
          <a:avLst/>
        </a:prstGeom>
        <a:solidFill>
          <a:srgbClr val="99FF99"/>
        </a:solidFill>
        <a:ln>
          <a:solidFill>
            <a:schemeClr val="accent6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800" b="1">
              <a:solidFill>
                <a:srgbClr val="0000CC"/>
              </a:solidFill>
            </a:rPr>
            <a:t>ЗП по объектам</a:t>
          </a:r>
        </a:p>
      </xdr:txBody>
    </xdr:sp>
    <xdr:clientData/>
  </xdr:twoCellAnchor>
  <xdr:twoCellAnchor>
    <xdr:from>
      <xdr:col>29</xdr:col>
      <xdr:colOff>0</xdr:colOff>
      <xdr:row>22</xdr:row>
      <xdr:rowOff>85724</xdr:rowOff>
    </xdr:from>
    <xdr:to>
      <xdr:col>35</xdr:col>
      <xdr:colOff>38100</xdr:colOff>
      <xdr:row>24</xdr:row>
      <xdr:rowOff>95249</xdr:rowOff>
    </xdr:to>
    <xdr:sp macro="[0]!Salary_person" textlink="">
      <xdr:nvSpPr>
        <xdr:cNvPr id="13" name="Скругленный прямоугольни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600575" y="4448174"/>
          <a:ext cx="1009650" cy="409575"/>
        </a:xfrm>
        <a:prstGeom prst="roundRect">
          <a:avLst/>
        </a:prstGeom>
        <a:solidFill>
          <a:srgbClr val="99FF99"/>
        </a:solidFill>
        <a:ln>
          <a:solidFill>
            <a:schemeClr val="accent6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800" b="1">
              <a:solidFill>
                <a:srgbClr val="0000CC"/>
              </a:solidFill>
            </a:rPr>
            <a:t>ЗП по</a:t>
          </a:r>
          <a:r>
            <a:rPr lang="ru-RU" sz="800" b="1" baseline="0">
              <a:solidFill>
                <a:srgbClr val="0000CC"/>
              </a:solidFill>
            </a:rPr>
            <a:t> получателям</a:t>
          </a:r>
          <a:endParaRPr lang="ru-RU" sz="800" b="1">
            <a:solidFill>
              <a:srgbClr val="0000CC"/>
            </a:solidFill>
          </a:endParaRPr>
        </a:p>
      </xdr:txBody>
    </xdr:sp>
    <xdr:clientData/>
  </xdr:twoCellAnchor>
  <xdr:twoCellAnchor>
    <xdr:from>
      <xdr:col>29</xdr:col>
      <xdr:colOff>0</xdr:colOff>
      <xdr:row>24</xdr:row>
      <xdr:rowOff>142875</xdr:rowOff>
    </xdr:from>
    <xdr:to>
      <xdr:col>35</xdr:col>
      <xdr:colOff>19050</xdr:colOff>
      <xdr:row>26</xdr:row>
      <xdr:rowOff>123825</xdr:rowOff>
    </xdr:to>
    <xdr:sp macro="[0]!Salary_all_persons" textlink="">
      <xdr:nvSpPr>
        <xdr:cNvPr id="14" name="Скругленный прямоугольник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600575" y="4905375"/>
          <a:ext cx="990600" cy="381000"/>
        </a:xfrm>
        <a:prstGeom prst="roundRect">
          <a:avLst/>
        </a:prstGeom>
        <a:solidFill>
          <a:srgbClr val="99FF99"/>
        </a:solidFill>
        <a:ln>
          <a:solidFill>
            <a:schemeClr val="accent6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800" b="1">
              <a:solidFill>
                <a:srgbClr val="0000CC"/>
              </a:solidFill>
            </a:rPr>
            <a:t>ЗП кому назначено</a:t>
          </a:r>
        </a:p>
      </xdr:txBody>
    </xdr:sp>
    <xdr:clientData/>
  </xdr:twoCellAnchor>
  <xdr:twoCellAnchor>
    <xdr:from>
      <xdr:col>58</xdr:col>
      <xdr:colOff>133350</xdr:colOff>
      <xdr:row>24</xdr:row>
      <xdr:rowOff>57150</xdr:rowOff>
    </xdr:from>
    <xdr:to>
      <xdr:col>64</xdr:col>
      <xdr:colOff>152400</xdr:colOff>
      <xdr:row>26</xdr:row>
      <xdr:rowOff>38100</xdr:rowOff>
    </xdr:to>
    <xdr:sp macro="[0]!Plateji_type_object" textlink="">
      <xdr:nvSpPr>
        <xdr:cNvPr id="15" name="Скругленный прямоугольни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429750" y="4819650"/>
          <a:ext cx="990600" cy="381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800" b="1">
              <a:solidFill>
                <a:srgbClr val="0000CC"/>
              </a:solidFill>
            </a:rPr>
            <a:t>По виду</a:t>
          </a:r>
          <a:r>
            <a:rPr lang="ru-RU" sz="800" b="1" baseline="0">
              <a:solidFill>
                <a:srgbClr val="0000CC"/>
              </a:solidFill>
            </a:rPr>
            <a:t> и объекту</a:t>
          </a:r>
          <a:endParaRPr lang="ru-RU" sz="800" b="1">
            <a:solidFill>
              <a:srgbClr val="0000CC"/>
            </a:solidFill>
          </a:endParaRPr>
        </a:p>
      </xdr:txBody>
    </xdr:sp>
    <xdr:clientData/>
  </xdr:twoCellAnchor>
  <xdr:twoCellAnchor>
    <xdr:from>
      <xdr:col>58</xdr:col>
      <xdr:colOff>85725</xdr:colOff>
      <xdr:row>19</xdr:row>
      <xdr:rowOff>47625</xdr:rowOff>
    </xdr:from>
    <xdr:to>
      <xdr:col>64</xdr:col>
      <xdr:colOff>104775</xdr:colOff>
      <xdr:row>21</xdr:row>
      <xdr:rowOff>28575</xdr:rowOff>
    </xdr:to>
    <xdr:sp macro="[0]!Plateji_type" textlink="">
      <xdr:nvSpPr>
        <xdr:cNvPr id="16" name="Скругленный прямоугольник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382125" y="3810000"/>
          <a:ext cx="990600" cy="381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800" b="1">
              <a:solidFill>
                <a:srgbClr val="0000CC"/>
              </a:solidFill>
            </a:rPr>
            <a:t>Вид платежа</a:t>
          </a:r>
        </a:p>
      </xdr:txBody>
    </xdr:sp>
    <xdr:clientData/>
  </xdr:twoCellAnchor>
  <xdr:twoCellAnchor>
    <xdr:from>
      <xdr:col>58</xdr:col>
      <xdr:colOff>66675</xdr:colOff>
      <xdr:row>15</xdr:row>
      <xdr:rowOff>114300</xdr:rowOff>
    </xdr:from>
    <xdr:to>
      <xdr:col>64</xdr:col>
      <xdr:colOff>85725</xdr:colOff>
      <xdr:row>17</xdr:row>
      <xdr:rowOff>95250</xdr:rowOff>
    </xdr:to>
    <xdr:sp macro="[0]!Plateji" textlink="">
      <xdr:nvSpPr>
        <xdr:cNvPr id="17" name="Скругленный прямоугольни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9363075" y="3076575"/>
          <a:ext cx="990600" cy="381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800" b="1">
              <a:solidFill>
                <a:srgbClr val="0000CC"/>
              </a:solidFill>
            </a:rPr>
            <a:t>Все платежи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Рутковская Ольга Александровна" refreshedDate="45184.48153020833" createdVersion="7" refreshedVersion="7" minRefreshableVersion="3" recordCount="3504" xr:uid="{00000000-000A-0000-FFFF-FFFF7C050000}">
  <cacheSource type="worksheet">
    <worksheetSource ref="A1:P1048576" sheet="Учет"/>
  </cacheSource>
  <cacheFields count="21">
    <cacheField name="Дата" numFmtId="14">
      <sharedItems containsNonDate="0" containsDate="1" containsString="0" containsBlank="1" minDate="2023-08-02T00:00:00" maxDate="2023-08-24T00:00:00" count="19">
        <d v="2023-08-02T00:00:00"/>
        <d v="2023-08-03T00:00:00"/>
        <d v="2023-08-04T00:00:00"/>
        <d v="2023-08-05T00:00:00"/>
        <d v="2023-08-08T00:00:00"/>
        <d v="2023-08-09T00:00:00"/>
        <d v="2023-08-10T00:00:00"/>
        <d v="2023-08-11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m/>
      </sharedItems>
    </cacheField>
    <cacheField name="Приход касса" numFmtId="0">
      <sharedItems containsString="0" containsBlank="1" containsNumber="1" containsInteger="1" minValue="200000" maxValue="1000000"/>
    </cacheField>
    <cacheField name="Приход карта Макс" numFmtId="0">
      <sharedItems containsString="0" containsBlank="1" containsNumber="1" containsInteger="1" minValue="86855" maxValue="150000"/>
    </cacheField>
    <cacheField name="Приход карта Эдик" numFmtId="0">
      <sharedItems containsString="0" containsBlank="1" containsNumber="1" containsInteger="1" minValue="7855" maxValue="300000"/>
    </cacheField>
    <cacheField name="Приход карта Аня" numFmtId="0">
      <sharedItems containsString="0" containsBlank="1" containsNumber="1" containsInteger="1" minValue="100000" maxValue="100000"/>
    </cacheField>
    <cacheField name="Приход другое" numFmtId="0">
      <sharedItems containsString="0" containsBlank="1" containsNumber="1" containsInteger="1" minValue="500000" maxValue="500000"/>
    </cacheField>
    <cacheField name="Приход всего" numFmtId="0">
      <sharedItems containsString="0" containsBlank="1" containsNumber="1" containsInteger="1" minValue="0" maxValue="1000000"/>
    </cacheField>
    <cacheField name="Расход всего" numFmtId="0">
      <sharedItems containsString="0" containsBlank="1" containsNumber="1" minValue="419" maxValue="707750"/>
    </cacheField>
    <cacheField name="Остаток после операции" numFmtId="164">
      <sharedItems containsString="0" containsBlank="1" containsNumber="1" minValue="349526.07999999996" maxValue="1794355"/>
    </cacheField>
    <cacheField name="Сальдо на конец дня" numFmtId="164">
      <sharedItems containsBlank="1" containsMixedTypes="1" containsNumber="1" minValue="349526.07999999996" maxValue="1403205"/>
    </cacheField>
    <cacheField name="Вид платежа" numFmtId="0">
      <sharedItems containsBlank="1" count="94">
        <s v="остаток на начало"/>
        <s v="Услуга"/>
        <s v="Материал"/>
        <s v="ЗП"/>
        <s v="Прочее"/>
        <s v="Аренда оборудования"/>
        <s v="Внутреннее перемещение"/>
        <s v="Возврат ДС"/>
        <s v="Налог"/>
        <s v="Аванс"/>
        <m/>
        <s v="топливо Антон" u="1"/>
        <s v="Аня на карту расчеты" u="1"/>
        <s v="Макс электрик возврат" u="1"/>
        <s v="газ " u="1"/>
        <s v="Бахрум" u="1"/>
        <s v="Артур на машину" u="1"/>
        <s v="Бахрум Равиль КП" u="1"/>
        <s v="ЗП Жека" u="1"/>
        <s v="Антон топливо" u="1"/>
        <s v="доставкка Технониколь" u="1"/>
        <s v="Юра магазин" u="1"/>
        <s v="доставка бут" u="1"/>
        <s v="расходники" u="1"/>
        <s v="массаж" u="1"/>
        <s v="ЗП Артур" u="1"/>
        <s v="ЗП Илья " u="1"/>
        <s v="Джони аванс" u="1"/>
        <s v="газ" u="1"/>
        <s v="Илья дорога" u="1"/>
        <s v="массаж Аня, Макс, артур" u="1"/>
        <s v="обработка собак" u="1"/>
        <s v="бетон" u="1"/>
        <s v="ЗП Макс" u="1"/>
        <s v="Рустем JCB" u="1"/>
        <s v="ЗП Руслан " u="1"/>
        <s v="Мост" u="1"/>
        <s v="арматура " u="1"/>
        <s v="на машину" u="1"/>
        <s v="Джонни" u="1"/>
        <s v="ЗП Макс электрик" u="1"/>
        <s v="Антон ЗП" u="1"/>
        <s v="Саша Докуч" u="1"/>
        <s v="налог Антон" u="1"/>
        <s v="манирулятор" u="1"/>
        <s v="массаж Аня,Артур, Макс" u="1"/>
        <s v="техника" u="1"/>
        <s v="перевоз вагончиков манипулятор" u="1"/>
        <s v="уборка дома" u="1"/>
        <s v="доставка Технониколь" u="1"/>
        <s v="Жека ЗП" u="1"/>
        <s v="ЗП Джони" u="1"/>
        <s v="Илья плитка" u="1"/>
        <s v="Макс электрик" u="1"/>
        <s v="продукты" u="1"/>
        <s v="Коляны ЗП" u="1"/>
        <s v="ЗП Эдик" u="1"/>
        <s v="ЗП Илья" u="1"/>
        <s v="ремонт автобуса" u="1"/>
        <s v="камни для шлифовки" u="1"/>
        <s v=" " u="1"/>
        <s v="Руслан бут" u="1"/>
        <s v="топливо" u="1"/>
        <s v="ЗП Руслан" u="1"/>
        <s v="Эдик ЗП" u="1"/>
        <s v="ЗП Эдик Губернатор" u="1"/>
        <s v="бут" u="1"/>
        <s v="налог Аня" u="1"/>
        <s v="ЗП Алексей" u="1"/>
        <s v="карта Макс" u="1"/>
        <s v="Аня ЗП" u="1"/>
        <s v="ЗП Саша Докуч" u="1"/>
        <s v="обработка для собак" u="1"/>
        <s v="ЗП Джонни" u="1"/>
        <s v="ЗП Аня" u="1"/>
        <s v="ЗП Руслан бутовщик" u="1"/>
        <s v="доставка арматуры" u="1"/>
        <s v="перевод на карту Ани" u="1"/>
        <s v="манипулятор доставка арматуры" u="1"/>
        <s v="миксер" u="1"/>
        <s v="пиво ИИ" u="1"/>
        <s v="налог Эдик" u="1"/>
        <s v="Эдик Губернатор" u="1"/>
        <s v="перевод на карту Макс" u="1"/>
        <s v="ЗП Коляны" u="1"/>
        <s v="Массаж Аня,Макс, Артур" u="1"/>
        <s v="перевоз патио манипулятор" u="1"/>
        <s v="вывоз мусора" u="1"/>
        <s v="Артур ЗП" u="1"/>
        <s v="ЗП Антон" u="1"/>
        <s v="аванс техника" u="1"/>
        <s v="ЗП Бахрум" u="1"/>
        <s v="вывоз мусора мал. дом" u="1"/>
        <s v="Джонни заливка подбет" u="1"/>
      </sharedItems>
    </cacheField>
    <cacheField name="Уточнение платежа (кому , наим.материала или услуги и т.д.)" numFmtId="0">
      <sharedItems containsBlank="1" count="76">
        <m/>
        <s v="Доставка арматуры"/>
        <s v="Бут"/>
        <s v="Артур"/>
        <s v="Обработка собак"/>
        <s v="Техника"/>
        <s v="Бахрум"/>
        <s v="Массаж Аня, Макс, Артур"/>
        <s v="Миксер"/>
        <s v="Аня"/>
        <s v="Перевод на карту Ани"/>
        <s v="Продукты"/>
        <s v="Юра магазин"/>
        <s v="Бетон"/>
        <s v="Джонни"/>
        <s v="Перевод на карту Макс"/>
        <s v="Эдик Губернатор"/>
        <s v="Илья"/>
        <s v="Руслан "/>
        <s v="Пиво ИИ"/>
        <s v="Эдик"/>
        <s v="На машину"/>
        <s v="Топливо"/>
        <s v="Доставкка Технониколь"/>
        <s v="Коляны"/>
        <s v="Доставка бут"/>
        <s v="Антон"/>
        <s v="Саша Докуч"/>
        <s v="Алексей"/>
        <s v="Вывоз мусора"/>
        <s v="Массаж Аня,Артур, Макс"/>
        <s v="Макс электрик"/>
        <s v="Камни для шлифовки"/>
        <s v="Жека"/>
        <s v="Уборка дома"/>
        <s v="Перевоз патио манипулятор"/>
        <s v="Газ"/>
        <s v="Рустем JCB"/>
        <s v="Антон топливо"/>
        <s v="Ремонт автобуса"/>
        <s v="Массаж Аня,Макс, Артур"/>
        <s v="Вывоз мусора мал. дом"/>
        <s v="Макс"/>
        <s v="Макс электрик возврат"/>
        <s v="Налог Аня"/>
        <s v="Налог Эдик"/>
        <s v="Налог Антон"/>
        <s v="Манипулятор доставка арматуры"/>
        <s v="Манирулятор"/>
        <s v="Арматура "/>
        <s v="Перевоз вагончиков манипулятор"/>
        <s v="Расходники"/>
        <s v="Топливо Антон"/>
        <s v="Руслан бутовщик"/>
        <s v="Джони аванс"/>
        <s v="Аванс техника"/>
        <s v=" Саша Докуч" u="1"/>
        <s v="газ " u="1"/>
        <s v=" Эдик" u="1"/>
        <s v=" Руслан бутовщик" u="1"/>
        <s v=" Илья" u="1"/>
        <s v=" Антон" u="1"/>
        <s v=" Алексей" u="1"/>
        <s v=" Бахрум" u="1"/>
        <s v=" Джони" u="1"/>
        <s v=" Жека" u="1"/>
        <s v=" Илья " u="1"/>
        <s v=" Эдик Губернатор" u="1"/>
        <s v=" Коляны" u="1"/>
        <s v=" Артур" u="1"/>
        <s v=" Аня" u="1"/>
        <s v=" Джонни" u="1"/>
        <s v=" Руслан " u="1"/>
        <s v=" Макс" u="1"/>
        <s v=" Руслан" u="1"/>
        <s v=" Макс электрик" u="1"/>
      </sharedItems>
    </cacheField>
    <cacheField name="Объект" numFmtId="0">
      <sharedItems containsBlank="1" containsMixedTypes="1" containsNumber="1" containsInteger="1" minValue="7855" maxValue="300000" count="20">
        <s v="остаток на начало"/>
        <s v="Агаев"/>
        <s v="КП"/>
        <s v="ЗП"/>
        <s v="Анна"/>
        <s v="Равиль дом 1"/>
        <m/>
        <s v="Ольга"/>
        <s v="Равиль баня"/>
        <s v="Мост"/>
        <s v="Володя Бур"/>
        <s v="Равиль дом 2"/>
        <s v="Ник Ник"/>
        <s v="Ирина мед. Ушко"/>
        <s v="общие расходы"/>
        <s v="личные Макс"/>
        <s v="КП офис"/>
        <n v="190500" u="1"/>
        <n v="7855" u="1"/>
        <n v="300000" u="1"/>
      </sharedItems>
    </cacheField>
    <cacheField name="Получатель " numFmtId="0">
      <sharedItems containsBlank="1" count="8">
        <m/>
        <s v="Артур "/>
        <s v="Аня"/>
        <s v="Макс"/>
        <s v="ЗАЙМ"/>
        <s v="Эдик"/>
        <s v="Электрик М"/>
        <s v="Антон"/>
      </sharedItems>
    </cacheField>
    <cacheField name="Откуда списаны ДС" numFmtId="0">
      <sharedItems containsBlank="1" count="4">
        <m/>
        <s v="Касса"/>
        <s v="Карта Эдик"/>
        <s v="Карта Аня"/>
      </sharedItems>
    </cacheField>
    <cacheField name="Примечание" numFmtId="0">
      <sharedItems containsBlank="1" containsMixedTypes="1" containsNumber="1" containsInteger="1" minValue="100000" maxValue="100000" count="10">
        <m/>
        <s v="заливка подбетонки"/>
        <s v="плитка"/>
        <s v="бут"/>
        <s v="покраска, подшива"/>
        <s v="дорога"/>
        <s v="кровля"/>
        <s v="гидроизоляция"/>
        <s v="массаж"/>
        <n v="100000" u="1"/>
      </sharedItems>
    </cacheField>
    <cacheField name="Поле1" numFmtId="0" formula="#NAME?-#NAME?" databaseField="0"/>
    <cacheField name="Сальдо" numFmtId="0" formula="#NAME?-#NAME?" databaseField="0"/>
    <cacheField name="Ldb;tybt gj j,]trne" numFmtId="0" formula="#NAME?-#NAME?" databaseField="0"/>
    <cacheField name="Движение по объекту" numFmtId="0" formula="#NAME?-#NAME?" databaseField="0"/>
    <cacheField name="Движение2" numFmtId="0" formula="#NAME?-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4">
  <r>
    <x v="0"/>
    <n v="470000"/>
    <m/>
    <n v="7855"/>
    <m/>
    <m/>
    <n v="477855"/>
    <m/>
    <n v="477855"/>
    <n v="477855"/>
    <x v="0"/>
    <x v="0"/>
    <x v="0"/>
    <x v="0"/>
    <x v="0"/>
    <x v="0"/>
  </r>
  <r>
    <x v="1"/>
    <m/>
    <m/>
    <m/>
    <m/>
    <m/>
    <n v="0"/>
    <n v="11000"/>
    <n v="466855"/>
    <s v=""/>
    <x v="1"/>
    <x v="1"/>
    <x v="1"/>
    <x v="1"/>
    <x v="1"/>
    <x v="0"/>
  </r>
  <r>
    <x v="1"/>
    <m/>
    <m/>
    <m/>
    <m/>
    <m/>
    <n v="0"/>
    <n v="63000"/>
    <n v="403855"/>
    <s v=""/>
    <x v="2"/>
    <x v="2"/>
    <x v="2"/>
    <x v="1"/>
    <x v="1"/>
    <x v="0"/>
  </r>
  <r>
    <x v="1"/>
    <m/>
    <m/>
    <m/>
    <m/>
    <m/>
    <n v="0"/>
    <n v="17000"/>
    <n v="386855"/>
    <s v=""/>
    <x v="3"/>
    <x v="3"/>
    <x v="3"/>
    <x v="1"/>
    <x v="1"/>
    <x v="0"/>
  </r>
  <r>
    <x v="1"/>
    <n v="500000"/>
    <m/>
    <m/>
    <m/>
    <m/>
    <n v="500000"/>
    <m/>
    <n v="886855"/>
    <s v=""/>
    <x v="4"/>
    <x v="0"/>
    <x v="4"/>
    <x v="0"/>
    <x v="0"/>
    <x v="0"/>
  </r>
  <r>
    <x v="1"/>
    <m/>
    <m/>
    <m/>
    <m/>
    <m/>
    <n v="0"/>
    <n v="19000"/>
    <n v="867855"/>
    <s v=""/>
    <x v="1"/>
    <x v="4"/>
    <x v="3"/>
    <x v="2"/>
    <x v="1"/>
    <x v="0"/>
  </r>
  <r>
    <x v="1"/>
    <m/>
    <m/>
    <m/>
    <m/>
    <m/>
    <n v="0"/>
    <n v="71500"/>
    <n v="796355"/>
    <s v=""/>
    <x v="5"/>
    <x v="5"/>
    <x v="1"/>
    <x v="1"/>
    <x v="1"/>
    <x v="0"/>
  </r>
  <r>
    <x v="1"/>
    <m/>
    <m/>
    <m/>
    <m/>
    <m/>
    <n v="0"/>
    <n v="2000"/>
    <n v="794355"/>
    <n v="794355"/>
    <x v="3"/>
    <x v="6"/>
    <x v="5"/>
    <x v="1"/>
    <x v="1"/>
    <x v="0"/>
  </r>
  <r>
    <x v="2"/>
    <n v="1000000"/>
    <m/>
    <m/>
    <m/>
    <m/>
    <n v="1000000"/>
    <m/>
    <n v="1794355"/>
    <s v=""/>
    <x v="4"/>
    <x v="0"/>
    <x v="1"/>
    <x v="0"/>
    <x v="0"/>
    <x v="0"/>
  </r>
  <r>
    <x v="2"/>
    <m/>
    <m/>
    <m/>
    <m/>
    <m/>
    <n v="0"/>
    <n v="7000"/>
    <n v="1787355"/>
    <s v=""/>
    <x v="1"/>
    <x v="7"/>
    <x v="3"/>
    <x v="0"/>
    <x v="1"/>
    <x v="0"/>
  </r>
  <r>
    <x v="2"/>
    <m/>
    <m/>
    <m/>
    <m/>
    <m/>
    <n v="0"/>
    <n v="18000"/>
    <n v="1769355"/>
    <s v=""/>
    <x v="2"/>
    <x v="8"/>
    <x v="1"/>
    <x v="1"/>
    <x v="1"/>
    <x v="0"/>
  </r>
  <r>
    <x v="2"/>
    <m/>
    <m/>
    <m/>
    <m/>
    <m/>
    <n v="0"/>
    <n v="200000"/>
    <n v="1569355"/>
    <s v=""/>
    <x v="3"/>
    <x v="9"/>
    <x v="3"/>
    <x v="2"/>
    <x v="1"/>
    <x v="0"/>
  </r>
  <r>
    <x v="2"/>
    <m/>
    <m/>
    <m/>
    <n v="100000"/>
    <m/>
    <n v="100000"/>
    <n v="100000"/>
    <n v="1569355"/>
    <s v=""/>
    <x v="6"/>
    <x v="10"/>
    <x v="6"/>
    <x v="2"/>
    <x v="1"/>
    <x v="0"/>
  </r>
  <r>
    <x v="2"/>
    <m/>
    <m/>
    <m/>
    <m/>
    <m/>
    <n v="0"/>
    <n v="20000"/>
    <n v="1549355"/>
    <s v=""/>
    <x v="2"/>
    <x v="11"/>
    <x v="3"/>
    <x v="0"/>
    <x v="1"/>
    <x v="0"/>
  </r>
  <r>
    <x v="2"/>
    <m/>
    <m/>
    <m/>
    <m/>
    <m/>
    <n v="0"/>
    <n v="70000"/>
    <n v="1479355"/>
    <s v=""/>
    <x v="2"/>
    <x v="12"/>
    <x v="6"/>
    <x v="0"/>
    <x v="1"/>
    <x v="0"/>
  </r>
  <r>
    <x v="2"/>
    <m/>
    <m/>
    <m/>
    <m/>
    <m/>
    <n v="0"/>
    <n v="707750"/>
    <n v="771605"/>
    <s v=""/>
    <x v="2"/>
    <x v="13"/>
    <x v="1"/>
    <x v="1"/>
    <x v="1"/>
    <x v="0"/>
  </r>
  <r>
    <x v="2"/>
    <m/>
    <m/>
    <m/>
    <m/>
    <m/>
    <n v="0"/>
    <n v="6000"/>
    <n v="765605"/>
    <s v=""/>
    <x v="3"/>
    <x v="14"/>
    <x v="1"/>
    <x v="1"/>
    <x v="1"/>
    <x v="1"/>
  </r>
  <r>
    <x v="2"/>
    <m/>
    <m/>
    <n v="300000"/>
    <m/>
    <m/>
    <n v="300000"/>
    <m/>
    <n v="1065605"/>
    <n v="1065605"/>
    <x v="4"/>
    <x v="0"/>
    <x v="7"/>
    <x v="0"/>
    <x v="0"/>
    <x v="0"/>
  </r>
  <r>
    <x v="3"/>
    <m/>
    <n v="100000"/>
    <m/>
    <m/>
    <m/>
    <n v="100000"/>
    <n v="100000"/>
    <n v="1065605"/>
    <s v=""/>
    <x v="6"/>
    <x v="15"/>
    <x v="6"/>
    <x v="3"/>
    <x v="2"/>
    <x v="0"/>
  </r>
  <r>
    <x v="3"/>
    <m/>
    <m/>
    <m/>
    <m/>
    <m/>
    <n v="0"/>
    <n v="7000"/>
    <n v="1058605"/>
    <s v=""/>
    <x v="3"/>
    <x v="16"/>
    <x v="6"/>
    <x v="0"/>
    <x v="2"/>
    <x v="0"/>
  </r>
  <r>
    <x v="3"/>
    <m/>
    <m/>
    <m/>
    <m/>
    <m/>
    <n v="0"/>
    <n v="30000"/>
    <n v="1028605"/>
    <s v=""/>
    <x v="3"/>
    <x v="17"/>
    <x v="8"/>
    <x v="0"/>
    <x v="2"/>
    <x v="2"/>
  </r>
  <r>
    <x v="3"/>
    <m/>
    <m/>
    <m/>
    <m/>
    <m/>
    <n v="0"/>
    <n v="26000"/>
    <n v="1002605"/>
    <s v=""/>
    <x v="3"/>
    <x v="18"/>
    <x v="2"/>
    <x v="0"/>
    <x v="2"/>
    <x v="3"/>
  </r>
  <r>
    <x v="3"/>
    <m/>
    <m/>
    <m/>
    <m/>
    <m/>
    <n v="0"/>
    <n v="50000"/>
    <n v="952605"/>
    <s v=""/>
    <x v="4"/>
    <x v="0"/>
    <x v="9"/>
    <x v="4"/>
    <x v="2"/>
    <x v="0"/>
  </r>
  <r>
    <x v="3"/>
    <m/>
    <m/>
    <m/>
    <m/>
    <m/>
    <n v="0"/>
    <n v="1500"/>
    <n v="951105"/>
    <s v=""/>
    <x v="2"/>
    <x v="19"/>
    <x v="6"/>
    <x v="5"/>
    <x v="2"/>
    <x v="0"/>
  </r>
  <r>
    <x v="3"/>
    <m/>
    <m/>
    <m/>
    <m/>
    <m/>
    <n v="0"/>
    <n v="1500"/>
    <n v="949605"/>
    <s v=""/>
    <x v="3"/>
    <x v="20"/>
    <x v="6"/>
    <x v="5"/>
    <x v="2"/>
    <x v="0"/>
  </r>
  <r>
    <x v="3"/>
    <m/>
    <m/>
    <m/>
    <m/>
    <m/>
    <n v="0"/>
    <n v="17000"/>
    <n v="932605"/>
    <s v=""/>
    <x v="5"/>
    <x v="21"/>
    <x v="6"/>
    <x v="1"/>
    <x v="2"/>
    <x v="0"/>
  </r>
  <r>
    <x v="3"/>
    <m/>
    <m/>
    <m/>
    <m/>
    <m/>
    <n v="0"/>
    <n v="11000"/>
    <n v="921605"/>
    <s v=""/>
    <x v="2"/>
    <x v="22"/>
    <x v="6"/>
    <x v="1"/>
    <x v="2"/>
    <x v="0"/>
  </r>
  <r>
    <x v="3"/>
    <m/>
    <m/>
    <n v="190500"/>
    <m/>
    <m/>
    <n v="190500"/>
    <m/>
    <n v="1112105"/>
    <n v="1112105"/>
    <x v="4"/>
    <x v="0"/>
    <x v="7"/>
    <x v="0"/>
    <x v="0"/>
    <x v="0"/>
  </r>
  <r>
    <x v="4"/>
    <m/>
    <m/>
    <m/>
    <m/>
    <m/>
    <n v="0"/>
    <n v="6500"/>
    <n v="1105605"/>
    <s v=""/>
    <x v="1"/>
    <x v="23"/>
    <x v="1"/>
    <x v="3"/>
    <x v="1"/>
    <x v="0"/>
  </r>
  <r>
    <x v="4"/>
    <m/>
    <m/>
    <m/>
    <m/>
    <m/>
    <n v="0"/>
    <n v="20000"/>
    <n v="1085605"/>
    <s v=""/>
    <x v="3"/>
    <x v="24"/>
    <x v="1"/>
    <x v="1"/>
    <x v="1"/>
    <x v="0"/>
  </r>
  <r>
    <x v="4"/>
    <m/>
    <m/>
    <m/>
    <m/>
    <m/>
    <n v="0"/>
    <n v="30000"/>
    <n v="1055605"/>
    <s v=""/>
    <x v="4"/>
    <x v="0"/>
    <x v="9"/>
    <x v="1"/>
    <x v="1"/>
    <x v="0"/>
  </r>
  <r>
    <x v="4"/>
    <m/>
    <m/>
    <m/>
    <m/>
    <m/>
    <n v="0"/>
    <n v="1000"/>
    <n v="1054605"/>
    <s v=""/>
    <x v="3"/>
    <x v="9"/>
    <x v="3"/>
    <x v="2"/>
    <x v="1"/>
    <x v="0"/>
  </r>
  <r>
    <x v="4"/>
    <m/>
    <n v="86855"/>
    <m/>
    <m/>
    <m/>
    <n v="86855"/>
    <n v="86855"/>
    <n v="1054605"/>
    <s v=""/>
    <x v="6"/>
    <x v="15"/>
    <x v="6"/>
    <x v="3"/>
    <x v="2"/>
    <x v="0"/>
  </r>
  <r>
    <x v="4"/>
    <m/>
    <n v="150000"/>
    <m/>
    <m/>
    <m/>
    <n v="150000"/>
    <n v="150000"/>
    <n v="1054605"/>
    <n v="1054605"/>
    <x v="6"/>
    <x v="15"/>
    <x v="6"/>
    <x v="3"/>
    <x v="2"/>
    <x v="0"/>
  </r>
  <r>
    <x v="5"/>
    <m/>
    <m/>
    <m/>
    <m/>
    <m/>
    <n v="0"/>
    <n v="39800"/>
    <n v="1014805"/>
    <s v=""/>
    <x v="1"/>
    <x v="25"/>
    <x v="2"/>
    <x v="2"/>
    <x v="3"/>
    <x v="0"/>
  </r>
  <r>
    <x v="5"/>
    <n v="317200"/>
    <m/>
    <m/>
    <m/>
    <m/>
    <n v="317200"/>
    <m/>
    <n v="1332005"/>
    <s v=""/>
    <x v="4"/>
    <x v="0"/>
    <x v="10"/>
    <x v="0"/>
    <x v="0"/>
    <x v="4"/>
  </r>
  <r>
    <x v="5"/>
    <m/>
    <m/>
    <m/>
    <m/>
    <m/>
    <n v="0"/>
    <n v="143800"/>
    <n v="1188205"/>
    <s v=""/>
    <x v="3"/>
    <x v="6"/>
    <x v="5"/>
    <x v="1"/>
    <x v="1"/>
    <x v="0"/>
  </r>
  <r>
    <x v="5"/>
    <m/>
    <m/>
    <m/>
    <m/>
    <m/>
    <n v="0"/>
    <n v="100000"/>
    <n v="1088205"/>
    <s v=""/>
    <x v="3"/>
    <x v="14"/>
    <x v="11"/>
    <x v="1"/>
    <x v="1"/>
    <x v="0"/>
  </r>
  <r>
    <x v="5"/>
    <m/>
    <m/>
    <m/>
    <m/>
    <m/>
    <n v="0"/>
    <n v="15000"/>
    <n v="1073205"/>
    <s v=""/>
    <x v="3"/>
    <x v="6"/>
    <x v="5"/>
    <x v="1"/>
    <x v="1"/>
    <x v="0"/>
  </r>
  <r>
    <x v="5"/>
    <n v="330000"/>
    <m/>
    <m/>
    <m/>
    <m/>
    <n v="330000"/>
    <m/>
    <n v="1403205"/>
    <n v="1403205"/>
    <x v="4"/>
    <x v="0"/>
    <x v="1"/>
    <x v="0"/>
    <x v="0"/>
    <x v="0"/>
  </r>
  <r>
    <x v="6"/>
    <m/>
    <m/>
    <m/>
    <m/>
    <m/>
    <n v="0"/>
    <n v="3000"/>
    <n v="1400205"/>
    <s v=""/>
    <x v="3"/>
    <x v="17"/>
    <x v="6"/>
    <x v="0"/>
    <x v="1"/>
    <x v="5"/>
  </r>
  <r>
    <x v="6"/>
    <m/>
    <m/>
    <m/>
    <m/>
    <m/>
    <n v="0"/>
    <n v="10000"/>
    <n v="1390205"/>
    <s v=""/>
    <x v="3"/>
    <x v="26"/>
    <x v="6"/>
    <x v="0"/>
    <x v="1"/>
    <x v="0"/>
  </r>
  <r>
    <x v="6"/>
    <m/>
    <m/>
    <m/>
    <m/>
    <m/>
    <n v="0"/>
    <n v="250000"/>
    <n v="1140205"/>
    <s v=""/>
    <x v="3"/>
    <x v="27"/>
    <x v="6"/>
    <x v="0"/>
    <x v="1"/>
    <x v="0"/>
  </r>
  <r>
    <x v="6"/>
    <m/>
    <m/>
    <m/>
    <m/>
    <m/>
    <n v="0"/>
    <n v="5000"/>
    <n v="1135205"/>
    <s v=""/>
    <x v="3"/>
    <x v="28"/>
    <x v="12"/>
    <x v="0"/>
    <x v="2"/>
    <x v="6"/>
  </r>
  <r>
    <x v="6"/>
    <m/>
    <m/>
    <m/>
    <m/>
    <m/>
    <n v="0"/>
    <n v="2000"/>
    <n v="1133205"/>
    <s v=""/>
    <x v="1"/>
    <x v="29"/>
    <x v="8"/>
    <x v="0"/>
    <x v="2"/>
    <x v="0"/>
  </r>
  <r>
    <x v="6"/>
    <m/>
    <m/>
    <m/>
    <m/>
    <m/>
    <n v="0"/>
    <n v="10000"/>
    <n v="1123205"/>
    <n v="1123205"/>
    <x v="3"/>
    <x v="20"/>
    <x v="3"/>
    <x v="0"/>
    <x v="2"/>
    <x v="0"/>
  </r>
  <r>
    <x v="7"/>
    <m/>
    <m/>
    <m/>
    <m/>
    <m/>
    <n v="0"/>
    <n v="6000"/>
    <n v="1117205"/>
    <s v=""/>
    <x v="1"/>
    <x v="30"/>
    <x v="3"/>
    <x v="0"/>
    <x v="1"/>
    <x v="0"/>
  </r>
  <r>
    <x v="7"/>
    <m/>
    <m/>
    <m/>
    <m/>
    <m/>
    <n v="0"/>
    <n v="40000"/>
    <n v="1077205"/>
    <s v=""/>
    <x v="4"/>
    <x v="0"/>
    <x v="9"/>
    <x v="1"/>
    <x v="1"/>
    <x v="0"/>
  </r>
  <r>
    <x v="7"/>
    <m/>
    <m/>
    <m/>
    <m/>
    <m/>
    <n v="0"/>
    <n v="25000"/>
    <n v="1052205"/>
    <s v=""/>
    <x v="3"/>
    <x v="31"/>
    <x v="13"/>
    <x v="0"/>
    <x v="1"/>
    <x v="0"/>
  </r>
  <r>
    <x v="7"/>
    <m/>
    <m/>
    <m/>
    <m/>
    <m/>
    <n v="0"/>
    <n v="26500"/>
    <n v="1025705"/>
    <s v=""/>
    <x v="2"/>
    <x v="32"/>
    <x v="1"/>
    <x v="1"/>
    <x v="1"/>
    <x v="0"/>
  </r>
  <r>
    <x v="7"/>
    <m/>
    <m/>
    <m/>
    <m/>
    <m/>
    <n v="0"/>
    <n v="10000"/>
    <n v="1015705"/>
    <n v="1015705"/>
    <x v="3"/>
    <x v="33"/>
    <x v="10"/>
    <x v="0"/>
    <x v="1"/>
    <x v="0"/>
  </r>
  <r>
    <x v="8"/>
    <m/>
    <m/>
    <m/>
    <m/>
    <m/>
    <n v="0"/>
    <n v="10000"/>
    <n v="1005705"/>
    <s v=""/>
    <x v="3"/>
    <x v="16"/>
    <x v="6"/>
    <x v="0"/>
    <x v="1"/>
    <x v="0"/>
  </r>
  <r>
    <x v="8"/>
    <m/>
    <m/>
    <m/>
    <m/>
    <m/>
    <n v="0"/>
    <n v="30000"/>
    <n v="975705"/>
    <s v=""/>
    <x v="2"/>
    <x v="11"/>
    <x v="3"/>
    <x v="0"/>
    <x v="1"/>
    <x v="0"/>
  </r>
  <r>
    <x v="8"/>
    <m/>
    <m/>
    <m/>
    <m/>
    <m/>
    <n v="0"/>
    <n v="500000"/>
    <n v="475705"/>
    <n v="475705"/>
    <x v="1"/>
    <x v="31"/>
    <x v="6"/>
    <x v="4"/>
    <x v="1"/>
    <x v="0"/>
  </r>
  <r>
    <x v="9"/>
    <m/>
    <m/>
    <m/>
    <m/>
    <m/>
    <n v="0"/>
    <n v="2000"/>
    <n v="473705"/>
    <s v=""/>
    <x v="1"/>
    <x v="34"/>
    <x v="6"/>
    <x v="2"/>
    <x v="1"/>
    <x v="0"/>
  </r>
  <r>
    <x v="9"/>
    <m/>
    <m/>
    <m/>
    <m/>
    <m/>
    <n v="0"/>
    <n v="5000"/>
    <n v="468705"/>
    <s v=""/>
    <x v="2"/>
    <x v="22"/>
    <x v="14"/>
    <x v="1"/>
    <x v="3"/>
    <x v="0"/>
  </r>
  <r>
    <x v="9"/>
    <m/>
    <m/>
    <m/>
    <m/>
    <m/>
    <n v="0"/>
    <n v="7000"/>
    <n v="461705"/>
    <n v="461705"/>
    <x v="1"/>
    <x v="35"/>
    <x v="2"/>
    <x v="0"/>
    <x v="3"/>
    <x v="0"/>
  </r>
  <r>
    <x v="10"/>
    <m/>
    <m/>
    <m/>
    <m/>
    <m/>
    <n v="0"/>
    <n v="3500"/>
    <n v="458205"/>
    <s v=""/>
    <x v="2"/>
    <x v="36"/>
    <x v="1"/>
    <x v="1"/>
    <x v="1"/>
    <x v="0"/>
  </r>
  <r>
    <x v="10"/>
    <m/>
    <m/>
    <m/>
    <m/>
    <m/>
    <n v="0"/>
    <n v="16250"/>
    <n v="441955"/>
    <n v="441955"/>
    <x v="1"/>
    <x v="37"/>
    <x v="1"/>
    <x v="1"/>
    <x v="3"/>
    <x v="0"/>
  </r>
  <r>
    <x v="11"/>
    <m/>
    <m/>
    <m/>
    <m/>
    <m/>
    <n v="0"/>
    <n v="2500"/>
    <n v="439455"/>
    <s v=""/>
    <x v="2"/>
    <x v="36"/>
    <x v="1"/>
    <x v="1"/>
    <x v="1"/>
    <x v="0"/>
  </r>
  <r>
    <x v="11"/>
    <n v="200000"/>
    <m/>
    <m/>
    <m/>
    <m/>
    <n v="200000"/>
    <m/>
    <n v="639455"/>
    <s v=""/>
    <x v="4"/>
    <x v="0"/>
    <x v="15"/>
    <x v="0"/>
    <x v="0"/>
    <x v="0"/>
  </r>
  <r>
    <x v="11"/>
    <m/>
    <m/>
    <m/>
    <m/>
    <m/>
    <n v="0"/>
    <n v="47258"/>
    <n v="592197"/>
    <s v=""/>
    <x v="3"/>
    <x v="31"/>
    <x v="1"/>
    <x v="2"/>
    <x v="1"/>
    <x v="0"/>
  </r>
  <r>
    <x v="11"/>
    <m/>
    <m/>
    <m/>
    <m/>
    <m/>
    <n v="0"/>
    <n v="2000"/>
    <n v="590197"/>
    <s v=""/>
    <x v="2"/>
    <x v="38"/>
    <x v="6"/>
    <x v="2"/>
    <x v="1"/>
    <x v="0"/>
  </r>
  <r>
    <x v="11"/>
    <m/>
    <m/>
    <m/>
    <m/>
    <m/>
    <n v="0"/>
    <n v="8200"/>
    <n v="581997"/>
    <s v=""/>
    <x v="1"/>
    <x v="39"/>
    <x v="14"/>
    <x v="1"/>
    <x v="3"/>
    <x v="0"/>
  </r>
  <r>
    <x v="11"/>
    <m/>
    <m/>
    <m/>
    <m/>
    <m/>
    <n v="0"/>
    <n v="2200"/>
    <n v="579797"/>
    <n v="579797"/>
    <x v="3"/>
    <x v="9"/>
    <x v="3"/>
    <x v="2"/>
    <x v="3"/>
    <x v="0"/>
  </r>
  <r>
    <x v="12"/>
    <m/>
    <m/>
    <m/>
    <m/>
    <m/>
    <n v="0"/>
    <n v="60000"/>
    <n v="519797"/>
    <s v=""/>
    <x v="3"/>
    <x v="24"/>
    <x v="1"/>
    <x v="1"/>
    <x v="1"/>
    <x v="7"/>
  </r>
  <r>
    <x v="12"/>
    <m/>
    <m/>
    <m/>
    <m/>
    <m/>
    <n v="0"/>
    <n v="6000"/>
    <n v="513797"/>
    <s v=""/>
    <x v="1"/>
    <x v="40"/>
    <x v="6"/>
    <x v="0"/>
    <x v="1"/>
    <x v="0"/>
  </r>
  <r>
    <x v="12"/>
    <m/>
    <m/>
    <m/>
    <m/>
    <m/>
    <n v="0"/>
    <n v="2000"/>
    <n v="511797"/>
    <n v="511797"/>
    <x v="1"/>
    <x v="41"/>
    <x v="6"/>
    <x v="0"/>
    <x v="3"/>
    <x v="0"/>
  </r>
  <r>
    <x v="13"/>
    <m/>
    <m/>
    <m/>
    <m/>
    <m/>
    <n v="0"/>
    <n v="20000"/>
    <n v="491797"/>
    <s v=""/>
    <x v="3"/>
    <x v="18"/>
    <x v="2"/>
    <x v="0"/>
    <x v="1"/>
    <x v="3"/>
  </r>
  <r>
    <x v="13"/>
    <m/>
    <m/>
    <m/>
    <m/>
    <m/>
    <n v="0"/>
    <n v="4000"/>
    <n v="487797"/>
    <s v=""/>
    <x v="3"/>
    <x v="42"/>
    <x v="6"/>
    <x v="0"/>
    <x v="1"/>
    <x v="0"/>
  </r>
  <r>
    <x v="13"/>
    <m/>
    <m/>
    <m/>
    <m/>
    <m/>
    <n v="0"/>
    <n v="30000"/>
    <n v="457797"/>
    <n v="457797"/>
    <x v="3"/>
    <x v="17"/>
    <x v="6"/>
    <x v="0"/>
    <x v="1"/>
    <x v="0"/>
  </r>
  <r>
    <x v="14"/>
    <m/>
    <m/>
    <m/>
    <m/>
    <m/>
    <n v="0"/>
    <n v="5000"/>
    <n v="452797"/>
    <n v="452797"/>
    <x v="3"/>
    <x v="16"/>
    <x v="16"/>
    <x v="0"/>
    <x v="1"/>
    <x v="0"/>
  </r>
  <r>
    <x v="15"/>
    <m/>
    <m/>
    <m/>
    <m/>
    <n v="500000"/>
    <n v="500000"/>
    <m/>
    <n v="952797"/>
    <s v=""/>
    <x v="7"/>
    <x v="43"/>
    <x v="6"/>
    <x v="6"/>
    <x v="0"/>
    <x v="0"/>
  </r>
  <r>
    <x v="15"/>
    <m/>
    <m/>
    <m/>
    <m/>
    <m/>
    <n v="0"/>
    <n v="2800"/>
    <n v="949997"/>
    <s v=""/>
    <x v="8"/>
    <x v="44"/>
    <x v="9"/>
    <x v="0"/>
    <x v="3"/>
    <x v="0"/>
  </r>
  <r>
    <x v="15"/>
    <m/>
    <m/>
    <m/>
    <m/>
    <m/>
    <n v="0"/>
    <n v="2800"/>
    <n v="947197"/>
    <s v=""/>
    <x v="8"/>
    <x v="45"/>
    <x v="9"/>
    <x v="2"/>
    <x v="3"/>
    <x v="0"/>
  </r>
  <r>
    <x v="15"/>
    <m/>
    <m/>
    <m/>
    <m/>
    <m/>
    <n v="0"/>
    <n v="2800"/>
    <n v="944397"/>
    <s v=""/>
    <x v="8"/>
    <x v="46"/>
    <x v="9"/>
    <x v="0"/>
    <x v="3"/>
    <x v="0"/>
  </r>
  <r>
    <x v="15"/>
    <m/>
    <m/>
    <m/>
    <m/>
    <m/>
    <n v="0"/>
    <n v="10000"/>
    <n v="934397"/>
    <s v=""/>
    <x v="3"/>
    <x v="3"/>
    <x v="3"/>
    <x v="1"/>
    <x v="3"/>
    <x v="0"/>
  </r>
  <r>
    <x v="15"/>
    <m/>
    <m/>
    <m/>
    <m/>
    <m/>
    <n v="0"/>
    <n v="419"/>
    <n v="933978"/>
    <s v=""/>
    <x v="1"/>
    <x v="31"/>
    <x v="7"/>
    <x v="6"/>
    <x v="1"/>
    <x v="0"/>
  </r>
  <r>
    <x v="15"/>
    <m/>
    <m/>
    <m/>
    <m/>
    <m/>
    <n v="0"/>
    <n v="4689.75"/>
    <n v="929288.25"/>
    <s v=""/>
    <x v="1"/>
    <x v="31"/>
    <x v="16"/>
    <x v="6"/>
    <x v="1"/>
    <x v="0"/>
  </r>
  <r>
    <x v="15"/>
    <m/>
    <m/>
    <m/>
    <m/>
    <m/>
    <n v="0"/>
    <n v="1440"/>
    <n v="927848.25"/>
    <s v=""/>
    <x v="1"/>
    <x v="31"/>
    <x v="7"/>
    <x v="6"/>
    <x v="1"/>
    <x v="0"/>
  </r>
  <r>
    <x v="15"/>
    <m/>
    <m/>
    <m/>
    <m/>
    <m/>
    <n v="0"/>
    <n v="30000"/>
    <n v="897848.25"/>
    <n v="897848.25"/>
    <x v="1"/>
    <x v="31"/>
    <x v="16"/>
    <x v="6"/>
    <x v="1"/>
    <x v="0"/>
  </r>
  <r>
    <x v="16"/>
    <m/>
    <m/>
    <m/>
    <m/>
    <m/>
    <n v="0"/>
    <n v="2500"/>
    <n v="895348.25"/>
    <s v=""/>
    <x v="2"/>
    <x v="36"/>
    <x v="1"/>
    <x v="5"/>
    <x v="1"/>
    <x v="0"/>
  </r>
  <r>
    <x v="16"/>
    <m/>
    <m/>
    <m/>
    <m/>
    <m/>
    <n v="0"/>
    <n v="2000"/>
    <n v="893348.25"/>
    <n v="893348.25"/>
    <x v="3"/>
    <x v="9"/>
    <x v="3"/>
    <x v="2"/>
    <x v="1"/>
    <x v="8"/>
  </r>
  <r>
    <x v="17"/>
    <m/>
    <m/>
    <m/>
    <m/>
    <m/>
    <n v="0"/>
    <n v="6000"/>
    <n v="887348.25"/>
    <s v=""/>
    <x v="1"/>
    <x v="47"/>
    <x v="1"/>
    <x v="1"/>
    <x v="1"/>
    <x v="0"/>
  </r>
  <r>
    <x v="17"/>
    <m/>
    <m/>
    <m/>
    <m/>
    <m/>
    <n v="0"/>
    <n v="3000"/>
    <n v="884348.25"/>
    <s v=""/>
    <x v="5"/>
    <x v="48"/>
    <x v="1"/>
    <x v="1"/>
    <x v="1"/>
    <x v="0"/>
  </r>
  <r>
    <x v="17"/>
    <m/>
    <m/>
    <m/>
    <m/>
    <m/>
    <n v="0"/>
    <n v="218500"/>
    <n v="665848.25"/>
    <s v=""/>
    <x v="2"/>
    <x v="49"/>
    <x v="4"/>
    <x v="1"/>
    <x v="1"/>
    <x v="0"/>
  </r>
  <r>
    <x v="17"/>
    <m/>
    <m/>
    <m/>
    <m/>
    <m/>
    <n v="0"/>
    <n v="6000"/>
    <n v="659848.25"/>
    <s v=""/>
    <x v="1"/>
    <x v="1"/>
    <x v="4"/>
    <x v="1"/>
    <x v="1"/>
    <x v="0"/>
  </r>
  <r>
    <x v="17"/>
    <m/>
    <m/>
    <m/>
    <m/>
    <m/>
    <n v="0"/>
    <n v="3000"/>
    <n v="656848.25"/>
    <s v=""/>
    <x v="1"/>
    <x v="50"/>
    <x v="4"/>
    <x v="1"/>
    <x v="1"/>
    <x v="0"/>
  </r>
  <r>
    <x v="17"/>
    <m/>
    <m/>
    <m/>
    <m/>
    <m/>
    <n v="0"/>
    <n v="193322.17"/>
    <n v="463526.07999999996"/>
    <s v=""/>
    <x v="2"/>
    <x v="51"/>
    <x v="1"/>
    <x v="1"/>
    <x v="1"/>
    <x v="0"/>
  </r>
  <r>
    <x v="17"/>
    <m/>
    <m/>
    <m/>
    <m/>
    <m/>
    <n v="0"/>
    <n v="30000"/>
    <n v="433526.07999999996"/>
    <s v=""/>
    <x v="3"/>
    <x v="3"/>
    <x v="3"/>
    <x v="1"/>
    <x v="1"/>
    <x v="0"/>
  </r>
  <r>
    <x v="17"/>
    <m/>
    <m/>
    <m/>
    <m/>
    <m/>
    <n v="0"/>
    <n v="2000"/>
    <n v="431526.07999999996"/>
    <s v=""/>
    <x v="2"/>
    <x v="52"/>
    <x v="14"/>
    <x v="7"/>
    <x v="1"/>
    <x v="0"/>
  </r>
  <r>
    <x v="17"/>
    <m/>
    <m/>
    <m/>
    <m/>
    <m/>
    <n v="0"/>
    <n v="10000"/>
    <n v="421526.07999999996"/>
    <s v=""/>
    <x v="3"/>
    <x v="53"/>
    <x v="2"/>
    <x v="5"/>
    <x v="1"/>
    <x v="0"/>
  </r>
  <r>
    <x v="17"/>
    <m/>
    <m/>
    <m/>
    <m/>
    <m/>
    <n v="0"/>
    <n v="10000"/>
    <n v="411526.07999999996"/>
    <s v=""/>
    <x v="9"/>
    <x v="54"/>
    <x v="4"/>
    <x v="1"/>
    <x v="1"/>
    <x v="0"/>
  </r>
  <r>
    <x v="17"/>
    <m/>
    <m/>
    <m/>
    <m/>
    <m/>
    <n v="0"/>
    <n v="50000"/>
    <n v="361526.07999999996"/>
    <s v=""/>
    <x v="5"/>
    <x v="55"/>
    <x v="4"/>
    <x v="1"/>
    <x v="1"/>
    <x v="0"/>
  </r>
  <r>
    <x v="17"/>
    <m/>
    <m/>
    <m/>
    <m/>
    <m/>
    <n v="0"/>
    <n v="10000"/>
    <n v="351526.07999999996"/>
    <s v=""/>
    <x v="3"/>
    <x v="33"/>
    <x v="10"/>
    <x v="5"/>
    <x v="1"/>
    <x v="0"/>
  </r>
  <r>
    <x v="17"/>
    <m/>
    <m/>
    <m/>
    <m/>
    <m/>
    <n v="0"/>
    <n v="2000"/>
    <n v="349526.07999999996"/>
    <n v="349526.07999999996"/>
    <x v="3"/>
    <x v="17"/>
    <x v="6"/>
    <x v="5"/>
    <x v="1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m/>
    <m/>
    <m/>
    <m/>
    <x v="10"/>
    <x v="0"/>
    <x v="6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Кому" cacheId="63" applyNumberFormats="0" applyBorderFormats="0" applyFontFormats="0" applyPatternFormats="0" applyAlignmentFormats="0" applyWidthHeightFormats="1" dataCaption="Значения" updatedVersion="7" minRefreshableVersion="3" itemPrintTitles="1" createdVersion="7" indent="0" outline="1" outlineData="1" multipleFieldFilters="0" fieldListSortAscending="1">
  <location ref="J5:N55" firstHeaderRow="1" firstDataRow="1" firstDataCol="4" rowPageCount="1" colPageCount="1"/>
  <pivotFields count="21">
    <pivotField axis="axisRow" showAll="0" sortType="ascending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Page" multipleItemSelectionAllowed="1" showAll="0">
      <items count="95">
        <item h="1" x="0"/>
        <item h="1" x="10"/>
        <item h="1" m="1" x="76"/>
        <item h="1" m="1" x="66"/>
        <item h="1" m="1" x="25"/>
        <item h="1" m="1" x="31"/>
        <item h="1" m="1" x="46"/>
        <item h="1" m="1" x="91"/>
        <item h="1" m="1" x="30"/>
        <item h="1" m="1" x="79"/>
        <item h="1" m="1" x="74"/>
        <item h="1" m="1" x="77"/>
        <item h="1" m="1" x="54"/>
        <item h="1" m="1" x="21"/>
        <item h="1" m="1" x="32"/>
        <item h="1" m="1" x="73"/>
        <item h="1" m="1" x="83"/>
        <item h="1" m="1" x="65"/>
        <item h="1" m="1" x="57"/>
        <item h="1" m="1" x="35"/>
        <item h="1" m="1" x="80"/>
        <item h="1" m="1" x="56"/>
        <item h="1" m="1" x="38"/>
        <item h="1" m="1" x="62"/>
        <item h="1" m="1" x="20"/>
        <item h="1" m="1" x="84"/>
        <item h="1" m="1" x="22"/>
        <item h="1" m="1" x="51"/>
        <item h="1" m="1" x="26"/>
        <item h="1" m="1" x="89"/>
        <item h="1" m="1" x="71"/>
        <item h="1" m="1" x="68"/>
        <item h="1" m="1" x="87"/>
        <item h="1" m="1" x="45"/>
        <item h="1" m="1" x="40"/>
        <item h="1" m="1" x="59"/>
        <item h="1" m="1" x="18"/>
        <item h="1" m="1" x="53"/>
        <item h="1" m="1" x="48"/>
        <item h="1" m="1" x="86"/>
        <item h="1" m="1" x="28"/>
        <item h="1" m="1" x="34"/>
        <item h="1" m="1" x="19"/>
        <item h="1" m="1" x="58"/>
        <item h="1" m="1" x="85"/>
        <item h="1" m="1" x="92"/>
        <item h="1" m="1" x="63"/>
        <item h="1" m="1" x="33"/>
        <item h="1" m="1" x="13"/>
        <item h="1" m="1" x="67"/>
        <item h="1" m="1" x="81"/>
        <item h="1" m="1" x="43"/>
        <item h="1" m="1" x="14"/>
        <item h="1" m="1" x="78"/>
        <item h="1" m="1" x="44"/>
        <item h="1" m="1" x="37"/>
        <item h="1" m="1" x="47"/>
        <item h="1" m="1" x="23"/>
        <item h="1" m="1" x="11"/>
        <item h="1" m="1" x="75"/>
        <item h="1" m="1" x="27"/>
        <item h="1" m="1" x="90"/>
        <item h="1" m="1" x="12"/>
        <item h="1" m="1" x="15"/>
        <item h="1" m="1" x="16"/>
        <item h="1" m="1" x="17"/>
        <item h="1" m="1" x="24"/>
        <item h="1" m="1" x="29"/>
        <item h="1" m="1" x="36"/>
        <item h="1" m="1" x="39"/>
        <item h="1" m="1" x="41"/>
        <item h="1" m="1" x="42"/>
        <item h="1" m="1" x="49"/>
        <item h="1" m="1" x="50"/>
        <item h="1" m="1" x="52"/>
        <item h="1" m="1" x="55"/>
        <item h="1" m="1" x="60"/>
        <item h="1" m="1" x="61"/>
        <item h="1" m="1" x="64"/>
        <item h="1" m="1" x="69"/>
        <item h="1" m="1" x="70"/>
        <item h="1" m="1" x="72"/>
        <item h="1" m="1" x="82"/>
        <item h="1" m="1" x="88"/>
        <item h="1" m="1" x="93"/>
        <item h="1" x="1"/>
        <item h="1" x="2"/>
        <item x="3"/>
        <item h="1" x="4"/>
        <item h="1" x="5"/>
        <item h="1" x="6"/>
        <item h="1" x="7"/>
        <item h="1" x="8"/>
        <item h="1" x="9"/>
        <item t="default"/>
      </items>
    </pivotField>
    <pivotField axis="axisRow" outline="0" showAll="0">
      <items count="77">
        <item m="1" x="62"/>
        <item m="1" x="61"/>
        <item m="1" x="70"/>
        <item m="1" x="69"/>
        <item m="1" x="63"/>
        <item m="1" x="64"/>
        <item m="1" x="71"/>
        <item m="1" x="65"/>
        <item m="1" x="60"/>
        <item m="1" x="66"/>
        <item m="1" x="68"/>
        <item m="1" x="73"/>
        <item m="1" x="75"/>
        <item m="1" x="74"/>
        <item m="1" x="72"/>
        <item m="1" x="59"/>
        <item m="1" x="56"/>
        <item m="1" x="58"/>
        <item m="1" x="67"/>
        <item x="55"/>
        <item x="38"/>
        <item x="49"/>
        <item x="13"/>
        <item x="2"/>
        <item x="29"/>
        <item x="41"/>
        <item x="36"/>
        <item m="1" x="57"/>
        <item x="54"/>
        <item x="1"/>
        <item x="25"/>
        <item x="23"/>
        <item x="32"/>
        <item x="31"/>
        <item x="43"/>
        <item x="47"/>
        <item x="48"/>
        <item x="7"/>
        <item x="30"/>
        <item x="40"/>
        <item x="8"/>
        <item x="21"/>
        <item x="46"/>
        <item x="44"/>
        <item x="45"/>
        <item x="4"/>
        <item x="10"/>
        <item x="15"/>
        <item x="50"/>
        <item x="35"/>
        <item x="19"/>
        <item x="11"/>
        <item x="51"/>
        <item x="39"/>
        <item x="37"/>
        <item x="5"/>
        <item x="22"/>
        <item x="52"/>
        <item x="34"/>
        <item x="12"/>
        <item x="0"/>
        <item x="3"/>
        <item x="6"/>
        <item x="9"/>
        <item x="14"/>
        <item x="16"/>
        <item x="17"/>
        <item x="18"/>
        <item x="20"/>
        <item x="24"/>
        <item x="26"/>
        <item x="27"/>
        <item x="28"/>
        <item x="33"/>
        <item x="42"/>
        <item x="53"/>
        <item t="default"/>
      </items>
    </pivotField>
    <pivotField axis="axisRow" outline="0" showAll="0" defaultSubtotal="0">
      <items count="20">
        <item m="1" x="18"/>
        <item m="1" x="17"/>
        <item m="1" x="19"/>
        <item x="1"/>
        <item x="4"/>
        <item x="10"/>
        <item x="3"/>
        <item x="13"/>
        <item x="2"/>
        <item x="16"/>
        <item x="15"/>
        <item x="9"/>
        <item x="12"/>
        <item x="14"/>
        <item x="7"/>
        <item x="0"/>
        <item x="8"/>
        <item x="5"/>
        <item x="11"/>
        <item x="6"/>
      </items>
    </pivotField>
    <pivotField outline="0" showAll="0"/>
    <pivotField showAll="0"/>
    <pivotField axis="axisRow" outline="0" showAll="0" defaultSubtotal="0">
      <items count="10">
        <item m="1" x="9"/>
        <item x="3"/>
        <item x="7"/>
        <item x="5"/>
        <item x="1"/>
        <item x="6"/>
        <item x="8"/>
        <item x="2"/>
        <item x="4"/>
        <item x="0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4">
    <field x="11"/>
    <field x="12"/>
    <field x="15"/>
    <field x="0"/>
  </rowFields>
  <rowItems count="50">
    <i>
      <x v="33"/>
      <x v="3"/>
      <x v="9"/>
      <x v="11"/>
    </i>
    <i r="1">
      <x v="7"/>
      <x v="9"/>
      <x v="7"/>
    </i>
    <i t="default">
      <x v="33"/>
    </i>
    <i>
      <x v="61"/>
      <x v="6"/>
      <x v="9"/>
      <x v="1"/>
    </i>
    <i r="3">
      <x v="15"/>
    </i>
    <i r="3">
      <x v="17"/>
    </i>
    <i t="default">
      <x v="61"/>
    </i>
    <i>
      <x v="62"/>
      <x v="17"/>
      <x v="9"/>
      <x v="1"/>
    </i>
    <i r="3">
      <x v="5"/>
    </i>
    <i t="default">
      <x v="62"/>
    </i>
    <i>
      <x v="63"/>
      <x v="6"/>
      <x v="6"/>
      <x v="16"/>
    </i>
    <i r="2">
      <x v="9"/>
      <x v="2"/>
    </i>
    <i r="3">
      <x v="4"/>
    </i>
    <i r="3">
      <x v="11"/>
    </i>
    <i t="default">
      <x v="63"/>
    </i>
    <i>
      <x v="64"/>
      <x v="3"/>
      <x v="4"/>
      <x v="2"/>
    </i>
    <i r="1">
      <x v="18"/>
      <x v="9"/>
      <x v="5"/>
    </i>
    <i t="default">
      <x v="64"/>
    </i>
    <i>
      <x v="65"/>
      <x v="9"/>
      <x v="9"/>
      <x v="14"/>
    </i>
    <i r="1">
      <x v="19"/>
      <x v="9"/>
      <x v="3"/>
    </i>
    <i r="3">
      <x v="8"/>
    </i>
    <i t="default">
      <x v="65"/>
    </i>
    <i>
      <x v="66"/>
      <x v="16"/>
      <x v="7"/>
      <x v="3"/>
    </i>
    <i r="1">
      <x v="19"/>
      <x v="3"/>
      <x v="6"/>
    </i>
    <i r="2">
      <x v="9"/>
      <x v="13"/>
    </i>
    <i r="3">
      <x v="17"/>
    </i>
    <i t="default">
      <x v="66"/>
    </i>
    <i>
      <x v="67"/>
      <x v="8"/>
      <x v="1"/>
      <x v="3"/>
    </i>
    <i r="3">
      <x v="13"/>
    </i>
    <i t="default">
      <x v="67"/>
    </i>
    <i>
      <x v="68"/>
      <x v="6"/>
      <x v="9"/>
      <x v="6"/>
    </i>
    <i r="1">
      <x v="19"/>
      <x v="9"/>
      <x v="3"/>
    </i>
    <i t="default">
      <x v="68"/>
    </i>
    <i>
      <x v="69"/>
      <x v="3"/>
      <x v="2"/>
      <x v="12"/>
    </i>
    <i r="2">
      <x v="9"/>
      <x v="4"/>
    </i>
    <i t="default">
      <x v="69"/>
    </i>
    <i>
      <x v="70"/>
      <x v="19"/>
      <x v="9"/>
      <x v="6"/>
    </i>
    <i t="default">
      <x v="70"/>
    </i>
    <i>
      <x v="71"/>
      <x v="19"/>
      <x v="9"/>
      <x v="6"/>
    </i>
    <i t="default">
      <x v="71"/>
    </i>
    <i>
      <x v="72"/>
      <x v="12"/>
      <x v="5"/>
      <x v="6"/>
    </i>
    <i t="default">
      <x v="72"/>
    </i>
    <i>
      <x v="73"/>
      <x v="5"/>
      <x v="9"/>
      <x v="7"/>
    </i>
    <i r="3">
      <x v="17"/>
    </i>
    <i t="default">
      <x v="73"/>
    </i>
    <i>
      <x v="74"/>
      <x v="19"/>
      <x v="9"/>
      <x v="13"/>
    </i>
    <i t="default">
      <x v="74"/>
    </i>
    <i>
      <x v="75"/>
      <x v="8"/>
      <x v="9"/>
      <x v="17"/>
    </i>
    <i t="default">
      <x v="75"/>
    </i>
    <i t="grand">
      <x/>
    </i>
  </rowItems>
  <colItems count="1">
    <i/>
  </colItems>
  <pageFields count="1">
    <pageField fld="10" hier="-1"/>
  </pageFields>
  <dataFields count="1">
    <dataField name="Зарплата" fld="7" baseField="5" baseItem="1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Получатели" cacheId="63" applyNumberFormats="0" applyBorderFormats="0" applyFontFormats="0" applyPatternFormats="0" applyAlignmentFormats="0" applyWidthHeightFormats="1" dataCaption="Значения" updatedVersion="7" minRefreshableVersion="3" itemPrintTitles="1" createdVersion="7" indent="0" outline="1" outlineData="1" multipleFieldFilters="0" fieldListSortAscending="1">
  <location ref="B5:G43" firstHeaderRow="1" firstDataRow="1" firstDataCol="5" rowPageCount="1" colPageCount="1"/>
  <pivotFields count="21">
    <pivotField axis="axisRow" showAll="0" sortType="ascending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Page" multipleItemSelectionAllowed="1" showAll="0">
      <items count="95">
        <item h="1" x="0"/>
        <item h="1" x="10"/>
        <item h="1" m="1" x="76"/>
        <item h="1" m="1" x="66"/>
        <item h="1" m="1" x="25"/>
        <item h="1" m="1" x="31"/>
        <item h="1" m="1" x="46"/>
        <item h="1" m="1" x="91"/>
        <item h="1" m="1" x="30"/>
        <item h="1" m="1" x="79"/>
        <item h="1" m="1" x="74"/>
        <item h="1" m="1" x="77"/>
        <item h="1" m="1" x="54"/>
        <item h="1" m="1" x="21"/>
        <item h="1" m="1" x="32"/>
        <item h="1" m="1" x="73"/>
        <item h="1" m="1" x="83"/>
        <item h="1" m="1" x="65"/>
        <item h="1" m="1" x="57"/>
        <item h="1" m="1" x="35"/>
        <item h="1" m="1" x="80"/>
        <item h="1" m="1" x="56"/>
        <item h="1" m="1" x="38"/>
        <item h="1" m="1" x="62"/>
        <item h="1" m="1" x="20"/>
        <item h="1" m="1" x="84"/>
        <item h="1" m="1" x="22"/>
        <item h="1" m="1" x="51"/>
        <item h="1" m="1" x="26"/>
        <item h="1" m="1" x="89"/>
        <item h="1" m="1" x="71"/>
        <item h="1" m="1" x="68"/>
        <item h="1" m="1" x="87"/>
        <item h="1" m="1" x="45"/>
        <item h="1" m="1" x="40"/>
        <item h="1" m="1" x="59"/>
        <item h="1" m="1" x="18"/>
        <item h="1" m="1" x="53"/>
        <item h="1" m="1" x="48"/>
        <item h="1" m="1" x="86"/>
        <item h="1" m="1" x="28"/>
        <item h="1" m="1" x="34"/>
        <item h="1" m="1" x="19"/>
        <item h="1" m="1" x="58"/>
        <item h="1" m="1" x="85"/>
        <item h="1" m="1" x="92"/>
        <item h="1" m="1" x="63"/>
        <item h="1" m="1" x="33"/>
        <item h="1" m="1" x="13"/>
        <item h="1" m="1" x="67"/>
        <item h="1" m="1" x="81"/>
        <item h="1" m="1" x="43"/>
        <item h="1" m="1" x="14"/>
        <item h="1" m="1" x="78"/>
        <item h="1" m="1" x="44"/>
        <item h="1" m="1" x="37"/>
        <item h="1" m="1" x="47"/>
        <item h="1" m="1" x="23"/>
        <item h="1" m="1" x="11"/>
        <item h="1" m="1" x="75"/>
        <item h="1" m="1" x="27"/>
        <item h="1" m="1" x="90"/>
        <item h="1" m="1" x="12"/>
        <item h="1" m="1" x="15"/>
        <item h="1" m="1" x="16"/>
        <item h="1" m="1" x="17"/>
        <item h="1" m="1" x="24"/>
        <item h="1" m="1" x="29"/>
        <item h="1" m="1" x="36"/>
        <item h="1" m="1" x="39"/>
        <item h="1" m="1" x="41"/>
        <item h="1" m="1" x="42"/>
        <item h="1" m="1" x="49"/>
        <item h="1" m="1" x="50"/>
        <item h="1" m="1" x="52"/>
        <item h="1" m="1" x="55"/>
        <item h="1" m="1" x="60"/>
        <item h="1" m="1" x="61"/>
        <item h="1" m="1" x="64"/>
        <item h="1" m="1" x="69"/>
        <item h="1" m="1" x="70"/>
        <item h="1" m="1" x="72"/>
        <item h="1" m="1" x="82"/>
        <item h="1" m="1" x="88"/>
        <item h="1" m="1" x="93"/>
        <item h="1" x="1"/>
        <item h="1" x="2"/>
        <item x="3"/>
        <item h="1" x="4"/>
        <item h="1" x="5"/>
        <item h="1" x="6"/>
        <item h="1" x="7"/>
        <item h="1" x="8"/>
        <item h="1" x="9"/>
        <item t="default"/>
      </items>
    </pivotField>
    <pivotField axis="axisRow" outline="0" showAll="0" defaultSubtotal="0">
      <items count="76">
        <item m="1" x="62"/>
        <item m="1" x="61"/>
        <item m="1" x="70"/>
        <item m="1" x="69"/>
        <item m="1" x="63"/>
        <item m="1" x="64"/>
        <item m="1" x="71"/>
        <item m="1" x="65"/>
        <item m="1" x="60"/>
        <item m="1" x="66"/>
        <item m="1" x="68"/>
        <item m="1" x="73"/>
        <item m="1" x="75"/>
        <item m="1" x="74"/>
        <item m="1" x="72"/>
        <item m="1" x="59"/>
        <item m="1" x="56"/>
        <item m="1" x="58"/>
        <item m="1" x="67"/>
        <item x="55"/>
        <item x="38"/>
        <item x="49"/>
        <item x="13"/>
        <item x="2"/>
        <item x="29"/>
        <item x="41"/>
        <item x="36"/>
        <item m="1" x="57"/>
        <item x="54"/>
        <item x="1"/>
        <item x="25"/>
        <item x="23"/>
        <item x="32"/>
        <item x="31"/>
        <item x="43"/>
        <item x="47"/>
        <item x="48"/>
        <item x="7"/>
        <item x="30"/>
        <item x="40"/>
        <item x="8"/>
        <item x="21"/>
        <item x="46"/>
        <item x="44"/>
        <item x="45"/>
        <item x="4"/>
        <item x="10"/>
        <item x="15"/>
        <item x="50"/>
        <item x="35"/>
        <item x="19"/>
        <item x="11"/>
        <item x="51"/>
        <item x="39"/>
        <item x="37"/>
        <item x="5"/>
        <item x="22"/>
        <item x="52"/>
        <item x="34"/>
        <item x="12"/>
        <item x="0"/>
        <item x="3"/>
        <item x="6"/>
        <item x="9"/>
        <item x="14"/>
        <item x="16"/>
        <item x="17"/>
        <item x="18"/>
        <item x="20"/>
        <item x="24"/>
        <item x="26"/>
        <item x="27"/>
        <item x="28"/>
        <item x="33"/>
        <item x="42"/>
        <item x="53"/>
      </items>
    </pivotField>
    <pivotField axis="axisRow" outline="0" showAll="0" defaultSubtotal="0">
      <items count="20">
        <item m="1" x="18"/>
        <item m="1" x="17"/>
        <item m="1" x="19"/>
        <item x="1"/>
        <item x="4"/>
        <item x="10"/>
        <item x="3"/>
        <item x="13"/>
        <item x="2"/>
        <item x="16"/>
        <item x="15"/>
        <item x="9"/>
        <item x="12"/>
        <item x="14"/>
        <item x="7"/>
        <item x="0"/>
        <item x="8"/>
        <item x="5"/>
        <item x="11"/>
        <item x="6"/>
      </items>
    </pivotField>
    <pivotField axis="axisRow" outline="0" showAll="0">
      <items count="9">
        <item x="7"/>
        <item x="2"/>
        <item x="1"/>
        <item x="4"/>
        <item x="3"/>
        <item x="5"/>
        <item x="6"/>
        <item x="0"/>
        <item t="default"/>
      </items>
    </pivotField>
    <pivotField showAll="0"/>
    <pivotField axis="axisRow" outline="0" showAll="0" defaultSubtotal="0">
      <items count="10">
        <item m="1" x="9"/>
        <item x="3"/>
        <item x="7"/>
        <item x="5"/>
        <item x="1"/>
        <item x="6"/>
        <item x="8"/>
        <item x="2"/>
        <item x="4"/>
        <item x="0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5">
    <field x="13"/>
    <field x="11"/>
    <field x="12"/>
    <field x="15"/>
    <field x="0"/>
  </rowFields>
  <rowItems count="38">
    <i>
      <x v="1"/>
      <x v="33"/>
      <x v="3"/>
      <x v="9"/>
      <x v="11"/>
    </i>
    <i r="1">
      <x v="63"/>
      <x v="6"/>
      <x v="6"/>
      <x v="16"/>
    </i>
    <i r="3">
      <x v="9"/>
      <x v="2"/>
    </i>
    <i r="4">
      <x v="4"/>
    </i>
    <i r="4">
      <x v="11"/>
    </i>
    <i t="default">
      <x v="1"/>
    </i>
    <i>
      <x v="2"/>
      <x v="61"/>
      <x v="6"/>
      <x v="9"/>
      <x v="1"/>
    </i>
    <i r="4">
      <x v="15"/>
    </i>
    <i r="4">
      <x v="17"/>
    </i>
    <i r="1">
      <x v="62"/>
      <x v="17"/>
      <x v="9"/>
      <x v="1"/>
    </i>
    <i r="4">
      <x v="5"/>
    </i>
    <i r="1">
      <x v="64"/>
      <x v="3"/>
      <x v="4"/>
      <x v="2"/>
    </i>
    <i r="2">
      <x v="18"/>
      <x v="9"/>
      <x v="5"/>
    </i>
    <i r="1">
      <x v="69"/>
      <x v="3"/>
      <x v="2"/>
      <x v="12"/>
    </i>
    <i r="3">
      <x v="9"/>
      <x v="4"/>
    </i>
    <i t="default">
      <x v="2"/>
    </i>
    <i>
      <x v="5"/>
      <x v="66"/>
      <x v="19"/>
      <x v="9"/>
      <x v="17"/>
    </i>
    <i r="1">
      <x v="68"/>
      <x v="19"/>
      <x v="9"/>
      <x v="3"/>
    </i>
    <i r="1">
      <x v="73"/>
      <x v="5"/>
      <x v="9"/>
      <x v="17"/>
    </i>
    <i r="1">
      <x v="75"/>
      <x v="8"/>
      <x v="9"/>
      <x v="17"/>
    </i>
    <i t="default">
      <x v="5"/>
    </i>
    <i>
      <x v="7"/>
      <x v="33"/>
      <x v="7"/>
      <x v="9"/>
      <x v="7"/>
    </i>
    <i r="1">
      <x v="65"/>
      <x v="9"/>
      <x v="9"/>
      <x v="14"/>
    </i>
    <i r="2">
      <x v="19"/>
      <x v="9"/>
      <x v="3"/>
    </i>
    <i r="4">
      <x v="8"/>
    </i>
    <i r="1">
      <x v="66"/>
      <x v="16"/>
      <x v="7"/>
      <x v="3"/>
    </i>
    <i r="2">
      <x v="19"/>
      <x v="3"/>
      <x v="6"/>
    </i>
    <i r="3">
      <x v="9"/>
      <x v="13"/>
    </i>
    <i r="1">
      <x v="67"/>
      <x v="8"/>
      <x v="1"/>
      <x v="3"/>
    </i>
    <i r="4">
      <x v="13"/>
    </i>
    <i r="1">
      <x v="68"/>
      <x v="6"/>
      <x v="9"/>
      <x v="6"/>
    </i>
    <i r="1">
      <x v="70"/>
      <x v="19"/>
      <x v="9"/>
      <x v="6"/>
    </i>
    <i r="1">
      <x v="71"/>
      <x v="19"/>
      <x v="9"/>
      <x v="6"/>
    </i>
    <i r="1">
      <x v="72"/>
      <x v="12"/>
      <x v="5"/>
      <x v="6"/>
    </i>
    <i r="1">
      <x v="73"/>
      <x v="5"/>
      <x v="9"/>
      <x v="7"/>
    </i>
    <i r="1">
      <x v="74"/>
      <x v="19"/>
      <x v="9"/>
      <x v="13"/>
    </i>
    <i t="default">
      <x v="7"/>
    </i>
    <i t="grand">
      <x/>
    </i>
  </rowItems>
  <colItems count="1">
    <i/>
  </colItems>
  <pageFields count="1">
    <pageField fld="10" hier="-1"/>
  </pageFields>
  <dataFields count="1">
    <dataField name="Зарплата" fld="7" baseField="5" baseItem="1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Объекты" cacheId="63" applyNumberFormats="0" applyBorderFormats="0" applyFontFormats="0" applyPatternFormats="0" applyAlignmentFormats="0" applyWidthHeightFormats="1" dataCaption="Значения" updatedVersion="7" minRefreshableVersion="3" itemPrintTitles="1" createdVersion="7" indent="0" outline="1" outlineData="1" multipleFieldFilters="0" fieldListSortAscending="1">
  <location ref="Q5:U50" firstHeaderRow="1" firstDataRow="1" firstDataCol="4" rowPageCount="1" colPageCount="1"/>
  <pivotFields count="21">
    <pivotField axis="axisRow" showAll="0" sortType="ascending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Page" multipleItemSelectionAllowed="1" showAll="0">
      <items count="95">
        <item h="1" x="0"/>
        <item h="1" x="10"/>
        <item h="1" m="1" x="76"/>
        <item h="1" m="1" x="66"/>
        <item h="1" m="1" x="25"/>
        <item h="1" m="1" x="31"/>
        <item h="1" m="1" x="46"/>
        <item h="1" m="1" x="91"/>
        <item h="1" m="1" x="30"/>
        <item h="1" m="1" x="79"/>
        <item h="1" m="1" x="74"/>
        <item h="1" m="1" x="77"/>
        <item h="1" m="1" x="54"/>
        <item h="1" m="1" x="21"/>
        <item h="1" m="1" x="32"/>
        <item h="1" m="1" x="73"/>
        <item h="1" m="1" x="83"/>
        <item h="1" m="1" x="65"/>
        <item h="1" m="1" x="57"/>
        <item h="1" m="1" x="35"/>
        <item h="1" m="1" x="80"/>
        <item h="1" m="1" x="56"/>
        <item h="1" m="1" x="38"/>
        <item h="1" m="1" x="62"/>
        <item h="1" m="1" x="20"/>
        <item h="1" m="1" x="84"/>
        <item h="1" m="1" x="22"/>
        <item h="1" m="1" x="51"/>
        <item h="1" m="1" x="26"/>
        <item h="1" m="1" x="89"/>
        <item h="1" m="1" x="71"/>
        <item h="1" m="1" x="68"/>
        <item h="1" m="1" x="87"/>
        <item h="1" m="1" x="45"/>
        <item h="1" m="1" x="40"/>
        <item h="1" m="1" x="59"/>
        <item h="1" m="1" x="18"/>
        <item h="1" m="1" x="53"/>
        <item h="1" m="1" x="48"/>
        <item h="1" m="1" x="86"/>
        <item h="1" m="1" x="28"/>
        <item h="1" m="1" x="34"/>
        <item h="1" m="1" x="19"/>
        <item h="1" m="1" x="58"/>
        <item h="1" m="1" x="85"/>
        <item h="1" m="1" x="92"/>
        <item h="1" m="1" x="63"/>
        <item h="1" m="1" x="33"/>
        <item h="1" m="1" x="13"/>
        <item h="1" m="1" x="67"/>
        <item h="1" m="1" x="81"/>
        <item h="1" m="1" x="43"/>
        <item h="1" m="1" x="14"/>
        <item h="1" m="1" x="78"/>
        <item h="1" m="1" x="44"/>
        <item h="1" m="1" x="37"/>
        <item h="1" m="1" x="47"/>
        <item h="1" m="1" x="23"/>
        <item h="1" m="1" x="11"/>
        <item h="1" m="1" x="75"/>
        <item h="1" m="1" x="27"/>
        <item h="1" m="1" x="90"/>
        <item h="1" m="1" x="12"/>
        <item h="1" m="1" x="15"/>
        <item h="1" m="1" x="16"/>
        <item h="1" m="1" x="17"/>
        <item h="1" m="1" x="24"/>
        <item h="1" m="1" x="29"/>
        <item h="1" m="1" x="36"/>
        <item h="1" m="1" x="39"/>
        <item h="1" m="1" x="41"/>
        <item h="1" m="1" x="42"/>
        <item h="1" m="1" x="49"/>
        <item h="1" m="1" x="50"/>
        <item h="1" m="1" x="52"/>
        <item h="1" m="1" x="55"/>
        <item h="1" m="1" x="60"/>
        <item h="1" m="1" x="61"/>
        <item h="1" m="1" x="64"/>
        <item h="1" m="1" x="69"/>
        <item h="1" m="1" x="70"/>
        <item h="1" m="1" x="72"/>
        <item h="1" m="1" x="82"/>
        <item h="1" m="1" x="88"/>
        <item h="1" m="1" x="93"/>
        <item h="1" x="1"/>
        <item h="1" x="2"/>
        <item x="3"/>
        <item h="1" x="4"/>
        <item h="1" x="5"/>
        <item h="1" x="6"/>
        <item h="1" x="7"/>
        <item h="1" x="8"/>
        <item h="1" x="9"/>
        <item t="default"/>
      </items>
    </pivotField>
    <pivotField axis="axisRow" outline="0" showAll="0" defaultSubtotal="0">
      <items count="76">
        <item m="1" x="62"/>
        <item m="1" x="61"/>
        <item m="1" x="70"/>
        <item m="1" x="69"/>
        <item m="1" x="63"/>
        <item m="1" x="64"/>
        <item m="1" x="71"/>
        <item m="1" x="65"/>
        <item m="1" x="60"/>
        <item m="1" x="66"/>
        <item m="1" x="68"/>
        <item m="1" x="73"/>
        <item m="1" x="75"/>
        <item m="1" x="74"/>
        <item m="1" x="72"/>
        <item m="1" x="59"/>
        <item m="1" x="56"/>
        <item m="1" x="58"/>
        <item m="1" x="67"/>
        <item x="55"/>
        <item x="38"/>
        <item x="49"/>
        <item x="13"/>
        <item x="2"/>
        <item x="29"/>
        <item x="41"/>
        <item x="36"/>
        <item m="1" x="57"/>
        <item x="54"/>
        <item x="1"/>
        <item x="25"/>
        <item x="23"/>
        <item x="32"/>
        <item x="31"/>
        <item x="43"/>
        <item x="47"/>
        <item x="48"/>
        <item x="7"/>
        <item x="30"/>
        <item x="40"/>
        <item x="8"/>
        <item x="21"/>
        <item x="46"/>
        <item x="44"/>
        <item x="45"/>
        <item x="4"/>
        <item x="10"/>
        <item x="15"/>
        <item x="50"/>
        <item x="35"/>
        <item x="19"/>
        <item x="11"/>
        <item x="51"/>
        <item x="39"/>
        <item x="37"/>
        <item x="5"/>
        <item x="22"/>
        <item x="52"/>
        <item x="34"/>
        <item x="12"/>
        <item x="0"/>
        <item x="3"/>
        <item x="6"/>
        <item x="9"/>
        <item x="14"/>
        <item x="16"/>
        <item x="17"/>
        <item x="18"/>
        <item x="20"/>
        <item x="24"/>
        <item x="26"/>
        <item x="27"/>
        <item x="28"/>
        <item x="33"/>
        <item x="42"/>
        <item x="53"/>
      </items>
    </pivotField>
    <pivotField axis="axisRow" outline="0" showAll="0">
      <items count="21">
        <item m="1" x="18"/>
        <item m="1" x="17"/>
        <item m="1" x="19"/>
        <item x="1"/>
        <item x="4"/>
        <item x="10"/>
        <item x="3"/>
        <item x="13"/>
        <item x="2"/>
        <item x="16"/>
        <item x="15"/>
        <item x="9"/>
        <item x="12"/>
        <item x="14"/>
        <item x="7"/>
        <item x="0"/>
        <item x="8"/>
        <item x="5"/>
        <item x="11"/>
        <item x="6"/>
        <item t="default"/>
      </items>
    </pivotField>
    <pivotField outline="0" showAll="0"/>
    <pivotField showAll="0"/>
    <pivotField axis="axisRow" outline="0" showAll="0" defaultSubtotal="0">
      <items count="10">
        <item m="1" x="9"/>
        <item x="3"/>
        <item x="7"/>
        <item x="5"/>
        <item x="1"/>
        <item x="6"/>
        <item x="8"/>
        <item x="2"/>
        <item x="4"/>
        <item x="0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4">
    <field x="12"/>
    <field x="11"/>
    <field x="15"/>
    <field x="0"/>
  </rowFields>
  <rowItems count="45">
    <i>
      <x v="3"/>
      <x v="33"/>
      <x v="9"/>
      <x v="11"/>
    </i>
    <i r="1">
      <x v="64"/>
      <x v="4"/>
      <x v="2"/>
    </i>
    <i r="1">
      <x v="69"/>
      <x v="2"/>
      <x v="12"/>
    </i>
    <i r="2">
      <x v="9"/>
      <x v="4"/>
    </i>
    <i t="default">
      <x v="3"/>
    </i>
    <i>
      <x v="5"/>
      <x v="73"/>
      <x v="9"/>
      <x v="7"/>
    </i>
    <i r="3">
      <x v="17"/>
    </i>
    <i t="default">
      <x v="5"/>
    </i>
    <i>
      <x v="6"/>
      <x v="61"/>
      <x v="9"/>
      <x v="1"/>
    </i>
    <i r="3">
      <x v="15"/>
    </i>
    <i r="3">
      <x v="17"/>
    </i>
    <i r="1">
      <x v="63"/>
      <x v="6"/>
      <x v="16"/>
    </i>
    <i r="2">
      <x v="9"/>
      <x v="2"/>
    </i>
    <i r="3">
      <x v="4"/>
    </i>
    <i r="3">
      <x v="11"/>
    </i>
    <i r="1">
      <x v="68"/>
      <x v="9"/>
      <x v="6"/>
    </i>
    <i t="default">
      <x v="6"/>
    </i>
    <i>
      <x v="7"/>
      <x v="33"/>
      <x v="9"/>
      <x v="7"/>
    </i>
    <i t="default">
      <x v="7"/>
    </i>
    <i>
      <x v="8"/>
      <x v="67"/>
      <x v="1"/>
      <x v="3"/>
    </i>
    <i r="3">
      <x v="13"/>
    </i>
    <i r="1">
      <x v="75"/>
      <x v="9"/>
      <x v="17"/>
    </i>
    <i t="default">
      <x v="8"/>
    </i>
    <i>
      <x v="9"/>
      <x v="65"/>
      <x v="9"/>
      <x v="14"/>
    </i>
    <i t="default">
      <x v="9"/>
    </i>
    <i>
      <x v="12"/>
      <x v="72"/>
      <x v="5"/>
      <x v="6"/>
    </i>
    <i t="default">
      <x v="12"/>
    </i>
    <i>
      <x v="16"/>
      <x v="66"/>
      <x v="7"/>
      <x v="3"/>
    </i>
    <i t="default">
      <x v="16"/>
    </i>
    <i>
      <x v="17"/>
      <x v="62"/>
      <x v="9"/>
      <x v="1"/>
    </i>
    <i r="3">
      <x v="5"/>
    </i>
    <i t="default">
      <x v="17"/>
    </i>
    <i>
      <x v="18"/>
      <x v="64"/>
      <x v="9"/>
      <x v="5"/>
    </i>
    <i t="default">
      <x v="18"/>
    </i>
    <i>
      <x v="19"/>
      <x v="65"/>
      <x v="9"/>
      <x v="3"/>
    </i>
    <i r="3">
      <x v="8"/>
    </i>
    <i r="1">
      <x v="66"/>
      <x v="3"/>
      <x v="6"/>
    </i>
    <i r="2">
      <x v="9"/>
      <x v="13"/>
    </i>
    <i r="3">
      <x v="17"/>
    </i>
    <i r="1">
      <x v="68"/>
      <x v="9"/>
      <x v="3"/>
    </i>
    <i r="1">
      <x v="70"/>
      <x v="9"/>
      <x v="6"/>
    </i>
    <i r="1">
      <x v="71"/>
      <x v="9"/>
      <x v="6"/>
    </i>
    <i r="1">
      <x v="74"/>
      <x v="9"/>
      <x v="13"/>
    </i>
    <i t="default">
      <x v="19"/>
    </i>
    <i t="grand">
      <x/>
    </i>
  </rowItems>
  <colItems count="1">
    <i/>
  </colItems>
  <pageFields count="1">
    <pageField fld="10" hier="-1"/>
  </pageFields>
  <dataFields count="1">
    <dataField name="Зарплата" fld="7" baseField="5" baseItem="1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Сводная таблица2" cacheId="63" applyNumberFormats="0" applyBorderFormats="0" applyFontFormats="0" applyPatternFormats="0" applyAlignmentFormats="0" applyWidthHeightFormats="1" dataCaption="Значения" updatedVersion="7" minRefreshableVersion="3" itemPrintTitles="1" createdVersion="6" indent="0" outline="1" outlineData="1" multipleFieldFilters="0" fieldListSortAscending="1">
  <location ref="G4:L107" firstHeaderRow="0" firstDataRow="1" firstDataCol="4"/>
  <pivotFields count="21">
    <pivotField axis="axisRow" outline="0" showAll="0">
      <items count="20"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 defaultSubtotal="0"/>
    <pivotField showAll="0" defaultSubtotal="0"/>
    <pivotField axis="axisRow" outline="0" multipleItemSelectionAllowed="1" showAll="0" defaultSubtotal="0">
      <items count="94">
        <item m="1" x="60"/>
        <item m="1" x="41"/>
        <item m="1" x="70"/>
        <item m="1" x="12"/>
        <item m="1" x="88"/>
        <item m="1" x="16"/>
        <item m="1" x="15"/>
        <item m="1" x="17"/>
        <item m="1" x="32"/>
        <item m="1" x="66"/>
        <item m="1" x="39"/>
        <item m="1" x="93"/>
        <item m="1" x="76"/>
        <item m="1" x="22"/>
        <item m="1" x="49"/>
        <item m="1" x="50"/>
        <item m="1" x="29"/>
        <item m="1" x="52"/>
        <item m="1" x="59"/>
        <item m="1" x="69"/>
        <item m="1" x="55"/>
        <item m="1" x="53"/>
        <item m="1" x="24"/>
        <item m="1" x="79"/>
        <item m="1" x="36"/>
        <item m="1" x="72"/>
        <item x="0"/>
        <item m="1" x="80"/>
        <item m="1" x="54"/>
        <item m="1" x="61"/>
        <item m="1" x="42"/>
        <item m="1" x="46"/>
        <item m="1" x="62"/>
        <item m="1" x="82"/>
        <item m="1" x="64"/>
        <item m="1" x="21"/>
        <item x="10"/>
        <item m="1" x="25"/>
        <item m="1" x="31"/>
        <item m="1" x="91"/>
        <item m="1" x="30"/>
        <item m="1" x="74"/>
        <item m="1" x="77"/>
        <item m="1" x="73"/>
        <item m="1" x="83"/>
        <item m="1" x="65"/>
        <item m="1" x="57"/>
        <item m="1" x="35"/>
        <item m="1" x="56"/>
        <item m="1" x="38"/>
        <item m="1" x="20"/>
        <item m="1" x="84"/>
        <item m="1" x="51"/>
        <item m="1" x="26"/>
        <item m="1" x="89"/>
        <item m="1" x="71"/>
        <item m="1" x="68"/>
        <item m="1" x="87"/>
        <item m="1" x="45"/>
        <item m="1" x="40"/>
        <item m="1" x="18"/>
        <item m="1" x="48"/>
        <item m="1" x="86"/>
        <item m="1" x="28"/>
        <item m="1" x="34"/>
        <item m="1" x="19"/>
        <item m="1" x="58"/>
        <item m="1" x="85"/>
        <item m="1" x="92"/>
        <item m="1" x="63"/>
        <item m="1" x="33"/>
        <item m="1" x="13"/>
        <item m="1" x="67"/>
        <item m="1" x="81"/>
        <item m="1" x="43"/>
        <item m="1" x="14"/>
        <item m="1" x="78"/>
        <item m="1" x="44"/>
        <item m="1" x="37"/>
        <item m="1" x="47"/>
        <item m="1" x="23"/>
        <item m="1" x="11"/>
        <item m="1" x="75"/>
        <item m="1" x="27"/>
        <item m="1" x="90"/>
        <item x="1"/>
        <item x="2"/>
        <item x="3"/>
        <item x="4"/>
        <item x="5"/>
        <item h="1" x="6"/>
        <item x="7"/>
        <item x="8"/>
        <item x="9"/>
      </items>
    </pivotField>
    <pivotField showAll="0"/>
    <pivotField axis="axisRow" outline="0" showAll="0" sortType="ascending" defaultSubtotal="0">
      <items count="20">
        <item m="1" x="18"/>
        <item m="1" x="17"/>
        <item m="1" x="19"/>
        <item x="1"/>
        <item x="4"/>
        <item x="10"/>
        <item x="3"/>
        <item x="13"/>
        <item x="2"/>
        <item x="16"/>
        <item x="15"/>
        <item x="9"/>
        <item x="12"/>
        <item x="14"/>
        <item x="7"/>
        <item x="0"/>
        <item x="8"/>
        <item x="5"/>
        <item x="11"/>
        <item x="6"/>
      </items>
    </pivotField>
    <pivotField axis="axisRow" outline="0" showAll="0" defaultSubtotal="0">
      <items count="8">
        <item x="4"/>
        <item x="3"/>
        <item x="0"/>
        <item x="1"/>
        <item x="2"/>
        <item x="5"/>
        <item x="6"/>
        <item x="7"/>
      </items>
    </pivotField>
    <pivotField showAll="0"/>
    <pivotField outlin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4">
    <field x="0"/>
    <field x="12"/>
    <field x="10"/>
    <field x="13"/>
  </rowFields>
  <rowItems count="103">
    <i>
      <x/>
      <x v="19"/>
      <x v="36"/>
      <x v="2"/>
    </i>
    <i t="default">
      <x/>
    </i>
    <i>
      <x v="1"/>
      <x v="15"/>
      <x v="26"/>
      <x v="2"/>
    </i>
    <i t="default">
      <x v="1"/>
    </i>
    <i>
      <x v="2"/>
      <x v="3"/>
      <x v="85"/>
      <x v="3"/>
    </i>
    <i r="2">
      <x v="89"/>
      <x v="3"/>
    </i>
    <i r="1">
      <x v="4"/>
      <x v="88"/>
      <x v="2"/>
    </i>
    <i r="1">
      <x v="6"/>
      <x v="85"/>
      <x v="4"/>
    </i>
    <i r="2">
      <x v="87"/>
      <x v="3"/>
    </i>
    <i r="1">
      <x v="8"/>
      <x v="86"/>
      <x v="3"/>
    </i>
    <i r="1">
      <x v="17"/>
      <x v="87"/>
      <x v="3"/>
    </i>
    <i t="default">
      <x v="2"/>
    </i>
    <i>
      <x v="3"/>
      <x v="3"/>
      <x v="86"/>
      <x v="3"/>
    </i>
    <i r="2">
      <x v="87"/>
      <x v="3"/>
    </i>
    <i r="2">
      <x v="88"/>
      <x v="2"/>
    </i>
    <i r="1">
      <x v="6"/>
      <x v="85"/>
      <x v="2"/>
    </i>
    <i r="2">
      <x v="86"/>
      <x v="2"/>
    </i>
    <i r="2">
      <x v="87"/>
      <x v="4"/>
    </i>
    <i r="1">
      <x v="14"/>
      <x v="88"/>
      <x v="2"/>
    </i>
    <i r="1">
      <x v="19"/>
      <x v="86"/>
      <x v="2"/>
    </i>
    <i t="default">
      <x v="3"/>
    </i>
    <i>
      <x v="4"/>
      <x v="8"/>
      <x v="87"/>
      <x v="2"/>
    </i>
    <i r="1">
      <x v="11"/>
      <x v="88"/>
      <x/>
    </i>
    <i r="1">
      <x v="14"/>
      <x v="88"/>
      <x v="2"/>
    </i>
    <i r="1">
      <x v="16"/>
      <x v="87"/>
      <x v="2"/>
    </i>
    <i r="1">
      <x v="19"/>
      <x v="86"/>
      <x v="3"/>
    </i>
    <i r="3">
      <x v="5"/>
    </i>
    <i r="2">
      <x v="87"/>
      <x v="2"/>
    </i>
    <i r="3">
      <x v="5"/>
    </i>
    <i r="2">
      <x v="89"/>
      <x v="3"/>
    </i>
    <i t="default">
      <x v="4"/>
    </i>
    <i>
      <x v="5"/>
      <x v="3"/>
      <x v="85"/>
      <x v="1"/>
    </i>
    <i r="2">
      <x v="87"/>
      <x v="3"/>
    </i>
    <i r="1">
      <x v="6"/>
      <x v="87"/>
      <x v="4"/>
    </i>
    <i r="1">
      <x v="11"/>
      <x v="88"/>
      <x v="3"/>
    </i>
    <i t="default">
      <x v="5"/>
    </i>
    <i>
      <x v="6"/>
      <x v="3"/>
      <x v="88"/>
      <x v="2"/>
    </i>
    <i r="1">
      <x v="5"/>
      <x v="88"/>
      <x v="2"/>
    </i>
    <i r="1">
      <x v="8"/>
      <x v="85"/>
      <x v="4"/>
    </i>
    <i r="1">
      <x v="17"/>
      <x v="87"/>
      <x v="3"/>
    </i>
    <i r="1">
      <x v="18"/>
      <x v="87"/>
      <x v="3"/>
    </i>
    <i t="default">
      <x v="6"/>
    </i>
    <i>
      <x v="7"/>
      <x v="6"/>
      <x v="87"/>
      <x v="2"/>
    </i>
    <i r="1">
      <x v="12"/>
      <x v="87"/>
      <x v="2"/>
    </i>
    <i r="1">
      <x v="16"/>
      <x v="85"/>
      <x v="2"/>
    </i>
    <i r="1">
      <x v="19"/>
      <x v="87"/>
      <x v="2"/>
    </i>
    <i t="default">
      <x v="7"/>
    </i>
    <i>
      <x v="8"/>
      <x v="3"/>
      <x v="86"/>
      <x v="3"/>
    </i>
    <i r="1">
      <x v="5"/>
      <x v="87"/>
      <x v="2"/>
    </i>
    <i r="1">
      <x v="6"/>
      <x v="85"/>
      <x v="2"/>
    </i>
    <i r="1">
      <x v="7"/>
      <x v="87"/>
      <x v="2"/>
    </i>
    <i r="1">
      <x v="11"/>
      <x v="88"/>
      <x v="3"/>
    </i>
    <i t="default">
      <x v="8"/>
    </i>
    <i>
      <x v="9"/>
      <x v="6"/>
      <x v="86"/>
      <x v="2"/>
    </i>
    <i r="1">
      <x v="19"/>
      <x v="85"/>
      <x/>
    </i>
    <i r="2">
      <x v="87"/>
      <x v="2"/>
    </i>
    <i t="default">
      <x v="9"/>
    </i>
    <i>
      <x v="10"/>
      <x v="8"/>
      <x v="85"/>
      <x v="2"/>
    </i>
    <i r="1">
      <x v="13"/>
      <x v="86"/>
      <x v="3"/>
    </i>
    <i r="1">
      <x v="19"/>
      <x v="85"/>
      <x v="4"/>
    </i>
    <i t="default">
      <x v="10"/>
    </i>
    <i>
      <x v="11"/>
      <x v="3"/>
      <x v="85"/>
      <x v="3"/>
    </i>
    <i r="2">
      <x v="86"/>
      <x v="3"/>
    </i>
    <i t="default">
      <x v="11"/>
    </i>
    <i>
      <x v="12"/>
      <x v="3"/>
      <x v="86"/>
      <x v="3"/>
    </i>
    <i r="2">
      <x v="87"/>
      <x v="4"/>
    </i>
    <i r="1">
      <x v="6"/>
      <x v="87"/>
      <x v="4"/>
    </i>
    <i r="1">
      <x v="10"/>
      <x v="88"/>
      <x v="2"/>
    </i>
    <i r="1">
      <x v="13"/>
      <x v="85"/>
      <x v="3"/>
    </i>
    <i r="1">
      <x v="19"/>
      <x v="86"/>
      <x v="4"/>
    </i>
    <i t="default">
      <x v="12"/>
    </i>
    <i>
      <x v="13"/>
      <x v="3"/>
      <x v="87"/>
      <x v="3"/>
    </i>
    <i r="1">
      <x v="19"/>
      <x v="85"/>
      <x v="2"/>
    </i>
    <i t="default">
      <x v="13"/>
    </i>
    <i>
      <x v="14"/>
      <x v="8"/>
      <x v="87"/>
      <x v="2"/>
    </i>
    <i r="1">
      <x v="19"/>
      <x v="87"/>
      <x v="2"/>
    </i>
    <i t="default">
      <x v="14"/>
    </i>
    <i>
      <x v="15"/>
      <x v="9"/>
      <x v="87"/>
      <x v="2"/>
    </i>
    <i t="default">
      <x v="15"/>
    </i>
    <i>
      <x v="16"/>
      <x v="6"/>
      <x v="87"/>
      <x v="3"/>
    </i>
    <i r="1">
      <x v="9"/>
      <x v="85"/>
      <x v="6"/>
    </i>
    <i r="1">
      <x v="11"/>
      <x v="92"/>
      <x v="2"/>
    </i>
    <i r="3">
      <x v="4"/>
    </i>
    <i r="1">
      <x v="14"/>
      <x v="85"/>
      <x v="6"/>
    </i>
    <i r="1">
      <x v="19"/>
      <x v="91"/>
      <x v="6"/>
    </i>
    <i t="default">
      <x v="16"/>
    </i>
    <i>
      <x v="17"/>
      <x v="3"/>
      <x v="86"/>
      <x v="5"/>
    </i>
    <i r="1">
      <x v="6"/>
      <x v="87"/>
      <x v="4"/>
    </i>
    <i t="default">
      <x v="17"/>
    </i>
    <i>
      <x v="18"/>
      <x v="3"/>
      <x v="85"/>
      <x v="3"/>
    </i>
    <i r="2">
      <x v="86"/>
      <x v="3"/>
    </i>
    <i r="2">
      <x v="89"/>
      <x v="3"/>
    </i>
    <i r="1">
      <x v="4"/>
      <x v="85"/>
      <x v="3"/>
    </i>
    <i r="2">
      <x v="86"/>
      <x v="3"/>
    </i>
    <i r="2">
      <x v="89"/>
      <x v="3"/>
    </i>
    <i r="2">
      <x v="93"/>
      <x v="3"/>
    </i>
    <i r="1">
      <x v="5"/>
      <x v="87"/>
      <x v="5"/>
    </i>
    <i r="1">
      <x v="6"/>
      <x v="87"/>
      <x v="3"/>
    </i>
    <i r="1">
      <x v="8"/>
      <x v="87"/>
      <x v="5"/>
    </i>
    <i r="1">
      <x v="13"/>
      <x v="86"/>
      <x v="7"/>
    </i>
    <i r="1">
      <x v="19"/>
      <x v="87"/>
      <x v="5"/>
    </i>
    <i t="default"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Приход" fld="6" baseField="0" baseItem="1" numFmtId="164"/>
    <dataField name="Расход" fld="7" baseField="0" baseItem="1" numFmtId="164"/>
  </dataField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Сводная таблица1" cacheId="63" applyNumberFormats="0" applyBorderFormats="0" applyFontFormats="0" applyPatternFormats="0" applyAlignmentFormats="0" applyWidthHeightFormats="1" dataCaption="Значения" updatedVersion="7" minRefreshableVersion="3" itemPrintTitles="1" createdVersion="6" indent="0" outline="1" outlineData="1" multipleFieldFilters="0" fieldListSortAscending="1">
  <location ref="B4:D24" firstHeaderRow="0" firstDataRow="1" firstDataCol="1" rowPageCount="1" colPageCount="1"/>
  <pivotFields count="21">
    <pivotField axis="axisRow" outline="0" showAll="0" sortType="ascending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 defaultSubtotal="0"/>
    <pivotField showAll="0" defaultSubtotal="0"/>
    <pivotField axis="axisPage" multipleItemSelectionAllowed="1" showAll="0">
      <items count="95">
        <item m="1" x="60"/>
        <item x="9"/>
        <item m="1" x="90"/>
        <item m="1" x="41"/>
        <item m="1" x="19"/>
        <item m="1" x="70"/>
        <item m="1" x="12"/>
        <item x="5"/>
        <item m="1" x="37"/>
        <item m="1" x="88"/>
        <item m="1" x="16"/>
        <item m="1" x="15"/>
        <item m="1" x="17"/>
        <item m="1" x="32"/>
        <item m="1" x="66"/>
        <item h="1" x="6"/>
        <item x="7"/>
        <item m="1" x="87"/>
        <item m="1" x="92"/>
        <item m="1" x="28"/>
        <item m="1" x="14"/>
        <item m="1" x="27"/>
        <item m="1" x="39"/>
        <item m="1" x="93"/>
        <item m="1" x="76"/>
        <item m="1" x="22"/>
        <item m="1" x="49"/>
        <item m="1" x="20"/>
        <item m="1" x="50"/>
        <item x="3"/>
        <item m="1" x="68"/>
        <item m="1" x="89"/>
        <item m="1" x="74"/>
        <item m="1" x="25"/>
        <item m="1" x="91"/>
        <item m="1" x="51"/>
        <item m="1" x="73"/>
        <item m="1" x="18"/>
        <item m="1" x="57"/>
        <item m="1" x="26"/>
        <item m="1" x="84"/>
        <item m="1" x="33"/>
        <item m="1" x="40"/>
        <item m="1" x="63"/>
        <item m="1" x="35"/>
        <item m="1" x="75"/>
        <item m="1" x="71"/>
        <item m="1" x="56"/>
        <item m="1" x="65"/>
        <item m="1" x="29"/>
        <item m="1" x="52"/>
        <item m="1" x="59"/>
        <item m="1" x="69"/>
        <item m="1" x="55"/>
        <item m="1" x="53"/>
        <item m="1" x="13"/>
        <item m="1" x="78"/>
        <item m="1" x="44"/>
        <item m="1" x="24"/>
        <item m="1" x="30"/>
        <item m="1" x="45"/>
        <item m="1" x="85"/>
        <item x="2"/>
        <item m="1" x="79"/>
        <item m="1" x="36"/>
        <item m="1" x="38"/>
        <item x="8"/>
        <item m="1" x="43"/>
        <item m="1" x="67"/>
        <item m="1" x="81"/>
        <item m="1" x="72"/>
        <item m="1" x="31"/>
        <item x="0"/>
        <item m="1" x="77"/>
        <item m="1" x="83"/>
        <item m="1" x="47"/>
        <item m="1" x="86"/>
        <item m="1" x="80"/>
        <item m="1" x="54"/>
        <item x="4"/>
        <item m="1" x="23"/>
        <item m="1" x="58"/>
        <item m="1" x="61"/>
        <item m="1" x="34"/>
        <item m="1" x="42"/>
        <item m="1" x="46"/>
        <item m="1" x="62"/>
        <item m="1" x="11"/>
        <item m="1" x="48"/>
        <item x="1"/>
        <item m="1" x="82"/>
        <item m="1" x="64"/>
        <item m="1" x="21"/>
        <item x="10"/>
        <item t="default"/>
      </items>
    </pivotField>
    <pivotField showAll="0"/>
    <pivotField outline="0" showAll="0" defaultSubtotal="0"/>
    <pivotField outline="0" showAll="0" defaultSubtotal="0"/>
    <pivotField showAll="0"/>
    <pivotField outlin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Приход" fld="6" baseField="0" baseItem="5" numFmtId="164"/>
    <dataField name="Расход" fld="7" baseField="0" baseItem="5" numFmtId="164"/>
  </dataField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Сводная таблица4" cacheId="63" applyNumberFormats="0" applyBorderFormats="0" applyFontFormats="0" applyPatternFormats="0" applyAlignmentFormats="0" applyWidthHeightFormats="1" dataCaption="Значения" updatedVersion="7" minRefreshableVersion="3" itemPrintTitles="1" createdVersion="6" indent="0" outline="1" outlineData="1" multipleFieldFilters="0" fieldListSortAscending="1">
  <location ref="Y4:AG108" firstHeaderRow="1" firstDataRow="2" firstDataCol="4"/>
  <pivotFields count="21">
    <pivotField axis="axisRow" outline="0" showAll="0">
      <items count="20"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 defaultSubtotal="0"/>
    <pivotField showAll="0" defaultSubtotal="0"/>
    <pivotField axis="axisRow" multipleItemSelectionAllowed="1" showAll="0">
      <items count="95">
        <item m="1" x="60"/>
        <item m="1" x="41"/>
        <item m="1" x="70"/>
        <item m="1" x="12"/>
        <item m="1" x="88"/>
        <item m="1" x="16"/>
        <item m="1" x="15"/>
        <item m="1" x="17"/>
        <item m="1" x="32"/>
        <item m="1" x="66"/>
        <item m="1" x="39"/>
        <item m="1" x="93"/>
        <item m="1" x="76"/>
        <item m="1" x="22"/>
        <item m="1" x="49"/>
        <item m="1" x="50"/>
        <item m="1" x="29"/>
        <item m="1" x="52"/>
        <item m="1" x="59"/>
        <item m="1" x="69"/>
        <item m="1" x="55"/>
        <item m="1" x="53"/>
        <item m="1" x="24"/>
        <item m="1" x="79"/>
        <item m="1" x="36"/>
        <item m="1" x="72"/>
        <item x="0"/>
        <item m="1" x="80"/>
        <item m="1" x="54"/>
        <item m="1" x="61"/>
        <item m="1" x="42"/>
        <item m="1" x="46"/>
        <item m="1" x="62"/>
        <item m="1" x="82"/>
        <item m="1" x="64"/>
        <item m="1" x="21"/>
        <item x="10"/>
        <item m="1" x="25"/>
        <item m="1" x="31"/>
        <item m="1" x="91"/>
        <item m="1" x="30"/>
        <item m="1" x="74"/>
        <item m="1" x="77"/>
        <item m="1" x="73"/>
        <item m="1" x="83"/>
        <item m="1" x="65"/>
        <item m="1" x="57"/>
        <item m="1" x="35"/>
        <item m="1" x="56"/>
        <item m="1" x="38"/>
        <item m="1" x="20"/>
        <item m="1" x="84"/>
        <item m="1" x="51"/>
        <item m="1" x="26"/>
        <item m="1" x="89"/>
        <item m="1" x="71"/>
        <item m="1" x="68"/>
        <item m="1" x="87"/>
        <item m="1" x="45"/>
        <item m="1" x="40"/>
        <item m="1" x="18"/>
        <item m="1" x="48"/>
        <item m="1" x="86"/>
        <item m="1" x="28"/>
        <item m="1" x="34"/>
        <item m="1" x="19"/>
        <item m="1" x="58"/>
        <item m="1" x="85"/>
        <item m="1" x="92"/>
        <item m="1" x="63"/>
        <item m="1" x="33"/>
        <item m="1" x="13"/>
        <item m="1" x="67"/>
        <item m="1" x="81"/>
        <item m="1" x="43"/>
        <item m="1" x="14"/>
        <item m="1" x="78"/>
        <item m="1" x="44"/>
        <item m="1" x="37"/>
        <item m="1" x="47"/>
        <item m="1" x="23"/>
        <item m="1" x="11"/>
        <item m="1" x="75"/>
        <item m="1" x="27"/>
        <item m="1" x="90"/>
        <item x="1"/>
        <item x="2"/>
        <item x="3"/>
        <item x="4"/>
        <item x="5"/>
        <item h="1" x="6"/>
        <item x="7"/>
        <item x="8"/>
        <item x="9"/>
        <item t="default"/>
      </items>
    </pivotField>
    <pivotField showAll="0"/>
    <pivotField axis="axisRow" outline="0" showAll="0" defaultSubtotal="0">
      <items count="20">
        <item x="6"/>
        <item m="1" x="18"/>
        <item m="1" x="19"/>
        <item m="1" x="17"/>
        <item x="0"/>
        <item x="1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</items>
    </pivotField>
    <pivotField axis="axisRow" outline="0" showAll="0" defaultSubtotal="0">
      <items count="8">
        <item x="4"/>
        <item x="3"/>
        <item x="0"/>
        <item x="1"/>
        <item x="2"/>
        <item x="5"/>
        <item x="6"/>
        <item x="7"/>
      </items>
    </pivotField>
    <pivotField axis="axisCol" showAll="0">
      <items count="5">
        <item x="1"/>
        <item x="2"/>
        <item x="3"/>
        <item x="0"/>
        <item t="default"/>
      </items>
    </pivotField>
    <pivotField outlin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4">
    <field x="0"/>
    <field x="12"/>
    <field x="13"/>
    <field x="10"/>
  </rowFields>
  <rowItems count="103">
    <i>
      <x/>
      <x/>
      <x v="2"/>
      <x v="36"/>
    </i>
    <i t="default">
      <x/>
    </i>
    <i>
      <x v="1"/>
      <x v="4"/>
      <x v="2"/>
      <x v="26"/>
    </i>
    <i t="default">
      <x v="1"/>
    </i>
    <i>
      <x v="2"/>
      <x v="5"/>
      <x v="3"/>
      <x v="85"/>
    </i>
    <i r="3">
      <x v="89"/>
    </i>
    <i r="1">
      <x v="6"/>
      <x v="3"/>
      <x v="86"/>
    </i>
    <i r="1">
      <x v="7"/>
      <x v="3"/>
      <x v="87"/>
    </i>
    <i r="2">
      <x v="4"/>
      <x v="85"/>
    </i>
    <i r="1">
      <x v="8"/>
      <x v="2"/>
      <x v="88"/>
    </i>
    <i r="1">
      <x v="9"/>
      <x v="3"/>
      <x v="87"/>
    </i>
    <i t="default">
      <x v="2"/>
    </i>
    <i>
      <x v="3"/>
      <x/>
      <x v="2"/>
      <x v="86"/>
    </i>
    <i r="1">
      <x v="5"/>
      <x v="2"/>
      <x v="88"/>
    </i>
    <i r="2">
      <x v="3"/>
      <x v="86"/>
    </i>
    <i r="3">
      <x v="87"/>
    </i>
    <i r="1">
      <x v="7"/>
      <x v="2"/>
      <x v="85"/>
    </i>
    <i r="3">
      <x v="86"/>
    </i>
    <i r="2">
      <x v="4"/>
      <x v="87"/>
    </i>
    <i r="1">
      <x v="10"/>
      <x v="2"/>
      <x v="88"/>
    </i>
    <i t="default">
      <x v="3"/>
    </i>
    <i>
      <x v="4"/>
      <x/>
      <x v="2"/>
      <x v="87"/>
    </i>
    <i r="2">
      <x v="3"/>
      <x v="86"/>
    </i>
    <i r="3">
      <x v="89"/>
    </i>
    <i r="2">
      <x v="5"/>
      <x v="86"/>
    </i>
    <i r="3">
      <x v="87"/>
    </i>
    <i r="1">
      <x v="6"/>
      <x v="2"/>
      <x v="87"/>
    </i>
    <i r="1">
      <x v="10"/>
      <x v="2"/>
      <x v="88"/>
    </i>
    <i r="1">
      <x v="11"/>
      <x v="2"/>
      <x v="87"/>
    </i>
    <i r="1">
      <x v="12"/>
      <x/>
      <x v="88"/>
    </i>
    <i t="default">
      <x v="4"/>
    </i>
    <i>
      <x v="5"/>
      <x v="5"/>
      <x v="1"/>
      <x v="85"/>
    </i>
    <i r="2">
      <x v="3"/>
      <x v="87"/>
    </i>
    <i r="1">
      <x v="7"/>
      <x v="4"/>
      <x v="87"/>
    </i>
    <i r="1">
      <x v="12"/>
      <x v="3"/>
      <x v="88"/>
    </i>
    <i t="default">
      <x v="5"/>
    </i>
    <i>
      <x v="6"/>
      <x v="5"/>
      <x v="2"/>
      <x v="88"/>
    </i>
    <i r="1">
      <x v="6"/>
      <x v="4"/>
      <x v="85"/>
    </i>
    <i r="1">
      <x v="9"/>
      <x v="3"/>
      <x v="87"/>
    </i>
    <i r="1">
      <x v="13"/>
      <x v="2"/>
      <x v="88"/>
    </i>
    <i r="1">
      <x v="14"/>
      <x v="3"/>
      <x v="87"/>
    </i>
    <i t="default">
      <x v="6"/>
    </i>
    <i>
      <x v="7"/>
      <x/>
      <x v="2"/>
      <x v="87"/>
    </i>
    <i r="1">
      <x v="7"/>
      <x v="2"/>
      <x v="87"/>
    </i>
    <i r="1">
      <x v="11"/>
      <x v="2"/>
      <x v="85"/>
    </i>
    <i r="1">
      <x v="15"/>
      <x v="2"/>
      <x v="87"/>
    </i>
    <i t="default">
      <x v="7"/>
    </i>
    <i>
      <x v="8"/>
      <x v="5"/>
      <x v="3"/>
      <x v="86"/>
    </i>
    <i r="1">
      <x v="7"/>
      <x v="2"/>
      <x v="85"/>
    </i>
    <i r="1">
      <x v="12"/>
      <x v="3"/>
      <x v="88"/>
    </i>
    <i r="1">
      <x v="13"/>
      <x v="2"/>
      <x v="87"/>
    </i>
    <i r="1">
      <x v="16"/>
      <x v="2"/>
      <x v="87"/>
    </i>
    <i t="default">
      <x v="8"/>
    </i>
    <i>
      <x v="9"/>
      <x/>
      <x/>
      <x v="85"/>
    </i>
    <i r="2">
      <x v="2"/>
      <x v="87"/>
    </i>
    <i r="1">
      <x v="7"/>
      <x v="2"/>
      <x v="86"/>
    </i>
    <i t="default">
      <x v="9"/>
    </i>
    <i>
      <x v="10"/>
      <x/>
      <x v="4"/>
      <x v="85"/>
    </i>
    <i r="1">
      <x v="6"/>
      <x v="2"/>
      <x v="85"/>
    </i>
    <i r="1">
      <x v="17"/>
      <x v="3"/>
      <x v="86"/>
    </i>
    <i t="default">
      <x v="10"/>
    </i>
    <i>
      <x v="11"/>
      <x v="5"/>
      <x v="3"/>
      <x v="85"/>
    </i>
    <i r="3">
      <x v="86"/>
    </i>
    <i t="default">
      <x v="11"/>
    </i>
    <i>
      <x v="12"/>
      <x/>
      <x v="4"/>
      <x v="86"/>
    </i>
    <i r="1">
      <x v="5"/>
      <x v="3"/>
      <x v="86"/>
    </i>
    <i r="2">
      <x v="4"/>
      <x v="87"/>
    </i>
    <i r="1">
      <x v="7"/>
      <x v="4"/>
      <x v="87"/>
    </i>
    <i r="1">
      <x v="17"/>
      <x v="3"/>
      <x v="85"/>
    </i>
    <i r="1">
      <x v="18"/>
      <x v="2"/>
      <x v="88"/>
    </i>
    <i t="default">
      <x v="12"/>
    </i>
    <i>
      <x v="13"/>
      <x/>
      <x v="2"/>
      <x v="85"/>
    </i>
    <i r="1">
      <x v="5"/>
      <x v="3"/>
      <x v="87"/>
    </i>
    <i t="default">
      <x v="13"/>
    </i>
    <i>
      <x v="14"/>
      <x/>
      <x v="2"/>
      <x v="87"/>
    </i>
    <i r="1">
      <x v="6"/>
      <x v="2"/>
      <x v="87"/>
    </i>
    <i t="default">
      <x v="14"/>
    </i>
    <i>
      <x v="15"/>
      <x v="19"/>
      <x v="2"/>
      <x v="87"/>
    </i>
    <i t="default">
      <x v="15"/>
    </i>
    <i>
      <x v="16"/>
      <x/>
      <x v="6"/>
      <x v="91"/>
    </i>
    <i r="1">
      <x v="7"/>
      <x v="3"/>
      <x v="87"/>
    </i>
    <i r="1">
      <x v="10"/>
      <x v="6"/>
      <x v="85"/>
    </i>
    <i r="1">
      <x v="12"/>
      <x v="2"/>
      <x v="92"/>
    </i>
    <i r="2">
      <x v="4"/>
      <x v="92"/>
    </i>
    <i r="1">
      <x v="19"/>
      <x v="6"/>
      <x v="85"/>
    </i>
    <i t="default">
      <x v="16"/>
    </i>
    <i>
      <x v="17"/>
      <x v="5"/>
      <x v="5"/>
      <x v="86"/>
    </i>
    <i r="1">
      <x v="7"/>
      <x v="4"/>
      <x v="87"/>
    </i>
    <i t="default">
      <x v="17"/>
    </i>
    <i>
      <x v="18"/>
      <x/>
      <x v="5"/>
      <x v="87"/>
    </i>
    <i r="1">
      <x v="5"/>
      <x v="3"/>
      <x v="85"/>
    </i>
    <i r="3">
      <x v="86"/>
    </i>
    <i r="3">
      <x v="89"/>
    </i>
    <i r="1">
      <x v="6"/>
      <x v="5"/>
      <x v="87"/>
    </i>
    <i r="1">
      <x v="7"/>
      <x v="3"/>
      <x v="87"/>
    </i>
    <i r="1">
      <x v="8"/>
      <x v="3"/>
      <x v="85"/>
    </i>
    <i r="3">
      <x v="86"/>
    </i>
    <i r="3">
      <x v="89"/>
    </i>
    <i r="3">
      <x v="93"/>
    </i>
    <i r="1">
      <x v="13"/>
      <x v="5"/>
      <x v="87"/>
    </i>
    <i r="1">
      <x v="17"/>
      <x v="7"/>
      <x v="86"/>
    </i>
    <i t="default">
      <x v="18"/>
    </i>
    <i t="grand">
      <x/>
    </i>
  </rowItems>
  <colFields count="1">
    <field x="14"/>
  </colFields>
  <colItems count="5">
    <i>
      <x/>
    </i>
    <i>
      <x v="1"/>
    </i>
    <i>
      <x v="2"/>
    </i>
    <i>
      <x v="3"/>
    </i>
    <i t="grand">
      <x/>
    </i>
  </colItems>
  <dataFields count="1">
    <dataField name="Сумма по полю Расход всего" fld="7" baseField="0" baseItem="0" numFmtId="164"/>
  </dataField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Сводная таблица3" cacheId="63" applyNumberFormats="0" applyBorderFormats="0" applyFontFormats="0" applyPatternFormats="0" applyAlignmentFormats="0" applyWidthHeightFormats="1" dataCaption="Значения" updatedVersion="7" minRefreshableVersion="3" itemPrintTitles="1" createdVersion="6" indent="0" outline="1" outlineData="1" multipleFieldFilters="0" fieldListSortAscending="1">
  <location ref="O4:W107" firstHeaderRow="0" firstDataRow="1" firstDataCol="4"/>
  <pivotFields count="21">
    <pivotField axis="axisRow" outline="0" showAll="0">
      <items count="20"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 defaultSubtotal="0"/>
    <pivotField showAll="0" defaultSubtotal="0"/>
    <pivotField axis="axisRow" multipleItemSelectionAllowed="1" showAll="0">
      <items count="95">
        <item m="1" x="60"/>
        <item m="1" x="41"/>
        <item m="1" x="70"/>
        <item m="1" x="12"/>
        <item m="1" x="88"/>
        <item m="1" x="16"/>
        <item m="1" x="15"/>
        <item m="1" x="17"/>
        <item m="1" x="32"/>
        <item m="1" x="66"/>
        <item m="1" x="39"/>
        <item m="1" x="93"/>
        <item m="1" x="76"/>
        <item m="1" x="22"/>
        <item m="1" x="49"/>
        <item m="1" x="50"/>
        <item m="1" x="29"/>
        <item m="1" x="52"/>
        <item m="1" x="59"/>
        <item m="1" x="69"/>
        <item m="1" x="55"/>
        <item m="1" x="53"/>
        <item m="1" x="24"/>
        <item m="1" x="79"/>
        <item m="1" x="36"/>
        <item m="1" x="72"/>
        <item x="0"/>
        <item m="1" x="80"/>
        <item m="1" x="54"/>
        <item m="1" x="61"/>
        <item m="1" x="42"/>
        <item m="1" x="46"/>
        <item m="1" x="62"/>
        <item m="1" x="82"/>
        <item m="1" x="64"/>
        <item m="1" x="21"/>
        <item x="10"/>
        <item m="1" x="25"/>
        <item m="1" x="31"/>
        <item m="1" x="91"/>
        <item m="1" x="30"/>
        <item m="1" x="74"/>
        <item m="1" x="77"/>
        <item m="1" x="73"/>
        <item m="1" x="83"/>
        <item m="1" x="65"/>
        <item m="1" x="57"/>
        <item m="1" x="35"/>
        <item m="1" x="56"/>
        <item m="1" x="38"/>
        <item m="1" x="20"/>
        <item m="1" x="84"/>
        <item m="1" x="51"/>
        <item m="1" x="26"/>
        <item m="1" x="89"/>
        <item m="1" x="71"/>
        <item m="1" x="68"/>
        <item m="1" x="87"/>
        <item m="1" x="45"/>
        <item m="1" x="40"/>
        <item m="1" x="18"/>
        <item m="1" x="48"/>
        <item m="1" x="86"/>
        <item m="1" x="28"/>
        <item m="1" x="34"/>
        <item m="1" x="19"/>
        <item m="1" x="58"/>
        <item m="1" x="85"/>
        <item m="1" x="92"/>
        <item m="1" x="63"/>
        <item m="1" x="33"/>
        <item m="1" x="13"/>
        <item m="1" x="67"/>
        <item m="1" x="81"/>
        <item m="1" x="43"/>
        <item m="1" x="14"/>
        <item m="1" x="78"/>
        <item m="1" x="44"/>
        <item m="1" x="37"/>
        <item m="1" x="47"/>
        <item m="1" x="23"/>
        <item m="1" x="11"/>
        <item m="1" x="75"/>
        <item m="1" x="27"/>
        <item m="1" x="90"/>
        <item x="1"/>
        <item x="2"/>
        <item x="3"/>
        <item x="4"/>
        <item x="5"/>
        <item h="1" x="6"/>
        <item x="7"/>
        <item x="8"/>
        <item x="9"/>
        <item t="default"/>
      </items>
    </pivotField>
    <pivotField showAll="0"/>
    <pivotField axis="axisRow" outline="0" showAll="0" sortType="ascending" defaultSubtotal="0">
      <items count="20">
        <item m="1" x="18"/>
        <item m="1" x="17"/>
        <item m="1" x="19"/>
        <item x="1"/>
        <item x="4"/>
        <item x="10"/>
        <item x="3"/>
        <item x="13"/>
        <item x="2"/>
        <item x="16"/>
        <item x="15"/>
        <item x="9"/>
        <item x="12"/>
        <item x="14"/>
        <item x="7"/>
        <item x="0"/>
        <item x="8"/>
        <item x="5"/>
        <item x="11"/>
        <item x="6"/>
      </items>
    </pivotField>
    <pivotField axis="axisRow" outline="0" showAll="0" sortType="ascending" defaultSubtotal="0">
      <items count="8">
        <item x="7"/>
        <item x="2"/>
        <item x="1"/>
        <item x="4"/>
        <item x="3"/>
        <item x="5"/>
        <item x="6"/>
        <item x="0"/>
      </items>
    </pivotField>
    <pivotField showAll="0"/>
    <pivotField outlin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4">
    <field x="0"/>
    <field x="12"/>
    <field x="13"/>
    <field x="10"/>
  </rowFields>
  <rowItems count="103">
    <i>
      <x/>
      <x v="19"/>
      <x v="7"/>
      <x v="36"/>
    </i>
    <i t="default">
      <x/>
    </i>
    <i>
      <x v="1"/>
      <x v="15"/>
      <x v="7"/>
      <x v="26"/>
    </i>
    <i t="default">
      <x v="1"/>
    </i>
    <i>
      <x v="2"/>
      <x v="3"/>
      <x v="2"/>
      <x v="85"/>
    </i>
    <i r="3">
      <x v="89"/>
    </i>
    <i r="1">
      <x v="4"/>
      <x v="7"/>
      <x v="88"/>
    </i>
    <i r="1">
      <x v="6"/>
      <x v="1"/>
      <x v="85"/>
    </i>
    <i r="2">
      <x v="2"/>
      <x v="87"/>
    </i>
    <i r="1">
      <x v="8"/>
      <x v="2"/>
      <x v="86"/>
    </i>
    <i r="1">
      <x v="17"/>
      <x v="2"/>
      <x v="87"/>
    </i>
    <i t="default">
      <x v="2"/>
    </i>
    <i>
      <x v="3"/>
      <x v="3"/>
      <x v="2"/>
      <x v="86"/>
    </i>
    <i r="3">
      <x v="87"/>
    </i>
    <i r="2">
      <x v="7"/>
      <x v="88"/>
    </i>
    <i r="1">
      <x v="6"/>
      <x v="1"/>
      <x v="87"/>
    </i>
    <i r="2">
      <x v="7"/>
      <x v="85"/>
    </i>
    <i r="3">
      <x v="86"/>
    </i>
    <i r="1">
      <x v="14"/>
      <x v="7"/>
      <x v="88"/>
    </i>
    <i r="1">
      <x v="19"/>
      <x v="7"/>
      <x v="86"/>
    </i>
    <i t="default">
      <x v="3"/>
    </i>
    <i>
      <x v="4"/>
      <x v="8"/>
      <x v="7"/>
      <x v="87"/>
    </i>
    <i r="1">
      <x v="11"/>
      <x v="3"/>
      <x v="88"/>
    </i>
    <i r="1">
      <x v="14"/>
      <x v="7"/>
      <x v="88"/>
    </i>
    <i r="1">
      <x v="16"/>
      <x v="7"/>
      <x v="87"/>
    </i>
    <i r="1">
      <x v="19"/>
      <x v="2"/>
      <x v="86"/>
    </i>
    <i r="3">
      <x v="89"/>
    </i>
    <i r="2">
      <x v="5"/>
      <x v="86"/>
    </i>
    <i r="3">
      <x v="87"/>
    </i>
    <i r="2">
      <x v="7"/>
      <x v="87"/>
    </i>
    <i t="default">
      <x v="4"/>
    </i>
    <i>
      <x v="5"/>
      <x v="3"/>
      <x v="2"/>
      <x v="87"/>
    </i>
    <i r="2">
      <x v="4"/>
      <x v="85"/>
    </i>
    <i r="1">
      <x v="6"/>
      <x v="1"/>
      <x v="87"/>
    </i>
    <i r="1">
      <x v="11"/>
      <x v="2"/>
      <x v="88"/>
    </i>
    <i t="default">
      <x v="5"/>
    </i>
    <i>
      <x v="6"/>
      <x v="3"/>
      <x v="7"/>
      <x v="88"/>
    </i>
    <i r="1">
      <x v="5"/>
      <x v="7"/>
      <x v="88"/>
    </i>
    <i r="1">
      <x v="8"/>
      <x v="1"/>
      <x v="85"/>
    </i>
    <i r="1">
      <x v="17"/>
      <x v="2"/>
      <x v="87"/>
    </i>
    <i r="1">
      <x v="18"/>
      <x v="2"/>
      <x v="87"/>
    </i>
    <i t="default">
      <x v="6"/>
    </i>
    <i>
      <x v="7"/>
      <x v="6"/>
      <x v="7"/>
      <x v="87"/>
    </i>
    <i r="1">
      <x v="12"/>
      <x v="7"/>
      <x v="87"/>
    </i>
    <i r="1">
      <x v="16"/>
      <x v="7"/>
      <x v="85"/>
    </i>
    <i r="1">
      <x v="19"/>
      <x v="7"/>
      <x v="87"/>
    </i>
    <i t="default">
      <x v="7"/>
    </i>
    <i>
      <x v="8"/>
      <x v="3"/>
      <x v="2"/>
      <x v="86"/>
    </i>
    <i r="1">
      <x v="5"/>
      <x v="7"/>
      <x v="87"/>
    </i>
    <i r="1">
      <x v="6"/>
      <x v="7"/>
      <x v="85"/>
    </i>
    <i r="1">
      <x v="7"/>
      <x v="7"/>
      <x v="87"/>
    </i>
    <i r="1">
      <x v="11"/>
      <x v="2"/>
      <x v="88"/>
    </i>
    <i t="default">
      <x v="8"/>
    </i>
    <i>
      <x v="9"/>
      <x v="6"/>
      <x v="7"/>
      <x v="86"/>
    </i>
    <i r="1">
      <x v="19"/>
      <x v="3"/>
      <x v="85"/>
    </i>
    <i r="2">
      <x v="7"/>
      <x v="87"/>
    </i>
    <i t="default">
      <x v="9"/>
    </i>
    <i>
      <x v="10"/>
      <x v="8"/>
      <x v="7"/>
      <x v="85"/>
    </i>
    <i r="1">
      <x v="13"/>
      <x v="2"/>
      <x v="86"/>
    </i>
    <i r="1">
      <x v="19"/>
      <x v="1"/>
      <x v="85"/>
    </i>
    <i t="default">
      <x v="10"/>
    </i>
    <i>
      <x v="11"/>
      <x v="3"/>
      <x v="2"/>
      <x v="85"/>
    </i>
    <i r="3">
      <x v="86"/>
    </i>
    <i t="default">
      <x v="11"/>
    </i>
    <i>
      <x v="12"/>
      <x v="3"/>
      <x v="1"/>
      <x v="87"/>
    </i>
    <i r="2">
      <x v="2"/>
      <x v="86"/>
    </i>
    <i r="1">
      <x v="6"/>
      <x v="1"/>
      <x v="87"/>
    </i>
    <i r="1">
      <x v="10"/>
      <x v="7"/>
      <x v="88"/>
    </i>
    <i r="1">
      <x v="13"/>
      <x v="2"/>
      <x v="85"/>
    </i>
    <i r="1">
      <x v="19"/>
      <x v="1"/>
      <x v="86"/>
    </i>
    <i t="default">
      <x v="12"/>
    </i>
    <i>
      <x v="13"/>
      <x v="3"/>
      <x v="2"/>
      <x v="87"/>
    </i>
    <i r="1">
      <x v="19"/>
      <x v="7"/>
      <x v="85"/>
    </i>
    <i t="default">
      <x v="13"/>
    </i>
    <i>
      <x v="14"/>
      <x v="8"/>
      <x v="7"/>
      <x v="87"/>
    </i>
    <i r="1">
      <x v="19"/>
      <x v="7"/>
      <x v="87"/>
    </i>
    <i t="default">
      <x v="14"/>
    </i>
    <i>
      <x v="15"/>
      <x v="9"/>
      <x v="7"/>
      <x v="87"/>
    </i>
    <i t="default">
      <x v="15"/>
    </i>
    <i>
      <x v="16"/>
      <x v="6"/>
      <x v="2"/>
      <x v="87"/>
    </i>
    <i r="1">
      <x v="9"/>
      <x v="6"/>
      <x v="85"/>
    </i>
    <i r="1">
      <x v="11"/>
      <x v="1"/>
      <x v="92"/>
    </i>
    <i r="2">
      <x v="7"/>
      <x v="92"/>
    </i>
    <i r="1">
      <x v="14"/>
      <x v="6"/>
      <x v="85"/>
    </i>
    <i r="1">
      <x v="19"/>
      <x v="6"/>
      <x v="91"/>
    </i>
    <i t="default">
      <x v="16"/>
    </i>
    <i>
      <x v="17"/>
      <x v="3"/>
      <x v="5"/>
      <x v="86"/>
    </i>
    <i r="1">
      <x v="6"/>
      <x v="1"/>
      <x v="87"/>
    </i>
    <i t="default">
      <x v="17"/>
    </i>
    <i>
      <x v="18"/>
      <x v="3"/>
      <x v="2"/>
      <x v="85"/>
    </i>
    <i r="3">
      <x v="86"/>
    </i>
    <i r="3">
      <x v="89"/>
    </i>
    <i r="1">
      <x v="4"/>
      <x v="2"/>
      <x v="85"/>
    </i>
    <i r="3">
      <x v="86"/>
    </i>
    <i r="3">
      <x v="89"/>
    </i>
    <i r="3">
      <x v="93"/>
    </i>
    <i r="1">
      <x v="5"/>
      <x v="5"/>
      <x v="87"/>
    </i>
    <i r="1">
      <x v="6"/>
      <x v="2"/>
      <x v="87"/>
    </i>
    <i r="1">
      <x v="8"/>
      <x v="5"/>
      <x v="87"/>
    </i>
    <i r="1">
      <x v="13"/>
      <x/>
      <x v="86"/>
    </i>
    <i r="1">
      <x v="19"/>
      <x v="5"/>
      <x v="87"/>
    </i>
    <i t="default">
      <x v="1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Приход касса " fld="1" baseField="10" baseItem="88" numFmtId="164"/>
    <dataField name="Приход карта Макс " fld="2" baseField="10" baseItem="88" numFmtId="164"/>
    <dataField name="Приход карта Эдик " fld="3" baseField="10" baseItem="88" numFmtId="164"/>
    <dataField name="Приход карта Аня " fld="4" baseField="10" baseItem="88" numFmtId="164"/>
    <dataField name="Приход другое " fld="5" baseField="10" baseItem="88" numFmtId="164"/>
  </dataFields>
  <formats count="11">
    <format dxfId="34">
      <pivotArea outline="0" collapsedLevelsAreSubtotals="1" fieldPosition="0"/>
    </format>
    <format dxfId="33">
      <pivotArea field="0" type="button" dataOnly="0" labelOnly="1" outline="0" axis="axisRow" fieldPosition="0"/>
    </format>
    <format dxfId="32">
      <pivotArea field="12" type="button" dataOnly="0" labelOnly="1" outline="0" axis="axisRow" fieldPosition="1"/>
    </format>
    <format dxfId="31">
      <pivotArea field="13" type="button" dataOnly="0" labelOnly="1" outline="0" axis="axisRow" fieldPosition="2"/>
    </format>
    <format dxfId="30">
      <pivotArea field="10" type="button" dataOnly="0" labelOnly="1" outline="0" axis="axisRow" fieldPosition="3"/>
    </format>
    <format dxfId="29">
      <pivotArea dataOnly="0" labelOnly="1" grandRow="1" outline="0" fieldPosition="0"/>
    </format>
    <format dxfId="28">
      <pivotArea outline="0" fieldPosition="0">
        <references count="1">
          <reference field="4294967294" count="1">
            <x v="0"/>
          </reference>
        </references>
      </pivotArea>
    </format>
    <format dxfId="27">
      <pivotArea outline="0" fieldPosition="0">
        <references count="1">
          <reference field="4294967294" count="1">
            <x v="1"/>
          </reference>
        </references>
      </pivotArea>
    </format>
    <format dxfId="26">
      <pivotArea outline="0" fieldPosition="0">
        <references count="1">
          <reference field="4294967294" count="1">
            <x v="2"/>
          </reference>
        </references>
      </pivotArea>
    </format>
    <format dxfId="25">
      <pivotArea outline="0" fieldPosition="0">
        <references count="1">
          <reference field="4294967294" count="1">
            <x v="3"/>
          </reference>
        </references>
      </pivotArea>
    </format>
    <format dxfId="24">
      <pivotArea outline="0" fieldPosition="0">
        <references count="1">
          <reference field="4294967294" count="1">
            <x v="4"/>
          </reference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Сводная таблица3" cacheId="63" applyNumberFormats="0" applyBorderFormats="0" applyFontFormats="0" applyPatternFormats="0" applyAlignmentFormats="0" applyWidthHeightFormats="1" dataCaption="Значения" updatedVersion="7" minRefreshableVersion="3" itemPrintTitles="1" createdVersion="7" indent="0" outline="1" outlineData="1" multipleFieldFilters="0" fieldListSortAscending="1">
  <location ref="G5:J12" firstHeaderRow="0" firstDataRow="1" firstDataCol="2" rowPageCount="1" colPageCount="1"/>
  <pivotFields count="21">
    <pivotField axis="axisRow" outline="0" showAll="0" sortType="ascending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 defaultSubtotal="0"/>
    <pivotField showAll="0" defaultSubtotal="0"/>
    <pivotField axis="axisRow" outline="0" multipleItemSelectionAllowed="1" showAll="0" defaultSubtotal="0">
      <items count="94">
        <item m="1" x="60"/>
        <item m="1" x="41"/>
        <item m="1" x="19"/>
        <item m="1" x="70"/>
        <item m="1" x="12"/>
        <item m="1" x="88"/>
        <item m="1" x="16"/>
        <item m="1" x="15"/>
        <item m="1" x="17"/>
        <item m="1" x="32"/>
        <item m="1" x="66"/>
        <item m="1" x="87"/>
        <item m="1" x="92"/>
        <item m="1" x="28"/>
        <item m="1" x="39"/>
        <item m="1" x="93"/>
        <item m="1" x="76"/>
        <item m="1" x="22"/>
        <item m="1" x="49"/>
        <item m="1" x="20"/>
        <item m="1" x="50"/>
        <item m="1" x="68"/>
        <item m="1" x="89"/>
        <item m="1" x="74"/>
        <item m="1" x="25"/>
        <item m="1" x="91"/>
        <item m="1" x="51"/>
        <item m="1" x="73"/>
        <item m="1" x="18"/>
        <item m="1" x="57"/>
        <item m="1" x="26"/>
        <item m="1" x="84"/>
        <item m="1" x="33"/>
        <item m="1" x="40"/>
        <item m="1" x="63"/>
        <item m="1" x="35"/>
        <item m="1" x="71"/>
        <item m="1" x="56"/>
        <item m="1" x="65"/>
        <item m="1" x="29"/>
        <item m="1" x="52"/>
        <item m="1" x="59"/>
        <item m="1" x="69"/>
        <item m="1" x="55"/>
        <item m="1" x="53"/>
        <item m="1" x="13"/>
        <item m="1" x="24"/>
        <item m="1" x="30"/>
        <item m="1" x="45"/>
        <item m="1" x="85"/>
        <item m="1" x="79"/>
        <item m="1" x="36"/>
        <item m="1" x="38"/>
        <item m="1" x="43"/>
        <item m="1" x="67"/>
        <item m="1" x="81"/>
        <item m="1" x="72"/>
        <item m="1" x="31"/>
        <item x="0"/>
        <item m="1" x="77"/>
        <item m="1" x="83"/>
        <item m="1" x="86"/>
        <item m="1" x="80"/>
        <item m="1" x="54"/>
        <item m="1" x="58"/>
        <item m="1" x="61"/>
        <item m="1" x="34"/>
        <item m="1" x="42"/>
        <item m="1" x="46"/>
        <item m="1" x="62"/>
        <item m="1" x="48"/>
        <item m="1" x="82"/>
        <item m="1" x="64"/>
        <item m="1" x="21"/>
        <item x="10"/>
        <item m="1" x="14"/>
        <item m="1" x="78"/>
        <item m="1" x="44"/>
        <item m="1" x="37"/>
        <item m="1" x="47"/>
        <item m="1" x="23"/>
        <item m="1" x="11"/>
        <item m="1" x="75"/>
        <item m="1" x="27"/>
        <item m="1" x="90"/>
        <item x="1"/>
        <item x="2"/>
        <item x="3"/>
        <item x="4"/>
        <item x="5"/>
        <item h="1" x="6"/>
        <item x="7"/>
        <item x="8"/>
        <item x="9"/>
      </items>
    </pivotField>
    <pivotField showAll="0"/>
    <pivotField axis="axisPage" outline="0" multipleItemSelectionAllowed="1" showAll="0">
      <items count="21">
        <item h="1" x="6"/>
        <item h="1" m="1" x="18"/>
        <item h="1" m="1" x="19"/>
        <item h="1" m="1" x="17"/>
        <item h="1" x="0"/>
        <item h="1" x="1"/>
        <item x="2"/>
        <item h="1" x="3"/>
        <item h="1" x="4"/>
        <item h="1" x="5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t="default" sd="0"/>
      </items>
    </pivotField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0"/>
    <field x="0"/>
  </rowFields>
  <rowItems count="7">
    <i>
      <x v="85"/>
      <x v="5"/>
    </i>
    <i r="1">
      <x v="9"/>
    </i>
    <i>
      <x v="86"/>
      <x v="1"/>
    </i>
    <i>
      <x v="87"/>
      <x v="3"/>
    </i>
    <i r="1">
      <x v="13"/>
    </i>
    <i r="1">
      <x v="17"/>
    </i>
    <i t="grand">
      <x/>
    </i>
  </rowItems>
  <colFields count="1">
    <field x="-2"/>
  </colFields>
  <colItems count="2">
    <i>
      <x/>
    </i>
    <i i="1">
      <x v="1"/>
    </i>
  </colItems>
  <pageFields count="1">
    <pageField fld="12" hier="-1"/>
  </pageFields>
  <dataFields count="2">
    <dataField name="Приход" fld="6" baseField="0" baseItem="17" numFmtId="164"/>
    <dataField name="Расход" fld="7" baseField="0" baseItem="5" numFmtId="164"/>
  </dataFields>
  <formats count="6">
    <format dxfId="19">
      <pivotArea dataOnly="0" labelOnly="1" fieldPosition="0">
        <references count="1">
          <reference field="12" count="1">
            <x v="0"/>
          </reference>
        </references>
      </pivotArea>
    </format>
    <format dxfId="18">
      <pivotArea field="0" type="button" dataOnly="0" labelOnly="1" outline="0" axis="axisRow" fieldPosition="1"/>
    </format>
    <format dxfId="17">
      <pivotArea dataOnly="0" labelOnly="1" fieldPosition="0">
        <references count="1">
          <reference field="12" count="1">
            <x v="0"/>
          </reference>
        </references>
      </pivotArea>
    </format>
    <format dxfId="16">
      <pivotArea dataOnly="0" labelOnly="1" grandRow="1" outline="0" fieldPosition="0"/>
    </format>
    <format dxfId="15">
      <pivotArea outline="0" fieldPosition="0">
        <references count="1">
          <reference field="4294967294" count="1">
            <x v="1"/>
          </reference>
        </references>
      </pivotArea>
    </format>
    <format dxfId="14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Сводная таблица2" cacheId="63" applyNumberFormats="0" applyBorderFormats="0" applyFontFormats="0" applyPatternFormats="0" applyAlignmentFormats="0" applyWidthHeightFormats="1" dataCaption="Значения" updatedVersion="7" minRefreshableVersion="3" itemPrintTitles="1" createdVersion="7" indent="0" outline="1" outlineData="1" multipleFieldFilters="0" fieldListSortAscending="1">
  <location ref="B4:E85" firstHeaderRow="0" firstDataRow="1" firstDataCol="2" rowPageCount="1" colPageCount="1"/>
  <pivotFields count="21">
    <pivotField axis="axisRow" outline="0" showAll="0" sortType="ascending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 defaultSubtotal="0"/>
    <pivotField showAll="0" defaultSubtotal="0"/>
    <pivotField axis="axisPage" multipleItemSelectionAllowed="1" showAll="0" defaultSubtotal="0">
      <items count="94">
        <item m="1" x="60"/>
        <item x="9"/>
        <item m="1" x="90"/>
        <item m="1" x="41"/>
        <item m="1" x="19"/>
        <item m="1" x="70"/>
        <item m="1" x="12"/>
        <item x="5"/>
        <item m="1" x="37"/>
        <item m="1" x="88"/>
        <item m="1" x="16"/>
        <item m="1" x="15"/>
        <item m="1" x="17"/>
        <item m="1" x="32"/>
        <item m="1" x="66"/>
        <item h="1" x="6"/>
        <item x="7"/>
        <item m="1" x="87"/>
        <item m="1" x="92"/>
        <item m="1" x="28"/>
        <item m="1" x="14"/>
        <item m="1" x="27"/>
        <item m="1" x="39"/>
        <item m="1" x="93"/>
        <item m="1" x="76"/>
        <item m="1" x="22"/>
        <item m="1" x="49"/>
        <item m="1" x="20"/>
        <item m="1" x="50"/>
        <item x="3"/>
        <item m="1" x="68"/>
        <item m="1" x="89"/>
        <item m="1" x="74"/>
        <item m="1" x="25"/>
        <item m="1" x="91"/>
        <item m="1" x="51"/>
        <item m="1" x="73"/>
        <item m="1" x="18"/>
        <item m="1" x="57"/>
        <item m="1" x="26"/>
        <item m="1" x="84"/>
        <item m="1" x="33"/>
        <item m="1" x="40"/>
        <item m="1" x="63"/>
        <item m="1" x="35"/>
        <item m="1" x="75"/>
        <item m="1" x="71"/>
        <item m="1" x="56"/>
        <item m="1" x="65"/>
        <item m="1" x="29"/>
        <item m="1" x="52"/>
        <item m="1" x="59"/>
        <item m="1" x="69"/>
        <item m="1" x="55"/>
        <item m="1" x="53"/>
        <item m="1" x="13"/>
        <item m="1" x="78"/>
        <item m="1" x="44"/>
        <item m="1" x="24"/>
        <item m="1" x="30"/>
        <item m="1" x="45"/>
        <item m="1" x="85"/>
        <item x="2"/>
        <item m="1" x="79"/>
        <item m="1" x="36"/>
        <item m="1" x="38"/>
        <item x="8"/>
        <item m="1" x="43"/>
        <item m="1" x="67"/>
        <item m="1" x="81"/>
        <item m="1" x="72"/>
        <item m="1" x="31"/>
        <item x="0"/>
        <item m="1" x="77"/>
        <item m="1" x="83"/>
        <item m="1" x="47"/>
        <item m="1" x="86"/>
        <item m="1" x="80"/>
        <item m="1" x="54"/>
        <item x="4"/>
        <item m="1" x="23"/>
        <item m="1" x="58"/>
        <item m="1" x="61"/>
        <item m="1" x="34"/>
        <item m="1" x="42"/>
        <item m="1" x="46"/>
        <item m="1" x="62"/>
        <item m="1" x="11"/>
        <item m="1" x="48"/>
        <item x="1"/>
        <item m="1" x="82"/>
        <item m="1" x="64"/>
        <item m="1" x="21"/>
        <item x="10"/>
      </items>
    </pivotField>
    <pivotField showAll="0"/>
    <pivotField axis="axisRow" outline="0" showAll="0" sortType="ascending">
      <items count="21">
        <item m="1" x="18"/>
        <item m="1" x="17"/>
        <item m="1" x="19"/>
        <item x="1"/>
        <item x="4"/>
        <item x="10"/>
        <item x="3"/>
        <item x="13"/>
        <item x="2"/>
        <item x="16"/>
        <item x="15"/>
        <item x="9"/>
        <item x="12"/>
        <item x="14"/>
        <item x="7"/>
        <item x="0"/>
        <item x="8"/>
        <item x="5"/>
        <item x="11"/>
        <item x="6"/>
        <item t="default"/>
      </items>
    </pivotField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2"/>
    <field x="0"/>
  </rowFields>
  <rowItems count="81">
    <i>
      <x v="3"/>
      <x v="1"/>
    </i>
    <i r="1">
      <x v="2"/>
    </i>
    <i r="1">
      <x v="4"/>
    </i>
    <i r="1">
      <x v="5"/>
    </i>
    <i r="1">
      <x v="7"/>
    </i>
    <i r="1">
      <x v="10"/>
    </i>
    <i r="1">
      <x v="11"/>
    </i>
    <i r="1">
      <x v="12"/>
    </i>
    <i r="1">
      <x v="16"/>
    </i>
    <i r="1">
      <x v="17"/>
    </i>
    <i t="default">
      <x v="3"/>
    </i>
    <i>
      <x v="4"/>
      <x v="1"/>
    </i>
    <i r="1">
      <x v="17"/>
    </i>
    <i t="default">
      <x v="4"/>
    </i>
    <i>
      <x v="5"/>
      <x v="5"/>
    </i>
    <i r="1">
      <x v="7"/>
    </i>
    <i r="1">
      <x v="17"/>
    </i>
    <i t="default">
      <x v="5"/>
    </i>
    <i>
      <x v="6"/>
      <x v="1"/>
    </i>
    <i r="1">
      <x v="2"/>
    </i>
    <i r="1">
      <x v="4"/>
    </i>
    <i r="1">
      <x v="6"/>
    </i>
    <i r="1">
      <x v="7"/>
    </i>
    <i r="1">
      <x v="8"/>
    </i>
    <i r="1">
      <x v="11"/>
    </i>
    <i r="1">
      <x v="15"/>
    </i>
    <i r="1">
      <x v="16"/>
    </i>
    <i r="1">
      <x v="17"/>
    </i>
    <i t="default">
      <x v="6"/>
    </i>
    <i>
      <x v="7"/>
      <x v="7"/>
    </i>
    <i t="default">
      <x v="7"/>
    </i>
    <i>
      <x v="8"/>
      <x v="1"/>
    </i>
    <i r="1">
      <x v="3"/>
    </i>
    <i r="1">
      <x v="5"/>
    </i>
    <i r="1">
      <x v="9"/>
    </i>
    <i r="1">
      <x v="13"/>
    </i>
    <i r="1">
      <x v="17"/>
    </i>
    <i t="default">
      <x v="8"/>
    </i>
    <i>
      <x v="9"/>
      <x v="14"/>
    </i>
    <i r="1">
      <x v="15"/>
    </i>
    <i t="default">
      <x v="9"/>
    </i>
    <i>
      <x v="10"/>
      <x v="11"/>
    </i>
    <i t="default">
      <x v="10"/>
    </i>
    <i>
      <x v="11"/>
      <x v="3"/>
    </i>
    <i r="1">
      <x v="4"/>
    </i>
    <i r="1">
      <x v="7"/>
    </i>
    <i r="1">
      <x v="15"/>
    </i>
    <i t="default">
      <x v="11"/>
    </i>
    <i>
      <x v="12"/>
      <x v="6"/>
    </i>
    <i t="default">
      <x v="12"/>
    </i>
    <i>
      <x v="13"/>
      <x v="9"/>
    </i>
    <i r="1">
      <x v="11"/>
    </i>
    <i r="1">
      <x v="17"/>
    </i>
    <i t="default">
      <x v="13"/>
    </i>
    <i>
      <x v="14"/>
      <x v="2"/>
    </i>
    <i r="1">
      <x v="3"/>
    </i>
    <i r="1">
      <x v="15"/>
    </i>
    <i t="default">
      <x v="14"/>
    </i>
    <i>
      <x v="15"/>
      <x/>
    </i>
    <i t="default">
      <x v="15"/>
    </i>
    <i>
      <x v="16"/>
      <x v="3"/>
    </i>
    <i r="1">
      <x v="6"/>
    </i>
    <i t="default">
      <x v="16"/>
    </i>
    <i>
      <x v="17"/>
      <x v="1"/>
    </i>
    <i r="1">
      <x v="5"/>
    </i>
    <i t="default">
      <x v="17"/>
    </i>
    <i>
      <x v="18"/>
      <x v="5"/>
    </i>
    <i t="default">
      <x v="18"/>
    </i>
    <i>
      <x v="19"/>
      <x v="2"/>
    </i>
    <i r="1">
      <x v="3"/>
    </i>
    <i r="1">
      <x v="6"/>
    </i>
    <i r="1">
      <x v="8"/>
    </i>
    <i r="1">
      <x v="9"/>
    </i>
    <i r="1">
      <x v="11"/>
    </i>
    <i r="1">
      <x v="12"/>
    </i>
    <i r="1">
      <x v="13"/>
    </i>
    <i r="1">
      <x v="15"/>
    </i>
    <i r="1">
      <x v="17"/>
    </i>
    <i r="1">
      <x v="18"/>
    </i>
    <i t="default">
      <x v="19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Приход" fld="6" baseField="0" baseItem="12" numFmtId="164"/>
    <dataField name="Расход" fld="7" baseField="0" baseItem="11" numFmtId="164"/>
  </dataFields>
  <formats count="4">
    <format dxfId="23">
      <pivotArea field="0" type="button" dataOnly="0" labelOnly="1" outline="0" axis="axisRow" fieldPosition="1"/>
    </format>
    <format dxfId="22">
      <pivotArea dataOnly="0" labelOnly="1" grandRow="1" outline="0" fieldPosition="0"/>
    </format>
    <format dxfId="21">
      <pivotArea outline="0" fieldPosition="0">
        <references count="1">
          <reference field="4294967294" count="1">
            <x v="1"/>
          </reference>
        </references>
      </pivotArea>
    </format>
    <format dxfId="2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Сводная таблица2" cacheId="63" applyNumberFormats="0" applyBorderFormats="0" applyFontFormats="0" applyPatternFormats="0" applyAlignmentFormats="0" applyWidthHeightFormats="1" dataCaption="Значения" updatedVersion="7" minRefreshableVersion="3" itemPrintTitles="1" createdVersion="7" indent="0" outline="1" outlineData="1" multipleFieldFilters="0" fieldListSortAscending="1">
  <location ref="B5:D15" firstHeaderRow="0" firstDataRow="1" firstDataCol="1"/>
  <pivotFields count="21">
    <pivotField outline="0" showAll="0" sortType="ascending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 defaultSubtotal="0"/>
    <pivotField showAll="0" defaultSubtotal="0"/>
    <pivotField axis="axisRow" multipleItemSelectionAllowed="1" showAll="0" sortType="ascending" defaultSubtotal="0">
      <items count="94">
        <item m="1" x="60"/>
        <item x="9"/>
        <item m="1" x="90"/>
        <item m="1" x="41"/>
        <item m="1" x="19"/>
        <item m="1" x="70"/>
        <item m="1" x="12"/>
        <item x="5"/>
        <item m="1" x="37"/>
        <item m="1" x="88"/>
        <item m="1" x="16"/>
        <item m="1" x="15"/>
        <item m="1" x="17"/>
        <item m="1" x="32"/>
        <item m="1" x="66"/>
        <item h="1" x="6"/>
        <item x="7"/>
        <item m="1" x="87"/>
        <item m="1" x="92"/>
        <item m="1" x="28"/>
        <item m="1" x="14"/>
        <item m="1" x="27"/>
        <item m="1" x="39"/>
        <item m="1" x="93"/>
        <item m="1" x="76"/>
        <item m="1" x="22"/>
        <item m="1" x="49"/>
        <item m="1" x="20"/>
        <item m="1" x="50"/>
        <item x="3"/>
        <item m="1" x="68"/>
        <item m="1" x="89"/>
        <item m="1" x="74"/>
        <item m="1" x="25"/>
        <item m="1" x="91"/>
        <item m="1" x="51"/>
        <item m="1" x="73"/>
        <item m="1" x="18"/>
        <item m="1" x="57"/>
        <item m="1" x="26"/>
        <item m="1" x="84"/>
        <item m="1" x="33"/>
        <item m="1" x="40"/>
        <item m="1" x="63"/>
        <item m="1" x="35"/>
        <item m="1" x="75"/>
        <item m="1" x="71"/>
        <item m="1" x="56"/>
        <item m="1" x="65"/>
        <item m="1" x="29"/>
        <item m="1" x="52"/>
        <item m="1" x="59"/>
        <item m="1" x="69"/>
        <item m="1" x="55"/>
        <item m="1" x="53"/>
        <item m="1" x="13"/>
        <item m="1" x="78"/>
        <item m="1" x="44"/>
        <item m="1" x="24"/>
        <item m="1" x="30"/>
        <item m="1" x="45"/>
        <item m="1" x="85"/>
        <item x="2"/>
        <item m="1" x="79"/>
        <item m="1" x="36"/>
        <item m="1" x="38"/>
        <item x="8"/>
        <item m="1" x="43"/>
        <item m="1" x="67"/>
        <item m="1" x="81"/>
        <item m="1" x="72"/>
        <item m="1" x="31"/>
        <item h="1" x="0"/>
        <item m="1" x="77"/>
        <item m="1" x="83"/>
        <item m="1" x="47"/>
        <item m="1" x="86"/>
        <item m="1" x="80"/>
        <item m="1" x="54"/>
        <item x="4"/>
        <item m="1" x="23"/>
        <item m="1" x="58"/>
        <item m="1" x="61"/>
        <item m="1" x="34"/>
        <item m="1" x="42"/>
        <item m="1" x="46"/>
        <item m="1" x="62"/>
        <item m="1" x="11"/>
        <item m="1" x="48"/>
        <item x="1"/>
        <item m="1" x="82"/>
        <item m="1" x="64"/>
        <item m="1" x="21"/>
        <item x="10"/>
      </items>
    </pivotField>
    <pivotField showAll="0"/>
    <pivotField outline="0" multipleItemSelectionAllowe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10">
    <i>
      <x v="1"/>
    </i>
    <i>
      <x v="7"/>
    </i>
    <i>
      <x v="16"/>
    </i>
    <i>
      <x v="29"/>
    </i>
    <i>
      <x v="62"/>
    </i>
    <i>
      <x v="66"/>
    </i>
    <i>
      <x v="79"/>
    </i>
    <i>
      <x v="89"/>
    </i>
    <i>
      <x v="93"/>
    </i>
    <i t="grand">
      <x/>
    </i>
  </rowItems>
  <colFields count="1">
    <field x="-2"/>
  </colFields>
  <colItems count="2">
    <i>
      <x/>
    </i>
    <i i="1">
      <x v="1"/>
    </i>
  </colItems>
  <dataFields count="2">
    <dataField name="Приход" fld="6" baseField="10" baseItem="16" numFmtId="164"/>
    <dataField name="Расход" fld="7" baseField="10" baseItem="62" numFmtId="164"/>
  </dataFields>
  <formats count="4">
    <format dxfId="7">
      <pivotArea field="0" type="button" dataOnly="0" labelOnly="1" outline="0"/>
    </format>
    <format dxfId="6">
      <pivotArea dataOnly="0" labelOnly="1" grandRow="1" outline="0" fieldPosition="0"/>
    </format>
    <format dxfId="5">
      <pivotArea outline="0" fieldPosition="0">
        <references count="1">
          <reference field="4294967294" count="1">
            <x v="1"/>
          </reference>
        </references>
      </pivotArea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Сводная таблица3" cacheId="63" applyNumberFormats="0" applyBorderFormats="0" applyFontFormats="0" applyPatternFormats="0" applyAlignmentFormats="0" applyWidthHeightFormats="1" dataCaption="Значения" updatedVersion="7" minRefreshableVersion="3" itemPrintTitles="1" createdVersion="7" indent="0" outline="1" outlineData="1" multipleFieldFilters="0" fieldListSortAscending="1">
  <location ref="G5:J20" firstHeaderRow="0" firstDataRow="1" firstDataCol="2" rowPageCount="1" colPageCount="1"/>
  <pivotFields count="21">
    <pivotField outline="0" showAll="0" sortType="ascending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 defaultSubtotal="0"/>
    <pivotField showAll="0" defaultSubtotal="0"/>
    <pivotField axis="axisPage" multipleItemSelectionAllowed="1" showAll="0" sortType="ascending" defaultSubtotal="0">
      <items count="94">
        <item m="1" x="60"/>
        <item h="1" x="9"/>
        <item m="1" x="90"/>
        <item m="1" x="41"/>
        <item m="1" x="19"/>
        <item m="1" x="70"/>
        <item m="1" x="12"/>
        <item h="1" x="5"/>
        <item m="1" x="37"/>
        <item m="1" x="88"/>
        <item m="1" x="16"/>
        <item m="1" x="15"/>
        <item m="1" x="17"/>
        <item m="1" x="32"/>
        <item m="1" x="66"/>
        <item h="1" x="6"/>
        <item h="1" x="7"/>
        <item m="1" x="87"/>
        <item m="1" x="92"/>
        <item m="1" x="28"/>
        <item m="1" x="14"/>
        <item m="1" x="27"/>
        <item m="1" x="39"/>
        <item m="1" x="93"/>
        <item m="1" x="76"/>
        <item m="1" x="22"/>
        <item m="1" x="49"/>
        <item m="1" x="20"/>
        <item m="1" x="50"/>
        <item h="1" x="3"/>
        <item m="1" x="68"/>
        <item m="1" x="89"/>
        <item m="1" x="74"/>
        <item m="1" x="25"/>
        <item m="1" x="91"/>
        <item m="1" x="51"/>
        <item m="1" x="73"/>
        <item m="1" x="18"/>
        <item m="1" x="57"/>
        <item m="1" x="26"/>
        <item m="1" x="84"/>
        <item m="1" x="33"/>
        <item m="1" x="40"/>
        <item m="1" x="63"/>
        <item m="1" x="35"/>
        <item m="1" x="75"/>
        <item m="1" x="71"/>
        <item m="1" x="56"/>
        <item m="1" x="65"/>
        <item m="1" x="29"/>
        <item m="1" x="52"/>
        <item m="1" x="59"/>
        <item m="1" x="69"/>
        <item m="1" x="55"/>
        <item m="1" x="53"/>
        <item m="1" x="13"/>
        <item m="1" x="78"/>
        <item m="1" x="44"/>
        <item m="1" x="24"/>
        <item m="1" x="30"/>
        <item m="1" x="45"/>
        <item m="1" x="85"/>
        <item x="2"/>
        <item m="1" x="79"/>
        <item m="1" x="36"/>
        <item m="1" x="38"/>
        <item h="1" x="8"/>
        <item m="1" x="43"/>
        <item m="1" x="67"/>
        <item m="1" x="81"/>
        <item m="1" x="72"/>
        <item m="1" x="31"/>
        <item h="1" x="0"/>
        <item m="1" x="77"/>
        <item m="1" x="83"/>
        <item m="1" x="47"/>
        <item m="1" x="86"/>
        <item m="1" x="80"/>
        <item m="1" x="54"/>
        <item h="1" x="4"/>
        <item m="1" x="23"/>
        <item m="1" x="58"/>
        <item m="1" x="61"/>
        <item m="1" x="34"/>
        <item m="1" x="42"/>
        <item m="1" x="46"/>
        <item m="1" x="62"/>
        <item m="1" x="11"/>
        <item m="1" x="48"/>
        <item h="1" x="1"/>
        <item m="1" x="82"/>
        <item m="1" x="64"/>
        <item m="1" x="21"/>
        <item h="1" x="10"/>
      </items>
    </pivotField>
    <pivotField axis="axisRow" outline="0" showAll="0" defaultSubtotal="0">
      <items count="76">
        <item m="1" x="62"/>
        <item m="1" x="61"/>
        <item m="1" x="70"/>
        <item m="1" x="69"/>
        <item m="1" x="63"/>
        <item m="1" x="64"/>
        <item m="1" x="71"/>
        <item m="1" x="65"/>
        <item m="1" x="60"/>
        <item m="1" x="66"/>
        <item m="1" x="68"/>
        <item m="1" x="73"/>
        <item m="1" x="75"/>
        <item m="1" x="74"/>
        <item m="1" x="72"/>
        <item m="1" x="59"/>
        <item m="1" x="56"/>
        <item m="1" x="58"/>
        <item m="1" x="67"/>
        <item x="55"/>
        <item x="28"/>
        <item x="26"/>
        <item x="38"/>
        <item x="9"/>
        <item x="49"/>
        <item x="3"/>
        <item x="6"/>
        <item x="13"/>
        <item x="2"/>
        <item x="29"/>
        <item x="41"/>
        <item x="36"/>
        <item m="1" x="57"/>
        <item x="54"/>
        <item x="14"/>
        <item x="1"/>
        <item x="25"/>
        <item x="23"/>
        <item x="33"/>
        <item x="17"/>
        <item x="32"/>
        <item x="24"/>
        <item x="42"/>
        <item x="31"/>
        <item x="43"/>
        <item x="47"/>
        <item x="48"/>
        <item x="7"/>
        <item x="30"/>
        <item x="40"/>
        <item x="8"/>
        <item x="21"/>
        <item x="46"/>
        <item x="44"/>
        <item x="45"/>
        <item x="4"/>
        <item x="10"/>
        <item x="15"/>
        <item x="50"/>
        <item x="35"/>
        <item x="19"/>
        <item x="11"/>
        <item x="51"/>
        <item x="39"/>
        <item x="18"/>
        <item x="53"/>
        <item x="37"/>
        <item x="27"/>
        <item x="5"/>
        <item x="22"/>
        <item x="52"/>
        <item x="34"/>
        <item x="20"/>
        <item x="16"/>
        <item x="12"/>
        <item x="0"/>
      </items>
    </pivotField>
    <pivotField axis="axisRow" outline="0" multipleItemSelectionAllowed="1" showAll="0">
      <items count="21">
        <item x="6"/>
        <item h="1" m="1" x="18"/>
        <item h="1" m="1" x="19"/>
        <item h="1" m="1" x="17"/>
        <item x="0"/>
        <item x="1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t="default" sd="0"/>
      </items>
    </pivotField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1"/>
    <field x="12"/>
  </rowFields>
  <rowItems count="15">
    <i>
      <x v="22"/>
      <x/>
    </i>
    <i>
      <x v="24"/>
      <x v="8"/>
    </i>
    <i>
      <x v="27"/>
      <x v="5"/>
    </i>
    <i>
      <x v="28"/>
      <x v="6"/>
    </i>
    <i>
      <x v="31"/>
      <x v="5"/>
    </i>
    <i>
      <x v="40"/>
      <x v="5"/>
    </i>
    <i>
      <x v="50"/>
      <x v="5"/>
    </i>
    <i>
      <x v="60"/>
      <x/>
    </i>
    <i>
      <x v="61"/>
      <x v="7"/>
    </i>
    <i>
      <x v="62"/>
      <x v="5"/>
    </i>
    <i>
      <x v="69"/>
      <x/>
    </i>
    <i r="1">
      <x v="17"/>
    </i>
    <i>
      <x v="70"/>
      <x v="17"/>
    </i>
    <i>
      <x v="74"/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Приход" fld="6" baseField="10" baseItem="16" numFmtId="164"/>
    <dataField name="Расход" fld="7" baseField="10" baseItem="62" numFmtId="164"/>
  </dataFields>
  <formats count="6">
    <format dxfId="13">
      <pivotArea dataOnly="0" labelOnly="1" fieldPosition="0">
        <references count="1">
          <reference field="12" count="1">
            <x v="0"/>
          </reference>
        </references>
      </pivotArea>
    </format>
    <format dxfId="12">
      <pivotArea field="0" type="button" dataOnly="0" labelOnly="1" outline="0"/>
    </format>
    <format dxfId="11">
      <pivotArea dataOnly="0" labelOnly="1" fieldPosition="0">
        <references count="1">
          <reference field="12" count="1">
            <x v="0"/>
          </reference>
        </references>
      </pivotArea>
    </format>
    <format dxfId="10">
      <pivotArea dataOnly="0" labelOnly="1" grandRow="1" outline="0" fieldPosition="0"/>
    </format>
    <format dxfId="9">
      <pivotArea outline="0" fieldPosition="0">
        <references count="1">
          <reference field="4294967294" count="1">
            <x v="1"/>
          </reference>
        </references>
      </pivotArea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Сводная таблица2" cacheId="63" applyNumberFormats="0" applyBorderFormats="0" applyFontFormats="0" applyPatternFormats="0" applyAlignmentFormats="0" applyWidthHeightFormats="1" dataCaption="Значения" updatedVersion="7" minRefreshableVersion="3" itemPrintTitles="1" createdVersion="7" indent="0" outline="1" outlineData="1" multipleFieldFilters="0" fieldListSortAscending="1">
  <location ref="B4:G8" firstHeaderRow="0" firstDataRow="1" firstDataCol="4" rowPageCount="1" colPageCount="1"/>
  <pivotFields count="21">
    <pivotField axis="axisRow" outline="0" showAll="0" sortType="ascending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 defaultSubtotal="0"/>
    <pivotField showAll="0" defaultSubtotal="0"/>
    <pivotField axis="axisRow" outline="0" showAll="0" defaultSubtotal="0">
      <items count="94">
        <item m="1" x="60"/>
        <item m="1" x="41"/>
        <item m="1" x="70"/>
        <item m="1" x="12"/>
        <item m="1" x="88"/>
        <item m="1" x="16"/>
        <item m="1" x="15"/>
        <item m="1" x="17"/>
        <item m="1" x="32"/>
        <item m="1" x="66"/>
        <item m="1" x="39"/>
        <item m="1" x="93"/>
        <item m="1" x="76"/>
        <item m="1" x="22"/>
        <item m="1" x="49"/>
        <item m="1" x="50"/>
        <item m="1" x="29"/>
        <item m="1" x="52"/>
        <item m="1" x="59"/>
        <item m="1" x="69"/>
        <item m="1" x="55"/>
        <item m="1" x="53"/>
        <item m="1" x="24"/>
        <item m="1" x="79"/>
        <item m="1" x="36"/>
        <item m="1" x="72"/>
        <item x="0"/>
        <item m="1" x="80"/>
        <item m="1" x="54"/>
        <item m="1" x="61"/>
        <item m="1" x="42"/>
        <item m="1" x="46"/>
        <item m="1" x="62"/>
        <item m="1" x="82"/>
        <item m="1" x="64"/>
        <item m="1" x="21"/>
        <item x="10"/>
        <item m="1" x="25"/>
        <item m="1" x="31"/>
        <item m="1" x="91"/>
        <item m="1" x="30"/>
        <item m="1" x="74"/>
        <item m="1" x="77"/>
        <item m="1" x="73"/>
        <item m="1" x="83"/>
        <item m="1" x="65"/>
        <item m="1" x="57"/>
        <item m="1" x="35"/>
        <item m="1" x="56"/>
        <item m="1" x="38"/>
        <item m="1" x="20"/>
        <item m="1" x="84"/>
        <item m="1" x="51"/>
        <item m="1" x="26"/>
        <item m="1" x="89"/>
        <item m="1" x="71"/>
        <item m="1" x="68"/>
        <item m="1" x="87"/>
        <item m="1" x="45"/>
        <item m="1" x="40"/>
        <item m="1" x="18"/>
        <item m="1" x="48"/>
        <item m="1" x="86"/>
        <item m="1" x="28"/>
        <item m="1" x="34"/>
        <item m="1" x="19"/>
        <item m="1" x="58"/>
        <item m="1" x="85"/>
        <item m="1" x="92"/>
        <item m="1" x="63"/>
        <item m="1" x="33"/>
        <item m="1" x="13"/>
        <item m="1" x="67"/>
        <item m="1" x="81"/>
        <item m="1" x="43"/>
        <item m="1" x="14"/>
        <item m="1" x="78"/>
        <item m="1" x="44"/>
        <item m="1" x="37"/>
        <item m="1" x="47"/>
        <item m="1" x="23"/>
        <item m="1" x="11"/>
        <item m="1" x="75"/>
        <item m="1" x="27"/>
        <item m="1" x="90"/>
        <item x="1"/>
        <item x="2"/>
        <item x="3"/>
        <item x="4"/>
        <item x="5"/>
        <item x="6"/>
        <item x="7"/>
        <item x="8"/>
        <item x="9"/>
      </items>
    </pivotField>
    <pivotField axis="axisRow" outline="0" showAll="0" defaultSubtotal="0">
      <items count="76">
        <item m="1" x="62"/>
        <item m="1" x="61"/>
        <item m="1" x="70"/>
        <item m="1" x="69"/>
        <item m="1" x="63"/>
        <item m="1" x="64"/>
        <item m="1" x="71"/>
        <item m="1" x="65"/>
        <item m="1" x="60"/>
        <item m="1" x="66"/>
        <item m="1" x="68"/>
        <item m="1" x="73"/>
        <item m="1" x="75"/>
        <item m="1" x="74"/>
        <item m="1" x="72"/>
        <item m="1" x="59"/>
        <item m="1" x="56"/>
        <item m="1" x="58"/>
        <item m="1" x="67"/>
        <item x="55"/>
        <item x="28"/>
        <item x="26"/>
        <item x="38"/>
        <item x="9"/>
        <item x="49"/>
        <item x="3"/>
        <item x="6"/>
        <item x="13"/>
        <item x="2"/>
        <item x="29"/>
        <item x="41"/>
        <item x="36"/>
        <item m="1" x="57"/>
        <item x="54"/>
        <item x="14"/>
        <item x="1"/>
        <item x="25"/>
        <item x="23"/>
        <item x="33"/>
        <item x="17"/>
        <item x="32"/>
        <item x="24"/>
        <item x="42"/>
        <item x="31"/>
        <item x="43"/>
        <item x="47"/>
        <item x="48"/>
        <item x="7"/>
        <item x="30"/>
        <item x="40"/>
        <item x="8"/>
        <item x="21"/>
        <item x="46"/>
        <item x="44"/>
        <item x="45"/>
        <item x="4"/>
        <item x="10"/>
        <item x="15"/>
        <item x="50"/>
        <item x="35"/>
        <item x="19"/>
        <item x="11"/>
        <item x="51"/>
        <item x="39"/>
        <item x="18"/>
        <item x="53"/>
        <item x="37"/>
        <item x="27"/>
        <item x="5"/>
        <item x="22"/>
        <item x="52"/>
        <item x="34"/>
        <item x="20"/>
        <item x="16"/>
        <item x="12"/>
        <item x="0"/>
      </items>
    </pivotField>
    <pivotField outline="0" showAll="0"/>
    <pivotField axis="axisPage" showAll="0">
      <items count="9">
        <item x="0"/>
        <item x="4"/>
        <item x="3"/>
        <item x="1"/>
        <item x="2"/>
        <item x="5"/>
        <item x="6"/>
        <item x="7"/>
        <item t="default"/>
      </items>
    </pivotField>
    <pivotField showAll="0"/>
    <pivotField axis="axisRow" showAll="0">
      <items count="11">
        <item x="0"/>
        <item m="1" x="9"/>
        <item x="1"/>
        <item x="2"/>
        <item x="3"/>
        <item x="4"/>
        <item x="5"/>
        <item x="6"/>
        <item x="7"/>
        <item x="8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4">
    <field x="0"/>
    <field x="10"/>
    <field x="11"/>
    <field x="15"/>
  </rowFields>
  <rowItems count="4">
    <i>
      <x v="3"/>
      <x v="90"/>
      <x v="57"/>
      <x/>
    </i>
    <i>
      <x v="4"/>
      <x v="85"/>
      <x v="37"/>
      <x/>
    </i>
    <i r="1">
      <x v="90"/>
      <x v="57"/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13" item="2" hier="-1"/>
  </pageFields>
  <dataFields count="2">
    <dataField name="Приход" fld="6" baseField="15" baseItem="0" numFmtId="164"/>
    <dataField name="Расход" fld="7" baseField="15" baseItem="0" numFmtId="164"/>
  </dataFields>
  <formats count="4">
    <format dxfId="3">
      <pivotArea field="0" type="button" dataOnly="0" labelOnly="1" outline="0" axis="axisRow" fieldPosition="0"/>
    </format>
    <format dxfId="2">
      <pivotArea dataOnly="0" labelOnly="1" grandRow="1" outline="0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Объекты" displayName="Объекты" ref="B1:B246" totalsRowShown="0">
  <autoFilter ref="B1:B246" xr:uid="{00000000-0009-0000-0100-000001000000}"/>
  <tableColumns count="1">
    <tableColumn id="2" xr3:uid="{00000000-0010-0000-0000-000002000000}" name="Объекты"/>
  </tableColumns>
  <tableStyleInfo name="TableStyleMedium14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олучатели" displayName="Получатели" ref="D1:D100" totalsRowShown="0">
  <autoFilter ref="D1:D100" xr:uid="{00000000-0009-0000-0100-000002000000}"/>
  <tableColumns count="1">
    <tableColumn id="1" xr3:uid="{00000000-0010-0000-0100-000001000000}" name="Получатели"/>
  </tableColumns>
  <tableStyleInfo name="TableStyleMedium13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Источники" displayName="Источники" ref="F1:F10" totalsRowShown="0">
  <autoFilter ref="F1:F10" xr:uid="{00000000-0009-0000-0100-000003000000}"/>
  <tableColumns count="1">
    <tableColumn id="1" xr3:uid="{00000000-0010-0000-0200-000001000000}" name="Источники_ДС"/>
  </tableColumns>
  <tableStyleInfo name="TableStyleMedium10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Платеж" displayName="Платеж" ref="H1:H11" totalsRowShown="0">
  <autoFilter ref="H1:H11" xr:uid="{00000000-0009-0000-0100-000004000000}"/>
  <tableColumns count="1">
    <tableColumn id="1" xr3:uid="{00000000-0010-0000-0300-000001000000}" name="Вид платежа"/>
  </tableColumns>
  <tableStyleInfo name="TableStyleMedium12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BV421"/>
  <sheetViews>
    <sheetView showGridLines="0" tabSelected="1" workbookViewId="0">
      <selection activeCell="BR31" sqref="BR31"/>
    </sheetView>
  </sheetViews>
  <sheetFormatPr defaultRowHeight="15" x14ac:dyDescent="0.25"/>
  <cols>
    <col min="1" max="1" width="1" customWidth="1"/>
    <col min="2" max="37" width="2.42578125" customWidth="1"/>
    <col min="38" max="38" width="2.28515625" customWidth="1"/>
    <col min="39" max="65" width="2.42578125" customWidth="1"/>
    <col min="66" max="69" width="1" customWidth="1"/>
    <col min="70" max="70" width="58.28515625" customWidth="1"/>
    <col min="71" max="71" width="9.42578125" customWidth="1"/>
    <col min="72" max="72" width="16.5703125" customWidth="1"/>
  </cols>
  <sheetData>
    <row r="1" spans="1:74" ht="6" customHeight="1" thickBot="1" x14ac:dyDescent="0.3">
      <c r="A1" s="134"/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  <c r="BA1" s="134"/>
      <c r="BB1" s="134"/>
      <c r="BC1" s="134"/>
      <c r="BD1" s="134"/>
      <c r="BE1" s="134"/>
      <c r="BF1" s="134"/>
      <c r="BG1" s="134"/>
      <c r="BH1" s="134"/>
      <c r="BI1" s="134"/>
      <c r="BJ1" s="134"/>
      <c r="BK1" s="134"/>
      <c r="BL1" s="134"/>
      <c r="BM1" s="134"/>
      <c r="BN1" s="134"/>
      <c r="BO1" s="134"/>
      <c r="BP1" s="134"/>
      <c r="BQ1" s="134"/>
      <c r="BR1" s="8">
        <v>0</v>
      </c>
    </row>
    <row r="2" spans="1:74" x14ac:dyDescent="0.25">
      <c r="A2" s="134"/>
      <c r="B2" s="59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1"/>
      <c r="BN2" s="134"/>
      <c r="BO2" s="134"/>
      <c r="BP2" s="134"/>
      <c r="BQ2" s="134"/>
      <c r="BR2" s="85" t="s">
        <v>302</v>
      </c>
      <c r="BS2" s="86"/>
      <c r="BT2" s="86"/>
      <c r="BU2" s="86"/>
      <c r="BV2" s="86"/>
    </row>
    <row r="3" spans="1:74" ht="23.25" x14ac:dyDescent="0.35">
      <c r="A3" s="134"/>
      <c r="B3" s="62"/>
      <c r="C3" s="69" t="s">
        <v>95</v>
      </c>
      <c r="D3" s="69"/>
      <c r="E3" s="69"/>
      <c r="F3" s="69"/>
      <c r="G3" s="69"/>
      <c r="H3" s="69"/>
      <c r="I3" s="69"/>
      <c r="J3" s="69"/>
      <c r="K3" s="69"/>
      <c r="L3" s="70"/>
      <c r="M3" s="70"/>
      <c r="N3" s="70"/>
      <c r="O3" s="70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63"/>
      <c r="BN3" s="134"/>
      <c r="BO3" s="134"/>
      <c r="BP3" s="134"/>
      <c r="BQ3" s="134"/>
      <c r="BR3" s="87" t="s">
        <v>123</v>
      </c>
      <c r="BS3" s="87" t="s">
        <v>124</v>
      </c>
      <c r="BT3" s="87"/>
      <c r="BU3" s="87"/>
      <c r="BV3" s="87"/>
    </row>
    <row r="4" spans="1:74" ht="15.95" customHeight="1" x14ac:dyDescent="0.25">
      <c r="A4" s="134"/>
      <c r="B4" s="62"/>
      <c r="C4" s="66"/>
      <c r="D4" s="66"/>
      <c r="E4" s="66"/>
      <c r="F4" s="66"/>
      <c r="G4" s="66"/>
      <c r="H4" s="66"/>
      <c r="I4" s="66"/>
      <c r="J4" s="66"/>
      <c r="K4" s="66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63"/>
      <c r="BN4" s="134"/>
      <c r="BO4" s="134"/>
      <c r="BP4" s="134"/>
      <c r="BQ4" s="134"/>
      <c r="BR4" s="87" t="s">
        <v>155</v>
      </c>
      <c r="BS4" s="87" t="s">
        <v>156</v>
      </c>
      <c r="BT4" s="87"/>
      <c r="BU4" s="87"/>
      <c r="BV4" s="87"/>
    </row>
    <row r="5" spans="1:74" ht="15.95" customHeight="1" x14ac:dyDescent="0.25">
      <c r="A5" s="134"/>
      <c r="B5" s="62"/>
      <c r="C5" s="66" t="s">
        <v>31</v>
      </c>
      <c r="D5" s="66"/>
      <c r="E5" s="66"/>
      <c r="F5" s="66"/>
      <c r="G5" s="66"/>
      <c r="H5" s="66"/>
      <c r="I5" s="66"/>
      <c r="J5" s="66"/>
      <c r="K5" s="66"/>
      <c r="L5" s="57"/>
      <c r="M5" s="145">
        <f ca="1">TODAY()</f>
        <v>45184</v>
      </c>
      <c r="N5" s="146"/>
      <c r="O5" s="146"/>
      <c r="P5" s="146"/>
      <c r="Q5" s="146"/>
      <c r="R5" s="147"/>
      <c r="S5" s="68"/>
      <c r="T5" s="68"/>
      <c r="U5" s="68"/>
      <c r="V5" s="68"/>
      <c r="W5" s="68"/>
      <c r="X5" s="68"/>
      <c r="Y5" s="68"/>
      <c r="Z5" s="68"/>
      <c r="AA5" s="68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63"/>
      <c r="BN5" s="134"/>
      <c r="BO5" s="134"/>
      <c r="BP5" s="134"/>
      <c r="BQ5" s="134"/>
      <c r="BR5" s="87" t="s">
        <v>157</v>
      </c>
      <c r="BS5" s="87" t="s">
        <v>158</v>
      </c>
      <c r="BT5" s="87"/>
      <c r="BU5" s="87"/>
      <c r="BV5" s="87"/>
    </row>
    <row r="6" spans="1:74" ht="15.95" customHeight="1" x14ac:dyDescent="0.25">
      <c r="A6" s="134"/>
      <c r="B6" s="62"/>
      <c r="C6" s="66"/>
      <c r="D6" s="66"/>
      <c r="E6" s="66"/>
      <c r="F6" s="66"/>
      <c r="G6" s="66"/>
      <c r="H6" s="66"/>
      <c r="I6" s="66"/>
      <c r="J6" s="66"/>
      <c r="K6" s="66"/>
      <c r="L6" s="57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63"/>
      <c r="BN6" s="134"/>
      <c r="BO6" s="134"/>
      <c r="BP6" s="134"/>
      <c r="BQ6" s="134"/>
      <c r="BR6" s="87" t="s">
        <v>182</v>
      </c>
      <c r="BS6" s="87" t="s">
        <v>183</v>
      </c>
      <c r="BT6" s="87"/>
      <c r="BU6" s="87"/>
      <c r="BV6" s="87"/>
    </row>
    <row r="7" spans="1:74" ht="15.95" customHeight="1" x14ac:dyDescent="0.25">
      <c r="A7" s="134"/>
      <c r="B7" s="62"/>
      <c r="C7" s="66" t="s">
        <v>96</v>
      </c>
      <c r="D7" s="66"/>
      <c r="E7" s="66"/>
      <c r="F7" s="66"/>
      <c r="G7" s="66"/>
      <c r="H7" s="66"/>
      <c r="I7" s="66"/>
      <c r="J7" s="66"/>
      <c r="K7" s="66"/>
      <c r="L7" s="57"/>
      <c r="M7" s="145">
        <f>MIN(Учет!A:A)</f>
        <v>45140</v>
      </c>
      <c r="N7" s="146"/>
      <c r="O7" s="146"/>
      <c r="P7" s="146"/>
      <c r="Q7" s="146"/>
      <c r="R7" s="147"/>
      <c r="S7" s="68"/>
      <c r="T7" s="68" t="s">
        <v>97</v>
      </c>
      <c r="U7" s="68"/>
      <c r="V7" s="145">
        <f>MAX(Учет!A:A)</f>
        <v>45161</v>
      </c>
      <c r="W7" s="146"/>
      <c r="X7" s="146"/>
      <c r="Y7" s="146"/>
      <c r="Z7" s="146"/>
      <c r="AA7" s="14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63"/>
      <c r="BN7" s="134"/>
      <c r="BO7" s="134"/>
      <c r="BP7" s="134"/>
      <c r="BQ7" s="134"/>
      <c r="BR7" s="87" t="s">
        <v>190</v>
      </c>
      <c r="BS7" s="87" t="s">
        <v>191</v>
      </c>
      <c r="BT7" s="87"/>
      <c r="BU7" s="87"/>
      <c r="BV7" s="87"/>
    </row>
    <row r="8" spans="1:74" ht="15.95" customHeight="1" x14ac:dyDescent="0.25">
      <c r="A8" s="134"/>
      <c r="B8" s="62"/>
      <c r="C8" s="66"/>
      <c r="D8" s="66"/>
      <c r="E8" s="66"/>
      <c r="F8" s="66"/>
      <c r="G8" s="66"/>
      <c r="H8" s="66"/>
      <c r="I8" s="66"/>
      <c r="J8" s="66"/>
      <c r="K8" s="66"/>
      <c r="L8" s="57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63"/>
      <c r="BN8" s="134"/>
      <c r="BO8" s="134"/>
      <c r="BP8" s="134"/>
      <c r="BQ8" s="134"/>
      <c r="BR8" s="87" t="s">
        <v>182</v>
      </c>
      <c r="BS8" s="87" t="s">
        <v>221</v>
      </c>
      <c r="BT8" s="87"/>
      <c r="BU8" s="87"/>
      <c r="BV8" s="87"/>
    </row>
    <row r="9" spans="1:74" ht="15.95" customHeight="1" x14ac:dyDescent="0.3">
      <c r="A9" s="134"/>
      <c r="B9" s="62"/>
      <c r="C9" s="76" t="s">
        <v>98</v>
      </c>
      <c r="D9" s="66"/>
      <c r="E9" s="66"/>
      <c r="F9" s="66"/>
      <c r="G9" s="66"/>
      <c r="H9" s="66"/>
      <c r="I9" s="66"/>
      <c r="J9" s="66"/>
      <c r="K9" s="66"/>
      <c r="L9" s="57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63"/>
      <c r="BN9" s="134"/>
      <c r="BO9" s="134"/>
      <c r="BP9" s="134"/>
      <c r="BQ9" s="134"/>
      <c r="BR9" s="87" t="s">
        <v>267</v>
      </c>
      <c r="BS9" s="87" t="s">
        <v>275</v>
      </c>
      <c r="BT9" s="87"/>
      <c r="BU9" s="87"/>
      <c r="BV9" s="87"/>
    </row>
    <row r="10" spans="1:74" ht="15.95" customHeight="1" x14ac:dyDescent="0.25">
      <c r="A10" s="134"/>
      <c r="B10" s="62"/>
      <c r="D10" s="66"/>
      <c r="E10" s="66"/>
      <c r="F10" s="66"/>
      <c r="G10" s="66"/>
      <c r="H10" s="66"/>
      <c r="I10" s="66"/>
      <c r="J10" s="66"/>
      <c r="K10" s="66"/>
      <c r="L10" s="57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63"/>
      <c r="BN10" s="134"/>
      <c r="BO10" s="134"/>
      <c r="BP10" s="134"/>
      <c r="BQ10" s="134"/>
      <c r="BR10" s="87" t="s">
        <v>268</v>
      </c>
      <c r="BS10" s="87" t="s">
        <v>276</v>
      </c>
      <c r="BT10" s="87"/>
      <c r="BU10" s="87"/>
      <c r="BV10" s="87"/>
    </row>
    <row r="11" spans="1:74" ht="15.95" customHeight="1" x14ac:dyDescent="0.25">
      <c r="A11" s="134"/>
      <c r="B11" s="62"/>
      <c r="C11" s="67"/>
      <c r="D11" s="66" t="s">
        <v>116</v>
      </c>
      <c r="H11" s="66"/>
      <c r="I11" s="66"/>
      <c r="J11" s="66"/>
      <c r="K11" s="66"/>
      <c r="L11" s="57"/>
      <c r="M11" s="148">
        <v>45140</v>
      </c>
      <c r="N11" s="149"/>
      <c r="O11" s="149"/>
      <c r="P11" s="149"/>
      <c r="Q11" s="149"/>
      <c r="R11" s="150"/>
      <c r="S11" s="68"/>
      <c r="T11" s="68" t="s">
        <v>97</v>
      </c>
      <c r="U11" s="68"/>
      <c r="V11" s="148">
        <v>45161</v>
      </c>
      <c r="W11" s="149"/>
      <c r="X11" s="149"/>
      <c r="Y11" s="149"/>
      <c r="Z11" s="149"/>
      <c r="AA11" s="150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63"/>
      <c r="BN11" s="134"/>
      <c r="BO11" s="134"/>
      <c r="BP11" s="134"/>
      <c r="BQ11" s="134"/>
      <c r="BR11" s="87" t="s">
        <v>270</v>
      </c>
      <c r="BS11" s="87" t="s">
        <v>277</v>
      </c>
      <c r="BT11" s="87"/>
      <c r="BU11" s="87"/>
      <c r="BV11" s="87"/>
    </row>
    <row r="12" spans="1:74" ht="15.95" customHeight="1" x14ac:dyDescent="0.25">
      <c r="A12" s="134"/>
      <c r="B12" s="62"/>
      <c r="C12" s="67"/>
      <c r="D12" s="66"/>
      <c r="H12" s="66"/>
      <c r="I12" s="66"/>
      <c r="J12" s="66"/>
      <c r="K12" s="66"/>
      <c r="L12" s="57"/>
      <c r="M12" s="77"/>
      <c r="N12" s="77"/>
      <c r="O12" s="77"/>
      <c r="P12" s="77"/>
      <c r="Q12" s="77"/>
      <c r="R12" s="77"/>
      <c r="S12" s="68"/>
      <c r="T12" s="68"/>
      <c r="U12" s="68"/>
      <c r="V12" s="77"/>
      <c r="W12" s="77"/>
      <c r="X12" s="77"/>
      <c r="Y12" s="77"/>
      <c r="Z12" s="77"/>
      <c r="AA12" s="7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63"/>
      <c r="BN12" s="134"/>
      <c r="BO12" s="134"/>
      <c r="BP12" s="134"/>
      <c r="BQ12" s="134"/>
      <c r="BR12" s="87" t="s">
        <v>269</v>
      </c>
      <c r="BS12" s="87" t="s">
        <v>278</v>
      </c>
      <c r="BT12" s="87"/>
      <c r="BU12" s="87"/>
      <c r="BV12" s="87"/>
    </row>
    <row r="13" spans="1:74" ht="15.95" customHeight="1" x14ac:dyDescent="0.25">
      <c r="A13" s="134"/>
      <c r="B13" s="62"/>
      <c r="D13" s="66" t="s">
        <v>117</v>
      </c>
      <c r="F13" s="66"/>
      <c r="G13" s="66"/>
      <c r="H13" s="66"/>
      <c r="I13" s="66"/>
      <c r="J13" s="66"/>
      <c r="K13" s="66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63"/>
      <c r="BN13" s="134"/>
      <c r="BO13" s="134"/>
      <c r="BP13" s="134"/>
      <c r="BQ13" s="134"/>
      <c r="BR13" s="87" t="s">
        <v>279</v>
      </c>
      <c r="BS13" s="87" t="s">
        <v>280</v>
      </c>
      <c r="BT13" s="87"/>
      <c r="BU13" s="87"/>
      <c r="BV13" s="87"/>
    </row>
    <row r="14" spans="1:74" ht="15.95" customHeight="1" x14ac:dyDescent="0.25">
      <c r="A14" s="134"/>
      <c r="B14" s="62"/>
      <c r="D14" s="66"/>
      <c r="F14" s="66"/>
      <c r="G14" s="66"/>
      <c r="H14" s="66"/>
      <c r="I14" s="66"/>
      <c r="J14" s="66"/>
      <c r="K14" s="66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63"/>
      <c r="BN14" s="134"/>
      <c r="BO14" s="134"/>
      <c r="BP14" s="134"/>
      <c r="BQ14" s="134"/>
      <c r="BR14" s="87" t="s">
        <v>271</v>
      </c>
      <c r="BS14" s="87" t="s">
        <v>281</v>
      </c>
      <c r="BT14" s="87"/>
      <c r="BU14" s="87"/>
      <c r="BV14" s="87"/>
    </row>
    <row r="15" spans="1:74" ht="15.95" customHeight="1" x14ac:dyDescent="0.25">
      <c r="A15" s="134"/>
      <c r="B15" s="62"/>
      <c r="C15" s="66"/>
      <c r="D15" s="90"/>
      <c r="E15" s="135" t="s">
        <v>100</v>
      </c>
      <c r="F15" s="91"/>
      <c r="G15" s="91"/>
      <c r="H15" s="91"/>
      <c r="I15" s="91"/>
      <c r="J15" s="91"/>
      <c r="K15" s="91"/>
      <c r="L15" s="92"/>
      <c r="M15" s="92"/>
      <c r="N15" s="92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4"/>
      <c r="AC15" s="94"/>
      <c r="AD15" s="94"/>
      <c r="AE15" s="94"/>
      <c r="AF15" s="94"/>
      <c r="AG15" s="94"/>
      <c r="AH15" s="94"/>
      <c r="AI15" s="94"/>
      <c r="AJ15" s="95"/>
      <c r="AK15" s="105"/>
      <c r="AL15" s="94"/>
      <c r="AM15" s="135" t="s">
        <v>273</v>
      </c>
      <c r="AN15" s="94"/>
      <c r="AO15" s="94"/>
      <c r="AP15" s="94"/>
      <c r="AQ15" s="94"/>
      <c r="AR15" s="94"/>
      <c r="AS15" s="94"/>
      <c r="AT15" s="94"/>
      <c r="AU15" s="94"/>
      <c r="AV15" s="92"/>
      <c r="AW15" s="92"/>
      <c r="AX15" s="92"/>
      <c r="AY15" s="92"/>
      <c r="AZ15" s="92"/>
      <c r="BA15" s="93"/>
      <c r="BB15" s="92"/>
      <c r="BC15" s="92"/>
      <c r="BD15" s="92"/>
      <c r="BE15" s="92"/>
      <c r="BF15" s="92"/>
      <c r="BG15" s="92"/>
      <c r="BH15" s="92"/>
      <c r="BI15" s="92"/>
      <c r="BJ15" s="92"/>
      <c r="BK15" s="106"/>
      <c r="BL15" s="57"/>
      <c r="BM15" s="63"/>
      <c r="BN15" s="134"/>
      <c r="BO15" s="134"/>
      <c r="BP15" s="134"/>
      <c r="BQ15" s="134"/>
      <c r="BR15" s="87" t="s">
        <v>270</v>
      </c>
      <c r="BS15" s="87" t="s">
        <v>282</v>
      </c>
      <c r="BT15" s="87"/>
      <c r="BU15" s="87"/>
      <c r="BV15" s="87"/>
    </row>
    <row r="16" spans="1:74" ht="15.95" customHeight="1" x14ac:dyDescent="0.25">
      <c r="A16" s="134"/>
      <c r="B16" s="62"/>
      <c r="C16" s="66"/>
      <c r="D16" s="96"/>
      <c r="E16" s="66"/>
      <c r="F16" s="66"/>
      <c r="G16" s="66"/>
      <c r="H16" s="66"/>
      <c r="I16" s="66"/>
      <c r="J16" s="66"/>
      <c r="K16" s="57"/>
      <c r="L16" s="57"/>
      <c r="M16" s="57"/>
      <c r="N16" s="57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97"/>
      <c r="AK16" s="107"/>
      <c r="AL16" s="75"/>
      <c r="AM16" s="66"/>
      <c r="AN16" s="75"/>
      <c r="AO16" s="75"/>
      <c r="AP16" s="75"/>
      <c r="AQ16" s="75"/>
      <c r="AR16" s="75"/>
      <c r="AS16" s="75"/>
      <c r="AT16" s="75"/>
      <c r="AU16" s="75"/>
      <c r="AV16" s="57"/>
      <c r="AW16" s="57"/>
      <c r="AX16" s="57"/>
      <c r="AY16" s="57"/>
      <c r="AZ16" s="57"/>
      <c r="BA16" s="75"/>
      <c r="BB16" s="57"/>
      <c r="BC16" s="57"/>
      <c r="BD16" s="57"/>
      <c r="BE16" s="57"/>
      <c r="BF16" s="57"/>
      <c r="BG16" s="57"/>
      <c r="BH16" s="57"/>
      <c r="BI16" s="57"/>
      <c r="BJ16" s="57"/>
      <c r="BK16" s="108"/>
      <c r="BL16" s="57"/>
      <c r="BM16" s="63"/>
      <c r="BN16" s="134"/>
      <c r="BO16" s="134"/>
      <c r="BP16" s="134"/>
      <c r="BQ16" s="134"/>
      <c r="BR16" s="87" t="s">
        <v>269</v>
      </c>
      <c r="BS16" s="87" t="s">
        <v>283</v>
      </c>
      <c r="BT16" s="87"/>
      <c r="BU16" s="87"/>
      <c r="BV16" s="87"/>
    </row>
    <row r="17" spans="1:74" ht="15.95" customHeight="1" x14ac:dyDescent="0.25">
      <c r="A17" s="134"/>
      <c r="B17" s="62"/>
      <c r="C17" s="66"/>
      <c r="D17" s="96"/>
      <c r="E17" s="66"/>
      <c r="F17" s="66"/>
      <c r="G17" s="66"/>
      <c r="H17" s="66"/>
      <c r="I17" s="66"/>
      <c r="J17" s="66"/>
      <c r="K17" s="57"/>
      <c r="L17" s="57"/>
      <c r="M17" s="57"/>
      <c r="N17" s="57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97"/>
      <c r="AK17" s="107"/>
      <c r="AL17" s="136" t="s">
        <v>272</v>
      </c>
      <c r="AM17" s="75"/>
      <c r="AN17" s="75"/>
      <c r="AO17" s="75"/>
      <c r="AP17" s="75"/>
      <c r="AQ17" s="75"/>
      <c r="AR17" s="75"/>
      <c r="AS17" s="75"/>
      <c r="AT17" s="75"/>
      <c r="AU17" s="75"/>
      <c r="AV17" s="57"/>
      <c r="AW17" s="57"/>
      <c r="AX17" s="57"/>
      <c r="AY17" s="57"/>
      <c r="AZ17" s="57"/>
      <c r="BA17" s="75"/>
      <c r="BB17" s="57"/>
      <c r="BC17" s="57"/>
      <c r="BD17" s="57"/>
      <c r="BE17" s="57"/>
      <c r="BF17" s="57"/>
      <c r="BG17" s="57"/>
      <c r="BH17" s="57"/>
      <c r="BI17" s="57"/>
      <c r="BJ17" s="57"/>
      <c r="BK17" s="108"/>
      <c r="BL17" s="57"/>
      <c r="BM17" s="63"/>
      <c r="BN17" s="134"/>
      <c r="BO17" s="134"/>
      <c r="BP17" s="134"/>
      <c r="BQ17" s="134"/>
      <c r="BR17" s="87" t="s">
        <v>279</v>
      </c>
      <c r="BS17" s="87" t="s">
        <v>284</v>
      </c>
      <c r="BT17" s="87"/>
      <c r="BU17" s="87"/>
      <c r="BV17" s="87"/>
    </row>
    <row r="18" spans="1:74" ht="15.95" customHeight="1" x14ac:dyDescent="0.25">
      <c r="A18" s="134"/>
      <c r="B18" s="62"/>
      <c r="C18" s="66"/>
      <c r="D18" s="98"/>
      <c r="E18" s="99"/>
      <c r="F18" s="99"/>
      <c r="G18" s="99"/>
      <c r="H18" s="99"/>
      <c r="I18" s="99"/>
      <c r="J18" s="99"/>
      <c r="K18" s="100"/>
      <c r="L18" s="100"/>
      <c r="M18" s="100"/>
      <c r="N18" s="100"/>
      <c r="O18" s="103"/>
      <c r="P18" s="103"/>
      <c r="Q18" s="103"/>
      <c r="R18" s="103"/>
      <c r="S18" s="103"/>
      <c r="T18" s="103"/>
      <c r="U18" s="103"/>
      <c r="V18" s="103"/>
      <c r="W18" s="103"/>
      <c r="X18" s="103"/>
      <c r="Y18" s="103"/>
      <c r="Z18" s="103"/>
      <c r="AA18" s="103"/>
      <c r="AB18" s="101"/>
      <c r="AC18" s="101"/>
      <c r="AD18" s="101"/>
      <c r="AE18" s="101"/>
      <c r="AF18" s="101"/>
      <c r="AG18" s="101"/>
      <c r="AH18" s="101"/>
      <c r="AI18" s="101"/>
      <c r="AJ18" s="102"/>
      <c r="AK18" s="107"/>
      <c r="AL18" s="75"/>
      <c r="AM18" s="110" t="s">
        <v>287</v>
      </c>
      <c r="AN18" s="75"/>
      <c r="AO18" s="75"/>
      <c r="AP18" s="75"/>
      <c r="AQ18" s="75"/>
      <c r="AR18" s="75"/>
      <c r="AS18" s="75"/>
      <c r="AT18" s="75"/>
      <c r="AU18" s="75"/>
      <c r="AV18" s="57"/>
      <c r="AW18" s="57"/>
      <c r="AX18" s="57"/>
      <c r="AY18" s="57"/>
      <c r="AZ18" s="57"/>
      <c r="BA18" s="75"/>
      <c r="BB18" s="57"/>
      <c r="BC18" s="57"/>
      <c r="BD18" s="57"/>
      <c r="BE18" s="57"/>
      <c r="BF18" s="57"/>
      <c r="BG18" s="57"/>
      <c r="BH18" s="57"/>
      <c r="BI18" s="57"/>
      <c r="BJ18" s="57"/>
      <c r="BK18" s="108"/>
      <c r="BL18" s="57"/>
      <c r="BM18" s="63"/>
      <c r="BN18" s="134"/>
      <c r="BO18" s="134"/>
      <c r="BP18" s="134"/>
      <c r="BQ18" s="134"/>
      <c r="BR18" s="87" t="s">
        <v>271</v>
      </c>
      <c r="BS18" s="87" t="s">
        <v>285</v>
      </c>
      <c r="BT18" s="87"/>
      <c r="BU18" s="87"/>
      <c r="BV18" s="87"/>
    </row>
    <row r="19" spans="1:74" ht="15.95" customHeight="1" x14ac:dyDescent="0.25">
      <c r="A19" s="134"/>
      <c r="B19" s="62"/>
      <c r="C19" s="66"/>
      <c r="D19" s="90"/>
      <c r="E19" s="135" t="s">
        <v>99</v>
      </c>
      <c r="F19" s="91"/>
      <c r="G19" s="91"/>
      <c r="H19" s="91"/>
      <c r="I19" s="91"/>
      <c r="J19" s="91"/>
      <c r="K19" s="92"/>
      <c r="L19" s="92"/>
      <c r="M19" s="94"/>
      <c r="N19" s="92"/>
      <c r="O19" s="93"/>
      <c r="P19" s="94"/>
      <c r="Q19" s="94"/>
      <c r="R19" s="110"/>
      <c r="S19" s="94"/>
      <c r="T19" s="94"/>
      <c r="U19" s="94"/>
      <c r="V19" s="94"/>
      <c r="W19" s="110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I19" s="94"/>
      <c r="AJ19" s="95"/>
      <c r="AK19" s="107"/>
      <c r="AL19" s="136" t="s">
        <v>9</v>
      </c>
      <c r="AM19" s="75"/>
      <c r="AN19" s="75"/>
      <c r="AO19" s="75"/>
      <c r="AP19" s="75"/>
      <c r="AQ19" s="75"/>
      <c r="AR19" s="75"/>
      <c r="AS19" s="75"/>
      <c r="AT19" s="57"/>
      <c r="AU19" s="57"/>
      <c r="AV19" s="142" t="s">
        <v>92</v>
      </c>
      <c r="AW19" s="143"/>
      <c r="AX19" s="143"/>
      <c r="AY19" s="143"/>
      <c r="AZ19" s="143"/>
      <c r="BA19" s="143"/>
      <c r="BB19" s="143"/>
      <c r="BC19" s="143"/>
      <c r="BD19" s="143"/>
      <c r="BE19" s="143"/>
      <c r="BF19" s="144"/>
      <c r="BG19" s="57"/>
      <c r="BH19" s="57"/>
      <c r="BI19" s="57"/>
      <c r="BJ19" s="132"/>
      <c r="BK19" s="108"/>
      <c r="BL19" s="57"/>
      <c r="BM19" s="63"/>
      <c r="BN19" s="134"/>
      <c r="BO19" s="134"/>
      <c r="BP19" s="134"/>
      <c r="BQ19" s="134"/>
      <c r="BR19" s="87" t="s">
        <v>267</v>
      </c>
      <c r="BS19" s="87" t="s">
        <v>286</v>
      </c>
      <c r="BT19" s="87"/>
      <c r="BU19" s="87"/>
      <c r="BV19" s="87"/>
    </row>
    <row r="20" spans="1:74" ht="15.95" customHeight="1" x14ac:dyDescent="0.25">
      <c r="A20" s="134"/>
      <c r="B20" s="62"/>
      <c r="C20" s="66"/>
      <c r="D20" s="96"/>
      <c r="E20" s="66"/>
      <c r="F20" s="66"/>
      <c r="G20" s="66"/>
      <c r="H20" s="66"/>
      <c r="I20" s="66"/>
      <c r="J20" s="136" t="s">
        <v>112</v>
      </c>
      <c r="K20" s="57"/>
      <c r="L20" s="57"/>
      <c r="M20" s="74"/>
      <c r="N20" s="57"/>
      <c r="O20" s="74"/>
      <c r="P20" s="74"/>
      <c r="Q20" s="74"/>
      <c r="R20" s="110"/>
      <c r="S20" s="74"/>
      <c r="T20" s="74"/>
      <c r="U20" s="74"/>
      <c r="V20" s="74"/>
      <c r="W20" s="74"/>
      <c r="X20" s="74"/>
      <c r="Y20" s="74"/>
      <c r="Z20" s="74"/>
      <c r="AA20" s="74"/>
      <c r="AB20" s="75"/>
      <c r="AC20" s="75"/>
      <c r="AD20" s="75"/>
      <c r="AE20" s="75"/>
      <c r="AF20" s="75"/>
      <c r="AG20" s="75"/>
      <c r="AH20" s="75"/>
      <c r="AI20" s="75"/>
      <c r="AJ20" s="97"/>
      <c r="AK20" s="107"/>
      <c r="AL20" s="89"/>
      <c r="AM20" s="89" t="s">
        <v>265</v>
      </c>
      <c r="AN20" s="75"/>
      <c r="AO20" s="75"/>
      <c r="AP20" s="75"/>
      <c r="AQ20" s="75"/>
      <c r="AR20" s="75"/>
      <c r="AS20" s="75"/>
      <c r="AT20" s="75"/>
      <c r="AU20" s="75"/>
      <c r="AV20" s="57"/>
      <c r="AW20" s="57"/>
      <c r="AX20" s="57"/>
      <c r="AY20" s="57"/>
      <c r="AZ20" s="57"/>
      <c r="BA20" s="75"/>
      <c r="BB20" s="57"/>
      <c r="BC20" s="57"/>
      <c r="BD20" s="57"/>
      <c r="BE20" s="57"/>
      <c r="BF20" s="57"/>
      <c r="BG20" s="57"/>
      <c r="BH20" s="57"/>
      <c r="BI20" s="57"/>
      <c r="BJ20" s="57"/>
      <c r="BK20" s="108"/>
      <c r="BL20" s="57"/>
      <c r="BM20" s="63"/>
      <c r="BN20" s="134"/>
      <c r="BO20" s="134"/>
      <c r="BP20" s="134"/>
      <c r="BQ20" s="134"/>
      <c r="BR20" s="87" t="s">
        <v>293</v>
      </c>
      <c r="BS20" s="87" t="s">
        <v>294</v>
      </c>
      <c r="BT20" s="87"/>
      <c r="BU20" s="87"/>
      <c r="BV20" s="87"/>
    </row>
    <row r="21" spans="1:74" ht="15.95" customHeight="1" x14ac:dyDescent="0.25">
      <c r="A21" s="134"/>
      <c r="B21" s="62"/>
      <c r="C21" s="66"/>
      <c r="D21" s="96"/>
      <c r="E21" s="66"/>
      <c r="F21" s="66"/>
      <c r="G21" s="66"/>
      <c r="H21" s="66"/>
      <c r="I21" s="66"/>
      <c r="J21" s="74"/>
      <c r="K21" s="110" t="s">
        <v>172</v>
      </c>
      <c r="L21" s="57"/>
      <c r="M21" s="74"/>
      <c r="N21" s="57"/>
      <c r="O21" s="74"/>
      <c r="P21" s="74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  <c r="AH21" s="75"/>
      <c r="AI21" s="75"/>
      <c r="AJ21" s="97"/>
      <c r="AK21" s="107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57"/>
      <c r="AW21" s="57"/>
      <c r="AX21" s="57"/>
      <c r="AY21" s="57"/>
      <c r="AZ21" s="57"/>
      <c r="BA21" s="75"/>
      <c r="BB21" s="57"/>
      <c r="BC21" s="57"/>
      <c r="BD21" s="57"/>
      <c r="BE21" s="57"/>
      <c r="BF21" s="57"/>
      <c r="BG21" s="57"/>
      <c r="BH21" s="57"/>
      <c r="BI21" s="57"/>
      <c r="BJ21" s="57"/>
      <c r="BK21" s="108"/>
      <c r="BL21" s="57"/>
      <c r="BM21" s="63"/>
      <c r="BN21" s="134"/>
      <c r="BO21" s="134"/>
      <c r="BP21" s="134"/>
      <c r="BQ21" s="134"/>
      <c r="BR21" s="87" t="s">
        <v>304</v>
      </c>
      <c r="BS21" s="87" t="s">
        <v>305</v>
      </c>
      <c r="BT21" s="87"/>
      <c r="BU21" s="87"/>
      <c r="BV21" s="87"/>
    </row>
    <row r="22" spans="1:74" ht="15.95" customHeight="1" x14ac:dyDescent="0.25">
      <c r="A22" s="134"/>
      <c r="B22" s="62"/>
      <c r="C22" s="66"/>
      <c r="D22" s="96"/>
      <c r="E22" s="57"/>
      <c r="F22" s="66"/>
      <c r="G22" s="66"/>
      <c r="H22" s="66"/>
      <c r="I22" s="66"/>
      <c r="J22" s="136" t="s">
        <v>113</v>
      </c>
      <c r="K22" s="57"/>
      <c r="L22" s="57"/>
      <c r="M22" s="75"/>
      <c r="N22" s="57"/>
      <c r="O22" s="75"/>
      <c r="P22" s="75"/>
      <c r="Q22" s="74"/>
      <c r="R22" s="142" t="s">
        <v>61</v>
      </c>
      <c r="S22" s="143"/>
      <c r="T22" s="143"/>
      <c r="U22" s="143"/>
      <c r="V22" s="143"/>
      <c r="W22" s="143"/>
      <c r="X22" s="143"/>
      <c r="Y22" s="143"/>
      <c r="Z22" s="143"/>
      <c r="AA22" s="143"/>
      <c r="AB22" s="144"/>
      <c r="AC22" s="66"/>
      <c r="AD22" s="66"/>
      <c r="AE22" s="66"/>
      <c r="AF22" s="66"/>
      <c r="AG22" s="66"/>
      <c r="AH22" s="75"/>
      <c r="AI22" s="75"/>
      <c r="AJ22" s="97"/>
      <c r="AK22" s="107"/>
      <c r="AL22" s="141" t="s">
        <v>264</v>
      </c>
      <c r="AM22" s="75"/>
      <c r="AN22" s="75"/>
      <c r="AO22" s="75"/>
      <c r="AP22" s="75"/>
      <c r="AQ22" s="75"/>
      <c r="AR22" s="75"/>
      <c r="AS22" s="75"/>
      <c r="AT22" s="75"/>
      <c r="AU22" s="75"/>
      <c r="AV22" s="142" t="s">
        <v>101</v>
      </c>
      <c r="AW22" s="143"/>
      <c r="AX22" s="143"/>
      <c r="AY22" s="143"/>
      <c r="AZ22" s="143"/>
      <c r="BA22" s="143"/>
      <c r="BB22" s="143"/>
      <c r="BC22" s="143"/>
      <c r="BD22" s="143"/>
      <c r="BE22" s="143"/>
      <c r="BF22" s="144"/>
      <c r="BG22" s="57"/>
      <c r="BH22" s="57"/>
      <c r="BI22" s="57"/>
      <c r="BJ22" s="57"/>
      <c r="BK22" s="108"/>
      <c r="BL22" s="57"/>
      <c r="BM22" s="63"/>
      <c r="BN22" s="134"/>
      <c r="BO22" s="134"/>
      <c r="BP22" s="134"/>
      <c r="BQ22" s="134"/>
      <c r="BR22" s="87"/>
      <c r="BS22" s="87"/>
      <c r="BT22" s="87"/>
      <c r="BU22" s="87"/>
      <c r="BV22" s="87"/>
    </row>
    <row r="23" spans="1:74" ht="15.95" customHeight="1" x14ac:dyDescent="0.25">
      <c r="A23" s="134"/>
      <c r="B23" s="62"/>
      <c r="C23" s="66"/>
      <c r="D23" s="96"/>
      <c r="E23" s="57"/>
      <c r="F23" s="66"/>
      <c r="G23" s="66"/>
      <c r="H23" s="66"/>
      <c r="I23" s="66"/>
      <c r="J23" s="75"/>
      <c r="K23" s="89" t="s">
        <v>170</v>
      </c>
      <c r="L23" s="57"/>
      <c r="M23" s="75"/>
      <c r="N23" s="57"/>
      <c r="O23" s="75"/>
      <c r="P23" s="75"/>
      <c r="Q23" s="75"/>
      <c r="R23" s="89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66"/>
      <c r="AG23" s="66"/>
      <c r="AH23" s="75"/>
      <c r="AI23" s="75"/>
      <c r="AJ23" s="97"/>
      <c r="AK23" s="107"/>
      <c r="AL23" s="89"/>
      <c r="AM23" s="89" t="s">
        <v>266</v>
      </c>
      <c r="AN23" s="75"/>
      <c r="AO23" s="75"/>
      <c r="AP23" s="75"/>
      <c r="AQ23" s="75"/>
      <c r="AR23" s="75"/>
      <c r="AS23" s="75"/>
      <c r="AT23" s="75"/>
      <c r="AU23" s="75"/>
      <c r="AV23" s="57"/>
      <c r="AW23" s="57"/>
      <c r="AX23" s="57"/>
      <c r="AY23" s="57"/>
      <c r="AZ23" s="57"/>
      <c r="BA23" s="75"/>
      <c r="BB23" s="57"/>
      <c r="BC23" s="57"/>
      <c r="BD23" s="57"/>
      <c r="BE23" s="57"/>
      <c r="BF23" s="57"/>
      <c r="BG23" s="57"/>
      <c r="BH23" s="57"/>
      <c r="BI23" s="57"/>
      <c r="BJ23" s="57"/>
      <c r="BK23" s="108"/>
      <c r="BL23" s="57"/>
      <c r="BM23" s="63"/>
      <c r="BN23" s="134"/>
      <c r="BO23" s="134"/>
      <c r="BP23" s="134"/>
      <c r="BQ23" s="134"/>
      <c r="BR23" s="87"/>
      <c r="BS23" s="87"/>
      <c r="BT23" s="87"/>
      <c r="BU23" s="87"/>
      <c r="BV23" s="87"/>
    </row>
    <row r="24" spans="1:74" ht="15.95" customHeight="1" x14ac:dyDescent="0.25">
      <c r="A24" s="134"/>
      <c r="B24" s="62"/>
      <c r="C24" s="66"/>
      <c r="D24" s="96"/>
      <c r="E24" s="57"/>
      <c r="F24" s="66"/>
      <c r="G24" s="66"/>
      <c r="H24" s="66"/>
      <c r="I24" s="66"/>
      <c r="J24" s="136" t="s">
        <v>114</v>
      </c>
      <c r="K24" s="57"/>
      <c r="L24" s="57"/>
      <c r="M24" s="74"/>
      <c r="N24" s="57"/>
      <c r="O24" s="75"/>
      <c r="P24" s="74"/>
      <c r="Q24" s="74"/>
      <c r="R24" s="142" t="s">
        <v>19</v>
      </c>
      <c r="S24" s="143"/>
      <c r="T24" s="143"/>
      <c r="U24" s="143"/>
      <c r="V24" s="143"/>
      <c r="W24" s="143"/>
      <c r="X24" s="143"/>
      <c r="Y24" s="143"/>
      <c r="Z24" s="143"/>
      <c r="AA24" s="143"/>
      <c r="AB24" s="144"/>
      <c r="AC24" s="75"/>
      <c r="AD24" s="75"/>
      <c r="AE24" s="75"/>
      <c r="AF24" s="75"/>
      <c r="AG24" s="75"/>
      <c r="AH24" s="75"/>
      <c r="AI24" s="75"/>
      <c r="AJ24" s="97"/>
      <c r="AK24" s="107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142" t="s">
        <v>14</v>
      </c>
      <c r="AW24" s="143"/>
      <c r="AX24" s="143"/>
      <c r="AY24" s="143"/>
      <c r="AZ24" s="143"/>
      <c r="BA24" s="143"/>
      <c r="BB24" s="143"/>
      <c r="BC24" s="143"/>
      <c r="BD24" s="143"/>
      <c r="BE24" s="143"/>
      <c r="BF24" s="144"/>
      <c r="BG24" s="57"/>
      <c r="BH24" s="57"/>
      <c r="BI24" s="57"/>
      <c r="BJ24" s="57"/>
      <c r="BK24" s="108"/>
      <c r="BL24" s="57"/>
      <c r="BM24" s="63"/>
      <c r="BN24" s="134"/>
      <c r="BO24" s="134"/>
      <c r="BP24" s="134"/>
      <c r="BQ24" s="134"/>
      <c r="BR24" s="87"/>
      <c r="BS24" s="87"/>
      <c r="BT24" s="87"/>
      <c r="BU24" s="87"/>
      <c r="BV24" s="87"/>
    </row>
    <row r="25" spans="1:74" ht="15.95" customHeight="1" x14ac:dyDescent="0.25">
      <c r="A25" s="134"/>
      <c r="B25" s="62"/>
      <c r="C25" s="66"/>
      <c r="D25" s="96"/>
      <c r="E25" s="57"/>
      <c r="F25" s="66"/>
      <c r="G25" s="66"/>
      <c r="H25" s="66"/>
      <c r="I25" s="66"/>
      <c r="J25" s="74"/>
      <c r="K25" s="89" t="s">
        <v>171</v>
      </c>
      <c r="L25" s="57"/>
      <c r="M25" s="75"/>
      <c r="N25" s="57"/>
      <c r="O25" s="75"/>
      <c r="P25" s="75"/>
      <c r="Q25" s="75"/>
      <c r="R25" s="89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97"/>
      <c r="AK25" s="107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57"/>
      <c r="AW25" s="57"/>
      <c r="AX25" s="57"/>
      <c r="AY25" s="57"/>
      <c r="AZ25" s="57"/>
      <c r="BA25" s="75"/>
      <c r="BB25" s="57"/>
      <c r="BC25" s="57"/>
      <c r="BD25" s="57"/>
      <c r="BE25" s="57"/>
      <c r="BF25" s="57"/>
      <c r="BG25" s="57"/>
      <c r="BH25" s="57"/>
      <c r="BI25" s="57"/>
      <c r="BJ25" s="57"/>
      <c r="BK25" s="108"/>
      <c r="BL25" s="57"/>
      <c r="BM25" s="63"/>
      <c r="BN25" s="134"/>
      <c r="BO25" s="134"/>
      <c r="BP25" s="134"/>
      <c r="BQ25" s="134"/>
      <c r="BR25" s="87"/>
      <c r="BS25" s="87"/>
      <c r="BT25" s="87"/>
      <c r="BU25" s="87"/>
      <c r="BV25" s="87"/>
    </row>
    <row r="26" spans="1:74" ht="15.95" customHeight="1" x14ac:dyDescent="0.25">
      <c r="A26" s="134"/>
      <c r="B26" s="62"/>
      <c r="C26" s="66"/>
      <c r="D26" s="96"/>
      <c r="E26" s="66"/>
      <c r="F26" s="66"/>
      <c r="G26" s="66"/>
      <c r="H26" s="66"/>
      <c r="I26" s="66"/>
      <c r="J26" s="136" t="s">
        <v>115</v>
      </c>
      <c r="K26" s="57"/>
      <c r="L26" s="57"/>
      <c r="M26" s="57"/>
      <c r="N26" s="57"/>
      <c r="O26" s="74"/>
      <c r="P26" s="74"/>
      <c r="Q26" s="74"/>
      <c r="R26" s="89"/>
      <c r="S26" s="74"/>
      <c r="T26" s="74"/>
      <c r="U26" s="74"/>
      <c r="V26" s="74"/>
      <c r="W26" s="89"/>
      <c r="X26" s="74"/>
      <c r="Y26" s="74"/>
      <c r="Z26" s="74"/>
      <c r="AA26" s="74"/>
      <c r="AB26" s="75"/>
      <c r="AC26" s="75"/>
      <c r="AD26" s="75"/>
      <c r="AE26" s="75"/>
      <c r="AF26" s="75"/>
      <c r="AG26" s="75"/>
      <c r="AH26" s="75"/>
      <c r="AI26" s="75"/>
      <c r="AJ26" s="97"/>
      <c r="AK26" s="107"/>
      <c r="AL26" s="75"/>
      <c r="AM26" s="75"/>
      <c r="AN26" s="75"/>
      <c r="AO26" s="75"/>
      <c r="AP26" s="75"/>
      <c r="AQ26" s="75"/>
      <c r="AR26" s="75"/>
      <c r="AS26" s="75"/>
      <c r="AT26" s="75"/>
      <c r="AU26" s="75"/>
      <c r="AV26" s="57"/>
      <c r="AW26" s="57"/>
      <c r="AX26" s="57"/>
      <c r="AY26" s="57"/>
      <c r="AZ26" s="57"/>
      <c r="BA26" s="75"/>
      <c r="BB26" s="57"/>
      <c r="BC26" s="57"/>
      <c r="BD26" s="57"/>
      <c r="BE26" s="57"/>
      <c r="BF26" s="57"/>
      <c r="BG26" s="57"/>
      <c r="BH26" s="57"/>
      <c r="BI26" s="57"/>
      <c r="BJ26" s="57"/>
      <c r="BK26" s="108"/>
      <c r="BL26" s="57"/>
      <c r="BM26" s="63"/>
      <c r="BN26" s="134"/>
      <c r="BO26" s="134"/>
      <c r="BP26" s="134"/>
      <c r="BQ26" s="134"/>
      <c r="BR26" s="87"/>
      <c r="BS26" s="87"/>
      <c r="BT26" s="87"/>
      <c r="BU26" s="87"/>
      <c r="BV26" s="87"/>
    </row>
    <row r="27" spans="1:74" ht="15.95" customHeight="1" x14ac:dyDescent="0.25">
      <c r="A27" s="134"/>
      <c r="B27" s="62"/>
      <c r="C27" s="66"/>
      <c r="D27" s="98"/>
      <c r="E27" s="99"/>
      <c r="F27" s="99"/>
      <c r="G27" s="99"/>
      <c r="H27" s="99"/>
      <c r="I27" s="99"/>
      <c r="J27" s="57"/>
      <c r="K27" s="89" t="s">
        <v>184</v>
      </c>
      <c r="L27" s="100"/>
      <c r="M27" s="100"/>
      <c r="N27" s="100"/>
      <c r="O27" s="103"/>
      <c r="P27" s="103"/>
      <c r="Q27" s="103"/>
      <c r="R27" s="89"/>
      <c r="S27" s="103"/>
      <c r="T27" s="103"/>
      <c r="U27" s="103"/>
      <c r="V27" s="103"/>
      <c r="W27" s="103"/>
      <c r="X27" s="103"/>
      <c r="Y27" s="103"/>
      <c r="Z27" s="103"/>
      <c r="AA27" s="103"/>
      <c r="AB27" s="101"/>
      <c r="AC27" s="101"/>
      <c r="AD27" s="101"/>
      <c r="AE27" s="101"/>
      <c r="AF27" s="101"/>
      <c r="AG27" s="101"/>
      <c r="AH27" s="101"/>
      <c r="AI27" s="101"/>
      <c r="AJ27" s="102"/>
      <c r="AK27" s="109"/>
      <c r="AL27" s="101"/>
      <c r="AM27" s="99"/>
      <c r="AN27" s="101"/>
      <c r="AO27" s="101"/>
      <c r="AP27" s="101"/>
      <c r="AQ27" s="101"/>
      <c r="AR27" s="101"/>
      <c r="AS27" s="101"/>
      <c r="AT27" s="101"/>
      <c r="AU27" s="101"/>
      <c r="AV27" s="100"/>
      <c r="AW27" s="100"/>
      <c r="AX27" s="100"/>
      <c r="AY27" s="100"/>
      <c r="AZ27" s="100"/>
      <c r="BA27" s="101"/>
      <c r="BB27" s="100"/>
      <c r="BC27" s="100"/>
      <c r="BD27" s="100"/>
      <c r="BE27" s="100"/>
      <c r="BF27" s="100"/>
      <c r="BG27" s="100"/>
      <c r="BH27" s="100"/>
      <c r="BI27" s="100"/>
      <c r="BJ27" s="100"/>
      <c r="BK27" s="104"/>
      <c r="BL27" s="57"/>
      <c r="BM27" s="63"/>
      <c r="BN27" s="134"/>
      <c r="BO27" s="134"/>
      <c r="BP27" s="134"/>
      <c r="BQ27" s="134"/>
      <c r="BR27" s="87"/>
      <c r="BS27" s="87"/>
      <c r="BT27" s="87"/>
      <c r="BU27" s="87"/>
      <c r="BV27" s="87"/>
    </row>
    <row r="28" spans="1:74" ht="15.95" customHeight="1" x14ac:dyDescent="0.25">
      <c r="A28" s="134"/>
      <c r="B28" s="62"/>
      <c r="C28" s="5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  <c r="T28" s="137"/>
      <c r="U28" s="137"/>
      <c r="V28" s="137"/>
      <c r="W28" s="137"/>
      <c r="X28" s="137"/>
      <c r="Y28" s="137"/>
      <c r="Z28" s="137"/>
      <c r="AA28" s="137"/>
      <c r="AB28" s="137"/>
      <c r="AC28" s="137"/>
      <c r="AD28" s="137"/>
      <c r="AE28" s="137"/>
      <c r="AF28" s="137"/>
      <c r="AG28" s="137"/>
      <c r="AH28" s="137"/>
      <c r="AI28" s="137"/>
      <c r="AJ28" s="137"/>
      <c r="AK28" s="137"/>
      <c r="AL28" s="137"/>
      <c r="AM28" s="137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88"/>
      <c r="BM28" s="138"/>
      <c r="BN28" s="134"/>
      <c r="BO28" s="134"/>
      <c r="BP28" s="134"/>
      <c r="BQ28" s="134"/>
      <c r="BR28" s="87"/>
      <c r="BS28" s="87"/>
      <c r="BT28" s="87"/>
      <c r="BU28" s="87"/>
      <c r="BV28" s="87"/>
    </row>
    <row r="29" spans="1:74" ht="15.95" customHeight="1" x14ac:dyDescent="0.25">
      <c r="A29" s="134"/>
      <c r="B29" s="62"/>
      <c r="C29" s="57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8"/>
      <c r="AG29" s="88"/>
      <c r="AH29" s="88"/>
      <c r="AI29" s="88"/>
      <c r="AJ29" s="88"/>
      <c r="AK29" s="88"/>
      <c r="AL29" s="88"/>
      <c r="AM29" s="88"/>
      <c r="AN29" s="88"/>
      <c r="AO29" s="88"/>
      <c r="AP29" s="88"/>
      <c r="AQ29" s="88"/>
      <c r="AR29" s="88"/>
      <c r="AS29" s="88"/>
      <c r="AT29" s="88"/>
      <c r="AU29" s="88"/>
      <c r="AV29" s="88"/>
      <c r="AW29" s="88"/>
      <c r="AX29" s="88"/>
      <c r="AY29" s="88"/>
      <c r="AZ29" s="88"/>
      <c r="BA29" s="88"/>
      <c r="BB29" s="88"/>
      <c r="BC29" s="88"/>
      <c r="BD29" s="88"/>
      <c r="BE29" s="88"/>
      <c r="BF29" s="88"/>
      <c r="BG29" s="88"/>
      <c r="BH29" s="88"/>
      <c r="BI29" s="88"/>
      <c r="BJ29" s="88"/>
      <c r="BK29" s="88"/>
      <c r="BL29" s="88"/>
      <c r="BM29" s="138"/>
      <c r="BN29" s="134"/>
      <c r="BO29" s="134"/>
      <c r="BP29" s="134"/>
      <c r="BQ29" s="134"/>
      <c r="BR29" s="87"/>
      <c r="BS29" s="87"/>
      <c r="BT29" s="87"/>
      <c r="BU29" s="87"/>
      <c r="BV29" s="87"/>
    </row>
    <row r="30" spans="1:74" ht="15.95" customHeight="1" x14ac:dyDescent="0.25">
      <c r="A30" s="134"/>
      <c r="B30" s="62"/>
      <c r="C30" s="57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/>
      <c r="AG30" s="88"/>
      <c r="AH30" s="88"/>
      <c r="AI30" s="88"/>
      <c r="AJ30" s="88"/>
      <c r="AK30" s="88"/>
      <c r="AL30" s="88"/>
      <c r="AM30" s="88"/>
      <c r="AN30" s="88"/>
      <c r="AO30" s="88"/>
      <c r="AP30" s="88"/>
      <c r="AQ30" s="88"/>
      <c r="AR30" s="88"/>
      <c r="AS30" s="88"/>
      <c r="AT30" s="88"/>
      <c r="AU30" s="88"/>
      <c r="AV30" s="88"/>
      <c r="AW30" s="88"/>
      <c r="AX30" s="88"/>
      <c r="AY30" s="88"/>
      <c r="AZ30" s="88"/>
      <c r="BA30" s="88"/>
      <c r="BB30" s="88"/>
      <c r="BC30" s="88"/>
      <c r="BD30" s="88"/>
      <c r="BE30" s="88"/>
      <c r="BF30" s="88"/>
      <c r="BG30" s="88"/>
      <c r="BH30" s="88"/>
      <c r="BI30" s="88"/>
      <c r="BJ30" s="88"/>
      <c r="BK30" s="88"/>
      <c r="BL30" s="88"/>
      <c r="BM30" s="138"/>
      <c r="BN30" s="134"/>
      <c r="BO30" s="134"/>
      <c r="BP30" s="134"/>
      <c r="BQ30" s="134"/>
      <c r="BR30" s="87"/>
      <c r="BS30" s="87"/>
      <c r="BT30" s="87"/>
      <c r="BU30" s="87"/>
      <c r="BV30" s="87"/>
    </row>
    <row r="31" spans="1:74" ht="15.95" customHeight="1" x14ac:dyDescent="0.25">
      <c r="A31" s="134"/>
      <c r="B31" s="62"/>
      <c r="C31" s="57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  <c r="AJ31" s="88"/>
      <c r="AK31" s="88"/>
      <c r="AL31" s="88"/>
      <c r="AM31" s="88"/>
      <c r="AN31" s="88"/>
      <c r="AO31" s="88"/>
      <c r="AP31" s="88"/>
      <c r="AQ31" s="88"/>
      <c r="AR31" s="88"/>
      <c r="AS31" s="88"/>
      <c r="AT31" s="88"/>
      <c r="AU31" s="88"/>
      <c r="AV31" s="88"/>
      <c r="AW31" s="88"/>
      <c r="AX31" s="88"/>
      <c r="AY31" s="88"/>
      <c r="AZ31" s="88"/>
      <c r="BA31" s="88"/>
      <c r="BB31" s="88"/>
      <c r="BC31" s="88"/>
      <c r="BD31" s="88"/>
      <c r="BE31" s="88"/>
      <c r="BF31" s="88"/>
      <c r="BG31" s="88"/>
      <c r="BH31" s="88"/>
      <c r="BI31" s="88"/>
      <c r="BJ31" s="88"/>
      <c r="BK31" s="88"/>
      <c r="BL31" s="88"/>
      <c r="BM31" s="138"/>
      <c r="BN31" s="134"/>
      <c r="BO31" s="134"/>
      <c r="BP31" s="134"/>
      <c r="BQ31" s="134"/>
      <c r="BR31" s="87"/>
      <c r="BS31" s="87"/>
      <c r="BT31" s="87"/>
      <c r="BU31" s="87"/>
      <c r="BV31" s="87"/>
    </row>
    <row r="32" spans="1:74" ht="8.25" customHeight="1" thickBot="1" x14ac:dyDescent="0.3">
      <c r="A32" s="134"/>
      <c r="B32" s="64"/>
      <c r="C32" s="65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39"/>
      <c r="AC32" s="139"/>
      <c r="AD32" s="139"/>
      <c r="AE32" s="139"/>
      <c r="AF32" s="139"/>
      <c r="AG32" s="139"/>
      <c r="AH32" s="139"/>
      <c r="AI32" s="139"/>
      <c r="AJ32" s="139"/>
      <c r="AK32" s="139"/>
      <c r="AL32" s="139"/>
      <c r="AM32" s="139"/>
      <c r="AN32" s="139"/>
      <c r="AO32" s="139"/>
      <c r="AP32" s="139"/>
      <c r="AQ32" s="139"/>
      <c r="AR32" s="139"/>
      <c r="AS32" s="139"/>
      <c r="AT32" s="139"/>
      <c r="AU32" s="139"/>
      <c r="AV32" s="139"/>
      <c r="AW32" s="139"/>
      <c r="AX32" s="139"/>
      <c r="AY32" s="139"/>
      <c r="AZ32" s="139"/>
      <c r="BA32" s="139"/>
      <c r="BB32" s="139"/>
      <c r="BC32" s="139"/>
      <c r="BD32" s="139"/>
      <c r="BE32" s="139"/>
      <c r="BF32" s="139"/>
      <c r="BG32" s="139"/>
      <c r="BH32" s="139"/>
      <c r="BI32" s="139"/>
      <c r="BJ32" s="139"/>
      <c r="BK32" s="139"/>
      <c r="BL32" s="139"/>
      <c r="BM32" s="140"/>
      <c r="BN32" s="134"/>
      <c r="BO32" s="134"/>
      <c r="BP32" s="134"/>
      <c r="BQ32" s="134"/>
      <c r="BR32" s="87"/>
      <c r="BS32" s="87"/>
      <c r="BT32" s="87"/>
      <c r="BU32" s="87"/>
      <c r="BV32" s="87"/>
    </row>
    <row r="33" spans="1:74" ht="11.25" customHeight="1" x14ac:dyDescent="0.25">
      <c r="A33" s="134"/>
      <c r="B33" s="134"/>
      <c r="C33" s="134"/>
      <c r="D33" s="134"/>
      <c r="E33" s="134"/>
      <c r="F33" s="134"/>
      <c r="G33" s="134"/>
      <c r="H33" s="134"/>
      <c r="I33" s="134"/>
      <c r="J33" s="134"/>
      <c r="K33" s="134"/>
      <c r="L33" s="134"/>
      <c r="M33" s="134"/>
      <c r="N33" s="134"/>
      <c r="O33" s="134"/>
      <c r="P33" s="134"/>
      <c r="Q33" s="134"/>
      <c r="R33" s="134"/>
      <c r="S33" s="134"/>
      <c r="T33" s="134"/>
      <c r="U33" s="134"/>
      <c r="V33" s="134"/>
      <c r="W33" s="134"/>
      <c r="X33" s="134"/>
      <c r="Y33" s="134"/>
      <c r="Z33" s="134"/>
      <c r="AA33" s="134"/>
      <c r="AB33" s="134"/>
      <c r="AC33" s="134"/>
      <c r="AD33" s="134"/>
      <c r="AE33" s="134"/>
      <c r="AF33" s="134"/>
      <c r="AG33" s="134"/>
      <c r="AH33" s="134"/>
      <c r="AI33" s="134"/>
      <c r="AJ33" s="134"/>
      <c r="AK33" s="134"/>
      <c r="AL33" s="134"/>
      <c r="AM33" s="134"/>
      <c r="AN33" s="134"/>
      <c r="AO33" s="134"/>
      <c r="AP33" s="134"/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  <c r="BC33" s="134"/>
      <c r="BD33" s="134"/>
      <c r="BE33" s="134"/>
      <c r="BF33" s="134"/>
      <c r="BG33" s="134"/>
      <c r="BH33" s="134"/>
      <c r="BI33" s="134"/>
      <c r="BJ33" s="134"/>
      <c r="BK33" s="134"/>
      <c r="BL33" s="134"/>
      <c r="BM33" s="134"/>
      <c r="BN33" s="134"/>
      <c r="BO33" s="134"/>
      <c r="BP33" s="134"/>
      <c r="BQ33" s="134"/>
      <c r="BR33" s="87"/>
      <c r="BS33" s="87"/>
      <c r="BT33" s="87"/>
      <c r="BU33" s="87"/>
      <c r="BV33" s="87"/>
    </row>
    <row r="34" spans="1:74" ht="15.95" customHeight="1" x14ac:dyDescent="0.25">
      <c r="A34" s="134"/>
      <c r="B34" s="134"/>
      <c r="C34" s="134"/>
      <c r="D34" s="158" t="s">
        <v>288</v>
      </c>
      <c r="E34" s="134"/>
      <c r="F34" s="134"/>
      <c r="G34" s="151"/>
      <c r="H34" s="152"/>
      <c r="I34" s="153" t="s">
        <v>297</v>
      </c>
      <c r="J34" s="154"/>
      <c r="K34" s="154"/>
      <c r="L34" s="154"/>
      <c r="M34" s="134"/>
      <c r="N34" s="134"/>
      <c r="O34" s="134"/>
      <c r="P34" s="134"/>
      <c r="Q34" s="134"/>
      <c r="R34" s="134"/>
      <c r="S34" s="154"/>
      <c r="T34" s="154"/>
      <c r="U34" s="134"/>
      <c r="V34" s="134"/>
      <c r="W34" s="134"/>
      <c r="X34" s="134"/>
      <c r="Y34" s="134"/>
      <c r="Z34" s="134"/>
      <c r="AA34" s="134"/>
      <c r="AB34" s="134"/>
      <c r="AC34" s="134"/>
      <c r="AD34" s="134"/>
      <c r="AE34" s="134"/>
      <c r="AF34" s="134"/>
      <c r="AG34" s="134"/>
      <c r="AH34" s="134"/>
      <c r="AI34" s="134"/>
      <c r="AJ34" s="134"/>
      <c r="AK34" s="134"/>
      <c r="AL34" s="134"/>
      <c r="AM34" s="134"/>
      <c r="AN34" s="134"/>
      <c r="AO34" s="134"/>
      <c r="AP34" s="134"/>
      <c r="AQ34" s="134"/>
      <c r="AR34" s="134"/>
      <c r="AS34" s="134"/>
      <c r="AT34" s="134"/>
      <c r="AU34" s="134"/>
      <c r="AV34" s="134"/>
      <c r="AW34" s="134"/>
      <c r="AX34" s="134"/>
      <c r="AY34" s="134"/>
      <c r="AZ34" s="134"/>
      <c r="BA34" s="134"/>
      <c r="BB34" s="134"/>
      <c r="BC34" s="134"/>
      <c r="BD34" s="134"/>
      <c r="BE34" s="134"/>
      <c r="BF34" s="134"/>
      <c r="BG34" s="134"/>
      <c r="BH34" s="134"/>
      <c r="BI34" s="134"/>
      <c r="BJ34" s="134"/>
      <c r="BK34" s="134"/>
      <c r="BL34" s="134"/>
      <c r="BM34" s="134"/>
      <c r="BN34" s="134"/>
      <c r="BO34" s="134"/>
      <c r="BP34" s="134"/>
      <c r="BQ34" s="134"/>
      <c r="BR34" s="87"/>
      <c r="BS34" s="87"/>
      <c r="BT34" s="87"/>
      <c r="BU34" s="87"/>
      <c r="BV34" s="87"/>
    </row>
    <row r="35" spans="1:74" ht="15.95" customHeight="1" x14ac:dyDescent="0.25">
      <c r="A35" s="134"/>
      <c r="B35" s="134"/>
      <c r="C35" s="134"/>
      <c r="D35" s="134"/>
      <c r="E35" s="134"/>
      <c r="F35" s="134"/>
      <c r="G35" s="155"/>
      <c r="H35" s="155"/>
      <c r="I35" s="157" t="s">
        <v>298</v>
      </c>
      <c r="J35" s="156"/>
      <c r="K35" s="156"/>
      <c r="L35" s="156"/>
      <c r="M35" s="134"/>
      <c r="N35" s="134"/>
      <c r="O35" s="134"/>
      <c r="P35" s="134"/>
      <c r="Q35" s="134"/>
      <c r="R35" s="134"/>
      <c r="S35" s="156"/>
      <c r="T35" s="156"/>
      <c r="U35" s="134"/>
      <c r="V35" s="134"/>
      <c r="W35" s="134"/>
      <c r="X35" s="134"/>
      <c r="Y35" s="134"/>
      <c r="Z35" s="134"/>
      <c r="AA35" s="134"/>
      <c r="AB35" s="134"/>
      <c r="AC35" s="134"/>
      <c r="AD35" s="134"/>
      <c r="AE35" s="134"/>
      <c r="AF35" s="134"/>
      <c r="AG35" s="134"/>
      <c r="AH35" s="134"/>
      <c r="AI35" s="134"/>
      <c r="AJ35" s="134"/>
      <c r="AK35" s="134"/>
      <c r="AL35" s="134"/>
      <c r="AM35" s="134"/>
      <c r="AN35" s="134"/>
      <c r="AO35" s="134"/>
      <c r="AP35" s="134"/>
      <c r="AQ35" s="134"/>
      <c r="AR35" s="134"/>
      <c r="AS35" s="134"/>
      <c r="AT35" s="134"/>
      <c r="AU35" s="134"/>
      <c r="AV35" s="134"/>
      <c r="AW35" s="134"/>
      <c r="AX35" s="134"/>
      <c r="AY35" s="134"/>
      <c r="AZ35" s="134"/>
      <c r="BA35" s="134"/>
      <c r="BB35" s="134"/>
      <c r="BC35" s="134"/>
      <c r="BD35" s="134"/>
      <c r="BE35" s="134"/>
      <c r="BF35" s="134"/>
      <c r="BG35" s="134"/>
      <c r="BH35" s="134"/>
      <c r="BI35" s="134"/>
      <c r="BJ35" s="134"/>
      <c r="BK35" s="134"/>
      <c r="BL35" s="134"/>
      <c r="BM35" s="134"/>
      <c r="BN35" s="134"/>
      <c r="BO35" s="134"/>
      <c r="BP35" s="134"/>
      <c r="BQ35" s="134"/>
      <c r="BR35" s="87"/>
      <c r="BS35" s="87"/>
      <c r="BT35" s="87"/>
      <c r="BU35" s="87"/>
      <c r="BV35" s="87"/>
    </row>
    <row r="36" spans="1:74" ht="15.95" customHeight="1" x14ac:dyDescent="0.25">
      <c r="A36" s="134"/>
      <c r="B36" s="134"/>
      <c r="C36" s="134"/>
      <c r="D36" s="134"/>
      <c r="E36" s="134"/>
      <c r="F36" s="134"/>
      <c r="G36" s="155"/>
      <c r="H36" s="155"/>
      <c r="I36" s="156" t="s">
        <v>290</v>
      </c>
      <c r="J36" s="156"/>
      <c r="K36" s="156"/>
      <c r="L36" s="156"/>
      <c r="M36" s="134"/>
      <c r="N36" s="134"/>
      <c r="O36" s="134"/>
      <c r="P36" s="134"/>
      <c r="Q36" s="134"/>
      <c r="R36" s="134"/>
      <c r="S36" s="156"/>
      <c r="T36" s="156"/>
      <c r="U36" s="134"/>
      <c r="V36" s="134"/>
      <c r="W36" s="134"/>
      <c r="X36" s="134"/>
      <c r="Y36" s="134"/>
      <c r="Z36" s="134"/>
      <c r="AA36" s="134"/>
      <c r="AB36" s="134"/>
      <c r="AC36" s="134"/>
      <c r="AD36" s="134"/>
      <c r="AE36" s="134"/>
      <c r="AF36" s="134"/>
      <c r="AG36" s="134"/>
      <c r="AH36" s="134"/>
      <c r="AI36" s="134"/>
      <c r="AJ36" s="134"/>
      <c r="AK36" s="134"/>
      <c r="AL36" s="134"/>
      <c r="AM36" s="134"/>
      <c r="AN36" s="134"/>
      <c r="AO36" s="134"/>
      <c r="AP36" s="134"/>
      <c r="AQ36" s="134"/>
      <c r="AR36" s="134"/>
      <c r="AS36" s="134"/>
      <c r="AT36" s="134"/>
      <c r="AU36" s="134"/>
      <c r="AV36" s="134"/>
      <c r="AW36" s="134"/>
      <c r="AX36" s="134"/>
      <c r="AY36" s="134"/>
      <c r="AZ36" s="134"/>
      <c r="BA36" s="134"/>
      <c r="BB36" s="134"/>
      <c r="BC36" s="134"/>
      <c r="BD36" s="134"/>
      <c r="BE36" s="134"/>
      <c r="BF36" s="134"/>
      <c r="BG36" s="134"/>
      <c r="BH36" s="134"/>
      <c r="BI36" s="134"/>
      <c r="BJ36" s="134"/>
      <c r="BK36" s="134"/>
      <c r="BL36" s="134"/>
      <c r="BM36" s="134"/>
      <c r="BN36" s="134"/>
      <c r="BO36" s="134"/>
      <c r="BP36" s="134"/>
      <c r="BQ36" s="134"/>
      <c r="BR36" s="87"/>
      <c r="BS36" s="87"/>
      <c r="BT36" s="87"/>
      <c r="BU36" s="87"/>
      <c r="BV36" s="87"/>
    </row>
    <row r="37" spans="1:74" ht="15.95" customHeight="1" x14ac:dyDescent="0.25">
      <c r="A37" s="134"/>
      <c r="B37" s="134"/>
      <c r="C37" s="134"/>
      <c r="D37" s="134"/>
      <c r="E37" s="134"/>
      <c r="F37" s="134"/>
      <c r="G37" s="134"/>
      <c r="H37" s="134"/>
      <c r="I37" s="134" t="s">
        <v>292</v>
      </c>
      <c r="J37" s="134"/>
      <c r="K37" s="134"/>
      <c r="L37" s="134"/>
      <c r="M37" s="134"/>
      <c r="N37" s="134"/>
      <c r="O37" s="134"/>
      <c r="P37" s="134"/>
      <c r="Q37" s="134"/>
      <c r="R37" s="134"/>
      <c r="S37" s="134"/>
      <c r="T37" s="134"/>
      <c r="U37" s="134"/>
      <c r="V37" s="134"/>
      <c r="W37" s="134"/>
      <c r="X37" s="134"/>
      <c r="Y37" s="134"/>
      <c r="Z37" s="134"/>
      <c r="AA37" s="134"/>
      <c r="AB37" s="134"/>
      <c r="AC37" s="134"/>
      <c r="AD37" s="134"/>
      <c r="AE37" s="134"/>
      <c r="AF37" s="134"/>
      <c r="AG37" s="134"/>
      <c r="AH37" s="134"/>
      <c r="AI37" s="134"/>
      <c r="AJ37" s="134"/>
      <c r="AK37" s="134"/>
      <c r="AL37" s="134"/>
      <c r="AM37" s="134"/>
      <c r="AN37" s="134"/>
      <c r="AO37" s="134"/>
      <c r="AP37" s="134"/>
      <c r="AQ37" s="134"/>
      <c r="AR37" s="134"/>
      <c r="AS37" s="134"/>
      <c r="AT37" s="134"/>
      <c r="AU37" s="134"/>
      <c r="AV37" s="134"/>
      <c r="AW37" s="134"/>
      <c r="AX37" s="134"/>
      <c r="AY37" s="134"/>
      <c r="AZ37" s="134"/>
      <c r="BA37" s="134"/>
      <c r="BB37" s="134"/>
      <c r="BC37" s="134"/>
      <c r="BD37" s="134"/>
      <c r="BE37" s="134"/>
      <c r="BF37" s="134"/>
      <c r="BG37" s="134"/>
      <c r="BH37" s="134"/>
      <c r="BI37" s="134"/>
      <c r="BJ37" s="134"/>
      <c r="BK37" s="134"/>
      <c r="BL37" s="134"/>
      <c r="BM37" s="134"/>
      <c r="BN37" s="134"/>
      <c r="BO37" s="134"/>
      <c r="BP37" s="134"/>
      <c r="BQ37" s="134"/>
      <c r="BR37" s="87"/>
      <c r="BS37" s="87"/>
      <c r="BT37" s="87"/>
      <c r="BU37" s="87"/>
      <c r="BV37" s="87"/>
    </row>
    <row r="38" spans="1:74" ht="15.95" customHeight="1" x14ac:dyDescent="0.25">
      <c r="A38" s="134"/>
      <c r="B38" s="134"/>
      <c r="C38" s="134"/>
      <c r="D38" s="134"/>
      <c r="E38" s="134"/>
      <c r="F38" s="134"/>
      <c r="G38" s="134"/>
      <c r="H38" s="134"/>
      <c r="I38" s="134" t="s">
        <v>291</v>
      </c>
      <c r="J38" s="134"/>
      <c r="K38" s="134"/>
      <c r="L38" s="134"/>
      <c r="M38" s="134"/>
      <c r="N38" s="134"/>
      <c r="O38" s="134"/>
      <c r="P38" s="134"/>
      <c r="Q38" s="134"/>
      <c r="R38" s="134"/>
      <c r="S38" s="134"/>
      <c r="T38" s="134"/>
      <c r="U38" s="134"/>
      <c r="V38" s="134"/>
      <c r="W38" s="134"/>
      <c r="X38" s="134"/>
      <c r="Y38" s="134"/>
      <c r="Z38" s="134"/>
      <c r="AA38" s="134"/>
      <c r="AB38" s="134"/>
      <c r="AC38" s="134"/>
      <c r="AD38" s="134"/>
      <c r="AE38" s="134"/>
      <c r="AF38" s="134"/>
      <c r="AG38" s="134"/>
      <c r="AH38" s="134"/>
      <c r="AI38" s="134"/>
      <c r="AJ38" s="134"/>
      <c r="AK38" s="134"/>
      <c r="AL38" s="134"/>
      <c r="AM38" s="134"/>
      <c r="AN38" s="134"/>
      <c r="AO38" s="134"/>
      <c r="AP38" s="134"/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  <c r="BC38" s="134"/>
      <c r="BD38" s="134"/>
      <c r="BE38" s="134"/>
      <c r="BF38" s="134"/>
      <c r="BG38" s="134"/>
      <c r="BH38" s="134"/>
      <c r="BI38" s="134"/>
      <c r="BJ38" s="134"/>
      <c r="BK38" s="134"/>
      <c r="BL38" s="134"/>
      <c r="BM38" s="134"/>
      <c r="BN38" s="134"/>
      <c r="BO38" s="134"/>
      <c r="BP38" s="134"/>
      <c r="BQ38" s="134"/>
      <c r="BR38" s="87"/>
      <c r="BS38" s="87"/>
      <c r="BT38" s="87"/>
      <c r="BU38" s="87"/>
      <c r="BV38" s="87"/>
    </row>
    <row r="39" spans="1:74" x14ac:dyDescent="0.25">
      <c r="A39" s="134"/>
      <c r="B39" s="134"/>
      <c r="C39" s="134"/>
      <c r="D39" s="134"/>
      <c r="E39" s="134"/>
      <c r="F39" s="134"/>
      <c r="G39" s="134"/>
      <c r="H39" s="134"/>
      <c r="I39" s="134" t="s">
        <v>81</v>
      </c>
      <c r="J39" s="134"/>
      <c r="K39" s="134"/>
      <c r="L39" s="134"/>
      <c r="M39" s="134"/>
      <c r="N39" s="134"/>
      <c r="O39" s="134"/>
      <c r="P39" s="134"/>
      <c r="Q39" s="134"/>
      <c r="R39" s="134"/>
      <c r="S39" s="134"/>
      <c r="T39" s="134"/>
      <c r="U39" s="134"/>
      <c r="V39" s="134"/>
      <c r="W39" s="134"/>
      <c r="X39" s="134"/>
      <c r="Y39" s="134"/>
      <c r="Z39" s="134"/>
      <c r="AA39" s="134"/>
      <c r="AB39" s="134"/>
      <c r="AC39" s="134"/>
      <c r="AD39" s="134"/>
      <c r="AE39" s="134"/>
      <c r="AF39" s="134"/>
      <c r="AG39" s="134"/>
      <c r="AH39" s="134"/>
      <c r="AI39" s="134"/>
      <c r="AJ39" s="134"/>
      <c r="AK39" s="134"/>
      <c r="AL39" s="134"/>
      <c r="AM39" s="134"/>
      <c r="AN39" s="134"/>
      <c r="AO39" s="134"/>
      <c r="AP39" s="134"/>
      <c r="AQ39" s="134"/>
      <c r="AR39" s="134"/>
      <c r="AS39" s="134"/>
      <c r="AT39" s="134"/>
      <c r="AU39" s="134"/>
      <c r="AV39" s="134"/>
      <c r="AW39" s="134"/>
      <c r="AX39" s="134"/>
      <c r="AY39" s="134"/>
      <c r="AZ39" s="134"/>
      <c r="BA39" s="134"/>
      <c r="BB39" s="134"/>
      <c r="BC39" s="134"/>
      <c r="BD39" s="134"/>
      <c r="BE39" s="134"/>
      <c r="BF39" s="134"/>
      <c r="BG39" s="134"/>
      <c r="BH39" s="134"/>
      <c r="BI39" s="134"/>
      <c r="BJ39" s="134"/>
      <c r="BK39" s="134"/>
      <c r="BL39" s="134"/>
      <c r="BM39" s="134"/>
      <c r="BN39" s="134"/>
      <c r="BO39" s="134"/>
      <c r="BP39" s="134"/>
      <c r="BQ39" s="134"/>
      <c r="BR39" s="87"/>
      <c r="BS39" s="87"/>
      <c r="BT39" s="87"/>
      <c r="BU39" s="87"/>
      <c r="BV39" s="87"/>
    </row>
    <row r="40" spans="1:74" x14ac:dyDescent="0.25">
      <c r="A40" s="134"/>
      <c r="B40" s="134"/>
      <c r="C40" s="134"/>
      <c r="D40" s="134"/>
      <c r="E40" s="134"/>
      <c r="F40" s="134"/>
      <c r="G40" s="134"/>
      <c r="H40" s="134"/>
      <c r="I40" s="157" t="s">
        <v>300</v>
      </c>
      <c r="J40" s="134"/>
      <c r="K40" s="134"/>
      <c r="L40" s="134"/>
      <c r="M40" s="134"/>
      <c r="N40" s="134"/>
      <c r="O40" s="134"/>
      <c r="P40" s="134"/>
      <c r="Q40" s="134"/>
      <c r="R40" s="134"/>
      <c r="S40" s="134"/>
      <c r="T40" s="134"/>
      <c r="U40" s="134"/>
      <c r="V40" s="134"/>
      <c r="W40" s="134"/>
      <c r="X40" s="134"/>
      <c r="Y40" s="134"/>
      <c r="Z40" s="134"/>
      <c r="AA40" s="134"/>
      <c r="AB40" s="134"/>
      <c r="AC40" s="134"/>
      <c r="AD40" s="134"/>
      <c r="AE40" s="134"/>
      <c r="AF40" s="134"/>
      <c r="AG40" s="134"/>
      <c r="AH40" s="134"/>
      <c r="AI40" s="134"/>
      <c r="AJ40" s="134"/>
      <c r="AK40" s="134"/>
      <c r="AL40" s="134"/>
      <c r="AM40" s="134"/>
      <c r="AN40" s="134"/>
      <c r="AO40" s="134"/>
      <c r="AP40" s="134"/>
      <c r="AQ40" s="134"/>
      <c r="AR40" s="134"/>
      <c r="AS40" s="134"/>
      <c r="AT40" s="134"/>
      <c r="AU40" s="134"/>
      <c r="AV40" s="134"/>
      <c r="AW40" s="134"/>
      <c r="AX40" s="134"/>
      <c r="AY40" s="134"/>
      <c r="AZ40" s="134"/>
      <c r="BA40" s="134"/>
      <c r="BB40" s="134"/>
      <c r="BC40" s="134"/>
      <c r="BD40" s="134"/>
      <c r="BE40" s="134"/>
      <c r="BF40" s="134"/>
      <c r="BG40" s="134"/>
      <c r="BH40" s="134"/>
      <c r="BI40" s="134"/>
      <c r="BJ40" s="134"/>
      <c r="BK40" s="134"/>
      <c r="BL40" s="134"/>
      <c r="BM40" s="134"/>
      <c r="BN40" s="134"/>
      <c r="BO40" s="134"/>
      <c r="BP40" s="134"/>
      <c r="BQ40" s="134"/>
      <c r="BR40" s="87"/>
      <c r="BS40" s="87"/>
      <c r="BT40" s="87"/>
      <c r="BU40" s="87"/>
      <c r="BV40" s="87"/>
    </row>
    <row r="41" spans="1:74" x14ac:dyDescent="0.25">
      <c r="A41" s="134"/>
      <c r="B41" s="134"/>
      <c r="C41" s="134"/>
      <c r="D41" s="134"/>
      <c r="E41" s="134"/>
      <c r="F41" s="134"/>
      <c r="G41" s="134"/>
      <c r="H41" s="134"/>
      <c r="I41" s="134" t="s">
        <v>301</v>
      </c>
      <c r="J41" s="134"/>
      <c r="K41" s="134"/>
      <c r="L41" s="134"/>
      <c r="M41" s="134"/>
      <c r="N41" s="134"/>
      <c r="O41" s="134"/>
      <c r="P41" s="134"/>
      <c r="Q41" s="134"/>
      <c r="R41" s="134"/>
      <c r="S41" s="134"/>
      <c r="T41" s="134"/>
      <c r="U41" s="134"/>
      <c r="V41" s="134"/>
      <c r="W41" s="134"/>
      <c r="X41" s="134"/>
      <c r="Y41" s="134"/>
      <c r="Z41" s="134"/>
      <c r="AA41" s="134"/>
      <c r="AB41" s="134"/>
      <c r="AC41" s="134"/>
      <c r="AD41" s="134"/>
      <c r="AE41" s="134"/>
      <c r="AF41" s="134"/>
      <c r="AG41" s="134"/>
      <c r="AH41" s="134"/>
      <c r="AI41" s="134"/>
      <c r="AJ41" s="134"/>
      <c r="AK41" s="134"/>
      <c r="AL41" s="134"/>
      <c r="AM41" s="134"/>
      <c r="AN41" s="134"/>
      <c r="AO41" s="134"/>
      <c r="AP41" s="134"/>
      <c r="AQ41" s="134"/>
      <c r="AR41" s="134"/>
      <c r="AS41" s="134"/>
      <c r="AT41" s="134"/>
      <c r="AU41" s="134"/>
      <c r="AV41" s="134"/>
      <c r="AW41" s="134"/>
      <c r="AX41" s="134"/>
      <c r="AY41" s="134"/>
      <c r="AZ41" s="134"/>
      <c r="BA41" s="134"/>
      <c r="BB41" s="134"/>
      <c r="BC41" s="134"/>
      <c r="BD41" s="134"/>
      <c r="BE41" s="134"/>
      <c r="BF41" s="134"/>
      <c r="BG41" s="134"/>
      <c r="BH41" s="134"/>
      <c r="BI41" s="134"/>
      <c r="BJ41" s="134"/>
      <c r="BK41" s="134"/>
      <c r="BL41" s="134"/>
      <c r="BM41" s="134"/>
      <c r="BN41" s="134"/>
      <c r="BO41" s="134"/>
      <c r="BP41" s="134"/>
      <c r="BQ41" s="134"/>
      <c r="BR41" s="87"/>
      <c r="BS41" s="87"/>
      <c r="BT41" s="87"/>
      <c r="BU41" s="87"/>
      <c r="BV41" s="87"/>
    </row>
    <row r="42" spans="1:74" x14ac:dyDescent="0.25">
      <c r="A42" s="134"/>
      <c r="B42" s="134"/>
      <c r="C42" s="134"/>
      <c r="D42" s="134"/>
      <c r="E42" s="134"/>
      <c r="F42" s="134"/>
      <c r="G42" s="134"/>
      <c r="H42" s="134"/>
      <c r="I42" s="134" t="s">
        <v>299</v>
      </c>
      <c r="J42" s="134"/>
      <c r="K42" s="134"/>
      <c r="L42" s="134"/>
      <c r="M42" s="134"/>
      <c r="N42" s="134"/>
      <c r="O42" s="134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/>
      <c r="AO42" s="134"/>
      <c r="AP42" s="134"/>
      <c r="AQ42" s="134"/>
      <c r="AR42" s="134"/>
      <c r="AS42" s="134"/>
      <c r="AT42" s="134"/>
      <c r="AU42" s="134"/>
      <c r="AV42" s="134"/>
      <c r="AW42" s="134"/>
      <c r="AX42" s="134"/>
      <c r="AY42" s="134"/>
      <c r="AZ42" s="134"/>
      <c r="BA42" s="134"/>
      <c r="BB42" s="134"/>
      <c r="BC42" s="134"/>
      <c r="BD42" s="134"/>
      <c r="BE42" s="134"/>
      <c r="BF42" s="134"/>
      <c r="BG42" s="134"/>
      <c r="BH42" s="134"/>
      <c r="BI42" s="134"/>
      <c r="BJ42" s="134"/>
      <c r="BK42" s="134"/>
      <c r="BL42" s="134"/>
      <c r="BM42" s="134"/>
      <c r="BN42" s="134"/>
      <c r="BO42" s="134"/>
      <c r="BP42" s="134"/>
      <c r="BQ42" s="134"/>
      <c r="BR42" s="87"/>
      <c r="BS42" s="87"/>
      <c r="BT42" s="87"/>
      <c r="BU42" s="87"/>
      <c r="BV42" s="87"/>
    </row>
    <row r="43" spans="1:74" x14ac:dyDescent="0.25">
      <c r="A43" s="134"/>
      <c r="B43" s="134"/>
      <c r="C43" s="134"/>
      <c r="D43" s="134"/>
      <c r="E43" s="134"/>
      <c r="F43" s="134"/>
      <c r="G43" s="134"/>
      <c r="H43" s="134"/>
      <c r="I43" s="134" t="s">
        <v>295</v>
      </c>
      <c r="J43" s="134"/>
      <c r="K43" s="134"/>
      <c r="L43" s="134"/>
      <c r="M43" s="134"/>
      <c r="N43" s="134"/>
      <c r="O43" s="134"/>
      <c r="P43" s="134"/>
      <c r="Q43" s="134"/>
      <c r="R43" s="134"/>
      <c r="S43" s="134"/>
      <c r="T43" s="134"/>
      <c r="U43" s="134"/>
      <c r="V43" s="134"/>
      <c r="W43" s="134"/>
      <c r="X43" s="134"/>
      <c r="Y43" s="134"/>
      <c r="Z43" s="134"/>
      <c r="AA43" s="134"/>
      <c r="AB43" s="134"/>
      <c r="AC43" s="134"/>
      <c r="AD43" s="134"/>
      <c r="AE43" s="134"/>
      <c r="AF43" s="134"/>
      <c r="AG43" s="134"/>
      <c r="AH43" s="134"/>
      <c r="AI43" s="134"/>
      <c r="AJ43" s="134"/>
      <c r="AK43" s="134"/>
      <c r="AL43" s="134"/>
      <c r="AM43" s="134"/>
      <c r="AN43" s="134"/>
      <c r="AO43" s="134"/>
      <c r="AP43" s="134"/>
      <c r="AQ43" s="134"/>
      <c r="AR43" s="134"/>
      <c r="AS43" s="134"/>
      <c r="AT43" s="134"/>
      <c r="AU43" s="134"/>
      <c r="AV43" s="134"/>
      <c r="AW43" s="134"/>
      <c r="AX43" s="134"/>
      <c r="AY43" s="134"/>
      <c r="AZ43" s="134"/>
      <c r="BA43" s="134"/>
      <c r="BB43" s="134"/>
      <c r="BC43" s="134"/>
      <c r="BD43" s="134"/>
      <c r="BE43" s="134"/>
      <c r="BF43" s="134"/>
      <c r="BG43" s="134"/>
      <c r="BH43" s="134"/>
      <c r="BI43" s="134"/>
      <c r="BJ43" s="134"/>
      <c r="BK43" s="134"/>
      <c r="BL43" s="134"/>
      <c r="BM43" s="134"/>
      <c r="BN43" s="134"/>
      <c r="BO43" s="134"/>
      <c r="BP43" s="134"/>
      <c r="BQ43" s="134"/>
      <c r="BR43" s="87"/>
      <c r="BS43" s="87"/>
      <c r="BT43" s="87"/>
      <c r="BU43" s="87"/>
      <c r="BV43" s="87"/>
    </row>
    <row r="44" spans="1:74" x14ac:dyDescent="0.25">
      <c r="A44" s="134"/>
      <c r="B44" s="134"/>
      <c r="C44" s="134"/>
      <c r="D44" s="134"/>
      <c r="E44" s="134"/>
      <c r="F44" s="134"/>
      <c r="G44" s="134"/>
      <c r="H44" s="134"/>
      <c r="I44" s="134"/>
      <c r="J44" s="134"/>
      <c r="K44" s="159" t="s">
        <v>296</v>
      </c>
      <c r="L44" s="134"/>
      <c r="M44" s="159"/>
      <c r="N44" s="134"/>
      <c r="O44" s="134"/>
      <c r="P44" s="134"/>
      <c r="Q44" s="134"/>
      <c r="R44" s="134"/>
      <c r="S44" s="134"/>
      <c r="T44" s="134"/>
      <c r="U44" s="134"/>
      <c r="V44" s="134"/>
      <c r="W44" s="134"/>
      <c r="X44" s="134"/>
      <c r="Y44" s="134"/>
      <c r="Z44" s="134"/>
      <c r="AA44" s="134"/>
      <c r="AB44" s="134"/>
      <c r="AC44" s="134"/>
      <c r="AD44" s="134"/>
      <c r="AE44" s="134"/>
      <c r="AF44" s="134"/>
      <c r="AG44" s="134"/>
      <c r="AH44" s="134"/>
      <c r="AI44" s="134"/>
      <c r="AJ44" s="134"/>
      <c r="AK44" s="134"/>
      <c r="AL44" s="134"/>
      <c r="AM44" s="134"/>
      <c r="AN44" s="134"/>
      <c r="AO44" s="134"/>
      <c r="AP44" s="134"/>
      <c r="AQ44" s="134"/>
      <c r="AR44" s="134"/>
      <c r="AS44" s="134"/>
      <c r="AT44" s="134"/>
      <c r="AU44" s="134"/>
      <c r="AV44" s="134"/>
      <c r="AW44" s="134"/>
      <c r="AX44" s="134"/>
      <c r="AY44" s="134"/>
      <c r="AZ44" s="134"/>
      <c r="BA44" s="134"/>
      <c r="BB44" s="134"/>
      <c r="BC44" s="134"/>
      <c r="BD44" s="134"/>
      <c r="BE44" s="134"/>
      <c r="BF44" s="134"/>
      <c r="BG44" s="134"/>
      <c r="BH44" s="134"/>
      <c r="BI44" s="134"/>
      <c r="BJ44" s="134"/>
      <c r="BK44" s="134"/>
      <c r="BL44" s="134"/>
      <c r="BM44" s="134"/>
      <c r="BN44" s="134"/>
      <c r="BO44" s="134"/>
      <c r="BP44" s="134"/>
      <c r="BQ44" s="134"/>
      <c r="BR44" s="87"/>
      <c r="BS44" s="87"/>
      <c r="BT44" s="87"/>
      <c r="BU44" s="87"/>
      <c r="BV44" s="87"/>
    </row>
    <row r="45" spans="1:74" x14ac:dyDescent="0.25">
      <c r="A45" s="134"/>
      <c r="B45" s="134"/>
      <c r="C45" s="134"/>
      <c r="D45" s="134"/>
      <c r="E45" s="134"/>
      <c r="F45" s="134"/>
      <c r="G45" s="134"/>
      <c r="H45" s="134"/>
      <c r="I45" s="156" t="s">
        <v>289</v>
      </c>
      <c r="J45" s="156"/>
      <c r="K45" s="156"/>
      <c r="L45" s="156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  <c r="AA45" s="134"/>
      <c r="AB45" s="134"/>
      <c r="AC45" s="134"/>
      <c r="AD45" s="134"/>
      <c r="AE45" s="134"/>
      <c r="AF45" s="134"/>
      <c r="AG45" s="134"/>
      <c r="AH45" s="134"/>
      <c r="AI45" s="134"/>
      <c r="AJ45" s="134"/>
      <c r="AK45" s="134"/>
      <c r="AL45" s="134"/>
      <c r="AM45" s="134"/>
      <c r="AN45" s="134"/>
      <c r="AO45" s="134"/>
      <c r="AP45" s="134"/>
      <c r="AQ45" s="134"/>
      <c r="AR45" s="134"/>
      <c r="AS45" s="134"/>
      <c r="AT45" s="134"/>
      <c r="AU45" s="134"/>
      <c r="AV45" s="134"/>
      <c r="AW45" s="134"/>
      <c r="AX45" s="134"/>
      <c r="AY45" s="134"/>
      <c r="AZ45" s="134"/>
      <c r="BA45" s="134"/>
      <c r="BB45" s="134"/>
      <c r="BC45" s="134"/>
      <c r="BD45" s="134"/>
      <c r="BE45" s="134"/>
      <c r="BF45" s="134"/>
      <c r="BG45" s="134"/>
      <c r="BH45" s="134"/>
      <c r="BI45" s="134"/>
      <c r="BJ45" s="134"/>
      <c r="BK45" s="134"/>
      <c r="BL45" s="134"/>
      <c r="BM45" s="134"/>
      <c r="BN45" s="134"/>
      <c r="BO45" s="134"/>
      <c r="BP45" s="134"/>
      <c r="BQ45" s="134"/>
      <c r="BR45" s="87"/>
      <c r="BS45" s="87"/>
      <c r="BT45" s="87"/>
      <c r="BU45" s="87"/>
      <c r="BV45" s="87"/>
    </row>
    <row r="46" spans="1:74" x14ac:dyDescent="0.25">
      <c r="A46" s="134"/>
      <c r="B46" s="134"/>
      <c r="C46" s="134"/>
      <c r="D46" s="134"/>
      <c r="E46" s="134"/>
      <c r="F46" s="134"/>
      <c r="G46" s="134"/>
      <c r="H46" s="134"/>
      <c r="I46" s="157" t="s">
        <v>83</v>
      </c>
      <c r="J46" s="134"/>
      <c r="K46" s="134"/>
      <c r="L46" s="134"/>
      <c r="M46" s="134"/>
      <c r="N46" s="134"/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134"/>
      <c r="AA46" s="134"/>
      <c r="AB46" s="134"/>
      <c r="AC46" s="134"/>
      <c r="AD46" s="134"/>
      <c r="AE46" s="134"/>
      <c r="AF46" s="134"/>
      <c r="AG46" s="134"/>
      <c r="AH46" s="134"/>
      <c r="AI46" s="134"/>
      <c r="AJ46" s="134"/>
      <c r="AK46" s="134"/>
      <c r="AL46" s="134"/>
      <c r="AM46" s="134"/>
      <c r="AN46" s="134"/>
      <c r="AO46" s="134"/>
      <c r="AP46" s="134"/>
      <c r="AQ46" s="134"/>
      <c r="AR46" s="134"/>
      <c r="AS46" s="134"/>
      <c r="AT46" s="134"/>
      <c r="AU46" s="134"/>
      <c r="AV46" s="134"/>
      <c r="AW46" s="134"/>
      <c r="AX46" s="134"/>
      <c r="AY46" s="134"/>
      <c r="AZ46" s="134"/>
      <c r="BA46" s="134"/>
      <c r="BB46" s="134"/>
      <c r="BC46" s="134"/>
      <c r="BD46" s="134"/>
      <c r="BE46" s="134"/>
      <c r="BF46" s="134"/>
      <c r="BG46" s="134"/>
      <c r="BH46" s="134"/>
      <c r="BI46" s="134"/>
      <c r="BJ46" s="134"/>
      <c r="BK46" s="134"/>
      <c r="BL46" s="134"/>
      <c r="BM46" s="134"/>
      <c r="BN46" s="134"/>
      <c r="BO46" s="134"/>
      <c r="BP46" s="134"/>
      <c r="BQ46" s="134"/>
      <c r="BR46" s="87"/>
      <c r="BS46" s="87"/>
      <c r="BT46" s="87"/>
      <c r="BU46" s="87"/>
      <c r="BV46" s="87"/>
    </row>
    <row r="47" spans="1:74" x14ac:dyDescent="0.25">
      <c r="A47" s="134"/>
      <c r="B47" s="134"/>
      <c r="C47" s="134"/>
      <c r="D47" s="134"/>
      <c r="E47" s="134"/>
      <c r="F47" s="134"/>
      <c r="G47" s="134"/>
      <c r="H47" s="134"/>
      <c r="I47" s="134"/>
      <c r="J47" s="134" t="s">
        <v>84</v>
      </c>
      <c r="K47" s="134"/>
      <c r="L47" s="134"/>
      <c r="M47" s="134"/>
      <c r="N47" s="134"/>
      <c r="O47" s="134"/>
      <c r="P47" s="134"/>
      <c r="Q47" s="134"/>
      <c r="R47" s="134"/>
      <c r="S47" s="134"/>
      <c r="T47" s="134"/>
      <c r="U47" s="134"/>
      <c r="V47" s="134"/>
      <c r="W47" s="134"/>
      <c r="X47" s="134"/>
      <c r="Y47" s="134"/>
      <c r="Z47" s="134"/>
      <c r="AA47" s="134"/>
      <c r="AB47" s="134"/>
      <c r="AC47" s="134"/>
      <c r="AD47" s="134"/>
      <c r="AE47" s="134"/>
      <c r="AF47" s="134"/>
      <c r="AG47" s="134"/>
      <c r="AH47" s="134"/>
      <c r="AI47" s="134"/>
      <c r="AJ47" s="134"/>
      <c r="AK47" s="134"/>
      <c r="AL47" s="134"/>
      <c r="AM47" s="134"/>
      <c r="AN47" s="134"/>
      <c r="AO47" s="134"/>
      <c r="AP47" s="134"/>
      <c r="AQ47" s="134"/>
      <c r="AR47" s="134"/>
      <c r="AS47" s="134"/>
      <c r="AT47" s="134"/>
      <c r="AU47" s="134"/>
      <c r="AV47" s="134"/>
      <c r="AW47" s="134"/>
      <c r="AX47" s="134"/>
      <c r="AY47" s="134"/>
      <c r="AZ47" s="134"/>
      <c r="BA47" s="134"/>
      <c r="BB47" s="134"/>
      <c r="BC47" s="134"/>
      <c r="BD47" s="134"/>
      <c r="BE47" s="134"/>
      <c r="BF47" s="134"/>
      <c r="BG47" s="134"/>
      <c r="BH47" s="134"/>
      <c r="BI47" s="134"/>
      <c r="BJ47" s="134"/>
      <c r="BK47" s="134"/>
      <c r="BL47" s="134"/>
      <c r="BM47" s="134"/>
      <c r="BN47" s="134"/>
      <c r="BO47" s="134"/>
      <c r="BP47" s="134"/>
      <c r="BQ47" s="134"/>
      <c r="BR47" s="87"/>
      <c r="BS47" s="87"/>
      <c r="BT47" s="87"/>
      <c r="BU47" s="87"/>
      <c r="BV47" s="87"/>
    </row>
    <row r="48" spans="1:74" x14ac:dyDescent="0.25">
      <c r="A48" s="134"/>
      <c r="B48" s="134"/>
      <c r="C48" s="134"/>
      <c r="D48" s="134"/>
      <c r="E48" s="134"/>
      <c r="F48" s="134"/>
      <c r="G48" s="134"/>
      <c r="H48" s="134"/>
      <c r="I48" s="134"/>
      <c r="J48" s="134" t="s">
        <v>82</v>
      </c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134"/>
      <c r="AB48" s="134"/>
      <c r="AC48" s="134"/>
      <c r="AD48" s="134"/>
      <c r="AE48" s="134"/>
      <c r="AF48" s="134"/>
      <c r="AG48" s="134"/>
      <c r="AH48" s="134"/>
      <c r="AI48" s="134"/>
      <c r="AJ48" s="134"/>
      <c r="AK48" s="134"/>
      <c r="AL48" s="134"/>
      <c r="AM48" s="134"/>
      <c r="AN48" s="134"/>
      <c r="AO48" s="134"/>
      <c r="AP48" s="134"/>
      <c r="AQ48" s="134"/>
      <c r="AR48" s="134"/>
      <c r="AS48" s="134"/>
      <c r="AT48" s="134"/>
      <c r="AU48" s="134"/>
      <c r="AV48" s="134"/>
      <c r="AW48" s="134"/>
      <c r="AX48" s="134"/>
      <c r="AY48" s="134"/>
      <c r="AZ48" s="134"/>
      <c r="BA48" s="134"/>
      <c r="BB48" s="134"/>
      <c r="BC48" s="134"/>
      <c r="BD48" s="134"/>
      <c r="BE48" s="134"/>
      <c r="BF48" s="134"/>
      <c r="BG48" s="134"/>
      <c r="BH48" s="134"/>
      <c r="BI48" s="134"/>
      <c r="BJ48" s="134"/>
      <c r="BK48" s="134"/>
      <c r="BL48" s="134"/>
      <c r="BM48" s="134"/>
      <c r="BN48" s="134"/>
      <c r="BO48" s="134"/>
      <c r="BP48" s="134"/>
      <c r="BQ48" s="134"/>
      <c r="BR48" s="87"/>
      <c r="BS48" s="87"/>
      <c r="BT48" s="87"/>
      <c r="BU48" s="87"/>
      <c r="BV48" s="87"/>
    </row>
    <row r="49" spans="1:74" x14ac:dyDescent="0.25">
      <c r="A49" s="134"/>
      <c r="B49" s="134"/>
      <c r="C49" s="134"/>
      <c r="D49" s="134"/>
      <c r="E49" s="134"/>
      <c r="F49" s="134"/>
      <c r="G49" s="134"/>
      <c r="H49" s="134"/>
      <c r="I49" s="157" t="s">
        <v>118</v>
      </c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  <c r="AC49" s="134"/>
      <c r="AD49" s="134"/>
      <c r="AE49" s="134"/>
      <c r="AF49" s="134"/>
      <c r="AG49" s="134"/>
      <c r="AH49" s="134"/>
      <c r="AI49" s="134"/>
      <c r="AJ49" s="134"/>
      <c r="AK49" s="134"/>
      <c r="AL49" s="134"/>
      <c r="AM49" s="134"/>
      <c r="AN49" s="134"/>
      <c r="AO49" s="134"/>
      <c r="AP49" s="134"/>
      <c r="AQ49" s="134"/>
      <c r="AR49" s="134"/>
      <c r="AS49" s="134"/>
      <c r="AT49" s="134"/>
      <c r="AU49" s="134"/>
      <c r="AV49" s="134"/>
      <c r="AW49" s="134"/>
      <c r="AX49" s="134"/>
      <c r="AY49" s="134"/>
      <c r="AZ49" s="134"/>
      <c r="BA49" s="134"/>
      <c r="BB49" s="134"/>
      <c r="BC49" s="134"/>
      <c r="BD49" s="134"/>
      <c r="BE49" s="134"/>
      <c r="BF49" s="134"/>
      <c r="BG49" s="134"/>
      <c r="BH49" s="134"/>
      <c r="BI49" s="134"/>
      <c r="BJ49" s="134"/>
      <c r="BK49" s="134"/>
      <c r="BL49" s="134"/>
      <c r="BM49" s="134"/>
      <c r="BN49" s="134"/>
      <c r="BO49" s="134"/>
      <c r="BP49" s="134"/>
      <c r="BQ49" s="134"/>
      <c r="BR49" s="87"/>
      <c r="BS49" s="87"/>
      <c r="BT49" s="87"/>
      <c r="BU49" s="87"/>
      <c r="BV49" s="87"/>
    </row>
    <row r="50" spans="1:74" x14ac:dyDescent="0.25">
      <c r="A50" s="134"/>
      <c r="B50" s="134"/>
      <c r="C50" s="134"/>
      <c r="D50" s="134"/>
      <c r="E50" s="134"/>
      <c r="F50" s="134"/>
      <c r="G50" s="134"/>
      <c r="H50" s="134"/>
      <c r="I50" s="134"/>
      <c r="J50" s="134" t="s">
        <v>119</v>
      </c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  <c r="AC50" s="134"/>
      <c r="AD50" s="134"/>
      <c r="AE50" s="134"/>
      <c r="AF50" s="134"/>
      <c r="AG50" s="134"/>
      <c r="AH50" s="134"/>
      <c r="AI50" s="134"/>
      <c r="AJ50" s="134"/>
      <c r="AK50" s="134"/>
      <c r="AL50" s="134"/>
      <c r="AM50" s="134"/>
      <c r="AN50" s="134"/>
      <c r="AO50" s="134"/>
      <c r="AP50" s="134"/>
      <c r="AQ50" s="134"/>
      <c r="AR50" s="134"/>
      <c r="AS50" s="134"/>
      <c r="AT50" s="134"/>
      <c r="AU50" s="134"/>
      <c r="AV50" s="134"/>
      <c r="AW50" s="134"/>
      <c r="AX50" s="134"/>
      <c r="AY50" s="134"/>
      <c r="AZ50" s="134"/>
      <c r="BA50" s="134"/>
      <c r="BB50" s="134"/>
      <c r="BC50" s="134"/>
      <c r="BD50" s="134"/>
      <c r="BE50" s="134"/>
      <c r="BF50" s="134"/>
      <c r="BG50" s="134"/>
      <c r="BH50" s="134"/>
      <c r="BI50" s="134"/>
      <c r="BJ50" s="134"/>
      <c r="BK50" s="134"/>
      <c r="BL50" s="134"/>
      <c r="BM50" s="134"/>
      <c r="BN50" s="134"/>
      <c r="BO50" s="134"/>
      <c r="BP50" s="134"/>
      <c r="BQ50" s="134"/>
      <c r="BR50" s="87"/>
      <c r="BS50" s="87"/>
      <c r="BT50" s="87"/>
      <c r="BU50" s="87"/>
      <c r="BV50" s="87"/>
    </row>
    <row r="51" spans="1:74" x14ac:dyDescent="0.25">
      <c r="A51" s="134"/>
      <c r="B51" s="134"/>
      <c r="C51" s="134"/>
      <c r="D51" s="134"/>
      <c r="E51" s="134"/>
      <c r="F51" s="134"/>
      <c r="G51" s="134"/>
      <c r="H51" s="134"/>
      <c r="I51" s="134"/>
      <c r="J51" s="134"/>
      <c r="K51" s="134"/>
      <c r="L51" s="134"/>
      <c r="M51" s="134"/>
      <c r="N51" s="134"/>
      <c r="O51" s="134"/>
      <c r="P51" s="134"/>
      <c r="Q51" s="134"/>
      <c r="R51" s="134"/>
      <c r="S51" s="134"/>
      <c r="T51" s="134"/>
      <c r="U51" s="134"/>
      <c r="V51" s="134"/>
      <c r="W51" s="134"/>
      <c r="X51" s="134"/>
      <c r="Y51" s="134"/>
      <c r="Z51" s="134"/>
      <c r="AA51" s="134"/>
      <c r="AB51" s="134"/>
      <c r="AC51" s="134"/>
      <c r="AD51" s="134"/>
      <c r="AE51" s="134"/>
      <c r="AF51" s="134"/>
      <c r="AG51" s="134"/>
      <c r="AH51" s="134"/>
      <c r="AI51" s="134"/>
      <c r="AJ51" s="134"/>
      <c r="AK51" s="134"/>
      <c r="AL51" s="134"/>
      <c r="AM51" s="134"/>
      <c r="AN51" s="134"/>
      <c r="AO51" s="134"/>
      <c r="AP51" s="134"/>
      <c r="AQ51" s="134"/>
      <c r="AR51" s="134"/>
      <c r="AS51" s="134"/>
      <c r="AT51" s="134"/>
      <c r="AU51" s="134"/>
      <c r="AV51" s="134"/>
      <c r="AW51" s="134"/>
      <c r="AX51" s="134"/>
      <c r="AY51" s="134"/>
      <c r="AZ51" s="134"/>
      <c r="BA51" s="134"/>
      <c r="BB51" s="134"/>
      <c r="BC51" s="134"/>
      <c r="BD51" s="134"/>
      <c r="BE51" s="134"/>
      <c r="BF51" s="134"/>
      <c r="BG51" s="134"/>
      <c r="BH51" s="134"/>
      <c r="BI51" s="134"/>
      <c r="BJ51" s="134"/>
      <c r="BK51" s="134"/>
      <c r="BL51" s="134"/>
      <c r="BM51" s="134"/>
      <c r="BN51" s="134"/>
      <c r="BO51" s="134"/>
      <c r="BP51" s="134"/>
      <c r="BQ51" s="134"/>
      <c r="BR51" s="87"/>
      <c r="BS51" s="87"/>
      <c r="BT51" s="87"/>
      <c r="BU51" s="87"/>
      <c r="BV51" s="87"/>
    </row>
    <row r="52" spans="1:74" x14ac:dyDescent="0.25">
      <c r="A52" s="134"/>
      <c r="B52" s="134"/>
      <c r="C52" s="134"/>
      <c r="D52" s="134"/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  <c r="AB52" s="134"/>
      <c r="AC52" s="134"/>
      <c r="AD52" s="134"/>
      <c r="AE52" s="134"/>
      <c r="AF52" s="134"/>
      <c r="AG52" s="134"/>
      <c r="AH52" s="134"/>
      <c r="AI52" s="134"/>
      <c r="AJ52" s="134"/>
      <c r="AK52" s="134"/>
      <c r="AL52" s="134"/>
      <c r="AM52" s="134"/>
      <c r="AN52" s="134"/>
      <c r="AO52" s="134"/>
      <c r="AP52" s="134"/>
      <c r="AQ52" s="134"/>
      <c r="AR52" s="134"/>
      <c r="AS52" s="134"/>
      <c r="AT52" s="134"/>
      <c r="AU52" s="134"/>
      <c r="AV52" s="134"/>
      <c r="AW52" s="134"/>
      <c r="AX52" s="134"/>
      <c r="AY52" s="134"/>
      <c r="AZ52" s="134"/>
      <c r="BA52" s="134"/>
      <c r="BB52" s="134"/>
      <c r="BC52" s="134"/>
      <c r="BD52" s="134"/>
      <c r="BE52" s="134"/>
      <c r="BF52" s="134"/>
      <c r="BG52" s="134"/>
      <c r="BH52" s="134"/>
      <c r="BI52" s="134"/>
      <c r="BJ52" s="134"/>
      <c r="BK52" s="134"/>
      <c r="BL52" s="134"/>
      <c r="BM52" s="134"/>
      <c r="BN52" s="134"/>
      <c r="BO52" s="134"/>
      <c r="BP52" s="134"/>
      <c r="BQ52" s="134"/>
      <c r="BR52" s="87"/>
      <c r="BS52" s="87"/>
      <c r="BT52" s="87"/>
      <c r="BU52" s="87"/>
      <c r="BV52" s="87"/>
    </row>
    <row r="53" spans="1:74" x14ac:dyDescent="0.25">
      <c r="A53" s="134"/>
      <c r="BR53" s="87"/>
      <c r="BS53" s="87"/>
      <c r="BT53" s="87"/>
      <c r="BU53" s="87"/>
      <c r="BV53" s="87"/>
    </row>
    <row r="54" spans="1:74" x14ac:dyDescent="0.25">
      <c r="A54" s="134"/>
      <c r="BR54" s="87"/>
      <c r="BS54" s="87"/>
      <c r="BT54" s="87"/>
      <c r="BU54" s="87"/>
      <c r="BV54" s="87"/>
    </row>
    <row r="55" spans="1:74" x14ac:dyDescent="0.25">
      <c r="A55" s="134"/>
      <c r="BR55" s="87"/>
      <c r="BS55" s="87"/>
      <c r="BT55" s="87"/>
      <c r="BU55" s="87"/>
      <c r="BV55" s="87"/>
    </row>
    <row r="56" spans="1:74" x14ac:dyDescent="0.25">
      <c r="A56" s="134"/>
      <c r="BR56" s="87"/>
      <c r="BS56" s="87"/>
      <c r="BT56" s="87"/>
      <c r="BU56" s="87"/>
      <c r="BV56" s="87"/>
    </row>
    <row r="57" spans="1:74" x14ac:dyDescent="0.25">
      <c r="A57" s="134"/>
      <c r="BR57" s="87"/>
      <c r="BS57" s="87"/>
      <c r="BT57" s="87"/>
      <c r="BU57" s="87"/>
      <c r="BV57" s="87"/>
    </row>
    <row r="58" spans="1:74" x14ac:dyDescent="0.25">
      <c r="A58" s="134"/>
      <c r="BR58" s="87"/>
      <c r="BS58" s="87"/>
      <c r="BT58" s="87"/>
      <c r="BU58" s="87"/>
      <c r="BV58" s="87"/>
    </row>
    <row r="59" spans="1:74" x14ac:dyDescent="0.25">
      <c r="A59" s="134"/>
      <c r="BR59" s="87"/>
      <c r="BS59" s="87"/>
      <c r="BT59" s="87"/>
      <c r="BU59" s="87"/>
      <c r="BV59" s="87"/>
    </row>
    <row r="60" spans="1:74" x14ac:dyDescent="0.25">
      <c r="A60" s="134"/>
      <c r="BR60" s="87"/>
      <c r="BS60" s="87"/>
      <c r="BT60" s="87"/>
      <c r="BU60" s="87"/>
      <c r="BV60" s="87"/>
    </row>
    <row r="61" spans="1:74" x14ac:dyDescent="0.25">
      <c r="A61" s="134"/>
      <c r="BR61" s="87"/>
      <c r="BS61" s="87"/>
      <c r="BT61" s="87"/>
      <c r="BU61" s="87"/>
      <c r="BV61" s="87"/>
    </row>
    <row r="62" spans="1:74" x14ac:dyDescent="0.25">
      <c r="A62" s="134"/>
      <c r="BR62" s="87"/>
      <c r="BS62" s="87"/>
      <c r="BT62" s="87"/>
      <c r="BU62" s="87"/>
      <c r="BV62" s="87"/>
    </row>
    <row r="63" spans="1:74" x14ac:dyDescent="0.25">
      <c r="A63" s="134"/>
      <c r="BR63" s="87"/>
      <c r="BS63" s="87"/>
      <c r="BT63" s="87"/>
      <c r="BU63" s="87"/>
      <c r="BV63" s="87"/>
    </row>
    <row r="64" spans="1:74" x14ac:dyDescent="0.25">
      <c r="A64" s="134"/>
      <c r="BR64" s="87"/>
      <c r="BS64" s="87"/>
      <c r="BT64" s="87"/>
      <c r="BU64" s="87"/>
      <c r="BV64" s="87"/>
    </row>
    <row r="65" spans="1:74" x14ac:dyDescent="0.25">
      <c r="A65" s="134"/>
      <c r="BR65" s="87"/>
      <c r="BS65" s="87"/>
      <c r="BT65" s="87"/>
      <c r="BU65" s="87"/>
      <c r="BV65" s="87"/>
    </row>
    <row r="66" spans="1:74" x14ac:dyDescent="0.25">
      <c r="A66" s="134"/>
      <c r="BR66" s="87"/>
      <c r="BS66" s="87"/>
      <c r="BT66" s="87"/>
      <c r="BU66" s="87"/>
      <c r="BV66" s="87"/>
    </row>
    <row r="67" spans="1:74" x14ac:dyDescent="0.25">
      <c r="A67" s="134"/>
      <c r="BR67" s="87"/>
      <c r="BS67" s="87"/>
      <c r="BT67" s="87"/>
      <c r="BU67" s="87"/>
      <c r="BV67" s="87"/>
    </row>
    <row r="68" spans="1:74" x14ac:dyDescent="0.25">
      <c r="A68" s="134"/>
      <c r="BR68" s="87"/>
      <c r="BS68" s="87"/>
      <c r="BT68" s="87"/>
      <c r="BU68" s="87"/>
      <c r="BV68" s="87"/>
    </row>
    <row r="69" spans="1:74" x14ac:dyDescent="0.25">
      <c r="A69" s="134"/>
      <c r="BR69" s="87"/>
      <c r="BS69" s="87"/>
      <c r="BT69" s="87"/>
      <c r="BU69" s="87"/>
      <c r="BV69" s="87"/>
    </row>
    <row r="70" spans="1:74" x14ac:dyDescent="0.25">
      <c r="A70" s="134"/>
      <c r="BR70" s="87"/>
      <c r="BS70" s="87"/>
      <c r="BT70" s="87"/>
      <c r="BU70" s="87"/>
      <c r="BV70" s="87"/>
    </row>
    <row r="71" spans="1:74" x14ac:dyDescent="0.25">
      <c r="A71" s="134"/>
      <c r="BR71" s="87"/>
      <c r="BS71" s="87"/>
      <c r="BT71" s="87"/>
      <c r="BU71" s="87"/>
      <c r="BV71" s="87"/>
    </row>
    <row r="72" spans="1:74" x14ac:dyDescent="0.25">
      <c r="A72" s="134"/>
      <c r="BR72" s="87"/>
      <c r="BS72" s="87"/>
      <c r="BT72" s="87"/>
      <c r="BU72" s="87"/>
      <c r="BV72" s="87"/>
    </row>
    <row r="73" spans="1:74" x14ac:dyDescent="0.25">
      <c r="A73" s="134"/>
      <c r="BR73" s="87"/>
      <c r="BS73" s="87"/>
      <c r="BT73" s="87"/>
      <c r="BU73" s="87"/>
      <c r="BV73" s="87"/>
    </row>
    <row r="74" spans="1:74" x14ac:dyDescent="0.25">
      <c r="A74" s="134"/>
      <c r="BR74" s="87"/>
      <c r="BS74" s="87"/>
      <c r="BT74" s="87"/>
      <c r="BU74" s="87"/>
      <c r="BV74" s="87"/>
    </row>
    <row r="75" spans="1:74" x14ac:dyDescent="0.25">
      <c r="A75" s="134"/>
      <c r="BR75" s="87"/>
      <c r="BS75" s="87"/>
      <c r="BT75" s="87"/>
      <c r="BU75" s="87"/>
      <c r="BV75" s="87"/>
    </row>
    <row r="76" spans="1:74" x14ac:dyDescent="0.25">
      <c r="A76" s="134"/>
      <c r="BR76" s="87"/>
      <c r="BS76" s="87"/>
      <c r="BT76" s="87"/>
      <c r="BU76" s="87"/>
      <c r="BV76" s="87"/>
    </row>
    <row r="77" spans="1:74" x14ac:dyDescent="0.25">
      <c r="A77" s="134"/>
      <c r="BR77" s="87"/>
      <c r="BS77" s="87"/>
      <c r="BT77" s="87"/>
      <c r="BU77" s="87"/>
      <c r="BV77" s="87"/>
    </row>
    <row r="78" spans="1:74" x14ac:dyDescent="0.25">
      <c r="A78" s="134"/>
      <c r="BR78" s="87"/>
      <c r="BS78" s="87"/>
      <c r="BT78" s="87"/>
      <c r="BU78" s="87"/>
      <c r="BV78" s="87"/>
    </row>
    <row r="79" spans="1:74" x14ac:dyDescent="0.25">
      <c r="A79" s="134"/>
      <c r="BR79" s="87"/>
      <c r="BS79" s="87"/>
      <c r="BT79" s="87"/>
      <c r="BU79" s="87"/>
      <c r="BV79" s="87"/>
    </row>
    <row r="80" spans="1:74" x14ac:dyDescent="0.25">
      <c r="A80" s="134"/>
      <c r="BR80" s="87"/>
      <c r="BS80" s="87"/>
      <c r="BT80" s="87"/>
      <c r="BU80" s="87"/>
      <c r="BV80" s="87"/>
    </row>
    <row r="81" spans="1:74" x14ac:dyDescent="0.25">
      <c r="A81" s="134"/>
      <c r="BR81" s="87"/>
      <c r="BS81" s="87"/>
      <c r="BT81" s="87"/>
      <c r="BU81" s="87"/>
      <c r="BV81" s="87"/>
    </row>
    <row r="82" spans="1:74" x14ac:dyDescent="0.25">
      <c r="A82" s="134"/>
      <c r="BR82" s="87"/>
      <c r="BS82" s="87"/>
      <c r="BT82" s="87"/>
      <c r="BU82" s="87"/>
      <c r="BV82" s="87"/>
    </row>
    <row r="83" spans="1:74" x14ac:dyDescent="0.25">
      <c r="A83" s="134"/>
      <c r="BR83" s="87"/>
      <c r="BS83" s="87"/>
      <c r="BT83" s="87"/>
      <c r="BU83" s="87"/>
      <c r="BV83" s="87"/>
    </row>
    <row r="84" spans="1:74" x14ac:dyDescent="0.25">
      <c r="A84" s="134"/>
      <c r="BR84" s="87"/>
      <c r="BS84" s="87"/>
      <c r="BT84" s="87"/>
      <c r="BU84" s="87"/>
      <c r="BV84" s="87"/>
    </row>
    <row r="85" spans="1:74" x14ac:dyDescent="0.25">
      <c r="A85" s="134"/>
      <c r="BR85" s="87"/>
      <c r="BS85" s="87"/>
      <c r="BT85" s="87"/>
      <c r="BU85" s="87"/>
      <c r="BV85" s="87"/>
    </row>
    <row r="86" spans="1:74" x14ac:dyDescent="0.25">
      <c r="A86" s="134"/>
      <c r="BR86" s="87"/>
      <c r="BS86" s="87"/>
      <c r="BT86" s="87"/>
      <c r="BU86" s="87"/>
      <c r="BV86" s="87"/>
    </row>
    <row r="87" spans="1:74" x14ac:dyDescent="0.25">
      <c r="A87" s="134"/>
      <c r="BR87" s="87"/>
      <c r="BS87" s="87"/>
      <c r="BT87" s="87"/>
      <c r="BU87" s="87"/>
      <c r="BV87" s="87"/>
    </row>
    <row r="88" spans="1:74" x14ac:dyDescent="0.25">
      <c r="A88" s="134"/>
      <c r="BR88" s="87"/>
      <c r="BS88" s="87"/>
      <c r="BT88" s="87"/>
      <c r="BU88" s="87"/>
      <c r="BV88" s="87"/>
    </row>
    <row r="89" spans="1:74" x14ac:dyDescent="0.25">
      <c r="A89" s="134"/>
      <c r="BR89" s="87"/>
      <c r="BS89" s="87"/>
      <c r="BT89" s="87"/>
      <c r="BU89" s="87"/>
      <c r="BV89" s="87"/>
    </row>
    <row r="90" spans="1:74" x14ac:dyDescent="0.25">
      <c r="A90" s="134"/>
      <c r="BR90" s="87"/>
      <c r="BS90" s="87"/>
      <c r="BT90" s="87"/>
      <c r="BU90" s="87"/>
      <c r="BV90" s="87"/>
    </row>
    <row r="91" spans="1:74" x14ac:dyDescent="0.25">
      <c r="A91" s="134"/>
      <c r="BR91" s="87"/>
      <c r="BS91" s="87"/>
      <c r="BT91" s="87"/>
      <c r="BU91" s="87"/>
      <c r="BV91" s="87"/>
    </row>
    <row r="92" spans="1:74" x14ac:dyDescent="0.25">
      <c r="A92" s="134"/>
      <c r="BR92" s="87"/>
      <c r="BS92" s="87"/>
      <c r="BT92" s="87"/>
      <c r="BU92" s="87"/>
      <c r="BV92" s="87"/>
    </row>
    <row r="93" spans="1:74" x14ac:dyDescent="0.25">
      <c r="A93" s="134"/>
      <c r="BR93" s="87"/>
      <c r="BS93" s="87"/>
      <c r="BT93" s="87"/>
      <c r="BU93" s="87"/>
      <c r="BV93" s="87"/>
    </row>
    <row r="94" spans="1:74" x14ac:dyDescent="0.25">
      <c r="A94" s="134"/>
      <c r="BR94" s="87"/>
      <c r="BS94" s="87"/>
      <c r="BT94" s="87"/>
      <c r="BU94" s="87"/>
      <c r="BV94" s="87"/>
    </row>
    <row r="95" spans="1:74" x14ac:dyDescent="0.25">
      <c r="A95" s="134"/>
      <c r="BR95" s="87"/>
      <c r="BS95" s="87"/>
      <c r="BT95" s="87"/>
      <c r="BU95" s="87"/>
      <c r="BV95" s="87"/>
    </row>
    <row r="96" spans="1:74" x14ac:dyDescent="0.25">
      <c r="A96" s="134"/>
      <c r="BR96" s="87"/>
      <c r="BS96" s="87"/>
      <c r="BT96" s="87"/>
      <c r="BU96" s="87"/>
      <c r="BV96" s="87"/>
    </row>
    <row r="97" spans="1:74" x14ac:dyDescent="0.25">
      <c r="A97" s="134"/>
      <c r="BR97" s="87"/>
      <c r="BS97" s="87"/>
      <c r="BT97" s="87"/>
      <c r="BU97" s="87"/>
      <c r="BV97" s="87"/>
    </row>
    <row r="98" spans="1:74" x14ac:dyDescent="0.25">
      <c r="A98" s="134"/>
      <c r="BR98" s="87"/>
      <c r="BS98" s="87"/>
      <c r="BT98" s="87"/>
      <c r="BU98" s="87"/>
      <c r="BV98" s="87"/>
    </row>
    <row r="99" spans="1:74" x14ac:dyDescent="0.25">
      <c r="A99" s="134"/>
      <c r="BR99" s="87"/>
      <c r="BS99" s="87"/>
      <c r="BT99" s="87"/>
      <c r="BU99" s="87"/>
      <c r="BV99" s="87"/>
    </row>
    <row r="100" spans="1:74" x14ac:dyDescent="0.25">
      <c r="A100" s="134"/>
      <c r="BR100" s="87"/>
      <c r="BS100" s="87"/>
      <c r="BT100" s="87"/>
      <c r="BU100" s="87"/>
      <c r="BV100" s="87"/>
    </row>
    <row r="101" spans="1:74" x14ac:dyDescent="0.25">
      <c r="A101" s="134"/>
      <c r="BR101" s="87"/>
      <c r="BS101" s="87"/>
      <c r="BT101" s="87"/>
      <c r="BU101" s="87"/>
      <c r="BV101" s="87"/>
    </row>
    <row r="102" spans="1:74" x14ac:dyDescent="0.25">
      <c r="A102" s="134"/>
      <c r="BR102" s="87"/>
      <c r="BS102" s="87"/>
      <c r="BT102" s="87"/>
      <c r="BU102" s="87"/>
      <c r="BV102" s="87"/>
    </row>
    <row r="103" spans="1:74" x14ac:dyDescent="0.25">
      <c r="A103" s="134"/>
      <c r="BR103" s="87"/>
      <c r="BS103" s="87"/>
      <c r="BT103" s="87"/>
      <c r="BU103" s="87"/>
      <c r="BV103" s="87"/>
    </row>
    <row r="104" spans="1:74" x14ac:dyDescent="0.25">
      <c r="A104" s="134"/>
      <c r="BR104" s="87"/>
      <c r="BS104" s="87"/>
      <c r="BT104" s="87"/>
      <c r="BU104" s="87"/>
      <c r="BV104" s="87"/>
    </row>
    <row r="105" spans="1:74" x14ac:dyDescent="0.25">
      <c r="A105" s="134"/>
      <c r="BR105" s="87"/>
      <c r="BS105" s="87"/>
      <c r="BT105" s="87"/>
      <c r="BU105" s="87"/>
      <c r="BV105" s="87"/>
    </row>
    <row r="106" spans="1:74" x14ac:dyDescent="0.25">
      <c r="A106" s="134"/>
      <c r="BR106" s="87"/>
      <c r="BS106" s="87"/>
      <c r="BT106" s="87"/>
      <c r="BU106" s="87"/>
      <c r="BV106" s="87"/>
    </row>
    <row r="107" spans="1:74" x14ac:dyDescent="0.25">
      <c r="A107" s="134"/>
      <c r="BR107" s="87"/>
      <c r="BS107" s="87"/>
      <c r="BT107" s="87"/>
      <c r="BU107" s="87"/>
      <c r="BV107" s="87"/>
    </row>
    <row r="108" spans="1:74" x14ac:dyDescent="0.25">
      <c r="A108" s="134"/>
      <c r="BR108" s="87"/>
      <c r="BS108" s="87"/>
      <c r="BT108" s="87"/>
      <c r="BU108" s="87"/>
      <c r="BV108" s="87"/>
    </row>
    <row r="109" spans="1:74" x14ac:dyDescent="0.25">
      <c r="A109" s="134"/>
      <c r="BR109" s="87"/>
      <c r="BS109" s="87"/>
      <c r="BT109" s="87"/>
      <c r="BU109" s="87"/>
      <c r="BV109" s="87"/>
    </row>
    <row r="110" spans="1:74" x14ac:dyDescent="0.25">
      <c r="A110" s="134"/>
      <c r="BR110" s="87"/>
      <c r="BS110" s="87"/>
      <c r="BT110" s="87"/>
      <c r="BU110" s="87"/>
      <c r="BV110" s="87"/>
    </row>
    <row r="111" spans="1:74" x14ac:dyDescent="0.25">
      <c r="A111" s="134"/>
      <c r="BR111" s="87"/>
      <c r="BS111" s="87"/>
      <c r="BT111" s="87"/>
      <c r="BU111" s="87"/>
      <c r="BV111" s="87"/>
    </row>
    <row r="112" spans="1:74" x14ac:dyDescent="0.25">
      <c r="A112" s="134"/>
      <c r="BR112" s="87"/>
      <c r="BS112" s="87"/>
      <c r="BT112" s="87"/>
      <c r="BU112" s="87"/>
      <c r="BV112" s="87"/>
    </row>
    <row r="113" spans="1:74" x14ac:dyDescent="0.25">
      <c r="A113" s="134"/>
      <c r="BR113" s="87"/>
      <c r="BS113" s="87"/>
      <c r="BT113" s="87"/>
      <c r="BU113" s="87"/>
      <c r="BV113" s="87"/>
    </row>
    <row r="114" spans="1:74" x14ac:dyDescent="0.25">
      <c r="A114" s="134"/>
      <c r="BR114" s="87"/>
      <c r="BS114" s="87"/>
      <c r="BT114" s="87"/>
      <c r="BU114" s="87"/>
      <c r="BV114" s="87"/>
    </row>
    <row r="115" spans="1:74" x14ac:dyDescent="0.25">
      <c r="A115" s="134"/>
      <c r="BR115" s="87"/>
      <c r="BS115" s="87"/>
      <c r="BT115" s="87"/>
      <c r="BU115" s="87"/>
      <c r="BV115" s="87"/>
    </row>
    <row r="116" spans="1:74" x14ac:dyDescent="0.25">
      <c r="A116" s="134"/>
      <c r="BR116" s="87"/>
      <c r="BS116" s="87"/>
      <c r="BT116" s="87"/>
      <c r="BU116" s="87"/>
      <c r="BV116" s="87"/>
    </row>
    <row r="117" spans="1:74" x14ac:dyDescent="0.25">
      <c r="A117" s="134"/>
      <c r="BR117" s="87"/>
      <c r="BS117" s="87"/>
      <c r="BT117" s="87"/>
      <c r="BU117" s="87"/>
      <c r="BV117" s="87"/>
    </row>
    <row r="118" spans="1:74" x14ac:dyDescent="0.25">
      <c r="A118" s="134"/>
      <c r="BR118" s="87"/>
      <c r="BS118" s="87"/>
      <c r="BT118" s="87"/>
      <c r="BU118" s="87"/>
      <c r="BV118" s="87"/>
    </row>
    <row r="119" spans="1:74" x14ac:dyDescent="0.25">
      <c r="A119" s="134"/>
      <c r="BR119" s="87"/>
      <c r="BS119" s="87"/>
      <c r="BT119" s="87"/>
      <c r="BU119" s="87"/>
      <c r="BV119" s="87"/>
    </row>
    <row r="120" spans="1:74" x14ac:dyDescent="0.25">
      <c r="A120" s="134"/>
      <c r="BR120" s="87"/>
      <c r="BS120" s="87"/>
      <c r="BT120" s="87"/>
      <c r="BU120" s="87"/>
      <c r="BV120" s="87"/>
    </row>
    <row r="121" spans="1:74" x14ac:dyDescent="0.25">
      <c r="A121" s="134"/>
      <c r="BR121" s="87"/>
      <c r="BS121" s="87"/>
      <c r="BT121" s="87"/>
      <c r="BU121" s="87"/>
      <c r="BV121" s="87"/>
    </row>
    <row r="122" spans="1:74" x14ac:dyDescent="0.25">
      <c r="A122" s="134"/>
      <c r="BR122" s="87"/>
      <c r="BS122" s="87"/>
      <c r="BT122" s="87"/>
      <c r="BU122" s="87"/>
      <c r="BV122" s="87"/>
    </row>
    <row r="123" spans="1:74" x14ac:dyDescent="0.25">
      <c r="A123" s="134"/>
      <c r="BR123" s="87"/>
      <c r="BS123" s="87"/>
      <c r="BT123" s="87"/>
      <c r="BU123" s="87"/>
      <c r="BV123" s="87"/>
    </row>
    <row r="124" spans="1:74" x14ac:dyDescent="0.25">
      <c r="A124" s="134"/>
      <c r="BR124" s="87"/>
      <c r="BS124" s="87"/>
      <c r="BT124" s="87"/>
      <c r="BU124" s="87"/>
      <c r="BV124" s="87"/>
    </row>
    <row r="125" spans="1:74" x14ac:dyDescent="0.25">
      <c r="A125" s="134"/>
      <c r="BR125" s="87"/>
      <c r="BS125" s="87"/>
      <c r="BT125" s="87"/>
      <c r="BU125" s="87"/>
      <c r="BV125" s="87"/>
    </row>
    <row r="126" spans="1:74" x14ac:dyDescent="0.25">
      <c r="A126" s="134"/>
      <c r="BR126" s="87"/>
      <c r="BS126" s="87"/>
      <c r="BT126" s="87"/>
      <c r="BU126" s="87"/>
      <c r="BV126" s="87"/>
    </row>
    <row r="127" spans="1:74" x14ac:dyDescent="0.25">
      <c r="A127" s="134"/>
      <c r="BR127" s="87"/>
      <c r="BS127" s="87"/>
      <c r="BT127" s="87"/>
      <c r="BU127" s="87"/>
      <c r="BV127" s="87"/>
    </row>
    <row r="128" spans="1:74" x14ac:dyDescent="0.25">
      <c r="BR128" s="87"/>
      <c r="BS128" s="87"/>
      <c r="BT128" s="87"/>
      <c r="BU128" s="87"/>
      <c r="BV128" s="87"/>
    </row>
    <row r="129" spans="70:74" x14ac:dyDescent="0.25">
      <c r="BR129" s="87"/>
      <c r="BS129" s="87"/>
      <c r="BT129" s="87"/>
      <c r="BU129" s="87"/>
      <c r="BV129" s="87"/>
    </row>
    <row r="130" spans="70:74" x14ac:dyDescent="0.25">
      <c r="BR130" s="87"/>
      <c r="BS130" s="87"/>
      <c r="BT130" s="87"/>
      <c r="BU130" s="87"/>
      <c r="BV130" s="87"/>
    </row>
    <row r="131" spans="70:74" x14ac:dyDescent="0.25">
      <c r="BR131" s="87"/>
      <c r="BS131" s="87"/>
      <c r="BT131" s="87"/>
      <c r="BU131" s="87"/>
      <c r="BV131" s="87"/>
    </row>
    <row r="132" spans="70:74" x14ac:dyDescent="0.25">
      <c r="BR132" s="87"/>
      <c r="BS132" s="87"/>
      <c r="BT132" s="87"/>
      <c r="BU132" s="87"/>
      <c r="BV132" s="87"/>
    </row>
    <row r="133" spans="70:74" x14ac:dyDescent="0.25">
      <c r="BR133" s="87"/>
      <c r="BS133" s="87"/>
      <c r="BT133" s="87"/>
      <c r="BU133" s="87"/>
      <c r="BV133" s="87"/>
    </row>
    <row r="134" spans="70:74" x14ac:dyDescent="0.25">
      <c r="BR134" s="87"/>
      <c r="BS134" s="87"/>
      <c r="BT134" s="87"/>
      <c r="BU134" s="87"/>
      <c r="BV134" s="87"/>
    </row>
    <row r="135" spans="70:74" x14ac:dyDescent="0.25">
      <c r="BR135" s="87"/>
      <c r="BS135" s="87"/>
      <c r="BT135" s="87"/>
      <c r="BU135" s="87"/>
      <c r="BV135" s="87"/>
    </row>
    <row r="136" spans="70:74" x14ac:dyDescent="0.25">
      <c r="BR136" s="87"/>
      <c r="BS136" s="87"/>
      <c r="BT136" s="87"/>
      <c r="BU136" s="87"/>
      <c r="BV136" s="87"/>
    </row>
    <row r="137" spans="70:74" x14ac:dyDescent="0.25">
      <c r="BR137" s="87"/>
      <c r="BS137" s="87"/>
      <c r="BT137" s="87"/>
      <c r="BU137" s="87"/>
      <c r="BV137" s="87"/>
    </row>
    <row r="138" spans="70:74" x14ac:dyDescent="0.25">
      <c r="BR138" s="87"/>
      <c r="BS138" s="87"/>
      <c r="BT138" s="87"/>
      <c r="BU138" s="87"/>
      <c r="BV138" s="87"/>
    </row>
    <row r="139" spans="70:74" x14ac:dyDescent="0.25">
      <c r="BR139" s="87"/>
      <c r="BS139" s="87"/>
      <c r="BT139" s="87"/>
      <c r="BU139" s="87"/>
      <c r="BV139" s="87"/>
    </row>
    <row r="140" spans="70:74" x14ac:dyDescent="0.25">
      <c r="BR140" s="87"/>
      <c r="BS140" s="87"/>
      <c r="BT140" s="87"/>
      <c r="BU140" s="87"/>
      <c r="BV140" s="87"/>
    </row>
    <row r="141" spans="70:74" x14ac:dyDescent="0.25">
      <c r="BR141" s="87"/>
      <c r="BS141" s="87"/>
      <c r="BT141" s="87"/>
      <c r="BU141" s="87"/>
      <c r="BV141" s="87"/>
    </row>
    <row r="142" spans="70:74" x14ac:dyDescent="0.25">
      <c r="BR142" s="87"/>
      <c r="BS142" s="87"/>
      <c r="BT142" s="87"/>
      <c r="BU142" s="87"/>
      <c r="BV142" s="87"/>
    </row>
    <row r="143" spans="70:74" x14ac:dyDescent="0.25">
      <c r="BR143" s="87"/>
      <c r="BS143" s="87"/>
      <c r="BT143" s="87"/>
      <c r="BU143" s="87"/>
      <c r="BV143" s="87"/>
    </row>
    <row r="144" spans="70:74" x14ac:dyDescent="0.25">
      <c r="BR144" s="87"/>
      <c r="BS144" s="87"/>
      <c r="BT144" s="87"/>
      <c r="BU144" s="87"/>
      <c r="BV144" s="87"/>
    </row>
    <row r="145" spans="70:74" x14ac:dyDescent="0.25">
      <c r="BR145" s="87"/>
      <c r="BS145" s="87"/>
      <c r="BT145" s="87"/>
      <c r="BU145" s="87"/>
      <c r="BV145" s="87"/>
    </row>
    <row r="146" spans="70:74" x14ac:dyDescent="0.25">
      <c r="BR146" s="87"/>
      <c r="BS146" s="87"/>
      <c r="BT146" s="87"/>
      <c r="BU146" s="87"/>
      <c r="BV146" s="87"/>
    </row>
    <row r="147" spans="70:74" x14ac:dyDescent="0.25">
      <c r="BR147" s="87"/>
      <c r="BS147" s="87"/>
      <c r="BT147" s="87"/>
      <c r="BU147" s="87"/>
      <c r="BV147" s="87"/>
    </row>
    <row r="148" spans="70:74" x14ac:dyDescent="0.25">
      <c r="BR148" s="87"/>
      <c r="BS148" s="87"/>
      <c r="BT148" s="87"/>
      <c r="BU148" s="87"/>
      <c r="BV148" s="87"/>
    </row>
    <row r="149" spans="70:74" x14ac:dyDescent="0.25">
      <c r="BR149" s="87"/>
      <c r="BS149" s="87"/>
      <c r="BT149" s="87"/>
      <c r="BU149" s="87"/>
      <c r="BV149" s="87"/>
    </row>
    <row r="150" spans="70:74" x14ac:dyDescent="0.25">
      <c r="BR150" s="87"/>
      <c r="BS150" s="87"/>
      <c r="BT150" s="87"/>
      <c r="BU150" s="87"/>
      <c r="BV150" s="87"/>
    </row>
    <row r="151" spans="70:74" x14ac:dyDescent="0.25">
      <c r="BR151" s="87"/>
      <c r="BS151" s="87"/>
      <c r="BT151" s="87"/>
      <c r="BU151" s="87"/>
      <c r="BV151" s="87"/>
    </row>
    <row r="152" spans="70:74" x14ac:dyDescent="0.25">
      <c r="BR152" s="87"/>
      <c r="BS152" s="87"/>
      <c r="BT152" s="87"/>
      <c r="BU152" s="87"/>
      <c r="BV152" s="87"/>
    </row>
    <row r="153" spans="70:74" x14ac:dyDescent="0.25">
      <c r="BR153" s="87"/>
      <c r="BS153" s="87"/>
      <c r="BT153" s="87"/>
      <c r="BU153" s="87"/>
      <c r="BV153" s="87"/>
    </row>
    <row r="154" spans="70:74" x14ac:dyDescent="0.25">
      <c r="BR154" s="87"/>
      <c r="BS154" s="87"/>
      <c r="BT154" s="87"/>
      <c r="BU154" s="87"/>
      <c r="BV154" s="87"/>
    </row>
    <row r="155" spans="70:74" x14ac:dyDescent="0.25">
      <c r="BR155" s="87"/>
      <c r="BS155" s="87"/>
      <c r="BT155" s="87"/>
      <c r="BU155" s="87"/>
      <c r="BV155" s="87"/>
    </row>
    <row r="156" spans="70:74" x14ac:dyDescent="0.25">
      <c r="BR156" s="87"/>
      <c r="BS156" s="87"/>
      <c r="BT156" s="87"/>
      <c r="BU156" s="87"/>
      <c r="BV156" s="87"/>
    </row>
    <row r="157" spans="70:74" x14ac:dyDescent="0.25">
      <c r="BR157" s="87"/>
      <c r="BS157" s="87"/>
      <c r="BT157" s="87"/>
      <c r="BU157" s="87"/>
      <c r="BV157" s="87"/>
    </row>
    <row r="158" spans="70:74" x14ac:dyDescent="0.25">
      <c r="BR158" s="87"/>
      <c r="BS158" s="87"/>
      <c r="BT158" s="87"/>
      <c r="BU158" s="87"/>
      <c r="BV158" s="87"/>
    </row>
    <row r="159" spans="70:74" x14ac:dyDescent="0.25">
      <c r="BR159" s="87"/>
      <c r="BS159" s="87"/>
      <c r="BT159" s="87"/>
      <c r="BU159" s="87"/>
      <c r="BV159" s="87"/>
    </row>
    <row r="160" spans="70:74" x14ac:dyDescent="0.25">
      <c r="BR160" s="87"/>
      <c r="BS160" s="87"/>
      <c r="BT160" s="87"/>
      <c r="BU160" s="87"/>
      <c r="BV160" s="87"/>
    </row>
    <row r="161" spans="70:74" x14ac:dyDescent="0.25">
      <c r="BR161" s="87"/>
      <c r="BS161" s="87"/>
      <c r="BT161" s="87"/>
      <c r="BU161" s="87"/>
      <c r="BV161" s="87"/>
    </row>
    <row r="162" spans="70:74" x14ac:dyDescent="0.25">
      <c r="BR162" s="87"/>
      <c r="BS162" s="87"/>
      <c r="BT162" s="87"/>
      <c r="BU162" s="87"/>
      <c r="BV162" s="87"/>
    </row>
    <row r="163" spans="70:74" x14ac:dyDescent="0.25">
      <c r="BR163" s="87"/>
      <c r="BS163" s="87"/>
      <c r="BT163" s="87"/>
      <c r="BU163" s="87"/>
      <c r="BV163" s="87"/>
    </row>
    <row r="164" spans="70:74" x14ac:dyDescent="0.25">
      <c r="BR164" s="87"/>
      <c r="BS164" s="87"/>
      <c r="BT164" s="87"/>
      <c r="BU164" s="87"/>
      <c r="BV164" s="87"/>
    </row>
    <row r="165" spans="70:74" x14ac:dyDescent="0.25">
      <c r="BR165" s="87"/>
      <c r="BS165" s="87"/>
      <c r="BT165" s="87"/>
      <c r="BU165" s="87"/>
      <c r="BV165" s="87"/>
    </row>
    <row r="166" spans="70:74" x14ac:dyDescent="0.25">
      <c r="BR166" s="87"/>
      <c r="BS166" s="87"/>
      <c r="BT166" s="87"/>
      <c r="BU166" s="87"/>
      <c r="BV166" s="87"/>
    </row>
    <row r="167" spans="70:74" x14ac:dyDescent="0.25">
      <c r="BR167" s="87"/>
      <c r="BS167" s="87"/>
      <c r="BT167" s="87"/>
      <c r="BU167" s="87"/>
      <c r="BV167" s="87"/>
    </row>
    <row r="168" spans="70:74" x14ac:dyDescent="0.25">
      <c r="BR168" s="87"/>
      <c r="BS168" s="87"/>
      <c r="BT168" s="87"/>
      <c r="BU168" s="87"/>
      <c r="BV168" s="87"/>
    </row>
    <row r="169" spans="70:74" x14ac:dyDescent="0.25">
      <c r="BR169" s="87"/>
      <c r="BS169" s="87"/>
      <c r="BT169" s="87"/>
      <c r="BU169" s="87"/>
      <c r="BV169" s="87"/>
    </row>
    <row r="170" spans="70:74" x14ac:dyDescent="0.25">
      <c r="BR170" s="87"/>
      <c r="BS170" s="87"/>
      <c r="BT170" s="87"/>
      <c r="BU170" s="87"/>
      <c r="BV170" s="87"/>
    </row>
    <row r="171" spans="70:74" x14ac:dyDescent="0.25">
      <c r="BR171" s="87"/>
      <c r="BS171" s="87"/>
      <c r="BT171" s="87"/>
      <c r="BU171" s="87"/>
      <c r="BV171" s="87"/>
    </row>
    <row r="172" spans="70:74" x14ac:dyDescent="0.25">
      <c r="BR172" s="87"/>
      <c r="BS172" s="87"/>
      <c r="BT172" s="87"/>
      <c r="BU172" s="87"/>
      <c r="BV172" s="87"/>
    </row>
    <row r="173" spans="70:74" x14ac:dyDescent="0.25">
      <c r="BR173" s="87"/>
      <c r="BS173" s="87"/>
      <c r="BT173" s="87"/>
      <c r="BU173" s="87"/>
      <c r="BV173" s="87"/>
    </row>
    <row r="174" spans="70:74" x14ac:dyDescent="0.25">
      <c r="BR174" s="87"/>
      <c r="BS174" s="87"/>
      <c r="BT174" s="87"/>
      <c r="BU174" s="87"/>
      <c r="BV174" s="87"/>
    </row>
    <row r="175" spans="70:74" x14ac:dyDescent="0.25">
      <c r="BR175" s="87"/>
      <c r="BS175" s="87"/>
      <c r="BT175" s="87"/>
      <c r="BU175" s="87"/>
      <c r="BV175" s="87"/>
    </row>
    <row r="176" spans="70:74" x14ac:dyDescent="0.25">
      <c r="BR176" s="87"/>
      <c r="BS176" s="87"/>
      <c r="BT176" s="87"/>
      <c r="BU176" s="87"/>
      <c r="BV176" s="87"/>
    </row>
    <row r="177" spans="70:74" x14ac:dyDescent="0.25">
      <c r="BR177" s="87"/>
      <c r="BS177" s="87"/>
      <c r="BT177" s="87"/>
      <c r="BU177" s="87"/>
      <c r="BV177" s="87"/>
    </row>
    <row r="178" spans="70:74" x14ac:dyDescent="0.25">
      <c r="BR178" s="87"/>
      <c r="BS178" s="87"/>
      <c r="BT178" s="87"/>
      <c r="BU178" s="87"/>
      <c r="BV178" s="87"/>
    </row>
    <row r="179" spans="70:74" x14ac:dyDescent="0.25">
      <c r="BR179" s="87"/>
      <c r="BS179" s="87"/>
      <c r="BT179" s="87"/>
      <c r="BU179" s="87"/>
      <c r="BV179" s="87"/>
    </row>
    <row r="180" spans="70:74" x14ac:dyDescent="0.25">
      <c r="BR180" s="87"/>
      <c r="BS180" s="87"/>
      <c r="BT180" s="87"/>
      <c r="BU180" s="87"/>
      <c r="BV180" s="87"/>
    </row>
    <row r="181" spans="70:74" x14ac:dyDescent="0.25">
      <c r="BR181" s="87"/>
      <c r="BS181" s="87"/>
      <c r="BT181" s="87"/>
      <c r="BU181" s="87"/>
      <c r="BV181" s="87"/>
    </row>
    <row r="182" spans="70:74" x14ac:dyDescent="0.25">
      <c r="BR182" s="87"/>
      <c r="BS182" s="87"/>
      <c r="BT182" s="87"/>
      <c r="BU182" s="87"/>
      <c r="BV182" s="87"/>
    </row>
    <row r="183" spans="70:74" x14ac:dyDescent="0.25">
      <c r="BR183" s="87"/>
      <c r="BS183" s="87"/>
      <c r="BT183" s="87"/>
      <c r="BU183" s="87"/>
      <c r="BV183" s="87"/>
    </row>
    <row r="184" spans="70:74" x14ac:dyDescent="0.25">
      <c r="BR184" s="87"/>
      <c r="BS184" s="87"/>
      <c r="BT184" s="87"/>
      <c r="BU184" s="87"/>
      <c r="BV184" s="87"/>
    </row>
    <row r="185" spans="70:74" x14ac:dyDescent="0.25">
      <c r="BR185" s="87"/>
      <c r="BS185" s="87"/>
      <c r="BT185" s="87"/>
      <c r="BU185" s="87"/>
      <c r="BV185" s="87"/>
    </row>
    <row r="186" spans="70:74" x14ac:dyDescent="0.25">
      <c r="BR186" s="87"/>
      <c r="BS186" s="87"/>
      <c r="BT186" s="87"/>
      <c r="BU186" s="87"/>
      <c r="BV186" s="87"/>
    </row>
    <row r="187" spans="70:74" x14ac:dyDescent="0.25">
      <c r="BR187" s="87"/>
      <c r="BS187" s="87"/>
      <c r="BT187" s="87"/>
      <c r="BU187" s="87"/>
      <c r="BV187" s="87"/>
    </row>
    <row r="188" spans="70:74" x14ac:dyDescent="0.25">
      <c r="BR188" s="87"/>
      <c r="BS188" s="87"/>
      <c r="BT188" s="87"/>
      <c r="BU188" s="87"/>
      <c r="BV188" s="87"/>
    </row>
    <row r="189" spans="70:74" x14ac:dyDescent="0.25">
      <c r="BR189" s="87"/>
      <c r="BS189" s="87"/>
      <c r="BT189" s="87"/>
      <c r="BU189" s="87"/>
      <c r="BV189" s="87"/>
    </row>
    <row r="190" spans="70:74" x14ac:dyDescent="0.25">
      <c r="BR190" s="87"/>
      <c r="BS190" s="87"/>
      <c r="BT190" s="87"/>
      <c r="BU190" s="87"/>
      <c r="BV190" s="87"/>
    </row>
    <row r="191" spans="70:74" x14ac:dyDescent="0.25">
      <c r="BR191" s="87"/>
      <c r="BS191" s="87"/>
      <c r="BT191" s="87"/>
      <c r="BU191" s="87"/>
      <c r="BV191" s="87"/>
    </row>
    <row r="192" spans="70:74" x14ac:dyDescent="0.25">
      <c r="BR192" s="87"/>
      <c r="BS192" s="87"/>
      <c r="BT192" s="87"/>
      <c r="BU192" s="87"/>
      <c r="BV192" s="87"/>
    </row>
    <row r="193" spans="70:74" x14ac:dyDescent="0.25">
      <c r="BR193" s="87"/>
      <c r="BS193" s="87"/>
      <c r="BT193" s="87"/>
      <c r="BU193" s="87"/>
      <c r="BV193" s="87"/>
    </row>
    <row r="194" spans="70:74" x14ac:dyDescent="0.25">
      <c r="BR194" s="87"/>
      <c r="BS194" s="87"/>
      <c r="BT194" s="87"/>
      <c r="BU194" s="87"/>
      <c r="BV194" s="87"/>
    </row>
    <row r="195" spans="70:74" x14ac:dyDescent="0.25">
      <c r="BR195" s="87"/>
      <c r="BS195" s="87"/>
      <c r="BT195" s="87"/>
      <c r="BU195" s="87"/>
      <c r="BV195" s="87"/>
    </row>
    <row r="196" spans="70:74" x14ac:dyDescent="0.25">
      <c r="BR196" s="87"/>
      <c r="BS196" s="87"/>
      <c r="BT196" s="87"/>
      <c r="BU196" s="87"/>
      <c r="BV196" s="87"/>
    </row>
    <row r="197" spans="70:74" x14ac:dyDescent="0.25">
      <c r="BR197" s="87"/>
      <c r="BS197" s="87"/>
      <c r="BT197" s="87"/>
      <c r="BU197" s="87"/>
      <c r="BV197" s="87"/>
    </row>
    <row r="198" spans="70:74" x14ac:dyDescent="0.25">
      <c r="BR198" s="87"/>
      <c r="BS198" s="87"/>
      <c r="BT198" s="87"/>
      <c r="BU198" s="87"/>
      <c r="BV198" s="87"/>
    </row>
    <row r="199" spans="70:74" x14ac:dyDescent="0.25">
      <c r="BR199" s="87"/>
      <c r="BS199" s="87"/>
      <c r="BT199" s="87"/>
      <c r="BU199" s="87"/>
      <c r="BV199" s="87"/>
    </row>
    <row r="200" spans="70:74" x14ac:dyDescent="0.25">
      <c r="BR200" s="87"/>
      <c r="BS200" s="87"/>
      <c r="BT200" s="87"/>
      <c r="BU200" s="87"/>
      <c r="BV200" s="87"/>
    </row>
    <row r="201" spans="70:74" x14ac:dyDescent="0.25">
      <c r="BR201" s="87"/>
      <c r="BS201" s="87"/>
      <c r="BT201" s="87"/>
      <c r="BU201" s="87"/>
      <c r="BV201" s="87"/>
    </row>
    <row r="202" spans="70:74" x14ac:dyDescent="0.25">
      <c r="BR202" s="87"/>
      <c r="BS202" s="87"/>
      <c r="BT202" s="87"/>
      <c r="BU202" s="87"/>
      <c r="BV202" s="87"/>
    </row>
    <row r="203" spans="70:74" x14ac:dyDescent="0.25">
      <c r="BR203" s="87"/>
      <c r="BS203" s="87"/>
      <c r="BT203" s="87"/>
      <c r="BU203" s="87"/>
      <c r="BV203" s="87"/>
    </row>
    <row r="204" spans="70:74" x14ac:dyDescent="0.25">
      <c r="BR204" s="87"/>
      <c r="BS204" s="87"/>
      <c r="BT204" s="87"/>
      <c r="BU204" s="87"/>
      <c r="BV204" s="87"/>
    </row>
    <row r="205" spans="70:74" x14ac:dyDescent="0.25">
      <c r="BR205" s="87"/>
      <c r="BS205" s="87"/>
      <c r="BT205" s="87"/>
      <c r="BU205" s="87"/>
      <c r="BV205" s="87"/>
    </row>
    <row r="206" spans="70:74" x14ac:dyDescent="0.25">
      <c r="BR206" s="87"/>
      <c r="BS206" s="87"/>
      <c r="BT206" s="87"/>
      <c r="BU206" s="87"/>
      <c r="BV206" s="87"/>
    </row>
    <row r="207" spans="70:74" x14ac:dyDescent="0.25">
      <c r="BR207" s="87"/>
      <c r="BS207" s="87"/>
      <c r="BT207" s="87"/>
      <c r="BU207" s="87"/>
      <c r="BV207" s="87"/>
    </row>
    <row r="208" spans="70:74" x14ac:dyDescent="0.25">
      <c r="BR208" s="87"/>
      <c r="BS208" s="87"/>
      <c r="BT208" s="87"/>
      <c r="BU208" s="87"/>
      <c r="BV208" s="87"/>
    </row>
    <row r="209" spans="70:74" x14ac:dyDescent="0.25">
      <c r="BR209" s="87"/>
      <c r="BS209" s="87"/>
      <c r="BT209" s="87"/>
      <c r="BU209" s="87"/>
      <c r="BV209" s="87"/>
    </row>
    <row r="210" spans="70:74" x14ac:dyDescent="0.25">
      <c r="BR210" s="87"/>
      <c r="BS210" s="87"/>
      <c r="BT210" s="87"/>
      <c r="BU210" s="87"/>
      <c r="BV210" s="87"/>
    </row>
    <row r="211" spans="70:74" x14ac:dyDescent="0.25">
      <c r="BR211" s="87"/>
      <c r="BS211" s="87"/>
      <c r="BT211" s="87"/>
      <c r="BU211" s="87"/>
      <c r="BV211" s="87"/>
    </row>
    <row r="212" spans="70:74" x14ac:dyDescent="0.25">
      <c r="BR212" s="87"/>
      <c r="BS212" s="87"/>
      <c r="BT212" s="87"/>
      <c r="BU212" s="87"/>
      <c r="BV212" s="87"/>
    </row>
    <row r="213" spans="70:74" x14ac:dyDescent="0.25">
      <c r="BR213" s="87"/>
      <c r="BS213" s="87"/>
      <c r="BT213" s="87"/>
      <c r="BU213" s="87"/>
      <c r="BV213" s="87"/>
    </row>
    <row r="214" spans="70:74" x14ac:dyDescent="0.25">
      <c r="BR214" s="87"/>
      <c r="BS214" s="87"/>
      <c r="BT214" s="87"/>
      <c r="BU214" s="87"/>
      <c r="BV214" s="87"/>
    </row>
    <row r="215" spans="70:74" x14ac:dyDescent="0.25">
      <c r="BR215" s="87"/>
      <c r="BS215" s="87"/>
      <c r="BT215" s="87"/>
      <c r="BU215" s="87"/>
      <c r="BV215" s="87"/>
    </row>
    <row r="216" spans="70:74" x14ac:dyDescent="0.25">
      <c r="BR216" s="87"/>
      <c r="BS216" s="87"/>
      <c r="BT216" s="87"/>
      <c r="BU216" s="87"/>
      <c r="BV216" s="87"/>
    </row>
    <row r="217" spans="70:74" x14ac:dyDescent="0.25">
      <c r="BR217" s="87"/>
      <c r="BS217" s="87"/>
      <c r="BT217" s="87"/>
      <c r="BU217" s="87"/>
      <c r="BV217" s="87"/>
    </row>
    <row r="218" spans="70:74" x14ac:dyDescent="0.25">
      <c r="BR218" s="87"/>
      <c r="BS218" s="87"/>
      <c r="BT218" s="87"/>
      <c r="BU218" s="87"/>
      <c r="BV218" s="87"/>
    </row>
    <row r="219" spans="70:74" x14ac:dyDescent="0.25">
      <c r="BR219" s="87"/>
      <c r="BS219" s="87"/>
      <c r="BT219" s="87"/>
      <c r="BU219" s="87"/>
      <c r="BV219" s="87"/>
    </row>
    <row r="220" spans="70:74" x14ac:dyDescent="0.25">
      <c r="BR220" s="87"/>
      <c r="BS220" s="87"/>
      <c r="BT220" s="87"/>
      <c r="BU220" s="87"/>
      <c r="BV220" s="87"/>
    </row>
    <row r="221" spans="70:74" x14ac:dyDescent="0.25">
      <c r="BR221" s="87"/>
      <c r="BS221" s="87"/>
      <c r="BT221" s="87"/>
      <c r="BU221" s="87"/>
      <c r="BV221" s="87"/>
    </row>
    <row r="222" spans="70:74" x14ac:dyDescent="0.25">
      <c r="BR222" s="87"/>
      <c r="BS222" s="87"/>
      <c r="BT222" s="87"/>
      <c r="BU222" s="87"/>
      <c r="BV222" s="87"/>
    </row>
    <row r="223" spans="70:74" x14ac:dyDescent="0.25">
      <c r="BR223" s="87"/>
      <c r="BS223" s="87"/>
      <c r="BT223" s="87"/>
      <c r="BU223" s="87"/>
      <c r="BV223" s="87"/>
    </row>
    <row r="224" spans="70:74" x14ac:dyDescent="0.25">
      <c r="BR224" s="87"/>
      <c r="BS224" s="87"/>
      <c r="BT224" s="87"/>
      <c r="BU224" s="87"/>
      <c r="BV224" s="87"/>
    </row>
    <row r="225" spans="70:74" x14ac:dyDescent="0.25">
      <c r="BR225" s="87"/>
      <c r="BS225" s="87"/>
      <c r="BT225" s="87"/>
      <c r="BU225" s="87"/>
      <c r="BV225" s="87"/>
    </row>
    <row r="226" spans="70:74" x14ac:dyDescent="0.25">
      <c r="BR226" s="87"/>
      <c r="BS226" s="87"/>
      <c r="BT226" s="87"/>
      <c r="BU226" s="87"/>
      <c r="BV226" s="87"/>
    </row>
    <row r="227" spans="70:74" x14ac:dyDescent="0.25">
      <c r="BR227" s="87"/>
      <c r="BS227" s="87"/>
      <c r="BT227" s="87"/>
      <c r="BU227" s="87"/>
      <c r="BV227" s="87"/>
    </row>
    <row r="228" spans="70:74" x14ac:dyDescent="0.25">
      <c r="BR228" s="87"/>
      <c r="BS228" s="87"/>
      <c r="BT228" s="87"/>
      <c r="BU228" s="87"/>
      <c r="BV228" s="87"/>
    </row>
    <row r="229" spans="70:74" x14ac:dyDescent="0.25">
      <c r="BR229" s="87"/>
      <c r="BS229" s="87"/>
      <c r="BT229" s="87"/>
      <c r="BU229" s="87"/>
      <c r="BV229" s="87"/>
    </row>
    <row r="230" spans="70:74" x14ac:dyDescent="0.25">
      <c r="BR230" s="87"/>
      <c r="BS230" s="87"/>
      <c r="BT230" s="87"/>
      <c r="BU230" s="87"/>
      <c r="BV230" s="87"/>
    </row>
    <row r="231" spans="70:74" x14ac:dyDescent="0.25">
      <c r="BR231" s="87"/>
      <c r="BS231" s="87"/>
      <c r="BT231" s="87"/>
      <c r="BU231" s="87"/>
      <c r="BV231" s="87"/>
    </row>
    <row r="232" spans="70:74" x14ac:dyDescent="0.25">
      <c r="BR232" s="87"/>
      <c r="BS232" s="87"/>
      <c r="BT232" s="87"/>
      <c r="BU232" s="87"/>
      <c r="BV232" s="87"/>
    </row>
    <row r="233" spans="70:74" x14ac:dyDescent="0.25">
      <c r="BR233" s="87"/>
      <c r="BS233" s="87"/>
      <c r="BT233" s="87"/>
      <c r="BU233" s="87"/>
      <c r="BV233" s="87"/>
    </row>
    <row r="234" spans="70:74" x14ac:dyDescent="0.25">
      <c r="BR234" s="87"/>
      <c r="BS234" s="87"/>
      <c r="BT234" s="87"/>
      <c r="BU234" s="87"/>
      <c r="BV234" s="87"/>
    </row>
    <row r="235" spans="70:74" x14ac:dyDescent="0.25">
      <c r="BR235" s="87"/>
      <c r="BS235" s="87"/>
      <c r="BT235" s="87"/>
      <c r="BU235" s="87"/>
      <c r="BV235" s="87"/>
    </row>
    <row r="236" spans="70:74" x14ac:dyDescent="0.25">
      <c r="BR236" s="87"/>
      <c r="BS236" s="87"/>
      <c r="BT236" s="87"/>
      <c r="BU236" s="87"/>
      <c r="BV236" s="87"/>
    </row>
    <row r="237" spans="70:74" x14ac:dyDescent="0.25">
      <c r="BR237" s="87"/>
      <c r="BS237" s="87"/>
      <c r="BT237" s="87"/>
      <c r="BU237" s="87"/>
      <c r="BV237" s="87"/>
    </row>
    <row r="238" spans="70:74" x14ac:dyDescent="0.25">
      <c r="BR238" s="87"/>
      <c r="BS238" s="87"/>
      <c r="BT238" s="87"/>
      <c r="BU238" s="87"/>
      <c r="BV238" s="87"/>
    </row>
    <row r="239" spans="70:74" x14ac:dyDescent="0.25">
      <c r="BR239" s="87"/>
      <c r="BS239" s="87"/>
      <c r="BT239" s="87"/>
      <c r="BU239" s="87"/>
      <c r="BV239" s="87"/>
    </row>
    <row r="240" spans="70:74" x14ac:dyDescent="0.25">
      <c r="BR240" s="87"/>
      <c r="BS240" s="87"/>
      <c r="BT240" s="87"/>
      <c r="BU240" s="87"/>
      <c r="BV240" s="87"/>
    </row>
    <row r="241" spans="70:74" x14ac:dyDescent="0.25">
      <c r="BR241" s="87"/>
      <c r="BS241" s="87"/>
      <c r="BT241" s="87"/>
      <c r="BU241" s="87"/>
      <c r="BV241" s="87"/>
    </row>
    <row r="242" spans="70:74" x14ac:dyDescent="0.25">
      <c r="BR242" s="87"/>
      <c r="BS242" s="87"/>
      <c r="BT242" s="87"/>
      <c r="BU242" s="87"/>
      <c r="BV242" s="87"/>
    </row>
    <row r="243" spans="70:74" x14ac:dyDescent="0.25">
      <c r="BR243" s="87"/>
      <c r="BS243" s="87"/>
      <c r="BT243" s="87"/>
      <c r="BU243" s="87"/>
      <c r="BV243" s="87"/>
    </row>
    <row r="244" spans="70:74" x14ac:dyDescent="0.25">
      <c r="BR244" s="87"/>
      <c r="BS244" s="87"/>
      <c r="BT244" s="87"/>
      <c r="BU244" s="87"/>
      <c r="BV244" s="87"/>
    </row>
    <row r="245" spans="70:74" x14ac:dyDescent="0.25">
      <c r="BR245" s="87"/>
      <c r="BS245" s="87"/>
      <c r="BT245" s="87"/>
      <c r="BU245" s="87"/>
      <c r="BV245" s="87"/>
    </row>
    <row r="246" spans="70:74" x14ac:dyDescent="0.25">
      <c r="BR246" s="87"/>
      <c r="BS246" s="87"/>
      <c r="BT246" s="87"/>
      <c r="BU246" s="87"/>
      <c r="BV246" s="87"/>
    </row>
    <row r="247" spans="70:74" x14ac:dyDescent="0.25">
      <c r="BR247" s="87"/>
      <c r="BS247" s="87"/>
      <c r="BT247" s="87"/>
      <c r="BU247" s="87"/>
      <c r="BV247" s="87"/>
    </row>
    <row r="248" spans="70:74" x14ac:dyDescent="0.25">
      <c r="BR248" s="87"/>
      <c r="BS248" s="87"/>
      <c r="BT248" s="87"/>
      <c r="BU248" s="87"/>
      <c r="BV248" s="87"/>
    </row>
    <row r="249" spans="70:74" x14ac:dyDescent="0.25">
      <c r="BR249" s="87"/>
      <c r="BS249" s="87"/>
      <c r="BT249" s="87"/>
      <c r="BU249" s="87"/>
      <c r="BV249" s="87"/>
    </row>
    <row r="250" spans="70:74" x14ac:dyDescent="0.25">
      <c r="BR250" s="87"/>
      <c r="BS250" s="87"/>
      <c r="BT250" s="87"/>
      <c r="BU250" s="87"/>
      <c r="BV250" s="87"/>
    </row>
    <row r="251" spans="70:74" x14ac:dyDescent="0.25">
      <c r="BR251" s="87"/>
      <c r="BS251" s="87"/>
      <c r="BT251" s="87"/>
      <c r="BU251" s="87"/>
      <c r="BV251" s="87"/>
    </row>
    <row r="252" spans="70:74" x14ac:dyDescent="0.25">
      <c r="BR252" s="87"/>
      <c r="BS252" s="87"/>
      <c r="BT252" s="87"/>
      <c r="BU252" s="87"/>
      <c r="BV252" s="87"/>
    </row>
    <row r="253" spans="70:74" x14ac:dyDescent="0.25">
      <c r="BR253" s="87"/>
      <c r="BS253" s="87"/>
      <c r="BT253" s="87"/>
      <c r="BU253" s="87"/>
      <c r="BV253" s="87"/>
    </row>
    <row r="254" spans="70:74" x14ac:dyDescent="0.25">
      <c r="BR254" s="87"/>
      <c r="BS254" s="87"/>
      <c r="BT254" s="87"/>
      <c r="BU254" s="87"/>
      <c r="BV254" s="87"/>
    </row>
    <row r="255" spans="70:74" x14ac:dyDescent="0.25">
      <c r="BR255" s="87"/>
      <c r="BS255" s="87"/>
      <c r="BT255" s="87"/>
      <c r="BU255" s="87"/>
      <c r="BV255" s="87"/>
    </row>
    <row r="256" spans="70:74" x14ac:dyDescent="0.25">
      <c r="BR256" s="87"/>
      <c r="BS256" s="87"/>
      <c r="BT256" s="87"/>
      <c r="BU256" s="87"/>
      <c r="BV256" s="87"/>
    </row>
    <row r="257" spans="70:74" x14ac:dyDescent="0.25">
      <c r="BR257" s="87"/>
      <c r="BS257" s="87"/>
      <c r="BT257" s="87"/>
      <c r="BU257" s="87"/>
      <c r="BV257" s="87"/>
    </row>
    <row r="258" spans="70:74" x14ac:dyDescent="0.25">
      <c r="BR258" s="87"/>
      <c r="BS258" s="87"/>
      <c r="BT258" s="87"/>
      <c r="BU258" s="87"/>
      <c r="BV258" s="87"/>
    </row>
    <row r="259" spans="70:74" x14ac:dyDescent="0.25">
      <c r="BR259" s="87"/>
      <c r="BS259" s="87"/>
      <c r="BT259" s="87"/>
      <c r="BU259" s="87"/>
      <c r="BV259" s="87"/>
    </row>
    <row r="260" spans="70:74" x14ac:dyDescent="0.25">
      <c r="BR260" s="87"/>
      <c r="BS260" s="87"/>
      <c r="BT260" s="87"/>
      <c r="BU260" s="87"/>
      <c r="BV260" s="87"/>
    </row>
    <row r="261" spans="70:74" x14ac:dyDescent="0.25">
      <c r="BR261" s="87"/>
      <c r="BS261" s="87"/>
      <c r="BT261" s="87"/>
      <c r="BU261" s="87"/>
      <c r="BV261" s="87"/>
    </row>
    <row r="262" spans="70:74" x14ac:dyDescent="0.25">
      <c r="BR262" s="87"/>
      <c r="BS262" s="87"/>
      <c r="BT262" s="87"/>
      <c r="BU262" s="87"/>
      <c r="BV262" s="87"/>
    </row>
    <row r="263" spans="70:74" x14ac:dyDescent="0.25">
      <c r="BR263" s="87"/>
      <c r="BS263" s="87"/>
      <c r="BT263" s="87"/>
      <c r="BU263" s="87"/>
      <c r="BV263" s="87"/>
    </row>
    <row r="264" spans="70:74" x14ac:dyDescent="0.25">
      <c r="BR264" s="87"/>
      <c r="BS264" s="87"/>
      <c r="BT264" s="87"/>
      <c r="BU264" s="87"/>
      <c r="BV264" s="87"/>
    </row>
    <row r="265" spans="70:74" x14ac:dyDescent="0.25">
      <c r="BR265" s="87"/>
      <c r="BS265" s="87"/>
      <c r="BT265" s="87"/>
      <c r="BU265" s="87"/>
      <c r="BV265" s="87"/>
    </row>
    <row r="266" spans="70:74" x14ac:dyDescent="0.25">
      <c r="BR266" s="87"/>
      <c r="BS266" s="87"/>
      <c r="BT266" s="87"/>
      <c r="BU266" s="87"/>
      <c r="BV266" s="87"/>
    </row>
    <row r="267" spans="70:74" x14ac:dyDescent="0.25">
      <c r="BR267" s="87"/>
      <c r="BS267" s="87"/>
      <c r="BT267" s="87"/>
      <c r="BU267" s="87"/>
      <c r="BV267" s="87"/>
    </row>
    <row r="268" spans="70:74" x14ac:dyDescent="0.25">
      <c r="BR268" s="87"/>
      <c r="BS268" s="87"/>
      <c r="BT268" s="87"/>
      <c r="BU268" s="87"/>
      <c r="BV268" s="87"/>
    </row>
    <row r="269" spans="70:74" x14ac:dyDescent="0.25">
      <c r="BR269" s="87"/>
      <c r="BS269" s="87"/>
      <c r="BT269" s="87"/>
      <c r="BU269" s="87"/>
      <c r="BV269" s="87"/>
    </row>
    <row r="270" spans="70:74" x14ac:dyDescent="0.25">
      <c r="BR270" s="87"/>
      <c r="BS270" s="87"/>
      <c r="BT270" s="87"/>
      <c r="BU270" s="87"/>
      <c r="BV270" s="87"/>
    </row>
    <row r="271" spans="70:74" x14ac:dyDescent="0.25">
      <c r="BR271" s="87"/>
      <c r="BS271" s="87"/>
      <c r="BT271" s="87"/>
      <c r="BU271" s="87"/>
      <c r="BV271" s="87"/>
    </row>
    <row r="272" spans="70:74" x14ac:dyDescent="0.25">
      <c r="BR272" s="87"/>
      <c r="BS272" s="87"/>
      <c r="BT272" s="87"/>
      <c r="BU272" s="87"/>
      <c r="BV272" s="87"/>
    </row>
    <row r="273" spans="70:74" x14ac:dyDescent="0.25">
      <c r="BR273" s="87"/>
      <c r="BS273" s="87"/>
      <c r="BT273" s="87"/>
      <c r="BU273" s="87"/>
      <c r="BV273" s="87"/>
    </row>
    <row r="274" spans="70:74" x14ac:dyDescent="0.25">
      <c r="BR274" s="87"/>
      <c r="BS274" s="87"/>
      <c r="BT274" s="87"/>
      <c r="BU274" s="87"/>
      <c r="BV274" s="87"/>
    </row>
    <row r="275" spans="70:74" x14ac:dyDescent="0.25">
      <c r="BR275" s="87"/>
      <c r="BS275" s="87"/>
      <c r="BT275" s="87"/>
      <c r="BU275" s="87"/>
      <c r="BV275" s="87"/>
    </row>
    <row r="276" spans="70:74" x14ac:dyDescent="0.25">
      <c r="BR276" s="87"/>
      <c r="BS276" s="87"/>
      <c r="BT276" s="87"/>
      <c r="BU276" s="87"/>
      <c r="BV276" s="87"/>
    </row>
    <row r="277" spans="70:74" x14ac:dyDescent="0.25">
      <c r="BR277" s="87"/>
      <c r="BS277" s="87"/>
      <c r="BT277" s="87"/>
      <c r="BU277" s="87"/>
      <c r="BV277" s="87"/>
    </row>
    <row r="278" spans="70:74" x14ac:dyDescent="0.25">
      <c r="BR278" s="87"/>
      <c r="BS278" s="87"/>
      <c r="BT278" s="87"/>
      <c r="BU278" s="87"/>
      <c r="BV278" s="87"/>
    </row>
    <row r="279" spans="70:74" x14ac:dyDescent="0.25">
      <c r="BR279" s="87"/>
      <c r="BS279" s="87"/>
      <c r="BT279" s="87"/>
      <c r="BU279" s="87"/>
      <c r="BV279" s="87"/>
    </row>
    <row r="280" spans="70:74" x14ac:dyDescent="0.25">
      <c r="BR280" s="87"/>
      <c r="BS280" s="87"/>
      <c r="BT280" s="87"/>
      <c r="BU280" s="87"/>
      <c r="BV280" s="87"/>
    </row>
    <row r="281" spans="70:74" x14ac:dyDescent="0.25">
      <c r="BR281" s="87"/>
      <c r="BS281" s="87"/>
      <c r="BT281" s="87"/>
      <c r="BU281" s="87"/>
      <c r="BV281" s="87"/>
    </row>
    <row r="282" spans="70:74" x14ac:dyDescent="0.25">
      <c r="BR282" s="87"/>
      <c r="BS282" s="87"/>
      <c r="BT282" s="87"/>
      <c r="BU282" s="87"/>
      <c r="BV282" s="87"/>
    </row>
    <row r="283" spans="70:74" x14ac:dyDescent="0.25">
      <c r="BR283" s="87"/>
      <c r="BS283" s="87"/>
      <c r="BT283" s="87"/>
      <c r="BU283" s="87"/>
      <c r="BV283" s="87"/>
    </row>
    <row r="284" spans="70:74" x14ac:dyDescent="0.25">
      <c r="BR284" s="87"/>
      <c r="BS284" s="87"/>
      <c r="BT284" s="87"/>
      <c r="BU284" s="87"/>
      <c r="BV284" s="87"/>
    </row>
    <row r="285" spans="70:74" x14ac:dyDescent="0.25">
      <c r="BR285" s="87"/>
      <c r="BS285" s="87"/>
      <c r="BT285" s="87"/>
      <c r="BU285" s="87"/>
      <c r="BV285" s="87"/>
    </row>
    <row r="286" spans="70:74" x14ac:dyDescent="0.25">
      <c r="BR286" s="87"/>
      <c r="BS286" s="87"/>
      <c r="BT286" s="87"/>
      <c r="BU286" s="87"/>
      <c r="BV286" s="87"/>
    </row>
    <row r="287" spans="70:74" x14ac:dyDescent="0.25">
      <c r="BR287" s="87"/>
      <c r="BS287" s="87"/>
      <c r="BT287" s="87"/>
      <c r="BU287" s="87"/>
      <c r="BV287" s="87"/>
    </row>
    <row r="288" spans="70:74" x14ac:dyDescent="0.25">
      <c r="BR288" s="87"/>
      <c r="BS288" s="87"/>
      <c r="BT288" s="87"/>
      <c r="BU288" s="87"/>
      <c r="BV288" s="87"/>
    </row>
    <row r="289" spans="70:74" x14ac:dyDescent="0.25">
      <c r="BR289" s="87"/>
      <c r="BS289" s="87"/>
      <c r="BT289" s="87"/>
      <c r="BU289" s="87"/>
      <c r="BV289" s="87"/>
    </row>
    <row r="290" spans="70:74" x14ac:dyDescent="0.25">
      <c r="BR290" s="87"/>
      <c r="BS290" s="87"/>
      <c r="BT290" s="87"/>
      <c r="BU290" s="87"/>
      <c r="BV290" s="87"/>
    </row>
    <row r="291" spans="70:74" x14ac:dyDescent="0.25">
      <c r="BR291" s="87"/>
      <c r="BS291" s="87"/>
      <c r="BT291" s="87"/>
      <c r="BU291" s="87"/>
      <c r="BV291" s="87"/>
    </row>
    <row r="292" spans="70:74" x14ac:dyDescent="0.25">
      <c r="BR292" s="87"/>
      <c r="BS292" s="87"/>
      <c r="BT292" s="87"/>
      <c r="BU292" s="87"/>
      <c r="BV292" s="87"/>
    </row>
    <row r="293" spans="70:74" x14ac:dyDescent="0.25">
      <c r="BR293" s="87"/>
      <c r="BS293" s="87"/>
      <c r="BT293" s="87"/>
      <c r="BU293" s="87"/>
      <c r="BV293" s="87"/>
    </row>
    <row r="294" spans="70:74" x14ac:dyDescent="0.25">
      <c r="BR294" s="87"/>
      <c r="BS294" s="87"/>
      <c r="BT294" s="87"/>
      <c r="BU294" s="87"/>
      <c r="BV294" s="87"/>
    </row>
    <row r="295" spans="70:74" x14ac:dyDescent="0.25">
      <c r="BR295" s="87"/>
      <c r="BS295" s="87"/>
      <c r="BT295" s="87"/>
      <c r="BU295" s="87"/>
      <c r="BV295" s="87"/>
    </row>
    <row r="296" spans="70:74" x14ac:dyDescent="0.25">
      <c r="BR296" s="87"/>
      <c r="BS296" s="87"/>
      <c r="BT296" s="87"/>
      <c r="BU296" s="87"/>
      <c r="BV296" s="87"/>
    </row>
    <row r="297" spans="70:74" x14ac:dyDescent="0.25">
      <c r="BR297" s="87"/>
      <c r="BS297" s="87"/>
      <c r="BT297" s="87"/>
      <c r="BU297" s="87"/>
      <c r="BV297" s="87"/>
    </row>
    <row r="298" spans="70:74" x14ac:dyDescent="0.25">
      <c r="BR298" s="87"/>
      <c r="BS298" s="87"/>
      <c r="BT298" s="87"/>
      <c r="BU298" s="87"/>
      <c r="BV298" s="87"/>
    </row>
    <row r="299" spans="70:74" x14ac:dyDescent="0.25">
      <c r="BR299" s="87"/>
      <c r="BS299" s="87"/>
      <c r="BT299" s="87"/>
      <c r="BU299" s="87"/>
      <c r="BV299" s="87"/>
    </row>
    <row r="300" spans="70:74" x14ac:dyDescent="0.25">
      <c r="BR300" s="87"/>
      <c r="BS300" s="87"/>
      <c r="BT300" s="87"/>
      <c r="BU300" s="87"/>
      <c r="BV300" s="87"/>
    </row>
    <row r="301" spans="70:74" x14ac:dyDescent="0.25">
      <c r="BR301" s="87"/>
      <c r="BS301" s="87"/>
      <c r="BT301" s="87"/>
      <c r="BU301" s="87"/>
      <c r="BV301" s="87"/>
    </row>
    <row r="302" spans="70:74" x14ac:dyDescent="0.25">
      <c r="BR302" s="87"/>
      <c r="BS302" s="87"/>
      <c r="BT302" s="87"/>
      <c r="BU302" s="87"/>
      <c r="BV302" s="87"/>
    </row>
    <row r="303" spans="70:74" x14ac:dyDescent="0.25">
      <c r="BR303" s="87"/>
      <c r="BS303" s="87"/>
      <c r="BT303" s="87"/>
      <c r="BU303" s="87"/>
      <c r="BV303" s="87"/>
    </row>
    <row r="304" spans="70:74" x14ac:dyDescent="0.25">
      <c r="BR304" s="87"/>
      <c r="BS304" s="87"/>
      <c r="BT304" s="87"/>
      <c r="BU304" s="87"/>
      <c r="BV304" s="87"/>
    </row>
    <row r="305" spans="70:74" x14ac:dyDescent="0.25">
      <c r="BR305" s="87"/>
      <c r="BS305" s="87"/>
      <c r="BT305" s="87"/>
      <c r="BU305" s="87"/>
      <c r="BV305" s="87"/>
    </row>
    <row r="306" spans="70:74" x14ac:dyDescent="0.25">
      <c r="BR306" s="87"/>
      <c r="BS306" s="87"/>
      <c r="BT306" s="87"/>
      <c r="BU306" s="87"/>
      <c r="BV306" s="87"/>
    </row>
    <row r="307" spans="70:74" x14ac:dyDescent="0.25">
      <c r="BR307" s="87"/>
      <c r="BS307" s="87"/>
      <c r="BT307" s="87"/>
      <c r="BU307" s="87"/>
      <c r="BV307" s="87"/>
    </row>
    <row r="308" spans="70:74" x14ac:dyDescent="0.25">
      <c r="BR308" s="87"/>
      <c r="BS308" s="87"/>
      <c r="BT308" s="87"/>
      <c r="BU308" s="87"/>
      <c r="BV308" s="87"/>
    </row>
    <row r="309" spans="70:74" x14ac:dyDescent="0.25">
      <c r="BR309" s="87"/>
      <c r="BS309" s="87"/>
      <c r="BT309" s="87"/>
      <c r="BU309" s="87"/>
      <c r="BV309" s="87"/>
    </row>
    <row r="310" spans="70:74" x14ac:dyDescent="0.25">
      <c r="BR310" s="87"/>
      <c r="BS310" s="87"/>
      <c r="BT310" s="87"/>
      <c r="BU310" s="87"/>
      <c r="BV310" s="87"/>
    </row>
    <row r="311" spans="70:74" x14ac:dyDescent="0.25">
      <c r="BR311" s="87"/>
      <c r="BS311" s="87"/>
      <c r="BT311" s="87"/>
      <c r="BU311" s="87"/>
      <c r="BV311" s="87"/>
    </row>
    <row r="312" spans="70:74" x14ac:dyDescent="0.25">
      <c r="BR312" s="87"/>
      <c r="BS312" s="87"/>
      <c r="BT312" s="87"/>
      <c r="BU312" s="87"/>
      <c r="BV312" s="87"/>
    </row>
    <row r="313" spans="70:74" x14ac:dyDescent="0.25">
      <c r="BR313" s="87"/>
      <c r="BS313" s="87"/>
      <c r="BT313" s="87"/>
      <c r="BU313" s="87"/>
      <c r="BV313" s="87"/>
    </row>
    <row r="314" spans="70:74" x14ac:dyDescent="0.25">
      <c r="BR314" s="87"/>
      <c r="BS314" s="87"/>
      <c r="BT314" s="87"/>
      <c r="BU314" s="87"/>
      <c r="BV314" s="87"/>
    </row>
    <row r="315" spans="70:74" x14ac:dyDescent="0.25">
      <c r="BR315" s="87"/>
      <c r="BS315" s="87"/>
      <c r="BT315" s="87"/>
      <c r="BU315" s="87"/>
      <c r="BV315" s="87"/>
    </row>
    <row r="316" spans="70:74" x14ac:dyDescent="0.25">
      <c r="BR316" s="87"/>
      <c r="BS316" s="87"/>
      <c r="BT316" s="87"/>
      <c r="BU316" s="87"/>
      <c r="BV316" s="87"/>
    </row>
    <row r="317" spans="70:74" x14ac:dyDescent="0.25">
      <c r="BR317" s="87"/>
      <c r="BS317" s="87"/>
      <c r="BT317" s="87"/>
      <c r="BU317" s="87"/>
      <c r="BV317" s="87"/>
    </row>
    <row r="318" spans="70:74" x14ac:dyDescent="0.25">
      <c r="BR318" s="87"/>
      <c r="BS318" s="87"/>
      <c r="BT318" s="87"/>
      <c r="BU318" s="87"/>
      <c r="BV318" s="87"/>
    </row>
    <row r="319" spans="70:74" x14ac:dyDescent="0.25">
      <c r="BR319" s="87"/>
      <c r="BS319" s="87"/>
      <c r="BT319" s="87"/>
      <c r="BU319" s="87"/>
      <c r="BV319" s="87"/>
    </row>
    <row r="320" spans="70:74" x14ac:dyDescent="0.25">
      <c r="BR320" s="87"/>
      <c r="BS320" s="87"/>
      <c r="BT320" s="87"/>
      <c r="BU320" s="87"/>
      <c r="BV320" s="87"/>
    </row>
    <row r="321" spans="70:74" x14ac:dyDescent="0.25">
      <c r="BR321" s="87"/>
      <c r="BS321" s="87"/>
      <c r="BT321" s="87"/>
      <c r="BU321" s="87"/>
      <c r="BV321" s="87"/>
    </row>
    <row r="322" spans="70:74" x14ac:dyDescent="0.25">
      <c r="BR322" s="87"/>
      <c r="BS322" s="87"/>
      <c r="BT322" s="87"/>
      <c r="BU322" s="87"/>
      <c r="BV322" s="87"/>
    </row>
    <row r="323" spans="70:74" x14ac:dyDescent="0.25">
      <c r="BR323" s="87"/>
      <c r="BS323" s="87"/>
      <c r="BT323" s="87"/>
      <c r="BU323" s="87"/>
      <c r="BV323" s="87"/>
    </row>
    <row r="324" spans="70:74" x14ac:dyDescent="0.25">
      <c r="BR324" s="87"/>
      <c r="BS324" s="87"/>
      <c r="BT324" s="87"/>
      <c r="BU324" s="87"/>
      <c r="BV324" s="87"/>
    </row>
    <row r="325" spans="70:74" x14ac:dyDescent="0.25">
      <c r="BR325" s="87"/>
      <c r="BS325" s="87"/>
      <c r="BT325" s="87"/>
      <c r="BU325" s="87"/>
      <c r="BV325" s="87"/>
    </row>
    <row r="326" spans="70:74" x14ac:dyDescent="0.25">
      <c r="BR326" s="87"/>
      <c r="BS326" s="87"/>
      <c r="BT326" s="87"/>
      <c r="BU326" s="87"/>
      <c r="BV326" s="87"/>
    </row>
    <row r="327" spans="70:74" x14ac:dyDescent="0.25">
      <c r="BR327" s="87"/>
      <c r="BS327" s="87"/>
      <c r="BT327" s="87"/>
      <c r="BU327" s="87"/>
      <c r="BV327" s="87"/>
    </row>
    <row r="328" spans="70:74" x14ac:dyDescent="0.25">
      <c r="BR328" s="87"/>
      <c r="BS328" s="87"/>
      <c r="BT328" s="87"/>
      <c r="BU328" s="87"/>
      <c r="BV328" s="87"/>
    </row>
    <row r="329" spans="70:74" x14ac:dyDescent="0.25">
      <c r="BR329" s="87"/>
      <c r="BS329" s="87"/>
      <c r="BT329" s="87"/>
      <c r="BU329" s="87"/>
      <c r="BV329" s="87"/>
    </row>
    <row r="330" spans="70:74" x14ac:dyDescent="0.25">
      <c r="BR330" s="87"/>
      <c r="BS330" s="87"/>
      <c r="BT330" s="87"/>
      <c r="BU330" s="87"/>
      <c r="BV330" s="87"/>
    </row>
    <row r="331" spans="70:74" x14ac:dyDescent="0.25">
      <c r="BR331" s="87"/>
      <c r="BS331" s="87"/>
      <c r="BT331" s="87"/>
      <c r="BU331" s="87"/>
      <c r="BV331" s="87"/>
    </row>
    <row r="332" spans="70:74" x14ac:dyDescent="0.25">
      <c r="BR332" s="87"/>
      <c r="BS332" s="87"/>
      <c r="BT332" s="87"/>
      <c r="BU332" s="87"/>
      <c r="BV332" s="87"/>
    </row>
    <row r="333" spans="70:74" x14ac:dyDescent="0.25">
      <c r="BR333" s="87"/>
      <c r="BS333" s="87"/>
      <c r="BT333" s="87"/>
      <c r="BU333" s="87"/>
      <c r="BV333" s="87"/>
    </row>
    <row r="334" spans="70:74" x14ac:dyDescent="0.25">
      <c r="BR334" s="87"/>
      <c r="BS334" s="87"/>
      <c r="BT334" s="87"/>
      <c r="BU334" s="87"/>
      <c r="BV334" s="87"/>
    </row>
    <row r="335" spans="70:74" x14ac:dyDescent="0.25">
      <c r="BR335" s="87"/>
      <c r="BS335" s="87"/>
      <c r="BT335" s="87"/>
      <c r="BU335" s="87"/>
      <c r="BV335" s="87"/>
    </row>
    <row r="336" spans="70:74" x14ac:dyDescent="0.25">
      <c r="BR336" s="87"/>
      <c r="BS336" s="87"/>
      <c r="BT336" s="87"/>
      <c r="BU336" s="87"/>
      <c r="BV336" s="87"/>
    </row>
    <row r="337" spans="70:74" x14ac:dyDescent="0.25">
      <c r="BR337" s="87"/>
      <c r="BS337" s="87"/>
      <c r="BT337" s="87"/>
      <c r="BU337" s="87"/>
      <c r="BV337" s="87"/>
    </row>
    <row r="338" spans="70:74" x14ac:dyDescent="0.25">
      <c r="BR338" s="87"/>
      <c r="BS338" s="87"/>
      <c r="BT338" s="87"/>
      <c r="BU338" s="87"/>
      <c r="BV338" s="87"/>
    </row>
    <row r="339" spans="70:74" x14ac:dyDescent="0.25">
      <c r="BR339" s="87"/>
      <c r="BS339" s="87"/>
      <c r="BT339" s="87"/>
      <c r="BU339" s="87"/>
      <c r="BV339" s="87"/>
    </row>
    <row r="340" spans="70:74" x14ac:dyDescent="0.25">
      <c r="BR340" s="87"/>
      <c r="BS340" s="87"/>
      <c r="BT340" s="87"/>
      <c r="BU340" s="87"/>
      <c r="BV340" s="87"/>
    </row>
    <row r="341" spans="70:74" x14ac:dyDescent="0.25">
      <c r="BR341" s="87"/>
      <c r="BS341" s="87"/>
      <c r="BT341" s="87"/>
      <c r="BU341" s="87"/>
      <c r="BV341" s="87"/>
    </row>
    <row r="342" spans="70:74" x14ac:dyDescent="0.25">
      <c r="BR342" s="87"/>
      <c r="BS342" s="87"/>
      <c r="BT342" s="87"/>
      <c r="BU342" s="87"/>
      <c r="BV342" s="87"/>
    </row>
    <row r="343" spans="70:74" x14ac:dyDescent="0.25">
      <c r="BR343" s="87"/>
      <c r="BS343" s="87"/>
      <c r="BT343" s="87"/>
      <c r="BU343" s="87"/>
      <c r="BV343" s="87"/>
    </row>
    <row r="344" spans="70:74" x14ac:dyDescent="0.25">
      <c r="BR344" s="87"/>
      <c r="BS344" s="87"/>
      <c r="BT344" s="87"/>
      <c r="BU344" s="87"/>
      <c r="BV344" s="87"/>
    </row>
    <row r="345" spans="70:74" x14ac:dyDescent="0.25">
      <c r="BR345" s="87"/>
      <c r="BS345" s="87"/>
      <c r="BT345" s="87"/>
      <c r="BU345" s="87"/>
      <c r="BV345" s="87"/>
    </row>
    <row r="346" spans="70:74" x14ac:dyDescent="0.25">
      <c r="BR346" s="87"/>
      <c r="BS346" s="87"/>
      <c r="BT346" s="87"/>
      <c r="BU346" s="87"/>
      <c r="BV346" s="87"/>
    </row>
    <row r="347" spans="70:74" x14ac:dyDescent="0.25">
      <c r="BR347" s="87"/>
      <c r="BS347" s="87"/>
      <c r="BT347" s="87"/>
      <c r="BU347" s="87"/>
      <c r="BV347" s="87"/>
    </row>
    <row r="348" spans="70:74" x14ac:dyDescent="0.25">
      <c r="BR348" s="87"/>
      <c r="BS348" s="87"/>
      <c r="BT348" s="87"/>
      <c r="BU348" s="87"/>
      <c r="BV348" s="87"/>
    </row>
    <row r="349" spans="70:74" x14ac:dyDescent="0.25">
      <c r="BR349" s="87"/>
      <c r="BS349" s="87"/>
      <c r="BT349" s="87"/>
      <c r="BU349" s="87"/>
      <c r="BV349" s="87"/>
    </row>
    <row r="350" spans="70:74" x14ac:dyDescent="0.25">
      <c r="BR350" s="87"/>
      <c r="BS350" s="87"/>
      <c r="BT350" s="87"/>
      <c r="BU350" s="87"/>
      <c r="BV350" s="87"/>
    </row>
    <row r="351" spans="70:74" x14ac:dyDescent="0.25">
      <c r="BR351" s="87"/>
      <c r="BS351" s="87"/>
      <c r="BT351" s="87"/>
      <c r="BU351" s="87"/>
      <c r="BV351" s="87"/>
    </row>
    <row r="352" spans="70:74" x14ac:dyDescent="0.25">
      <c r="BR352" s="87"/>
      <c r="BS352" s="87"/>
      <c r="BT352" s="87"/>
      <c r="BU352" s="87"/>
      <c r="BV352" s="87"/>
    </row>
    <row r="353" spans="70:74" x14ac:dyDescent="0.25">
      <c r="BR353" s="87"/>
      <c r="BS353" s="87"/>
      <c r="BT353" s="87"/>
      <c r="BU353" s="87"/>
      <c r="BV353" s="87"/>
    </row>
    <row r="354" spans="70:74" x14ac:dyDescent="0.25">
      <c r="BR354" s="87"/>
      <c r="BS354" s="87"/>
      <c r="BT354" s="87"/>
      <c r="BU354" s="87"/>
      <c r="BV354" s="87"/>
    </row>
    <row r="355" spans="70:74" x14ac:dyDescent="0.25">
      <c r="BR355" s="87"/>
      <c r="BS355" s="87"/>
      <c r="BT355" s="87"/>
      <c r="BU355" s="87"/>
      <c r="BV355" s="87"/>
    </row>
    <row r="356" spans="70:74" x14ac:dyDescent="0.25">
      <c r="BR356" s="87"/>
      <c r="BS356" s="87"/>
      <c r="BT356" s="87"/>
      <c r="BU356" s="87"/>
      <c r="BV356" s="87"/>
    </row>
    <row r="357" spans="70:74" x14ac:dyDescent="0.25">
      <c r="BR357" s="87"/>
      <c r="BS357" s="87"/>
      <c r="BT357" s="87"/>
      <c r="BU357" s="87"/>
      <c r="BV357" s="87"/>
    </row>
    <row r="358" spans="70:74" x14ac:dyDescent="0.25">
      <c r="BR358" s="87"/>
      <c r="BS358" s="87"/>
      <c r="BT358" s="87"/>
      <c r="BU358" s="87"/>
      <c r="BV358" s="87"/>
    </row>
    <row r="359" spans="70:74" x14ac:dyDescent="0.25">
      <c r="BR359" s="87"/>
      <c r="BS359" s="87"/>
      <c r="BT359" s="87"/>
      <c r="BU359" s="87"/>
      <c r="BV359" s="87"/>
    </row>
    <row r="360" spans="70:74" x14ac:dyDescent="0.25">
      <c r="BR360" s="87"/>
      <c r="BS360" s="87"/>
      <c r="BT360" s="87"/>
      <c r="BU360" s="87"/>
      <c r="BV360" s="87"/>
    </row>
    <row r="361" spans="70:74" x14ac:dyDescent="0.25">
      <c r="BR361" s="87"/>
      <c r="BS361" s="87"/>
      <c r="BT361" s="87"/>
      <c r="BU361" s="87"/>
      <c r="BV361" s="87"/>
    </row>
    <row r="362" spans="70:74" x14ac:dyDescent="0.25">
      <c r="BR362" s="87"/>
      <c r="BS362" s="87"/>
      <c r="BT362" s="87"/>
      <c r="BU362" s="87"/>
      <c r="BV362" s="87"/>
    </row>
    <row r="363" spans="70:74" x14ac:dyDescent="0.25">
      <c r="BR363" s="87"/>
      <c r="BS363" s="87"/>
      <c r="BT363" s="87"/>
      <c r="BU363" s="87"/>
      <c r="BV363" s="87"/>
    </row>
    <row r="364" spans="70:74" x14ac:dyDescent="0.25">
      <c r="BR364" s="87"/>
      <c r="BS364" s="87"/>
      <c r="BT364" s="87"/>
      <c r="BU364" s="87"/>
      <c r="BV364" s="87"/>
    </row>
    <row r="365" spans="70:74" x14ac:dyDescent="0.25">
      <c r="BR365" s="87"/>
      <c r="BS365" s="87"/>
      <c r="BT365" s="87"/>
      <c r="BU365" s="87"/>
      <c r="BV365" s="87"/>
    </row>
    <row r="366" spans="70:74" x14ac:dyDescent="0.25">
      <c r="BR366" s="87"/>
      <c r="BS366" s="87"/>
      <c r="BT366" s="87"/>
      <c r="BU366" s="87"/>
      <c r="BV366" s="87"/>
    </row>
    <row r="367" spans="70:74" x14ac:dyDescent="0.25">
      <c r="BR367" s="87"/>
      <c r="BS367" s="87"/>
      <c r="BT367" s="87"/>
      <c r="BU367" s="87"/>
      <c r="BV367" s="87"/>
    </row>
    <row r="368" spans="70:74" x14ac:dyDescent="0.25">
      <c r="BR368" s="87"/>
      <c r="BS368" s="87"/>
      <c r="BT368" s="87"/>
      <c r="BU368" s="87"/>
      <c r="BV368" s="87"/>
    </row>
    <row r="369" spans="70:74" x14ac:dyDescent="0.25">
      <c r="BR369" s="87"/>
      <c r="BS369" s="87"/>
      <c r="BT369" s="87"/>
      <c r="BU369" s="87"/>
      <c r="BV369" s="87"/>
    </row>
    <row r="370" spans="70:74" x14ac:dyDescent="0.25">
      <c r="BR370" s="87"/>
      <c r="BS370" s="87"/>
      <c r="BT370" s="87"/>
      <c r="BU370" s="87"/>
      <c r="BV370" s="87"/>
    </row>
    <row r="371" spans="70:74" x14ac:dyDescent="0.25">
      <c r="BR371" s="87"/>
      <c r="BS371" s="87"/>
      <c r="BT371" s="87"/>
      <c r="BU371" s="87"/>
      <c r="BV371" s="87"/>
    </row>
    <row r="372" spans="70:74" x14ac:dyDescent="0.25">
      <c r="BR372" s="87"/>
      <c r="BS372" s="87"/>
      <c r="BT372" s="87"/>
      <c r="BU372" s="87"/>
      <c r="BV372" s="87"/>
    </row>
    <row r="373" spans="70:74" x14ac:dyDescent="0.25">
      <c r="BR373" s="87"/>
      <c r="BS373" s="87"/>
      <c r="BT373" s="87"/>
      <c r="BU373" s="87"/>
      <c r="BV373" s="87"/>
    </row>
    <row r="374" spans="70:74" x14ac:dyDescent="0.25">
      <c r="BR374" s="87"/>
      <c r="BS374" s="87"/>
      <c r="BT374" s="87"/>
      <c r="BU374" s="87"/>
      <c r="BV374" s="87"/>
    </row>
    <row r="375" spans="70:74" x14ac:dyDescent="0.25">
      <c r="BR375" s="87"/>
      <c r="BS375" s="87"/>
      <c r="BT375" s="87"/>
      <c r="BU375" s="87"/>
      <c r="BV375" s="87"/>
    </row>
    <row r="376" spans="70:74" x14ac:dyDescent="0.25">
      <c r="BR376" s="87"/>
      <c r="BS376" s="87"/>
      <c r="BT376" s="87"/>
      <c r="BU376" s="87"/>
      <c r="BV376" s="87"/>
    </row>
    <row r="377" spans="70:74" x14ac:dyDescent="0.25">
      <c r="BR377" s="87"/>
      <c r="BS377" s="87"/>
      <c r="BT377" s="87"/>
      <c r="BU377" s="87"/>
      <c r="BV377" s="87"/>
    </row>
    <row r="378" spans="70:74" x14ac:dyDescent="0.25">
      <c r="BR378" s="87"/>
      <c r="BS378" s="87"/>
      <c r="BT378" s="87"/>
      <c r="BU378" s="87"/>
      <c r="BV378" s="87"/>
    </row>
    <row r="379" spans="70:74" x14ac:dyDescent="0.25">
      <c r="BR379" s="87"/>
      <c r="BS379" s="87"/>
      <c r="BT379" s="87"/>
      <c r="BU379" s="87"/>
      <c r="BV379" s="87"/>
    </row>
    <row r="380" spans="70:74" x14ac:dyDescent="0.25">
      <c r="BR380" s="87"/>
      <c r="BS380" s="87"/>
      <c r="BT380" s="87"/>
      <c r="BU380" s="87"/>
      <c r="BV380" s="87"/>
    </row>
    <row r="381" spans="70:74" x14ac:dyDescent="0.25">
      <c r="BR381" s="87"/>
      <c r="BS381" s="87"/>
      <c r="BT381" s="87"/>
      <c r="BU381" s="87"/>
      <c r="BV381" s="87"/>
    </row>
    <row r="382" spans="70:74" x14ac:dyDescent="0.25">
      <c r="BR382" s="87"/>
      <c r="BS382" s="87"/>
      <c r="BT382" s="87"/>
      <c r="BU382" s="87"/>
      <c r="BV382" s="87"/>
    </row>
    <row r="383" spans="70:74" x14ac:dyDescent="0.25">
      <c r="BR383" s="87"/>
      <c r="BS383" s="87"/>
      <c r="BT383" s="87"/>
      <c r="BU383" s="87"/>
      <c r="BV383" s="87"/>
    </row>
    <row r="384" spans="70:74" x14ac:dyDescent="0.25">
      <c r="BR384" s="87"/>
      <c r="BS384" s="87"/>
      <c r="BT384" s="87"/>
      <c r="BU384" s="87"/>
      <c r="BV384" s="87"/>
    </row>
    <row r="385" spans="70:74" x14ac:dyDescent="0.25">
      <c r="BR385" s="87"/>
      <c r="BS385" s="87"/>
      <c r="BT385" s="87"/>
      <c r="BU385" s="87"/>
      <c r="BV385" s="87"/>
    </row>
    <row r="386" spans="70:74" x14ac:dyDescent="0.25">
      <c r="BR386" s="87"/>
      <c r="BS386" s="87"/>
      <c r="BT386" s="87"/>
      <c r="BU386" s="87"/>
      <c r="BV386" s="87"/>
    </row>
    <row r="387" spans="70:74" x14ac:dyDescent="0.25">
      <c r="BR387" s="87"/>
      <c r="BS387" s="87"/>
      <c r="BT387" s="87"/>
      <c r="BU387" s="87"/>
      <c r="BV387" s="87"/>
    </row>
    <row r="388" spans="70:74" x14ac:dyDescent="0.25">
      <c r="BR388" s="87"/>
      <c r="BS388" s="87"/>
      <c r="BT388" s="87"/>
      <c r="BU388" s="87"/>
      <c r="BV388" s="87"/>
    </row>
    <row r="389" spans="70:74" x14ac:dyDescent="0.25">
      <c r="BR389" s="87"/>
      <c r="BS389" s="87"/>
      <c r="BT389" s="87"/>
      <c r="BU389" s="87"/>
      <c r="BV389" s="87"/>
    </row>
    <row r="390" spans="70:74" x14ac:dyDescent="0.25">
      <c r="BR390" s="87"/>
      <c r="BS390" s="87"/>
      <c r="BT390" s="87"/>
      <c r="BU390" s="87"/>
      <c r="BV390" s="87"/>
    </row>
    <row r="391" spans="70:74" x14ac:dyDescent="0.25">
      <c r="BR391" s="87"/>
      <c r="BS391" s="87"/>
      <c r="BT391" s="87"/>
      <c r="BU391" s="87"/>
      <c r="BV391" s="87"/>
    </row>
    <row r="392" spans="70:74" x14ac:dyDescent="0.25">
      <c r="BR392" s="87"/>
      <c r="BS392" s="87"/>
      <c r="BT392" s="87"/>
      <c r="BU392" s="87"/>
      <c r="BV392" s="87"/>
    </row>
    <row r="393" spans="70:74" x14ac:dyDescent="0.25">
      <c r="BR393" s="87"/>
      <c r="BS393" s="87"/>
      <c r="BT393" s="87"/>
      <c r="BU393" s="87"/>
      <c r="BV393" s="87"/>
    </row>
    <row r="394" spans="70:74" x14ac:dyDescent="0.25">
      <c r="BR394" s="87"/>
      <c r="BS394" s="87"/>
      <c r="BT394" s="87"/>
      <c r="BU394" s="87"/>
      <c r="BV394" s="87"/>
    </row>
    <row r="395" spans="70:74" x14ac:dyDescent="0.25">
      <c r="BR395" s="87"/>
      <c r="BS395" s="87"/>
      <c r="BT395" s="87"/>
      <c r="BU395" s="87"/>
      <c r="BV395" s="87"/>
    </row>
    <row r="396" spans="70:74" x14ac:dyDescent="0.25">
      <c r="BR396" s="87"/>
      <c r="BS396" s="87"/>
      <c r="BT396" s="87"/>
      <c r="BU396" s="87"/>
      <c r="BV396" s="87"/>
    </row>
    <row r="397" spans="70:74" x14ac:dyDescent="0.25">
      <c r="BR397" s="87"/>
      <c r="BS397" s="87"/>
      <c r="BT397" s="87"/>
      <c r="BU397" s="87"/>
      <c r="BV397" s="87"/>
    </row>
    <row r="398" spans="70:74" x14ac:dyDescent="0.25">
      <c r="BR398" s="87"/>
      <c r="BS398" s="87"/>
      <c r="BT398" s="87"/>
      <c r="BU398" s="87"/>
      <c r="BV398" s="87"/>
    </row>
    <row r="399" spans="70:74" x14ac:dyDescent="0.25">
      <c r="BR399" s="87"/>
      <c r="BS399" s="87"/>
      <c r="BT399" s="87"/>
      <c r="BU399" s="87"/>
      <c r="BV399" s="87"/>
    </row>
    <row r="400" spans="70:74" x14ac:dyDescent="0.25">
      <c r="BR400" s="87"/>
      <c r="BS400" s="87"/>
      <c r="BT400" s="87"/>
      <c r="BU400" s="87"/>
      <c r="BV400" s="87"/>
    </row>
    <row r="401" spans="70:74" x14ac:dyDescent="0.25">
      <c r="BR401" s="87"/>
      <c r="BS401" s="87"/>
      <c r="BT401" s="87"/>
      <c r="BU401" s="87"/>
      <c r="BV401" s="87"/>
    </row>
    <row r="402" spans="70:74" x14ac:dyDescent="0.25">
      <c r="BR402" s="87"/>
      <c r="BS402" s="87"/>
      <c r="BT402" s="87"/>
      <c r="BU402" s="87"/>
      <c r="BV402" s="87"/>
    </row>
    <row r="403" spans="70:74" x14ac:dyDescent="0.25">
      <c r="BR403" s="87"/>
      <c r="BS403" s="87"/>
      <c r="BT403" s="87"/>
      <c r="BU403" s="87"/>
      <c r="BV403" s="87"/>
    </row>
    <row r="404" spans="70:74" x14ac:dyDescent="0.25">
      <c r="BR404" s="87"/>
      <c r="BS404" s="87"/>
      <c r="BT404" s="87"/>
      <c r="BU404" s="87"/>
      <c r="BV404" s="87"/>
    </row>
    <row r="405" spans="70:74" x14ac:dyDescent="0.25">
      <c r="BR405" s="87"/>
      <c r="BS405" s="87"/>
      <c r="BT405" s="87"/>
      <c r="BU405" s="87"/>
      <c r="BV405" s="87"/>
    </row>
    <row r="406" spans="70:74" x14ac:dyDescent="0.25">
      <c r="BR406" s="87"/>
      <c r="BS406" s="87"/>
      <c r="BT406" s="87"/>
      <c r="BU406" s="87"/>
      <c r="BV406" s="87"/>
    </row>
    <row r="407" spans="70:74" x14ac:dyDescent="0.25">
      <c r="BR407" s="87"/>
      <c r="BS407" s="87"/>
      <c r="BT407" s="87"/>
      <c r="BU407" s="87"/>
      <c r="BV407" s="87"/>
    </row>
    <row r="408" spans="70:74" x14ac:dyDescent="0.25">
      <c r="BR408" s="87"/>
      <c r="BS408" s="87"/>
      <c r="BT408" s="87"/>
      <c r="BU408" s="87"/>
      <c r="BV408" s="87"/>
    </row>
    <row r="409" spans="70:74" x14ac:dyDescent="0.25">
      <c r="BR409" s="87"/>
      <c r="BS409" s="87"/>
      <c r="BT409" s="87"/>
      <c r="BU409" s="87"/>
      <c r="BV409" s="87"/>
    </row>
    <row r="410" spans="70:74" x14ac:dyDescent="0.25">
      <c r="BR410" s="87"/>
      <c r="BS410" s="87"/>
      <c r="BT410" s="87"/>
      <c r="BU410" s="87"/>
      <c r="BV410" s="87"/>
    </row>
    <row r="411" spans="70:74" x14ac:dyDescent="0.25">
      <c r="BR411" s="87"/>
      <c r="BS411" s="87"/>
      <c r="BT411" s="87"/>
      <c r="BU411" s="87"/>
      <c r="BV411" s="87"/>
    </row>
    <row r="412" spans="70:74" x14ac:dyDescent="0.25">
      <c r="BR412" s="87"/>
      <c r="BS412" s="87"/>
      <c r="BT412" s="87"/>
      <c r="BU412" s="87"/>
      <c r="BV412" s="87"/>
    </row>
    <row r="413" spans="70:74" x14ac:dyDescent="0.25">
      <c r="BR413" s="87"/>
      <c r="BS413" s="87"/>
      <c r="BT413" s="87"/>
      <c r="BU413" s="87"/>
      <c r="BV413" s="87"/>
    </row>
    <row r="414" spans="70:74" x14ac:dyDescent="0.25">
      <c r="BR414" s="87"/>
      <c r="BS414" s="87"/>
      <c r="BT414" s="87"/>
      <c r="BU414" s="87"/>
      <c r="BV414" s="87"/>
    </row>
    <row r="415" spans="70:74" x14ac:dyDescent="0.25">
      <c r="BR415" s="87"/>
      <c r="BS415" s="87"/>
      <c r="BT415" s="87"/>
      <c r="BU415" s="87"/>
      <c r="BV415" s="87"/>
    </row>
    <row r="416" spans="70:74" x14ac:dyDescent="0.25">
      <c r="BR416" s="87"/>
      <c r="BS416" s="87"/>
      <c r="BT416" s="87"/>
      <c r="BU416" s="87"/>
      <c r="BV416" s="87"/>
    </row>
    <row r="417" spans="70:74" x14ac:dyDescent="0.25">
      <c r="BR417" s="87"/>
      <c r="BS417" s="87"/>
      <c r="BT417" s="87"/>
      <c r="BU417" s="87"/>
      <c r="BV417" s="87"/>
    </row>
    <row r="418" spans="70:74" x14ac:dyDescent="0.25">
      <c r="BR418" s="87"/>
      <c r="BS418" s="87"/>
      <c r="BT418" s="87"/>
      <c r="BU418" s="87"/>
      <c r="BV418" s="87"/>
    </row>
    <row r="419" spans="70:74" x14ac:dyDescent="0.25">
      <c r="BR419" s="87"/>
      <c r="BS419" s="87"/>
      <c r="BT419" s="87"/>
      <c r="BU419" s="87"/>
      <c r="BV419" s="87"/>
    </row>
    <row r="420" spans="70:74" x14ac:dyDescent="0.25">
      <c r="BR420" s="87"/>
      <c r="BS420" s="87"/>
      <c r="BT420" s="87"/>
      <c r="BU420" s="87"/>
      <c r="BV420" s="87"/>
    </row>
    <row r="421" spans="70:74" x14ac:dyDescent="0.25">
      <c r="BR421" s="87"/>
      <c r="BS421" s="87"/>
      <c r="BT421" s="87"/>
      <c r="BU421" s="87"/>
      <c r="BV421" s="87"/>
    </row>
  </sheetData>
  <mergeCells count="10">
    <mergeCell ref="M5:R5"/>
    <mergeCell ref="M7:R7"/>
    <mergeCell ref="V7:AA7"/>
    <mergeCell ref="M11:R11"/>
    <mergeCell ref="V11:AA11"/>
    <mergeCell ref="R22:AB22"/>
    <mergeCell ref="R24:AB24"/>
    <mergeCell ref="AV22:BF22"/>
    <mergeCell ref="AV24:BF24"/>
    <mergeCell ref="AV19:BF19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00000000-0002-0000-0000-000000000000}">
          <x14:formula1>
            <xm:f>OFFSET(Справочники!$D$1:$D$15,0,0,COUNTA(Справочники!$D$1:$D$242),1)</xm:f>
          </x14:formula1>
          <xm:sqref>R24:AB24</xm:sqref>
        </x14:dataValidation>
        <x14:dataValidation type="list" allowBlank="1" showInputMessage="1" showErrorMessage="1" xr:uid="{00000000-0002-0000-0000-000001000000}">
          <x14:formula1>
            <xm:f>OFFSET(Справочники!$B$1:$B$19,0,0,COUNTA(Справочники!$B$1:$B$242),1)</xm:f>
          </x14:formula1>
          <xm:sqref>R22:AB22</xm:sqref>
        </x14:dataValidation>
        <x14:dataValidation type="list" allowBlank="1" showInputMessage="1" showErrorMessage="1" xr:uid="{00000000-0002-0000-0000-000002000000}">
          <x14:formula1>
            <xm:f>OFFSET(Справочники!$H$1:$H$25,0,0,COUNTA(Справочники!$H$1:$H$242),1)</xm:f>
          </x14:formula1>
          <xm:sqref>AV19:BF19 AV22:BF22</xm:sqref>
        </x14:dataValidation>
        <x14:dataValidation type="list" allowBlank="1" showInputMessage="1" showErrorMessage="1" xr:uid="{00000000-0002-0000-0000-000003000000}">
          <x14:formula1>
            <xm:f>OFFSET(Справочники!$B$1:$B$25,0,0,COUNTA(Справочники!$B$1:$B$242),1)</xm:f>
          </x14:formula1>
          <xm:sqref>AV24:BF24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pageSetUpPr fitToPage="1"/>
  </sheetPr>
  <dimension ref="A1:AI3507"/>
  <sheetViews>
    <sheetView showGridLines="0" zoomScale="80" zoomScaleNormal="80" workbookViewId="0">
      <pane xSplit="1" ySplit="2" topLeftCell="B3" activePane="bottomRight" state="frozen"/>
      <selection pane="topRight" activeCell="B1" sqref="B1"/>
      <selection pane="bottomLeft" activeCell="A3" sqref="A3"/>
      <selection pane="bottomRight" sqref="A1:P1048576"/>
    </sheetView>
  </sheetViews>
  <sheetFormatPr defaultRowHeight="15" x14ac:dyDescent="0.25"/>
  <cols>
    <col min="1" max="1" width="11.28515625" style="37" customWidth="1"/>
    <col min="2" max="2" width="14.5703125" style="38" customWidth="1"/>
    <col min="3" max="6" width="13.5703125" style="38" customWidth="1"/>
    <col min="7" max="7" width="14" customWidth="1"/>
    <col min="8" max="8" width="13.5703125" style="22" customWidth="1"/>
    <col min="9" max="9" width="14" style="9" customWidth="1"/>
    <col min="10" max="10" width="14.7109375" style="33" customWidth="1"/>
    <col min="11" max="12" width="25" style="73" customWidth="1"/>
    <col min="13" max="13" width="22.28515625" style="39" customWidth="1"/>
    <col min="14" max="14" width="22.85546875" style="39" customWidth="1"/>
    <col min="15" max="15" width="25" style="39" customWidth="1"/>
    <col min="16" max="16" width="30.42578125" style="39" customWidth="1"/>
    <col min="17" max="21" width="2.42578125" style="49" hidden="1" customWidth="1"/>
    <col min="22" max="26" width="2.42578125" style="44" hidden="1" customWidth="1"/>
    <col min="27" max="27" width="2.42578125" style="56" hidden="1" customWidth="1"/>
  </cols>
  <sheetData>
    <row r="1" spans="1:35" s="41" customFormat="1" ht="49.5" customHeight="1" x14ac:dyDescent="0.25">
      <c r="A1" s="23" t="s">
        <v>0</v>
      </c>
      <c r="B1" s="29" t="s">
        <v>131</v>
      </c>
      <c r="C1" s="29" t="s">
        <v>132</v>
      </c>
      <c r="D1" s="29" t="s">
        <v>133</v>
      </c>
      <c r="E1" s="29" t="s">
        <v>134</v>
      </c>
      <c r="F1" s="29" t="s">
        <v>135</v>
      </c>
      <c r="G1" s="24" t="s">
        <v>136</v>
      </c>
      <c r="H1" s="29" t="s">
        <v>130</v>
      </c>
      <c r="I1" s="24" t="s">
        <v>41</v>
      </c>
      <c r="J1" s="24" t="s">
        <v>40</v>
      </c>
      <c r="K1" s="25" t="s">
        <v>9</v>
      </c>
      <c r="L1" s="71" t="s">
        <v>125</v>
      </c>
      <c r="M1" s="26" t="s">
        <v>1</v>
      </c>
      <c r="N1" s="27" t="s">
        <v>2</v>
      </c>
      <c r="O1" s="25" t="s">
        <v>90</v>
      </c>
      <c r="P1" s="28" t="s">
        <v>3</v>
      </c>
      <c r="Q1" s="46" t="str">
        <f>CONCATENATE("Расход ",Справочники!$F$2)</f>
        <v>Расход Касса</v>
      </c>
      <c r="R1" s="46" t="str">
        <f>CONCATENATE("Расход ",Справочники!$F$3)</f>
        <v>Расход Карта Макс</v>
      </c>
      <c r="S1" s="46" t="str">
        <f>CONCATENATE("Расход ",Справочники!$F$4)</f>
        <v>Расход Карта Эдик</v>
      </c>
      <c r="T1" s="46" t="str">
        <f>CONCATENATE("Расход ",Справочники!$F$5)</f>
        <v>Расход Карта Аня</v>
      </c>
      <c r="U1" s="46" t="str">
        <f>CONCATENATE("Расход ",Справочники!$F$6)</f>
        <v>Расход Другое</v>
      </c>
      <c r="V1" s="42" t="str">
        <f>CONCATENATE("Остаток ",Справочники!$F$2)</f>
        <v>Остаток Касса</v>
      </c>
      <c r="W1" s="42" t="str">
        <f>CONCATENATE("Остаток ",Справочники!$F$3)</f>
        <v>Остаток Карта Макс</v>
      </c>
      <c r="X1" s="42" t="str">
        <f>CONCATENATE("Остаток ",Справочники!$F$4)</f>
        <v>Остаток Карта Эдик</v>
      </c>
      <c r="Y1" s="42" t="str">
        <f>CONCATENATE("Остаток ",Справочники!$F$5)</f>
        <v>Остаток Карта Аня</v>
      </c>
      <c r="Z1" s="42" t="str">
        <f>CONCATENATE("Остаток ",Справочники!$F$6)</f>
        <v>Остаток Другое</v>
      </c>
      <c r="AA1" s="55" t="s">
        <v>85</v>
      </c>
      <c r="AE1" s="54"/>
      <c r="AF1" s="51"/>
      <c r="AG1" s="52"/>
      <c r="AH1" s="52"/>
      <c r="AI1" s="52"/>
    </row>
    <row r="2" spans="1:35" s="16" customFormat="1" ht="15" customHeight="1" x14ac:dyDescent="0.25">
      <c r="A2" s="18">
        <v>45140</v>
      </c>
      <c r="B2" s="19">
        <v>470000</v>
      </c>
      <c r="C2" s="19"/>
      <c r="D2" s="19">
        <v>7855</v>
      </c>
      <c r="E2" s="19"/>
      <c r="F2" s="19"/>
      <c r="G2" s="20">
        <f>SUM($B2:$F2)</f>
        <v>477855</v>
      </c>
      <c r="H2" s="19"/>
      <c r="I2" s="20">
        <f>$G2-$H2</f>
        <v>477855</v>
      </c>
      <c r="J2" s="20">
        <f>IF($A3&lt;&gt;$A2,$I2,"")</f>
        <v>477855</v>
      </c>
      <c r="K2" s="21" t="s">
        <v>10</v>
      </c>
      <c r="L2" s="21"/>
      <c r="M2" s="21" t="s">
        <v>10</v>
      </c>
      <c r="N2" s="21"/>
      <c r="O2" s="21"/>
      <c r="P2" s="21"/>
      <c r="Q2" s="47">
        <f>IF(Учет!$O2=Справочники!$F$2,Учет!$H2,0)</f>
        <v>0</v>
      </c>
      <c r="R2" s="47">
        <f>IF(Учет!$O2=Справочники!$F$3,Учет!$H2,0)</f>
        <v>0</v>
      </c>
      <c r="S2" s="47">
        <f>IF(Учет!$O2=Справочники!$F$4,Учет!$H2,0)</f>
        <v>0</v>
      </c>
      <c r="T2" s="47">
        <f>IF(Учет!$O2=Справочники!$F$5,Учет!$H2,0)</f>
        <v>0</v>
      </c>
      <c r="U2" s="47">
        <f>IF(Учет!$O2=Справочники!$F$6,Учет!$H2,0)</f>
        <v>0</v>
      </c>
      <c r="V2" s="45">
        <f>Учет!$B$2-Q2</f>
        <v>470000</v>
      </c>
      <c r="W2" s="45">
        <f>Учет!$C$2-R2</f>
        <v>0</v>
      </c>
      <c r="X2" s="45">
        <f>Учет!$D$2-S2</f>
        <v>7855</v>
      </c>
      <c r="Y2" s="45">
        <f>Учет!$E$2-T2</f>
        <v>0</v>
      </c>
      <c r="Z2" s="45">
        <f>Учет!$F$2-U2</f>
        <v>0</v>
      </c>
      <c r="AA2" s="45">
        <f>Учет!$I$2</f>
        <v>477855</v>
      </c>
      <c r="AF2" s="53"/>
      <c r="AG2" s="53"/>
      <c r="AH2" s="53"/>
      <c r="AI2" s="53"/>
    </row>
    <row r="3" spans="1:35" ht="15" customHeight="1" x14ac:dyDescent="0.25">
      <c r="A3" s="1">
        <v>45141</v>
      </c>
      <c r="B3" s="17"/>
      <c r="C3" s="17"/>
      <c r="D3" s="17"/>
      <c r="E3" s="17"/>
      <c r="F3" s="17"/>
      <c r="G3" s="4">
        <f>SUM($B3:$F3)</f>
        <v>0</v>
      </c>
      <c r="H3" s="17">
        <v>11000</v>
      </c>
      <c r="I3" s="4">
        <f>$I2+$G3-$H3</f>
        <v>466855</v>
      </c>
      <c r="J3" s="32" t="str">
        <f>IF($A4&lt;&gt;$A3,$I3,"")</f>
        <v/>
      </c>
      <c r="K3" s="72" t="s">
        <v>91</v>
      </c>
      <c r="L3" s="72" t="s">
        <v>238</v>
      </c>
      <c r="M3" s="2" t="s">
        <v>11</v>
      </c>
      <c r="N3" s="5" t="s">
        <v>21</v>
      </c>
      <c r="O3" s="3" t="s">
        <v>37</v>
      </c>
      <c r="P3" s="6"/>
      <c r="Q3" s="48">
        <f>IF(Учет!$O3=Справочники!$F$2,Учет!$H3,0)</f>
        <v>11000</v>
      </c>
      <c r="R3" s="48">
        <f>IF(Учет!$O3=Справочники!$F$3,Учет!$H3,0)</f>
        <v>0</v>
      </c>
      <c r="S3" s="48">
        <f>IF(Учет!$O3=Справочники!$F$4,Учет!$H3,0)</f>
        <v>0</v>
      </c>
      <c r="T3" s="48">
        <f>IF(Учет!$O3=Справочники!$F$5,Учет!$H3,0)</f>
        <v>0</v>
      </c>
      <c r="U3" s="48">
        <f>IF(Учет!$O3=Справочники!$F$6,Учет!$H3,0)</f>
        <v>0</v>
      </c>
      <c r="V3" s="43">
        <f>V2+Учет!$B3-Q3</f>
        <v>459000</v>
      </c>
      <c r="W3" s="43">
        <f>W2+Учет!$C3-R3</f>
        <v>0</v>
      </c>
      <c r="X3" s="43">
        <f>X2+Учет!$D3-S3</f>
        <v>7855</v>
      </c>
      <c r="Y3" s="43">
        <f>Y2+Учет!$E3-T3</f>
        <v>0</v>
      </c>
      <c r="Z3" s="43">
        <f>Z2+Учет!$F3-U3</f>
        <v>0</v>
      </c>
      <c r="AA3" s="45">
        <f>Учет!$I3</f>
        <v>466855</v>
      </c>
    </row>
    <row r="4" spans="1:35" ht="15" customHeight="1" x14ac:dyDescent="0.25">
      <c r="A4" s="1">
        <v>45141</v>
      </c>
      <c r="B4" s="17"/>
      <c r="C4" s="17"/>
      <c r="D4" s="17"/>
      <c r="E4" s="17"/>
      <c r="F4" s="17"/>
      <c r="G4" s="4">
        <f>SUM($B4:$F4)</f>
        <v>0</v>
      </c>
      <c r="H4" s="17">
        <v>63000</v>
      </c>
      <c r="I4" s="4">
        <f>$I3+$G4-$H4</f>
        <v>403855</v>
      </c>
      <c r="J4" s="32" t="str">
        <f>IF($A5&lt;&gt;$A4,$I4,"")</f>
        <v/>
      </c>
      <c r="K4" s="72" t="s">
        <v>92</v>
      </c>
      <c r="L4" s="72" t="s">
        <v>234</v>
      </c>
      <c r="M4" s="2" t="s">
        <v>12</v>
      </c>
      <c r="N4" s="5" t="s">
        <v>21</v>
      </c>
      <c r="O4" s="3" t="s">
        <v>37</v>
      </c>
      <c r="P4" s="6"/>
      <c r="Q4" s="48">
        <f>IF(Учет!$O4=Справочники!$F$2,Учет!$H4,0)</f>
        <v>63000</v>
      </c>
      <c r="R4" s="48">
        <f>IF(Учет!$O4=Справочники!$F$3,Учет!$H4,0)</f>
        <v>0</v>
      </c>
      <c r="S4" s="48">
        <f>IF(Учет!$O4=Справочники!$F$4,Учет!$H4,0)</f>
        <v>0</v>
      </c>
      <c r="T4" s="48">
        <f>IF(Учет!$O4=Справочники!$F$5,Учет!$H4,0)</f>
        <v>0</v>
      </c>
      <c r="U4" s="48">
        <f>IF(Учет!$O4=Справочники!$F$6,Учет!$H4,0)</f>
        <v>0</v>
      </c>
      <c r="V4" s="43">
        <f>V3+Учет!$B4-Q4</f>
        <v>396000</v>
      </c>
      <c r="W4" s="43">
        <f>W3+Учет!$C4-R4</f>
        <v>0</v>
      </c>
      <c r="X4" s="43">
        <f>X3+Учет!$D4-S4</f>
        <v>7855</v>
      </c>
      <c r="Y4" s="43">
        <f>Y3+Учет!$E4-T4</f>
        <v>0</v>
      </c>
      <c r="Z4" s="43">
        <f>Z3+Учет!$F4-U4</f>
        <v>0</v>
      </c>
      <c r="AA4" s="45">
        <f>Учет!$I4</f>
        <v>403855</v>
      </c>
    </row>
    <row r="5" spans="1:35" ht="15" customHeight="1" x14ac:dyDescent="0.25">
      <c r="A5" s="1">
        <v>45141</v>
      </c>
      <c r="B5" s="17"/>
      <c r="C5" s="17"/>
      <c r="D5" s="17"/>
      <c r="E5" s="17"/>
      <c r="F5" s="17"/>
      <c r="G5" s="4">
        <f>SUM($B5:$F5)</f>
        <v>0</v>
      </c>
      <c r="H5" s="17">
        <v>17000</v>
      </c>
      <c r="I5" s="4">
        <f>$I4+$G5-$H5</f>
        <v>386855</v>
      </c>
      <c r="J5" s="32" t="str">
        <f>IF($A6&lt;&gt;$A5,$I5,"")</f>
        <v/>
      </c>
      <c r="K5" s="72" t="s">
        <v>18</v>
      </c>
      <c r="L5" s="72" t="s">
        <v>160</v>
      </c>
      <c r="M5" s="2" t="s">
        <v>18</v>
      </c>
      <c r="N5" s="5" t="s">
        <v>21</v>
      </c>
      <c r="O5" s="6" t="s">
        <v>37</v>
      </c>
      <c r="P5" s="6"/>
      <c r="Q5" s="48">
        <f>IF(Учет!$O5=Справочники!$F$2,Учет!$H5,0)</f>
        <v>17000</v>
      </c>
      <c r="R5" s="48">
        <f>IF(Учет!$O5=Справочники!$F$3,Учет!$H5,0)</f>
        <v>0</v>
      </c>
      <c r="S5" s="48">
        <f>IF(Учет!$O5=Справочники!$F$4,Учет!$H5,0)</f>
        <v>0</v>
      </c>
      <c r="T5" s="48">
        <f>IF(Учет!$O5=Справочники!$F$5,Учет!$H5,0)</f>
        <v>0</v>
      </c>
      <c r="U5" s="48">
        <f>IF(Учет!$O5=Справочники!$F$6,Учет!$H5,0)</f>
        <v>0</v>
      </c>
      <c r="V5" s="43">
        <f>V4+Учет!$B5-Q5</f>
        <v>379000</v>
      </c>
      <c r="W5" s="43">
        <f>W4+Учет!$C5-R5</f>
        <v>0</v>
      </c>
      <c r="X5" s="43">
        <f>X4+Учет!$D5-S5</f>
        <v>7855</v>
      </c>
      <c r="Y5" s="43">
        <f>Y4+Учет!$E5-T5</f>
        <v>0</v>
      </c>
      <c r="Z5" s="43">
        <f>Z4+Учет!$F5-U5</f>
        <v>0</v>
      </c>
      <c r="AA5" s="45">
        <f>Учет!$I5</f>
        <v>386855</v>
      </c>
    </row>
    <row r="6" spans="1:35" ht="15" customHeight="1" x14ac:dyDescent="0.25">
      <c r="A6" s="1">
        <v>45141</v>
      </c>
      <c r="B6" s="17">
        <v>500000</v>
      </c>
      <c r="C6" s="17"/>
      <c r="D6" s="17"/>
      <c r="E6" s="17"/>
      <c r="F6" s="17"/>
      <c r="G6" s="4">
        <f>SUM($B6:$F6)</f>
        <v>500000</v>
      </c>
      <c r="H6" s="17"/>
      <c r="I6" s="4">
        <f>$I5+$G6-$H6</f>
        <v>886855</v>
      </c>
      <c r="J6" s="32" t="str">
        <f>IF($A7&lt;&gt;$A6,$I6,"")</f>
        <v/>
      </c>
      <c r="K6" s="72" t="s">
        <v>93</v>
      </c>
      <c r="L6" s="72"/>
      <c r="M6" s="2" t="s">
        <v>22</v>
      </c>
      <c r="N6" s="5"/>
      <c r="O6" s="3"/>
      <c r="P6" s="6"/>
      <c r="Q6" s="48">
        <f>IF(Учет!$O6=Справочники!$F$2,Учет!$H6,0)</f>
        <v>0</v>
      </c>
      <c r="R6" s="48">
        <f>IF(Учет!$O6=Справочники!$F$3,Учет!$H6,0)</f>
        <v>0</v>
      </c>
      <c r="S6" s="48">
        <f>IF(Учет!$O6=Справочники!$F$4,Учет!$H6,0)</f>
        <v>0</v>
      </c>
      <c r="T6" s="48">
        <f>IF(Учет!$O6=Справочники!$F$5,Учет!$H6,0)</f>
        <v>0</v>
      </c>
      <c r="U6" s="48">
        <f>IF(Учет!$O6=Справочники!$F$6,Учет!$H6,0)</f>
        <v>0</v>
      </c>
      <c r="V6" s="43">
        <f>V5+Учет!$B6-Q6</f>
        <v>879000</v>
      </c>
      <c r="W6" s="43">
        <f>W5+Учет!$C6-R6</f>
        <v>0</v>
      </c>
      <c r="X6" s="43">
        <f>X5+Учет!$D6-S6</f>
        <v>7855</v>
      </c>
      <c r="Y6" s="43">
        <f>Y5+Учет!$E6-T6</f>
        <v>0</v>
      </c>
      <c r="Z6" s="43">
        <f>Z5+Учет!$F6-U6</f>
        <v>0</v>
      </c>
      <c r="AA6" s="45">
        <f>Учет!$I6</f>
        <v>886855</v>
      </c>
    </row>
    <row r="7" spans="1:35" ht="15" customHeight="1" x14ac:dyDescent="0.25">
      <c r="A7" s="1">
        <v>45141</v>
      </c>
      <c r="B7" s="17"/>
      <c r="C7" s="17"/>
      <c r="D7" s="17"/>
      <c r="E7" s="17"/>
      <c r="F7" s="17"/>
      <c r="G7" s="4">
        <f>SUM($B7:$F7)</f>
        <v>0</v>
      </c>
      <c r="H7" s="17">
        <v>19000</v>
      </c>
      <c r="I7" s="4">
        <f>$I6+$G7-$H7</f>
        <v>867855</v>
      </c>
      <c r="J7" s="32" t="str">
        <f>IF($A8&lt;&gt;$A7,$I7,"")</f>
        <v/>
      </c>
      <c r="K7" s="72" t="s">
        <v>91</v>
      </c>
      <c r="L7" s="72" t="s">
        <v>244</v>
      </c>
      <c r="M7" s="2" t="s">
        <v>18</v>
      </c>
      <c r="N7" s="5" t="s">
        <v>62</v>
      </c>
      <c r="O7" s="6" t="s">
        <v>37</v>
      </c>
      <c r="P7" s="6"/>
      <c r="Q7" s="48">
        <f>IF(Учет!$O7=Справочники!$F$2,Учет!$H7,0)</f>
        <v>19000</v>
      </c>
      <c r="R7" s="48">
        <f>IF(Учет!$O7=Справочники!$F$3,Учет!$H7,0)</f>
        <v>0</v>
      </c>
      <c r="S7" s="48">
        <f>IF(Учет!$O7=Справочники!$F$4,Учет!$H7,0)</f>
        <v>0</v>
      </c>
      <c r="T7" s="48">
        <f>IF(Учет!$O7=Справочники!$F$5,Учет!$H7,0)</f>
        <v>0</v>
      </c>
      <c r="U7" s="48">
        <f>IF(Учет!$O7=Справочники!$F$6,Учет!$H7,0)</f>
        <v>0</v>
      </c>
      <c r="V7" s="43">
        <f>V6+Учет!$B7-Q7</f>
        <v>860000</v>
      </c>
      <c r="W7" s="43">
        <f>W6+Учет!$C7-R7</f>
        <v>0</v>
      </c>
      <c r="X7" s="43">
        <f>X6+Учет!$D7-S7</f>
        <v>7855</v>
      </c>
      <c r="Y7" s="43">
        <f>Y6+Учет!$E7-T7</f>
        <v>0</v>
      </c>
      <c r="Z7" s="43">
        <f>Z6+Учет!$F7-U7</f>
        <v>0</v>
      </c>
      <c r="AA7" s="45">
        <f>Учет!$I7</f>
        <v>867855</v>
      </c>
    </row>
    <row r="8" spans="1:35" ht="15" customHeight="1" x14ac:dyDescent="0.25">
      <c r="A8" s="1">
        <v>45141</v>
      </c>
      <c r="B8" s="17"/>
      <c r="C8" s="17"/>
      <c r="D8" s="17"/>
      <c r="E8" s="17"/>
      <c r="F8" s="17"/>
      <c r="G8" s="4">
        <f>SUM($B8:$F8)</f>
        <v>0</v>
      </c>
      <c r="H8" s="17">
        <v>71500</v>
      </c>
      <c r="I8" s="4">
        <f>$I7+$G8-$H8</f>
        <v>796355</v>
      </c>
      <c r="J8" s="32" t="str">
        <f>IF($A9&lt;&gt;$A8,$I8,"")</f>
        <v/>
      </c>
      <c r="K8" s="72" t="s">
        <v>101</v>
      </c>
      <c r="L8" s="72" t="s">
        <v>250</v>
      </c>
      <c r="M8" s="2" t="s">
        <v>11</v>
      </c>
      <c r="N8" s="5" t="s">
        <v>21</v>
      </c>
      <c r="O8" s="3" t="s">
        <v>37</v>
      </c>
      <c r="P8" s="6"/>
      <c r="Q8" s="48">
        <f>IF(Учет!$O8=Справочники!$F$2,Учет!$H8,0)</f>
        <v>71500</v>
      </c>
      <c r="R8" s="48">
        <f>IF(Учет!$O8=Справочники!$F$3,Учет!$H8,0)</f>
        <v>0</v>
      </c>
      <c r="S8" s="48">
        <f>IF(Учет!$O8=Справочники!$F$4,Учет!$H8,0)</f>
        <v>0</v>
      </c>
      <c r="T8" s="48">
        <f>IF(Учет!$O8=Справочники!$F$5,Учет!$H8,0)</f>
        <v>0</v>
      </c>
      <c r="U8" s="48">
        <f>IF(Учет!$O8=Справочники!$F$6,Учет!$H8,0)</f>
        <v>0</v>
      </c>
      <c r="V8" s="43">
        <f>V7+Учет!$B8-Q8</f>
        <v>788500</v>
      </c>
      <c r="W8" s="43">
        <f>W7+Учет!$C8-R8</f>
        <v>0</v>
      </c>
      <c r="X8" s="43">
        <f>X7+Учет!$D8-S8</f>
        <v>7855</v>
      </c>
      <c r="Y8" s="43">
        <f>Y7+Учет!$E8-T8</f>
        <v>0</v>
      </c>
      <c r="Z8" s="43">
        <f>Z7+Учет!$F8-U8</f>
        <v>0</v>
      </c>
      <c r="AA8" s="45">
        <f>Учет!$I8</f>
        <v>796355</v>
      </c>
    </row>
    <row r="9" spans="1:35" ht="15" customHeight="1" x14ac:dyDescent="0.25">
      <c r="A9" s="1">
        <v>45141</v>
      </c>
      <c r="B9" s="17"/>
      <c r="C9" s="17"/>
      <c r="D9" s="17"/>
      <c r="E9" s="17"/>
      <c r="F9" s="17"/>
      <c r="G9" s="4">
        <f>SUM($B9:$F9)</f>
        <v>0</v>
      </c>
      <c r="H9" s="17">
        <v>2000</v>
      </c>
      <c r="I9" s="4">
        <f>$I8+$G9-$H9</f>
        <v>794355</v>
      </c>
      <c r="J9" s="32">
        <f>IF($A10&lt;&gt;$A9,$I9,"")</f>
        <v>794355</v>
      </c>
      <c r="K9" s="72" t="s">
        <v>18</v>
      </c>
      <c r="L9" s="72" t="s">
        <v>161</v>
      </c>
      <c r="M9" s="2" t="s">
        <v>16</v>
      </c>
      <c r="N9" s="5" t="s">
        <v>21</v>
      </c>
      <c r="O9" s="3" t="s">
        <v>37</v>
      </c>
      <c r="P9" s="6"/>
      <c r="Q9" s="48">
        <f>IF(Учет!$O9=Справочники!$F$2,Учет!$H9,0)</f>
        <v>2000</v>
      </c>
      <c r="R9" s="48">
        <f>IF(Учет!$O9=Справочники!$F$3,Учет!$H9,0)</f>
        <v>0</v>
      </c>
      <c r="S9" s="48">
        <f>IF(Учет!$O9=Справочники!$F$4,Учет!$H9,0)</f>
        <v>0</v>
      </c>
      <c r="T9" s="48">
        <f>IF(Учет!$O9=Справочники!$F$5,Учет!$H9,0)</f>
        <v>0</v>
      </c>
      <c r="U9" s="48">
        <f>IF(Учет!$O9=Справочники!$F$6,Учет!$H9,0)</f>
        <v>0</v>
      </c>
      <c r="V9" s="43">
        <f>V8+Учет!$B9-Q9</f>
        <v>786500</v>
      </c>
      <c r="W9" s="43">
        <f>W8+Учет!$C9-R9</f>
        <v>0</v>
      </c>
      <c r="X9" s="43">
        <f>X8+Учет!$D9-S9</f>
        <v>7855</v>
      </c>
      <c r="Y9" s="43">
        <f>Y8+Учет!$E9-T9</f>
        <v>0</v>
      </c>
      <c r="Z9" s="43">
        <f>Z8+Учет!$F9-U9</f>
        <v>0</v>
      </c>
      <c r="AA9" s="45">
        <f>Учет!$I9</f>
        <v>794355</v>
      </c>
    </row>
    <row r="10" spans="1:35" ht="15" customHeight="1" x14ac:dyDescent="0.25">
      <c r="A10" s="1">
        <v>45142</v>
      </c>
      <c r="B10" s="17">
        <v>1000000</v>
      </c>
      <c r="C10" s="17"/>
      <c r="D10" s="17"/>
      <c r="E10" s="17"/>
      <c r="F10" s="17"/>
      <c r="G10" s="4">
        <f>SUM($B10:$F10)</f>
        <v>1000000</v>
      </c>
      <c r="H10" s="17"/>
      <c r="I10" s="4">
        <f>$I9+$G10-$H10</f>
        <v>1794355</v>
      </c>
      <c r="J10" s="32" t="str">
        <f>IF($A11&lt;&gt;$A10,$I10,"")</f>
        <v/>
      </c>
      <c r="K10" s="72" t="s">
        <v>93</v>
      </c>
      <c r="L10" s="72"/>
      <c r="M10" s="2" t="s">
        <v>11</v>
      </c>
      <c r="N10" s="5"/>
      <c r="O10" s="3"/>
      <c r="P10" s="6"/>
      <c r="Q10" s="48">
        <f>IF(Учет!$O10=Справочники!$F$2,Учет!$H10,0)</f>
        <v>0</v>
      </c>
      <c r="R10" s="48">
        <f>IF(Учет!$O10=Справочники!$F$3,Учет!$H10,0)</f>
        <v>0</v>
      </c>
      <c r="S10" s="48">
        <f>IF(Учет!$O10=Справочники!$F$4,Учет!$H10,0)</f>
        <v>0</v>
      </c>
      <c r="T10" s="48">
        <f>IF(Учет!$O10=Справочники!$F$5,Учет!$H10,0)</f>
        <v>0</v>
      </c>
      <c r="U10" s="48">
        <f>IF(Учет!$O10=Справочники!$F$6,Учет!$H10,0)</f>
        <v>0</v>
      </c>
      <c r="V10" s="43">
        <f>V9+Учет!$B10-Q10</f>
        <v>1786500</v>
      </c>
      <c r="W10" s="43">
        <f>W9+Учет!$C10-R10</f>
        <v>0</v>
      </c>
      <c r="X10" s="43">
        <f>X9+Учет!$D10-S10</f>
        <v>7855</v>
      </c>
      <c r="Y10" s="43">
        <f>Y9+Учет!$E10-T10</f>
        <v>0</v>
      </c>
      <c r="Z10" s="43">
        <f>Z9+Учет!$F10-U10</f>
        <v>0</v>
      </c>
      <c r="AA10" s="45">
        <f>Учет!$I10</f>
        <v>1794355</v>
      </c>
    </row>
    <row r="11" spans="1:35" ht="15" customHeight="1" x14ac:dyDescent="0.25">
      <c r="A11" s="1">
        <v>45142</v>
      </c>
      <c r="B11" s="17"/>
      <c r="C11" s="17"/>
      <c r="D11" s="17"/>
      <c r="E11" s="17"/>
      <c r="F11" s="17"/>
      <c r="G11" s="4">
        <f>SUM($B11:$F11)</f>
        <v>0</v>
      </c>
      <c r="H11" s="17">
        <v>7000</v>
      </c>
      <c r="I11" s="4">
        <f>$I10+$G11-$H11</f>
        <v>1787355</v>
      </c>
      <c r="J11" s="32" t="str">
        <f>IF($A12&lt;&gt;$A11,$I11,"")</f>
        <v/>
      </c>
      <c r="K11" s="72" t="s">
        <v>91</v>
      </c>
      <c r="L11" s="72" t="s">
        <v>249</v>
      </c>
      <c r="M11" s="2" t="s">
        <v>18</v>
      </c>
      <c r="N11" s="5"/>
      <c r="O11" s="3" t="s">
        <v>37</v>
      </c>
      <c r="P11" s="6"/>
      <c r="Q11" s="48">
        <f>IF(Учет!$O11=Справочники!$F$2,Учет!$H11,0)</f>
        <v>7000</v>
      </c>
      <c r="R11" s="48">
        <f>IF(Учет!$O11=Справочники!$F$3,Учет!$H11,0)</f>
        <v>0</v>
      </c>
      <c r="S11" s="48">
        <f>IF(Учет!$O11=Справочники!$F$4,Учет!$H11,0)</f>
        <v>0</v>
      </c>
      <c r="T11" s="48">
        <f>IF(Учет!$O11=Справочники!$F$5,Учет!$H11,0)</f>
        <v>0</v>
      </c>
      <c r="U11" s="48">
        <f>IF(Учет!$O11=Справочники!$F$6,Учет!$H11,0)</f>
        <v>0</v>
      </c>
      <c r="V11" s="43">
        <f>V10+Учет!$B11-Q11</f>
        <v>1779500</v>
      </c>
      <c r="W11" s="43">
        <f>W10+Учет!$C11-R11</f>
        <v>0</v>
      </c>
      <c r="X11" s="43">
        <f>X10+Учет!$D11-S11</f>
        <v>7855</v>
      </c>
      <c r="Y11" s="43">
        <f>Y10+Учет!$E11-T11</f>
        <v>0</v>
      </c>
      <c r="Z11" s="43">
        <f>Z10+Учет!$F11-U11</f>
        <v>0</v>
      </c>
      <c r="AA11" s="45">
        <f>Учет!$I11</f>
        <v>1787355</v>
      </c>
    </row>
    <row r="12" spans="1:35" ht="15" customHeight="1" x14ac:dyDescent="0.25">
      <c r="A12" s="1">
        <v>45142</v>
      </c>
      <c r="B12" s="17"/>
      <c r="C12" s="17"/>
      <c r="D12" s="17"/>
      <c r="E12" s="17"/>
      <c r="F12" s="17"/>
      <c r="G12" s="4">
        <f>SUM($B12:$F12)</f>
        <v>0</v>
      </c>
      <c r="H12" s="17">
        <v>18000</v>
      </c>
      <c r="I12" s="4">
        <f>$I11+$G12-$H12</f>
        <v>1769355</v>
      </c>
      <c r="J12" s="32" t="str">
        <f>IF($A13&lt;&gt;$A12,$I12,"")</f>
        <v/>
      </c>
      <c r="K12" s="72" t="s">
        <v>92</v>
      </c>
      <c r="L12" s="72" t="s">
        <v>245</v>
      </c>
      <c r="M12" s="2" t="s">
        <v>11</v>
      </c>
      <c r="N12" s="5" t="s">
        <v>21</v>
      </c>
      <c r="O12" s="3" t="s">
        <v>37</v>
      </c>
      <c r="P12" s="6"/>
      <c r="Q12" s="48">
        <f>IF(Учет!$O12=Справочники!$F$2,Учет!$H12,0)</f>
        <v>18000</v>
      </c>
      <c r="R12" s="48">
        <f>IF(Учет!$O12=Справочники!$F$3,Учет!$H12,0)</f>
        <v>0</v>
      </c>
      <c r="S12" s="48">
        <f>IF(Учет!$O12=Справочники!$F$4,Учет!$H12,0)</f>
        <v>0</v>
      </c>
      <c r="T12" s="48">
        <f>IF(Учет!$O12=Справочники!$F$5,Учет!$H12,0)</f>
        <v>0</v>
      </c>
      <c r="U12" s="48">
        <f>IF(Учет!$O12=Справочники!$F$6,Учет!$H12,0)</f>
        <v>0</v>
      </c>
      <c r="V12" s="43">
        <f>V11+Учет!$B12-Q12</f>
        <v>1761500</v>
      </c>
      <c r="W12" s="43">
        <f>W11+Учет!$C12-R12</f>
        <v>0</v>
      </c>
      <c r="X12" s="43">
        <f>X11+Учет!$D12-S12</f>
        <v>7855</v>
      </c>
      <c r="Y12" s="43">
        <f>Y11+Учет!$E12-T12</f>
        <v>0</v>
      </c>
      <c r="Z12" s="43">
        <f>Z11+Учет!$F12-U12</f>
        <v>0</v>
      </c>
      <c r="AA12" s="45">
        <f>Учет!$I12</f>
        <v>1769355</v>
      </c>
    </row>
    <row r="13" spans="1:35" ht="15" customHeight="1" x14ac:dyDescent="0.25">
      <c r="A13" s="1">
        <v>45142</v>
      </c>
      <c r="B13" s="17"/>
      <c r="C13" s="17"/>
      <c r="D13" s="17"/>
      <c r="E13" s="17"/>
      <c r="F13" s="17"/>
      <c r="G13" s="4">
        <f>SUM($B13:$F13)</f>
        <v>0</v>
      </c>
      <c r="H13" s="17">
        <v>200000</v>
      </c>
      <c r="I13" s="4">
        <f>$I12+$G13-$H13</f>
        <v>1569355</v>
      </c>
      <c r="J13" s="32" t="str">
        <f>IF($A14&lt;&gt;$A13,$I13,"")</f>
        <v/>
      </c>
      <c r="K13" s="72" t="s">
        <v>18</v>
      </c>
      <c r="L13" s="72" t="s">
        <v>62</v>
      </c>
      <c r="M13" s="2" t="s">
        <v>18</v>
      </c>
      <c r="N13" s="5" t="s">
        <v>62</v>
      </c>
      <c r="O13" s="3" t="s">
        <v>37</v>
      </c>
      <c r="P13" s="6"/>
      <c r="Q13" s="48">
        <f>IF(Учет!$O13=Справочники!$F$2,Учет!$H13,0)</f>
        <v>200000</v>
      </c>
      <c r="R13" s="48">
        <f>IF(Учет!$O13=Справочники!$F$3,Учет!$H13,0)</f>
        <v>0</v>
      </c>
      <c r="S13" s="48">
        <f>IF(Учет!$O13=Справочники!$F$4,Учет!$H13,0)</f>
        <v>0</v>
      </c>
      <c r="T13" s="48">
        <f>IF(Учет!$O13=Справочники!$F$5,Учет!$H13,0)</f>
        <v>0</v>
      </c>
      <c r="U13" s="48">
        <f>IF(Учет!$O13=Справочники!$F$6,Учет!$H13,0)</f>
        <v>0</v>
      </c>
      <c r="V13" s="43">
        <f>V12+Учет!$B13-Q13</f>
        <v>1561500</v>
      </c>
      <c r="W13" s="43">
        <f>W12+Учет!$C13-R13</f>
        <v>0</v>
      </c>
      <c r="X13" s="43">
        <f>X12+Учет!$D13-S13</f>
        <v>7855</v>
      </c>
      <c r="Y13" s="43">
        <f>Y12+Учет!$E13-T13</f>
        <v>0</v>
      </c>
      <c r="Z13" s="43">
        <f>Z12+Учет!$F13-U13</f>
        <v>0</v>
      </c>
      <c r="AA13" s="45">
        <f>Учет!$I13</f>
        <v>1569355</v>
      </c>
    </row>
    <row r="14" spans="1:35" x14ac:dyDescent="0.25">
      <c r="A14" s="1">
        <v>45142</v>
      </c>
      <c r="B14" s="17"/>
      <c r="C14" s="17"/>
      <c r="D14" s="17"/>
      <c r="E14" s="17">
        <v>100000</v>
      </c>
      <c r="F14" s="17"/>
      <c r="G14" s="4">
        <f>SUM($B14:$F14)</f>
        <v>100000</v>
      </c>
      <c r="H14" s="17">
        <v>100000</v>
      </c>
      <c r="I14" s="4">
        <f>$I13+$G14-$H14</f>
        <v>1569355</v>
      </c>
      <c r="J14" s="32" t="str">
        <f>IF($A15&lt;&gt;$A14,$I14,"")</f>
        <v/>
      </c>
      <c r="K14" s="72" t="s">
        <v>104</v>
      </c>
      <c r="L14" s="72" t="s">
        <v>251</v>
      </c>
      <c r="M14" s="2"/>
      <c r="N14" s="5" t="s">
        <v>62</v>
      </c>
      <c r="O14" s="6" t="s">
        <v>37</v>
      </c>
      <c r="P14" s="6"/>
      <c r="Q14" s="48">
        <f>IF(Учет!$O14=Справочники!$F$2,Учет!$H14,0)</f>
        <v>100000</v>
      </c>
      <c r="R14" s="48">
        <f>IF(Учет!$O14=Справочники!$F$3,Учет!$H14,0)</f>
        <v>0</v>
      </c>
      <c r="S14" s="48">
        <f>IF(Учет!$O14=Справочники!$F$4,Учет!$H14,0)</f>
        <v>0</v>
      </c>
      <c r="T14" s="48">
        <f>IF(Учет!$O14=Справочники!$F$5,Учет!$H14,0)</f>
        <v>0</v>
      </c>
      <c r="U14" s="48">
        <f>IF(Учет!$O14=Справочники!$F$6,Учет!$H14,0)</f>
        <v>0</v>
      </c>
      <c r="V14" s="43">
        <f>V13+Учет!$B14-Q14</f>
        <v>1461500</v>
      </c>
      <c r="W14" s="43">
        <f>W13+Учет!$C14-R14</f>
        <v>0</v>
      </c>
      <c r="X14" s="43">
        <f>X13+Учет!$D14-S14</f>
        <v>7855</v>
      </c>
      <c r="Y14" s="43">
        <f>Y13+Учет!$E14-T14</f>
        <v>100000</v>
      </c>
      <c r="Z14" s="43">
        <f>Z13+Учет!$F14-U14</f>
        <v>0</v>
      </c>
      <c r="AA14" s="45">
        <f>Учет!$I14</f>
        <v>1569355</v>
      </c>
    </row>
    <row r="15" spans="1:35" x14ac:dyDescent="0.25">
      <c r="A15" s="1">
        <v>45142</v>
      </c>
      <c r="B15" s="17"/>
      <c r="C15" s="17"/>
      <c r="D15" s="17"/>
      <c r="E15" s="17"/>
      <c r="F15" s="17"/>
      <c r="G15" s="4">
        <f>SUM($B15:$F15)</f>
        <v>0</v>
      </c>
      <c r="H15" s="17">
        <v>20000</v>
      </c>
      <c r="I15" s="4">
        <f>$I14+$G15-$H15</f>
        <v>1549355</v>
      </c>
      <c r="J15" s="32" t="str">
        <f>IF($A16&lt;&gt;$A15,$I15,"")</f>
        <v/>
      </c>
      <c r="K15" s="72" t="s">
        <v>92</v>
      </c>
      <c r="L15" s="72" t="s">
        <v>252</v>
      </c>
      <c r="M15" s="2" t="s">
        <v>18</v>
      </c>
      <c r="N15" s="5"/>
      <c r="O15" s="6" t="s">
        <v>37</v>
      </c>
      <c r="P15" s="6"/>
      <c r="Q15" s="48">
        <f>IF(Учет!$O15=Справочники!$F$2,Учет!$H15,0)</f>
        <v>20000</v>
      </c>
      <c r="R15" s="48">
        <f>IF(Учет!$O15=Справочники!$F$3,Учет!$H15,0)</f>
        <v>0</v>
      </c>
      <c r="S15" s="48">
        <f>IF(Учет!$O15=Справочники!$F$4,Учет!$H15,0)</f>
        <v>0</v>
      </c>
      <c r="T15" s="48">
        <f>IF(Учет!$O15=Справочники!$F$5,Учет!$H15,0)</f>
        <v>0</v>
      </c>
      <c r="U15" s="48">
        <f>IF(Учет!$O15=Справочники!$F$6,Учет!$H15,0)</f>
        <v>0</v>
      </c>
      <c r="V15" s="43">
        <f>V14+Учет!$B15-Q15</f>
        <v>1441500</v>
      </c>
      <c r="W15" s="43">
        <f>W14+Учет!$C15-R15</f>
        <v>0</v>
      </c>
      <c r="X15" s="43">
        <f>X14+Учет!$D15-S15</f>
        <v>7855</v>
      </c>
      <c r="Y15" s="43">
        <f>Y14+Учет!$E15-T15</f>
        <v>100000</v>
      </c>
      <c r="Z15" s="43">
        <f>Z14+Учет!$F15-U15</f>
        <v>0</v>
      </c>
      <c r="AA15" s="45">
        <f>Учет!$I15</f>
        <v>1549355</v>
      </c>
    </row>
    <row r="16" spans="1:35" ht="15" customHeight="1" x14ac:dyDescent="0.25">
      <c r="A16" s="1">
        <v>45142</v>
      </c>
      <c r="B16" s="17"/>
      <c r="C16" s="17"/>
      <c r="D16" s="17"/>
      <c r="E16" s="17"/>
      <c r="F16" s="17"/>
      <c r="G16" s="4">
        <f>SUM($B16:$F16)</f>
        <v>0</v>
      </c>
      <c r="H16" s="17">
        <v>70000</v>
      </c>
      <c r="I16" s="4">
        <f>$I15+$G16-$H16</f>
        <v>1479355</v>
      </c>
      <c r="J16" s="32" t="str">
        <f>IF($A17&lt;&gt;$A16,$I16,"")</f>
        <v/>
      </c>
      <c r="K16" s="72" t="s">
        <v>92</v>
      </c>
      <c r="L16" s="72" t="s">
        <v>26</v>
      </c>
      <c r="M16" s="2"/>
      <c r="N16" s="5"/>
      <c r="O16" s="6" t="s">
        <v>37</v>
      </c>
      <c r="P16" s="6"/>
      <c r="Q16" s="48">
        <f>IF(Учет!$O16=Справочники!$F$2,Учет!$H16,0)</f>
        <v>70000</v>
      </c>
      <c r="R16" s="48">
        <f>IF(Учет!$O16=Справочники!$F$3,Учет!$H16,0)</f>
        <v>0</v>
      </c>
      <c r="S16" s="48">
        <f>IF(Учет!$O16=Справочники!$F$4,Учет!$H16,0)</f>
        <v>0</v>
      </c>
      <c r="T16" s="48">
        <f>IF(Учет!$O16=Справочники!$F$5,Учет!$H16,0)</f>
        <v>0</v>
      </c>
      <c r="U16" s="48">
        <f>IF(Учет!$O16=Справочники!$F$6,Учет!$H16,0)</f>
        <v>0</v>
      </c>
      <c r="V16" s="43">
        <f>V15+Учет!$B16-Q16</f>
        <v>1371500</v>
      </c>
      <c r="W16" s="43">
        <f>W15+Учет!$C16-R16</f>
        <v>0</v>
      </c>
      <c r="X16" s="43">
        <f>X15+Учет!$D16-S16</f>
        <v>7855</v>
      </c>
      <c r="Y16" s="43">
        <f>Y15+Учет!$E16-T16</f>
        <v>100000</v>
      </c>
      <c r="Z16" s="43">
        <f>Z15+Учет!$F16-U16</f>
        <v>0</v>
      </c>
      <c r="AA16" s="45">
        <f>Учет!$I16</f>
        <v>1479355</v>
      </c>
    </row>
    <row r="17" spans="1:27" ht="15" customHeight="1" x14ac:dyDescent="0.25">
      <c r="A17" s="1">
        <v>45142</v>
      </c>
      <c r="B17" s="17"/>
      <c r="C17" s="17"/>
      <c r="D17" s="17"/>
      <c r="E17" s="17"/>
      <c r="F17" s="17"/>
      <c r="G17" s="4">
        <f>SUM($B17:$F17)</f>
        <v>0</v>
      </c>
      <c r="H17" s="17">
        <v>707750</v>
      </c>
      <c r="I17" s="4">
        <f>$I16+$G17-$H17</f>
        <v>771605</v>
      </c>
      <c r="J17" s="32" t="str">
        <f>IF($A18&lt;&gt;$A17,$I17,"")</f>
        <v/>
      </c>
      <c r="K17" s="72" t="s">
        <v>92</v>
      </c>
      <c r="L17" s="72" t="s">
        <v>232</v>
      </c>
      <c r="M17" s="2" t="s">
        <v>11</v>
      </c>
      <c r="N17" s="5" t="s">
        <v>21</v>
      </c>
      <c r="O17" s="6" t="s">
        <v>37</v>
      </c>
      <c r="P17" s="6"/>
      <c r="Q17" s="48">
        <f>IF(Учет!$O17=Справочники!$F$2,Учет!$H17,0)</f>
        <v>707750</v>
      </c>
      <c r="R17" s="48">
        <f>IF(Учет!$O17=Справочники!$F$3,Учет!$H17,0)</f>
        <v>0</v>
      </c>
      <c r="S17" s="48">
        <f>IF(Учет!$O17=Справочники!$F$4,Учет!$H17,0)</f>
        <v>0</v>
      </c>
      <c r="T17" s="48">
        <f>IF(Учет!$O17=Справочники!$F$5,Учет!$H17,0)</f>
        <v>0</v>
      </c>
      <c r="U17" s="48">
        <f>IF(Учет!$O17=Справочники!$F$6,Учет!$H17,0)</f>
        <v>0</v>
      </c>
      <c r="V17" s="43">
        <f>V16+Учет!$B17-Q17</f>
        <v>663750</v>
      </c>
      <c r="W17" s="43">
        <f>W16+Учет!$C17-R17</f>
        <v>0</v>
      </c>
      <c r="X17" s="43">
        <f>X16+Учет!$D17-S17</f>
        <v>7855</v>
      </c>
      <c r="Y17" s="43">
        <f>Y16+Учет!$E17-T17</f>
        <v>100000</v>
      </c>
      <c r="Z17" s="43">
        <f>Z16+Учет!$F17-U17</f>
        <v>0</v>
      </c>
      <c r="AA17" s="45">
        <f>Учет!$I17</f>
        <v>771605</v>
      </c>
    </row>
    <row r="18" spans="1:27" ht="15" customHeight="1" x14ac:dyDescent="0.25">
      <c r="A18" s="1">
        <v>45142</v>
      </c>
      <c r="B18" s="17"/>
      <c r="C18" s="17"/>
      <c r="D18" s="17"/>
      <c r="E18" s="17"/>
      <c r="F18" s="17"/>
      <c r="G18" s="4">
        <f>SUM($B18:$F18)</f>
        <v>0</v>
      </c>
      <c r="H18" s="17">
        <v>6000</v>
      </c>
      <c r="I18" s="4">
        <f>$I17+$G18-$H18</f>
        <v>765605</v>
      </c>
      <c r="J18" s="32" t="str">
        <f>IF($A19&lt;&gt;$A18,$I18,"")</f>
        <v/>
      </c>
      <c r="K18" s="72" t="s">
        <v>18</v>
      </c>
      <c r="L18" s="72" t="s">
        <v>162</v>
      </c>
      <c r="M18" s="2" t="s">
        <v>11</v>
      </c>
      <c r="N18" s="5" t="s">
        <v>21</v>
      </c>
      <c r="O18" s="6" t="s">
        <v>37</v>
      </c>
      <c r="P18" s="6" t="s">
        <v>67</v>
      </c>
      <c r="Q18" s="48">
        <f>IF(Учет!$O18=Справочники!$F$2,Учет!$H18,0)</f>
        <v>6000</v>
      </c>
      <c r="R18" s="48">
        <f>IF(Учет!$O18=Справочники!$F$3,Учет!$H18,0)</f>
        <v>0</v>
      </c>
      <c r="S18" s="48">
        <f>IF(Учет!$O18=Справочники!$F$4,Учет!$H18,0)</f>
        <v>0</v>
      </c>
      <c r="T18" s="48">
        <f>IF(Учет!$O18=Справочники!$F$5,Учет!$H18,0)</f>
        <v>0</v>
      </c>
      <c r="U18" s="48">
        <f>IF(Учет!$O18=Справочники!$F$6,Учет!$H18,0)</f>
        <v>0</v>
      </c>
      <c r="V18" s="43">
        <f>V17+Учет!$B18-Q18</f>
        <v>657750</v>
      </c>
      <c r="W18" s="43">
        <f>W17+Учет!$C18-R18</f>
        <v>0</v>
      </c>
      <c r="X18" s="43">
        <f>X17+Учет!$D18-S18</f>
        <v>7855</v>
      </c>
      <c r="Y18" s="43">
        <f>Y17+Учет!$E18-T18</f>
        <v>100000</v>
      </c>
      <c r="Z18" s="43">
        <f>Z17+Учет!$F18-U18</f>
        <v>0</v>
      </c>
      <c r="AA18" s="45">
        <f>Учет!$I18</f>
        <v>765605</v>
      </c>
    </row>
    <row r="19" spans="1:27" ht="15" customHeight="1" x14ac:dyDescent="0.25">
      <c r="A19" s="1">
        <v>45142</v>
      </c>
      <c r="B19" s="17"/>
      <c r="C19" s="17"/>
      <c r="D19" s="17">
        <v>300000</v>
      </c>
      <c r="E19" s="17"/>
      <c r="F19" s="17"/>
      <c r="G19" s="4">
        <f>SUM($B19:$F19)</f>
        <v>300000</v>
      </c>
      <c r="H19" s="17"/>
      <c r="I19" s="4">
        <f>$I18+$G19-$H19</f>
        <v>1065605</v>
      </c>
      <c r="J19" s="32">
        <f>IF($A20&lt;&gt;$A19,$I19,"")</f>
        <v>1065605</v>
      </c>
      <c r="K19" s="72" t="s">
        <v>93</v>
      </c>
      <c r="L19" s="72"/>
      <c r="M19" s="2" t="s">
        <v>27</v>
      </c>
      <c r="N19" s="5"/>
      <c r="O19" s="6"/>
      <c r="P19" s="6"/>
      <c r="Q19" s="48">
        <f>IF(Учет!$O19=Справочники!$F$2,Учет!$H19,0)</f>
        <v>0</v>
      </c>
      <c r="R19" s="48">
        <f>IF(Учет!$O19=Справочники!$F$3,Учет!$H19,0)</f>
        <v>0</v>
      </c>
      <c r="S19" s="48">
        <f>IF(Учет!$O19=Справочники!$F$4,Учет!$H19,0)</f>
        <v>0</v>
      </c>
      <c r="T19" s="48">
        <f>IF(Учет!$O19=Справочники!$F$5,Учет!$H19,0)</f>
        <v>0</v>
      </c>
      <c r="U19" s="48">
        <f>IF(Учет!$O19=Справочники!$F$6,Учет!$H19,0)</f>
        <v>0</v>
      </c>
      <c r="V19" s="43">
        <f>V18+Учет!$B19-Q19</f>
        <v>657750</v>
      </c>
      <c r="W19" s="43">
        <f>W18+Учет!$C19-R19</f>
        <v>0</v>
      </c>
      <c r="X19" s="43">
        <f>X18+Учет!$D19-S19</f>
        <v>307855</v>
      </c>
      <c r="Y19" s="43">
        <f>Y18+Учет!$E19-T19</f>
        <v>100000</v>
      </c>
      <c r="Z19" s="43">
        <f>Z18+Учет!$F19-U19</f>
        <v>0</v>
      </c>
      <c r="AA19" s="45">
        <f>Учет!$I19</f>
        <v>1065605</v>
      </c>
    </row>
    <row r="20" spans="1:27" x14ac:dyDescent="0.25">
      <c r="A20" s="1">
        <v>45143</v>
      </c>
      <c r="B20" s="17"/>
      <c r="C20" s="17">
        <v>100000</v>
      </c>
      <c r="D20" s="17"/>
      <c r="E20" s="17"/>
      <c r="F20" s="17"/>
      <c r="G20" s="4">
        <f>SUM($B20:$F20)</f>
        <v>100000</v>
      </c>
      <c r="H20" s="17">
        <v>100000</v>
      </c>
      <c r="I20" s="4">
        <f>$I19+$G20-$H20</f>
        <v>1065605</v>
      </c>
      <c r="J20" s="32" t="str">
        <f>IF($A21&lt;&gt;$A20,$I20,"")</f>
        <v/>
      </c>
      <c r="K20" s="72" t="s">
        <v>104</v>
      </c>
      <c r="L20" s="72" t="s">
        <v>253</v>
      </c>
      <c r="M20" s="2"/>
      <c r="N20" s="5" t="s">
        <v>19</v>
      </c>
      <c r="O20" s="6" t="s">
        <v>56</v>
      </c>
      <c r="P20" s="6"/>
      <c r="Q20" s="48">
        <f>IF(Учет!$O20=Справочники!$F$2,Учет!$H20,0)</f>
        <v>0</v>
      </c>
      <c r="R20" s="48">
        <f>IF(Учет!$O20=Справочники!$F$3,Учет!$H20,0)</f>
        <v>0</v>
      </c>
      <c r="S20" s="48">
        <f>IF(Учет!$O20=Справочники!$F$4,Учет!$H20,0)</f>
        <v>100000</v>
      </c>
      <c r="T20" s="48">
        <f>IF(Учет!$O20=Справочники!$F$5,Учет!$H20,0)</f>
        <v>0</v>
      </c>
      <c r="U20" s="48">
        <f>IF(Учет!$O20=Справочники!$F$6,Учет!$H20,0)</f>
        <v>0</v>
      </c>
      <c r="V20" s="43">
        <f>V19+Учет!$B20-Q20</f>
        <v>657750</v>
      </c>
      <c r="W20" s="43">
        <f>W19+Учет!$C20-R20</f>
        <v>100000</v>
      </c>
      <c r="X20" s="43">
        <f>X19+Учет!$D20-S20</f>
        <v>207855</v>
      </c>
      <c r="Y20" s="43">
        <f>Y19+Учет!$E20-T20</f>
        <v>100000</v>
      </c>
      <c r="Z20" s="43">
        <f>Z19+Учет!$F20-U20</f>
        <v>0</v>
      </c>
      <c r="AA20" s="45">
        <f>Учет!$I20</f>
        <v>1065605</v>
      </c>
    </row>
    <row r="21" spans="1:27" ht="15" customHeight="1" x14ac:dyDescent="0.25">
      <c r="A21" s="1">
        <v>45143</v>
      </c>
      <c r="B21" s="17"/>
      <c r="C21" s="17"/>
      <c r="D21" s="17"/>
      <c r="E21" s="17"/>
      <c r="F21" s="17"/>
      <c r="G21" s="4">
        <f>SUM($B21:$F21)</f>
        <v>0</v>
      </c>
      <c r="H21" s="17">
        <v>7000</v>
      </c>
      <c r="I21" s="4">
        <f>$I20+$G21-$H21</f>
        <v>1058605</v>
      </c>
      <c r="J21" s="32" t="str">
        <f>IF($A22&lt;&gt;$A21,$I21,"")</f>
        <v/>
      </c>
      <c r="K21" s="72" t="s">
        <v>18</v>
      </c>
      <c r="L21" s="72" t="s">
        <v>159</v>
      </c>
      <c r="M21" s="2"/>
      <c r="N21" s="5"/>
      <c r="O21" s="6" t="s">
        <v>56</v>
      </c>
      <c r="P21" s="6"/>
      <c r="Q21" s="48">
        <f>IF(Учет!$O21=Справочники!$F$2,Учет!$H21,0)</f>
        <v>0</v>
      </c>
      <c r="R21" s="48">
        <f>IF(Учет!$O21=Справочники!$F$3,Учет!$H21,0)</f>
        <v>0</v>
      </c>
      <c r="S21" s="48">
        <f>IF(Учет!$O21=Справочники!$F$4,Учет!$H21,0)</f>
        <v>7000</v>
      </c>
      <c r="T21" s="48">
        <f>IF(Учет!$O21=Справочники!$F$5,Учет!$H21,0)</f>
        <v>0</v>
      </c>
      <c r="U21" s="48">
        <f>IF(Учет!$O21=Справочники!$F$6,Учет!$H21,0)</f>
        <v>0</v>
      </c>
      <c r="V21" s="43">
        <f>V20+Учет!$B21-Q21</f>
        <v>657750</v>
      </c>
      <c r="W21" s="43">
        <f>W20+Учет!$C21-R21</f>
        <v>100000</v>
      </c>
      <c r="X21" s="43">
        <f>X20+Учет!$D21-S21</f>
        <v>200855</v>
      </c>
      <c r="Y21" s="43">
        <f>Y20+Учет!$E21-T21</f>
        <v>100000</v>
      </c>
      <c r="Z21" s="43">
        <f>Z20+Учет!$F21-U21</f>
        <v>0</v>
      </c>
      <c r="AA21" s="45">
        <f>Учет!$I21</f>
        <v>1058605</v>
      </c>
    </row>
    <row r="22" spans="1:27" ht="15" customHeight="1" x14ac:dyDescent="0.25">
      <c r="A22" s="1">
        <v>45143</v>
      </c>
      <c r="B22" s="17"/>
      <c r="C22" s="17"/>
      <c r="D22" s="17"/>
      <c r="E22" s="17"/>
      <c r="F22" s="17"/>
      <c r="G22" s="4">
        <f>SUM($B22:$F22)</f>
        <v>0</v>
      </c>
      <c r="H22" s="17">
        <v>30000</v>
      </c>
      <c r="I22" s="4">
        <f>$I21+$G22-$H22</f>
        <v>1028605</v>
      </c>
      <c r="J22" s="32" t="str">
        <f>IF($A23&lt;&gt;$A22,$I22,"")</f>
        <v/>
      </c>
      <c r="K22" s="72" t="s">
        <v>18</v>
      </c>
      <c r="L22" s="72" t="s">
        <v>163</v>
      </c>
      <c r="M22" s="2" t="s">
        <v>33</v>
      </c>
      <c r="N22" s="5"/>
      <c r="O22" s="6" t="s">
        <v>56</v>
      </c>
      <c r="P22" s="6" t="s">
        <v>68</v>
      </c>
      <c r="Q22" s="48">
        <f>IF(Учет!$O22=Справочники!$F$2,Учет!$H22,0)</f>
        <v>0</v>
      </c>
      <c r="R22" s="48">
        <f>IF(Учет!$O22=Справочники!$F$3,Учет!$H22,0)</f>
        <v>0</v>
      </c>
      <c r="S22" s="48">
        <f>IF(Учет!$O22=Справочники!$F$4,Учет!$H22,0)</f>
        <v>30000</v>
      </c>
      <c r="T22" s="48">
        <f>IF(Учет!$O22=Справочники!$F$5,Учет!$H22,0)</f>
        <v>0</v>
      </c>
      <c r="U22" s="48">
        <f>IF(Учет!$O22=Справочники!$F$6,Учет!$H22,0)</f>
        <v>0</v>
      </c>
      <c r="V22" s="43">
        <f>V21+Учет!$B22-Q22</f>
        <v>657750</v>
      </c>
      <c r="W22" s="43">
        <f>W21+Учет!$C22-R22</f>
        <v>100000</v>
      </c>
      <c r="X22" s="43">
        <f>X21+Учет!$D22-S22</f>
        <v>170855</v>
      </c>
      <c r="Y22" s="43">
        <f>Y21+Учет!$E22-T22</f>
        <v>100000</v>
      </c>
      <c r="Z22" s="43">
        <f>Z21+Учет!$F22-U22</f>
        <v>0</v>
      </c>
      <c r="AA22" s="45">
        <f>Учет!$I22</f>
        <v>1028605</v>
      </c>
    </row>
    <row r="23" spans="1:27" ht="15" customHeight="1" x14ac:dyDescent="0.25">
      <c r="A23" s="1">
        <v>45143</v>
      </c>
      <c r="B23" s="17"/>
      <c r="C23" s="17"/>
      <c r="D23" s="17"/>
      <c r="E23" s="17"/>
      <c r="F23" s="17"/>
      <c r="G23" s="4">
        <f>SUM($B23:$F23)</f>
        <v>0</v>
      </c>
      <c r="H23" s="17">
        <v>26000</v>
      </c>
      <c r="I23" s="4">
        <f>$I22+$G23-$H23</f>
        <v>1002605</v>
      </c>
      <c r="J23" s="32" t="str">
        <f>IF($A24&lt;&gt;$A23,$I23,"")</f>
        <v/>
      </c>
      <c r="K23" s="72" t="s">
        <v>18</v>
      </c>
      <c r="L23" s="72" t="s">
        <v>164</v>
      </c>
      <c r="M23" s="2" t="s">
        <v>12</v>
      </c>
      <c r="N23" s="5"/>
      <c r="O23" s="6" t="s">
        <v>56</v>
      </c>
      <c r="P23" s="6" t="s">
        <v>23</v>
      </c>
      <c r="Q23" s="48">
        <f>IF(Учет!$O23=Справочники!$F$2,Учет!$H23,0)</f>
        <v>0</v>
      </c>
      <c r="R23" s="48">
        <f>IF(Учет!$O23=Справочники!$F$3,Учет!$H23,0)</f>
        <v>0</v>
      </c>
      <c r="S23" s="48">
        <f>IF(Учет!$O23=Справочники!$F$4,Учет!$H23,0)</f>
        <v>26000</v>
      </c>
      <c r="T23" s="48">
        <f>IF(Учет!$O23=Справочники!$F$5,Учет!$H23,0)</f>
        <v>0</v>
      </c>
      <c r="U23" s="48">
        <f>IF(Учет!$O23=Справочники!$F$6,Учет!$H23,0)</f>
        <v>0</v>
      </c>
      <c r="V23" s="43">
        <f>V22+Учет!$B23-Q23</f>
        <v>657750</v>
      </c>
      <c r="W23" s="43">
        <f>W22+Учет!$C23-R23</f>
        <v>100000</v>
      </c>
      <c r="X23" s="43">
        <f>X22+Учет!$D23-S23</f>
        <v>144855</v>
      </c>
      <c r="Y23" s="43">
        <f>Y22+Учет!$E23-T23</f>
        <v>100000</v>
      </c>
      <c r="Z23" s="43">
        <f>Z22+Учет!$F23-U23</f>
        <v>0</v>
      </c>
      <c r="AA23" s="45">
        <f>Учет!$I23</f>
        <v>1002605</v>
      </c>
    </row>
    <row r="24" spans="1:27" ht="15" customHeight="1" x14ac:dyDescent="0.25">
      <c r="A24" s="1">
        <v>45143</v>
      </c>
      <c r="B24" s="17"/>
      <c r="C24" s="17"/>
      <c r="D24" s="17"/>
      <c r="E24" s="17"/>
      <c r="F24" s="17"/>
      <c r="G24" s="4">
        <f>SUM($B24:$F24)</f>
        <v>0</v>
      </c>
      <c r="H24" s="17">
        <v>50000</v>
      </c>
      <c r="I24" s="4">
        <f>$I23+$G24-$H24</f>
        <v>952605</v>
      </c>
      <c r="J24" s="32" t="str">
        <f>IF($A25&lt;&gt;$A24,$I24,"")</f>
        <v/>
      </c>
      <c r="K24" s="72" t="s">
        <v>93</v>
      </c>
      <c r="L24" s="72"/>
      <c r="M24" s="2" t="s">
        <v>13</v>
      </c>
      <c r="N24" s="5" t="s">
        <v>29</v>
      </c>
      <c r="O24" s="6" t="s">
        <v>56</v>
      </c>
      <c r="P24" s="6"/>
      <c r="Q24" s="48">
        <f>IF(Учет!$O24=Справочники!$F$2,Учет!$H24,0)</f>
        <v>0</v>
      </c>
      <c r="R24" s="48">
        <f>IF(Учет!$O24=Справочники!$F$3,Учет!$H24,0)</f>
        <v>0</v>
      </c>
      <c r="S24" s="48">
        <f>IF(Учет!$O24=Справочники!$F$4,Учет!$H24,0)</f>
        <v>50000</v>
      </c>
      <c r="T24" s="48">
        <f>IF(Учет!$O24=Справочники!$F$5,Учет!$H24,0)</f>
        <v>0</v>
      </c>
      <c r="U24" s="48">
        <f>IF(Учет!$O24=Справочники!$F$6,Учет!$H24,0)</f>
        <v>0</v>
      </c>
      <c r="V24" s="43">
        <f>V23+Учет!$B24-Q24</f>
        <v>657750</v>
      </c>
      <c r="W24" s="43">
        <f>W23+Учет!$C24-R24</f>
        <v>100000</v>
      </c>
      <c r="X24" s="43">
        <f>X23+Учет!$D24-S24</f>
        <v>94855</v>
      </c>
      <c r="Y24" s="43">
        <f>Y23+Учет!$E24-T24</f>
        <v>100000</v>
      </c>
      <c r="Z24" s="43">
        <f>Z23+Учет!$F24-U24</f>
        <v>0</v>
      </c>
      <c r="AA24" s="45">
        <f>Учет!$I24</f>
        <v>952605</v>
      </c>
    </row>
    <row r="25" spans="1:27" ht="15" customHeight="1" x14ac:dyDescent="0.25">
      <c r="A25" s="1">
        <v>45143</v>
      </c>
      <c r="B25" s="17"/>
      <c r="C25" s="17"/>
      <c r="D25" s="17"/>
      <c r="E25" s="17"/>
      <c r="F25" s="17"/>
      <c r="G25" s="4">
        <f>SUM($B25:$F25)</f>
        <v>0</v>
      </c>
      <c r="H25" s="17">
        <v>1500</v>
      </c>
      <c r="I25" s="4">
        <f>$I24+$G25-$H25</f>
        <v>951105</v>
      </c>
      <c r="J25" s="32" t="str">
        <f>IF($A26&lt;&gt;$A25,$I25,"")</f>
        <v/>
      </c>
      <c r="K25" s="72" t="s">
        <v>92</v>
      </c>
      <c r="L25" s="72" t="s">
        <v>254</v>
      </c>
      <c r="M25" s="2"/>
      <c r="N25" s="5" t="s">
        <v>20</v>
      </c>
      <c r="O25" s="6" t="s">
        <v>56</v>
      </c>
      <c r="P25" s="6"/>
      <c r="Q25" s="48">
        <f>IF(Учет!$O25=Справочники!$F$2,Учет!$H25,0)</f>
        <v>0</v>
      </c>
      <c r="R25" s="48">
        <f>IF(Учет!$O25=Справочники!$F$3,Учет!$H25,0)</f>
        <v>0</v>
      </c>
      <c r="S25" s="48">
        <f>IF(Учет!$O25=Справочники!$F$4,Учет!$H25,0)</f>
        <v>1500</v>
      </c>
      <c r="T25" s="48">
        <f>IF(Учет!$O25=Справочники!$F$5,Учет!$H25,0)</f>
        <v>0</v>
      </c>
      <c r="U25" s="48">
        <f>IF(Учет!$O25=Справочники!$F$6,Учет!$H25,0)</f>
        <v>0</v>
      </c>
      <c r="V25" s="43">
        <f>V24+Учет!$B25-Q25</f>
        <v>657750</v>
      </c>
      <c r="W25" s="43">
        <f>W24+Учет!$C25-R25</f>
        <v>100000</v>
      </c>
      <c r="X25" s="43">
        <f>X24+Учет!$D25-S25</f>
        <v>93355</v>
      </c>
      <c r="Y25" s="43">
        <f>Y24+Учет!$E25-T25</f>
        <v>100000</v>
      </c>
      <c r="Z25" s="43">
        <f>Z24+Учет!$F25-U25</f>
        <v>0</v>
      </c>
      <c r="AA25" s="45">
        <f>Учет!$I25</f>
        <v>951105</v>
      </c>
    </row>
    <row r="26" spans="1:27" ht="15" customHeight="1" x14ac:dyDescent="0.25">
      <c r="A26" s="1">
        <v>45143</v>
      </c>
      <c r="B26" s="17"/>
      <c r="C26" s="17"/>
      <c r="D26" s="17"/>
      <c r="E26" s="17"/>
      <c r="F26" s="17"/>
      <c r="G26" s="4">
        <f>SUM($B26:$F26)</f>
        <v>0</v>
      </c>
      <c r="H26" s="17">
        <v>1500</v>
      </c>
      <c r="I26" s="4">
        <f>$I25+$G26-$H26</f>
        <v>949605</v>
      </c>
      <c r="J26" s="32" t="str">
        <f>IF($A27&lt;&gt;$A26,$I26,"")</f>
        <v/>
      </c>
      <c r="K26" s="72" t="s">
        <v>18</v>
      </c>
      <c r="L26" s="72" t="s">
        <v>20</v>
      </c>
      <c r="M26" s="2"/>
      <c r="N26" s="5" t="s">
        <v>20</v>
      </c>
      <c r="O26" s="6" t="s">
        <v>56</v>
      </c>
      <c r="P26" s="6"/>
      <c r="Q26" s="48">
        <f>IF(Учет!$O26=Справочники!$F$2,Учет!$H26,0)</f>
        <v>0</v>
      </c>
      <c r="R26" s="48">
        <f>IF(Учет!$O26=Справочники!$F$3,Учет!$H26,0)</f>
        <v>0</v>
      </c>
      <c r="S26" s="48">
        <f>IF(Учет!$O26=Справочники!$F$4,Учет!$H26,0)</f>
        <v>1500</v>
      </c>
      <c r="T26" s="48">
        <f>IF(Учет!$O26=Справочники!$F$5,Учет!$H26,0)</f>
        <v>0</v>
      </c>
      <c r="U26" s="48">
        <f>IF(Учет!$O26=Справочники!$F$6,Учет!$H26,0)</f>
        <v>0</v>
      </c>
      <c r="V26" s="43">
        <f>V25+Учет!$B26-Q26</f>
        <v>657750</v>
      </c>
      <c r="W26" s="43">
        <f>W25+Учет!$C26-R26</f>
        <v>100000</v>
      </c>
      <c r="X26" s="43">
        <f>X25+Учет!$D26-S26</f>
        <v>91855</v>
      </c>
      <c r="Y26" s="43">
        <f>Y25+Учет!$E26-T26</f>
        <v>100000</v>
      </c>
      <c r="Z26" s="43">
        <f>Z25+Учет!$F26-U26</f>
        <v>0</v>
      </c>
      <c r="AA26" s="45">
        <f>Учет!$I26</f>
        <v>949605</v>
      </c>
    </row>
    <row r="27" spans="1:27" ht="15" customHeight="1" x14ac:dyDescent="0.25">
      <c r="A27" s="1">
        <v>45143</v>
      </c>
      <c r="B27" s="17"/>
      <c r="C27" s="17"/>
      <c r="D27" s="17"/>
      <c r="E27" s="17"/>
      <c r="F27" s="17"/>
      <c r="G27" s="4">
        <f>SUM($B27:$F27)</f>
        <v>0</v>
      </c>
      <c r="H27" s="17">
        <v>17000</v>
      </c>
      <c r="I27" s="4">
        <f>$I26+$G27-$H27</f>
        <v>932605</v>
      </c>
      <c r="J27" s="32" t="str">
        <f>IF($A28&lt;&gt;$A27,$I27,"")</f>
        <v/>
      </c>
      <c r="K27" s="72" t="s">
        <v>101</v>
      </c>
      <c r="L27" s="72" t="s">
        <v>246</v>
      </c>
      <c r="M27" s="2"/>
      <c r="N27" s="5" t="s">
        <v>21</v>
      </c>
      <c r="O27" s="6" t="s">
        <v>56</v>
      </c>
      <c r="P27" s="6"/>
      <c r="Q27" s="48">
        <f>IF(Учет!$O27=Справочники!$F$2,Учет!$H27,0)</f>
        <v>0</v>
      </c>
      <c r="R27" s="48">
        <f>IF(Учет!$O27=Справочники!$F$3,Учет!$H27,0)</f>
        <v>0</v>
      </c>
      <c r="S27" s="48">
        <f>IF(Учет!$O27=Справочники!$F$4,Учет!$H27,0)</f>
        <v>17000</v>
      </c>
      <c r="T27" s="48">
        <f>IF(Учет!$O27=Справочники!$F$5,Учет!$H27,0)</f>
        <v>0</v>
      </c>
      <c r="U27" s="48">
        <f>IF(Учет!$O27=Справочники!$F$6,Учет!$H27,0)</f>
        <v>0</v>
      </c>
      <c r="V27" s="43">
        <f>V26+Учет!$B27-Q27</f>
        <v>657750</v>
      </c>
      <c r="W27" s="43">
        <f>W26+Учет!$C27-R27</f>
        <v>100000</v>
      </c>
      <c r="X27" s="43">
        <f>X26+Учет!$D27-S27</f>
        <v>74855</v>
      </c>
      <c r="Y27" s="43">
        <f>Y26+Учет!$E27-T27</f>
        <v>100000</v>
      </c>
      <c r="Z27" s="43">
        <f>Z26+Учет!$F27-U27</f>
        <v>0</v>
      </c>
      <c r="AA27" s="45">
        <f>Учет!$I27</f>
        <v>932605</v>
      </c>
    </row>
    <row r="28" spans="1:27" ht="15" customHeight="1" x14ac:dyDescent="0.25">
      <c r="A28" s="1">
        <v>45143</v>
      </c>
      <c r="B28" s="17"/>
      <c r="C28" s="17"/>
      <c r="D28" s="17"/>
      <c r="E28" s="17"/>
      <c r="F28" s="17"/>
      <c r="G28" s="4">
        <f>SUM($B28:$F28)</f>
        <v>0</v>
      </c>
      <c r="H28" s="17">
        <v>11000</v>
      </c>
      <c r="I28" s="4">
        <f>$I27+$G28-$H28</f>
        <v>921605</v>
      </c>
      <c r="J28" s="32" t="str">
        <f>IF($A29&lt;&gt;$A28,$I28,"")</f>
        <v/>
      </c>
      <c r="K28" s="72" t="s">
        <v>92</v>
      </c>
      <c r="L28" s="72" t="s">
        <v>255</v>
      </c>
      <c r="M28" s="2"/>
      <c r="N28" s="5" t="s">
        <v>21</v>
      </c>
      <c r="O28" s="6" t="s">
        <v>56</v>
      </c>
      <c r="P28" s="6"/>
      <c r="Q28" s="48">
        <f>IF(Учет!$O28=Справочники!$F$2,Учет!$H28,0)</f>
        <v>0</v>
      </c>
      <c r="R28" s="48">
        <f>IF(Учет!$O28=Справочники!$F$3,Учет!$H28,0)</f>
        <v>0</v>
      </c>
      <c r="S28" s="48">
        <f>IF(Учет!$O28=Справочники!$F$4,Учет!$H28,0)</f>
        <v>11000</v>
      </c>
      <c r="T28" s="48">
        <f>IF(Учет!$O28=Справочники!$F$5,Учет!$H28,0)</f>
        <v>0</v>
      </c>
      <c r="U28" s="48">
        <f>IF(Учет!$O28=Справочники!$F$6,Учет!$H28,0)</f>
        <v>0</v>
      </c>
      <c r="V28" s="43">
        <f>V27+Учет!$B28-Q28</f>
        <v>657750</v>
      </c>
      <c r="W28" s="43">
        <f>W27+Учет!$C28-R28</f>
        <v>100000</v>
      </c>
      <c r="X28" s="43">
        <f>X27+Учет!$D28-S28</f>
        <v>63855</v>
      </c>
      <c r="Y28" s="43">
        <f>Y27+Учет!$E28-T28</f>
        <v>100000</v>
      </c>
      <c r="Z28" s="43">
        <f>Z27+Учет!$F28-U28</f>
        <v>0</v>
      </c>
      <c r="AA28" s="45">
        <f>Учет!$I28</f>
        <v>921605</v>
      </c>
    </row>
    <row r="29" spans="1:27" ht="15" customHeight="1" x14ac:dyDescent="0.25">
      <c r="A29" s="1">
        <v>45143</v>
      </c>
      <c r="B29" s="17"/>
      <c r="C29" s="17"/>
      <c r="D29" s="17">
        <v>190500</v>
      </c>
      <c r="E29" s="17"/>
      <c r="F29" s="17"/>
      <c r="G29" s="4">
        <f>SUM($B29:$F29)</f>
        <v>190500</v>
      </c>
      <c r="H29" s="17"/>
      <c r="I29" s="4">
        <f>$I28+$G29-$H29</f>
        <v>1112105</v>
      </c>
      <c r="J29" s="32">
        <f>IF($A30&lt;&gt;$A29,$I29,"")</f>
        <v>1112105</v>
      </c>
      <c r="K29" s="72" t="s">
        <v>93</v>
      </c>
      <c r="L29" s="72"/>
      <c r="M29" s="2" t="s">
        <v>27</v>
      </c>
      <c r="N29" s="5"/>
      <c r="O29" s="6"/>
      <c r="P29" s="6"/>
      <c r="Q29" s="48">
        <f>IF(Учет!$O29=Справочники!$F$2,Учет!$H29,0)</f>
        <v>0</v>
      </c>
      <c r="R29" s="48">
        <f>IF(Учет!$O29=Справочники!$F$3,Учет!$H29,0)</f>
        <v>0</v>
      </c>
      <c r="S29" s="48">
        <f>IF(Учет!$O29=Справочники!$F$4,Учет!$H29,0)</f>
        <v>0</v>
      </c>
      <c r="T29" s="48">
        <f>IF(Учет!$O29=Справочники!$F$5,Учет!$H29,0)</f>
        <v>0</v>
      </c>
      <c r="U29" s="48">
        <f>IF(Учет!$O29=Справочники!$F$6,Учет!$H29,0)</f>
        <v>0</v>
      </c>
      <c r="V29" s="43">
        <f>V28+Учет!$B29-Q29</f>
        <v>657750</v>
      </c>
      <c r="W29" s="43">
        <f>W28+Учет!$C29-R29</f>
        <v>100000</v>
      </c>
      <c r="X29" s="43">
        <f>X28+Учет!$D29-S29</f>
        <v>254355</v>
      </c>
      <c r="Y29" s="43">
        <f>Y28+Учет!$E29-T29</f>
        <v>100000</v>
      </c>
      <c r="Z29" s="43">
        <f>Z28+Учет!$F29-U29</f>
        <v>0</v>
      </c>
      <c r="AA29" s="45">
        <f>Учет!$I29</f>
        <v>1112105</v>
      </c>
    </row>
    <row r="30" spans="1:27" ht="15" customHeight="1" x14ac:dyDescent="0.25">
      <c r="A30" s="1">
        <v>45146</v>
      </c>
      <c r="B30" s="17"/>
      <c r="C30" s="17"/>
      <c r="D30" s="17"/>
      <c r="E30" s="17"/>
      <c r="F30" s="17"/>
      <c r="G30" s="4">
        <f>SUM($B30:$F30)</f>
        <v>0</v>
      </c>
      <c r="H30" s="17">
        <v>6500</v>
      </c>
      <c r="I30" s="4">
        <f>$I29+$G30-$H30</f>
        <v>1105605</v>
      </c>
      <c r="J30" s="32" t="str">
        <f>IF($A31&lt;&gt;$A30,$I30,"")</f>
        <v/>
      </c>
      <c r="K30" s="72" t="s">
        <v>91</v>
      </c>
      <c r="L30" s="72" t="s">
        <v>239</v>
      </c>
      <c r="M30" s="2" t="s">
        <v>11</v>
      </c>
      <c r="N30" s="5" t="s">
        <v>19</v>
      </c>
      <c r="O30" s="6" t="s">
        <v>37</v>
      </c>
      <c r="P30" s="6"/>
      <c r="Q30" s="48">
        <f>IF(Учет!$O30=Справочники!$F$2,Учет!$H30,0)</f>
        <v>6500</v>
      </c>
      <c r="R30" s="48">
        <f>IF(Учет!$O30=Справочники!$F$3,Учет!$H30,0)</f>
        <v>0</v>
      </c>
      <c r="S30" s="48">
        <f>IF(Учет!$O30=Справочники!$F$4,Учет!$H30,0)</f>
        <v>0</v>
      </c>
      <c r="T30" s="48">
        <f>IF(Учет!$O30=Справочники!$F$5,Учет!$H30,0)</f>
        <v>0</v>
      </c>
      <c r="U30" s="48">
        <f>IF(Учет!$O30=Справочники!$F$6,Учет!$H30,0)</f>
        <v>0</v>
      </c>
      <c r="V30" s="43">
        <f>V29+Учет!$B30-Q30</f>
        <v>651250</v>
      </c>
      <c r="W30" s="43">
        <f>W29+Учет!$C30-R30</f>
        <v>100000</v>
      </c>
      <c r="X30" s="43">
        <f>X29+Учет!$D30-S30</f>
        <v>254355</v>
      </c>
      <c r="Y30" s="43">
        <f>Y29+Учет!$E30-T30</f>
        <v>100000</v>
      </c>
      <c r="Z30" s="43">
        <f>Z29+Учет!$F30-U30</f>
        <v>0</v>
      </c>
      <c r="AA30" s="45">
        <f>Учет!$I30</f>
        <v>1105605</v>
      </c>
    </row>
    <row r="31" spans="1:27" ht="15" customHeight="1" x14ac:dyDescent="0.25">
      <c r="A31" s="1">
        <v>45146</v>
      </c>
      <c r="B31" s="17"/>
      <c r="C31" s="17"/>
      <c r="D31" s="17"/>
      <c r="E31" s="17"/>
      <c r="F31" s="17"/>
      <c r="G31" s="4">
        <f>SUM($B31:$F31)</f>
        <v>0</v>
      </c>
      <c r="H31" s="17">
        <v>20000</v>
      </c>
      <c r="I31" s="4">
        <f>$I30+$G31-$H31</f>
        <v>1085605</v>
      </c>
      <c r="J31" s="32" t="str">
        <f>IF($A32&lt;&gt;$A31,$I31,"")</f>
        <v/>
      </c>
      <c r="K31" s="72" t="s">
        <v>18</v>
      </c>
      <c r="L31" s="72" t="s">
        <v>167</v>
      </c>
      <c r="M31" s="2" t="s">
        <v>11</v>
      </c>
      <c r="N31" s="5" t="s">
        <v>21</v>
      </c>
      <c r="O31" s="6" t="s">
        <v>37</v>
      </c>
      <c r="P31" s="6"/>
      <c r="Q31" s="48">
        <f>IF(Учет!$O31=Справочники!$F$2,Учет!$H31,0)</f>
        <v>20000</v>
      </c>
      <c r="R31" s="48">
        <f>IF(Учет!$O31=Справочники!$F$3,Учет!$H31,0)</f>
        <v>0</v>
      </c>
      <c r="S31" s="48">
        <f>IF(Учет!$O31=Справочники!$F$4,Учет!$H31,0)</f>
        <v>0</v>
      </c>
      <c r="T31" s="48">
        <f>IF(Учет!$O31=Справочники!$F$5,Учет!$H31,0)</f>
        <v>0</v>
      </c>
      <c r="U31" s="48">
        <f>IF(Учет!$O31=Справочники!$F$6,Учет!$H31,0)</f>
        <v>0</v>
      </c>
      <c r="V31" s="43">
        <f>V30+Учет!$B31-Q31</f>
        <v>631250</v>
      </c>
      <c r="W31" s="43">
        <f>W30+Учет!$C31-R31</f>
        <v>100000</v>
      </c>
      <c r="X31" s="43">
        <f>X30+Учет!$D31-S31</f>
        <v>254355</v>
      </c>
      <c r="Y31" s="43">
        <f>Y30+Учет!$E31-T31</f>
        <v>100000</v>
      </c>
      <c r="Z31" s="43">
        <f>Z30+Учет!$F31-U31</f>
        <v>0</v>
      </c>
      <c r="AA31" s="45">
        <f>Учет!$I31</f>
        <v>1085605</v>
      </c>
    </row>
    <row r="32" spans="1:27" ht="15" customHeight="1" x14ac:dyDescent="0.25">
      <c r="A32" s="1">
        <v>45146</v>
      </c>
      <c r="B32" s="17"/>
      <c r="C32" s="17"/>
      <c r="D32" s="17"/>
      <c r="E32" s="17"/>
      <c r="F32" s="17"/>
      <c r="G32" s="4">
        <f>SUM($B32:$F32)</f>
        <v>0</v>
      </c>
      <c r="H32" s="17">
        <v>30000</v>
      </c>
      <c r="I32" s="4">
        <f>$I31+$G32-$H32</f>
        <v>1055605</v>
      </c>
      <c r="J32" s="32" t="str">
        <f>IF($A33&lt;&gt;$A32,$I32,"")</f>
        <v/>
      </c>
      <c r="K32" s="72" t="s">
        <v>93</v>
      </c>
      <c r="L32" s="72"/>
      <c r="M32" s="2" t="s">
        <v>13</v>
      </c>
      <c r="N32" s="5" t="s">
        <v>21</v>
      </c>
      <c r="O32" s="6" t="s">
        <v>37</v>
      </c>
      <c r="P32" s="6"/>
      <c r="Q32" s="48">
        <f>IF(Учет!$O32=Справочники!$F$2,Учет!$H32,0)</f>
        <v>30000</v>
      </c>
      <c r="R32" s="48">
        <f>IF(Учет!$O32=Справочники!$F$3,Учет!$H32,0)</f>
        <v>0</v>
      </c>
      <c r="S32" s="48">
        <f>IF(Учет!$O32=Справочники!$F$4,Учет!$H32,0)</f>
        <v>0</v>
      </c>
      <c r="T32" s="48">
        <f>IF(Учет!$O32=Справочники!$F$5,Учет!$H32,0)</f>
        <v>0</v>
      </c>
      <c r="U32" s="48">
        <f>IF(Учет!$O32=Справочники!$F$6,Учет!$H32,0)</f>
        <v>0</v>
      </c>
      <c r="V32" s="43">
        <f>V31+Учет!$B32-Q32</f>
        <v>601250</v>
      </c>
      <c r="W32" s="43">
        <f>W31+Учет!$C32-R32</f>
        <v>100000</v>
      </c>
      <c r="X32" s="43">
        <f>X31+Учет!$D32-S32</f>
        <v>254355</v>
      </c>
      <c r="Y32" s="43">
        <f>Y31+Учет!$E32-T32</f>
        <v>100000</v>
      </c>
      <c r="Z32" s="43">
        <f>Z31+Учет!$F32-U32</f>
        <v>0</v>
      </c>
      <c r="AA32" s="45">
        <f>Учет!$I32</f>
        <v>1055605</v>
      </c>
    </row>
    <row r="33" spans="1:27" ht="15" customHeight="1" x14ac:dyDescent="0.25">
      <c r="A33" s="1">
        <v>45146</v>
      </c>
      <c r="B33" s="17"/>
      <c r="C33" s="17"/>
      <c r="D33" s="17"/>
      <c r="E33" s="17"/>
      <c r="F33" s="17"/>
      <c r="G33" s="4">
        <f>SUM($B33:$F33)</f>
        <v>0</v>
      </c>
      <c r="H33" s="17">
        <v>1000</v>
      </c>
      <c r="I33" s="4">
        <f>$I32+$G33-$H33</f>
        <v>1054605</v>
      </c>
      <c r="J33" s="32" t="str">
        <f>IF($A34&lt;&gt;$A33,$I33,"")</f>
        <v/>
      </c>
      <c r="K33" s="72" t="s">
        <v>18</v>
      </c>
      <c r="L33" s="72" t="s">
        <v>62</v>
      </c>
      <c r="M33" s="2" t="s">
        <v>18</v>
      </c>
      <c r="N33" s="5" t="s">
        <v>62</v>
      </c>
      <c r="O33" s="6" t="s">
        <v>37</v>
      </c>
      <c r="P33" s="6"/>
      <c r="Q33" s="48">
        <f>IF(Учет!$O33=Справочники!$F$2,Учет!$H33,0)</f>
        <v>1000</v>
      </c>
      <c r="R33" s="48">
        <f>IF(Учет!$O33=Справочники!$F$3,Учет!$H33,0)</f>
        <v>0</v>
      </c>
      <c r="S33" s="48">
        <f>IF(Учет!$O33=Справочники!$F$4,Учет!$H33,0)</f>
        <v>0</v>
      </c>
      <c r="T33" s="48">
        <f>IF(Учет!$O33=Справочники!$F$5,Учет!$H33,0)</f>
        <v>0</v>
      </c>
      <c r="U33" s="48">
        <f>IF(Учет!$O33=Справочники!$F$6,Учет!$H33,0)</f>
        <v>0</v>
      </c>
      <c r="V33" s="43">
        <f>V32+Учет!$B33-Q33</f>
        <v>600250</v>
      </c>
      <c r="W33" s="43">
        <f>W32+Учет!$C33-R33</f>
        <v>100000</v>
      </c>
      <c r="X33" s="43">
        <f>X32+Учет!$D33-S33</f>
        <v>254355</v>
      </c>
      <c r="Y33" s="43">
        <f>Y32+Учет!$E33-T33</f>
        <v>100000</v>
      </c>
      <c r="Z33" s="43">
        <f>Z32+Учет!$F33-U33</f>
        <v>0</v>
      </c>
      <c r="AA33" s="45">
        <f>Учет!$I33</f>
        <v>1054605</v>
      </c>
    </row>
    <row r="34" spans="1:27" ht="15" customHeight="1" x14ac:dyDescent="0.25">
      <c r="A34" s="1">
        <v>45146</v>
      </c>
      <c r="B34" s="17"/>
      <c r="C34" s="17">
        <v>86855</v>
      </c>
      <c r="D34" s="17"/>
      <c r="E34" s="17"/>
      <c r="F34" s="17"/>
      <c r="G34" s="4">
        <f>SUM($B34:$F34)</f>
        <v>86855</v>
      </c>
      <c r="H34" s="17">
        <v>86855</v>
      </c>
      <c r="I34" s="4">
        <f>$I33+$G34-$H34</f>
        <v>1054605</v>
      </c>
      <c r="J34" s="32" t="str">
        <f>IF($A35&lt;&gt;$A34,$I34,"")</f>
        <v/>
      </c>
      <c r="K34" s="72" t="s">
        <v>104</v>
      </c>
      <c r="L34" s="72" t="s">
        <v>253</v>
      </c>
      <c r="M34" s="2"/>
      <c r="N34" s="5" t="s">
        <v>19</v>
      </c>
      <c r="O34" s="6" t="s">
        <v>56</v>
      </c>
      <c r="P34" s="6"/>
      <c r="Q34" s="48">
        <f>IF(Учет!$O34=Справочники!$F$2,Учет!$H34,0)</f>
        <v>0</v>
      </c>
      <c r="R34" s="48">
        <f>IF(Учет!$O34=Справочники!$F$3,Учет!$H34,0)</f>
        <v>0</v>
      </c>
      <c r="S34" s="48">
        <f>IF(Учет!$O34=Справочники!$F$4,Учет!$H34,0)</f>
        <v>86855</v>
      </c>
      <c r="T34" s="48">
        <f>IF(Учет!$O34=Справочники!$F$5,Учет!$H34,0)</f>
        <v>0</v>
      </c>
      <c r="U34" s="48">
        <f>IF(Учет!$O34=Справочники!$F$6,Учет!$H34,0)</f>
        <v>0</v>
      </c>
      <c r="V34" s="43">
        <f>V33+Учет!$B34-Q34</f>
        <v>600250</v>
      </c>
      <c r="W34" s="43">
        <f>W33+Учет!$C34-R34</f>
        <v>186855</v>
      </c>
      <c r="X34" s="43">
        <f>X33+Учет!$D34-S34</f>
        <v>167500</v>
      </c>
      <c r="Y34" s="43">
        <f>Y33+Учет!$E34-T34</f>
        <v>100000</v>
      </c>
      <c r="Z34" s="43">
        <f>Z33+Учет!$F34-U34</f>
        <v>0</v>
      </c>
      <c r="AA34" s="45">
        <f>Учет!$I34</f>
        <v>1054605</v>
      </c>
    </row>
    <row r="35" spans="1:27" ht="15" customHeight="1" x14ac:dyDescent="0.25">
      <c r="A35" s="1">
        <v>45146</v>
      </c>
      <c r="B35" s="17"/>
      <c r="C35" s="17">
        <v>150000</v>
      </c>
      <c r="D35" s="17"/>
      <c r="E35" s="17"/>
      <c r="F35" s="17"/>
      <c r="G35" s="4">
        <f>SUM($B35:$F35)</f>
        <v>150000</v>
      </c>
      <c r="H35" s="17">
        <v>150000</v>
      </c>
      <c r="I35" s="4">
        <f>$I34+$G35-$H35</f>
        <v>1054605</v>
      </c>
      <c r="J35" s="32">
        <f>IF($A36&lt;&gt;$A35,$I35,"")</f>
        <v>1054605</v>
      </c>
      <c r="K35" s="72" t="s">
        <v>104</v>
      </c>
      <c r="L35" s="72" t="s">
        <v>253</v>
      </c>
      <c r="M35" s="2"/>
      <c r="N35" s="5" t="s">
        <v>19</v>
      </c>
      <c r="O35" s="6" t="s">
        <v>56</v>
      </c>
      <c r="P35" s="6"/>
      <c r="Q35" s="48">
        <f>IF(Учет!$O35=Справочники!$F$2,Учет!$H35,0)</f>
        <v>0</v>
      </c>
      <c r="R35" s="48">
        <f>IF(Учет!$O35=Справочники!$F$3,Учет!$H35,0)</f>
        <v>0</v>
      </c>
      <c r="S35" s="48">
        <f>IF(Учет!$O35=Справочники!$F$4,Учет!$H35,0)</f>
        <v>150000</v>
      </c>
      <c r="T35" s="48">
        <f>IF(Учет!$O35=Справочники!$F$5,Учет!$H35,0)</f>
        <v>0</v>
      </c>
      <c r="U35" s="48">
        <f>IF(Учет!$O35=Справочники!$F$6,Учет!$H35,0)</f>
        <v>0</v>
      </c>
      <c r="V35" s="43">
        <f>V34+Учет!$B35-Q35</f>
        <v>600250</v>
      </c>
      <c r="W35" s="43">
        <f>W34+Учет!$C35-R35</f>
        <v>336855</v>
      </c>
      <c r="X35" s="43">
        <f>X34+Учет!$D35-S35</f>
        <v>17500</v>
      </c>
      <c r="Y35" s="43">
        <f>Y34+Учет!$E35-T35</f>
        <v>100000</v>
      </c>
      <c r="Z35" s="43">
        <f>Z34+Учет!$F35-U35</f>
        <v>0</v>
      </c>
      <c r="AA35" s="45">
        <f>Учет!$I35</f>
        <v>1054605</v>
      </c>
    </row>
    <row r="36" spans="1:27" ht="15" customHeight="1" x14ac:dyDescent="0.25">
      <c r="A36" s="1">
        <v>45147</v>
      </c>
      <c r="B36" s="17"/>
      <c r="C36" s="17"/>
      <c r="D36" s="17"/>
      <c r="E36" s="17"/>
      <c r="F36" s="17"/>
      <c r="G36" s="4">
        <f>SUM($B36:$F36)</f>
        <v>0</v>
      </c>
      <c r="H36" s="17">
        <v>39800</v>
      </c>
      <c r="I36" s="4">
        <f>$I35+$G36-$H36</f>
        <v>1014805</v>
      </c>
      <c r="J36" s="32" t="str">
        <f>IF($A37&lt;&gt;$A36,$I36,"")</f>
        <v/>
      </c>
      <c r="K36" s="72" t="s">
        <v>91</v>
      </c>
      <c r="L36" s="72" t="s">
        <v>240</v>
      </c>
      <c r="M36" s="2" t="s">
        <v>12</v>
      </c>
      <c r="N36" s="5" t="s">
        <v>62</v>
      </c>
      <c r="O36" s="6" t="s">
        <v>57</v>
      </c>
      <c r="P36" s="6"/>
      <c r="Q36" s="48">
        <f>IF(Учет!$O36=Справочники!$F$2,Учет!$H36,0)</f>
        <v>0</v>
      </c>
      <c r="R36" s="48">
        <f>IF(Учет!$O36=Справочники!$F$3,Учет!$H36,0)</f>
        <v>0</v>
      </c>
      <c r="S36" s="48">
        <f>IF(Учет!$O36=Справочники!$F$4,Учет!$H36,0)</f>
        <v>0</v>
      </c>
      <c r="T36" s="48">
        <f>IF(Учет!$O36=Справочники!$F$5,Учет!$H36,0)</f>
        <v>39800</v>
      </c>
      <c r="U36" s="48">
        <f>IF(Учет!$O36=Справочники!$F$6,Учет!$H36,0)</f>
        <v>0</v>
      </c>
      <c r="V36" s="43">
        <f>V35+Учет!$B36-Q36</f>
        <v>600250</v>
      </c>
      <c r="W36" s="43">
        <f>W35+Учет!$C36-R36</f>
        <v>336855</v>
      </c>
      <c r="X36" s="43">
        <f>X35+Учет!$D36-S36</f>
        <v>17500</v>
      </c>
      <c r="Y36" s="43">
        <f>Y35+Учет!$E36-T36</f>
        <v>60200</v>
      </c>
      <c r="Z36" s="43">
        <f>Z35+Учет!$F36-U36</f>
        <v>0</v>
      </c>
      <c r="AA36" s="45">
        <f>Учет!$I36</f>
        <v>1014805</v>
      </c>
    </row>
    <row r="37" spans="1:27" ht="15" customHeight="1" x14ac:dyDescent="0.25">
      <c r="A37" s="1">
        <v>45147</v>
      </c>
      <c r="B37" s="17">
        <v>317200</v>
      </c>
      <c r="C37" s="17"/>
      <c r="D37" s="17"/>
      <c r="E37" s="17"/>
      <c r="F37" s="17"/>
      <c r="G37" s="4">
        <f>SUM($B37:$F37)</f>
        <v>317200</v>
      </c>
      <c r="H37" s="17"/>
      <c r="I37" s="4">
        <f>$I36+$G37-$H37</f>
        <v>1332005</v>
      </c>
      <c r="J37" s="32" t="str">
        <f>IF($A38&lt;&gt;$A37,$I37,"")</f>
        <v/>
      </c>
      <c r="K37" s="72" t="s">
        <v>93</v>
      </c>
      <c r="L37" s="72"/>
      <c r="M37" s="2" t="s">
        <v>14</v>
      </c>
      <c r="N37" s="5"/>
      <c r="O37" s="6"/>
      <c r="P37" s="6" t="s">
        <v>69</v>
      </c>
      <c r="Q37" s="48">
        <f>IF(Учет!$O37=Справочники!$F$2,Учет!$H37,0)</f>
        <v>0</v>
      </c>
      <c r="R37" s="48">
        <f>IF(Учет!$O37=Справочники!$F$3,Учет!$H37,0)</f>
        <v>0</v>
      </c>
      <c r="S37" s="48">
        <f>IF(Учет!$O37=Справочники!$F$4,Учет!$H37,0)</f>
        <v>0</v>
      </c>
      <c r="T37" s="48">
        <f>IF(Учет!$O37=Справочники!$F$5,Учет!$H37,0)</f>
        <v>0</v>
      </c>
      <c r="U37" s="48">
        <f>IF(Учет!$O37=Справочники!$F$6,Учет!$H37,0)</f>
        <v>0</v>
      </c>
      <c r="V37" s="43">
        <f>V36+Учет!$B37-Q37</f>
        <v>917450</v>
      </c>
      <c r="W37" s="43">
        <f>W36+Учет!$C37-R37</f>
        <v>336855</v>
      </c>
      <c r="X37" s="43">
        <f>X36+Учет!$D37-S37</f>
        <v>17500</v>
      </c>
      <c r="Y37" s="43">
        <f>Y36+Учет!$E37-T37</f>
        <v>60200</v>
      </c>
      <c r="Z37" s="43">
        <f>Z36+Учет!$F37-U37</f>
        <v>0</v>
      </c>
      <c r="AA37" s="45">
        <f>Учет!$I37</f>
        <v>1332005</v>
      </c>
    </row>
    <row r="38" spans="1:27" ht="15" customHeight="1" x14ac:dyDescent="0.25">
      <c r="A38" s="1">
        <v>45147</v>
      </c>
      <c r="B38" s="17"/>
      <c r="C38" s="17"/>
      <c r="D38" s="17"/>
      <c r="E38" s="17"/>
      <c r="F38" s="17"/>
      <c r="G38" s="4">
        <f>SUM($B38:$F38)</f>
        <v>0</v>
      </c>
      <c r="H38" s="17">
        <v>143800</v>
      </c>
      <c r="I38" s="4">
        <f>$I37+$G38-$H38</f>
        <v>1188205</v>
      </c>
      <c r="J38" s="32" t="str">
        <f>IF($A39&lt;&gt;$A38,$I38,"")</f>
        <v/>
      </c>
      <c r="K38" s="72" t="s">
        <v>18</v>
      </c>
      <c r="L38" s="72" t="s">
        <v>161</v>
      </c>
      <c r="M38" s="2" t="s">
        <v>16</v>
      </c>
      <c r="N38" s="5" t="s">
        <v>21</v>
      </c>
      <c r="O38" s="6" t="s">
        <v>37</v>
      </c>
      <c r="P38" s="6"/>
      <c r="Q38" s="48">
        <f>IF(Учет!$O38=Справочники!$F$2,Учет!$H38,0)</f>
        <v>143800</v>
      </c>
      <c r="R38" s="48">
        <f>IF(Учет!$O38=Справочники!$F$3,Учет!$H38,0)</f>
        <v>0</v>
      </c>
      <c r="S38" s="48">
        <f>IF(Учет!$O38=Справочники!$F$4,Учет!$H38,0)</f>
        <v>0</v>
      </c>
      <c r="T38" s="48">
        <f>IF(Учет!$O38=Справочники!$F$5,Учет!$H38,0)</f>
        <v>0</v>
      </c>
      <c r="U38" s="48">
        <f>IF(Учет!$O38=Справочники!$F$6,Учет!$H38,0)</f>
        <v>0</v>
      </c>
      <c r="V38" s="43">
        <f>V37+Учет!$B38-Q38</f>
        <v>773650</v>
      </c>
      <c r="W38" s="43">
        <f>W37+Учет!$C38-R38</f>
        <v>336855</v>
      </c>
      <c r="X38" s="43">
        <f>X37+Учет!$D38-S38</f>
        <v>17500</v>
      </c>
      <c r="Y38" s="43">
        <f>Y37+Учет!$E38-T38</f>
        <v>60200</v>
      </c>
      <c r="Z38" s="43">
        <f>Z37+Учет!$F38-U38</f>
        <v>0</v>
      </c>
      <c r="AA38" s="45">
        <f>Учет!$I38</f>
        <v>1188205</v>
      </c>
    </row>
    <row r="39" spans="1:27" ht="15" customHeight="1" x14ac:dyDescent="0.25">
      <c r="A39" s="1">
        <v>45147</v>
      </c>
      <c r="B39" s="17"/>
      <c r="C39" s="17"/>
      <c r="D39" s="17"/>
      <c r="E39" s="17"/>
      <c r="F39" s="17"/>
      <c r="G39" s="4">
        <f>SUM($B39:$F39)</f>
        <v>0</v>
      </c>
      <c r="H39" s="17">
        <v>100000</v>
      </c>
      <c r="I39" s="4">
        <f>$I38+$G39-$H39</f>
        <v>1088205</v>
      </c>
      <c r="J39" s="32" t="str">
        <f>IF($A40&lt;&gt;$A39,$I39,"")</f>
        <v/>
      </c>
      <c r="K39" s="72" t="s">
        <v>18</v>
      </c>
      <c r="L39" s="72" t="s">
        <v>162</v>
      </c>
      <c r="M39" s="2" t="s">
        <v>17</v>
      </c>
      <c r="N39" s="5" t="s">
        <v>21</v>
      </c>
      <c r="O39" s="6" t="s">
        <v>37</v>
      </c>
      <c r="P39" s="6"/>
      <c r="Q39" s="48">
        <f>IF(Учет!$O39=Справочники!$F$2,Учет!$H39,0)</f>
        <v>100000</v>
      </c>
      <c r="R39" s="48">
        <f>IF(Учет!$O39=Справочники!$F$3,Учет!$H39,0)</f>
        <v>0</v>
      </c>
      <c r="S39" s="48">
        <f>IF(Учет!$O39=Справочники!$F$4,Учет!$H39,0)</f>
        <v>0</v>
      </c>
      <c r="T39" s="48">
        <f>IF(Учет!$O39=Справочники!$F$5,Учет!$H39,0)</f>
        <v>0</v>
      </c>
      <c r="U39" s="48">
        <f>IF(Учет!$O39=Справочники!$F$6,Учет!$H39,0)</f>
        <v>0</v>
      </c>
      <c r="V39" s="43">
        <f>V38+Учет!$B39-Q39</f>
        <v>673650</v>
      </c>
      <c r="W39" s="43">
        <f>W38+Учет!$C39-R39</f>
        <v>336855</v>
      </c>
      <c r="X39" s="43">
        <f>X38+Учет!$D39-S39</f>
        <v>17500</v>
      </c>
      <c r="Y39" s="43">
        <f>Y38+Учет!$E39-T39</f>
        <v>60200</v>
      </c>
      <c r="Z39" s="43">
        <f>Z38+Учет!$F39-U39</f>
        <v>0</v>
      </c>
      <c r="AA39" s="45">
        <f>Учет!$I39</f>
        <v>1088205</v>
      </c>
    </row>
    <row r="40" spans="1:27" ht="15" customHeight="1" x14ac:dyDescent="0.25">
      <c r="A40" s="1">
        <v>45147</v>
      </c>
      <c r="B40" s="17"/>
      <c r="C40" s="17"/>
      <c r="D40" s="17"/>
      <c r="E40" s="17"/>
      <c r="F40" s="17"/>
      <c r="G40" s="4">
        <f>SUM($B40:$F40)</f>
        <v>0</v>
      </c>
      <c r="H40" s="17">
        <v>15000</v>
      </c>
      <c r="I40" s="4">
        <f>$I39+$G40-$H40</f>
        <v>1073205</v>
      </c>
      <c r="J40" s="32" t="str">
        <f>IF($A41&lt;&gt;$A40,$I40,"")</f>
        <v/>
      </c>
      <c r="K40" s="72" t="s">
        <v>18</v>
      </c>
      <c r="L40" s="72" t="s">
        <v>161</v>
      </c>
      <c r="M40" s="2" t="s">
        <v>16</v>
      </c>
      <c r="N40" s="5" t="s">
        <v>21</v>
      </c>
      <c r="O40" s="6" t="s">
        <v>37</v>
      </c>
      <c r="P40" s="6"/>
      <c r="Q40" s="48">
        <f>IF(Учет!$O40=Справочники!$F$2,Учет!$H40,0)</f>
        <v>15000</v>
      </c>
      <c r="R40" s="48">
        <f>IF(Учет!$O40=Справочники!$F$3,Учет!$H40,0)</f>
        <v>0</v>
      </c>
      <c r="S40" s="48">
        <f>IF(Учет!$O40=Справочники!$F$4,Учет!$H40,0)</f>
        <v>0</v>
      </c>
      <c r="T40" s="48">
        <f>IF(Учет!$O40=Справочники!$F$5,Учет!$H40,0)</f>
        <v>0</v>
      </c>
      <c r="U40" s="48">
        <f>IF(Учет!$O40=Справочники!$F$6,Учет!$H40,0)</f>
        <v>0</v>
      </c>
      <c r="V40" s="43">
        <f>V39+Учет!$B40-Q40</f>
        <v>658650</v>
      </c>
      <c r="W40" s="43">
        <f>W39+Учет!$C40-R40</f>
        <v>336855</v>
      </c>
      <c r="X40" s="43">
        <f>X39+Учет!$D40-S40</f>
        <v>17500</v>
      </c>
      <c r="Y40" s="43">
        <f>Y39+Учет!$E40-T40</f>
        <v>60200</v>
      </c>
      <c r="Z40" s="43">
        <f>Z39+Учет!$F40-U40</f>
        <v>0</v>
      </c>
      <c r="AA40" s="45">
        <f>Учет!$I40</f>
        <v>1073205</v>
      </c>
    </row>
    <row r="41" spans="1:27" ht="15" customHeight="1" x14ac:dyDescent="0.25">
      <c r="A41" s="1">
        <v>45147</v>
      </c>
      <c r="B41" s="17">
        <v>330000</v>
      </c>
      <c r="C41" s="17"/>
      <c r="D41" s="17"/>
      <c r="E41" s="17"/>
      <c r="F41" s="17"/>
      <c r="G41" s="4">
        <f>SUM($B41:$F41)</f>
        <v>330000</v>
      </c>
      <c r="H41" s="17"/>
      <c r="I41" s="4">
        <f>$I40+$G41-$H41</f>
        <v>1403205</v>
      </c>
      <c r="J41" s="32">
        <f>IF($A42&lt;&gt;$A41,$I41,"")</f>
        <v>1403205</v>
      </c>
      <c r="K41" s="72" t="s">
        <v>93</v>
      </c>
      <c r="L41" s="72"/>
      <c r="M41" s="2" t="s">
        <v>11</v>
      </c>
      <c r="N41" s="5"/>
      <c r="O41" s="6"/>
      <c r="P41" s="6"/>
      <c r="Q41" s="48">
        <f>IF(Учет!$O41=Справочники!$F$2,Учет!$H41,0)</f>
        <v>0</v>
      </c>
      <c r="R41" s="48">
        <f>IF(Учет!$O41=Справочники!$F$3,Учет!$H41,0)</f>
        <v>0</v>
      </c>
      <c r="S41" s="48">
        <f>IF(Учет!$O41=Справочники!$F$4,Учет!$H41,0)</f>
        <v>0</v>
      </c>
      <c r="T41" s="48">
        <f>IF(Учет!$O41=Справочники!$F$5,Учет!$H41,0)</f>
        <v>0</v>
      </c>
      <c r="U41" s="48">
        <f>IF(Учет!$O41=Справочники!$F$6,Учет!$H41,0)</f>
        <v>0</v>
      </c>
      <c r="V41" s="43">
        <f>V40+Учет!$B41-Q41</f>
        <v>988650</v>
      </c>
      <c r="W41" s="43">
        <f>W40+Учет!$C41-R41</f>
        <v>336855</v>
      </c>
      <c r="X41" s="43">
        <f>X40+Учет!$D41-S41</f>
        <v>17500</v>
      </c>
      <c r="Y41" s="43">
        <f>Y40+Учет!$E41-T41</f>
        <v>60200</v>
      </c>
      <c r="Z41" s="43">
        <f>Z40+Учет!$F41-U41</f>
        <v>0</v>
      </c>
      <c r="AA41" s="45">
        <f>Учет!$I41</f>
        <v>1403205</v>
      </c>
    </row>
    <row r="42" spans="1:27" ht="15" customHeight="1" x14ac:dyDescent="0.25">
      <c r="A42" s="1">
        <v>45148</v>
      </c>
      <c r="B42" s="17"/>
      <c r="C42" s="17"/>
      <c r="D42" s="17"/>
      <c r="E42" s="17"/>
      <c r="F42" s="17"/>
      <c r="G42" s="4">
        <f>SUM($B42:$F42)</f>
        <v>0</v>
      </c>
      <c r="H42" s="17">
        <v>3000</v>
      </c>
      <c r="I42" s="4">
        <f>$I41+$G42-$H42</f>
        <v>1400205</v>
      </c>
      <c r="J42" s="32" t="str">
        <f>IF($A43&lt;&gt;$A42,$I42,"")</f>
        <v/>
      </c>
      <c r="K42" s="72" t="s">
        <v>18</v>
      </c>
      <c r="L42" s="72" t="s">
        <v>163</v>
      </c>
      <c r="M42" s="2"/>
      <c r="N42" s="5"/>
      <c r="O42" s="6" t="s">
        <v>37</v>
      </c>
      <c r="P42" s="6" t="s">
        <v>70</v>
      </c>
      <c r="Q42" s="48">
        <f>IF(Учет!$O42=Справочники!$F$2,Учет!$H42,0)</f>
        <v>3000</v>
      </c>
      <c r="R42" s="48">
        <f>IF(Учет!$O42=Справочники!$F$3,Учет!$H42,0)</f>
        <v>0</v>
      </c>
      <c r="S42" s="48">
        <f>IF(Учет!$O42=Справочники!$F$4,Учет!$H42,0)</f>
        <v>0</v>
      </c>
      <c r="T42" s="48">
        <f>IF(Учет!$O42=Справочники!$F$5,Учет!$H42,0)</f>
        <v>0</v>
      </c>
      <c r="U42" s="48">
        <f>IF(Учет!$O42=Справочники!$F$6,Учет!$H42,0)</f>
        <v>0</v>
      </c>
      <c r="V42" s="43">
        <f>V41+Учет!$B42-Q42</f>
        <v>985650</v>
      </c>
      <c r="W42" s="43">
        <f>W41+Учет!$C42-R42</f>
        <v>336855</v>
      </c>
      <c r="X42" s="43">
        <f>X41+Учет!$D42-S42</f>
        <v>17500</v>
      </c>
      <c r="Y42" s="43">
        <f>Y41+Учет!$E42-T42</f>
        <v>60200</v>
      </c>
      <c r="Z42" s="43">
        <f>Z41+Учет!$F42-U42</f>
        <v>0</v>
      </c>
      <c r="AA42" s="45">
        <f>Учет!$I42</f>
        <v>1400205</v>
      </c>
    </row>
    <row r="43" spans="1:27" ht="15" customHeight="1" x14ac:dyDescent="0.25">
      <c r="A43" s="1">
        <v>45148</v>
      </c>
      <c r="B43" s="17"/>
      <c r="C43" s="17"/>
      <c r="D43" s="17"/>
      <c r="E43" s="17"/>
      <c r="F43" s="17"/>
      <c r="G43" s="4">
        <f>SUM($B43:$F43)</f>
        <v>0</v>
      </c>
      <c r="H43" s="17">
        <v>10000</v>
      </c>
      <c r="I43" s="4">
        <f>$I42+$G43-$H43</f>
        <v>1390205</v>
      </c>
      <c r="J43" s="32" t="str">
        <f>IF($A44&lt;&gt;$A43,$I43,"")</f>
        <v/>
      </c>
      <c r="K43" s="72" t="s">
        <v>18</v>
      </c>
      <c r="L43" s="72" t="s">
        <v>88</v>
      </c>
      <c r="M43" s="2"/>
      <c r="N43" s="5"/>
      <c r="O43" s="6" t="s">
        <v>37</v>
      </c>
      <c r="P43" s="6"/>
      <c r="Q43" s="48">
        <f>IF(Учет!$O43=Справочники!$F$2,Учет!$H43,0)</f>
        <v>10000</v>
      </c>
      <c r="R43" s="48">
        <f>IF(Учет!$O43=Справочники!$F$3,Учет!$H43,0)</f>
        <v>0</v>
      </c>
      <c r="S43" s="48">
        <f>IF(Учет!$O43=Справочники!$F$4,Учет!$H43,0)</f>
        <v>0</v>
      </c>
      <c r="T43" s="48">
        <f>IF(Учет!$O43=Справочники!$F$5,Учет!$H43,0)</f>
        <v>0</v>
      </c>
      <c r="U43" s="48">
        <f>IF(Учет!$O43=Справочники!$F$6,Учет!$H43,0)</f>
        <v>0</v>
      </c>
      <c r="V43" s="43">
        <f>V42+Учет!$B43-Q43</f>
        <v>975650</v>
      </c>
      <c r="W43" s="43">
        <f>W42+Учет!$C43-R43</f>
        <v>336855</v>
      </c>
      <c r="X43" s="43">
        <f>X42+Учет!$D43-S43</f>
        <v>17500</v>
      </c>
      <c r="Y43" s="43">
        <f>Y42+Учет!$E43-T43</f>
        <v>60200</v>
      </c>
      <c r="Z43" s="43">
        <f>Z42+Учет!$F43-U43</f>
        <v>0</v>
      </c>
      <c r="AA43" s="45">
        <f>Учет!$I43</f>
        <v>1390205</v>
      </c>
    </row>
    <row r="44" spans="1:27" ht="15" customHeight="1" x14ac:dyDescent="0.25">
      <c r="A44" s="1">
        <v>45148</v>
      </c>
      <c r="B44" s="17"/>
      <c r="C44" s="17"/>
      <c r="D44" s="17"/>
      <c r="E44" s="17"/>
      <c r="F44" s="17"/>
      <c r="G44" s="4">
        <f>SUM($B44:$F44)</f>
        <v>0</v>
      </c>
      <c r="H44" s="17">
        <v>250000</v>
      </c>
      <c r="I44" s="4">
        <f>$I43+$G44-$H44</f>
        <v>1140205</v>
      </c>
      <c r="J44" s="32" t="str">
        <f>IF($A45&lt;&gt;$A44,$I44,"")</f>
        <v/>
      </c>
      <c r="K44" s="72" t="s">
        <v>18</v>
      </c>
      <c r="L44" s="72" t="s">
        <v>169</v>
      </c>
      <c r="M44" s="2"/>
      <c r="N44" s="5"/>
      <c r="O44" s="6" t="s">
        <v>37</v>
      </c>
      <c r="P44" s="6"/>
      <c r="Q44" s="48">
        <f>IF(Учет!$O44=Справочники!$F$2,Учет!$H44,0)</f>
        <v>250000</v>
      </c>
      <c r="R44" s="48">
        <f>IF(Учет!$O44=Справочники!$F$3,Учет!$H44,0)</f>
        <v>0</v>
      </c>
      <c r="S44" s="48">
        <f>IF(Учет!$O44=Справочники!$F$4,Учет!$H44,0)</f>
        <v>0</v>
      </c>
      <c r="T44" s="48">
        <f>IF(Учет!$O44=Справочники!$F$5,Учет!$H44,0)</f>
        <v>0</v>
      </c>
      <c r="U44" s="48">
        <f>IF(Учет!$O44=Справочники!$F$6,Учет!$H44,0)</f>
        <v>0</v>
      </c>
      <c r="V44" s="43">
        <f>V43+Учет!$B44-Q44</f>
        <v>725650</v>
      </c>
      <c r="W44" s="43">
        <f>W43+Учет!$C44-R44</f>
        <v>336855</v>
      </c>
      <c r="X44" s="43">
        <f>X43+Учет!$D44-S44</f>
        <v>17500</v>
      </c>
      <c r="Y44" s="43">
        <f>Y43+Учет!$E44-T44</f>
        <v>60200</v>
      </c>
      <c r="Z44" s="43">
        <f>Z43+Учет!$F44-U44</f>
        <v>0</v>
      </c>
      <c r="AA44" s="45">
        <f>Учет!$I44</f>
        <v>1140205</v>
      </c>
    </row>
    <row r="45" spans="1:27" ht="15" customHeight="1" x14ac:dyDescent="0.25">
      <c r="A45" s="1">
        <v>45148</v>
      </c>
      <c r="B45" s="17"/>
      <c r="C45" s="17"/>
      <c r="D45" s="17"/>
      <c r="E45" s="17"/>
      <c r="F45" s="17"/>
      <c r="G45" s="4">
        <f>SUM($B45:$F45)</f>
        <v>0</v>
      </c>
      <c r="H45" s="17">
        <v>5000</v>
      </c>
      <c r="I45" s="4">
        <f>$I44+$G45-$H45</f>
        <v>1135205</v>
      </c>
      <c r="J45" s="32" t="str">
        <f>IF($A46&lt;&gt;$A45,$I45,"")</f>
        <v/>
      </c>
      <c r="K45" s="72" t="s">
        <v>18</v>
      </c>
      <c r="L45" s="72" t="s">
        <v>165</v>
      </c>
      <c r="M45" s="2" t="s">
        <v>58</v>
      </c>
      <c r="N45" s="5"/>
      <c r="O45" s="6" t="s">
        <v>56</v>
      </c>
      <c r="P45" s="6" t="s">
        <v>71</v>
      </c>
      <c r="Q45" s="48">
        <f>IF(Учет!$O45=Справочники!$F$2,Учет!$H45,0)</f>
        <v>0</v>
      </c>
      <c r="R45" s="48">
        <f>IF(Учет!$O45=Справочники!$F$3,Учет!$H45,0)</f>
        <v>0</v>
      </c>
      <c r="S45" s="48">
        <f>IF(Учет!$O45=Справочники!$F$4,Учет!$H45,0)</f>
        <v>5000</v>
      </c>
      <c r="T45" s="48">
        <f>IF(Учет!$O45=Справочники!$F$5,Учет!$H45,0)</f>
        <v>0</v>
      </c>
      <c r="U45" s="48">
        <f>IF(Учет!$O45=Справочники!$F$6,Учет!$H45,0)</f>
        <v>0</v>
      </c>
      <c r="V45" s="43">
        <f>V44+Учет!$B45-Q45</f>
        <v>725650</v>
      </c>
      <c r="W45" s="43">
        <f>W44+Учет!$C45-R45</f>
        <v>336855</v>
      </c>
      <c r="X45" s="43">
        <f>X44+Учет!$D45-S45</f>
        <v>12500</v>
      </c>
      <c r="Y45" s="43">
        <f>Y44+Учет!$E45-T45</f>
        <v>60200</v>
      </c>
      <c r="Z45" s="43">
        <f>Z44+Учет!$F45-U45</f>
        <v>0</v>
      </c>
      <c r="AA45" s="45">
        <f>Учет!$I45</f>
        <v>1135205</v>
      </c>
    </row>
    <row r="46" spans="1:27" ht="15" customHeight="1" x14ac:dyDescent="0.25">
      <c r="A46" s="1">
        <v>45148</v>
      </c>
      <c r="B46" s="17"/>
      <c r="C46" s="17"/>
      <c r="D46" s="17"/>
      <c r="E46" s="17"/>
      <c r="F46" s="17"/>
      <c r="G46" s="4">
        <f>SUM($B46:$F46)</f>
        <v>0</v>
      </c>
      <c r="H46" s="17">
        <v>2000</v>
      </c>
      <c r="I46" s="4">
        <f>$I45+$G46-$H46</f>
        <v>1133205</v>
      </c>
      <c r="J46" s="32" t="str">
        <f>IF($A47&lt;&gt;$A46,$I46,"")</f>
        <v/>
      </c>
      <c r="K46" s="72" t="s">
        <v>91</v>
      </c>
      <c r="L46" s="72" t="s">
        <v>235</v>
      </c>
      <c r="M46" s="2" t="s">
        <v>33</v>
      </c>
      <c r="N46" s="5"/>
      <c r="O46" s="6" t="s">
        <v>56</v>
      </c>
      <c r="P46" s="6"/>
      <c r="Q46" s="48">
        <f>IF(Учет!$O46=Справочники!$F$2,Учет!$H46,0)</f>
        <v>0</v>
      </c>
      <c r="R46" s="48">
        <f>IF(Учет!$O46=Справочники!$F$3,Учет!$H46,0)</f>
        <v>0</v>
      </c>
      <c r="S46" s="48">
        <f>IF(Учет!$O46=Справочники!$F$4,Учет!$H46,0)</f>
        <v>2000</v>
      </c>
      <c r="T46" s="48">
        <f>IF(Учет!$O46=Справочники!$F$5,Учет!$H46,0)</f>
        <v>0</v>
      </c>
      <c r="U46" s="48">
        <f>IF(Учет!$O46=Справочники!$F$6,Учет!$H46,0)</f>
        <v>0</v>
      </c>
      <c r="V46" s="43">
        <f>V45+Учет!$B46-Q46</f>
        <v>725650</v>
      </c>
      <c r="W46" s="43">
        <f>W45+Учет!$C46-R46</f>
        <v>336855</v>
      </c>
      <c r="X46" s="43">
        <f>X45+Учет!$D46-S46</f>
        <v>10500</v>
      </c>
      <c r="Y46" s="43">
        <f>Y45+Учет!$E46-T46</f>
        <v>60200</v>
      </c>
      <c r="Z46" s="43">
        <f>Z45+Учет!$F46-U46</f>
        <v>0</v>
      </c>
      <c r="AA46" s="45">
        <f>Учет!$I46</f>
        <v>1133205</v>
      </c>
    </row>
    <row r="47" spans="1:27" ht="15" customHeight="1" x14ac:dyDescent="0.25">
      <c r="A47" s="1">
        <v>45148</v>
      </c>
      <c r="B47" s="17"/>
      <c r="C47" s="17"/>
      <c r="D47" s="17"/>
      <c r="E47" s="17"/>
      <c r="F47" s="17"/>
      <c r="G47" s="4">
        <f>SUM($B47:$F47)</f>
        <v>0</v>
      </c>
      <c r="H47" s="17">
        <v>10000</v>
      </c>
      <c r="I47" s="4">
        <f>$I46+$G47-$H47</f>
        <v>1123205</v>
      </c>
      <c r="J47" s="32">
        <f>IF($A48&lt;&gt;$A47,$I47,"")</f>
        <v>1123205</v>
      </c>
      <c r="K47" s="72" t="s">
        <v>18</v>
      </c>
      <c r="L47" s="72" t="s">
        <v>20</v>
      </c>
      <c r="M47" s="2" t="s">
        <v>18</v>
      </c>
      <c r="N47" s="5"/>
      <c r="O47" s="6" t="s">
        <v>56</v>
      </c>
      <c r="P47" s="6"/>
      <c r="Q47" s="48">
        <f>IF(Учет!$O47=Справочники!$F$2,Учет!$H47,0)</f>
        <v>0</v>
      </c>
      <c r="R47" s="48">
        <f>IF(Учет!$O47=Справочники!$F$3,Учет!$H47,0)</f>
        <v>0</v>
      </c>
      <c r="S47" s="48">
        <f>IF(Учет!$O47=Справочники!$F$4,Учет!$H47,0)</f>
        <v>10000</v>
      </c>
      <c r="T47" s="48">
        <f>IF(Учет!$O47=Справочники!$F$5,Учет!$H47,0)</f>
        <v>0</v>
      </c>
      <c r="U47" s="48">
        <f>IF(Учет!$O47=Справочники!$F$6,Учет!$H47,0)</f>
        <v>0</v>
      </c>
      <c r="V47" s="43">
        <f>V46+Учет!$B47-Q47</f>
        <v>725650</v>
      </c>
      <c r="W47" s="43">
        <f>W46+Учет!$C47-R47</f>
        <v>336855</v>
      </c>
      <c r="X47" s="43">
        <f>X46+Учет!$D47-S47</f>
        <v>500</v>
      </c>
      <c r="Y47" s="43">
        <f>Y46+Учет!$E47-T47</f>
        <v>60200</v>
      </c>
      <c r="Z47" s="43">
        <f>Z46+Учет!$F47-U47</f>
        <v>0</v>
      </c>
      <c r="AA47" s="45">
        <f>Учет!$I47</f>
        <v>1123205</v>
      </c>
    </row>
    <row r="48" spans="1:27" ht="15" customHeight="1" x14ac:dyDescent="0.25">
      <c r="A48" s="1">
        <v>45149</v>
      </c>
      <c r="B48" s="17"/>
      <c r="C48" s="17"/>
      <c r="D48" s="17"/>
      <c r="E48" s="17"/>
      <c r="F48" s="17"/>
      <c r="G48" s="4">
        <f>SUM($B48:$F48)</f>
        <v>0</v>
      </c>
      <c r="H48" s="17">
        <v>6000</v>
      </c>
      <c r="I48" s="4">
        <f>$I47+$G48-$H48</f>
        <v>1117205</v>
      </c>
      <c r="J48" s="32" t="str">
        <f>IF($A49&lt;&gt;$A48,$I48,"")</f>
        <v/>
      </c>
      <c r="K48" s="72" t="s">
        <v>91</v>
      </c>
      <c r="L48" s="72" t="s">
        <v>247</v>
      </c>
      <c r="M48" s="2" t="s">
        <v>18</v>
      </c>
      <c r="N48" s="5"/>
      <c r="O48" s="3" t="s">
        <v>37</v>
      </c>
      <c r="P48" s="6"/>
      <c r="Q48" s="48">
        <f>IF(Учет!$O48=Справочники!$F$2,Учет!$H48,0)</f>
        <v>6000</v>
      </c>
      <c r="R48" s="48">
        <f>IF(Учет!$O48=Справочники!$F$3,Учет!$H48,0)</f>
        <v>0</v>
      </c>
      <c r="S48" s="48">
        <f>IF(Учет!$O48=Справочники!$F$4,Учет!$H48,0)</f>
        <v>0</v>
      </c>
      <c r="T48" s="48">
        <f>IF(Учет!$O48=Справочники!$F$5,Учет!$H48,0)</f>
        <v>0</v>
      </c>
      <c r="U48" s="48">
        <f>IF(Учет!$O48=Справочники!$F$6,Учет!$H48,0)</f>
        <v>0</v>
      </c>
      <c r="V48" s="43">
        <f>V47+Учет!$B48-Q48</f>
        <v>719650</v>
      </c>
      <c r="W48" s="43">
        <f>W47+Учет!$C48-R48</f>
        <v>336855</v>
      </c>
      <c r="X48" s="43">
        <f>X47+Учет!$D48-S48</f>
        <v>500</v>
      </c>
      <c r="Y48" s="43">
        <f>Y47+Учет!$E48-T48</f>
        <v>60200</v>
      </c>
      <c r="Z48" s="43">
        <f>Z47+Учет!$F48-U48</f>
        <v>0</v>
      </c>
      <c r="AA48" s="45">
        <f>Учет!$I48</f>
        <v>1117205</v>
      </c>
    </row>
    <row r="49" spans="1:27" ht="15" customHeight="1" x14ac:dyDescent="0.25">
      <c r="A49" s="1">
        <v>45149</v>
      </c>
      <c r="B49" s="17"/>
      <c r="C49" s="17"/>
      <c r="D49" s="17"/>
      <c r="E49" s="17"/>
      <c r="F49" s="17"/>
      <c r="G49" s="4">
        <f>SUM($B49:$F49)</f>
        <v>0</v>
      </c>
      <c r="H49" s="17">
        <v>40000</v>
      </c>
      <c r="I49" s="4">
        <f>$I48+$G49-$H49</f>
        <v>1077205</v>
      </c>
      <c r="J49" s="32" t="str">
        <f>IF($A50&lt;&gt;$A49,$I49,"")</f>
        <v/>
      </c>
      <c r="K49" s="72" t="s">
        <v>93</v>
      </c>
      <c r="L49" s="72"/>
      <c r="M49" s="2" t="s">
        <v>13</v>
      </c>
      <c r="N49" s="5" t="s">
        <v>21</v>
      </c>
      <c r="O49" s="3" t="s">
        <v>37</v>
      </c>
      <c r="P49" s="6"/>
      <c r="Q49" s="48">
        <f>IF(Учет!$O49=Справочники!$F$2,Учет!$H49,0)</f>
        <v>40000</v>
      </c>
      <c r="R49" s="48">
        <f>IF(Учет!$O49=Справочники!$F$3,Учет!$H49,0)</f>
        <v>0</v>
      </c>
      <c r="S49" s="48">
        <f>IF(Учет!$O49=Справочники!$F$4,Учет!$H49,0)</f>
        <v>0</v>
      </c>
      <c r="T49" s="48">
        <f>IF(Учет!$O49=Справочники!$F$5,Учет!$H49,0)</f>
        <v>0</v>
      </c>
      <c r="U49" s="48">
        <f>IF(Учет!$O49=Справочники!$F$6,Учет!$H49,0)</f>
        <v>0</v>
      </c>
      <c r="V49" s="43">
        <f>V48+Учет!$B49-Q49</f>
        <v>679650</v>
      </c>
      <c r="W49" s="43">
        <f>W48+Учет!$C49-R49</f>
        <v>336855</v>
      </c>
      <c r="X49" s="43">
        <f>X48+Учет!$D49-S49</f>
        <v>500</v>
      </c>
      <c r="Y49" s="43">
        <f>Y48+Учет!$E49-T49</f>
        <v>60200</v>
      </c>
      <c r="Z49" s="43">
        <f>Z48+Учет!$F49-U49</f>
        <v>0</v>
      </c>
      <c r="AA49" s="45">
        <f>Учет!$I49</f>
        <v>1077205</v>
      </c>
    </row>
    <row r="50" spans="1:27" ht="15" customHeight="1" x14ac:dyDescent="0.25">
      <c r="A50" s="1">
        <v>45149</v>
      </c>
      <c r="B50" s="17"/>
      <c r="C50" s="17"/>
      <c r="D50" s="17"/>
      <c r="E50" s="17"/>
      <c r="F50" s="17"/>
      <c r="G50" s="4">
        <f>SUM($B50:$F50)</f>
        <v>0</v>
      </c>
      <c r="H50" s="17">
        <v>25000</v>
      </c>
      <c r="I50" s="4">
        <f>$I49+$G50-$H50</f>
        <v>1052205</v>
      </c>
      <c r="J50" s="32" t="str">
        <f>IF($A51&lt;&gt;$A50,$I50,"")</f>
        <v/>
      </c>
      <c r="K50" s="72" t="s">
        <v>18</v>
      </c>
      <c r="L50" s="72" t="s">
        <v>28</v>
      </c>
      <c r="M50" s="2" t="s">
        <v>15</v>
      </c>
      <c r="N50" s="5"/>
      <c r="O50" s="3" t="s">
        <v>37</v>
      </c>
      <c r="P50" s="6"/>
      <c r="Q50" s="48">
        <f>IF(Учет!$O50=Справочники!$F$2,Учет!$H50,0)</f>
        <v>25000</v>
      </c>
      <c r="R50" s="48">
        <f>IF(Учет!$O50=Справочники!$F$3,Учет!$H50,0)</f>
        <v>0</v>
      </c>
      <c r="S50" s="48">
        <f>IF(Учет!$O50=Справочники!$F$4,Учет!$H50,0)</f>
        <v>0</v>
      </c>
      <c r="T50" s="48">
        <f>IF(Учет!$O50=Справочники!$F$5,Учет!$H50,0)</f>
        <v>0</v>
      </c>
      <c r="U50" s="48">
        <f>IF(Учет!$O50=Справочники!$F$6,Учет!$H50,0)</f>
        <v>0</v>
      </c>
      <c r="V50" s="43">
        <f>V49+Учет!$B50-Q50</f>
        <v>654650</v>
      </c>
      <c r="W50" s="43">
        <f>W49+Учет!$C50-R50</f>
        <v>336855</v>
      </c>
      <c r="X50" s="43">
        <f>X49+Учет!$D50-S50</f>
        <v>500</v>
      </c>
      <c r="Y50" s="43">
        <f>Y49+Учет!$E50-T50</f>
        <v>60200</v>
      </c>
      <c r="Z50" s="43">
        <f>Z49+Учет!$F50-U50</f>
        <v>0</v>
      </c>
      <c r="AA50" s="45">
        <f>Учет!$I50</f>
        <v>1052205</v>
      </c>
    </row>
    <row r="51" spans="1:27" ht="15" customHeight="1" x14ac:dyDescent="0.25">
      <c r="A51" s="1">
        <v>45149</v>
      </c>
      <c r="B51" s="17"/>
      <c r="C51" s="17"/>
      <c r="D51" s="17"/>
      <c r="E51" s="17"/>
      <c r="F51" s="17"/>
      <c r="G51" s="4">
        <f>SUM($B51:$F51)</f>
        <v>0</v>
      </c>
      <c r="H51" s="17">
        <v>26500</v>
      </c>
      <c r="I51" s="4">
        <f>$I50+$G51-$H51</f>
        <v>1025705</v>
      </c>
      <c r="J51" s="32" t="str">
        <f>IF($A52&lt;&gt;$A51,$I51,"")</f>
        <v/>
      </c>
      <c r="K51" s="72" t="s">
        <v>92</v>
      </c>
      <c r="L51" s="72" t="s">
        <v>241</v>
      </c>
      <c r="M51" s="2" t="s">
        <v>11</v>
      </c>
      <c r="N51" s="5" t="s">
        <v>21</v>
      </c>
      <c r="O51" s="3" t="s">
        <v>37</v>
      </c>
      <c r="P51" s="6"/>
      <c r="Q51" s="48">
        <f>IF(Учет!$O51=Справочники!$F$2,Учет!$H51,0)</f>
        <v>26500</v>
      </c>
      <c r="R51" s="48">
        <f>IF(Учет!$O51=Справочники!$F$3,Учет!$H51,0)</f>
        <v>0</v>
      </c>
      <c r="S51" s="48">
        <f>IF(Учет!$O51=Справочники!$F$4,Учет!$H51,0)</f>
        <v>0</v>
      </c>
      <c r="T51" s="48">
        <f>IF(Учет!$O51=Справочники!$F$5,Учет!$H51,0)</f>
        <v>0</v>
      </c>
      <c r="U51" s="48">
        <f>IF(Учет!$O51=Справочники!$F$6,Учет!$H51,0)</f>
        <v>0</v>
      </c>
      <c r="V51" s="43">
        <f>V50+Учет!$B51-Q51</f>
        <v>628150</v>
      </c>
      <c r="W51" s="43">
        <f>W50+Учет!$C51-R51</f>
        <v>336855</v>
      </c>
      <c r="X51" s="43">
        <f>X50+Учет!$D51-S51</f>
        <v>500</v>
      </c>
      <c r="Y51" s="43">
        <f>Y50+Учет!$E51-T51</f>
        <v>60200</v>
      </c>
      <c r="Z51" s="43">
        <f>Z50+Учет!$F51-U51</f>
        <v>0</v>
      </c>
      <c r="AA51" s="45">
        <f>Учет!$I51</f>
        <v>1025705</v>
      </c>
    </row>
    <row r="52" spans="1:27" ht="15" customHeight="1" x14ac:dyDescent="0.25">
      <c r="A52" s="1">
        <v>45149</v>
      </c>
      <c r="B52" s="17"/>
      <c r="C52" s="17"/>
      <c r="D52" s="17"/>
      <c r="E52" s="17"/>
      <c r="F52" s="17"/>
      <c r="G52" s="4">
        <f>SUM($B52:$F52)</f>
        <v>0</v>
      </c>
      <c r="H52" s="17">
        <v>10000</v>
      </c>
      <c r="I52" s="4">
        <f>$I51+$G52-$H52</f>
        <v>1015705</v>
      </c>
      <c r="J52" s="32">
        <f>IF($A53&lt;&gt;$A52,$I52,"")</f>
        <v>1015705</v>
      </c>
      <c r="K52" s="72" t="s">
        <v>18</v>
      </c>
      <c r="L52" s="72" t="s">
        <v>166</v>
      </c>
      <c r="M52" s="2" t="s">
        <v>14</v>
      </c>
      <c r="N52" s="5"/>
      <c r="O52" s="3" t="s">
        <v>37</v>
      </c>
      <c r="P52" s="6"/>
      <c r="Q52" s="48">
        <f>IF(Учет!$O52=Справочники!$F$2,Учет!$H52,0)</f>
        <v>10000</v>
      </c>
      <c r="R52" s="48">
        <f>IF(Учет!$O52=Справочники!$F$3,Учет!$H52,0)</f>
        <v>0</v>
      </c>
      <c r="S52" s="48">
        <f>IF(Учет!$O52=Справочники!$F$4,Учет!$H52,0)</f>
        <v>0</v>
      </c>
      <c r="T52" s="48">
        <f>IF(Учет!$O52=Справочники!$F$5,Учет!$H52,0)</f>
        <v>0</v>
      </c>
      <c r="U52" s="48">
        <f>IF(Учет!$O52=Справочники!$F$6,Учет!$H52,0)</f>
        <v>0</v>
      </c>
      <c r="V52" s="43">
        <f>V51+Учет!$B52-Q52</f>
        <v>618150</v>
      </c>
      <c r="W52" s="43">
        <f>W51+Учет!$C52-R52</f>
        <v>336855</v>
      </c>
      <c r="X52" s="43">
        <f>X51+Учет!$D52-S52</f>
        <v>500</v>
      </c>
      <c r="Y52" s="43">
        <f>Y51+Учет!$E52-T52</f>
        <v>60200</v>
      </c>
      <c r="Z52" s="43">
        <f>Z51+Учет!$F52-U52</f>
        <v>0</v>
      </c>
      <c r="AA52" s="45">
        <f>Учет!$I52</f>
        <v>1015705</v>
      </c>
    </row>
    <row r="53" spans="1:27" ht="15" customHeight="1" x14ac:dyDescent="0.25">
      <c r="A53" s="1">
        <v>45152</v>
      </c>
      <c r="B53" s="17"/>
      <c r="C53" s="17"/>
      <c r="D53" s="17"/>
      <c r="E53" s="17"/>
      <c r="F53" s="17"/>
      <c r="G53" s="4">
        <f>SUM($B53:$F53)</f>
        <v>0</v>
      </c>
      <c r="H53" s="17">
        <v>10000</v>
      </c>
      <c r="I53" s="4">
        <f>$I52+$G53-$H53</f>
        <v>1005705</v>
      </c>
      <c r="J53" s="32" t="str">
        <f>IF($A54&lt;&gt;$A53,$I53,"")</f>
        <v/>
      </c>
      <c r="K53" s="72" t="s">
        <v>18</v>
      </c>
      <c r="L53" s="72" t="s">
        <v>159</v>
      </c>
      <c r="M53" s="2"/>
      <c r="N53" s="5"/>
      <c r="O53" s="3" t="s">
        <v>37</v>
      </c>
      <c r="P53" s="6"/>
      <c r="Q53" s="48">
        <f>IF(Учет!$O53=Справочники!$F$2,Учет!$H53,0)</f>
        <v>10000</v>
      </c>
      <c r="R53" s="48">
        <f>IF(Учет!$O53=Справочники!$F$3,Учет!$H53,0)</f>
        <v>0</v>
      </c>
      <c r="S53" s="48">
        <f>IF(Учет!$O53=Справочники!$F$4,Учет!$H53,0)</f>
        <v>0</v>
      </c>
      <c r="T53" s="48">
        <f>IF(Учет!$O53=Справочники!$F$5,Учет!$H53,0)</f>
        <v>0</v>
      </c>
      <c r="U53" s="48">
        <f>IF(Учет!$O53=Справочники!$F$6,Учет!$H53,0)</f>
        <v>0</v>
      </c>
      <c r="V53" s="43">
        <f>V52+Учет!$B53-Q53</f>
        <v>608150</v>
      </c>
      <c r="W53" s="43">
        <f>W52+Учет!$C53-R53</f>
        <v>336855</v>
      </c>
      <c r="X53" s="43">
        <f>X52+Учет!$D53-S53</f>
        <v>500</v>
      </c>
      <c r="Y53" s="43">
        <f>Y52+Учет!$E53-T53</f>
        <v>60200</v>
      </c>
      <c r="Z53" s="43">
        <f>Z52+Учет!$F53-U53</f>
        <v>0</v>
      </c>
      <c r="AA53" s="45">
        <f>Учет!$I53</f>
        <v>1005705</v>
      </c>
    </row>
    <row r="54" spans="1:27" ht="15" customHeight="1" x14ac:dyDescent="0.25">
      <c r="A54" s="1">
        <v>45152</v>
      </c>
      <c r="B54" s="17"/>
      <c r="C54" s="17"/>
      <c r="D54" s="17"/>
      <c r="E54" s="17"/>
      <c r="F54" s="17"/>
      <c r="G54" s="4">
        <f>SUM($B54:$F54)</f>
        <v>0</v>
      </c>
      <c r="H54" s="17">
        <v>30000</v>
      </c>
      <c r="I54" s="4">
        <f>$I53+$G54-$H54</f>
        <v>975705</v>
      </c>
      <c r="J54" s="32" t="str">
        <f>IF($A55&lt;&gt;$A54,$I54,"")</f>
        <v/>
      </c>
      <c r="K54" s="72" t="s">
        <v>92</v>
      </c>
      <c r="L54" s="72" t="s">
        <v>252</v>
      </c>
      <c r="M54" s="2" t="s">
        <v>18</v>
      </c>
      <c r="N54" s="5"/>
      <c r="O54" s="3" t="s">
        <v>37</v>
      </c>
      <c r="P54" s="6"/>
      <c r="Q54" s="48">
        <f>IF(Учет!$O54=Справочники!$F$2,Учет!$H54,0)</f>
        <v>30000</v>
      </c>
      <c r="R54" s="48">
        <f>IF(Учет!$O54=Справочники!$F$3,Учет!$H54,0)</f>
        <v>0</v>
      </c>
      <c r="S54" s="48">
        <f>IF(Учет!$O54=Справочники!$F$4,Учет!$H54,0)</f>
        <v>0</v>
      </c>
      <c r="T54" s="48">
        <f>IF(Учет!$O54=Справочники!$F$5,Учет!$H54,0)</f>
        <v>0</v>
      </c>
      <c r="U54" s="48">
        <f>IF(Учет!$O54=Справочники!$F$6,Учет!$H54,0)</f>
        <v>0</v>
      </c>
      <c r="V54" s="43">
        <f>V53+Учет!$B54-Q54</f>
        <v>578150</v>
      </c>
      <c r="W54" s="43">
        <f>W53+Учет!$C54-R54</f>
        <v>336855</v>
      </c>
      <c r="X54" s="43">
        <f>X53+Учет!$D54-S54</f>
        <v>500</v>
      </c>
      <c r="Y54" s="43">
        <f>Y53+Учет!$E54-T54</f>
        <v>60200</v>
      </c>
      <c r="Z54" s="43">
        <f>Z53+Учет!$F54-U54</f>
        <v>0</v>
      </c>
      <c r="AA54" s="45">
        <f>Учет!$I54</f>
        <v>975705</v>
      </c>
    </row>
    <row r="55" spans="1:27" ht="15" customHeight="1" x14ac:dyDescent="0.25">
      <c r="A55" s="1">
        <v>45152</v>
      </c>
      <c r="B55" s="17"/>
      <c r="C55" s="17"/>
      <c r="D55" s="17"/>
      <c r="E55" s="17"/>
      <c r="F55" s="17"/>
      <c r="G55" s="4">
        <f>SUM($B55:$F55)</f>
        <v>0</v>
      </c>
      <c r="H55" s="17">
        <v>500000</v>
      </c>
      <c r="I55" s="4">
        <f>$I54+$G55-$H55</f>
        <v>475705</v>
      </c>
      <c r="J55" s="32">
        <f>IF($A56&lt;&gt;$A55,$I55,"")</f>
        <v>475705</v>
      </c>
      <c r="K55" s="72" t="s">
        <v>91</v>
      </c>
      <c r="L55" s="72" t="s">
        <v>28</v>
      </c>
      <c r="M55" s="2"/>
      <c r="N55" s="5" t="s">
        <v>29</v>
      </c>
      <c r="O55" s="3" t="s">
        <v>37</v>
      </c>
      <c r="P55" s="6"/>
      <c r="Q55" s="48">
        <f>IF(Учет!$O55=Справочники!$F$2,Учет!$H55,0)</f>
        <v>500000</v>
      </c>
      <c r="R55" s="48">
        <f>IF(Учет!$O55=Справочники!$F$3,Учет!$H55,0)</f>
        <v>0</v>
      </c>
      <c r="S55" s="48">
        <f>IF(Учет!$O55=Справочники!$F$4,Учет!$H55,0)</f>
        <v>0</v>
      </c>
      <c r="T55" s="48">
        <f>IF(Учет!$O55=Справочники!$F$5,Учет!$H55,0)</f>
        <v>0</v>
      </c>
      <c r="U55" s="48">
        <f>IF(Учет!$O55=Справочники!$F$6,Учет!$H55,0)</f>
        <v>0</v>
      </c>
      <c r="V55" s="43">
        <f>V54+Учет!$B55-Q55</f>
        <v>78150</v>
      </c>
      <c r="W55" s="43">
        <f>W54+Учет!$C55-R55</f>
        <v>336855</v>
      </c>
      <c r="X55" s="43">
        <f>X54+Учет!$D55-S55</f>
        <v>500</v>
      </c>
      <c r="Y55" s="43">
        <f>Y54+Учет!$E55-T55</f>
        <v>60200</v>
      </c>
      <c r="Z55" s="43">
        <f>Z54+Учет!$F55-U55</f>
        <v>0</v>
      </c>
      <c r="AA55" s="45">
        <f>Учет!$I55</f>
        <v>475705</v>
      </c>
    </row>
    <row r="56" spans="1:27" ht="15" customHeight="1" x14ac:dyDescent="0.25">
      <c r="A56" s="1">
        <v>45153</v>
      </c>
      <c r="B56" s="17"/>
      <c r="C56" s="17"/>
      <c r="D56" s="17"/>
      <c r="E56" s="17"/>
      <c r="F56" s="17"/>
      <c r="G56" s="4">
        <f>SUM($B56:$F56)</f>
        <v>0</v>
      </c>
      <c r="H56" s="17">
        <v>2000</v>
      </c>
      <c r="I56" s="4">
        <f>$I55+$G56-$H56</f>
        <v>473705</v>
      </c>
      <c r="J56" s="32" t="str">
        <f>IF($A57&lt;&gt;$A56,$I56,"")</f>
        <v/>
      </c>
      <c r="K56" s="72" t="s">
        <v>91</v>
      </c>
      <c r="L56" s="72" t="s">
        <v>256</v>
      </c>
      <c r="M56" s="2"/>
      <c r="N56" s="5" t="s">
        <v>62</v>
      </c>
      <c r="O56" s="3" t="s">
        <v>37</v>
      </c>
      <c r="P56" s="6"/>
      <c r="Q56" s="48">
        <f>IF(Учет!$O56=Справочники!$F$2,Учет!$H56,0)</f>
        <v>2000</v>
      </c>
      <c r="R56" s="48">
        <f>IF(Учет!$O56=Справочники!$F$3,Учет!$H56,0)</f>
        <v>0</v>
      </c>
      <c r="S56" s="48">
        <f>IF(Учет!$O56=Справочники!$F$4,Учет!$H56,0)</f>
        <v>0</v>
      </c>
      <c r="T56" s="48">
        <f>IF(Учет!$O56=Справочники!$F$5,Учет!$H56,0)</f>
        <v>0</v>
      </c>
      <c r="U56" s="48">
        <f>IF(Учет!$O56=Справочники!$F$6,Учет!$H56,0)</f>
        <v>0</v>
      </c>
      <c r="V56" s="43">
        <f>V55+Учет!$B56-Q56</f>
        <v>76150</v>
      </c>
      <c r="W56" s="43">
        <f>W55+Учет!$C56-R56</f>
        <v>336855</v>
      </c>
      <c r="X56" s="43">
        <f>X55+Учет!$D56-S56</f>
        <v>500</v>
      </c>
      <c r="Y56" s="43">
        <f>Y55+Учет!$E56-T56</f>
        <v>60200</v>
      </c>
      <c r="Z56" s="43">
        <f>Z55+Учет!$F56-U56</f>
        <v>0</v>
      </c>
      <c r="AA56" s="45">
        <f>Учет!$I56</f>
        <v>473705</v>
      </c>
    </row>
    <row r="57" spans="1:27" ht="15" customHeight="1" x14ac:dyDescent="0.25">
      <c r="A57" s="1">
        <v>45153</v>
      </c>
      <c r="B57" s="17"/>
      <c r="C57" s="17"/>
      <c r="D57" s="17"/>
      <c r="E57" s="17"/>
      <c r="F57" s="17"/>
      <c r="G57" s="4">
        <f>SUM($B57:$F57)</f>
        <v>0</v>
      </c>
      <c r="H57" s="17">
        <v>5000</v>
      </c>
      <c r="I57" s="4">
        <f>$I56+$G57-$H57</f>
        <v>468705</v>
      </c>
      <c r="J57" s="32" t="str">
        <f>IF($A58&lt;&gt;$A57,$I57,"")</f>
        <v/>
      </c>
      <c r="K57" s="72" t="s">
        <v>92</v>
      </c>
      <c r="L57" s="72" t="s">
        <v>255</v>
      </c>
      <c r="M57" s="2" t="s">
        <v>59</v>
      </c>
      <c r="N57" s="5" t="s">
        <v>21</v>
      </c>
      <c r="O57" s="3" t="s">
        <v>57</v>
      </c>
      <c r="P57" s="6"/>
      <c r="Q57" s="48">
        <f>IF(Учет!$O57=Справочники!$F$2,Учет!$H57,0)</f>
        <v>0</v>
      </c>
      <c r="R57" s="48">
        <f>IF(Учет!$O57=Справочники!$F$3,Учет!$H57,0)</f>
        <v>0</v>
      </c>
      <c r="S57" s="48">
        <f>IF(Учет!$O57=Справочники!$F$4,Учет!$H57,0)</f>
        <v>0</v>
      </c>
      <c r="T57" s="48">
        <f>IF(Учет!$O57=Справочники!$F$5,Учет!$H57,0)</f>
        <v>5000</v>
      </c>
      <c r="U57" s="48">
        <f>IF(Учет!$O57=Справочники!$F$6,Учет!$H57,0)</f>
        <v>0</v>
      </c>
      <c r="V57" s="43">
        <f>V56+Учет!$B57-Q57</f>
        <v>76150</v>
      </c>
      <c r="W57" s="43">
        <f>W56+Учет!$C57-R57</f>
        <v>336855</v>
      </c>
      <c r="X57" s="43">
        <f>X56+Учет!$D57-S57</f>
        <v>500</v>
      </c>
      <c r="Y57" s="43">
        <f>Y56+Учет!$E57-T57</f>
        <v>55200</v>
      </c>
      <c r="Z57" s="43">
        <f>Z56+Учет!$F57-U57</f>
        <v>0</v>
      </c>
      <c r="AA57" s="45">
        <f>Учет!$I57</f>
        <v>468705</v>
      </c>
    </row>
    <row r="58" spans="1:27" ht="15" customHeight="1" x14ac:dyDescent="0.25">
      <c r="A58" s="1">
        <v>45153</v>
      </c>
      <c r="B58" s="17"/>
      <c r="C58" s="17"/>
      <c r="D58" s="17"/>
      <c r="E58" s="17"/>
      <c r="F58" s="17"/>
      <c r="G58" s="4">
        <f>SUM($B58:$F58)</f>
        <v>0</v>
      </c>
      <c r="H58" s="17">
        <v>7000</v>
      </c>
      <c r="I58" s="4">
        <f>$I57+$G58-$H58</f>
        <v>461705</v>
      </c>
      <c r="J58" s="32">
        <f>IF($A59&lt;&gt;$A58,$I58,"")</f>
        <v>461705</v>
      </c>
      <c r="K58" s="72" t="s">
        <v>91</v>
      </c>
      <c r="L58" s="72" t="s">
        <v>257</v>
      </c>
      <c r="M58" s="2" t="s">
        <v>12</v>
      </c>
      <c r="N58" s="5"/>
      <c r="O58" s="3" t="s">
        <v>57</v>
      </c>
      <c r="P58" s="6"/>
      <c r="Q58" s="48">
        <f>IF(Учет!$O58=Справочники!$F$2,Учет!$H58,0)</f>
        <v>0</v>
      </c>
      <c r="R58" s="48">
        <f>IF(Учет!$O58=Справочники!$F$3,Учет!$H58,0)</f>
        <v>0</v>
      </c>
      <c r="S58" s="48">
        <f>IF(Учет!$O58=Справочники!$F$4,Учет!$H58,0)</f>
        <v>0</v>
      </c>
      <c r="T58" s="48">
        <f>IF(Учет!$O58=Справочники!$F$5,Учет!$H58,0)</f>
        <v>7000</v>
      </c>
      <c r="U58" s="48">
        <f>IF(Учет!$O58=Справочники!$F$6,Учет!$H58,0)</f>
        <v>0</v>
      </c>
      <c r="V58" s="43">
        <f>V57+Учет!$B58-Q58</f>
        <v>76150</v>
      </c>
      <c r="W58" s="43">
        <f>W57+Учет!$C58-R58</f>
        <v>336855</v>
      </c>
      <c r="X58" s="43">
        <f>X57+Учет!$D58-S58</f>
        <v>500</v>
      </c>
      <c r="Y58" s="43">
        <f>Y57+Учет!$E58-T58</f>
        <v>48200</v>
      </c>
      <c r="Z58" s="43">
        <f>Z57+Учет!$F58-U58</f>
        <v>0</v>
      </c>
      <c r="AA58" s="45">
        <f>Учет!$I58</f>
        <v>461705</v>
      </c>
    </row>
    <row r="59" spans="1:27" ht="15" customHeight="1" x14ac:dyDescent="0.25">
      <c r="A59" s="1">
        <v>45154</v>
      </c>
      <c r="B59" s="17"/>
      <c r="C59" s="17"/>
      <c r="D59" s="17"/>
      <c r="E59" s="17"/>
      <c r="F59" s="17"/>
      <c r="G59" s="4">
        <f>SUM($B59:$F59)</f>
        <v>0</v>
      </c>
      <c r="H59" s="17">
        <v>3500</v>
      </c>
      <c r="I59" s="4">
        <f>$I58+$G59-$H59</f>
        <v>458205</v>
      </c>
      <c r="J59" s="32" t="str">
        <f>IF($A60&lt;&gt;$A59,$I59,"")</f>
        <v/>
      </c>
      <c r="K59" s="72" t="s">
        <v>92</v>
      </c>
      <c r="L59" s="72" t="s">
        <v>231</v>
      </c>
      <c r="M59" s="2" t="s">
        <v>11</v>
      </c>
      <c r="N59" s="5" t="s">
        <v>21</v>
      </c>
      <c r="O59" s="3" t="s">
        <v>37</v>
      </c>
      <c r="P59" s="6"/>
      <c r="Q59" s="48">
        <f>IF(Учет!$O59=Справочники!$F$2,Учет!$H59,0)</f>
        <v>3500</v>
      </c>
      <c r="R59" s="48">
        <f>IF(Учет!$O59=Справочники!$F$3,Учет!$H59,0)</f>
        <v>0</v>
      </c>
      <c r="S59" s="48">
        <f>IF(Учет!$O59=Справочники!$F$4,Учет!$H59,0)</f>
        <v>0</v>
      </c>
      <c r="T59" s="48">
        <f>IF(Учет!$O59=Справочники!$F$5,Учет!$H59,0)</f>
        <v>0</v>
      </c>
      <c r="U59" s="48">
        <f>IF(Учет!$O59=Справочники!$F$6,Учет!$H59,0)</f>
        <v>0</v>
      </c>
      <c r="V59" s="43">
        <f>V58+Учет!$B59-Q59</f>
        <v>72650</v>
      </c>
      <c r="W59" s="43">
        <f>W58+Учет!$C59-R59</f>
        <v>336855</v>
      </c>
      <c r="X59" s="43">
        <f>X58+Учет!$D59-S59</f>
        <v>500</v>
      </c>
      <c r="Y59" s="43">
        <f>Y58+Учет!$E59-T59</f>
        <v>48200</v>
      </c>
      <c r="Z59" s="43">
        <f>Z58+Учет!$F59-U59</f>
        <v>0</v>
      </c>
      <c r="AA59" s="45">
        <f>Учет!$I59</f>
        <v>458205</v>
      </c>
    </row>
    <row r="60" spans="1:27" ht="15" customHeight="1" x14ac:dyDescent="0.25">
      <c r="A60" s="1">
        <v>45154</v>
      </c>
      <c r="B60" s="17"/>
      <c r="C60" s="17"/>
      <c r="D60" s="17"/>
      <c r="E60" s="17"/>
      <c r="F60" s="17"/>
      <c r="G60" s="4">
        <f>SUM($B60:$F60)</f>
        <v>0</v>
      </c>
      <c r="H60" s="17">
        <v>16250</v>
      </c>
      <c r="I60" s="4">
        <f>$I59+$G60-$H60</f>
        <v>441955</v>
      </c>
      <c r="J60" s="32">
        <f>IF($A61&lt;&gt;$A60,$I60,"")</f>
        <v>441955</v>
      </c>
      <c r="K60" s="72" t="s">
        <v>91</v>
      </c>
      <c r="L60" s="72" t="s">
        <v>63</v>
      </c>
      <c r="M60" s="2" t="s">
        <v>11</v>
      </c>
      <c r="N60" s="5" t="s">
        <v>21</v>
      </c>
      <c r="O60" s="3" t="s">
        <v>57</v>
      </c>
      <c r="P60" s="6"/>
      <c r="Q60" s="48">
        <f>IF(Учет!$O60=Справочники!$F$2,Учет!$H60,0)</f>
        <v>0</v>
      </c>
      <c r="R60" s="48">
        <f>IF(Учет!$O60=Справочники!$F$3,Учет!$H60,0)</f>
        <v>0</v>
      </c>
      <c r="S60" s="48">
        <f>IF(Учет!$O60=Справочники!$F$4,Учет!$H60,0)</f>
        <v>0</v>
      </c>
      <c r="T60" s="48">
        <f>IF(Учет!$O60=Справочники!$F$5,Учет!$H60,0)</f>
        <v>16250</v>
      </c>
      <c r="U60" s="48">
        <f>IF(Учет!$O60=Справочники!$F$6,Учет!$H60,0)</f>
        <v>0</v>
      </c>
      <c r="V60" s="43">
        <f>V59+Учет!$B60-Q60</f>
        <v>72650</v>
      </c>
      <c r="W60" s="43">
        <f>W59+Учет!$C60-R60</f>
        <v>336855</v>
      </c>
      <c r="X60" s="43">
        <f>X59+Учет!$D60-S60</f>
        <v>500</v>
      </c>
      <c r="Y60" s="43">
        <f>Y59+Учет!$E60-T60</f>
        <v>31950</v>
      </c>
      <c r="Z60" s="43">
        <f>Z59+Учет!$F60-U60</f>
        <v>0</v>
      </c>
      <c r="AA60" s="45">
        <f>Учет!$I60</f>
        <v>441955</v>
      </c>
    </row>
    <row r="61" spans="1:27" ht="15" customHeight="1" x14ac:dyDescent="0.25">
      <c r="A61" s="1">
        <v>45155</v>
      </c>
      <c r="B61" s="17"/>
      <c r="C61" s="17"/>
      <c r="D61" s="17"/>
      <c r="E61" s="17"/>
      <c r="F61" s="17"/>
      <c r="G61" s="4">
        <f>SUM($B61:$F61)</f>
        <v>0</v>
      </c>
      <c r="H61" s="17">
        <v>2500</v>
      </c>
      <c r="I61" s="4">
        <f>$I60+$G61-$H61</f>
        <v>439455</v>
      </c>
      <c r="J61" s="32" t="str">
        <f>IF($A62&lt;&gt;$A61,$I61,"")</f>
        <v/>
      </c>
      <c r="K61" s="72" t="s">
        <v>92</v>
      </c>
      <c r="L61" s="72" t="s">
        <v>231</v>
      </c>
      <c r="M61" s="2" t="s">
        <v>11</v>
      </c>
      <c r="N61" s="5" t="s">
        <v>21</v>
      </c>
      <c r="O61" s="3" t="s">
        <v>37</v>
      </c>
      <c r="P61" s="6"/>
      <c r="Q61" s="48">
        <f>IF(Учет!$O61=Справочники!$F$2,Учет!$H61,0)</f>
        <v>2500</v>
      </c>
      <c r="R61" s="48">
        <f>IF(Учет!$O61=Справочники!$F$3,Учет!$H61,0)</f>
        <v>0</v>
      </c>
      <c r="S61" s="48">
        <f>IF(Учет!$O61=Справочники!$F$4,Учет!$H61,0)</f>
        <v>0</v>
      </c>
      <c r="T61" s="48">
        <f>IF(Учет!$O61=Справочники!$F$5,Учет!$H61,0)</f>
        <v>0</v>
      </c>
      <c r="U61" s="48">
        <f>IF(Учет!$O61=Справочники!$F$6,Учет!$H61,0)</f>
        <v>0</v>
      </c>
      <c r="V61" s="43">
        <f>V60+Учет!$B61-Q61</f>
        <v>70150</v>
      </c>
      <c r="W61" s="43">
        <f>W60+Учет!$C61-R61</f>
        <v>336855</v>
      </c>
      <c r="X61" s="43">
        <f>X60+Учет!$D61-S61</f>
        <v>500</v>
      </c>
      <c r="Y61" s="43">
        <f>Y60+Учет!$E61-T61</f>
        <v>31950</v>
      </c>
      <c r="Z61" s="43">
        <f>Z60+Учет!$F61-U61</f>
        <v>0</v>
      </c>
      <c r="AA61" s="45">
        <f>Учет!$I61</f>
        <v>439455</v>
      </c>
    </row>
    <row r="62" spans="1:27" ht="15" customHeight="1" x14ac:dyDescent="0.25">
      <c r="A62" s="1">
        <v>45155</v>
      </c>
      <c r="B62" s="17">
        <v>200000</v>
      </c>
      <c r="C62" s="17"/>
      <c r="D62" s="17"/>
      <c r="E62" s="17"/>
      <c r="F62" s="17"/>
      <c r="G62" s="4">
        <f>SUM($B62:$F62)</f>
        <v>200000</v>
      </c>
      <c r="H62" s="17"/>
      <c r="I62" s="4">
        <f>$I61+$G62-$H62</f>
        <v>639455</v>
      </c>
      <c r="J62" s="32" t="str">
        <f>IF($A63&lt;&gt;$A62,$I62,"")</f>
        <v/>
      </c>
      <c r="K62" s="72" t="s">
        <v>93</v>
      </c>
      <c r="L62" s="72"/>
      <c r="M62" s="2" t="s">
        <v>60</v>
      </c>
      <c r="N62" s="5"/>
      <c r="O62" s="3"/>
      <c r="P62" s="6"/>
      <c r="Q62" s="48">
        <f>IF(Учет!$O62=Справочники!$F$2,Учет!$H62,0)</f>
        <v>0</v>
      </c>
      <c r="R62" s="48">
        <f>IF(Учет!$O62=Справочники!$F$3,Учет!$H62,0)</f>
        <v>0</v>
      </c>
      <c r="S62" s="48">
        <f>IF(Учет!$O62=Справочники!$F$4,Учет!$H62,0)</f>
        <v>0</v>
      </c>
      <c r="T62" s="48">
        <f>IF(Учет!$O62=Справочники!$F$5,Учет!$H62,0)</f>
        <v>0</v>
      </c>
      <c r="U62" s="48">
        <f>IF(Учет!$O62=Справочники!$F$6,Учет!$H62,0)</f>
        <v>0</v>
      </c>
      <c r="V62" s="43">
        <f>V61+Учет!$B62-Q62</f>
        <v>270150</v>
      </c>
      <c r="W62" s="43">
        <f>W61+Учет!$C62-R62</f>
        <v>336855</v>
      </c>
      <c r="X62" s="43">
        <f>X61+Учет!$D62-S62</f>
        <v>500</v>
      </c>
      <c r="Y62" s="43">
        <f>Y61+Учет!$E62-T62</f>
        <v>31950</v>
      </c>
      <c r="Z62" s="43">
        <f>Z61+Учет!$F62-U62</f>
        <v>0</v>
      </c>
      <c r="AA62" s="45">
        <f>Учет!$I62</f>
        <v>639455</v>
      </c>
    </row>
    <row r="63" spans="1:27" ht="15" customHeight="1" x14ac:dyDescent="0.25">
      <c r="A63" s="1">
        <v>45155</v>
      </c>
      <c r="B63" s="17"/>
      <c r="C63" s="17"/>
      <c r="D63" s="17"/>
      <c r="E63" s="17"/>
      <c r="F63" s="17"/>
      <c r="G63" s="4">
        <f>SUM($B63:$F63)</f>
        <v>0</v>
      </c>
      <c r="H63" s="17">
        <v>47258</v>
      </c>
      <c r="I63" s="4">
        <f>$I62+$G63-$H63</f>
        <v>592197</v>
      </c>
      <c r="J63" s="32" t="str">
        <f>IF($A64&lt;&gt;$A63,$I63,"")</f>
        <v/>
      </c>
      <c r="K63" s="72" t="s">
        <v>18</v>
      </c>
      <c r="L63" s="72" t="s">
        <v>28</v>
      </c>
      <c r="M63" s="2" t="s">
        <v>11</v>
      </c>
      <c r="N63" s="5" t="s">
        <v>62</v>
      </c>
      <c r="O63" s="3" t="s">
        <v>37</v>
      </c>
      <c r="P63" s="6"/>
      <c r="Q63" s="48">
        <f>IF(Учет!$O63=Справочники!$F$2,Учет!$H63,0)</f>
        <v>47258</v>
      </c>
      <c r="R63" s="48">
        <f>IF(Учет!$O63=Справочники!$F$3,Учет!$H63,0)</f>
        <v>0</v>
      </c>
      <c r="S63" s="48">
        <f>IF(Учет!$O63=Справочники!$F$4,Учет!$H63,0)</f>
        <v>0</v>
      </c>
      <c r="T63" s="48">
        <f>IF(Учет!$O63=Справочники!$F$5,Учет!$H63,0)</f>
        <v>0</v>
      </c>
      <c r="U63" s="48">
        <f>IF(Учет!$O63=Справочники!$F$6,Учет!$H63,0)</f>
        <v>0</v>
      </c>
      <c r="V63" s="43">
        <f>V62+Учет!$B63-Q63</f>
        <v>222892</v>
      </c>
      <c r="W63" s="43">
        <f>W62+Учет!$C63-R63</f>
        <v>336855</v>
      </c>
      <c r="X63" s="43">
        <f>X62+Учет!$D63-S63</f>
        <v>500</v>
      </c>
      <c r="Y63" s="43">
        <f>Y62+Учет!$E63-T63</f>
        <v>31950</v>
      </c>
      <c r="Z63" s="43">
        <f>Z62+Учет!$F63-U63</f>
        <v>0</v>
      </c>
      <c r="AA63" s="45">
        <f>Учет!$I63</f>
        <v>592197</v>
      </c>
    </row>
    <row r="64" spans="1:27" ht="15" customHeight="1" x14ac:dyDescent="0.25">
      <c r="A64" s="1">
        <v>45155</v>
      </c>
      <c r="B64" s="17"/>
      <c r="C64" s="17"/>
      <c r="D64" s="17"/>
      <c r="E64" s="17"/>
      <c r="F64" s="17"/>
      <c r="G64" s="4">
        <f>SUM($B64:$F64)</f>
        <v>0</v>
      </c>
      <c r="H64" s="17">
        <v>2000</v>
      </c>
      <c r="I64" s="4">
        <f>$I63+$G64-$H64</f>
        <v>590197</v>
      </c>
      <c r="J64" s="32" t="str">
        <f>IF($A65&lt;&gt;$A64,$I64,"")</f>
        <v/>
      </c>
      <c r="K64" s="72" t="s">
        <v>92</v>
      </c>
      <c r="L64" s="72" t="s">
        <v>64</v>
      </c>
      <c r="M64" s="2"/>
      <c r="N64" s="5" t="s">
        <v>62</v>
      </c>
      <c r="O64" s="3" t="s">
        <v>37</v>
      </c>
      <c r="P64" s="6"/>
      <c r="Q64" s="48">
        <f>IF(Учет!$O64=Справочники!$F$2,Учет!$H64,0)</f>
        <v>2000</v>
      </c>
      <c r="R64" s="48">
        <f>IF(Учет!$O64=Справочники!$F$3,Учет!$H64,0)</f>
        <v>0</v>
      </c>
      <c r="S64" s="48">
        <f>IF(Учет!$O64=Справочники!$F$4,Учет!$H64,0)</f>
        <v>0</v>
      </c>
      <c r="T64" s="48">
        <f>IF(Учет!$O64=Справочники!$F$5,Учет!$H64,0)</f>
        <v>0</v>
      </c>
      <c r="U64" s="48">
        <f>IF(Учет!$O64=Справочники!$F$6,Учет!$H64,0)</f>
        <v>0</v>
      </c>
      <c r="V64" s="43">
        <f>V63+Учет!$B64-Q64</f>
        <v>220892</v>
      </c>
      <c r="W64" s="43">
        <f>W63+Учет!$C64-R64</f>
        <v>336855</v>
      </c>
      <c r="X64" s="43">
        <f>X63+Учет!$D64-S64</f>
        <v>500</v>
      </c>
      <c r="Y64" s="43">
        <f>Y63+Учет!$E64-T64</f>
        <v>31950</v>
      </c>
      <c r="Z64" s="43">
        <f>Z63+Учет!$F64-U64</f>
        <v>0</v>
      </c>
      <c r="AA64" s="45">
        <f>Учет!$I64</f>
        <v>590197</v>
      </c>
    </row>
    <row r="65" spans="1:27" ht="15" customHeight="1" x14ac:dyDescent="0.25">
      <c r="A65" s="1">
        <v>45155</v>
      </c>
      <c r="B65" s="17"/>
      <c r="C65" s="17"/>
      <c r="D65" s="17"/>
      <c r="E65" s="17"/>
      <c r="F65" s="17"/>
      <c r="G65" s="4">
        <f>SUM($B65:$F65)</f>
        <v>0</v>
      </c>
      <c r="H65" s="17">
        <v>8200</v>
      </c>
      <c r="I65" s="4">
        <f>$I64+$G65-$H65</f>
        <v>581997</v>
      </c>
      <c r="J65" s="32" t="str">
        <f>IF($A66&lt;&gt;$A65,$I65,"")</f>
        <v/>
      </c>
      <c r="K65" s="72" t="s">
        <v>91</v>
      </c>
      <c r="L65" s="72" t="s">
        <v>258</v>
      </c>
      <c r="M65" s="2" t="s">
        <v>59</v>
      </c>
      <c r="N65" s="5" t="s">
        <v>21</v>
      </c>
      <c r="O65" s="3" t="s">
        <v>57</v>
      </c>
      <c r="P65" s="6"/>
      <c r="Q65" s="48">
        <f>IF(Учет!$O65=Справочники!$F$2,Учет!$H65,0)</f>
        <v>0</v>
      </c>
      <c r="R65" s="48">
        <f>IF(Учет!$O65=Справочники!$F$3,Учет!$H65,0)</f>
        <v>0</v>
      </c>
      <c r="S65" s="48">
        <f>IF(Учет!$O65=Справочники!$F$4,Учет!$H65,0)</f>
        <v>0</v>
      </c>
      <c r="T65" s="48">
        <f>IF(Учет!$O65=Справочники!$F$5,Учет!$H65,0)</f>
        <v>8200</v>
      </c>
      <c r="U65" s="48">
        <f>IF(Учет!$O65=Справочники!$F$6,Учет!$H65,0)</f>
        <v>0</v>
      </c>
      <c r="V65" s="43">
        <f>V64+Учет!$B65-Q65</f>
        <v>220892</v>
      </c>
      <c r="W65" s="43">
        <f>W64+Учет!$C65-R65</f>
        <v>336855</v>
      </c>
      <c r="X65" s="43">
        <f>X64+Учет!$D65-S65</f>
        <v>500</v>
      </c>
      <c r="Y65" s="43">
        <f>Y64+Учет!$E65-T65</f>
        <v>23750</v>
      </c>
      <c r="Z65" s="43">
        <f>Z64+Учет!$F65-U65</f>
        <v>0</v>
      </c>
      <c r="AA65" s="45">
        <f>Учет!$I65</f>
        <v>581997</v>
      </c>
    </row>
    <row r="66" spans="1:27" ht="15" customHeight="1" x14ac:dyDescent="0.25">
      <c r="A66" s="1">
        <v>45155</v>
      </c>
      <c r="B66" s="17"/>
      <c r="C66" s="17"/>
      <c r="D66" s="17"/>
      <c r="E66" s="17"/>
      <c r="F66" s="17"/>
      <c r="G66" s="4">
        <f>SUM($B66:$F66)</f>
        <v>0</v>
      </c>
      <c r="H66" s="17">
        <v>2200</v>
      </c>
      <c r="I66" s="4">
        <f>$I65+$G66-$H66</f>
        <v>579797</v>
      </c>
      <c r="J66" s="32">
        <f>IF($A67&lt;&gt;$A66,$I66,"")</f>
        <v>579797</v>
      </c>
      <c r="K66" s="72" t="s">
        <v>18</v>
      </c>
      <c r="L66" s="72" t="s">
        <v>62</v>
      </c>
      <c r="M66" s="2" t="s">
        <v>18</v>
      </c>
      <c r="N66" s="5" t="s">
        <v>62</v>
      </c>
      <c r="O66" s="3" t="s">
        <v>57</v>
      </c>
      <c r="P66" s="6"/>
      <c r="Q66" s="48">
        <f>IF(Учет!$O66=Справочники!$F$2,Учет!$H66,0)</f>
        <v>0</v>
      </c>
      <c r="R66" s="48">
        <f>IF(Учет!$O66=Справочники!$F$3,Учет!$H66,0)</f>
        <v>0</v>
      </c>
      <c r="S66" s="48">
        <f>IF(Учет!$O66=Справочники!$F$4,Учет!$H66,0)</f>
        <v>0</v>
      </c>
      <c r="T66" s="48">
        <f>IF(Учет!$O66=Справочники!$F$5,Учет!$H66,0)</f>
        <v>2200</v>
      </c>
      <c r="U66" s="48">
        <f>IF(Учет!$O66=Справочники!$F$6,Учет!$H66,0)</f>
        <v>0</v>
      </c>
      <c r="V66" s="43">
        <f>V65+Учет!$B66-Q66</f>
        <v>220892</v>
      </c>
      <c r="W66" s="43">
        <f>W65+Учет!$C66-R66</f>
        <v>336855</v>
      </c>
      <c r="X66" s="43">
        <f>X65+Учет!$D66-S66</f>
        <v>500</v>
      </c>
      <c r="Y66" s="43">
        <f>Y65+Учет!$E66-T66</f>
        <v>21550</v>
      </c>
      <c r="Z66" s="43">
        <f>Z65+Учет!$F66-U66</f>
        <v>0</v>
      </c>
      <c r="AA66" s="45">
        <f>Учет!$I66</f>
        <v>579797</v>
      </c>
    </row>
    <row r="67" spans="1:27" ht="15" customHeight="1" x14ac:dyDescent="0.25">
      <c r="A67" s="1">
        <v>45156</v>
      </c>
      <c r="B67" s="17"/>
      <c r="C67" s="17"/>
      <c r="D67" s="17"/>
      <c r="E67" s="17"/>
      <c r="F67" s="17"/>
      <c r="G67" s="4">
        <f>SUM($B67:$F67)</f>
        <v>0</v>
      </c>
      <c r="H67" s="17">
        <v>60000</v>
      </c>
      <c r="I67" s="4">
        <f>$I66+$G67-$H67</f>
        <v>519797</v>
      </c>
      <c r="J67" s="32" t="str">
        <f>IF($A68&lt;&gt;$A67,$I67,"")</f>
        <v/>
      </c>
      <c r="K67" s="72" t="s">
        <v>18</v>
      </c>
      <c r="L67" s="72" t="s">
        <v>167</v>
      </c>
      <c r="M67" s="2" t="s">
        <v>11</v>
      </c>
      <c r="N67" s="5" t="s">
        <v>21</v>
      </c>
      <c r="O67" s="3" t="s">
        <v>37</v>
      </c>
      <c r="P67" s="6" t="s">
        <v>72</v>
      </c>
      <c r="Q67" s="48">
        <f>IF(Учет!$O67=Справочники!$F$2,Учет!$H67,0)</f>
        <v>60000</v>
      </c>
      <c r="R67" s="48">
        <f>IF(Учет!$O67=Справочники!$F$3,Учет!$H67,0)</f>
        <v>0</v>
      </c>
      <c r="S67" s="48">
        <f>IF(Учет!$O67=Справочники!$F$4,Учет!$H67,0)</f>
        <v>0</v>
      </c>
      <c r="T67" s="48">
        <f>IF(Учет!$O67=Справочники!$F$5,Учет!$H67,0)</f>
        <v>0</v>
      </c>
      <c r="U67" s="48">
        <f>IF(Учет!$O67=Справочники!$F$6,Учет!$H67,0)</f>
        <v>0</v>
      </c>
      <c r="V67" s="43">
        <f>V66+Учет!$B67-Q67</f>
        <v>160892</v>
      </c>
      <c r="W67" s="43">
        <f>W66+Учет!$C67-R67</f>
        <v>336855</v>
      </c>
      <c r="X67" s="43">
        <f>X66+Учет!$D67-S67</f>
        <v>500</v>
      </c>
      <c r="Y67" s="43">
        <f>Y66+Учет!$E67-T67</f>
        <v>21550</v>
      </c>
      <c r="Z67" s="43">
        <f>Z66+Учет!$F67-U67</f>
        <v>0</v>
      </c>
      <c r="AA67" s="45">
        <f>Учет!$I67</f>
        <v>519797</v>
      </c>
    </row>
    <row r="68" spans="1:27" ht="15" customHeight="1" x14ac:dyDescent="0.25">
      <c r="A68" s="1">
        <v>45156</v>
      </c>
      <c r="B68" s="17"/>
      <c r="C68" s="17"/>
      <c r="D68" s="17"/>
      <c r="E68" s="17"/>
      <c r="F68" s="17"/>
      <c r="G68" s="4">
        <f>SUM($B68:$F68)</f>
        <v>0</v>
      </c>
      <c r="H68" s="17">
        <v>6000</v>
      </c>
      <c r="I68" s="4">
        <f>$I67+$G68-$H68</f>
        <v>513797</v>
      </c>
      <c r="J68" s="32" t="str">
        <f>IF($A69&lt;&gt;$A68,$I68,"")</f>
        <v/>
      </c>
      <c r="K68" s="72" t="s">
        <v>91</v>
      </c>
      <c r="L68" s="72" t="s">
        <v>65</v>
      </c>
      <c r="M68" s="2"/>
      <c r="N68" s="5"/>
      <c r="O68" s="3" t="s">
        <v>37</v>
      </c>
      <c r="P68" s="6"/>
      <c r="Q68" s="48">
        <f>IF(Учет!$O68=Справочники!$F$2,Учет!$H68,0)</f>
        <v>6000</v>
      </c>
      <c r="R68" s="48">
        <f>IF(Учет!$O68=Справочники!$F$3,Учет!$H68,0)</f>
        <v>0</v>
      </c>
      <c r="S68" s="48">
        <f>IF(Учет!$O68=Справочники!$F$4,Учет!$H68,0)</f>
        <v>0</v>
      </c>
      <c r="T68" s="48">
        <f>IF(Учет!$O68=Справочники!$F$5,Учет!$H68,0)</f>
        <v>0</v>
      </c>
      <c r="U68" s="48">
        <f>IF(Учет!$O68=Справочники!$F$6,Учет!$H68,0)</f>
        <v>0</v>
      </c>
      <c r="V68" s="43">
        <f>V67+Учет!$B68-Q68</f>
        <v>154892</v>
      </c>
      <c r="W68" s="43">
        <f>W67+Учет!$C68-R68</f>
        <v>336855</v>
      </c>
      <c r="X68" s="43">
        <f>X67+Учет!$D68-S68</f>
        <v>500</v>
      </c>
      <c r="Y68" s="43">
        <f>Y67+Учет!$E68-T68</f>
        <v>21550</v>
      </c>
      <c r="Z68" s="43">
        <f>Z67+Учет!$F68-U68</f>
        <v>0</v>
      </c>
      <c r="AA68" s="45">
        <f>Учет!$I68</f>
        <v>513797</v>
      </c>
    </row>
    <row r="69" spans="1:27" ht="15" customHeight="1" x14ac:dyDescent="0.25">
      <c r="A69" s="1">
        <v>45156</v>
      </c>
      <c r="B69" s="17"/>
      <c r="C69" s="17"/>
      <c r="D69" s="17"/>
      <c r="E69" s="17"/>
      <c r="F69" s="17"/>
      <c r="G69" s="4">
        <f>SUM($B69:$F69)</f>
        <v>0</v>
      </c>
      <c r="H69" s="17">
        <v>2000</v>
      </c>
      <c r="I69" s="4">
        <f>$I68+$G69-$H69</f>
        <v>511797</v>
      </c>
      <c r="J69" s="32">
        <f>IF($A70&lt;&gt;$A69,$I69,"")</f>
        <v>511797</v>
      </c>
      <c r="K69" s="72" t="s">
        <v>91</v>
      </c>
      <c r="L69" s="72" t="s">
        <v>236</v>
      </c>
      <c r="M69" s="2"/>
      <c r="N69" s="5"/>
      <c r="O69" s="3" t="s">
        <v>57</v>
      </c>
      <c r="P69" s="6"/>
      <c r="Q69" s="48">
        <f>IF(Учет!$O69=Справочники!$F$2,Учет!$H69,0)</f>
        <v>0</v>
      </c>
      <c r="R69" s="48">
        <f>IF(Учет!$O69=Справочники!$F$3,Учет!$H69,0)</f>
        <v>0</v>
      </c>
      <c r="S69" s="48">
        <f>IF(Учет!$O69=Справочники!$F$4,Учет!$H69,0)</f>
        <v>0</v>
      </c>
      <c r="T69" s="48">
        <f>IF(Учет!$O69=Справочники!$F$5,Учет!$H69,0)</f>
        <v>2000</v>
      </c>
      <c r="U69" s="48">
        <f>IF(Учет!$O69=Справочники!$F$6,Учет!$H69,0)</f>
        <v>0</v>
      </c>
      <c r="V69" s="43">
        <f>V68+Учет!$B69-Q69</f>
        <v>154892</v>
      </c>
      <c r="W69" s="43">
        <f>W68+Учет!$C69-R69</f>
        <v>336855</v>
      </c>
      <c r="X69" s="43">
        <f>X68+Учет!$D69-S69</f>
        <v>500</v>
      </c>
      <c r="Y69" s="43">
        <f>Y68+Учет!$E69-T69</f>
        <v>19550</v>
      </c>
      <c r="Z69" s="43">
        <f>Z68+Учет!$F69-U69</f>
        <v>0</v>
      </c>
      <c r="AA69" s="45">
        <f>Учет!$I69</f>
        <v>511797</v>
      </c>
    </row>
    <row r="70" spans="1:27" ht="15" customHeight="1" x14ac:dyDescent="0.25">
      <c r="A70" s="1">
        <v>45157</v>
      </c>
      <c r="B70" s="17"/>
      <c r="C70" s="17"/>
      <c r="D70" s="17"/>
      <c r="E70" s="17"/>
      <c r="F70" s="17"/>
      <c r="G70" s="4">
        <f>SUM($B70:$F70)</f>
        <v>0</v>
      </c>
      <c r="H70" s="17">
        <v>20000</v>
      </c>
      <c r="I70" s="4">
        <f>$I69+$G70-$H70</f>
        <v>491797</v>
      </c>
      <c r="J70" s="32" t="str">
        <f>IF($A71&lt;&gt;$A70,$I70,"")</f>
        <v/>
      </c>
      <c r="K70" s="72" t="s">
        <v>18</v>
      </c>
      <c r="L70" s="72" t="s">
        <v>164</v>
      </c>
      <c r="M70" s="2" t="s">
        <v>12</v>
      </c>
      <c r="N70" s="5"/>
      <c r="O70" s="3" t="s">
        <v>37</v>
      </c>
      <c r="P70" s="6" t="s">
        <v>23</v>
      </c>
      <c r="Q70" s="48">
        <f>IF(Учет!$O70=Справочники!$F$2,Учет!$H70,0)</f>
        <v>20000</v>
      </c>
      <c r="R70" s="48">
        <f>IF(Учет!$O70=Справочники!$F$3,Учет!$H70,0)</f>
        <v>0</v>
      </c>
      <c r="S70" s="48">
        <f>IF(Учет!$O70=Справочники!$F$4,Учет!$H70,0)</f>
        <v>0</v>
      </c>
      <c r="T70" s="48">
        <f>IF(Учет!$O70=Справочники!$F$5,Учет!$H70,0)</f>
        <v>0</v>
      </c>
      <c r="U70" s="48">
        <f>IF(Учет!$O70=Справочники!$F$6,Учет!$H70,0)</f>
        <v>0</v>
      </c>
      <c r="V70" s="43">
        <f>V69+Учет!$B70-Q70</f>
        <v>134892</v>
      </c>
      <c r="W70" s="43">
        <f>W69+Учет!$C70-R70</f>
        <v>336855</v>
      </c>
      <c r="X70" s="43">
        <f>X69+Учет!$D70-S70</f>
        <v>500</v>
      </c>
      <c r="Y70" s="43">
        <f>Y69+Учет!$E70-T70</f>
        <v>19550</v>
      </c>
      <c r="Z70" s="43">
        <f>Z69+Учет!$F70-U70</f>
        <v>0</v>
      </c>
      <c r="AA70" s="45">
        <f>Учет!$I70</f>
        <v>491797</v>
      </c>
    </row>
    <row r="71" spans="1:27" ht="15" customHeight="1" x14ac:dyDescent="0.25">
      <c r="A71" s="1">
        <v>45157</v>
      </c>
      <c r="B71" s="17"/>
      <c r="C71" s="17"/>
      <c r="D71" s="17"/>
      <c r="E71" s="17"/>
      <c r="F71" s="17"/>
      <c r="G71" s="4">
        <f>SUM($B71:$F71)</f>
        <v>0</v>
      </c>
      <c r="H71" s="17">
        <v>4000</v>
      </c>
      <c r="I71" s="4">
        <f>$I70+$G71-$H71</f>
        <v>487797</v>
      </c>
      <c r="J71" s="32" t="str">
        <f>IF($A72&lt;&gt;$A71,$I71,"")</f>
        <v/>
      </c>
      <c r="K71" s="72" t="s">
        <v>18</v>
      </c>
      <c r="L71" s="72" t="s">
        <v>19</v>
      </c>
      <c r="M71" s="2"/>
      <c r="N71" s="5"/>
      <c r="O71" s="3" t="s">
        <v>37</v>
      </c>
      <c r="P71" s="6"/>
      <c r="Q71" s="48">
        <f>IF(Учет!$O71=Справочники!$F$2,Учет!$H71,0)</f>
        <v>4000</v>
      </c>
      <c r="R71" s="48">
        <f>IF(Учет!$O71=Справочники!$F$3,Учет!$H71,0)</f>
        <v>0</v>
      </c>
      <c r="S71" s="48">
        <f>IF(Учет!$O71=Справочники!$F$4,Учет!$H71,0)</f>
        <v>0</v>
      </c>
      <c r="T71" s="48">
        <f>IF(Учет!$O71=Справочники!$F$5,Учет!$H71,0)</f>
        <v>0</v>
      </c>
      <c r="U71" s="48">
        <f>IF(Учет!$O71=Справочники!$F$6,Учет!$H71,0)</f>
        <v>0</v>
      </c>
      <c r="V71" s="43">
        <f>V70+Учет!$B71-Q71</f>
        <v>130892</v>
      </c>
      <c r="W71" s="43">
        <f>W70+Учет!$C71-R71</f>
        <v>336855</v>
      </c>
      <c r="X71" s="43">
        <f>X70+Учет!$D71-S71</f>
        <v>500</v>
      </c>
      <c r="Y71" s="43">
        <f>Y70+Учет!$E71-T71</f>
        <v>19550</v>
      </c>
      <c r="Z71" s="43">
        <f>Z70+Учет!$F71-U71</f>
        <v>0</v>
      </c>
      <c r="AA71" s="45">
        <f>Учет!$I71</f>
        <v>487797</v>
      </c>
    </row>
    <row r="72" spans="1:27" ht="15" customHeight="1" x14ac:dyDescent="0.25">
      <c r="A72" s="1">
        <v>45157</v>
      </c>
      <c r="B72" s="17"/>
      <c r="C72" s="17"/>
      <c r="D72" s="17"/>
      <c r="E72" s="17"/>
      <c r="F72" s="17"/>
      <c r="G72" s="4">
        <f>SUM($B72:$F72)</f>
        <v>0</v>
      </c>
      <c r="H72" s="17">
        <v>30000</v>
      </c>
      <c r="I72" s="4">
        <f>$I71+$G72-$H72</f>
        <v>457797</v>
      </c>
      <c r="J72" s="32">
        <f>IF($A73&lt;&gt;$A72,$I72,"")</f>
        <v>457797</v>
      </c>
      <c r="K72" s="72" t="s">
        <v>18</v>
      </c>
      <c r="L72" s="72" t="s">
        <v>163</v>
      </c>
      <c r="M72" s="2"/>
      <c r="N72" s="5"/>
      <c r="O72" s="3" t="s">
        <v>37</v>
      </c>
      <c r="P72" s="6"/>
      <c r="Q72" s="48">
        <f>IF(Учет!$O72=Справочники!$F$2,Учет!$H72,0)</f>
        <v>30000</v>
      </c>
      <c r="R72" s="48">
        <f>IF(Учет!$O72=Справочники!$F$3,Учет!$H72,0)</f>
        <v>0</v>
      </c>
      <c r="S72" s="48">
        <f>IF(Учет!$O72=Справочники!$F$4,Учет!$H72,0)</f>
        <v>0</v>
      </c>
      <c r="T72" s="48">
        <f>IF(Учет!$O72=Справочники!$F$5,Учет!$H72,0)</f>
        <v>0</v>
      </c>
      <c r="U72" s="48">
        <f>IF(Учет!$O72=Справочники!$F$6,Учет!$H72,0)</f>
        <v>0</v>
      </c>
      <c r="V72" s="43">
        <f>V71+Учет!$B72-Q72</f>
        <v>100892</v>
      </c>
      <c r="W72" s="43">
        <f>W71+Учет!$C72-R72</f>
        <v>336855</v>
      </c>
      <c r="X72" s="43">
        <f>X71+Учет!$D72-S72</f>
        <v>500</v>
      </c>
      <c r="Y72" s="43">
        <f>Y71+Учет!$E72-T72</f>
        <v>19550</v>
      </c>
      <c r="Z72" s="43">
        <f>Z71+Учет!$F72-U72</f>
        <v>0</v>
      </c>
      <c r="AA72" s="45">
        <f>Учет!$I72</f>
        <v>457797</v>
      </c>
    </row>
    <row r="73" spans="1:27" ht="15" customHeight="1" x14ac:dyDescent="0.25">
      <c r="A73" s="1">
        <v>45158</v>
      </c>
      <c r="B73" s="17"/>
      <c r="C73" s="17"/>
      <c r="D73" s="17"/>
      <c r="E73" s="17"/>
      <c r="F73" s="17"/>
      <c r="G73" s="4">
        <f>SUM($B73:$F73)</f>
        <v>0</v>
      </c>
      <c r="H73" s="17">
        <v>5000</v>
      </c>
      <c r="I73" s="4">
        <f>$I72+$G73-$H73</f>
        <v>452797</v>
      </c>
      <c r="J73" s="32">
        <f>IF($A74&lt;&gt;$A73,$I73,"")</f>
        <v>452797</v>
      </c>
      <c r="K73" s="72" t="s">
        <v>18</v>
      </c>
      <c r="L73" s="72" t="s">
        <v>159</v>
      </c>
      <c r="M73" s="2" t="s">
        <v>61</v>
      </c>
      <c r="N73" s="5"/>
      <c r="O73" s="3" t="s">
        <v>37</v>
      </c>
      <c r="P73" s="6"/>
      <c r="Q73" s="48">
        <f>IF(Учет!$O73=Справочники!$F$2,Учет!$H73,0)</f>
        <v>5000</v>
      </c>
      <c r="R73" s="48">
        <f>IF(Учет!$O73=Справочники!$F$3,Учет!$H73,0)</f>
        <v>0</v>
      </c>
      <c r="S73" s="48">
        <f>IF(Учет!$O73=Справочники!$F$4,Учет!$H73,0)</f>
        <v>0</v>
      </c>
      <c r="T73" s="48">
        <f>IF(Учет!$O73=Справочники!$F$5,Учет!$H73,0)</f>
        <v>0</v>
      </c>
      <c r="U73" s="48">
        <f>IF(Учет!$O73=Справочники!$F$6,Учет!$H73,0)</f>
        <v>0</v>
      </c>
      <c r="V73" s="43">
        <f>V72+Учет!$B73-Q73</f>
        <v>95892</v>
      </c>
      <c r="W73" s="43">
        <f>W72+Учет!$C73-R73</f>
        <v>336855</v>
      </c>
      <c r="X73" s="43">
        <f>X72+Учет!$D73-S73</f>
        <v>500</v>
      </c>
      <c r="Y73" s="43">
        <f>Y72+Учет!$E73-T73</f>
        <v>19550</v>
      </c>
      <c r="Z73" s="43">
        <f>Z72+Учет!$F73-U73</f>
        <v>0</v>
      </c>
      <c r="AA73" s="45">
        <f>Учет!$I73</f>
        <v>452797</v>
      </c>
    </row>
    <row r="74" spans="1:27" ht="15" customHeight="1" x14ac:dyDescent="0.25">
      <c r="A74" s="1">
        <v>45159</v>
      </c>
      <c r="B74" s="17"/>
      <c r="C74" s="17"/>
      <c r="D74" s="17"/>
      <c r="E74" s="17"/>
      <c r="F74" s="17">
        <v>500000</v>
      </c>
      <c r="G74" s="4">
        <f>SUM($B74:$F74)</f>
        <v>500000</v>
      </c>
      <c r="H74" s="17"/>
      <c r="I74" s="4">
        <f>$I73+$G74-$H74</f>
        <v>952797</v>
      </c>
      <c r="J74" s="32" t="str">
        <f>IF($A75&lt;&gt;$A74,$I74,"")</f>
        <v/>
      </c>
      <c r="K74" s="72" t="s">
        <v>105</v>
      </c>
      <c r="L74" s="72" t="s">
        <v>66</v>
      </c>
      <c r="M74" s="2"/>
      <c r="N74" s="5" t="s">
        <v>86</v>
      </c>
      <c r="O74" s="3"/>
      <c r="P74" s="6"/>
      <c r="Q74" s="48">
        <f>IF(Учет!$O74=Справочники!$F$2,Учет!$H74,0)</f>
        <v>0</v>
      </c>
      <c r="R74" s="48">
        <f>IF(Учет!$O74=Справочники!$F$3,Учет!$H74,0)</f>
        <v>0</v>
      </c>
      <c r="S74" s="48">
        <f>IF(Учет!$O74=Справочники!$F$4,Учет!$H74,0)</f>
        <v>0</v>
      </c>
      <c r="T74" s="48">
        <f>IF(Учет!$O74=Справочники!$F$5,Учет!$H74,0)</f>
        <v>0</v>
      </c>
      <c r="U74" s="48">
        <f>IF(Учет!$O74=Справочники!$F$6,Учет!$H74,0)</f>
        <v>0</v>
      </c>
      <c r="V74" s="43">
        <f>V73+Учет!$B74-Q74</f>
        <v>95892</v>
      </c>
      <c r="W74" s="43">
        <f>W73+Учет!$C74-R74</f>
        <v>336855</v>
      </c>
      <c r="X74" s="43">
        <f>X73+Учет!$D74-S74</f>
        <v>500</v>
      </c>
      <c r="Y74" s="43">
        <f>Y73+Учет!$E74-T74</f>
        <v>19550</v>
      </c>
      <c r="Z74" s="43">
        <f>Z73+Учет!$F74-U74</f>
        <v>500000</v>
      </c>
      <c r="AA74" s="45">
        <f>Учет!$I74</f>
        <v>952797</v>
      </c>
    </row>
    <row r="75" spans="1:27" ht="15" customHeight="1" x14ac:dyDescent="0.25">
      <c r="A75" s="1">
        <v>45159</v>
      </c>
      <c r="B75" s="17"/>
      <c r="C75" s="17"/>
      <c r="D75" s="17"/>
      <c r="E75" s="17"/>
      <c r="F75" s="17"/>
      <c r="G75" s="4">
        <f>SUM($B75:$F75)</f>
        <v>0</v>
      </c>
      <c r="H75" s="17">
        <v>2800</v>
      </c>
      <c r="I75" s="4">
        <f>$I74+$G75-$H75</f>
        <v>949997</v>
      </c>
      <c r="J75" s="32" t="str">
        <f>IF($A76&lt;&gt;$A75,$I75,"")</f>
        <v/>
      </c>
      <c r="K75" s="72" t="s">
        <v>103</v>
      </c>
      <c r="L75" s="72" t="s">
        <v>259</v>
      </c>
      <c r="M75" s="2" t="s">
        <v>13</v>
      </c>
      <c r="N75" s="5"/>
      <c r="O75" s="3" t="s">
        <v>57</v>
      </c>
      <c r="P75" s="6"/>
      <c r="Q75" s="48">
        <f>IF(Учет!$O75=Справочники!$F$2,Учет!$H75,0)</f>
        <v>0</v>
      </c>
      <c r="R75" s="48">
        <f>IF(Учет!$O75=Справочники!$F$3,Учет!$H75,0)</f>
        <v>0</v>
      </c>
      <c r="S75" s="48">
        <f>IF(Учет!$O75=Справочники!$F$4,Учет!$H75,0)</f>
        <v>0</v>
      </c>
      <c r="T75" s="48">
        <f>IF(Учет!$O75=Справочники!$F$5,Учет!$H75,0)</f>
        <v>2800</v>
      </c>
      <c r="U75" s="48">
        <f>IF(Учет!$O75=Справочники!$F$6,Учет!$H75,0)</f>
        <v>0</v>
      </c>
      <c r="V75" s="43">
        <f>V74+Учет!$B75-Q75</f>
        <v>95892</v>
      </c>
      <c r="W75" s="43">
        <f>W74+Учет!$C75-R75</f>
        <v>336855</v>
      </c>
      <c r="X75" s="43">
        <f>X74+Учет!$D75-S75</f>
        <v>500</v>
      </c>
      <c r="Y75" s="43">
        <f>Y74+Учет!$E75-T75</f>
        <v>16750</v>
      </c>
      <c r="Z75" s="43">
        <f>Z74+Учет!$F75-U75</f>
        <v>500000</v>
      </c>
      <c r="AA75" s="45">
        <f>Учет!$I75</f>
        <v>949997</v>
      </c>
    </row>
    <row r="76" spans="1:27" ht="15" customHeight="1" x14ac:dyDescent="0.25">
      <c r="A76" s="1">
        <v>45159</v>
      </c>
      <c r="B76" s="17"/>
      <c r="C76" s="17"/>
      <c r="D76" s="17"/>
      <c r="E76" s="17"/>
      <c r="F76" s="17"/>
      <c r="G76" s="4">
        <f>SUM($B76:$F76)</f>
        <v>0</v>
      </c>
      <c r="H76" s="17">
        <v>2800</v>
      </c>
      <c r="I76" s="4">
        <f>$I75+$G76-$H76</f>
        <v>947197</v>
      </c>
      <c r="J76" s="32" t="str">
        <f>IF($A77&lt;&gt;$A76,$I76,"")</f>
        <v/>
      </c>
      <c r="K76" s="72" t="s">
        <v>103</v>
      </c>
      <c r="L76" s="72" t="s">
        <v>260</v>
      </c>
      <c r="M76" s="2" t="s">
        <v>13</v>
      </c>
      <c r="N76" s="5" t="s">
        <v>62</v>
      </c>
      <c r="O76" s="3" t="s">
        <v>57</v>
      </c>
      <c r="P76" s="6"/>
      <c r="Q76" s="48">
        <f>IF(Учет!$O76=Справочники!$F$2,Учет!$H76,0)</f>
        <v>0</v>
      </c>
      <c r="R76" s="48">
        <f>IF(Учет!$O76=Справочники!$F$3,Учет!$H76,0)</f>
        <v>0</v>
      </c>
      <c r="S76" s="48">
        <f>IF(Учет!$O76=Справочники!$F$4,Учет!$H76,0)</f>
        <v>0</v>
      </c>
      <c r="T76" s="48">
        <f>IF(Учет!$O76=Справочники!$F$5,Учет!$H76,0)</f>
        <v>2800</v>
      </c>
      <c r="U76" s="48">
        <f>IF(Учет!$O76=Справочники!$F$6,Учет!$H76,0)</f>
        <v>0</v>
      </c>
      <c r="V76" s="43">
        <f>V75+Учет!$B76-Q76</f>
        <v>95892</v>
      </c>
      <c r="W76" s="43">
        <f>W75+Учет!$C76-R76</f>
        <v>336855</v>
      </c>
      <c r="X76" s="43">
        <f>X75+Учет!$D76-S76</f>
        <v>500</v>
      </c>
      <c r="Y76" s="43">
        <f>Y75+Учет!$E76-T76</f>
        <v>13950</v>
      </c>
      <c r="Z76" s="43">
        <f>Z75+Учет!$F76-U76</f>
        <v>500000</v>
      </c>
      <c r="AA76" s="45">
        <f>Учет!$I76</f>
        <v>947197</v>
      </c>
    </row>
    <row r="77" spans="1:27" ht="15" customHeight="1" x14ac:dyDescent="0.25">
      <c r="A77" s="1">
        <v>45159</v>
      </c>
      <c r="B77" s="17"/>
      <c r="C77" s="17"/>
      <c r="D77" s="17"/>
      <c r="E77" s="17"/>
      <c r="F77" s="17"/>
      <c r="G77" s="4">
        <f>SUM($B77:$F77)</f>
        <v>0</v>
      </c>
      <c r="H77" s="17">
        <v>2800</v>
      </c>
      <c r="I77" s="4">
        <f>$I76+$G77-$H77</f>
        <v>944397</v>
      </c>
      <c r="J77" s="32" t="str">
        <f>IF($A78&lt;&gt;$A77,$I77,"")</f>
        <v/>
      </c>
      <c r="K77" s="72" t="s">
        <v>103</v>
      </c>
      <c r="L77" s="72" t="s">
        <v>248</v>
      </c>
      <c r="M77" s="2" t="s">
        <v>13</v>
      </c>
      <c r="N77" s="5"/>
      <c r="O77" s="3" t="s">
        <v>57</v>
      </c>
      <c r="P77" s="6"/>
      <c r="Q77" s="48">
        <f>IF(Учет!$O77=Справочники!$F$2,Учет!$H77,0)</f>
        <v>0</v>
      </c>
      <c r="R77" s="48">
        <f>IF(Учет!$O77=Справочники!$F$3,Учет!$H77,0)</f>
        <v>0</v>
      </c>
      <c r="S77" s="48">
        <f>IF(Учет!$O77=Справочники!$F$4,Учет!$H77,0)</f>
        <v>0</v>
      </c>
      <c r="T77" s="48">
        <f>IF(Учет!$O77=Справочники!$F$5,Учет!$H77,0)</f>
        <v>2800</v>
      </c>
      <c r="U77" s="48">
        <f>IF(Учет!$O77=Справочники!$F$6,Учет!$H77,0)</f>
        <v>0</v>
      </c>
      <c r="V77" s="43">
        <f>V76+Учет!$B77-Q77</f>
        <v>95892</v>
      </c>
      <c r="W77" s="43">
        <f>W76+Учет!$C77-R77</f>
        <v>336855</v>
      </c>
      <c r="X77" s="43">
        <f>X76+Учет!$D77-S77</f>
        <v>500</v>
      </c>
      <c r="Y77" s="43">
        <f>Y76+Учет!$E77-T77</f>
        <v>11150</v>
      </c>
      <c r="Z77" s="43">
        <f>Z76+Учет!$F77-U77</f>
        <v>500000</v>
      </c>
      <c r="AA77" s="45">
        <f>Учет!$I77</f>
        <v>944397</v>
      </c>
    </row>
    <row r="78" spans="1:27" ht="15" customHeight="1" x14ac:dyDescent="0.25">
      <c r="A78" s="1">
        <v>45159</v>
      </c>
      <c r="B78" s="17"/>
      <c r="C78" s="17"/>
      <c r="D78" s="17"/>
      <c r="E78" s="17"/>
      <c r="F78" s="17"/>
      <c r="G78" s="4">
        <f>SUM($B78:$F78)</f>
        <v>0</v>
      </c>
      <c r="H78" s="17">
        <v>10000</v>
      </c>
      <c r="I78" s="4">
        <f>$I77+$G78-$H78</f>
        <v>934397</v>
      </c>
      <c r="J78" s="32" t="str">
        <f>IF($A79&lt;&gt;$A78,$I78,"")</f>
        <v/>
      </c>
      <c r="K78" s="72" t="s">
        <v>18</v>
      </c>
      <c r="L78" s="72" t="s">
        <v>160</v>
      </c>
      <c r="M78" s="2" t="s">
        <v>18</v>
      </c>
      <c r="N78" s="5" t="s">
        <v>21</v>
      </c>
      <c r="O78" s="3" t="s">
        <v>57</v>
      </c>
      <c r="P78" s="6"/>
      <c r="Q78" s="48">
        <f>IF(Учет!$O78=Справочники!$F$2,Учет!$H78,0)</f>
        <v>0</v>
      </c>
      <c r="R78" s="48">
        <f>IF(Учет!$O78=Справочники!$F$3,Учет!$H78,0)</f>
        <v>0</v>
      </c>
      <c r="S78" s="48">
        <f>IF(Учет!$O78=Справочники!$F$4,Учет!$H78,0)</f>
        <v>0</v>
      </c>
      <c r="T78" s="48">
        <f>IF(Учет!$O78=Справочники!$F$5,Учет!$H78,0)</f>
        <v>10000</v>
      </c>
      <c r="U78" s="48">
        <f>IF(Учет!$O78=Справочники!$F$6,Учет!$H78,0)</f>
        <v>0</v>
      </c>
      <c r="V78" s="43">
        <f>V77+Учет!$B78-Q78</f>
        <v>95892</v>
      </c>
      <c r="W78" s="43">
        <f>W77+Учет!$C78-R78</f>
        <v>336855</v>
      </c>
      <c r="X78" s="43">
        <f>X77+Учет!$D78-S78</f>
        <v>500</v>
      </c>
      <c r="Y78" s="43">
        <f>Y77+Учет!$E78-T78</f>
        <v>1150</v>
      </c>
      <c r="Z78" s="43">
        <f>Z77+Учет!$F78-U78</f>
        <v>500000</v>
      </c>
      <c r="AA78" s="45">
        <f>Учет!$I78</f>
        <v>934397</v>
      </c>
    </row>
    <row r="79" spans="1:27" ht="15" customHeight="1" x14ac:dyDescent="0.25">
      <c r="A79" s="1">
        <v>45159</v>
      </c>
      <c r="B79" s="17"/>
      <c r="C79" s="17"/>
      <c r="D79" s="17"/>
      <c r="E79" s="17"/>
      <c r="F79" s="17"/>
      <c r="G79" s="4">
        <f>SUM($B79:$F79)</f>
        <v>0</v>
      </c>
      <c r="H79" s="17">
        <v>419</v>
      </c>
      <c r="I79" s="4">
        <f>$I78+$G79-$H79</f>
        <v>933978</v>
      </c>
      <c r="J79" s="32" t="str">
        <f>IF($A80&lt;&gt;$A79,$I79,"")</f>
        <v/>
      </c>
      <c r="K79" s="72" t="s">
        <v>91</v>
      </c>
      <c r="L79" s="72" t="s">
        <v>28</v>
      </c>
      <c r="M79" s="2" t="s">
        <v>27</v>
      </c>
      <c r="N79" s="5" t="s">
        <v>86</v>
      </c>
      <c r="O79" s="3" t="s">
        <v>37</v>
      </c>
      <c r="P79" s="6"/>
      <c r="Q79" s="48">
        <f>IF(Учет!$O79=Справочники!$F$2,Учет!$H79,0)</f>
        <v>419</v>
      </c>
      <c r="R79" s="48">
        <f>IF(Учет!$O79=Справочники!$F$3,Учет!$H79,0)</f>
        <v>0</v>
      </c>
      <c r="S79" s="48">
        <f>IF(Учет!$O79=Справочники!$F$4,Учет!$H79,0)</f>
        <v>0</v>
      </c>
      <c r="T79" s="48">
        <f>IF(Учет!$O79=Справочники!$F$5,Учет!$H79,0)</f>
        <v>0</v>
      </c>
      <c r="U79" s="48">
        <f>IF(Учет!$O79=Справочники!$F$6,Учет!$H79,0)</f>
        <v>0</v>
      </c>
      <c r="V79" s="43">
        <f>V78+Учет!$B79-Q79</f>
        <v>95473</v>
      </c>
      <c r="W79" s="43">
        <f>W78+Учет!$C79-R79</f>
        <v>336855</v>
      </c>
      <c r="X79" s="43">
        <f>X78+Учет!$D79-S79</f>
        <v>500</v>
      </c>
      <c r="Y79" s="43">
        <f>Y78+Учет!$E79-T79</f>
        <v>1150</v>
      </c>
      <c r="Z79" s="43">
        <f>Z78+Учет!$F79-U79</f>
        <v>500000</v>
      </c>
      <c r="AA79" s="45">
        <f>Учет!$I79</f>
        <v>933978</v>
      </c>
    </row>
    <row r="80" spans="1:27" ht="15" customHeight="1" x14ac:dyDescent="0.25">
      <c r="A80" s="1">
        <v>45159</v>
      </c>
      <c r="B80" s="17"/>
      <c r="C80" s="17"/>
      <c r="D80" s="17"/>
      <c r="E80" s="17"/>
      <c r="F80" s="17"/>
      <c r="G80" s="4">
        <f>SUM($B80:$F80)</f>
        <v>0</v>
      </c>
      <c r="H80" s="17">
        <v>4689.75</v>
      </c>
      <c r="I80" s="4">
        <f>$I79+$G80-$H80</f>
        <v>929288.25</v>
      </c>
      <c r="J80" s="32" t="str">
        <f>IF($A81&lt;&gt;$A80,$I80,"")</f>
        <v/>
      </c>
      <c r="K80" s="72" t="s">
        <v>91</v>
      </c>
      <c r="L80" s="72" t="s">
        <v>28</v>
      </c>
      <c r="M80" s="2" t="s">
        <v>61</v>
      </c>
      <c r="N80" s="5" t="s">
        <v>86</v>
      </c>
      <c r="O80" s="3" t="s">
        <v>37</v>
      </c>
      <c r="P80" s="6"/>
      <c r="Q80" s="48">
        <f>IF(Учет!$O80=Справочники!$F$2,Учет!$H80,0)</f>
        <v>4689.75</v>
      </c>
      <c r="R80" s="48">
        <f>IF(Учет!$O80=Справочники!$F$3,Учет!$H80,0)</f>
        <v>0</v>
      </c>
      <c r="S80" s="48">
        <f>IF(Учет!$O80=Справочники!$F$4,Учет!$H80,0)</f>
        <v>0</v>
      </c>
      <c r="T80" s="48">
        <f>IF(Учет!$O80=Справочники!$F$5,Учет!$H80,0)</f>
        <v>0</v>
      </c>
      <c r="U80" s="48">
        <f>IF(Учет!$O80=Справочники!$F$6,Учет!$H80,0)</f>
        <v>0</v>
      </c>
      <c r="V80" s="43">
        <f>V79+Учет!$B80-Q80</f>
        <v>90783.25</v>
      </c>
      <c r="W80" s="43">
        <f>W79+Учет!$C80-R80</f>
        <v>336855</v>
      </c>
      <c r="X80" s="43">
        <f>X79+Учет!$D80-S80</f>
        <v>500</v>
      </c>
      <c r="Y80" s="43">
        <f>Y79+Учет!$E80-T80</f>
        <v>1150</v>
      </c>
      <c r="Z80" s="43">
        <f>Z79+Учет!$F80-U80</f>
        <v>500000</v>
      </c>
      <c r="AA80" s="45">
        <f>Учет!$I80</f>
        <v>929288.25</v>
      </c>
    </row>
    <row r="81" spans="1:27" ht="15" customHeight="1" x14ac:dyDescent="0.25">
      <c r="A81" s="1">
        <v>45159</v>
      </c>
      <c r="B81" s="17"/>
      <c r="C81" s="17"/>
      <c r="D81" s="17"/>
      <c r="E81" s="17"/>
      <c r="F81" s="17"/>
      <c r="G81" s="4">
        <f>SUM($B81:$F81)</f>
        <v>0</v>
      </c>
      <c r="H81" s="17">
        <v>1440</v>
      </c>
      <c r="I81" s="4">
        <f>$I80+$G81-$H81</f>
        <v>927848.25</v>
      </c>
      <c r="J81" s="32" t="str">
        <f>IF($A82&lt;&gt;$A81,$I81,"")</f>
        <v/>
      </c>
      <c r="K81" s="72" t="s">
        <v>91</v>
      </c>
      <c r="L81" s="72" t="s">
        <v>28</v>
      </c>
      <c r="M81" s="2" t="s">
        <v>27</v>
      </c>
      <c r="N81" s="5" t="s">
        <v>86</v>
      </c>
      <c r="O81" s="3" t="s">
        <v>37</v>
      </c>
      <c r="P81" s="6"/>
      <c r="Q81" s="48">
        <f>IF(Учет!$O81=Справочники!$F$2,Учет!$H81,0)</f>
        <v>1440</v>
      </c>
      <c r="R81" s="48">
        <f>IF(Учет!$O81=Справочники!$F$3,Учет!$H81,0)</f>
        <v>0</v>
      </c>
      <c r="S81" s="48">
        <f>IF(Учет!$O81=Справочники!$F$4,Учет!$H81,0)</f>
        <v>0</v>
      </c>
      <c r="T81" s="48">
        <f>IF(Учет!$O81=Справочники!$F$5,Учет!$H81,0)</f>
        <v>0</v>
      </c>
      <c r="U81" s="48">
        <f>IF(Учет!$O81=Справочники!$F$6,Учет!$H81,0)</f>
        <v>0</v>
      </c>
      <c r="V81" s="43">
        <f>V80+Учет!$B81-Q81</f>
        <v>89343.25</v>
      </c>
      <c r="W81" s="43">
        <f>W80+Учет!$C81-R81</f>
        <v>336855</v>
      </c>
      <c r="X81" s="43">
        <f>X80+Учет!$D81-S81</f>
        <v>500</v>
      </c>
      <c r="Y81" s="43">
        <f>Y80+Учет!$E81-T81</f>
        <v>1150</v>
      </c>
      <c r="Z81" s="43">
        <f>Z80+Учет!$F81-U81</f>
        <v>500000</v>
      </c>
      <c r="AA81" s="45">
        <f>Учет!$I81</f>
        <v>927848.25</v>
      </c>
    </row>
    <row r="82" spans="1:27" ht="15" customHeight="1" x14ac:dyDescent="0.25">
      <c r="A82" s="1">
        <v>45159</v>
      </c>
      <c r="B82" s="17"/>
      <c r="C82" s="17"/>
      <c r="D82" s="17"/>
      <c r="E82" s="17"/>
      <c r="F82" s="17"/>
      <c r="G82" s="4">
        <f>SUM($B82:$F82)</f>
        <v>0</v>
      </c>
      <c r="H82" s="17">
        <v>30000</v>
      </c>
      <c r="I82" s="4">
        <f>$I81+$G82-$H82</f>
        <v>897848.25</v>
      </c>
      <c r="J82" s="32">
        <f>IF($A83&lt;&gt;$A82,$I82,"")</f>
        <v>897848.25</v>
      </c>
      <c r="K82" s="72" t="s">
        <v>91</v>
      </c>
      <c r="L82" s="72" t="s">
        <v>28</v>
      </c>
      <c r="M82" s="2" t="s">
        <v>61</v>
      </c>
      <c r="N82" s="5" t="s">
        <v>86</v>
      </c>
      <c r="O82" s="3" t="s">
        <v>37</v>
      </c>
      <c r="P82" s="6"/>
      <c r="Q82" s="48">
        <f>IF(Учет!$O82=Справочники!$F$2,Учет!$H82,0)</f>
        <v>30000</v>
      </c>
      <c r="R82" s="48">
        <f>IF(Учет!$O82=Справочники!$F$3,Учет!$H82,0)</f>
        <v>0</v>
      </c>
      <c r="S82" s="48">
        <f>IF(Учет!$O82=Справочники!$F$4,Учет!$H82,0)</f>
        <v>0</v>
      </c>
      <c r="T82" s="48">
        <f>IF(Учет!$O82=Справочники!$F$5,Учет!$H82,0)</f>
        <v>0</v>
      </c>
      <c r="U82" s="48">
        <f>IF(Учет!$O82=Справочники!$F$6,Учет!$H82,0)</f>
        <v>0</v>
      </c>
      <c r="V82" s="43">
        <f>V81+Учет!$B82-Q82</f>
        <v>59343.25</v>
      </c>
      <c r="W82" s="43">
        <f>W81+Учет!$C82-R82</f>
        <v>336855</v>
      </c>
      <c r="X82" s="43">
        <f>X81+Учет!$D82-S82</f>
        <v>500</v>
      </c>
      <c r="Y82" s="43">
        <f>Y81+Учет!$E82-T82</f>
        <v>1150</v>
      </c>
      <c r="Z82" s="43">
        <f>Z81+Учет!$F82-U82</f>
        <v>500000</v>
      </c>
      <c r="AA82" s="45">
        <f>Учет!$I82</f>
        <v>897848.25</v>
      </c>
    </row>
    <row r="83" spans="1:27" ht="15" customHeight="1" x14ac:dyDescent="0.25">
      <c r="A83" s="1">
        <v>45160</v>
      </c>
      <c r="B83" s="17"/>
      <c r="C83" s="17"/>
      <c r="D83" s="17"/>
      <c r="E83" s="17"/>
      <c r="F83" s="17"/>
      <c r="G83" s="4">
        <f>SUM($B83:$F83)</f>
        <v>0</v>
      </c>
      <c r="H83" s="17">
        <v>2500</v>
      </c>
      <c r="I83" s="4">
        <f>$I82+$G83-$H83</f>
        <v>895348.25</v>
      </c>
      <c r="J83" s="32" t="str">
        <f>IF($A84&lt;&gt;$A83,$I83,"")</f>
        <v/>
      </c>
      <c r="K83" s="72" t="s">
        <v>92</v>
      </c>
      <c r="L83" s="72" t="s">
        <v>231</v>
      </c>
      <c r="M83" s="2" t="s">
        <v>11</v>
      </c>
      <c r="N83" s="5" t="s">
        <v>20</v>
      </c>
      <c r="O83" s="3" t="s">
        <v>37</v>
      </c>
      <c r="P83" s="6"/>
      <c r="Q83" s="48">
        <f>IF(Учет!$O83=Справочники!$F$2,Учет!$H83,0)</f>
        <v>2500</v>
      </c>
      <c r="R83" s="48">
        <f>IF(Учет!$O83=Справочники!$F$3,Учет!$H83,0)</f>
        <v>0</v>
      </c>
      <c r="S83" s="48">
        <f>IF(Учет!$O83=Справочники!$F$4,Учет!$H83,0)</f>
        <v>0</v>
      </c>
      <c r="T83" s="48">
        <f>IF(Учет!$O83=Справочники!$F$5,Учет!$H83,0)</f>
        <v>0</v>
      </c>
      <c r="U83" s="48">
        <f>IF(Учет!$O83=Справочники!$F$6,Учет!$H83,0)</f>
        <v>0</v>
      </c>
      <c r="V83" s="43">
        <f>V82+Учет!$B83-Q83</f>
        <v>56843.25</v>
      </c>
      <c r="W83" s="43">
        <f>W82+Учет!$C83-R83</f>
        <v>336855</v>
      </c>
      <c r="X83" s="43">
        <f>X82+Учет!$D83-S83</f>
        <v>500</v>
      </c>
      <c r="Y83" s="43">
        <f>Y82+Учет!$E83-T83</f>
        <v>1150</v>
      </c>
      <c r="Z83" s="43">
        <f>Z82+Учет!$F83-U83</f>
        <v>500000</v>
      </c>
      <c r="AA83" s="45">
        <f>Учет!$I83</f>
        <v>895348.25</v>
      </c>
    </row>
    <row r="84" spans="1:27" ht="15" customHeight="1" x14ac:dyDescent="0.25">
      <c r="A84" s="1">
        <v>45160</v>
      </c>
      <c r="B84" s="17"/>
      <c r="C84" s="17"/>
      <c r="D84" s="17"/>
      <c r="E84" s="17"/>
      <c r="F84" s="17"/>
      <c r="G84" s="4">
        <f>SUM($B84:$F84)</f>
        <v>0</v>
      </c>
      <c r="H84" s="17">
        <v>2000</v>
      </c>
      <c r="I84" s="4">
        <f>$I83+$G84-$H84</f>
        <v>893348.25</v>
      </c>
      <c r="J84" s="32">
        <f>IF($A85&lt;&gt;$A84,$I84,"")</f>
        <v>893348.25</v>
      </c>
      <c r="K84" s="72" t="s">
        <v>18</v>
      </c>
      <c r="L84" s="72" t="s">
        <v>62</v>
      </c>
      <c r="M84" s="2" t="s">
        <v>18</v>
      </c>
      <c r="N84" s="5" t="s">
        <v>62</v>
      </c>
      <c r="O84" s="3" t="s">
        <v>37</v>
      </c>
      <c r="P84" s="6" t="s">
        <v>87</v>
      </c>
      <c r="Q84" s="48">
        <f>IF(Учет!$O84=Справочники!$F$2,Учет!$H84,0)</f>
        <v>2000</v>
      </c>
      <c r="R84" s="48">
        <f>IF(Учет!$O84=Справочники!$F$3,Учет!$H84,0)</f>
        <v>0</v>
      </c>
      <c r="S84" s="48">
        <f>IF(Учет!$O84=Справочники!$F$4,Учет!$H84,0)</f>
        <v>0</v>
      </c>
      <c r="T84" s="48">
        <f>IF(Учет!$O84=Справочники!$F$5,Учет!$H84,0)</f>
        <v>0</v>
      </c>
      <c r="U84" s="48">
        <f>IF(Учет!$O84=Справочники!$F$6,Учет!$H84,0)</f>
        <v>0</v>
      </c>
      <c r="V84" s="43">
        <f>V83+Учет!$B84-Q84</f>
        <v>54843.25</v>
      </c>
      <c r="W84" s="43">
        <f>W83+Учет!$C84-R84</f>
        <v>336855</v>
      </c>
      <c r="X84" s="43">
        <f>X83+Учет!$D84-S84</f>
        <v>500</v>
      </c>
      <c r="Y84" s="43">
        <f>Y83+Учет!$E84-T84</f>
        <v>1150</v>
      </c>
      <c r="Z84" s="43">
        <f>Z83+Учет!$F84-U84</f>
        <v>500000</v>
      </c>
      <c r="AA84" s="45">
        <f>Учет!$I84</f>
        <v>893348.25</v>
      </c>
    </row>
    <row r="85" spans="1:27" ht="15" customHeight="1" x14ac:dyDescent="0.25">
      <c r="A85" s="1">
        <v>45161</v>
      </c>
      <c r="B85" s="17"/>
      <c r="C85" s="17"/>
      <c r="D85" s="17"/>
      <c r="E85" s="17"/>
      <c r="F85" s="17"/>
      <c r="G85" s="4">
        <f>SUM($B85:$F85)</f>
        <v>0</v>
      </c>
      <c r="H85" s="17">
        <v>6000</v>
      </c>
      <c r="I85" s="4">
        <f>$I84+$G85-$H85</f>
        <v>887348.25</v>
      </c>
      <c r="J85" s="32" t="str">
        <f>IF($A86&lt;&gt;$A85,$I85,"")</f>
        <v/>
      </c>
      <c r="K85" s="72" t="s">
        <v>91</v>
      </c>
      <c r="L85" s="72" t="s">
        <v>242</v>
      </c>
      <c r="M85" s="2" t="s">
        <v>11</v>
      </c>
      <c r="N85" s="5" t="s">
        <v>21</v>
      </c>
      <c r="O85" s="3" t="s">
        <v>37</v>
      </c>
      <c r="P85" s="6"/>
      <c r="Q85" s="48">
        <f>IF(Учет!$O85=Справочники!$F$2,Учет!$H85,0)</f>
        <v>6000</v>
      </c>
      <c r="R85" s="48">
        <f>IF(Учет!$O85=Справочники!$F$3,Учет!$H85,0)</f>
        <v>0</v>
      </c>
      <c r="S85" s="48">
        <f>IF(Учет!$O85=Справочники!$F$4,Учет!$H85,0)</f>
        <v>0</v>
      </c>
      <c r="T85" s="48">
        <f>IF(Учет!$O85=Справочники!$F$5,Учет!$H85,0)</f>
        <v>0</v>
      </c>
      <c r="U85" s="48">
        <f>IF(Учет!$O85=Справочники!$F$6,Учет!$H85,0)</f>
        <v>0</v>
      </c>
      <c r="V85" s="43">
        <f>V84+Учет!$B85-Q85</f>
        <v>48843.25</v>
      </c>
      <c r="W85" s="43">
        <f>W84+Учет!$C85-R85</f>
        <v>336855</v>
      </c>
      <c r="X85" s="43">
        <f>X84+Учет!$D85-S85</f>
        <v>500</v>
      </c>
      <c r="Y85" s="43">
        <f>Y84+Учет!$E85-T85</f>
        <v>1150</v>
      </c>
      <c r="Z85" s="43">
        <f>Z84+Учет!$F85-U85</f>
        <v>500000</v>
      </c>
      <c r="AA85" s="45">
        <f>Учет!$I85</f>
        <v>887348.25</v>
      </c>
    </row>
    <row r="86" spans="1:27" ht="15" customHeight="1" x14ac:dyDescent="0.25">
      <c r="A86" s="1">
        <v>45161</v>
      </c>
      <c r="B86" s="17"/>
      <c r="C86" s="17"/>
      <c r="D86" s="17"/>
      <c r="E86" s="17"/>
      <c r="F86" s="17"/>
      <c r="G86" s="4">
        <f>SUM($B86:$F86)</f>
        <v>0</v>
      </c>
      <c r="H86" s="17">
        <v>3000</v>
      </c>
      <c r="I86" s="4">
        <f>$I85+$G86-$H86</f>
        <v>884348.25</v>
      </c>
      <c r="J86" s="32" t="str">
        <f>IF($A87&lt;&gt;$A86,$I86,"")</f>
        <v/>
      </c>
      <c r="K86" s="72" t="s">
        <v>101</v>
      </c>
      <c r="L86" s="72" t="s">
        <v>243</v>
      </c>
      <c r="M86" s="2" t="s">
        <v>11</v>
      </c>
      <c r="N86" s="5" t="s">
        <v>21</v>
      </c>
      <c r="O86" s="3" t="s">
        <v>37</v>
      </c>
      <c r="P86" s="6"/>
      <c r="Q86" s="48">
        <f>IF(Учет!$O86=Справочники!$F$2,Учет!$H86,0)</f>
        <v>3000</v>
      </c>
      <c r="R86" s="48">
        <f>IF(Учет!$O86=Справочники!$F$3,Учет!$H86,0)</f>
        <v>0</v>
      </c>
      <c r="S86" s="48">
        <f>IF(Учет!$O86=Справочники!$F$4,Учет!$H86,0)</f>
        <v>0</v>
      </c>
      <c r="T86" s="48">
        <f>IF(Учет!$O86=Справочники!$F$5,Учет!$H86,0)</f>
        <v>0</v>
      </c>
      <c r="U86" s="48">
        <f>IF(Учет!$O86=Справочники!$F$6,Учет!$H86,0)</f>
        <v>0</v>
      </c>
      <c r="V86" s="43">
        <f>V85+Учет!$B86-Q86</f>
        <v>45843.25</v>
      </c>
      <c r="W86" s="43">
        <f>W85+Учет!$C86-R86</f>
        <v>336855</v>
      </c>
      <c r="X86" s="43">
        <f>X85+Учет!$D86-S86</f>
        <v>500</v>
      </c>
      <c r="Y86" s="43">
        <f>Y85+Учет!$E86-T86</f>
        <v>1150</v>
      </c>
      <c r="Z86" s="43">
        <f>Z85+Учет!$F86-U86</f>
        <v>500000</v>
      </c>
      <c r="AA86" s="45">
        <f>Учет!$I86</f>
        <v>884348.25</v>
      </c>
    </row>
    <row r="87" spans="1:27" ht="15" customHeight="1" x14ac:dyDescent="0.25">
      <c r="A87" s="1">
        <v>45161</v>
      </c>
      <c r="B87" s="17"/>
      <c r="C87" s="17"/>
      <c r="D87" s="17"/>
      <c r="E87" s="17"/>
      <c r="F87" s="17"/>
      <c r="G87" s="4">
        <f>SUM($B87:$F87)</f>
        <v>0</v>
      </c>
      <c r="H87" s="17">
        <v>218500</v>
      </c>
      <c r="I87" s="4">
        <f>$I86+$G87-$H87</f>
        <v>665848.25</v>
      </c>
      <c r="J87" s="32" t="str">
        <f>IF($A88&lt;&gt;$A87,$I87,"")</f>
        <v/>
      </c>
      <c r="K87" s="72" t="s">
        <v>92</v>
      </c>
      <c r="L87" s="72" t="s">
        <v>233</v>
      </c>
      <c r="M87" s="2" t="s">
        <v>22</v>
      </c>
      <c r="N87" s="5" t="s">
        <v>21</v>
      </c>
      <c r="O87" s="3" t="s">
        <v>37</v>
      </c>
      <c r="P87" s="6"/>
      <c r="Q87" s="48">
        <f>IF(Учет!$O87=Справочники!$F$2,Учет!$H87,0)</f>
        <v>218500</v>
      </c>
      <c r="R87" s="48">
        <f>IF(Учет!$O87=Справочники!$F$3,Учет!$H87,0)</f>
        <v>0</v>
      </c>
      <c r="S87" s="48">
        <f>IF(Учет!$O87=Справочники!$F$4,Учет!$H87,0)</f>
        <v>0</v>
      </c>
      <c r="T87" s="48">
        <f>IF(Учет!$O87=Справочники!$F$5,Учет!$H87,0)</f>
        <v>0</v>
      </c>
      <c r="U87" s="48">
        <f>IF(Учет!$O87=Справочники!$F$6,Учет!$H87,0)</f>
        <v>0</v>
      </c>
      <c r="V87" s="43">
        <f>V86+Учет!$B87-Q87</f>
        <v>-172656.75</v>
      </c>
      <c r="W87" s="43">
        <f>W86+Учет!$C87-R87</f>
        <v>336855</v>
      </c>
      <c r="X87" s="43">
        <f>X86+Учет!$D87-S87</f>
        <v>500</v>
      </c>
      <c r="Y87" s="43">
        <f>Y86+Учет!$E87-T87</f>
        <v>1150</v>
      </c>
      <c r="Z87" s="43">
        <f>Z86+Учет!$F87-U87</f>
        <v>500000</v>
      </c>
      <c r="AA87" s="45">
        <f>Учет!$I87</f>
        <v>665848.25</v>
      </c>
    </row>
    <row r="88" spans="1:27" ht="15" customHeight="1" x14ac:dyDescent="0.25">
      <c r="A88" s="1">
        <v>45161</v>
      </c>
      <c r="B88" s="17"/>
      <c r="C88" s="17"/>
      <c r="D88" s="17"/>
      <c r="E88" s="17"/>
      <c r="F88" s="17"/>
      <c r="G88" s="4">
        <f>SUM($B88:$F88)</f>
        <v>0</v>
      </c>
      <c r="H88" s="17">
        <v>6000</v>
      </c>
      <c r="I88" s="4">
        <f>$I87+$G88-$H88</f>
        <v>659848.25</v>
      </c>
      <c r="J88" s="32" t="str">
        <f>IF($A89&lt;&gt;$A88,$I88,"")</f>
        <v/>
      </c>
      <c r="K88" s="72" t="s">
        <v>91</v>
      </c>
      <c r="L88" s="72" t="s">
        <v>238</v>
      </c>
      <c r="M88" s="2" t="s">
        <v>22</v>
      </c>
      <c r="N88" s="5" t="s">
        <v>21</v>
      </c>
      <c r="O88" s="3" t="s">
        <v>37</v>
      </c>
      <c r="P88" s="6"/>
      <c r="Q88" s="48">
        <f>IF(Учет!$O88=Справочники!$F$2,Учет!$H88,0)</f>
        <v>6000</v>
      </c>
      <c r="R88" s="48">
        <f>IF(Учет!$O88=Справочники!$F$3,Учет!$H88,0)</f>
        <v>0</v>
      </c>
      <c r="S88" s="48">
        <f>IF(Учет!$O88=Справочники!$F$4,Учет!$H88,0)</f>
        <v>0</v>
      </c>
      <c r="T88" s="48">
        <f>IF(Учет!$O88=Справочники!$F$5,Учет!$H88,0)</f>
        <v>0</v>
      </c>
      <c r="U88" s="48">
        <f>IF(Учет!$O88=Справочники!$F$6,Учет!$H88,0)</f>
        <v>0</v>
      </c>
      <c r="V88" s="43">
        <f>V87+Учет!$B88-Q88</f>
        <v>-178656.75</v>
      </c>
      <c r="W88" s="43">
        <f>W87+Учет!$C88-R88</f>
        <v>336855</v>
      </c>
      <c r="X88" s="43">
        <f>X87+Учет!$D88-S88</f>
        <v>500</v>
      </c>
      <c r="Y88" s="43">
        <f>Y87+Учет!$E88-T88</f>
        <v>1150</v>
      </c>
      <c r="Z88" s="43">
        <f>Z87+Учет!$F88-U88</f>
        <v>500000</v>
      </c>
      <c r="AA88" s="45">
        <f>Учет!$I88</f>
        <v>659848.25</v>
      </c>
    </row>
    <row r="89" spans="1:27" ht="15" customHeight="1" x14ac:dyDescent="0.25">
      <c r="A89" s="1">
        <v>45161</v>
      </c>
      <c r="B89" s="17"/>
      <c r="C89" s="17"/>
      <c r="D89" s="17"/>
      <c r="E89" s="17"/>
      <c r="F89" s="17"/>
      <c r="G89" s="4">
        <f>SUM($B89:$F89)</f>
        <v>0</v>
      </c>
      <c r="H89" s="17">
        <v>3000</v>
      </c>
      <c r="I89" s="4">
        <f>$I88+$G89-$H89</f>
        <v>656848.25</v>
      </c>
      <c r="J89" s="32" t="str">
        <f>IF($A90&lt;&gt;$A89,$I89,"")</f>
        <v/>
      </c>
      <c r="K89" s="72" t="s">
        <v>91</v>
      </c>
      <c r="L89" s="72" t="s">
        <v>261</v>
      </c>
      <c r="M89" s="2" t="s">
        <v>22</v>
      </c>
      <c r="N89" s="5" t="s">
        <v>21</v>
      </c>
      <c r="O89" s="3" t="s">
        <v>37</v>
      </c>
      <c r="P89" s="6"/>
      <c r="Q89" s="48">
        <f>IF(Учет!$O89=Справочники!$F$2,Учет!$H89,0)</f>
        <v>3000</v>
      </c>
      <c r="R89" s="48">
        <f>IF(Учет!$O89=Справочники!$F$3,Учет!$H89,0)</f>
        <v>0</v>
      </c>
      <c r="S89" s="48">
        <f>IF(Учет!$O89=Справочники!$F$4,Учет!$H89,0)</f>
        <v>0</v>
      </c>
      <c r="T89" s="48">
        <f>IF(Учет!$O89=Справочники!$F$5,Учет!$H89,0)</f>
        <v>0</v>
      </c>
      <c r="U89" s="48">
        <f>IF(Учет!$O89=Справочники!$F$6,Учет!$H89,0)</f>
        <v>0</v>
      </c>
      <c r="V89" s="43">
        <f>V88+Учет!$B89-Q89</f>
        <v>-181656.75</v>
      </c>
      <c r="W89" s="43">
        <f>W88+Учет!$C89-R89</f>
        <v>336855</v>
      </c>
      <c r="X89" s="43">
        <f>X88+Учет!$D89-S89</f>
        <v>500</v>
      </c>
      <c r="Y89" s="43">
        <f>Y88+Учет!$E89-T89</f>
        <v>1150</v>
      </c>
      <c r="Z89" s="43">
        <f>Z88+Учет!$F89-U89</f>
        <v>500000</v>
      </c>
      <c r="AA89" s="45">
        <f>Учет!$I89</f>
        <v>656848.25</v>
      </c>
    </row>
    <row r="90" spans="1:27" ht="15" customHeight="1" x14ac:dyDescent="0.25">
      <c r="A90" s="1">
        <v>45161</v>
      </c>
      <c r="B90" s="17"/>
      <c r="C90" s="17"/>
      <c r="D90" s="17"/>
      <c r="E90" s="17"/>
      <c r="F90" s="17"/>
      <c r="G90" s="4">
        <f>SUM($B90:$F90)</f>
        <v>0</v>
      </c>
      <c r="H90" s="17">
        <v>193322.17</v>
      </c>
      <c r="I90" s="4">
        <f>$I89+$G90-$H90</f>
        <v>463526.07999999996</v>
      </c>
      <c r="J90" s="32" t="str">
        <f>IF($A91&lt;&gt;$A90,$I90,"")</f>
        <v/>
      </c>
      <c r="K90" s="72" t="s">
        <v>92</v>
      </c>
      <c r="L90" s="72" t="s">
        <v>262</v>
      </c>
      <c r="M90" s="2" t="s">
        <v>11</v>
      </c>
      <c r="N90" s="5" t="s">
        <v>21</v>
      </c>
      <c r="O90" s="3" t="s">
        <v>37</v>
      </c>
      <c r="P90" s="6"/>
      <c r="Q90" s="48">
        <f>IF(Учет!$O90=Справочники!$F$2,Учет!$H90,0)</f>
        <v>193322.17</v>
      </c>
      <c r="R90" s="48">
        <f>IF(Учет!$O90=Справочники!$F$3,Учет!$H90,0)</f>
        <v>0</v>
      </c>
      <c r="S90" s="48">
        <f>IF(Учет!$O90=Справочники!$F$4,Учет!$H90,0)</f>
        <v>0</v>
      </c>
      <c r="T90" s="48">
        <f>IF(Учет!$O90=Справочники!$F$5,Учет!$H90,0)</f>
        <v>0</v>
      </c>
      <c r="U90" s="48">
        <f>IF(Учет!$O90=Справочники!$F$6,Учет!$H90,0)</f>
        <v>0</v>
      </c>
      <c r="V90" s="43">
        <f>V89+Учет!$B90-Q90</f>
        <v>-374978.92000000004</v>
      </c>
      <c r="W90" s="43">
        <f>W89+Учет!$C90-R90</f>
        <v>336855</v>
      </c>
      <c r="X90" s="43">
        <f>X89+Учет!$D90-S90</f>
        <v>500</v>
      </c>
      <c r="Y90" s="43">
        <f>Y89+Учет!$E90-T90</f>
        <v>1150</v>
      </c>
      <c r="Z90" s="43">
        <f>Z89+Учет!$F90-U90</f>
        <v>500000</v>
      </c>
      <c r="AA90" s="45">
        <f>Учет!$I90</f>
        <v>463526.07999999996</v>
      </c>
    </row>
    <row r="91" spans="1:27" ht="15" customHeight="1" x14ac:dyDescent="0.25">
      <c r="A91" s="1">
        <v>45161</v>
      </c>
      <c r="B91" s="17"/>
      <c r="C91" s="17"/>
      <c r="D91" s="17"/>
      <c r="E91" s="17"/>
      <c r="F91" s="17"/>
      <c r="G91" s="4">
        <f>SUM($B91:$F91)</f>
        <v>0</v>
      </c>
      <c r="H91" s="17">
        <v>30000</v>
      </c>
      <c r="I91" s="4">
        <f>$I90+$G91-$H91</f>
        <v>433526.07999999996</v>
      </c>
      <c r="J91" s="32" t="str">
        <f>IF($A92&lt;&gt;$A91,$I91,"")</f>
        <v/>
      </c>
      <c r="K91" s="72" t="s">
        <v>18</v>
      </c>
      <c r="L91" s="72" t="s">
        <v>160</v>
      </c>
      <c r="M91" s="2" t="s">
        <v>18</v>
      </c>
      <c r="N91" s="5" t="s">
        <v>21</v>
      </c>
      <c r="O91" s="3" t="s">
        <v>37</v>
      </c>
      <c r="P91" s="6"/>
      <c r="Q91" s="48">
        <f>IF(Учет!$O91=Справочники!$F$2,Учет!$H91,0)</f>
        <v>30000</v>
      </c>
      <c r="R91" s="48">
        <f>IF(Учет!$O91=Справочники!$F$3,Учет!$H91,0)</f>
        <v>0</v>
      </c>
      <c r="S91" s="48">
        <f>IF(Учет!$O91=Справочники!$F$4,Учет!$H91,0)</f>
        <v>0</v>
      </c>
      <c r="T91" s="48">
        <f>IF(Учет!$O91=Справочники!$F$5,Учет!$H91,0)</f>
        <v>0</v>
      </c>
      <c r="U91" s="48">
        <f>IF(Учет!$O91=Справочники!$F$6,Учет!$H91,0)</f>
        <v>0</v>
      </c>
      <c r="V91" s="43">
        <f>V90+Учет!$B91-Q91</f>
        <v>-404978.92000000004</v>
      </c>
      <c r="W91" s="43">
        <f>W90+Учет!$C91-R91</f>
        <v>336855</v>
      </c>
      <c r="X91" s="43">
        <f>X90+Учет!$D91-S91</f>
        <v>500</v>
      </c>
      <c r="Y91" s="43">
        <f>Y90+Учет!$E91-T91</f>
        <v>1150</v>
      </c>
      <c r="Z91" s="43">
        <f>Z90+Учет!$F91-U91</f>
        <v>500000</v>
      </c>
      <c r="AA91" s="45">
        <f>Учет!$I91</f>
        <v>433526.07999999996</v>
      </c>
    </row>
    <row r="92" spans="1:27" ht="15" customHeight="1" x14ac:dyDescent="0.25">
      <c r="A92" s="1">
        <v>45161</v>
      </c>
      <c r="B92" s="17"/>
      <c r="C92" s="17"/>
      <c r="D92" s="17"/>
      <c r="E92" s="17"/>
      <c r="F92" s="17"/>
      <c r="G92" s="4">
        <f>SUM($B92:$F92)</f>
        <v>0</v>
      </c>
      <c r="H92" s="17">
        <v>2000</v>
      </c>
      <c r="I92" s="4">
        <f>$I91+$G92-$H92</f>
        <v>431526.07999999996</v>
      </c>
      <c r="J92" s="32" t="str">
        <f>IF($A93&lt;&gt;$A92,$I92,"")</f>
        <v/>
      </c>
      <c r="K92" s="72" t="s">
        <v>92</v>
      </c>
      <c r="L92" s="72" t="s">
        <v>263</v>
      </c>
      <c r="M92" s="2" t="s">
        <v>59</v>
      </c>
      <c r="N92" s="5" t="s">
        <v>88</v>
      </c>
      <c r="O92" s="3" t="s">
        <v>37</v>
      </c>
      <c r="P92" s="6"/>
      <c r="Q92" s="48">
        <f>IF(Учет!$O92=Справочники!$F$2,Учет!$H92,0)</f>
        <v>2000</v>
      </c>
      <c r="R92" s="48">
        <f>IF(Учет!$O92=Справочники!$F$3,Учет!$H92,0)</f>
        <v>0</v>
      </c>
      <c r="S92" s="48">
        <f>IF(Учет!$O92=Справочники!$F$4,Учет!$H92,0)</f>
        <v>0</v>
      </c>
      <c r="T92" s="48">
        <f>IF(Учет!$O92=Справочники!$F$5,Учет!$H92,0)</f>
        <v>0</v>
      </c>
      <c r="U92" s="48">
        <f>IF(Учет!$O92=Справочники!$F$6,Учет!$H92,0)</f>
        <v>0</v>
      </c>
      <c r="V92" s="43">
        <f>V91+Учет!$B92-Q92</f>
        <v>-406978.92000000004</v>
      </c>
      <c r="W92" s="43">
        <f>W91+Учет!$C92-R92</f>
        <v>336855</v>
      </c>
      <c r="X92" s="43">
        <f>X91+Учет!$D92-S92</f>
        <v>500</v>
      </c>
      <c r="Y92" s="43">
        <f>Y91+Учет!$E92-T92</f>
        <v>1150</v>
      </c>
      <c r="Z92" s="43">
        <f>Z91+Учет!$F92-U92</f>
        <v>500000</v>
      </c>
      <c r="AA92" s="45">
        <f>Учет!$I92</f>
        <v>431526.07999999996</v>
      </c>
    </row>
    <row r="93" spans="1:27" ht="15" customHeight="1" x14ac:dyDescent="0.25">
      <c r="A93" s="1">
        <v>45161</v>
      </c>
      <c r="B93" s="17"/>
      <c r="C93" s="17"/>
      <c r="D93" s="17"/>
      <c r="E93" s="17"/>
      <c r="F93" s="17"/>
      <c r="G93" s="4">
        <f>SUM($B93:$F93)</f>
        <v>0</v>
      </c>
      <c r="H93" s="17">
        <v>10000</v>
      </c>
      <c r="I93" s="4">
        <f>$I92+$G93-$H93</f>
        <v>421526.07999999996</v>
      </c>
      <c r="J93" s="32" t="str">
        <f>IF($A94&lt;&gt;$A93,$I93,"")</f>
        <v/>
      </c>
      <c r="K93" s="72" t="s">
        <v>18</v>
      </c>
      <c r="L93" s="72" t="s">
        <v>168</v>
      </c>
      <c r="M93" s="2" t="s">
        <v>12</v>
      </c>
      <c r="N93" s="5" t="s">
        <v>20</v>
      </c>
      <c r="O93" s="3" t="s">
        <v>37</v>
      </c>
      <c r="P93" s="6"/>
      <c r="Q93" s="48">
        <f>IF(Учет!$O93=Справочники!$F$2,Учет!$H93,0)</f>
        <v>10000</v>
      </c>
      <c r="R93" s="48">
        <f>IF(Учет!$O93=Справочники!$F$3,Учет!$H93,0)</f>
        <v>0</v>
      </c>
      <c r="S93" s="48">
        <f>IF(Учет!$O93=Справочники!$F$4,Учет!$H93,0)</f>
        <v>0</v>
      </c>
      <c r="T93" s="48">
        <f>IF(Учет!$O93=Справочники!$F$5,Учет!$H93,0)</f>
        <v>0</v>
      </c>
      <c r="U93" s="48">
        <f>IF(Учет!$O93=Справочники!$F$6,Учет!$H93,0)</f>
        <v>0</v>
      </c>
      <c r="V93" s="43">
        <f>V92+Учет!$B93-Q93</f>
        <v>-416978.92000000004</v>
      </c>
      <c r="W93" s="43">
        <f>W92+Учет!$C93-R93</f>
        <v>336855</v>
      </c>
      <c r="X93" s="43">
        <f>X92+Учет!$D93-S93</f>
        <v>500</v>
      </c>
      <c r="Y93" s="43">
        <f>Y92+Учет!$E93-T93</f>
        <v>1150</v>
      </c>
      <c r="Z93" s="43">
        <f>Z92+Учет!$F93-U93</f>
        <v>500000</v>
      </c>
      <c r="AA93" s="45">
        <f>Учет!$I93</f>
        <v>421526.07999999996</v>
      </c>
    </row>
    <row r="94" spans="1:27" ht="15" customHeight="1" x14ac:dyDescent="0.25">
      <c r="A94" s="1">
        <v>45161</v>
      </c>
      <c r="B94" s="17"/>
      <c r="C94" s="17"/>
      <c r="D94" s="17"/>
      <c r="E94" s="17"/>
      <c r="F94" s="17"/>
      <c r="G94" s="4">
        <f>SUM($B94:$F94)</f>
        <v>0</v>
      </c>
      <c r="H94" s="17">
        <v>10000</v>
      </c>
      <c r="I94" s="4">
        <f>$I93+$G94-$H94</f>
        <v>411526.07999999996</v>
      </c>
      <c r="J94" s="32" t="str">
        <f>IF($A95&lt;&gt;$A94,$I94,"")</f>
        <v/>
      </c>
      <c r="K94" s="72" t="s">
        <v>102</v>
      </c>
      <c r="L94" s="72" t="s">
        <v>89</v>
      </c>
      <c r="M94" s="2" t="s">
        <v>22</v>
      </c>
      <c r="N94" s="5" t="s">
        <v>21</v>
      </c>
      <c r="O94" s="3" t="s">
        <v>37</v>
      </c>
      <c r="P94" s="6"/>
      <c r="Q94" s="48">
        <f>IF(Учет!$O94=Справочники!$F$2,Учет!$H94,0)</f>
        <v>10000</v>
      </c>
      <c r="R94" s="48">
        <f>IF(Учет!$O94=Справочники!$F$3,Учет!$H94,0)</f>
        <v>0</v>
      </c>
      <c r="S94" s="48">
        <f>IF(Учет!$O94=Справочники!$F$4,Учет!$H94,0)</f>
        <v>0</v>
      </c>
      <c r="T94" s="48">
        <f>IF(Учет!$O94=Справочники!$F$5,Учет!$H94,0)</f>
        <v>0</v>
      </c>
      <c r="U94" s="48">
        <f>IF(Учет!$O94=Справочники!$F$6,Учет!$H94,0)</f>
        <v>0</v>
      </c>
      <c r="V94" s="43">
        <f>V93+Учет!$B94-Q94</f>
        <v>-426978.92000000004</v>
      </c>
      <c r="W94" s="43">
        <f>W93+Учет!$C94-R94</f>
        <v>336855</v>
      </c>
      <c r="X94" s="43">
        <f>X93+Учет!$D94-S94</f>
        <v>500</v>
      </c>
      <c r="Y94" s="43">
        <f>Y93+Учет!$E94-T94</f>
        <v>1150</v>
      </c>
      <c r="Z94" s="43">
        <f>Z93+Учет!$F94-U94</f>
        <v>500000</v>
      </c>
      <c r="AA94" s="45">
        <f>Учет!$I94</f>
        <v>411526.07999999996</v>
      </c>
    </row>
    <row r="95" spans="1:27" ht="15" customHeight="1" x14ac:dyDescent="0.25">
      <c r="A95" s="1">
        <v>45161</v>
      </c>
      <c r="B95" s="17"/>
      <c r="C95" s="17"/>
      <c r="D95" s="17"/>
      <c r="E95" s="17"/>
      <c r="F95" s="17"/>
      <c r="G95" s="4">
        <f>SUM($B95:$F95)</f>
        <v>0</v>
      </c>
      <c r="H95" s="17">
        <v>50000</v>
      </c>
      <c r="I95" s="4">
        <f>$I94+$G95-$H95</f>
        <v>361526.07999999996</v>
      </c>
      <c r="J95" s="32" t="str">
        <f>IF($A96&lt;&gt;$A95,$I95,"")</f>
        <v/>
      </c>
      <c r="K95" s="72" t="s">
        <v>101</v>
      </c>
      <c r="L95" s="72" t="s">
        <v>237</v>
      </c>
      <c r="M95" s="2" t="s">
        <v>22</v>
      </c>
      <c r="N95" s="5" t="s">
        <v>21</v>
      </c>
      <c r="O95" s="3" t="s">
        <v>37</v>
      </c>
      <c r="P95" s="6"/>
      <c r="Q95" s="48">
        <f>IF(Учет!$O95=Справочники!$F$2,Учет!$H95,0)</f>
        <v>50000</v>
      </c>
      <c r="R95" s="48">
        <f>IF(Учет!$O95=Справочники!$F$3,Учет!$H95,0)</f>
        <v>0</v>
      </c>
      <c r="S95" s="48">
        <f>IF(Учет!$O95=Справочники!$F$4,Учет!$H95,0)</f>
        <v>0</v>
      </c>
      <c r="T95" s="48">
        <f>IF(Учет!$O95=Справочники!$F$5,Учет!$H95,0)</f>
        <v>0</v>
      </c>
      <c r="U95" s="48">
        <f>IF(Учет!$O95=Справочники!$F$6,Учет!$H95,0)</f>
        <v>0</v>
      </c>
      <c r="V95" s="43">
        <f>V94+Учет!$B95-Q95</f>
        <v>-476978.92000000004</v>
      </c>
      <c r="W95" s="43">
        <f>W94+Учет!$C95-R95</f>
        <v>336855</v>
      </c>
      <c r="X95" s="43">
        <f>X94+Учет!$D95-S95</f>
        <v>500</v>
      </c>
      <c r="Y95" s="43">
        <f>Y94+Учет!$E95-T95</f>
        <v>1150</v>
      </c>
      <c r="Z95" s="43">
        <f>Z94+Учет!$F95-U95</f>
        <v>500000</v>
      </c>
      <c r="AA95" s="45">
        <f>Учет!$I95</f>
        <v>361526.07999999996</v>
      </c>
    </row>
    <row r="96" spans="1:27" ht="15" customHeight="1" x14ac:dyDescent="0.25">
      <c r="A96" s="1">
        <v>45161</v>
      </c>
      <c r="B96" s="17"/>
      <c r="C96" s="17"/>
      <c r="D96" s="17"/>
      <c r="E96" s="17"/>
      <c r="F96" s="17"/>
      <c r="G96" s="4">
        <f>SUM($B96:$F96)</f>
        <v>0</v>
      </c>
      <c r="H96" s="17">
        <v>10000</v>
      </c>
      <c r="I96" s="4">
        <f>$I95+$G96-$H96</f>
        <v>351526.07999999996</v>
      </c>
      <c r="J96" s="32" t="str">
        <f>IF($A97&lt;&gt;$A96,$I96,"")</f>
        <v/>
      </c>
      <c r="K96" s="72" t="s">
        <v>18</v>
      </c>
      <c r="L96" s="72" t="s">
        <v>166</v>
      </c>
      <c r="M96" s="2" t="s">
        <v>14</v>
      </c>
      <c r="N96" s="5" t="s">
        <v>20</v>
      </c>
      <c r="O96" s="3" t="s">
        <v>37</v>
      </c>
      <c r="P96" s="6"/>
      <c r="Q96" s="48">
        <f>IF(Учет!$O96=Справочники!$F$2,Учет!$H96,0)</f>
        <v>10000</v>
      </c>
      <c r="R96" s="48">
        <f>IF(Учет!$O96=Справочники!$F$3,Учет!$H96,0)</f>
        <v>0</v>
      </c>
      <c r="S96" s="48">
        <f>IF(Учет!$O96=Справочники!$F$4,Учет!$H96,0)</f>
        <v>0</v>
      </c>
      <c r="T96" s="48">
        <f>IF(Учет!$O96=Справочники!$F$5,Учет!$H96,0)</f>
        <v>0</v>
      </c>
      <c r="U96" s="48">
        <f>IF(Учет!$O96=Справочники!$F$6,Учет!$H96,0)</f>
        <v>0</v>
      </c>
      <c r="V96" s="43">
        <f>V95+Учет!$B96-Q96</f>
        <v>-486978.92000000004</v>
      </c>
      <c r="W96" s="43">
        <f>W95+Учет!$C96-R96</f>
        <v>336855</v>
      </c>
      <c r="X96" s="43">
        <f>X95+Учет!$D96-S96</f>
        <v>500</v>
      </c>
      <c r="Y96" s="43">
        <f>Y95+Учет!$E96-T96</f>
        <v>1150</v>
      </c>
      <c r="Z96" s="43">
        <f>Z95+Учет!$F96-U96</f>
        <v>500000</v>
      </c>
      <c r="AA96" s="45">
        <f>Учет!$I96</f>
        <v>351526.07999999996</v>
      </c>
    </row>
    <row r="97" spans="1:27" ht="15" customHeight="1" x14ac:dyDescent="0.25">
      <c r="A97" s="1">
        <v>45161</v>
      </c>
      <c r="B97" s="17"/>
      <c r="C97" s="17"/>
      <c r="D97" s="17"/>
      <c r="E97" s="17"/>
      <c r="F97" s="17"/>
      <c r="G97" s="4">
        <f>SUM($B97:$F97)</f>
        <v>0</v>
      </c>
      <c r="H97" s="17">
        <v>2000</v>
      </c>
      <c r="I97" s="4">
        <f>$I96+$G97-$H97</f>
        <v>349526.07999999996</v>
      </c>
      <c r="J97" s="32">
        <f>IF($A98&lt;&gt;$A97,$I97,"")</f>
        <v>349526.07999999996</v>
      </c>
      <c r="K97" s="72" t="s">
        <v>18</v>
      </c>
      <c r="L97" s="72" t="s">
        <v>163</v>
      </c>
      <c r="M97" s="2"/>
      <c r="N97" s="5" t="s">
        <v>20</v>
      </c>
      <c r="O97" s="3" t="s">
        <v>37</v>
      </c>
      <c r="P97" s="6"/>
      <c r="Q97" s="48">
        <f>IF(Учет!$O97=Справочники!$F$2,Учет!$H97,0)</f>
        <v>2000</v>
      </c>
      <c r="R97" s="48">
        <f>IF(Учет!$O97=Справочники!$F$3,Учет!$H97,0)</f>
        <v>0</v>
      </c>
      <c r="S97" s="48">
        <f>IF(Учет!$O97=Справочники!$F$4,Учет!$H97,0)</f>
        <v>0</v>
      </c>
      <c r="T97" s="48">
        <f>IF(Учет!$O97=Справочники!$F$5,Учет!$H97,0)</f>
        <v>0</v>
      </c>
      <c r="U97" s="48">
        <f>IF(Учет!$O97=Справочники!$F$6,Учет!$H97,0)</f>
        <v>0</v>
      </c>
      <c r="V97" s="43">
        <f>V96+Учет!$B97-Q97</f>
        <v>-488978.92000000004</v>
      </c>
      <c r="W97" s="43">
        <f>W96+Учет!$C97-R97</f>
        <v>336855</v>
      </c>
      <c r="X97" s="43">
        <f>X96+Учет!$D97-S97</f>
        <v>500</v>
      </c>
      <c r="Y97" s="43">
        <f>Y96+Учет!$E97-T97</f>
        <v>1150</v>
      </c>
      <c r="Z97" s="43">
        <f>Z96+Учет!$F97-U97</f>
        <v>500000</v>
      </c>
      <c r="AA97" s="45">
        <f>Учет!$I97</f>
        <v>349526.07999999996</v>
      </c>
    </row>
    <row r="98" spans="1:27" ht="15" customHeight="1" x14ac:dyDescent="0.25">
      <c r="A98" s="1"/>
      <c r="B98" s="17"/>
      <c r="C98" s="17"/>
      <c r="D98" s="17"/>
      <c r="E98" s="17"/>
      <c r="F98" s="17"/>
      <c r="G98" s="4">
        <f t="shared" ref="G66:G129" si="0">SUM($B98:$F98)</f>
        <v>0</v>
      </c>
      <c r="H98" s="17"/>
      <c r="I98" s="4">
        <f t="shared" ref="I67:I130" si="1">$I97+$G98-$H98</f>
        <v>349526.07999999996</v>
      </c>
      <c r="J98" s="32" t="str">
        <f t="shared" ref="J66:J129" si="2">IF($A99&lt;&gt;$A98,$I98,"")</f>
        <v/>
      </c>
      <c r="K98" s="72"/>
      <c r="L98" s="72"/>
      <c r="M98" s="2"/>
      <c r="N98" s="5"/>
      <c r="O98" s="3"/>
      <c r="P98" s="6"/>
      <c r="Q98" s="48">
        <f>IF(Учет!$O98=Справочники!$F$2,Учет!$H98,0)</f>
        <v>0</v>
      </c>
      <c r="R98" s="48">
        <f>IF(Учет!$O98=Справочники!$F$3,Учет!$H98,0)</f>
        <v>0</v>
      </c>
      <c r="S98" s="48">
        <f>IF(Учет!$O98=Справочники!$F$4,Учет!$H98,0)</f>
        <v>0</v>
      </c>
      <c r="T98" s="48">
        <f>IF(Учет!$O98=Справочники!$F$5,Учет!$H98,0)</f>
        <v>0</v>
      </c>
      <c r="U98" s="48">
        <f>IF(Учет!$O98=Справочники!$F$6,Учет!$H98,0)</f>
        <v>0</v>
      </c>
      <c r="V98" s="43">
        <f>V97+Учет!$B98-Q98</f>
        <v>-488978.92000000004</v>
      </c>
      <c r="W98" s="43">
        <f>W97+Учет!$C98-R98</f>
        <v>336855</v>
      </c>
      <c r="X98" s="43">
        <f>X97+Учет!$D98-S98</f>
        <v>500</v>
      </c>
      <c r="Y98" s="43">
        <f>Y97+Учет!$E98-T98</f>
        <v>1150</v>
      </c>
      <c r="Z98" s="43">
        <f>Z97+Учет!$F98-U98</f>
        <v>500000</v>
      </c>
      <c r="AA98" s="45">
        <f>Учет!$I98</f>
        <v>349526.07999999996</v>
      </c>
    </row>
    <row r="99" spans="1:27" ht="15" customHeight="1" x14ac:dyDescent="0.25">
      <c r="A99" s="1"/>
      <c r="B99" s="17"/>
      <c r="C99" s="17"/>
      <c r="D99" s="17"/>
      <c r="E99" s="17"/>
      <c r="F99" s="17"/>
      <c r="G99" s="4">
        <f t="shared" si="0"/>
        <v>0</v>
      </c>
      <c r="H99" s="17"/>
      <c r="I99" s="4">
        <f t="shared" si="1"/>
        <v>349526.07999999996</v>
      </c>
      <c r="J99" s="32" t="str">
        <f t="shared" si="2"/>
        <v/>
      </c>
      <c r="K99" s="72"/>
      <c r="L99" s="72"/>
      <c r="M99" s="2"/>
      <c r="N99" s="5"/>
      <c r="O99" s="3"/>
      <c r="P99" s="6"/>
      <c r="Q99" s="48">
        <f>IF(Учет!$O99=Справочники!$F$2,Учет!$H99,0)</f>
        <v>0</v>
      </c>
      <c r="R99" s="48">
        <f>IF(Учет!$O99=Справочники!$F$3,Учет!$H99,0)</f>
        <v>0</v>
      </c>
      <c r="S99" s="48">
        <f>IF(Учет!$O99=Справочники!$F$4,Учет!$H99,0)</f>
        <v>0</v>
      </c>
      <c r="T99" s="48">
        <f>IF(Учет!$O99=Справочники!$F$5,Учет!$H99,0)</f>
        <v>0</v>
      </c>
      <c r="U99" s="48">
        <f>IF(Учет!$O99=Справочники!$F$6,Учет!$H99,0)</f>
        <v>0</v>
      </c>
      <c r="V99" s="43">
        <f>V98+Учет!$B99-Q99</f>
        <v>-488978.92000000004</v>
      </c>
      <c r="W99" s="43">
        <f>W98+Учет!$C99-R99</f>
        <v>336855</v>
      </c>
      <c r="X99" s="43">
        <f>X98+Учет!$D99-S99</f>
        <v>500</v>
      </c>
      <c r="Y99" s="43">
        <f>Y98+Учет!$E99-T99</f>
        <v>1150</v>
      </c>
      <c r="Z99" s="43">
        <f>Z98+Учет!$F99-U99</f>
        <v>500000</v>
      </c>
      <c r="AA99" s="45">
        <f>Учет!$I99</f>
        <v>349526.07999999996</v>
      </c>
    </row>
    <row r="100" spans="1:27" ht="15" customHeight="1" x14ac:dyDescent="0.25">
      <c r="A100" s="1"/>
      <c r="B100" s="17"/>
      <c r="C100" s="17"/>
      <c r="D100" s="17"/>
      <c r="E100" s="17"/>
      <c r="F100" s="17"/>
      <c r="G100" s="4">
        <f t="shared" si="0"/>
        <v>0</v>
      </c>
      <c r="H100" s="17"/>
      <c r="I100" s="4">
        <f t="shared" si="1"/>
        <v>349526.07999999996</v>
      </c>
      <c r="J100" s="32" t="str">
        <f t="shared" si="2"/>
        <v/>
      </c>
      <c r="K100" s="72"/>
      <c r="L100" s="72"/>
      <c r="M100" s="2"/>
      <c r="N100" s="5"/>
      <c r="O100" s="3"/>
      <c r="P100" s="6"/>
      <c r="Q100" s="48">
        <f>IF(Учет!$O100=Справочники!$F$2,Учет!$H100,0)</f>
        <v>0</v>
      </c>
      <c r="R100" s="48">
        <f>IF(Учет!$O100=Справочники!$F$3,Учет!$H100,0)</f>
        <v>0</v>
      </c>
      <c r="S100" s="48">
        <f>IF(Учет!$O100=Справочники!$F$4,Учет!$H100,0)</f>
        <v>0</v>
      </c>
      <c r="T100" s="48">
        <f>IF(Учет!$O100=Справочники!$F$5,Учет!$H100,0)</f>
        <v>0</v>
      </c>
      <c r="U100" s="48">
        <f>IF(Учет!$O100=Справочники!$F$6,Учет!$H100,0)</f>
        <v>0</v>
      </c>
      <c r="V100" s="43">
        <f>V99+Учет!$B100-Q100</f>
        <v>-488978.92000000004</v>
      </c>
      <c r="W100" s="43">
        <f>W99+Учет!$C100-R100</f>
        <v>336855</v>
      </c>
      <c r="X100" s="43">
        <f>X99+Учет!$D100-S100</f>
        <v>500</v>
      </c>
      <c r="Y100" s="43">
        <f>Y99+Учет!$E100-T100</f>
        <v>1150</v>
      </c>
      <c r="Z100" s="43">
        <f>Z99+Учет!$F100-U100</f>
        <v>500000</v>
      </c>
      <c r="AA100" s="45">
        <f>Учет!$I100</f>
        <v>349526.07999999996</v>
      </c>
    </row>
    <row r="101" spans="1:27" ht="15" customHeight="1" x14ac:dyDescent="0.25">
      <c r="A101" s="1"/>
      <c r="B101" s="17"/>
      <c r="C101" s="17"/>
      <c r="D101" s="17"/>
      <c r="E101" s="17"/>
      <c r="F101" s="17"/>
      <c r="G101" s="4">
        <f t="shared" si="0"/>
        <v>0</v>
      </c>
      <c r="H101" s="17"/>
      <c r="I101" s="4">
        <f t="shared" si="1"/>
        <v>349526.07999999996</v>
      </c>
      <c r="J101" s="32" t="str">
        <f t="shared" si="2"/>
        <v/>
      </c>
      <c r="K101" s="72"/>
      <c r="L101" s="72"/>
      <c r="M101" s="2"/>
      <c r="N101" s="5"/>
      <c r="O101" s="3"/>
      <c r="P101" s="6"/>
      <c r="Q101" s="48">
        <f>IF(Учет!$O101=Справочники!$F$2,Учет!$H101,0)</f>
        <v>0</v>
      </c>
      <c r="R101" s="48">
        <f>IF(Учет!$O101=Справочники!$F$3,Учет!$H101,0)</f>
        <v>0</v>
      </c>
      <c r="S101" s="48">
        <f>IF(Учет!$O101=Справочники!$F$4,Учет!$H101,0)</f>
        <v>0</v>
      </c>
      <c r="T101" s="48">
        <f>IF(Учет!$O101=Справочники!$F$5,Учет!$H101,0)</f>
        <v>0</v>
      </c>
      <c r="U101" s="48">
        <f>IF(Учет!$O101=Справочники!$F$6,Учет!$H101,0)</f>
        <v>0</v>
      </c>
      <c r="V101" s="43">
        <f>V100+Учет!$B101-Q101</f>
        <v>-488978.92000000004</v>
      </c>
      <c r="W101" s="43">
        <f>W100+Учет!$C101-R101</f>
        <v>336855</v>
      </c>
      <c r="X101" s="43">
        <f>X100+Учет!$D101-S101</f>
        <v>500</v>
      </c>
      <c r="Y101" s="43">
        <f>Y100+Учет!$E101-T101</f>
        <v>1150</v>
      </c>
      <c r="Z101" s="43">
        <f>Z100+Учет!$F101-U101</f>
        <v>500000</v>
      </c>
      <c r="AA101" s="45">
        <f>Учет!$I101</f>
        <v>349526.07999999996</v>
      </c>
    </row>
    <row r="102" spans="1:27" ht="15" customHeight="1" x14ac:dyDescent="0.25">
      <c r="A102" s="1"/>
      <c r="B102" s="17"/>
      <c r="C102" s="17"/>
      <c r="D102" s="17"/>
      <c r="E102" s="17"/>
      <c r="F102" s="17"/>
      <c r="G102" s="4">
        <f t="shared" si="0"/>
        <v>0</v>
      </c>
      <c r="H102" s="17"/>
      <c r="I102" s="4">
        <f t="shared" si="1"/>
        <v>349526.07999999996</v>
      </c>
      <c r="J102" s="32" t="str">
        <f t="shared" si="2"/>
        <v/>
      </c>
      <c r="K102" s="72"/>
      <c r="L102" s="72"/>
      <c r="M102" s="2"/>
      <c r="N102" s="5"/>
      <c r="O102" s="3"/>
      <c r="P102" s="6"/>
      <c r="Q102" s="48">
        <f>IF(Учет!$O102=Справочники!$F$2,Учет!$H102,0)</f>
        <v>0</v>
      </c>
      <c r="R102" s="48">
        <f>IF(Учет!$O102=Справочники!$F$3,Учет!$H102,0)</f>
        <v>0</v>
      </c>
      <c r="S102" s="48">
        <f>IF(Учет!$O102=Справочники!$F$4,Учет!$H102,0)</f>
        <v>0</v>
      </c>
      <c r="T102" s="48">
        <f>IF(Учет!$O102=Справочники!$F$5,Учет!$H102,0)</f>
        <v>0</v>
      </c>
      <c r="U102" s="48">
        <f>IF(Учет!$O102=Справочники!$F$6,Учет!$H102,0)</f>
        <v>0</v>
      </c>
      <c r="V102" s="43">
        <f>V101+Учет!$B102-Q102</f>
        <v>-488978.92000000004</v>
      </c>
      <c r="W102" s="43">
        <f>W101+Учет!$C102-R102</f>
        <v>336855</v>
      </c>
      <c r="X102" s="43">
        <f>X101+Учет!$D102-S102</f>
        <v>500</v>
      </c>
      <c r="Y102" s="43">
        <f>Y101+Учет!$E102-T102</f>
        <v>1150</v>
      </c>
      <c r="Z102" s="43">
        <f>Z101+Учет!$F102-U102</f>
        <v>500000</v>
      </c>
      <c r="AA102" s="45">
        <f>Учет!$I102</f>
        <v>349526.07999999996</v>
      </c>
    </row>
    <row r="103" spans="1:27" ht="15" customHeight="1" x14ac:dyDescent="0.25">
      <c r="A103" s="1"/>
      <c r="B103" s="17"/>
      <c r="C103" s="17"/>
      <c r="D103" s="17"/>
      <c r="E103" s="17"/>
      <c r="F103" s="17"/>
      <c r="G103" s="4">
        <f t="shared" si="0"/>
        <v>0</v>
      </c>
      <c r="H103" s="17"/>
      <c r="I103" s="4">
        <f t="shared" si="1"/>
        <v>349526.07999999996</v>
      </c>
      <c r="J103" s="32" t="str">
        <f t="shared" si="2"/>
        <v/>
      </c>
      <c r="K103" s="72"/>
      <c r="L103" s="72"/>
      <c r="M103" s="2"/>
      <c r="N103" s="5"/>
      <c r="O103" s="3"/>
      <c r="P103" s="6"/>
      <c r="Q103" s="48">
        <f>IF(Учет!$O103=Справочники!$F$2,Учет!$H103,0)</f>
        <v>0</v>
      </c>
      <c r="R103" s="48">
        <f>IF(Учет!$O103=Справочники!$F$3,Учет!$H103,0)</f>
        <v>0</v>
      </c>
      <c r="S103" s="48">
        <f>IF(Учет!$O103=Справочники!$F$4,Учет!$H103,0)</f>
        <v>0</v>
      </c>
      <c r="T103" s="48">
        <f>IF(Учет!$O103=Справочники!$F$5,Учет!$H103,0)</f>
        <v>0</v>
      </c>
      <c r="U103" s="48">
        <f>IF(Учет!$O103=Справочники!$F$6,Учет!$H103,0)</f>
        <v>0</v>
      </c>
      <c r="V103" s="43">
        <f>V102+Учет!$B103-Q103</f>
        <v>-488978.92000000004</v>
      </c>
      <c r="W103" s="43">
        <f>W102+Учет!$C103-R103</f>
        <v>336855</v>
      </c>
      <c r="X103" s="43">
        <f>X102+Учет!$D103-S103</f>
        <v>500</v>
      </c>
      <c r="Y103" s="43">
        <f>Y102+Учет!$E103-T103</f>
        <v>1150</v>
      </c>
      <c r="Z103" s="43">
        <f>Z102+Учет!$F103-U103</f>
        <v>500000</v>
      </c>
      <c r="AA103" s="45">
        <f>Учет!$I103</f>
        <v>349526.07999999996</v>
      </c>
    </row>
    <row r="104" spans="1:27" ht="15" customHeight="1" x14ac:dyDescent="0.25">
      <c r="A104" s="1"/>
      <c r="B104" s="17"/>
      <c r="C104" s="17"/>
      <c r="D104" s="17"/>
      <c r="E104" s="17"/>
      <c r="F104" s="17"/>
      <c r="G104" s="4">
        <f t="shared" si="0"/>
        <v>0</v>
      </c>
      <c r="H104" s="17"/>
      <c r="I104" s="4">
        <f t="shared" si="1"/>
        <v>349526.07999999996</v>
      </c>
      <c r="J104" s="32" t="str">
        <f t="shared" si="2"/>
        <v/>
      </c>
      <c r="K104" s="72"/>
      <c r="L104" s="72"/>
      <c r="M104" s="2"/>
      <c r="N104" s="5"/>
      <c r="O104" s="3"/>
      <c r="P104" s="6"/>
      <c r="Q104" s="48">
        <f>IF(Учет!$O104=Справочники!$F$2,Учет!$H104,0)</f>
        <v>0</v>
      </c>
      <c r="R104" s="48">
        <f>IF(Учет!$O104=Справочники!$F$3,Учет!$H104,0)</f>
        <v>0</v>
      </c>
      <c r="S104" s="48">
        <f>IF(Учет!$O104=Справочники!$F$4,Учет!$H104,0)</f>
        <v>0</v>
      </c>
      <c r="T104" s="48">
        <f>IF(Учет!$O104=Справочники!$F$5,Учет!$H104,0)</f>
        <v>0</v>
      </c>
      <c r="U104" s="48">
        <f>IF(Учет!$O104=Справочники!$F$6,Учет!$H104,0)</f>
        <v>0</v>
      </c>
      <c r="V104" s="43">
        <f>V103+Учет!$B104-Q104</f>
        <v>-488978.92000000004</v>
      </c>
      <c r="W104" s="43">
        <f>W103+Учет!$C104-R104</f>
        <v>336855</v>
      </c>
      <c r="X104" s="43">
        <f>X103+Учет!$D104-S104</f>
        <v>500</v>
      </c>
      <c r="Y104" s="43">
        <f>Y103+Учет!$E104-T104</f>
        <v>1150</v>
      </c>
      <c r="Z104" s="43">
        <f>Z103+Учет!$F104-U104</f>
        <v>500000</v>
      </c>
      <c r="AA104" s="45">
        <f>Учет!$I104</f>
        <v>349526.07999999996</v>
      </c>
    </row>
    <row r="105" spans="1:27" ht="15" customHeight="1" x14ac:dyDescent="0.25">
      <c r="A105" s="1"/>
      <c r="B105" s="17"/>
      <c r="C105" s="17"/>
      <c r="D105" s="17"/>
      <c r="E105" s="17"/>
      <c r="F105" s="17"/>
      <c r="G105" s="4">
        <f t="shared" si="0"/>
        <v>0</v>
      </c>
      <c r="H105" s="17"/>
      <c r="I105" s="4">
        <f t="shared" si="1"/>
        <v>349526.07999999996</v>
      </c>
      <c r="J105" s="32" t="str">
        <f t="shared" si="2"/>
        <v/>
      </c>
      <c r="K105" s="72"/>
      <c r="L105" s="72"/>
      <c r="M105" s="2"/>
      <c r="N105" s="5"/>
      <c r="O105" s="3"/>
      <c r="P105" s="6"/>
      <c r="Q105" s="48">
        <f>IF(Учет!$O105=Справочники!$F$2,Учет!$H105,0)</f>
        <v>0</v>
      </c>
      <c r="R105" s="48">
        <f>IF(Учет!$O105=Справочники!$F$3,Учет!$H105,0)</f>
        <v>0</v>
      </c>
      <c r="S105" s="48">
        <f>IF(Учет!$O105=Справочники!$F$4,Учет!$H105,0)</f>
        <v>0</v>
      </c>
      <c r="T105" s="48">
        <f>IF(Учет!$O105=Справочники!$F$5,Учет!$H105,0)</f>
        <v>0</v>
      </c>
      <c r="U105" s="48">
        <f>IF(Учет!$O105=Справочники!$F$6,Учет!$H105,0)</f>
        <v>0</v>
      </c>
      <c r="V105" s="43">
        <f>V104+Учет!$B105-Q105</f>
        <v>-488978.92000000004</v>
      </c>
      <c r="W105" s="43">
        <f>W104+Учет!$C105-R105</f>
        <v>336855</v>
      </c>
      <c r="X105" s="43">
        <f>X104+Учет!$D105-S105</f>
        <v>500</v>
      </c>
      <c r="Y105" s="43">
        <f>Y104+Учет!$E105-T105</f>
        <v>1150</v>
      </c>
      <c r="Z105" s="43">
        <f>Z104+Учет!$F105-U105</f>
        <v>500000</v>
      </c>
      <c r="AA105" s="45">
        <f>Учет!$I105</f>
        <v>349526.07999999996</v>
      </c>
    </row>
    <row r="106" spans="1:27" ht="15" customHeight="1" x14ac:dyDescent="0.25">
      <c r="A106" s="1"/>
      <c r="B106" s="17"/>
      <c r="C106" s="17"/>
      <c r="D106" s="17"/>
      <c r="E106" s="17"/>
      <c r="F106" s="17"/>
      <c r="G106" s="4">
        <f t="shared" si="0"/>
        <v>0</v>
      </c>
      <c r="H106" s="17"/>
      <c r="I106" s="4">
        <f t="shared" si="1"/>
        <v>349526.07999999996</v>
      </c>
      <c r="J106" s="32" t="str">
        <f t="shared" si="2"/>
        <v/>
      </c>
      <c r="K106" s="72"/>
      <c r="L106" s="72"/>
      <c r="M106" s="2"/>
      <c r="N106" s="5"/>
      <c r="O106" s="3"/>
      <c r="P106" s="6"/>
      <c r="Q106" s="48">
        <f>IF(Учет!$O106=Справочники!$F$2,Учет!$H106,0)</f>
        <v>0</v>
      </c>
      <c r="R106" s="48">
        <f>IF(Учет!$O106=Справочники!$F$3,Учет!$H106,0)</f>
        <v>0</v>
      </c>
      <c r="S106" s="48">
        <f>IF(Учет!$O106=Справочники!$F$4,Учет!$H106,0)</f>
        <v>0</v>
      </c>
      <c r="T106" s="48">
        <f>IF(Учет!$O106=Справочники!$F$5,Учет!$H106,0)</f>
        <v>0</v>
      </c>
      <c r="U106" s="48">
        <f>IF(Учет!$O106=Справочники!$F$6,Учет!$H106,0)</f>
        <v>0</v>
      </c>
      <c r="V106" s="43">
        <f>V105+Учет!$B106-Q106</f>
        <v>-488978.92000000004</v>
      </c>
      <c r="W106" s="43">
        <f>W105+Учет!$C106-R106</f>
        <v>336855</v>
      </c>
      <c r="X106" s="43">
        <f>X105+Учет!$D106-S106</f>
        <v>500</v>
      </c>
      <c r="Y106" s="43">
        <f>Y105+Учет!$E106-T106</f>
        <v>1150</v>
      </c>
      <c r="Z106" s="43">
        <f>Z105+Учет!$F106-U106</f>
        <v>500000</v>
      </c>
      <c r="AA106" s="45">
        <f>Учет!$I106</f>
        <v>349526.07999999996</v>
      </c>
    </row>
    <row r="107" spans="1:27" ht="15" customHeight="1" x14ac:dyDescent="0.25">
      <c r="A107" s="1"/>
      <c r="B107" s="17"/>
      <c r="C107" s="17"/>
      <c r="D107" s="17"/>
      <c r="E107" s="17"/>
      <c r="F107" s="17"/>
      <c r="G107" s="4">
        <f t="shared" si="0"/>
        <v>0</v>
      </c>
      <c r="H107" s="17"/>
      <c r="I107" s="4">
        <f t="shared" si="1"/>
        <v>349526.07999999996</v>
      </c>
      <c r="J107" s="32" t="str">
        <f t="shared" si="2"/>
        <v/>
      </c>
      <c r="K107" s="72"/>
      <c r="L107" s="72"/>
      <c r="M107" s="2"/>
      <c r="N107" s="5"/>
      <c r="O107" s="3"/>
      <c r="P107" s="6"/>
      <c r="Q107" s="48">
        <f>IF(Учет!$O107=Справочники!$F$2,Учет!$H107,0)</f>
        <v>0</v>
      </c>
      <c r="R107" s="48">
        <f>IF(Учет!$O107=Справочники!$F$3,Учет!$H107,0)</f>
        <v>0</v>
      </c>
      <c r="S107" s="48">
        <f>IF(Учет!$O107=Справочники!$F$4,Учет!$H107,0)</f>
        <v>0</v>
      </c>
      <c r="T107" s="48">
        <f>IF(Учет!$O107=Справочники!$F$5,Учет!$H107,0)</f>
        <v>0</v>
      </c>
      <c r="U107" s="48">
        <f>IF(Учет!$O107=Справочники!$F$6,Учет!$H107,0)</f>
        <v>0</v>
      </c>
      <c r="V107" s="43">
        <f>V106+Учет!$B107-Q107</f>
        <v>-488978.92000000004</v>
      </c>
      <c r="W107" s="43">
        <f>W106+Учет!$C107-R107</f>
        <v>336855</v>
      </c>
      <c r="X107" s="43">
        <f>X106+Учет!$D107-S107</f>
        <v>500</v>
      </c>
      <c r="Y107" s="43">
        <f>Y106+Учет!$E107-T107</f>
        <v>1150</v>
      </c>
      <c r="Z107" s="43">
        <f>Z106+Учет!$F107-U107</f>
        <v>500000</v>
      </c>
      <c r="AA107" s="45">
        <f>Учет!$I107</f>
        <v>349526.07999999996</v>
      </c>
    </row>
    <row r="108" spans="1:27" ht="15" customHeight="1" x14ac:dyDescent="0.25">
      <c r="A108" s="1"/>
      <c r="B108" s="17"/>
      <c r="C108" s="17"/>
      <c r="D108" s="17"/>
      <c r="E108" s="17"/>
      <c r="F108" s="17"/>
      <c r="G108" s="4">
        <f t="shared" si="0"/>
        <v>0</v>
      </c>
      <c r="H108" s="17"/>
      <c r="I108" s="4">
        <f t="shared" si="1"/>
        <v>349526.07999999996</v>
      </c>
      <c r="J108" s="32" t="str">
        <f t="shared" si="2"/>
        <v/>
      </c>
      <c r="K108" s="72"/>
      <c r="L108" s="72"/>
      <c r="M108" s="2"/>
      <c r="N108" s="5"/>
      <c r="O108" s="3"/>
      <c r="P108" s="6"/>
      <c r="Q108" s="48">
        <f>IF(Учет!$O108=Справочники!$F$2,Учет!$H108,0)</f>
        <v>0</v>
      </c>
      <c r="R108" s="48">
        <f>IF(Учет!$O108=Справочники!$F$3,Учет!$H108,0)</f>
        <v>0</v>
      </c>
      <c r="S108" s="48">
        <f>IF(Учет!$O108=Справочники!$F$4,Учет!$H108,0)</f>
        <v>0</v>
      </c>
      <c r="T108" s="48">
        <f>IF(Учет!$O108=Справочники!$F$5,Учет!$H108,0)</f>
        <v>0</v>
      </c>
      <c r="U108" s="48">
        <f>IF(Учет!$O108=Справочники!$F$6,Учет!$H108,0)</f>
        <v>0</v>
      </c>
      <c r="V108" s="43">
        <f>V107+Учет!$B108-Q108</f>
        <v>-488978.92000000004</v>
      </c>
      <c r="W108" s="43">
        <f>W107+Учет!$C108-R108</f>
        <v>336855</v>
      </c>
      <c r="X108" s="43">
        <f>X107+Учет!$D108-S108</f>
        <v>500</v>
      </c>
      <c r="Y108" s="43">
        <f>Y107+Учет!$E108-T108</f>
        <v>1150</v>
      </c>
      <c r="Z108" s="43">
        <f>Z107+Учет!$F108-U108</f>
        <v>500000</v>
      </c>
      <c r="AA108" s="45">
        <f>Учет!$I108</f>
        <v>349526.07999999996</v>
      </c>
    </row>
    <row r="109" spans="1:27" ht="15" customHeight="1" x14ac:dyDescent="0.25">
      <c r="A109" s="1"/>
      <c r="B109" s="17"/>
      <c r="C109" s="17"/>
      <c r="D109" s="17"/>
      <c r="E109" s="17"/>
      <c r="F109" s="17"/>
      <c r="G109" s="4">
        <f t="shared" si="0"/>
        <v>0</v>
      </c>
      <c r="H109" s="17"/>
      <c r="I109" s="4">
        <f t="shared" si="1"/>
        <v>349526.07999999996</v>
      </c>
      <c r="J109" s="32" t="str">
        <f t="shared" si="2"/>
        <v/>
      </c>
      <c r="K109" s="72"/>
      <c r="L109" s="72"/>
      <c r="M109" s="2"/>
      <c r="N109" s="5"/>
      <c r="O109" s="3"/>
      <c r="P109" s="6"/>
      <c r="Q109" s="48">
        <f>IF(Учет!$O109=Справочники!$F$2,Учет!$H109,0)</f>
        <v>0</v>
      </c>
      <c r="R109" s="48">
        <f>IF(Учет!$O109=Справочники!$F$3,Учет!$H109,0)</f>
        <v>0</v>
      </c>
      <c r="S109" s="48">
        <f>IF(Учет!$O109=Справочники!$F$4,Учет!$H109,0)</f>
        <v>0</v>
      </c>
      <c r="T109" s="48">
        <f>IF(Учет!$O109=Справочники!$F$5,Учет!$H109,0)</f>
        <v>0</v>
      </c>
      <c r="U109" s="48">
        <f>IF(Учет!$O109=Справочники!$F$6,Учет!$H109,0)</f>
        <v>0</v>
      </c>
      <c r="V109" s="43">
        <f>V108+Учет!$B109-Q109</f>
        <v>-488978.92000000004</v>
      </c>
      <c r="W109" s="43">
        <f>W108+Учет!$C109-R109</f>
        <v>336855</v>
      </c>
      <c r="X109" s="43">
        <f>X108+Учет!$D109-S109</f>
        <v>500</v>
      </c>
      <c r="Y109" s="43">
        <f>Y108+Учет!$E109-T109</f>
        <v>1150</v>
      </c>
      <c r="Z109" s="43">
        <f>Z108+Учет!$F109-U109</f>
        <v>500000</v>
      </c>
      <c r="AA109" s="45">
        <f>Учет!$I109</f>
        <v>349526.07999999996</v>
      </c>
    </row>
    <row r="110" spans="1:27" ht="15" customHeight="1" x14ac:dyDescent="0.25">
      <c r="A110" s="1"/>
      <c r="B110" s="17"/>
      <c r="C110" s="17"/>
      <c r="D110" s="17"/>
      <c r="E110" s="17"/>
      <c r="F110" s="17"/>
      <c r="G110" s="4">
        <f t="shared" si="0"/>
        <v>0</v>
      </c>
      <c r="H110" s="17"/>
      <c r="I110" s="4">
        <f t="shared" si="1"/>
        <v>349526.07999999996</v>
      </c>
      <c r="J110" s="32" t="str">
        <f t="shared" si="2"/>
        <v/>
      </c>
      <c r="K110" s="72"/>
      <c r="L110" s="72"/>
      <c r="M110" s="2"/>
      <c r="N110" s="5"/>
      <c r="O110" s="3"/>
      <c r="P110" s="6"/>
      <c r="Q110" s="48">
        <f>IF(Учет!$O110=Справочники!$F$2,Учет!$H110,0)</f>
        <v>0</v>
      </c>
      <c r="R110" s="48">
        <f>IF(Учет!$O110=Справочники!$F$3,Учет!$H110,0)</f>
        <v>0</v>
      </c>
      <c r="S110" s="48">
        <f>IF(Учет!$O110=Справочники!$F$4,Учет!$H110,0)</f>
        <v>0</v>
      </c>
      <c r="T110" s="48">
        <f>IF(Учет!$O110=Справочники!$F$5,Учет!$H110,0)</f>
        <v>0</v>
      </c>
      <c r="U110" s="48">
        <f>IF(Учет!$O110=Справочники!$F$6,Учет!$H110,0)</f>
        <v>0</v>
      </c>
      <c r="V110" s="43">
        <f>V109+Учет!$B110-Q110</f>
        <v>-488978.92000000004</v>
      </c>
      <c r="W110" s="43">
        <f>W109+Учет!$C110-R110</f>
        <v>336855</v>
      </c>
      <c r="X110" s="43">
        <f>X109+Учет!$D110-S110</f>
        <v>500</v>
      </c>
      <c r="Y110" s="43">
        <f>Y109+Учет!$E110-T110</f>
        <v>1150</v>
      </c>
      <c r="Z110" s="43">
        <f>Z109+Учет!$F110-U110</f>
        <v>500000</v>
      </c>
      <c r="AA110" s="45">
        <f>Учет!$I110</f>
        <v>349526.07999999996</v>
      </c>
    </row>
    <row r="111" spans="1:27" ht="15" customHeight="1" x14ac:dyDescent="0.25">
      <c r="A111" s="1"/>
      <c r="B111" s="17"/>
      <c r="C111" s="17"/>
      <c r="D111" s="17"/>
      <c r="E111" s="17"/>
      <c r="F111" s="17"/>
      <c r="G111" s="4">
        <f t="shared" si="0"/>
        <v>0</v>
      </c>
      <c r="H111" s="17"/>
      <c r="I111" s="4">
        <f t="shared" si="1"/>
        <v>349526.07999999996</v>
      </c>
      <c r="J111" s="32" t="str">
        <f t="shared" si="2"/>
        <v/>
      </c>
      <c r="K111" s="72"/>
      <c r="L111" s="72"/>
      <c r="M111" s="2"/>
      <c r="N111" s="5"/>
      <c r="O111" s="3"/>
      <c r="P111" s="6"/>
      <c r="Q111" s="48">
        <f>IF(Учет!$O111=Справочники!$F$2,Учет!$H111,0)</f>
        <v>0</v>
      </c>
      <c r="R111" s="48">
        <f>IF(Учет!$O111=Справочники!$F$3,Учет!$H111,0)</f>
        <v>0</v>
      </c>
      <c r="S111" s="48">
        <f>IF(Учет!$O111=Справочники!$F$4,Учет!$H111,0)</f>
        <v>0</v>
      </c>
      <c r="T111" s="48">
        <f>IF(Учет!$O111=Справочники!$F$5,Учет!$H111,0)</f>
        <v>0</v>
      </c>
      <c r="U111" s="48">
        <f>IF(Учет!$O111=Справочники!$F$6,Учет!$H111,0)</f>
        <v>0</v>
      </c>
      <c r="V111" s="43">
        <f>V110+Учет!$B111-Q111</f>
        <v>-488978.92000000004</v>
      </c>
      <c r="W111" s="43">
        <f>W110+Учет!$C111-R111</f>
        <v>336855</v>
      </c>
      <c r="X111" s="43">
        <f>X110+Учет!$D111-S111</f>
        <v>500</v>
      </c>
      <c r="Y111" s="43">
        <f>Y110+Учет!$E111-T111</f>
        <v>1150</v>
      </c>
      <c r="Z111" s="43">
        <f>Z110+Учет!$F111-U111</f>
        <v>500000</v>
      </c>
      <c r="AA111" s="45">
        <f>Учет!$I111</f>
        <v>349526.07999999996</v>
      </c>
    </row>
    <row r="112" spans="1:27" ht="15" customHeight="1" x14ac:dyDescent="0.25">
      <c r="A112" s="1"/>
      <c r="B112" s="17"/>
      <c r="C112" s="17"/>
      <c r="D112" s="17"/>
      <c r="E112" s="17"/>
      <c r="F112" s="17"/>
      <c r="G112" s="4">
        <f t="shared" si="0"/>
        <v>0</v>
      </c>
      <c r="H112" s="17"/>
      <c r="I112" s="4">
        <f t="shared" si="1"/>
        <v>349526.07999999996</v>
      </c>
      <c r="J112" s="32" t="str">
        <f t="shared" si="2"/>
        <v/>
      </c>
      <c r="K112" s="72"/>
      <c r="L112" s="72"/>
      <c r="M112" s="2"/>
      <c r="N112" s="5"/>
      <c r="O112" s="3"/>
      <c r="P112" s="6"/>
      <c r="Q112" s="48">
        <f>IF(Учет!$O112=Справочники!$F$2,Учет!$H112,0)</f>
        <v>0</v>
      </c>
      <c r="R112" s="48">
        <f>IF(Учет!$O112=Справочники!$F$3,Учет!$H112,0)</f>
        <v>0</v>
      </c>
      <c r="S112" s="48">
        <f>IF(Учет!$O112=Справочники!$F$4,Учет!$H112,0)</f>
        <v>0</v>
      </c>
      <c r="T112" s="48">
        <f>IF(Учет!$O112=Справочники!$F$5,Учет!$H112,0)</f>
        <v>0</v>
      </c>
      <c r="U112" s="48">
        <f>IF(Учет!$O112=Справочники!$F$6,Учет!$H112,0)</f>
        <v>0</v>
      </c>
      <c r="V112" s="43">
        <f>V111+Учет!$B112-Q112</f>
        <v>-488978.92000000004</v>
      </c>
      <c r="W112" s="43">
        <f>W111+Учет!$C112-R112</f>
        <v>336855</v>
      </c>
      <c r="X112" s="43">
        <f>X111+Учет!$D112-S112</f>
        <v>500</v>
      </c>
      <c r="Y112" s="43">
        <f>Y111+Учет!$E112-T112</f>
        <v>1150</v>
      </c>
      <c r="Z112" s="43">
        <f>Z111+Учет!$F112-U112</f>
        <v>500000</v>
      </c>
      <c r="AA112" s="45">
        <f>Учет!$I112</f>
        <v>349526.07999999996</v>
      </c>
    </row>
    <row r="113" spans="1:27" ht="15" customHeight="1" x14ac:dyDescent="0.25">
      <c r="A113" s="1"/>
      <c r="B113" s="17"/>
      <c r="C113" s="17"/>
      <c r="D113" s="17"/>
      <c r="E113" s="17"/>
      <c r="F113" s="17"/>
      <c r="G113" s="4">
        <f t="shared" si="0"/>
        <v>0</v>
      </c>
      <c r="H113" s="17"/>
      <c r="I113" s="4">
        <f t="shared" si="1"/>
        <v>349526.07999999996</v>
      </c>
      <c r="J113" s="32" t="str">
        <f t="shared" si="2"/>
        <v/>
      </c>
      <c r="K113" s="72"/>
      <c r="L113" s="72"/>
      <c r="M113" s="2"/>
      <c r="N113" s="5"/>
      <c r="O113" s="3"/>
      <c r="P113" s="6"/>
      <c r="Q113" s="48">
        <f>IF(Учет!$O113=Справочники!$F$2,Учет!$H113,0)</f>
        <v>0</v>
      </c>
      <c r="R113" s="48">
        <f>IF(Учет!$O113=Справочники!$F$3,Учет!$H113,0)</f>
        <v>0</v>
      </c>
      <c r="S113" s="48">
        <f>IF(Учет!$O113=Справочники!$F$4,Учет!$H113,0)</f>
        <v>0</v>
      </c>
      <c r="T113" s="48">
        <f>IF(Учет!$O113=Справочники!$F$5,Учет!$H113,0)</f>
        <v>0</v>
      </c>
      <c r="U113" s="48">
        <f>IF(Учет!$O113=Справочники!$F$6,Учет!$H113,0)</f>
        <v>0</v>
      </c>
      <c r="V113" s="43">
        <f>V112+Учет!$B113-Q113</f>
        <v>-488978.92000000004</v>
      </c>
      <c r="W113" s="43">
        <f>W112+Учет!$C113-R113</f>
        <v>336855</v>
      </c>
      <c r="X113" s="43">
        <f>X112+Учет!$D113-S113</f>
        <v>500</v>
      </c>
      <c r="Y113" s="43">
        <f>Y112+Учет!$E113-T113</f>
        <v>1150</v>
      </c>
      <c r="Z113" s="43">
        <f>Z112+Учет!$F113-U113</f>
        <v>500000</v>
      </c>
      <c r="AA113" s="45">
        <f>Учет!$I113</f>
        <v>349526.07999999996</v>
      </c>
    </row>
    <row r="114" spans="1:27" ht="15" customHeight="1" x14ac:dyDescent="0.25">
      <c r="A114" s="1"/>
      <c r="B114" s="17"/>
      <c r="C114" s="17"/>
      <c r="D114" s="17"/>
      <c r="E114" s="17"/>
      <c r="F114" s="17"/>
      <c r="G114" s="4">
        <f t="shared" si="0"/>
        <v>0</v>
      </c>
      <c r="H114" s="17"/>
      <c r="I114" s="4">
        <f t="shared" si="1"/>
        <v>349526.07999999996</v>
      </c>
      <c r="J114" s="32" t="str">
        <f t="shared" si="2"/>
        <v/>
      </c>
      <c r="K114" s="72"/>
      <c r="L114" s="72"/>
      <c r="M114" s="2"/>
      <c r="N114" s="5"/>
      <c r="O114" s="3"/>
      <c r="P114" s="6"/>
      <c r="Q114" s="48">
        <f>IF(Учет!$O114=Справочники!$F$2,Учет!$H114,0)</f>
        <v>0</v>
      </c>
      <c r="R114" s="48">
        <f>IF(Учет!$O114=Справочники!$F$3,Учет!$H114,0)</f>
        <v>0</v>
      </c>
      <c r="S114" s="48">
        <f>IF(Учет!$O114=Справочники!$F$4,Учет!$H114,0)</f>
        <v>0</v>
      </c>
      <c r="T114" s="48">
        <f>IF(Учет!$O114=Справочники!$F$5,Учет!$H114,0)</f>
        <v>0</v>
      </c>
      <c r="U114" s="48">
        <f>IF(Учет!$O114=Справочники!$F$6,Учет!$H114,0)</f>
        <v>0</v>
      </c>
      <c r="V114" s="43">
        <f>V113+Учет!$B114-Q114</f>
        <v>-488978.92000000004</v>
      </c>
      <c r="W114" s="43">
        <f>W113+Учет!$C114-R114</f>
        <v>336855</v>
      </c>
      <c r="X114" s="43">
        <f>X113+Учет!$D114-S114</f>
        <v>500</v>
      </c>
      <c r="Y114" s="43">
        <f>Y113+Учет!$E114-T114</f>
        <v>1150</v>
      </c>
      <c r="Z114" s="43">
        <f>Z113+Учет!$F114-U114</f>
        <v>500000</v>
      </c>
      <c r="AA114" s="45">
        <f>Учет!$I114</f>
        <v>349526.07999999996</v>
      </c>
    </row>
    <row r="115" spans="1:27" ht="15" customHeight="1" x14ac:dyDescent="0.25">
      <c r="A115" s="1"/>
      <c r="B115" s="17"/>
      <c r="C115" s="17"/>
      <c r="D115" s="17"/>
      <c r="E115" s="17"/>
      <c r="F115" s="17"/>
      <c r="G115" s="4">
        <f t="shared" si="0"/>
        <v>0</v>
      </c>
      <c r="H115" s="17"/>
      <c r="I115" s="4">
        <f t="shared" si="1"/>
        <v>349526.07999999996</v>
      </c>
      <c r="J115" s="32" t="str">
        <f t="shared" si="2"/>
        <v/>
      </c>
      <c r="K115" s="72"/>
      <c r="L115" s="72"/>
      <c r="M115" s="2"/>
      <c r="N115" s="5"/>
      <c r="O115" s="3"/>
      <c r="P115" s="6"/>
      <c r="Q115" s="48">
        <f>IF(Учет!$O115=Справочники!$F$2,Учет!$H115,0)</f>
        <v>0</v>
      </c>
      <c r="R115" s="48">
        <f>IF(Учет!$O115=Справочники!$F$3,Учет!$H115,0)</f>
        <v>0</v>
      </c>
      <c r="S115" s="48">
        <f>IF(Учет!$O115=Справочники!$F$4,Учет!$H115,0)</f>
        <v>0</v>
      </c>
      <c r="T115" s="48">
        <f>IF(Учет!$O115=Справочники!$F$5,Учет!$H115,0)</f>
        <v>0</v>
      </c>
      <c r="U115" s="48">
        <f>IF(Учет!$O115=Справочники!$F$6,Учет!$H115,0)</f>
        <v>0</v>
      </c>
      <c r="V115" s="43">
        <f>V114+Учет!$B115-Q115</f>
        <v>-488978.92000000004</v>
      </c>
      <c r="W115" s="43">
        <f>W114+Учет!$C115-R115</f>
        <v>336855</v>
      </c>
      <c r="X115" s="43">
        <f>X114+Учет!$D115-S115</f>
        <v>500</v>
      </c>
      <c r="Y115" s="43">
        <f>Y114+Учет!$E115-T115</f>
        <v>1150</v>
      </c>
      <c r="Z115" s="43">
        <f>Z114+Учет!$F115-U115</f>
        <v>500000</v>
      </c>
      <c r="AA115" s="45">
        <f>Учет!$I115</f>
        <v>349526.07999999996</v>
      </c>
    </row>
    <row r="116" spans="1:27" ht="15" customHeight="1" x14ac:dyDescent="0.25">
      <c r="A116" s="1"/>
      <c r="B116" s="17"/>
      <c r="C116" s="17"/>
      <c r="D116" s="17"/>
      <c r="E116" s="17"/>
      <c r="F116" s="17"/>
      <c r="G116" s="4">
        <f t="shared" si="0"/>
        <v>0</v>
      </c>
      <c r="H116" s="17"/>
      <c r="I116" s="4">
        <f t="shared" si="1"/>
        <v>349526.07999999996</v>
      </c>
      <c r="J116" s="32" t="str">
        <f t="shared" si="2"/>
        <v/>
      </c>
      <c r="K116" s="72"/>
      <c r="L116" s="72"/>
      <c r="M116" s="2"/>
      <c r="N116" s="5"/>
      <c r="O116" s="3"/>
      <c r="P116" s="6"/>
      <c r="Q116" s="48">
        <f>IF(Учет!$O116=Справочники!$F$2,Учет!$H116,0)</f>
        <v>0</v>
      </c>
      <c r="R116" s="48">
        <f>IF(Учет!$O116=Справочники!$F$3,Учет!$H116,0)</f>
        <v>0</v>
      </c>
      <c r="S116" s="48">
        <f>IF(Учет!$O116=Справочники!$F$4,Учет!$H116,0)</f>
        <v>0</v>
      </c>
      <c r="T116" s="48">
        <f>IF(Учет!$O116=Справочники!$F$5,Учет!$H116,0)</f>
        <v>0</v>
      </c>
      <c r="U116" s="48">
        <f>IF(Учет!$O116=Справочники!$F$6,Учет!$H116,0)</f>
        <v>0</v>
      </c>
      <c r="V116" s="43">
        <f>V115+Учет!$B116-Q116</f>
        <v>-488978.92000000004</v>
      </c>
      <c r="W116" s="43">
        <f>W115+Учет!$C116-R116</f>
        <v>336855</v>
      </c>
      <c r="X116" s="43">
        <f>X115+Учет!$D116-S116</f>
        <v>500</v>
      </c>
      <c r="Y116" s="43">
        <f>Y115+Учет!$E116-T116</f>
        <v>1150</v>
      </c>
      <c r="Z116" s="43">
        <f>Z115+Учет!$F116-U116</f>
        <v>500000</v>
      </c>
      <c r="AA116" s="45">
        <f>Учет!$I116</f>
        <v>349526.07999999996</v>
      </c>
    </row>
    <row r="117" spans="1:27" ht="15" customHeight="1" x14ac:dyDescent="0.25">
      <c r="A117" s="1"/>
      <c r="B117" s="17"/>
      <c r="C117" s="17"/>
      <c r="D117" s="17"/>
      <c r="E117" s="17"/>
      <c r="F117" s="17"/>
      <c r="G117" s="4">
        <f t="shared" si="0"/>
        <v>0</v>
      </c>
      <c r="H117" s="17"/>
      <c r="I117" s="4">
        <f t="shared" si="1"/>
        <v>349526.07999999996</v>
      </c>
      <c r="J117" s="32" t="str">
        <f t="shared" si="2"/>
        <v/>
      </c>
      <c r="K117" s="72"/>
      <c r="L117" s="72"/>
      <c r="M117" s="2"/>
      <c r="N117" s="5"/>
      <c r="O117" s="3"/>
      <c r="P117" s="6"/>
      <c r="Q117" s="48">
        <f>IF(Учет!$O117=Справочники!$F$2,Учет!$H117,0)</f>
        <v>0</v>
      </c>
      <c r="R117" s="48">
        <f>IF(Учет!$O117=Справочники!$F$3,Учет!$H117,0)</f>
        <v>0</v>
      </c>
      <c r="S117" s="48">
        <f>IF(Учет!$O117=Справочники!$F$4,Учет!$H117,0)</f>
        <v>0</v>
      </c>
      <c r="T117" s="48">
        <f>IF(Учет!$O117=Справочники!$F$5,Учет!$H117,0)</f>
        <v>0</v>
      </c>
      <c r="U117" s="48">
        <f>IF(Учет!$O117=Справочники!$F$6,Учет!$H117,0)</f>
        <v>0</v>
      </c>
      <c r="V117" s="43">
        <f>V116+Учет!$B117-Q117</f>
        <v>-488978.92000000004</v>
      </c>
      <c r="W117" s="43">
        <f>W116+Учет!$C117-R117</f>
        <v>336855</v>
      </c>
      <c r="X117" s="43">
        <f>X116+Учет!$D117-S117</f>
        <v>500</v>
      </c>
      <c r="Y117" s="43">
        <f>Y116+Учет!$E117-T117</f>
        <v>1150</v>
      </c>
      <c r="Z117" s="43">
        <f>Z116+Учет!$F117-U117</f>
        <v>500000</v>
      </c>
      <c r="AA117" s="45">
        <f>Учет!$I117</f>
        <v>349526.07999999996</v>
      </c>
    </row>
    <row r="118" spans="1:27" ht="15" customHeight="1" x14ac:dyDescent="0.25">
      <c r="A118" s="1"/>
      <c r="B118" s="17"/>
      <c r="C118" s="17"/>
      <c r="D118" s="17"/>
      <c r="E118" s="17"/>
      <c r="F118" s="17"/>
      <c r="G118" s="4">
        <f t="shared" si="0"/>
        <v>0</v>
      </c>
      <c r="H118" s="17"/>
      <c r="I118" s="4">
        <f t="shared" si="1"/>
        <v>349526.07999999996</v>
      </c>
      <c r="J118" s="32" t="str">
        <f t="shared" si="2"/>
        <v/>
      </c>
      <c r="K118" s="72"/>
      <c r="L118" s="72"/>
      <c r="M118" s="2"/>
      <c r="N118" s="5"/>
      <c r="O118" s="3"/>
      <c r="P118" s="6"/>
      <c r="Q118" s="48">
        <f>IF(Учет!$O118=Справочники!$F$2,Учет!$H118,0)</f>
        <v>0</v>
      </c>
      <c r="R118" s="48">
        <f>IF(Учет!$O118=Справочники!$F$3,Учет!$H118,0)</f>
        <v>0</v>
      </c>
      <c r="S118" s="48">
        <f>IF(Учет!$O118=Справочники!$F$4,Учет!$H118,0)</f>
        <v>0</v>
      </c>
      <c r="T118" s="48">
        <f>IF(Учет!$O118=Справочники!$F$5,Учет!$H118,0)</f>
        <v>0</v>
      </c>
      <c r="U118" s="48">
        <f>IF(Учет!$O118=Справочники!$F$6,Учет!$H118,0)</f>
        <v>0</v>
      </c>
      <c r="V118" s="43">
        <f>V117+Учет!$B118-Q118</f>
        <v>-488978.92000000004</v>
      </c>
      <c r="W118" s="43">
        <f>W117+Учет!$C118-R118</f>
        <v>336855</v>
      </c>
      <c r="X118" s="43">
        <f>X117+Учет!$D118-S118</f>
        <v>500</v>
      </c>
      <c r="Y118" s="43">
        <f>Y117+Учет!$E118-T118</f>
        <v>1150</v>
      </c>
      <c r="Z118" s="43">
        <f>Z117+Учет!$F118-U118</f>
        <v>500000</v>
      </c>
      <c r="AA118" s="45">
        <f>Учет!$I118</f>
        <v>349526.07999999996</v>
      </c>
    </row>
    <row r="119" spans="1:27" ht="15" customHeight="1" x14ac:dyDescent="0.25">
      <c r="A119" s="1"/>
      <c r="B119" s="17"/>
      <c r="C119" s="17"/>
      <c r="D119" s="17"/>
      <c r="E119" s="17"/>
      <c r="F119" s="17"/>
      <c r="G119" s="4">
        <f t="shared" si="0"/>
        <v>0</v>
      </c>
      <c r="H119" s="17"/>
      <c r="I119" s="4">
        <f t="shared" si="1"/>
        <v>349526.07999999996</v>
      </c>
      <c r="J119" s="32" t="str">
        <f t="shared" si="2"/>
        <v/>
      </c>
      <c r="K119" s="72"/>
      <c r="L119" s="72"/>
      <c r="M119" s="2"/>
      <c r="N119" s="5"/>
      <c r="O119" s="3"/>
      <c r="P119" s="6"/>
      <c r="Q119" s="48">
        <f>IF(Учет!$O119=Справочники!$F$2,Учет!$H119,0)</f>
        <v>0</v>
      </c>
      <c r="R119" s="48">
        <f>IF(Учет!$O119=Справочники!$F$3,Учет!$H119,0)</f>
        <v>0</v>
      </c>
      <c r="S119" s="48">
        <f>IF(Учет!$O119=Справочники!$F$4,Учет!$H119,0)</f>
        <v>0</v>
      </c>
      <c r="T119" s="48">
        <f>IF(Учет!$O119=Справочники!$F$5,Учет!$H119,0)</f>
        <v>0</v>
      </c>
      <c r="U119" s="48">
        <f>IF(Учет!$O119=Справочники!$F$6,Учет!$H119,0)</f>
        <v>0</v>
      </c>
      <c r="V119" s="43">
        <f>V118+Учет!$B119-Q119</f>
        <v>-488978.92000000004</v>
      </c>
      <c r="W119" s="43">
        <f>W118+Учет!$C119-R119</f>
        <v>336855</v>
      </c>
      <c r="X119" s="43">
        <f>X118+Учет!$D119-S119</f>
        <v>500</v>
      </c>
      <c r="Y119" s="43">
        <f>Y118+Учет!$E119-T119</f>
        <v>1150</v>
      </c>
      <c r="Z119" s="43">
        <f>Z118+Учет!$F119-U119</f>
        <v>500000</v>
      </c>
      <c r="AA119" s="45">
        <f>Учет!$I119</f>
        <v>349526.07999999996</v>
      </c>
    </row>
    <row r="120" spans="1:27" ht="15" customHeight="1" x14ac:dyDescent="0.25">
      <c r="A120" s="1"/>
      <c r="B120" s="17"/>
      <c r="C120" s="17"/>
      <c r="D120" s="17"/>
      <c r="E120" s="17"/>
      <c r="F120" s="17"/>
      <c r="G120" s="4">
        <f t="shared" si="0"/>
        <v>0</v>
      </c>
      <c r="H120" s="17"/>
      <c r="I120" s="4">
        <f t="shared" si="1"/>
        <v>349526.07999999996</v>
      </c>
      <c r="J120" s="32" t="str">
        <f t="shared" si="2"/>
        <v/>
      </c>
      <c r="K120" s="72"/>
      <c r="L120" s="72"/>
      <c r="M120" s="2"/>
      <c r="N120" s="5"/>
      <c r="O120" s="3"/>
      <c r="P120" s="6"/>
      <c r="Q120" s="48">
        <f>IF(Учет!$O120=Справочники!$F$2,Учет!$H120,0)</f>
        <v>0</v>
      </c>
      <c r="R120" s="48">
        <f>IF(Учет!$O120=Справочники!$F$3,Учет!$H120,0)</f>
        <v>0</v>
      </c>
      <c r="S120" s="48">
        <f>IF(Учет!$O120=Справочники!$F$4,Учет!$H120,0)</f>
        <v>0</v>
      </c>
      <c r="T120" s="48">
        <f>IF(Учет!$O120=Справочники!$F$5,Учет!$H120,0)</f>
        <v>0</v>
      </c>
      <c r="U120" s="48">
        <f>IF(Учет!$O120=Справочники!$F$6,Учет!$H120,0)</f>
        <v>0</v>
      </c>
      <c r="V120" s="43">
        <f>V119+Учет!$B120-Q120</f>
        <v>-488978.92000000004</v>
      </c>
      <c r="W120" s="43">
        <f>W119+Учет!$C120-R120</f>
        <v>336855</v>
      </c>
      <c r="X120" s="43">
        <f>X119+Учет!$D120-S120</f>
        <v>500</v>
      </c>
      <c r="Y120" s="43">
        <f>Y119+Учет!$E120-T120</f>
        <v>1150</v>
      </c>
      <c r="Z120" s="43">
        <f>Z119+Учет!$F120-U120</f>
        <v>500000</v>
      </c>
      <c r="AA120" s="45">
        <f>Учет!$I120</f>
        <v>349526.07999999996</v>
      </c>
    </row>
    <row r="121" spans="1:27" ht="15" customHeight="1" x14ac:dyDescent="0.25">
      <c r="A121" s="1"/>
      <c r="B121" s="17"/>
      <c r="C121" s="17"/>
      <c r="D121" s="17"/>
      <c r="E121" s="17"/>
      <c r="F121" s="17"/>
      <c r="G121" s="4">
        <f t="shared" si="0"/>
        <v>0</v>
      </c>
      <c r="H121" s="17"/>
      <c r="I121" s="4">
        <f t="shared" si="1"/>
        <v>349526.07999999996</v>
      </c>
      <c r="J121" s="32" t="str">
        <f t="shared" si="2"/>
        <v/>
      </c>
      <c r="K121" s="72"/>
      <c r="L121" s="72"/>
      <c r="M121" s="2"/>
      <c r="N121" s="5"/>
      <c r="O121" s="3"/>
      <c r="P121" s="6"/>
      <c r="Q121" s="48">
        <f>IF(Учет!$O121=Справочники!$F$2,Учет!$H121,0)</f>
        <v>0</v>
      </c>
      <c r="R121" s="48">
        <f>IF(Учет!$O121=Справочники!$F$3,Учет!$H121,0)</f>
        <v>0</v>
      </c>
      <c r="S121" s="48">
        <f>IF(Учет!$O121=Справочники!$F$4,Учет!$H121,0)</f>
        <v>0</v>
      </c>
      <c r="T121" s="48">
        <f>IF(Учет!$O121=Справочники!$F$5,Учет!$H121,0)</f>
        <v>0</v>
      </c>
      <c r="U121" s="48">
        <f>IF(Учет!$O121=Справочники!$F$6,Учет!$H121,0)</f>
        <v>0</v>
      </c>
      <c r="V121" s="43">
        <f>V120+Учет!$B121-Q121</f>
        <v>-488978.92000000004</v>
      </c>
      <c r="W121" s="43">
        <f>W120+Учет!$C121-R121</f>
        <v>336855</v>
      </c>
      <c r="X121" s="43">
        <f>X120+Учет!$D121-S121</f>
        <v>500</v>
      </c>
      <c r="Y121" s="43">
        <f>Y120+Учет!$E121-T121</f>
        <v>1150</v>
      </c>
      <c r="Z121" s="43">
        <f>Z120+Учет!$F121-U121</f>
        <v>500000</v>
      </c>
      <c r="AA121" s="45">
        <f>Учет!$I121</f>
        <v>349526.07999999996</v>
      </c>
    </row>
    <row r="122" spans="1:27" ht="15" customHeight="1" x14ac:dyDescent="0.25">
      <c r="A122" s="1"/>
      <c r="B122" s="17"/>
      <c r="C122" s="17"/>
      <c r="D122" s="17"/>
      <c r="E122" s="17"/>
      <c r="F122" s="17"/>
      <c r="G122" s="4">
        <f t="shared" si="0"/>
        <v>0</v>
      </c>
      <c r="H122" s="17"/>
      <c r="I122" s="4">
        <f t="shared" si="1"/>
        <v>349526.07999999996</v>
      </c>
      <c r="J122" s="32" t="str">
        <f t="shared" si="2"/>
        <v/>
      </c>
      <c r="K122" s="72"/>
      <c r="L122" s="72"/>
      <c r="M122" s="2"/>
      <c r="N122" s="5"/>
      <c r="O122" s="3"/>
      <c r="P122" s="6"/>
      <c r="Q122" s="48">
        <f>IF(Учет!$O122=Справочники!$F$2,Учет!$H122,0)</f>
        <v>0</v>
      </c>
      <c r="R122" s="48">
        <f>IF(Учет!$O122=Справочники!$F$3,Учет!$H122,0)</f>
        <v>0</v>
      </c>
      <c r="S122" s="48">
        <f>IF(Учет!$O122=Справочники!$F$4,Учет!$H122,0)</f>
        <v>0</v>
      </c>
      <c r="T122" s="48">
        <f>IF(Учет!$O122=Справочники!$F$5,Учет!$H122,0)</f>
        <v>0</v>
      </c>
      <c r="U122" s="48">
        <f>IF(Учет!$O122=Справочники!$F$6,Учет!$H122,0)</f>
        <v>0</v>
      </c>
      <c r="V122" s="43">
        <f>V121+Учет!$B122-Q122</f>
        <v>-488978.92000000004</v>
      </c>
      <c r="W122" s="43">
        <f>W121+Учет!$C122-R122</f>
        <v>336855</v>
      </c>
      <c r="X122" s="43">
        <f>X121+Учет!$D122-S122</f>
        <v>500</v>
      </c>
      <c r="Y122" s="43">
        <f>Y121+Учет!$E122-T122</f>
        <v>1150</v>
      </c>
      <c r="Z122" s="43">
        <f>Z121+Учет!$F122-U122</f>
        <v>500000</v>
      </c>
      <c r="AA122" s="45">
        <f>Учет!$I122</f>
        <v>349526.07999999996</v>
      </c>
    </row>
    <row r="123" spans="1:27" ht="15" customHeight="1" x14ac:dyDescent="0.25">
      <c r="A123" s="1"/>
      <c r="B123" s="17"/>
      <c r="C123" s="17"/>
      <c r="D123" s="17"/>
      <c r="E123" s="17"/>
      <c r="F123" s="17"/>
      <c r="G123" s="4">
        <f t="shared" si="0"/>
        <v>0</v>
      </c>
      <c r="H123" s="17"/>
      <c r="I123" s="4">
        <f t="shared" si="1"/>
        <v>349526.07999999996</v>
      </c>
      <c r="J123" s="32" t="str">
        <f t="shared" si="2"/>
        <v/>
      </c>
      <c r="K123" s="72"/>
      <c r="L123" s="72"/>
      <c r="M123" s="2"/>
      <c r="N123" s="5"/>
      <c r="O123" s="3"/>
      <c r="P123" s="6"/>
      <c r="Q123" s="48">
        <f>IF(Учет!$O123=Справочники!$F$2,Учет!$H123,0)</f>
        <v>0</v>
      </c>
      <c r="R123" s="48">
        <f>IF(Учет!$O123=Справочники!$F$3,Учет!$H123,0)</f>
        <v>0</v>
      </c>
      <c r="S123" s="48">
        <f>IF(Учет!$O123=Справочники!$F$4,Учет!$H123,0)</f>
        <v>0</v>
      </c>
      <c r="T123" s="48">
        <f>IF(Учет!$O123=Справочники!$F$5,Учет!$H123,0)</f>
        <v>0</v>
      </c>
      <c r="U123" s="48">
        <f>IF(Учет!$O123=Справочники!$F$6,Учет!$H123,0)</f>
        <v>0</v>
      </c>
      <c r="V123" s="43">
        <f>V122+Учет!$B123-Q123</f>
        <v>-488978.92000000004</v>
      </c>
      <c r="W123" s="43">
        <f>W122+Учет!$C123-R123</f>
        <v>336855</v>
      </c>
      <c r="X123" s="43">
        <f>X122+Учет!$D123-S123</f>
        <v>500</v>
      </c>
      <c r="Y123" s="43">
        <f>Y122+Учет!$E123-T123</f>
        <v>1150</v>
      </c>
      <c r="Z123" s="43">
        <f>Z122+Учет!$F123-U123</f>
        <v>500000</v>
      </c>
      <c r="AA123" s="45">
        <f>Учет!$I123</f>
        <v>349526.07999999996</v>
      </c>
    </row>
    <row r="124" spans="1:27" ht="15" customHeight="1" x14ac:dyDescent="0.25">
      <c r="A124" s="1"/>
      <c r="B124" s="17"/>
      <c r="C124" s="17"/>
      <c r="D124" s="17"/>
      <c r="E124" s="17"/>
      <c r="F124" s="17"/>
      <c r="G124" s="4">
        <f t="shared" si="0"/>
        <v>0</v>
      </c>
      <c r="H124" s="17"/>
      <c r="I124" s="4">
        <f t="shared" si="1"/>
        <v>349526.07999999996</v>
      </c>
      <c r="J124" s="32" t="str">
        <f t="shared" si="2"/>
        <v/>
      </c>
      <c r="K124" s="72"/>
      <c r="L124" s="72"/>
      <c r="M124" s="2"/>
      <c r="N124" s="5"/>
      <c r="O124" s="3"/>
      <c r="P124" s="6"/>
      <c r="Q124" s="48">
        <f>IF(Учет!$O124=Справочники!$F$2,Учет!$H124,0)</f>
        <v>0</v>
      </c>
      <c r="R124" s="48">
        <f>IF(Учет!$O124=Справочники!$F$3,Учет!$H124,0)</f>
        <v>0</v>
      </c>
      <c r="S124" s="48">
        <f>IF(Учет!$O124=Справочники!$F$4,Учет!$H124,0)</f>
        <v>0</v>
      </c>
      <c r="T124" s="48">
        <f>IF(Учет!$O124=Справочники!$F$5,Учет!$H124,0)</f>
        <v>0</v>
      </c>
      <c r="U124" s="48">
        <f>IF(Учет!$O124=Справочники!$F$6,Учет!$H124,0)</f>
        <v>0</v>
      </c>
      <c r="V124" s="43">
        <f>V123+Учет!$B124-Q124</f>
        <v>-488978.92000000004</v>
      </c>
      <c r="W124" s="43">
        <f>W123+Учет!$C124-R124</f>
        <v>336855</v>
      </c>
      <c r="X124" s="43">
        <f>X123+Учет!$D124-S124</f>
        <v>500</v>
      </c>
      <c r="Y124" s="43">
        <f>Y123+Учет!$E124-T124</f>
        <v>1150</v>
      </c>
      <c r="Z124" s="43">
        <f>Z123+Учет!$F124-U124</f>
        <v>500000</v>
      </c>
      <c r="AA124" s="45">
        <f>Учет!$I124</f>
        <v>349526.07999999996</v>
      </c>
    </row>
    <row r="125" spans="1:27" ht="15" customHeight="1" x14ac:dyDescent="0.25">
      <c r="A125" s="1"/>
      <c r="B125" s="17"/>
      <c r="C125" s="17"/>
      <c r="D125" s="17"/>
      <c r="E125" s="17"/>
      <c r="F125" s="17"/>
      <c r="G125" s="4">
        <f t="shared" si="0"/>
        <v>0</v>
      </c>
      <c r="H125" s="17"/>
      <c r="I125" s="4">
        <f t="shared" si="1"/>
        <v>349526.07999999996</v>
      </c>
      <c r="J125" s="32" t="str">
        <f t="shared" si="2"/>
        <v/>
      </c>
      <c r="K125" s="72"/>
      <c r="L125" s="72"/>
      <c r="M125" s="2"/>
      <c r="N125" s="5"/>
      <c r="O125" s="3"/>
      <c r="P125" s="6"/>
      <c r="Q125" s="48">
        <f>IF(Учет!$O125=Справочники!$F$2,Учет!$H125,0)</f>
        <v>0</v>
      </c>
      <c r="R125" s="48">
        <f>IF(Учет!$O125=Справочники!$F$3,Учет!$H125,0)</f>
        <v>0</v>
      </c>
      <c r="S125" s="48">
        <f>IF(Учет!$O125=Справочники!$F$4,Учет!$H125,0)</f>
        <v>0</v>
      </c>
      <c r="T125" s="48">
        <f>IF(Учет!$O125=Справочники!$F$5,Учет!$H125,0)</f>
        <v>0</v>
      </c>
      <c r="U125" s="48">
        <f>IF(Учет!$O125=Справочники!$F$6,Учет!$H125,0)</f>
        <v>0</v>
      </c>
      <c r="V125" s="43">
        <f>V124+Учет!$B125-Q125</f>
        <v>-488978.92000000004</v>
      </c>
      <c r="W125" s="43">
        <f>W124+Учет!$C125-R125</f>
        <v>336855</v>
      </c>
      <c r="X125" s="43">
        <f>X124+Учет!$D125-S125</f>
        <v>500</v>
      </c>
      <c r="Y125" s="43">
        <f>Y124+Учет!$E125-T125</f>
        <v>1150</v>
      </c>
      <c r="Z125" s="43">
        <f>Z124+Учет!$F125-U125</f>
        <v>500000</v>
      </c>
      <c r="AA125" s="45">
        <f>Учет!$I125</f>
        <v>349526.07999999996</v>
      </c>
    </row>
    <row r="126" spans="1:27" ht="15" customHeight="1" x14ac:dyDescent="0.25">
      <c r="A126" s="1"/>
      <c r="B126" s="17"/>
      <c r="C126" s="17"/>
      <c r="D126" s="17"/>
      <c r="E126" s="17"/>
      <c r="F126" s="17"/>
      <c r="G126" s="4">
        <f t="shared" si="0"/>
        <v>0</v>
      </c>
      <c r="H126" s="17"/>
      <c r="I126" s="4">
        <f t="shared" si="1"/>
        <v>349526.07999999996</v>
      </c>
      <c r="J126" s="32" t="str">
        <f t="shared" si="2"/>
        <v/>
      </c>
      <c r="K126" s="72"/>
      <c r="L126" s="72"/>
      <c r="M126" s="2"/>
      <c r="N126" s="5"/>
      <c r="O126" s="3"/>
      <c r="P126" s="6"/>
      <c r="Q126" s="48">
        <f>IF(Учет!$O126=Справочники!$F$2,Учет!$H126,0)</f>
        <v>0</v>
      </c>
      <c r="R126" s="48">
        <f>IF(Учет!$O126=Справочники!$F$3,Учет!$H126,0)</f>
        <v>0</v>
      </c>
      <c r="S126" s="48">
        <f>IF(Учет!$O126=Справочники!$F$4,Учет!$H126,0)</f>
        <v>0</v>
      </c>
      <c r="T126" s="48">
        <f>IF(Учет!$O126=Справочники!$F$5,Учет!$H126,0)</f>
        <v>0</v>
      </c>
      <c r="U126" s="48">
        <f>IF(Учет!$O126=Справочники!$F$6,Учет!$H126,0)</f>
        <v>0</v>
      </c>
      <c r="V126" s="43">
        <f>V125+Учет!$B126-Q126</f>
        <v>-488978.92000000004</v>
      </c>
      <c r="W126" s="43">
        <f>W125+Учет!$C126-R126</f>
        <v>336855</v>
      </c>
      <c r="X126" s="43">
        <f>X125+Учет!$D126-S126</f>
        <v>500</v>
      </c>
      <c r="Y126" s="43">
        <f>Y125+Учет!$E126-T126</f>
        <v>1150</v>
      </c>
      <c r="Z126" s="43">
        <f>Z125+Учет!$F126-U126</f>
        <v>500000</v>
      </c>
      <c r="AA126" s="45">
        <f>Учет!$I126</f>
        <v>349526.07999999996</v>
      </c>
    </row>
    <row r="127" spans="1:27" ht="15" customHeight="1" x14ac:dyDescent="0.25">
      <c r="A127" s="1"/>
      <c r="B127" s="17"/>
      <c r="C127" s="17"/>
      <c r="D127" s="17"/>
      <c r="E127" s="17"/>
      <c r="F127" s="17"/>
      <c r="G127" s="4">
        <f t="shared" si="0"/>
        <v>0</v>
      </c>
      <c r="H127" s="17"/>
      <c r="I127" s="4">
        <f t="shared" si="1"/>
        <v>349526.07999999996</v>
      </c>
      <c r="J127" s="32" t="str">
        <f t="shared" si="2"/>
        <v/>
      </c>
      <c r="K127" s="72"/>
      <c r="L127" s="72"/>
      <c r="M127" s="2"/>
      <c r="N127" s="5"/>
      <c r="O127" s="3"/>
      <c r="P127" s="6"/>
      <c r="Q127" s="48">
        <f>IF(Учет!$O127=Справочники!$F$2,Учет!$H127,0)</f>
        <v>0</v>
      </c>
      <c r="R127" s="48">
        <f>IF(Учет!$O127=Справочники!$F$3,Учет!$H127,0)</f>
        <v>0</v>
      </c>
      <c r="S127" s="48">
        <f>IF(Учет!$O127=Справочники!$F$4,Учет!$H127,0)</f>
        <v>0</v>
      </c>
      <c r="T127" s="48">
        <f>IF(Учет!$O127=Справочники!$F$5,Учет!$H127,0)</f>
        <v>0</v>
      </c>
      <c r="U127" s="48">
        <f>IF(Учет!$O127=Справочники!$F$6,Учет!$H127,0)</f>
        <v>0</v>
      </c>
      <c r="V127" s="43">
        <f>V126+Учет!$B127-Q127</f>
        <v>-488978.92000000004</v>
      </c>
      <c r="W127" s="43">
        <f>W126+Учет!$C127-R127</f>
        <v>336855</v>
      </c>
      <c r="X127" s="43">
        <f>X126+Учет!$D127-S127</f>
        <v>500</v>
      </c>
      <c r="Y127" s="43">
        <f>Y126+Учет!$E127-T127</f>
        <v>1150</v>
      </c>
      <c r="Z127" s="43">
        <f>Z126+Учет!$F127-U127</f>
        <v>500000</v>
      </c>
      <c r="AA127" s="45">
        <f>Учет!$I127</f>
        <v>349526.07999999996</v>
      </c>
    </row>
    <row r="128" spans="1:27" ht="15" customHeight="1" x14ac:dyDescent="0.25">
      <c r="A128" s="1"/>
      <c r="B128" s="17"/>
      <c r="C128" s="17"/>
      <c r="D128" s="17"/>
      <c r="E128" s="17"/>
      <c r="F128" s="17"/>
      <c r="G128" s="4">
        <f t="shared" si="0"/>
        <v>0</v>
      </c>
      <c r="H128" s="17"/>
      <c r="I128" s="4">
        <f t="shared" si="1"/>
        <v>349526.07999999996</v>
      </c>
      <c r="J128" s="32" t="str">
        <f t="shared" si="2"/>
        <v/>
      </c>
      <c r="K128" s="72"/>
      <c r="L128" s="72"/>
      <c r="M128" s="2"/>
      <c r="N128" s="5"/>
      <c r="O128" s="3"/>
      <c r="P128" s="6"/>
      <c r="Q128" s="48">
        <f>IF(Учет!$O128=Справочники!$F$2,Учет!$H128,0)</f>
        <v>0</v>
      </c>
      <c r="R128" s="48">
        <f>IF(Учет!$O128=Справочники!$F$3,Учет!$H128,0)</f>
        <v>0</v>
      </c>
      <c r="S128" s="48">
        <f>IF(Учет!$O128=Справочники!$F$4,Учет!$H128,0)</f>
        <v>0</v>
      </c>
      <c r="T128" s="48">
        <f>IF(Учет!$O128=Справочники!$F$5,Учет!$H128,0)</f>
        <v>0</v>
      </c>
      <c r="U128" s="48">
        <f>IF(Учет!$O128=Справочники!$F$6,Учет!$H128,0)</f>
        <v>0</v>
      </c>
      <c r="V128" s="43">
        <f>V127+Учет!$B128-Q128</f>
        <v>-488978.92000000004</v>
      </c>
      <c r="W128" s="43">
        <f>W127+Учет!$C128-R128</f>
        <v>336855</v>
      </c>
      <c r="X128" s="43">
        <f>X127+Учет!$D128-S128</f>
        <v>500</v>
      </c>
      <c r="Y128" s="43">
        <f>Y127+Учет!$E128-T128</f>
        <v>1150</v>
      </c>
      <c r="Z128" s="43">
        <f>Z127+Учет!$F128-U128</f>
        <v>500000</v>
      </c>
      <c r="AA128" s="45">
        <f>Учет!$I128</f>
        <v>349526.07999999996</v>
      </c>
    </row>
    <row r="129" spans="1:27" ht="15" customHeight="1" x14ac:dyDescent="0.25">
      <c r="A129" s="1"/>
      <c r="B129" s="17"/>
      <c r="C129" s="17"/>
      <c r="D129" s="17"/>
      <c r="E129" s="17"/>
      <c r="F129" s="17"/>
      <c r="G129" s="4">
        <f t="shared" si="0"/>
        <v>0</v>
      </c>
      <c r="H129" s="17"/>
      <c r="I129" s="4">
        <f t="shared" si="1"/>
        <v>349526.07999999996</v>
      </c>
      <c r="J129" s="32" t="str">
        <f t="shared" si="2"/>
        <v/>
      </c>
      <c r="K129" s="72"/>
      <c r="L129" s="72"/>
      <c r="M129" s="2"/>
      <c r="N129" s="5"/>
      <c r="O129" s="3"/>
      <c r="P129" s="6"/>
      <c r="Q129" s="48">
        <f>IF(Учет!$O129=Справочники!$F$2,Учет!$H129,0)</f>
        <v>0</v>
      </c>
      <c r="R129" s="48">
        <f>IF(Учет!$O129=Справочники!$F$3,Учет!$H129,0)</f>
        <v>0</v>
      </c>
      <c r="S129" s="48">
        <f>IF(Учет!$O129=Справочники!$F$4,Учет!$H129,0)</f>
        <v>0</v>
      </c>
      <c r="T129" s="48">
        <f>IF(Учет!$O129=Справочники!$F$5,Учет!$H129,0)</f>
        <v>0</v>
      </c>
      <c r="U129" s="48">
        <f>IF(Учет!$O129=Справочники!$F$6,Учет!$H129,0)</f>
        <v>0</v>
      </c>
      <c r="V129" s="43">
        <f>V128+Учет!$B129-Q129</f>
        <v>-488978.92000000004</v>
      </c>
      <c r="W129" s="43">
        <f>W128+Учет!$C129-R129</f>
        <v>336855</v>
      </c>
      <c r="X129" s="43">
        <f>X128+Учет!$D129-S129</f>
        <v>500</v>
      </c>
      <c r="Y129" s="43">
        <f>Y128+Учет!$E129-T129</f>
        <v>1150</v>
      </c>
      <c r="Z129" s="43">
        <f>Z128+Учет!$F129-U129</f>
        <v>500000</v>
      </c>
      <c r="AA129" s="45">
        <f>Учет!$I129</f>
        <v>349526.07999999996</v>
      </c>
    </row>
    <row r="130" spans="1:27" ht="15" customHeight="1" x14ac:dyDescent="0.25">
      <c r="A130" s="1"/>
      <c r="B130" s="17"/>
      <c r="C130" s="17"/>
      <c r="D130" s="17"/>
      <c r="E130" s="17"/>
      <c r="F130" s="17"/>
      <c r="G130" s="4">
        <f t="shared" ref="G130:G193" si="3">SUM($B130:$F130)</f>
        <v>0</v>
      </c>
      <c r="H130" s="17"/>
      <c r="I130" s="4">
        <f t="shared" si="1"/>
        <v>349526.07999999996</v>
      </c>
      <c r="J130" s="32" t="str">
        <f t="shared" ref="J130:J193" si="4">IF($A131&lt;&gt;$A130,$I130,"")</f>
        <v/>
      </c>
      <c r="K130" s="72"/>
      <c r="L130" s="72"/>
      <c r="M130" s="2"/>
      <c r="N130" s="5"/>
      <c r="O130" s="3"/>
      <c r="P130" s="6"/>
      <c r="Q130" s="48">
        <f>IF(Учет!$O130=Справочники!$F$2,Учет!$H130,0)</f>
        <v>0</v>
      </c>
      <c r="R130" s="48">
        <f>IF(Учет!$O130=Справочники!$F$3,Учет!$H130,0)</f>
        <v>0</v>
      </c>
      <c r="S130" s="48">
        <f>IF(Учет!$O130=Справочники!$F$4,Учет!$H130,0)</f>
        <v>0</v>
      </c>
      <c r="T130" s="48">
        <f>IF(Учет!$O130=Справочники!$F$5,Учет!$H130,0)</f>
        <v>0</v>
      </c>
      <c r="U130" s="48">
        <f>IF(Учет!$O130=Справочники!$F$6,Учет!$H130,0)</f>
        <v>0</v>
      </c>
      <c r="V130" s="43">
        <f>V129+Учет!$B130-Q130</f>
        <v>-488978.92000000004</v>
      </c>
      <c r="W130" s="43">
        <f>W129+Учет!$C130-R130</f>
        <v>336855</v>
      </c>
      <c r="X130" s="43">
        <f>X129+Учет!$D130-S130</f>
        <v>500</v>
      </c>
      <c r="Y130" s="43">
        <f>Y129+Учет!$E130-T130</f>
        <v>1150</v>
      </c>
      <c r="Z130" s="43">
        <f>Z129+Учет!$F130-U130</f>
        <v>500000</v>
      </c>
      <c r="AA130" s="45">
        <f>Учет!$I130</f>
        <v>349526.07999999996</v>
      </c>
    </row>
    <row r="131" spans="1:27" ht="15" customHeight="1" x14ac:dyDescent="0.25">
      <c r="A131" s="1"/>
      <c r="B131" s="17"/>
      <c r="C131" s="17"/>
      <c r="D131" s="17"/>
      <c r="E131" s="17"/>
      <c r="F131" s="17"/>
      <c r="G131" s="4">
        <f t="shared" si="3"/>
        <v>0</v>
      </c>
      <c r="H131" s="17"/>
      <c r="I131" s="4">
        <f t="shared" ref="I131:I194" si="5">$I130+$G131-$H131</f>
        <v>349526.07999999996</v>
      </c>
      <c r="J131" s="32" t="str">
        <f t="shared" si="4"/>
        <v/>
      </c>
      <c r="K131" s="72"/>
      <c r="L131" s="72"/>
      <c r="M131" s="2"/>
      <c r="N131" s="5"/>
      <c r="O131" s="3"/>
      <c r="P131" s="6"/>
      <c r="Q131" s="48">
        <f>IF(Учет!$O131=Справочники!$F$2,Учет!$H131,0)</f>
        <v>0</v>
      </c>
      <c r="R131" s="48">
        <f>IF(Учет!$O131=Справочники!$F$3,Учет!$H131,0)</f>
        <v>0</v>
      </c>
      <c r="S131" s="48">
        <f>IF(Учет!$O131=Справочники!$F$4,Учет!$H131,0)</f>
        <v>0</v>
      </c>
      <c r="T131" s="48">
        <f>IF(Учет!$O131=Справочники!$F$5,Учет!$H131,0)</f>
        <v>0</v>
      </c>
      <c r="U131" s="48">
        <f>IF(Учет!$O131=Справочники!$F$6,Учет!$H131,0)</f>
        <v>0</v>
      </c>
      <c r="V131" s="43">
        <f>V130+Учет!$B131-Q131</f>
        <v>-488978.92000000004</v>
      </c>
      <c r="W131" s="43">
        <f>W130+Учет!$C131-R131</f>
        <v>336855</v>
      </c>
      <c r="X131" s="43">
        <f>X130+Учет!$D131-S131</f>
        <v>500</v>
      </c>
      <c r="Y131" s="43">
        <f>Y130+Учет!$E131-T131</f>
        <v>1150</v>
      </c>
      <c r="Z131" s="43">
        <f>Z130+Учет!$F131-U131</f>
        <v>500000</v>
      </c>
      <c r="AA131" s="45">
        <f>Учет!$I131</f>
        <v>349526.07999999996</v>
      </c>
    </row>
    <row r="132" spans="1:27" ht="15" customHeight="1" x14ac:dyDescent="0.25">
      <c r="A132" s="1"/>
      <c r="B132" s="17"/>
      <c r="C132" s="17"/>
      <c r="D132" s="17"/>
      <c r="E132" s="17"/>
      <c r="F132" s="17"/>
      <c r="G132" s="4">
        <f t="shared" si="3"/>
        <v>0</v>
      </c>
      <c r="H132" s="17"/>
      <c r="I132" s="4">
        <f t="shared" si="5"/>
        <v>349526.07999999996</v>
      </c>
      <c r="J132" s="32" t="str">
        <f t="shared" si="4"/>
        <v/>
      </c>
      <c r="K132" s="72"/>
      <c r="L132" s="72"/>
      <c r="M132" s="2"/>
      <c r="N132" s="5"/>
      <c r="O132" s="3"/>
      <c r="P132" s="6"/>
      <c r="Q132" s="48">
        <f>IF(Учет!$O132=Справочники!$F$2,Учет!$H132,0)</f>
        <v>0</v>
      </c>
      <c r="R132" s="48">
        <f>IF(Учет!$O132=Справочники!$F$3,Учет!$H132,0)</f>
        <v>0</v>
      </c>
      <c r="S132" s="48">
        <f>IF(Учет!$O132=Справочники!$F$4,Учет!$H132,0)</f>
        <v>0</v>
      </c>
      <c r="T132" s="48">
        <f>IF(Учет!$O132=Справочники!$F$5,Учет!$H132,0)</f>
        <v>0</v>
      </c>
      <c r="U132" s="48">
        <f>IF(Учет!$O132=Справочники!$F$6,Учет!$H132,0)</f>
        <v>0</v>
      </c>
      <c r="V132" s="43">
        <f>V131+Учет!$B132-Q132</f>
        <v>-488978.92000000004</v>
      </c>
      <c r="W132" s="43">
        <f>W131+Учет!$C132-R132</f>
        <v>336855</v>
      </c>
      <c r="X132" s="43">
        <f>X131+Учет!$D132-S132</f>
        <v>500</v>
      </c>
      <c r="Y132" s="43">
        <f>Y131+Учет!$E132-T132</f>
        <v>1150</v>
      </c>
      <c r="Z132" s="43">
        <f>Z131+Учет!$F132-U132</f>
        <v>500000</v>
      </c>
      <c r="AA132" s="45">
        <f>Учет!$I132</f>
        <v>349526.07999999996</v>
      </c>
    </row>
    <row r="133" spans="1:27" ht="15" customHeight="1" x14ac:dyDescent="0.25">
      <c r="A133" s="1"/>
      <c r="B133" s="17"/>
      <c r="C133" s="17"/>
      <c r="D133" s="17"/>
      <c r="E133" s="17"/>
      <c r="F133" s="17"/>
      <c r="G133" s="4">
        <f t="shared" si="3"/>
        <v>0</v>
      </c>
      <c r="H133" s="17"/>
      <c r="I133" s="4">
        <f t="shared" si="5"/>
        <v>349526.07999999996</v>
      </c>
      <c r="J133" s="32" t="str">
        <f t="shared" si="4"/>
        <v/>
      </c>
      <c r="K133" s="72"/>
      <c r="L133" s="72"/>
      <c r="M133" s="2"/>
      <c r="N133" s="5"/>
      <c r="O133" s="3"/>
      <c r="P133" s="6"/>
      <c r="Q133" s="48">
        <f>IF(Учет!$O133=Справочники!$F$2,Учет!$H133,0)</f>
        <v>0</v>
      </c>
      <c r="R133" s="48">
        <f>IF(Учет!$O133=Справочники!$F$3,Учет!$H133,0)</f>
        <v>0</v>
      </c>
      <c r="S133" s="48">
        <f>IF(Учет!$O133=Справочники!$F$4,Учет!$H133,0)</f>
        <v>0</v>
      </c>
      <c r="T133" s="48">
        <f>IF(Учет!$O133=Справочники!$F$5,Учет!$H133,0)</f>
        <v>0</v>
      </c>
      <c r="U133" s="48">
        <f>IF(Учет!$O133=Справочники!$F$6,Учет!$H133,0)</f>
        <v>0</v>
      </c>
      <c r="V133" s="43">
        <f>V132+Учет!$B133-Q133</f>
        <v>-488978.92000000004</v>
      </c>
      <c r="W133" s="43">
        <f>W132+Учет!$C133-R133</f>
        <v>336855</v>
      </c>
      <c r="X133" s="43">
        <f>X132+Учет!$D133-S133</f>
        <v>500</v>
      </c>
      <c r="Y133" s="43">
        <f>Y132+Учет!$E133-T133</f>
        <v>1150</v>
      </c>
      <c r="Z133" s="43">
        <f>Z132+Учет!$F133-U133</f>
        <v>500000</v>
      </c>
      <c r="AA133" s="45">
        <f>Учет!$I133</f>
        <v>349526.07999999996</v>
      </c>
    </row>
    <row r="134" spans="1:27" ht="15" customHeight="1" x14ac:dyDescent="0.25">
      <c r="A134" s="1"/>
      <c r="B134" s="17"/>
      <c r="C134" s="17"/>
      <c r="D134" s="17"/>
      <c r="E134" s="17"/>
      <c r="F134" s="17"/>
      <c r="G134" s="4">
        <f t="shared" si="3"/>
        <v>0</v>
      </c>
      <c r="H134" s="17"/>
      <c r="I134" s="4">
        <f t="shared" si="5"/>
        <v>349526.07999999996</v>
      </c>
      <c r="J134" s="32" t="str">
        <f t="shared" si="4"/>
        <v/>
      </c>
      <c r="K134" s="72"/>
      <c r="L134" s="72"/>
      <c r="M134" s="2"/>
      <c r="N134" s="5"/>
      <c r="O134" s="3"/>
      <c r="P134" s="6"/>
      <c r="Q134" s="48">
        <f>IF(Учет!$O134=Справочники!$F$2,Учет!$H134,0)</f>
        <v>0</v>
      </c>
      <c r="R134" s="48">
        <f>IF(Учет!$O134=Справочники!$F$3,Учет!$H134,0)</f>
        <v>0</v>
      </c>
      <c r="S134" s="48">
        <f>IF(Учет!$O134=Справочники!$F$4,Учет!$H134,0)</f>
        <v>0</v>
      </c>
      <c r="T134" s="48">
        <f>IF(Учет!$O134=Справочники!$F$5,Учет!$H134,0)</f>
        <v>0</v>
      </c>
      <c r="U134" s="48">
        <f>IF(Учет!$O134=Справочники!$F$6,Учет!$H134,0)</f>
        <v>0</v>
      </c>
      <c r="V134" s="43">
        <f>V133+Учет!$B134-Q134</f>
        <v>-488978.92000000004</v>
      </c>
      <c r="W134" s="43">
        <f>W133+Учет!$C134-R134</f>
        <v>336855</v>
      </c>
      <c r="X134" s="43">
        <f>X133+Учет!$D134-S134</f>
        <v>500</v>
      </c>
      <c r="Y134" s="43">
        <f>Y133+Учет!$E134-T134</f>
        <v>1150</v>
      </c>
      <c r="Z134" s="43">
        <f>Z133+Учет!$F134-U134</f>
        <v>500000</v>
      </c>
      <c r="AA134" s="45">
        <f>Учет!$I134</f>
        <v>349526.07999999996</v>
      </c>
    </row>
    <row r="135" spans="1:27" ht="15" customHeight="1" x14ac:dyDescent="0.25">
      <c r="A135" s="1"/>
      <c r="B135" s="17"/>
      <c r="C135" s="17"/>
      <c r="D135" s="17"/>
      <c r="E135" s="17"/>
      <c r="F135" s="17"/>
      <c r="G135" s="4">
        <f t="shared" si="3"/>
        <v>0</v>
      </c>
      <c r="H135" s="17"/>
      <c r="I135" s="4">
        <f t="shared" si="5"/>
        <v>349526.07999999996</v>
      </c>
      <c r="J135" s="32" t="str">
        <f t="shared" si="4"/>
        <v/>
      </c>
      <c r="K135" s="72"/>
      <c r="L135" s="72"/>
      <c r="M135" s="2"/>
      <c r="N135" s="5"/>
      <c r="O135" s="3"/>
      <c r="P135" s="6"/>
      <c r="Q135" s="48">
        <f>IF(Учет!$O135=Справочники!$F$2,Учет!$H135,0)</f>
        <v>0</v>
      </c>
      <c r="R135" s="48">
        <f>IF(Учет!$O135=Справочники!$F$3,Учет!$H135,0)</f>
        <v>0</v>
      </c>
      <c r="S135" s="48">
        <f>IF(Учет!$O135=Справочники!$F$4,Учет!$H135,0)</f>
        <v>0</v>
      </c>
      <c r="T135" s="48">
        <f>IF(Учет!$O135=Справочники!$F$5,Учет!$H135,0)</f>
        <v>0</v>
      </c>
      <c r="U135" s="48">
        <f>IF(Учет!$O135=Справочники!$F$6,Учет!$H135,0)</f>
        <v>0</v>
      </c>
      <c r="V135" s="43">
        <f>V134+Учет!$B135-Q135</f>
        <v>-488978.92000000004</v>
      </c>
      <c r="W135" s="43">
        <f>W134+Учет!$C135-R135</f>
        <v>336855</v>
      </c>
      <c r="X135" s="43">
        <f>X134+Учет!$D135-S135</f>
        <v>500</v>
      </c>
      <c r="Y135" s="43">
        <f>Y134+Учет!$E135-T135</f>
        <v>1150</v>
      </c>
      <c r="Z135" s="43">
        <f>Z134+Учет!$F135-U135</f>
        <v>500000</v>
      </c>
      <c r="AA135" s="45">
        <f>Учет!$I135</f>
        <v>349526.07999999996</v>
      </c>
    </row>
    <row r="136" spans="1:27" ht="15" customHeight="1" x14ac:dyDescent="0.25">
      <c r="A136" s="1"/>
      <c r="B136" s="17"/>
      <c r="C136" s="17"/>
      <c r="D136" s="17"/>
      <c r="E136" s="17"/>
      <c r="F136" s="17"/>
      <c r="G136" s="4">
        <f t="shared" si="3"/>
        <v>0</v>
      </c>
      <c r="H136" s="17"/>
      <c r="I136" s="4">
        <f t="shared" si="5"/>
        <v>349526.07999999996</v>
      </c>
      <c r="J136" s="32" t="str">
        <f t="shared" si="4"/>
        <v/>
      </c>
      <c r="K136" s="72"/>
      <c r="L136" s="72"/>
      <c r="M136" s="2"/>
      <c r="N136" s="5"/>
      <c r="O136" s="3"/>
      <c r="P136" s="6"/>
      <c r="Q136" s="48">
        <f>IF(Учет!$O136=Справочники!$F$2,Учет!$H136,0)</f>
        <v>0</v>
      </c>
      <c r="R136" s="48">
        <f>IF(Учет!$O136=Справочники!$F$3,Учет!$H136,0)</f>
        <v>0</v>
      </c>
      <c r="S136" s="48">
        <f>IF(Учет!$O136=Справочники!$F$4,Учет!$H136,0)</f>
        <v>0</v>
      </c>
      <c r="T136" s="48">
        <f>IF(Учет!$O136=Справочники!$F$5,Учет!$H136,0)</f>
        <v>0</v>
      </c>
      <c r="U136" s="48">
        <f>IF(Учет!$O136=Справочники!$F$6,Учет!$H136,0)</f>
        <v>0</v>
      </c>
      <c r="V136" s="43">
        <f>V135+Учет!$B136-Q136</f>
        <v>-488978.92000000004</v>
      </c>
      <c r="W136" s="43">
        <f>W135+Учет!$C136-R136</f>
        <v>336855</v>
      </c>
      <c r="X136" s="43">
        <f>X135+Учет!$D136-S136</f>
        <v>500</v>
      </c>
      <c r="Y136" s="43">
        <f>Y135+Учет!$E136-T136</f>
        <v>1150</v>
      </c>
      <c r="Z136" s="43">
        <f>Z135+Учет!$F136-U136</f>
        <v>500000</v>
      </c>
      <c r="AA136" s="45">
        <f>Учет!$I136</f>
        <v>349526.07999999996</v>
      </c>
    </row>
    <row r="137" spans="1:27" ht="15" customHeight="1" x14ac:dyDescent="0.25">
      <c r="A137" s="1"/>
      <c r="B137" s="17"/>
      <c r="C137" s="17"/>
      <c r="D137" s="17"/>
      <c r="E137" s="17"/>
      <c r="F137" s="17"/>
      <c r="G137" s="4">
        <f t="shared" si="3"/>
        <v>0</v>
      </c>
      <c r="H137" s="17"/>
      <c r="I137" s="4">
        <f t="shared" si="5"/>
        <v>349526.07999999996</v>
      </c>
      <c r="J137" s="32" t="str">
        <f t="shared" si="4"/>
        <v/>
      </c>
      <c r="K137" s="72"/>
      <c r="L137" s="72"/>
      <c r="M137" s="2"/>
      <c r="N137" s="5"/>
      <c r="O137" s="3"/>
      <c r="P137" s="6"/>
      <c r="Q137" s="48">
        <f>IF(Учет!$O137=Справочники!$F$2,Учет!$H137,0)</f>
        <v>0</v>
      </c>
      <c r="R137" s="48">
        <f>IF(Учет!$O137=Справочники!$F$3,Учет!$H137,0)</f>
        <v>0</v>
      </c>
      <c r="S137" s="48">
        <f>IF(Учет!$O137=Справочники!$F$4,Учет!$H137,0)</f>
        <v>0</v>
      </c>
      <c r="T137" s="48">
        <f>IF(Учет!$O137=Справочники!$F$5,Учет!$H137,0)</f>
        <v>0</v>
      </c>
      <c r="U137" s="48">
        <f>IF(Учет!$O137=Справочники!$F$6,Учет!$H137,0)</f>
        <v>0</v>
      </c>
      <c r="V137" s="43">
        <f>V136+Учет!$B137-Q137</f>
        <v>-488978.92000000004</v>
      </c>
      <c r="W137" s="43">
        <f>W136+Учет!$C137-R137</f>
        <v>336855</v>
      </c>
      <c r="X137" s="43">
        <f>X136+Учет!$D137-S137</f>
        <v>500</v>
      </c>
      <c r="Y137" s="43">
        <f>Y136+Учет!$E137-T137</f>
        <v>1150</v>
      </c>
      <c r="Z137" s="43">
        <f>Z136+Учет!$F137-U137</f>
        <v>500000</v>
      </c>
      <c r="AA137" s="45">
        <f>Учет!$I137</f>
        <v>349526.07999999996</v>
      </c>
    </row>
    <row r="138" spans="1:27" ht="15" customHeight="1" x14ac:dyDescent="0.25">
      <c r="A138" s="1"/>
      <c r="B138" s="17"/>
      <c r="C138" s="17"/>
      <c r="D138" s="17"/>
      <c r="E138" s="17"/>
      <c r="F138" s="17"/>
      <c r="G138" s="4">
        <f t="shared" si="3"/>
        <v>0</v>
      </c>
      <c r="H138" s="17"/>
      <c r="I138" s="4">
        <f t="shared" si="5"/>
        <v>349526.07999999996</v>
      </c>
      <c r="J138" s="32" t="str">
        <f t="shared" si="4"/>
        <v/>
      </c>
      <c r="K138" s="72"/>
      <c r="L138" s="72"/>
      <c r="M138" s="2"/>
      <c r="N138" s="5"/>
      <c r="O138" s="3"/>
      <c r="P138" s="6"/>
      <c r="Q138" s="48">
        <f>IF(Учет!$O138=Справочники!$F$2,Учет!$H138,0)</f>
        <v>0</v>
      </c>
      <c r="R138" s="48">
        <f>IF(Учет!$O138=Справочники!$F$3,Учет!$H138,0)</f>
        <v>0</v>
      </c>
      <c r="S138" s="48">
        <f>IF(Учет!$O138=Справочники!$F$4,Учет!$H138,0)</f>
        <v>0</v>
      </c>
      <c r="T138" s="48">
        <f>IF(Учет!$O138=Справочники!$F$5,Учет!$H138,0)</f>
        <v>0</v>
      </c>
      <c r="U138" s="48">
        <f>IF(Учет!$O138=Справочники!$F$6,Учет!$H138,0)</f>
        <v>0</v>
      </c>
      <c r="V138" s="43">
        <f>V137+Учет!$B138-Q138</f>
        <v>-488978.92000000004</v>
      </c>
      <c r="W138" s="43">
        <f>W137+Учет!$C138-R138</f>
        <v>336855</v>
      </c>
      <c r="X138" s="43">
        <f>X137+Учет!$D138-S138</f>
        <v>500</v>
      </c>
      <c r="Y138" s="43">
        <f>Y137+Учет!$E138-T138</f>
        <v>1150</v>
      </c>
      <c r="Z138" s="43">
        <f>Z137+Учет!$F138-U138</f>
        <v>500000</v>
      </c>
      <c r="AA138" s="45">
        <f>Учет!$I138</f>
        <v>349526.07999999996</v>
      </c>
    </row>
    <row r="139" spans="1:27" ht="15" customHeight="1" x14ac:dyDescent="0.25">
      <c r="A139" s="1"/>
      <c r="B139" s="17"/>
      <c r="C139" s="17"/>
      <c r="D139" s="17"/>
      <c r="E139" s="17"/>
      <c r="F139" s="17"/>
      <c r="G139" s="4">
        <f t="shared" si="3"/>
        <v>0</v>
      </c>
      <c r="H139" s="17"/>
      <c r="I139" s="4">
        <f t="shared" si="5"/>
        <v>349526.07999999996</v>
      </c>
      <c r="J139" s="32" t="str">
        <f t="shared" si="4"/>
        <v/>
      </c>
      <c r="K139" s="72"/>
      <c r="L139" s="72"/>
      <c r="M139" s="2"/>
      <c r="N139" s="5"/>
      <c r="O139" s="3"/>
      <c r="P139" s="6"/>
      <c r="Q139" s="48">
        <f>IF(Учет!$O139=Справочники!$F$2,Учет!$H139,0)</f>
        <v>0</v>
      </c>
      <c r="R139" s="48">
        <f>IF(Учет!$O139=Справочники!$F$3,Учет!$H139,0)</f>
        <v>0</v>
      </c>
      <c r="S139" s="48">
        <f>IF(Учет!$O139=Справочники!$F$4,Учет!$H139,0)</f>
        <v>0</v>
      </c>
      <c r="T139" s="48">
        <f>IF(Учет!$O139=Справочники!$F$5,Учет!$H139,0)</f>
        <v>0</v>
      </c>
      <c r="U139" s="48">
        <f>IF(Учет!$O139=Справочники!$F$6,Учет!$H139,0)</f>
        <v>0</v>
      </c>
      <c r="V139" s="43">
        <f>V138+Учет!$B139-Q139</f>
        <v>-488978.92000000004</v>
      </c>
      <c r="W139" s="43">
        <f>W138+Учет!$C139-R139</f>
        <v>336855</v>
      </c>
      <c r="X139" s="43">
        <f>X138+Учет!$D139-S139</f>
        <v>500</v>
      </c>
      <c r="Y139" s="43">
        <f>Y138+Учет!$E139-T139</f>
        <v>1150</v>
      </c>
      <c r="Z139" s="43">
        <f>Z138+Учет!$F139-U139</f>
        <v>500000</v>
      </c>
      <c r="AA139" s="45">
        <f>Учет!$I139</f>
        <v>349526.07999999996</v>
      </c>
    </row>
    <row r="140" spans="1:27" ht="15" customHeight="1" x14ac:dyDescent="0.25">
      <c r="A140" s="1"/>
      <c r="B140" s="17"/>
      <c r="C140" s="17"/>
      <c r="D140" s="17"/>
      <c r="E140" s="17"/>
      <c r="F140" s="17"/>
      <c r="G140" s="4">
        <f t="shared" si="3"/>
        <v>0</v>
      </c>
      <c r="H140" s="17"/>
      <c r="I140" s="4">
        <f t="shared" si="5"/>
        <v>349526.07999999996</v>
      </c>
      <c r="J140" s="32" t="str">
        <f t="shared" si="4"/>
        <v/>
      </c>
      <c r="K140" s="72"/>
      <c r="L140" s="72"/>
      <c r="M140" s="2"/>
      <c r="N140" s="5"/>
      <c r="O140" s="3"/>
      <c r="P140" s="6"/>
      <c r="Q140" s="48">
        <f>IF(Учет!$O140=Справочники!$F$2,Учет!$H140,0)</f>
        <v>0</v>
      </c>
      <c r="R140" s="48">
        <f>IF(Учет!$O140=Справочники!$F$3,Учет!$H140,0)</f>
        <v>0</v>
      </c>
      <c r="S140" s="48">
        <f>IF(Учет!$O140=Справочники!$F$4,Учет!$H140,0)</f>
        <v>0</v>
      </c>
      <c r="T140" s="48">
        <f>IF(Учет!$O140=Справочники!$F$5,Учет!$H140,0)</f>
        <v>0</v>
      </c>
      <c r="U140" s="48">
        <f>IF(Учет!$O140=Справочники!$F$6,Учет!$H140,0)</f>
        <v>0</v>
      </c>
      <c r="V140" s="43">
        <f>V139+Учет!$B140-Q140</f>
        <v>-488978.92000000004</v>
      </c>
      <c r="W140" s="43">
        <f>W139+Учет!$C140-R140</f>
        <v>336855</v>
      </c>
      <c r="X140" s="43">
        <f>X139+Учет!$D140-S140</f>
        <v>500</v>
      </c>
      <c r="Y140" s="43">
        <f>Y139+Учет!$E140-T140</f>
        <v>1150</v>
      </c>
      <c r="Z140" s="43">
        <f>Z139+Учет!$F140-U140</f>
        <v>500000</v>
      </c>
      <c r="AA140" s="45">
        <f>Учет!$I140</f>
        <v>349526.07999999996</v>
      </c>
    </row>
    <row r="141" spans="1:27" ht="15" customHeight="1" x14ac:dyDescent="0.25">
      <c r="A141" s="1"/>
      <c r="B141" s="17"/>
      <c r="C141" s="17"/>
      <c r="D141" s="17"/>
      <c r="E141" s="17"/>
      <c r="F141" s="17"/>
      <c r="G141" s="4">
        <f t="shared" si="3"/>
        <v>0</v>
      </c>
      <c r="H141" s="17"/>
      <c r="I141" s="4">
        <f t="shared" si="5"/>
        <v>349526.07999999996</v>
      </c>
      <c r="J141" s="32" t="str">
        <f t="shared" si="4"/>
        <v/>
      </c>
      <c r="K141" s="72"/>
      <c r="L141" s="72"/>
      <c r="M141" s="2"/>
      <c r="N141" s="5"/>
      <c r="O141" s="3"/>
      <c r="P141" s="6"/>
      <c r="Q141" s="48">
        <f>IF(Учет!$O141=Справочники!$F$2,Учет!$H141,0)</f>
        <v>0</v>
      </c>
      <c r="R141" s="48">
        <f>IF(Учет!$O141=Справочники!$F$3,Учет!$H141,0)</f>
        <v>0</v>
      </c>
      <c r="S141" s="48">
        <f>IF(Учет!$O141=Справочники!$F$4,Учет!$H141,0)</f>
        <v>0</v>
      </c>
      <c r="T141" s="48">
        <f>IF(Учет!$O141=Справочники!$F$5,Учет!$H141,0)</f>
        <v>0</v>
      </c>
      <c r="U141" s="48">
        <f>IF(Учет!$O141=Справочники!$F$6,Учет!$H141,0)</f>
        <v>0</v>
      </c>
      <c r="V141" s="43">
        <f>V140+Учет!$B141-Q141</f>
        <v>-488978.92000000004</v>
      </c>
      <c r="W141" s="43">
        <f>W140+Учет!$C141-R141</f>
        <v>336855</v>
      </c>
      <c r="X141" s="43">
        <f>X140+Учет!$D141-S141</f>
        <v>500</v>
      </c>
      <c r="Y141" s="43">
        <f>Y140+Учет!$E141-T141</f>
        <v>1150</v>
      </c>
      <c r="Z141" s="43">
        <f>Z140+Учет!$F141-U141</f>
        <v>500000</v>
      </c>
      <c r="AA141" s="45">
        <f>Учет!$I141</f>
        <v>349526.07999999996</v>
      </c>
    </row>
    <row r="142" spans="1:27" ht="15" customHeight="1" x14ac:dyDescent="0.25">
      <c r="A142" s="1"/>
      <c r="B142" s="17"/>
      <c r="C142" s="17"/>
      <c r="D142" s="17"/>
      <c r="E142" s="17"/>
      <c r="F142" s="17"/>
      <c r="G142" s="4">
        <f t="shared" si="3"/>
        <v>0</v>
      </c>
      <c r="H142" s="17"/>
      <c r="I142" s="4">
        <f t="shared" si="5"/>
        <v>349526.07999999996</v>
      </c>
      <c r="J142" s="32" t="str">
        <f t="shared" si="4"/>
        <v/>
      </c>
      <c r="K142" s="72"/>
      <c r="L142" s="72"/>
      <c r="M142" s="2"/>
      <c r="N142" s="5"/>
      <c r="O142" s="3"/>
      <c r="P142" s="6"/>
      <c r="Q142" s="48">
        <f>IF(Учет!$O142=Справочники!$F$2,Учет!$H142,0)</f>
        <v>0</v>
      </c>
      <c r="R142" s="48">
        <f>IF(Учет!$O142=Справочники!$F$3,Учет!$H142,0)</f>
        <v>0</v>
      </c>
      <c r="S142" s="48">
        <f>IF(Учет!$O142=Справочники!$F$4,Учет!$H142,0)</f>
        <v>0</v>
      </c>
      <c r="T142" s="48">
        <f>IF(Учет!$O142=Справочники!$F$5,Учет!$H142,0)</f>
        <v>0</v>
      </c>
      <c r="U142" s="48">
        <f>IF(Учет!$O142=Справочники!$F$6,Учет!$H142,0)</f>
        <v>0</v>
      </c>
      <c r="V142" s="43">
        <f>V141+Учет!$B142-Q142</f>
        <v>-488978.92000000004</v>
      </c>
      <c r="W142" s="43">
        <f>W141+Учет!$C142-R142</f>
        <v>336855</v>
      </c>
      <c r="X142" s="43">
        <f>X141+Учет!$D142-S142</f>
        <v>500</v>
      </c>
      <c r="Y142" s="43">
        <f>Y141+Учет!$E142-T142</f>
        <v>1150</v>
      </c>
      <c r="Z142" s="43">
        <f>Z141+Учет!$F142-U142</f>
        <v>500000</v>
      </c>
      <c r="AA142" s="45">
        <f>Учет!$I142</f>
        <v>349526.07999999996</v>
      </c>
    </row>
    <row r="143" spans="1:27" ht="15" customHeight="1" x14ac:dyDescent="0.25">
      <c r="A143" s="1"/>
      <c r="B143" s="17"/>
      <c r="C143" s="17"/>
      <c r="D143" s="17"/>
      <c r="E143" s="17"/>
      <c r="F143" s="17"/>
      <c r="G143" s="4">
        <f t="shared" si="3"/>
        <v>0</v>
      </c>
      <c r="H143" s="17"/>
      <c r="I143" s="4">
        <f t="shared" si="5"/>
        <v>349526.07999999996</v>
      </c>
      <c r="J143" s="32" t="str">
        <f t="shared" si="4"/>
        <v/>
      </c>
      <c r="K143" s="72"/>
      <c r="L143" s="72"/>
      <c r="M143" s="2"/>
      <c r="N143" s="5"/>
      <c r="O143" s="3"/>
      <c r="P143" s="6"/>
      <c r="Q143" s="48">
        <f>IF(Учет!$O143=Справочники!$F$2,Учет!$H143,0)</f>
        <v>0</v>
      </c>
      <c r="R143" s="48">
        <f>IF(Учет!$O143=Справочники!$F$3,Учет!$H143,0)</f>
        <v>0</v>
      </c>
      <c r="S143" s="48">
        <f>IF(Учет!$O143=Справочники!$F$4,Учет!$H143,0)</f>
        <v>0</v>
      </c>
      <c r="T143" s="48">
        <f>IF(Учет!$O143=Справочники!$F$5,Учет!$H143,0)</f>
        <v>0</v>
      </c>
      <c r="U143" s="48">
        <f>IF(Учет!$O143=Справочники!$F$6,Учет!$H143,0)</f>
        <v>0</v>
      </c>
      <c r="V143" s="43">
        <f>V142+Учет!$B143-Q143</f>
        <v>-488978.92000000004</v>
      </c>
      <c r="W143" s="43">
        <f>W142+Учет!$C143-R143</f>
        <v>336855</v>
      </c>
      <c r="X143" s="43">
        <f>X142+Учет!$D143-S143</f>
        <v>500</v>
      </c>
      <c r="Y143" s="43">
        <f>Y142+Учет!$E143-T143</f>
        <v>1150</v>
      </c>
      <c r="Z143" s="43">
        <f>Z142+Учет!$F143-U143</f>
        <v>500000</v>
      </c>
      <c r="AA143" s="45">
        <f>Учет!$I143</f>
        <v>349526.07999999996</v>
      </c>
    </row>
    <row r="144" spans="1:27" ht="15" customHeight="1" x14ac:dyDescent="0.25">
      <c r="A144" s="1"/>
      <c r="B144" s="17"/>
      <c r="C144" s="17"/>
      <c r="D144" s="17"/>
      <c r="E144" s="17"/>
      <c r="F144" s="17"/>
      <c r="G144" s="4">
        <f t="shared" si="3"/>
        <v>0</v>
      </c>
      <c r="H144" s="17"/>
      <c r="I144" s="4">
        <f t="shared" si="5"/>
        <v>349526.07999999996</v>
      </c>
      <c r="J144" s="32" t="str">
        <f t="shared" si="4"/>
        <v/>
      </c>
      <c r="K144" s="72"/>
      <c r="L144" s="72"/>
      <c r="M144" s="2"/>
      <c r="N144" s="5"/>
      <c r="O144" s="3"/>
      <c r="P144" s="6"/>
      <c r="Q144" s="48">
        <f>IF(Учет!$O144=Справочники!$F$2,Учет!$H144,0)</f>
        <v>0</v>
      </c>
      <c r="R144" s="48">
        <f>IF(Учет!$O144=Справочники!$F$3,Учет!$H144,0)</f>
        <v>0</v>
      </c>
      <c r="S144" s="48">
        <f>IF(Учет!$O144=Справочники!$F$4,Учет!$H144,0)</f>
        <v>0</v>
      </c>
      <c r="T144" s="48">
        <f>IF(Учет!$O144=Справочники!$F$5,Учет!$H144,0)</f>
        <v>0</v>
      </c>
      <c r="U144" s="48">
        <f>IF(Учет!$O144=Справочники!$F$6,Учет!$H144,0)</f>
        <v>0</v>
      </c>
      <c r="V144" s="43">
        <f>V143+Учет!$B144-Q144</f>
        <v>-488978.92000000004</v>
      </c>
      <c r="W144" s="43">
        <f>W143+Учет!$C144-R144</f>
        <v>336855</v>
      </c>
      <c r="X144" s="43">
        <f>X143+Учет!$D144-S144</f>
        <v>500</v>
      </c>
      <c r="Y144" s="43">
        <f>Y143+Учет!$E144-T144</f>
        <v>1150</v>
      </c>
      <c r="Z144" s="43">
        <f>Z143+Учет!$F144-U144</f>
        <v>500000</v>
      </c>
      <c r="AA144" s="45">
        <f>Учет!$I144</f>
        <v>349526.07999999996</v>
      </c>
    </row>
    <row r="145" spans="1:27" ht="15" customHeight="1" x14ac:dyDescent="0.25">
      <c r="A145" s="1"/>
      <c r="B145" s="17"/>
      <c r="C145" s="17"/>
      <c r="D145" s="17"/>
      <c r="E145" s="17"/>
      <c r="F145" s="17"/>
      <c r="G145" s="4">
        <f t="shared" si="3"/>
        <v>0</v>
      </c>
      <c r="H145" s="17"/>
      <c r="I145" s="4">
        <f t="shared" si="5"/>
        <v>349526.07999999996</v>
      </c>
      <c r="J145" s="32" t="str">
        <f t="shared" si="4"/>
        <v/>
      </c>
      <c r="K145" s="72"/>
      <c r="L145" s="72"/>
      <c r="M145" s="2"/>
      <c r="N145" s="5"/>
      <c r="O145" s="3"/>
      <c r="P145" s="6"/>
      <c r="Q145" s="48">
        <f>IF(Учет!$O145=Справочники!$F$2,Учет!$H145,0)</f>
        <v>0</v>
      </c>
      <c r="R145" s="48">
        <f>IF(Учет!$O145=Справочники!$F$3,Учет!$H145,0)</f>
        <v>0</v>
      </c>
      <c r="S145" s="48">
        <f>IF(Учет!$O145=Справочники!$F$4,Учет!$H145,0)</f>
        <v>0</v>
      </c>
      <c r="T145" s="48">
        <f>IF(Учет!$O145=Справочники!$F$5,Учет!$H145,0)</f>
        <v>0</v>
      </c>
      <c r="U145" s="48">
        <f>IF(Учет!$O145=Справочники!$F$6,Учет!$H145,0)</f>
        <v>0</v>
      </c>
      <c r="V145" s="43">
        <f>V144+Учет!$B145-Q145</f>
        <v>-488978.92000000004</v>
      </c>
      <c r="W145" s="43">
        <f>W144+Учет!$C145-R145</f>
        <v>336855</v>
      </c>
      <c r="X145" s="43">
        <f>X144+Учет!$D145-S145</f>
        <v>500</v>
      </c>
      <c r="Y145" s="43">
        <f>Y144+Учет!$E145-T145</f>
        <v>1150</v>
      </c>
      <c r="Z145" s="43">
        <f>Z144+Учет!$F145-U145</f>
        <v>500000</v>
      </c>
      <c r="AA145" s="45">
        <f>Учет!$I145</f>
        <v>349526.07999999996</v>
      </c>
    </row>
    <row r="146" spans="1:27" ht="15" customHeight="1" x14ac:dyDescent="0.25">
      <c r="A146" s="1"/>
      <c r="B146" s="17"/>
      <c r="C146" s="17"/>
      <c r="D146" s="17"/>
      <c r="E146" s="17"/>
      <c r="F146" s="17"/>
      <c r="G146" s="4">
        <f t="shared" si="3"/>
        <v>0</v>
      </c>
      <c r="H146" s="17"/>
      <c r="I146" s="4">
        <f t="shared" si="5"/>
        <v>349526.07999999996</v>
      </c>
      <c r="J146" s="32" t="str">
        <f t="shared" si="4"/>
        <v/>
      </c>
      <c r="K146" s="72"/>
      <c r="L146" s="72"/>
      <c r="M146" s="2"/>
      <c r="N146" s="5"/>
      <c r="O146" s="3"/>
      <c r="P146" s="6"/>
      <c r="Q146" s="48">
        <f>IF(Учет!$O146=Справочники!$F$2,Учет!$H146,0)</f>
        <v>0</v>
      </c>
      <c r="R146" s="48">
        <f>IF(Учет!$O146=Справочники!$F$3,Учет!$H146,0)</f>
        <v>0</v>
      </c>
      <c r="S146" s="48">
        <f>IF(Учет!$O146=Справочники!$F$4,Учет!$H146,0)</f>
        <v>0</v>
      </c>
      <c r="T146" s="48">
        <f>IF(Учет!$O146=Справочники!$F$5,Учет!$H146,0)</f>
        <v>0</v>
      </c>
      <c r="U146" s="48">
        <f>IF(Учет!$O146=Справочники!$F$6,Учет!$H146,0)</f>
        <v>0</v>
      </c>
      <c r="V146" s="43">
        <f>V145+Учет!$B146-Q146</f>
        <v>-488978.92000000004</v>
      </c>
      <c r="W146" s="43">
        <f>W145+Учет!$C146-R146</f>
        <v>336855</v>
      </c>
      <c r="X146" s="43">
        <f>X145+Учет!$D146-S146</f>
        <v>500</v>
      </c>
      <c r="Y146" s="43">
        <f>Y145+Учет!$E146-T146</f>
        <v>1150</v>
      </c>
      <c r="Z146" s="43">
        <f>Z145+Учет!$F146-U146</f>
        <v>500000</v>
      </c>
      <c r="AA146" s="45">
        <f>Учет!$I146</f>
        <v>349526.07999999996</v>
      </c>
    </row>
    <row r="147" spans="1:27" ht="15" customHeight="1" x14ac:dyDescent="0.25">
      <c r="A147" s="1"/>
      <c r="B147" s="17"/>
      <c r="C147" s="17"/>
      <c r="D147" s="17"/>
      <c r="E147" s="17"/>
      <c r="F147" s="17"/>
      <c r="G147" s="4">
        <f t="shared" si="3"/>
        <v>0</v>
      </c>
      <c r="H147" s="17"/>
      <c r="I147" s="4">
        <f t="shared" si="5"/>
        <v>349526.07999999996</v>
      </c>
      <c r="J147" s="32" t="str">
        <f t="shared" si="4"/>
        <v/>
      </c>
      <c r="K147" s="72"/>
      <c r="L147" s="72"/>
      <c r="M147" s="2"/>
      <c r="N147" s="5"/>
      <c r="O147" s="3"/>
      <c r="P147" s="6"/>
      <c r="Q147" s="48">
        <f>IF(Учет!$O147=Справочники!$F$2,Учет!$H147,0)</f>
        <v>0</v>
      </c>
      <c r="R147" s="48">
        <f>IF(Учет!$O147=Справочники!$F$3,Учет!$H147,0)</f>
        <v>0</v>
      </c>
      <c r="S147" s="48">
        <f>IF(Учет!$O147=Справочники!$F$4,Учет!$H147,0)</f>
        <v>0</v>
      </c>
      <c r="T147" s="48">
        <f>IF(Учет!$O147=Справочники!$F$5,Учет!$H147,0)</f>
        <v>0</v>
      </c>
      <c r="U147" s="48">
        <f>IF(Учет!$O147=Справочники!$F$6,Учет!$H147,0)</f>
        <v>0</v>
      </c>
      <c r="V147" s="43">
        <f>V146+Учет!$B147-Q147</f>
        <v>-488978.92000000004</v>
      </c>
      <c r="W147" s="43">
        <f>W146+Учет!$C147-R147</f>
        <v>336855</v>
      </c>
      <c r="X147" s="43">
        <f>X146+Учет!$D147-S147</f>
        <v>500</v>
      </c>
      <c r="Y147" s="43">
        <f>Y146+Учет!$E147-T147</f>
        <v>1150</v>
      </c>
      <c r="Z147" s="43">
        <f>Z146+Учет!$F147-U147</f>
        <v>500000</v>
      </c>
      <c r="AA147" s="45">
        <f>Учет!$I147</f>
        <v>349526.07999999996</v>
      </c>
    </row>
    <row r="148" spans="1:27" ht="15" customHeight="1" x14ac:dyDescent="0.25">
      <c r="A148" s="1"/>
      <c r="B148" s="17"/>
      <c r="C148" s="17"/>
      <c r="D148" s="17"/>
      <c r="E148" s="17"/>
      <c r="F148" s="17"/>
      <c r="G148" s="4">
        <f t="shared" si="3"/>
        <v>0</v>
      </c>
      <c r="H148" s="17"/>
      <c r="I148" s="4">
        <f t="shared" si="5"/>
        <v>349526.07999999996</v>
      </c>
      <c r="J148" s="32" t="str">
        <f t="shared" si="4"/>
        <v/>
      </c>
      <c r="K148" s="72"/>
      <c r="L148" s="72"/>
      <c r="M148" s="2"/>
      <c r="N148" s="5"/>
      <c r="O148" s="3"/>
      <c r="P148" s="6"/>
      <c r="Q148" s="48">
        <f>IF(Учет!$O148=Справочники!$F$2,Учет!$H148,0)</f>
        <v>0</v>
      </c>
      <c r="R148" s="48">
        <f>IF(Учет!$O148=Справочники!$F$3,Учет!$H148,0)</f>
        <v>0</v>
      </c>
      <c r="S148" s="48">
        <f>IF(Учет!$O148=Справочники!$F$4,Учет!$H148,0)</f>
        <v>0</v>
      </c>
      <c r="T148" s="48">
        <f>IF(Учет!$O148=Справочники!$F$5,Учет!$H148,0)</f>
        <v>0</v>
      </c>
      <c r="U148" s="48">
        <f>IF(Учет!$O148=Справочники!$F$6,Учет!$H148,0)</f>
        <v>0</v>
      </c>
      <c r="V148" s="43">
        <f>V147+Учет!$B148-Q148</f>
        <v>-488978.92000000004</v>
      </c>
      <c r="W148" s="43">
        <f>W147+Учет!$C148-R148</f>
        <v>336855</v>
      </c>
      <c r="X148" s="43">
        <f>X147+Учет!$D148-S148</f>
        <v>500</v>
      </c>
      <c r="Y148" s="43">
        <f>Y147+Учет!$E148-T148</f>
        <v>1150</v>
      </c>
      <c r="Z148" s="43">
        <f>Z147+Учет!$F148-U148</f>
        <v>500000</v>
      </c>
      <c r="AA148" s="45">
        <f>Учет!$I148</f>
        <v>349526.07999999996</v>
      </c>
    </row>
    <row r="149" spans="1:27" ht="15" customHeight="1" x14ac:dyDescent="0.25">
      <c r="A149" s="1"/>
      <c r="B149" s="17"/>
      <c r="C149" s="17"/>
      <c r="D149" s="17"/>
      <c r="E149" s="17"/>
      <c r="F149" s="17"/>
      <c r="G149" s="4">
        <f t="shared" si="3"/>
        <v>0</v>
      </c>
      <c r="H149" s="17"/>
      <c r="I149" s="4">
        <f t="shared" si="5"/>
        <v>349526.07999999996</v>
      </c>
      <c r="J149" s="32" t="str">
        <f t="shared" si="4"/>
        <v/>
      </c>
      <c r="K149" s="72"/>
      <c r="L149" s="72"/>
      <c r="M149" s="2"/>
      <c r="N149" s="5"/>
      <c r="O149" s="3"/>
      <c r="P149" s="6"/>
      <c r="Q149" s="48">
        <f>IF(Учет!$O149=Справочники!$F$2,Учет!$H149,0)</f>
        <v>0</v>
      </c>
      <c r="R149" s="48">
        <f>IF(Учет!$O149=Справочники!$F$3,Учет!$H149,0)</f>
        <v>0</v>
      </c>
      <c r="S149" s="48">
        <f>IF(Учет!$O149=Справочники!$F$4,Учет!$H149,0)</f>
        <v>0</v>
      </c>
      <c r="T149" s="48">
        <f>IF(Учет!$O149=Справочники!$F$5,Учет!$H149,0)</f>
        <v>0</v>
      </c>
      <c r="U149" s="48">
        <f>IF(Учет!$O149=Справочники!$F$6,Учет!$H149,0)</f>
        <v>0</v>
      </c>
      <c r="V149" s="43">
        <f>V148+Учет!$B149-Q149</f>
        <v>-488978.92000000004</v>
      </c>
      <c r="W149" s="43">
        <f>W148+Учет!$C149-R149</f>
        <v>336855</v>
      </c>
      <c r="X149" s="43">
        <f>X148+Учет!$D149-S149</f>
        <v>500</v>
      </c>
      <c r="Y149" s="43">
        <f>Y148+Учет!$E149-T149</f>
        <v>1150</v>
      </c>
      <c r="Z149" s="43">
        <f>Z148+Учет!$F149-U149</f>
        <v>500000</v>
      </c>
      <c r="AA149" s="45">
        <f>Учет!$I149</f>
        <v>349526.07999999996</v>
      </c>
    </row>
    <row r="150" spans="1:27" ht="15" customHeight="1" x14ac:dyDescent="0.25">
      <c r="A150" s="1"/>
      <c r="B150" s="17"/>
      <c r="C150" s="17"/>
      <c r="D150" s="17"/>
      <c r="E150" s="17"/>
      <c r="F150" s="17"/>
      <c r="G150" s="4">
        <f t="shared" si="3"/>
        <v>0</v>
      </c>
      <c r="H150" s="17"/>
      <c r="I150" s="4">
        <f t="shared" si="5"/>
        <v>349526.07999999996</v>
      </c>
      <c r="J150" s="32" t="str">
        <f t="shared" si="4"/>
        <v/>
      </c>
      <c r="K150" s="72"/>
      <c r="L150" s="72"/>
      <c r="M150" s="2"/>
      <c r="N150" s="5"/>
      <c r="O150" s="3"/>
      <c r="P150" s="6"/>
      <c r="Q150" s="48">
        <f>IF(Учет!$O150=Справочники!$F$2,Учет!$H150,0)</f>
        <v>0</v>
      </c>
      <c r="R150" s="48">
        <f>IF(Учет!$O150=Справочники!$F$3,Учет!$H150,0)</f>
        <v>0</v>
      </c>
      <c r="S150" s="48">
        <f>IF(Учет!$O150=Справочники!$F$4,Учет!$H150,0)</f>
        <v>0</v>
      </c>
      <c r="T150" s="48">
        <f>IF(Учет!$O150=Справочники!$F$5,Учет!$H150,0)</f>
        <v>0</v>
      </c>
      <c r="U150" s="48">
        <f>IF(Учет!$O150=Справочники!$F$6,Учет!$H150,0)</f>
        <v>0</v>
      </c>
      <c r="V150" s="43">
        <f>V149+Учет!$B150-Q150</f>
        <v>-488978.92000000004</v>
      </c>
      <c r="W150" s="43">
        <f>W149+Учет!$C150-R150</f>
        <v>336855</v>
      </c>
      <c r="X150" s="43">
        <f>X149+Учет!$D150-S150</f>
        <v>500</v>
      </c>
      <c r="Y150" s="43">
        <f>Y149+Учет!$E150-T150</f>
        <v>1150</v>
      </c>
      <c r="Z150" s="43">
        <f>Z149+Учет!$F150-U150</f>
        <v>500000</v>
      </c>
      <c r="AA150" s="45">
        <f>Учет!$I150</f>
        <v>349526.07999999996</v>
      </c>
    </row>
    <row r="151" spans="1:27" ht="15" customHeight="1" x14ac:dyDescent="0.25">
      <c r="A151" s="1"/>
      <c r="B151" s="17"/>
      <c r="C151" s="17"/>
      <c r="D151" s="17"/>
      <c r="E151" s="17"/>
      <c r="F151" s="17"/>
      <c r="G151" s="4">
        <f t="shared" si="3"/>
        <v>0</v>
      </c>
      <c r="H151" s="17"/>
      <c r="I151" s="4">
        <f t="shared" si="5"/>
        <v>349526.07999999996</v>
      </c>
      <c r="J151" s="32" t="str">
        <f t="shared" si="4"/>
        <v/>
      </c>
      <c r="K151" s="72"/>
      <c r="L151" s="72"/>
      <c r="M151" s="2"/>
      <c r="N151" s="5"/>
      <c r="O151" s="3"/>
      <c r="P151" s="6"/>
      <c r="Q151" s="48">
        <f>IF(Учет!$O151=Справочники!$F$2,Учет!$H151,0)</f>
        <v>0</v>
      </c>
      <c r="R151" s="48">
        <f>IF(Учет!$O151=Справочники!$F$3,Учет!$H151,0)</f>
        <v>0</v>
      </c>
      <c r="S151" s="48">
        <f>IF(Учет!$O151=Справочники!$F$4,Учет!$H151,0)</f>
        <v>0</v>
      </c>
      <c r="T151" s="48">
        <f>IF(Учет!$O151=Справочники!$F$5,Учет!$H151,0)</f>
        <v>0</v>
      </c>
      <c r="U151" s="48">
        <f>IF(Учет!$O151=Справочники!$F$6,Учет!$H151,0)</f>
        <v>0</v>
      </c>
      <c r="V151" s="43">
        <f>V150+Учет!$B151-Q151</f>
        <v>-488978.92000000004</v>
      </c>
      <c r="W151" s="43">
        <f>W150+Учет!$C151-R151</f>
        <v>336855</v>
      </c>
      <c r="X151" s="43">
        <f>X150+Учет!$D151-S151</f>
        <v>500</v>
      </c>
      <c r="Y151" s="43">
        <f>Y150+Учет!$E151-T151</f>
        <v>1150</v>
      </c>
      <c r="Z151" s="43">
        <f>Z150+Учет!$F151-U151</f>
        <v>500000</v>
      </c>
      <c r="AA151" s="45">
        <f>Учет!$I151</f>
        <v>349526.07999999996</v>
      </c>
    </row>
    <row r="152" spans="1:27" ht="15" customHeight="1" x14ac:dyDescent="0.25">
      <c r="A152" s="1"/>
      <c r="B152" s="17"/>
      <c r="C152" s="17"/>
      <c r="D152" s="17"/>
      <c r="E152" s="17"/>
      <c r="F152" s="17"/>
      <c r="G152" s="4">
        <f t="shared" si="3"/>
        <v>0</v>
      </c>
      <c r="H152" s="17"/>
      <c r="I152" s="4">
        <f t="shared" si="5"/>
        <v>349526.07999999996</v>
      </c>
      <c r="J152" s="32" t="str">
        <f t="shared" si="4"/>
        <v/>
      </c>
      <c r="K152" s="72"/>
      <c r="L152" s="72"/>
      <c r="M152" s="2"/>
      <c r="N152" s="5"/>
      <c r="O152" s="3"/>
      <c r="P152" s="6"/>
      <c r="Q152" s="48">
        <f>IF(Учет!$O152=Справочники!$F$2,Учет!$H152,0)</f>
        <v>0</v>
      </c>
      <c r="R152" s="48">
        <f>IF(Учет!$O152=Справочники!$F$3,Учет!$H152,0)</f>
        <v>0</v>
      </c>
      <c r="S152" s="48">
        <f>IF(Учет!$O152=Справочники!$F$4,Учет!$H152,0)</f>
        <v>0</v>
      </c>
      <c r="T152" s="48">
        <f>IF(Учет!$O152=Справочники!$F$5,Учет!$H152,0)</f>
        <v>0</v>
      </c>
      <c r="U152" s="48">
        <f>IF(Учет!$O152=Справочники!$F$6,Учет!$H152,0)</f>
        <v>0</v>
      </c>
      <c r="V152" s="43">
        <f>V151+Учет!$B152-Q152</f>
        <v>-488978.92000000004</v>
      </c>
      <c r="W152" s="43">
        <f>W151+Учет!$C152-R152</f>
        <v>336855</v>
      </c>
      <c r="X152" s="43">
        <f>X151+Учет!$D152-S152</f>
        <v>500</v>
      </c>
      <c r="Y152" s="43">
        <f>Y151+Учет!$E152-T152</f>
        <v>1150</v>
      </c>
      <c r="Z152" s="43">
        <f>Z151+Учет!$F152-U152</f>
        <v>500000</v>
      </c>
      <c r="AA152" s="45">
        <f>Учет!$I152</f>
        <v>349526.07999999996</v>
      </c>
    </row>
    <row r="153" spans="1:27" ht="15" customHeight="1" x14ac:dyDescent="0.25">
      <c r="A153" s="1"/>
      <c r="B153" s="17"/>
      <c r="C153" s="17"/>
      <c r="D153" s="17"/>
      <c r="E153" s="17"/>
      <c r="F153" s="17"/>
      <c r="G153" s="4">
        <f t="shared" si="3"/>
        <v>0</v>
      </c>
      <c r="H153" s="17"/>
      <c r="I153" s="4">
        <f t="shared" si="5"/>
        <v>349526.07999999996</v>
      </c>
      <c r="J153" s="32" t="str">
        <f t="shared" si="4"/>
        <v/>
      </c>
      <c r="K153" s="72"/>
      <c r="L153" s="72"/>
      <c r="M153" s="2"/>
      <c r="N153" s="5"/>
      <c r="O153" s="3"/>
      <c r="P153" s="6"/>
      <c r="Q153" s="48">
        <f>IF(Учет!$O153=Справочники!$F$2,Учет!$H153,0)</f>
        <v>0</v>
      </c>
      <c r="R153" s="48">
        <f>IF(Учет!$O153=Справочники!$F$3,Учет!$H153,0)</f>
        <v>0</v>
      </c>
      <c r="S153" s="48">
        <f>IF(Учет!$O153=Справочники!$F$4,Учет!$H153,0)</f>
        <v>0</v>
      </c>
      <c r="T153" s="48">
        <f>IF(Учет!$O153=Справочники!$F$5,Учет!$H153,0)</f>
        <v>0</v>
      </c>
      <c r="U153" s="48">
        <f>IF(Учет!$O153=Справочники!$F$6,Учет!$H153,0)</f>
        <v>0</v>
      </c>
      <c r="V153" s="43">
        <f>V152+Учет!$B153-Q153</f>
        <v>-488978.92000000004</v>
      </c>
      <c r="W153" s="43">
        <f>W152+Учет!$C153-R153</f>
        <v>336855</v>
      </c>
      <c r="X153" s="43">
        <f>X152+Учет!$D153-S153</f>
        <v>500</v>
      </c>
      <c r="Y153" s="43">
        <f>Y152+Учет!$E153-T153</f>
        <v>1150</v>
      </c>
      <c r="Z153" s="43">
        <f>Z152+Учет!$F153-U153</f>
        <v>500000</v>
      </c>
      <c r="AA153" s="45">
        <f>Учет!$I153</f>
        <v>349526.07999999996</v>
      </c>
    </row>
    <row r="154" spans="1:27" ht="15" customHeight="1" x14ac:dyDescent="0.25">
      <c r="A154" s="1"/>
      <c r="B154" s="17"/>
      <c r="C154" s="17"/>
      <c r="D154" s="17"/>
      <c r="E154" s="17"/>
      <c r="F154" s="17"/>
      <c r="G154" s="4">
        <f t="shared" si="3"/>
        <v>0</v>
      </c>
      <c r="H154" s="17"/>
      <c r="I154" s="4">
        <f t="shared" si="5"/>
        <v>349526.07999999996</v>
      </c>
      <c r="J154" s="32" t="str">
        <f t="shared" si="4"/>
        <v/>
      </c>
      <c r="K154" s="72"/>
      <c r="L154" s="72"/>
      <c r="M154" s="2"/>
      <c r="N154" s="5"/>
      <c r="O154" s="3"/>
      <c r="P154" s="6"/>
      <c r="Q154" s="48">
        <f>IF(Учет!$O154=Справочники!$F$2,Учет!$H154,0)</f>
        <v>0</v>
      </c>
      <c r="R154" s="48">
        <f>IF(Учет!$O154=Справочники!$F$3,Учет!$H154,0)</f>
        <v>0</v>
      </c>
      <c r="S154" s="48">
        <f>IF(Учет!$O154=Справочники!$F$4,Учет!$H154,0)</f>
        <v>0</v>
      </c>
      <c r="T154" s="48">
        <f>IF(Учет!$O154=Справочники!$F$5,Учет!$H154,0)</f>
        <v>0</v>
      </c>
      <c r="U154" s="48">
        <f>IF(Учет!$O154=Справочники!$F$6,Учет!$H154,0)</f>
        <v>0</v>
      </c>
      <c r="V154" s="43">
        <f>V153+Учет!$B154-Q154</f>
        <v>-488978.92000000004</v>
      </c>
      <c r="W154" s="43">
        <f>W153+Учет!$C154-R154</f>
        <v>336855</v>
      </c>
      <c r="X154" s="43">
        <f>X153+Учет!$D154-S154</f>
        <v>500</v>
      </c>
      <c r="Y154" s="43">
        <f>Y153+Учет!$E154-T154</f>
        <v>1150</v>
      </c>
      <c r="Z154" s="43">
        <f>Z153+Учет!$F154-U154</f>
        <v>500000</v>
      </c>
      <c r="AA154" s="45">
        <f>Учет!$I154</f>
        <v>349526.07999999996</v>
      </c>
    </row>
    <row r="155" spans="1:27" ht="15" customHeight="1" x14ac:dyDescent="0.25">
      <c r="A155" s="1"/>
      <c r="B155" s="17"/>
      <c r="C155" s="17"/>
      <c r="D155" s="17"/>
      <c r="E155" s="17"/>
      <c r="F155" s="17"/>
      <c r="G155" s="4">
        <f t="shared" si="3"/>
        <v>0</v>
      </c>
      <c r="H155" s="17"/>
      <c r="I155" s="4">
        <f t="shared" si="5"/>
        <v>349526.07999999996</v>
      </c>
      <c r="J155" s="32" t="str">
        <f t="shared" si="4"/>
        <v/>
      </c>
      <c r="K155" s="72"/>
      <c r="L155" s="72"/>
      <c r="M155" s="2"/>
      <c r="N155" s="5"/>
      <c r="O155" s="3"/>
      <c r="P155" s="6"/>
      <c r="Q155" s="48">
        <f>IF(Учет!$O155=Справочники!$F$2,Учет!$H155,0)</f>
        <v>0</v>
      </c>
      <c r="R155" s="48">
        <f>IF(Учет!$O155=Справочники!$F$3,Учет!$H155,0)</f>
        <v>0</v>
      </c>
      <c r="S155" s="48">
        <f>IF(Учет!$O155=Справочники!$F$4,Учет!$H155,0)</f>
        <v>0</v>
      </c>
      <c r="T155" s="48">
        <f>IF(Учет!$O155=Справочники!$F$5,Учет!$H155,0)</f>
        <v>0</v>
      </c>
      <c r="U155" s="48">
        <f>IF(Учет!$O155=Справочники!$F$6,Учет!$H155,0)</f>
        <v>0</v>
      </c>
      <c r="V155" s="43">
        <f>V154+Учет!$B155-Q155</f>
        <v>-488978.92000000004</v>
      </c>
      <c r="W155" s="43">
        <f>W154+Учет!$C155-R155</f>
        <v>336855</v>
      </c>
      <c r="X155" s="43">
        <f>X154+Учет!$D155-S155</f>
        <v>500</v>
      </c>
      <c r="Y155" s="43">
        <f>Y154+Учет!$E155-T155</f>
        <v>1150</v>
      </c>
      <c r="Z155" s="43">
        <f>Z154+Учет!$F155-U155</f>
        <v>500000</v>
      </c>
      <c r="AA155" s="45">
        <f>Учет!$I155</f>
        <v>349526.07999999996</v>
      </c>
    </row>
    <row r="156" spans="1:27" ht="15" customHeight="1" x14ac:dyDescent="0.25">
      <c r="A156" s="1"/>
      <c r="B156" s="17"/>
      <c r="C156" s="17"/>
      <c r="D156" s="17"/>
      <c r="E156" s="17"/>
      <c r="F156" s="17"/>
      <c r="G156" s="4">
        <f t="shared" si="3"/>
        <v>0</v>
      </c>
      <c r="H156" s="17"/>
      <c r="I156" s="4">
        <f t="shared" si="5"/>
        <v>349526.07999999996</v>
      </c>
      <c r="J156" s="32" t="str">
        <f t="shared" si="4"/>
        <v/>
      </c>
      <c r="K156" s="72"/>
      <c r="L156" s="72"/>
      <c r="M156" s="2"/>
      <c r="N156" s="5"/>
      <c r="O156" s="3"/>
      <c r="P156" s="6"/>
      <c r="Q156" s="48">
        <f>IF(Учет!$O156=Справочники!$F$2,Учет!$H156,0)</f>
        <v>0</v>
      </c>
      <c r="R156" s="48">
        <f>IF(Учет!$O156=Справочники!$F$3,Учет!$H156,0)</f>
        <v>0</v>
      </c>
      <c r="S156" s="48">
        <f>IF(Учет!$O156=Справочники!$F$4,Учет!$H156,0)</f>
        <v>0</v>
      </c>
      <c r="T156" s="48">
        <f>IF(Учет!$O156=Справочники!$F$5,Учет!$H156,0)</f>
        <v>0</v>
      </c>
      <c r="U156" s="48">
        <f>IF(Учет!$O156=Справочники!$F$6,Учет!$H156,0)</f>
        <v>0</v>
      </c>
      <c r="V156" s="43">
        <f>V155+Учет!$B156-Q156</f>
        <v>-488978.92000000004</v>
      </c>
      <c r="W156" s="43">
        <f>W155+Учет!$C156-R156</f>
        <v>336855</v>
      </c>
      <c r="X156" s="43">
        <f>X155+Учет!$D156-S156</f>
        <v>500</v>
      </c>
      <c r="Y156" s="43">
        <f>Y155+Учет!$E156-T156</f>
        <v>1150</v>
      </c>
      <c r="Z156" s="43">
        <f>Z155+Учет!$F156-U156</f>
        <v>500000</v>
      </c>
      <c r="AA156" s="45">
        <f>Учет!$I156</f>
        <v>349526.07999999996</v>
      </c>
    </row>
    <row r="157" spans="1:27" ht="15" customHeight="1" x14ac:dyDescent="0.25">
      <c r="A157" s="1"/>
      <c r="B157" s="17"/>
      <c r="C157" s="17"/>
      <c r="D157" s="17"/>
      <c r="E157" s="17"/>
      <c r="F157" s="17"/>
      <c r="G157" s="4">
        <f t="shared" si="3"/>
        <v>0</v>
      </c>
      <c r="H157" s="17"/>
      <c r="I157" s="4">
        <f t="shared" si="5"/>
        <v>349526.07999999996</v>
      </c>
      <c r="J157" s="32" t="str">
        <f t="shared" si="4"/>
        <v/>
      </c>
      <c r="K157" s="72"/>
      <c r="L157" s="72"/>
      <c r="M157" s="2"/>
      <c r="N157" s="5"/>
      <c r="O157" s="3"/>
      <c r="P157" s="6"/>
      <c r="Q157" s="48">
        <f>IF(Учет!$O157=Справочники!$F$2,Учет!$H157,0)</f>
        <v>0</v>
      </c>
      <c r="R157" s="48">
        <f>IF(Учет!$O157=Справочники!$F$3,Учет!$H157,0)</f>
        <v>0</v>
      </c>
      <c r="S157" s="48">
        <f>IF(Учет!$O157=Справочники!$F$4,Учет!$H157,0)</f>
        <v>0</v>
      </c>
      <c r="T157" s="48">
        <f>IF(Учет!$O157=Справочники!$F$5,Учет!$H157,0)</f>
        <v>0</v>
      </c>
      <c r="U157" s="48">
        <f>IF(Учет!$O157=Справочники!$F$6,Учет!$H157,0)</f>
        <v>0</v>
      </c>
      <c r="V157" s="43">
        <f>V156+Учет!$B157-Q157</f>
        <v>-488978.92000000004</v>
      </c>
      <c r="W157" s="43">
        <f>W156+Учет!$C157-R157</f>
        <v>336855</v>
      </c>
      <c r="X157" s="43">
        <f>X156+Учет!$D157-S157</f>
        <v>500</v>
      </c>
      <c r="Y157" s="43">
        <f>Y156+Учет!$E157-T157</f>
        <v>1150</v>
      </c>
      <c r="Z157" s="43">
        <f>Z156+Учет!$F157-U157</f>
        <v>500000</v>
      </c>
      <c r="AA157" s="45">
        <f>Учет!$I157</f>
        <v>349526.07999999996</v>
      </c>
    </row>
    <row r="158" spans="1:27" ht="15" customHeight="1" x14ac:dyDescent="0.25">
      <c r="A158" s="1"/>
      <c r="B158" s="17"/>
      <c r="C158" s="17"/>
      <c r="D158" s="17"/>
      <c r="E158" s="17"/>
      <c r="F158" s="17"/>
      <c r="G158" s="4">
        <f t="shared" si="3"/>
        <v>0</v>
      </c>
      <c r="H158" s="17"/>
      <c r="I158" s="4">
        <f t="shared" si="5"/>
        <v>349526.07999999996</v>
      </c>
      <c r="J158" s="32" t="str">
        <f t="shared" si="4"/>
        <v/>
      </c>
      <c r="K158" s="72"/>
      <c r="L158" s="72"/>
      <c r="M158" s="2"/>
      <c r="N158" s="5"/>
      <c r="O158" s="3"/>
      <c r="P158" s="6"/>
      <c r="Q158" s="48">
        <f>IF(Учет!$O158=Справочники!$F$2,Учет!$H158,0)</f>
        <v>0</v>
      </c>
      <c r="R158" s="48">
        <f>IF(Учет!$O158=Справочники!$F$3,Учет!$H158,0)</f>
        <v>0</v>
      </c>
      <c r="S158" s="48">
        <f>IF(Учет!$O158=Справочники!$F$4,Учет!$H158,0)</f>
        <v>0</v>
      </c>
      <c r="T158" s="48">
        <f>IF(Учет!$O158=Справочники!$F$5,Учет!$H158,0)</f>
        <v>0</v>
      </c>
      <c r="U158" s="48">
        <f>IF(Учет!$O158=Справочники!$F$6,Учет!$H158,0)</f>
        <v>0</v>
      </c>
      <c r="V158" s="43">
        <f>V157+Учет!$B158-Q158</f>
        <v>-488978.92000000004</v>
      </c>
      <c r="W158" s="43">
        <f>W157+Учет!$C158-R158</f>
        <v>336855</v>
      </c>
      <c r="X158" s="43">
        <f>X157+Учет!$D158-S158</f>
        <v>500</v>
      </c>
      <c r="Y158" s="43">
        <f>Y157+Учет!$E158-T158</f>
        <v>1150</v>
      </c>
      <c r="Z158" s="43">
        <f>Z157+Учет!$F158-U158</f>
        <v>500000</v>
      </c>
      <c r="AA158" s="45">
        <f>Учет!$I158</f>
        <v>349526.07999999996</v>
      </c>
    </row>
    <row r="159" spans="1:27" ht="15" customHeight="1" x14ac:dyDescent="0.25">
      <c r="A159" s="1"/>
      <c r="B159" s="17"/>
      <c r="C159" s="17"/>
      <c r="D159" s="17"/>
      <c r="E159" s="17"/>
      <c r="F159" s="17"/>
      <c r="G159" s="4">
        <f t="shared" si="3"/>
        <v>0</v>
      </c>
      <c r="H159" s="17"/>
      <c r="I159" s="4">
        <f t="shared" si="5"/>
        <v>349526.07999999996</v>
      </c>
      <c r="J159" s="32" t="str">
        <f t="shared" si="4"/>
        <v/>
      </c>
      <c r="K159" s="72"/>
      <c r="L159" s="72"/>
      <c r="M159" s="2"/>
      <c r="N159" s="5"/>
      <c r="O159" s="3"/>
      <c r="P159" s="6"/>
      <c r="Q159" s="48">
        <f>IF(Учет!$O159=Справочники!$F$2,Учет!$H159,0)</f>
        <v>0</v>
      </c>
      <c r="R159" s="48">
        <f>IF(Учет!$O159=Справочники!$F$3,Учет!$H159,0)</f>
        <v>0</v>
      </c>
      <c r="S159" s="48">
        <f>IF(Учет!$O159=Справочники!$F$4,Учет!$H159,0)</f>
        <v>0</v>
      </c>
      <c r="T159" s="48">
        <f>IF(Учет!$O159=Справочники!$F$5,Учет!$H159,0)</f>
        <v>0</v>
      </c>
      <c r="U159" s="48">
        <f>IF(Учет!$O159=Справочники!$F$6,Учет!$H159,0)</f>
        <v>0</v>
      </c>
      <c r="V159" s="43">
        <f>V158+Учет!$B159-Q159</f>
        <v>-488978.92000000004</v>
      </c>
      <c r="W159" s="43">
        <f>W158+Учет!$C159-R159</f>
        <v>336855</v>
      </c>
      <c r="X159" s="43">
        <f>X158+Учет!$D159-S159</f>
        <v>500</v>
      </c>
      <c r="Y159" s="43">
        <f>Y158+Учет!$E159-T159</f>
        <v>1150</v>
      </c>
      <c r="Z159" s="43">
        <f>Z158+Учет!$F159-U159</f>
        <v>500000</v>
      </c>
      <c r="AA159" s="45">
        <f>Учет!$I159</f>
        <v>349526.07999999996</v>
      </c>
    </row>
    <row r="160" spans="1:27" ht="15" customHeight="1" x14ac:dyDescent="0.25">
      <c r="A160" s="1"/>
      <c r="B160" s="17"/>
      <c r="C160" s="17"/>
      <c r="D160" s="17"/>
      <c r="E160" s="17"/>
      <c r="F160" s="17"/>
      <c r="G160" s="4">
        <f t="shared" si="3"/>
        <v>0</v>
      </c>
      <c r="H160" s="17"/>
      <c r="I160" s="4">
        <f t="shared" si="5"/>
        <v>349526.07999999996</v>
      </c>
      <c r="J160" s="32" t="str">
        <f t="shared" si="4"/>
        <v/>
      </c>
      <c r="K160" s="72"/>
      <c r="L160" s="72"/>
      <c r="M160" s="2"/>
      <c r="N160" s="5"/>
      <c r="O160" s="3"/>
      <c r="P160" s="6"/>
      <c r="Q160" s="48">
        <f>IF(Учет!$O160=Справочники!$F$2,Учет!$H160,0)</f>
        <v>0</v>
      </c>
      <c r="R160" s="48">
        <f>IF(Учет!$O160=Справочники!$F$3,Учет!$H160,0)</f>
        <v>0</v>
      </c>
      <c r="S160" s="48">
        <f>IF(Учет!$O160=Справочники!$F$4,Учет!$H160,0)</f>
        <v>0</v>
      </c>
      <c r="T160" s="48">
        <f>IF(Учет!$O160=Справочники!$F$5,Учет!$H160,0)</f>
        <v>0</v>
      </c>
      <c r="U160" s="48">
        <f>IF(Учет!$O160=Справочники!$F$6,Учет!$H160,0)</f>
        <v>0</v>
      </c>
      <c r="V160" s="43">
        <f>V159+Учет!$B160-Q160</f>
        <v>-488978.92000000004</v>
      </c>
      <c r="W160" s="43">
        <f>W159+Учет!$C160-R160</f>
        <v>336855</v>
      </c>
      <c r="X160" s="43">
        <f>X159+Учет!$D160-S160</f>
        <v>500</v>
      </c>
      <c r="Y160" s="43">
        <f>Y159+Учет!$E160-T160</f>
        <v>1150</v>
      </c>
      <c r="Z160" s="43">
        <f>Z159+Учет!$F160-U160</f>
        <v>500000</v>
      </c>
      <c r="AA160" s="45">
        <f>Учет!$I160</f>
        <v>349526.07999999996</v>
      </c>
    </row>
    <row r="161" spans="1:27" ht="15" customHeight="1" x14ac:dyDescent="0.25">
      <c r="A161" s="1"/>
      <c r="B161" s="17"/>
      <c r="C161" s="17"/>
      <c r="D161" s="17"/>
      <c r="E161" s="17"/>
      <c r="F161" s="17"/>
      <c r="G161" s="4">
        <f t="shared" si="3"/>
        <v>0</v>
      </c>
      <c r="H161" s="17"/>
      <c r="I161" s="4">
        <f t="shared" si="5"/>
        <v>349526.07999999996</v>
      </c>
      <c r="J161" s="32" t="str">
        <f t="shared" si="4"/>
        <v/>
      </c>
      <c r="K161" s="72"/>
      <c r="L161" s="72"/>
      <c r="M161" s="2"/>
      <c r="N161" s="5"/>
      <c r="O161" s="3"/>
      <c r="P161" s="6"/>
      <c r="Q161" s="48">
        <f>IF(Учет!$O161=Справочники!$F$2,Учет!$H161,0)</f>
        <v>0</v>
      </c>
      <c r="R161" s="48">
        <f>IF(Учет!$O161=Справочники!$F$3,Учет!$H161,0)</f>
        <v>0</v>
      </c>
      <c r="S161" s="48">
        <f>IF(Учет!$O161=Справочники!$F$4,Учет!$H161,0)</f>
        <v>0</v>
      </c>
      <c r="T161" s="48">
        <f>IF(Учет!$O161=Справочники!$F$5,Учет!$H161,0)</f>
        <v>0</v>
      </c>
      <c r="U161" s="48">
        <f>IF(Учет!$O161=Справочники!$F$6,Учет!$H161,0)</f>
        <v>0</v>
      </c>
      <c r="V161" s="43">
        <f>V160+Учет!$B161-Q161</f>
        <v>-488978.92000000004</v>
      </c>
      <c r="W161" s="43">
        <f>W160+Учет!$C161-R161</f>
        <v>336855</v>
      </c>
      <c r="X161" s="43">
        <f>X160+Учет!$D161-S161</f>
        <v>500</v>
      </c>
      <c r="Y161" s="43">
        <f>Y160+Учет!$E161-T161</f>
        <v>1150</v>
      </c>
      <c r="Z161" s="43">
        <f>Z160+Учет!$F161-U161</f>
        <v>500000</v>
      </c>
      <c r="AA161" s="45">
        <f>Учет!$I161</f>
        <v>349526.07999999996</v>
      </c>
    </row>
    <row r="162" spans="1:27" ht="15" customHeight="1" x14ac:dyDescent="0.25">
      <c r="A162" s="1"/>
      <c r="B162" s="17"/>
      <c r="C162" s="17"/>
      <c r="D162" s="17"/>
      <c r="E162" s="17"/>
      <c r="F162" s="17"/>
      <c r="G162" s="4">
        <f t="shared" si="3"/>
        <v>0</v>
      </c>
      <c r="H162" s="17"/>
      <c r="I162" s="4">
        <f t="shared" si="5"/>
        <v>349526.07999999996</v>
      </c>
      <c r="J162" s="32" t="str">
        <f t="shared" si="4"/>
        <v/>
      </c>
      <c r="K162" s="72"/>
      <c r="L162" s="72"/>
      <c r="M162" s="2"/>
      <c r="N162" s="5"/>
      <c r="O162" s="3"/>
      <c r="P162" s="6"/>
      <c r="Q162" s="48">
        <f>IF(Учет!$O162=Справочники!$F$2,Учет!$H162,0)</f>
        <v>0</v>
      </c>
      <c r="R162" s="48">
        <f>IF(Учет!$O162=Справочники!$F$3,Учет!$H162,0)</f>
        <v>0</v>
      </c>
      <c r="S162" s="48">
        <f>IF(Учет!$O162=Справочники!$F$4,Учет!$H162,0)</f>
        <v>0</v>
      </c>
      <c r="T162" s="48">
        <f>IF(Учет!$O162=Справочники!$F$5,Учет!$H162,0)</f>
        <v>0</v>
      </c>
      <c r="U162" s="48">
        <f>IF(Учет!$O162=Справочники!$F$6,Учет!$H162,0)</f>
        <v>0</v>
      </c>
      <c r="V162" s="43">
        <f>V161+Учет!$B162-Q162</f>
        <v>-488978.92000000004</v>
      </c>
      <c r="W162" s="43">
        <f>W161+Учет!$C162-R162</f>
        <v>336855</v>
      </c>
      <c r="X162" s="43">
        <f>X161+Учет!$D162-S162</f>
        <v>500</v>
      </c>
      <c r="Y162" s="43">
        <f>Y161+Учет!$E162-T162</f>
        <v>1150</v>
      </c>
      <c r="Z162" s="43">
        <f>Z161+Учет!$F162-U162</f>
        <v>500000</v>
      </c>
      <c r="AA162" s="45">
        <f>Учет!$I162</f>
        <v>349526.07999999996</v>
      </c>
    </row>
    <row r="163" spans="1:27" ht="15" customHeight="1" x14ac:dyDescent="0.25">
      <c r="A163" s="1"/>
      <c r="B163" s="17"/>
      <c r="C163" s="17"/>
      <c r="D163" s="17"/>
      <c r="E163" s="17"/>
      <c r="F163" s="17"/>
      <c r="G163" s="4">
        <f t="shared" si="3"/>
        <v>0</v>
      </c>
      <c r="H163" s="17"/>
      <c r="I163" s="4">
        <f t="shared" si="5"/>
        <v>349526.07999999996</v>
      </c>
      <c r="J163" s="32" t="str">
        <f t="shared" si="4"/>
        <v/>
      </c>
      <c r="K163" s="72"/>
      <c r="L163" s="72"/>
      <c r="M163" s="2"/>
      <c r="N163" s="5"/>
      <c r="O163" s="3"/>
      <c r="P163" s="6"/>
      <c r="Q163" s="48">
        <f>IF(Учет!$O163=Справочники!$F$2,Учет!$H163,0)</f>
        <v>0</v>
      </c>
      <c r="R163" s="48">
        <f>IF(Учет!$O163=Справочники!$F$3,Учет!$H163,0)</f>
        <v>0</v>
      </c>
      <c r="S163" s="48">
        <f>IF(Учет!$O163=Справочники!$F$4,Учет!$H163,0)</f>
        <v>0</v>
      </c>
      <c r="T163" s="48">
        <f>IF(Учет!$O163=Справочники!$F$5,Учет!$H163,0)</f>
        <v>0</v>
      </c>
      <c r="U163" s="48">
        <f>IF(Учет!$O163=Справочники!$F$6,Учет!$H163,0)</f>
        <v>0</v>
      </c>
      <c r="V163" s="43">
        <f>V162+Учет!$B163-Q163</f>
        <v>-488978.92000000004</v>
      </c>
      <c r="W163" s="43">
        <f>W162+Учет!$C163-R163</f>
        <v>336855</v>
      </c>
      <c r="X163" s="43">
        <f>X162+Учет!$D163-S163</f>
        <v>500</v>
      </c>
      <c r="Y163" s="43">
        <f>Y162+Учет!$E163-T163</f>
        <v>1150</v>
      </c>
      <c r="Z163" s="43">
        <f>Z162+Учет!$F163-U163</f>
        <v>500000</v>
      </c>
      <c r="AA163" s="45">
        <f>Учет!$I163</f>
        <v>349526.07999999996</v>
      </c>
    </row>
    <row r="164" spans="1:27" ht="15" customHeight="1" x14ac:dyDescent="0.25">
      <c r="A164" s="1"/>
      <c r="B164" s="17"/>
      <c r="C164" s="17"/>
      <c r="D164" s="17"/>
      <c r="E164" s="17"/>
      <c r="F164" s="17"/>
      <c r="G164" s="4">
        <f t="shared" si="3"/>
        <v>0</v>
      </c>
      <c r="H164" s="17"/>
      <c r="I164" s="4">
        <f t="shared" si="5"/>
        <v>349526.07999999996</v>
      </c>
      <c r="J164" s="32" t="str">
        <f t="shared" si="4"/>
        <v/>
      </c>
      <c r="K164" s="72"/>
      <c r="L164" s="72"/>
      <c r="M164" s="2"/>
      <c r="N164" s="5"/>
      <c r="O164" s="3"/>
      <c r="P164" s="6"/>
      <c r="Q164" s="48">
        <f>IF(Учет!$O164=Справочники!$F$2,Учет!$H164,0)</f>
        <v>0</v>
      </c>
      <c r="R164" s="48">
        <f>IF(Учет!$O164=Справочники!$F$3,Учет!$H164,0)</f>
        <v>0</v>
      </c>
      <c r="S164" s="48">
        <f>IF(Учет!$O164=Справочники!$F$4,Учет!$H164,0)</f>
        <v>0</v>
      </c>
      <c r="T164" s="48">
        <f>IF(Учет!$O164=Справочники!$F$5,Учет!$H164,0)</f>
        <v>0</v>
      </c>
      <c r="U164" s="48">
        <f>IF(Учет!$O164=Справочники!$F$6,Учет!$H164,0)</f>
        <v>0</v>
      </c>
      <c r="V164" s="43">
        <f>V163+Учет!$B164-Q164</f>
        <v>-488978.92000000004</v>
      </c>
      <c r="W164" s="43">
        <f>W163+Учет!$C164-R164</f>
        <v>336855</v>
      </c>
      <c r="X164" s="43">
        <f>X163+Учет!$D164-S164</f>
        <v>500</v>
      </c>
      <c r="Y164" s="43">
        <f>Y163+Учет!$E164-T164</f>
        <v>1150</v>
      </c>
      <c r="Z164" s="43">
        <f>Z163+Учет!$F164-U164</f>
        <v>500000</v>
      </c>
      <c r="AA164" s="45">
        <f>Учет!$I164</f>
        <v>349526.07999999996</v>
      </c>
    </row>
    <row r="165" spans="1:27" ht="15" customHeight="1" x14ac:dyDescent="0.25">
      <c r="A165" s="1"/>
      <c r="B165" s="17"/>
      <c r="C165" s="17"/>
      <c r="D165" s="17"/>
      <c r="E165" s="17"/>
      <c r="F165" s="17"/>
      <c r="G165" s="4">
        <f t="shared" si="3"/>
        <v>0</v>
      </c>
      <c r="H165" s="17"/>
      <c r="I165" s="4">
        <f t="shared" si="5"/>
        <v>349526.07999999996</v>
      </c>
      <c r="J165" s="32" t="str">
        <f t="shared" si="4"/>
        <v/>
      </c>
      <c r="K165" s="72"/>
      <c r="L165" s="72"/>
      <c r="M165" s="2"/>
      <c r="N165" s="5"/>
      <c r="O165" s="3"/>
      <c r="P165" s="6"/>
      <c r="Q165" s="48">
        <f>IF(Учет!$O165=Справочники!$F$2,Учет!$H165,0)</f>
        <v>0</v>
      </c>
      <c r="R165" s="48">
        <f>IF(Учет!$O165=Справочники!$F$3,Учет!$H165,0)</f>
        <v>0</v>
      </c>
      <c r="S165" s="48">
        <f>IF(Учет!$O165=Справочники!$F$4,Учет!$H165,0)</f>
        <v>0</v>
      </c>
      <c r="T165" s="48">
        <f>IF(Учет!$O165=Справочники!$F$5,Учет!$H165,0)</f>
        <v>0</v>
      </c>
      <c r="U165" s="48">
        <f>IF(Учет!$O165=Справочники!$F$6,Учет!$H165,0)</f>
        <v>0</v>
      </c>
      <c r="V165" s="43">
        <f>V164+Учет!$B165-Q165</f>
        <v>-488978.92000000004</v>
      </c>
      <c r="W165" s="43">
        <f>W164+Учет!$C165-R165</f>
        <v>336855</v>
      </c>
      <c r="X165" s="43">
        <f>X164+Учет!$D165-S165</f>
        <v>500</v>
      </c>
      <c r="Y165" s="43">
        <f>Y164+Учет!$E165-T165</f>
        <v>1150</v>
      </c>
      <c r="Z165" s="43">
        <f>Z164+Учет!$F165-U165</f>
        <v>500000</v>
      </c>
      <c r="AA165" s="45">
        <f>Учет!$I165</f>
        <v>349526.07999999996</v>
      </c>
    </row>
    <row r="166" spans="1:27" ht="15" customHeight="1" x14ac:dyDescent="0.25">
      <c r="A166" s="1"/>
      <c r="B166" s="17"/>
      <c r="C166" s="17"/>
      <c r="D166" s="17"/>
      <c r="E166" s="17"/>
      <c r="F166" s="17"/>
      <c r="G166" s="4">
        <f t="shared" si="3"/>
        <v>0</v>
      </c>
      <c r="H166" s="17"/>
      <c r="I166" s="4">
        <f t="shared" si="5"/>
        <v>349526.07999999996</v>
      </c>
      <c r="J166" s="32" t="str">
        <f t="shared" si="4"/>
        <v/>
      </c>
      <c r="K166" s="72"/>
      <c r="L166" s="72"/>
      <c r="M166" s="2"/>
      <c r="N166" s="5"/>
      <c r="O166" s="3"/>
      <c r="P166" s="6"/>
      <c r="Q166" s="48">
        <f>IF(Учет!$O166=Справочники!$F$2,Учет!$H166,0)</f>
        <v>0</v>
      </c>
      <c r="R166" s="48">
        <f>IF(Учет!$O166=Справочники!$F$3,Учет!$H166,0)</f>
        <v>0</v>
      </c>
      <c r="S166" s="48">
        <f>IF(Учет!$O166=Справочники!$F$4,Учет!$H166,0)</f>
        <v>0</v>
      </c>
      <c r="T166" s="48">
        <f>IF(Учет!$O166=Справочники!$F$5,Учет!$H166,0)</f>
        <v>0</v>
      </c>
      <c r="U166" s="48">
        <f>IF(Учет!$O166=Справочники!$F$6,Учет!$H166,0)</f>
        <v>0</v>
      </c>
      <c r="V166" s="43">
        <f>V165+Учет!$B166-Q166</f>
        <v>-488978.92000000004</v>
      </c>
      <c r="W166" s="43">
        <f>W165+Учет!$C166-R166</f>
        <v>336855</v>
      </c>
      <c r="X166" s="43">
        <f>X165+Учет!$D166-S166</f>
        <v>500</v>
      </c>
      <c r="Y166" s="43">
        <f>Y165+Учет!$E166-T166</f>
        <v>1150</v>
      </c>
      <c r="Z166" s="43">
        <f>Z165+Учет!$F166-U166</f>
        <v>500000</v>
      </c>
      <c r="AA166" s="45">
        <f>Учет!$I166</f>
        <v>349526.07999999996</v>
      </c>
    </row>
    <row r="167" spans="1:27" ht="15" customHeight="1" x14ac:dyDescent="0.25">
      <c r="A167" s="1"/>
      <c r="B167" s="17"/>
      <c r="C167" s="17"/>
      <c r="D167" s="17"/>
      <c r="E167" s="17"/>
      <c r="F167" s="17"/>
      <c r="G167" s="4">
        <f t="shared" si="3"/>
        <v>0</v>
      </c>
      <c r="H167" s="17"/>
      <c r="I167" s="4">
        <f t="shared" si="5"/>
        <v>349526.07999999996</v>
      </c>
      <c r="J167" s="32" t="str">
        <f t="shared" si="4"/>
        <v/>
      </c>
      <c r="K167" s="72"/>
      <c r="L167" s="72"/>
      <c r="M167" s="2"/>
      <c r="N167" s="5"/>
      <c r="O167" s="3"/>
      <c r="P167" s="6"/>
      <c r="Q167" s="48">
        <f>IF(Учет!$O167=Справочники!$F$2,Учет!$H167,0)</f>
        <v>0</v>
      </c>
      <c r="R167" s="48">
        <f>IF(Учет!$O167=Справочники!$F$3,Учет!$H167,0)</f>
        <v>0</v>
      </c>
      <c r="S167" s="48">
        <f>IF(Учет!$O167=Справочники!$F$4,Учет!$H167,0)</f>
        <v>0</v>
      </c>
      <c r="T167" s="48">
        <f>IF(Учет!$O167=Справочники!$F$5,Учет!$H167,0)</f>
        <v>0</v>
      </c>
      <c r="U167" s="48">
        <f>IF(Учет!$O167=Справочники!$F$6,Учет!$H167,0)</f>
        <v>0</v>
      </c>
      <c r="V167" s="43">
        <f>V166+Учет!$B167-Q167</f>
        <v>-488978.92000000004</v>
      </c>
      <c r="W167" s="43">
        <f>W166+Учет!$C167-R167</f>
        <v>336855</v>
      </c>
      <c r="X167" s="43">
        <f>X166+Учет!$D167-S167</f>
        <v>500</v>
      </c>
      <c r="Y167" s="43">
        <f>Y166+Учет!$E167-T167</f>
        <v>1150</v>
      </c>
      <c r="Z167" s="43">
        <f>Z166+Учет!$F167-U167</f>
        <v>500000</v>
      </c>
      <c r="AA167" s="45">
        <f>Учет!$I167</f>
        <v>349526.07999999996</v>
      </c>
    </row>
    <row r="168" spans="1:27" ht="15" customHeight="1" x14ac:dyDescent="0.25">
      <c r="A168" s="1"/>
      <c r="B168" s="17"/>
      <c r="C168" s="17"/>
      <c r="D168" s="17"/>
      <c r="E168" s="17"/>
      <c r="F168" s="17"/>
      <c r="G168" s="4">
        <f t="shared" si="3"/>
        <v>0</v>
      </c>
      <c r="H168" s="17"/>
      <c r="I168" s="4">
        <f t="shared" si="5"/>
        <v>349526.07999999996</v>
      </c>
      <c r="J168" s="32" t="str">
        <f t="shared" si="4"/>
        <v/>
      </c>
      <c r="K168" s="72"/>
      <c r="L168" s="72"/>
      <c r="M168" s="2"/>
      <c r="N168" s="5"/>
      <c r="O168" s="3"/>
      <c r="P168" s="6"/>
      <c r="Q168" s="48">
        <f>IF(Учет!$O168=Справочники!$F$2,Учет!$H168,0)</f>
        <v>0</v>
      </c>
      <c r="R168" s="48">
        <f>IF(Учет!$O168=Справочники!$F$3,Учет!$H168,0)</f>
        <v>0</v>
      </c>
      <c r="S168" s="48">
        <f>IF(Учет!$O168=Справочники!$F$4,Учет!$H168,0)</f>
        <v>0</v>
      </c>
      <c r="T168" s="48">
        <f>IF(Учет!$O168=Справочники!$F$5,Учет!$H168,0)</f>
        <v>0</v>
      </c>
      <c r="U168" s="48">
        <f>IF(Учет!$O168=Справочники!$F$6,Учет!$H168,0)</f>
        <v>0</v>
      </c>
      <c r="V168" s="43">
        <f>V167+Учет!$B168-Q168</f>
        <v>-488978.92000000004</v>
      </c>
      <c r="W168" s="43">
        <f>W167+Учет!$C168-R168</f>
        <v>336855</v>
      </c>
      <c r="X168" s="43">
        <f>X167+Учет!$D168-S168</f>
        <v>500</v>
      </c>
      <c r="Y168" s="43">
        <f>Y167+Учет!$E168-T168</f>
        <v>1150</v>
      </c>
      <c r="Z168" s="43">
        <f>Z167+Учет!$F168-U168</f>
        <v>500000</v>
      </c>
      <c r="AA168" s="45">
        <f>Учет!$I168</f>
        <v>349526.07999999996</v>
      </c>
    </row>
    <row r="169" spans="1:27" ht="15" customHeight="1" x14ac:dyDescent="0.25">
      <c r="A169" s="1"/>
      <c r="B169" s="17"/>
      <c r="C169" s="17"/>
      <c r="D169" s="17"/>
      <c r="E169" s="17"/>
      <c r="F169" s="17"/>
      <c r="G169" s="4">
        <f t="shared" si="3"/>
        <v>0</v>
      </c>
      <c r="H169" s="17"/>
      <c r="I169" s="4">
        <f t="shared" si="5"/>
        <v>349526.07999999996</v>
      </c>
      <c r="J169" s="32" t="str">
        <f t="shared" si="4"/>
        <v/>
      </c>
      <c r="K169" s="72"/>
      <c r="L169" s="72"/>
      <c r="M169" s="2"/>
      <c r="N169" s="5"/>
      <c r="O169" s="3"/>
      <c r="P169" s="6"/>
      <c r="Q169" s="48">
        <f>IF(Учет!$O169=Справочники!$F$2,Учет!$H169,0)</f>
        <v>0</v>
      </c>
      <c r="R169" s="48">
        <f>IF(Учет!$O169=Справочники!$F$3,Учет!$H169,0)</f>
        <v>0</v>
      </c>
      <c r="S169" s="48">
        <f>IF(Учет!$O169=Справочники!$F$4,Учет!$H169,0)</f>
        <v>0</v>
      </c>
      <c r="T169" s="48">
        <f>IF(Учет!$O169=Справочники!$F$5,Учет!$H169,0)</f>
        <v>0</v>
      </c>
      <c r="U169" s="48">
        <f>IF(Учет!$O169=Справочники!$F$6,Учет!$H169,0)</f>
        <v>0</v>
      </c>
      <c r="V169" s="43">
        <f>V168+Учет!$B169-Q169</f>
        <v>-488978.92000000004</v>
      </c>
      <c r="W169" s="43">
        <f>W168+Учет!$C169-R169</f>
        <v>336855</v>
      </c>
      <c r="X169" s="43">
        <f>X168+Учет!$D169-S169</f>
        <v>500</v>
      </c>
      <c r="Y169" s="43">
        <f>Y168+Учет!$E169-T169</f>
        <v>1150</v>
      </c>
      <c r="Z169" s="43">
        <f>Z168+Учет!$F169-U169</f>
        <v>500000</v>
      </c>
      <c r="AA169" s="45">
        <f>Учет!$I169</f>
        <v>349526.07999999996</v>
      </c>
    </row>
    <row r="170" spans="1:27" ht="15" customHeight="1" x14ac:dyDescent="0.25">
      <c r="A170" s="1"/>
      <c r="B170" s="17"/>
      <c r="C170" s="17"/>
      <c r="D170" s="17"/>
      <c r="E170" s="17"/>
      <c r="F170" s="17"/>
      <c r="G170" s="4">
        <f t="shared" si="3"/>
        <v>0</v>
      </c>
      <c r="H170" s="17"/>
      <c r="I170" s="4">
        <f t="shared" si="5"/>
        <v>349526.07999999996</v>
      </c>
      <c r="J170" s="32" t="str">
        <f t="shared" si="4"/>
        <v/>
      </c>
      <c r="K170" s="72"/>
      <c r="L170" s="72"/>
      <c r="M170" s="2"/>
      <c r="N170" s="5"/>
      <c r="O170" s="3"/>
      <c r="P170" s="6"/>
      <c r="Q170" s="48">
        <f>IF(Учет!$O170=Справочники!$F$2,Учет!$H170,0)</f>
        <v>0</v>
      </c>
      <c r="R170" s="48">
        <f>IF(Учет!$O170=Справочники!$F$3,Учет!$H170,0)</f>
        <v>0</v>
      </c>
      <c r="S170" s="48">
        <f>IF(Учет!$O170=Справочники!$F$4,Учет!$H170,0)</f>
        <v>0</v>
      </c>
      <c r="T170" s="48">
        <f>IF(Учет!$O170=Справочники!$F$5,Учет!$H170,0)</f>
        <v>0</v>
      </c>
      <c r="U170" s="48">
        <f>IF(Учет!$O170=Справочники!$F$6,Учет!$H170,0)</f>
        <v>0</v>
      </c>
      <c r="V170" s="43">
        <f>V169+Учет!$B170-Q170</f>
        <v>-488978.92000000004</v>
      </c>
      <c r="W170" s="43">
        <f>W169+Учет!$C170-R170</f>
        <v>336855</v>
      </c>
      <c r="X170" s="43">
        <f>X169+Учет!$D170-S170</f>
        <v>500</v>
      </c>
      <c r="Y170" s="43">
        <f>Y169+Учет!$E170-T170</f>
        <v>1150</v>
      </c>
      <c r="Z170" s="43">
        <f>Z169+Учет!$F170-U170</f>
        <v>500000</v>
      </c>
      <c r="AA170" s="45">
        <f>Учет!$I170</f>
        <v>349526.07999999996</v>
      </c>
    </row>
    <row r="171" spans="1:27" ht="15" customHeight="1" x14ac:dyDescent="0.25">
      <c r="A171" s="1"/>
      <c r="B171" s="17"/>
      <c r="C171" s="17"/>
      <c r="D171" s="17"/>
      <c r="E171" s="17"/>
      <c r="F171" s="17"/>
      <c r="G171" s="4">
        <f t="shared" si="3"/>
        <v>0</v>
      </c>
      <c r="H171" s="17"/>
      <c r="I171" s="4">
        <f t="shared" si="5"/>
        <v>349526.07999999996</v>
      </c>
      <c r="J171" s="32" t="str">
        <f t="shared" si="4"/>
        <v/>
      </c>
      <c r="K171" s="72"/>
      <c r="L171" s="72"/>
      <c r="M171" s="2"/>
      <c r="N171" s="5"/>
      <c r="O171" s="3"/>
      <c r="P171" s="6"/>
      <c r="Q171" s="48">
        <f>IF(Учет!$O171=Справочники!$F$2,Учет!$H171,0)</f>
        <v>0</v>
      </c>
      <c r="R171" s="48">
        <f>IF(Учет!$O171=Справочники!$F$3,Учет!$H171,0)</f>
        <v>0</v>
      </c>
      <c r="S171" s="48">
        <f>IF(Учет!$O171=Справочники!$F$4,Учет!$H171,0)</f>
        <v>0</v>
      </c>
      <c r="T171" s="48">
        <f>IF(Учет!$O171=Справочники!$F$5,Учет!$H171,0)</f>
        <v>0</v>
      </c>
      <c r="U171" s="48">
        <f>IF(Учет!$O171=Справочники!$F$6,Учет!$H171,0)</f>
        <v>0</v>
      </c>
      <c r="V171" s="43">
        <f>V170+Учет!$B171-Q171</f>
        <v>-488978.92000000004</v>
      </c>
      <c r="W171" s="43">
        <f>W170+Учет!$C171-R171</f>
        <v>336855</v>
      </c>
      <c r="X171" s="43">
        <f>X170+Учет!$D171-S171</f>
        <v>500</v>
      </c>
      <c r="Y171" s="43">
        <f>Y170+Учет!$E171-T171</f>
        <v>1150</v>
      </c>
      <c r="Z171" s="43">
        <f>Z170+Учет!$F171-U171</f>
        <v>500000</v>
      </c>
      <c r="AA171" s="45">
        <f>Учет!$I171</f>
        <v>349526.07999999996</v>
      </c>
    </row>
    <row r="172" spans="1:27" ht="15" customHeight="1" x14ac:dyDescent="0.25">
      <c r="A172" s="1"/>
      <c r="B172" s="17"/>
      <c r="C172" s="17"/>
      <c r="D172" s="17"/>
      <c r="E172" s="17"/>
      <c r="F172" s="17"/>
      <c r="G172" s="4">
        <f t="shared" si="3"/>
        <v>0</v>
      </c>
      <c r="H172" s="17"/>
      <c r="I172" s="4">
        <f t="shared" si="5"/>
        <v>349526.07999999996</v>
      </c>
      <c r="J172" s="32" t="str">
        <f t="shared" si="4"/>
        <v/>
      </c>
      <c r="K172" s="72"/>
      <c r="L172" s="72"/>
      <c r="M172" s="2"/>
      <c r="N172" s="5"/>
      <c r="O172" s="3"/>
      <c r="P172" s="6"/>
      <c r="Q172" s="48">
        <f>IF(Учет!$O172=Справочники!$F$2,Учет!$H172,0)</f>
        <v>0</v>
      </c>
      <c r="R172" s="48">
        <f>IF(Учет!$O172=Справочники!$F$3,Учет!$H172,0)</f>
        <v>0</v>
      </c>
      <c r="S172" s="48">
        <f>IF(Учет!$O172=Справочники!$F$4,Учет!$H172,0)</f>
        <v>0</v>
      </c>
      <c r="T172" s="48">
        <f>IF(Учет!$O172=Справочники!$F$5,Учет!$H172,0)</f>
        <v>0</v>
      </c>
      <c r="U172" s="48">
        <f>IF(Учет!$O172=Справочники!$F$6,Учет!$H172,0)</f>
        <v>0</v>
      </c>
      <c r="V172" s="43">
        <f>V171+Учет!$B172-Q172</f>
        <v>-488978.92000000004</v>
      </c>
      <c r="W172" s="43">
        <f>W171+Учет!$C172-R172</f>
        <v>336855</v>
      </c>
      <c r="X172" s="43">
        <f>X171+Учет!$D172-S172</f>
        <v>500</v>
      </c>
      <c r="Y172" s="43">
        <f>Y171+Учет!$E172-T172</f>
        <v>1150</v>
      </c>
      <c r="Z172" s="43">
        <f>Z171+Учет!$F172-U172</f>
        <v>500000</v>
      </c>
      <c r="AA172" s="45">
        <f>Учет!$I172</f>
        <v>349526.07999999996</v>
      </c>
    </row>
    <row r="173" spans="1:27" ht="15" customHeight="1" x14ac:dyDescent="0.25">
      <c r="A173" s="1"/>
      <c r="B173" s="17"/>
      <c r="C173" s="17"/>
      <c r="D173" s="17"/>
      <c r="E173" s="17"/>
      <c r="F173" s="17"/>
      <c r="G173" s="4">
        <f t="shared" si="3"/>
        <v>0</v>
      </c>
      <c r="H173" s="17"/>
      <c r="I173" s="4">
        <f t="shared" si="5"/>
        <v>349526.07999999996</v>
      </c>
      <c r="J173" s="32" t="str">
        <f t="shared" si="4"/>
        <v/>
      </c>
      <c r="K173" s="72"/>
      <c r="L173" s="72"/>
      <c r="M173" s="2"/>
      <c r="N173" s="5"/>
      <c r="O173" s="3"/>
      <c r="P173" s="6"/>
      <c r="Q173" s="48">
        <f>IF(Учет!$O173=Справочники!$F$2,Учет!$H173,0)</f>
        <v>0</v>
      </c>
      <c r="R173" s="48">
        <f>IF(Учет!$O173=Справочники!$F$3,Учет!$H173,0)</f>
        <v>0</v>
      </c>
      <c r="S173" s="48">
        <f>IF(Учет!$O173=Справочники!$F$4,Учет!$H173,0)</f>
        <v>0</v>
      </c>
      <c r="T173" s="48">
        <f>IF(Учет!$O173=Справочники!$F$5,Учет!$H173,0)</f>
        <v>0</v>
      </c>
      <c r="U173" s="48">
        <f>IF(Учет!$O173=Справочники!$F$6,Учет!$H173,0)</f>
        <v>0</v>
      </c>
      <c r="V173" s="43">
        <f>V172+Учет!$B173-Q173</f>
        <v>-488978.92000000004</v>
      </c>
      <c r="W173" s="43">
        <f>W172+Учет!$C173-R173</f>
        <v>336855</v>
      </c>
      <c r="X173" s="43">
        <f>X172+Учет!$D173-S173</f>
        <v>500</v>
      </c>
      <c r="Y173" s="43">
        <f>Y172+Учет!$E173-T173</f>
        <v>1150</v>
      </c>
      <c r="Z173" s="43">
        <f>Z172+Учет!$F173-U173</f>
        <v>500000</v>
      </c>
      <c r="AA173" s="45">
        <f>Учет!$I173</f>
        <v>349526.07999999996</v>
      </c>
    </row>
    <row r="174" spans="1:27" ht="15" customHeight="1" x14ac:dyDescent="0.25">
      <c r="A174" s="1"/>
      <c r="B174" s="17"/>
      <c r="C174" s="17"/>
      <c r="D174" s="17"/>
      <c r="E174" s="17"/>
      <c r="F174" s="17"/>
      <c r="G174" s="4">
        <f t="shared" si="3"/>
        <v>0</v>
      </c>
      <c r="H174" s="17"/>
      <c r="I174" s="4">
        <f t="shared" si="5"/>
        <v>349526.07999999996</v>
      </c>
      <c r="J174" s="32" t="str">
        <f t="shared" si="4"/>
        <v/>
      </c>
      <c r="K174" s="72"/>
      <c r="L174" s="72"/>
      <c r="M174" s="2"/>
      <c r="N174" s="5"/>
      <c r="O174" s="3"/>
      <c r="P174" s="6"/>
      <c r="Q174" s="48">
        <f>IF(Учет!$O174=Справочники!$F$2,Учет!$H174,0)</f>
        <v>0</v>
      </c>
      <c r="R174" s="48">
        <f>IF(Учет!$O174=Справочники!$F$3,Учет!$H174,0)</f>
        <v>0</v>
      </c>
      <c r="S174" s="48">
        <f>IF(Учет!$O174=Справочники!$F$4,Учет!$H174,0)</f>
        <v>0</v>
      </c>
      <c r="T174" s="48">
        <f>IF(Учет!$O174=Справочники!$F$5,Учет!$H174,0)</f>
        <v>0</v>
      </c>
      <c r="U174" s="48">
        <f>IF(Учет!$O174=Справочники!$F$6,Учет!$H174,0)</f>
        <v>0</v>
      </c>
      <c r="V174" s="43">
        <f>V173+Учет!$B174-Q174</f>
        <v>-488978.92000000004</v>
      </c>
      <c r="W174" s="43">
        <f>W173+Учет!$C174-R174</f>
        <v>336855</v>
      </c>
      <c r="X174" s="43">
        <f>X173+Учет!$D174-S174</f>
        <v>500</v>
      </c>
      <c r="Y174" s="43">
        <f>Y173+Учет!$E174-T174</f>
        <v>1150</v>
      </c>
      <c r="Z174" s="43">
        <f>Z173+Учет!$F174-U174</f>
        <v>500000</v>
      </c>
      <c r="AA174" s="45">
        <f>Учет!$I174</f>
        <v>349526.07999999996</v>
      </c>
    </row>
    <row r="175" spans="1:27" ht="15" customHeight="1" x14ac:dyDescent="0.25">
      <c r="A175" s="1"/>
      <c r="B175" s="17"/>
      <c r="C175" s="17"/>
      <c r="D175" s="17"/>
      <c r="E175" s="17"/>
      <c r="F175" s="17"/>
      <c r="G175" s="4">
        <f t="shared" si="3"/>
        <v>0</v>
      </c>
      <c r="H175" s="17"/>
      <c r="I175" s="4">
        <f t="shared" si="5"/>
        <v>349526.07999999996</v>
      </c>
      <c r="J175" s="32" t="str">
        <f t="shared" si="4"/>
        <v/>
      </c>
      <c r="K175" s="72"/>
      <c r="L175" s="72"/>
      <c r="M175" s="2"/>
      <c r="N175" s="5"/>
      <c r="O175" s="3"/>
      <c r="P175" s="6"/>
      <c r="Q175" s="48">
        <f>IF(Учет!$O175=Справочники!$F$2,Учет!$H175,0)</f>
        <v>0</v>
      </c>
      <c r="R175" s="48">
        <f>IF(Учет!$O175=Справочники!$F$3,Учет!$H175,0)</f>
        <v>0</v>
      </c>
      <c r="S175" s="48">
        <f>IF(Учет!$O175=Справочники!$F$4,Учет!$H175,0)</f>
        <v>0</v>
      </c>
      <c r="T175" s="48">
        <f>IF(Учет!$O175=Справочники!$F$5,Учет!$H175,0)</f>
        <v>0</v>
      </c>
      <c r="U175" s="48">
        <f>IF(Учет!$O175=Справочники!$F$6,Учет!$H175,0)</f>
        <v>0</v>
      </c>
      <c r="V175" s="43">
        <f>V174+Учет!$B175-Q175</f>
        <v>-488978.92000000004</v>
      </c>
      <c r="W175" s="43">
        <f>W174+Учет!$C175-R175</f>
        <v>336855</v>
      </c>
      <c r="X175" s="43">
        <f>X174+Учет!$D175-S175</f>
        <v>500</v>
      </c>
      <c r="Y175" s="43">
        <f>Y174+Учет!$E175-T175</f>
        <v>1150</v>
      </c>
      <c r="Z175" s="43">
        <f>Z174+Учет!$F175-U175</f>
        <v>500000</v>
      </c>
      <c r="AA175" s="45">
        <f>Учет!$I175</f>
        <v>349526.07999999996</v>
      </c>
    </row>
    <row r="176" spans="1:27" ht="15" customHeight="1" x14ac:dyDescent="0.25">
      <c r="A176" s="1"/>
      <c r="B176" s="17"/>
      <c r="C176" s="17"/>
      <c r="D176" s="17"/>
      <c r="E176" s="17"/>
      <c r="F176" s="17"/>
      <c r="G176" s="4">
        <f t="shared" si="3"/>
        <v>0</v>
      </c>
      <c r="H176" s="17"/>
      <c r="I176" s="4">
        <f t="shared" si="5"/>
        <v>349526.07999999996</v>
      </c>
      <c r="J176" s="32" t="str">
        <f t="shared" si="4"/>
        <v/>
      </c>
      <c r="K176" s="72"/>
      <c r="L176" s="72"/>
      <c r="M176" s="2"/>
      <c r="N176" s="5"/>
      <c r="O176" s="3"/>
      <c r="P176" s="6"/>
      <c r="Q176" s="48">
        <f>IF(Учет!$O176=Справочники!$F$2,Учет!$H176,0)</f>
        <v>0</v>
      </c>
      <c r="R176" s="48">
        <f>IF(Учет!$O176=Справочники!$F$3,Учет!$H176,0)</f>
        <v>0</v>
      </c>
      <c r="S176" s="48">
        <f>IF(Учет!$O176=Справочники!$F$4,Учет!$H176,0)</f>
        <v>0</v>
      </c>
      <c r="T176" s="48">
        <f>IF(Учет!$O176=Справочники!$F$5,Учет!$H176,0)</f>
        <v>0</v>
      </c>
      <c r="U176" s="48">
        <f>IF(Учет!$O176=Справочники!$F$6,Учет!$H176,0)</f>
        <v>0</v>
      </c>
      <c r="V176" s="43">
        <f>V175+Учет!$B176-Q176</f>
        <v>-488978.92000000004</v>
      </c>
      <c r="W176" s="43">
        <f>W175+Учет!$C176-R176</f>
        <v>336855</v>
      </c>
      <c r="X176" s="43">
        <f>X175+Учет!$D176-S176</f>
        <v>500</v>
      </c>
      <c r="Y176" s="43">
        <f>Y175+Учет!$E176-T176</f>
        <v>1150</v>
      </c>
      <c r="Z176" s="43">
        <f>Z175+Учет!$F176-U176</f>
        <v>500000</v>
      </c>
      <c r="AA176" s="45">
        <f>Учет!$I176</f>
        <v>349526.07999999996</v>
      </c>
    </row>
    <row r="177" spans="1:27" ht="15" customHeight="1" x14ac:dyDescent="0.25">
      <c r="A177" s="1"/>
      <c r="B177" s="17"/>
      <c r="C177" s="17"/>
      <c r="D177" s="17"/>
      <c r="E177" s="17"/>
      <c r="F177" s="17"/>
      <c r="G177" s="4">
        <f t="shared" si="3"/>
        <v>0</v>
      </c>
      <c r="H177" s="17"/>
      <c r="I177" s="4">
        <f t="shared" si="5"/>
        <v>349526.07999999996</v>
      </c>
      <c r="J177" s="32" t="str">
        <f t="shared" si="4"/>
        <v/>
      </c>
      <c r="K177" s="72"/>
      <c r="L177" s="72"/>
      <c r="M177" s="2"/>
      <c r="N177" s="5"/>
      <c r="O177" s="3"/>
      <c r="P177" s="6"/>
      <c r="Q177" s="48">
        <f>IF(Учет!$O177=Справочники!$F$2,Учет!$H177,0)</f>
        <v>0</v>
      </c>
      <c r="R177" s="48">
        <f>IF(Учет!$O177=Справочники!$F$3,Учет!$H177,0)</f>
        <v>0</v>
      </c>
      <c r="S177" s="48">
        <f>IF(Учет!$O177=Справочники!$F$4,Учет!$H177,0)</f>
        <v>0</v>
      </c>
      <c r="T177" s="48">
        <f>IF(Учет!$O177=Справочники!$F$5,Учет!$H177,0)</f>
        <v>0</v>
      </c>
      <c r="U177" s="48">
        <f>IF(Учет!$O177=Справочники!$F$6,Учет!$H177,0)</f>
        <v>0</v>
      </c>
      <c r="V177" s="43">
        <f>V176+Учет!$B177-Q177</f>
        <v>-488978.92000000004</v>
      </c>
      <c r="W177" s="43">
        <f>W176+Учет!$C177-R177</f>
        <v>336855</v>
      </c>
      <c r="X177" s="43">
        <f>X176+Учет!$D177-S177</f>
        <v>500</v>
      </c>
      <c r="Y177" s="43">
        <f>Y176+Учет!$E177-T177</f>
        <v>1150</v>
      </c>
      <c r="Z177" s="43">
        <f>Z176+Учет!$F177-U177</f>
        <v>500000</v>
      </c>
      <c r="AA177" s="45">
        <f>Учет!$I177</f>
        <v>349526.07999999996</v>
      </c>
    </row>
    <row r="178" spans="1:27" ht="15" customHeight="1" x14ac:dyDescent="0.25">
      <c r="A178" s="1"/>
      <c r="B178" s="17"/>
      <c r="C178" s="17"/>
      <c r="D178" s="17"/>
      <c r="E178" s="17"/>
      <c r="F178" s="17"/>
      <c r="G178" s="4">
        <f t="shared" si="3"/>
        <v>0</v>
      </c>
      <c r="H178" s="17"/>
      <c r="I178" s="4">
        <f t="shared" si="5"/>
        <v>349526.07999999996</v>
      </c>
      <c r="J178" s="32" t="str">
        <f t="shared" si="4"/>
        <v/>
      </c>
      <c r="K178" s="72"/>
      <c r="L178" s="72"/>
      <c r="M178" s="2"/>
      <c r="N178" s="5"/>
      <c r="O178" s="3"/>
      <c r="P178" s="6"/>
      <c r="Q178" s="48">
        <f>IF(Учет!$O178=Справочники!$F$2,Учет!$H178,0)</f>
        <v>0</v>
      </c>
      <c r="R178" s="48">
        <f>IF(Учет!$O178=Справочники!$F$3,Учет!$H178,0)</f>
        <v>0</v>
      </c>
      <c r="S178" s="48">
        <f>IF(Учет!$O178=Справочники!$F$4,Учет!$H178,0)</f>
        <v>0</v>
      </c>
      <c r="T178" s="48">
        <f>IF(Учет!$O178=Справочники!$F$5,Учет!$H178,0)</f>
        <v>0</v>
      </c>
      <c r="U178" s="48">
        <f>IF(Учет!$O178=Справочники!$F$6,Учет!$H178,0)</f>
        <v>0</v>
      </c>
      <c r="V178" s="43">
        <f>V177+Учет!$B178-Q178</f>
        <v>-488978.92000000004</v>
      </c>
      <c r="W178" s="43">
        <f>W177+Учет!$C178-R178</f>
        <v>336855</v>
      </c>
      <c r="X178" s="43">
        <f>X177+Учет!$D178-S178</f>
        <v>500</v>
      </c>
      <c r="Y178" s="43">
        <f>Y177+Учет!$E178-T178</f>
        <v>1150</v>
      </c>
      <c r="Z178" s="43">
        <f>Z177+Учет!$F178-U178</f>
        <v>500000</v>
      </c>
      <c r="AA178" s="45">
        <f>Учет!$I178</f>
        <v>349526.07999999996</v>
      </c>
    </row>
    <row r="179" spans="1:27" ht="15" customHeight="1" x14ac:dyDescent="0.25">
      <c r="A179" s="1"/>
      <c r="B179" s="17"/>
      <c r="C179" s="17"/>
      <c r="D179" s="17"/>
      <c r="E179" s="17"/>
      <c r="F179" s="17"/>
      <c r="G179" s="4">
        <f t="shared" si="3"/>
        <v>0</v>
      </c>
      <c r="H179" s="17"/>
      <c r="I179" s="4">
        <f t="shared" si="5"/>
        <v>349526.07999999996</v>
      </c>
      <c r="J179" s="32" t="str">
        <f t="shared" si="4"/>
        <v/>
      </c>
      <c r="K179" s="72"/>
      <c r="L179" s="72"/>
      <c r="M179" s="2"/>
      <c r="N179" s="5"/>
      <c r="O179" s="3"/>
      <c r="P179" s="6"/>
      <c r="Q179" s="48">
        <f>IF(Учет!$O179=Справочники!$F$2,Учет!$H179,0)</f>
        <v>0</v>
      </c>
      <c r="R179" s="48">
        <f>IF(Учет!$O179=Справочники!$F$3,Учет!$H179,0)</f>
        <v>0</v>
      </c>
      <c r="S179" s="48">
        <f>IF(Учет!$O179=Справочники!$F$4,Учет!$H179,0)</f>
        <v>0</v>
      </c>
      <c r="T179" s="48">
        <f>IF(Учет!$O179=Справочники!$F$5,Учет!$H179,0)</f>
        <v>0</v>
      </c>
      <c r="U179" s="48">
        <f>IF(Учет!$O179=Справочники!$F$6,Учет!$H179,0)</f>
        <v>0</v>
      </c>
      <c r="V179" s="43">
        <f>V178+Учет!$B179-Q179</f>
        <v>-488978.92000000004</v>
      </c>
      <c r="W179" s="43">
        <f>W178+Учет!$C179-R179</f>
        <v>336855</v>
      </c>
      <c r="X179" s="43">
        <f>X178+Учет!$D179-S179</f>
        <v>500</v>
      </c>
      <c r="Y179" s="43">
        <f>Y178+Учет!$E179-T179</f>
        <v>1150</v>
      </c>
      <c r="Z179" s="43">
        <f>Z178+Учет!$F179-U179</f>
        <v>500000</v>
      </c>
      <c r="AA179" s="45">
        <f>Учет!$I179</f>
        <v>349526.07999999996</v>
      </c>
    </row>
    <row r="180" spans="1:27" ht="15" customHeight="1" x14ac:dyDescent="0.25">
      <c r="A180" s="1"/>
      <c r="B180" s="17"/>
      <c r="C180" s="17"/>
      <c r="D180" s="17"/>
      <c r="E180" s="17"/>
      <c r="F180" s="17"/>
      <c r="G180" s="4">
        <f t="shared" si="3"/>
        <v>0</v>
      </c>
      <c r="H180" s="17"/>
      <c r="I180" s="4">
        <f t="shared" si="5"/>
        <v>349526.07999999996</v>
      </c>
      <c r="J180" s="32" t="str">
        <f t="shared" si="4"/>
        <v/>
      </c>
      <c r="K180" s="72"/>
      <c r="L180" s="72"/>
      <c r="M180" s="2"/>
      <c r="N180" s="5"/>
      <c r="O180" s="3"/>
      <c r="P180" s="6"/>
      <c r="Q180" s="48">
        <f>IF(Учет!$O180=Справочники!$F$2,Учет!$H180,0)</f>
        <v>0</v>
      </c>
      <c r="R180" s="48">
        <f>IF(Учет!$O180=Справочники!$F$3,Учет!$H180,0)</f>
        <v>0</v>
      </c>
      <c r="S180" s="48">
        <f>IF(Учет!$O180=Справочники!$F$4,Учет!$H180,0)</f>
        <v>0</v>
      </c>
      <c r="T180" s="48">
        <f>IF(Учет!$O180=Справочники!$F$5,Учет!$H180,0)</f>
        <v>0</v>
      </c>
      <c r="U180" s="48">
        <f>IF(Учет!$O180=Справочники!$F$6,Учет!$H180,0)</f>
        <v>0</v>
      </c>
      <c r="V180" s="43">
        <f>V179+Учет!$B180-Q180</f>
        <v>-488978.92000000004</v>
      </c>
      <c r="W180" s="43">
        <f>W179+Учет!$C180-R180</f>
        <v>336855</v>
      </c>
      <c r="X180" s="43">
        <f>X179+Учет!$D180-S180</f>
        <v>500</v>
      </c>
      <c r="Y180" s="43">
        <f>Y179+Учет!$E180-T180</f>
        <v>1150</v>
      </c>
      <c r="Z180" s="43">
        <f>Z179+Учет!$F180-U180</f>
        <v>500000</v>
      </c>
      <c r="AA180" s="45">
        <f>Учет!$I180</f>
        <v>349526.07999999996</v>
      </c>
    </row>
    <row r="181" spans="1:27" ht="15" customHeight="1" x14ac:dyDescent="0.25">
      <c r="A181" s="1"/>
      <c r="B181" s="17"/>
      <c r="C181" s="17"/>
      <c r="D181" s="17"/>
      <c r="E181" s="17"/>
      <c r="F181" s="17"/>
      <c r="G181" s="4">
        <f t="shared" si="3"/>
        <v>0</v>
      </c>
      <c r="H181" s="17"/>
      <c r="I181" s="4">
        <f t="shared" si="5"/>
        <v>349526.07999999996</v>
      </c>
      <c r="J181" s="32" t="str">
        <f t="shared" si="4"/>
        <v/>
      </c>
      <c r="K181" s="72"/>
      <c r="L181" s="72"/>
      <c r="M181" s="2"/>
      <c r="N181" s="5"/>
      <c r="O181" s="3"/>
      <c r="P181" s="6"/>
      <c r="Q181" s="48">
        <f>IF(Учет!$O181=Справочники!$F$2,Учет!$H181,0)</f>
        <v>0</v>
      </c>
      <c r="R181" s="48">
        <f>IF(Учет!$O181=Справочники!$F$3,Учет!$H181,0)</f>
        <v>0</v>
      </c>
      <c r="S181" s="48">
        <f>IF(Учет!$O181=Справочники!$F$4,Учет!$H181,0)</f>
        <v>0</v>
      </c>
      <c r="T181" s="48">
        <f>IF(Учет!$O181=Справочники!$F$5,Учет!$H181,0)</f>
        <v>0</v>
      </c>
      <c r="U181" s="48">
        <f>IF(Учет!$O181=Справочники!$F$6,Учет!$H181,0)</f>
        <v>0</v>
      </c>
      <c r="V181" s="43">
        <f>V180+Учет!$B181-Q181</f>
        <v>-488978.92000000004</v>
      </c>
      <c r="W181" s="43">
        <f>W180+Учет!$C181-R181</f>
        <v>336855</v>
      </c>
      <c r="X181" s="43">
        <f>X180+Учет!$D181-S181</f>
        <v>500</v>
      </c>
      <c r="Y181" s="43">
        <f>Y180+Учет!$E181-T181</f>
        <v>1150</v>
      </c>
      <c r="Z181" s="43">
        <f>Z180+Учет!$F181-U181</f>
        <v>500000</v>
      </c>
      <c r="AA181" s="45">
        <f>Учет!$I181</f>
        <v>349526.07999999996</v>
      </c>
    </row>
    <row r="182" spans="1:27" ht="15" customHeight="1" x14ac:dyDescent="0.25">
      <c r="A182" s="1"/>
      <c r="B182" s="17"/>
      <c r="C182" s="17"/>
      <c r="D182" s="17"/>
      <c r="E182" s="17"/>
      <c r="F182" s="17"/>
      <c r="G182" s="4">
        <f t="shared" si="3"/>
        <v>0</v>
      </c>
      <c r="H182" s="17"/>
      <c r="I182" s="4">
        <f t="shared" si="5"/>
        <v>349526.07999999996</v>
      </c>
      <c r="J182" s="32" t="str">
        <f t="shared" si="4"/>
        <v/>
      </c>
      <c r="K182" s="72"/>
      <c r="L182" s="72"/>
      <c r="M182" s="2"/>
      <c r="N182" s="5"/>
      <c r="O182" s="3"/>
      <c r="P182" s="6"/>
      <c r="Q182" s="48">
        <f>IF(Учет!$O182=Справочники!$F$2,Учет!$H182,0)</f>
        <v>0</v>
      </c>
      <c r="R182" s="48">
        <f>IF(Учет!$O182=Справочники!$F$3,Учет!$H182,0)</f>
        <v>0</v>
      </c>
      <c r="S182" s="48">
        <f>IF(Учет!$O182=Справочники!$F$4,Учет!$H182,0)</f>
        <v>0</v>
      </c>
      <c r="T182" s="48">
        <f>IF(Учет!$O182=Справочники!$F$5,Учет!$H182,0)</f>
        <v>0</v>
      </c>
      <c r="U182" s="48">
        <f>IF(Учет!$O182=Справочники!$F$6,Учет!$H182,0)</f>
        <v>0</v>
      </c>
      <c r="V182" s="43">
        <f>V181+Учет!$B182-Q182</f>
        <v>-488978.92000000004</v>
      </c>
      <c r="W182" s="43">
        <f>W181+Учет!$C182-R182</f>
        <v>336855</v>
      </c>
      <c r="X182" s="43">
        <f>X181+Учет!$D182-S182</f>
        <v>500</v>
      </c>
      <c r="Y182" s="43">
        <f>Y181+Учет!$E182-T182</f>
        <v>1150</v>
      </c>
      <c r="Z182" s="43">
        <f>Z181+Учет!$F182-U182</f>
        <v>500000</v>
      </c>
      <c r="AA182" s="45">
        <f>Учет!$I182</f>
        <v>349526.07999999996</v>
      </c>
    </row>
    <row r="183" spans="1:27" ht="15" customHeight="1" x14ac:dyDescent="0.25">
      <c r="A183" s="1"/>
      <c r="B183" s="17"/>
      <c r="C183" s="17"/>
      <c r="D183" s="17"/>
      <c r="E183" s="17"/>
      <c r="F183" s="17"/>
      <c r="G183" s="4">
        <f t="shared" si="3"/>
        <v>0</v>
      </c>
      <c r="H183" s="17"/>
      <c r="I183" s="4">
        <f t="shared" si="5"/>
        <v>349526.07999999996</v>
      </c>
      <c r="J183" s="32" t="str">
        <f t="shared" si="4"/>
        <v/>
      </c>
      <c r="K183" s="72"/>
      <c r="L183" s="72"/>
      <c r="M183" s="2"/>
      <c r="N183" s="5"/>
      <c r="O183" s="3"/>
      <c r="P183" s="6"/>
      <c r="Q183" s="48">
        <f>IF(Учет!$O183=Справочники!$F$2,Учет!$H183,0)</f>
        <v>0</v>
      </c>
      <c r="R183" s="48">
        <f>IF(Учет!$O183=Справочники!$F$3,Учет!$H183,0)</f>
        <v>0</v>
      </c>
      <c r="S183" s="48">
        <f>IF(Учет!$O183=Справочники!$F$4,Учет!$H183,0)</f>
        <v>0</v>
      </c>
      <c r="T183" s="48">
        <f>IF(Учет!$O183=Справочники!$F$5,Учет!$H183,0)</f>
        <v>0</v>
      </c>
      <c r="U183" s="48">
        <f>IF(Учет!$O183=Справочники!$F$6,Учет!$H183,0)</f>
        <v>0</v>
      </c>
      <c r="V183" s="43">
        <f>V182+Учет!$B183-Q183</f>
        <v>-488978.92000000004</v>
      </c>
      <c r="W183" s="43">
        <f>W182+Учет!$C183-R183</f>
        <v>336855</v>
      </c>
      <c r="X183" s="43">
        <f>X182+Учет!$D183-S183</f>
        <v>500</v>
      </c>
      <c r="Y183" s="43">
        <f>Y182+Учет!$E183-T183</f>
        <v>1150</v>
      </c>
      <c r="Z183" s="43">
        <f>Z182+Учет!$F183-U183</f>
        <v>500000</v>
      </c>
      <c r="AA183" s="45">
        <f>Учет!$I183</f>
        <v>349526.07999999996</v>
      </c>
    </row>
    <row r="184" spans="1:27" ht="15" customHeight="1" x14ac:dyDescent="0.25">
      <c r="A184" s="1"/>
      <c r="B184" s="17"/>
      <c r="C184" s="17"/>
      <c r="D184" s="17"/>
      <c r="E184" s="17"/>
      <c r="F184" s="17"/>
      <c r="G184" s="4">
        <f t="shared" si="3"/>
        <v>0</v>
      </c>
      <c r="H184" s="17"/>
      <c r="I184" s="4">
        <f t="shared" si="5"/>
        <v>349526.07999999996</v>
      </c>
      <c r="J184" s="32" t="str">
        <f t="shared" si="4"/>
        <v/>
      </c>
      <c r="K184" s="72"/>
      <c r="L184" s="72"/>
      <c r="M184" s="2"/>
      <c r="N184" s="5"/>
      <c r="O184" s="3"/>
      <c r="P184" s="6"/>
      <c r="Q184" s="48">
        <f>IF(Учет!$O184=Справочники!$F$2,Учет!$H184,0)</f>
        <v>0</v>
      </c>
      <c r="R184" s="48">
        <f>IF(Учет!$O184=Справочники!$F$3,Учет!$H184,0)</f>
        <v>0</v>
      </c>
      <c r="S184" s="48">
        <f>IF(Учет!$O184=Справочники!$F$4,Учет!$H184,0)</f>
        <v>0</v>
      </c>
      <c r="T184" s="48">
        <f>IF(Учет!$O184=Справочники!$F$5,Учет!$H184,0)</f>
        <v>0</v>
      </c>
      <c r="U184" s="48">
        <f>IF(Учет!$O184=Справочники!$F$6,Учет!$H184,0)</f>
        <v>0</v>
      </c>
      <c r="V184" s="43">
        <f>V183+Учет!$B184-Q184</f>
        <v>-488978.92000000004</v>
      </c>
      <c r="W184" s="43">
        <f>W183+Учет!$C184-R184</f>
        <v>336855</v>
      </c>
      <c r="X184" s="43">
        <f>X183+Учет!$D184-S184</f>
        <v>500</v>
      </c>
      <c r="Y184" s="43">
        <f>Y183+Учет!$E184-T184</f>
        <v>1150</v>
      </c>
      <c r="Z184" s="43">
        <f>Z183+Учет!$F184-U184</f>
        <v>500000</v>
      </c>
      <c r="AA184" s="45">
        <f>Учет!$I184</f>
        <v>349526.07999999996</v>
      </c>
    </row>
    <row r="185" spans="1:27" ht="15" customHeight="1" x14ac:dyDescent="0.25">
      <c r="A185" s="1"/>
      <c r="B185" s="17"/>
      <c r="C185" s="17"/>
      <c r="D185" s="17"/>
      <c r="E185" s="17"/>
      <c r="F185" s="17"/>
      <c r="G185" s="4">
        <f t="shared" si="3"/>
        <v>0</v>
      </c>
      <c r="H185" s="17"/>
      <c r="I185" s="4">
        <f t="shared" si="5"/>
        <v>349526.07999999996</v>
      </c>
      <c r="J185" s="32" t="str">
        <f t="shared" si="4"/>
        <v/>
      </c>
      <c r="K185" s="72"/>
      <c r="L185" s="72"/>
      <c r="M185" s="2"/>
      <c r="N185" s="5"/>
      <c r="O185" s="3"/>
      <c r="P185" s="6"/>
      <c r="Q185" s="48">
        <f>IF(Учет!$O185=Справочники!$F$2,Учет!$H185,0)</f>
        <v>0</v>
      </c>
      <c r="R185" s="48">
        <f>IF(Учет!$O185=Справочники!$F$3,Учет!$H185,0)</f>
        <v>0</v>
      </c>
      <c r="S185" s="48">
        <f>IF(Учет!$O185=Справочники!$F$4,Учет!$H185,0)</f>
        <v>0</v>
      </c>
      <c r="T185" s="48">
        <f>IF(Учет!$O185=Справочники!$F$5,Учет!$H185,0)</f>
        <v>0</v>
      </c>
      <c r="U185" s="48">
        <f>IF(Учет!$O185=Справочники!$F$6,Учет!$H185,0)</f>
        <v>0</v>
      </c>
      <c r="V185" s="43">
        <f>V184+Учет!$B185-Q185</f>
        <v>-488978.92000000004</v>
      </c>
      <c r="W185" s="43">
        <f>W184+Учет!$C185-R185</f>
        <v>336855</v>
      </c>
      <c r="X185" s="43">
        <f>X184+Учет!$D185-S185</f>
        <v>500</v>
      </c>
      <c r="Y185" s="43">
        <f>Y184+Учет!$E185-T185</f>
        <v>1150</v>
      </c>
      <c r="Z185" s="43">
        <f>Z184+Учет!$F185-U185</f>
        <v>500000</v>
      </c>
      <c r="AA185" s="45">
        <f>Учет!$I185</f>
        <v>349526.07999999996</v>
      </c>
    </row>
    <row r="186" spans="1:27" ht="15" customHeight="1" x14ac:dyDescent="0.25">
      <c r="A186" s="1"/>
      <c r="B186" s="17"/>
      <c r="C186" s="17"/>
      <c r="D186" s="17"/>
      <c r="E186" s="17"/>
      <c r="F186" s="17"/>
      <c r="G186" s="4">
        <f t="shared" si="3"/>
        <v>0</v>
      </c>
      <c r="H186" s="17"/>
      <c r="I186" s="4">
        <f t="shared" si="5"/>
        <v>349526.07999999996</v>
      </c>
      <c r="J186" s="32" t="str">
        <f t="shared" si="4"/>
        <v/>
      </c>
      <c r="K186" s="72"/>
      <c r="L186" s="72"/>
      <c r="M186" s="2"/>
      <c r="N186" s="5"/>
      <c r="O186" s="3"/>
      <c r="P186" s="6"/>
      <c r="Q186" s="48">
        <f>IF(Учет!$O186=Справочники!$F$2,Учет!$H186,0)</f>
        <v>0</v>
      </c>
      <c r="R186" s="48">
        <f>IF(Учет!$O186=Справочники!$F$3,Учет!$H186,0)</f>
        <v>0</v>
      </c>
      <c r="S186" s="48">
        <f>IF(Учет!$O186=Справочники!$F$4,Учет!$H186,0)</f>
        <v>0</v>
      </c>
      <c r="T186" s="48">
        <f>IF(Учет!$O186=Справочники!$F$5,Учет!$H186,0)</f>
        <v>0</v>
      </c>
      <c r="U186" s="48">
        <f>IF(Учет!$O186=Справочники!$F$6,Учет!$H186,0)</f>
        <v>0</v>
      </c>
      <c r="V186" s="43">
        <f>V185+Учет!$B186-Q186</f>
        <v>-488978.92000000004</v>
      </c>
      <c r="W186" s="43">
        <f>W185+Учет!$C186-R186</f>
        <v>336855</v>
      </c>
      <c r="X186" s="43">
        <f>X185+Учет!$D186-S186</f>
        <v>500</v>
      </c>
      <c r="Y186" s="43">
        <f>Y185+Учет!$E186-T186</f>
        <v>1150</v>
      </c>
      <c r="Z186" s="43">
        <f>Z185+Учет!$F186-U186</f>
        <v>500000</v>
      </c>
      <c r="AA186" s="45">
        <f>Учет!$I186</f>
        <v>349526.07999999996</v>
      </c>
    </row>
    <row r="187" spans="1:27" ht="15" customHeight="1" x14ac:dyDescent="0.25">
      <c r="A187" s="1"/>
      <c r="B187" s="17"/>
      <c r="C187" s="17"/>
      <c r="D187" s="17"/>
      <c r="E187" s="17"/>
      <c r="F187" s="17"/>
      <c r="G187" s="4">
        <f t="shared" si="3"/>
        <v>0</v>
      </c>
      <c r="H187" s="17"/>
      <c r="I187" s="4">
        <f t="shared" si="5"/>
        <v>349526.07999999996</v>
      </c>
      <c r="J187" s="32" t="str">
        <f t="shared" si="4"/>
        <v/>
      </c>
      <c r="K187" s="72"/>
      <c r="L187" s="72"/>
      <c r="M187" s="2"/>
      <c r="N187" s="5"/>
      <c r="O187" s="3"/>
      <c r="P187" s="6"/>
      <c r="Q187" s="48">
        <f>IF(Учет!$O187=Справочники!$F$2,Учет!$H187,0)</f>
        <v>0</v>
      </c>
      <c r="R187" s="48">
        <f>IF(Учет!$O187=Справочники!$F$3,Учет!$H187,0)</f>
        <v>0</v>
      </c>
      <c r="S187" s="48">
        <f>IF(Учет!$O187=Справочники!$F$4,Учет!$H187,0)</f>
        <v>0</v>
      </c>
      <c r="T187" s="48">
        <f>IF(Учет!$O187=Справочники!$F$5,Учет!$H187,0)</f>
        <v>0</v>
      </c>
      <c r="U187" s="48">
        <f>IF(Учет!$O187=Справочники!$F$6,Учет!$H187,0)</f>
        <v>0</v>
      </c>
      <c r="V187" s="43">
        <f>V186+Учет!$B187-Q187</f>
        <v>-488978.92000000004</v>
      </c>
      <c r="W187" s="43">
        <f>W186+Учет!$C187-R187</f>
        <v>336855</v>
      </c>
      <c r="X187" s="43">
        <f>X186+Учет!$D187-S187</f>
        <v>500</v>
      </c>
      <c r="Y187" s="43">
        <f>Y186+Учет!$E187-T187</f>
        <v>1150</v>
      </c>
      <c r="Z187" s="43">
        <f>Z186+Учет!$F187-U187</f>
        <v>500000</v>
      </c>
      <c r="AA187" s="45">
        <f>Учет!$I187</f>
        <v>349526.07999999996</v>
      </c>
    </row>
    <row r="188" spans="1:27" ht="15" customHeight="1" x14ac:dyDescent="0.25">
      <c r="A188" s="1"/>
      <c r="B188" s="17"/>
      <c r="C188" s="17"/>
      <c r="D188" s="17"/>
      <c r="E188" s="17"/>
      <c r="F188" s="17"/>
      <c r="G188" s="4">
        <f t="shared" si="3"/>
        <v>0</v>
      </c>
      <c r="H188" s="17"/>
      <c r="I188" s="4">
        <f t="shared" si="5"/>
        <v>349526.07999999996</v>
      </c>
      <c r="J188" s="32" t="str">
        <f t="shared" si="4"/>
        <v/>
      </c>
      <c r="K188" s="72"/>
      <c r="L188" s="72"/>
      <c r="M188" s="2"/>
      <c r="N188" s="5"/>
      <c r="O188" s="3"/>
      <c r="P188" s="6"/>
      <c r="Q188" s="48">
        <f>IF(Учет!$O188=Справочники!$F$2,Учет!$H188,0)</f>
        <v>0</v>
      </c>
      <c r="R188" s="48">
        <f>IF(Учет!$O188=Справочники!$F$3,Учет!$H188,0)</f>
        <v>0</v>
      </c>
      <c r="S188" s="48">
        <f>IF(Учет!$O188=Справочники!$F$4,Учет!$H188,0)</f>
        <v>0</v>
      </c>
      <c r="T188" s="48">
        <f>IF(Учет!$O188=Справочники!$F$5,Учет!$H188,0)</f>
        <v>0</v>
      </c>
      <c r="U188" s="48">
        <f>IF(Учет!$O188=Справочники!$F$6,Учет!$H188,0)</f>
        <v>0</v>
      </c>
      <c r="V188" s="43">
        <f>V187+Учет!$B188-Q188</f>
        <v>-488978.92000000004</v>
      </c>
      <c r="W188" s="43">
        <f>W187+Учет!$C188-R188</f>
        <v>336855</v>
      </c>
      <c r="X188" s="43">
        <f>X187+Учет!$D188-S188</f>
        <v>500</v>
      </c>
      <c r="Y188" s="43">
        <f>Y187+Учет!$E188-T188</f>
        <v>1150</v>
      </c>
      <c r="Z188" s="43">
        <f>Z187+Учет!$F188-U188</f>
        <v>500000</v>
      </c>
      <c r="AA188" s="45">
        <f>Учет!$I188</f>
        <v>349526.07999999996</v>
      </c>
    </row>
    <row r="189" spans="1:27" ht="15" customHeight="1" x14ac:dyDescent="0.25">
      <c r="A189" s="1"/>
      <c r="B189" s="17"/>
      <c r="C189" s="17"/>
      <c r="D189" s="17"/>
      <c r="E189" s="17"/>
      <c r="F189" s="17"/>
      <c r="G189" s="4">
        <f t="shared" si="3"/>
        <v>0</v>
      </c>
      <c r="H189" s="17"/>
      <c r="I189" s="4">
        <f t="shared" si="5"/>
        <v>349526.07999999996</v>
      </c>
      <c r="J189" s="32" t="str">
        <f t="shared" si="4"/>
        <v/>
      </c>
      <c r="K189" s="72"/>
      <c r="L189" s="72"/>
      <c r="M189" s="2"/>
      <c r="N189" s="5"/>
      <c r="O189" s="3"/>
      <c r="P189" s="6"/>
      <c r="Q189" s="48">
        <f>IF(Учет!$O189=Справочники!$F$2,Учет!$H189,0)</f>
        <v>0</v>
      </c>
      <c r="R189" s="48">
        <f>IF(Учет!$O189=Справочники!$F$3,Учет!$H189,0)</f>
        <v>0</v>
      </c>
      <c r="S189" s="48">
        <f>IF(Учет!$O189=Справочники!$F$4,Учет!$H189,0)</f>
        <v>0</v>
      </c>
      <c r="T189" s="48">
        <f>IF(Учет!$O189=Справочники!$F$5,Учет!$H189,0)</f>
        <v>0</v>
      </c>
      <c r="U189" s="48">
        <f>IF(Учет!$O189=Справочники!$F$6,Учет!$H189,0)</f>
        <v>0</v>
      </c>
      <c r="V189" s="43">
        <f>V188+Учет!$B189-Q189</f>
        <v>-488978.92000000004</v>
      </c>
      <c r="W189" s="43">
        <f>W188+Учет!$C189-R189</f>
        <v>336855</v>
      </c>
      <c r="X189" s="43">
        <f>X188+Учет!$D189-S189</f>
        <v>500</v>
      </c>
      <c r="Y189" s="43">
        <f>Y188+Учет!$E189-T189</f>
        <v>1150</v>
      </c>
      <c r="Z189" s="43">
        <f>Z188+Учет!$F189-U189</f>
        <v>500000</v>
      </c>
      <c r="AA189" s="45">
        <f>Учет!$I189</f>
        <v>349526.07999999996</v>
      </c>
    </row>
    <row r="190" spans="1:27" ht="15" customHeight="1" x14ac:dyDescent="0.25">
      <c r="A190" s="1"/>
      <c r="B190" s="17"/>
      <c r="C190" s="17"/>
      <c r="D190" s="17"/>
      <c r="E190" s="17"/>
      <c r="F190" s="17"/>
      <c r="G190" s="4">
        <f t="shared" si="3"/>
        <v>0</v>
      </c>
      <c r="H190" s="17"/>
      <c r="I190" s="4">
        <f t="shared" si="5"/>
        <v>349526.07999999996</v>
      </c>
      <c r="J190" s="32" t="str">
        <f t="shared" si="4"/>
        <v/>
      </c>
      <c r="K190" s="72"/>
      <c r="L190" s="72"/>
      <c r="M190" s="2"/>
      <c r="N190" s="5"/>
      <c r="O190" s="3"/>
      <c r="P190" s="6"/>
      <c r="Q190" s="48">
        <f>IF(Учет!$O190=Справочники!$F$2,Учет!$H190,0)</f>
        <v>0</v>
      </c>
      <c r="R190" s="48">
        <f>IF(Учет!$O190=Справочники!$F$3,Учет!$H190,0)</f>
        <v>0</v>
      </c>
      <c r="S190" s="48">
        <f>IF(Учет!$O190=Справочники!$F$4,Учет!$H190,0)</f>
        <v>0</v>
      </c>
      <c r="T190" s="48">
        <f>IF(Учет!$O190=Справочники!$F$5,Учет!$H190,0)</f>
        <v>0</v>
      </c>
      <c r="U190" s="48">
        <f>IF(Учет!$O190=Справочники!$F$6,Учет!$H190,0)</f>
        <v>0</v>
      </c>
      <c r="V190" s="43">
        <f>V189+Учет!$B190-Q190</f>
        <v>-488978.92000000004</v>
      </c>
      <c r="W190" s="43">
        <f>W189+Учет!$C190-R190</f>
        <v>336855</v>
      </c>
      <c r="X190" s="43">
        <f>X189+Учет!$D190-S190</f>
        <v>500</v>
      </c>
      <c r="Y190" s="43">
        <f>Y189+Учет!$E190-T190</f>
        <v>1150</v>
      </c>
      <c r="Z190" s="43">
        <f>Z189+Учет!$F190-U190</f>
        <v>500000</v>
      </c>
      <c r="AA190" s="45">
        <f>Учет!$I190</f>
        <v>349526.07999999996</v>
      </c>
    </row>
    <row r="191" spans="1:27" ht="15" customHeight="1" x14ac:dyDescent="0.25">
      <c r="A191" s="1"/>
      <c r="B191" s="17"/>
      <c r="C191" s="17"/>
      <c r="D191" s="17"/>
      <c r="E191" s="17"/>
      <c r="F191" s="17"/>
      <c r="G191" s="4">
        <f t="shared" si="3"/>
        <v>0</v>
      </c>
      <c r="H191" s="17"/>
      <c r="I191" s="4">
        <f t="shared" si="5"/>
        <v>349526.07999999996</v>
      </c>
      <c r="J191" s="32" t="str">
        <f t="shared" si="4"/>
        <v/>
      </c>
      <c r="K191" s="72"/>
      <c r="L191" s="72"/>
      <c r="M191" s="2"/>
      <c r="N191" s="5"/>
      <c r="O191" s="3"/>
      <c r="P191" s="6"/>
      <c r="Q191" s="48">
        <f>IF(Учет!$O191=Справочники!$F$2,Учет!$H191,0)</f>
        <v>0</v>
      </c>
      <c r="R191" s="48">
        <f>IF(Учет!$O191=Справочники!$F$3,Учет!$H191,0)</f>
        <v>0</v>
      </c>
      <c r="S191" s="48">
        <f>IF(Учет!$O191=Справочники!$F$4,Учет!$H191,0)</f>
        <v>0</v>
      </c>
      <c r="T191" s="48">
        <f>IF(Учет!$O191=Справочники!$F$5,Учет!$H191,0)</f>
        <v>0</v>
      </c>
      <c r="U191" s="48">
        <f>IF(Учет!$O191=Справочники!$F$6,Учет!$H191,0)</f>
        <v>0</v>
      </c>
      <c r="V191" s="43">
        <f>V190+Учет!$B191-Q191</f>
        <v>-488978.92000000004</v>
      </c>
      <c r="W191" s="43">
        <f>W190+Учет!$C191-R191</f>
        <v>336855</v>
      </c>
      <c r="X191" s="43">
        <f>X190+Учет!$D191-S191</f>
        <v>500</v>
      </c>
      <c r="Y191" s="43">
        <f>Y190+Учет!$E191-T191</f>
        <v>1150</v>
      </c>
      <c r="Z191" s="43">
        <f>Z190+Учет!$F191-U191</f>
        <v>500000</v>
      </c>
      <c r="AA191" s="45">
        <f>Учет!$I191</f>
        <v>349526.07999999996</v>
      </c>
    </row>
    <row r="192" spans="1:27" ht="15" customHeight="1" x14ac:dyDescent="0.25">
      <c r="A192" s="1"/>
      <c r="B192" s="17"/>
      <c r="C192" s="17"/>
      <c r="D192" s="17"/>
      <c r="E192" s="17"/>
      <c r="F192" s="17"/>
      <c r="G192" s="4">
        <f t="shared" si="3"/>
        <v>0</v>
      </c>
      <c r="H192" s="17"/>
      <c r="I192" s="4">
        <f t="shared" si="5"/>
        <v>349526.07999999996</v>
      </c>
      <c r="J192" s="32" t="str">
        <f t="shared" si="4"/>
        <v/>
      </c>
      <c r="K192" s="72"/>
      <c r="L192" s="72"/>
      <c r="M192" s="2"/>
      <c r="N192" s="5"/>
      <c r="O192" s="3"/>
      <c r="P192" s="6"/>
      <c r="Q192" s="48">
        <f>IF(Учет!$O192=Справочники!$F$2,Учет!$H192,0)</f>
        <v>0</v>
      </c>
      <c r="R192" s="48">
        <f>IF(Учет!$O192=Справочники!$F$3,Учет!$H192,0)</f>
        <v>0</v>
      </c>
      <c r="S192" s="48">
        <f>IF(Учет!$O192=Справочники!$F$4,Учет!$H192,0)</f>
        <v>0</v>
      </c>
      <c r="T192" s="48">
        <f>IF(Учет!$O192=Справочники!$F$5,Учет!$H192,0)</f>
        <v>0</v>
      </c>
      <c r="U192" s="48">
        <f>IF(Учет!$O192=Справочники!$F$6,Учет!$H192,0)</f>
        <v>0</v>
      </c>
      <c r="V192" s="43">
        <f>V191+Учет!$B192-Q192</f>
        <v>-488978.92000000004</v>
      </c>
      <c r="W192" s="43">
        <f>W191+Учет!$C192-R192</f>
        <v>336855</v>
      </c>
      <c r="X192" s="43">
        <f>X191+Учет!$D192-S192</f>
        <v>500</v>
      </c>
      <c r="Y192" s="43">
        <f>Y191+Учет!$E192-T192</f>
        <v>1150</v>
      </c>
      <c r="Z192" s="43">
        <f>Z191+Учет!$F192-U192</f>
        <v>500000</v>
      </c>
      <c r="AA192" s="45">
        <f>Учет!$I192</f>
        <v>349526.07999999996</v>
      </c>
    </row>
    <row r="193" spans="1:27" ht="15" customHeight="1" x14ac:dyDescent="0.25">
      <c r="A193" s="1"/>
      <c r="B193" s="17"/>
      <c r="C193" s="17"/>
      <c r="D193" s="17"/>
      <c r="E193" s="17"/>
      <c r="F193" s="17"/>
      <c r="G193" s="4">
        <f t="shared" si="3"/>
        <v>0</v>
      </c>
      <c r="H193" s="17"/>
      <c r="I193" s="4">
        <f t="shared" si="5"/>
        <v>349526.07999999996</v>
      </c>
      <c r="J193" s="32" t="str">
        <f t="shared" si="4"/>
        <v/>
      </c>
      <c r="K193" s="72"/>
      <c r="L193" s="72"/>
      <c r="M193" s="2"/>
      <c r="N193" s="5"/>
      <c r="O193" s="3"/>
      <c r="P193" s="6"/>
      <c r="Q193" s="48">
        <f>IF(Учет!$O193=Справочники!$F$2,Учет!$H193,0)</f>
        <v>0</v>
      </c>
      <c r="R193" s="48">
        <f>IF(Учет!$O193=Справочники!$F$3,Учет!$H193,0)</f>
        <v>0</v>
      </c>
      <c r="S193" s="48">
        <f>IF(Учет!$O193=Справочники!$F$4,Учет!$H193,0)</f>
        <v>0</v>
      </c>
      <c r="T193" s="48">
        <f>IF(Учет!$O193=Справочники!$F$5,Учет!$H193,0)</f>
        <v>0</v>
      </c>
      <c r="U193" s="48">
        <f>IF(Учет!$O193=Справочники!$F$6,Учет!$H193,0)</f>
        <v>0</v>
      </c>
      <c r="V193" s="43">
        <f>V192+Учет!$B193-Q193</f>
        <v>-488978.92000000004</v>
      </c>
      <c r="W193" s="43">
        <f>W192+Учет!$C193-R193</f>
        <v>336855</v>
      </c>
      <c r="X193" s="43">
        <f>X192+Учет!$D193-S193</f>
        <v>500</v>
      </c>
      <c r="Y193" s="43">
        <f>Y192+Учет!$E193-T193</f>
        <v>1150</v>
      </c>
      <c r="Z193" s="43">
        <f>Z192+Учет!$F193-U193</f>
        <v>500000</v>
      </c>
      <c r="AA193" s="45">
        <f>Учет!$I193</f>
        <v>349526.07999999996</v>
      </c>
    </row>
    <row r="194" spans="1:27" ht="15" customHeight="1" x14ac:dyDescent="0.25">
      <c r="A194" s="1"/>
      <c r="B194" s="17"/>
      <c r="C194" s="17"/>
      <c r="D194" s="17"/>
      <c r="E194" s="17"/>
      <c r="F194" s="17"/>
      <c r="G194" s="4">
        <f t="shared" ref="G194:G257" si="6">SUM($B194:$F194)</f>
        <v>0</v>
      </c>
      <c r="H194" s="17"/>
      <c r="I194" s="4">
        <f t="shared" si="5"/>
        <v>349526.07999999996</v>
      </c>
      <c r="J194" s="32" t="str">
        <f t="shared" ref="J194:J257" si="7">IF($A195&lt;&gt;$A194,$I194,"")</f>
        <v/>
      </c>
      <c r="K194" s="72"/>
      <c r="L194" s="72"/>
      <c r="M194" s="2"/>
      <c r="N194" s="5"/>
      <c r="O194" s="3"/>
      <c r="P194" s="6"/>
      <c r="Q194" s="48">
        <f>IF(Учет!$O194=Справочники!$F$2,Учет!$H194,0)</f>
        <v>0</v>
      </c>
      <c r="R194" s="48">
        <f>IF(Учет!$O194=Справочники!$F$3,Учет!$H194,0)</f>
        <v>0</v>
      </c>
      <c r="S194" s="48">
        <f>IF(Учет!$O194=Справочники!$F$4,Учет!$H194,0)</f>
        <v>0</v>
      </c>
      <c r="T194" s="48">
        <f>IF(Учет!$O194=Справочники!$F$5,Учет!$H194,0)</f>
        <v>0</v>
      </c>
      <c r="U194" s="48">
        <f>IF(Учет!$O194=Справочники!$F$6,Учет!$H194,0)</f>
        <v>0</v>
      </c>
      <c r="V194" s="43">
        <f>V193+Учет!$B194-Q194</f>
        <v>-488978.92000000004</v>
      </c>
      <c r="W194" s="43">
        <f>W193+Учет!$C194-R194</f>
        <v>336855</v>
      </c>
      <c r="X194" s="43">
        <f>X193+Учет!$D194-S194</f>
        <v>500</v>
      </c>
      <c r="Y194" s="43">
        <f>Y193+Учет!$E194-T194</f>
        <v>1150</v>
      </c>
      <c r="Z194" s="43">
        <f>Z193+Учет!$F194-U194</f>
        <v>500000</v>
      </c>
      <c r="AA194" s="45">
        <f>Учет!$I194</f>
        <v>349526.07999999996</v>
      </c>
    </row>
    <row r="195" spans="1:27" ht="15" customHeight="1" x14ac:dyDescent="0.25">
      <c r="A195" s="1"/>
      <c r="B195" s="17"/>
      <c r="C195" s="17"/>
      <c r="D195" s="17"/>
      <c r="E195" s="17"/>
      <c r="F195" s="17"/>
      <c r="G195" s="4">
        <f t="shared" si="6"/>
        <v>0</v>
      </c>
      <c r="H195" s="17"/>
      <c r="I195" s="4">
        <f t="shared" ref="I195:I258" si="8">$I194+$G195-$H195</f>
        <v>349526.07999999996</v>
      </c>
      <c r="J195" s="32" t="str">
        <f t="shared" si="7"/>
        <v/>
      </c>
      <c r="K195" s="72"/>
      <c r="L195" s="72"/>
      <c r="M195" s="2"/>
      <c r="N195" s="5"/>
      <c r="O195" s="3"/>
      <c r="P195" s="6"/>
      <c r="Q195" s="48">
        <f>IF(Учет!$O195=Справочники!$F$2,Учет!$H195,0)</f>
        <v>0</v>
      </c>
      <c r="R195" s="48">
        <f>IF(Учет!$O195=Справочники!$F$3,Учет!$H195,0)</f>
        <v>0</v>
      </c>
      <c r="S195" s="48">
        <f>IF(Учет!$O195=Справочники!$F$4,Учет!$H195,0)</f>
        <v>0</v>
      </c>
      <c r="T195" s="48">
        <f>IF(Учет!$O195=Справочники!$F$5,Учет!$H195,0)</f>
        <v>0</v>
      </c>
      <c r="U195" s="48">
        <f>IF(Учет!$O195=Справочники!$F$6,Учет!$H195,0)</f>
        <v>0</v>
      </c>
      <c r="V195" s="43">
        <f>V194+Учет!$B195-Q195</f>
        <v>-488978.92000000004</v>
      </c>
      <c r="W195" s="43">
        <f>W194+Учет!$C195-R195</f>
        <v>336855</v>
      </c>
      <c r="X195" s="43">
        <f>X194+Учет!$D195-S195</f>
        <v>500</v>
      </c>
      <c r="Y195" s="43">
        <f>Y194+Учет!$E195-T195</f>
        <v>1150</v>
      </c>
      <c r="Z195" s="43">
        <f>Z194+Учет!$F195-U195</f>
        <v>500000</v>
      </c>
      <c r="AA195" s="45">
        <f>Учет!$I195</f>
        <v>349526.07999999996</v>
      </c>
    </row>
    <row r="196" spans="1:27" ht="15" customHeight="1" x14ac:dyDescent="0.25">
      <c r="A196" s="1"/>
      <c r="B196" s="17"/>
      <c r="C196" s="17"/>
      <c r="D196" s="17"/>
      <c r="E196" s="17"/>
      <c r="F196" s="17"/>
      <c r="G196" s="4">
        <f t="shared" si="6"/>
        <v>0</v>
      </c>
      <c r="H196" s="17"/>
      <c r="I196" s="4">
        <f t="shared" si="8"/>
        <v>349526.07999999996</v>
      </c>
      <c r="J196" s="32" t="str">
        <f t="shared" si="7"/>
        <v/>
      </c>
      <c r="K196" s="72"/>
      <c r="L196" s="72"/>
      <c r="M196" s="2"/>
      <c r="N196" s="5"/>
      <c r="O196" s="3"/>
      <c r="P196" s="6"/>
      <c r="Q196" s="48">
        <f>IF(Учет!$O196=Справочники!$F$2,Учет!$H196,0)</f>
        <v>0</v>
      </c>
      <c r="R196" s="48">
        <f>IF(Учет!$O196=Справочники!$F$3,Учет!$H196,0)</f>
        <v>0</v>
      </c>
      <c r="S196" s="48">
        <f>IF(Учет!$O196=Справочники!$F$4,Учет!$H196,0)</f>
        <v>0</v>
      </c>
      <c r="T196" s="48">
        <f>IF(Учет!$O196=Справочники!$F$5,Учет!$H196,0)</f>
        <v>0</v>
      </c>
      <c r="U196" s="48">
        <f>IF(Учет!$O196=Справочники!$F$6,Учет!$H196,0)</f>
        <v>0</v>
      </c>
      <c r="V196" s="43">
        <f>V195+Учет!$B196-Q196</f>
        <v>-488978.92000000004</v>
      </c>
      <c r="W196" s="43">
        <f>W195+Учет!$C196-R196</f>
        <v>336855</v>
      </c>
      <c r="X196" s="43">
        <f>X195+Учет!$D196-S196</f>
        <v>500</v>
      </c>
      <c r="Y196" s="43">
        <f>Y195+Учет!$E196-T196</f>
        <v>1150</v>
      </c>
      <c r="Z196" s="43">
        <f>Z195+Учет!$F196-U196</f>
        <v>500000</v>
      </c>
      <c r="AA196" s="45">
        <f>Учет!$I196</f>
        <v>349526.07999999996</v>
      </c>
    </row>
    <row r="197" spans="1:27" ht="15" customHeight="1" x14ac:dyDescent="0.25">
      <c r="A197" s="1"/>
      <c r="B197" s="17"/>
      <c r="C197" s="17"/>
      <c r="D197" s="17"/>
      <c r="E197" s="17"/>
      <c r="F197" s="17"/>
      <c r="G197" s="4">
        <f t="shared" si="6"/>
        <v>0</v>
      </c>
      <c r="H197" s="17"/>
      <c r="I197" s="4">
        <f t="shared" si="8"/>
        <v>349526.07999999996</v>
      </c>
      <c r="J197" s="32" t="str">
        <f t="shared" si="7"/>
        <v/>
      </c>
      <c r="K197" s="72"/>
      <c r="L197" s="72"/>
      <c r="M197" s="2"/>
      <c r="N197" s="5"/>
      <c r="O197" s="3"/>
      <c r="P197" s="6"/>
      <c r="Q197" s="48">
        <f>IF(Учет!$O197=Справочники!$F$2,Учет!$H197,0)</f>
        <v>0</v>
      </c>
      <c r="R197" s="48">
        <f>IF(Учет!$O197=Справочники!$F$3,Учет!$H197,0)</f>
        <v>0</v>
      </c>
      <c r="S197" s="48">
        <f>IF(Учет!$O197=Справочники!$F$4,Учет!$H197,0)</f>
        <v>0</v>
      </c>
      <c r="T197" s="48">
        <f>IF(Учет!$O197=Справочники!$F$5,Учет!$H197,0)</f>
        <v>0</v>
      </c>
      <c r="U197" s="48">
        <f>IF(Учет!$O197=Справочники!$F$6,Учет!$H197,0)</f>
        <v>0</v>
      </c>
      <c r="V197" s="43">
        <f>V196+Учет!$B197-Q197</f>
        <v>-488978.92000000004</v>
      </c>
      <c r="W197" s="43">
        <f>W196+Учет!$C197-R197</f>
        <v>336855</v>
      </c>
      <c r="X197" s="43">
        <f>X196+Учет!$D197-S197</f>
        <v>500</v>
      </c>
      <c r="Y197" s="43">
        <f>Y196+Учет!$E197-T197</f>
        <v>1150</v>
      </c>
      <c r="Z197" s="43">
        <f>Z196+Учет!$F197-U197</f>
        <v>500000</v>
      </c>
      <c r="AA197" s="45">
        <f>Учет!$I197</f>
        <v>349526.07999999996</v>
      </c>
    </row>
    <row r="198" spans="1:27" ht="15" customHeight="1" x14ac:dyDescent="0.25">
      <c r="A198" s="1"/>
      <c r="B198" s="17"/>
      <c r="C198" s="17"/>
      <c r="D198" s="17"/>
      <c r="E198" s="17"/>
      <c r="F198" s="17"/>
      <c r="G198" s="4">
        <f t="shared" si="6"/>
        <v>0</v>
      </c>
      <c r="H198" s="17"/>
      <c r="I198" s="4">
        <f t="shared" si="8"/>
        <v>349526.07999999996</v>
      </c>
      <c r="J198" s="32" t="str">
        <f t="shared" si="7"/>
        <v/>
      </c>
      <c r="K198" s="72"/>
      <c r="L198" s="72"/>
      <c r="M198" s="2"/>
      <c r="N198" s="5"/>
      <c r="O198" s="3"/>
      <c r="P198" s="6"/>
      <c r="Q198" s="48">
        <f>IF(Учет!$O198=Справочники!$F$2,Учет!$H198,0)</f>
        <v>0</v>
      </c>
      <c r="R198" s="48">
        <f>IF(Учет!$O198=Справочники!$F$3,Учет!$H198,0)</f>
        <v>0</v>
      </c>
      <c r="S198" s="48">
        <f>IF(Учет!$O198=Справочники!$F$4,Учет!$H198,0)</f>
        <v>0</v>
      </c>
      <c r="T198" s="48">
        <f>IF(Учет!$O198=Справочники!$F$5,Учет!$H198,0)</f>
        <v>0</v>
      </c>
      <c r="U198" s="48">
        <f>IF(Учет!$O198=Справочники!$F$6,Учет!$H198,0)</f>
        <v>0</v>
      </c>
      <c r="V198" s="43">
        <f>V197+Учет!$B198-Q198</f>
        <v>-488978.92000000004</v>
      </c>
      <c r="W198" s="43">
        <f>W197+Учет!$C198-R198</f>
        <v>336855</v>
      </c>
      <c r="X198" s="43">
        <f>X197+Учет!$D198-S198</f>
        <v>500</v>
      </c>
      <c r="Y198" s="43">
        <f>Y197+Учет!$E198-T198</f>
        <v>1150</v>
      </c>
      <c r="Z198" s="43">
        <f>Z197+Учет!$F198-U198</f>
        <v>500000</v>
      </c>
      <c r="AA198" s="45">
        <f>Учет!$I198</f>
        <v>349526.07999999996</v>
      </c>
    </row>
    <row r="199" spans="1:27" ht="15" customHeight="1" x14ac:dyDescent="0.25">
      <c r="A199" s="1"/>
      <c r="B199" s="17"/>
      <c r="C199" s="17"/>
      <c r="D199" s="17"/>
      <c r="E199" s="17"/>
      <c r="F199" s="17"/>
      <c r="G199" s="4">
        <f t="shared" si="6"/>
        <v>0</v>
      </c>
      <c r="H199" s="17"/>
      <c r="I199" s="4">
        <f t="shared" si="8"/>
        <v>349526.07999999996</v>
      </c>
      <c r="J199" s="32" t="str">
        <f t="shared" si="7"/>
        <v/>
      </c>
      <c r="K199" s="72"/>
      <c r="L199" s="72"/>
      <c r="M199" s="2"/>
      <c r="N199" s="5"/>
      <c r="O199" s="3"/>
      <c r="P199" s="6"/>
      <c r="Q199" s="48">
        <f>IF(Учет!$O199=Справочники!$F$2,Учет!$H199,0)</f>
        <v>0</v>
      </c>
      <c r="R199" s="48">
        <f>IF(Учет!$O199=Справочники!$F$3,Учет!$H199,0)</f>
        <v>0</v>
      </c>
      <c r="S199" s="48">
        <f>IF(Учет!$O199=Справочники!$F$4,Учет!$H199,0)</f>
        <v>0</v>
      </c>
      <c r="T199" s="48">
        <f>IF(Учет!$O199=Справочники!$F$5,Учет!$H199,0)</f>
        <v>0</v>
      </c>
      <c r="U199" s="48">
        <f>IF(Учет!$O199=Справочники!$F$6,Учет!$H199,0)</f>
        <v>0</v>
      </c>
      <c r="V199" s="43">
        <f>V198+Учет!$B199-Q199</f>
        <v>-488978.92000000004</v>
      </c>
      <c r="W199" s="43">
        <f>W198+Учет!$C199-R199</f>
        <v>336855</v>
      </c>
      <c r="X199" s="43">
        <f>X198+Учет!$D199-S199</f>
        <v>500</v>
      </c>
      <c r="Y199" s="43">
        <f>Y198+Учет!$E199-T199</f>
        <v>1150</v>
      </c>
      <c r="Z199" s="43">
        <f>Z198+Учет!$F199-U199</f>
        <v>500000</v>
      </c>
      <c r="AA199" s="45">
        <f>Учет!$I199</f>
        <v>349526.07999999996</v>
      </c>
    </row>
    <row r="200" spans="1:27" ht="15" customHeight="1" x14ac:dyDescent="0.25">
      <c r="A200" s="1"/>
      <c r="B200" s="17"/>
      <c r="C200" s="17"/>
      <c r="D200" s="17"/>
      <c r="E200" s="17"/>
      <c r="F200" s="17"/>
      <c r="G200" s="4">
        <f t="shared" si="6"/>
        <v>0</v>
      </c>
      <c r="H200" s="17"/>
      <c r="I200" s="4">
        <f t="shared" si="8"/>
        <v>349526.07999999996</v>
      </c>
      <c r="J200" s="32" t="str">
        <f t="shared" si="7"/>
        <v/>
      </c>
      <c r="K200" s="72"/>
      <c r="L200" s="72"/>
      <c r="M200" s="2"/>
      <c r="N200" s="5"/>
      <c r="O200" s="3"/>
      <c r="P200" s="6"/>
      <c r="Q200" s="48">
        <f>IF(Учет!$O200=Справочники!$F$2,Учет!$H200,0)</f>
        <v>0</v>
      </c>
      <c r="R200" s="48">
        <f>IF(Учет!$O200=Справочники!$F$3,Учет!$H200,0)</f>
        <v>0</v>
      </c>
      <c r="S200" s="48">
        <f>IF(Учет!$O200=Справочники!$F$4,Учет!$H200,0)</f>
        <v>0</v>
      </c>
      <c r="T200" s="48">
        <f>IF(Учет!$O200=Справочники!$F$5,Учет!$H200,0)</f>
        <v>0</v>
      </c>
      <c r="U200" s="48">
        <f>IF(Учет!$O200=Справочники!$F$6,Учет!$H200,0)</f>
        <v>0</v>
      </c>
      <c r="V200" s="43">
        <f>V199+Учет!$B200-Q200</f>
        <v>-488978.92000000004</v>
      </c>
      <c r="W200" s="43">
        <f>W199+Учет!$C200-R200</f>
        <v>336855</v>
      </c>
      <c r="X200" s="43">
        <f>X199+Учет!$D200-S200</f>
        <v>500</v>
      </c>
      <c r="Y200" s="43">
        <f>Y199+Учет!$E200-T200</f>
        <v>1150</v>
      </c>
      <c r="Z200" s="43">
        <f>Z199+Учет!$F200-U200</f>
        <v>500000</v>
      </c>
      <c r="AA200" s="45">
        <f>Учет!$I200</f>
        <v>349526.07999999996</v>
      </c>
    </row>
    <row r="201" spans="1:27" ht="15" customHeight="1" x14ac:dyDescent="0.25">
      <c r="A201" s="1"/>
      <c r="B201" s="17"/>
      <c r="C201" s="17"/>
      <c r="D201" s="17"/>
      <c r="E201" s="17"/>
      <c r="F201" s="17"/>
      <c r="G201" s="4">
        <f t="shared" si="6"/>
        <v>0</v>
      </c>
      <c r="H201" s="17"/>
      <c r="I201" s="4">
        <f t="shared" si="8"/>
        <v>349526.07999999996</v>
      </c>
      <c r="J201" s="32" t="str">
        <f t="shared" si="7"/>
        <v/>
      </c>
      <c r="K201" s="72"/>
      <c r="L201" s="72"/>
      <c r="M201" s="2"/>
      <c r="N201" s="5"/>
      <c r="O201" s="3"/>
      <c r="P201" s="6"/>
      <c r="Q201" s="48">
        <f>IF(Учет!$O201=Справочники!$F$2,Учет!$H201,0)</f>
        <v>0</v>
      </c>
      <c r="R201" s="48">
        <f>IF(Учет!$O201=Справочники!$F$3,Учет!$H201,0)</f>
        <v>0</v>
      </c>
      <c r="S201" s="48">
        <f>IF(Учет!$O201=Справочники!$F$4,Учет!$H201,0)</f>
        <v>0</v>
      </c>
      <c r="T201" s="48">
        <f>IF(Учет!$O201=Справочники!$F$5,Учет!$H201,0)</f>
        <v>0</v>
      </c>
      <c r="U201" s="48">
        <f>IF(Учет!$O201=Справочники!$F$6,Учет!$H201,0)</f>
        <v>0</v>
      </c>
      <c r="V201" s="43">
        <f>V200+Учет!$B201-Q201</f>
        <v>-488978.92000000004</v>
      </c>
      <c r="W201" s="43">
        <f>W200+Учет!$C201-R201</f>
        <v>336855</v>
      </c>
      <c r="X201" s="43">
        <f>X200+Учет!$D201-S201</f>
        <v>500</v>
      </c>
      <c r="Y201" s="43">
        <f>Y200+Учет!$E201-T201</f>
        <v>1150</v>
      </c>
      <c r="Z201" s="43">
        <f>Z200+Учет!$F201-U201</f>
        <v>500000</v>
      </c>
      <c r="AA201" s="45">
        <f>Учет!$I201</f>
        <v>349526.07999999996</v>
      </c>
    </row>
    <row r="202" spans="1:27" ht="15" customHeight="1" x14ac:dyDescent="0.25">
      <c r="A202" s="1"/>
      <c r="B202" s="17"/>
      <c r="C202" s="17"/>
      <c r="D202" s="17"/>
      <c r="E202" s="17"/>
      <c r="F202" s="17"/>
      <c r="G202" s="4">
        <f t="shared" si="6"/>
        <v>0</v>
      </c>
      <c r="H202" s="17"/>
      <c r="I202" s="4">
        <f t="shared" si="8"/>
        <v>349526.07999999996</v>
      </c>
      <c r="J202" s="32" t="str">
        <f t="shared" si="7"/>
        <v/>
      </c>
      <c r="K202" s="72"/>
      <c r="L202" s="72"/>
      <c r="M202" s="2"/>
      <c r="N202" s="5"/>
      <c r="O202" s="3"/>
      <c r="P202" s="6"/>
      <c r="Q202" s="48">
        <f>IF(Учет!$O202=Справочники!$F$2,Учет!$H202,0)</f>
        <v>0</v>
      </c>
      <c r="R202" s="48">
        <f>IF(Учет!$O202=Справочники!$F$3,Учет!$H202,0)</f>
        <v>0</v>
      </c>
      <c r="S202" s="48">
        <f>IF(Учет!$O202=Справочники!$F$4,Учет!$H202,0)</f>
        <v>0</v>
      </c>
      <c r="T202" s="48">
        <f>IF(Учет!$O202=Справочники!$F$5,Учет!$H202,0)</f>
        <v>0</v>
      </c>
      <c r="U202" s="48">
        <f>IF(Учет!$O202=Справочники!$F$6,Учет!$H202,0)</f>
        <v>0</v>
      </c>
      <c r="V202" s="43">
        <f>V201+Учет!$B202-Q202</f>
        <v>-488978.92000000004</v>
      </c>
      <c r="W202" s="43">
        <f>W201+Учет!$C202-R202</f>
        <v>336855</v>
      </c>
      <c r="X202" s="43">
        <f>X201+Учет!$D202-S202</f>
        <v>500</v>
      </c>
      <c r="Y202" s="43">
        <f>Y201+Учет!$E202-T202</f>
        <v>1150</v>
      </c>
      <c r="Z202" s="43">
        <f>Z201+Учет!$F202-U202</f>
        <v>500000</v>
      </c>
      <c r="AA202" s="45">
        <f>Учет!$I202</f>
        <v>349526.07999999996</v>
      </c>
    </row>
    <row r="203" spans="1:27" ht="15" customHeight="1" x14ac:dyDescent="0.25">
      <c r="A203" s="1"/>
      <c r="B203" s="17"/>
      <c r="C203" s="17"/>
      <c r="D203" s="17"/>
      <c r="E203" s="17"/>
      <c r="F203" s="17"/>
      <c r="G203" s="4">
        <f t="shared" si="6"/>
        <v>0</v>
      </c>
      <c r="H203" s="17"/>
      <c r="I203" s="4">
        <f t="shared" si="8"/>
        <v>349526.07999999996</v>
      </c>
      <c r="J203" s="32" t="str">
        <f t="shared" si="7"/>
        <v/>
      </c>
      <c r="K203" s="72"/>
      <c r="L203" s="72"/>
      <c r="M203" s="2"/>
      <c r="N203" s="5"/>
      <c r="O203" s="3"/>
      <c r="P203" s="6"/>
      <c r="Q203" s="48">
        <f>IF(Учет!$O203=Справочники!$F$2,Учет!$H203,0)</f>
        <v>0</v>
      </c>
      <c r="R203" s="48">
        <f>IF(Учет!$O203=Справочники!$F$3,Учет!$H203,0)</f>
        <v>0</v>
      </c>
      <c r="S203" s="48">
        <f>IF(Учет!$O203=Справочники!$F$4,Учет!$H203,0)</f>
        <v>0</v>
      </c>
      <c r="T203" s="48">
        <f>IF(Учет!$O203=Справочники!$F$5,Учет!$H203,0)</f>
        <v>0</v>
      </c>
      <c r="U203" s="48">
        <f>IF(Учет!$O203=Справочники!$F$6,Учет!$H203,0)</f>
        <v>0</v>
      </c>
      <c r="V203" s="43">
        <f>V202+Учет!$B203-Q203</f>
        <v>-488978.92000000004</v>
      </c>
      <c r="W203" s="43">
        <f>W202+Учет!$C203-R203</f>
        <v>336855</v>
      </c>
      <c r="X203" s="43">
        <f>X202+Учет!$D203-S203</f>
        <v>500</v>
      </c>
      <c r="Y203" s="43">
        <f>Y202+Учет!$E203-T203</f>
        <v>1150</v>
      </c>
      <c r="Z203" s="43">
        <f>Z202+Учет!$F203-U203</f>
        <v>500000</v>
      </c>
      <c r="AA203" s="45">
        <f>Учет!$I203</f>
        <v>349526.07999999996</v>
      </c>
    </row>
    <row r="204" spans="1:27" ht="15" customHeight="1" x14ac:dyDescent="0.25">
      <c r="A204" s="1"/>
      <c r="B204" s="17"/>
      <c r="C204" s="17"/>
      <c r="D204" s="17"/>
      <c r="E204" s="17"/>
      <c r="F204" s="17"/>
      <c r="G204" s="4">
        <f t="shared" si="6"/>
        <v>0</v>
      </c>
      <c r="H204" s="17"/>
      <c r="I204" s="4">
        <f t="shared" si="8"/>
        <v>349526.07999999996</v>
      </c>
      <c r="J204" s="32" t="str">
        <f t="shared" si="7"/>
        <v/>
      </c>
      <c r="K204" s="72"/>
      <c r="L204" s="72"/>
      <c r="M204" s="2"/>
      <c r="N204" s="5"/>
      <c r="O204" s="3"/>
      <c r="P204" s="6"/>
      <c r="Q204" s="48">
        <f>IF(Учет!$O204=Справочники!$F$2,Учет!$H204,0)</f>
        <v>0</v>
      </c>
      <c r="R204" s="48">
        <f>IF(Учет!$O204=Справочники!$F$3,Учет!$H204,0)</f>
        <v>0</v>
      </c>
      <c r="S204" s="48">
        <f>IF(Учет!$O204=Справочники!$F$4,Учет!$H204,0)</f>
        <v>0</v>
      </c>
      <c r="T204" s="48">
        <f>IF(Учет!$O204=Справочники!$F$5,Учет!$H204,0)</f>
        <v>0</v>
      </c>
      <c r="U204" s="48">
        <f>IF(Учет!$O204=Справочники!$F$6,Учет!$H204,0)</f>
        <v>0</v>
      </c>
      <c r="V204" s="43">
        <f>V203+Учет!$B204-Q204</f>
        <v>-488978.92000000004</v>
      </c>
      <c r="W204" s="43">
        <f>W203+Учет!$C204-R204</f>
        <v>336855</v>
      </c>
      <c r="X204" s="43">
        <f>X203+Учет!$D204-S204</f>
        <v>500</v>
      </c>
      <c r="Y204" s="43">
        <f>Y203+Учет!$E204-T204</f>
        <v>1150</v>
      </c>
      <c r="Z204" s="43">
        <f>Z203+Учет!$F204-U204</f>
        <v>500000</v>
      </c>
      <c r="AA204" s="45">
        <f>Учет!$I204</f>
        <v>349526.07999999996</v>
      </c>
    </row>
    <row r="205" spans="1:27" ht="15" customHeight="1" x14ac:dyDescent="0.25">
      <c r="A205" s="1"/>
      <c r="B205" s="17"/>
      <c r="C205" s="17"/>
      <c r="D205" s="17"/>
      <c r="E205" s="17"/>
      <c r="F205" s="17"/>
      <c r="G205" s="4">
        <f t="shared" si="6"/>
        <v>0</v>
      </c>
      <c r="H205" s="17"/>
      <c r="I205" s="4">
        <f t="shared" si="8"/>
        <v>349526.07999999996</v>
      </c>
      <c r="J205" s="32" t="str">
        <f t="shared" si="7"/>
        <v/>
      </c>
      <c r="K205" s="72"/>
      <c r="L205" s="72"/>
      <c r="M205" s="2"/>
      <c r="N205" s="5"/>
      <c r="O205" s="3"/>
      <c r="P205" s="6"/>
      <c r="Q205" s="48">
        <f>IF(Учет!$O205=Справочники!$F$2,Учет!$H205,0)</f>
        <v>0</v>
      </c>
      <c r="R205" s="48">
        <f>IF(Учет!$O205=Справочники!$F$3,Учет!$H205,0)</f>
        <v>0</v>
      </c>
      <c r="S205" s="48">
        <f>IF(Учет!$O205=Справочники!$F$4,Учет!$H205,0)</f>
        <v>0</v>
      </c>
      <c r="T205" s="48">
        <f>IF(Учет!$O205=Справочники!$F$5,Учет!$H205,0)</f>
        <v>0</v>
      </c>
      <c r="U205" s="48">
        <f>IF(Учет!$O205=Справочники!$F$6,Учет!$H205,0)</f>
        <v>0</v>
      </c>
      <c r="V205" s="43">
        <f>V204+Учет!$B205-Q205</f>
        <v>-488978.92000000004</v>
      </c>
      <c r="W205" s="43">
        <f>W204+Учет!$C205-R205</f>
        <v>336855</v>
      </c>
      <c r="X205" s="43">
        <f>X204+Учет!$D205-S205</f>
        <v>500</v>
      </c>
      <c r="Y205" s="43">
        <f>Y204+Учет!$E205-T205</f>
        <v>1150</v>
      </c>
      <c r="Z205" s="43">
        <f>Z204+Учет!$F205-U205</f>
        <v>500000</v>
      </c>
      <c r="AA205" s="45">
        <f>Учет!$I205</f>
        <v>349526.07999999996</v>
      </c>
    </row>
    <row r="206" spans="1:27" ht="15" customHeight="1" x14ac:dyDescent="0.25">
      <c r="A206" s="1"/>
      <c r="B206" s="17"/>
      <c r="C206" s="17"/>
      <c r="D206" s="17"/>
      <c r="E206" s="17"/>
      <c r="F206" s="17"/>
      <c r="G206" s="4">
        <f t="shared" si="6"/>
        <v>0</v>
      </c>
      <c r="H206" s="17"/>
      <c r="I206" s="4">
        <f t="shared" si="8"/>
        <v>349526.07999999996</v>
      </c>
      <c r="J206" s="32" t="str">
        <f t="shared" si="7"/>
        <v/>
      </c>
      <c r="K206" s="72"/>
      <c r="L206" s="72"/>
      <c r="M206" s="2"/>
      <c r="N206" s="5"/>
      <c r="O206" s="3"/>
      <c r="P206" s="6"/>
      <c r="Q206" s="48">
        <f>IF(Учет!$O206=Справочники!$F$2,Учет!$H206,0)</f>
        <v>0</v>
      </c>
      <c r="R206" s="48">
        <f>IF(Учет!$O206=Справочники!$F$3,Учет!$H206,0)</f>
        <v>0</v>
      </c>
      <c r="S206" s="48">
        <f>IF(Учет!$O206=Справочники!$F$4,Учет!$H206,0)</f>
        <v>0</v>
      </c>
      <c r="T206" s="48">
        <f>IF(Учет!$O206=Справочники!$F$5,Учет!$H206,0)</f>
        <v>0</v>
      </c>
      <c r="U206" s="48">
        <f>IF(Учет!$O206=Справочники!$F$6,Учет!$H206,0)</f>
        <v>0</v>
      </c>
      <c r="V206" s="43">
        <f>V205+Учет!$B206-Q206</f>
        <v>-488978.92000000004</v>
      </c>
      <c r="W206" s="43">
        <f>W205+Учет!$C206-R206</f>
        <v>336855</v>
      </c>
      <c r="X206" s="43">
        <f>X205+Учет!$D206-S206</f>
        <v>500</v>
      </c>
      <c r="Y206" s="43">
        <f>Y205+Учет!$E206-T206</f>
        <v>1150</v>
      </c>
      <c r="Z206" s="43">
        <f>Z205+Учет!$F206-U206</f>
        <v>500000</v>
      </c>
      <c r="AA206" s="45">
        <f>Учет!$I206</f>
        <v>349526.07999999996</v>
      </c>
    </row>
    <row r="207" spans="1:27" ht="15" customHeight="1" x14ac:dyDescent="0.25">
      <c r="A207" s="1"/>
      <c r="B207" s="17"/>
      <c r="C207" s="17"/>
      <c r="D207" s="17"/>
      <c r="E207" s="17"/>
      <c r="F207" s="17"/>
      <c r="G207" s="4">
        <f t="shared" si="6"/>
        <v>0</v>
      </c>
      <c r="H207" s="17"/>
      <c r="I207" s="4">
        <f t="shared" si="8"/>
        <v>349526.07999999996</v>
      </c>
      <c r="J207" s="32" t="str">
        <f t="shared" si="7"/>
        <v/>
      </c>
      <c r="K207" s="72"/>
      <c r="L207" s="72"/>
      <c r="M207" s="2"/>
      <c r="N207" s="5"/>
      <c r="O207" s="3"/>
      <c r="P207" s="6"/>
      <c r="Q207" s="48">
        <f>IF(Учет!$O207=Справочники!$F$2,Учет!$H207,0)</f>
        <v>0</v>
      </c>
      <c r="R207" s="48">
        <f>IF(Учет!$O207=Справочники!$F$3,Учет!$H207,0)</f>
        <v>0</v>
      </c>
      <c r="S207" s="48">
        <f>IF(Учет!$O207=Справочники!$F$4,Учет!$H207,0)</f>
        <v>0</v>
      </c>
      <c r="T207" s="48">
        <f>IF(Учет!$O207=Справочники!$F$5,Учет!$H207,0)</f>
        <v>0</v>
      </c>
      <c r="U207" s="48">
        <f>IF(Учет!$O207=Справочники!$F$6,Учет!$H207,0)</f>
        <v>0</v>
      </c>
      <c r="V207" s="43">
        <f>V206+Учет!$B207-Q207</f>
        <v>-488978.92000000004</v>
      </c>
      <c r="W207" s="43">
        <f>W206+Учет!$C207-R207</f>
        <v>336855</v>
      </c>
      <c r="X207" s="43">
        <f>X206+Учет!$D207-S207</f>
        <v>500</v>
      </c>
      <c r="Y207" s="43">
        <f>Y206+Учет!$E207-T207</f>
        <v>1150</v>
      </c>
      <c r="Z207" s="43">
        <f>Z206+Учет!$F207-U207</f>
        <v>500000</v>
      </c>
      <c r="AA207" s="45">
        <f>Учет!$I207</f>
        <v>349526.07999999996</v>
      </c>
    </row>
    <row r="208" spans="1:27" ht="15" customHeight="1" x14ac:dyDescent="0.25">
      <c r="A208" s="1"/>
      <c r="B208" s="17"/>
      <c r="C208" s="17"/>
      <c r="D208" s="17"/>
      <c r="E208" s="17"/>
      <c r="F208" s="17"/>
      <c r="G208" s="4">
        <f t="shared" si="6"/>
        <v>0</v>
      </c>
      <c r="H208" s="17"/>
      <c r="I208" s="4">
        <f t="shared" si="8"/>
        <v>349526.07999999996</v>
      </c>
      <c r="J208" s="32" t="str">
        <f t="shared" si="7"/>
        <v/>
      </c>
      <c r="K208" s="72"/>
      <c r="L208" s="72"/>
      <c r="M208" s="2"/>
      <c r="N208" s="5"/>
      <c r="O208" s="3"/>
      <c r="P208" s="6"/>
      <c r="Q208" s="48">
        <f>IF(Учет!$O208=Справочники!$F$2,Учет!$H208,0)</f>
        <v>0</v>
      </c>
      <c r="R208" s="48">
        <f>IF(Учет!$O208=Справочники!$F$3,Учет!$H208,0)</f>
        <v>0</v>
      </c>
      <c r="S208" s="48">
        <f>IF(Учет!$O208=Справочники!$F$4,Учет!$H208,0)</f>
        <v>0</v>
      </c>
      <c r="T208" s="48">
        <f>IF(Учет!$O208=Справочники!$F$5,Учет!$H208,0)</f>
        <v>0</v>
      </c>
      <c r="U208" s="48">
        <f>IF(Учет!$O208=Справочники!$F$6,Учет!$H208,0)</f>
        <v>0</v>
      </c>
      <c r="V208" s="43">
        <f>V207+Учет!$B208-Q208</f>
        <v>-488978.92000000004</v>
      </c>
      <c r="W208" s="43">
        <f>W207+Учет!$C208-R208</f>
        <v>336855</v>
      </c>
      <c r="X208" s="43">
        <f>X207+Учет!$D208-S208</f>
        <v>500</v>
      </c>
      <c r="Y208" s="43">
        <f>Y207+Учет!$E208-T208</f>
        <v>1150</v>
      </c>
      <c r="Z208" s="43">
        <f>Z207+Учет!$F208-U208</f>
        <v>500000</v>
      </c>
      <c r="AA208" s="45">
        <f>Учет!$I208</f>
        <v>349526.07999999996</v>
      </c>
    </row>
    <row r="209" spans="1:27" ht="15" customHeight="1" x14ac:dyDescent="0.25">
      <c r="A209" s="1"/>
      <c r="B209" s="17"/>
      <c r="C209" s="17"/>
      <c r="D209" s="17"/>
      <c r="E209" s="17"/>
      <c r="F209" s="17"/>
      <c r="G209" s="4">
        <f t="shared" si="6"/>
        <v>0</v>
      </c>
      <c r="H209" s="17"/>
      <c r="I209" s="4">
        <f t="shared" si="8"/>
        <v>349526.07999999996</v>
      </c>
      <c r="J209" s="32" t="str">
        <f t="shared" si="7"/>
        <v/>
      </c>
      <c r="K209" s="72"/>
      <c r="L209" s="72"/>
      <c r="M209" s="2"/>
      <c r="N209" s="5"/>
      <c r="O209" s="3"/>
      <c r="P209" s="6"/>
      <c r="Q209" s="48">
        <f>IF(Учет!$O209=Справочники!$F$2,Учет!$H209,0)</f>
        <v>0</v>
      </c>
      <c r="R209" s="48">
        <f>IF(Учет!$O209=Справочники!$F$3,Учет!$H209,0)</f>
        <v>0</v>
      </c>
      <c r="S209" s="48">
        <f>IF(Учет!$O209=Справочники!$F$4,Учет!$H209,0)</f>
        <v>0</v>
      </c>
      <c r="T209" s="48">
        <f>IF(Учет!$O209=Справочники!$F$5,Учет!$H209,0)</f>
        <v>0</v>
      </c>
      <c r="U209" s="48">
        <f>IF(Учет!$O209=Справочники!$F$6,Учет!$H209,0)</f>
        <v>0</v>
      </c>
      <c r="V209" s="43">
        <f>V208+Учет!$B209-Q209</f>
        <v>-488978.92000000004</v>
      </c>
      <c r="W209" s="43">
        <f>W208+Учет!$C209-R209</f>
        <v>336855</v>
      </c>
      <c r="X209" s="43">
        <f>X208+Учет!$D209-S209</f>
        <v>500</v>
      </c>
      <c r="Y209" s="43">
        <f>Y208+Учет!$E209-T209</f>
        <v>1150</v>
      </c>
      <c r="Z209" s="43">
        <f>Z208+Учет!$F209-U209</f>
        <v>500000</v>
      </c>
      <c r="AA209" s="45">
        <f>Учет!$I209</f>
        <v>349526.07999999996</v>
      </c>
    </row>
    <row r="210" spans="1:27" ht="15" customHeight="1" x14ac:dyDescent="0.25">
      <c r="A210" s="1"/>
      <c r="B210" s="17"/>
      <c r="C210" s="17"/>
      <c r="D210" s="17"/>
      <c r="E210" s="17"/>
      <c r="F210" s="17"/>
      <c r="G210" s="4">
        <f t="shared" si="6"/>
        <v>0</v>
      </c>
      <c r="H210" s="17"/>
      <c r="I210" s="4">
        <f t="shared" si="8"/>
        <v>349526.07999999996</v>
      </c>
      <c r="J210" s="32" t="str">
        <f t="shared" si="7"/>
        <v/>
      </c>
      <c r="K210" s="72"/>
      <c r="L210" s="72"/>
      <c r="M210" s="2"/>
      <c r="N210" s="5"/>
      <c r="O210" s="3"/>
      <c r="P210" s="6"/>
      <c r="Q210" s="48">
        <f>IF(Учет!$O210=Справочники!$F$2,Учет!$H210,0)</f>
        <v>0</v>
      </c>
      <c r="R210" s="48">
        <f>IF(Учет!$O210=Справочники!$F$3,Учет!$H210,0)</f>
        <v>0</v>
      </c>
      <c r="S210" s="48">
        <f>IF(Учет!$O210=Справочники!$F$4,Учет!$H210,0)</f>
        <v>0</v>
      </c>
      <c r="T210" s="48">
        <f>IF(Учет!$O210=Справочники!$F$5,Учет!$H210,0)</f>
        <v>0</v>
      </c>
      <c r="U210" s="48">
        <f>IF(Учет!$O210=Справочники!$F$6,Учет!$H210,0)</f>
        <v>0</v>
      </c>
      <c r="V210" s="43">
        <f>V209+Учет!$B210-Q210</f>
        <v>-488978.92000000004</v>
      </c>
      <c r="W210" s="43">
        <f>W209+Учет!$C210-R210</f>
        <v>336855</v>
      </c>
      <c r="X210" s="43">
        <f>X209+Учет!$D210-S210</f>
        <v>500</v>
      </c>
      <c r="Y210" s="43">
        <f>Y209+Учет!$E210-T210</f>
        <v>1150</v>
      </c>
      <c r="Z210" s="43">
        <f>Z209+Учет!$F210-U210</f>
        <v>500000</v>
      </c>
      <c r="AA210" s="45">
        <f>Учет!$I210</f>
        <v>349526.07999999996</v>
      </c>
    </row>
    <row r="211" spans="1:27" ht="15" customHeight="1" x14ac:dyDescent="0.25">
      <c r="A211" s="1"/>
      <c r="B211" s="17"/>
      <c r="C211" s="17"/>
      <c r="D211" s="17"/>
      <c r="E211" s="17"/>
      <c r="F211" s="17"/>
      <c r="G211" s="4">
        <f t="shared" si="6"/>
        <v>0</v>
      </c>
      <c r="H211" s="17"/>
      <c r="I211" s="4">
        <f t="shared" si="8"/>
        <v>349526.07999999996</v>
      </c>
      <c r="J211" s="32" t="str">
        <f t="shared" si="7"/>
        <v/>
      </c>
      <c r="K211" s="72"/>
      <c r="L211" s="72"/>
      <c r="M211" s="2"/>
      <c r="N211" s="5"/>
      <c r="O211" s="3"/>
      <c r="P211" s="6"/>
      <c r="Q211" s="48">
        <f>IF(Учет!$O211=Справочники!$F$2,Учет!$H211,0)</f>
        <v>0</v>
      </c>
      <c r="R211" s="48">
        <f>IF(Учет!$O211=Справочники!$F$3,Учет!$H211,0)</f>
        <v>0</v>
      </c>
      <c r="S211" s="48">
        <f>IF(Учет!$O211=Справочники!$F$4,Учет!$H211,0)</f>
        <v>0</v>
      </c>
      <c r="T211" s="48">
        <f>IF(Учет!$O211=Справочники!$F$5,Учет!$H211,0)</f>
        <v>0</v>
      </c>
      <c r="U211" s="48">
        <f>IF(Учет!$O211=Справочники!$F$6,Учет!$H211,0)</f>
        <v>0</v>
      </c>
      <c r="V211" s="43">
        <f>V210+Учет!$B211-Q211</f>
        <v>-488978.92000000004</v>
      </c>
      <c r="W211" s="43">
        <f>W210+Учет!$C211-R211</f>
        <v>336855</v>
      </c>
      <c r="X211" s="43">
        <f>X210+Учет!$D211-S211</f>
        <v>500</v>
      </c>
      <c r="Y211" s="43">
        <f>Y210+Учет!$E211-T211</f>
        <v>1150</v>
      </c>
      <c r="Z211" s="43">
        <f>Z210+Учет!$F211-U211</f>
        <v>500000</v>
      </c>
      <c r="AA211" s="45">
        <f>Учет!$I211</f>
        <v>349526.07999999996</v>
      </c>
    </row>
    <row r="212" spans="1:27" ht="15" customHeight="1" x14ac:dyDescent="0.25">
      <c r="A212" s="1"/>
      <c r="B212" s="17"/>
      <c r="C212" s="17"/>
      <c r="D212" s="17"/>
      <c r="E212" s="17"/>
      <c r="F212" s="17"/>
      <c r="G212" s="4">
        <f t="shared" si="6"/>
        <v>0</v>
      </c>
      <c r="H212" s="17"/>
      <c r="I212" s="4">
        <f t="shared" si="8"/>
        <v>349526.07999999996</v>
      </c>
      <c r="J212" s="32" t="str">
        <f t="shared" si="7"/>
        <v/>
      </c>
      <c r="K212" s="72"/>
      <c r="L212" s="72"/>
      <c r="M212" s="2"/>
      <c r="N212" s="5"/>
      <c r="O212" s="3"/>
      <c r="P212" s="6"/>
      <c r="Q212" s="48">
        <f>IF(Учет!$O212=Справочники!$F$2,Учет!$H212,0)</f>
        <v>0</v>
      </c>
      <c r="R212" s="48">
        <f>IF(Учет!$O212=Справочники!$F$3,Учет!$H212,0)</f>
        <v>0</v>
      </c>
      <c r="S212" s="48">
        <f>IF(Учет!$O212=Справочники!$F$4,Учет!$H212,0)</f>
        <v>0</v>
      </c>
      <c r="T212" s="48">
        <f>IF(Учет!$O212=Справочники!$F$5,Учет!$H212,0)</f>
        <v>0</v>
      </c>
      <c r="U212" s="48">
        <f>IF(Учет!$O212=Справочники!$F$6,Учет!$H212,0)</f>
        <v>0</v>
      </c>
      <c r="V212" s="43">
        <f>V211+Учет!$B212-Q212</f>
        <v>-488978.92000000004</v>
      </c>
      <c r="W212" s="43">
        <f>W211+Учет!$C212-R212</f>
        <v>336855</v>
      </c>
      <c r="X212" s="43">
        <f>X211+Учет!$D212-S212</f>
        <v>500</v>
      </c>
      <c r="Y212" s="43">
        <f>Y211+Учет!$E212-T212</f>
        <v>1150</v>
      </c>
      <c r="Z212" s="43">
        <f>Z211+Учет!$F212-U212</f>
        <v>500000</v>
      </c>
      <c r="AA212" s="45">
        <f>Учет!$I212</f>
        <v>349526.07999999996</v>
      </c>
    </row>
    <row r="213" spans="1:27" ht="15" customHeight="1" x14ac:dyDescent="0.25">
      <c r="A213" s="1"/>
      <c r="B213" s="17"/>
      <c r="C213" s="17"/>
      <c r="D213" s="17"/>
      <c r="E213" s="17"/>
      <c r="F213" s="17"/>
      <c r="G213" s="4">
        <f t="shared" si="6"/>
        <v>0</v>
      </c>
      <c r="H213" s="17"/>
      <c r="I213" s="4">
        <f t="shared" si="8"/>
        <v>349526.07999999996</v>
      </c>
      <c r="J213" s="32" t="str">
        <f t="shared" si="7"/>
        <v/>
      </c>
      <c r="K213" s="72"/>
      <c r="L213" s="72"/>
      <c r="M213" s="2"/>
      <c r="N213" s="5"/>
      <c r="O213" s="3"/>
      <c r="P213" s="6"/>
      <c r="Q213" s="48">
        <f>IF(Учет!$O213=Справочники!$F$2,Учет!$H213,0)</f>
        <v>0</v>
      </c>
      <c r="R213" s="48">
        <f>IF(Учет!$O213=Справочники!$F$3,Учет!$H213,0)</f>
        <v>0</v>
      </c>
      <c r="S213" s="48">
        <f>IF(Учет!$O213=Справочники!$F$4,Учет!$H213,0)</f>
        <v>0</v>
      </c>
      <c r="T213" s="48">
        <f>IF(Учет!$O213=Справочники!$F$5,Учет!$H213,0)</f>
        <v>0</v>
      </c>
      <c r="U213" s="48">
        <f>IF(Учет!$O213=Справочники!$F$6,Учет!$H213,0)</f>
        <v>0</v>
      </c>
      <c r="V213" s="43">
        <f>V212+Учет!$B213-Q213</f>
        <v>-488978.92000000004</v>
      </c>
      <c r="W213" s="43">
        <f>W212+Учет!$C213-R213</f>
        <v>336855</v>
      </c>
      <c r="X213" s="43">
        <f>X212+Учет!$D213-S213</f>
        <v>500</v>
      </c>
      <c r="Y213" s="43">
        <f>Y212+Учет!$E213-T213</f>
        <v>1150</v>
      </c>
      <c r="Z213" s="43">
        <f>Z212+Учет!$F213-U213</f>
        <v>500000</v>
      </c>
      <c r="AA213" s="45">
        <f>Учет!$I213</f>
        <v>349526.07999999996</v>
      </c>
    </row>
    <row r="214" spans="1:27" ht="15" customHeight="1" x14ac:dyDescent="0.25">
      <c r="A214" s="1"/>
      <c r="B214" s="17"/>
      <c r="C214" s="17"/>
      <c r="D214" s="17"/>
      <c r="E214" s="17"/>
      <c r="F214" s="17"/>
      <c r="G214" s="4">
        <f t="shared" si="6"/>
        <v>0</v>
      </c>
      <c r="H214" s="17"/>
      <c r="I214" s="4">
        <f t="shared" si="8"/>
        <v>349526.07999999996</v>
      </c>
      <c r="J214" s="32" t="str">
        <f t="shared" si="7"/>
        <v/>
      </c>
      <c r="K214" s="72"/>
      <c r="L214" s="72"/>
      <c r="M214" s="2"/>
      <c r="N214" s="5"/>
      <c r="O214" s="3"/>
      <c r="P214" s="6"/>
      <c r="Q214" s="48">
        <f>IF(Учет!$O214=Справочники!$F$2,Учет!$H214,0)</f>
        <v>0</v>
      </c>
      <c r="R214" s="48">
        <f>IF(Учет!$O214=Справочники!$F$3,Учет!$H214,0)</f>
        <v>0</v>
      </c>
      <c r="S214" s="48">
        <f>IF(Учет!$O214=Справочники!$F$4,Учет!$H214,0)</f>
        <v>0</v>
      </c>
      <c r="T214" s="48">
        <f>IF(Учет!$O214=Справочники!$F$5,Учет!$H214,0)</f>
        <v>0</v>
      </c>
      <c r="U214" s="48">
        <f>IF(Учет!$O214=Справочники!$F$6,Учет!$H214,0)</f>
        <v>0</v>
      </c>
      <c r="V214" s="43">
        <f>V213+Учет!$B214-Q214</f>
        <v>-488978.92000000004</v>
      </c>
      <c r="W214" s="43">
        <f>W213+Учет!$C214-R214</f>
        <v>336855</v>
      </c>
      <c r="X214" s="43">
        <f>X213+Учет!$D214-S214</f>
        <v>500</v>
      </c>
      <c r="Y214" s="43">
        <f>Y213+Учет!$E214-T214</f>
        <v>1150</v>
      </c>
      <c r="Z214" s="43">
        <f>Z213+Учет!$F214-U214</f>
        <v>500000</v>
      </c>
      <c r="AA214" s="45">
        <f>Учет!$I214</f>
        <v>349526.07999999996</v>
      </c>
    </row>
    <row r="215" spans="1:27" ht="15" customHeight="1" x14ac:dyDescent="0.25">
      <c r="A215" s="1"/>
      <c r="B215" s="17"/>
      <c r="C215" s="17"/>
      <c r="D215" s="17"/>
      <c r="E215" s="17"/>
      <c r="F215" s="17"/>
      <c r="G215" s="4">
        <f t="shared" si="6"/>
        <v>0</v>
      </c>
      <c r="H215" s="17"/>
      <c r="I215" s="4">
        <f t="shared" si="8"/>
        <v>349526.07999999996</v>
      </c>
      <c r="J215" s="32" t="str">
        <f t="shared" si="7"/>
        <v/>
      </c>
      <c r="K215" s="72"/>
      <c r="L215" s="72"/>
      <c r="M215" s="2"/>
      <c r="N215" s="5"/>
      <c r="O215" s="3"/>
      <c r="P215" s="6"/>
      <c r="Q215" s="48">
        <f>IF(Учет!$O215=Справочники!$F$2,Учет!$H215,0)</f>
        <v>0</v>
      </c>
      <c r="R215" s="48">
        <f>IF(Учет!$O215=Справочники!$F$3,Учет!$H215,0)</f>
        <v>0</v>
      </c>
      <c r="S215" s="48">
        <f>IF(Учет!$O215=Справочники!$F$4,Учет!$H215,0)</f>
        <v>0</v>
      </c>
      <c r="T215" s="48">
        <f>IF(Учет!$O215=Справочники!$F$5,Учет!$H215,0)</f>
        <v>0</v>
      </c>
      <c r="U215" s="48">
        <f>IF(Учет!$O215=Справочники!$F$6,Учет!$H215,0)</f>
        <v>0</v>
      </c>
      <c r="V215" s="43">
        <f>V214+Учет!$B215-Q215</f>
        <v>-488978.92000000004</v>
      </c>
      <c r="W215" s="43">
        <f>W214+Учет!$C215-R215</f>
        <v>336855</v>
      </c>
      <c r="X215" s="43">
        <f>X214+Учет!$D215-S215</f>
        <v>500</v>
      </c>
      <c r="Y215" s="43">
        <f>Y214+Учет!$E215-T215</f>
        <v>1150</v>
      </c>
      <c r="Z215" s="43">
        <f>Z214+Учет!$F215-U215</f>
        <v>500000</v>
      </c>
      <c r="AA215" s="45">
        <f>Учет!$I215</f>
        <v>349526.07999999996</v>
      </c>
    </row>
    <row r="216" spans="1:27" ht="15" customHeight="1" x14ac:dyDescent="0.25">
      <c r="A216" s="1"/>
      <c r="B216" s="17"/>
      <c r="C216" s="17"/>
      <c r="D216" s="17"/>
      <c r="E216" s="17"/>
      <c r="F216" s="17"/>
      <c r="G216" s="4">
        <f t="shared" si="6"/>
        <v>0</v>
      </c>
      <c r="H216" s="17"/>
      <c r="I216" s="4">
        <f t="shared" si="8"/>
        <v>349526.07999999996</v>
      </c>
      <c r="J216" s="32" t="str">
        <f t="shared" si="7"/>
        <v/>
      </c>
      <c r="K216" s="72"/>
      <c r="L216" s="72"/>
      <c r="M216" s="2"/>
      <c r="N216" s="5"/>
      <c r="O216" s="3"/>
      <c r="P216" s="6"/>
      <c r="Q216" s="48">
        <f>IF(Учет!$O216=Справочники!$F$2,Учет!$H216,0)</f>
        <v>0</v>
      </c>
      <c r="R216" s="48">
        <f>IF(Учет!$O216=Справочники!$F$3,Учет!$H216,0)</f>
        <v>0</v>
      </c>
      <c r="S216" s="48">
        <f>IF(Учет!$O216=Справочники!$F$4,Учет!$H216,0)</f>
        <v>0</v>
      </c>
      <c r="T216" s="48">
        <f>IF(Учет!$O216=Справочники!$F$5,Учет!$H216,0)</f>
        <v>0</v>
      </c>
      <c r="U216" s="48">
        <f>IF(Учет!$O216=Справочники!$F$6,Учет!$H216,0)</f>
        <v>0</v>
      </c>
      <c r="V216" s="43">
        <f>V215+Учет!$B216-Q216</f>
        <v>-488978.92000000004</v>
      </c>
      <c r="W216" s="43">
        <f>W215+Учет!$C216-R216</f>
        <v>336855</v>
      </c>
      <c r="X216" s="43">
        <f>X215+Учет!$D216-S216</f>
        <v>500</v>
      </c>
      <c r="Y216" s="43">
        <f>Y215+Учет!$E216-T216</f>
        <v>1150</v>
      </c>
      <c r="Z216" s="43">
        <f>Z215+Учет!$F216-U216</f>
        <v>500000</v>
      </c>
      <c r="AA216" s="45">
        <f>Учет!$I216</f>
        <v>349526.07999999996</v>
      </c>
    </row>
    <row r="217" spans="1:27" ht="15" customHeight="1" x14ac:dyDescent="0.25">
      <c r="A217" s="1"/>
      <c r="B217" s="17"/>
      <c r="C217" s="17"/>
      <c r="D217" s="17"/>
      <c r="E217" s="17"/>
      <c r="F217" s="17"/>
      <c r="G217" s="4">
        <f t="shared" si="6"/>
        <v>0</v>
      </c>
      <c r="H217" s="17"/>
      <c r="I217" s="4">
        <f t="shared" si="8"/>
        <v>349526.07999999996</v>
      </c>
      <c r="J217" s="32" t="str">
        <f t="shared" si="7"/>
        <v/>
      </c>
      <c r="K217" s="72"/>
      <c r="L217" s="72"/>
      <c r="M217" s="2"/>
      <c r="N217" s="5"/>
      <c r="O217" s="3"/>
      <c r="P217" s="6"/>
      <c r="Q217" s="48">
        <f>IF(Учет!$O217=Справочники!$F$2,Учет!$H217,0)</f>
        <v>0</v>
      </c>
      <c r="R217" s="48">
        <f>IF(Учет!$O217=Справочники!$F$3,Учет!$H217,0)</f>
        <v>0</v>
      </c>
      <c r="S217" s="48">
        <f>IF(Учет!$O217=Справочники!$F$4,Учет!$H217,0)</f>
        <v>0</v>
      </c>
      <c r="T217" s="48">
        <f>IF(Учет!$O217=Справочники!$F$5,Учет!$H217,0)</f>
        <v>0</v>
      </c>
      <c r="U217" s="48">
        <f>IF(Учет!$O217=Справочники!$F$6,Учет!$H217,0)</f>
        <v>0</v>
      </c>
      <c r="V217" s="43">
        <f>V216+Учет!$B217-Q217</f>
        <v>-488978.92000000004</v>
      </c>
      <c r="W217" s="43">
        <f>W216+Учет!$C217-R217</f>
        <v>336855</v>
      </c>
      <c r="X217" s="43">
        <f>X216+Учет!$D217-S217</f>
        <v>500</v>
      </c>
      <c r="Y217" s="43">
        <f>Y216+Учет!$E217-T217</f>
        <v>1150</v>
      </c>
      <c r="Z217" s="43">
        <f>Z216+Учет!$F217-U217</f>
        <v>500000</v>
      </c>
      <c r="AA217" s="45">
        <f>Учет!$I217</f>
        <v>349526.07999999996</v>
      </c>
    </row>
    <row r="218" spans="1:27" ht="15" customHeight="1" x14ac:dyDescent="0.25">
      <c r="A218" s="1"/>
      <c r="B218" s="17"/>
      <c r="C218" s="17"/>
      <c r="D218" s="17"/>
      <c r="E218" s="17"/>
      <c r="F218" s="17"/>
      <c r="G218" s="4">
        <f t="shared" si="6"/>
        <v>0</v>
      </c>
      <c r="H218" s="17"/>
      <c r="I218" s="4">
        <f t="shared" si="8"/>
        <v>349526.07999999996</v>
      </c>
      <c r="J218" s="32" t="str">
        <f t="shared" si="7"/>
        <v/>
      </c>
      <c r="K218" s="72"/>
      <c r="L218" s="72"/>
      <c r="M218" s="2"/>
      <c r="N218" s="5"/>
      <c r="O218" s="3"/>
      <c r="P218" s="6"/>
      <c r="Q218" s="48">
        <f>IF(Учет!$O218=Справочники!$F$2,Учет!$H218,0)</f>
        <v>0</v>
      </c>
      <c r="R218" s="48">
        <f>IF(Учет!$O218=Справочники!$F$3,Учет!$H218,0)</f>
        <v>0</v>
      </c>
      <c r="S218" s="48">
        <f>IF(Учет!$O218=Справочники!$F$4,Учет!$H218,0)</f>
        <v>0</v>
      </c>
      <c r="T218" s="48">
        <f>IF(Учет!$O218=Справочники!$F$5,Учет!$H218,0)</f>
        <v>0</v>
      </c>
      <c r="U218" s="48">
        <f>IF(Учет!$O218=Справочники!$F$6,Учет!$H218,0)</f>
        <v>0</v>
      </c>
      <c r="V218" s="43">
        <f>V217+Учет!$B218-Q218</f>
        <v>-488978.92000000004</v>
      </c>
      <c r="W218" s="43">
        <f>W217+Учет!$C218-R218</f>
        <v>336855</v>
      </c>
      <c r="X218" s="43">
        <f>X217+Учет!$D218-S218</f>
        <v>500</v>
      </c>
      <c r="Y218" s="43">
        <f>Y217+Учет!$E218-T218</f>
        <v>1150</v>
      </c>
      <c r="Z218" s="43">
        <f>Z217+Учет!$F218-U218</f>
        <v>500000</v>
      </c>
      <c r="AA218" s="45">
        <f>Учет!$I218</f>
        <v>349526.07999999996</v>
      </c>
    </row>
    <row r="219" spans="1:27" ht="15" customHeight="1" x14ac:dyDescent="0.25">
      <c r="A219" s="1"/>
      <c r="B219" s="17"/>
      <c r="C219" s="17"/>
      <c r="D219" s="17"/>
      <c r="E219" s="17"/>
      <c r="F219" s="17"/>
      <c r="G219" s="4">
        <f t="shared" si="6"/>
        <v>0</v>
      </c>
      <c r="H219" s="17"/>
      <c r="I219" s="4">
        <f t="shared" si="8"/>
        <v>349526.07999999996</v>
      </c>
      <c r="J219" s="32" t="str">
        <f t="shared" si="7"/>
        <v/>
      </c>
      <c r="K219" s="72"/>
      <c r="L219" s="72"/>
      <c r="M219" s="2"/>
      <c r="N219" s="5"/>
      <c r="O219" s="3"/>
      <c r="P219" s="6"/>
      <c r="Q219" s="48">
        <f>IF(Учет!$O219=Справочники!$F$2,Учет!$H219,0)</f>
        <v>0</v>
      </c>
      <c r="R219" s="48">
        <f>IF(Учет!$O219=Справочники!$F$3,Учет!$H219,0)</f>
        <v>0</v>
      </c>
      <c r="S219" s="48">
        <f>IF(Учет!$O219=Справочники!$F$4,Учет!$H219,0)</f>
        <v>0</v>
      </c>
      <c r="T219" s="48">
        <f>IF(Учет!$O219=Справочники!$F$5,Учет!$H219,0)</f>
        <v>0</v>
      </c>
      <c r="U219" s="48">
        <f>IF(Учет!$O219=Справочники!$F$6,Учет!$H219,0)</f>
        <v>0</v>
      </c>
      <c r="V219" s="43">
        <f>V218+Учет!$B219-Q219</f>
        <v>-488978.92000000004</v>
      </c>
      <c r="W219" s="43">
        <f>W218+Учет!$C219-R219</f>
        <v>336855</v>
      </c>
      <c r="X219" s="43">
        <f>X218+Учет!$D219-S219</f>
        <v>500</v>
      </c>
      <c r="Y219" s="43">
        <f>Y218+Учет!$E219-T219</f>
        <v>1150</v>
      </c>
      <c r="Z219" s="43">
        <f>Z218+Учет!$F219-U219</f>
        <v>500000</v>
      </c>
      <c r="AA219" s="45">
        <f>Учет!$I219</f>
        <v>349526.07999999996</v>
      </c>
    </row>
    <row r="220" spans="1:27" ht="15" customHeight="1" x14ac:dyDescent="0.25">
      <c r="A220" s="1"/>
      <c r="B220" s="17"/>
      <c r="C220" s="17"/>
      <c r="D220" s="17"/>
      <c r="E220" s="17"/>
      <c r="F220" s="17"/>
      <c r="G220" s="4">
        <f t="shared" si="6"/>
        <v>0</v>
      </c>
      <c r="H220" s="17"/>
      <c r="I220" s="4">
        <f t="shared" si="8"/>
        <v>349526.07999999996</v>
      </c>
      <c r="J220" s="32" t="str">
        <f t="shared" si="7"/>
        <v/>
      </c>
      <c r="K220" s="72"/>
      <c r="L220" s="72"/>
      <c r="M220" s="2"/>
      <c r="N220" s="5"/>
      <c r="O220" s="3"/>
      <c r="P220" s="6"/>
      <c r="Q220" s="48">
        <f>IF(Учет!$O220=Справочники!$F$2,Учет!$H220,0)</f>
        <v>0</v>
      </c>
      <c r="R220" s="48">
        <f>IF(Учет!$O220=Справочники!$F$3,Учет!$H220,0)</f>
        <v>0</v>
      </c>
      <c r="S220" s="48">
        <f>IF(Учет!$O220=Справочники!$F$4,Учет!$H220,0)</f>
        <v>0</v>
      </c>
      <c r="T220" s="48">
        <f>IF(Учет!$O220=Справочники!$F$5,Учет!$H220,0)</f>
        <v>0</v>
      </c>
      <c r="U220" s="48">
        <f>IF(Учет!$O220=Справочники!$F$6,Учет!$H220,0)</f>
        <v>0</v>
      </c>
      <c r="V220" s="43">
        <f>V219+Учет!$B220-Q220</f>
        <v>-488978.92000000004</v>
      </c>
      <c r="W220" s="43">
        <f>W219+Учет!$C220-R220</f>
        <v>336855</v>
      </c>
      <c r="X220" s="43">
        <f>X219+Учет!$D220-S220</f>
        <v>500</v>
      </c>
      <c r="Y220" s="43">
        <f>Y219+Учет!$E220-T220</f>
        <v>1150</v>
      </c>
      <c r="Z220" s="43">
        <f>Z219+Учет!$F220-U220</f>
        <v>500000</v>
      </c>
      <c r="AA220" s="45">
        <f>Учет!$I220</f>
        <v>349526.07999999996</v>
      </c>
    </row>
    <row r="221" spans="1:27" ht="15" customHeight="1" x14ac:dyDescent="0.25">
      <c r="A221" s="1"/>
      <c r="B221" s="17"/>
      <c r="C221" s="17"/>
      <c r="D221" s="17"/>
      <c r="E221" s="17"/>
      <c r="F221" s="17"/>
      <c r="G221" s="4">
        <f t="shared" si="6"/>
        <v>0</v>
      </c>
      <c r="H221" s="17"/>
      <c r="I221" s="4">
        <f t="shared" si="8"/>
        <v>349526.07999999996</v>
      </c>
      <c r="J221" s="32" t="str">
        <f t="shared" si="7"/>
        <v/>
      </c>
      <c r="K221" s="72"/>
      <c r="L221" s="72"/>
      <c r="M221" s="2"/>
      <c r="N221" s="5"/>
      <c r="O221" s="3"/>
      <c r="P221" s="6"/>
      <c r="Q221" s="48">
        <f>IF(Учет!$O221=Справочники!$F$2,Учет!$H221,0)</f>
        <v>0</v>
      </c>
      <c r="R221" s="48">
        <f>IF(Учет!$O221=Справочники!$F$3,Учет!$H221,0)</f>
        <v>0</v>
      </c>
      <c r="S221" s="48">
        <f>IF(Учет!$O221=Справочники!$F$4,Учет!$H221,0)</f>
        <v>0</v>
      </c>
      <c r="T221" s="48">
        <f>IF(Учет!$O221=Справочники!$F$5,Учет!$H221,0)</f>
        <v>0</v>
      </c>
      <c r="U221" s="48">
        <f>IF(Учет!$O221=Справочники!$F$6,Учет!$H221,0)</f>
        <v>0</v>
      </c>
      <c r="V221" s="43">
        <f>V220+Учет!$B221-Q221</f>
        <v>-488978.92000000004</v>
      </c>
      <c r="W221" s="43">
        <f>W220+Учет!$C221-R221</f>
        <v>336855</v>
      </c>
      <c r="X221" s="43">
        <f>X220+Учет!$D221-S221</f>
        <v>500</v>
      </c>
      <c r="Y221" s="43">
        <f>Y220+Учет!$E221-T221</f>
        <v>1150</v>
      </c>
      <c r="Z221" s="43">
        <f>Z220+Учет!$F221-U221</f>
        <v>500000</v>
      </c>
      <c r="AA221" s="45">
        <f>Учет!$I221</f>
        <v>349526.07999999996</v>
      </c>
    </row>
    <row r="222" spans="1:27" ht="15" customHeight="1" x14ac:dyDescent="0.25">
      <c r="A222" s="1"/>
      <c r="B222" s="17"/>
      <c r="C222" s="17"/>
      <c r="D222" s="17"/>
      <c r="E222" s="17"/>
      <c r="F222" s="17"/>
      <c r="G222" s="4">
        <f t="shared" si="6"/>
        <v>0</v>
      </c>
      <c r="H222" s="17"/>
      <c r="I222" s="4">
        <f t="shared" si="8"/>
        <v>349526.07999999996</v>
      </c>
      <c r="J222" s="32" t="str">
        <f t="shared" si="7"/>
        <v/>
      </c>
      <c r="K222" s="72"/>
      <c r="L222" s="72"/>
      <c r="M222" s="2"/>
      <c r="N222" s="5"/>
      <c r="O222" s="3"/>
      <c r="P222" s="6"/>
      <c r="Q222" s="48">
        <f>IF(Учет!$O222=Справочники!$F$2,Учет!$H222,0)</f>
        <v>0</v>
      </c>
      <c r="R222" s="48">
        <f>IF(Учет!$O222=Справочники!$F$3,Учет!$H222,0)</f>
        <v>0</v>
      </c>
      <c r="S222" s="48">
        <f>IF(Учет!$O222=Справочники!$F$4,Учет!$H222,0)</f>
        <v>0</v>
      </c>
      <c r="T222" s="48">
        <f>IF(Учет!$O222=Справочники!$F$5,Учет!$H222,0)</f>
        <v>0</v>
      </c>
      <c r="U222" s="48">
        <f>IF(Учет!$O222=Справочники!$F$6,Учет!$H222,0)</f>
        <v>0</v>
      </c>
      <c r="V222" s="43">
        <f>V221+Учет!$B222-Q222</f>
        <v>-488978.92000000004</v>
      </c>
      <c r="W222" s="43">
        <f>W221+Учет!$C222-R222</f>
        <v>336855</v>
      </c>
      <c r="X222" s="43">
        <f>X221+Учет!$D222-S222</f>
        <v>500</v>
      </c>
      <c r="Y222" s="43">
        <f>Y221+Учет!$E222-T222</f>
        <v>1150</v>
      </c>
      <c r="Z222" s="43">
        <f>Z221+Учет!$F222-U222</f>
        <v>500000</v>
      </c>
      <c r="AA222" s="45">
        <f>Учет!$I222</f>
        <v>349526.07999999996</v>
      </c>
    </row>
    <row r="223" spans="1:27" ht="15" customHeight="1" x14ac:dyDescent="0.25">
      <c r="A223" s="1"/>
      <c r="B223" s="17"/>
      <c r="C223" s="17"/>
      <c r="D223" s="17"/>
      <c r="E223" s="17"/>
      <c r="F223" s="17"/>
      <c r="G223" s="4">
        <f t="shared" si="6"/>
        <v>0</v>
      </c>
      <c r="H223" s="17"/>
      <c r="I223" s="4">
        <f t="shared" si="8"/>
        <v>349526.07999999996</v>
      </c>
      <c r="J223" s="32" t="str">
        <f t="shared" si="7"/>
        <v/>
      </c>
      <c r="K223" s="72"/>
      <c r="L223" s="72"/>
      <c r="M223" s="2"/>
      <c r="N223" s="5"/>
      <c r="O223" s="3"/>
      <c r="P223" s="6"/>
      <c r="Q223" s="48">
        <f>IF(Учет!$O223=Справочники!$F$2,Учет!$H223,0)</f>
        <v>0</v>
      </c>
      <c r="R223" s="48">
        <f>IF(Учет!$O223=Справочники!$F$3,Учет!$H223,0)</f>
        <v>0</v>
      </c>
      <c r="S223" s="48">
        <f>IF(Учет!$O223=Справочники!$F$4,Учет!$H223,0)</f>
        <v>0</v>
      </c>
      <c r="T223" s="48">
        <f>IF(Учет!$O223=Справочники!$F$5,Учет!$H223,0)</f>
        <v>0</v>
      </c>
      <c r="U223" s="48">
        <f>IF(Учет!$O223=Справочники!$F$6,Учет!$H223,0)</f>
        <v>0</v>
      </c>
      <c r="V223" s="43">
        <f>V222+Учет!$B223-Q223</f>
        <v>-488978.92000000004</v>
      </c>
      <c r="W223" s="43">
        <f>W222+Учет!$C223-R223</f>
        <v>336855</v>
      </c>
      <c r="X223" s="43">
        <f>X222+Учет!$D223-S223</f>
        <v>500</v>
      </c>
      <c r="Y223" s="43">
        <f>Y222+Учет!$E223-T223</f>
        <v>1150</v>
      </c>
      <c r="Z223" s="43">
        <f>Z222+Учет!$F223-U223</f>
        <v>500000</v>
      </c>
      <c r="AA223" s="45">
        <f>Учет!$I223</f>
        <v>349526.07999999996</v>
      </c>
    </row>
    <row r="224" spans="1:27" ht="15" customHeight="1" x14ac:dyDescent="0.25">
      <c r="A224" s="1"/>
      <c r="B224" s="17"/>
      <c r="C224" s="17"/>
      <c r="D224" s="17"/>
      <c r="E224" s="17"/>
      <c r="F224" s="17"/>
      <c r="G224" s="4">
        <f t="shared" si="6"/>
        <v>0</v>
      </c>
      <c r="H224" s="17"/>
      <c r="I224" s="4">
        <f t="shared" si="8"/>
        <v>349526.07999999996</v>
      </c>
      <c r="J224" s="32" t="str">
        <f t="shared" si="7"/>
        <v/>
      </c>
      <c r="K224" s="72"/>
      <c r="L224" s="72"/>
      <c r="M224" s="2"/>
      <c r="N224" s="5"/>
      <c r="O224" s="3"/>
      <c r="P224" s="6"/>
      <c r="Q224" s="48">
        <f>IF(Учет!$O224=Справочники!$F$2,Учет!$H224,0)</f>
        <v>0</v>
      </c>
      <c r="R224" s="48">
        <f>IF(Учет!$O224=Справочники!$F$3,Учет!$H224,0)</f>
        <v>0</v>
      </c>
      <c r="S224" s="48">
        <f>IF(Учет!$O224=Справочники!$F$4,Учет!$H224,0)</f>
        <v>0</v>
      </c>
      <c r="T224" s="48">
        <f>IF(Учет!$O224=Справочники!$F$5,Учет!$H224,0)</f>
        <v>0</v>
      </c>
      <c r="U224" s="48">
        <f>IF(Учет!$O224=Справочники!$F$6,Учет!$H224,0)</f>
        <v>0</v>
      </c>
      <c r="V224" s="43">
        <f>V223+Учет!$B224-Q224</f>
        <v>-488978.92000000004</v>
      </c>
      <c r="W224" s="43">
        <f>W223+Учет!$C224-R224</f>
        <v>336855</v>
      </c>
      <c r="X224" s="43">
        <f>X223+Учет!$D224-S224</f>
        <v>500</v>
      </c>
      <c r="Y224" s="43">
        <f>Y223+Учет!$E224-T224</f>
        <v>1150</v>
      </c>
      <c r="Z224" s="43">
        <f>Z223+Учет!$F224-U224</f>
        <v>500000</v>
      </c>
      <c r="AA224" s="45">
        <f>Учет!$I224</f>
        <v>349526.07999999996</v>
      </c>
    </row>
    <row r="225" spans="1:27" ht="15" customHeight="1" x14ac:dyDescent="0.25">
      <c r="A225" s="1"/>
      <c r="B225" s="17"/>
      <c r="C225" s="17"/>
      <c r="D225" s="17"/>
      <c r="E225" s="17"/>
      <c r="F225" s="17"/>
      <c r="G225" s="4">
        <f t="shared" si="6"/>
        <v>0</v>
      </c>
      <c r="H225" s="17"/>
      <c r="I225" s="4">
        <f t="shared" si="8"/>
        <v>349526.07999999996</v>
      </c>
      <c r="J225" s="32" t="str">
        <f t="shared" si="7"/>
        <v/>
      </c>
      <c r="K225" s="72"/>
      <c r="L225" s="72"/>
      <c r="M225" s="2"/>
      <c r="N225" s="5"/>
      <c r="O225" s="3"/>
      <c r="P225" s="6"/>
      <c r="Q225" s="48">
        <f>IF(Учет!$O225=Справочники!$F$2,Учет!$H225,0)</f>
        <v>0</v>
      </c>
      <c r="R225" s="48">
        <f>IF(Учет!$O225=Справочники!$F$3,Учет!$H225,0)</f>
        <v>0</v>
      </c>
      <c r="S225" s="48">
        <f>IF(Учет!$O225=Справочники!$F$4,Учет!$H225,0)</f>
        <v>0</v>
      </c>
      <c r="T225" s="48">
        <f>IF(Учет!$O225=Справочники!$F$5,Учет!$H225,0)</f>
        <v>0</v>
      </c>
      <c r="U225" s="48">
        <f>IF(Учет!$O225=Справочники!$F$6,Учет!$H225,0)</f>
        <v>0</v>
      </c>
      <c r="V225" s="43">
        <f>V224+Учет!$B225-Q225</f>
        <v>-488978.92000000004</v>
      </c>
      <c r="W225" s="43">
        <f>W224+Учет!$C225-R225</f>
        <v>336855</v>
      </c>
      <c r="X225" s="43">
        <f>X224+Учет!$D225-S225</f>
        <v>500</v>
      </c>
      <c r="Y225" s="43">
        <f>Y224+Учет!$E225-T225</f>
        <v>1150</v>
      </c>
      <c r="Z225" s="43">
        <f>Z224+Учет!$F225-U225</f>
        <v>500000</v>
      </c>
      <c r="AA225" s="45">
        <f>Учет!$I225</f>
        <v>349526.07999999996</v>
      </c>
    </row>
    <row r="226" spans="1:27" ht="15" customHeight="1" x14ac:dyDescent="0.25">
      <c r="A226" s="1"/>
      <c r="B226" s="17"/>
      <c r="C226" s="17"/>
      <c r="D226" s="17"/>
      <c r="E226" s="17"/>
      <c r="F226" s="17"/>
      <c r="G226" s="4">
        <f t="shared" si="6"/>
        <v>0</v>
      </c>
      <c r="H226" s="17"/>
      <c r="I226" s="4">
        <f t="shared" si="8"/>
        <v>349526.07999999996</v>
      </c>
      <c r="J226" s="32" t="str">
        <f t="shared" si="7"/>
        <v/>
      </c>
      <c r="K226" s="72"/>
      <c r="L226" s="72"/>
      <c r="M226" s="2"/>
      <c r="N226" s="5"/>
      <c r="O226" s="3"/>
      <c r="P226" s="6"/>
      <c r="Q226" s="48">
        <f>IF(Учет!$O226=Справочники!$F$2,Учет!$H226,0)</f>
        <v>0</v>
      </c>
      <c r="R226" s="48">
        <f>IF(Учет!$O226=Справочники!$F$3,Учет!$H226,0)</f>
        <v>0</v>
      </c>
      <c r="S226" s="48">
        <f>IF(Учет!$O226=Справочники!$F$4,Учет!$H226,0)</f>
        <v>0</v>
      </c>
      <c r="T226" s="48">
        <f>IF(Учет!$O226=Справочники!$F$5,Учет!$H226,0)</f>
        <v>0</v>
      </c>
      <c r="U226" s="48">
        <f>IF(Учет!$O226=Справочники!$F$6,Учет!$H226,0)</f>
        <v>0</v>
      </c>
      <c r="V226" s="43">
        <f>V225+Учет!$B226-Q226</f>
        <v>-488978.92000000004</v>
      </c>
      <c r="W226" s="43">
        <f>W225+Учет!$C226-R226</f>
        <v>336855</v>
      </c>
      <c r="X226" s="43">
        <f>X225+Учет!$D226-S226</f>
        <v>500</v>
      </c>
      <c r="Y226" s="43">
        <f>Y225+Учет!$E226-T226</f>
        <v>1150</v>
      </c>
      <c r="Z226" s="43">
        <f>Z225+Учет!$F226-U226</f>
        <v>500000</v>
      </c>
      <c r="AA226" s="45">
        <f>Учет!$I226</f>
        <v>349526.07999999996</v>
      </c>
    </row>
    <row r="227" spans="1:27" ht="15" customHeight="1" x14ac:dyDescent="0.25">
      <c r="A227" s="1"/>
      <c r="B227" s="17"/>
      <c r="C227" s="17"/>
      <c r="D227" s="17"/>
      <c r="E227" s="17"/>
      <c r="F227" s="17"/>
      <c r="G227" s="4">
        <f t="shared" si="6"/>
        <v>0</v>
      </c>
      <c r="H227" s="17"/>
      <c r="I227" s="4">
        <f t="shared" si="8"/>
        <v>349526.07999999996</v>
      </c>
      <c r="J227" s="32" t="str">
        <f t="shared" si="7"/>
        <v/>
      </c>
      <c r="K227" s="72"/>
      <c r="L227" s="72"/>
      <c r="M227" s="2"/>
      <c r="N227" s="5"/>
      <c r="O227" s="3"/>
      <c r="P227" s="6"/>
      <c r="Q227" s="48">
        <f>IF(Учет!$O227=Справочники!$F$2,Учет!$H227,0)</f>
        <v>0</v>
      </c>
      <c r="R227" s="48">
        <f>IF(Учет!$O227=Справочники!$F$3,Учет!$H227,0)</f>
        <v>0</v>
      </c>
      <c r="S227" s="48">
        <f>IF(Учет!$O227=Справочники!$F$4,Учет!$H227,0)</f>
        <v>0</v>
      </c>
      <c r="T227" s="48">
        <f>IF(Учет!$O227=Справочники!$F$5,Учет!$H227,0)</f>
        <v>0</v>
      </c>
      <c r="U227" s="48">
        <f>IF(Учет!$O227=Справочники!$F$6,Учет!$H227,0)</f>
        <v>0</v>
      </c>
      <c r="V227" s="43">
        <f>V226+Учет!$B227-Q227</f>
        <v>-488978.92000000004</v>
      </c>
      <c r="W227" s="43">
        <f>W226+Учет!$C227-R227</f>
        <v>336855</v>
      </c>
      <c r="X227" s="43">
        <f>X226+Учет!$D227-S227</f>
        <v>500</v>
      </c>
      <c r="Y227" s="43">
        <f>Y226+Учет!$E227-T227</f>
        <v>1150</v>
      </c>
      <c r="Z227" s="43">
        <f>Z226+Учет!$F227-U227</f>
        <v>500000</v>
      </c>
      <c r="AA227" s="45">
        <f>Учет!$I227</f>
        <v>349526.07999999996</v>
      </c>
    </row>
    <row r="228" spans="1:27" ht="15" customHeight="1" x14ac:dyDescent="0.25">
      <c r="A228" s="1"/>
      <c r="B228" s="17"/>
      <c r="C228" s="17"/>
      <c r="D228" s="17"/>
      <c r="E228" s="17"/>
      <c r="F228" s="17"/>
      <c r="G228" s="4">
        <f t="shared" si="6"/>
        <v>0</v>
      </c>
      <c r="H228" s="17"/>
      <c r="I228" s="4">
        <f t="shared" si="8"/>
        <v>349526.07999999996</v>
      </c>
      <c r="J228" s="32" t="str">
        <f t="shared" si="7"/>
        <v/>
      </c>
      <c r="K228" s="72"/>
      <c r="L228" s="72"/>
      <c r="M228" s="2"/>
      <c r="N228" s="5"/>
      <c r="O228" s="3"/>
      <c r="P228" s="6"/>
      <c r="Q228" s="48">
        <f>IF(Учет!$O228=Справочники!$F$2,Учет!$H228,0)</f>
        <v>0</v>
      </c>
      <c r="R228" s="48">
        <f>IF(Учет!$O228=Справочники!$F$3,Учет!$H228,0)</f>
        <v>0</v>
      </c>
      <c r="S228" s="48">
        <f>IF(Учет!$O228=Справочники!$F$4,Учет!$H228,0)</f>
        <v>0</v>
      </c>
      <c r="T228" s="48">
        <f>IF(Учет!$O228=Справочники!$F$5,Учет!$H228,0)</f>
        <v>0</v>
      </c>
      <c r="U228" s="48">
        <f>IF(Учет!$O228=Справочники!$F$6,Учет!$H228,0)</f>
        <v>0</v>
      </c>
      <c r="V228" s="43">
        <f>V227+Учет!$B228-Q228</f>
        <v>-488978.92000000004</v>
      </c>
      <c r="W228" s="43">
        <f>W227+Учет!$C228-R228</f>
        <v>336855</v>
      </c>
      <c r="X228" s="43">
        <f>X227+Учет!$D228-S228</f>
        <v>500</v>
      </c>
      <c r="Y228" s="43">
        <f>Y227+Учет!$E228-T228</f>
        <v>1150</v>
      </c>
      <c r="Z228" s="43">
        <f>Z227+Учет!$F228-U228</f>
        <v>500000</v>
      </c>
      <c r="AA228" s="45">
        <f>Учет!$I228</f>
        <v>349526.07999999996</v>
      </c>
    </row>
    <row r="229" spans="1:27" ht="15" customHeight="1" x14ac:dyDescent="0.25">
      <c r="A229" s="1"/>
      <c r="B229" s="17"/>
      <c r="C229" s="17"/>
      <c r="D229" s="17"/>
      <c r="E229" s="17"/>
      <c r="F229" s="17"/>
      <c r="G229" s="4">
        <f t="shared" si="6"/>
        <v>0</v>
      </c>
      <c r="H229" s="17"/>
      <c r="I229" s="4">
        <f t="shared" si="8"/>
        <v>349526.07999999996</v>
      </c>
      <c r="J229" s="32" t="str">
        <f t="shared" si="7"/>
        <v/>
      </c>
      <c r="K229" s="72"/>
      <c r="L229" s="72"/>
      <c r="M229" s="2"/>
      <c r="N229" s="5"/>
      <c r="O229" s="3"/>
      <c r="P229" s="6"/>
      <c r="Q229" s="48">
        <f>IF(Учет!$O229=Справочники!$F$2,Учет!$H229,0)</f>
        <v>0</v>
      </c>
      <c r="R229" s="48">
        <f>IF(Учет!$O229=Справочники!$F$3,Учет!$H229,0)</f>
        <v>0</v>
      </c>
      <c r="S229" s="48">
        <f>IF(Учет!$O229=Справочники!$F$4,Учет!$H229,0)</f>
        <v>0</v>
      </c>
      <c r="T229" s="48">
        <f>IF(Учет!$O229=Справочники!$F$5,Учет!$H229,0)</f>
        <v>0</v>
      </c>
      <c r="U229" s="48">
        <f>IF(Учет!$O229=Справочники!$F$6,Учет!$H229,0)</f>
        <v>0</v>
      </c>
      <c r="V229" s="43">
        <f>V228+Учет!$B229-Q229</f>
        <v>-488978.92000000004</v>
      </c>
      <c r="W229" s="43">
        <f>W228+Учет!$C229-R229</f>
        <v>336855</v>
      </c>
      <c r="X229" s="43">
        <f>X228+Учет!$D229-S229</f>
        <v>500</v>
      </c>
      <c r="Y229" s="43">
        <f>Y228+Учет!$E229-T229</f>
        <v>1150</v>
      </c>
      <c r="Z229" s="43">
        <f>Z228+Учет!$F229-U229</f>
        <v>500000</v>
      </c>
      <c r="AA229" s="45">
        <f>Учет!$I229</f>
        <v>349526.07999999996</v>
      </c>
    </row>
    <row r="230" spans="1:27" ht="15" customHeight="1" x14ac:dyDescent="0.25">
      <c r="A230" s="1"/>
      <c r="B230" s="17"/>
      <c r="C230" s="17"/>
      <c r="D230" s="17"/>
      <c r="E230" s="17"/>
      <c r="F230" s="17"/>
      <c r="G230" s="4">
        <f t="shared" si="6"/>
        <v>0</v>
      </c>
      <c r="H230" s="17"/>
      <c r="I230" s="4">
        <f t="shared" si="8"/>
        <v>349526.07999999996</v>
      </c>
      <c r="J230" s="32" t="str">
        <f t="shared" si="7"/>
        <v/>
      </c>
      <c r="K230" s="72"/>
      <c r="L230" s="72"/>
      <c r="M230" s="2"/>
      <c r="N230" s="5"/>
      <c r="O230" s="3"/>
      <c r="P230" s="6"/>
      <c r="Q230" s="48">
        <f>IF(Учет!$O230=Справочники!$F$2,Учет!$H230,0)</f>
        <v>0</v>
      </c>
      <c r="R230" s="48">
        <f>IF(Учет!$O230=Справочники!$F$3,Учет!$H230,0)</f>
        <v>0</v>
      </c>
      <c r="S230" s="48">
        <f>IF(Учет!$O230=Справочники!$F$4,Учет!$H230,0)</f>
        <v>0</v>
      </c>
      <c r="T230" s="48">
        <f>IF(Учет!$O230=Справочники!$F$5,Учет!$H230,0)</f>
        <v>0</v>
      </c>
      <c r="U230" s="48">
        <f>IF(Учет!$O230=Справочники!$F$6,Учет!$H230,0)</f>
        <v>0</v>
      </c>
      <c r="V230" s="43">
        <f>V229+Учет!$B230-Q230</f>
        <v>-488978.92000000004</v>
      </c>
      <c r="W230" s="43">
        <f>W229+Учет!$C230-R230</f>
        <v>336855</v>
      </c>
      <c r="X230" s="43">
        <f>X229+Учет!$D230-S230</f>
        <v>500</v>
      </c>
      <c r="Y230" s="43">
        <f>Y229+Учет!$E230-T230</f>
        <v>1150</v>
      </c>
      <c r="Z230" s="43">
        <f>Z229+Учет!$F230-U230</f>
        <v>500000</v>
      </c>
      <c r="AA230" s="45">
        <f>Учет!$I230</f>
        <v>349526.07999999996</v>
      </c>
    </row>
    <row r="231" spans="1:27" ht="15" customHeight="1" x14ac:dyDescent="0.25">
      <c r="A231" s="1"/>
      <c r="B231" s="17"/>
      <c r="C231" s="17"/>
      <c r="D231" s="17"/>
      <c r="E231" s="17"/>
      <c r="F231" s="17"/>
      <c r="G231" s="4">
        <f t="shared" si="6"/>
        <v>0</v>
      </c>
      <c r="H231" s="17"/>
      <c r="I231" s="4">
        <f t="shared" si="8"/>
        <v>349526.07999999996</v>
      </c>
      <c r="J231" s="32" t="str">
        <f t="shared" si="7"/>
        <v/>
      </c>
      <c r="K231" s="72"/>
      <c r="L231" s="72"/>
      <c r="M231" s="2"/>
      <c r="N231" s="5"/>
      <c r="O231" s="3"/>
      <c r="P231" s="6"/>
      <c r="Q231" s="48">
        <f>IF(Учет!$O231=Справочники!$F$2,Учет!$H231,0)</f>
        <v>0</v>
      </c>
      <c r="R231" s="48">
        <f>IF(Учет!$O231=Справочники!$F$3,Учет!$H231,0)</f>
        <v>0</v>
      </c>
      <c r="S231" s="48">
        <f>IF(Учет!$O231=Справочники!$F$4,Учет!$H231,0)</f>
        <v>0</v>
      </c>
      <c r="T231" s="48">
        <f>IF(Учет!$O231=Справочники!$F$5,Учет!$H231,0)</f>
        <v>0</v>
      </c>
      <c r="U231" s="48">
        <f>IF(Учет!$O231=Справочники!$F$6,Учет!$H231,0)</f>
        <v>0</v>
      </c>
      <c r="V231" s="43">
        <f>V230+Учет!$B231-Q231</f>
        <v>-488978.92000000004</v>
      </c>
      <c r="W231" s="43">
        <f>W230+Учет!$C231-R231</f>
        <v>336855</v>
      </c>
      <c r="X231" s="43">
        <f>X230+Учет!$D231-S231</f>
        <v>500</v>
      </c>
      <c r="Y231" s="43">
        <f>Y230+Учет!$E231-T231</f>
        <v>1150</v>
      </c>
      <c r="Z231" s="43">
        <f>Z230+Учет!$F231-U231</f>
        <v>500000</v>
      </c>
      <c r="AA231" s="45">
        <f>Учет!$I231</f>
        <v>349526.07999999996</v>
      </c>
    </row>
    <row r="232" spans="1:27" ht="15" customHeight="1" x14ac:dyDescent="0.25">
      <c r="A232" s="1"/>
      <c r="B232" s="17"/>
      <c r="C232" s="17"/>
      <c r="D232" s="17"/>
      <c r="E232" s="17"/>
      <c r="F232" s="17"/>
      <c r="G232" s="4">
        <f t="shared" si="6"/>
        <v>0</v>
      </c>
      <c r="H232" s="17"/>
      <c r="I232" s="4">
        <f t="shared" si="8"/>
        <v>349526.07999999996</v>
      </c>
      <c r="J232" s="32" t="str">
        <f t="shared" si="7"/>
        <v/>
      </c>
      <c r="K232" s="72"/>
      <c r="L232" s="72"/>
      <c r="M232" s="2"/>
      <c r="N232" s="5"/>
      <c r="O232" s="3"/>
      <c r="P232" s="6"/>
      <c r="Q232" s="48">
        <f>IF(Учет!$O232=Справочники!$F$2,Учет!$H232,0)</f>
        <v>0</v>
      </c>
      <c r="R232" s="48">
        <f>IF(Учет!$O232=Справочники!$F$3,Учет!$H232,0)</f>
        <v>0</v>
      </c>
      <c r="S232" s="48">
        <f>IF(Учет!$O232=Справочники!$F$4,Учет!$H232,0)</f>
        <v>0</v>
      </c>
      <c r="T232" s="48">
        <f>IF(Учет!$O232=Справочники!$F$5,Учет!$H232,0)</f>
        <v>0</v>
      </c>
      <c r="U232" s="48">
        <f>IF(Учет!$O232=Справочники!$F$6,Учет!$H232,0)</f>
        <v>0</v>
      </c>
      <c r="V232" s="43">
        <f>V231+Учет!$B232-Q232</f>
        <v>-488978.92000000004</v>
      </c>
      <c r="W232" s="43">
        <f>W231+Учет!$C232-R232</f>
        <v>336855</v>
      </c>
      <c r="X232" s="43">
        <f>X231+Учет!$D232-S232</f>
        <v>500</v>
      </c>
      <c r="Y232" s="43">
        <f>Y231+Учет!$E232-T232</f>
        <v>1150</v>
      </c>
      <c r="Z232" s="43">
        <f>Z231+Учет!$F232-U232</f>
        <v>500000</v>
      </c>
      <c r="AA232" s="45">
        <f>Учет!$I232</f>
        <v>349526.07999999996</v>
      </c>
    </row>
    <row r="233" spans="1:27" ht="15" customHeight="1" x14ac:dyDescent="0.25">
      <c r="A233" s="1"/>
      <c r="B233" s="17"/>
      <c r="C233" s="17"/>
      <c r="D233" s="17"/>
      <c r="E233" s="17"/>
      <c r="F233" s="17"/>
      <c r="G233" s="4">
        <f t="shared" si="6"/>
        <v>0</v>
      </c>
      <c r="H233" s="17"/>
      <c r="I233" s="4">
        <f t="shared" si="8"/>
        <v>349526.07999999996</v>
      </c>
      <c r="J233" s="32" t="str">
        <f t="shared" si="7"/>
        <v/>
      </c>
      <c r="K233" s="72"/>
      <c r="L233" s="72"/>
      <c r="M233" s="2"/>
      <c r="N233" s="5"/>
      <c r="O233" s="3"/>
      <c r="P233" s="6"/>
      <c r="Q233" s="48">
        <f>IF(Учет!$O233=Справочники!$F$2,Учет!$H233,0)</f>
        <v>0</v>
      </c>
      <c r="R233" s="48">
        <f>IF(Учет!$O233=Справочники!$F$3,Учет!$H233,0)</f>
        <v>0</v>
      </c>
      <c r="S233" s="48">
        <f>IF(Учет!$O233=Справочники!$F$4,Учет!$H233,0)</f>
        <v>0</v>
      </c>
      <c r="T233" s="48">
        <f>IF(Учет!$O233=Справочники!$F$5,Учет!$H233,0)</f>
        <v>0</v>
      </c>
      <c r="U233" s="48">
        <f>IF(Учет!$O233=Справочники!$F$6,Учет!$H233,0)</f>
        <v>0</v>
      </c>
      <c r="V233" s="43">
        <f>V232+Учет!$B233-Q233</f>
        <v>-488978.92000000004</v>
      </c>
      <c r="W233" s="43">
        <f>W232+Учет!$C233-R233</f>
        <v>336855</v>
      </c>
      <c r="X233" s="43">
        <f>X232+Учет!$D233-S233</f>
        <v>500</v>
      </c>
      <c r="Y233" s="43">
        <f>Y232+Учет!$E233-T233</f>
        <v>1150</v>
      </c>
      <c r="Z233" s="43">
        <f>Z232+Учет!$F233-U233</f>
        <v>500000</v>
      </c>
      <c r="AA233" s="45">
        <f>Учет!$I233</f>
        <v>349526.07999999996</v>
      </c>
    </row>
    <row r="234" spans="1:27" ht="15" customHeight="1" x14ac:dyDescent="0.25">
      <c r="A234" s="1"/>
      <c r="B234" s="17"/>
      <c r="C234" s="17"/>
      <c r="D234" s="17"/>
      <c r="E234" s="17"/>
      <c r="F234" s="17"/>
      <c r="G234" s="4">
        <f t="shared" si="6"/>
        <v>0</v>
      </c>
      <c r="H234" s="17"/>
      <c r="I234" s="4">
        <f t="shared" si="8"/>
        <v>349526.07999999996</v>
      </c>
      <c r="J234" s="32" t="str">
        <f t="shared" si="7"/>
        <v/>
      </c>
      <c r="K234" s="72"/>
      <c r="L234" s="72"/>
      <c r="M234" s="2"/>
      <c r="N234" s="5"/>
      <c r="O234" s="3"/>
      <c r="P234" s="6"/>
      <c r="Q234" s="48">
        <f>IF(Учет!$O234=Справочники!$F$2,Учет!$H234,0)</f>
        <v>0</v>
      </c>
      <c r="R234" s="48">
        <f>IF(Учет!$O234=Справочники!$F$3,Учет!$H234,0)</f>
        <v>0</v>
      </c>
      <c r="S234" s="48">
        <f>IF(Учет!$O234=Справочники!$F$4,Учет!$H234,0)</f>
        <v>0</v>
      </c>
      <c r="T234" s="48">
        <f>IF(Учет!$O234=Справочники!$F$5,Учет!$H234,0)</f>
        <v>0</v>
      </c>
      <c r="U234" s="48">
        <f>IF(Учет!$O234=Справочники!$F$6,Учет!$H234,0)</f>
        <v>0</v>
      </c>
      <c r="V234" s="43">
        <f>V233+Учет!$B234-Q234</f>
        <v>-488978.92000000004</v>
      </c>
      <c r="W234" s="43">
        <f>W233+Учет!$C234-R234</f>
        <v>336855</v>
      </c>
      <c r="X234" s="43">
        <f>X233+Учет!$D234-S234</f>
        <v>500</v>
      </c>
      <c r="Y234" s="43">
        <f>Y233+Учет!$E234-T234</f>
        <v>1150</v>
      </c>
      <c r="Z234" s="43">
        <f>Z233+Учет!$F234-U234</f>
        <v>500000</v>
      </c>
      <c r="AA234" s="45">
        <f>Учет!$I234</f>
        <v>349526.07999999996</v>
      </c>
    </row>
    <row r="235" spans="1:27" ht="15" customHeight="1" x14ac:dyDescent="0.25">
      <c r="A235" s="1"/>
      <c r="B235" s="17"/>
      <c r="C235" s="17"/>
      <c r="D235" s="17"/>
      <c r="E235" s="17"/>
      <c r="F235" s="17"/>
      <c r="G235" s="4">
        <f t="shared" si="6"/>
        <v>0</v>
      </c>
      <c r="H235" s="17"/>
      <c r="I235" s="4">
        <f t="shared" si="8"/>
        <v>349526.07999999996</v>
      </c>
      <c r="J235" s="32" t="str">
        <f t="shared" si="7"/>
        <v/>
      </c>
      <c r="K235" s="72"/>
      <c r="L235" s="72"/>
      <c r="M235" s="2"/>
      <c r="N235" s="5"/>
      <c r="O235" s="3"/>
      <c r="P235" s="6"/>
      <c r="Q235" s="48">
        <f>IF(Учет!$O235=Справочники!$F$2,Учет!$H235,0)</f>
        <v>0</v>
      </c>
      <c r="R235" s="48">
        <f>IF(Учет!$O235=Справочники!$F$3,Учет!$H235,0)</f>
        <v>0</v>
      </c>
      <c r="S235" s="48">
        <f>IF(Учет!$O235=Справочники!$F$4,Учет!$H235,0)</f>
        <v>0</v>
      </c>
      <c r="T235" s="48">
        <f>IF(Учет!$O235=Справочники!$F$5,Учет!$H235,0)</f>
        <v>0</v>
      </c>
      <c r="U235" s="48">
        <f>IF(Учет!$O235=Справочники!$F$6,Учет!$H235,0)</f>
        <v>0</v>
      </c>
      <c r="V235" s="43">
        <f>V234+Учет!$B235-Q235</f>
        <v>-488978.92000000004</v>
      </c>
      <c r="W235" s="43">
        <f>W234+Учет!$C235-R235</f>
        <v>336855</v>
      </c>
      <c r="X235" s="43">
        <f>X234+Учет!$D235-S235</f>
        <v>500</v>
      </c>
      <c r="Y235" s="43">
        <f>Y234+Учет!$E235-T235</f>
        <v>1150</v>
      </c>
      <c r="Z235" s="43">
        <f>Z234+Учет!$F235-U235</f>
        <v>500000</v>
      </c>
      <c r="AA235" s="45">
        <f>Учет!$I235</f>
        <v>349526.07999999996</v>
      </c>
    </row>
    <row r="236" spans="1:27" ht="15" customHeight="1" x14ac:dyDescent="0.25">
      <c r="A236" s="1"/>
      <c r="B236" s="17"/>
      <c r="C236" s="17"/>
      <c r="D236" s="17"/>
      <c r="E236" s="17"/>
      <c r="F236" s="17"/>
      <c r="G236" s="4">
        <f t="shared" si="6"/>
        <v>0</v>
      </c>
      <c r="H236" s="17"/>
      <c r="I236" s="4">
        <f t="shared" si="8"/>
        <v>349526.07999999996</v>
      </c>
      <c r="J236" s="32" t="str">
        <f t="shared" si="7"/>
        <v/>
      </c>
      <c r="K236" s="72"/>
      <c r="L236" s="72"/>
      <c r="M236" s="2"/>
      <c r="N236" s="5"/>
      <c r="O236" s="3"/>
      <c r="P236" s="6"/>
      <c r="Q236" s="48">
        <f>IF(Учет!$O236=Справочники!$F$2,Учет!$H236,0)</f>
        <v>0</v>
      </c>
      <c r="R236" s="48">
        <f>IF(Учет!$O236=Справочники!$F$3,Учет!$H236,0)</f>
        <v>0</v>
      </c>
      <c r="S236" s="48">
        <f>IF(Учет!$O236=Справочники!$F$4,Учет!$H236,0)</f>
        <v>0</v>
      </c>
      <c r="T236" s="48">
        <f>IF(Учет!$O236=Справочники!$F$5,Учет!$H236,0)</f>
        <v>0</v>
      </c>
      <c r="U236" s="48">
        <f>IF(Учет!$O236=Справочники!$F$6,Учет!$H236,0)</f>
        <v>0</v>
      </c>
      <c r="V236" s="43">
        <f>V235+Учет!$B236-Q236</f>
        <v>-488978.92000000004</v>
      </c>
      <c r="W236" s="43">
        <f>W235+Учет!$C236-R236</f>
        <v>336855</v>
      </c>
      <c r="X236" s="43">
        <f>X235+Учет!$D236-S236</f>
        <v>500</v>
      </c>
      <c r="Y236" s="43">
        <f>Y235+Учет!$E236-T236</f>
        <v>1150</v>
      </c>
      <c r="Z236" s="43">
        <f>Z235+Учет!$F236-U236</f>
        <v>500000</v>
      </c>
      <c r="AA236" s="45">
        <f>Учет!$I236</f>
        <v>349526.07999999996</v>
      </c>
    </row>
    <row r="237" spans="1:27" ht="15" customHeight="1" x14ac:dyDescent="0.25">
      <c r="A237" s="1"/>
      <c r="B237" s="17"/>
      <c r="C237" s="17"/>
      <c r="D237" s="17"/>
      <c r="E237" s="17"/>
      <c r="F237" s="17"/>
      <c r="G237" s="4">
        <f t="shared" si="6"/>
        <v>0</v>
      </c>
      <c r="H237" s="17"/>
      <c r="I237" s="4">
        <f t="shared" si="8"/>
        <v>349526.07999999996</v>
      </c>
      <c r="J237" s="32" t="str">
        <f t="shared" si="7"/>
        <v/>
      </c>
      <c r="K237" s="72"/>
      <c r="L237" s="72"/>
      <c r="M237" s="2"/>
      <c r="N237" s="5"/>
      <c r="O237" s="3"/>
      <c r="P237" s="6"/>
      <c r="Q237" s="48">
        <f>IF(Учет!$O237=Справочники!$F$2,Учет!$H237,0)</f>
        <v>0</v>
      </c>
      <c r="R237" s="48">
        <f>IF(Учет!$O237=Справочники!$F$3,Учет!$H237,0)</f>
        <v>0</v>
      </c>
      <c r="S237" s="48">
        <f>IF(Учет!$O237=Справочники!$F$4,Учет!$H237,0)</f>
        <v>0</v>
      </c>
      <c r="T237" s="48">
        <f>IF(Учет!$O237=Справочники!$F$5,Учет!$H237,0)</f>
        <v>0</v>
      </c>
      <c r="U237" s="48">
        <f>IF(Учет!$O237=Справочники!$F$6,Учет!$H237,0)</f>
        <v>0</v>
      </c>
      <c r="V237" s="43">
        <f>V236+Учет!$B237-Q237</f>
        <v>-488978.92000000004</v>
      </c>
      <c r="W237" s="43">
        <f>W236+Учет!$C237-R237</f>
        <v>336855</v>
      </c>
      <c r="X237" s="43">
        <f>X236+Учет!$D237-S237</f>
        <v>500</v>
      </c>
      <c r="Y237" s="43">
        <f>Y236+Учет!$E237-T237</f>
        <v>1150</v>
      </c>
      <c r="Z237" s="43">
        <f>Z236+Учет!$F237-U237</f>
        <v>500000</v>
      </c>
      <c r="AA237" s="45">
        <f>Учет!$I237</f>
        <v>349526.07999999996</v>
      </c>
    </row>
    <row r="238" spans="1:27" ht="15" customHeight="1" x14ac:dyDescent="0.25">
      <c r="A238" s="1"/>
      <c r="B238" s="17"/>
      <c r="C238" s="17"/>
      <c r="D238" s="17"/>
      <c r="E238" s="17"/>
      <c r="F238" s="17"/>
      <c r="G238" s="4">
        <f t="shared" si="6"/>
        <v>0</v>
      </c>
      <c r="H238" s="17"/>
      <c r="I238" s="4">
        <f t="shared" si="8"/>
        <v>349526.07999999996</v>
      </c>
      <c r="J238" s="32" t="str">
        <f t="shared" si="7"/>
        <v/>
      </c>
      <c r="K238" s="72"/>
      <c r="L238" s="72"/>
      <c r="M238" s="2"/>
      <c r="N238" s="5"/>
      <c r="O238" s="3"/>
      <c r="P238" s="6"/>
      <c r="Q238" s="48">
        <f>IF(Учет!$O238=Справочники!$F$2,Учет!$H238,0)</f>
        <v>0</v>
      </c>
      <c r="R238" s="48">
        <f>IF(Учет!$O238=Справочники!$F$3,Учет!$H238,0)</f>
        <v>0</v>
      </c>
      <c r="S238" s="48">
        <f>IF(Учет!$O238=Справочники!$F$4,Учет!$H238,0)</f>
        <v>0</v>
      </c>
      <c r="T238" s="48">
        <f>IF(Учет!$O238=Справочники!$F$5,Учет!$H238,0)</f>
        <v>0</v>
      </c>
      <c r="U238" s="48">
        <f>IF(Учет!$O238=Справочники!$F$6,Учет!$H238,0)</f>
        <v>0</v>
      </c>
      <c r="V238" s="43">
        <f>V237+Учет!$B238-Q238</f>
        <v>-488978.92000000004</v>
      </c>
      <c r="W238" s="43">
        <f>W237+Учет!$C238-R238</f>
        <v>336855</v>
      </c>
      <c r="X238" s="43">
        <f>X237+Учет!$D238-S238</f>
        <v>500</v>
      </c>
      <c r="Y238" s="43">
        <f>Y237+Учет!$E238-T238</f>
        <v>1150</v>
      </c>
      <c r="Z238" s="43">
        <f>Z237+Учет!$F238-U238</f>
        <v>500000</v>
      </c>
      <c r="AA238" s="45">
        <f>Учет!$I238</f>
        <v>349526.07999999996</v>
      </c>
    </row>
    <row r="239" spans="1:27" ht="15" customHeight="1" x14ac:dyDescent="0.25">
      <c r="A239" s="1"/>
      <c r="B239" s="17"/>
      <c r="C239" s="17"/>
      <c r="D239" s="17"/>
      <c r="E239" s="17"/>
      <c r="F239" s="17"/>
      <c r="G239" s="4">
        <f t="shared" si="6"/>
        <v>0</v>
      </c>
      <c r="H239" s="17"/>
      <c r="I239" s="4">
        <f t="shared" si="8"/>
        <v>349526.07999999996</v>
      </c>
      <c r="J239" s="32" t="str">
        <f t="shared" si="7"/>
        <v/>
      </c>
      <c r="K239" s="72"/>
      <c r="L239" s="72"/>
      <c r="M239" s="2"/>
      <c r="N239" s="5"/>
      <c r="O239" s="3"/>
      <c r="P239" s="6"/>
      <c r="Q239" s="48">
        <f>IF(Учет!$O239=Справочники!$F$2,Учет!$H239,0)</f>
        <v>0</v>
      </c>
      <c r="R239" s="48">
        <f>IF(Учет!$O239=Справочники!$F$3,Учет!$H239,0)</f>
        <v>0</v>
      </c>
      <c r="S239" s="48">
        <f>IF(Учет!$O239=Справочники!$F$4,Учет!$H239,0)</f>
        <v>0</v>
      </c>
      <c r="T239" s="48">
        <f>IF(Учет!$O239=Справочники!$F$5,Учет!$H239,0)</f>
        <v>0</v>
      </c>
      <c r="U239" s="48">
        <f>IF(Учет!$O239=Справочники!$F$6,Учет!$H239,0)</f>
        <v>0</v>
      </c>
      <c r="V239" s="43">
        <f>V238+Учет!$B239-Q239</f>
        <v>-488978.92000000004</v>
      </c>
      <c r="W239" s="43">
        <f>W238+Учет!$C239-R239</f>
        <v>336855</v>
      </c>
      <c r="X239" s="43">
        <f>X238+Учет!$D239-S239</f>
        <v>500</v>
      </c>
      <c r="Y239" s="43">
        <f>Y238+Учет!$E239-T239</f>
        <v>1150</v>
      </c>
      <c r="Z239" s="43">
        <f>Z238+Учет!$F239-U239</f>
        <v>500000</v>
      </c>
      <c r="AA239" s="45">
        <f>Учет!$I239</f>
        <v>349526.07999999996</v>
      </c>
    </row>
    <row r="240" spans="1:27" ht="15" customHeight="1" x14ac:dyDescent="0.25">
      <c r="A240" s="1"/>
      <c r="B240" s="17"/>
      <c r="C240" s="17"/>
      <c r="D240" s="17"/>
      <c r="E240" s="17"/>
      <c r="F240" s="17"/>
      <c r="G240" s="4">
        <f t="shared" si="6"/>
        <v>0</v>
      </c>
      <c r="H240" s="17"/>
      <c r="I240" s="4">
        <f t="shared" si="8"/>
        <v>349526.07999999996</v>
      </c>
      <c r="J240" s="32" t="str">
        <f t="shared" si="7"/>
        <v/>
      </c>
      <c r="K240" s="72"/>
      <c r="L240" s="72"/>
      <c r="M240" s="2"/>
      <c r="N240" s="5"/>
      <c r="O240" s="3"/>
      <c r="P240" s="6"/>
      <c r="Q240" s="48">
        <f>IF(Учет!$O240=Справочники!$F$2,Учет!$H240,0)</f>
        <v>0</v>
      </c>
      <c r="R240" s="48">
        <f>IF(Учет!$O240=Справочники!$F$3,Учет!$H240,0)</f>
        <v>0</v>
      </c>
      <c r="S240" s="48">
        <f>IF(Учет!$O240=Справочники!$F$4,Учет!$H240,0)</f>
        <v>0</v>
      </c>
      <c r="T240" s="48">
        <f>IF(Учет!$O240=Справочники!$F$5,Учет!$H240,0)</f>
        <v>0</v>
      </c>
      <c r="U240" s="48">
        <f>IF(Учет!$O240=Справочники!$F$6,Учет!$H240,0)</f>
        <v>0</v>
      </c>
      <c r="V240" s="43">
        <f>V239+Учет!$B240-Q240</f>
        <v>-488978.92000000004</v>
      </c>
      <c r="W240" s="43">
        <f>W239+Учет!$C240-R240</f>
        <v>336855</v>
      </c>
      <c r="X240" s="43">
        <f>X239+Учет!$D240-S240</f>
        <v>500</v>
      </c>
      <c r="Y240" s="43">
        <f>Y239+Учет!$E240-T240</f>
        <v>1150</v>
      </c>
      <c r="Z240" s="43">
        <f>Z239+Учет!$F240-U240</f>
        <v>500000</v>
      </c>
      <c r="AA240" s="45">
        <f>Учет!$I240</f>
        <v>349526.07999999996</v>
      </c>
    </row>
    <row r="241" spans="1:27" ht="15" customHeight="1" x14ac:dyDescent="0.25">
      <c r="A241" s="1"/>
      <c r="B241" s="17"/>
      <c r="C241" s="17"/>
      <c r="D241" s="17"/>
      <c r="E241" s="17"/>
      <c r="F241" s="17"/>
      <c r="G241" s="4">
        <f t="shared" si="6"/>
        <v>0</v>
      </c>
      <c r="H241" s="17"/>
      <c r="I241" s="4">
        <f t="shared" si="8"/>
        <v>349526.07999999996</v>
      </c>
      <c r="J241" s="32" t="str">
        <f t="shared" si="7"/>
        <v/>
      </c>
      <c r="K241" s="72"/>
      <c r="L241" s="72"/>
      <c r="M241" s="2"/>
      <c r="N241" s="5"/>
      <c r="O241" s="3"/>
      <c r="P241" s="6"/>
      <c r="Q241" s="48">
        <f>IF(Учет!$O241=Справочники!$F$2,Учет!$H241,0)</f>
        <v>0</v>
      </c>
      <c r="R241" s="48">
        <f>IF(Учет!$O241=Справочники!$F$3,Учет!$H241,0)</f>
        <v>0</v>
      </c>
      <c r="S241" s="48">
        <f>IF(Учет!$O241=Справочники!$F$4,Учет!$H241,0)</f>
        <v>0</v>
      </c>
      <c r="T241" s="48">
        <f>IF(Учет!$O241=Справочники!$F$5,Учет!$H241,0)</f>
        <v>0</v>
      </c>
      <c r="U241" s="48">
        <f>IF(Учет!$O241=Справочники!$F$6,Учет!$H241,0)</f>
        <v>0</v>
      </c>
      <c r="V241" s="43">
        <f>V240+Учет!$B241-Q241</f>
        <v>-488978.92000000004</v>
      </c>
      <c r="W241" s="43">
        <f>W240+Учет!$C241-R241</f>
        <v>336855</v>
      </c>
      <c r="X241" s="43">
        <f>X240+Учет!$D241-S241</f>
        <v>500</v>
      </c>
      <c r="Y241" s="43">
        <f>Y240+Учет!$E241-T241</f>
        <v>1150</v>
      </c>
      <c r="Z241" s="43">
        <f>Z240+Учет!$F241-U241</f>
        <v>500000</v>
      </c>
      <c r="AA241" s="45">
        <f>Учет!$I241</f>
        <v>349526.07999999996</v>
      </c>
    </row>
    <row r="242" spans="1:27" ht="15" customHeight="1" x14ac:dyDescent="0.25">
      <c r="A242" s="1"/>
      <c r="B242" s="17"/>
      <c r="C242" s="17"/>
      <c r="D242" s="17"/>
      <c r="E242" s="17"/>
      <c r="F242" s="17"/>
      <c r="G242" s="4">
        <f t="shared" si="6"/>
        <v>0</v>
      </c>
      <c r="H242" s="17"/>
      <c r="I242" s="4">
        <f t="shared" si="8"/>
        <v>349526.07999999996</v>
      </c>
      <c r="J242" s="32" t="str">
        <f t="shared" si="7"/>
        <v/>
      </c>
      <c r="K242" s="72"/>
      <c r="L242" s="72"/>
      <c r="M242" s="2"/>
      <c r="N242" s="5"/>
      <c r="O242" s="3"/>
      <c r="P242" s="6"/>
      <c r="Q242" s="48">
        <f>IF(Учет!$O242=Справочники!$F$2,Учет!$H242,0)</f>
        <v>0</v>
      </c>
      <c r="R242" s="48">
        <f>IF(Учет!$O242=Справочники!$F$3,Учет!$H242,0)</f>
        <v>0</v>
      </c>
      <c r="S242" s="48">
        <f>IF(Учет!$O242=Справочники!$F$4,Учет!$H242,0)</f>
        <v>0</v>
      </c>
      <c r="T242" s="48">
        <f>IF(Учет!$O242=Справочники!$F$5,Учет!$H242,0)</f>
        <v>0</v>
      </c>
      <c r="U242" s="48">
        <f>IF(Учет!$O242=Справочники!$F$6,Учет!$H242,0)</f>
        <v>0</v>
      </c>
      <c r="V242" s="43">
        <f>V241+Учет!$B242-Q242</f>
        <v>-488978.92000000004</v>
      </c>
      <c r="W242" s="43">
        <f>W241+Учет!$C242-R242</f>
        <v>336855</v>
      </c>
      <c r="X242" s="43">
        <f>X241+Учет!$D242-S242</f>
        <v>500</v>
      </c>
      <c r="Y242" s="43">
        <f>Y241+Учет!$E242-T242</f>
        <v>1150</v>
      </c>
      <c r="Z242" s="43">
        <f>Z241+Учет!$F242-U242</f>
        <v>500000</v>
      </c>
      <c r="AA242" s="45">
        <f>Учет!$I242</f>
        <v>349526.07999999996</v>
      </c>
    </row>
    <row r="243" spans="1:27" ht="15" customHeight="1" x14ac:dyDescent="0.25">
      <c r="A243" s="1"/>
      <c r="B243" s="17"/>
      <c r="C243" s="17"/>
      <c r="D243" s="17"/>
      <c r="E243" s="17"/>
      <c r="F243" s="17"/>
      <c r="G243" s="4">
        <f t="shared" si="6"/>
        <v>0</v>
      </c>
      <c r="H243" s="17"/>
      <c r="I243" s="4">
        <f t="shared" si="8"/>
        <v>349526.07999999996</v>
      </c>
      <c r="J243" s="32" t="str">
        <f t="shared" si="7"/>
        <v/>
      </c>
      <c r="K243" s="72"/>
      <c r="L243" s="72"/>
      <c r="M243" s="2"/>
      <c r="N243" s="5"/>
      <c r="O243" s="3"/>
      <c r="P243" s="6"/>
      <c r="Q243" s="48">
        <f>IF(Учет!$O243=Справочники!$F$2,Учет!$H243,0)</f>
        <v>0</v>
      </c>
      <c r="R243" s="48">
        <f>IF(Учет!$O243=Справочники!$F$3,Учет!$H243,0)</f>
        <v>0</v>
      </c>
      <c r="S243" s="48">
        <f>IF(Учет!$O243=Справочники!$F$4,Учет!$H243,0)</f>
        <v>0</v>
      </c>
      <c r="T243" s="48">
        <f>IF(Учет!$O243=Справочники!$F$5,Учет!$H243,0)</f>
        <v>0</v>
      </c>
      <c r="U243" s="48">
        <f>IF(Учет!$O243=Справочники!$F$6,Учет!$H243,0)</f>
        <v>0</v>
      </c>
      <c r="V243" s="43">
        <f>V242+Учет!$B243-Q243</f>
        <v>-488978.92000000004</v>
      </c>
      <c r="W243" s="43">
        <f>W242+Учет!$C243-R243</f>
        <v>336855</v>
      </c>
      <c r="X243" s="43">
        <f>X242+Учет!$D243-S243</f>
        <v>500</v>
      </c>
      <c r="Y243" s="43">
        <f>Y242+Учет!$E243-T243</f>
        <v>1150</v>
      </c>
      <c r="Z243" s="43">
        <f>Z242+Учет!$F243-U243</f>
        <v>500000</v>
      </c>
      <c r="AA243" s="45">
        <f>Учет!$I243</f>
        <v>349526.07999999996</v>
      </c>
    </row>
    <row r="244" spans="1:27" ht="15" customHeight="1" x14ac:dyDescent="0.25">
      <c r="A244" s="1"/>
      <c r="B244" s="17"/>
      <c r="C244" s="17"/>
      <c r="D244" s="17"/>
      <c r="E244" s="17"/>
      <c r="F244" s="17"/>
      <c r="G244" s="4">
        <f t="shared" si="6"/>
        <v>0</v>
      </c>
      <c r="H244" s="17"/>
      <c r="I244" s="4">
        <f t="shared" si="8"/>
        <v>349526.07999999996</v>
      </c>
      <c r="J244" s="32" t="str">
        <f t="shared" si="7"/>
        <v/>
      </c>
      <c r="K244" s="72"/>
      <c r="L244" s="72"/>
      <c r="M244" s="2"/>
      <c r="N244" s="5"/>
      <c r="O244" s="3"/>
      <c r="P244" s="6"/>
      <c r="Q244" s="48">
        <f>IF(Учет!$O244=Справочники!$F$2,Учет!$H244,0)</f>
        <v>0</v>
      </c>
      <c r="R244" s="48">
        <f>IF(Учет!$O244=Справочники!$F$3,Учет!$H244,0)</f>
        <v>0</v>
      </c>
      <c r="S244" s="48">
        <f>IF(Учет!$O244=Справочники!$F$4,Учет!$H244,0)</f>
        <v>0</v>
      </c>
      <c r="T244" s="48">
        <f>IF(Учет!$O244=Справочники!$F$5,Учет!$H244,0)</f>
        <v>0</v>
      </c>
      <c r="U244" s="48">
        <f>IF(Учет!$O244=Справочники!$F$6,Учет!$H244,0)</f>
        <v>0</v>
      </c>
      <c r="V244" s="43">
        <f>V243+Учет!$B244-Q244</f>
        <v>-488978.92000000004</v>
      </c>
      <c r="W244" s="43">
        <f>W243+Учет!$C244-R244</f>
        <v>336855</v>
      </c>
      <c r="X244" s="43">
        <f>X243+Учет!$D244-S244</f>
        <v>500</v>
      </c>
      <c r="Y244" s="43">
        <f>Y243+Учет!$E244-T244</f>
        <v>1150</v>
      </c>
      <c r="Z244" s="43">
        <f>Z243+Учет!$F244-U244</f>
        <v>500000</v>
      </c>
      <c r="AA244" s="45">
        <f>Учет!$I244</f>
        <v>349526.07999999996</v>
      </c>
    </row>
    <row r="245" spans="1:27" ht="15" customHeight="1" x14ac:dyDescent="0.25">
      <c r="A245" s="1"/>
      <c r="B245" s="17"/>
      <c r="C245" s="17"/>
      <c r="D245" s="17"/>
      <c r="E245" s="17"/>
      <c r="F245" s="17"/>
      <c r="G245" s="4">
        <f t="shared" si="6"/>
        <v>0</v>
      </c>
      <c r="H245" s="17"/>
      <c r="I245" s="4">
        <f t="shared" si="8"/>
        <v>349526.07999999996</v>
      </c>
      <c r="J245" s="32" t="str">
        <f t="shared" si="7"/>
        <v/>
      </c>
      <c r="K245" s="72"/>
      <c r="L245" s="72"/>
      <c r="M245" s="2"/>
      <c r="N245" s="5"/>
      <c r="O245" s="3"/>
      <c r="P245" s="6"/>
      <c r="Q245" s="48">
        <f>IF(Учет!$O245=Справочники!$F$2,Учет!$H245,0)</f>
        <v>0</v>
      </c>
      <c r="R245" s="48">
        <f>IF(Учет!$O245=Справочники!$F$3,Учет!$H245,0)</f>
        <v>0</v>
      </c>
      <c r="S245" s="48">
        <f>IF(Учет!$O245=Справочники!$F$4,Учет!$H245,0)</f>
        <v>0</v>
      </c>
      <c r="T245" s="48">
        <f>IF(Учет!$O245=Справочники!$F$5,Учет!$H245,0)</f>
        <v>0</v>
      </c>
      <c r="U245" s="48">
        <f>IF(Учет!$O245=Справочники!$F$6,Учет!$H245,0)</f>
        <v>0</v>
      </c>
      <c r="V245" s="43">
        <f>V244+Учет!$B245-Q245</f>
        <v>-488978.92000000004</v>
      </c>
      <c r="W245" s="43">
        <f>W244+Учет!$C245-R245</f>
        <v>336855</v>
      </c>
      <c r="X245" s="43">
        <f>X244+Учет!$D245-S245</f>
        <v>500</v>
      </c>
      <c r="Y245" s="43">
        <f>Y244+Учет!$E245-T245</f>
        <v>1150</v>
      </c>
      <c r="Z245" s="43">
        <f>Z244+Учет!$F245-U245</f>
        <v>500000</v>
      </c>
      <c r="AA245" s="45">
        <f>Учет!$I245</f>
        <v>349526.07999999996</v>
      </c>
    </row>
    <row r="246" spans="1:27" ht="15" customHeight="1" x14ac:dyDescent="0.25">
      <c r="A246" s="1"/>
      <c r="B246" s="17"/>
      <c r="C246" s="17"/>
      <c r="D246" s="17"/>
      <c r="E246" s="17"/>
      <c r="F246" s="17"/>
      <c r="G246" s="4">
        <f t="shared" si="6"/>
        <v>0</v>
      </c>
      <c r="H246" s="17"/>
      <c r="I246" s="4">
        <f t="shared" si="8"/>
        <v>349526.07999999996</v>
      </c>
      <c r="J246" s="32" t="str">
        <f t="shared" si="7"/>
        <v/>
      </c>
      <c r="K246" s="72"/>
      <c r="L246" s="72"/>
      <c r="M246" s="2"/>
      <c r="N246" s="5"/>
      <c r="O246" s="3"/>
      <c r="P246" s="6"/>
      <c r="Q246" s="48">
        <f>IF(Учет!$O246=Справочники!$F$2,Учет!$H246,0)</f>
        <v>0</v>
      </c>
      <c r="R246" s="48">
        <f>IF(Учет!$O246=Справочники!$F$3,Учет!$H246,0)</f>
        <v>0</v>
      </c>
      <c r="S246" s="48">
        <f>IF(Учет!$O246=Справочники!$F$4,Учет!$H246,0)</f>
        <v>0</v>
      </c>
      <c r="T246" s="48">
        <f>IF(Учет!$O246=Справочники!$F$5,Учет!$H246,0)</f>
        <v>0</v>
      </c>
      <c r="U246" s="48">
        <f>IF(Учет!$O246=Справочники!$F$6,Учет!$H246,0)</f>
        <v>0</v>
      </c>
      <c r="V246" s="43">
        <f>V245+Учет!$B246-Q246</f>
        <v>-488978.92000000004</v>
      </c>
      <c r="W246" s="43">
        <f>W245+Учет!$C246-R246</f>
        <v>336855</v>
      </c>
      <c r="X246" s="43">
        <f>X245+Учет!$D246-S246</f>
        <v>500</v>
      </c>
      <c r="Y246" s="43">
        <f>Y245+Учет!$E246-T246</f>
        <v>1150</v>
      </c>
      <c r="Z246" s="43">
        <f>Z245+Учет!$F246-U246</f>
        <v>500000</v>
      </c>
      <c r="AA246" s="45">
        <f>Учет!$I246</f>
        <v>349526.07999999996</v>
      </c>
    </row>
    <row r="247" spans="1:27" ht="15" customHeight="1" x14ac:dyDescent="0.25">
      <c r="A247" s="1"/>
      <c r="B247" s="17"/>
      <c r="C247" s="17"/>
      <c r="D247" s="17"/>
      <c r="E247" s="17"/>
      <c r="F247" s="17"/>
      <c r="G247" s="4">
        <f t="shared" si="6"/>
        <v>0</v>
      </c>
      <c r="H247" s="17"/>
      <c r="I247" s="4">
        <f t="shared" si="8"/>
        <v>349526.07999999996</v>
      </c>
      <c r="J247" s="32" t="str">
        <f t="shared" si="7"/>
        <v/>
      </c>
      <c r="K247" s="72"/>
      <c r="L247" s="72"/>
      <c r="M247" s="2"/>
      <c r="N247" s="5"/>
      <c r="O247" s="3"/>
      <c r="P247" s="6"/>
      <c r="Q247" s="48">
        <f>IF(Учет!$O247=Справочники!$F$2,Учет!$H247,0)</f>
        <v>0</v>
      </c>
      <c r="R247" s="48">
        <f>IF(Учет!$O247=Справочники!$F$3,Учет!$H247,0)</f>
        <v>0</v>
      </c>
      <c r="S247" s="48">
        <f>IF(Учет!$O247=Справочники!$F$4,Учет!$H247,0)</f>
        <v>0</v>
      </c>
      <c r="T247" s="48">
        <f>IF(Учет!$O247=Справочники!$F$5,Учет!$H247,0)</f>
        <v>0</v>
      </c>
      <c r="U247" s="48">
        <f>IF(Учет!$O247=Справочники!$F$6,Учет!$H247,0)</f>
        <v>0</v>
      </c>
      <c r="V247" s="43">
        <f>V246+Учет!$B247-Q247</f>
        <v>-488978.92000000004</v>
      </c>
      <c r="W247" s="43">
        <f>W246+Учет!$C247-R247</f>
        <v>336855</v>
      </c>
      <c r="X247" s="43">
        <f>X246+Учет!$D247-S247</f>
        <v>500</v>
      </c>
      <c r="Y247" s="43">
        <f>Y246+Учет!$E247-T247</f>
        <v>1150</v>
      </c>
      <c r="Z247" s="43">
        <f>Z246+Учет!$F247-U247</f>
        <v>500000</v>
      </c>
      <c r="AA247" s="45">
        <f>Учет!$I247</f>
        <v>349526.07999999996</v>
      </c>
    </row>
    <row r="248" spans="1:27" ht="15" customHeight="1" x14ac:dyDescent="0.25">
      <c r="A248" s="1"/>
      <c r="B248" s="17"/>
      <c r="C248" s="17"/>
      <c r="D248" s="17"/>
      <c r="E248" s="17"/>
      <c r="F248" s="17"/>
      <c r="G248" s="4">
        <f t="shared" si="6"/>
        <v>0</v>
      </c>
      <c r="H248" s="17"/>
      <c r="I248" s="4">
        <f t="shared" si="8"/>
        <v>349526.07999999996</v>
      </c>
      <c r="J248" s="32" t="str">
        <f t="shared" si="7"/>
        <v/>
      </c>
      <c r="K248" s="72"/>
      <c r="L248" s="72"/>
      <c r="M248" s="2"/>
      <c r="N248" s="5"/>
      <c r="O248" s="3"/>
      <c r="P248" s="6"/>
      <c r="Q248" s="48">
        <f>IF(Учет!$O248=Справочники!$F$2,Учет!$H248,0)</f>
        <v>0</v>
      </c>
      <c r="R248" s="48">
        <f>IF(Учет!$O248=Справочники!$F$3,Учет!$H248,0)</f>
        <v>0</v>
      </c>
      <c r="S248" s="48">
        <f>IF(Учет!$O248=Справочники!$F$4,Учет!$H248,0)</f>
        <v>0</v>
      </c>
      <c r="T248" s="48">
        <f>IF(Учет!$O248=Справочники!$F$5,Учет!$H248,0)</f>
        <v>0</v>
      </c>
      <c r="U248" s="48">
        <f>IF(Учет!$O248=Справочники!$F$6,Учет!$H248,0)</f>
        <v>0</v>
      </c>
      <c r="V248" s="43">
        <f>V247+Учет!$B248-Q248</f>
        <v>-488978.92000000004</v>
      </c>
      <c r="W248" s="43">
        <f>W247+Учет!$C248-R248</f>
        <v>336855</v>
      </c>
      <c r="X248" s="43">
        <f>X247+Учет!$D248-S248</f>
        <v>500</v>
      </c>
      <c r="Y248" s="43">
        <f>Y247+Учет!$E248-T248</f>
        <v>1150</v>
      </c>
      <c r="Z248" s="43">
        <f>Z247+Учет!$F248-U248</f>
        <v>500000</v>
      </c>
      <c r="AA248" s="45">
        <f>Учет!$I248</f>
        <v>349526.07999999996</v>
      </c>
    </row>
    <row r="249" spans="1:27" ht="15" customHeight="1" x14ac:dyDescent="0.25">
      <c r="A249" s="1"/>
      <c r="B249" s="17"/>
      <c r="C249" s="17"/>
      <c r="D249" s="17"/>
      <c r="E249" s="17"/>
      <c r="F249" s="17"/>
      <c r="G249" s="4">
        <f t="shared" si="6"/>
        <v>0</v>
      </c>
      <c r="H249" s="17"/>
      <c r="I249" s="4">
        <f t="shared" si="8"/>
        <v>349526.07999999996</v>
      </c>
      <c r="J249" s="32" t="str">
        <f t="shared" si="7"/>
        <v/>
      </c>
      <c r="K249" s="72"/>
      <c r="L249" s="72"/>
      <c r="M249" s="2"/>
      <c r="N249" s="5"/>
      <c r="O249" s="3"/>
      <c r="P249" s="6"/>
      <c r="Q249" s="48">
        <f>IF(Учет!$O249=Справочники!$F$2,Учет!$H249,0)</f>
        <v>0</v>
      </c>
      <c r="R249" s="48">
        <f>IF(Учет!$O249=Справочники!$F$3,Учет!$H249,0)</f>
        <v>0</v>
      </c>
      <c r="S249" s="48">
        <f>IF(Учет!$O249=Справочники!$F$4,Учет!$H249,0)</f>
        <v>0</v>
      </c>
      <c r="T249" s="48">
        <f>IF(Учет!$O249=Справочники!$F$5,Учет!$H249,0)</f>
        <v>0</v>
      </c>
      <c r="U249" s="48">
        <f>IF(Учет!$O249=Справочники!$F$6,Учет!$H249,0)</f>
        <v>0</v>
      </c>
      <c r="V249" s="43">
        <f>V248+Учет!$B249-Q249</f>
        <v>-488978.92000000004</v>
      </c>
      <c r="W249" s="43">
        <f>W248+Учет!$C249-R249</f>
        <v>336855</v>
      </c>
      <c r="X249" s="43">
        <f>X248+Учет!$D249-S249</f>
        <v>500</v>
      </c>
      <c r="Y249" s="43">
        <f>Y248+Учет!$E249-T249</f>
        <v>1150</v>
      </c>
      <c r="Z249" s="43">
        <f>Z248+Учет!$F249-U249</f>
        <v>500000</v>
      </c>
      <c r="AA249" s="45">
        <f>Учет!$I249</f>
        <v>349526.07999999996</v>
      </c>
    </row>
    <row r="250" spans="1:27" ht="15" customHeight="1" x14ac:dyDescent="0.25">
      <c r="A250" s="1"/>
      <c r="B250" s="17"/>
      <c r="C250" s="17"/>
      <c r="D250" s="17"/>
      <c r="E250" s="17"/>
      <c r="F250" s="17"/>
      <c r="G250" s="4">
        <f t="shared" si="6"/>
        <v>0</v>
      </c>
      <c r="H250" s="17"/>
      <c r="I250" s="4">
        <f t="shared" si="8"/>
        <v>349526.07999999996</v>
      </c>
      <c r="J250" s="32" t="str">
        <f t="shared" si="7"/>
        <v/>
      </c>
      <c r="K250" s="72"/>
      <c r="L250" s="72"/>
      <c r="M250" s="2"/>
      <c r="N250" s="5"/>
      <c r="O250" s="3"/>
      <c r="P250" s="6"/>
      <c r="Q250" s="48">
        <f>IF(Учет!$O250=Справочники!$F$2,Учет!$H250,0)</f>
        <v>0</v>
      </c>
      <c r="R250" s="48">
        <f>IF(Учет!$O250=Справочники!$F$3,Учет!$H250,0)</f>
        <v>0</v>
      </c>
      <c r="S250" s="48">
        <f>IF(Учет!$O250=Справочники!$F$4,Учет!$H250,0)</f>
        <v>0</v>
      </c>
      <c r="T250" s="48">
        <f>IF(Учет!$O250=Справочники!$F$5,Учет!$H250,0)</f>
        <v>0</v>
      </c>
      <c r="U250" s="48">
        <f>IF(Учет!$O250=Справочники!$F$6,Учет!$H250,0)</f>
        <v>0</v>
      </c>
      <c r="V250" s="43">
        <f>V249+Учет!$B250-Q250</f>
        <v>-488978.92000000004</v>
      </c>
      <c r="W250" s="43">
        <f>W249+Учет!$C250-R250</f>
        <v>336855</v>
      </c>
      <c r="X250" s="43">
        <f>X249+Учет!$D250-S250</f>
        <v>500</v>
      </c>
      <c r="Y250" s="43">
        <f>Y249+Учет!$E250-T250</f>
        <v>1150</v>
      </c>
      <c r="Z250" s="43">
        <f>Z249+Учет!$F250-U250</f>
        <v>500000</v>
      </c>
      <c r="AA250" s="45">
        <f>Учет!$I250</f>
        <v>349526.07999999996</v>
      </c>
    </row>
    <row r="251" spans="1:27" ht="15" customHeight="1" x14ac:dyDescent="0.25">
      <c r="A251" s="1"/>
      <c r="B251" s="17"/>
      <c r="C251" s="17"/>
      <c r="D251" s="17"/>
      <c r="E251" s="17"/>
      <c r="F251" s="17"/>
      <c r="G251" s="4">
        <f t="shared" si="6"/>
        <v>0</v>
      </c>
      <c r="H251" s="17"/>
      <c r="I251" s="4">
        <f t="shared" si="8"/>
        <v>349526.07999999996</v>
      </c>
      <c r="J251" s="32" t="str">
        <f t="shared" si="7"/>
        <v/>
      </c>
      <c r="K251" s="72"/>
      <c r="L251" s="72"/>
      <c r="M251" s="2"/>
      <c r="N251" s="5"/>
      <c r="O251" s="3"/>
      <c r="P251" s="6"/>
      <c r="Q251" s="48">
        <f>IF(Учет!$O251=Справочники!$F$2,Учет!$H251,0)</f>
        <v>0</v>
      </c>
      <c r="R251" s="48">
        <f>IF(Учет!$O251=Справочники!$F$3,Учет!$H251,0)</f>
        <v>0</v>
      </c>
      <c r="S251" s="48">
        <f>IF(Учет!$O251=Справочники!$F$4,Учет!$H251,0)</f>
        <v>0</v>
      </c>
      <c r="T251" s="48">
        <f>IF(Учет!$O251=Справочники!$F$5,Учет!$H251,0)</f>
        <v>0</v>
      </c>
      <c r="U251" s="48">
        <f>IF(Учет!$O251=Справочники!$F$6,Учет!$H251,0)</f>
        <v>0</v>
      </c>
      <c r="V251" s="43">
        <f>V250+Учет!$B251-Q251</f>
        <v>-488978.92000000004</v>
      </c>
      <c r="W251" s="43">
        <f>W250+Учет!$C251-R251</f>
        <v>336855</v>
      </c>
      <c r="X251" s="43">
        <f>X250+Учет!$D251-S251</f>
        <v>500</v>
      </c>
      <c r="Y251" s="43">
        <f>Y250+Учет!$E251-T251</f>
        <v>1150</v>
      </c>
      <c r="Z251" s="43">
        <f>Z250+Учет!$F251-U251</f>
        <v>500000</v>
      </c>
      <c r="AA251" s="45">
        <f>Учет!$I251</f>
        <v>349526.07999999996</v>
      </c>
    </row>
    <row r="252" spans="1:27" ht="15" customHeight="1" x14ac:dyDescent="0.25">
      <c r="A252" s="1"/>
      <c r="B252" s="17"/>
      <c r="C252" s="17"/>
      <c r="D252" s="17"/>
      <c r="E252" s="17"/>
      <c r="F252" s="17"/>
      <c r="G252" s="4">
        <f t="shared" si="6"/>
        <v>0</v>
      </c>
      <c r="H252" s="17"/>
      <c r="I252" s="4">
        <f t="shared" si="8"/>
        <v>349526.07999999996</v>
      </c>
      <c r="J252" s="32" t="str">
        <f t="shared" si="7"/>
        <v/>
      </c>
      <c r="K252" s="72"/>
      <c r="L252" s="72"/>
      <c r="M252" s="2"/>
      <c r="N252" s="5"/>
      <c r="O252" s="3"/>
      <c r="P252" s="6"/>
      <c r="Q252" s="48">
        <f>IF(Учет!$O252=Справочники!$F$2,Учет!$H252,0)</f>
        <v>0</v>
      </c>
      <c r="R252" s="48">
        <f>IF(Учет!$O252=Справочники!$F$3,Учет!$H252,0)</f>
        <v>0</v>
      </c>
      <c r="S252" s="48">
        <f>IF(Учет!$O252=Справочники!$F$4,Учет!$H252,0)</f>
        <v>0</v>
      </c>
      <c r="T252" s="48">
        <f>IF(Учет!$O252=Справочники!$F$5,Учет!$H252,0)</f>
        <v>0</v>
      </c>
      <c r="U252" s="48">
        <f>IF(Учет!$O252=Справочники!$F$6,Учет!$H252,0)</f>
        <v>0</v>
      </c>
      <c r="V252" s="43">
        <f>V251+Учет!$B252-Q252</f>
        <v>-488978.92000000004</v>
      </c>
      <c r="W252" s="43">
        <f>W251+Учет!$C252-R252</f>
        <v>336855</v>
      </c>
      <c r="X252" s="43">
        <f>X251+Учет!$D252-S252</f>
        <v>500</v>
      </c>
      <c r="Y252" s="43">
        <f>Y251+Учет!$E252-T252</f>
        <v>1150</v>
      </c>
      <c r="Z252" s="43">
        <f>Z251+Учет!$F252-U252</f>
        <v>500000</v>
      </c>
      <c r="AA252" s="45">
        <f>Учет!$I252</f>
        <v>349526.07999999996</v>
      </c>
    </row>
    <row r="253" spans="1:27" ht="15" customHeight="1" x14ac:dyDescent="0.25">
      <c r="A253" s="1"/>
      <c r="B253" s="17"/>
      <c r="C253" s="17"/>
      <c r="D253" s="17"/>
      <c r="E253" s="17"/>
      <c r="F253" s="17"/>
      <c r="G253" s="4">
        <f t="shared" si="6"/>
        <v>0</v>
      </c>
      <c r="H253" s="17"/>
      <c r="I253" s="4">
        <f t="shared" si="8"/>
        <v>349526.07999999996</v>
      </c>
      <c r="J253" s="32" t="str">
        <f t="shared" si="7"/>
        <v/>
      </c>
      <c r="K253" s="72"/>
      <c r="L253" s="72"/>
      <c r="M253" s="2"/>
      <c r="N253" s="5"/>
      <c r="O253" s="3"/>
      <c r="P253" s="6"/>
      <c r="Q253" s="48">
        <f>IF(Учет!$O253=Справочники!$F$2,Учет!$H253,0)</f>
        <v>0</v>
      </c>
      <c r="R253" s="48">
        <f>IF(Учет!$O253=Справочники!$F$3,Учет!$H253,0)</f>
        <v>0</v>
      </c>
      <c r="S253" s="48">
        <f>IF(Учет!$O253=Справочники!$F$4,Учет!$H253,0)</f>
        <v>0</v>
      </c>
      <c r="T253" s="48">
        <f>IF(Учет!$O253=Справочники!$F$5,Учет!$H253,0)</f>
        <v>0</v>
      </c>
      <c r="U253" s="48">
        <f>IF(Учет!$O253=Справочники!$F$6,Учет!$H253,0)</f>
        <v>0</v>
      </c>
      <c r="V253" s="43">
        <f>V252+Учет!$B253-Q253</f>
        <v>-488978.92000000004</v>
      </c>
      <c r="W253" s="43">
        <f>W252+Учет!$C253-R253</f>
        <v>336855</v>
      </c>
      <c r="X253" s="43">
        <f>X252+Учет!$D253-S253</f>
        <v>500</v>
      </c>
      <c r="Y253" s="43">
        <f>Y252+Учет!$E253-T253</f>
        <v>1150</v>
      </c>
      <c r="Z253" s="43">
        <f>Z252+Учет!$F253-U253</f>
        <v>500000</v>
      </c>
      <c r="AA253" s="45">
        <f>Учет!$I253</f>
        <v>349526.07999999996</v>
      </c>
    </row>
    <row r="254" spans="1:27" ht="15" customHeight="1" x14ac:dyDescent="0.25">
      <c r="A254" s="1"/>
      <c r="B254" s="17"/>
      <c r="C254" s="17"/>
      <c r="D254" s="17"/>
      <c r="E254" s="17"/>
      <c r="F254" s="17"/>
      <c r="G254" s="4">
        <f t="shared" si="6"/>
        <v>0</v>
      </c>
      <c r="H254" s="17"/>
      <c r="I254" s="4">
        <f t="shared" si="8"/>
        <v>349526.07999999996</v>
      </c>
      <c r="J254" s="32" t="str">
        <f t="shared" si="7"/>
        <v/>
      </c>
      <c r="K254" s="72"/>
      <c r="L254" s="72"/>
      <c r="M254" s="2"/>
      <c r="N254" s="5"/>
      <c r="O254" s="3"/>
      <c r="P254" s="6"/>
      <c r="Q254" s="48">
        <f>IF(Учет!$O254=Справочники!$F$2,Учет!$H254,0)</f>
        <v>0</v>
      </c>
      <c r="R254" s="48">
        <f>IF(Учет!$O254=Справочники!$F$3,Учет!$H254,0)</f>
        <v>0</v>
      </c>
      <c r="S254" s="48">
        <f>IF(Учет!$O254=Справочники!$F$4,Учет!$H254,0)</f>
        <v>0</v>
      </c>
      <c r="T254" s="48">
        <f>IF(Учет!$O254=Справочники!$F$5,Учет!$H254,0)</f>
        <v>0</v>
      </c>
      <c r="U254" s="48">
        <f>IF(Учет!$O254=Справочники!$F$6,Учет!$H254,0)</f>
        <v>0</v>
      </c>
      <c r="V254" s="43">
        <f>V253+Учет!$B254-Q254</f>
        <v>-488978.92000000004</v>
      </c>
      <c r="W254" s="43">
        <f>W253+Учет!$C254-R254</f>
        <v>336855</v>
      </c>
      <c r="X254" s="43">
        <f>X253+Учет!$D254-S254</f>
        <v>500</v>
      </c>
      <c r="Y254" s="43">
        <f>Y253+Учет!$E254-T254</f>
        <v>1150</v>
      </c>
      <c r="Z254" s="43">
        <f>Z253+Учет!$F254-U254</f>
        <v>500000</v>
      </c>
      <c r="AA254" s="45">
        <f>Учет!$I254</f>
        <v>349526.07999999996</v>
      </c>
    </row>
    <row r="255" spans="1:27" ht="15" customHeight="1" x14ac:dyDescent="0.25">
      <c r="A255" s="1"/>
      <c r="B255" s="17"/>
      <c r="C255" s="17"/>
      <c r="D255" s="17"/>
      <c r="E255" s="17"/>
      <c r="F255" s="17"/>
      <c r="G255" s="4">
        <f t="shared" si="6"/>
        <v>0</v>
      </c>
      <c r="H255" s="17"/>
      <c r="I255" s="4">
        <f t="shared" si="8"/>
        <v>349526.07999999996</v>
      </c>
      <c r="J255" s="32" t="str">
        <f t="shared" si="7"/>
        <v/>
      </c>
      <c r="K255" s="72"/>
      <c r="L255" s="72"/>
      <c r="M255" s="2"/>
      <c r="N255" s="5"/>
      <c r="O255" s="3"/>
      <c r="P255" s="6"/>
      <c r="Q255" s="48">
        <f>IF(Учет!$O255=Справочники!$F$2,Учет!$H255,0)</f>
        <v>0</v>
      </c>
      <c r="R255" s="48">
        <f>IF(Учет!$O255=Справочники!$F$3,Учет!$H255,0)</f>
        <v>0</v>
      </c>
      <c r="S255" s="48">
        <f>IF(Учет!$O255=Справочники!$F$4,Учет!$H255,0)</f>
        <v>0</v>
      </c>
      <c r="T255" s="48">
        <f>IF(Учет!$O255=Справочники!$F$5,Учет!$H255,0)</f>
        <v>0</v>
      </c>
      <c r="U255" s="48">
        <f>IF(Учет!$O255=Справочники!$F$6,Учет!$H255,0)</f>
        <v>0</v>
      </c>
      <c r="V255" s="43">
        <f>V254+Учет!$B255-Q255</f>
        <v>-488978.92000000004</v>
      </c>
      <c r="W255" s="43">
        <f>W254+Учет!$C255-R255</f>
        <v>336855</v>
      </c>
      <c r="X255" s="43">
        <f>X254+Учет!$D255-S255</f>
        <v>500</v>
      </c>
      <c r="Y255" s="43">
        <f>Y254+Учет!$E255-T255</f>
        <v>1150</v>
      </c>
      <c r="Z255" s="43">
        <f>Z254+Учет!$F255-U255</f>
        <v>500000</v>
      </c>
      <c r="AA255" s="45">
        <f>Учет!$I255</f>
        <v>349526.07999999996</v>
      </c>
    </row>
    <row r="256" spans="1:27" ht="15" customHeight="1" x14ac:dyDescent="0.25">
      <c r="A256" s="1"/>
      <c r="B256" s="17"/>
      <c r="C256" s="17"/>
      <c r="D256" s="17"/>
      <c r="E256" s="17"/>
      <c r="F256" s="17"/>
      <c r="G256" s="4">
        <f t="shared" si="6"/>
        <v>0</v>
      </c>
      <c r="H256" s="17"/>
      <c r="I256" s="4">
        <f t="shared" si="8"/>
        <v>349526.07999999996</v>
      </c>
      <c r="J256" s="32" t="str">
        <f t="shared" si="7"/>
        <v/>
      </c>
      <c r="K256" s="72"/>
      <c r="L256" s="72"/>
      <c r="M256" s="2"/>
      <c r="N256" s="5"/>
      <c r="O256" s="3"/>
      <c r="P256" s="6"/>
      <c r="Q256" s="48">
        <f>IF(Учет!$O256=Справочники!$F$2,Учет!$H256,0)</f>
        <v>0</v>
      </c>
      <c r="R256" s="48">
        <f>IF(Учет!$O256=Справочники!$F$3,Учет!$H256,0)</f>
        <v>0</v>
      </c>
      <c r="S256" s="48">
        <f>IF(Учет!$O256=Справочники!$F$4,Учет!$H256,0)</f>
        <v>0</v>
      </c>
      <c r="T256" s="48">
        <f>IF(Учет!$O256=Справочники!$F$5,Учет!$H256,0)</f>
        <v>0</v>
      </c>
      <c r="U256" s="48">
        <f>IF(Учет!$O256=Справочники!$F$6,Учет!$H256,0)</f>
        <v>0</v>
      </c>
      <c r="V256" s="43">
        <f>V255+Учет!$B256-Q256</f>
        <v>-488978.92000000004</v>
      </c>
      <c r="W256" s="43">
        <f>W255+Учет!$C256-R256</f>
        <v>336855</v>
      </c>
      <c r="X256" s="43">
        <f>X255+Учет!$D256-S256</f>
        <v>500</v>
      </c>
      <c r="Y256" s="43">
        <f>Y255+Учет!$E256-T256</f>
        <v>1150</v>
      </c>
      <c r="Z256" s="43">
        <f>Z255+Учет!$F256-U256</f>
        <v>500000</v>
      </c>
      <c r="AA256" s="45">
        <f>Учет!$I256</f>
        <v>349526.07999999996</v>
      </c>
    </row>
    <row r="257" spans="1:27" ht="15" customHeight="1" x14ac:dyDescent="0.25">
      <c r="A257" s="1"/>
      <c r="B257" s="17"/>
      <c r="C257" s="17"/>
      <c r="D257" s="17"/>
      <c r="E257" s="17"/>
      <c r="F257" s="17"/>
      <c r="G257" s="4">
        <f t="shared" si="6"/>
        <v>0</v>
      </c>
      <c r="H257" s="17"/>
      <c r="I257" s="4">
        <f t="shared" si="8"/>
        <v>349526.07999999996</v>
      </c>
      <c r="J257" s="32" t="str">
        <f t="shared" si="7"/>
        <v/>
      </c>
      <c r="K257" s="72"/>
      <c r="L257" s="72"/>
      <c r="M257" s="2"/>
      <c r="N257" s="5"/>
      <c r="O257" s="3"/>
      <c r="P257" s="6"/>
      <c r="Q257" s="48">
        <f>IF(Учет!$O257=Справочники!$F$2,Учет!$H257,0)</f>
        <v>0</v>
      </c>
      <c r="R257" s="48">
        <f>IF(Учет!$O257=Справочники!$F$3,Учет!$H257,0)</f>
        <v>0</v>
      </c>
      <c r="S257" s="48">
        <f>IF(Учет!$O257=Справочники!$F$4,Учет!$H257,0)</f>
        <v>0</v>
      </c>
      <c r="T257" s="48">
        <f>IF(Учет!$O257=Справочники!$F$5,Учет!$H257,0)</f>
        <v>0</v>
      </c>
      <c r="U257" s="48">
        <f>IF(Учет!$O257=Справочники!$F$6,Учет!$H257,0)</f>
        <v>0</v>
      </c>
      <c r="V257" s="43">
        <f>V256+Учет!$B257-Q257</f>
        <v>-488978.92000000004</v>
      </c>
      <c r="W257" s="43">
        <f>W256+Учет!$C257-R257</f>
        <v>336855</v>
      </c>
      <c r="X257" s="43">
        <f>X256+Учет!$D257-S257</f>
        <v>500</v>
      </c>
      <c r="Y257" s="43">
        <f>Y256+Учет!$E257-T257</f>
        <v>1150</v>
      </c>
      <c r="Z257" s="43">
        <f>Z256+Учет!$F257-U257</f>
        <v>500000</v>
      </c>
      <c r="AA257" s="45">
        <f>Учет!$I257</f>
        <v>349526.07999999996</v>
      </c>
    </row>
    <row r="258" spans="1:27" ht="15" customHeight="1" x14ac:dyDescent="0.25">
      <c r="A258" s="1"/>
      <c r="B258" s="17"/>
      <c r="C258" s="17"/>
      <c r="D258" s="17"/>
      <c r="E258" s="17"/>
      <c r="F258" s="17"/>
      <c r="G258" s="4">
        <f t="shared" ref="G258:G321" si="9">SUM($B258:$F258)</f>
        <v>0</v>
      </c>
      <c r="H258" s="17"/>
      <c r="I258" s="4">
        <f t="shared" si="8"/>
        <v>349526.07999999996</v>
      </c>
      <c r="J258" s="32" t="str">
        <f t="shared" ref="J258:J321" si="10">IF($A259&lt;&gt;$A258,$I258,"")</f>
        <v/>
      </c>
      <c r="K258" s="72"/>
      <c r="L258" s="72"/>
      <c r="M258" s="2"/>
      <c r="N258" s="5"/>
      <c r="O258" s="3"/>
      <c r="P258" s="6"/>
      <c r="Q258" s="48">
        <f>IF(Учет!$O258=Справочники!$F$2,Учет!$H258,0)</f>
        <v>0</v>
      </c>
      <c r="R258" s="48">
        <f>IF(Учет!$O258=Справочники!$F$3,Учет!$H258,0)</f>
        <v>0</v>
      </c>
      <c r="S258" s="48">
        <f>IF(Учет!$O258=Справочники!$F$4,Учет!$H258,0)</f>
        <v>0</v>
      </c>
      <c r="T258" s="48">
        <f>IF(Учет!$O258=Справочники!$F$5,Учет!$H258,0)</f>
        <v>0</v>
      </c>
      <c r="U258" s="48">
        <f>IF(Учет!$O258=Справочники!$F$6,Учет!$H258,0)</f>
        <v>0</v>
      </c>
      <c r="V258" s="43">
        <f>V257+Учет!$B258-Q258</f>
        <v>-488978.92000000004</v>
      </c>
      <c r="W258" s="43">
        <f>W257+Учет!$C258-R258</f>
        <v>336855</v>
      </c>
      <c r="X258" s="43">
        <f>X257+Учет!$D258-S258</f>
        <v>500</v>
      </c>
      <c r="Y258" s="43">
        <f>Y257+Учет!$E258-T258</f>
        <v>1150</v>
      </c>
      <c r="Z258" s="43">
        <f>Z257+Учет!$F258-U258</f>
        <v>500000</v>
      </c>
      <c r="AA258" s="45">
        <f>Учет!$I258</f>
        <v>349526.07999999996</v>
      </c>
    </row>
    <row r="259" spans="1:27" ht="15" customHeight="1" x14ac:dyDescent="0.25">
      <c r="A259" s="1"/>
      <c r="B259" s="17"/>
      <c r="C259" s="17"/>
      <c r="D259" s="17"/>
      <c r="E259" s="17"/>
      <c r="F259" s="17"/>
      <c r="G259" s="4">
        <f t="shared" si="9"/>
        <v>0</v>
      </c>
      <c r="H259" s="17"/>
      <c r="I259" s="4">
        <f t="shared" ref="I259:I322" si="11">$I258+$G259-$H259</f>
        <v>349526.07999999996</v>
      </c>
      <c r="J259" s="32" t="str">
        <f t="shared" si="10"/>
        <v/>
      </c>
      <c r="K259" s="72"/>
      <c r="L259" s="72"/>
      <c r="M259" s="2"/>
      <c r="N259" s="5"/>
      <c r="O259" s="3"/>
      <c r="P259" s="6"/>
      <c r="Q259" s="48">
        <f>IF(Учет!$O259=Справочники!$F$2,Учет!$H259,0)</f>
        <v>0</v>
      </c>
      <c r="R259" s="48">
        <f>IF(Учет!$O259=Справочники!$F$3,Учет!$H259,0)</f>
        <v>0</v>
      </c>
      <c r="S259" s="48">
        <f>IF(Учет!$O259=Справочники!$F$4,Учет!$H259,0)</f>
        <v>0</v>
      </c>
      <c r="T259" s="48">
        <f>IF(Учет!$O259=Справочники!$F$5,Учет!$H259,0)</f>
        <v>0</v>
      </c>
      <c r="U259" s="48">
        <f>IF(Учет!$O259=Справочники!$F$6,Учет!$H259,0)</f>
        <v>0</v>
      </c>
      <c r="V259" s="43">
        <f>V258+Учет!$B259-Q259</f>
        <v>-488978.92000000004</v>
      </c>
      <c r="W259" s="43">
        <f>W258+Учет!$C259-R259</f>
        <v>336855</v>
      </c>
      <c r="X259" s="43">
        <f>X258+Учет!$D259-S259</f>
        <v>500</v>
      </c>
      <c r="Y259" s="43">
        <f>Y258+Учет!$E259-T259</f>
        <v>1150</v>
      </c>
      <c r="Z259" s="43">
        <f>Z258+Учет!$F259-U259</f>
        <v>500000</v>
      </c>
      <c r="AA259" s="45">
        <f>Учет!$I259</f>
        <v>349526.07999999996</v>
      </c>
    </row>
    <row r="260" spans="1:27" ht="15" customHeight="1" x14ac:dyDescent="0.25">
      <c r="A260" s="1"/>
      <c r="B260" s="17"/>
      <c r="C260" s="17"/>
      <c r="D260" s="17"/>
      <c r="E260" s="17"/>
      <c r="F260" s="17"/>
      <c r="G260" s="4">
        <f t="shared" si="9"/>
        <v>0</v>
      </c>
      <c r="H260" s="17"/>
      <c r="I260" s="4">
        <f t="shared" si="11"/>
        <v>349526.07999999996</v>
      </c>
      <c r="J260" s="32" t="str">
        <f t="shared" si="10"/>
        <v/>
      </c>
      <c r="K260" s="72"/>
      <c r="L260" s="72"/>
      <c r="M260" s="2"/>
      <c r="N260" s="5"/>
      <c r="O260" s="3"/>
      <c r="P260" s="6"/>
      <c r="Q260" s="48">
        <f>IF(Учет!$O260=Справочники!$F$2,Учет!$H260,0)</f>
        <v>0</v>
      </c>
      <c r="R260" s="48">
        <f>IF(Учет!$O260=Справочники!$F$3,Учет!$H260,0)</f>
        <v>0</v>
      </c>
      <c r="S260" s="48">
        <f>IF(Учет!$O260=Справочники!$F$4,Учет!$H260,0)</f>
        <v>0</v>
      </c>
      <c r="T260" s="48">
        <f>IF(Учет!$O260=Справочники!$F$5,Учет!$H260,0)</f>
        <v>0</v>
      </c>
      <c r="U260" s="48">
        <f>IF(Учет!$O260=Справочники!$F$6,Учет!$H260,0)</f>
        <v>0</v>
      </c>
      <c r="V260" s="43">
        <f>V259+Учет!$B260-Q260</f>
        <v>-488978.92000000004</v>
      </c>
      <c r="W260" s="43">
        <f>W259+Учет!$C260-R260</f>
        <v>336855</v>
      </c>
      <c r="X260" s="43">
        <f>X259+Учет!$D260-S260</f>
        <v>500</v>
      </c>
      <c r="Y260" s="43">
        <f>Y259+Учет!$E260-T260</f>
        <v>1150</v>
      </c>
      <c r="Z260" s="43">
        <f>Z259+Учет!$F260-U260</f>
        <v>500000</v>
      </c>
      <c r="AA260" s="45">
        <f>Учет!$I260</f>
        <v>349526.07999999996</v>
      </c>
    </row>
    <row r="261" spans="1:27" ht="15" customHeight="1" x14ac:dyDescent="0.25">
      <c r="A261" s="1"/>
      <c r="B261" s="17"/>
      <c r="C261" s="17"/>
      <c r="D261" s="17"/>
      <c r="E261" s="17"/>
      <c r="F261" s="17"/>
      <c r="G261" s="4">
        <f t="shared" si="9"/>
        <v>0</v>
      </c>
      <c r="H261" s="17"/>
      <c r="I261" s="4">
        <f t="shared" si="11"/>
        <v>349526.07999999996</v>
      </c>
      <c r="J261" s="32" t="str">
        <f t="shared" si="10"/>
        <v/>
      </c>
      <c r="K261" s="72"/>
      <c r="L261" s="72"/>
      <c r="M261" s="2"/>
      <c r="N261" s="5"/>
      <c r="O261" s="3"/>
      <c r="P261" s="6"/>
      <c r="Q261" s="48">
        <f>IF(Учет!$O261=Справочники!$F$2,Учет!$H261,0)</f>
        <v>0</v>
      </c>
      <c r="R261" s="48">
        <f>IF(Учет!$O261=Справочники!$F$3,Учет!$H261,0)</f>
        <v>0</v>
      </c>
      <c r="S261" s="48">
        <f>IF(Учет!$O261=Справочники!$F$4,Учет!$H261,0)</f>
        <v>0</v>
      </c>
      <c r="T261" s="48">
        <f>IF(Учет!$O261=Справочники!$F$5,Учет!$H261,0)</f>
        <v>0</v>
      </c>
      <c r="U261" s="48">
        <f>IF(Учет!$O261=Справочники!$F$6,Учет!$H261,0)</f>
        <v>0</v>
      </c>
      <c r="V261" s="43">
        <f>V260+Учет!$B261-Q261</f>
        <v>-488978.92000000004</v>
      </c>
      <c r="W261" s="43">
        <f>W260+Учет!$C261-R261</f>
        <v>336855</v>
      </c>
      <c r="X261" s="43">
        <f>X260+Учет!$D261-S261</f>
        <v>500</v>
      </c>
      <c r="Y261" s="43">
        <f>Y260+Учет!$E261-T261</f>
        <v>1150</v>
      </c>
      <c r="Z261" s="43">
        <f>Z260+Учет!$F261-U261</f>
        <v>500000</v>
      </c>
      <c r="AA261" s="45">
        <f>Учет!$I261</f>
        <v>349526.07999999996</v>
      </c>
    </row>
    <row r="262" spans="1:27" ht="15" customHeight="1" x14ac:dyDescent="0.25">
      <c r="A262" s="1"/>
      <c r="B262" s="17"/>
      <c r="C262" s="17"/>
      <c r="D262" s="17"/>
      <c r="E262" s="17"/>
      <c r="F262" s="17"/>
      <c r="G262" s="4">
        <f t="shared" si="9"/>
        <v>0</v>
      </c>
      <c r="H262" s="17"/>
      <c r="I262" s="4">
        <f t="shared" si="11"/>
        <v>349526.07999999996</v>
      </c>
      <c r="J262" s="32" t="str">
        <f t="shared" si="10"/>
        <v/>
      </c>
      <c r="K262" s="72"/>
      <c r="L262" s="72"/>
      <c r="M262" s="2"/>
      <c r="N262" s="5"/>
      <c r="O262" s="3"/>
      <c r="P262" s="6"/>
      <c r="Q262" s="48">
        <f>IF(Учет!$O262=Справочники!$F$2,Учет!$H262,0)</f>
        <v>0</v>
      </c>
      <c r="R262" s="48">
        <f>IF(Учет!$O262=Справочники!$F$3,Учет!$H262,0)</f>
        <v>0</v>
      </c>
      <c r="S262" s="48">
        <f>IF(Учет!$O262=Справочники!$F$4,Учет!$H262,0)</f>
        <v>0</v>
      </c>
      <c r="T262" s="48">
        <f>IF(Учет!$O262=Справочники!$F$5,Учет!$H262,0)</f>
        <v>0</v>
      </c>
      <c r="U262" s="48">
        <f>IF(Учет!$O262=Справочники!$F$6,Учет!$H262,0)</f>
        <v>0</v>
      </c>
      <c r="V262" s="43">
        <f>V261+Учет!$B262-Q262</f>
        <v>-488978.92000000004</v>
      </c>
      <c r="W262" s="43">
        <f>W261+Учет!$C262-R262</f>
        <v>336855</v>
      </c>
      <c r="X262" s="43">
        <f>X261+Учет!$D262-S262</f>
        <v>500</v>
      </c>
      <c r="Y262" s="43">
        <f>Y261+Учет!$E262-T262</f>
        <v>1150</v>
      </c>
      <c r="Z262" s="43">
        <f>Z261+Учет!$F262-U262</f>
        <v>500000</v>
      </c>
      <c r="AA262" s="45">
        <f>Учет!$I262</f>
        <v>349526.07999999996</v>
      </c>
    </row>
    <row r="263" spans="1:27" ht="15" customHeight="1" x14ac:dyDescent="0.25">
      <c r="A263" s="1"/>
      <c r="B263" s="17"/>
      <c r="C263" s="17"/>
      <c r="D263" s="17"/>
      <c r="E263" s="17"/>
      <c r="F263" s="17"/>
      <c r="G263" s="4">
        <f t="shared" si="9"/>
        <v>0</v>
      </c>
      <c r="H263" s="17"/>
      <c r="I263" s="4">
        <f t="shared" si="11"/>
        <v>349526.07999999996</v>
      </c>
      <c r="J263" s="32" t="str">
        <f t="shared" si="10"/>
        <v/>
      </c>
      <c r="K263" s="72"/>
      <c r="L263" s="72"/>
      <c r="M263" s="2"/>
      <c r="N263" s="5"/>
      <c r="O263" s="3"/>
      <c r="P263" s="6"/>
      <c r="Q263" s="48">
        <f>IF(Учет!$O263=Справочники!$F$2,Учет!$H263,0)</f>
        <v>0</v>
      </c>
      <c r="R263" s="48">
        <f>IF(Учет!$O263=Справочники!$F$3,Учет!$H263,0)</f>
        <v>0</v>
      </c>
      <c r="S263" s="48">
        <f>IF(Учет!$O263=Справочники!$F$4,Учет!$H263,0)</f>
        <v>0</v>
      </c>
      <c r="T263" s="48">
        <f>IF(Учет!$O263=Справочники!$F$5,Учет!$H263,0)</f>
        <v>0</v>
      </c>
      <c r="U263" s="48">
        <f>IF(Учет!$O263=Справочники!$F$6,Учет!$H263,0)</f>
        <v>0</v>
      </c>
      <c r="V263" s="43">
        <f>V262+Учет!$B263-Q263</f>
        <v>-488978.92000000004</v>
      </c>
      <c r="W263" s="43">
        <f>W262+Учет!$C263-R263</f>
        <v>336855</v>
      </c>
      <c r="X263" s="43">
        <f>X262+Учет!$D263-S263</f>
        <v>500</v>
      </c>
      <c r="Y263" s="43">
        <f>Y262+Учет!$E263-T263</f>
        <v>1150</v>
      </c>
      <c r="Z263" s="43">
        <f>Z262+Учет!$F263-U263</f>
        <v>500000</v>
      </c>
      <c r="AA263" s="45">
        <f>Учет!$I263</f>
        <v>349526.07999999996</v>
      </c>
    </row>
    <row r="264" spans="1:27" ht="15" customHeight="1" x14ac:dyDescent="0.25">
      <c r="A264" s="1"/>
      <c r="B264" s="17"/>
      <c r="C264" s="17"/>
      <c r="D264" s="17"/>
      <c r="E264" s="17"/>
      <c r="F264" s="17"/>
      <c r="G264" s="4">
        <f t="shared" si="9"/>
        <v>0</v>
      </c>
      <c r="H264" s="17"/>
      <c r="I264" s="4">
        <f t="shared" si="11"/>
        <v>349526.07999999996</v>
      </c>
      <c r="J264" s="32" t="str">
        <f t="shared" si="10"/>
        <v/>
      </c>
      <c r="K264" s="72"/>
      <c r="L264" s="72"/>
      <c r="M264" s="2"/>
      <c r="N264" s="5"/>
      <c r="O264" s="3"/>
      <c r="P264" s="6"/>
      <c r="Q264" s="48">
        <f>IF(Учет!$O264=Справочники!$F$2,Учет!$H264,0)</f>
        <v>0</v>
      </c>
      <c r="R264" s="48">
        <f>IF(Учет!$O264=Справочники!$F$3,Учет!$H264,0)</f>
        <v>0</v>
      </c>
      <c r="S264" s="48">
        <f>IF(Учет!$O264=Справочники!$F$4,Учет!$H264,0)</f>
        <v>0</v>
      </c>
      <c r="T264" s="48">
        <f>IF(Учет!$O264=Справочники!$F$5,Учет!$H264,0)</f>
        <v>0</v>
      </c>
      <c r="U264" s="48">
        <f>IF(Учет!$O264=Справочники!$F$6,Учет!$H264,0)</f>
        <v>0</v>
      </c>
      <c r="V264" s="43">
        <f>V263+Учет!$B264-Q264</f>
        <v>-488978.92000000004</v>
      </c>
      <c r="W264" s="43">
        <f>W263+Учет!$C264-R264</f>
        <v>336855</v>
      </c>
      <c r="X264" s="43">
        <f>X263+Учет!$D264-S264</f>
        <v>500</v>
      </c>
      <c r="Y264" s="43">
        <f>Y263+Учет!$E264-T264</f>
        <v>1150</v>
      </c>
      <c r="Z264" s="43">
        <f>Z263+Учет!$F264-U264</f>
        <v>500000</v>
      </c>
      <c r="AA264" s="45">
        <f>Учет!$I264</f>
        <v>349526.07999999996</v>
      </c>
    </row>
    <row r="265" spans="1:27" ht="15" customHeight="1" x14ac:dyDescent="0.25">
      <c r="A265" s="1"/>
      <c r="B265" s="17"/>
      <c r="C265" s="17"/>
      <c r="D265" s="17"/>
      <c r="E265" s="17"/>
      <c r="F265" s="17"/>
      <c r="G265" s="4">
        <f t="shared" si="9"/>
        <v>0</v>
      </c>
      <c r="H265" s="17"/>
      <c r="I265" s="4">
        <f t="shared" si="11"/>
        <v>349526.07999999996</v>
      </c>
      <c r="J265" s="32" t="str">
        <f t="shared" si="10"/>
        <v/>
      </c>
      <c r="K265" s="72"/>
      <c r="L265" s="72"/>
      <c r="M265" s="2"/>
      <c r="N265" s="5"/>
      <c r="O265" s="3"/>
      <c r="P265" s="6"/>
      <c r="Q265" s="48">
        <f>IF(Учет!$O265=Справочники!$F$2,Учет!$H265,0)</f>
        <v>0</v>
      </c>
      <c r="R265" s="48">
        <f>IF(Учет!$O265=Справочники!$F$3,Учет!$H265,0)</f>
        <v>0</v>
      </c>
      <c r="S265" s="48">
        <f>IF(Учет!$O265=Справочники!$F$4,Учет!$H265,0)</f>
        <v>0</v>
      </c>
      <c r="T265" s="48">
        <f>IF(Учет!$O265=Справочники!$F$5,Учет!$H265,0)</f>
        <v>0</v>
      </c>
      <c r="U265" s="48">
        <f>IF(Учет!$O265=Справочники!$F$6,Учет!$H265,0)</f>
        <v>0</v>
      </c>
      <c r="V265" s="43">
        <f>V264+Учет!$B265-Q265</f>
        <v>-488978.92000000004</v>
      </c>
      <c r="W265" s="43">
        <f>W264+Учет!$C265-R265</f>
        <v>336855</v>
      </c>
      <c r="X265" s="43">
        <f>X264+Учет!$D265-S265</f>
        <v>500</v>
      </c>
      <c r="Y265" s="43">
        <f>Y264+Учет!$E265-T265</f>
        <v>1150</v>
      </c>
      <c r="Z265" s="43">
        <f>Z264+Учет!$F265-U265</f>
        <v>500000</v>
      </c>
      <c r="AA265" s="45">
        <f>Учет!$I265</f>
        <v>349526.07999999996</v>
      </c>
    </row>
    <row r="266" spans="1:27" ht="15" customHeight="1" x14ac:dyDescent="0.25">
      <c r="A266" s="1"/>
      <c r="B266" s="17"/>
      <c r="C266" s="17"/>
      <c r="D266" s="17"/>
      <c r="E266" s="17"/>
      <c r="F266" s="17"/>
      <c r="G266" s="4">
        <f t="shared" si="9"/>
        <v>0</v>
      </c>
      <c r="H266" s="17"/>
      <c r="I266" s="4">
        <f t="shared" si="11"/>
        <v>349526.07999999996</v>
      </c>
      <c r="J266" s="32" t="str">
        <f t="shared" si="10"/>
        <v/>
      </c>
      <c r="K266" s="72"/>
      <c r="L266" s="72"/>
      <c r="M266" s="2"/>
      <c r="N266" s="5"/>
      <c r="O266" s="3"/>
      <c r="P266" s="6"/>
      <c r="Q266" s="48">
        <f>IF(Учет!$O266=Справочники!$F$2,Учет!$H266,0)</f>
        <v>0</v>
      </c>
      <c r="R266" s="48">
        <f>IF(Учет!$O266=Справочники!$F$3,Учет!$H266,0)</f>
        <v>0</v>
      </c>
      <c r="S266" s="48">
        <f>IF(Учет!$O266=Справочники!$F$4,Учет!$H266,0)</f>
        <v>0</v>
      </c>
      <c r="T266" s="48">
        <f>IF(Учет!$O266=Справочники!$F$5,Учет!$H266,0)</f>
        <v>0</v>
      </c>
      <c r="U266" s="48">
        <f>IF(Учет!$O266=Справочники!$F$6,Учет!$H266,0)</f>
        <v>0</v>
      </c>
      <c r="V266" s="43">
        <f>V265+Учет!$B266-Q266</f>
        <v>-488978.92000000004</v>
      </c>
      <c r="W266" s="43">
        <f>W265+Учет!$C266-R266</f>
        <v>336855</v>
      </c>
      <c r="X266" s="43">
        <f>X265+Учет!$D266-S266</f>
        <v>500</v>
      </c>
      <c r="Y266" s="43">
        <f>Y265+Учет!$E266-T266</f>
        <v>1150</v>
      </c>
      <c r="Z266" s="43">
        <f>Z265+Учет!$F266-U266</f>
        <v>500000</v>
      </c>
      <c r="AA266" s="45">
        <f>Учет!$I266</f>
        <v>349526.07999999996</v>
      </c>
    </row>
    <row r="267" spans="1:27" ht="15" customHeight="1" x14ac:dyDescent="0.25">
      <c r="A267" s="1"/>
      <c r="B267" s="17"/>
      <c r="C267" s="17"/>
      <c r="D267" s="17"/>
      <c r="E267" s="17"/>
      <c r="F267" s="17"/>
      <c r="G267" s="4">
        <f t="shared" si="9"/>
        <v>0</v>
      </c>
      <c r="H267" s="17"/>
      <c r="I267" s="4">
        <f t="shared" si="11"/>
        <v>349526.07999999996</v>
      </c>
      <c r="J267" s="32" t="str">
        <f t="shared" si="10"/>
        <v/>
      </c>
      <c r="K267" s="72"/>
      <c r="L267" s="72"/>
      <c r="M267" s="2"/>
      <c r="N267" s="5"/>
      <c r="O267" s="3"/>
      <c r="P267" s="6"/>
      <c r="Q267" s="48">
        <f>IF(Учет!$O267=Справочники!$F$2,Учет!$H267,0)</f>
        <v>0</v>
      </c>
      <c r="R267" s="48">
        <f>IF(Учет!$O267=Справочники!$F$3,Учет!$H267,0)</f>
        <v>0</v>
      </c>
      <c r="S267" s="48">
        <f>IF(Учет!$O267=Справочники!$F$4,Учет!$H267,0)</f>
        <v>0</v>
      </c>
      <c r="T267" s="48">
        <f>IF(Учет!$O267=Справочники!$F$5,Учет!$H267,0)</f>
        <v>0</v>
      </c>
      <c r="U267" s="48">
        <f>IF(Учет!$O267=Справочники!$F$6,Учет!$H267,0)</f>
        <v>0</v>
      </c>
      <c r="V267" s="43">
        <f>V266+Учет!$B267-Q267</f>
        <v>-488978.92000000004</v>
      </c>
      <c r="W267" s="43">
        <f>W266+Учет!$C267-R267</f>
        <v>336855</v>
      </c>
      <c r="X267" s="43">
        <f>X266+Учет!$D267-S267</f>
        <v>500</v>
      </c>
      <c r="Y267" s="43">
        <f>Y266+Учет!$E267-T267</f>
        <v>1150</v>
      </c>
      <c r="Z267" s="43">
        <f>Z266+Учет!$F267-U267</f>
        <v>500000</v>
      </c>
      <c r="AA267" s="45">
        <f>Учет!$I267</f>
        <v>349526.07999999996</v>
      </c>
    </row>
    <row r="268" spans="1:27" ht="15" customHeight="1" x14ac:dyDescent="0.25">
      <c r="A268" s="1"/>
      <c r="B268" s="17"/>
      <c r="C268" s="17"/>
      <c r="D268" s="17"/>
      <c r="E268" s="17"/>
      <c r="F268" s="17"/>
      <c r="G268" s="4">
        <f t="shared" si="9"/>
        <v>0</v>
      </c>
      <c r="H268" s="17"/>
      <c r="I268" s="4">
        <f t="shared" si="11"/>
        <v>349526.07999999996</v>
      </c>
      <c r="J268" s="32" t="str">
        <f t="shared" si="10"/>
        <v/>
      </c>
      <c r="K268" s="72"/>
      <c r="L268" s="72"/>
      <c r="M268" s="2"/>
      <c r="N268" s="5"/>
      <c r="O268" s="3"/>
      <c r="P268" s="6"/>
      <c r="Q268" s="48">
        <f>IF(Учет!$O268=Справочники!$F$2,Учет!$H268,0)</f>
        <v>0</v>
      </c>
      <c r="R268" s="48">
        <f>IF(Учет!$O268=Справочники!$F$3,Учет!$H268,0)</f>
        <v>0</v>
      </c>
      <c r="S268" s="48">
        <f>IF(Учет!$O268=Справочники!$F$4,Учет!$H268,0)</f>
        <v>0</v>
      </c>
      <c r="T268" s="48">
        <f>IF(Учет!$O268=Справочники!$F$5,Учет!$H268,0)</f>
        <v>0</v>
      </c>
      <c r="U268" s="48">
        <f>IF(Учет!$O268=Справочники!$F$6,Учет!$H268,0)</f>
        <v>0</v>
      </c>
      <c r="V268" s="43">
        <f>V267+Учет!$B268-Q268</f>
        <v>-488978.92000000004</v>
      </c>
      <c r="W268" s="43">
        <f>W267+Учет!$C268-R268</f>
        <v>336855</v>
      </c>
      <c r="X268" s="43">
        <f>X267+Учет!$D268-S268</f>
        <v>500</v>
      </c>
      <c r="Y268" s="43">
        <f>Y267+Учет!$E268-T268</f>
        <v>1150</v>
      </c>
      <c r="Z268" s="43">
        <f>Z267+Учет!$F268-U268</f>
        <v>500000</v>
      </c>
      <c r="AA268" s="45">
        <f>Учет!$I268</f>
        <v>349526.07999999996</v>
      </c>
    </row>
    <row r="269" spans="1:27" ht="15" customHeight="1" x14ac:dyDescent="0.25">
      <c r="A269" s="1"/>
      <c r="B269" s="17"/>
      <c r="C269" s="17"/>
      <c r="D269" s="17"/>
      <c r="E269" s="17"/>
      <c r="F269" s="17"/>
      <c r="G269" s="4">
        <f t="shared" si="9"/>
        <v>0</v>
      </c>
      <c r="H269" s="17"/>
      <c r="I269" s="4">
        <f t="shared" si="11"/>
        <v>349526.07999999996</v>
      </c>
      <c r="J269" s="32" t="str">
        <f t="shared" si="10"/>
        <v/>
      </c>
      <c r="K269" s="72"/>
      <c r="L269" s="72"/>
      <c r="M269" s="2"/>
      <c r="N269" s="5"/>
      <c r="O269" s="3"/>
      <c r="P269" s="6"/>
      <c r="Q269" s="48">
        <f>IF(Учет!$O269=Справочники!$F$2,Учет!$H269,0)</f>
        <v>0</v>
      </c>
      <c r="R269" s="48">
        <f>IF(Учет!$O269=Справочники!$F$3,Учет!$H269,0)</f>
        <v>0</v>
      </c>
      <c r="S269" s="48">
        <f>IF(Учет!$O269=Справочники!$F$4,Учет!$H269,0)</f>
        <v>0</v>
      </c>
      <c r="T269" s="48">
        <f>IF(Учет!$O269=Справочники!$F$5,Учет!$H269,0)</f>
        <v>0</v>
      </c>
      <c r="U269" s="48">
        <f>IF(Учет!$O269=Справочники!$F$6,Учет!$H269,0)</f>
        <v>0</v>
      </c>
      <c r="V269" s="43">
        <f>V268+Учет!$B269-Q269</f>
        <v>-488978.92000000004</v>
      </c>
      <c r="W269" s="43">
        <f>W268+Учет!$C269-R269</f>
        <v>336855</v>
      </c>
      <c r="X269" s="43">
        <f>X268+Учет!$D269-S269</f>
        <v>500</v>
      </c>
      <c r="Y269" s="43">
        <f>Y268+Учет!$E269-T269</f>
        <v>1150</v>
      </c>
      <c r="Z269" s="43">
        <f>Z268+Учет!$F269-U269</f>
        <v>500000</v>
      </c>
      <c r="AA269" s="45">
        <f>Учет!$I269</f>
        <v>349526.07999999996</v>
      </c>
    </row>
    <row r="270" spans="1:27" ht="15" customHeight="1" x14ac:dyDescent="0.25">
      <c r="A270" s="1"/>
      <c r="B270" s="17"/>
      <c r="C270" s="17"/>
      <c r="D270" s="17"/>
      <c r="E270" s="17"/>
      <c r="F270" s="17"/>
      <c r="G270" s="4">
        <f t="shared" si="9"/>
        <v>0</v>
      </c>
      <c r="H270" s="17"/>
      <c r="I270" s="4">
        <f t="shared" si="11"/>
        <v>349526.07999999996</v>
      </c>
      <c r="J270" s="32" t="str">
        <f t="shared" si="10"/>
        <v/>
      </c>
      <c r="K270" s="72"/>
      <c r="L270" s="72"/>
      <c r="M270" s="2"/>
      <c r="N270" s="5"/>
      <c r="O270" s="3"/>
      <c r="P270" s="6"/>
      <c r="Q270" s="48">
        <f>IF(Учет!$O270=Справочники!$F$2,Учет!$H270,0)</f>
        <v>0</v>
      </c>
      <c r="R270" s="48">
        <f>IF(Учет!$O270=Справочники!$F$3,Учет!$H270,0)</f>
        <v>0</v>
      </c>
      <c r="S270" s="48">
        <f>IF(Учет!$O270=Справочники!$F$4,Учет!$H270,0)</f>
        <v>0</v>
      </c>
      <c r="T270" s="48">
        <f>IF(Учет!$O270=Справочники!$F$5,Учет!$H270,0)</f>
        <v>0</v>
      </c>
      <c r="U270" s="48">
        <f>IF(Учет!$O270=Справочники!$F$6,Учет!$H270,0)</f>
        <v>0</v>
      </c>
      <c r="V270" s="43">
        <f>V269+Учет!$B270-Q270</f>
        <v>-488978.92000000004</v>
      </c>
      <c r="W270" s="43">
        <f>W269+Учет!$C270-R270</f>
        <v>336855</v>
      </c>
      <c r="X270" s="43">
        <f>X269+Учет!$D270-S270</f>
        <v>500</v>
      </c>
      <c r="Y270" s="43">
        <f>Y269+Учет!$E270-T270</f>
        <v>1150</v>
      </c>
      <c r="Z270" s="43">
        <f>Z269+Учет!$F270-U270</f>
        <v>500000</v>
      </c>
      <c r="AA270" s="45">
        <f>Учет!$I270</f>
        <v>349526.07999999996</v>
      </c>
    </row>
    <row r="271" spans="1:27" ht="15" customHeight="1" x14ac:dyDescent="0.25">
      <c r="A271" s="1"/>
      <c r="B271" s="17"/>
      <c r="C271" s="17"/>
      <c r="D271" s="17"/>
      <c r="E271" s="17"/>
      <c r="F271" s="17"/>
      <c r="G271" s="4">
        <f t="shared" si="9"/>
        <v>0</v>
      </c>
      <c r="H271" s="17"/>
      <c r="I271" s="4">
        <f t="shared" si="11"/>
        <v>349526.07999999996</v>
      </c>
      <c r="J271" s="32" t="str">
        <f t="shared" si="10"/>
        <v/>
      </c>
      <c r="K271" s="72"/>
      <c r="L271" s="72"/>
      <c r="M271" s="2"/>
      <c r="N271" s="5"/>
      <c r="O271" s="3"/>
      <c r="P271" s="6"/>
      <c r="Q271" s="48">
        <f>IF(Учет!$O271=Справочники!$F$2,Учет!$H271,0)</f>
        <v>0</v>
      </c>
      <c r="R271" s="48">
        <f>IF(Учет!$O271=Справочники!$F$3,Учет!$H271,0)</f>
        <v>0</v>
      </c>
      <c r="S271" s="48">
        <f>IF(Учет!$O271=Справочники!$F$4,Учет!$H271,0)</f>
        <v>0</v>
      </c>
      <c r="T271" s="48">
        <f>IF(Учет!$O271=Справочники!$F$5,Учет!$H271,0)</f>
        <v>0</v>
      </c>
      <c r="U271" s="48">
        <f>IF(Учет!$O271=Справочники!$F$6,Учет!$H271,0)</f>
        <v>0</v>
      </c>
      <c r="V271" s="43">
        <f>V270+Учет!$B271-Q271</f>
        <v>-488978.92000000004</v>
      </c>
      <c r="W271" s="43">
        <f>W270+Учет!$C271-R271</f>
        <v>336855</v>
      </c>
      <c r="X271" s="43">
        <f>X270+Учет!$D271-S271</f>
        <v>500</v>
      </c>
      <c r="Y271" s="43">
        <f>Y270+Учет!$E271-T271</f>
        <v>1150</v>
      </c>
      <c r="Z271" s="43">
        <f>Z270+Учет!$F271-U271</f>
        <v>500000</v>
      </c>
      <c r="AA271" s="45">
        <f>Учет!$I271</f>
        <v>349526.07999999996</v>
      </c>
    </row>
    <row r="272" spans="1:27" ht="15" customHeight="1" x14ac:dyDescent="0.25">
      <c r="A272" s="1"/>
      <c r="B272" s="17"/>
      <c r="C272" s="17"/>
      <c r="D272" s="17"/>
      <c r="E272" s="17"/>
      <c r="F272" s="17"/>
      <c r="G272" s="4">
        <f t="shared" si="9"/>
        <v>0</v>
      </c>
      <c r="H272" s="17"/>
      <c r="I272" s="4">
        <f t="shared" si="11"/>
        <v>349526.07999999996</v>
      </c>
      <c r="J272" s="32" t="str">
        <f t="shared" si="10"/>
        <v/>
      </c>
      <c r="K272" s="72"/>
      <c r="L272" s="72"/>
      <c r="M272" s="2"/>
      <c r="N272" s="5"/>
      <c r="O272" s="3"/>
      <c r="P272" s="6"/>
      <c r="Q272" s="48">
        <f>IF(Учет!$O272=Справочники!$F$2,Учет!$H272,0)</f>
        <v>0</v>
      </c>
      <c r="R272" s="48">
        <f>IF(Учет!$O272=Справочники!$F$3,Учет!$H272,0)</f>
        <v>0</v>
      </c>
      <c r="S272" s="48">
        <f>IF(Учет!$O272=Справочники!$F$4,Учет!$H272,0)</f>
        <v>0</v>
      </c>
      <c r="T272" s="48">
        <f>IF(Учет!$O272=Справочники!$F$5,Учет!$H272,0)</f>
        <v>0</v>
      </c>
      <c r="U272" s="48">
        <f>IF(Учет!$O272=Справочники!$F$6,Учет!$H272,0)</f>
        <v>0</v>
      </c>
      <c r="V272" s="43">
        <f>V271+Учет!$B272-Q272</f>
        <v>-488978.92000000004</v>
      </c>
      <c r="W272" s="43">
        <f>W271+Учет!$C272-R272</f>
        <v>336855</v>
      </c>
      <c r="X272" s="43">
        <f>X271+Учет!$D272-S272</f>
        <v>500</v>
      </c>
      <c r="Y272" s="43">
        <f>Y271+Учет!$E272-T272</f>
        <v>1150</v>
      </c>
      <c r="Z272" s="43">
        <f>Z271+Учет!$F272-U272</f>
        <v>500000</v>
      </c>
      <c r="AA272" s="45">
        <f>Учет!$I272</f>
        <v>349526.07999999996</v>
      </c>
    </row>
    <row r="273" spans="1:27" ht="15" customHeight="1" x14ac:dyDescent="0.25">
      <c r="A273" s="1"/>
      <c r="B273" s="17"/>
      <c r="C273" s="17"/>
      <c r="D273" s="17"/>
      <c r="E273" s="17"/>
      <c r="F273" s="17"/>
      <c r="G273" s="4">
        <f t="shared" si="9"/>
        <v>0</v>
      </c>
      <c r="H273" s="17"/>
      <c r="I273" s="4">
        <f t="shared" si="11"/>
        <v>349526.07999999996</v>
      </c>
      <c r="J273" s="32" t="str">
        <f t="shared" si="10"/>
        <v/>
      </c>
      <c r="K273" s="72"/>
      <c r="L273" s="72"/>
      <c r="M273" s="2"/>
      <c r="N273" s="5"/>
      <c r="O273" s="3"/>
      <c r="P273" s="6"/>
      <c r="Q273" s="48">
        <f>IF(Учет!$O273=Справочники!$F$2,Учет!$H273,0)</f>
        <v>0</v>
      </c>
      <c r="R273" s="48">
        <f>IF(Учет!$O273=Справочники!$F$3,Учет!$H273,0)</f>
        <v>0</v>
      </c>
      <c r="S273" s="48">
        <f>IF(Учет!$O273=Справочники!$F$4,Учет!$H273,0)</f>
        <v>0</v>
      </c>
      <c r="T273" s="48">
        <f>IF(Учет!$O273=Справочники!$F$5,Учет!$H273,0)</f>
        <v>0</v>
      </c>
      <c r="U273" s="48">
        <f>IF(Учет!$O273=Справочники!$F$6,Учет!$H273,0)</f>
        <v>0</v>
      </c>
      <c r="V273" s="43">
        <f>V272+Учет!$B273-Q273</f>
        <v>-488978.92000000004</v>
      </c>
      <c r="W273" s="43">
        <f>W272+Учет!$C273-R273</f>
        <v>336855</v>
      </c>
      <c r="X273" s="43">
        <f>X272+Учет!$D273-S273</f>
        <v>500</v>
      </c>
      <c r="Y273" s="43">
        <f>Y272+Учет!$E273-T273</f>
        <v>1150</v>
      </c>
      <c r="Z273" s="43">
        <f>Z272+Учет!$F273-U273</f>
        <v>500000</v>
      </c>
      <c r="AA273" s="45">
        <f>Учет!$I273</f>
        <v>349526.07999999996</v>
      </c>
    </row>
    <row r="274" spans="1:27" ht="15" customHeight="1" x14ac:dyDescent="0.25">
      <c r="A274" s="1"/>
      <c r="B274" s="17"/>
      <c r="C274" s="17"/>
      <c r="D274" s="17"/>
      <c r="E274" s="17"/>
      <c r="F274" s="17"/>
      <c r="G274" s="4">
        <f t="shared" si="9"/>
        <v>0</v>
      </c>
      <c r="H274" s="17"/>
      <c r="I274" s="4">
        <f t="shared" si="11"/>
        <v>349526.07999999996</v>
      </c>
      <c r="J274" s="32" t="str">
        <f t="shared" si="10"/>
        <v/>
      </c>
      <c r="K274" s="72"/>
      <c r="L274" s="72"/>
      <c r="M274" s="2"/>
      <c r="N274" s="5"/>
      <c r="O274" s="3"/>
      <c r="P274" s="6"/>
      <c r="Q274" s="48">
        <f>IF(Учет!$O274=Справочники!$F$2,Учет!$H274,0)</f>
        <v>0</v>
      </c>
      <c r="R274" s="48">
        <f>IF(Учет!$O274=Справочники!$F$3,Учет!$H274,0)</f>
        <v>0</v>
      </c>
      <c r="S274" s="48">
        <f>IF(Учет!$O274=Справочники!$F$4,Учет!$H274,0)</f>
        <v>0</v>
      </c>
      <c r="T274" s="48">
        <f>IF(Учет!$O274=Справочники!$F$5,Учет!$H274,0)</f>
        <v>0</v>
      </c>
      <c r="U274" s="48">
        <f>IF(Учет!$O274=Справочники!$F$6,Учет!$H274,0)</f>
        <v>0</v>
      </c>
      <c r="V274" s="43">
        <f>V273+Учет!$B274-Q274</f>
        <v>-488978.92000000004</v>
      </c>
      <c r="W274" s="43">
        <f>W273+Учет!$C274-R274</f>
        <v>336855</v>
      </c>
      <c r="X274" s="43">
        <f>X273+Учет!$D274-S274</f>
        <v>500</v>
      </c>
      <c r="Y274" s="43">
        <f>Y273+Учет!$E274-T274</f>
        <v>1150</v>
      </c>
      <c r="Z274" s="43">
        <f>Z273+Учет!$F274-U274</f>
        <v>500000</v>
      </c>
      <c r="AA274" s="45">
        <f>Учет!$I274</f>
        <v>349526.07999999996</v>
      </c>
    </row>
    <row r="275" spans="1:27" ht="15" customHeight="1" x14ac:dyDescent="0.25">
      <c r="A275" s="1"/>
      <c r="B275" s="17"/>
      <c r="C275" s="17"/>
      <c r="D275" s="17"/>
      <c r="E275" s="17"/>
      <c r="F275" s="17"/>
      <c r="G275" s="4">
        <f t="shared" si="9"/>
        <v>0</v>
      </c>
      <c r="H275" s="17"/>
      <c r="I275" s="4">
        <f t="shared" si="11"/>
        <v>349526.07999999996</v>
      </c>
      <c r="J275" s="32" t="str">
        <f t="shared" si="10"/>
        <v/>
      </c>
      <c r="K275" s="72"/>
      <c r="L275" s="72"/>
      <c r="M275" s="2"/>
      <c r="N275" s="5"/>
      <c r="O275" s="3"/>
      <c r="P275" s="6"/>
      <c r="Q275" s="48">
        <f>IF(Учет!$O275=Справочники!$F$2,Учет!$H275,0)</f>
        <v>0</v>
      </c>
      <c r="R275" s="48">
        <f>IF(Учет!$O275=Справочники!$F$3,Учет!$H275,0)</f>
        <v>0</v>
      </c>
      <c r="S275" s="48">
        <f>IF(Учет!$O275=Справочники!$F$4,Учет!$H275,0)</f>
        <v>0</v>
      </c>
      <c r="T275" s="48">
        <f>IF(Учет!$O275=Справочники!$F$5,Учет!$H275,0)</f>
        <v>0</v>
      </c>
      <c r="U275" s="48">
        <f>IF(Учет!$O275=Справочники!$F$6,Учет!$H275,0)</f>
        <v>0</v>
      </c>
      <c r="V275" s="43">
        <f>V274+Учет!$B275-Q275</f>
        <v>-488978.92000000004</v>
      </c>
      <c r="W275" s="43">
        <f>W274+Учет!$C275-R275</f>
        <v>336855</v>
      </c>
      <c r="X275" s="43">
        <f>X274+Учет!$D275-S275</f>
        <v>500</v>
      </c>
      <c r="Y275" s="43">
        <f>Y274+Учет!$E275-T275</f>
        <v>1150</v>
      </c>
      <c r="Z275" s="43">
        <f>Z274+Учет!$F275-U275</f>
        <v>500000</v>
      </c>
      <c r="AA275" s="45">
        <f>Учет!$I275</f>
        <v>349526.07999999996</v>
      </c>
    </row>
    <row r="276" spans="1:27" ht="15" customHeight="1" x14ac:dyDescent="0.25">
      <c r="A276" s="1"/>
      <c r="B276" s="17"/>
      <c r="C276" s="17"/>
      <c r="D276" s="17"/>
      <c r="E276" s="17"/>
      <c r="F276" s="17"/>
      <c r="G276" s="4">
        <f t="shared" si="9"/>
        <v>0</v>
      </c>
      <c r="H276" s="17"/>
      <c r="I276" s="4">
        <f t="shared" si="11"/>
        <v>349526.07999999996</v>
      </c>
      <c r="J276" s="32" t="str">
        <f t="shared" si="10"/>
        <v/>
      </c>
      <c r="K276" s="72"/>
      <c r="L276" s="72"/>
      <c r="M276" s="2"/>
      <c r="N276" s="5"/>
      <c r="O276" s="3"/>
      <c r="P276" s="6"/>
      <c r="Q276" s="48">
        <f>IF(Учет!$O276=Справочники!$F$2,Учет!$H276,0)</f>
        <v>0</v>
      </c>
      <c r="R276" s="48">
        <f>IF(Учет!$O276=Справочники!$F$3,Учет!$H276,0)</f>
        <v>0</v>
      </c>
      <c r="S276" s="48">
        <f>IF(Учет!$O276=Справочники!$F$4,Учет!$H276,0)</f>
        <v>0</v>
      </c>
      <c r="T276" s="48">
        <f>IF(Учет!$O276=Справочники!$F$5,Учет!$H276,0)</f>
        <v>0</v>
      </c>
      <c r="U276" s="48">
        <f>IF(Учет!$O276=Справочники!$F$6,Учет!$H276,0)</f>
        <v>0</v>
      </c>
      <c r="V276" s="43">
        <f>V275+Учет!$B276-Q276</f>
        <v>-488978.92000000004</v>
      </c>
      <c r="W276" s="43">
        <f>W275+Учет!$C276-R276</f>
        <v>336855</v>
      </c>
      <c r="X276" s="43">
        <f>X275+Учет!$D276-S276</f>
        <v>500</v>
      </c>
      <c r="Y276" s="43">
        <f>Y275+Учет!$E276-T276</f>
        <v>1150</v>
      </c>
      <c r="Z276" s="43">
        <f>Z275+Учет!$F276-U276</f>
        <v>500000</v>
      </c>
      <c r="AA276" s="45">
        <f>Учет!$I276</f>
        <v>349526.07999999996</v>
      </c>
    </row>
    <row r="277" spans="1:27" ht="15" customHeight="1" x14ac:dyDescent="0.25">
      <c r="A277" s="1"/>
      <c r="B277" s="17"/>
      <c r="C277" s="17"/>
      <c r="D277" s="17"/>
      <c r="E277" s="17"/>
      <c r="F277" s="17"/>
      <c r="G277" s="4">
        <f t="shared" si="9"/>
        <v>0</v>
      </c>
      <c r="H277" s="17"/>
      <c r="I277" s="4">
        <f t="shared" si="11"/>
        <v>349526.07999999996</v>
      </c>
      <c r="J277" s="32" t="str">
        <f t="shared" si="10"/>
        <v/>
      </c>
      <c r="K277" s="72"/>
      <c r="L277" s="72"/>
      <c r="M277" s="2"/>
      <c r="N277" s="5"/>
      <c r="O277" s="3"/>
      <c r="P277" s="6"/>
      <c r="Q277" s="48">
        <f>IF(Учет!$O277=Справочники!$F$2,Учет!$H277,0)</f>
        <v>0</v>
      </c>
      <c r="R277" s="48">
        <f>IF(Учет!$O277=Справочники!$F$3,Учет!$H277,0)</f>
        <v>0</v>
      </c>
      <c r="S277" s="48">
        <f>IF(Учет!$O277=Справочники!$F$4,Учет!$H277,0)</f>
        <v>0</v>
      </c>
      <c r="T277" s="48">
        <f>IF(Учет!$O277=Справочники!$F$5,Учет!$H277,0)</f>
        <v>0</v>
      </c>
      <c r="U277" s="48">
        <f>IF(Учет!$O277=Справочники!$F$6,Учет!$H277,0)</f>
        <v>0</v>
      </c>
      <c r="V277" s="43">
        <f>V276+Учет!$B277-Q277</f>
        <v>-488978.92000000004</v>
      </c>
      <c r="W277" s="43">
        <f>W276+Учет!$C277-R277</f>
        <v>336855</v>
      </c>
      <c r="X277" s="43">
        <f>X276+Учет!$D277-S277</f>
        <v>500</v>
      </c>
      <c r="Y277" s="43">
        <f>Y276+Учет!$E277-T277</f>
        <v>1150</v>
      </c>
      <c r="Z277" s="43">
        <f>Z276+Учет!$F277-U277</f>
        <v>500000</v>
      </c>
      <c r="AA277" s="45">
        <f>Учет!$I277</f>
        <v>349526.07999999996</v>
      </c>
    </row>
    <row r="278" spans="1:27" ht="15" customHeight="1" x14ac:dyDescent="0.25">
      <c r="A278" s="1"/>
      <c r="B278" s="17"/>
      <c r="C278" s="17"/>
      <c r="D278" s="17"/>
      <c r="E278" s="17"/>
      <c r="F278" s="17"/>
      <c r="G278" s="4">
        <f t="shared" si="9"/>
        <v>0</v>
      </c>
      <c r="H278" s="17"/>
      <c r="I278" s="4">
        <f t="shared" si="11"/>
        <v>349526.07999999996</v>
      </c>
      <c r="J278" s="32" t="str">
        <f t="shared" si="10"/>
        <v/>
      </c>
      <c r="K278" s="72"/>
      <c r="L278" s="72"/>
      <c r="M278" s="2"/>
      <c r="N278" s="5"/>
      <c r="O278" s="3"/>
      <c r="P278" s="6"/>
      <c r="Q278" s="48">
        <f>IF(Учет!$O278=Справочники!$F$2,Учет!$H278,0)</f>
        <v>0</v>
      </c>
      <c r="R278" s="48">
        <f>IF(Учет!$O278=Справочники!$F$3,Учет!$H278,0)</f>
        <v>0</v>
      </c>
      <c r="S278" s="48">
        <f>IF(Учет!$O278=Справочники!$F$4,Учет!$H278,0)</f>
        <v>0</v>
      </c>
      <c r="T278" s="48">
        <f>IF(Учет!$O278=Справочники!$F$5,Учет!$H278,0)</f>
        <v>0</v>
      </c>
      <c r="U278" s="48">
        <f>IF(Учет!$O278=Справочники!$F$6,Учет!$H278,0)</f>
        <v>0</v>
      </c>
      <c r="V278" s="43">
        <f>V277+Учет!$B278-Q278</f>
        <v>-488978.92000000004</v>
      </c>
      <c r="W278" s="43">
        <f>W277+Учет!$C278-R278</f>
        <v>336855</v>
      </c>
      <c r="X278" s="43">
        <f>X277+Учет!$D278-S278</f>
        <v>500</v>
      </c>
      <c r="Y278" s="43">
        <f>Y277+Учет!$E278-T278</f>
        <v>1150</v>
      </c>
      <c r="Z278" s="43">
        <f>Z277+Учет!$F278-U278</f>
        <v>500000</v>
      </c>
      <c r="AA278" s="45">
        <f>Учет!$I278</f>
        <v>349526.07999999996</v>
      </c>
    </row>
    <row r="279" spans="1:27" ht="15" customHeight="1" x14ac:dyDescent="0.25">
      <c r="A279" s="1"/>
      <c r="B279" s="17"/>
      <c r="C279" s="17"/>
      <c r="D279" s="17"/>
      <c r="E279" s="17"/>
      <c r="F279" s="17"/>
      <c r="G279" s="4">
        <f t="shared" si="9"/>
        <v>0</v>
      </c>
      <c r="H279" s="17"/>
      <c r="I279" s="4">
        <f t="shared" si="11"/>
        <v>349526.07999999996</v>
      </c>
      <c r="J279" s="32" t="str">
        <f t="shared" si="10"/>
        <v/>
      </c>
      <c r="K279" s="72"/>
      <c r="L279" s="72"/>
      <c r="M279" s="2"/>
      <c r="N279" s="5"/>
      <c r="O279" s="3"/>
      <c r="P279" s="6"/>
      <c r="Q279" s="48">
        <f>IF(Учет!$O279=Справочники!$F$2,Учет!$H279,0)</f>
        <v>0</v>
      </c>
      <c r="R279" s="48">
        <f>IF(Учет!$O279=Справочники!$F$3,Учет!$H279,0)</f>
        <v>0</v>
      </c>
      <c r="S279" s="48">
        <f>IF(Учет!$O279=Справочники!$F$4,Учет!$H279,0)</f>
        <v>0</v>
      </c>
      <c r="T279" s="48">
        <f>IF(Учет!$O279=Справочники!$F$5,Учет!$H279,0)</f>
        <v>0</v>
      </c>
      <c r="U279" s="48">
        <f>IF(Учет!$O279=Справочники!$F$6,Учет!$H279,0)</f>
        <v>0</v>
      </c>
      <c r="V279" s="43">
        <f>V278+Учет!$B279-Q279</f>
        <v>-488978.92000000004</v>
      </c>
      <c r="W279" s="43">
        <f>W278+Учет!$C279-R279</f>
        <v>336855</v>
      </c>
      <c r="X279" s="43">
        <f>X278+Учет!$D279-S279</f>
        <v>500</v>
      </c>
      <c r="Y279" s="43">
        <f>Y278+Учет!$E279-T279</f>
        <v>1150</v>
      </c>
      <c r="Z279" s="43">
        <f>Z278+Учет!$F279-U279</f>
        <v>500000</v>
      </c>
      <c r="AA279" s="45">
        <f>Учет!$I279</f>
        <v>349526.07999999996</v>
      </c>
    </row>
    <row r="280" spans="1:27" ht="15" customHeight="1" x14ac:dyDescent="0.25">
      <c r="A280" s="1"/>
      <c r="B280" s="17"/>
      <c r="C280" s="17"/>
      <c r="D280" s="17"/>
      <c r="E280" s="17"/>
      <c r="F280" s="17"/>
      <c r="G280" s="4">
        <f t="shared" si="9"/>
        <v>0</v>
      </c>
      <c r="H280" s="17"/>
      <c r="I280" s="4">
        <f t="shared" si="11"/>
        <v>349526.07999999996</v>
      </c>
      <c r="J280" s="32" t="str">
        <f t="shared" si="10"/>
        <v/>
      </c>
      <c r="K280" s="72"/>
      <c r="L280" s="72"/>
      <c r="M280" s="2"/>
      <c r="N280" s="5"/>
      <c r="O280" s="3"/>
      <c r="P280" s="6"/>
      <c r="Q280" s="48">
        <f>IF(Учет!$O280=Справочники!$F$2,Учет!$H280,0)</f>
        <v>0</v>
      </c>
      <c r="R280" s="48">
        <f>IF(Учет!$O280=Справочники!$F$3,Учет!$H280,0)</f>
        <v>0</v>
      </c>
      <c r="S280" s="48">
        <f>IF(Учет!$O280=Справочники!$F$4,Учет!$H280,0)</f>
        <v>0</v>
      </c>
      <c r="T280" s="48">
        <f>IF(Учет!$O280=Справочники!$F$5,Учет!$H280,0)</f>
        <v>0</v>
      </c>
      <c r="U280" s="48">
        <f>IF(Учет!$O280=Справочники!$F$6,Учет!$H280,0)</f>
        <v>0</v>
      </c>
      <c r="V280" s="43">
        <f>V279+Учет!$B280-Q280</f>
        <v>-488978.92000000004</v>
      </c>
      <c r="W280" s="43">
        <f>W279+Учет!$C280-R280</f>
        <v>336855</v>
      </c>
      <c r="X280" s="43">
        <f>X279+Учет!$D280-S280</f>
        <v>500</v>
      </c>
      <c r="Y280" s="43">
        <f>Y279+Учет!$E280-T280</f>
        <v>1150</v>
      </c>
      <c r="Z280" s="43">
        <f>Z279+Учет!$F280-U280</f>
        <v>500000</v>
      </c>
      <c r="AA280" s="45">
        <f>Учет!$I280</f>
        <v>349526.07999999996</v>
      </c>
    </row>
    <row r="281" spans="1:27" ht="15" customHeight="1" x14ac:dyDescent="0.25">
      <c r="A281" s="1"/>
      <c r="B281" s="17"/>
      <c r="C281" s="17"/>
      <c r="D281" s="17"/>
      <c r="E281" s="17"/>
      <c r="F281" s="17"/>
      <c r="G281" s="4">
        <f t="shared" si="9"/>
        <v>0</v>
      </c>
      <c r="H281" s="17"/>
      <c r="I281" s="4">
        <f t="shared" si="11"/>
        <v>349526.07999999996</v>
      </c>
      <c r="J281" s="32" t="str">
        <f t="shared" si="10"/>
        <v/>
      </c>
      <c r="K281" s="72"/>
      <c r="L281" s="72"/>
      <c r="M281" s="2"/>
      <c r="N281" s="5"/>
      <c r="O281" s="3"/>
      <c r="P281" s="6"/>
      <c r="Q281" s="48">
        <f>IF(Учет!$O281=Справочники!$F$2,Учет!$H281,0)</f>
        <v>0</v>
      </c>
      <c r="R281" s="48">
        <f>IF(Учет!$O281=Справочники!$F$3,Учет!$H281,0)</f>
        <v>0</v>
      </c>
      <c r="S281" s="48">
        <f>IF(Учет!$O281=Справочники!$F$4,Учет!$H281,0)</f>
        <v>0</v>
      </c>
      <c r="T281" s="48">
        <f>IF(Учет!$O281=Справочники!$F$5,Учет!$H281,0)</f>
        <v>0</v>
      </c>
      <c r="U281" s="48">
        <f>IF(Учет!$O281=Справочники!$F$6,Учет!$H281,0)</f>
        <v>0</v>
      </c>
      <c r="V281" s="43">
        <f>V280+Учет!$B281-Q281</f>
        <v>-488978.92000000004</v>
      </c>
      <c r="W281" s="43">
        <f>W280+Учет!$C281-R281</f>
        <v>336855</v>
      </c>
      <c r="X281" s="43">
        <f>X280+Учет!$D281-S281</f>
        <v>500</v>
      </c>
      <c r="Y281" s="43">
        <f>Y280+Учет!$E281-T281</f>
        <v>1150</v>
      </c>
      <c r="Z281" s="43">
        <f>Z280+Учет!$F281-U281</f>
        <v>500000</v>
      </c>
      <c r="AA281" s="45">
        <f>Учет!$I281</f>
        <v>349526.07999999996</v>
      </c>
    </row>
    <row r="282" spans="1:27" ht="15" customHeight="1" x14ac:dyDescent="0.25">
      <c r="A282" s="1"/>
      <c r="B282" s="17"/>
      <c r="C282" s="17"/>
      <c r="D282" s="17"/>
      <c r="E282" s="17"/>
      <c r="F282" s="17"/>
      <c r="G282" s="4">
        <f t="shared" si="9"/>
        <v>0</v>
      </c>
      <c r="H282" s="17"/>
      <c r="I282" s="4">
        <f t="shared" si="11"/>
        <v>349526.07999999996</v>
      </c>
      <c r="J282" s="32" t="str">
        <f t="shared" si="10"/>
        <v/>
      </c>
      <c r="K282" s="72"/>
      <c r="L282" s="72"/>
      <c r="M282" s="2"/>
      <c r="N282" s="5"/>
      <c r="O282" s="3"/>
      <c r="P282" s="6"/>
      <c r="Q282" s="48">
        <f>IF(Учет!$O282=Справочники!$F$2,Учет!$H282,0)</f>
        <v>0</v>
      </c>
      <c r="R282" s="48">
        <f>IF(Учет!$O282=Справочники!$F$3,Учет!$H282,0)</f>
        <v>0</v>
      </c>
      <c r="S282" s="48">
        <f>IF(Учет!$O282=Справочники!$F$4,Учет!$H282,0)</f>
        <v>0</v>
      </c>
      <c r="T282" s="48">
        <f>IF(Учет!$O282=Справочники!$F$5,Учет!$H282,0)</f>
        <v>0</v>
      </c>
      <c r="U282" s="48">
        <f>IF(Учет!$O282=Справочники!$F$6,Учет!$H282,0)</f>
        <v>0</v>
      </c>
      <c r="V282" s="43">
        <f>V281+Учет!$B282-Q282</f>
        <v>-488978.92000000004</v>
      </c>
      <c r="W282" s="43">
        <f>W281+Учет!$C282-R282</f>
        <v>336855</v>
      </c>
      <c r="X282" s="43">
        <f>X281+Учет!$D282-S282</f>
        <v>500</v>
      </c>
      <c r="Y282" s="43">
        <f>Y281+Учет!$E282-T282</f>
        <v>1150</v>
      </c>
      <c r="Z282" s="43">
        <f>Z281+Учет!$F282-U282</f>
        <v>500000</v>
      </c>
      <c r="AA282" s="45">
        <f>Учет!$I282</f>
        <v>349526.07999999996</v>
      </c>
    </row>
    <row r="283" spans="1:27" ht="15" customHeight="1" x14ac:dyDescent="0.25">
      <c r="A283" s="1"/>
      <c r="B283" s="17"/>
      <c r="C283" s="17"/>
      <c r="D283" s="17"/>
      <c r="E283" s="17"/>
      <c r="F283" s="17"/>
      <c r="G283" s="4">
        <f t="shared" si="9"/>
        <v>0</v>
      </c>
      <c r="H283" s="17"/>
      <c r="I283" s="4">
        <f t="shared" si="11"/>
        <v>349526.07999999996</v>
      </c>
      <c r="J283" s="32" t="str">
        <f t="shared" si="10"/>
        <v/>
      </c>
      <c r="K283" s="72"/>
      <c r="L283" s="72"/>
      <c r="M283" s="2"/>
      <c r="N283" s="5"/>
      <c r="O283" s="3"/>
      <c r="P283" s="6"/>
      <c r="Q283" s="48">
        <f>IF(Учет!$O283=Справочники!$F$2,Учет!$H283,0)</f>
        <v>0</v>
      </c>
      <c r="R283" s="48">
        <f>IF(Учет!$O283=Справочники!$F$3,Учет!$H283,0)</f>
        <v>0</v>
      </c>
      <c r="S283" s="48">
        <f>IF(Учет!$O283=Справочники!$F$4,Учет!$H283,0)</f>
        <v>0</v>
      </c>
      <c r="T283" s="48">
        <f>IF(Учет!$O283=Справочники!$F$5,Учет!$H283,0)</f>
        <v>0</v>
      </c>
      <c r="U283" s="48">
        <f>IF(Учет!$O283=Справочники!$F$6,Учет!$H283,0)</f>
        <v>0</v>
      </c>
      <c r="V283" s="43">
        <f>V282+Учет!$B283-Q283</f>
        <v>-488978.92000000004</v>
      </c>
      <c r="W283" s="43">
        <f>W282+Учет!$C283-R283</f>
        <v>336855</v>
      </c>
      <c r="X283" s="43">
        <f>X282+Учет!$D283-S283</f>
        <v>500</v>
      </c>
      <c r="Y283" s="43">
        <f>Y282+Учет!$E283-T283</f>
        <v>1150</v>
      </c>
      <c r="Z283" s="43">
        <f>Z282+Учет!$F283-U283</f>
        <v>500000</v>
      </c>
      <c r="AA283" s="45">
        <f>Учет!$I283</f>
        <v>349526.07999999996</v>
      </c>
    </row>
    <row r="284" spans="1:27" ht="15" customHeight="1" x14ac:dyDescent="0.25">
      <c r="A284" s="1"/>
      <c r="B284" s="17"/>
      <c r="C284" s="17"/>
      <c r="D284" s="17"/>
      <c r="E284" s="17"/>
      <c r="F284" s="17"/>
      <c r="G284" s="4">
        <f t="shared" si="9"/>
        <v>0</v>
      </c>
      <c r="H284" s="17"/>
      <c r="I284" s="4">
        <f t="shared" si="11"/>
        <v>349526.07999999996</v>
      </c>
      <c r="J284" s="32" t="str">
        <f t="shared" si="10"/>
        <v/>
      </c>
      <c r="K284" s="72"/>
      <c r="L284" s="72"/>
      <c r="M284" s="2"/>
      <c r="N284" s="5"/>
      <c r="O284" s="3"/>
      <c r="P284" s="6"/>
      <c r="Q284" s="48">
        <f>IF(Учет!$O284=Справочники!$F$2,Учет!$H284,0)</f>
        <v>0</v>
      </c>
      <c r="R284" s="48">
        <f>IF(Учет!$O284=Справочники!$F$3,Учет!$H284,0)</f>
        <v>0</v>
      </c>
      <c r="S284" s="48">
        <f>IF(Учет!$O284=Справочники!$F$4,Учет!$H284,0)</f>
        <v>0</v>
      </c>
      <c r="T284" s="48">
        <f>IF(Учет!$O284=Справочники!$F$5,Учет!$H284,0)</f>
        <v>0</v>
      </c>
      <c r="U284" s="48">
        <f>IF(Учет!$O284=Справочники!$F$6,Учет!$H284,0)</f>
        <v>0</v>
      </c>
      <c r="V284" s="43">
        <f>V283+Учет!$B284-Q284</f>
        <v>-488978.92000000004</v>
      </c>
      <c r="W284" s="43">
        <f>W283+Учет!$C284-R284</f>
        <v>336855</v>
      </c>
      <c r="X284" s="43">
        <f>X283+Учет!$D284-S284</f>
        <v>500</v>
      </c>
      <c r="Y284" s="43">
        <f>Y283+Учет!$E284-T284</f>
        <v>1150</v>
      </c>
      <c r="Z284" s="43">
        <f>Z283+Учет!$F284-U284</f>
        <v>500000</v>
      </c>
      <c r="AA284" s="45">
        <f>Учет!$I284</f>
        <v>349526.07999999996</v>
      </c>
    </row>
    <row r="285" spans="1:27" ht="15" customHeight="1" x14ac:dyDescent="0.25">
      <c r="A285" s="1"/>
      <c r="B285" s="17"/>
      <c r="C285" s="17"/>
      <c r="D285" s="17"/>
      <c r="E285" s="17"/>
      <c r="F285" s="17"/>
      <c r="G285" s="4">
        <f t="shared" si="9"/>
        <v>0</v>
      </c>
      <c r="H285" s="17"/>
      <c r="I285" s="4">
        <f t="shared" si="11"/>
        <v>349526.07999999996</v>
      </c>
      <c r="J285" s="32" t="str">
        <f t="shared" si="10"/>
        <v/>
      </c>
      <c r="K285" s="72"/>
      <c r="L285" s="72"/>
      <c r="M285" s="2"/>
      <c r="N285" s="5"/>
      <c r="O285" s="3"/>
      <c r="P285" s="6"/>
      <c r="Q285" s="48">
        <f>IF(Учет!$O285=Справочники!$F$2,Учет!$H285,0)</f>
        <v>0</v>
      </c>
      <c r="R285" s="48">
        <f>IF(Учет!$O285=Справочники!$F$3,Учет!$H285,0)</f>
        <v>0</v>
      </c>
      <c r="S285" s="48">
        <f>IF(Учет!$O285=Справочники!$F$4,Учет!$H285,0)</f>
        <v>0</v>
      </c>
      <c r="T285" s="48">
        <f>IF(Учет!$O285=Справочники!$F$5,Учет!$H285,0)</f>
        <v>0</v>
      </c>
      <c r="U285" s="48">
        <f>IF(Учет!$O285=Справочники!$F$6,Учет!$H285,0)</f>
        <v>0</v>
      </c>
      <c r="V285" s="43">
        <f>V284+Учет!$B285-Q285</f>
        <v>-488978.92000000004</v>
      </c>
      <c r="W285" s="43">
        <f>W284+Учет!$C285-R285</f>
        <v>336855</v>
      </c>
      <c r="X285" s="43">
        <f>X284+Учет!$D285-S285</f>
        <v>500</v>
      </c>
      <c r="Y285" s="43">
        <f>Y284+Учет!$E285-T285</f>
        <v>1150</v>
      </c>
      <c r="Z285" s="43">
        <f>Z284+Учет!$F285-U285</f>
        <v>500000</v>
      </c>
      <c r="AA285" s="45">
        <f>Учет!$I285</f>
        <v>349526.07999999996</v>
      </c>
    </row>
    <row r="286" spans="1:27" ht="15" customHeight="1" x14ac:dyDescent="0.25">
      <c r="A286" s="1"/>
      <c r="B286" s="17"/>
      <c r="C286" s="17"/>
      <c r="D286" s="17"/>
      <c r="E286" s="17"/>
      <c r="F286" s="17"/>
      <c r="G286" s="4">
        <f t="shared" si="9"/>
        <v>0</v>
      </c>
      <c r="H286" s="17"/>
      <c r="I286" s="4">
        <f t="shared" si="11"/>
        <v>349526.07999999996</v>
      </c>
      <c r="J286" s="32" t="str">
        <f t="shared" si="10"/>
        <v/>
      </c>
      <c r="K286" s="72"/>
      <c r="L286" s="72"/>
      <c r="M286" s="2"/>
      <c r="N286" s="5"/>
      <c r="O286" s="3"/>
      <c r="P286" s="6"/>
      <c r="Q286" s="48">
        <f>IF(Учет!$O286=Справочники!$F$2,Учет!$H286,0)</f>
        <v>0</v>
      </c>
      <c r="R286" s="48">
        <f>IF(Учет!$O286=Справочники!$F$3,Учет!$H286,0)</f>
        <v>0</v>
      </c>
      <c r="S286" s="48">
        <f>IF(Учет!$O286=Справочники!$F$4,Учет!$H286,0)</f>
        <v>0</v>
      </c>
      <c r="T286" s="48">
        <f>IF(Учет!$O286=Справочники!$F$5,Учет!$H286,0)</f>
        <v>0</v>
      </c>
      <c r="U286" s="48">
        <f>IF(Учет!$O286=Справочники!$F$6,Учет!$H286,0)</f>
        <v>0</v>
      </c>
      <c r="V286" s="43">
        <f>V285+Учет!$B286-Q286</f>
        <v>-488978.92000000004</v>
      </c>
      <c r="W286" s="43">
        <f>W285+Учет!$C286-R286</f>
        <v>336855</v>
      </c>
      <c r="X286" s="43">
        <f>X285+Учет!$D286-S286</f>
        <v>500</v>
      </c>
      <c r="Y286" s="43">
        <f>Y285+Учет!$E286-T286</f>
        <v>1150</v>
      </c>
      <c r="Z286" s="43">
        <f>Z285+Учет!$F286-U286</f>
        <v>500000</v>
      </c>
      <c r="AA286" s="45">
        <f>Учет!$I286</f>
        <v>349526.07999999996</v>
      </c>
    </row>
    <row r="287" spans="1:27" ht="15" customHeight="1" x14ac:dyDescent="0.25">
      <c r="A287" s="1"/>
      <c r="B287" s="17"/>
      <c r="C287" s="17"/>
      <c r="D287" s="17"/>
      <c r="E287" s="17"/>
      <c r="F287" s="17"/>
      <c r="G287" s="4">
        <f t="shared" si="9"/>
        <v>0</v>
      </c>
      <c r="H287" s="17"/>
      <c r="I287" s="4">
        <f t="shared" si="11"/>
        <v>349526.07999999996</v>
      </c>
      <c r="J287" s="32" t="str">
        <f t="shared" si="10"/>
        <v/>
      </c>
      <c r="K287" s="72"/>
      <c r="L287" s="72"/>
      <c r="M287" s="2"/>
      <c r="N287" s="5"/>
      <c r="O287" s="3"/>
      <c r="P287" s="6"/>
      <c r="Q287" s="48">
        <f>IF(Учет!$O287=Справочники!$F$2,Учет!$H287,0)</f>
        <v>0</v>
      </c>
      <c r="R287" s="48">
        <f>IF(Учет!$O287=Справочники!$F$3,Учет!$H287,0)</f>
        <v>0</v>
      </c>
      <c r="S287" s="48">
        <f>IF(Учет!$O287=Справочники!$F$4,Учет!$H287,0)</f>
        <v>0</v>
      </c>
      <c r="T287" s="48">
        <f>IF(Учет!$O287=Справочники!$F$5,Учет!$H287,0)</f>
        <v>0</v>
      </c>
      <c r="U287" s="48">
        <f>IF(Учет!$O287=Справочники!$F$6,Учет!$H287,0)</f>
        <v>0</v>
      </c>
      <c r="V287" s="43">
        <f>V286+Учет!$B287-Q287</f>
        <v>-488978.92000000004</v>
      </c>
      <c r="W287" s="43">
        <f>W286+Учет!$C287-R287</f>
        <v>336855</v>
      </c>
      <c r="X287" s="43">
        <f>X286+Учет!$D287-S287</f>
        <v>500</v>
      </c>
      <c r="Y287" s="43">
        <f>Y286+Учет!$E287-T287</f>
        <v>1150</v>
      </c>
      <c r="Z287" s="43">
        <f>Z286+Учет!$F287-U287</f>
        <v>500000</v>
      </c>
      <c r="AA287" s="45">
        <f>Учет!$I287</f>
        <v>349526.07999999996</v>
      </c>
    </row>
    <row r="288" spans="1:27" ht="15" customHeight="1" x14ac:dyDescent="0.25">
      <c r="A288" s="1"/>
      <c r="B288" s="17"/>
      <c r="C288" s="17"/>
      <c r="D288" s="17"/>
      <c r="E288" s="17"/>
      <c r="F288" s="17"/>
      <c r="G288" s="4">
        <f t="shared" si="9"/>
        <v>0</v>
      </c>
      <c r="H288" s="17"/>
      <c r="I288" s="4">
        <f t="shared" si="11"/>
        <v>349526.07999999996</v>
      </c>
      <c r="J288" s="32" t="str">
        <f t="shared" si="10"/>
        <v/>
      </c>
      <c r="K288" s="72"/>
      <c r="L288" s="72"/>
      <c r="M288" s="2"/>
      <c r="N288" s="5"/>
      <c r="O288" s="3"/>
      <c r="P288" s="6"/>
      <c r="Q288" s="48">
        <f>IF(Учет!$O288=Справочники!$F$2,Учет!$H288,0)</f>
        <v>0</v>
      </c>
      <c r="R288" s="48">
        <f>IF(Учет!$O288=Справочники!$F$3,Учет!$H288,0)</f>
        <v>0</v>
      </c>
      <c r="S288" s="48">
        <f>IF(Учет!$O288=Справочники!$F$4,Учет!$H288,0)</f>
        <v>0</v>
      </c>
      <c r="T288" s="48">
        <f>IF(Учет!$O288=Справочники!$F$5,Учет!$H288,0)</f>
        <v>0</v>
      </c>
      <c r="U288" s="48">
        <f>IF(Учет!$O288=Справочники!$F$6,Учет!$H288,0)</f>
        <v>0</v>
      </c>
      <c r="V288" s="43">
        <f>V287+Учет!$B288-Q288</f>
        <v>-488978.92000000004</v>
      </c>
      <c r="W288" s="43">
        <f>W287+Учет!$C288-R288</f>
        <v>336855</v>
      </c>
      <c r="X288" s="43">
        <f>X287+Учет!$D288-S288</f>
        <v>500</v>
      </c>
      <c r="Y288" s="43">
        <f>Y287+Учет!$E288-T288</f>
        <v>1150</v>
      </c>
      <c r="Z288" s="43">
        <f>Z287+Учет!$F288-U288</f>
        <v>500000</v>
      </c>
      <c r="AA288" s="45">
        <f>Учет!$I288</f>
        <v>349526.07999999996</v>
      </c>
    </row>
    <row r="289" spans="1:27" ht="15" customHeight="1" x14ac:dyDescent="0.25">
      <c r="A289" s="1"/>
      <c r="B289" s="17"/>
      <c r="C289" s="17"/>
      <c r="D289" s="17"/>
      <c r="E289" s="17"/>
      <c r="F289" s="17"/>
      <c r="G289" s="4">
        <f t="shared" si="9"/>
        <v>0</v>
      </c>
      <c r="H289" s="17"/>
      <c r="I289" s="4">
        <f t="shared" si="11"/>
        <v>349526.07999999996</v>
      </c>
      <c r="J289" s="32" t="str">
        <f t="shared" si="10"/>
        <v/>
      </c>
      <c r="K289" s="72"/>
      <c r="L289" s="72"/>
      <c r="M289" s="2"/>
      <c r="N289" s="5"/>
      <c r="O289" s="3"/>
      <c r="P289" s="6"/>
      <c r="Q289" s="48">
        <f>IF(Учет!$O289=Справочники!$F$2,Учет!$H289,0)</f>
        <v>0</v>
      </c>
      <c r="R289" s="48">
        <f>IF(Учет!$O289=Справочники!$F$3,Учет!$H289,0)</f>
        <v>0</v>
      </c>
      <c r="S289" s="48">
        <f>IF(Учет!$O289=Справочники!$F$4,Учет!$H289,0)</f>
        <v>0</v>
      </c>
      <c r="T289" s="48">
        <f>IF(Учет!$O289=Справочники!$F$5,Учет!$H289,0)</f>
        <v>0</v>
      </c>
      <c r="U289" s="48">
        <f>IF(Учет!$O289=Справочники!$F$6,Учет!$H289,0)</f>
        <v>0</v>
      </c>
      <c r="V289" s="43">
        <f>V288+Учет!$B289-Q289</f>
        <v>-488978.92000000004</v>
      </c>
      <c r="W289" s="43">
        <f>W288+Учет!$C289-R289</f>
        <v>336855</v>
      </c>
      <c r="X289" s="43">
        <f>X288+Учет!$D289-S289</f>
        <v>500</v>
      </c>
      <c r="Y289" s="43">
        <f>Y288+Учет!$E289-T289</f>
        <v>1150</v>
      </c>
      <c r="Z289" s="43">
        <f>Z288+Учет!$F289-U289</f>
        <v>500000</v>
      </c>
      <c r="AA289" s="45">
        <f>Учет!$I289</f>
        <v>349526.07999999996</v>
      </c>
    </row>
    <row r="290" spans="1:27" ht="15" customHeight="1" x14ac:dyDescent="0.25">
      <c r="A290" s="1"/>
      <c r="B290" s="17"/>
      <c r="C290" s="17"/>
      <c r="D290" s="17"/>
      <c r="E290" s="17"/>
      <c r="F290" s="17"/>
      <c r="G290" s="4">
        <f t="shared" si="9"/>
        <v>0</v>
      </c>
      <c r="H290" s="17"/>
      <c r="I290" s="4">
        <f t="shared" si="11"/>
        <v>349526.07999999996</v>
      </c>
      <c r="J290" s="32" t="str">
        <f t="shared" si="10"/>
        <v/>
      </c>
      <c r="K290" s="72"/>
      <c r="L290" s="72"/>
      <c r="M290" s="2"/>
      <c r="N290" s="5"/>
      <c r="O290" s="3"/>
      <c r="P290" s="6"/>
      <c r="Q290" s="48">
        <f>IF(Учет!$O290=Справочники!$F$2,Учет!$H290,0)</f>
        <v>0</v>
      </c>
      <c r="R290" s="48">
        <f>IF(Учет!$O290=Справочники!$F$3,Учет!$H290,0)</f>
        <v>0</v>
      </c>
      <c r="S290" s="48">
        <f>IF(Учет!$O290=Справочники!$F$4,Учет!$H290,0)</f>
        <v>0</v>
      </c>
      <c r="T290" s="48">
        <f>IF(Учет!$O290=Справочники!$F$5,Учет!$H290,0)</f>
        <v>0</v>
      </c>
      <c r="U290" s="48">
        <f>IF(Учет!$O290=Справочники!$F$6,Учет!$H290,0)</f>
        <v>0</v>
      </c>
      <c r="V290" s="43">
        <f>V289+Учет!$B290-Q290</f>
        <v>-488978.92000000004</v>
      </c>
      <c r="W290" s="43">
        <f>W289+Учет!$C290-R290</f>
        <v>336855</v>
      </c>
      <c r="X290" s="43">
        <f>X289+Учет!$D290-S290</f>
        <v>500</v>
      </c>
      <c r="Y290" s="43">
        <f>Y289+Учет!$E290-T290</f>
        <v>1150</v>
      </c>
      <c r="Z290" s="43">
        <f>Z289+Учет!$F290-U290</f>
        <v>500000</v>
      </c>
      <c r="AA290" s="45">
        <f>Учет!$I290</f>
        <v>349526.07999999996</v>
      </c>
    </row>
    <row r="291" spans="1:27" ht="15" customHeight="1" x14ac:dyDescent="0.25">
      <c r="A291" s="1"/>
      <c r="B291" s="17"/>
      <c r="C291" s="17"/>
      <c r="D291" s="17"/>
      <c r="E291" s="17"/>
      <c r="F291" s="17"/>
      <c r="G291" s="4">
        <f t="shared" si="9"/>
        <v>0</v>
      </c>
      <c r="H291" s="17"/>
      <c r="I291" s="4">
        <f t="shared" si="11"/>
        <v>349526.07999999996</v>
      </c>
      <c r="J291" s="32" t="str">
        <f t="shared" si="10"/>
        <v/>
      </c>
      <c r="K291" s="72"/>
      <c r="L291" s="72"/>
      <c r="M291" s="2"/>
      <c r="N291" s="5"/>
      <c r="O291" s="3"/>
      <c r="P291" s="6"/>
      <c r="Q291" s="48">
        <f>IF(Учет!$O291=Справочники!$F$2,Учет!$H291,0)</f>
        <v>0</v>
      </c>
      <c r="R291" s="48">
        <f>IF(Учет!$O291=Справочники!$F$3,Учет!$H291,0)</f>
        <v>0</v>
      </c>
      <c r="S291" s="48">
        <f>IF(Учет!$O291=Справочники!$F$4,Учет!$H291,0)</f>
        <v>0</v>
      </c>
      <c r="T291" s="48">
        <f>IF(Учет!$O291=Справочники!$F$5,Учет!$H291,0)</f>
        <v>0</v>
      </c>
      <c r="U291" s="48">
        <f>IF(Учет!$O291=Справочники!$F$6,Учет!$H291,0)</f>
        <v>0</v>
      </c>
      <c r="V291" s="43">
        <f>V290+Учет!$B291-Q291</f>
        <v>-488978.92000000004</v>
      </c>
      <c r="W291" s="43">
        <f>W290+Учет!$C291-R291</f>
        <v>336855</v>
      </c>
      <c r="X291" s="43">
        <f>X290+Учет!$D291-S291</f>
        <v>500</v>
      </c>
      <c r="Y291" s="43">
        <f>Y290+Учет!$E291-T291</f>
        <v>1150</v>
      </c>
      <c r="Z291" s="43">
        <f>Z290+Учет!$F291-U291</f>
        <v>500000</v>
      </c>
      <c r="AA291" s="45">
        <f>Учет!$I291</f>
        <v>349526.07999999996</v>
      </c>
    </row>
    <row r="292" spans="1:27" ht="15" customHeight="1" x14ac:dyDescent="0.25">
      <c r="A292" s="1"/>
      <c r="B292" s="17"/>
      <c r="C292" s="17"/>
      <c r="D292" s="17"/>
      <c r="E292" s="17"/>
      <c r="F292" s="17"/>
      <c r="G292" s="4">
        <f t="shared" si="9"/>
        <v>0</v>
      </c>
      <c r="H292" s="17"/>
      <c r="I292" s="4">
        <f t="shared" si="11"/>
        <v>349526.07999999996</v>
      </c>
      <c r="J292" s="32" t="str">
        <f t="shared" si="10"/>
        <v/>
      </c>
      <c r="K292" s="72"/>
      <c r="L292" s="72"/>
      <c r="M292" s="2"/>
      <c r="N292" s="5"/>
      <c r="O292" s="3"/>
      <c r="P292" s="6"/>
      <c r="Q292" s="48">
        <f>IF(Учет!$O292=Справочники!$F$2,Учет!$H292,0)</f>
        <v>0</v>
      </c>
      <c r="R292" s="48">
        <f>IF(Учет!$O292=Справочники!$F$3,Учет!$H292,0)</f>
        <v>0</v>
      </c>
      <c r="S292" s="48">
        <f>IF(Учет!$O292=Справочники!$F$4,Учет!$H292,0)</f>
        <v>0</v>
      </c>
      <c r="T292" s="48">
        <f>IF(Учет!$O292=Справочники!$F$5,Учет!$H292,0)</f>
        <v>0</v>
      </c>
      <c r="U292" s="48">
        <f>IF(Учет!$O292=Справочники!$F$6,Учет!$H292,0)</f>
        <v>0</v>
      </c>
      <c r="V292" s="43">
        <f>V291+Учет!$B292-Q292</f>
        <v>-488978.92000000004</v>
      </c>
      <c r="W292" s="43">
        <f>W291+Учет!$C292-R292</f>
        <v>336855</v>
      </c>
      <c r="X292" s="43">
        <f>X291+Учет!$D292-S292</f>
        <v>500</v>
      </c>
      <c r="Y292" s="43">
        <f>Y291+Учет!$E292-T292</f>
        <v>1150</v>
      </c>
      <c r="Z292" s="43">
        <f>Z291+Учет!$F292-U292</f>
        <v>500000</v>
      </c>
      <c r="AA292" s="45">
        <f>Учет!$I292</f>
        <v>349526.07999999996</v>
      </c>
    </row>
    <row r="293" spans="1:27" ht="15" customHeight="1" x14ac:dyDescent="0.25">
      <c r="A293" s="1"/>
      <c r="B293" s="17"/>
      <c r="C293" s="17"/>
      <c r="D293" s="17"/>
      <c r="E293" s="17"/>
      <c r="F293" s="17"/>
      <c r="G293" s="4">
        <f t="shared" si="9"/>
        <v>0</v>
      </c>
      <c r="H293" s="17"/>
      <c r="I293" s="4">
        <f t="shared" si="11"/>
        <v>349526.07999999996</v>
      </c>
      <c r="J293" s="32" t="str">
        <f t="shared" si="10"/>
        <v/>
      </c>
      <c r="K293" s="72"/>
      <c r="L293" s="72"/>
      <c r="M293" s="2"/>
      <c r="N293" s="5"/>
      <c r="O293" s="3"/>
      <c r="P293" s="6"/>
      <c r="Q293" s="48">
        <f>IF(Учет!$O293=Справочники!$F$2,Учет!$H293,0)</f>
        <v>0</v>
      </c>
      <c r="R293" s="48">
        <f>IF(Учет!$O293=Справочники!$F$3,Учет!$H293,0)</f>
        <v>0</v>
      </c>
      <c r="S293" s="48">
        <f>IF(Учет!$O293=Справочники!$F$4,Учет!$H293,0)</f>
        <v>0</v>
      </c>
      <c r="T293" s="48">
        <f>IF(Учет!$O293=Справочники!$F$5,Учет!$H293,0)</f>
        <v>0</v>
      </c>
      <c r="U293" s="48">
        <f>IF(Учет!$O293=Справочники!$F$6,Учет!$H293,0)</f>
        <v>0</v>
      </c>
      <c r="V293" s="43">
        <f>V292+Учет!$B293-Q293</f>
        <v>-488978.92000000004</v>
      </c>
      <c r="W293" s="43">
        <f>W292+Учет!$C293-R293</f>
        <v>336855</v>
      </c>
      <c r="X293" s="43">
        <f>X292+Учет!$D293-S293</f>
        <v>500</v>
      </c>
      <c r="Y293" s="43">
        <f>Y292+Учет!$E293-T293</f>
        <v>1150</v>
      </c>
      <c r="Z293" s="43">
        <f>Z292+Учет!$F293-U293</f>
        <v>500000</v>
      </c>
      <c r="AA293" s="45">
        <f>Учет!$I293</f>
        <v>349526.07999999996</v>
      </c>
    </row>
    <row r="294" spans="1:27" ht="15" customHeight="1" x14ac:dyDescent="0.25">
      <c r="A294" s="1"/>
      <c r="B294" s="17"/>
      <c r="C294" s="17"/>
      <c r="D294" s="17"/>
      <c r="E294" s="17"/>
      <c r="F294" s="17"/>
      <c r="G294" s="4">
        <f t="shared" si="9"/>
        <v>0</v>
      </c>
      <c r="H294" s="17"/>
      <c r="I294" s="4">
        <f t="shared" si="11"/>
        <v>349526.07999999996</v>
      </c>
      <c r="J294" s="32" t="str">
        <f t="shared" si="10"/>
        <v/>
      </c>
      <c r="K294" s="72"/>
      <c r="L294" s="72"/>
      <c r="M294" s="2"/>
      <c r="N294" s="5"/>
      <c r="O294" s="3"/>
      <c r="P294" s="6"/>
      <c r="Q294" s="48">
        <f>IF(Учет!$O294=Справочники!$F$2,Учет!$H294,0)</f>
        <v>0</v>
      </c>
      <c r="R294" s="48">
        <f>IF(Учет!$O294=Справочники!$F$3,Учет!$H294,0)</f>
        <v>0</v>
      </c>
      <c r="S294" s="48">
        <f>IF(Учет!$O294=Справочники!$F$4,Учет!$H294,0)</f>
        <v>0</v>
      </c>
      <c r="T294" s="48">
        <f>IF(Учет!$O294=Справочники!$F$5,Учет!$H294,0)</f>
        <v>0</v>
      </c>
      <c r="U294" s="48">
        <f>IF(Учет!$O294=Справочники!$F$6,Учет!$H294,0)</f>
        <v>0</v>
      </c>
      <c r="V294" s="43">
        <f>V293+Учет!$B294-Q294</f>
        <v>-488978.92000000004</v>
      </c>
      <c r="W294" s="43">
        <f>W293+Учет!$C294-R294</f>
        <v>336855</v>
      </c>
      <c r="X294" s="43">
        <f>X293+Учет!$D294-S294</f>
        <v>500</v>
      </c>
      <c r="Y294" s="43">
        <f>Y293+Учет!$E294-T294</f>
        <v>1150</v>
      </c>
      <c r="Z294" s="43">
        <f>Z293+Учет!$F294-U294</f>
        <v>500000</v>
      </c>
      <c r="AA294" s="45">
        <f>Учет!$I294</f>
        <v>349526.07999999996</v>
      </c>
    </row>
    <row r="295" spans="1:27" ht="15" customHeight="1" x14ac:dyDescent="0.25">
      <c r="A295" s="1"/>
      <c r="B295" s="17"/>
      <c r="C295" s="17"/>
      <c r="D295" s="17"/>
      <c r="E295" s="17"/>
      <c r="F295" s="17"/>
      <c r="G295" s="4">
        <f t="shared" si="9"/>
        <v>0</v>
      </c>
      <c r="H295" s="17"/>
      <c r="I295" s="4">
        <f t="shared" si="11"/>
        <v>349526.07999999996</v>
      </c>
      <c r="J295" s="32" t="str">
        <f t="shared" si="10"/>
        <v/>
      </c>
      <c r="K295" s="72"/>
      <c r="L295" s="72"/>
      <c r="M295" s="2"/>
      <c r="N295" s="5"/>
      <c r="O295" s="3"/>
      <c r="P295" s="6"/>
      <c r="Q295" s="48">
        <f>IF(Учет!$O295=Справочники!$F$2,Учет!$H295,0)</f>
        <v>0</v>
      </c>
      <c r="R295" s="48">
        <f>IF(Учет!$O295=Справочники!$F$3,Учет!$H295,0)</f>
        <v>0</v>
      </c>
      <c r="S295" s="48">
        <f>IF(Учет!$O295=Справочники!$F$4,Учет!$H295,0)</f>
        <v>0</v>
      </c>
      <c r="T295" s="48">
        <f>IF(Учет!$O295=Справочники!$F$5,Учет!$H295,0)</f>
        <v>0</v>
      </c>
      <c r="U295" s="48">
        <f>IF(Учет!$O295=Справочники!$F$6,Учет!$H295,0)</f>
        <v>0</v>
      </c>
      <c r="V295" s="43">
        <f>V294+Учет!$B295-Q295</f>
        <v>-488978.92000000004</v>
      </c>
      <c r="W295" s="43">
        <f>W294+Учет!$C295-R295</f>
        <v>336855</v>
      </c>
      <c r="X295" s="43">
        <f>X294+Учет!$D295-S295</f>
        <v>500</v>
      </c>
      <c r="Y295" s="43">
        <f>Y294+Учет!$E295-T295</f>
        <v>1150</v>
      </c>
      <c r="Z295" s="43">
        <f>Z294+Учет!$F295-U295</f>
        <v>500000</v>
      </c>
      <c r="AA295" s="45">
        <f>Учет!$I295</f>
        <v>349526.07999999996</v>
      </c>
    </row>
    <row r="296" spans="1:27" ht="15" customHeight="1" x14ac:dyDescent="0.25">
      <c r="A296" s="1"/>
      <c r="B296" s="17"/>
      <c r="C296" s="17"/>
      <c r="D296" s="17"/>
      <c r="E296" s="17"/>
      <c r="F296" s="17"/>
      <c r="G296" s="4">
        <f t="shared" si="9"/>
        <v>0</v>
      </c>
      <c r="H296" s="17"/>
      <c r="I296" s="4">
        <f t="shared" si="11"/>
        <v>349526.07999999996</v>
      </c>
      <c r="J296" s="32" t="str">
        <f t="shared" si="10"/>
        <v/>
      </c>
      <c r="K296" s="72"/>
      <c r="L296" s="72"/>
      <c r="M296" s="2"/>
      <c r="N296" s="5"/>
      <c r="O296" s="3"/>
      <c r="P296" s="6"/>
      <c r="Q296" s="48">
        <f>IF(Учет!$O296=Справочники!$F$2,Учет!$H296,0)</f>
        <v>0</v>
      </c>
      <c r="R296" s="48">
        <f>IF(Учет!$O296=Справочники!$F$3,Учет!$H296,0)</f>
        <v>0</v>
      </c>
      <c r="S296" s="48">
        <f>IF(Учет!$O296=Справочники!$F$4,Учет!$H296,0)</f>
        <v>0</v>
      </c>
      <c r="T296" s="48">
        <f>IF(Учет!$O296=Справочники!$F$5,Учет!$H296,0)</f>
        <v>0</v>
      </c>
      <c r="U296" s="48">
        <f>IF(Учет!$O296=Справочники!$F$6,Учет!$H296,0)</f>
        <v>0</v>
      </c>
      <c r="V296" s="43">
        <f>V295+Учет!$B296-Q296</f>
        <v>-488978.92000000004</v>
      </c>
      <c r="W296" s="43">
        <f>W295+Учет!$C296-R296</f>
        <v>336855</v>
      </c>
      <c r="X296" s="43">
        <f>X295+Учет!$D296-S296</f>
        <v>500</v>
      </c>
      <c r="Y296" s="43">
        <f>Y295+Учет!$E296-T296</f>
        <v>1150</v>
      </c>
      <c r="Z296" s="43">
        <f>Z295+Учет!$F296-U296</f>
        <v>500000</v>
      </c>
      <c r="AA296" s="45">
        <f>Учет!$I296</f>
        <v>349526.07999999996</v>
      </c>
    </row>
    <row r="297" spans="1:27" ht="15" customHeight="1" x14ac:dyDescent="0.25">
      <c r="A297" s="1"/>
      <c r="B297" s="17"/>
      <c r="C297" s="17"/>
      <c r="D297" s="17"/>
      <c r="E297" s="17"/>
      <c r="F297" s="17"/>
      <c r="G297" s="4">
        <f t="shared" si="9"/>
        <v>0</v>
      </c>
      <c r="H297" s="17"/>
      <c r="I297" s="4">
        <f t="shared" si="11"/>
        <v>349526.07999999996</v>
      </c>
      <c r="J297" s="32" t="str">
        <f t="shared" si="10"/>
        <v/>
      </c>
      <c r="K297" s="72"/>
      <c r="L297" s="72"/>
      <c r="M297" s="2"/>
      <c r="N297" s="5"/>
      <c r="O297" s="3"/>
      <c r="P297" s="6"/>
      <c r="Q297" s="48">
        <f>IF(Учет!$O297=Справочники!$F$2,Учет!$H297,0)</f>
        <v>0</v>
      </c>
      <c r="R297" s="48">
        <f>IF(Учет!$O297=Справочники!$F$3,Учет!$H297,0)</f>
        <v>0</v>
      </c>
      <c r="S297" s="48">
        <f>IF(Учет!$O297=Справочники!$F$4,Учет!$H297,0)</f>
        <v>0</v>
      </c>
      <c r="T297" s="48">
        <f>IF(Учет!$O297=Справочники!$F$5,Учет!$H297,0)</f>
        <v>0</v>
      </c>
      <c r="U297" s="48">
        <f>IF(Учет!$O297=Справочники!$F$6,Учет!$H297,0)</f>
        <v>0</v>
      </c>
      <c r="V297" s="43">
        <f>V296+Учет!$B297-Q297</f>
        <v>-488978.92000000004</v>
      </c>
      <c r="W297" s="43">
        <f>W296+Учет!$C297-R297</f>
        <v>336855</v>
      </c>
      <c r="X297" s="43">
        <f>X296+Учет!$D297-S297</f>
        <v>500</v>
      </c>
      <c r="Y297" s="43">
        <f>Y296+Учет!$E297-T297</f>
        <v>1150</v>
      </c>
      <c r="Z297" s="43">
        <f>Z296+Учет!$F297-U297</f>
        <v>500000</v>
      </c>
      <c r="AA297" s="45">
        <f>Учет!$I297</f>
        <v>349526.07999999996</v>
      </c>
    </row>
    <row r="298" spans="1:27" ht="15" customHeight="1" x14ac:dyDescent="0.25">
      <c r="A298" s="1"/>
      <c r="B298" s="17"/>
      <c r="C298" s="17"/>
      <c r="D298" s="17"/>
      <c r="E298" s="17"/>
      <c r="F298" s="17"/>
      <c r="G298" s="4">
        <f t="shared" si="9"/>
        <v>0</v>
      </c>
      <c r="H298" s="17"/>
      <c r="I298" s="4">
        <f t="shared" si="11"/>
        <v>349526.07999999996</v>
      </c>
      <c r="J298" s="32" t="str">
        <f t="shared" si="10"/>
        <v/>
      </c>
      <c r="K298" s="72"/>
      <c r="L298" s="72"/>
      <c r="M298" s="2"/>
      <c r="N298" s="5"/>
      <c r="O298" s="3"/>
      <c r="P298" s="6"/>
      <c r="Q298" s="48">
        <f>IF(Учет!$O298=Справочники!$F$2,Учет!$H298,0)</f>
        <v>0</v>
      </c>
      <c r="R298" s="48">
        <f>IF(Учет!$O298=Справочники!$F$3,Учет!$H298,0)</f>
        <v>0</v>
      </c>
      <c r="S298" s="48">
        <f>IF(Учет!$O298=Справочники!$F$4,Учет!$H298,0)</f>
        <v>0</v>
      </c>
      <c r="T298" s="48">
        <f>IF(Учет!$O298=Справочники!$F$5,Учет!$H298,0)</f>
        <v>0</v>
      </c>
      <c r="U298" s="48">
        <f>IF(Учет!$O298=Справочники!$F$6,Учет!$H298,0)</f>
        <v>0</v>
      </c>
      <c r="V298" s="43">
        <f>V297+Учет!$B298-Q298</f>
        <v>-488978.92000000004</v>
      </c>
      <c r="W298" s="43">
        <f>W297+Учет!$C298-R298</f>
        <v>336855</v>
      </c>
      <c r="X298" s="43">
        <f>X297+Учет!$D298-S298</f>
        <v>500</v>
      </c>
      <c r="Y298" s="43">
        <f>Y297+Учет!$E298-T298</f>
        <v>1150</v>
      </c>
      <c r="Z298" s="43">
        <f>Z297+Учет!$F298-U298</f>
        <v>500000</v>
      </c>
      <c r="AA298" s="45">
        <f>Учет!$I298</f>
        <v>349526.07999999996</v>
      </c>
    </row>
    <row r="299" spans="1:27" ht="15" customHeight="1" x14ac:dyDescent="0.25">
      <c r="A299" s="1"/>
      <c r="B299" s="17"/>
      <c r="C299" s="17"/>
      <c r="D299" s="17"/>
      <c r="E299" s="17"/>
      <c r="F299" s="17"/>
      <c r="G299" s="4">
        <f t="shared" si="9"/>
        <v>0</v>
      </c>
      <c r="H299" s="17"/>
      <c r="I299" s="4">
        <f t="shared" si="11"/>
        <v>349526.07999999996</v>
      </c>
      <c r="J299" s="32" t="str">
        <f t="shared" si="10"/>
        <v/>
      </c>
      <c r="K299" s="72"/>
      <c r="L299" s="72"/>
      <c r="M299" s="2"/>
      <c r="N299" s="5"/>
      <c r="O299" s="3"/>
      <c r="P299" s="6"/>
      <c r="Q299" s="48">
        <f>IF(Учет!$O299=Справочники!$F$2,Учет!$H299,0)</f>
        <v>0</v>
      </c>
      <c r="R299" s="48">
        <f>IF(Учет!$O299=Справочники!$F$3,Учет!$H299,0)</f>
        <v>0</v>
      </c>
      <c r="S299" s="48">
        <f>IF(Учет!$O299=Справочники!$F$4,Учет!$H299,0)</f>
        <v>0</v>
      </c>
      <c r="T299" s="48">
        <f>IF(Учет!$O299=Справочники!$F$5,Учет!$H299,0)</f>
        <v>0</v>
      </c>
      <c r="U299" s="48">
        <f>IF(Учет!$O299=Справочники!$F$6,Учет!$H299,0)</f>
        <v>0</v>
      </c>
      <c r="V299" s="43">
        <f>V298+Учет!$B299-Q299</f>
        <v>-488978.92000000004</v>
      </c>
      <c r="W299" s="43">
        <f>W298+Учет!$C299-R299</f>
        <v>336855</v>
      </c>
      <c r="X299" s="43">
        <f>X298+Учет!$D299-S299</f>
        <v>500</v>
      </c>
      <c r="Y299" s="43">
        <f>Y298+Учет!$E299-T299</f>
        <v>1150</v>
      </c>
      <c r="Z299" s="43">
        <f>Z298+Учет!$F299-U299</f>
        <v>500000</v>
      </c>
      <c r="AA299" s="45">
        <f>Учет!$I299</f>
        <v>349526.07999999996</v>
      </c>
    </row>
    <row r="300" spans="1:27" ht="15" customHeight="1" x14ac:dyDescent="0.25">
      <c r="A300" s="1"/>
      <c r="B300" s="17"/>
      <c r="C300" s="17"/>
      <c r="D300" s="17"/>
      <c r="E300" s="17"/>
      <c r="F300" s="17"/>
      <c r="G300" s="4">
        <f t="shared" si="9"/>
        <v>0</v>
      </c>
      <c r="H300" s="17"/>
      <c r="I300" s="4">
        <f t="shared" si="11"/>
        <v>349526.07999999996</v>
      </c>
      <c r="J300" s="32" t="str">
        <f t="shared" si="10"/>
        <v/>
      </c>
      <c r="K300" s="72"/>
      <c r="L300" s="72"/>
      <c r="M300" s="2"/>
      <c r="N300" s="5"/>
      <c r="O300" s="3"/>
      <c r="P300" s="6"/>
      <c r="Q300" s="48">
        <f>IF(Учет!$O300=Справочники!$F$2,Учет!$H300,0)</f>
        <v>0</v>
      </c>
      <c r="R300" s="48">
        <f>IF(Учет!$O300=Справочники!$F$3,Учет!$H300,0)</f>
        <v>0</v>
      </c>
      <c r="S300" s="48">
        <f>IF(Учет!$O300=Справочники!$F$4,Учет!$H300,0)</f>
        <v>0</v>
      </c>
      <c r="T300" s="48">
        <f>IF(Учет!$O300=Справочники!$F$5,Учет!$H300,0)</f>
        <v>0</v>
      </c>
      <c r="U300" s="48">
        <f>IF(Учет!$O300=Справочники!$F$6,Учет!$H300,0)</f>
        <v>0</v>
      </c>
      <c r="V300" s="43">
        <f>V299+Учет!$B300-Q300</f>
        <v>-488978.92000000004</v>
      </c>
      <c r="W300" s="43">
        <f>W299+Учет!$C300-R300</f>
        <v>336855</v>
      </c>
      <c r="X300" s="43">
        <f>X299+Учет!$D300-S300</f>
        <v>500</v>
      </c>
      <c r="Y300" s="43">
        <f>Y299+Учет!$E300-T300</f>
        <v>1150</v>
      </c>
      <c r="Z300" s="43">
        <f>Z299+Учет!$F300-U300</f>
        <v>500000</v>
      </c>
      <c r="AA300" s="45">
        <f>Учет!$I300</f>
        <v>349526.07999999996</v>
      </c>
    </row>
    <row r="301" spans="1:27" ht="15" customHeight="1" x14ac:dyDescent="0.25">
      <c r="A301" s="1"/>
      <c r="B301" s="17"/>
      <c r="C301" s="17"/>
      <c r="D301" s="17"/>
      <c r="E301" s="17"/>
      <c r="F301" s="17"/>
      <c r="G301" s="4">
        <f t="shared" si="9"/>
        <v>0</v>
      </c>
      <c r="H301" s="17"/>
      <c r="I301" s="4">
        <f t="shared" si="11"/>
        <v>349526.07999999996</v>
      </c>
      <c r="J301" s="32" t="str">
        <f t="shared" si="10"/>
        <v/>
      </c>
      <c r="K301" s="72"/>
      <c r="L301" s="72"/>
      <c r="M301" s="2"/>
      <c r="N301" s="5"/>
      <c r="O301" s="3"/>
      <c r="P301" s="6"/>
      <c r="Q301" s="48">
        <f>IF(Учет!$O301=Справочники!$F$2,Учет!$H301,0)</f>
        <v>0</v>
      </c>
      <c r="R301" s="48">
        <f>IF(Учет!$O301=Справочники!$F$3,Учет!$H301,0)</f>
        <v>0</v>
      </c>
      <c r="S301" s="48">
        <f>IF(Учет!$O301=Справочники!$F$4,Учет!$H301,0)</f>
        <v>0</v>
      </c>
      <c r="T301" s="48">
        <f>IF(Учет!$O301=Справочники!$F$5,Учет!$H301,0)</f>
        <v>0</v>
      </c>
      <c r="U301" s="48">
        <f>IF(Учет!$O301=Справочники!$F$6,Учет!$H301,0)</f>
        <v>0</v>
      </c>
      <c r="V301" s="43">
        <f>V300+Учет!$B301-Q301</f>
        <v>-488978.92000000004</v>
      </c>
      <c r="W301" s="43">
        <f>W300+Учет!$C301-R301</f>
        <v>336855</v>
      </c>
      <c r="X301" s="43">
        <f>X300+Учет!$D301-S301</f>
        <v>500</v>
      </c>
      <c r="Y301" s="43">
        <f>Y300+Учет!$E301-T301</f>
        <v>1150</v>
      </c>
      <c r="Z301" s="43">
        <f>Z300+Учет!$F301-U301</f>
        <v>500000</v>
      </c>
      <c r="AA301" s="45">
        <f>Учет!$I301</f>
        <v>349526.07999999996</v>
      </c>
    </row>
    <row r="302" spans="1:27" ht="15" customHeight="1" x14ac:dyDescent="0.25">
      <c r="A302" s="1"/>
      <c r="B302" s="17"/>
      <c r="C302" s="17"/>
      <c r="D302" s="17"/>
      <c r="E302" s="17"/>
      <c r="F302" s="17"/>
      <c r="G302" s="4">
        <f t="shared" si="9"/>
        <v>0</v>
      </c>
      <c r="H302" s="17"/>
      <c r="I302" s="4">
        <f t="shared" si="11"/>
        <v>349526.07999999996</v>
      </c>
      <c r="J302" s="32" t="str">
        <f t="shared" si="10"/>
        <v/>
      </c>
      <c r="K302" s="72"/>
      <c r="L302" s="72"/>
      <c r="M302" s="2"/>
      <c r="N302" s="5"/>
      <c r="O302" s="3"/>
      <c r="P302" s="6"/>
      <c r="Q302" s="48">
        <f>IF(Учет!$O302=Справочники!$F$2,Учет!$H302,0)</f>
        <v>0</v>
      </c>
      <c r="R302" s="48">
        <f>IF(Учет!$O302=Справочники!$F$3,Учет!$H302,0)</f>
        <v>0</v>
      </c>
      <c r="S302" s="48">
        <f>IF(Учет!$O302=Справочники!$F$4,Учет!$H302,0)</f>
        <v>0</v>
      </c>
      <c r="T302" s="48">
        <f>IF(Учет!$O302=Справочники!$F$5,Учет!$H302,0)</f>
        <v>0</v>
      </c>
      <c r="U302" s="48">
        <f>IF(Учет!$O302=Справочники!$F$6,Учет!$H302,0)</f>
        <v>0</v>
      </c>
      <c r="V302" s="43">
        <f>V301+Учет!$B302-Q302</f>
        <v>-488978.92000000004</v>
      </c>
      <c r="W302" s="43">
        <f>W301+Учет!$C302-R302</f>
        <v>336855</v>
      </c>
      <c r="X302" s="43">
        <f>X301+Учет!$D302-S302</f>
        <v>500</v>
      </c>
      <c r="Y302" s="43">
        <f>Y301+Учет!$E302-T302</f>
        <v>1150</v>
      </c>
      <c r="Z302" s="43">
        <f>Z301+Учет!$F302-U302</f>
        <v>500000</v>
      </c>
      <c r="AA302" s="45">
        <f>Учет!$I302</f>
        <v>349526.07999999996</v>
      </c>
    </row>
    <row r="303" spans="1:27" ht="15" customHeight="1" x14ac:dyDescent="0.25">
      <c r="A303" s="1"/>
      <c r="B303" s="17"/>
      <c r="C303" s="17"/>
      <c r="D303" s="17"/>
      <c r="E303" s="17"/>
      <c r="F303" s="17"/>
      <c r="G303" s="4">
        <f t="shared" si="9"/>
        <v>0</v>
      </c>
      <c r="H303" s="17"/>
      <c r="I303" s="4">
        <f t="shared" si="11"/>
        <v>349526.07999999996</v>
      </c>
      <c r="J303" s="32" t="str">
        <f t="shared" si="10"/>
        <v/>
      </c>
      <c r="K303" s="72"/>
      <c r="L303" s="72"/>
      <c r="M303" s="2"/>
      <c r="N303" s="5"/>
      <c r="O303" s="3"/>
      <c r="P303" s="6"/>
      <c r="Q303" s="48">
        <f>IF(Учет!$O303=Справочники!$F$2,Учет!$H303,0)</f>
        <v>0</v>
      </c>
      <c r="R303" s="48">
        <f>IF(Учет!$O303=Справочники!$F$3,Учет!$H303,0)</f>
        <v>0</v>
      </c>
      <c r="S303" s="48">
        <f>IF(Учет!$O303=Справочники!$F$4,Учет!$H303,0)</f>
        <v>0</v>
      </c>
      <c r="T303" s="48">
        <f>IF(Учет!$O303=Справочники!$F$5,Учет!$H303,0)</f>
        <v>0</v>
      </c>
      <c r="U303" s="48">
        <f>IF(Учет!$O303=Справочники!$F$6,Учет!$H303,0)</f>
        <v>0</v>
      </c>
      <c r="V303" s="43">
        <f>V302+Учет!$B303-Q303</f>
        <v>-488978.92000000004</v>
      </c>
      <c r="W303" s="43">
        <f>W302+Учет!$C303-R303</f>
        <v>336855</v>
      </c>
      <c r="X303" s="43">
        <f>X302+Учет!$D303-S303</f>
        <v>500</v>
      </c>
      <c r="Y303" s="43">
        <f>Y302+Учет!$E303-T303</f>
        <v>1150</v>
      </c>
      <c r="Z303" s="43">
        <f>Z302+Учет!$F303-U303</f>
        <v>500000</v>
      </c>
      <c r="AA303" s="45">
        <f>Учет!$I303</f>
        <v>349526.07999999996</v>
      </c>
    </row>
    <row r="304" spans="1:27" ht="15" customHeight="1" x14ac:dyDescent="0.25">
      <c r="A304" s="1"/>
      <c r="B304" s="17"/>
      <c r="C304" s="17"/>
      <c r="D304" s="17"/>
      <c r="E304" s="17"/>
      <c r="F304" s="17"/>
      <c r="G304" s="4">
        <f t="shared" si="9"/>
        <v>0</v>
      </c>
      <c r="H304" s="17"/>
      <c r="I304" s="4">
        <f t="shared" si="11"/>
        <v>349526.07999999996</v>
      </c>
      <c r="J304" s="32" t="str">
        <f t="shared" si="10"/>
        <v/>
      </c>
      <c r="K304" s="72"/>
      <c r="L304" s="72"/>
      <c r="M304" s="2"/>
      <c r="N304" s="5"/>
      <c r="O304" s="3"/>
      <c r="P304" s="6"/>
      <c r="Q304" s="48">
        <f>IF(Учет!$O304=Справочники!$F$2,Учет!$H304,0)</f>
        <v>0</v>
      </c>
      <c r="R304" s="48">
        <f>IF(Учет!$O304=Справочники!$F$3,Учет!$H304,0)</f>
        <v>0</v>
      </c>
      <c r="S304" s="48">
        <f>IF(Учет!$O304=Справочники!$F$4,Учет!$H304,0)</f>
        <v>0</v>
      </c>
      <c r="T304" s="48">
        <f>IF(Учет!$O304=Справочники!$F$5,Учет!$H304,0)</f>
        <v>0</v>
      </c>
      <c r="U304" s="48">
        <f>IF(Учет!$O304=Справочники!$F$6,Учет!$H304,0)</f>
        <v>0</v>
      </c>
      <c r="V304" s="43">
        <f>V303+Учет!$B304-Q304</f>
        <v>-488978.92000000004</v>
      </c>
      <c r="W304" s="43">
        <f>W303+Учет!$C304-R304</f>
        <v>336855</v>
      </c>
      <c r="X304" s="43">
        <f>X303+Учет!$D304-S304</f>
        <v>500</v>
      </c>
      <c r="Y304" s="43">
        <f>Y303+Учет!$E304-T304</f>
        <v>1150</v>
      </c>
      <c r="Z304" s="43">
        <f>Z303+Учет!$F304-U304</f>
        <v>500000</v>
      </c>
      <c r="AA304" s="45">
        <f>Учет!$I304</f>
        <v>349526.07999999996</v>
      </c>
    </row>
    <row r="305" spans="1:27" ht="15" customHeight="1" x14ac:dyDescent="0.25">
      <c r="A305" s="1"/>
      <c r="B305" s="17"/>
      <c r="C305" s="17"/>
      <c r="D305" s="17"/>
      <c r="E305" s="17"/>
      <c r="F305" s="17"/>
      <c r="G305" s="4">
        <f t="shared" si="9"/>
        <v>0</v>
      </c>
      <c r="H305" s="17"/>
      <c r="I305" s="4">
        <f t="shared" si="11"/>
        <v>349526.07999999996</v>
      </c>
      <c r="J305" s="32" t="str">
        <f t="shared" si="10"/>
        <v/>
      </c>
      <c r="K305" s="72"/>
      <c r="L305" s="72"/>
      <c r="M305" s="2"/>
      <c r="N305" s="5"/>
      <c r="O305" s="3"/>
      <c r="P305" s="6"/>
      <c r="Q305" s="48">
        <f>IF(Учет!$O305=Справочники!$F$2,Учет!$H305,0)</f>
        <v>0</v>
      </c>
      <c r="R305" s="48">
        <f>IF(Учет!$O305=Справочники!$F$3,Учет!$H305,0)</f>
        <v>0</v>
      </c>
      <c r="S305" s="48">
        <f>IF(Учет!$O305=Справочники!$F$4,Учет!$H305,0)</f>
        <v>0</v>
      </c>
      <c r="T305" s="48">
        <f>IF(Учет!$O305=Справочники!$F$5,Учет!$H305,0)</f>
        <v>0</v>
      </c>
      <c r="U305" s="48">
        <f>IF(Учет!$O305=Справочники!$F$6,Учет!$H305,0)</f>
        <v>0</v>
      </c>
      <c r="V305" s="43">
        <f>V304+Учет!$B305-Q305</f>
        <v>-488978.92000000004</v>
      </c>
      <c r="W305" s="43">
        <f>W304+Учет!$C305-R305</f>
        <v>336855</v>
      </c>
      <c r="X305" s="43">
        <f>X304+Учет!$D305-S305</f>
        <v>500</v>
      </c>
      <c r="Y305" s="43">
        <f>Y304+Учет!$E305-T305</f>
        <v>1150</v>
      </c>
      <c r="Z305" s="43">
        <f>Z304+Учет!$F305-U305</f>
        <v>500000</v>
      </c>
      <c r="AA305" s="45">
        <f>Учет!$I305</f>
        <v>349526.07999999996</v>
      </c>
    </row>
    <row r="306" spans="1:27" ht="15" customHeight="1" x14ac:dyDescent="0.25">
      <c r="A306" s="1"/>
      <c r="B306" s="17"/>
      <c r="C306" s="17"/>
      <c r="D306" s="17"/>
      <c r="E306" s="17"/>
      <c r="F306" s="17"/>
      <c r="G306" s="4">
        <f t="shared" si="9"/>
        <v>0</v>
      </c>
      <c r="H306" s="17"/>
      <c r="I306" s="4">
        <f t="shared" si="11"/>
        <v>349526.07999999996</v>
      </c>
      <c r="J306" s="32" t="str">
        <f t="shared" si="10"/>
        <v/>
      </c>
      <c r="K306" s="72"/>
      <c r="L306" s="72"/>
      <c r="M306" s="2"/>
      <c r="N306" s="5"/>
      <c r="O306" s="3"/>
      <c r="P306" s="6"/>
      <c r="Q306" s="48">
        <f>IF(Учет!$O306=Справочники!$F$2,Учет!$H306,0)</f>
        <v>0</v>
      </c>
      <c r="R306" s="48">
        <f>IF(Учет!$O306=Справочники!$F$3,Учет!$H306,0)</f>
        <v>0</v>
      </c>
      <c r="S306" s="48">
        <f>IF(Учет!$O306=Справочники!$F$4,Учет!$H306,0)</f>
        <v>0</v>
      </c>
      <c r="T306" s="48">
        <f>IF(Учет!$O306=Справочники!$F$5,Учет!$H306,0)</f>
        <v>0</v>
      </c>
      <c r="U306" s="48">
        <f>IF(Учет!$O306=Справочники!$F$6,Учет!$H306,0)</f>
        <v>0</v>
      </c>
      <c r="V306" s="43">
        <f>V305+Учет!$B306-Q306</f>
        <v>-488978.92000000004</v>
      </c>
      <c r="W306" s="43">
        <f>W305+Учет!$C306-R306</f>
        <v>336855</v>
      </c>
      <c r="X306" s="43">
        <f>X305+Учет!$D306-S306</f>
        <v>500</v>
      </c>
      <c r="Y306" s="43">
        <f>Y305+Учет!$E306-T306</f>
        <v>1150</v>
      </c>
      <c r="Z306" s="43">
        <f>Z305+Учет!$F306-U306</f>
        <v>500000</v>
      </c>
      <c r="AA306" s="45">
        <f>Учет!$I306</f>
        <v>349526.07999999996</v>
      </c>
    </row>
    <row r="307" spans="1:27" ht="15" customHeight="1" x14ac:dyDescent="0.25">
      <c r="A307" s="1"/>
      <c r="B307" s="17"/>
      <c r="C307" s="17"/>
      <c r="D307" s="17"/>
      <c r="E307" s="17"/>
      <c r="F307" s="17"/>
      <c r="G307" s="4">
        <f t="shared" si="9"/>
        <v>0</v>
      </c>
      <c r="H307" s="17"/>
      <c r="I307" s="4">
        <f t="shared" si="11"/>
        <v>349526.07999999996</v>
      </c>
      <c r="J307" s="32" t="str">
        <f t="shared" si="10"/>
        <v/>
      </c>
      <c r="K307" s="72"/>
      <c r="L307" s="72"/>
      <c r="M307" s="2"/>
      <c r="N307" s="5"/>
      <c r="O307" s="3"/>
      <c r="P307" s="6"/>
      <c r="Q307" s="48">
        <f>IF(Учет!$O307=Справочники!$F$2,Учет!$H307,0)</f>
        <v>0</v>
      </c>
      <c r="R307" s="48">
        <f>IF(Учет!$O307=Справочники!$F$3,Учет!$H307,0)</f>
        <v>0</v>
      </c>
      <c r="S307" s="48">
        <f>IF(Учет!$O307=Справочники!$F$4,Учет!$H307,0)</f>
        <v>0</v>
      </c>
      <c r="T307" s="48">
        <f>IF(Учет!$O307=Справочники!$F$5,Учет!$H307,0)</f>
        <v>0</v>
      </c>
      <c r="U307" s="48">
        <f>IF(Учет!$O307=Справочники!$F$6,Учет!$H307,0)</f>
        <v>0</v>
      </c>
      <c r="V307" s="43">
        <f>V306+Учет!$B307-Q307</f>
        <v>-488978.92000000004</v>
      </c>
      <c r="W307" s="43">
        <f>W306+Учет!$C307-R307</f>
        <v>336855</v>
      </c>
      <c r="X307" s="43">
        <f>X306+Учет!$D307-S307</f>
        <v>500</v>
      </c>
      <c r="Y307" s="43">
        <f>Y306+Учет!$E307-T307</f>
        <v>1150</v>
      </c>
      <c r="Z307" s="43">
        <f>Z306+Учет!$F307-U307</f>
        <v>500000</v>
      </c>
      <c r="AA307" s="45">
        <f>Учет!$I307</f>
        <v>349526.07999999996</v>
      </c>
    </row>
    <row r="308" spans="1:27" ht="15" customHeight="1" x14ac:dyDescent="0.25">
      <c r="A308" s="1"/>
      <c r="B308" s="17"/>
      <c r="C308" s="17"/>
      <c r="D308" s="17"/>
      <c r="E308" s="17"/>
      <c r="F308" s="17"/>
      <c r="G308" s="4">
        <f t="shared" si="9"/>
        <v>0</v>
      </c>
      <c r="H308" s="17"/>
      <c r="I308" s="4">
        <f t="shared" si="11"/>
        <v>349526.07999999996</v>
      </c>
      <c r="J308" s="32" t="str">
        <f t="shared" si="10"/>
        <v/>
      </c>
      <c r="K308" s="72"/>
      <c r="L308" s="72"/>
      <c r="M308" s="2"/>
      <c r="N308" s="5"/>
      <c r="O308" s="3"/>
      <c r="P308" s="6"/>
      <c r="Q308" s="48">
        <f>IF(Учет!$O308=Справочники!$F$2,Учет!$H308,0)</f>
        <v>0</v>
      </c>
      <c r="R308" s="48">
        <f>IF(Учет!$O308=Справочники!$F$3,Учет!$H308,0)</f>
        <v>0</v>
      </c>
      <c r="S308" s="48">
        <f>IF(Учет!$O308=Справочники!$F$4,Учет!$H308,0)</f>
        <v>0</v>
      </c>
      <c r="T308" s="48">
        <f>IF(Учет!$O308=Справочники!$F$5,Учет!$H308,0)</f>
        <v>0</v>
      </c>
      <c r="U308" s="48">
        <f>IF(Учет!$O308=Справочники!$F$6,Учет!$H308,0)</f>
        <v>0</v>
      </c>
      <c r="V308" s="43">
        <f>V307+Учет!$B308-Q308</f>
        <v>-488978.92000000004</v>
      </c>
      <c r="W308" s="43">
        <f>W307+Учет!$C308-R308</f>
        <v>336855</v>
      </c>
      <c r="X308" s="43">
        <f>X307+Учет!$D308-S308</f>
        <v>500</v>
      </c>
      <c r="Y308" s="43">
        <f>Y307+Учет!$E308-T308</f>
        <v>1150</v>
      </c>
      <c r="Z308" s="43">
        <f>Z307+Учет!$F308-U308</f>
        <v>500000</v>
      </c>
      <c r="AA308" s="45">
        <f>Учет!$I308</f>
        <v>349526.07999999996</v>
      </c>
    </row>
    <row r="309" spans="1:27" ht="15" customHeight="1" x14ac:dyDescent="0.25">
      <c r="A309" s="1"/>
      <c r="B309" s="17"/>
      <c r="C309" s="17"/>
      <c r="D309" s="17"/>
      <c r="E309" s="17"/>
      <c r="F309" s="17"/>
      <c r="G309" s="4">
        <f t="shared" si="9"/>
        <v>0</v>
      </c>
      <c r="H309" s="17"/>
      <c r="I309" s="4">
        <f t="shared" si="11"/>
        <v>349526.07999999996</v>
      </c>
      <c r="J309" s="32" t="str">
        <f t="shared" si="10"/>
        <v/>
      </c>
      <c r="K309" s="72"/>
      <c r="L309" s="72"/>
      <c r="M309" s="2"/>
      <c r="N309" s="5"/>
      <c r="O309" s="3"/>
      <c r="P309" s="6"/>
      <c r="Q309" s="48">
        <f>IF(Учет!$O309=Справочники!$F$2,Учет!$H309,0)</f>
        <v>0</v>
      </c>
      <c r="R309" s="48">
        <f>IF(Учет!$O309=Справочники!$F$3,Учет!$H309,0)</f>
        <v>0</v>
      </c>
      <c r="S309" s="48">
        <f>IF(Учет!$O309=Справочники!$F$4,Учет!$H309,0)</f>
        <v>0</v>
      </c>
      <c r="T309" s="48">
        <f>IF(Учет!$O309=Справочники!$F$5,Учет!$H309,0)</f>
        <v>0</v>
      </c>
      <c r="U309" s="48">
        <f>IF(Учет!$O309=Справочники!$F$6,Учет!$H309,0)</f>
        <v>0</v>
      </c>
      <c r="V309" s="43">
        <f>V308+Учет!$B309-Q309</f>
        <v>-488978.92000000004</v>
      </c>
      <c r="W309" s="43">
        <f>W308+Учет!$C309-R309</f>
        <v>336855</v>
      </c>
      <c r="X309" s="43">
        <f>X308+Учет!$D309-S309</f>
        <v>500</v>
      </c>
      <c r="Y309" s="43">
        <f>Y308+Учет!$E309-T309</f>
        <v>1150</v>
      </c>
      <c r="Z309" s="43">
        <f>Z308+Учет!$F309-U309</f>
        <v>500000</v>
      </c>
      <c r="AA309" s="45">
        <f>Учет!$I309</f>
        <v>349526.07999999996</v>
      </c>
    </row>
    <row r="310" spans="1:27" ht="15" customHeight="1" x14ac:dyDescent="0.25">
      <c r="A310" s="1"/>
      <c r="B310" s="17"/>
      <c r="C310" s="17"/>
      <c r="D310" s="17"/>
      <c r="E310" s="17"/>
      <c r="F310" s="17"/>
      <c r="G310" s="4">
        <f t="shared" si="9"/>
        <v>0</v>
      </c>
      <c r="H310" s="17"/>
      <c r="I310" s="4">
        <f t="shared" si="11"/>
        <v>349526.07999999996</v>
      </c>
      <c r="J310" s="32" t="str">
        <f t="shared" si="10"/>
        <v/>
      </c>
      <c r="K310" s="72"/>
      <c r="L310" s="72"/>
      <c r="M310" s="2"/>
      <c r="N310" s="5"/>
      <c r="O310" s="3"/>
      <c r="P310" s="6"/>
      <c r="Q310" s="48">
        <f>IF(Учет!$O310=Справочники!$F$2,Учет!$H310,0)</f>
        <v>0</v>
      </c>
      <c r="R310" s="48">
        <f>IF(Учет!$O310=Справочники!$F$3,Учет!$H310,0)</f>
        <v>0</v>
      </c>
      <c r="S310" s="48">
        <f>IF(Учет!$O310=Справочники!$F$4,Учет!$H310,0)</f>
        <v>0</v>
      </c>
      <c r="T310" s="48">
        <f>IF(Учет!$O310=Справочники!$F$5,Учет!$H310,0)</f>
        <v>0</v>
      </c>
      <c r="U310" s="48">
        <f>IF(Учет!$O310=Справочники!$F$6,Учет!$H310,0)</f>
        <v>0</v>
      </c>
      <c r="V310" s="43">
        <f>V309+Учет!$B310-Q310</f>
        <v>-488978.92000000004</v>
      </c>
      <c r="W310" s="43">
        <f>W309+Учет!$C310-R310</f>
        <v>336855</v>
      </c>
      <c r="X310" s="43">
        <f>X309+Учет!$D310-S310</f>
        <v>500</v>
      </c>
      <c r="Y310" s="43">
        <f>Y309+Учет!$E310-T310</f>
        <v>1150</v>
      </c>
      <c r="Z310" s="43">
        <f>Z309+Учет!$F310-U310</f>
        <v>500000</v>
      </c>
      <c r="AA310" s="45">
        <f>Учет!$I310</f>
        <v>349526.07999999996</v>
      </c>
    </row>
    <row r="311" spans="1:27" ht="15" customHeight="1" x14ac:dyDescent="0.25">
      <c r="A311" s="1"/>
      <c r="B311" s="17"/>
      <c r="C311" s="17"/>
      <c r="D311" s="17"/>
      <c r="E311" s="17"/>
      <c r="F311" s="17"/>
      <c r="G311" s="4">
        <f t="shared" si="9"/>
        <v>0</v>
      </c>
      <c r="H311" s="17"/>
      <c r="I311" s="4">
        <f t="shared" si="11"/>
        <v>349526.07999999996</v>
      </c>
      <c r="J311" s="32" t="str">
        <f t="shared" si="10"/>
        <v/>
      </c>
      <c r="K311" s="72"/>
      <c r="L311" s="72"/>
      <c r="M311" s="2"/>
      <c r="N311" s="5"/>
      <c r="O311" s="3"/>
      <c r="P311" s="6"/>
      <c r="Q311" s="48">
        <f>IF(Учет!$O311=Справочники!$F$2,Учет!$H311,0)</f>
        <v>0</v>
      </c>
      <c r="R311" s="48">
        <f>IF(Учет!$O311=Справочники!$F$3,Учет!$H311,0)</f>
        <v>0</v>
      </c>
      <c r="S311" s="48">
        <f>IF(Учет!$O311=Справочники!$F$4,Учет!$H311,0)</f>
        <v>0</v>
      </c>
      <c r="T311" s="48">
        <f>IF(Учет!$O311=Справочники!$F$5,Учет!$H311,0)</f>
        <v>0</v>
      </c>
      <c r="U311" s="48">
        <f>IF(Учет!$O311=Справочники!$F$6,Учет!$H311,0)</f>
        <v>0</v>
      </c>
      <c r="V311" s="43">
        <f>V310+Учет!$B311-Q311</f>
        <v>-488978.92000000004</v>
      </c>
      <c r="W311" s="43">
        <f>W310+Учет!$C311-R311</f>
        <v>336855</v>
      </c>
      <c r="X311" s="43">
        <f>X310+Учет!$D311-S311</f>
        <v>500</v>
      </c>
      <c r="Y311" s="43">
        <f>Y310+Учет!$E311-T311</f>
        <v>1150</v>
      </c>
      <c r="Z311" s="43">
        <f>Z310+Учет!$F311-U311</f>
        <v>500000</v>
      </c>
      <c r="AA311" s="45">
        <f>Учет!$I311</f>
        <v>349526.07999999996</v>
      </c>
    </row>
    <row r="312" spans="1:27" ht="15" customHeight="1" x14ac:dyDescent="0.25">
      <c r="A312" s="1"/>
      <c r="B312" s="17"/>
      <c r="C312" s="17"/>
      <c r="D312" s="17"/>
      <c r="E312" s="17"/>
      <c r="F312" s="17"/>
      <c r="G312" s="4">
        <f t="shared" si="9"/>
        <v>0</v>
      </c>
      <c r="H312" s="17"/>
      <c r="I312" s="4">
        <f t="shared" si="11"/>
        <v>349526.07999999996</v>
      </c>
      <c r="J312" s="32" t="str">
        <f t="shared" si="10"/>
        <v/>
      </c>
      <c r="K312" s="72"/>
      <c r="L312" s="72"/>
      <c r="M312" s="2"/>
      <c r="N312" s="5"/>
      <c r="O312" s="3"/>
      <c r="P312" s="6"/>
      <c r="Q312" s="48">
        <f>IF(Учет!$O312=Справочники!$F$2,Учет!$H312,0)</f>
        <v>0</v>
      </c>
      <c r="R312" s="48">
        <f>IF(Учет!$O312=Справочники!$F$3,Учет!$H312,0)</f>
        <v>0</v>
      </c>
      <c r="S312" s="48">
        <f>IF(Учет!$O312=Справочники!$F$4,Учет!$H312,0)</f>
        <v>0</v>
      </c>
      <c r="T312" s="48">
        <f>IF(Учет!$O312=Справочники!$F$5,Учет!$H312,0)</f>
        <v>0</v>
      </c>
      <c r="U312" s="48">
        <f>IF(Учет!$O312=Справочники!$F$6,Учет!$H312,0)</f>
        <v>0</v>
      </c>
      <c r="V312" s="43">
        <f>V311+Учет!$B312-Q312</f>
        <v>-488978.92000000004</v>
      </c>
      <c r="W312" s="43">
        <f>W311+Учет!$C312-R312</f>
        <v>336855</v>
      </c>
      <c r="X312" s="43">
        <f>X311+Учет!$D312-S312</f>
        <v>500</v>
      </c>
      <c r="Y312" s="43">
        <f>Y311+Учет!$E312-T312</f>
        <v>1150</v>
      </c>
      <c r="Z312" s="43">
        <f>Z311+Учет!$F312-U312</f>
        <v>500000</v>
      </c>
      <c r="AA312" s="45">
        <f>Учет!$I312</f>
        <v>349526.07999999996</v>
      </c>
    </row>
    <row r="313" spans="1:27" ht="15" customHeight="1" x14ac:dyDescent="0.25">
      <c r="A313" s="1"/>
      <c r="B313" s="17"/>
      <c r="C313" s="17"/>
      <c r="D313" s="17"/>
      <c r="E313" s="17"/>
      <c r="F313" s="17"/>
      <c r="G313" s="4">
        <f t="shared" si="9"/>
        <v>0</v>
      </c>
      <c r="H313" s="17"/>
      <c r="I313" s="4">
        <f t="shared" si="11"/>
        <v>349526.07999999996</v>
      </c>
      <c r="J313" s="32" t="str">
        <f t="shared" si="10"/>
        <v/>
      </c>
      <c r="K313" s="72"/>
      <c r="L313" s="72"/>
      <c r="M313" s="2"/>
      <c r="N313" s="5"/>
      <c r="O313" s="3"/>
      <c r="P313" s="6"/>
      <c r="Q313" s="48">
        <f>IF(Учет!$O313=Справочники!$F$2,Учет!$H313,0)</f>
        <v>0</v>
      </c>
      <c r="R313" s="48">
        <f>IF(Учет!$O313=Справочники!$F$3,Учет!$H313,0)</f>
        <v>0</v>
      </c>
      <c r="S313" s="48">
        <f>IF(Учет!$O313=Справочники!$F$4,Учет!$H313,0)</f>
        <v>0</v>
      </c>
      <c r="T313" s="48">
        <f>IF(Учет!$O313=Справочники!$F$5,Учет!$H313,0)</f>
        <v>0</v>
      </c>
      <c r="U313" s="48">
        <f>IF(Учет!$O313=Справочники!$F$6,Учет!$H313,0)</f>
        <v>0</v>
      </c>
      <c r="V313" s="43">
        <f>V312+Учет!$B313-Q313</f>
        <v>-488978.92000000004</v>
      </c>
      <c r="W313" s="43">
        <f>W312+Учет!$C313-R313</f>
        <v>336855</v>
      </c>
      <c r="X313" s="43">
        <f>X312+Учет!$D313-S313</f>
        <v>500</v>
      </c>
      <c r="Y313" s="43">
        <f>Y312+Учет!$E313-T313</f>
        <v>1150</v>
      </c>
      <c r="Z313" s="43">
        <f>Z312+Учет!$F313-U313</f>
        <v>500000</v>
      </c>
      <c r="AA313" s="45">
        <f>Учет!$I313</f>
        <v>349526.07999999996</v>
      </c>
    </row>
    <row r="314" spans="1:27" ht="15" customHeight="1" x14ac:dyDescent="0.25">
      <c r="A314" s="1"/>
      <c r="B314" s="17"/>
      <c r="C314" s="17"/>
      <c r="D314" s="17"/>
      <c r="E314" s="17"/>
      <c r="F314" s="17"/>
      <c r="G314" s="4">
        <f t="shared" si="9"/>
        <v>0</v>
      </c>
      <c r="H314" s="17"/>
      <c r="I314" s="4">
        <f t="shared" si="11"/>
        <v>349526.07999999996</v>
      </c>
      <c r="J314" s="32" t="str">
        <f t="shared" si="10"/>
        <v/>
      </c>
      <c r="K314" s="72"/>
      <c r="L314" s="72"/>
      <c r="M314" s="2"/>
      <c r="N314" s="5"/>
      <c r="O314" s="3"/>
      <c r="P314" s="6"/>
      <c r="Q314" s="48">
        <f>IF(Учет!$O314=Справочники!$F$2,Учет!$H314,0)</f>
        <v>0</v>
      </c>
      <c r="R314" s="48">
        <f>IF(Учет!$O314=Справочники!$F$3,Учет!$H314,0)</f>
        <v>0</v>
      </c>
      <c r="S314" s="48">
        <f>IF(Учет!$O314=Справочники!$F$4,Учет!$H314,0)</f>
        <v>0</v>
      </c>
      <c r="T314" s="48">
        <f>IF(Учет!$O314=Справочники!$F$5,Учет!$H314,0)</f>
        <v>0</v>
      </c>
      <c r="U314" s="48">
        <f>IF(Учет!$O314=Справочники!$F$6,Учет!$H314,0)</f>
        <v>0</v>
      </c>
      <c r="V314" s="43">
        <f>V313+Учет!$B314-Q314</f>
        <v>-488978.92000000004</v>
      </c>
      <c r="W314" s="43">
        <f>W313+Учет!$C314-R314</f>
        <v>336855</v>
      </c>
      <c r="X314" s="43">
        <f>X313+Учет!$D314-S314</f>
        <v>500</v>
      </c>
      <c r="Y314" s="43">
        <f>Y313+Учет!$E314-T314</f>
        <v>1150</v>
      </c>
      <c r="Z314" s="43">
        <f>Z313+Учет!$F314-U314</f>
        <v>500000</v>
      </c>
      <c r="AA314" s="45">
        <f>Учет!$I314</f>
        <v>349526.07999999996</v>
      </c>
    </row>
    <row r="315" spans="1:27" ht="15" customHeight="1" x14ac:dyDescent="0.25">
      <c r="A315" s="1"/>
      <c r="B315" s="17"/>
      <c r="C315" s="17"/>
      <c r="D315" s="17"/>
      <c r="E315" s="17"/>
      <c r="F315" s="17"/>
      <c r="G315" s="4">
        <f t="shared" si="9"/>
        <v>0</v>
      </c>
      <c r="H315" s="17"/>
      <c r="I315" s="4">
        <f t="shared" si="11"/>
        <v>349526.07999999996</v>
      </c>
      <c r="J315" s="32" t="str">
        <f t="shared" si="10"/>
        <v/>
      </c>
      <c r="K315" s="72"/>
      <c r="L315" s="72"/>
      <c r="M315" s="2"/>
      <c r="N315" s="5"/>
      <c r="O315" s="3"/>
      <c r="P315" s="6"/>
      <c r="Q315" s="48">
        <f>IF(Учет!$O315=Справочники!$F$2,Учет!$H315,0)</f>
        <v>0</v>
      </c>
      <c r="R315" s="48">
        <f>IF(Учет!$O315=Справочники!$F$3,Учет!$H315,0)</f>
        <v>0</v>
      </c>
      <c r="S315" s="48">
        <f>IF(Учет!$O315=Справочники!$F$4,Учет!$H315,0)</f>
        <v>0</v>
      </c>
      <c r="T315" s="48">
        <f>IF(Учет!$O315=Справочники!$F$5,Учет!$H315,0)</f>
        <v>0</v>
      </c>
      <c r="U315" s="48">
        <f>IF(Учет!$O315=Справочники!$F$6,Учет!$H315,0)</f>
        <v>0</v>
      </c>
      <c r="V315" s="43">
        <f>V314+Учет!$B315-Q315</f>
        <v>-488978.92000000004</v>
      </c>
      <c r="W315" s="43">
        <f>W314+Учет!$C315-R315</f>
        <v>336855</v>
      </c>
      <c r="X315" s="43">
        <f>X314+Учет!$D315-S315</f>
        <v>500</v>
      </c>
      <c r="Y315" s="43">
        <f>Y314+Учет!$E315-T315</f>
        <v>1150</v>
      </c>
      <c r="Z315" s="43">
        <f>Z314+Учет!$F315-U315</f>
        <v>500000</v>
      </c>
      <c r="AA315" s="45">
        <f>Учет!$I315</f>
        <v>349526.07999999996</v>
      </c>
    </row>
    <row r="316" spans="1:27" ht="15" customHeight="1" x14ac:dyDescent="0.25">
      <c r="A316" s="1"/>
      <c r="B316" s="17"/>
      <c r="C316" s="17"/>
      <c r="D316" s="17"/>
      <c r="E316" s="17"/>
      <c r="F316" s="17"/>
      <c r="G316" s="4">
        <f t="shared" si="9"/>
        <v>0</v>
      </c>
      <c r="H316" s="17"/>
      <c r="I316" s="4">
        <f t="shared" si="11"/>
        <v>349526.07999999996</v>
      </c>
      <c r="J316" s="32" t="str">
        <f t="shared" si="10"/>
        <v/>
      </c>
      <c r="K316" s="72"/>
      <c r="L316" s="72"/>
      <c r="M316" s="2"/>
      <c r="N316" s="5"/>
      <c r="O316" s="3"/>
      <c r="P316" s="6"/>
      <c r="Q316" s="48">
        <f>IF(Учет!$O316=Справочники!$F$2,Учет!$H316,0)</f>
        <v>0</v>
      </c>
      <c r="R316" s="48">
        <f>IF(Учет!$O316=Справочники!$F$3,Учет!$H316,0)</f>
        <v>0</v>
      </c>
      <c r="S316" s="48">
        <f>IF(Учет!$O316=Справочники!$F$4,Учет!$H316,0)</f>
        <v>0</v>
      </c>
      <c r="T316" s="48">
        <f>IF(Учет!$O316=Справочники!$F$5,Учет!$H316,0)</f>
        <v>0</v>
      </c>
      <c r="U316" s="48">
        <f>IF(Учет!$O316=Справочники!$F$6,Учет!$H316,0)</f>
        <v>0</v>
      </c>
      <c r="V316" s="43">
        <f>V315+Учет!$B316-Q316</f>
        <v>-488978.92000000004</v>
      </c>
      <c r="W316" s="43">
        <f>W315+Учет!$C316-R316</f>
        <v>336855</v>
      </c>
      <c r="X316" s="43">
        <f>X315+Учет!$D316-S316</f>
        <v>500</v>
      </c>
      <c r="Y316" s="43">
        <f>Y315+Учет!$E316-T316</f>
        <v>1150</v>
      </c>
      <c r="Z316" s="43">
        <f>Z315+Учет!$F316-U316</f>
        <v>500000</v>
      </c>
      <c r="AA316" s="45">
        <f>Учет!$I316</f>
        <v>349526.07999999996</v>
      </c>
    </row>
    <row r="317" spans="1:27" ht="15" customHeight="1" x14ac:dyDescent="0.25">
      <c r="A317" s="1"/>
      <c r="B317" s="17"/>
      <c r="C317" s="17"/>
      <c r="D317" s="17"/>
      <c r="E317" s="17"/>
      <c r="F317" s="17"/>
      <c r="G317" s="4">
        <f t="shared" si="9"/>
        <v>0</v>
      </c>
      <c r="H317" s="17"/>
      <c r="I317" s="4">
        <f t="shared" si="11"/>
        <v>349526.07999999996</v>
      </c>
      <c r="J317" s="32" t="str">
        <f t="shared" si="10"/>
        <v/>
      </c>
      <c r="K317" s="72"/>
      <c r="L317" s="72"/>
      <c r="M317" s="2"/>
      <c r="N317" s="5"/>
      <c r="O317" s="3"/>
      <c r="P317" s="6"/>
      <c r="Q317" s="48">
        <f>IF(Учет!$O317=Справочники!$F$2,Учет!$H317,0)</f>
        <v>0</v>
      </c>
      <c r="R317" s="48">
        <f>IF(Учет!$O317=Справочники!$F$3,Учет!$H317,0)</f>
        <v>0</v>
      </c>
      <c r="S317" s="48">
        <f>IF(Учет!$O317=Справочники!$F$4,Учет!$H317,0)</f>
        <v>0</v>
      </c>
      <c r="T317" s="48">
        <f>IF(Учет!$O317=Справочники!$F$5,Учет!$H317,0)</f>
        <v>0</v>
      </c>
      <c r="U317" s="48">
        <f>IF(Учет!$O317=Справочники!$F$6,Учет!$H317,0)</f>
        <v>0</v>
      </c>
      <c r="V317" s="43">
        <f>V316+Учет!$B317-Q317</f>
        <v>-488978.92000000004</v>
      </c>
      <c r="W317" s="43">
        <f>W316+Учет!$C317-R317</f>
        <v>336855</v>
      </c>
      <c r="X317" s="43">
        <f>X316+Учет!$D317-S317</f>
        <v>500</v>
      </c>
      <c r="Y317" s="43">
        <f>Y316+Учет!$E317-T317</f>
        <v>1150</v>
      </c>
      <c r="Z317" s="43">
        <f>Z316+Учет!$F317-U317</f>
        <v>500000</v>
      </c>
      <c r="AA317" s="45">
        <f>Учет!$I317</f>
        <v>349526.07999999996</v>
      </c>
    </row>
    <row r="318" spans="1:27" ht="15" customHeight="1" x14ac:dyDescent="0.25">
      <c r="A318" s="1"/>
      <c r="B318" s="17"/>
      <c r="C318" s="17"/>
      <c r="D318" s="17"/>
      <c r="E318" s="17"/>
      <c r="F318" s="17"/>
      <c r="G318" s="4">
        <f t="shared" si="9"/>
        <v>0</v>
      </c>
      <c r="H318" s="17"/>
      <c r="I318" s="4">
        <f t="shared" si="11"/>
        <v>349526.07999999996</v>
      </c>
      <c r="J318" s="32" t="str">
        <f t="shared" si="10"/>
        <v/>
      </c>
      <c r="K318" s="72"/>
      <c r="L318" s="72"/>
      <c r="M318" s="2"/>
      <c r="N318" s="5"/>
      <c r="O318" s="3"/>
      <c r="P318" s="6"/>
      <c r="Q318" s="48">
        <f>IF(Учет!$O318=Справочники!$F$2,Учет!$H318,0)</f>
        <v>0</v>
      </c>
      <c r="R318" s="48">
        <f>IF(Учет!$O318=Справочники!$F$3,Учет!$H318,0)</f>
        <v>0</v>
      </c>
      <c r="S318" s="48">
        <f>IF(Учет!$O318=Справочники!$F$4,Учет!$H318,0)</f>
        <v>0</v>
      </c>
      <c r="T318" s="48">
        <f>IF(Учет!$O318=Справочники!$F$5,Учет!$H318,0)</f>
        <v>0</v>
      </c>
      <c r="U318" s="48">
        <f>IF(Учет!$O318=Справочники!$F$6,Учет!$H318,0)</f>
        <v>0</v>
      </c>
      <c r="V318" s="43">
        <f>V317+Учет!$B318-Q318</f>
        <v>-488978.92000000004</v>
      </c>
      <c r="W318" s="43">
        <f>W317+Учет!$C318-R318</f>
        <v>336855</v>
      </c>
      <c r="X318" s="43">
        <f>X317+Учет!$D318-S318</f>
        <v>500</v>
      </c>
      <c r="Y318" s="43">
        <f>Y317+Учет!$E318-T318</f>
        <v>1150</v>
      </c>
      <c r="Z318" s="43">
        <f>Z317+Учет!$F318-U318</f>
        <v>500000</v>
      </c>
      <c r="AA318" s="45">
        <f>Учет!$I318</f>
        <v>349526.07999999996</v>
      </c>
    </row>
    <row r="319" spans="1:27" ht="15" customHeight="1" x14ac:dyDescent="0.25">
      <c r="A319" s="1"/>
      <c r="B319" s="17"/>
      <c r="C319" s="17"/>
      <c r="D319" s="17"/>
      <c r="E319" s="17"/>
      <c r="F319" s="17"/>
      <c r="G319" s="4">
        <f t="shared" si="9"/>
        <v>0</v>
      </c>
      <c r="H319" s="17"/>
      <c r="I319" s="4">
        <f t="shared" si="11"/>
        <v>349526.07999999996</v>
      </c>
      <c r="J319" s="32" t="str">
        <f t="shared" si="10"/>
        <v/>
      </c>
      <c r="K319" s="72"/>
      <c r="L319" s="72"/>
      <c r="M319" s="2"/>
      <c r="N319" s="5"/>
      <c r="O319" s="3"/>
      <c r="P319" s="6"/>
      <c r="Q319" s="48">
        <f>IF(Учет!$O319=Справочники!$F$2,Учет!$H319,0)</f>
        <v>0</v>
      </c>
      <c r="R319" s="48">
        <f>IF(Учет!$O319=Справочники!$F$3,Учет!$H319,0)</f>
        <v>0</v>
      </c>
      <c r="S319" s="48">
        <f>IF(Учет!$O319=Справочники!$F$4,Учет!$H319,0)</f>
        <v>0</v>
      </c>
      <c r="T319" s="48">
        <f>IF(Учет!$O319=Справочники!$F$5,Учет!$H319,0)</f>
        <v>0</v>
      </c>
      <c r="U319" s="48">
        <f>IF(Учет!$O319=Справочники!$F$6,Учет!$H319,0)</f>
        <v>0</v>
      </c>
      <c r="V319" s="43">
        <f>V318+Учет!$B319-Q319</f>
        <v>-488978.92000000004</v>
      </c>
      <c r="W319" s="43">
        <f>W318+Учет!$C319-R319</f>
        <v>336855</v>
      </c>
      <c r="X319" s="43">
        <f>X318+Учет!$D319-S319</f>
        <v>500</v>
      </c>
      <c r="Y319" s="43">
        <f>Y318+Учет!$E319-T319</f>
        <v>1150</v>
      </c>
      <c r="Z319" s="43">
        <f>Z318+Учет!$F319-U319</f>
        <v>500000</v>
      </c>
      <c r="AA319" s="45">
        <f>Учет!$I319</f>
        <v>349526.07999999996</v>
      </c>
    </row>
    <row r="320" spans="1:27" ht="15" customHeight="1" x14ac:dyDescent="0.25">
      <c r="A320" s="1"/>
      <c r="B320" s="17"/>
      <c r="C320" s="17"/>
      <c r="D320" s="17"/>
      <c r="E320" s="17"/>
      <c r="F320" s="17"/>
      <c r="G320" s="4">
        <f t="shared" si="9"/>
        <v>0</v>
      </c>
      <c r="H320" s="17"/>
      <c r="I320" s="4">
        <f t="shared" si="11"/>
        <v>349526.07999999996</v>
      </c>
      <c r="J320" s="32" t="str">
        <f t="shared" si="10"/>
        <v/>
      </c>
      <c r="K320" s="72"/>
      <c r="L320" s="72"/>
      <c r="M320" s="2"/>
      <c r="N320" s="5"/>
      <c r="O320" s="3"/>
      <c r="P320" s="6"/>
      <c r="Q320" s="48">
        <f>IF(Учет!$O320=Справочники!$F$2,Учет!$H320,0)</f>
        <v>0</v>
      </c>
      <c r="R320" s="48">
        <f>IF(Учет!$O320=Справочники!$F$3,Учет!$H320,0)</f>
        <v>0</v>
      </c>
      <c r="S320" s="48">
        <f>IF(Учет!$O320=Справочники!$F$4,Учет!$H320,0)</f>
        <v>0</v>
      </c>
      <c r="T320" s="48">
        <f>IF(Учет!$O320=Справочники!$F$5,Учет!$H320,0)</f>
        <v>0</v>
      </c>
      <c r="U320" s="48">
        <f>IF(Учет!$O320=Справочники!$F$6,Учет!$H320,0)</f>
        <v>0</v>
      </c>
      <c r="V320" s="43">
        <f>V319+Учет!$B320-Q320</f>
        <v>-488978.92000000004</v>
      </c>
      <c r="W320" s="43">
        <f>W319+Учет!$C320-R320</f>
        <v>336855</v>
      </c>
      <c r="X320" s="43">
        <f>X319+Учет!$D320-S320</f>
        <v>500</v>
      </c>
      <c r="Y320" s="43">
        <f>Y319+Учет!$E320-T320</f>
        <v>1150</v>
      </c>
      <c r="Z320" s="43">
        <f>Z319+Учет!$F320-U320</f>
        <v>500000</v>
      </c>
      <c r="AA320" s="45">
        <f>Учет!$I320</f>
        <v>349526.07999999996</v>
      </c>
    </row>
    <row r="321" spans="1:27" ht="15" customHeight="1" x14ac:dyDescent="0.25">
      <c r="A321" s="1"/>
      <c r="B321" s="17"/>
      <c r="C321" s="17"/>
      <c r="D321" s="17"/>
      <c r="E321" s="17"/>
      <c r="F321" s="17"/>
      <c r="G321" s="4">
        <f t="shared" si="9"/>
        <v>0</v>
      </c>
      <c r="H321" s="17"/>
      <c r="I321" s="4">
        <f t="shared" si="11"/>
        <v>349526.07999999996</v>
      </c>
      <c r="J321" s="32" t="str">
        <f t="shared" si="10"/>
        <v/>
      </c>
      <c r="K321" s="72"/>
      <c r="L321" s="72"/>
      <c r="M321" s="2"/>
      <c r="N321" s="5"/>
      <c r="O321" s="3"/>
      <c r="P321" s="6"/>
      <c r="Q321" s="48">
        <f>IF(Учет!$O321=Справочники!$F$2,Учет!$H321,0)</f>
        <v>0</v>
      </c>
      <c r="R321" s="48">
        <f>IF(Учет!$O321=Справочники!$F$3,Учет!$H321,0)</f>
        <v>0</v>
      </c>
      <c r="S321" s="48">
        <f>IF(Учет!$O321=Справочники!$F$4,Учет!$H321,0)</f>
        <v>0</v>
      </c>
      <c r="T321" s="48">
        <f>IF(Учет!$O321=Справочники!$F$5,Учет!$H321,0)</f>
        <v>0</v>
      </c>
      <c r="U321" s="48">
        <f>IF(Учет!$O321=Справочники!$F$6,Учет!$H321,0)</f>
        <v>0</v>
      </c>
      <c r="V321" s="43">
        <f>V320+Учет!$B321-Q321</f>
        <v>-488978.92000000004</v>
      </c>
      <c r="W321" s="43">
        <f>W320+Учет!$C321-R321</f>
        <v>336855</v>
      </c>
      <c r="X321" s="43">
        <f>X320+Учет!$D321-S321</f>
        <v>500</v>
      </c>
      <c r="Y321" s="43">
        <f>Y320+Учет!$E321-T321</f>
        <v>1150</v>
      </c>
      <c r="Z321" s="43">
        <f>Z320+Учет!$F321-U321</f>
        <v>500000</v>
      </c>
      <c r="AA321" s="45">
        <f>Учет!$I321</f>
        <v>349526.07999999996</v>
      </c>
    </row>
    <row r="322" spans="1:27" ht="15" customHeight="1" x14ac:dyDescent="0.25">
      <c r="A322" s="1"/>
      <c r="B322" s="17"/>
      <c r="C322" s="17"/>
      <c r="D322" s="17"/>
      <c r="E322" s="17"/>
      <c r="F322" s="17"/>
      <c r="G322" s="4">
        <f t="shared" ref="G322:G385" si="12">SUM($B322:$F322)</f>
        <v>0</v>
      </c>
      <c r="H322" s="17"/>
      <c r="I322" s="4">
        <f t="shared" si="11"/>
        <v>349526.07999999996</v>
      </c>
      <c r="J322" s="32" t="str">
        <f t="shared" ref="J322:J385" si="13">IF($A323&lt;&gt;$A322,$I322,"")</f>
        <v/>
      </c>
      <c r="K322" s="72"/>
      <c r="L322" s="72"/>
      <c r="M322" s="2"/>
      <c r="N322" s="5"/>
      <c r="O322" s="3"/>
      <c r="P322" s="6"/>
      <c r="Q322" s="48">
        <f>IF(Учет!$O322=Справочники!$F$2,Учет!$H322,0)</f>
        <v>0</v>
      </c>
      <c r="R322" s="48">
        <f>IF(Учет!$O322=Справочники!$F$3,Учет!$H322,0)</f>
        <v>0</v>
      </c>
      <c r="S322" s="48">
        <f>IF(Учет!$O322=Справочники!$F$4,Учет!$H322,0)</f>
        <v>0</v>
      </c>
      <c r="T322" s="48">
        <f>IF(Учет!$O322=Справочники!$F$5,Учет!$H322,0)</f>
        <v>0</v>
      </c>
      <c r="U322" s="48">
        <f>IF(Учет!$O322=Справочники!$F$6,Учет!$H322,0)</f>
        <v>0</v>
      </c>
      <c r="V322" s="43">
        <f>V321+Учет!$B322-Q322</f>
        <v>-488978.92000000004</v>
      </c>
      <c r="W322" s="43">
        <f>W321+Учет!$C322-R322</f>
        <v>336855</v>
      </c>
      <c r="X322" s="43">
        <f>X321+Учет!$D322-S322</f>
        <v>500</v>
      </c>
      <c r="Y322" s="43">
        <f>Y321+Учет!$E322-T322</f>
        <v>1150</v>
      </c>
      <c r="Z322" s="43">
        <f>Z321+Учет!$F322-U322</f>
        <v>500000</v>
      </c>
      <c r="AA322" s="45">
        <f>Учет!$I322</f>
        <v>349526.07999999996</v>
      </c>
    </row>
    <row r="323" spans="1:27" ht="15" customHeight="1" x14ac:dyDescent="0.25">
      <c r="A323" s="1"/>
      <c r="B323" s="17"/>
      <c r="C323" s="17"/>
      <c r="D323" s="17"/>
      <c r="E323" s="17"/>
      <c r="F323" s="17"/>
      <c r="G323" s="4">
        <f t="shared" si="12"/>
        <v>0</v>
      </c>
      <c r="H323" s="17"/>
      <c r="I323" s="4">
        <f t="shared" ref="I323:I386" si="14">$I322+$G323-$H323</f>
        <v>349526.07999999996</v>
      </c>
      <c r="J323" s="32" t="str">
        <f t="shared" si="13"/>
        <v/>
      </c>
      <c r="K323" s="72"/>
      <c r="L323" s="72"/>
      <c r="M323" s="2"/>
      <c r="N323" s="5"/>
      <c r="O323" s="3"/>
      <c r="P323" s="6"/>
      <c r="Q323" s="48">
        <f>IF(Учет!$O323=Справочники!$F$2,Учет!$H323,0)</f>
        <v>0</v>
      </c>
      <c r="R323" s="48">
        <f>IF(Учет!$O323=Справочники!$F$3,Учет!$H323,0)</f>
        <v>0</v>
      </c>
      <c r="S323" s="48">
        <f>IF(Учет!$O323=Справочники!$F$4,Учет!$H323,0)</f>
        <v>0</v>
      </c>
      <c r="T323" s="48">
        <f>IF(Учет!$O323=Справочники!$F$5,Учет!$H323,0)</f>
        <v>0</v>
      </c>
      <c r="U323" s="48">
        <f>IF(Учет!$O323=Справочники!$F$6,Учет!$H323,0)</f>
        <v>0</v>
      </c>
      <c r="V323" s="43">
        <f>V322+Учет!$B323-Q323</f>
        <v>-488978.92000000004</v>
      </c>
      <c r="W323" s="43">
        <f>W322+Учет!$C323-R323</f>
        <v>336855</v>
      </c>
      <c r="X323" s="43">
        <f>X322+Учет!$D323-S323</f>
        <v>500</v>
      </c>
      <c r="Y323" s="43">
        <f>Y322+Учет!$E323-T323</f>
        <v>1150</v>
      </c>
      <c r="Z323" s="43">
        <f>Z322+Учет!$F323-U323</f>
        <v>500000</v>
      </c>
      <c r="AA323" s="45">
        <f>Учет!$I323</f>
        <v>349526.07999999996</v>
      </c>
    </row>
    <row r="324" spans="1:27" ht="15" customHeight="1" x14ac:dyDescent="0.25">
      <c r="A324" s="1"/>
      <c r="B324" s="17"/>
      <c r="C324" s="17"/>
      <c r="D324" s="17"/>
      <c r="E324" s="17"/>
      <c r="F324" s="17"/>
      <c r="G324" s="4">
        <f t="shared" si="12"/>
        <v>0</v>
      </c>
      <c r="H324" s="17"/>
      <c r="I324" s="4">
        <f t="shared" si="14"/>
        <v>349526.07999999996</v>
      </c>
      <c r="J324" s="32" t="str">
        <f t="shared" si="13"/>
        <v/>
      </c>
      <c r="K324" s="72"/>
      <c r="L324" s="72"/>
      <c r="M324" s="2"/>
      <c r="N324" s="5"/>
      <c r="O324" s="3"/>
      <c r="P324" s="6"/>
      <c r="Q324" s="48">
        <f>IF(Учет!$O324=Справочники!$F$2,Учет!$H324,0)</f>
        <v>0</v>
      </c>
      <c r="R324" s="48">
        <f>IF(Учет!$O324=Справочники!$F$3,Учет!$H324,0)</f>
        <v>0</v>
      </c>
      <c r="S324" s="48">
        <f>IF(Учет!$O324=Справочники!$F$4,Учет!$H324,0)</f>
        <v>0</v>
      </c>
      <c r="T324" s="48">
        <f>IF(Учет!$O324=Справочники!$F$5,Учет!$H324,0)</f>
        <v>0</v>
      </c>
      <c r="U324" s="48">
        <f>IF(Учет!$O324=Справочники!$F$6,Учет!$H324,0)</f>
        <v>0</v>
      </c>
      <c r="V324" s="43">
        <f>V323+Учет!$B324-Q324</f>
        <v>-488978.92000000004</v>
      </c>
      <c r="W324" s="43">
        <f>W323+Учет!$C324-R324</f>
        <v>336855</v>
      </c>
      <c r="X324" s="43">
        <f>X323+Учет!$D324-S324</f>
        <v>500</v>
      </c>
      <c r="Y324" s="43">
        <f>Y323+Учет!$E324-T324</f>
        <v>1150</v>
      </c>
      <c r="Z324" s="43">
        <f>Z323+Учет!$F324-U324</f>
        <v>500000</v>
      </c>
      <c r="AA324" s="45">
        <f>Учет!$I324</f>
        <v>349526.07999999996</v>
      </c>
    </row>
    <row r="325" spans="1:27" ht="15" customHeight="1" x14ac:dyDescent="0.25">
      <c r="A325" s="1"/>
      <c r="B325" s="17"/>
      <c r="C325" s="17"/>
      <c r="D325" s="17"/>
      <c r="E325" s="17"/>
      <c r="F325" s="17"/>
      <c r="G325" s="4">
        <f t="shared" si="12"/>
        <v>0</v>
      </c>
      <c r="H325" s="17"/>
      <c r="I325" s="4">
        <f t="shared" si="14"/>
        <v>349526.07999999996</v>
      </c>
      <c r="J325" s="32" t="str">
        <f t="shared" si="13"/>
        <v/>
      </c>
      <c r="K325" s="72"/>
      <c r="L325" s="72"/>
      <c r="M325" s="2"/>
      <c r="N325" s="5"/>
      <c r="O325" s="3"/>
      <c r="P325" s="6"/>
      <c r="Q325" s="48">
        <f>IF(Учет!$O325=Справочники!$F$2,Учет!$H325,0)</f>
        <v>0</v>
      </c>
      <c r="R325" s="48">
        <f>IF(Учет!$O325=Справочники!$F$3,Учет!$H325,0)</f>
        <v>0</v>
      </c>
      <c r="S325" s="48">
        <f>IF(Учет!$O325=Справочники!$F$4,Учет!$H325,0)</f>
        <v>0</v>
      </c>
      <c r="T325" s="48">
        <f>IF(Учет!$O325=Справочники!$F$5,Учет!$H325,0)</f>
        <v>0</v>
      </c>
      <c r="U325" s="48">
        <f>IF(Учет!$O325=Справочники!$F$6,Учет!$H325,0)</f>
        <v>0</v>
      </c>
      <c r="V325" s="43">
        <f>V324+Учет!$B325-Q325</f>
        <v>-488978.92000000004</v>
      </c>
      <c r="W325" s="43">
        <f>W324+Учет!$C325-R325</f>
        <v>336855</v>
      </c>
      <c r="X325" s="43">
        <f>X324+Учет!$D325-S325</f>
        <v>500</v>
      </c>
      <c r="Y325" s="43">
        <f>Y324+Учет!$E325-T325</f>
        <v>1150</v>
      </c>
      <c r="Z325" s="43">
        <f>Z324+Учет!$F325-U325</f>
        <v>500000</v>
      </c>
      <c r="AA325" s="45">
        <f>Учет!$I325</f>
        <v>349526.07999999996</v>
      </c>
    </row>
    <row r="326" spans="1:27" ht="15" customHeight="1" x14ac:dyDescent="0.25">
      <c r="A326" s="1"/>
      <c r="B326" s="17"/>
      <c r="C326" s="17"/>
      <c r="D326" s="17"/>
      <c r="E326" s="17"/>
      <c r="F326" s="17"/>
      <c r="G326" s="4">
        <f t="shared" si="12"/>
        <v>0</v>
      </c>
      <c r="H326" s="17"/>
      <c r="I326" s="4">
        <f t="shared" si="14"/>
        <v>349526.07999999996</v>
      </c>
      <c r="J326" s="32" t="str">
        <f t="shared" si="13"/>
        <v/>
      </c>
      <c r="K326" s="72"/>
      <c r="L326" s="72"/>
      <c r="M326" s="2"/>
      <c r="N326" s="5"/>
      <c r="O326" s="3"/>
      <c r="P326" s="6"/>
      <c r="Q326" s="48">
        <f>IF(Учет!$O326=Справочники!$F$2,Учет!$H326,0)</f>
        <v>0</v>
      </c>
      <c r="R326" s="48">
        <f>IF(Учет!$O326=Справочники!$F$3,Учет!$H326,0)</f>
        <v>0</v>
      </c>
      <c r="S326" s="48">
        <f>IF(Учет!$O326=Справочники!$F$4,Учет!$H326,0)</f>
        <v>0</v>
      </c>
      <c r="T326" s="48">
        <f>IF(Учет!$O326=Справочники!$F$5,Учет!$H326,0)</f>
        <v>0</v>
      </c>
      <c r="U326" s="48">
        <f>IF(Учет!$O326=Справочники!$F$6,Учет!$H326,0)</f>
        <v>0</v>
      </c>
      <c r="V326" s="43">
        <f>V325+Учет!$B326-Q326</f>
        <v>-488978.92000000004</v>
      </c>
      <c r="W326" s="43">
        <f>W325+Учет!$C326-R326</f>
        <v>336855</v>
      </c>
      <c r="X326" s="43">
        <f>X325+Учет!$D326-S326</f>
        <v>500</v>
      </c>
      <c r="Y326" s="43">
        <f>Y325+Учет!$E326-T326</f>
        <v>1150</v>
      </c>
      <c r="Z326" s="43">
        <f>Z325+Учет!$F326-U326</f>
        <v>500000</v>
      </c>
      <c r="AA326" s="45">
        <f>Учет!$I326</f>
        <v>349526.07999999996</v>
      </c>
    </row>
    <row r="327" spans="1:27" ht="15" customHeight="1" x14ac:dyDescent="0.25">
      <c r="A327" s="1"/>
      <c r="B327" s="17"/>
      <c r="C327" s="17"/>
      <c r="D327" s="17"/>
      <c r="E327" s="17"/>
      <c r="F327" s="17"/>
      <c r="G327" s="4">
        <f t="shared" si="12"/>
        <v>0</v>
      </c>
      <c r="H327" s="17"/>
      <c r="I327" s="4">
        <f t="shared" si="14"/>
        <v>349526.07999999996</v>
      </c>
      <c r="J327" s="32" t="str">
        <f t="shared" si="13"/>
        <v/>
      </c>
      <c r="K327" s="72"/>
      <c r="L327" s="72"/>
      <c r="M327" s="2"/>
      <c r="N327" s="5"/>
      <c r="O327" s="3"/>
      <c r="P327" s="6"/>
      <c r="Q327" s="48">
        <f>IF(Учет!$O327=Справочники!$F$2,Учет!$H327,0)</f>
        <v>0</v>
      </c>
      <c r="R327" s="48">
        <f>IF(Учет!$O327=Справочники!$F$3,Учет!$H327,0)</f>
        <v>0</v>
      </c>
      <c r="S327" s="48">
        <f>IF(Учет!$O327=Справочники!$F$4,Учет!$H327,0)</f>
        <v>0</v>
      </c>
      <c r="T327" s="48">
        <f>IF(Учет!$O327=Справочники!$F$5,Учет!$H327,0)</f>
        <v>0</v>
      </c>
      <c r="U327" s="48">
        <f>IF(Учет!$O327=Справочники!$F$6,Учет!$H327,0)</f>
        <v>0</v>
      </c>
      <c r="V327" s="43">
        <f>V326+Учет!$B327-Q327</f>
        <v>-488978.92000000004</v>
      </c>
      <c r="W327" s="43">
        <f>W326+Учет!$C327-R327</f>
        <v>336855</v>
      </c>
      <c r="X327" s="43">
        <f>X326+Учет!$D327-S327</f>
        <v>500</v>
      </c>
      <c r="Y327" s="43">
        <f>Y326+Учет!$E327-T327</f>
        <v>1150</v>
      </c>
      <c r="Z327" s="43">
        <f>Z326+Учет!$F327-U327</f>
        <v>500000</v>
      </c>
      <c r="AA327" s="45">
        <f>Учет!$I327</f>
        <v>349526.07999999996</v>
      </c>
    </row>
    <row r="328" spans="1:27" ht="15" customHeight="1" x14ac:dyDescent="0.25">
      <c r="A328" s="1"/>
      <c r="B328" s="17"/>
      <c r="C328" s="17"/>
      <c r="D328" s="17"/>
      <c r="E328" s="17"/>
      <c r="F328" s="17"/>
      <c r="G328" s="4">
        <f t="shared" si="12"/>
        <v>0</v>
      </c>
      <c r="H328" s="17"/>
      <c r="I328" s="4">
        <f t="shared" si="14"/>
        <v>349526.07999999996</v>
      </c>
      <c r="J328" s="32" t="str">
        <f t="shared" si="13"/>
        <v/>
      </c>
      <c r="K328" s="72"/>
      <c r="L328" s="72"/>
      <c r="M328" s="2"/>
      <c r="N328" s="5"/>
      <c r="O328" s="3"/>
      <c r="P328" s="6"/>
      <c r="Q328" s="48">
        <f>IF(Учет!$O328=Справочники!$F$2,Учет!$H328,0)</f>
        <v>0</v>
      </c>
      <c r="R328" s="48">
        <f>IF(Учет!$O328=Справочники!$F$3,Учет!$H328,0)</f>
        <v>0</v>
      </c>
      <c r="S328" s="48">
        <f>IF(Учет!$O328=Справочники!$F$4,Учет!$H328,0)</f>
        <v>0</v>
      </c>
      <c r="T328" s="48">
        <f>IF(Учет!$O328=Справочники!$F$5,Учет!$H328,0)</f>
        <v>0</v>
      </c>
      <c r="U328" s="48">
        <f>IF(Учет!$O328=Справочники!$F$6,Учет!$H328,0)</f>
        <v>0</v>
      </c>
      <c r="V328" s="43">
        <f>V327+Учет!$B328-Q328</f>
        <v>-488978.92000000004</v>
      </c>
      <c r="W328" s="43">
        <f>W327+Учет!$C328-R328</f>
        <v>336855</v>
      </c>
      <c r="X328" s="43">
        <f>X327+Учет!$D328-S328</f>
        <v>500</v>
      </c>
      <c r="Y328" s="43">
        <f>Y327+Учет!$E328-T328</f>
        <v>1150</v>
      </c>
      <c r="Z328" s="43">
        <f>Z327+Учет!$F328-U328</f>
        <v>500000</v>
      </c>
      <c r="AA328" s="45">
        <f>Учет!$I328</f>
        <v>349526.07999999996</v>
      </c>
    </row>
    <row r="329" spans="1:27" ht="15" customHeight="1" x14ac:dyDescent="0.25">
      <c r="A329" s="1"/>
      <c r="B329" s="17"/>
      <c r="C329" s="17"/>
      <c r="D329" s="17"/>
      <c r="E329" s="17"/>
      <c r="F329" s="17"/>
      <c r="G329" s="4">
        <f t="shared" si="12"/>
        <v>0</v>
      </c>
      <c r="H329" s="17"/>
      <c r="I329" s="4">
        <f t="shared" si="14"/>
        <v>349526.07999999996</v>
      </c>
      <c r="J329" s="32" t="str">
        <f t="shared" si="13"/>
        <v/>
      </c>
      <c r="K329" s="72"/>
      <c r="L329" s="72"/>
      <c r="M329" s="2"/>
      <c r="N329" s="5"/>
      <c r="O329" s="3"/>
      <c r="P329" s="6"/>
      <c r="Q329" s="48">
        <f>IF(Учет!$O329=Справочники!$F$2,Учет!$H329,0)</f>
        <v>0</v>
      </c>
      <c r="R329" s="48">
        <f>IF(Учет!$O329=Справочники!$F$3,Учет!$H329,0)</f>
        <v>0</v>
      </c>
      <c r="S329" s="48">
        <f>IF(Учет!$O329=Справочники!$F$4,Учет!$H329,0)</f>
        <v>0</v>
      </c>
      <c r="T329" s="48">
        <f>IF(Учет!$O329=Справочники!$F$5,Учет!$H329,0)</f>
        <v>0</v>
      </c>
      <c r="U329" s="48">
        <f>IF(Учет!$O329=Справочники!$F$6,Учет!$H329,0)</f>
        <v>0</v>
      </c>
      <c r="V329" s="43">
        <f>V328+Учет!$B329-Q329</f>
        <v>-488978.92000000004</v>
      </c>
      <c r="W329" s="43">
        <f>W328+Учет!$C329-R329</f>
        <v>336855</v>
      </c>
      <c r="X329" s="43">
        <f>X328+Учет!$D329-S329</f>
        <v>500</v>
      </c>
      <c r="Y329" s="43">
        <f>Y328+Учет!$E329-T329</f>
        <v>1150</v>
      </c>
      <c r="Z329" s="43">
        <f>Z328+Учет!$F329-U329</f>
        <v>500000</v>
      </c>
      <c r="AA329" s="45">
        <f>Учет!$I329</f>
        <v>349526.07999999996</v>
      </c>
    </row>
    <row r="330" spans="1:27" ht="15" customHeight="1" x14ac:dyDescent="0.25">
      <c r="A330" s="1"/>
      <c r="B330" s="17"/>
      <c r="C330" s="17"/>
      <c r="D330" s="17"/>
      <c r="E330" s="17"/>
      <c r="F330" s="17"/>
      <c r="G330" s="4">
        <f t="shared" si="12"/>
        <v>0</v>
      </c>
      <c r="H330" s="17"/>
      <c r="I330" s="4">
        <f t="shared" si="14"/>
        <v>349526.07999999996</v>
      </c>
      <c r="J330" s="32" t="str">
        <f t="shared" si="13"/>
        <v/>
      </c>
      <c r="K330" s="72"/>
      <c r="L330" s="72"/>
      <c r="M330" s="2"/>
      <c r="N330" s="5"/>
      <c r="O330" s="3"/>
      <c r="P330" s="6"/>
      <c r="Q330" s="48">
        <f>IF(Учет!$O330=Справочники!$F$2,Учет!$H330,0)</f>
        <v>0</v>
      </c>
      <c r="R330" s="48">
        <f>IF(Учет!$O330=Справочники!$F$3,Учет!$H330,0)</f>
        <v>0</v>
      </c>
      <c r="S330" s="48">
        <f>IF(Учет!$O330=Справочники!$F$4,Учет!$H330,0)</f>
        <v>0</v>
      </c>
      <c r="T330" s="48">
        <f>IF(Учет!$O330=Справочники!$F$5,Учет!$H330,0)</f>
        <v>0</v>
      </c>
      <c r="U330" s="48">
        <f>IF(Учет!$O330=Справочники!$F$6,Учет!$H330,0)</f>
        <v>0</v>
      </c>
      <c r="V330" s="43">
        <f>V329+Учет!$B330-Q330</f>
        <v>-488978.92000000004</v>
      </c>
      <c r="W330" s="43">
        <f>W329+Учет!$C330-R330</f>
        <v>336855</v>
      </c>
      <c r="X330" s="43">
        <f>X329+Учет!$D330-S330</f>
        <v>500</v>
      </c>
      <c r="Y330" s="43">
        <f>Y329+Учет!$E330-T330</f>
        <v>1150</v>
      </c>
      <c r="Z330" s="43">
        <f>Z329+Учет!$F330-U330</f>
        <v>500000</v>
      </c>
      <c r="AA330" s="45">
        <f>Учет!$I330</f>
        <v>349526.07999999996</v>
      </c>
    </row>
    <row r="331" spans="1:27" ht="15" customHeight="1" x14ac:dyDescent="0.25">
      <c r="A331" s="1"/>
      <c r="B331" s="17"/>
      <c r="C331" s="17"/>
      <c r="D331" s="17"/>
      <c r="E331" s="17"/>
      <c r="F331" s="17"/>
      <c r="G331" s="4">
        <f t="shared" si="12"/>
        <v>0</v>
      </c>
      <c r="H331" s="17"/>
      <c r="I331" s="4">
        <f t="shared" si="14"/>
        <v>349526.07999999996</v>
      </c>
      <c r="J331" s="32" t="str">
        <f t="shared" si="13"/>
        <v/>
      </c>
      <c r="K331" s="72"/>
      <c r="L331" s="72"/>
      <c r="M331" s="2"/>
      <c r="N331" s="5"/>
      <c r="O331" s="3"/>
      <c r="P331" s="6"/>
      <c r="Q331" s="48">
        <f>IF(Учет!$O331=Справочники!$F$2,Учет!$H331,0)</f>
        <v>0</v>
      </c>
      <c r="R331" s="48">
        <f>IF(Учет!$O331=Справочники!$F$3,Учет!$H331,0)</f>
        <v>0</v>
      </c>
      <c r="S331" s="48">
        <f>IF(Учет!$O331=Справочники!$F$4,Учет!$H331,0)</f>
        <v>0</v>
      </c>
      <c r="T331" s="48">
        <f>IF(Учет!$O331=Справочники!$F$5,Учет!$H331,0)</f>
        <v>0</v>
      </c>
      <c r="U331" s="48">
        <f>IF(Учет!$O331=Справочники!$F$6,Учет!$H331,0)</f>
        <v>0</v>
      </c>
      <c r="V331" s="43">
        <f>V330+Учет!$B331-Q331</f>
        <v>-488978.92000000004</v>
      </c>
      <c r="W331" s="43">
        <f>W330+Учет!$C331-R331</f>
        <v>336855</v>
      </c>
      <c r="X331" s="43">
        <f>X330+Учет!$D331-S331</f>
        <v>500</v>
      </c>
      <c r="Y331" s="43">
        <f>Y330+Учет!$E331-T331</f>
        <v>1150</v>
      </c>
      <c r="Z331" s="43">
        <f>Z330+Учет!$F331-U331</f>
        <v>500000</v>
      </c>
      <c r="AA331" s="45">
        <f>Учет!$I331</f>
        <v>349526.07999999996</v>
      </c>
    </row>
    <row r="332" spans="1:27" ht="15" customHeight="1" x14ac:dyDescent="0.25">
      <c r="A332" s="1"/>
      <c r="B332" s="17"/>
      <c r="C332" s="17"/>
      <c r="D332" s="17"/>
      <c r="E332" s="17"/>
      <c r="F332" s="17"/>
      <c r="G332" s="4">
        <f t="shared" si="12"/>
        <v>0</v>
      </c>
      <c r="H332" s="17"/>
      <c r="I332" s="4">
        <f t="shared" si="14"/>
        <v>349526.07999999996</v>
      </c>
      <c r="J332" s="32" t="str">
        <f t="shared" si="13"/>
        <v/>
      </c>
      <c r="K332" s="72"/>
      <c r="L332" s="72"/>
      <c r="M332" s="2"/>
      <c r="N332" s="5"/>
      <c r="O332" s="3"/>
      <c r="P332" s="6"/>
      <c r="Q332" s="48">
        <f>IF(Учет!$O332=Справочники!$F$2,Учет!$H332,0)</f>
        <v>0</v>
      </c>
      <c r="R332" s="48">
        <f>IF(Учет!$O332=Справочники!$F$3,Учет!$H332,0)</f>
        <v>0</v>
      </c>
      <c r="S332" s="48">
        <f>IF(Учет!$O332=Справочники!$F$4,Учет!$H332,0)</f>
        <v>0</v>
      </c>
      <c r="T332" s="48">
        <f>IF(Учет!$O332=Справочники!$F$5,Учет!$H332,0)</f>
        <v>0</v>
      </c>
      <c r="U332" s="48">
        <f>IF(Учет!$O332=Справочники!$F$6,Учет!$H332,0)</f>
        <v>0</v>
      </c>
      <c r="V332" s="43">
        <f>V331+Учет!$B332-Q332</f>
        <v>-488978.92000000004</v>
      </c>
      <c r="W332" s="43">
        <f>W331+Учет!$C332-R332</f>
        <v>336855</v>
      </c>
      <c r="X332" s="43">
        <f>X331+Учет!$D332-S332</f>
        <v>500</v>
      </c>
      <c r="Y332" s="43">
        <f>Y331+Учет!$E332-T332</f>
        <v>1150</v>
      </c>
      <c r="Z332" s="43">
        <f>Z331+Учет!$F332-U332</f>
        <v>500000</v>
      </c>
      <c r="AA332" s="45">
        <f>Учет!$I332</f>
        <v>349526.07999999996</v>
      </c>
    </row>
    <row r="333" spans="1:27" ht="15" customHeight="1" x14ac:dyDescent="0.25">
      <c r="A333" s="1"/>
      <c r="B333" s="17"/>
      <c r="C333" s="17"/>
      <c r="D333" s="17"/>
      <c r="E333" s="17"/>
      <c r="F333" s="17"/>
      <c r="G333" s="4">
        <f t="shared" si="12"/>
        <v>0</v>
      </c>
      <c r="H333" s="17"/>
      <c r="I333" s="4">
        <f t="shared" si="14"/>
        <v>349526.07999999996</v>
      </c>
      <c r="J333" s="32" t="str">
        <f t="shared" si="13"/>
        <v/>
      </c>
      <c r="K333" s="72"/>
      <c r="L333" s="72"/>
      <c r="M333" s="2"/>
      <c r="N333" s="5"/>
      <c r="O333" s="3"/>
      <c r="P333" s="6"/>
      <c r="Q333" s="48">
        <f>IF(Учет!$O333=Справочники!$F$2,Учет!$H333,0)</f>
        <v>0</v>
      </c>
      <c r="R333" s="48">
        <f>IF(Учет!$O333=Справочники!$F$3,Учет!$H333,0)</f>
        <v>0</v>
      </c>
      <c r="S333" s="48">
        <f>IF(Учет!$O333=Справочники!$F$4,Учет!$H333,0)</f>
        <v>0</v>
      </c>
      <c r="T333" s="48">
        <f>IF(Учет!$O333=Справочники!$F$5,Учет!$H333,0)</f>
        <v>0</v>
      </c>
      <c r="U333" s="48">
        <f>IF(Учет!$O333=Справочники!$F$6,Учет!$H333,0)</f>
        <v>0</v>
      </c>
      <c r="V333" s="43">
        <f>V332+Учет!$B333-Q333</f>
        <v>-488978.92000000004</v>
      </c>
      <c r="W333" s="43">
        <f>W332+Учет!$C333-R333</f>
        <v>336855</v>
      </c>
      <c r="X333" s="43">
        <f>X332+Учет!$D333-S333</f>
        <v>500</v>
      </c>
      <c r="Y333" s="43">
        <f>Y332+Учет!$E333-T333</f>
        <v>1150</v>
      </c>
      <c r="Z333" s="43">
        <f>Z332+Учет!$F333-U333</f>
        <v>500000</v>
      </c>
      <c r="AA333" s="45">
        <f>Учет!$I333</f>
        <v>349526.07999999996</v>
      </c>
    </row>
    <row r="334" spans="1:27" ht="15" customHeight="1" x14ac:dyDescent="0.25">
      <c r="A334" s="1"/>
      <c r="B334" s="17"/>
      <c r="C334" s="17"/>
      <c r="D334" s="17"/>
      <c r="E334" s="17"/>
      <c r="F334" s="17"/>
      <c r="G334" s="4">
        <f t="shared" si="12"/>
        <v>0</v>
      </c>
      <c r="H334" s="17"/>
      <c r="I334" s="4">
        <f t="shared" si="14"/>
        <v>349526.07999999996</v>
      </c>
      <c r="J334" s="32" t="str">
        <f t="shared" si="13"/>
        <v/>
      </c>
      <c r="K334" s="72"/>
      <c r="L334" s="72"/>
      <c r="M334" s="2"/>
      <c r="N334" s="5"/>
      <c r="O334" s="3"/>
      <c r="P334" s="6"/>
      <c r="Q334" s="48">
        <f>IF(Учет!$O334=Справочники!$F$2,Учет!$H334,0)</f>
        <v>0</v>
      </c>
      <c r="R334" s="48">
        <f>IF(Учет!$O334=Справочники!$F$3,Учет!$H334,0)</f>
        <v>0</v>
      </c>
      <c r="S334" s="48">
        <f>IF(Учет!$O334=Справочники!$F$4,Учет!$H334,0)</f>
        <v>0</v>
      </c>
      <c r="T334" s="48">
        <f>IF(Учет!$O334=Справочники!$F$5,Учет!$H334,0)</f>
        <v>0</v>
      </c>
      <c r="U334" s="48">
        <f>IF(Учет!$O334=Справочники!$F$6,Учет!$H334,0)</f>
        <v>0</v>
      </c>
      <c r="V334" s="43">
        <f>V333+Учет!$B334-Q334</f>
        <v>-488978.92000000004</v>
      </c>
      <c r="W334" s="43">
        <f>W333+Учет!$C334-R334</f>
        <v>336855</v>
      </c>
      <c r="X334" s="43">
        <f>X333+Учет!$D334-S334</f>
        <v>500</v>
      </c>
      <c r="Y334" s="43">
        <f>Y333+Учет!$E334-T334</f>
        <v>1150</v>
      </c>
      <c r="Z334" s="43">
        <f>Z333+Учет!$F334-U334</f>
        <v>500000</v>
      </c>
      <c r="AA334" s="45">
        <f>Учет!$I334</f>
        <v>349526.07999999996</v>
      </c>
    </row>
    <row r="335" spans="1:27" ht="15" customHeight="1" x14ac:dyDescent="0.25">
      <c r="A335" s="1"/>
      <c r="B335" s="17"/>
      <c r="C335" s="17"/>
      <c r="D335" s="17"/>
      <c r="E335" s="17"/>
      <c r="F335" s="17"/>
      <c r="G335" s="4">
        <f t="shared" si="12"/>
        <v>0</v>
      </c>
      <c r="H335" s="17"/>
      <c r="I335" s="4">
        <f t="shared" si="14"/>
        <v>349526.07999999996</v>
      </c>
      <c r="J335" s="32" t="str">
        <f t="shared" si="13"/>
        <v/>
      </c>
      <c r="K335" s="72"/>
      <c r="L335" s="72"/>
      <c r="M335" s="2"/>
      <c r="N335" s="5"/>
      <c r="O335" s="3"/>
      <c r="P335" s="6"/>
      <c r="Q335" s="48">
        <f>IF(Учет!$O335=Справочники!$F$2,Учет!$H335,0)</f>
        <v>0</v>
      </c>
      <c r="R335" s="48">
        <f>IF(Учет!$O335=Справочники!$F$3,Учет!$H335,0)</f>
        <v>0</v>
      </c>
      <c r="S335" s="48">
        <f>IF(Учет!$O335=Справочники!$F$4,Учет!$H335,0)</f>
        <v>0</v>
      </c>
      <c r="T335" s="48">
        <f>IF(Учет!$O335=Справочники!$F$5,Учет!$H335,0)</f>
        <v>0</v>
      </c>
      <c r="U335" s="48">
        <f>IF(Учет!$O335=Справочники!$F$6,Учет!$H335,0)</f>
        <v>0</v>
      </c>
      <c r="V335" s="43">
        <f>V334+Учет!$B335-Q335</f>
        <v>-488978.92000000004</v>
      </c>
      <c r="W335" s="43">
        <f>W334+Учет!$C335-R335</f>
        <v>336855</v>
      </c>
      <c r="X335" s="43">
        <f>X334+Учет!$D335-S335</f>
        <v>500</v>
      </c>
      <c r="Y335" s="43">
        <f>Y334+Учет!$E335-T335</f>
        <v>1150</v>
      </c>
      <c r="Z335" s="43">
        <f>Z334+Учет!$F335-U335</f>
        <v>500000</v>
      </c>
      <c r="AA335" s="45">
        <f>Учет!$I335</f>
        <v>349526.07999999996</v>
      </c>
    </row>
    <row r="336" spans="1:27" ht="15" customHeight="1" x14ac:dyDescent="0.25">
      <c r="A336" s="1"/>
      <c r="B336" s="17"/>
      <c r="C336" s="17"/>
      <c r="D336" s="17"/>
      <c r="E336" s="17"/>
      <c r="F336" s="17"/>
      <c r="G336" s="4">
        <f t="shared" si="12"/>
        <v>0</v>
      </c>
      <c r="H336" s="17"/>
      <c r="I336" s="4">
        <f t="shared" si="14"/>
        <v>349526.07999999996</v>
      </c>
      <c r="J336" s="32" t="str">
        <f t="shared" si="13"/>
        <v/>
      </c>
      <c r="K336" s="72"/>
      <c r="L336" s="72"/>
      <c r="M336" s="2"/>
      <c r="N336" s="5"/>
      <c r="O336" s="3"/>
      <c r="P336" s="6"/>
      <c r="Q336" s="48">
        <f>IF(Учет!$O336=Справочники!$F$2,Учет!$H336,0)</f>
        <v>0</v>
      </c>
      <c r="R336" s="48">
        <f>IF(Учет!$O336=Справочники!$F$3,Учет!$H336,0)</f>
        <v>0</v>
      </c>
      <c r="S336" s="48">
        <f>IF(Учет!$O336=Справочники!$F$4,Учет!$H336,0)</f>
        <v>0</v>
      </c>
      <c r="T336" s="48">
        <f>IF(Учет!$O336=Справочники!$F$5,Учет!$H336,0)</f>
        <v>0</v>
      </c>
      <c r="U336" s="48">
        <f>IF(Учет!$O336=Справочники!$F$6,Учет!$H336,0)</f>
        <v>0</v>
      </c>
      <c r="V336" s="43">
        <f>V335+Учет!$B336-Q336</f>
        <v>-488978.92000000004</v>
      </c>
      <c r="W336" s="43">
        <f>W335+Учет!$C336-R336</f>
        <v>336855</v>
      </c>
      <c r="X336" s="43">
        <f>X335+Учет!$D336-S336</f>
        <v>500</v>
      </c>
      <c r="Y336" s="43">
        <f>Y335+Учет!$E336-T336</f>
        <v>1150</v>
      </c>
      <c r="Z336" s="43">
        <f>Z335+Учет!$F336-U336</f>
        <v>500000</v>
      </c>
      <c r="AA336" s="45">
        <f>Учет!$I336</f>
        <v>349526.07999999996</v>
      </c>
    </row>
    <row r="337" spans="1:27" ht="15" customHeight="1" x14ac:dyDescent="0.25">
      <c r="A337" s="1"/>
      <c r="B337" s="17"/>
      <c r="C337" s="17"/>
      <c r="D337" s="17"/>
      <c r="E337" s="17"/>
      <c r="F337" s="17"/>
      <c r="G337" s="4">
        <f t="shared" si="12"/>
        <v>0</v>
      </c>
      <c r="H337" s="17"/>
      <c r="I337" s="4">
        <f t="shared" si="14"/>
        <v>349526.07999999996</v>
      </c>
      <c r="J337" s="32" t="str">
        <f t="shared" si="13"/>
        <v/>
      </c>
      <c r="K337" s="72"/>
      <c r="L337" s="72"/>
      <c r="M337" s="2"/>
      <c r="N337" s="5"/>
      <c r="O337" s="3"/>
      <c r="P337" s="6"/>
      <c r="Q337" s="48">
        <f>IF(Учет!$O337=Справочники!$F$2,Учет!$H337,0)</f>
        <v>0</v>
      </c>
      <c r="R337" s="48">
        <f>IF(Учет!$O337=Справочники!$F$3,Учет!$H337,0)</f>
        <v>0</v>
      </c>
      <c r="S337" s="48">
        <f>IF(Учет!$O337=Справочники!$F$4,Учет!$H337,0)</f>
        <v>0</v>
      </c>
      <c r="T337" s="48">
        <f>IF(Учет!$O337=Справочники!$F$5,Учет!$H337,0)</f>
        <v>0</v>
      </c>
      <c r="U337" s="48">
        <f>IF(Учет!$O337=Справочники!$F$6,Учет!$H337,0)</f>
        <v>0</v>
      </c>
      <c r="V337" s="43">
        <f>V336+Учет!$B337-Q337</f>
        <v>-488978.92000000004</v>
      </c>
      <c r="W337" s="43">
        <f>W336+Учет!$C337-R337</f>
        <v>336855</v>
      </c>
      <c r="X337" s="43">
        <f>X336+Учет!$D337-S337</f>
        <v>500</v>
      </c>
      <c r="Y337" s="43">
        <f>Y336+Учет!$E337-T337</f>
        <v>1150</v>
      </c>
      <c r="Z337" s="43">
        <f>Z336+Учет!$F337-U337</f>
        <v>500000</v>
      </c>
      <c r="AA337" s="45">
        <f>Учет!$I337</f>
        <v>349526.07999999996</v>
      </c>
    </row>
    <row r="338" spans="1:27" ht="15" customHeight="1" x14ac:dyDescent="0.25">
      <c r="A338" s="1"/>
      <c r="B338" s="17"/>
      <c r="C338" s="17"/>
      <c r="D338" s="17"/>
      <c r="E338" s="17"/>
      <c r="F338" s="17"/>
      <c r="G338" s="4">
        <f t="shared" si="12"/>
        <v>0</v>
      </c>
      <c r="H338" s="17"/>
      <c r="I338" s="4">
        <f t="shared" si="14"/>
        <v>349526.07999999996</v>
      </c>
      <c r="J338" s="32" t="str">
        <f t="shared" si="13"/>
        <v/>
      </c>
      <c r="K338" s="72"/>
      <c r="L338" s="72"/>
      <c r="M338" s="2"/>
      <c r="N338" s="5"/>
      <c r="O338" s="3"/>
      <c r="P338" s="6"/>
      <c r="Q338" s="48">
        <f>IF(Учет!$O338=Справочники!$F$2,Учет!$H338,0)</f>
        <v>0</v>
      </c>
      <c r="R338" s="48">
        <f>IF(Учет!$O338=Справочники!$F$3,Учет!$H338,0)</f>
        <v>0</v>
      </c>
      <c r="S338" s="48">
        <f>IF(Учет!$O338=Справочники!$F$4,Учет!$H338,0)</f>
        <v>0</v>
      </c>
      <c r="T338" s="48">
        <f>IF(Учет!$O338=Справочники!$F$5,Учет!$H338,0)</f>
        <v>0</v>
      </c>
      <c r="U338" s="48">
        <f>IF(Учет!$O338=Справочники!$F$6,Учет!$H338,0)</f>
        <v>0</v>
      </c>
      <c r="V338" s="43">
        <f>V337+Учет!$B338-Q338</f>
        <v>-488978.92000000004</v>
      </c>
      <c r="W338" s="43">
        <f>W337+Учет!$C338-R338</f>
        <v>336855</v>
      </c>
      <c r="X338" s="43">
        <f>X337+Учет!$D338-S338</f>
        <v>500</v>
      </c>
      <c r="Y338" s="43">
        <f>Y337+Учет!$E338-T338</f>
        <v>1150</v>
      </c>
      <c r="Z338" s="43">
        <f>Z337+Учет!$F338-U338</f>
        <v>500000</v>
      </c>
      <c r="AA338" s="45">
        <f>Учет!$I338</f>
        <v>349526.07999999996</v>
      </c>
    </row>
    <row r="339" spans="1:27" ht="15" customHeight="1" x14ac:dyDescent="0.25">
      <c r="A339" s="1"/>
      <c r="B339" s="17"/>
      <c r="C339" s="17"/>
      <c r="D339" s="17"/>
      <c r="E339" s="17"/>
      <c r="F339" s="17"/>
      <c r="G339" s="4">
        <f t="shared" si="12"/>
        <v>0</v>
      </c>
      <c r="H339" s="17"/>
      <c r="I339" s="4">
        <f t="shared" si="14"/>
        <v>349526.07999999996</v>
      </c>
      <c r="J339" s="32" t="str">
        <f t="shared" si="13"/>
        <v/>
      </c>
      <c r="K339" s="72"/>
      <c r="L339" s="72"/>
      <c r="M339" s="2"/>
      <c r="N339" s="5"/>
      <c r="O339" s="3"/>
      <c r="P339" s="6"/>
      <c r="Q339" s="48">
        <f>IF(Учет!$O339=Справочники!$F$2,Учет!$H339,0)</f>
        <v>0</v>
      </c>
      <c r="R339" s="48">
        <f>IF(Учет!$O339=Справочники!$F$3,Учет!$H339,0)</f>
        <v>0</v>
      </c>
      <c r="S339" s="48">
        <f>IF(Учет!$O339=Справочники!$F$4,Учет!$H339,0)</f>
        <v>0</v>
      </c>
      <c r="T339" s="48">
        <f>IF(Учет!$O339=Справочники!$F$5,Учет!$H339,0)</f>
        <v>0</v>
      </c>
      <c r="U339" s="48">
        <f>IF(Учет!$O339=Справочники!$F$6,Учет!$H339,0)</f>
        <v>0</v>
      </c>
      <c r="V339" s="43">
        <f>V338+Учет!$B339-Q339</f>
        <v>-488978.92000000004</v>
      </c>
      <c r="W339" s="43">
        <f>W338+Учет!$C339-R339</f>
        <v>336855</v>
      </c>
      <c r="X339" s="43">
        <f>X338+Учет!$D339-S339</f>
        <v>500</v>
      </c>
      <c r="Y339" s="43">
        <f>Y338+Учет!$E339-T339</f>
        <v>1150</v>
      </c>
      <c r="Z339" s="43">
        <f>Z338+Учет!$F339-U339</f>
        <v>500000</v>
      </c>
      <c r="AA339" s="45">
        <f>Учет!$I339</f>
        <v>349526.07999999996</v>
      </c>
    </row>
    <row r="340" spans="1:27" ht="15" customHeight="1" x14ac:dyDescent="0.25">
      <c r="A340" s="1"/>
      <c r="B340" s="17"/>
      <c r="C340" s="17"/>
      <c r="D340" s="17"/>
      <c r="E340" s="17"/>
      <c r="F340" s="17"/>
      <c r="G340" s="4">
        <f t="shared" si="12"/>
        <v>0</v>
      </c>
      <c r="H340" s="17"/>
      <c r="I340" s="4">
        <f t="shared" si="14"/>
        <v>349526.07999999996</v>
      </c>
      <c r="J340" s="32" t="str">
        <f t="shared" si="13"/>
        <v/>
      </c>
      <c r="K340" s="72"/>
      <c r="L340" s="72"/>
      <c r="M340" s="2"/>
      <c r="N340" s="5"/>
      <c r="O340" s="3"/>
      <c r="P340" s="6"/>
      <c r="Q340" s="48">
        <f>IF(Учет!$O340=Справочники!$F$2,Учет!$H340,0)</f>
        <v>0</v>
      </c>
      <c r="R340" s="48">
        <f>IF(Учет!$O340=Справочники!$F$3,Учет!$H340,0)</f>
        <v>0</v>
      </c>
      <c r="S340" s="48">
        <f>IF(Учет!$O340=Справочники!$F$4,Учет!$H340,0)</f>
        <v>0</v>
      </c>
      <c r="T340" s="48">
        <f>IF(Учет!$O340=Справочники!$F$5,Учет!$H340,0)</f>
        <v>0</v>
      </c>
      <c r="U340" s="48">
        <f>IF(Учет!$O340=Справочники!$F$6,Учет!$H340,0)</f>
        <v>0</v>
      </c>
      <c r="V340" s="43">
        <f>V339+Учет!$B340-Q340</f>
        <v>-488978.92000000004</v>
      </c>
      <c r="W340" s="43">
        <f>W339+Учет!$C340-R340</f>
        <v>336855</v>
      </c>
      <c r="X340" s="43">
        <f>X339+Учет!$D340-S340</f>
        <v>500</v>
      </c>
      <c r="Y340" s="43">
        <f>Y339+Учет!$E340-T340</f>
        <v>1150</v>
      </c>
      <c r="Z340" s="43">
        <f>Z339+Учет!$F340-U340</f>
        <v>500000</v>
      </c>
      <c r="AA340" s="45">
        <f>Учет!$I340</f>
        <v>349526.07999999996</v>
      </c>
    </row>
    <row r="341" spans="1:27" ht="15" customHeight="1" x14ac:dyDescent="0.25">
      <c r="A341" s="1"/>
      <c r="B341" s="17"/>
      <c r="C341" s="17"/>
      <c r="D341" s="17"/>
      <c r="E341" s="17"/>
      <c r="F341" s="17"/>
      <c r="G341" s="4">
        <f t="shared" si="12"/>
        <v>0</v>
      </c>
      <c r="H341" s="17"/>
      <c r="I341" s="4">
        <f t="shared" si="14"/>
        <v>349526.07999999996</v>
      </c>
      <c r="J341" s="32" t="str">
        <f t="shared" si="13"/>
        <v/>
      </c>
      <c r="K341" s="72"/>
      <c r="L341" s="72"/>
      <c r="M341" s="2"/>
      <c r="N341" s="5"/>
      <c r="O341" s="3"/>
      <c r="P341" s="6"/>
      <c r="Q341" s="48">
        <f>IF(Учет!$O341=Справочники!$F$2,Учет!$H341,0)</f>
        <v>0</v>
      </c>
      <c r="R341" s="48">
        <f>IF(Учет!$O341=Справочники!$F$3,Учет!$H341,0)</f>
        <v>0</v>
      </c>
      <c r="S341" s="48">
        <f>IF(Учет!$O341=Справочники!$F$4,Учет!$H341,0)</f>
        <v>0</v>
      </c>
      <c r="T341" s="48">
        <f>IF(Учет!$O341=Справочники!$F$5,Учет!$H341,0)</f>
        <v>0</v>
      </c>
      <c r="U341" s="48">
        <f>IF(Учет!$O341=Справочники!$F$6,Учет!$H341,0)</f>
        <v>0</v>
      </c>
      <c r="V341" s="43">
        <f>V340+Учет!$B341-Q341</f>
        <v>-488978.92000000004</v>
      </c>
      <c r="W341" s="43">
        <f>W340+Учет!$C341-R341</f>
        <v>336855</v>
      </c>
      <c r="X341" s="43">
        <f>X340+Учет!$D341-S341</f>
        <v>500</v>
      </c>
      <c r="Y341" s="43">
        <f>Y340+Учет!$E341-T341</f>
        <v>1150</v>
      </c>
      <c r="Z341" s="43">
        <f>Z340+Учет!$F341-U341</f>
        <v>500000</v>
      </c>
      <c r="AA341" s="45">
        <f>Учет!$I341</f>
        <v>349526.07999999996</v>
      </c>
    </row>
    <row r="342" spans="1:27" ht="15" customHeight="1" x14ac:dyDescent="0.25">
      <c r="A342" s="1"/>
      <c r="B342" s="17"/>
      <c r="C342" s="17"/>
      <c r="D342" s="17"/>
      <c r="E342" s="17"/>
      <c r="F342" s="17"/>
      <c r="G342" s="4">
        <f t="shared" si="12"/>
        <v>0</v>
      </c>
      <c r="H342" s="17"/>
      <c r="I342" s="4">
        <f t="shared" si="14"/>
        <v>349526.07999999996</v>
      </c>
      <c r="J342" s="32" t="str">
        <f t="shared" si="13"/>
        <v/>
      </c>
      <c r="K342" s="72"/>
      <c r="L342" s="72"/>
      <c r="M342" s="2"/>
      <c r="N342" s="5"/>
      <c r="O342" s="3"/>
      <c r="P342" s="6"/>
      <c r="Q342" s="48">
        <f>IF(Учет!$O342=Справочники!$F$2,Учет!$H342,0)</f>
        <v>0</v>
      </c>
      <c r="R342" s="48">
        <f>IF(Учет!$O342=Справочники!$F$3,Учет!$H342,0)</f>
        <v>0</v>
      </c>
      <c r="S342" s="48">
        <f>IF(Учет!$O342=Справочники!$F$4,Учет!$H342,0)</f>
        <v>0</v>
      </c>
      <c r="T342" s="48">
        <f>IF(Учет!$O342=Справочники!$F$5,Учет!$H342,0)</f>
        <v>0</v>
      </c>
      <c r="U342" s="48">
        <f>IF(Учет!$O342=Справочники!$F$6,Учет!$H342,0)</f>
        <v>0</v>
      </c>
      <c r="V342" s="43">
        <f>V341+Учет!$B342-Q342</f>
        <v>-488978.92000000004</v>
      </c>
      <c r="W342" s="43">
        <f>W341+Учет!$C342-R342</f>
        <v>336855</v>
      </c>
      <c r="X342" s="43">
        <f>X341+Учет!$D342-S342</f>
        <v>500</v>
      </c>
      <c r="Y342" s="43">
        <f>Y341+Учет!$E342-T342</f>
        <v>1150</v>
      </c>
      <c r="Z342" s="43">
        <f>Z341+Учет!$F342-U342</f>
        <v>500000</v>
      </c>
      <c r="AA342" s="45">
        <f>Учет!$I342</f>
        <v>349526.07999999996</v>
      </c>
    </row>
    <row r="343" spans="1:27" ht="15" customHeight="1" x14ac:dyDescent="0.25">
      <c r="A343" s="1"/>
      <c r="B343" s="17"/>
      <c r="C343" s="17"/>
      <c r="D343" s="17"/>
      <c r="E343" s="17"/>
      <c r="F343" s="17"/>
      <c r="G343" s="4">
        <f t="shared" si="12"/>
        <v>0</v>
      </c>
      <c r="H343" s="17"/>
      <c r="I343" s="4">
        <f t="shared" si="14"/>
        <v>349526.07999999996</v>
      </c>
      <c r="J343" s="32" t="str">
        <f t="shared" si="13"/>
        <v/>
      </c>
      <c r="K343" s="72"/>
      <c r="L343" s="72"/>
      <c r="M343" s="2"/>
      <c r="N343" s="5"/>
      <c r="O343" s="3"/>
      <c r="P343" s="6"/>
      <c r="Q343" s="48">
        <f>IF(Учет!$O343=Справочники!$F$2,Учет!$H343,0)</f>
        <v>0</v>
      </c>
      <c r="R343" s="48">
        <f>IF(Учет!$O343=Справочники!$F$3,Учет!$H343,0)</f>
        <v>0</v>
      </c>
      <c r="S343" s="48">
        <f>IF(Учет!$O343=Справочники!$F$4,Учет!$H343,0)</f>
        <v>0</v>
      </c>
      <c r="T343" s="48">
        <f>IF(Учет!$O343=Справочники!$F$5,Учет!$H343,0)</f>
        <v>0</v>
      </c>
      <c r="U343" s="48">
        <f>IF(Учет!$O343=Справочники!$F$6,Учет!$H343,0)</f>
        <v>0</v>
      </c>
      <c r="V343" s="43">
        <f>V342+Учет!$B343-Q343</f>
        <v>-488978.92000000004</v>
      </c>
      <c r="W343" s="43">
        <f>W342+Учет!$C343-R343</f>
        <v>336855</v>
      </c>
      <c r="X343" s="43">
        <f>X342+Учет!$D343-S343</f>
        <v>500</v>
      </c>
      <c r="Y343" s="43">
        <f>Y342+Учет!$E343-T343</f>
        <v>1150</v>
      </c>
      <c r="Z343" s="43">
        <f>Z342+Учет!$F343-U343</f>
        <v>500000</v>
      </c>
      <c r="AA343" s="45">
        <f>Учет!$I343</f>
        <v>349526.07999999996</v>
      </c>
    </row>
    <row r="344" spans="1:27" ht="15" customHeight="1" x14ac:dyDescent="0.25">
      <c r="A344" s="1"/>
      <c r="B344" s="17"/>
      <c r="C344" s="17"/>
      <c r="D344" s="17"/>
      <c r="E344" s="17"/>
      <c r="F344" s="17"/>
      <c r="G344" s="4">
        <f t="shared" si="12"/>
        <v>0</v>
      </c>
      <c r="H344" s="17"/>
      <c r="I344" s="4">
        <f t="shared" si="14"/>
        <v>349526.07999999996</v>
      </c>
      <c r="J344" s="32" t="str">
        <f t="shared" si="13"/>
        <v/>
      </c>
      <c r="K344" s="72"/>
      <c r="L344" s="72"/>
      <c r="M344" s="2"/>
      <c r="N344" s="5"/>
      <c r="O344" s="3"/>
      <c r="P344" s="6"/>
      <c r="Q344" s="48">
        <f>IF(Учет!$O344=Справочники!$F$2,Учет!$H344,0)</f>
        <v>0</v>
      </c>
      <c r="R344" s="48">
        <f>IF(Учет!$O344=Справочники!$F$3,Учет!$H344,0)</f>
        <v>0</v>
      </c>
      <c r="S344" s="48">
        <f>IF(Учет!$O344=Справочники!$F$4,Учет!$H344,0)</f>
        <v>0</v>
      </c>
      <c r="T344" s="48">
        <f>IF(Учет!$O344=Справочники!$F$5,Учет!$H344,0)</f>
        <v>0</v>
      </c>
      <c r="U344" s="48">
        <f>IF(Учет!$O344=Справочники!$F$6,Учет!$H344,0)</f>
        <v>0</v>
      </c>
      <c r="V344" s="43">
        <f>V343+Учет!$B344-Q344</f>
        <v>-488978.92000000004</v>
      </c>
      <c r="W344" s="43">
        <f>W343+Учет!$C344-R344</f>
        <v>336855</v>
      </c>
      <c r="X344" s="43">
        <f>X343+Учет!$D344-S344</f>
        <v>500</v>
      </c>
      <c r="Y344" s="43">
        <f>Y343+Учет!$E344-T344</f>
        <v>1150</v>
      </c>
      <c r="Z344" s="43">
        <f>Z343+Учет!$F344-U344</f>
        <v>500000</v>
      </c>
      <c r="AA344" s="45">
        <f>Учет!$I344</f>
        <v>349526.07999999996</v>
      </c>
    </row>
    <row r="345" spans="1:27" ht="15" customHeight="1" x14ac:dyDescent="0.25">
      <c r="A345" s="1"/>
      <c r="B345" s="17"/>
      <c r="C345" s="17"/>
      <c r="D345" s="17"/>
      <c r="E345" s="17"/>
      <c r="F345" s="17"/>
      <c r="G345" s="4">
        <f t="shared" si="12"/>
        <v>0</v>
      </c>
      <c r="H345" s="17"/>
      <c r="I345" s="4">
        <f t="shared" si="14"/>
        <v>349526.07999999996</v>
      </c>
      <c r="J345" s="32" t="str">
        <f t="shared" si="13"/>
        <v/>
      </c>
      <c r="K345" s="72"/>
      <c r="L345" s="72"/>
      <c r="M345" s="2"/>
      <c r="N345" s="5"/>
      <c r="O345" s="3"/>
      <c r="P345" s="6"/>
      <c r="Q345" s="48">
        <f>IF(Учет!$O345=Справочники!$F$2,Учет!$H345,0)</f>
        <v>0</v>
      </c>
      <c r="R345" s="48">
        <f>IF(Учет!$O345=Справочники!$F$3,Учет!$H345,0)</f>
        <v>0</v>
      </c>
      <c r="S345" s="48">
        <f>IF(Учет!$O345=Справочники!$F$4,Учет!$H345,0)</f>
        <v>0</v>
      </c>
      <c r="T345" s="48">
        <f>IF(Учет!$O345=Справочники!$F$5,Учет!$H345,0)</f>
        <v>0</v>
      </c>
      <c r="U345" s="48">
        <f>IF(Учет!$O345=Справочники!$F$6,Учет!$H345,0)</f>
        <v>0</v>
      </c>
      <c r="V345" s="43">
        <f>V344+Учет!$B345-Q345</f>
        <v>-488978.92000000004</v>
      </c>
      <c r="W345" s="43">
        <f>W344+Учет!$C345-R345</f>
        <v>336855</v>
      </c>
      <c r="X345" s="43">
        <f>X344+Учет!$D345-S345</f>
        <v>500</v>
      </c>
      <c r="Y345" s="43">
        <f>Y344+Учет!$E345-T345</f>
        <v>1150</v>
      </c>
      <c r="Z345" s="43">
        <f>Z344+Учет!$F345-U345</f>
        <v>500000</v>
      </c>
      <c r="AA345" s="45">
        <f>Учет!$I345</f>
        <v>349526.07999999996</v>
      </c>
    </row>
    <row r="346" spans="1:27" ht="15" customHeight="1" x14ac:dyDescent="0.25">
      <c r="A346" s="1"/>
      <c r="B346" s="17"/>
      <c r="C346" s="17"/>
      <c r="D346" s="17"/>
      <c r="E346" s="17"/>
      <c r="F346" s="17"/>
      <c r="G346" s="4">
        <f t="shared" si="12"/>
        <v>0</v>
      </c>
      <c r="H346" s="17"/>
      <c r="I346" s="4">
        <f t="shared" si="14"/>
        <v>349526.07999999996</v>
      </c>
      <c r="J346" s="32" t="str">
        <f t="shared" si="13"/>
        <v/>
      </c>
      <c r="K346" s="72"/>
      <c r="L346" s="72"/>
      <c r="M346" s="2"/>
      <c r="N346" s="5"/>
      <c r="O346" s="3"/>
      <c r="P346" s="6"/>
      <c r="Q346" s="48">
        <f>IF(Учет!$O346=Справочники!$F$2,Учет!$H346,0)</f>
        <v>0</v>
      </c>
      <c r="R346" s="48">
        <f>IF(Учет!$O346=Справочники!$F$3,Учет!$H346,0)</f>
        <v>0</v>
      </c>
      <c r="S346" s="48">
        <f>IF(Учет!$O346=Справочники!$F$4,Учет!$H346,0)</f>
        <v>0</v>
      </c>
      <c r="T346" s="48">
        <f>IF(Учет!$O346=Справочники!$F$5,Учет!$H346,0)</f>
        <v>0</v>
      </c>
      <c r="U346" s="48">
        <f>IF(Учет!$O346=Справочники!$F$6,Учет!$H346,0)</f>
        <v>0</v>
      </c>
      <c r="V346" s="43">
        <f>V345+Учет!$B346-Q346</f>
        <v>-488978.92000000004</v>
      </c>
      <c r="W346" s="43">
        <f>W345+Учет!$C346-R346</f>
        <v>336855</v>
      </c>
      <c r="X346" s="43">
        <f>X345+Учет!$D346-S346</f>
        <v>500</v>
      </c>
      <c r="Y346" s="43">
        <f>Y345+Учет!$E346-T346</f>
        <v>1150</v>
      </c>
      <c r="Z346" s="43">
        <f>Z345+Учет!$F346-U346</f>
        <v>500000</v>
      </c>
      <c r="AA346" s="45">
        <f>Учет!$I346</f>
        <v>349526.07999999996</v>
      </c>
    </row>
    <row r="347" spans="1:27" ht="15" customHeight="1" x14ac:dyDescent="0.25">
      <c r="A347" s="1"/>
      <c r="B347" s="17"/>
      <c r="C347" s="17"/>
      <c r="D347" s="17"/>
      <c r="E347" s="17"/>
      <c r="F347" s="17"/>
      <c r="G347" s="4">
        <f t="shared" si="12"/>
        <v>0</v>
      </c>
      <c r="H347" s="17"/>
      <c r="I347" s="4">
        <f t="shared" si="14"/>
        <v>349526.07999999996</v>
      </c>
      <c r="J347" s="32" t="str">
        <f t="shared" si="13"/>
        <v/>
      </c>
      <c r="K347" s="72"/>
      <c r="L347" s="72"/>
      <c r="M347" s="2"/>
      <c r="N347" s="5"/>
      <c r="O347" s="3"/>
      <c r="P347" s="6"/>
      <c r="Q347" s="48">
        <f>IF(Учет!$O347=Справочники!$F$2,Учет!$H347,0)</f>
        <v>0</v>
      </c>
      <c r="R347" s="48">
        <f>IF(Учет!$O347=Справочники!$F$3,Учет!$H347,0)</f>
        <v>0</v>
      </c>
      <c r="S347" s="48">
        <f>IF(Учет!$O347=Справочники!$F$4,Учет!$H347,0)</f>
        <v>0</v>
      </c>
      <c r="T347" s="48">
        <f>IF(Учет!$O347=Справочники!$F$5,Учет!$H347,0)</f>
        <v>0</v>
      </c>
      <c r="U347" s="48">
        <f>IF(Учет!$O347=Справочники!$F$6,Учет!$H347,0)</f>
        <v>0</v>
      </c>
      <c r="V347" s="43">
        <f>V346+Учет!$B347-Q347</f>
        <v>-488978.92000000004</v>
      </c>
      <c r="W347" s="43">
        <f>W346+Учет!$C347-R347</f>
        <v>336855</v>
      </c>
      <c r="X347" s="43">
        <f>X346+Учет!$D347-S347</f>
        <v>500</v>
      </c>
      <c r="Y347" s="43">
        <f>Y346+Учет!$E347-T347</f>
        <v>1150</v>
      </c>
      <c r="Z347" s="43">
        <f>Z346+Учет!$F347-U347</f>
        <v>500000</v>
      </c>
      <c r="AA347" s="45">
        <f>Учет!$I347</f>
        <v>349526.07999999996</v>
      </c>
    </row>
    <row r="348" spans="1:27" ht="15" customHeight="1" x14ac:dyDescent="0.25">
      <c r="A348" s="1"/>
      <c r="B348" s="17"/>
      <c r="C348" s="17"/>
      <c r="D348" s="17"/>
      <c r="E348" s="17"/>
      <c r="F348" s="17"/>
      <c r="G348" s="4">
        <f t="shared" si="12"/>
        <v>0</v>
      </c>
      <c r="H348" s="17"/>
      <c r="I348" s="4">
        <f t="shared" si="14"/>
        <v>349526.07999999996</v>
      </c>
      <c r="J348" s="32" t="str">
        <f t="shared" si="13"/>
        <v/>
      </c>
      <c r="K348" s="72"/>
      <c r="L348" s="72"/>
      <c r="M348" s="2"/>
      <c r="N348" s="5"/>
      <c r="O348" s="3"/>
      <c r="P348" s="6"/>
      <c r="Q348" s="48">
        <f>IF(Учет!$O348=Справочники!$F$2,Учет!$H348,0)</f>
        <v>0</v>
      </c>
      <c r="R348" s="48">
        <f>IF(Учет!$O348=Справочники!$F$3,Учет!$H348,0)</f>
        <v>0</v>
      </c>
      <c r="S348" s="48">
        <f>IF(Учет!$O348=Справочники!$F$4,Учет!$H348,0)</f>
        <v>0</v>
      </c>
      <c r="T348" s="48">
        <f>IF(Учет!$O348=Справочники!$F$5,Учет!$H348,0)</f>
        <v>0</v>
      </c>
      <c r="U348" s="48">
        <f>IF(Учет!$O348=Справочники!$F$6,Учет!$H348,0)</f>
        <v>0</v>
      </c>
      <c r="V348" s="43">
        <f>V347+Учет!$B348-Q348</f>
        <v>-488978.92000000004</v>
      </c>
      <c r="W348" s="43">
        <f>W347+Учет!$C348-R348</f>
        <v>336855</v>
      </c>
      <c r="X348" s="43">
        <f>X347+Учет!$D348-S348</f>
        <v>500</v>
      </c>
      <c r="Y348" s="43">
        <f>Y347+Учет!$E348-T348</f>
        <v>1150</v>
      </c>
      <c r="Z348" s="43">
        <f>Z347+Учет!$F348-U348</f>
        <v>500000</v>
      </c>
      <c r="AA348" s="45">
        <f>Учет!$I348</f>
        <v>349526.07999999996</v>
      </c>
    </row>
    <row r="349" spans="1:27" ht="15" customHeight="1" x14ac:dyDescent="0.25">
      <c r="A349" s="1"/>
      <c r="B349" s="17"/>
      <c r="C349" s="17"/>
      <c r="D349" s="17"/>
      <c r="E349" s="17"/>
      <c r="F349" s="17"/>
      <c r="G349" s="4">
        <f t="shared" si="12"/>
        <v>0</v>
      </c>
      <c r="H349" s="17"/>
      <c r="I349" s="4">
        <f t="shared" si="14"/>
        <v>349526.07999999996</v>
      </c>
      <c r="J349" s="32" t="str">
        <f t="shared" si="13"/>
        <v/>
      </c>
      <c r="K349" s="72"/>
      <c r="L349" s="72"/>
      <c r="M349" s="2"/>
      <c r="N349" s="5"/>
      <c r="O349" s="3"/>
      <c r="P349" s="6"/>
      <c r="Q349" s="48">
        <f>IF(Учет!$O349=Справочники!$F$2,Учет!$H349,0)</f>
        <v>0</v>
      </c>
      <c r="R349" s="48">
        <f>IF(Учет!$O349=Справочники!$F$3,Учет!$H349,0)</f>
        <v>0</v>
      </c>
      <c r="S349" s="48">
        <f>IF(Учет!$O349=Справочники!$F$4,Учет!$H349,0)</f>
        <v>0</v>
      </c>
      <c r="T349" s="48">
        <f>IF(Учет!$O349=Справочники!$F$5,Учет!$H349,0)</f>
        <v>0</v>
      </c>
      <c r="U349" s="48">
        <f>IF(Учет!$O349=Справочники!$F$6,Учет!$H349,0)</f>
        <v>0</v>
      </c>
      <c r="V349" s="43">
        <f>V348+Учет!$B349-Q349</f>
        <v>-488978.92000000004</v>
      </c>
      <c r="W349" s="43">
        <f>W348+Учет!$C349-R349</f>
        <v>336855</v>
      </c>
      <c r="X349" s="43">
        <f>X348+Учет!$D349-S349</f>
        <v>500</v>
      </c>
      <c r="Y349" s="43">
        <f>Y348+Учет!$E349-T349</f>
        <v>1150</v>
      </c>
      <c r="Z349" s="43">
        <f>Z348+Учет!$F349-U349</f>
        <v>500000</v>
      </c>
      <c r="AA349" s="45">
        <f>Учет!$I349</f>
        <v>349526.07999999996</v>
      </c>
    </row>
    <row r="350" spans="1:27" ht="15" customHeight="1" x14ac:dyDescent="0.25">
      <c r="A350" s="1"/>
      <c r="B350" s="17"/>
      <c r="C350" s="17"/>
      <c r="D350" s="17"/>
      <c r="E350" s="17"/>
      <c r="F350" s="17"/>
      <c r="G350" s="4">
        <f t="shared" si="12"/>
        <v>0</v>
      </c>
      <c r="H350" s="17"/>
      <c r="I350" s="4">
        <f t="shared" si="14"/>
        <v>349526.07999999996</v>
      </c>
      <c r="J350" s="32" t="str">
        <f t="shared" si="13"/>
        <v/>
      </c>
      <c r="K350" s="72"/>
      <c r="L350" s="72"/>
      <c r="M350" s="2"/>
      <c r="N350" s="5"/>
      <c r="O350" s="3"/>
      <c r="P350" s="6"/>
      <c r="Q350" s="48">
        <f>IF(Учет!$O350=Справочники!$F$2,Учет!$H350,0)</f>
        <v>0</v>
      </c>
      <c r="R350" s="48">
        <f>IF(Учет!$O350=Справочники!$F$3,Учет!$H350,0)</f>
        <v>0</v>
      </c>
      <c r="S350" s="48">
        <f>IF(Учет!$O350=Справочники!$F$4,Учет!$H350,0)</f>
        <v>0</v>
      </c>
      <c r="T350" s="48">
        <f>IF(Учет!$O350=Справочники!$F$5,Учет!$H350,0)</f>
        <v>0</v>
      </c>
      <c r="U350" s="48">
        <f>IF(Учет!$O350=Справочники!$F$6,Учет!$H350,0)</f>
        <v>0</v>
      </c>
      <c r="V350" s="43">
        <f>V349+Учет!$B350-Q350</f>
        <v>-488978.92000000004</v>
      </c>
      <c r="W350" s="43">
        <f>W349+Учет!$C350-R350</f>
        <v>336855</v>
      </c>
      <c r="X350" s="43">
        <f>X349+Учет!$D350-S350</f>
        <v>500</v>
      </c>
      <c r="Y350" s="43">
        <f>Y349+Учет!$E350-T350</f>
        <v>1150</v>
      </c>
      <c r="Z350" s="43">
        <f>Z349+Учет!$F350-U350</f>
        <v>500000</v>
      </c>
      <c r="AA350" s="45">
        <f>Учет!$I350</f>
        <v>349526.07999999996</v>
      </c>
    </row>
    <row r="351" spans="1:27" ht="15" customHeight="1" x14ac:dyDescent="0.25">
      <c r="A351" s="1"/>
      <c r="B351" s="17"/>
      <c r="C351" s="17"/>
      <c r="D351" s="17"/>
      <c r="E351" s="17"/>
      <c r="F351" s="17"/>
      <c r="G351" s="4">
        <f t="shared" si="12"/>
        <v>0</v>
      </c>
      <c r="H351" s="17"/>
      <c r="I351" s="4">
        <f t="shared" si="14"/>
        <v>349526.07999999996</v>
      </c>
      <c r="J351" s="32" t="str">
        <f t="shared" si="13"/>
        <v/>
      </c>
      <c r="K351" s="72"/>
      <c r="L351" s="72"/>
      <c r="M351" s="2"/>
      <c r="N351" s="5"/>
      <c r="O351" s="3"/>
      <c r="P351" s="6"/>
      <c r="Q351" s="48">
        <f>IF(Учет!$O351=Справочники!$F$2,Учет!$H351,0)</f>
        <v>0</v>
      </c>
      <c r="R351" s="48">
        <f>IF(Учет!$O351=Справочники!$F$3,Учет!$H351,0)</f>
        <v>0</v>
      </c>
      <c r="S351" s="48">
        <f>IF(Учет!$O351=Справочники!$F$4,Учет!$H351,0)</f>
        <v>0</v>
      </c>
      <c r="T351" s="48">
        <f>IF(Учет!$O351=Справочники!$F$5,Учет!$H351,0)</f>
        <v>0</v>
      </c>
      <c r="U351" s="48">
        <f>IF(Учет!$O351=Справочники!$F$6,Учет!$H351,0)</f>
        <v>0</v>
      </c>
      <c r="V351" s="43">
        <f>V350+Учет!$B351-Q351</f>
        <v>-488978.92000000004</v>
      </c>
      <c r="W351" s="43">
        <f>W350+Учет!$C351-R351</f>
        <v>336855</v>
      </c>
      <c r="X351" s="43">
        <f>X350+Учет!$D351-S351</f>
        <v>500</v>
      </c>
      <c r="Y351" s="43">
        <f>Y350+Учет!$E351-T351</f>
        <v>1150</v>
      </c>
      <c r="Z351" s="43">
        <f>Z350+Учет!$F351-U351</f>
        <v>500000</v>
      </c>
      <c r="AA351" s="45">
        <f>Учет!$I351</f>
        <v>349526.07999999996</v>
      </c>
    </row>
    <row r="352" spans="1:27" ht="15" customHeight="1" x14ac:dyDescent="0.25">
      <c r="A352" s="1"/>
      <c r="B352" s="17"/>
      <c r="C352" s="17"/>
      <c r="D352" s="17"/>
      <c r="E352" s="17"/>
      <c r="F352" s="17"/>
      <c r="G352" s="4">
        <f t="shared" si="12"/>
        <v>0</v>
      </c>
      <c r="H352" s="17"/>
      <c r="I352" s="4">
        <f t="shared" si="14"/>
        <v>349526.07999999996</v>
      </c>
      <c r="J352" s="32" t="str">
        <f t="shared" si="13"/>
        <v/>
      </c>
      <c r="K352" s="72"/>
      <c r="L352" s="72"/>
      <c r="M352" s="2"/>
      <c r="N352" s="5"/>
      <c r="O352" s="3"/>
      <c r="P352" s="6"/>
      <c r="Q352" s="48">
        <f>IF(Учет!$O352=Справочники!$F$2,Учет!$H352,0)</f>
        <v>0</v>
      </c>
      <c r="R352" s="48">
        <f>IF(Учет!$O352=Справочники!$F$3,Учет!$H352,0)</f>
        <v>0</v>
      </c>
      <c r="S352" s="48">
        <f>IF(Учет!$O352=Справочники!$F$4,Учет!$H352,0)</f>
        <v>0</v>
      </c>
      <c r="T352" s="48">
        <f>IF(Учет!$O352=Справочники!$F$5,Учет!$H352,0)</f>
        <v>0</v>
      </c>
      <c r="U352" s="48">
        <f>IF(Учет!$O352=Справочники!$F$6,Учет!$H352,0)</f>
        <v>0</v>
      </c>
      <c r="V352" s="43">
        <f>V351+Учет!$B352-Q352</f>
        <v>-488978.92000000004</v>
      </c>
      <c r="W352" s="43">
        <f>W351+Учет!$C352-R352</f>
        <v>336855</v>
      </c>
      <c r="X352" s="43">
        <f>X351+Учет!$D352-S352</f>
        <v>500</v>
      </c>
      <c r="Y352" s="43">
        <f>Y351+Учет!$E352-T352</f>
        <v>1150</v>
      </c>
      <c r="Z352" s="43">
        <f>Z351+Учет!$F352-U352</f>
        <v>500000</v>
      </c>
      <c r="AA352" s="45">
        <f>Учет!$I352</f>
        <v>349526.07999999996</v>
      </c>
    </row>
    <row r="353" spans="1:27" ht="15" customHeight="1" x14ac:dyDescent="0.25">
      <c r="A353" s="1"/>
      <c r="B353" s="17"/>
      <c r="C353" s="17"/>
      <c r="D353" s="17"/>
      <c r="E353" s="17"/>
      <c r="F353" s="17"/>
      <c r="G353" s="4">
        <f t="shared" si="12"/>
        <v>0</v>
      </c>
      <c r="H353" s="17"/>
      <c r="I353" s="4">
        <f t="shared" si="14"/>
        <v>349526.07999999996</v>
      </c>
      <c r="J353" s="32" t="str">
        <f t="shared" si="13"/>
        <v/>
      </c>
      <c r="K353" s="72"/>
      <c r="L353" s="72"/>
      <c r="M353" s="2"/>
      <c r="N353" s="5"/>
      <c r="O353" s="3"/>
      <c r="P353" s="6"/>
      <c r="Q353" s="48">
        <f>IF(Учет!$O353=Справочники!$F$2,Учет!$H353,0)</f>
        <v>0</v>
      </c>
      <c r="R353" s="48">
        <f>IF(Учет!$O353=Справочники!$F$3,Учет!$H353,0)</f>
        <v>0</v>
      </c>
      <c r="S353" s="48">
        <f>IF(Учет!$O353=Справочники!$F$4,Учет!$H353,0)</f>
        <v>0</v>
      </c>
      <c r="T353" s="48">
        <f>IF(Учет!$O353=Справочники!$F$5,Учет!$H353,0)</f>
        <v>0</v>
      </c>
      <c r="U353" s="48">
        <f>IF(Учет!$O353=Справочники!$F$6,Учет!$H353,0)</f>
        <v>0</v>
      </c>
      <c r="V353" s="43">
        <f>V352+Учет!$B353-Q353</f>
        <v>-488978.92000000004</v>
      </c>
      <c r="W353" s="43">
        <f>W352+Учет!$C353-R353</f>
        <v>336855</v>
      </c>
      <c r="X353" s="43">
        <f>X352+Учет!$D353-S353</f>
        <v>500</v>
      </c>
      <c r="Y353" s="43">
        <f>Y352+Учет!$E353-T353</f>
        <v>1150</v>
      </c>
      <c r="Z353" s="43">
        <f>Z352+Учет!$F353-U353</f>
        <v>500000</v>
      </c>
      <c r="AA353" s="45">
        <f>Учет!$I353</f>
        <v>349526.07999999996</v>
      </c>
    </row>
    <row r="354" spans="1:27" ht="15" customHeight="1" x14ac:dyDescent="0.25">
      <c r="A354" s="1"/>
      <c r="B354" s="17"/>
      <c r="C354" s="17"/>
      <c r="D354" s="17"/>
      <c r="E354" s="17"/>
      <c r="F354" s="17"/>
      <c r="G354" s="4">
        <f t="shared" si="12"/>
        <v>0</v>
      </c>
      <c r="H354" s="17"/>
      <c r="I354" s="4">
        <f t="shared" si="14"/>
        <v>349526.07999999996</v>
      </c>
      <c r="J354" s="32" t="str">
        <f t="shared" si="13"/>
        <v/>
      </c>
      <c r="K354" s="72"/>
      <c r="L354" s="72"/>
      <c r="M354" s="2"/>
      <c r="N354" s="5"/>
      <c r="O354" s="3"/>
      <c r="P354" s="6"/>
      <c r="Q354" s="48">
        <f>IF(Учет!$O354=Справочники!$F$2,Учет!$H354,0)</f>
        <v>0</v>
      </c>
      <c r="R354" s="48">
        <f>IF(Учет!$O354=Справочники!$F$3,Учет!$H354,0)</f>
        <v>0</v>
      </c>
      <c r="S354" s="48">
        <f>IF(Учет!$O354=Справочники!$F$4,Учет!$H354,0)</f>
        <v>0</v>
      </c>
      <c r="T354" s="48">
        <f>IF(Учет!$O354=Справочники!$F$5,Учет!$H354,0)</f>
        <v>0</v>
      </c>
      <c r="U354" s="48">
        <f>IF(Учет!$O354=Справочники!$F$6,Учет!$H354,0)</f>
        <v>0</v>
      </c>
      <c r="V354" s="43">
        <f>V353+Учет!$B354-Q354</f>
        <v>-488978.92000000004</v>
      </c>
      <c r="W354" s="43">
        <f>W353+Учет!$C354-R354</f>
        <v>336855</v>
      </c>
      <c r="X354" s="43">
        <f>X353+Учет!$D354-S354</f>
        <v>500</v>
      </c>
      <c r="Y354" s="43">
        <f>Y353+Учет!$E354-T354</f>
        <v>1150</v>
      </c>
      <c r="Z354" s="43">
        <f>Z353+Учет!$F354-U354</f>
        <v>500000</v>
      </c>
      <c r="AA354" s="45">
        <f>Учет!$I354</f>
        <v>349526.07999999996</v>
      </c>
    </row>
    <row r="355" spans="1:27" ht="15" customHeight="1" x14ac:dyDescent="0.25">
      <c r="A355" s="1"/>
      <c r="B355" s="17"/>
      <c r="C355" s="17"/>
      <c r="D355" s="17"/>
      <c r="E355" s="17"/>
      <c r="F355" s="17"/>
      <c r="G355" s="4">
        <f t="shared" si="12"/>
        <v>0</v>
      </c>
      <c r="H355" s="17"/>
      <c r="I355" s="4">
        <f t="shared" si="14"/>
        <v>349526.07999999996</v>
      </c>
      <c r="J355" s="32" t="str">
        <f t="shared" si="13"/>
        <v/>
      </c>
      <c r="K355" s="72"/>
      <c r="L355" s="72"/>
      <c r="M355" s="2"/>
      <c r="N355" s="5"/>
      <c r="O355" s="3"/>
      <c r="P355" s="6"/>
      <c r="Q355" s="48">
        <f>IF(Учет!$O355=Справочники!$F$2,Учет!$H355,0)</f>
        <v>0</v>
      </c>
      <c r="R355" s="48">
        <f>IF(Учет!$O355=Справочники!$F$3,Учет!$H355,0)</f>
        <v>0</v>
      </c>
      <c r="S355" s="48">
        <f>IF(Учет!$O355=Справочники!$F$4,Учет!$H355,0)</f>
        <v>0</v>
      </c>
      <c r="T355" s="48">
        <f>IF(Учет!$O355=Справочники!$F$5,Учет!$H355,0)</f>
        <v>0</v>
      </c>
      <c r="U355" s="48">
        <f>IF(Учет!$O355=Справочники!$F$6,Учет!$H355,0)</f>
        <v>0</v>
      </c>
      <c r="V355" s="43">
        <f>V354+Учет!$B355-Q355</f>
        <v>-488978.92000000004</v>
      </c>
      <c r="W355" s="43">
        <f>W354+Учет!$C355-R355</f>
        <v>336855</v>
      </c>
      <c r="X355" s="43">
        <f>X354+Учет!$D355-S355</f>
        <v>500</v>
      </c>
      <c r="Y355" s="43">
        <f>Y354+Учет!$E355-T355</f>
        <v>1150</v>
      </c>
      <c r="Z355" s="43">
        <f>Z354+Учет!$F355-U355</f>
        <v>500000</v>
      </c>
      <c r="AA355" s="45">
        <f>Учет!$I355</f>
        <v>349526.07999999996</v>
      </c>
    </row>
    <row r="356" spans="1:27" ht="15" customHeight="1" x14ac:dyDescent="0.25">
      <c r="A356" s="1"/>
      <c r="B356" s="17"/>
      <c r="C356" s="17"/>
      <c r="D356" s="17"/>
      <c r="E356" s="17"/>
      <c r="F356" s="17"/>
      <c r="G356" s="4">
        <f t="shared" si="12"/>
        <v>0</v>
      </c>
      <c r="H356" s="17"/>
      <c r="I356" s="4">
        <f t="shared" si="14"/>
        <v>349526.07999999996</v>
      </c>
      <c r="J356" s="32" t="str">
        <f t="shared" si="13"/>
        <v/>
      </c>
      <c r="K356" s="72"/>
      <c r="L356" s="72"/>
      <c r="M356" s="2"/>
      <c r="N356" s="5"/>
      <c r="O356" s="3"/>
      <c r="P356" s="6"/>
      <c r="Q356" s="48">
        <f>IF(Учет!$O356=Справочники!$F$2,Учет!$H356,0)</f>
        <v>0</v>
      </c>
      <c r="R356" s="48">
        <f>IF(Учет!$O356=Справочники!$F$3,Учет!$H356,0)</f>
        <v>0</v>
      </c>
      <c r="S356" s="48">
        <f>IF(Учет!$O356=Справочники!$F$4,Учет!$H356,0)</f>
        <v>0</v>
      </c>
      <c r="T356" s="48">
        <f>IF(Учет!$O356=Справочники!$F$5,Учет!$H356,0)</f>
        <v>0</v>
      </c>
      <c r="U356" s="48">
        <f>IF(Учет!$O356=Справочники!$F$6,Учет!$H356,0)</f>
        <v>0</v>
      </c>
      <c r="V356" s="43">
        <f>V355+Учет!$B356-Q356</f>
        <v>-488978.92000000004</v>
      </c>
      <c r="W356" s="43">
        <f>W355+Учет!$C356-R356</f>
        <v>336855</v>
      </c>
      <c r="X356" s="43">
        <f>X355+Учет!$D356-S356</f>
        <v>500</v>
      </c>
      <c r="Y356" s="43">
        <f>Y355+Учет!$E356-T356</f>
        <v>1150</v>
      </c>
      <c r="Z356" s="43">
        <f>Z355+Учет!$F356-U356</f>
        <v>500000</v>
      </c>
      <c r="AA356" s="45">
        <f>Учет!$I356</f>
        <v>349526.07999999996</v>
      </c>
    </row>
    <row r="357" spans="1:27" ht="15" customHeight="1" x14ac:dyDescent="0.25">
      <c r="A357" s="1"/>
      <c r="B357" s="17"/>
      <c r="C357" s="17"/>
      <c r="D357" s="17"/>
      <c r="E357" s="17"/>
      <c r="F357" s="17"/>
      <c r="G357" s="4">
        <f t="shared" si="12"/>
        <v>0</v>
      </c>
      <c r="H357" s="17"/>
      <c r="I357" s="4">
        <f t="shared" si="14"/>
        <v>349526.07999999996</v>
      </c>
      <c r="J357" s="32" t="str">
        <f t="shared" si="13"/>
        <v/>
      </c>
      <c r="K357" s="72"/>
      <c r="L357" s="72"/>
      <c r="M357" s="2"/>
      <c r="N357" s="5"/>
      <c r="O357" s="3"/>
      <c r="P357" s="6"/>
      <c r="Q357" s="48">
        <f>IF(Учет!$O357=Справочники!$F$2,Учет!$H357,0)</f>
        <v>0</v>
      </c>
      <c r="R357" s="48">
        <f>IF(Учет!$O357=Справочники!$F$3,Учет!$H357,0)</f>
        <v>0</v>
      </c>
      <c r="S357" s="48">
        <f>IF(Учет!$O357=Справочники!$F$4,Учет!$H357,0)</f>
        <v>0</v>
      </c>
      <c r="T357" s="48">
        <f>IF(Учет!$O357=Справочники!$F$5,Учет!$H357,0)</f>
        <v>0</v>
      </c>
      <c r="U357" s="48">
        <f>IF(Учет!$O357=Справочники!$F$6,Учет!$H357,0)</f>
        <v>0</v>
      </c>
      <c r="V357" s="43">
        <f>V356+Учет!$B357-Q357</f>
        <v>-488978.92000000004</v>
      </c>
      <c r="W357" s="43">
        <f>W356+Учет!$C357-R357</f>
        <v>336855</v>
      </c>
      <c r="X357" s="43">
        <f>X356+Учет!$D357-S357</f>
        <v>500</v>
      </c>
      <c r="Y357" s="43">
        <f>Y356+Учет!$E357-T357</f>
        <v>1150</v>
      </c>
      <c r="Z357" s="43">
        <f>Z356+Учет!$F357-U357</f>
        <v>500000</v>
      </c>
      <c r="AA357" s="45">
        <f>Учет!$I357</f>
        <v>349526.07999999996</v>
      </c>
    </row>
    <row r="358" spans="1:27" ht="15" customHeight="1" x14ac:dyDescent="0.25">
      <c r="A358" s="1"/>
      <c r="B358" s="17"/>
      <c r="C358" s="17"/>
      <c r="D358" s="17"/>
      <c r="E358" s="17"/>
      <c r="F358" s="17"/>
      <c r="G358" s="4">
        <f t="shared" si="12"/>
        <v>0</v>
      </c>
      <c r="H358" s="17"/>
      <c r="I358" s="4">
        <f t="shared" si="14"/>
        <v>349526.07999999996</v>
      </c>
      <c r="J358" s="32" t="str">
        <f t="shared" si="13"/>
        <v/>
      </c>
      <c r="K358" s="72"/>
      <c r="L358" s="72"/>
      <c r="M358" s="2"/>
      <c r="N358" s="5"/>
      <c r="O358" s="3"/>
      <c r="P358" s="6"/>
      <c r="Q358" s="48">
        <f>IF(Учет!$O358=Справочники!$F$2,Учет!$H358,0)</f>
        <v>0</v>
      </c>
      <c r="R358" s="48">
        <f>IF(Учет!$O358=Справочники!$F$3,Учет!$H358,0)</f>
        <v>0</v>
      </c>
      <c r="S358" s="48">
        <f>IF(Учет!$O358=Справочники!$F$4,Учет!$H358,0)</f>
        <v>0</v>
      </c>
      <c r="T358" s="48">
        <f>IF(Учет!$O358=Справочники!$F$5,Учет!$H358,0)</f>
        <v>0</v>
      </c>
      <c r="U358" s="48">
        <f>IF(Учет!$O358=Справочники!$F$6,Учет!$H358,0)</f>
        <v>0</v>
      </c>
      <c r="V358" s="43">
        <f>V357+Учет!$B358-Q358</f>
        <v>-488978.92000000004</v>
      </c>
      <c r="W358" s="43">
        <f>W357+Учет!$C358-R358</f>
        <v>336855</v>
      </c>
      <c r="X358" s="43">
        <f>X357+Учет!$D358-S358</f>
        <v>500</v>
      </c>
      <c r="Y358" s="43">
        <f>Y357+Учет!$E358-T358</f>
        <v>1150</v>
      </c>
      <c r="Z358" s="43">
        <f>Z357+Учет!$F358-U358</f>
        <v>500000</v>
      </c>
      <c r="AA358" s="45">
        <f>Учет!$I358</f>
        <v>349526.07999999996</v>
      </c>
    </row>
    <row r="359" spans="1:27" ht="15" customHeight="1" x14ac:dyDescent="0.25">
      <c r="A359" s="1"/>
      <c r="B359" s="17"/>
      <c r="C359" s="17"/>
      <c r="D359" s="17"/>
      <c r="E359" s="17"/>
      <c r="F359" s="17"/>
      <c r="G359" s="4">
        <f t="shared" si="12"/>
        <v>0</v>
      </c>
      <c r="H359" s="17"/>
      <c r="I359" s="4">
        <f t="shared" si="14"/>
        <v>349526.07999999996</v>
      </c>
      <c r="J359" s="32" t="str">
        <f t="shared" si="13"/>
        <v/>
      </c>
      <c r="K359" s="72"/>
      <c r="L359" s="72"/>
      <c r="M359" s="2"/>
      <c r="N359" s="5"/>
      <c r="O359" s="3"/>
      <c r="P359" s="6"/>
      <c r="Q359" s="48">
        <f>IF(Учет!$O359=Справочники!$F$2,Учет!$H359,0)</f>
        <v>0</v>
      </c>
      <c r="R359" s="48">
        <f>IF(Учет!$O359=Справочники!$F$3,Учет!$H359,0)</f>
        <v>0</v>
      </c>
      <c r="S359" s="48">
        <f>IF(Учет!$O359=Справочники!$F$4,Учет!$H359,0)</f>
        <v>0</v>
      </c>
      <c r="T359" s="48">
        <f>IF(Учет!$O359=Справочники!$F$5,Учет!$H359,0)</f>
        <v>0</v>
      </c>
      <c r="U359" s="48">
        <f>IF(Учет!$O359=Справочники!$F$6,Учет!$H359,0)</f>
        <v>0</v>
      </c>
      <c r="V359" s="43">
        <f>V358+Учет!$B359-Q359</f>
        <v>-488978.92000000004</v>
      </c>
      <c r="W359" s="43">
        <f>W358+Учет!$C359-R359</f>
        <v>336855</v>
      </c>
      <c r="X359" s="43">
        <f>X358+Учет!$D359-S359</f>
        <v>500</v>
      </c>
      <c r="Y359" s="43">
        <f>Y358+Учет!$E359-T359</f>
        <v>1150</v>
      </c>
      <c r="Z359" s="43">
        <f>Z358+Учет!$F359-U359</f>
        <v>500000</v>
      </c>
      <c r="AA359" s="45">
        <f>Учет!$I359</f>
        <v>349526.07999999996</v>
      </c>
    </row>
    <row r="360" spans="1:27" ht="15" customHeight="1" x14ac:dyDescent="0.25">
      <c r="A360" s="1"/>
      <c r="B360" s="17"/>
      <c r="C360" s="17"/>
      <c r="D360" s="17"/>
      <c r="E360" s="17"/>
      <c r="F360" s="17"/>
      <c r="G360" s="4">
        <f t="shared" si="12"/>
        <v>0</v>
      </c>
      <c r="H360" s="17"/>
      <c r="I360" s="4">
        <f t="shared" si="14"/>
        <v>349526.07999999996</v>
      </c>
      <c r="J360" s="32" t="str">
        <f t="shared" si="13"/>
        <v/>
      </c>
      <c r="K360" s="72"/>
      <c r="L360" s="72"/>
      <c r="M360" s="2"/>
      <c r="N360" s="5"/>
      <c r="O360" s="3"/>
      <c r="P360" s="6"/>
      <c r="Q360" s="48">
        <f>IF(Учет!$O360=Справочники!$F$2,Учет!$H360,0)</f>
        <v>0</v>
      </c>
      <c r="R360" s="48">
        <f>IF(Учет!$O360=Справочники!$F$3,Учет!$H360,0)</f>
        <v>0</v>
      </c>
      <c r="S360" s="48">
        <f>IF(Учет!$O360=Справочники!$F$4,Учет!$H360,0)</f>
        <v>0</v>
      </c>
      <c r="T360" s="48">
        <f>IF(Учет!$O360=Справочники!$F$5,Учет!$H360,0)</f>
        <v>0</v>
      </c>
      <c r="U360" s="48">
        <f>IF(Учет!$O360=Справочники!$F$6,Учет!$H360,0)</f>
        <v>0</v>
      </c>
      <c r="V360" s="43">
        <f>V359+Учет!$B360-Q360</f>
        <v>-488978.92000000004</v>
      </c>
      <c r="W360" s="43">
        <f>W359+Учет!$C360-R360</f>
        <v>336855</v>
      </c>
      <c r="X360" s="43">
        <f>X359+Учет!$D360-S360</f>
        <v>500</v>
      </c>
      <c r="Y360" s="43">
        <f>Y359+Учет!$E360-T360</f>
        <v>1150</v>
      </c>
      <c r="Z360" s="43">
        <f>Z359+Учет!$F360-U360</f>
        <v>500000</v>
      </c>
      <c r="AA360" s="45">
        <f>Учет!$I360</f>
        <v>349526.07999999996</v>
      </c>
    </row>
    <row r="361" spans="1:27" ht="15" customHeight="1" x14ac:dyDescent="0.25">
      <c r="A361" s="1"/>
      <c r="B361" s="17"/>
      <c r="C361" s="17"/>
      <c r="D361" s="17"/>
      <c r="E361" s="17"/>
      <c r="F361" s="17"/>
      <c r="G361" s="4">
        <f t="shared" si="12"/>
        <v>0</v>
      </c>
      <c r="H361" s="17"/>
      <c r="I361" s="4">
        <f t="shared" si="14"/>
        <v>349526.07999999996</v>
      </c>
      <c r="J361" s="32" t="str">
        <f t="shared" si="13"/>
        <v/>
      </c>
      <c r="K361" s="72"/>
      <c r="L361" s="72"/>
      <c r="M361" s="2"/>
      <c r="N361" s="5"/>
      <c r="O361" s="3"/>
      <c r="P361" s="6"/>
      <c r="Q361" s="48">
        <f>IF(Учет!$O361=Справочники!$F$2,Учет!$H361,0)</f>
        <v>0</v>
      </c>
      <c r="R361" s="48">
        <f>IF(Учет!$O361=Справочники!$F$3,Учет!$H361,0)</f>
        <v>0</v>
      </c>
      <c r="S361" s="48">
        <f>IF(Учет!$O361=Справочники!$F$4,Учет!$H361,0)</f>
        <v>0</v>
      </c>
      <c r="T361" s="48">
        <f>IF(Учет!$O361=Справочники!$F$5,Учет!$H361,0)</f>
        <v>0</v>
      </c>
      <c r="U361" s="48">
        <f>IF(Учет!$O361=Справочники!$F$6,Учет!$H361,0)</f>
        <v>0</v>
      </c>
      <c r="V361" s="43">
        <f>V360+Учет!$B361-Q361</f>
        <v>-488978.92000000004</v>
      </c>
      <c r="W361" s="43">
        <f>W360+Учет!$C361-R361</f>
        <v>336855</v>
      </c>
      <c r="X361" s="43">
        <f>X360+Учет!$D361-S361</f>
        <v>500</v>
      </c>
      <c r="Y361" s="43">
        <f>Y360+Учет!$E361-T361</f>
        <v>1150</v>
      </c>
      <c r="Z361" s="43">
        <f>Z360+Учет!$F361-U361</f>
        <v>500000</v>
      </c>
      <c r="AA361" s="45">
        <f>Учет!$I361</f>
        <v>349526.07999999996</v>
      </c>
    </row>
    <row r="362" spans="1:27" ht="15" customHeight="1" x14ac:dyDescent="0.25">
      <c r="A362" s="1"/>
      <c r="B362" s="17"/>
      <c r="C362" s="17"/>
      <c r="D362" s="17"/>
      <c r="E362" s="17"/>
      <c r="F362" s="17"/>
      <c r="G362" s="4">
        <f t="shared" si="12"/>
        <v>0</v>
      </c>
      <c r="H362" s="17"/>
      <c r="I362" s="4">
        <f t="shared" si="14"/>
        <v>349526.07999999996</v>
      </c>
      <c r="J362" s="32" t="str">
        <f t="shared" si="13"/>
        <v/>
      </c>
      <c r="K362" s="72"/>
      <c r="L362" s="72"/>
      <c r="M362" s="2"/>
      <c r="N362" s="5"/>
      <c r="O362" s="3"/>
      <c r="P362" s="6"/>
      <c r="Q362" s="48">
        <f>IF(Учет!$O362=Справочники!$F$2,Учет!$H362,0)</f>
        <v>0</v>
      </c>
      <c r="R362" s="48">
        <f>IF(Учет!$O362=Справочники!$F$3,Учет!$H362,0)</f>
        <v>0</v>
      </c>
      <c r="S362" s="48">
        <f>IF(Учет!$O362=Справочники!$F$4,Учет!$H362,0)</f>
        <v>0</v>
      </c>
      <c r="T362" s="48">
        <f>IF(Учет!$O362=Справочники!$F$5,Учет!$H362,0)</f>
        <v>0</v>
      </c>
      <c r="U362" s="48">
        <f>IF(Учет!$O362=Справочники!$F$6,Учет!$H362,0)</f>
        <v>0</v>
      </c>
      <c r="V362" s="43">
        <f>V361+Учет!$B362-Q362</f>
        <v>-488978.92000000004</v>
      </c>
      <c r="W362" s="43">
        <f>W361+Учет!$C362-R362</f>
        <v>336855</v>
      </c>
      <c r="X362" s="43">
        <f>X361+Учет!$D362-S362</f>
        <v>500</v>
      </c>
      <c r="Y362" s="43">
        <f>Y361+Учет!$E362-T362</f>
        <v>1150</v>
      </c>
      <c r="Z362" s="43">
        <f>Z361+Учет!$F362-U362</f>
        <v>500000</v>
      </c>
      <c r="AA362" s="45">
        <f>Учет!$I362</f>
        <v>349526.07999999996</v>
      </c>
    </row>
    <row r="363" spans="1:27" ht="15" customHeight="1" x14ac:dyDescent="0.25">
      <c r="A363" s="1"/>
      <c r="B363" s="17"/>
      <c r="C363" s="17"/>
      <c r="D363" s="17"/>
      <c r="E363" s="17"/>
      <c r="F363" s="17"/>
      <c r="G363" s="4">
        <f t="shared" si="12"/>
        <v>0</v>
      </c>
      <c r="H363" s="17"/>
      <c r="I363" s="4">
        <f t="shared" si="14"/>
        <v>349526.07999999996</v>
      </c>
      <c r="J363" s="32" t="str">
        <f t="shared" si="13"/>
        <v/>
      </c>
      <c r="K363" s="72"/>
      <c r="L363" s="72"/>
      <c r="M363" s="2"/>
      <c r="N363" s="5"/>
      <c r="O363" s="3"/>
      <c r="P363" s="6"/>
      <c r="Q363" s="48">
        <f>IF(Учет!$O363=Справочники!$F$2,Учет!$H363,0)</f>
        <v>0</v>
      </c>
      <c r="R363" s="48">
        <f>IF(Учет!$O363=Справочники!$F$3,Учет!$H363,0)</f>
        <v>0</v>
      </c>
      <c r="S363" s="48">
        <f>IF(Учет!$O363=Справочники!$F$4,Учет!$H363,0)</f>
        <v>0</v>
      </c>
      <c r="T363" s="48">
        <f>IF(Учет!$O363=Справочники!$F$5,Учет!$H363,0)</f>
        <v>0</v>
      </c>
      <c r="U363" s="48">
        <f>IF(Учет!$O363=Справочники!$F$6,Учет!$H363,0)</f>
        <v>0</v>
      </c>
      <c r="V363" s="43">
        <f>V362+Учет!$B363-Q363</f>
        <v>-488978.92000000004</v>
      </c>
      <c r="W363" s="43">
        <f>W362+Учет!$C363-R363</f>
        <v>336855</v>
      </c>
      <c r="X363" s="43">
        <f>X362+Учет!$D363-S363</f>
        <v>500</v>
      </c>
      <c r="Y363" s="43">
        <f>Y362+Учет!$E363-T363</f>
        <v>1150</v>
      </c>
      <c r="Z363" s="43">
        <f>Z362+Учет!$F363-U363</f>
        <v>500000</v>
      </c>
      <c r="AA363" s="45">
        <f>Учет!$I363</f>
        <v>349526.07999999996</v>
      </c>
    </row>
    <row r="364" spans="1:27" ht="15" customHeight="1" x14ac:dyDescent="0.25">
      <c r="A364" s="1"/>
      <c r="B364" s="17"/>
      <c r="C364" s="17"/>
      <c r="D364" s="17"/>
      <c r="E364" s="17"/>
      <c r="F364" s="17"/>
      <c r="G364" s="4">
        <f t="shared" si="12"/>
        <v>0</v>
      </c>
      <c r="H364" s="17"/>
      <c r="I364" s="4">
        <f t="shared" si="14"/>
        <v>349526.07999999996</v>
      </c>
      <c r="J364" s="32" t="str">
        <f t="shared" si="13"/>
        <v/>
      </c>
      <c r="K364" s="72"/>
      <c r="L364" s="72"/>
      <c r="M364" s="2"/>
      <c r="N364" s="5"/>
      <c r="O364" s="3"/>
      <c r="P364" s="6"/>
      <c r="Q364" s="48">
        <f>IF(Учет!$O364=Справочники!$F$2,Учет!$H364,0)</f>
        <v>0</v>
      </c>
      <c r="R364" s="48">
        <f>IF(Учет!$O364=Справочники!$F$3,Учет!$H364,0)</f>
        <v>0</v>
      </c>
      <c r="S364" s="48">
        <f>IF(Учет!$O364=Справочники!$F$4,Учет!$H364,0)</f>
        <v>0</v>
      </c>
      <c r="T364" s="48">
        <f>IF(Учет!$O364=Справочники!$F$5,Учет!$H364,0)</f>
        <v>0</v>
      </c>
      <c r="U364" s="48">
        <f>IF(Учет!$O364=Справочники!$F$6,Учет!$H364,0)</f>
        <v>0</v>
      </c>
      <c r="V364" s="43">
        <f>V363+Учет!$B364-Q364</f>
        <v>-488978.92000000004</v>
      </c>
      <c r="W364" s="43">
        <f>W363+Учет!$C364-R364</f>
        <v>336855</v>
      </c>
      <c r="X364" s="43">
        <f>X363+Учет!$D364-S364</f>
        <v>500</v>
      </c>
      <c r="Y364" s="43">
        <f>Y363+Учет!$E364-T364</f>
        <v>1150</v>
      </c>
      <c r="Z364" s="43">
        <f>Z363+Учет!$F364-U364</f>
        <v>500000</v>
      </c>
      <c r="AA364" s="45">
        <f>Учет!$I364</f>
        <v>349526.07999999996</v>
      </c>
    </row>
    <row r="365" spans="1:27" ht="15" customHeight="1" x14ac:dyDescent="0.25">
      <c r="A365" s="1"/>
      <c r="B365" s="17"/>
      <c r="C365" s="17"/>
      <c r="D365" s="17"/>
      <c r="E365" s="17"/>
      <c r="F365" s="17"/>
      <c r="G365" s="4">
        <f t="shared" si="12"/>
        <v>0</v>
      </c>
      <c r="H365" s="17"/>
      <c r="I365" s="4">
        <f t="shared" si="14"/>
        <v>349526.07999999996</v>
      </c>
      <c r="J365" s="32" t="str">
        <f t="shared" si="13"/>
        <v/>
      </c>
      <c r="K365" s="72"/>
      <c r="L365" s="72"/>
      <c r="M365" s="2"/>
      <c r="N365" s="5"/>
      <c r="O365" s="3"/>
      <c r="P365" s="6"/>
      <c r="Q365" s="48">
        <f>IF(Учет!$O365=Справочники!$F$2,Учет!$H365,0)</f>
        <v>0</v>
      </c>
      <c r="R365" s="48">
        <f>IF(Учет!$O365=Справочники!$F$3,Учет!$H365,0)</f>
        <v>0</v>
      </c>
      <c r="S365" s="48">
        <f>IF(Учет!$O365=Справочники!$F$4,Учет!$H365,0)</f>
        <v>0</v>
      </c>
      <c r="T365" s="48">
        <f>IF(Учет!$O365=Справочники!$F$5,Учет!$H365,0)</f>
        <v>0</v>
      </c>
      <c r="U365" s="48">
        <f>IF(Учет!$O365=Справочники!$F$6,Учет!$H365,0)</f>
        <v>0</v>
      </c>
      <c r="V365" s="43">
        <f>V364+Учет!$B365-Q365</f>
        <v>-488978.92000000004</v>
      </c>
      <c r="W365" s="43">
        <f>W364+Учет!$C365-R365</f>
        <v>336855</v>
      </c>
      <c r="X365" s="43">
        <f>X364+Учет!$D365-S365</f>
        <v>500</v>
      </c>
      <c r="Y365" s="43">
        <f>Y364+Учет!$E365-T365</f>
        <v>1150</v>
      </c>
      <c r="Z365" s="43">
        <f>Z364+Учет!$F365-U365</f>
        <v>500000</v>
      </c>
      <c r="AA365" s="45">
        <f>Учет!$I365</f>
        <v>349526.07999999996</v>
      </c>
    </row>
    <row r="366" spans="1:27" ht="15" customHeight="1" x14ac:dyDescent="0.25">
      <c r="A366" s="1"/>
      <c r="B366" s="17"/>
      <c r="C366" s="17"/>
      <c r="D366" s="17"/>
      <c r="E366" s="17"/>
      <c r="F366" s="17"/>
      <c r="G366" s="4">
        <f t="shared" si="12"/>
        <v>0</v>
      </c>
      <c r="H366" s="17"/>
      <c r="I366" s="4">
        <f t="shared" si="14"/>
        <v>349526.07999999996</v>
      </c>
      <c r="J366" s="32" t="str">
        <f t="shared" si="13"/>
        <v/>
      </c>
      <c r="K366" s="72"/>
      <c r="L366" s="72"/>
      <c r="M366" s="2"/>
      <c r="N366" s="5"/>
      <c r="O366" s="3"/>
      <c r="P366" s="6"/>
      <c r="Q366" s="48">
        <f>IF(Учет!$O366=Справочники!$F$2,Учет!$H366,0)</f>
        <v>0</v>
      </c>
      <c r="R366" s="48">
        <f>IF(Учет!$O366=Справочники!$F$3,Учет!$H366,0)</f>
        <v>0</v>
      </c>
      <c r="S366" s="48">
        <f>IF(Учет!$O366=Справочники!$F$4,Учет!$H366,0)</f>
        <v>0</v>
      </c>
      <c r="T366" s="48">
        <f>IF(Учет!$O366=Справочники!$F$5,Учет!$H366,0)</f>
        <v>0</v>
      </c>
      <c r="U366" s="48">
        <f>IF(Учет!$O366=Справочники!$F$6,Учет!$H366,0)</f>
        <v>0</v>
      </c>
      <c r="V366" s="43">
        <f>V365+Учет!$B366-Q366</f>
        <v>-488978.92000000004</v>
      </c>
      <c r="W366" s="43">
        <f>W365+Учет!$C366-R366</f>
        <v>336855</v>
      </c>
      <c r="X366" s="43">
        <f>X365+Учет!$D366-S366</f>
        <v>500</v>
      </c>
      <c r="Y366" s="43">
        <f>Y365+Учет!$E366-T366</f>
        <v>1150</v>
      </c>
      <c r="Z366" s="43">
        <f>Z365+Учет!$F366-U366</f>
        <v>500000</v>
      </c>
      <c r="AA366" s="45">
        <f>Учет!$I366</f>
        <v>349526.07999999996</v>
      </c>
    </row>
    <row r="367" spans="1:27" ht="15" customHeight="1" x14ac:dyDescent="0.25">
      <c r="A367" s="1"/>
      <c r="B367" s="17"/>
      <c r="C367" s="17"/>
      <c r="D367" s="17"/>
      <c r="E367" s="17"/>
      <c r="F367" s="17"/>
      <c r="G367" s="4">
        <f t="shared" si="12"/>
        <v>0</v>
      </c>
      <c r="H367" s="17"/>
      <c r="I367" s="4">
        <f t="shared" si="14"/>
        <v>349526.07999999996</v>
      </c>
      <c r="J367" s="32" t="str">
        <f t="shared" si="13"/>
        <v/>
      </c>
      <c r="K367" s="72"/>
      <c r="L367" s="72"/>
      <c r="M367" s="2"/>
      <c r="N367" s="5"/>
      <c r="O367" s="3"/>
      <c r="P367" s="6"/>
      <c r="Q367" s="48">
        <f>IF(Учет!$O367=Справочники!$F$2,Учет!$H367,0)</f>
        <v>0</v>
      </c>
      <c r="R367" s="48">
        <f>IF(Учет!$O367=Справочники!$F$3,Учет!$H367,0)</f>
        <v>0</v>
      </c>
      <c r="S367" s="48">
        <f>IF(Учет!$O367=Справочники!$F$4,Учет!$H367,0)</f>
        <v>0</v>
      </c>
      <c r="T367" s="48">
        <f>IF(Учет!$O367=Справочники!$F$5,Учет!$H367,0)</f>
        <v>0</v>
      </c>
      <c r="U367" s="48">
        <f>IF(Учет!$O367=Справочники!$F$6,Учет!$H367,0)</f>
        <v>0</v>
      </c>
      <c r="V367" s="43">
        <f>V366+Учет!$B367-Q367</f>
        <v>-488978.92000000004</v>
      </c>
      <c r="W367" s="43">
        <f>W366+Учет!$C367-R367</f>
        <v>336855</v>
      </c>
      <c r="X367" s="43">
        <f>X366+Учет!$D367-S367</f>
        <v>500</v>
      </c>
      <c r="Y367" s="43">
        <f>Y366+Учет!$E367-T367</f>
        <v>1150</v>
      </c>
      <c r="Z367" s="43">
        <f>Z366+Учет!$F367-U367</f>
        <v>500000</v>
      </c>
      <c r="AA367" s="45">
        <f>Учет!$I367</f>
        <v>349526.07999999996</v>
      </c>
    </row>
    <row r="368" spans="1:27" ht="15" customHeight="1" x14ac:dyDescent="0.25">
      <c r="A368" s="1"/>
      <c r="B368" s="17"/>
      <c r="C368" s="17"/>
      <c r="D368" s="17"/>
      <c r="E368" s="17"/>
      <c r="F368" s="17"/>
      <c r="G368" s="4">
        <f t="shared" si="12"/>
        <v>0</v>
      </c>
      <c r="H368" s="17"/>
      <c r="I368" s="4">
        <f t="shared" si="14"/>
        <v>349526.07999999996</v>
      </c>
      <c r="J368" s="32" t="str">
        <f t="shared" si="13"/>
        <v/>
      </c>
      <c r="K368" s="72"/>
      <c r="L368" s="72"/>
      <c r="M368" s="2"/>
      <c r="N368" s="5"/>
      <c r="O368" s="3"/>
      <c r="P368" s="6"/>
      <c r="Q368" s="48">
        <f>IF(Учет!$O368=Справочники!$F$2,Учет!$H368,0)</f>
        <v>0</v>
      </c>
      <c r="R368" s="48">
        <f>IF(Учет!$O368=Справочники!$F$3,Учет!$H368,0)</f>
        <v>0</v>
      </c>
      <c r="S368" s="48">
        <f>IF(Учет!$O368=Справочники!$F$4,Учет!$H368,0)</f>
        <v>0</v>
      </c>
      <c r="T368" s="48">
        <f>IF(Учет!$O368=Справочники!$F$5,Учет!$H368,0)</f>
        <v>0</v>
      </c>
      <c r="U368" s="48">
        <f>IF(Учет!$O368=Справочники!$F$6,Учет!$H368,0)</f>
        <v>0</v>
      </c>
      <c r="V368" s="43">
        <f>V367+Учет!$B368-Q368</f>
        <v>-488978.92000000004</v>
      </c>
      <c r="W368" s="43">
        <f>W367+Учет!$C368-R368</f>
        <v>336855</v>
      </c>
      <c r="X368" s="43">
        <f>X367+Учет!$D368-S368</f>
        <v>500</v>
      </c>
      <c r="Y368" s="43">
        <f>Y367+Учет!$E368-T368</f>
        <v>1150</v>
      </c>
      <c r="Z368" s="43">
        <f>Z367+Учет!$F368-U368</f>
        <v>500000</v>
      </c>
      <c r="AA368" s="45">
        <f>Учет!$I368</f>
        <v>349526.07999999996</v>
      </c>
    </row>
    <row r="369" spans="1:27" ht="15" customHeight="1" x14ac:dyDescent="0.25">
      <c r="A369" s="1"/>
      <c r="B369" s="17"/>
      <c r="C369" s="17"/>
      <c r="D369" s="17"/>
      <c r="E369" s="17"/>
      <c r="F369" s="17"/>
      <c r="G369" s="4">
        <f t="shared" si="12"/>
        <v>0</v>
      </c>
      <c r="H369" s="17"/>
      <c r="I369" s="4">
        <f t="shared" si="14"/>
        <v>349526.07999999996</v>
      </c>
      <c r="J369" s="32" t="str">
        <f t="shared" si="13"/>
        <v/>
      </c>
      <c r="K369" s="72"/>
      <c r="L369" s="72"/>
      <c r="M369" s="2"/>
      <c r="N369" s="5"/>
      <c r="O369" s="3"/>
      <c r="P369" s="6"/>
      <c r="Q369" s="48">
        <f>IF(Учет!$O369=Справочники!$F$2,Учет!$H369,0)</f>
        <v>0</v>
      </c>
      <c r="R369" s="48">
        <f>IF(Учет!$O369=Справочники!$F$3,Учет!$H369,0)</f>
        <v>0</v>
      </c>
      <c r="S369" s="48">
        <f>IF(Учет!$O369=Справочники!$F$4,Учет!$H369,0)</f>
        <v>0</v>
      </c>
      <c r="T369" s="48">
        <f>IF(Учет!$O369=Справочники!$F$5,Учет!$H369,0)</f>
        <v>0</v>
      </c>
      <c r="U369" s="48">
        <f>IF(Учет!$O369=Справочники!$F$6,Учет!$H369,0)</f>
        <v>0</v>
      </c>
      <c r="V369" s="43">
        <f>V368+Учет!$B369-Q369</f>
        <v>-488978.92000000004</v>
      </c>
      <c r="W369" s="43">
        <f>W368+Учет!$C369-R369</f>
        <v>336855</v>
      </c>
      <c r="X369" s="43">
        <f>X368+Учет!$D369-S369</f>
        <v>500</v>
      </c>
      <c r="Y369" s="43">
        <f>Y368+Учет!$E369-T369</f>
        <v>1150</v>
      </c>
      <c r="Z369" s="43">
        <f>Z368+Учет!$F369-U369</f>
        <v>500000</v>
      </c>
      <c r="AA369" s="45">
        <f>Учет!$I369</f>
        <v>349526.07999999996</v>
      </c>
    </row>
    <row r="370" spans="1:27" ht="15" customHeight="1" x14ac:dyDescent="0.25">
      <c r="A370" s="1"/>
      <c r="B370" s="17"/>
      <c r="C370" s="17"/>
      <c r="D370" s="17"/>
      <c r="E370" s="17"/>
      <c r="F370" s="17"/>
      <c r="G370" s="4">
        <f t="shared" si="12"/>
        <v>0</v>
      </c>
      <c r="H370" s="17"/>
      <c r="I370" s="4">
        <f t="shared" si="14"/>
        <v>349526.07999999996</v>
      </c>
      <c r="J370" s="32" t="str">
        <f t="shared" si="13"/>
        <v/>
      </c>
      <c r="K370" s="72"/>
      <c r="L370" s="72"/>
      <c r="M370" s="2"/>
      <c r="N370" s="5"/>
      <c r="O370" s="3"/>
      <c r="P370" s="6"/>
      <c r="Q370" s="48">
        <f>IF(Учет!$O370=Справочники!$F$2,Учет!$H370,0)</f>
        <v>0</v>
      </c>
      <c r="R370" s="48">
        <f>IF(Учет!$O370=Справочники!$F$3,Учет!$H370,0)</f>
        <v>0</v>
      </c>
      <c r="S370" s="48">
        <f>IF(Учет!$O370=Справочники!$F$4,Учет!$H370,0)</f>
        <v>0</v>
      </c>
      <c r="T370" s="48">
        <f>IF(Учет!$O370=Справочники!$F$5,Учет!$H370,0)</f>
        <v>0</v>
      </c>
      <c r="U370" s="48">
        <f>IF(Учет!$O370=Справочники!$F$6,Учет!$H370,0)</f>
        <v>0</v>
      </c>
      <c r="V370" s="43">
        <f>V369+Учет!$B370-Q370</f>
        <v>-488978.92000000004</v>
      </c>
      <c r="W370" s="43">
        <f>W369+Учет!$C370-R370</f>
        <v>336855</v>
      </c>
      <c r="X370" s="43">
        <f>X369+Учет!$D370-S370</f>
        <v>500</v>
      </c>
      <c r="Y370" s="43">
        <f>Y369+Учет!$E370-T370</f>
        <v>1150</v>
      </c>
      <c r="Z370" s="43">
        <f>Z369+Учет!$F370-U370</f>
        <v>500000</v>
      </c>
      <c r="AA370" s="45">
        <f>Учет!$I370</f>
        <v>349526.07999999996</v>
      </c>
    </row>
    <row r="371" spans="1:27" ht="15" customHeight="1" x14ac:dyDescent="0.25">
      <c r="A371" s="1"/>
      <c r="B371" s="17"/>
      <c r="C371" s="17"/>
      <c r="D371" s="17"/>
      <c r="E371" s="17"/>
      <c r="F371" s="17"/>
      <c r="G371" s="4">
        <f t="shared" si="12"/>
        <v>0</v>
      </c>
      <c r="H371" s="17"/>
      <c r="I371" s="4">
        <f t="shared" si="14"/>
        <v>349526.07999999996</v>
      </c>
      <c r="J371" s="32" t="str">
        <f t="shared" si="13"/>
        <v/>
      </c>
      <c r="K371" s="72"/>
      <c r="L371" s="72"/>
      <c r="M371" s="2"/>
      <c r="N371" s="5"/>
      <c r="O371" s="3"/>
      <c r="P371" s="6"/>
      <c r="Q371" s="48">
        <f>IF(Учет!$O371=Справочники!$F$2,Учет!$H371,0)</f>
        <v>0</v>
      </c>
      <c r="R371" s="48">
        <f>IF(Учет!$O371=Справочники!$F$3,Учет!$H371,0)</f>
        <v>0</v>
      </c>
      <c r="S371" s="48">
        <f>IF(Учет!$O371=Справочники!$F$4,Учет!$H371,0)</f>
        <v>0</v>
      </c>
      <c r="T371" s="48">
        <f>IF(Учет!$O371=Справочники!$F$5,Учет!$H371,0)</f>
        <v>0</v>
      </c>
      <c r="U371" s="48">
        <f>IF(Учет!$O371=Справочники!$F$6,Учет!$H371,0)</f>
        <v>0</v>
      </c>
      <c r="V371" s="43">
        <f>V370+Учет!$B371-Q371</f>
        <v>-488978.92000000004</v>
      </c>
      <c r="W371" s="43">
        <f>W370+Учет!$C371-R371</f>
        <v>336855</v>
      </c>
      <c r="X371" s="43">
        <f>X370+Учет!$D371-S371</f>
        <v>500</v>
      </c>
      <c r="Y371" s="43">
        <f>Y370+Учет!$E371-T371</f>
        <v>1150</v>
      </c>
      <c r="Z371" s="43">
        <f>Z370+Учет!$F371-U371</f>
        <v>500000</v>
      </c>
      <c r="AA371" s="45">
        <f>Учет!$I371</f>
        <v>349526.07999999996</v>
      </c>
    </row>
    <row r="372" spans="1:27" ht="15" customHeight="1" x14ac:dyDescent="0.25">
      <c r="A372" s="1"/>
      <c r="B372" s="17"/>
      <c r="C372" s="17"/>
      <c r="D372" s="17"/>
      <c r="E372" s="17"/>
      <c r="F372" s="17"/>
      <c r="G372" s="4">
        <f t="shared" si="12"/>
        <v>0</v>
      </c>
      <c r="H372" s="17"/>
      <c r="I372" s="4">
        <f t="shared" si="14"/>
        <v>349526.07999999996</v>
      </c>
      <c r="J372" s="32" t="str">
        <f t="shared" si="13"/>
        <v/>
      </c>
      <c r="K372" s="72"/>
      <c r="L372" s="72"/>
      <c r="M372" s="2"/>
      <c r="N372" s="5"/>
      <c r="O372" s="3"/>
      <c r="P372" s="6"/>
      <c r="Q372" s="48">
        <f>IF(Учет!$O372=Справочники!$F$2,Учет!$H372,0)</f>
        <v>0</v>
      </c>
      <c r="R372" s="48">
        <f>IF(Учет!$O372=Справочники!$F$3,Учет!$H372,0)</f>
        <v>0</v>
      </c>
      <c r="S372" s="48">
        <f>IF(Учет!$O372=Справочники!$F$4,Учет!$H372,0)</f>
        <v>0</v>
      </c>
      <c r="T372" s="48">
        <f>IF(Учет!$O372=Справочники!$F$5,Учет!$H372,0)</f>
        <v>0</v>
      </c>
      <c r="U372" s="48">
        <f>IF(Учет!$O372=Справочники!$F$6,Учет!$H372,0)</f>
        <v>0</v>
      </c>
      <c r="V372" s="43">
        <f>V371+Учет!$B372-Q372</f>
        <v>-488978.92000000004</v>
      </c>
      <c r="W372" s="43">
        <f>W371+Учет!$C372-R372</f>
        <v>336855</v>
      </c>
      <c r="X372" s="43">
        <f>X371+Учет!$D372-S372</f>
        <v>500</v>
      </c>
      <c r="Y372" s="43">
        <f>Y371+Учет!$E372-T372</f>
        <v>1150</v>
      </c>
      <c r="Z372" s="43">
        <f>Z371+Учет!$F372-U372</f>
        <v>500000</v>
      </c>
      <c r="AA372" s="45">
        <f>Учет!$I372</f>
        <v>349526.07999999996</v>
      </c>
    </row>
    <row r="373" spans="1:27" ht="15" customHeight="1" x14ac:dyDescent="0.25">
      <c r="A373" s="1"/>
      <c r="B373" s="17"/>
      <c r="C373" s="17"/>
      <c r="D373" s="17"/>
      <c r="E373" s="17"/>
      <c r="F373" s="17"/>
      <c r="G373" s="4">
        <f t="shared" si="12"/>
        <v>0</v>
      </c>
      <c r="H373" s="17"/>
      <c r="I373" s="4">
        <f t="shared" si="14"/>
        <v>349526.07999999996</v>
      </c>
      <c r="J373" s="32" t="str">
        <f t="shared" si="13"/>
        <v/>
      </c>
      <c r="K373" s="72"/>
      <c r="L373" s="72"/>
      <c r="M373" s="2"/>
      <c r="N373" s="5"/>
      <c r="O373" s="3"/>
      <c r="P373" s="6"/>
      <c r="Q373" s="48">
        <f>IF(Учет!$O373=Справочники!$F$2,Учет!$H373,0)</f>
        <v>0</v>
      </c>
      <c r="R373" s="48">
        <f>IF(Учет!$O373=Справочники!$F$3,Учет!$H373,0)</f>
        <v>0</v>
      </c>
      <c r="S373" s="48">
        <f>IF(Учет!$O373=Справочники!$F$4,Учет!$H373,0)</f>
        <v>0</v>
      </c>
      <c r="T373" s="48">
        <f>IF(Учет!$O373=Справочники!$F$5,Учет!$H373,0)</f>
        <v>0</v>
      </c>
      <c r="U373" s="48">
        <f>IF(Учет!$O373=Справочники!$F$6,Учет!$H373,0)</f>
        <v>0</v>
      </c>
      <c r="V373" s="43">
        <f>V372+Учет!$B373-Q373</f>
        <v>-488978.92000000004</v>
      </c>
      <c r="W373" s="43">
        <f>W372+Учет!$C373-R373</f>
        <v>336855</v>
      </c>
      <c r="X373" s="43">
        <f>X372+Учет!$D373-S373</f>
        <v>500</v>
      </c>
      <c r="Y373" s="43">
        <f>Y372+Учет!$E373-T373</f>
        <v>1150</v>
      </c>
      <c r="Z373" s="43">
        <f>Z372+Учет!$F373-U373</f>
        <v>500000</v>
      </c>
      <c r="AA373" s="45">
        <f>Учет!$I373</f>
        <v>349526.07999999996</v>
      </c>
    </row>
    <row r="374" spans="1:27" ht="15" customHeight="1" x14ac:dyDescent="0.25">
      <c r="A374" s="1"/>
      <c r="B374" s="17"/>
      <c r="C374" s="17"/>
      <c r="D374" s="17"/>
      <c r="E374" s="17"/>
      <c r="F374" s="17"/>
      <c r="G374" s="4">
        <f t="shared" si="12"/>
        <v>0</v>
      </c>
      <c r="H374" s="17"/>
      <c r="I374" s="4">
        <f t="shared" si="14"/>
        <v>349526.07999999996</v>
      </c>
      <c r="J374" s="32" t="str">
        <f t="shared" si="13"/>
        <v/>
      </c>
      <c r="K374" s="72"/>
      <c r="L374" s="72"/>
      <c r="M374" s="2"/>
      <c r="N374" s="5"/>
      <c r="O374" s="3"/>
      <c r="P374" s="6"/>
      <c r="Q374" s="48">
        <f>IF(Учет!$O374=Справочники!$F$2,Учет!$H374,0)</f>
        <v>0</v>
      </c>
      <c r="R374" s="48">
        <f>IF(Учет!$O374=Справочники!$F$3,Учет!$H374,0)</f>
        <v>0</v>
      </c>
      <c r="S374" s="48">
        <f>IF(Учет!$O374=Справочники!$F$4,Учет!$H374,0)</f>
        <v>0</v>
      </c>
      <c r="T374" s="48">
        <f>IF(Учет!$O374=Справочники!$F$5,Учет!$H374,0)</f>
        <v>0</v>
      </c>
      <c r="U374" s="48">
        <f>IF(Учет!$O374=Справочники!$F$6,Учет!$H374,0)</f>
        <v>0</v>
      </c>
      <c r="V374" s="43">
        <f>V373+Учет!$B374-Q374</f>
        <v>-488978.92000000004</v>
      </c>
      <c r="W374" s="43">
        <f>W373+Учет!$C374-R374</f>
        <v>336855</v>
      </c>
      <c r="X374" s="43">
        <f>X373+Учет!$D374-S374</f>
        <v>500</v>
      </c>
      <c r="Y374" s="43">
        <f>Y373+Учет!$E374-T374</f>
        <v>1150</v>
      </c>
      <c r="Z374" s="43">
        <f>Z373+Учет!$F374-U374</f>
        <v>500000</v>
      </c>
      <c r="AA374" s="45">
        <f>Учет!$I374</f>
        <v>349526.07999999996</v>
      </c>
    </row>
    <row r="375" spans="1:27" ht="15" customHeight="1" x14ac:dyDescent="0.25">
      <c r="A375" s="1"/>
      <c r="B375" s="17"/>
      <c r="C375" s="17"/>
      <c r="D375" s="17"/>
      <c r="E375" s="17"/>
      <c r="F375" s="17"/>
      <c r="G375" s="4">
        <f t="shared" si="12"/>
        <v>0</v>
      </c>
      <c r="H375" s="17"/>
      <c r="I375" s="4">
        <f t="shared" si="14"/>
        <v>349526.07999999996</v>
      </c>
      <c r="J375" s="32" t="str">
        <f t="shared" si="13"/>
        <v/>
      </c>
      <c r="K375" s="72"/>
      <c r="L375" s="72"/>
      <c r="M375" s="2"/>
      <c r="N375" s="5"/>
      <c r="O375" s="3"/>
      <c r="P375" s="6"/>
      <c r="Q375" s="48">
        <f>IF(Учет!$O375=Справочники!$F$2,Учет!$H375,0)</f>
        <v>0</v>
      </c>
      <c r="R375" s="48">
        <f>IF(Учет!$O375=Справочники!$F$3,Учет!$H375,0)</f>
        <v>0</v>
      </c>
      <c r="S375" s="48">
        <f>IF(Учет!$O375=Справочники!$F$4,Учет!$H375,0)</f>
        <v>0</v>
      </c>
      <c r="T375" s="48">
        <f>IF(Учет!$O375=Справочники!$F$5,Учет!$H375,0)</f>
        <v>0</v>
      </c>
      <c r="U375" s="48">
        <f>IF(Учет!$O375=Справочники!$F$6,Учет!$H375,0)</f>
        <v>0</v>
      </c>
      <c r="V375" s="43">
        <f>V374+Учет!$B375-Q375</f>
        <v>-488978.92000000004</v>
      </c>
      <c r="W375" s="43">
        <f>W374+Учет!$C375-R375</f>
        <v>336855</v>
      </c>
      <c r="X375" s="43">
        <f>X374+Учет!$D375-S375</f>
        <v>500</v>
      </c>
      <c r="Y375" s="43">
        <f>Y374+Учет!$E375-T375</f>
        <v>1150</v>
      </c>
      <c r="Z375" s="43">
        <f>Z374+Учет!$F375-U375</f>
        <v>500000</v>
      </c>
      <c r="AA375" s="45">
        <f>Учет!$I375</f>
        <v>349526.07999999996</v>
      </c>
    </row>
    <row r="376" spans="1:27" ht="15" customHeight="1" x14ac:dyDescent="0.25">
      <c r="A376" s="1"/>
      <c r="B376" s="17"/>
      <c r="C376" s="17"/>
      <c r="D376" s="17"/>
      <c r="E376" s="17"/>
      <c r="F376" s="17"/>
      <c r="G376" s="4">
        <f t="shared" si="12"/>
        <v>0</v>
      </c>
      <c r="H376" s="17"/>
      <c r="I376" s="4">
        <f t="shared" si="14"/>
        <v>349526.07999999996</v>
      </c>
      <c r="J376" s="32" t="str">
        <f t="shared" si="13"/>
        <v/>
      </c>
      <c r="K376" s="72"/>
      <c r="L376" s="72"/>
      <c r="M376" s="2"/>
      <c r="N376" s="5"/>
      <c r="O376" s="3"/>
      <c r="P376" s="6"/>
      <c r="Q376" s="48">
        <f>IF(Учет!$O376=Справочники!$F$2,Учет!$H376,0)</f>
        <v>0</v>
      </c>
      <c r="R376" s="48">
        <f>IF(Учет!$O376=Справочники!$F$3,Учет!$H376,0)</f>
        <v>0</v>
      </c>
      <c r="S376" s="48">
        <f>IF(Учет!$O376=Справочники!$F$4,Учет!$H376,0)</f>
        <v>0</v>
      </c>
      <c r="T376" s="48">
        <f>IF(Учет!$O376=Справочники!$F$5,Учет!$H376,0)</f>
        <v>0</v>
      </c>
      <c r="U376" s="48">
        <f>IF(Учет!$O376=Справочники!$F$6,Учет!$H376,0)</f>
        <v>0</v>
      </c>
      <c r="V376" s="43">
        <f>V375+Учет!$B376-Q376</f>
        <v>-488978.92000000004</v>
      </c>
      <c r="W376" s="43">
        <f>W375+Учет!$C376-R376</f>
        <v>336855</v>
      </c>
      <c r="X376" s="43">
        <f>X375+Учет!$D376-S376</f>
        <v>500</v>
      </c>
      <c r="Y376" s="43">
        <f>Y375+Учет!$E376-T376</f>
        <v>1150</v>
      </c>
      <c r="Z376" s="43">
        <f>Z375+Учет!$F376-U376</f>
        <v>500000</v>
      </c>
      <c r="AA376" s="45">
        <f>Учет!$I376</f>
        <v>349526.07999999996</v>
      </c>
    </row>
    <row r="377" spans="1:27" ht="15" customHeight="1" x14ac:dyDescent="0.25">
      <c r="A377" s="1"/>
      <c r="B377" s="17"/>
      <c r="C377" s="17"/>
      <c r="D377" s="17"/>
      <c r="E377" s="17"/>
      <c r="F377" s="17"/>
      <c r="G377" s="4">
        <f t="shared" si="12"/>
        <v>0</v>
      </c>
      <c r="H377" s="17"/>
      <c r="I377" s="4">
        <f t="shared" si="14"/>
        <v>349526.07999999996</v>
      </c>
      <c r="J377" s="32" t="str">
        <f t="shared" si="13"/>
        <v/>
      </c>
      <c r="K377" s="72"/>
      <c r="L377" s="72"/>
      <c r="M377" s="2"/>
      <c r="N377" s="5"/>
      <c r="O377" s="3"/>
      <c r="P377" s="6"/>
      <c r="Q377" s="48">
        <f>IF(Учет!$O377=Справочники!$F$2,Учет!$H377,0)</f>
        <v>0</v>
      </c>
      <c r="R377" s="48">
        <f>IF(Учет!$O377=Справочники!$F$3,Учет!$H377,0)</f>
        <v>0</v>
      </c>
      <c r="S377" s="48">
        <f>IF(Учет!$O377=Справочники!$F$4,Учет!$H377,0)</f>
        <v>0</v>
      </c>
      <c r="T377" s="48">
        <f>IF(Учет!$O377=Справочники!$F$5,Учет!$H377,0)</f>
        <v>0</v>
      </c>
      <c r="U377" s="48">
        <f>IF(Учет!$O377=Справочники!$F$6,Учет!$H377,0)</f>
        <v>0</v>
      </c>
      <c r="V377" s="43">
        <f>V376+Учет!$B377-Q377</f>
        <v>-488978.92000000004</v>
      </c>
      <c r="W377" s="43">
        <f>W376+Учет!$C377-R377</f>
        <v>336855</v>
      </c>
      <c r="X377" s="43">
        <f>X376+Учет!$D377-S377</f>
        <v>500</v>
      </c>
      <c r="Y377" s="43">
        <f>Y376+Учет!$E377-T377</f>
        <v>1150</v>
      </c>
      <c r="Z377" s="43">
        <f>Z376+Учет!$F377-U377</f>
        <v>500000</v>
      </c>
      <c r="AA377" s="45">
        <f>Учет!$I377</f>
        <v>349526.07999999996</v>
      </c>
    </row>
    <row r="378" spans="1:27" ht="15" customHeight="1" x14ac:dyDescent="0.25">
      <c r="A378" s="1"/>
      <c r="B378" s="17"/>
      <c r="C378" s="17"/>
      <c r="D378" s="17"/>
      <c r="E378" s="17"/>
      <c r="F378" s="17"/>
      <c r="G378" s="4">
        <f t="shared" si="12"/>
        <v>0</v>
      </c>
      <c r="H378" s="17"/>
      <c r="I378" s="4">
        <f t="shared" si="14"/>
        <v>349526.07999999996</v>
      </c>
      <c r="J378" s="32" t="str">
        <f t="shared" si="13"/>
        <v/>
      </c>
      <c r="K378" s="72"/>
      <c r="L378" s="72"/>
      <c r="M378" s="2"/>
      <c r="N378" s="5"/>
      <c r="O378" s="3"/>
      <c r="P378" s="6"/>
      <c r="Q378" s="48">
        <f>IF(Учет!$O378=Справочники!$F$2,Учет!$H378,0)</f>
        <v>0</v>
      </c>
      <c r="R378" s="48">
        <f>IF(Учет!$O378=Справочники!$F$3,Учет!$H378,0)</f>
        <v>0</v>
      </c>
      <c r="S378" s="48">
        <f>IF(Учет!$O378=Справочники!$F$4,Учет!$H378,0)</f>
        <v>0</v>
      </c>
      <c r="T378" s="48">
        <f>IF(Учет!$O378=Справочники!$F$5,Учет!$H378,0)</f>
        <v>0</v>
      </c>
      <c r="U378" s="48">
        <f>IF(Учет!$O378=Справочники!$F$6,Учет!$H378,0)</f>
        <v>0</v>
      </c>
      <c r="V378" s="43">
        <f>V377+Учет!$B378-Q378</f>
        <v>-488978.92000000004</v>
      </c>
      <c r="W378" s="43">
        <f>W377+Учет!$C378-R378</f>
        <v>336855</v>
      </c>
      <c r="X378" s="43">
        <f>X377+Учет!$D378-S378</f>
        <v>500</v>
      </c>
      <c r="Y378" s="43">
        <f>Y377+Учет!$E378-T378</f>
        <v>1150</v>
      </c>
      <c r="Z378" s="43">
        <f>Z377+Учет!$F378-U378</f>
        <v>500000</v>
      </c>
      <c r="AA378" s="45">
        <f>Учет!$I378</f>
        <v>349526.07999999996</v>
      </c>
    </row>
    <row r="379" spans="1:27" ht="15" customHeight="1" x14ac:dyDescent="0.25">
      <c r="A379" s="1"/>
      <c r="B379" s="17"/>
      <c r="C379" s="17"/>
      <c r="D379" s="17"/>
      <c r="E379" s="17"/>
      <c r="F379" s="17"/>
      <c r="G379" s="4">
        <f t="shared" si="12"/>
        <v>0</v>
      </c>
      <c r="H379" s="17"/>
      <c r="I379" s="4">
        <f t="shared" si="14"/>
        <v>349526.07999999996</v>
      </c>
      <c r="J379" s="32" t="str">
        <f t="shared" si="13"/>
        <v/>
      </c>
      <c r="K379" s="72"/>
      <c r="L379" s="72"/>
      <c r="M379" s="2"/>
      <c r="N379" s="5"/>
      <c r="O379" s="3"/>
      <c r="P379" s="6"/>
      <c r="Q379" s="48">
        <f>IF(Учет!$O379=Справочники!$F$2,Учет!$H379,0)</f>
        <v>0</v>
      </c>
      <c r="R379" s="48">
        <f>IF(Учет!$O379=Справочники!$F$3,Учет!$H379,0)</f>
        <v>0</v>
      </c>
      <c r="S379" s="48">
        <f>IF(Учет!$O379=Справочники!$F$4,Учет!$H379,0)</f>
        <v>0</v>
      </c>
      <c r="T379" s="48">
        <f>IF(Учет!$O379=Справочники!$F$5,Учет!$H379,0)</f>
        <v>0</v>
      </c>
      <c r="U379" s="48">
        <f>IF(Учет!$O379=Справочники!$F$6,Учет!$H379,0)</f>
        <v>0</v>
      </c>
      <c r="V379" s="43">
        <f>V378+Учет!$B379-Q379</f>
        <v>-488978.92000000004</v>
      </c>
      <c r="W379" s="43">
        <f>W378+Учет!$C379-R379</f>
        <v>336855</v>
      </c>
      <c r="X379" s="43">
        <f>X378+Учет!$D379-S379</f>
        <v>500</v>
      </c>
      <c r="Y379" s="43">
        <f>Y378+Учет!$E379-T379</f>
        <v>1150</v>
      </c>
      <c r="Z379" s="43">
        <f>Z378+Учет!$F379-U379</f>
        <v>500000</v>
      </c>
      <c r="AA379" s="45">
        <f>Учет!$I379</f>
        <v>349526.07999999996</v>
      </c>
    </row>
    <row r="380" spans="1:27" ht="15" customHeight="1" x14ac:dyDescent="0.25">
      <c r="A380" s="1"/>
      <c r="B380" s="17"/>
      <c r="C380" s="17"/>
      <c r="D380" s="17"/>
      <c r="E380" s="17"/>
      <c r="F380" s="17"/>
      <c r="G380" s="4">
        <f t="shared" si="12"/>
        <v>0</v>
      </c>
      <c r="H380" s="17"/>
      <c r="I380" s="4">
        <f t="shared" si="14"/>
        <v>349526.07999999996</v>
      </c>
      <c r="J380" s="32" t="str">
        <f t="shared" si="13"/>
        <v/>
      </c>
      <c r="K380" s="72"/>
      <c r="L380" s="72"/>
      <c r="M380" s="2"/>
      <c r="N380" s="5"/>
      <c r="O380" s="3"/>
      <c r="P380" s="6"/>
      <c r="Q380" s="48">
        <f>IF(Учет!$O380=Справочники!$F$2,Учет!$H380,0)</f>
        <v>0</v>
      </c>
      <c r="R380" s="48">
        <f>IF(Учет!$O380=Справочники!$F$3,Учет!$H380,0)</f>
        <v>0</v>
      </c>
      <c r="S380" s="48">
        <f>IF(Учет!$O380=Справочники!$F$4,Учет!$H380,0)</f>
        <v>0</v>
      </c>
      <c r="T380" s="48">
        <f>IF(Учет!$O380=Справочники!$F$5,Учет!$H380,0)</f>
        <v>0</v>
      </c>
      <c r="U380" s="48">
        <f>IF(Учет!$O380=Справочники!$F$6,Учет!$H380,0)</f>
        <v>0</v>
      </c>
      <c r="V380" s="43">
        <f>V379+Учет!$B380-Q380</f>
        <v>-488978.92000000004</v>
      </c>
      <c r="W380" s="43">
        <f>W379+Учет!$C380-R380</f>
        <v>336855</v>
      </c>
      <c r="X380" s="43">
        <f>X379+Учет!$D380-S380</f>
        <v>500</v>
      </c>
      <c r="Y380" s="43">
        <f>Y379+Учет!$E380-T380</f>
        <v>1150</v>
      </c>
      <c r="Z380" s="43">
        <f>Z379+Учет!$F380-U380</f>
        <v>500000</v>
      </c>
      <c r="AA380" s="45">
        <f>Учет!$I380</f>
        <v>349526.07999999996</v>
      </c>
    </row>
    <row r="381" spans="1:27" ht="15" customHeight="1" x14ac:dyDescent="0.25">
      <c r="A381" s="1"/>
      <c r="B381" s="17"/>
      <c r="C381" s="17"/>
      <c r="D381" s="17"/>
      <c r="E381" s="17"/>
      <c r="F381" s="17"/>
      <c r="G381" s="4">
        <f t="shared" si="12"/>
        <v>0</v>
      </c>
      <c r="H381" s="17"/>
      <c r="I381" s="4">
        <f t="shared" si="14"/>
        <v>349526.07999999996</v>
      </c>
      <c r="J381" s="32" t="str">
        <f t="shared" si="13"/>
        <v/>
      </c>
      <c r="K381" s="72"/>
      <c r="L381" s="72"/>
      <c r="M381" s="2"/>
      <c r="N381" s="5"/>
      <c r="O381" s="3"/>
      <c r="P381" s="6"/>
      <c r="Q381" s="48">
        <f>IF(Учет!$O381=Справочники!$F$2,Учет!$H381,0)</f>
        <v>0</v>
      </c>
      <c r="R381" s="48">
        <f>IF(Учет!$O381=Справочники!$F$3,Учет!$H381,0)</f>
        <v>0</v>
      </c>
      <c r="S381" s="48">
        <f>IF(Учет!$O381=Справочники!$F$4,Учет!$H381,0)</f>
        <v>0</v>
      </c>
      <c r="T381" s="48">
        <f>IF(Учет!$O381=Справочники!$F$5,Учет!$H381,0)</f>
        <v>0</v>
      </c>
      <c r="U381" s="48">
        <f>IF(Учет!$O381=Справочники!$F$6,Учет!$H381,0)</f>
        <v>0</v>
      </c>
      <c r="V381" s="43">
        <f>V380+Учет!$B381-Q381</f>
        <v>-488978.92000000004</v>
      </c>
      <c r="W381" s="43">
        <f>W380+Учет!$C381-R381</f>
        <v>336855</v>
      </c>
      <c r="X381" s="43">
        <f>X380+Учет!$D381-S381</f>
        <v>500</v>
      </c>
      <c r="Y381" s="43">
        <f>Y380+Учет!$E381-T381</f>
        <v>1150</v>
      </c>
      <c r="Z381" s="43">
        <f>Z380+Учет!$F381-U381</f>
        <v>500000</v>
      </c>
      <c r="AA381" s="45">
        <f>Учет!$I381</f>
        <v>349526.07999999996</v>
      </c>
    </row>
    <row r="382" spans="1:27" ht="15" customHeight="1" x14ac:dyDescent="0.25">
      <c r="A382" s="1"/>
      <c r="B382" s="17"/>
      <c r="C382" s="17"/>
      <c r="D382" s="17"/>
      <c r="E382" s="17"/>
      <c r="F382" s="17"/>
      <c r="G382" s="4">
        <f t="shared" si="12"/>
        <v>0</v>
      </c>
      <c r="H382" s="17"/>
      <c r="I382" s="4">
        <f t="shared" si="14"/>
        <v>349526.07999999996</v>
      </c>
      <c r="J382" s="32" t="str">
        <f t="shared" si="13"/>
        <v/>
      </c>
      <c r="K382" s="72"/>
      <c r="L382" s="72"/>
      <c r="M382" s="2"/>
      <c r="N382" s="5"/>
      <c r="O382" s="3"/>
      <c r="P382" s="6"/>
      <c r="Q382" s="48">
        <f>IF(Учет!$O382=Справочники!$F$2,Учет!$H382,0)</f>
        <v>0</v>
      </c>
      <c r="R382" s="48">
        <f>IF(Учет!$O382=Справочники!$F$3,Учет!$H382,0)</f>
        <v>0</v>
      </c>
      <c r="S382" s="48">
        <f>IF(Учет!$O382=Справочники!$F$4,Учет!$H382,0)</f>
        <v>0</v>
      </c>
      <c r="T382" s="48">
        <f>IF(Учет!$O382=Справочники!$F$5,Учет!$H382,0)</f>
        <v>0</v>
      </c>
      <c r="U382" s="48">
        <f>IF(Учет!$O382=Справочники!$F$6,Учет!$H382,0)</f>
        <v>0</v>
      </c>
      <c r="V382" s="43">
        <f>V381+Учет!$B382-Q382</f>
        <v>-488978.92000000004</v>
      </c>
      <c r="W382" s="43">
        <f>W381+Учет!$C382-R382</f>
        <v>336855</v>
      </c>
      <c r="X382" s="43">
        <f>X381+Учет!$D382-S382</f>
        <v>500</v>
      </c>
      <c r="Y382" s="43">
        <f>Y381+Учет!$E382-T382</f>
        <v>1150</v>
      </c>
      <c r="Z382" s="43">
        <f>Z381+Учет!$F382-U382</f>
        <v>500000</v>
      </c>
      <c r="AA382" s="45">
        <f>Учет!$I382</f>
        <v>349526.07999999996</v>
      </c>
    </row>
    <row r="383" spans="1:27" ht="15" customHeight="1" x14ac:dyDescent="0.25">
      <c r="A383" s="1"/>
      <c r="B383" s="17"/>
      <c r="C383" s="17"/>
      <c r="D383" s="17"/>
      <c r="E383" s="17"/>
      <c r="F383" s="17"/>
      <c r="G383" s="4">
        <f t="shared" si="12"/>
        <v>0</v>
      </c>
      <c r="H383" s="17"/>
      <c r="I383" s="4">
        <f t="shared" si="14"/>
        <v>349526.07999999996</v>
      </c>
      <c r="J383" s="32" t="str">
        <f t="shared" si="13"/>
        <v/>
      </c>
      <c r="K383" s="72"/>
      <c r="L383" s="72"/>
      <c r="M383" s="2"/>
      <c r="N383" s="5"/>
      <c r="O383" s="3"/>
      <c r="P383" s="6"/>
      <c r="Q383" s="48">
        <f>IF(Учет!$O383=Справочники!$F$2,Учет!$H383,0)</f>
        <v>0</v>
      </c>
      <c r="R383" s="48">
        <f>IF(Учет!$O383=Справочники!$F$3,Учет!$H383,0)</f>
        <v>0</v>
      </c>
      <c r="S383" s="48">
        <f>IF(Учет!$O383=Справочники!$F$4,Учет!$H383,0)</f>
        <v>0</v>
      </c>
      <c r="T383" s="48">
        <f>IF(Учет!$O383=Справочники!$F$5,Учет!$H383,0)</f>
        <v>0</v>
      </c>
      <c r="U383" s="48">
        <f>IF(Учет!$O383=Справочники!$F$6,Учет!$H383,0)</f>
        <v>0</v>
      </c>
      <c r="V383" s="43">
        <f>V382+Учет!$B383-Q383</f>
        <v>-488978.92000000004</v>
      </c>
      <c r="W383" s="43">
        <f>W382+Учет!$C383-R383</f>
        <v>336855</v>
      </c>
      <c r="X383" s="43">
        <f>X382+Учет!$D383-S383</f>
        <v>500</v>
      </c>
      <c r="Y383" s="43">
        <f>Y382+Учет!$E383-T383</f>
        <v>1150</v>
      </c>
      <c r="Z383" s="43">
        <f>Z382+Учет!$F383-U383</f>
        <v>500000</v>
      </c>
      <c r="AA383" s="45">
        <f>Учет!$I383</f>
        <v>349526.07999999996</v>
      </c>
    </row>
    <row r="384" spans="1:27" ht="15" customHeight="1" x14ac:dyDescent="0.25">
      <c r="A384" s="1"/>
      <c r="B384" s="17"/>
      <c r="C384" s="17"/>
      <c r="D384" s="17"/>
      <c r="E384" s="17"/>
      <c r="F384" s="17"/>
      <c r="G384" s="4">
        <f t="shared" si="12"/>
        <v>0</v>
      </c>
      <c r="H384" s="17"/>
      <c r="I384" s="4">
        <f t="shared" si="14"/>
        <v>349526.07999999996</v>
      </c>
      <c r="J384" s="32" t="str">
        <f t="shared" si="13"/>
        <v/>
      </c>
      <c r="K384" s="72"/>
      <c r="L384" s="72"/>
      <c r="M384" s="2"/>
      <c r="N384" s="5"/>
      <c r="O384" s="3"/>
      <c r="P384" s="6"/>
      <c r="Q384" s="48">
        <f>IF(Учет!$O384=Справочники!$F$2,Учет!$H384,0)</f>
        <v>0</v>
      </c>
      <c r="R384" s="48">
        <f>IF(Учет!$O384=Справочники!$F$3,Учет!$H384,0)</f>
        <v>0</v>
      </c>
      <c r="S384" s="48">
        <f>IF(Учет!$O384=Справочники!$F$4,Учет!$H384,0)</f>
        <v>0</v>
      </c>
      <c r="T384" s="48">
        <f>IF(Учет!$O384=Справочники!$F$5,Учет!$H384,0)</f>
        <v>0</v>
      </c>
      <c r="U384" s="48">
        <f>IF(Учет!$O384=Справочники!$F$6,Учет!$H384,0)</f>
        <v>0</v>
      </c>
      <c r="V384" s="43">
        <f>V383+Учет!$B384-Q384</f>
        <v>-488978.92000000004</v>
      </c>
      <c r="W384" s="43">
        <f>W383+Учет!$C384-R384</f>
        <v>336855</v>
      </c>
      <c r="X384" s="43">
        <f>X383+Учет!$D384-S384</f>
        <v>500</v>
      </c>
      <c r="Y384" s="43">
        <f>Y383+Учет!$E384-T384</f>
        <v>1150</v>
      </c>
      <c r="Z384" s="43">
        <f>Z383+Учет!$F384-U384</f>
        <v>500000</v>
      </c>
      <c r="AA384" s="45">
        <f>Учет!$I384</f>
        <v>349526.07999999996</v>
      </c>
    </row>
    <row r="385" spans="1:27" ht="15" customHeight="1" x14ac:dyDescent="0.25">
      <c r="A385" s="1"/>
      <c r="B385" s="17"/>
      <c r="C385" s="17"/>
      <c r="D385" s="17"/>
      <c r="E385" s="17"/>
      <c r="F385" s="17"/>
      <c r="G385" s="4">
        <f t="shared" si="12"/>
        <v>0</v>
      </c>
      <c r="H385" s="17"/>
      <c r="I385" s="4">
        <f t="shared" si="14"/>
        <v>349526.07999999996</v>
      </c>
      <c r="J385" s="32" t="str">
        <f t="shared" si="13"/>
        <v/>
      </c>
      <c r="K385" s="72"/>
      <c r="L385" s="72"/>
      <c r="M385" s="2"/>
      <c r="N385" s="5"/>
      <c r="O385" s="3"/>
      <c r="P385" s="6"/>
      <c r="Q385" s="48">
        <f>IF(Учет!$O385=Справочники!$F$2,Учет!$H385,0)</f>
        <v>0</v>
      </c>
      <c r="R385" s="48">
        <f>IF(Учет!$O385=Справочники!$F$3,Учет!$H385,0)</f>
        <v>0</v>
      </c>
      <c r="S385" s="48">
        <f>IF(Учет!$O385=Справочники!$F$4,Учет!$H385,0)</f>
        <v>0</v>
      </c>
      <c r="T385" s="48">
        <f>IF(Учет!$O385=Справочники!$F$5,Учет!$H385,0)</f>
        <v>0</v>
      </c>
      <c r="U385" s="48">
        <f>IF(Учет!$O385=Справочники!$F$6,Учет!$H385,0)</f>
        <v>0</v>
      </c>
      <c r="V385" s="43">
        <f>V384+Учет!$B385-Q385</f>
        <v>-488978.92000000004</v>
      </c>
      <c r="W385" s="43">
        <f>W384+Учет!$C385-R385</f>
        <v>336855</v>
      </c>
      <c r="X385" s="43">
        <f>X384+Учет!$D385-S385</f>
        <v>500</v>
      </c>
      <c r="Y385" s="43">
        <f>Y384+Учет!$E385-T385</f>
        <v>1150</v>
      </c>
      <c r="Z385" s="43">
        <f>Z384+Учет!$F385-U385</f>
        <v>500000</v>
      </c>
      <c r="AA385" s="45">
        <f>Учет!$I385</f>
        <v>349526.07999999996</v>
      </c>
    </row>
    <row r="386" spans="1:27" ht="15" customHeight="1" x14ac:dyDescent="0.25">
      <c r="A386" s="1"/>
      <c r="B386" s="17"/>
      <c r="C386" s="17"/>
      <c r="D386" s="17"/>
      <c r="E386" s="17"/>
      <c r="F386" s="17"/>
      <c r="G386" s="4">
        <f t="shared" ref="G386:G449" si="15">SUM($B386:$F386)</f>
        <v>0</v>
      </c>
      <c r="H386" s="17"/>
      <c r="I386" s="4">
        <f t="shared" si="14"/>
        <v>349526.07999999996</v>
      </c>
      <c r="J386" s="32" t="str">
        <f t="shared" ref="J386:J449" si="16">IF($A387&lt;&gt;$A386,$I386,"")</f>
        <v/>
      </c>
      <c r="K386" s="72"/>
      <c r="L386" s="72"/>
      <c r="M386" s="2"/>
      <c r="N386" s="5"/>
      <c r="O386" s="3"/>
      <c r="P386" s="6"/>
      <c r="Q386" s="48">
        <f>IF(Учет!$O386=Справочники!$F$2,Учет!$H386,0)</f>
        <v>0</v>
      </c>
      <c r="R386" s="48">
        <f>IF(Учет!$O386=Справочники!$F$3,Учет!$H386,0)</f>
        <v>0</v>
      </c>
      <c r="S386" s="48">
        <f>IF(Учет!$O386=Справочники!$F$4,Учет!$H386,0)</f>
        <v>0</v>
      </c>
      <c r="T386" s="48">
        <f>IF(Учет!$O386=Справочники!$F$5,Учет!$H386,0)</f>
        <v>0</v>
      </c>
      <c r="U386" s="48">
        <f>IF(Учет!$O386=Справочники!$F$6,Учет!$H386,0)</f>
        <v>0</v>
      </c>
      <c r="V386" s="43">
        <f>V385+Учет!$B386-Q386</f>
        <v>-488978.92000000004</v>
      </c>
      <c r="W386" s="43">
        <f>W385+Учет!$C386-R386</f>
        <v>336855</v>
      </c>
      <c r="X386" s="43">
        <f>X385+Учет!$D386-S386</f>
        <v>500</v>
      </c>
      <c r="Y386" s="43">
        <f>Y385+Учет!$E386-T386</f>
        <v>1150</v>
      </c>
      <c r="Z386" s="43">
        <f>Z385+Учет!$F386-U386</f>
        <v>500000</v>
      </c>
      <c r="AA386" s="45">
        <f>Учет!$I386</f>
        <v>349526.07999999996</v>
      </c>
    </row>
    <row r="387" spans="1:27" ht="15" customHeight="1" x14ac:dyDescent="0.25">
      <c r="A387" s="1"/>
      <c r="B387" s="17"/>
      <c r="C387" s="17"/>
      <c r="D387" s="17"/>
      <c r="E387" s="17"/>
      <c r="F387" s="17"/>
      <c r="G387" s="4">
        <f t="shared" si="15"/>
        <v>0</v>
      </c>
      <c r="H387" s="17"/>
      <c r="I387" s="4">
        <f t="shared" ref="I387:I450" si="17">$I386+$G387-$H387</f>
        <v>349526.07999999996</v>
      </c>
      <c r="J387" s="32" t="str">
        <f t="shared" si="16"/>
        <v/>
      </c>
      <c r="K387" s="72"/>
      <c r="L387" s="72"/>
      <c r="M387" s="2"/>
      <c r="N387" s="5"/>
      <c r="O387" s="3"/>
      <c r="P387" s="6"/>
      <c r="Q387" s="48">
        <f>IF(Учет!$O387=Справочники!$F$2,Учет!$H387,0)</f>
        <v>0</v>
      </c>
      <c r="R387" s="48">
        <f>IF(Учет!$O387=Справочники!$F$3,Учет!$H387,0)</f>
        <v>0</v>
      </c>
      <c r="S387" s="48">
        <f>IF(Учет!$O387=Справочники!$F$4,Учет!$H387,0)</f>
        <v>0</v>
      </c>
      <c r="T387" s="48">
        <f>IF(Учет!$O387=Справочники!$F$5,Учет!$H387,0)</f>
        <v>0</v>
      </c>
      <c r="U387" s="48">
        <f>IF(Учет!$O387=Справочники!$F$6,Учет!$H387,0)</f>
        <v>0</v>
      </c>
      <c r="V387" s="43">
        <f>V386+Учет!$B387-Q387</f>
        <v>-488978.92000000004</v>
      </c>
      <c r="W387" s="43">
        <f>W386+Учет!$C387-R387</f>
        <v>336855</v>
      </c>
      <c r="X387" s="43">
        <f>X386+Учет!$D387-S387</f>
        <v>500</v>
      </c>
      <c r="Y387" s="43">
        <f>Y386+Учет!$E387-T387</f>
        <v>1150</v>
      </c>
      <c r="Z387" s="43">
        <f>Z386+Учет!$F387-U387</f>
        <v>500000</v>
      </c>
      <c r="AA387" s="45">
        <f>Учет!$I387</f>
        <v>349526.07999999996</v>
      </c>
    </row>
    <row r="388" spans="1:27" ht="15" customHeight="1" x14ac:dyDescent="0.25">
      <c r="A388" s="1"/>
      <c r="B388" s="17"/>
      <c r="C388" s="17"/>
      <c r="D388" s="17"/>
      <c r="E388" s="17"/>
      <c r="F388" s="17"/>
      <c r="G388" s="4">
        <f t="shared" si="15"/>
        <v>0</v>
      </c>
      <c r="H388" s="17"/>
      <c r="I388" s="4">
        <f t="shared" si="17"/>
        <v>349526.07999999996</v>
      </c>
      <c r="J388" s="32" t="str">
        <f t="shared" si="16"/>
        <v/>
      </c>
      <c r="K388" s="72"/>
      <c r="L388" s="72"/>
      <c r="M388" s="2"/>
      <c r="N388" s="5"/>
      <c r="O388" s="3"/>
      <c r="P388" s="6"/>
      <c r="Q388" s="48">
        <f>IF(Учет!$O388=Справочники!$F$2,Учет!$H388,0)</f>
        <v>0</v>
      </c>
      <c r="R388" s="48">
        <f>IF(Учет!$O388=Справочники!$F$3,Учет!$H388,0)</f>
        <v>0</v>
      </c>
      <c r="S388" s="48">
        <f>IF(Учет!$O388=Справочники!$F$4,Учет!$H388,0)</f>
        <v>0</v>
      </c>
      <c r="T388" s="48">
        <f>IF(Учет!$O388=Справочники!$F$5,Учет!$H388,0)</f>
        <v>0</v>
      </c>
      <c r="U388" s="48">
        <f>IF(Учет!$O388=Справочники!$F$6,Учет!$H388,0)</f>
        <v>0</v>
      </c>
      <c r="V388" s="43">
        <f>V387+Учет!$B388-Q388</f>
        <v>-488978.92000000004</v>
      </c>
      <c r="W388" s="43">
        <f>W387+Учет!$C388-R388</f>
        <v>336855</v>
      </c>
      <c r="X388" s="43">
        <f>X387+Учет!$D388-S388</f>
        <v>500</v>
      </c>
      <c r="Y388" s="43">
        <f>Y387+Учет!$E388-T388</f>
        <v>1150</v>
      </c>
      <c r="Z388" s="43">
        <f>Z387+Учет!$F388-U388</f>
        <v>500000</v>
      </c>
      <c r="AA388" s="45">
        <f>Учет!$I388</f>
        <v>349526.07999999996</v>
      </c>
    </row>
    <row r="389" spans="1:27" ht="15" customHeight="1" x14ac:dyDescent="0.25">
      <c r="A389" s="1"/>
      <c r="B389" s="17"/>
      <c r="C389" s="17"/>
      <c r="D389" s="17"/>
      <c r="E389" s="17"/>
      <c r="F389" s="17"/>
      <c r="G389" s="4">
        <f t="shared" si="15"/>
        <v>0</v>
      </c>
      <c r="H389" s="17"/>
      <c r="I389" s="4">
        <f t="shared" si="17"/>
        <v>349526.07999999996</v>
      </c>
      <c r="J389" s="32" t="str">
        <f t="shared" si="16"/>
        <v/>
      </c>
      <c r="K389" s="72"/>
      <c r="L389" s="72"/>
      <c r="M389" s="2"/>
      <c r="N389" s="5"/>
      <c r="O389" s="3"/>
      <c r="P389" s="6"/>
      <c r="Q389" s="48">
        <f>IF(Учет!$O389=Справочники!$F$2,Учет!$H389,0)</f>
        <v>0</v>
      </c>
      <c r="R389" s="48">
        <f>IF(Учет!$O389=Справочники!$F$3,Учет!$H389,0)</f>
        <v>0</v>
      </c>
      <c r="S389" s="48">
        <f>IF(Учет!$O389=Справочники!$F$4,Учет!$H389,0)</f>
        <v>0</v>
      </c>
      <c r="T389" s="48">
        <f>IF(Учет!$O389=Справочники!$F$5,Учет!$H389,0)</f>
        <v>0</v>
      </c>
      <c r="U389" s="48">
        <f>IF(Учет!$O389=Справочники!$F$6,Учет!$H389,0)</f>
        <v>0</v>
      </c>
      <c r="V389" s="43">
        <f>V388+Учет!$B389-Q389</f>
        <v>-488978.92000000004</v>
      </c>
      <c r="W389" s="43">
        <f>W388+Учет!$C389-R389</f>
        <v>336855</v>
      </c>
      <c r="X389" s="43">
        <f>X388+Учет!$D389-S389</f>
        <v>500</v>
      </c>
      <c r="Y389" s="43">
        <f>Y388+Учет!$E389-T389</f>
        <v>1150</v>
      </c>
      <c r="Z389" s="43">
        <f>Z388+Учет!$F389-U389</f>
        <v>500000</v>
      </c>
      <c r="AA389" s="45">
        <f>Учет!$I389</f>
        <v>349526.07999999996</v>
      </c>
    </row>
    <row r="390" spans="1:27" ht="15" customHeight="1" x14ac:dyDescent="0.25">
      <c r="A390" s="1"/>
      <c r="B390" s="17"/>
      <c r="C390" s="17"/>
      <c r="D390" s="17"/>
      <c r="E390" s="17"/>
      <c r="F390" s="17"/>
      <c r="G390" s="4">
        <f t="shared" si="15"/>
        <v>0</v>
      </c>
      <c r="H390" s="17"/>
      <c r="I390" s="4">
        <f t="shared" si="17"/>
        <v>349526.07999999996</v>
      </c>
      <c r="J390" s="32" t="str">
        <f t="shared" si="16"/>
        <v/>
      </c>
      <c r="K390" s="72"/>
      <c r="L390" s="72"/>
      <c r="M390" s="2"/>
      <c r="N390" s="5"/>
      <c r="O390" s="3"/>
      <c r="P390" s="6"/>
      <c r="Q390" s="48">
        <f>IF(Учет!$O390=Справочники!$F$2,Учет!$H390,0)</f>
        <v>0</v>
      </c>
      <c r="R390" s="48">
        <f>IF(Учет!$O390=Справочники!$F$3,Учет!$H390,0)</f>
        <v>0</v>
      </c>
      <c r="S390" s="48">
        <f>IF(Учет!$O390=Справочники!$F$4,Учет!$H390,0)</f>
        <v>0</v>
      </c>
      <c r="T390" s="48">
        <f>IF(Учет!$O390=Справочники!$F$5,Учет!$H390,0)</f>
        <v>0</v>
      </c>
      <c r="U390" s="48">
        <f>IF(Учет!$O390=Справочники!$F$6,Учет!$H390,0)</f>
        <v>0</v>
      </c>
      <c r="V390" s="43">
        <f>V389+Учет!$B390-Q390</f>
        <v>-488978.92000000004</v>
      </c>
      <c r="W390" s="43">
        <f>W389+Учет!$C390-R390</f>
        <v>336855</v>
      </c>
      <c r="X390" s="43">
        <f>X389+Учет!$D390-S390</f>
        <v>500</v>
      </c>
      <c r="Y390" s="43">
        <f>Y389+Учет!$E390-T390</f>
        <v>1150</v>
      </c>
      <c r="Z390" s="43">
        <f>Z389+Учет!$F390-U390</f>
        <v>500000</v>
      </c>
      <c r="AA390" s="45">
        <f>Учет!$I390</f>
        <v>349526.07999999996</v>
      </c>
    </row>
    <row r="391" spans="1:27" ht="15" customHeight="1" x14ac:dyDescent="0.25">
      <c r="A391" s="1"/>
      <c r="B391" s="17"/>
      <c r="C391" s="17"/>
      <c r="D391" s="17"/>
      <c r="E391" s="17"/>
      <c r="F391" s="17"/>
      <c r="G391" s="4">
        <f t="shared" si="15"/>
        <v>0</v>
      </c>
      <c r="H391" s="17"/>
      <c r="I391" s="4">
        <f t="shared" si="17"/>
        <v>349526.07999999996</v>
      </c>
      <c r="J391" s="32" t="str">
        <f t="shared" si="16"/>
        <v/>
      </c>
      <c r="K391" s="72"/>
      <c r="L391" s="72"/>
      <c r="M391" s="2"/>
      <c r="N391" s="5"/>
      <c r="O391" s="3"/>
      <c r="P391" s="6"/>
      <c r="Q391" s="48">
        <f>IF(Учет!$O391=Справочники!$F$2,Учет!$H391,0)</f>
        <v>0</v>
      </c>
      <c r="R391" s="48">
        <f>IF(Учет!$O391=Справочники!$F$3,Учет!$H391,0)</f>
        <v>0</v>
      </c>
      <c r="S391" s="48">
        <f>IF(Учет!$O391=Справочники!$F$4,Учет!$H391,0)</f>
        <v>0</v>
      </c>
      <c r="T391" s="48">
        <f>IF(Учет!$O391=Справочники!$F$5,Учет!$H391,0)</f>
        <v>0</v>
      </c>
      <c r="U391" s="48">
        <f>IF(Учет!$O391=Справочники!$F$6,Учет!$H391,0)</f>
        <v>0</v>
      </c>
      <c r="V391" s="43">
        <f>V390+Учет!$B391-Q391</f>
        <v>-488978.92000000004</v>
      </c>
      <c r="W391" s="43">
        <f>W390+Учет!$C391-R391</f>
        <v>336855</v>
      </c>
      <c r="X391" s="43">
        <f>X390+Учет!$D391-S391</f>
        <v>500</v>
      </c>
      <c r="Y391" s="43">
        <f>Y390+Учет!$E391-T391</f>
        <v>1150</v>
      </c>
      <c r="Z391" s="43">
        <f>Z390+Учет!$F391-U391</f>
        <v>500000</v>
      </c>
      <c r="AA391" s="45">
        <f>Учет!$I391</f>
        <v>349526.07999999996</v>
      </c>
    </row>
    <row r="392" spans="1:27" ht="15" customHeight="1" x14ac:dyDescent="0.25">
      <c r="A392" s="1"/>
      <c r="B392" s="17"/>
      <c r="C392" s="17"/>
      <c r="D392" s="17"/>
      <c r="E392" s="17"/>
      <c r="F392" s="17"/>
      <c r="G392" s="4">
        <f t="shared" si="15"/>
        <v>0</v>
      </c>
      <c r="H392" s="17"/>
      <c r="I392" s="4">
        <f t="shared" si="17"/>
        <v>349526.07999999996</v>
      </c>
      <c r="J392" s="32" t="str">
        <f t="shared" si="16"/>
        <v/>
      </c>
      <c r="K392" s="72"/>
      <c r="L392" s="72"/>
      <c r="M392" s="2"/>
      <c r="N392" s="5"/>
      <c r="O392" s="3"/>
      <c r="P392" s="6"/>
      <c r="Q392" s="48">
        <f>IF(Учет!$O392=Справочники!$F$2,Учет!$H392,0)</f>
        <v>0</v>
      </c>
      <c r="R392" s="48">
        <f>IF(Учет!$O392=Справочники!$F$3,Учет!$H392,0)</f>
        <v>0</v>
      </c>
      <c r="S392" s="48">
        <f>IF(Учет!$O392=Справочники!$F$4,Учет!$H392,0)</f>
        <v>0</v>
      </c>
      <c r="T392" s="48">
        <f>IF(Учет!$O392=Справочники!$F$5,Учет!$H392,0)</f>
        <v>0</v>
      </c>
      <c r="U392" s="48">
        <f>IF(Учет!$O392=Справочники!$F$6,Учет!$H392,0)</f>
        <v>0</v>
      </c>
      <c r="V392" s="43">
        <f>V391+Учет!Q392-Q392</f>
        <v>-488978.92000000004</v>
      </c>
      <c r="W392" s="43">
        <f>W391+Учет!R392-R392</f>
        <v>336855</v>
      </c>
      <c r="X392" s="43">
        <f>X391+Учет!S392-S392</f>
        <v>500</v>
      </c>
      <c r="Y392" s="43">
        <f>Y391+Учет!T392-T392</f>
        <v>1150</v>
      </c>
      <c r="Z392" s="43">
        <f>Z391+Учет!U392-U392</f>
        <v>500000</v>
      </c>
      <c r="AA392" s="45">
        <f>Учет!X392</f>
        <v>500</v>
      </c>
    </row>
    <row r="393" spans="1:27" ht="15" customHeight="1" x14ac:dyDescent="0.25">
      <c r="A393" s="1"/>
      <c r="B393" s="17"/>
      <c r="C393" s="17"/>
      <c r="D393" s="17"/>
      <c r="E393" s="17"/>
      <c r="F393" s="17"/>
      <c r="G393" s="4">
        <f t="shared" si="15"/>
        <v>0</v>
      </c>
      <c r="H393" s="17"/>
      <c r="I393" s="4">
        <f t="shared" si="17"/>
        <v>349526.07999999996</v>
      </c>
      <c r="J393" s="32" t="str">
        <f t="shared" si="16"/>
        <v/>
      </c>
      <c r="K393" s="72"/>
      <c r="L393" s="72"/>
      <c r="M393" s="2"/>
      <c r="N393" s="5"/>
      <c r="O393" s="3"/>
      <c r="P393" s="6"/>
      <c r="Q393" s="48">
        <f>IF(Учет!$O393=Справочники!$F$2,Учет!$H393,0)</f>
        <v>0</v>
      </c>
      <c r="R393" s="48">
        <f>IF(Учет!$O393=Справочники!$F$3,Учет!$H393,0)</f>
        <v>0</v>
      </c>
      <c r="S393" s="48">
        <f>IF(Учет!$O393=Справочники!$F$4,Учет!$H393,0)</f>
        <v>0</v>
      </c>
      <c r="T393" s="48">
        <f>IF(Учет!$O393=Справочники!$F$5,Учет!$H393,0)</f>
        <v>0</v>
      </c>
      <c r="U393" s="48">
        <f>IF(Учет!$O393=Справочники!$F$6,Учет!$H393,0)</f>
        <v>0</v>
      </c>
      <c r="V393" s="43">
        <f>V392+Учет!Q393-Q393</f>
        <v>-488978.92000000004</v>
      </c>
      <c r="W393" s="43">
        <f>W392+Учет!R393-R393</f>
        <v>336855</v>
      </c>
      <c r="X393" s="43">
        <f>X392+Учет!S393-S393</f>
        <v>500</v>
      </c>
      <c r="Y393" s="43">
        <f>Y392+Учет!T393-T393</f>
        <v>1150</v>
      </c>
      <c r="Z393" s="43">
        <f>Z392+Учет!U393-U393</f>
        <v>500000</v>
      </c>
      <c r="AA393" s="45">
        <f>Учет!X393</f>
        <v>500</v>
      </c>
    </row>
    <row r="394" spans="1:27" ht="15" customHeight="1" x14ac:dyDescent="0.25">
      <c r="A394" s="1"/>
      <c r="B394" s="17"/>
      <c r="C394" s="17"/>
      <c r="D394" s="17"/>
      <c r="E394" s="17"/>
      <c r="F394" s="17"/>
      <c r="G394" s="4">
        <f t="shared" si="15"/>
        <v>0</v>
      </c>
      <c r="H394" s="17"/>
      <c r="I394" s="4">
        <f t="shared" si="17"/>
        <v>349526.07999999996</v>
      </c>
      <c r="J394" s="32" t="str">
        <f t="shared" si="16"/>
        <v/>
      </c>
      <c r="K394" s="72"/>
      <c r="L394" s="72"/>
      <c r="M394" s="2"/>
      <c r="N394" s="5"/>
      <c r="O394" s="3"/>
      <c r="P394" s="6"/>
      <c r="Q394" s="48">
        <f>IF(Учет!$O394=Справочники!$F$2,Учет!$H394,0)</f>
        <v>0</v>
      </c>
      <c r="R394" s="48">
        <f>IF(Учет!$O394=Справочники!$F$3,Учет!$H394,0)</f>
        <v>0</v>
      </c>
      <c r="S394" s="48">
        <f>IF(Учет!$O394=Справочники!$F$4,Учет!$H394,0)</f>
        <v>0</v>
      </c>
      <c r="T394" s="48">
        <f>IF(Учет!$O394=Справочники!$F$5,Учет!$H394,0)</f>
        <v>0</v>
      </c>
      <c r="U394" s="48">
        <f>IF(Учет!$O394=Справочники!$F$6,Учет!$H394,0)</f>
        <v>0</v>
      </c>
      <c r="V394" s="43">
        <f>V393+Учет!Q394-Q394</f>
        <v>-488978.92000000004</v>
      </c>
      <c r="W394" s="43">
        <f>W393+Учет!R394-R394</f>
        <v>336855</v>
      </c>
      <c r="X394" s="43">
        <f>X393+Учет!S394-S394</f>
        <v>500</v>
      </c>
      <c r="Y394" s="43">
        <f>Y393+Учет!T394-T394</f>
        <v>1150</v>
      </c>
      <c r="Z394" s="43">
        <f>Z393+Учет!U394-U394</f>
        <v>500000</v>
      </c>
      <c r="AA394" s="45">
        <f>Учет!X394</f>
        <v>500</v>
      </c>
    </row>
    <row r="395" spans="1:27" ht="15" customHeight="1" x14ac:dyDescent="0.25">
      <c r="A395" s="1"/>
      <c r="B395" s="17"/>
      <c r="C395" s="17"/>
      <c r="D395" s="17"/>
      <c r="E395" s="17"/>
      <c r="F395" s="17"/>
      <c r="G395" s="4">
        <f t="shared" si="15"/>
        <v>0</v>
      </c>
      <c r="H395" s="17"/>
      <c r="I395" s="4">
        <f t="shared" si="17"/>
        <v>349526.07999999996</v>
      </c>
      <c r="J395" s="32" t="str">
        <f t="shared" si="16"/>
        <v/>
      </c>
      <c r="K395" s="72"/>
      <c r="L395" s="72"/>
      <c r="M395" s="2"/>
      <c r="N395" s="5"/>
      <c r="O395" s="3"/>
      <c r="P395" s="6"/>
      <c r="Q395" s="48">
        <f>IF(Учет!$O395=Справочники!$F$2,Учет!$H395,0)</f>
        <v>0</v>
      </c>
      <c r="R395" s="48">
        <f>IF(Учет!$O395=Справочники!$F$3,Учет!$H395,0)</f>
        <v>0</v>
      </c>
      <c r="S395" s="48">
        <f>IF(Учет!$O395=Справочники!$F$4,Учет!$H395,0)</f>
        <v>0</v>
      </c>
      <c r="T395" s="48">
        <f>IF(Учет!$O395=Справочники!$F$5,Учет!$H395,0)</f>
        <v>0</v>
      </c>
      <c r="U395" s="48">
        <f>IF(Учет!$O395=Справочники!$F$6,Учет!$H395,0)</f>
        <v>0</v>
      </c>
      <c r="V395" s="43">
        <f>V394+Учет!Q395-Q395</f>
        <v>-488978.92000000004</v>
      </c>
      <c r="W395" s="43">
        <f>W394+Учет!R395-R395</f>
        <v>336855</v>
      </c>
      <c r="X395" s="43">
        <f>X394+Учет!S395-S395</f>
        <v>500</v>
      </c>
      <c r="Y395" s="43">
        <f>Y394+Учет!T395-T395</f>
        <v>1150</v>
      </c>
      <c r="Z395" s="43">
        <f>Z394+Учет!U395-U395</f>
        <v>500000</v>
      </c>
      <c r="AA395" s="45">
        <f>Учет!X395</f>
        <v>500</v>
      </c>
    </row>
    <row r="396" spans="1:27" ht="15" customHeight="1" x14ac:dyDescent="0.25">
      <c r="A396" s="1"/>
      <c r="B396" s="17"/>
      <c r="C396" s="17"/>
      <c r="D396" s="17"/>
      <c r="E396" s="17"/>
      <c r="F396" s="17"/>
      <c r="G396" s="4">
        <f t="shared" si="15"/>
        <v>0</v>
      </c>
      <c r="H396" s="17"/>
      <c r="I396" s="4">
        <f t="shared" si="17"/>
        <v>349526.07999999996</v>
      </c>
      <c r="J396" s="32" t="str">
        <f t="shared" si="16"/>
        <v/>
      </c>
      <c r="K396" s="72"/>
      <c r="L396" s="72"/>
      <c r="M396" s="2"/>
      <c r="N396" s="5"/>
      <c r="O396" s="3"/>
      <c r="P396" s="6"/>
      <c r="Q396" s="48">
        <f>IF(Учет!$O396=Справочники!$F$2,Учет!$H396,0)</f>
        <v>0</v>
      </c>
      <c r="R396" s="48">
        <f>IF(Учет!$O396=Справочники!$F$3,Учет!$H396,0)</f>
        <v>0</v>
      </c>
      <c r="S396" s="48">
        <f>IF(Учет!$O396=Справочники!$F$4,Учет!$H396,0)</f>
        <v>0</v>
      </c>
      <c r="T396" s="48">
        <f>IF(Учет!$O396=Справочники!$F$5,Учет!$H396,0)</f>
        <v>0</v>
      </c>
      <c r="U396" s="48">
        <f>IF(Учет!$O396=Справочники!$F$6,Учет!$H396,0)</f>
        <v>0</v>
      </c>
      <c r="V396" s="43">
        <f>V395+Учет!Q396-Q396</f>
        <v>-488978.92000000004</v>
      </c>
      <c r="W396" s="43">
        <f>W395+Учет!R396-R396</f>
        <v>336855</v>
      </c>
      <c r="X396" s="43">
        <f>X395+Учет!S396-S396</f>
        <v>500</v>
      </c>
      <c r="Y396" s="43">
        <f>Y395+Учет!T396-T396</f>
        <v>1150</v>
      </c>
      <c r="Z396" s="43">
        <f>Z395+Учет!U396-U396</f>
        <v>500000</v>
      </c>
      <c r="AA396" s="45">
        <f>Учет!X396</f>
        <v>500</v>
      </c>
    </row>
    <row r="397" spans="1:27" ht="15" customHeight="1" x14ac:dyDescent="0.25">
      <c r="A397" s="1"/>
      <c r="B397" s="17"/>
      <c r="C397" s="17"/>
      <c r="D397" s="17"/>
      <c r="E397" s="17"/>
      <c r="F397" s="17"/>
      <c r="G397" s="4">
        <f t="shared" si="15"/>
        <v>0</v>
      </c>
      <c r="H397" s="17"/>
      <c r="I397" s="4">
        <f t="shared" si="17"/>
        <v>349526.07999999996</v>
      </c>
      <c r="J397" s="32" t="str">
        <f t="shared" si="16"/>
        <v/>
      </c>
      <c r="K397" s="72"/>
      <c r="L397" s="72"/>
      <c r="M397" s="2"/>
      <c r="N397" s="5"/>
      <c r="O397" s="3"/>
      <c r="P397" s="6"/>
      <c r="Q397" s="48">
        <f>IF(Учет!$O397=Справочники!$F$2,Учет!$H397,0)</f>
        <v>0</v>
      </c>
      <c r="R397" s="48">
        <f>IF(Учет!$O397=Справочники!$F$3,Учет!$H397,0)</f>
        <v>0</v>
      </c>
      <c r="S397" s="48">
        <f>IF(Учет!$O397=Справочники!$F$4,Учет!$H397,0)</f>
        <v>0</v>
      </c>
      <c r="T397" s="48">
        <f>IF(Учет!$O397=Справочники!$F$5,Учет!$H397,0)</f>
        <v>0</v>
      </c>
      <c r="U397" s="48">
        <f>IF(Учет!$O397=Справочники!$F$6,Учет!$H397,0)</f>
        <v>0</v>
      </c>
      <c r="V397" s="43">
        <f>V396+Учет!Q397-Q397</f>
        <v>-488978.92000000004</v>
      </c>
      <c r="W397" s="43">
        <f>W396+Учет!R397-R397</f>
        <v>336855</v>
      </c>
      <c r="X397" s="43">
        <f>X396+Учет!S397-S397</f>
        <v>500</v>
      </c>
      <c r="Y397" s="43">
        <f>Y396+Учет!T397-T397</f>
        <v>1150</v>
      </c>
      <c r="Z397" s="43">
        <f>Z396+Учет!U397-U397</f>
        <v>500000</v>
      </c>
      <c r="AA397" s="45">
        <f>Учет!X397</f>
        <v>500</v>
      </c>
    </row>
    <row r="398" spans="1:27" ht="15" customHeight="1" x14ac:dyDescent="0.25">
      <c r="A398" s="1"/>
      <c r="B398" s="17"/>
      <c r="C398" s="17"/>
      <c r="D398" s="17"/>
      <c r="E398" s="17"/>
      <c r="F398" s="17"/>
      <c r="G398" s="4">
        <f t="shared" si="15"/>
        <v>0</v>
      </c>
      <c r="H398" s="17"/>
      <c r="I398" s="4">
        <f t="shared" si="17"/>
        <v>349526.07999999996</v>
      </c>
      <c r="J398" s="32" t="str">
        <f t="shared" si="16"/>
        <v/>
      </c>
      <c r="K398" s="72"/>
      <c r="L398" s="72"/>
      <c r="M398" s="2"/>
      <c r="N398" s="5"/>
      <c r="O398" s="3"/>
      <c r="P398" s="6"/>
      <c r="Q398" s="48">
        <f>IF(Учет!$O398=Справочники!$F$2,Учет!$H398,0)</f>
        <v>0</v>
      </c>
      <c r="R398" s="48">
        <f>IF(Учет!$O398=Справочники!$F$3,Учет!$H398,0)</f>
        <v>0</v>
      </c>
      <c r="S398" s="48">
        <f>IF(Учет!$O398=Справочники!$F$4,Учет!$H398,0)</f>
        <v>0</v>
      </c>
      <c r="T398" s="48">
        <f>IF(Учет!$O398=Справочники!$F$5,Учет!$H398,0)</f>
        <v>0</v>
      </c>
      <c r="U398" s="48">
        <f>IF(Учет!$O398=Справочники!$F$6,Учет!$H398,0)</f>
        <v>0</v>
      </c>
      <c r="V398" s="43">
        <f>V397+Учет!Q398-Q398</f>
        <v>-488978.92000000004</v>
      </c>
      <c r="W398" s="43">
        <f>W397+Учет!R398-R398</f>
        <v>336855</v>
      </c>
      <c r="X398" s="43">
        <f>X397+Учет!S398-S398</f>
        <v>500</v>
      </c>
      <c r="Y398" s="43">
        <f>Y397+Учет!T398-T398</f>
        <v>1150</v>
      </c>
      <c r="Z398" s="43">
        <f>Z397+Учет!U398-U398</f>
        <v>500000</v>
      </c>
      <c r="AA398" s="45">
        <f>Учет!X398</f>
        <v>500</v>
      </c>
    </row>
    <row r="399" spans="1:27" ht="15" customHeight="1" x14ac:dyDescent="0.25">
      <c r="A399" s="1"/>
      <c r="B399" s="17"/>
      <c r="C399" s="17"/>
      <c r="D399" s="17"/>
      <c r="E399" s="17"/>
      <c r="F399" s="17"/>
      <c r="G399" s="4">
        <f t="shared" si="15"/>
        <v>0</v>
      </c>
      <c r="H399" s="17"/>
      <c r="I399" s="4">
        <f t="shared" si="17"/>
        <v>349526.07999999996</v>
      </c>
      <c r="J399" s="32" t="str">
        <f t="shared" si="16"/>
        <v/>
      </c>
      <c r="K399" s="72"/>
      <c r="L399" s="72"/>
      <c r="M399" s="2"/>
      <c r="N399" s="5"/>
      <c r="O399" s="3"/>
      <c r="P399" s="6"/>
      <c r="Q399" s="48">
        <f>IF(Учет!$O399=Справочники!$F$2,Учет!$H399,0)</f>
        <v>0</v>
      </c>
      <c r="R399" s="48">
        <f>IF(Учет!$O399=Справочники!$F$3,Учет!$H399,0)</f>
        <v>0</v>
      </c>
      <c r="S399" s="48">
        <f>IF(Учет!$O399=Справочники!$F$4,Учет!$H399,0)</f>
        <v>0</v>
      </c>
      <c r="T399" s="48">
        <f>IF(Учет!$O399=Справочники!$F$5,Учет!$H399,0)</f>
        <v>0</v>
      </c>
      <c r="U399" s="48">
        <f>IF(Учет!$O399=Справочники!$F$6,Учет!$H399,0)</f>
        <v>0</v>
      </c>
      <c r="V399" s="43">
        <f>V398+Учет!Q399-Q399</f>
        <v>-488978.92000000004</v>
      </c>
      <c r="W399" s="43">
        <f>W398+Учет!R399-R399</f>
        <v>336855</v>
      </c>
      <c r="X399" s="43">
        <f>X398+Учет!S399-S399</f>
        <v>500</v>
      </c>
      <c r="Y399" s="43">
        <f>Y398+Учет!T399-T399</f>
        <v>1150</v>
      </c>
      <c r="Z399" s="43">
        <f>Z398+Учет!U399-U399</f>
        <v>500000</v>
      </c>
      <c r="AA399" s="45">
        <f>Учет!X399</f>
        <v>500</v>
      </c>
    </row>
    <row r="400" spans="1:27" ht="15" customHeight="1" x14ac:dyDescent="0.25">
      <c r="A400" s="1"/>
      <c r="B400" s="17"/>
      <c r="C400" s="17"/>
      <c r="D400" s="17"/>
      <c r="E400" s="17"/>
      <c r="F400" s="17"/>
      <c r="G400" s="4">
        <f t="shared" si="15"/>
        <v>0</v>
      </c>
      <c r="H400" s="17"/>
      <c r="I400" s="4">
        <f t="shared" si="17"/>
        <v>349526.07999999996</v>
      </c>
      <c r="J400" s="32" t="str">
        <f t="shared" si="16"/>
        <v/>
      </c>
      <c r="K400" s="72"/>
      <c r="L400" s="72"/>
      <c r="M400" s="2"/>
      <c r="N400" s="5"/>
      <c r="O400" s="3"/>
      <c r="P400" s="6"/>
      <c r="Q400" s="48">
        <f>IF(Учет!$O400=Справочники!$F$2,Учет!$H400,0)</f>
        <v>0</v>
      </c>
      <c r="R400" s="48">
        <f>IF(Учет!$O400=Справочники!$F$3,Учет!$H400,0)</f>
        <v>0</v>
      </c>
      <c r="S400" s="48">
        <f>IF(Учет!$O400=Справочники!$F$4,Учет!$H400,0)</f>
        <v>0</v>
      </c>
      <c r="T400" s="48">
        <f>IF(Учет!$O400=Справочники!$F$5,Учет!$H400,0)</f>
        <v>0</v>
      </c>
      <c r="U400" s="48">
        <f>IF(Учет!$O400=Справочники!$F$6,Учет!$H400,0)</f>
        <v>0</v>
      </c>
      <c r="V400" s="43">
        <f>V399+Учет!Q400-Q400</f>
        <v>-488978.92000000004</v>
      </c>
      <c r="W400" s="43">
        <f>W399+Учет!R400-R400</f>
        <v>336855</v>
      </c>
      <c r="X400" s="43">
        <f>X399+Учет!S400-S400</f>
        <v>500</v>
      </c>
      <c r="Y400" s="43">
        <f>Y399+Учет!T400-T400</f>
        <v>1150</v>
      </c>
      <c r="Z400" s="43">
        <f>Z399+Учет!U400-U400</f>
        <v>500000</v>
      </c>
      <c r="AA400" s="45">
        <f>Учет!X400</f>
        <v>500</v>
      </c>
    </row>
    <row r="401" spans="1:27" ht="15" customHeight="1" x14ac:dyDescent="0.25">
      <c r="A401" s="1"/>
      <c r="B401" s="17"/>
      <c r="C401" s="17"/>
      <c r="D401" s="17"/>
      <c r="E401" s="17"/>
      <c r="F401" s="17"/>
      <c r="G401" s="4">
        <f t="shared" si="15"/>
        <v>0</v>
      </c>
      <c r="H401" s="17"/>
      <c r="I401" s="4">
        <f t="shared" si="17"/>
        <v>349526.07999999996</v>
      </c>
      <c r="J401" s="32" t="str">
        <f t="shared" si="16"/>
        <v/>
      </c>
      <c r="K401" s="72"/>
      <c r="L401" s="72"/>
      <c r="M401" s="2"/>
      <c r="N401" s="5"/>
      <c r="O401" s="3"/>
      <c r="P401" s="6"/>
      <c r="Q401" s="48">
        <f>IF(Учет!$O401=Справочники!$F$2,Учет!$H401,0)</f>
        <v>0</v>
      </c>
      <c r="R401" s="48">
        <f>IF(Учет!$O401=Справочники!$F$3,Учет!$H401,0)</f>
        <v>0</v>
      </c>
      <c r="S401" s="48">
        <f>IF(Учет!$O401=Справочники!$F$4,Учет!$H401,0)</f>
        <v>0</v>
      </c>
      <c r="T401" s="48">
        <f>IF(Учет!$O401=Справочники!$F$5,Учет!$H401,0)</f>
        <v>0</v>
      </c>
      <c r="U401" s="48">
        <f>IF(Учет!$O401=Справочники!$F$6,Учет!$H401,0)</f>
        <v>0</v>
      </c>
      <c r="V401" s="43">
        <f>V400+Учет!Q401-Q401</f>
        <v>-488978.92000000004</v>
      </c>
      <c r="W401" s="43">
        <f>W400+Учет!R401-R401</f>
        <v>336855</v>
      </c>
      <c r="X401" s="43">
        <f>X400+Учет!S401-S401</f>
        <v>500</v>
      </c>
      <c r="Y401" s="43">
        <f>Y400+Учет!T401-T401</f>
        <v>1150</v>
      </c>
      <c r="Z401" s="43">
        <f>Z400+Учет!U401-U401</f>
        <v>500000</v>
      </c>
      <c r="AA401" s="45">
        <f>Учет!X401</f>
        <v>500</v>
      </c>
    </row>
    <row r="402" spans="1:27" ht="15" customHeight="1" x14ac:dyDescent="0.25">
      <c r="A402" s="1"/>
      <c r="B402" s="17"/>
      <c r="C402" s="17"/>
      <c r="D402" s="17"/>
      <c r="E402" s="17"/>
      <c r="F402" s="17"/>
      <c r="G402" s="4">
        <f t="shared" si="15"/>
        <v>0</v>
      </c>
      <c r="H402" s="17"/>
      <c r="I402" s="4">
        <f t="shared" si="17"/>
        <v>349526.07999999996</v>
      </c>
      <c r="J402" s="32" t="str">
        <f t="shared" si="16"/>
        <v/>
      </c>
      <c r="K402" s="72"/>
      <c r="L402" s="72"/>
      <c r="M402" s="2"/>
      <c r="N402" s="5"/>
      <c r="O402" s="3"/>
      <c r="P402" s="6"/>
      <c r="Q402" s="48">
        <f>IF(Учет!$O402=Справочники!$F$2,Учет!$H402,0)</f>
        <v>0</v>
      </c>
      <c r="R402" s="48">
        <f>IF(Учет!$O402=Справочники!$F$3,Учет!$H402,0)</f>
        <v>0</v>
      </c>
      <c r="S402" s="48">
        <f>IF(Учет!$O402=Справочники!$F$4,Учет!$H402,0)</f>
        <v>0</v>
      </c>
      <c r="T402" s="48">
        <f>IF(Учет!$O402=Справочники!$F$5,Учет!$H402,0)</f>
        <v>0</v>
      </c>
      <c r="U402" s="48">
        <f>IF(Учет!$O402=Справочники!$F$6,Учет!$H402,0)</f>
        <v>0</v>
      </c>
      <c r="V402" s="43">
        <f>V401+Учет!Q402-Q402</f>
        <v>-488978.92000000004</v>
      </c>
      <c r="W402" s="43">
        <f>W401+Учет!R402-R402</f>
        <v>336855</v>
      </c>
      <c r="X402" s="43">
        <f>X401+Учет!S402-S402</f>
        <v>500</v>
      </c>
      <c r="Y402" s="43">
        <f>Y401+Учет!T402-T402</f>
        <v>1150</v>
      </c>
      <c r="Z402" s="43">
        <f>Z401+Учет!U402-U402</f>
        <v>500000</v>
      </c>
      <c r="AA402" s="45">
        <f>Учет!X402</f>
        <v>500</v>
      </c>
    </row>
    <row r="403" spans="1:27" ht="15" customHeight="1" x14ac:dyDescent="0.25">
      <c r="A403" s="1"/>
      <c r="B403" s="17"/>
      <c r="C403" s="17"/>
      <c r="D403" s="17"/>
      <c r="E403" s="17"/>
      <c r="F403" s="17"/>
      <c r="G403" s="4">
        <f t="shared" si="15"/>
        <v>0</v>
      </c>
      <c r="H403" s="17"/>
      <c r="I403" s="4">
        <f t="shared" si="17"/>
        <v>349526.07999999996</v>
      </c>
      <c r="J403" s="32" t="str">
        <f t="shared" si="16"/>
        <v/>
      </c>
      <c r="K403" s="72"/>
      <c r="L403" s="72"/>
      <c r="M403" s="2"/>
      <c r="N403" s="5"/>
      <c r="O403" s="3"/>
      <c r="P403" s="6"/>
      <c r="Q403" s="48">
        <f>IF(Учет!$O403=Справочники!$F$2,Учет!$H403,0)</f>
        <v>0</v>
      </c>
      <c r="R403" s="48">
        <f>IF(Учет!$O403=Справочники!$F$3,Учет!$H403,0)</f>
        <v>0</v>
      </c>
      <c r="S403" s="48">
        <f>IF(Учет!$O403=Справочники!$F$4,Учет!$H403,0)</f>
        <v>0</v>
      </c>
      <c r="T403" s="48">
        <f>IF(Учет!$O403=Справочники!$F$5,Учет!$H403,0)</f>
        <v>0</v>
      </c>
      <c r="U403" s="48">
        <f>IF(Учет!$O403=Справочники!$F$6,Учет!$H403,0)</f>
        <v>0</v>
      </c>
      <c r="V403" s="43">
        <f>V402+Учет!Q403-Q403</f>
        <v>-488978.92000000004</v>
      </c>
      <c r="W403" s="43">
        <f>W402+Учет!R403-R403</f>
        <v>336855</v>
      </c>
      <c r="X403" s="43">
        <f>X402+Учет!S403-S403</f>
        <v>500</v>
      </c>
      <c r="Y403" s="43">
        <f>Y402+Учет!T403-T403</f>
        <v>1150</v>
      </c>
      <c r="Z403" s="43">
        <f>Z402+Учет!U403-U403</f>
        <v>500000</v>
      </c>
      <c r="AA403" s="45">
        <f>Учет!X403</f>
        <v>500</v>
      </c>
    </row>
    <row r="404" spans="1:27" ht="15" customHeight="1" x14ac:dyDescent="0.25">
      <c r="A404" s="1"/>
      <c r="B404" s="17"/>
      <c r="C404" s="17"/>
      <c r="D404" s="17"/>
      <c r="E404" s="17"/>
      <c r="F404" s="17"/>
      <c r="G404" s="4">
        <f t="shared" si="15"/>
        <v>0</v>
      </c>
      <c r="H404" s="17"/>
      <c r="I404" s="4">
        <f t="shared" si="17"/>
        <v>349526.07999999996</v>
      </c>
      <c r="J404" s="32" t="str">
        <f t="shared" si="16"/>
        <v/>
      </c>
      <c r="K404" s="72"/>
      <c r="L404" s="72"/>
      <c r="M404" s="2"/>
      <c r="N404" s="5"/>
      <c r="O404" s="3"/>
      <c r="P404" s="6"/>
      <c r="Q404" s="48">
        <f>IF(Учет!$O404=Справочники!$F$2,Учет!$H404,0)</f>
        <v>0</v>
      </c>
      <c r="R404" s="48">
        <f>IF(Учет!$O404=Справочники!$F$3,Учет!$H404,0)</f>
        <v>0</v>
      </c>
      <c r="S404" s="48">
        <f>IF(Учет!$O404=Справочники!$F$4,Учет!$H404,0)</f>
        <v>0</v>
      </c>
      <c r="T404" s="48">
        <f>IF(Учет!$O404=Справочники!$F$5,Учет!$H404,0)</f>
        <v>0</v>
      </c>
      <c r="U404" s="48">
        <f>IF(Учет!$O404=Справочники!$F$6,Учет!$H404,0)</f>
        <v>0</v>
      </c>
      <c r="V404" s="43">
        <f>V403+Учет!Q404-Q404</f>
        <v>-488978.92000000004</v>
      </c>
      <c r="W404" s="43">
        <f>W403+Учет!R404-R404</f>
        <v>336855</v>
      </c>
      <c r="X404" s="43">
        <f>X403+Учет!S404-S404</f>
        <v>500</v>
      </c>
      <c r="Y404" s="43">
        <f>Y403+Учет!T404-T404</f>
        <v>1150</v>
      </c>
      <c r="Z404" s="43">
        <f>Z403+Учет!U404-U404</f>
        <v>500000</v>
      </c>
      <c r="AA404" s="45">
        <f>Учет!X404</f>
        <v>500</v>
      </c>
    </row>
    <row r="405" spans="1:27" ht="15" customHeight="1" x14ac:dyDescent="0.25">
      <c r="A405" s="1"/>
      <c r="B405" s="17"/>
      <c r="C405" s="17"/>
      <c r="D405" s="17"/>
      <c r="E405" s="17"/>
      <c r="F405" s="17"/>
      <c r="G405" s="4">
        <f t="shared" si="15"/>
        <v>0</v>
      </c>
      <c r="H405" s="17"/>
      <c r="I405" s="4">
        <f t="shared" si="17"/>
        <v>349526.07999999996</v>
      </c>
      <c r="J405" s="32" t="str">
        <f t="shared" si="16"/>
        <v/>
      </c>
      <c r="K405" s="72"/>
      <c r="L405" s="72"/>
      <c r="M405" s="2"/>
      <c r="N405" s="5"/>
      <c r="O405" s="3"/>
      <c r="P405" s="6"/>
      <c r="Q405" s="48">
        <f>IF(Учет!$O405=Справочники!$F$2,Учет!$H405,0)</f>
        <v>0</v>
      </c>
      <c r="R405" s="48">
        <f>IF(Учет!$O405=Справочники!$F$3,Учет!$H405,0)</f>
        <v>0</v>
      </c>
      <c r="S405" s="48">
        <f>IF(Учет!$O405=Справочники!$F$4,Учет!$H405,0)</f>
        <v>0</v>
      </c>
      <c r="T405" s="48">
        <f>IF(Учет!$O405=Справочники!$F$5,Учет!$H405,0)</f>
        <v>0</v>
      </c>
      <c r="U405" s="48">
        <f>IF(Учет!$O405=Справочники!$F$6,Учет!$H405,0)</f>
        <v>0</v>
      </c>
      <c r="V405" s="43">
        <f>V404+Учет!Q405-Q405</f>
        <v>-488978.92000000004</v>
      </c>
      <c r="W405" s="43">
        <f>W404+Учет!R405-R405</f>
        <v>336855</v>
      </c>
      <c r="X405" s="43">
        <f>X404+Учет!S405-S405</f>
        <v>500</v>
      </c>
      <c r="Y405" s="43">
        <f>Y404+Учет!T405-T405</f>
        <v>1150</v>
      </c>
      <c r="Z405" s="43">
        <f>Z404+Учет!U405-U405</f>
        <v>500000</v>
      </c>
      <c r="AA405" s="45">
        <f>Учет!X405</f>
        <v>500</v>
      </c>
    </row>
    <row r="406" spans="1:27" ht="15" customHeight="1" x14ac:dyDescent="0.25">
      <c r="A406" s="1"/>
      <c r="B406" s="17"/>
      <c r="C406" s="17"/>
      <c r="D406" s="17"/>
      <c r="E406" s="17"/>
      <c r="F406" s="17"/>
      <c r="G406" s="4">
        <f t="shared" si="15"/>
        <v>0</v>
      </c>
      <c r="H406" s="17"/>
      <c r="I406" s="4">
        <f t="shared" si="17"/>
        <v>349526.07999999996</v>
      </c>
      <c r="J406" s="32" t="str">
        <f t="shared" si="16"/>
        <v/>
      </c>
      <c r="K406" s="72"/>
      <c r="L406" s="72"/>
      <c r="M406" s="2"/>
      <c r="N406" s="5"/>
      <c r="O406" s="3"/>
      <c r="P406" s="6"/>
      <c r="Q406" s="48">
        <f>IF(Учет!$O406=Справочники!$F$2,Учет!$H406,0)</f>
        <v>0</v>
      </c>
      <c r="R406" s="48">
        <f>IF(Учет!$O406=Справочники!$F$3,Учет!$H406,0)</f>
        <v>0</v>
      </c>
      <c r="S406" s="48">
        <f>IF(Учет!$O406=Справочники!$F$4,Учет!$H406,0)</f>
        <v>0</v>
      </c>
      <c r="T406" s="48">
        <f>IF(Учет!$O406=Справочники!$F$5,Учет!$H406,0)</f>
        <v>0</v>
      </c>
      <c r="U406" s="48">
        <f>IF(Учет!$O406=Справочники!$F$6,Учет!$H406,0)</f>
        <v>0</v>
      </c>
      <c r="V406" s="43">
        <f>V405+Учет!Q406-Q406</f>
        <v>-488978.92000000004</v>
      </c>
      <c r="W406" s="43">
        <f>W405+Учет!R406-R406</f>
        <v>336855</v>
      </c>
      <c r="X406" s="43">
        <f>X405+Учет!S406-S406</f>
        <v>500</v>
      </c>
      <c r="Y406" s="43">
        <f>Y405+Учет!T406-T406</f>
        <v>1150</v>
      </c>
      <c r="Z406" s="43">
        <f>Z405+Учет!U406-U406</f>
        <v>500000</v>
      </c>
      <c r="AA406" s="45">
        <f>Учет!X406</f>
        <v>500</v>
      </c>
    </row>
    <row r="407" spans="1:27" ht="15" customHeight="1" x14ac:dyDescent="0.25">
      <c r="A407" s="1"/>
      <c r="B407" s="17"/>
      <c r="C407" s="17"/>
      <c r="D407" s="17"/>
      <c r="E407" s="17"/>
      <c r="F407" s="17"/>
      <c r="G407" s="4">
        <f t="shared" si="15"/>
        <v>0</v>
      </c>
      <c r="H407" s="17"/>
      <c r="I407" s="4">
        <f t="shared" si="17"/>
        <v>349526.07999999996</v>
      </c>
      <c r="J407" s="32" t="str">
        <f t="shared" si="16"/>
        <v/>
      </c>
      <c r="K407" s="72"/>
      <c r="L407" s="72"/>
      <c r="M407" s="2"/>
      <c r="N407" s="5"/>
      <c r="O407" s="3"/>
      <c r="P407" s="6"/>
      <c r="Q407" s="48">
        <f>IF(Учет!$O407=Справочники!$F$2,Учет!$H407,0)</f>
        <v>0</v>
      </c>
      <c r="R407" s="48">
        <f>IF(Учет!$O407=Справочники!$F$3,Учет!$H407,0)</f>
        <v>0</v>
      </c>
      <c r="S407" s="48">
        <f>IF(Учет!$O407=Справочники!$F$4,Учет!$H407,0)</f>
        <v>0</v>
      </c>
      <c r="T407" s="48">
        <f>IF(Учет!$O407=Справочники!$F$5,Учет!$H407,0)</f>
        <v>0</v>
      </c>
      <c r="U407" s="48">
        <f>IF(Учет!$O407=Справочники!$F$6,Учет!$H407,0)</f>
        <v>0</v>
      </c>
      <c r="V407" s="43">
        <f>V406+Учет!Q407-Q407</f>
        <v>-488978.92000000004</v>
      </c>
      <c r="W407" s="43">
        <f>W406+Учет!R407-R407</f>
        <v>336855</v>
      </c>
      <c r="X407" s="43">
        <f>X406+Учет!S407-S407</f>
        <v>500</v>
      </c>
      <c r="Y407" s="43">
        <f>Y406+Учет!T407-T407</f>
        <v>1150</v>
      </c>
      <c r="Z407" s="43">
        <f>Z406+Учет!U407-U407</f>
        <v>500000</v>
      </c>
      <c r="AA407" s="45">
        <f>Учет!X407</f>
        <v>500</v>
      </c>
    </row>
    <row r="408" spans="1:27" ht="15" customHeight="1" x14ac:dyDescent="0.25">
      <c r="A408" s="1"/>
      <c r="B408" s="17"/>
      <c r="C408" s="17"/>
      <c r="D408" s="17"/>
      <c r="E408" s="17"/>
      <c r="F408" s="17"/>
      <c r="G408" s="4">
        <f t="shared" si="15"/>
        <v>0</v>
      </c>
      <c r="H408" s="17"/>
      <c r="I408" s="4">
        <f t="shared" si="17"/>
        <v>349526.07999999996</v>
      </c>
      <c r="J408" s="32" t="str">
        <f t="shared" si="16"/>
        <v/>
      </c>
      <c r="K408" s="72"/>
      <c r="L408" s="72"/>
      <c r="M408" s="2"/>
      <c r="N408" s="5"/>
      <c r="O408" s="3"/>
      <c r="P408" s="6"/>
      <c r="Q408" s="48">
        <f>IF(Учет!$O408=Справочники!$F$2,Учет!$H408,0)</f>
        <v>0</v>
      </c>
      <c r="R408" s="48">
        <f>IF(Учет!$O408=Справочники!$F$3,Учет!$H408,0)</f>
        <v>0</v>
      </c>
      <c r="S408" s="48">
        <f>IF(Учет!$O408=Справочники!$F$4,Учет!$H408,0)</f>
        <v>0</v>
      </c>
      <c r="T408" s="48">
        <f>IF(Учет!$O408=Справочники!$F$5,Учет!$H408,0)</f>
        <v>0</v>
      </c>
      <c r="U408" s="48">
        <f>IF(Учет!$O408=Справочники!$F$6,Учет!$H408,0)</f>
        <v>0</v>
      </c>
      <c r="V408" s="43">
        <f>V407+Учет!Q408-Q408</f>
        <v>-488978.92000000004</v>
      </c>
      <c r="W408" s="43">
        <f>W407+Учет!R408-R408</f>
        <v>336855</v>
      </c>
      <c r="X408" s="43">
        <f>X407+Учет!S408-S408</f>
        <v>500</v>
      </c>
      <c r="Y408" s="43">
        <f>Y407+Учет!T408-T408</f>
        <v>1150</v>
      </c>
      <c r="Z408" s="43">
        <f>Z407+Учет!U408-U408</f>
        <v>500000</v>
      </c>
      <c r="AA408" s="45">
        <f>Учет!X408</f>
        <v>500</v>
      </c>
    </row>
    <row r="409" spans="1:27" ht="15" customHeight="1" x14ac:dyDescent="0.25">
      <c r="A409" s="1"/>
      <c r="B409" s="17"/>
      <c r="C409" s="17"/>
      <c r="D409" s="17"/>
      <c r="E409" s="17"/>
      <c r="F409" s="17"/>
      <c r="G409" s="4">
        <f t="shared" si="15"/>
        <v>0</v>
      </c>
      <c r="H409" s="17"/>
      <c r="I409" s="4">
        <f t="shared" si="17"/>
        <v>349526.07999999996</v>
      </c>
      <c r="J409" s="32" t="str">
        <f t="shared" si="16"/>
        <v/>
      </c>
      <c r="K409" s="72"/>
      <c r="L409" s="72"/>
      <c r="M409" s="2"/>
      <c r="N409" s="5"/>
      <c r="O409" s="3"/>
      <c r="P409" s="6"/>
      <c r="Q409" s="48">
        <f>IF(Учет!$O409=Справочники!$F$2,Учет!$H409,0)</f>
        <v>0</v>
      </c>
      <c r="R409" s="48">
        <f>IF(Учет!$O409=Справочники!$F$3,Учет!$H409,0)</f>
        <v>0</v>
      </c>
      <c r="S409" s="48">
        <f>IF(Учет!$O409=Справочники!$F$4,Учет!$H409,0)</f>
        <v>0</v>
      </c>
      <c r="T409" s="48">
        <f>IF(Учет!$O409=Справочники!$F$5,Учет!$H409,0)</f>
        <v>0</v>
      </c>
      <c r="U409" s="48">
        <f>IF(Учет!$O409=Справочники!$F$6,Учет!$H409,0)</f>
        <v>0</v>
      </c>
      <c r="V409" s="43">
        <f>V408+Учет!Q409-Q409</f>
        <v>-488978.92000000004</v>
      </c>
      <c r="W409" s="43">
        <f>W408+Учет!R409-R409</f>
        <v>336855</v>
      </c>
      <c r="X409" s="43">
        <f>X408+Учет!S409-S409</f>
        <v>500</v>
      </c>
      <c r="Y409" s="43">
        <f>Y408+Учет!T409-T409</f>
        <v>1150</v>
      </c>
      <c r="Z409" s="43">
        <f>Z408+Учет!U409-U409</f>
        <v>500000</v>
      </c>
      <c r="AA409" s="45">
        <f>Учет!X409</f>
        <v>500</v>
      </c>
    </row>
    <row r="410" spans="1:27" ht="15" customHeight="1" x14ac:dyDescent="0.25">
      <c r="A410" s="1"/>
      <c r="B410" s="17"/>
      <c r="C410" s="17"/>
      <c r="D410" s="17"/>
      <c r="E410" s="17"/>
      <c r="F410" s="17"/>
      <c r="G410" s="4">
        <f t="shared" si="15"/>
        <v>0</v>
      </c>
      <c r="H410" s="17"/>
      <c r="I410" s="4">
        <f t="shared" si="17"/>
        <v>349526.07999999996</v>
      </c>
      <c r="J410" s="32" t="str">
        <f t="shared" si="16"/>
        <v/>
      </c>
      <c r="K410" s="72"/>
      <c r="L410" s="72"/>
      <c r="M410" s="2"/>
      <c r="N410" s="5"/>
      <c r="O410" s="3"/>
      <c r="P410" s="6"/>
      <c r="Q410" s="48">
        <f>IF(Учет!$O410=Справочники!$F$2,Учет!$H410,0)</f>
        <v>0</v>
      </c>
      <c r="R410" s="48">
        <f>IF(Учет!$O410=Справочники!$F$3,Учет!$H410,0)</f>
        <v>0</v>
      </c>
      <c r="S410" s="48">
        <f>IF(Учет!$O410=Справочники!$F$4,Учет!$H410,0)</f>
        <v>0</v>
      </c>
      <c r="T410" s="48">
        <f>IF(Учет!$O410=Справочники!$F$5,Учет!$H410,0)</f>
        <v>0</v>
      </c>
      <c r="U410" s="48">
        <f>IF(Учет!$O410=Справочники!$F$6,Учет!$H410,0)</f>
        <v>0</v>
      </c>
      <c r="V410" s="43">
        <f>V409+Учет!Q410-Q410</f>
        <v>-488978.92000000004</v>
      </c>
      <c r="W410" s="43">
        <f>W409+Учет!R410-R410</f>
        <v>336855</v>
      </c>
      <c r="X410" s="43">
        <f>X409+Учет!S410-S410</f>
        <v>500</v>
      </c>
      <c r="Y410" s="43">
        <f>Y409+Учет!T410-T410</f>
        <v>1150</v>
      </c>
      <c r="Z410" s="43">
        <f>Z409+Учет!U410-U410</f>
        <v>500000</v>
      </c>
      <c r="AA410" s="45">
        <f>Учет!X410</f>
        <v>500</v>
      </c>
    </row>
    <row r="411" spans="1:27" ht="15" customHeight="1" x14ac:dyDescent="0.25">
      <c r="A411" s="1"/>
      <c r="B411" s="17"/>
      <c r="C411" s="17"/>
      <c r="D411" s="17"/>
      <c r="E411" s="17"/>
      <c r="F411" s="17"/>
      <c r="G411" s="4">
        <f t="shared" si="15"/>
        <v>0</v>
      </c>
      <c r="H411" s="17"/>
      <c r="I411" s="4">
        <f t="shared" si="17"/>
        <v>349526.07999999996</v>
      </c>
      <c r="J411" s="32" t="str">
        <f t="shared" si="16"/>
        <v/>
      </c>
      <c r="K411" s="72"/>
      <c r="L411" s="72"/>
      <c r="M411" s="2"/>
      <c r="N411" s="5"/>
      <c r="O411" s="3"/>
      <c r="P411" s="6"/>
      <c r="Q411" s="48">
        <f>IF(Учет!$O411=Справочники!$F$2,Учет!$H411,0)</f>
        <v>0</v>
      </c>
      <c r="R411" s="48">
        <f>IF(Учет!$O411=Справочники!$F$3,Учет!$H411,0)</f>
        <v>0</v>
      </c>
      <c r="S411" s="48">
        <f>IF(Учет!$O411=Справочники!$F$4,Учет!$H411,0)</f>
        <v>0</v>
      </c>
      <c r="T411" s="48">
        <f>IF(Учет!$O411=Справочники!$F$5,Учет!$H411,0)</f>
        <v>0</v>
      </c>
      <c r="U411" s="48">
        <f>IF(Учет!$O411=Справочники!$F$6,Учет!$H411,0)</f>
        <v>0</v>
      </c>
      <c r="V411" s="43">
        <f>V410+Учет!Q411-Q411</f>
        <v>-488978.92000000004</v>
      </c>
      <c r="W411" s="43">
        <f>W410+Учет!R411-R411</f>
        <v>336855</v>
      </c>
      <c r="X411" s="43">
        <f>X410+Учет!S411-S411</f>
        <v>500</v>
      </c>
      <c r="Y411" s="43">
        <f>Y410+Учет!T411-T411</f>
        <v>1150</v>
      </c>
      <c r="Z411" s="43">
        <f>Z410+Учет!U411-U411</f>
        <v>500000</v>
      </c>
      <c r="AA411" s="45">
        <f>Учет!X411</f>
        <v>500</v>
      </c>
    </row>
    <row r="412" spans="1:27" ht="15" customHeight="1" x14ac:dyDescent="0.25">
      <c r="A412" s="1"/>
      <c r="B412" s="17"/>
      <c r="C412" s="17"/>
      <c r="D412" s="17"/>
      <c r="E412" s="17"/>
      <c r="F412" s="17"/>
      <c r="G412" s="4">
        <f t="shared" si="15"/>
        <v>0</v>
      </c>
      <c r="H412" s="17"/>
      <c r="I412" s="4">
        <f t="shared" si="17"/>
        <v>349526.07999999996</v>
      </c>
      <c r="J412" s="32" t="str">
        <f t="shared" si="16"/>
        <v/>
      </c>
      <c r="K412" s="72"/>
      <c r="L412" s="72"/>
      <c r="M412" s="2"/>
      <c r="N412" s="5"/>
      <c r="O412" s="3"/>
      <c r="P412" s="6"/>
      <c r="Q412" s="48">
        <f>IF(Учет!$O412=Справочники!$F$2,Учет!$H412,0)</f>
        <v>0</v>
      </c>
      <c r="R412" s="48">
        <f>IF(Учет!$O412=Справочники!$F$3,Учет!$H412,0)</f>
        <v>0</v>
      </c>
      <c r="S412" s="48">
        <f>IF(Учет!$O412=Справочники!$F$4,Учет!$H412,0)</f>
        <v>0</v>
      </c>
      <c r="T412" s="48">
        <f>IF(Учет!$O412=Справочники!$F$5,Учет!$H412,0)</f>
        <v>0</v>
      </c>
      <c r="U412" s="48">
        <f>IF(Учет!$O412=Справочники!$F$6,Учет!$H412,0)</f>
        <v>0</v>
      </c>
      <c r="V412" s="43">
        <f>V411+Учет!Q412-Q412</f>
        <v>-488978.92000000004</v>
      </c>
      <c r="W412" s="43">
        <f>W411+Учет!R412-R412</f>
        <v>336855</v>
      </c>
      <c r="X412" s="43">
        <f>X411+Учет!S412-S412</f>
        <v>500</v>
      </c>
      <c r="Y412" s="43">
        <f>Y411+Учет!T412-T412</f>
        <v>1150</v>
      </c>
      <c r="Z412" s="43">
        <f>Z411+Учет!U412-U412</f>
        <v>500000</v>
      </c>
      <c r="AA412" s="45">
        <f>Учет!X412</f>
        <v>500</v>
      </c>
    </row>
    <row r="413" spans="1:27" ht="15" customHeight="1" x14ac:dyDescent="0.25">
      <c r="A413" s="1"/>
      <c r="B413" s="17"/>
      <c r="C413" s="17"/>
      <c r="D413" s="17"/>
      <c r="E413" s="17"/>
      <c r="F413" s="17"/>
      <c r="G413" s="4">
        <f t="shared" si="15"/>
        <v>0</v>
      </c>
      <c r="H413" s="17"/>
      <c r="I413" s="4">
        <f t="shared" si="17"/>
        <v>349526.07999999996</v>
      </c>
      <c r="J413" s="32" t="str">
        <f t="shared" si="16"/>
        <v/>
      </c>
      <c r="K413" s="72"/>
      <c r="L413" s="72"/>
      <c r="M413" s="2"/>
      <c r="N413" s="5"/>
      <c r="O413" s="3"/>
      <c r="P413" s="6"/>
      <c r="Q413" s="48">
        <f>IF(Учет!$O413=Справочники!$F$2,Учет!$H413,0)</f>
        <v>0</v>
      </c>
      <c r="R413" s="48">
        <f>IF(Учет!$O413=Справочники!$F$3,Учет!$H413,0)</f>
        <v>0</v>
      </c>
      <c r="S413" s="48">
        <f>IF(Учет!$O413=Справочники!$F$4,Учет!$H413,0)</f>
        <v>0</v>
      </c>
      <c r="T413" s="48">
        <f>IF(Учет!$O413=Справочники!$F$5,Учет!$H413,0)</f>
        <v>0</v>
      </c>
      <c r="U413" s="48">
        <f>IF(Учет!$O413=Справочники!$F$6,Учет!$H413,0)</f>
        <v>0</v>
      </c>
      <c r="V413" s="43">
        <f>V412+Учет!Q413-Q413</f>
        <v>-488978.92000000004</v>
      </c>
      <c r="W413" s="43">
        <f>W412+Учет!R413-R413</f>
        <v>336855</v>
      </c>
      <c r="X413" s="43">
        <f>X412+Учет!S413-S413</f>
        <v>500</v>
      </c>
      <c r="Y413" s="43">
        <f>Y412+Учет!T413-T413</f>
        <v>1150</v>
      </c>
      <c r="Z413" s="43">
        <f>Z412+Учет!U413-U413</f>
        <v>500000</v>
      </c>
      <c r="AA413" s="45">
        <f>Учет!X413</f>
        <v>500</v>
      </c>
    </row>
    <row r="414" spans="1:27" ht="15" customHeight="1" x14ac:dyDescent="0.25">
      <c r="A414" s="1"/>
      <c r="B414" s="17"/>
      <c r="C414" s="17"/>
      <c r="D414" s="17"/>
      <c r="E414" s="17"/>
      <c r="F414" s="17"/>
      <c r="G414" s="4">
        <f t="shared" si="15"/>
        <v>0</v>
      </c>
      <c r="H414" s="17"/>
      <c r="I414" s="4">
        <f t="shared" si="17"/>
        <v>349526.07999999996</v>
      </c>
      <c r="J414" s="32" t="str">
        <f t="shared" si="16"/>
        <v/>
      </c>
      <c r="K414" s="72"/>
      <c r="L414" s="72"/>
      <c r="M414" s="2"/>
      <c r="N414" s="5"/>
      <c r="O414" s="3"/>
      <c r="P414" s="6"/>
      <c r="Q414" s="48">
        <f>IF(Учет!$O414=Справочники!$F$2,Учет!$H414,0)</f>
        <v>0</v>
      </c>
      <c r="R414" s="48">
        <f>IF(Учет!$O414=Справочники!$F$3,Учет!$H414,0)</f>
        <v>0</v>
      </c>
      <c r="S414" s="48">
        <f>IF(Учет!$O414=Справочники!$F$4,Учет!$H414,0)</f>
        <v>0</v>
      </c>
      <c r="T414" s="48">
        <f>IF(Учет!$O414=Справочники!$F$5,Учет!$H414,0)</f>
        <v>0</v>
      </c>
      <c r="U414" s="48">
        <f>IF(Учет!$O414=Справочники!$F$6,Учет!$H414,0)</f>
        <v>0</v>
      </c>
      <c r="V414" s="43">
        <f>V413+Учет!Q414-Q414</f>
        <v>-488978.92000000004</v>
      </c>
      <c r="W414" s="43">
        <f>W413+Учет!R414-R414</f>
        <v>336855</v>
      </c>
      <c r="X414" s="43">
        <f>X413+Учет!S414-S414</f>
        <v>500</v>
      </c>
      <c r="Y414" s="43">
        <f>Y413+Учет!T414-T414</f>
        <v>1150</v>
      </c>
      <c r="Z414" s="43">
        <f>Z413+Учет!U414-U414</f>
        <v>500000</v>
      </c>
      <c r="AA414" s="45">
        <f>Учет!X414</f>
        <v>500</v>
      </c>
    </row>
    <row r="415" spans="1:27" ht="15" customHeight="1" x14ac:dyDescent="0.25">
      <c r="A415" s="1"/>
      <c r="B415" s="17"/>
      <c r="C415" s="17"/>
      <c r="D415" s="17"/>
      <c r="E415" s="17"/>
      <c r="F415" s="17"/>
      <c r="G415" s="4">
        <f t="shared" si="15"/>
        <v>0</v>
      </c>
      <c r="H415" s="17"/>
      <c r="I415" s="4">
        <f t="shared" si="17"/>
        <v>349526.07999999996</v>
      </c>
      <c r="J415" s="32" t="str">
        <f t="shared" si="16"/>
        <v/>
      </c>
      <c r="K415" s="72"/>
      <c r="L415" s="72"/>
      <c r="M415" s="2"/>
      <c r="N415" s="5"/>
      <c r="O415" s="3"/>
      <c r="P415" s="6"/>
      <c r="Q415" s="48">
        <f>IF(Учет!$O415=Справочники!$F$2,Учет!$H415,0)</f>
        <v>0</v>
      </c>
      <c r="R415" s="48">
        <f>IF(Учет!$O415=Справочники!$F$3,Учет!$H415,0)</f>
        <v>0</v>
      </c>
      <c r="S415" s="48">
        <f>IF(Учет!$O415=Справочники!$F$4,Учет!$H415,0)</f>
        <v>0</v>
      </c>
      <c r="T415" s="48">
        <f>IF(Учет!$O415=Справочники!$F$5,Учет!$H415,0)</f>
        <v>0</v>
      </c>
      <c r="U415" s="48">
        <f>IF(Учет!$O415=Справочники!$F$6,Учет!$H415,0)</f>
        <v>0</v>
      </c>
      <c r="V415" s="43">
        <f>V414+Учет!Q415-Q415</f>
        <v>-488978.92000000004</v>
      </c>
      <c r="W415" s="43">
        <f>W414+Учет!R415-R415</f>
        <v>336855</v>
      </c>
      <c r="X415" s="43">
        <f>X414+Учет!S415-S415</f>
        <v>500</v>
      </c>
      <c r="Y415" s="43">
        <f>Y414+Учет!T415-T415</f>
        <v>1150</v>
      </c>
      <c r="Z415" s="43">
        <f>Z414+Учет!U415-U415</f>
        <v>500000</v>
      </c>
      <c r="AA415" s="45">
        <f>Учет!X415</f>
        <v>500</v>
      </c>
    </row>
    <row r="416" spans="1:27" ht="15" customHeight="1" x14ac:dyDescent="0.25">
      <c r="A416" s="1"/>
      <c r="B416" s="17"/>
      <c r="C416" s="17"/>
      <c r="D416" s="17"/>
      <c r="E416" s="17"/>
      <c r="F416" s="17"/>
      <c r="G416" s="4">
        <f t="shared" si="15"/>
        <v>0</v>
      </c>
      <c r="H416" s="17"/>
      <c r="I416" s="4">
        <f t="shared" si="17"/>
        <v>349526.07999999996</v>
      </c>
      <c r="J416" s="32" t="str">
        <f t="shared" si="16"/>
        <v/>
      </c>
      <c r="K416" s="72"/>
      <c r="L416" s="72"/>
      <c r="M416" s="2"/>
      <c r="N416" s="5"/>
      <c r="O416" s="3"/>
      <c r="P416" s="6"/>
      <c r="Q416" s="48">
        <f>IF(Учет!$O416=Справочники!$F$2,Учет!$H416,0)</f>
        <v>0</v>
      </c>
      <c r="R416" s="48">
        <f>IF(Учет!$O416=Справочники!$F$3,Учет!$H416,0)</f>
        <v>0</v>
      </c>
      <c r="S416" s="48">
        <f>IF(Учет!$O416=Справочники!$F$4,Учет!$H416,0)</f>
        <v>0</v>
      </c>
      <c r="T416" s="48">
        <f>IF(Учет!$O416=Справочники!$F$5,Учет!$H416,0)</f>
        <v>0</v>
      </c>
      <c r="U416" s="48">
        <f>IF(Учет!$O416=Справочники!$F$6,Учет!$H416,0)</f>
        <v>0</v>
      </c>
      <c r="V416" s="43">
        <f>V415+Учет!Q416-Q416</f>
        <v>-488978.92000000004</v>
      </c>
      <c r="W416" s="43">
        <f>W415+Учет!R416-R416</f>
        <v>336855</v>
      </c>
      <c r="X416" s="43">
        <f>X415+Учет!S416-S416</f>
        <v>500</v>
      </c>
      <c r="Y416" s="43">
        <f>Y415+Учет!T416-T416</f>
        <v>1150</v>
      </c>
      <c r="Z416" s="43">
        <f>Z415+Учет!U416-U416</f>
        <v>500000</v>
      </c>
      <c r="AA416" s="45">
        <f>Учет!X416</f>
        <v>500</v>
      </c>
    </row>
    <row r="417" spans="1:27" ht="15" customHeight="1" x14ac:dyDescent="0.25">
      <c r="A417" s="1"/>
      <c r="B417" s="17"/>
      <c r="C417" s="17"/>
      <c r="D417" s="17"/>
      <c r="E417" s="17"/>
      <c r="F417" s="17"/>
      <c r="G417" s="4">
        <f t="shared" si="15"/>
        <v>0</v>
      </c>
      <c r="H417" s="17"/>
      <c r="I417" s="4">
        <f t="shared" si="17"/>
        <v>349526.07999999996</v>
      </c>
      <c r="J417" s="32" t="str">
        <f t="shared" si="16"/>
        <v/>
      </c>
      <c r="K417" s="72"/>
      <c r="L417" s="72"/>
      <c r="M417" s="2"/>
      <c r="N417" s="5"/>
      <c r="O417" s="3"/>
      <c r="P417" s="6"/>
      <c r="Q417" s="48">
        <f>IF(Учет!$O417=Справочники!$F$2,Учет!$H417,0)</f>
        <v>0</v>
      </c>
      <c r="R417" s="48">
        <f>IF(Учет!$O417=Справочники!$F$3,Учет!$H417,0)</f>
        <v>0</v>
      </c>
      <c r="S417" s="48">
        <f>IF(Учет!$O417=Справочники!$F$4,Учет!$H417,0)</f>
        <v>0</v>
      </c>
      <c r="T417" s="48">
        <f>IF(Учет!$O417=Справочники!$F$5,Учет!$H417,0)</f>
        <v>0</v>
      </c>
      <c r="U417" s="48">
        <f>IF(Учет!$O417=Справочники!$F$6,Учет!$H417,0)</f>
        <v>0</v>
      </c>
      <c r="V417" s="43">
        <f>V416+Учет!Q417-Q417</f>
        <v>-488978.92000000004</v>
      </c>
      <c r="W417" s="43">
        <f>W416+Учет!R417-R417</f>
        <v>336855</v>
      </c>
      <c r="X417" s="43">
        <f>X416+Учет!S417-S417</f>
        <v>500</v>
      </c>
      <c r="Y417" s="43">
        <f>Y416+Учет!T417-T417</f>
        <v>1150</v>
      </c>
      <c r="Z417" s="43">
        <f>Z416+Учет!U417-U417</f>
        <v>500000</v>
      </c>
      <c r="AA417" s="45">
        <f>Учет!X417</f>
        <v>500</v>
      </c>
    </row>
    <row r="418" spans="1:27" ht="15" customHeight="1" x14ac:dyDescent="0.25">
      <c r="A418" s="1"/>
      <c r="B418" s="17"/>
      <c r="C418" s="17"/>
      <c r="D418" s="17"/>
      <c r="E418" s="17"/>
      <c r="F418" s="17"/>
      <c r="G418" s="4">
        <f t="shared" si="15"/>
        <v>0</v>
      </c>
      <c r="H418" s="17"/>
      <c r="I418" s="4">
        <f t="shared" si="17"/>
        <v>349526.07999999996</v>
      </c>
      <c r="J418" s="32" t="str">
        <f t="shared" si="16"/>
        <v/>
      </c>
      <c r="K418" s="72"/>
      <c r="L418" s="72"/>
      <c r="M418" s="2"/>
      <c r="N418" s="5"/>
      <c r="O418" s="3"/>
      <c r="P418" s="6"/>
      <c r="Q418" s="48">
        <f>IF(Учет!$O418=Справочники!$F$2,Учет!$H418,0)</f>
        <v>0</v>
      </c>
      <c r="R418" s="48">
        <f>IF(Учет!$O418=Справочники!$F$3,Учет!$H418,0)</f>
        <v>0</v>
      </c>
      <c r="S418" s="48">
        <f>IF(Учет!$O418=Справочники!$F$4,Учет!$H418,0)</f>
        <v>0</v>
      </c>
      <c r="T418" s="48">
        <f>IF(Учет!$O418=Справочники!$F$5,Учет!$H418,0)</f>
        <v>0</v>
      </c>
      <c r="U418" s="48">
        <f>IF(Учет!$O418=Справочники!$F$6,Учет!$H418,0)</f>
        <v>0</v>
      </c>
      <c r="V418" s="43">
        <f>V417+Учет!Q418-Q418</f>
        <v>-488978.92000000004</v>
      </c>
      <c r="W418" s="43">
        <f>W417+Учет!R418-R418</f>
        <v>336855</v>
      </c>
      <c r="X418" s="43">
        <f>X417+Учет!S418-S418</f>
        <v>500</v>
      </c>
      <c r="Y418" s="43">
        <f>Y417+Учет!T418-T418</f>
        <v>1150</v>
      </c>
      <c r="Z418" s="43">
        <f>Z417+Учет!U418-U418</f>
        <v>500000</v>
      </c>
      <c r="AA418" s="45">
        <f>Учет!X418</f>
        <v>500</v>
      </c>
    </row>
    <row r="419" spans="1:27" ht="15" customHeight="1" x14ac:dyDescent="0.25">
      <c r="A419" s="1"/>
      <c r="B419" s="17"/>
      <c r="C419" s="17"/>
      <c r="D419" s="17"/>
      <c r="E419" s="17"/>
      <c r="F419" s="17"/>
      <c r="G419" s="4">
        <f t="shared" si="15"/>
        <v>0</v>
      </c>
      <c r="H419" s="17"/>
      <c r="I419" s="4">
        <f t="shared" si="17"/>
        <v>349526.07999999996</v>
      </c>
      <c r="J419" s="32" t="str">
        <f t="shared" si="16"/>
        <v/>
      </c>
      <c r="K419" s="72"/>
      <c r="L419" s="72"/>
      <c r="M419" s="2"/>
      <c r="N419" s="5"/>
      <c r="O419" s="3"/>
      <c r="P419" s="6"/>
      <c r="Q419" s="48">
        <f>IF(Учет!$O419=Справочники!$F$2,Учет!$H419,0)</f>
        <v>0</v>
      </c>
      <c r="R419" s="48">
        <f>IF(Учет!$O419=Справочники!$F$3,Учет!$H419,0)</f>
        <v>0</v>
      </c>
      <c r="S419" s="48">
        <f>IF(Учет!$O419=Справочники!$F$4,Учет!$H419,0)</f>
        <v>0</v>
      </c>
      <c r="T419" s="48">
        <f>IF(Учет!$O419=Справочники!$F$5,Учет!$H419,0)</f>
        <v>0</v>
      </c>
      <c r="U419" s="48">
        <f>IF(Учет!$O419=Справочники!$F$6,Учет!$H419,0)</f>
        <v>0</v>
      </c>
      <c r="V419" s="43">
        <f>V418+Учет!Q419-Q419</f>
        <v>-488978.92000000004</v>
      </c>
      <c r="W419" s="43">
        <f>W418+Учет!R419-R419</f>
        <v>336855</v>
      </c>
      <c r="X419" s="43">
        <f>X418+Учет!S419-S419</f>
        <v>500</v>
      </c>
      <c r="Y419" s="43">
        <f>Y418+Учет!T419-T419</f>
        <v>1150</v>
      </c>
      <c r="Z419" s="43">
        <f>Z418+Учет!U419-U419</f>
        <v>500000</v>
      </c>
      <c r="AA419" s="45">
        <f>Учет!X419</f>
        <v>500</v>
      </c>
    </row>
    <row r="420" spans="1:27" ht="15" customHeight="1" x14ac:dyDescent="0.25">
      <c r="A420" s="1"/>
      <c r="B420" s="17"/>
      <c r="C420" s="17"/>
      <c r="D420" s="17"/>
      <c r="E420" s="17"/>
      <c r="F420" s="17"/>
      <c r="G420" s="4">
        <f t="shared" si="15"/>
        <v>0</v>
      </c>
      <c r="H420" s="17"/>
      <c r="I420" s="4">
        <f t="shared" si="17"/>
        <v>349526.07999999996</v>
      </c>
      <c r="J420" s="32" t="str">
        <f t="shared" si="16"/>
        <v/>
      </c>
      <c r="K420" s="72"/>
      <c r="L420" s="72"/>
      <c r="M420" s="2"/>
      <c r="N420" s="5"/>
      <c r="O420" s="3"/>
      <c r="P420" s="6"/>
      <c r="Q420" s="48">
        <f>IF(Учет!$O420=Справочники!$F$2,Учет!$H420,0)</f>
        <v>0</v>
      </c>
      <c r="R420" s="48">
        <f>IF(Учет!$O420=Справочники!$F$3,Учет!$H420,0)</f>
        <v>0</v>
      </c>
      <c r="S420" s="48">
        <f>IF(Учет!$O420=Справочники!$F$4,Учет!$H420,0)</f>
        <v>0</v>
      </c>
      <c r="T420" s="48">
        <f>IF(Учет!$O420=Справочники!$F$5,Учет!$H420,0)</f>
        <v>0</v>
      </c>
      <c r="U420" s="48">
        <f>IF(Учет!$O420=Справочники!$F$6,Учет!$H420,0)</f>
        <v>0</v>
      </c>
      <c r="V420" s="43">
        <f>V419+Учет!Q420-Q420</f>
        <v>-488978.92000000004</v>
      </c>
      <c r="W420" s="43">
        <f>W419+Учет!R420-R420</f>
        <v>336855</v>
      </c>
      <c r="X420" s="43">
        <f>X419+Учет!S420-S420</f>
        <v>500</v>
      </c>
      <c r="Y420" s="43">
        <f>Y419+Учет!T420-T420</f>
        <v>1150</v>
      </c>
      <c r="Z420" s="43">
        <f>Z419+Учет!U420-U420</f>
        <v>500000</v>
      </c>
      <c r="AA420" s="45">
        <f>Учет!X420</f>
        <v>500</v>
      </c>
    </row>
    <row r="421" spans="1:27" ht="15" customHeight="1" x14ac:dyDescent="0.25">
      <c r="A421" s="1"/>
      <c r="B421" s="17"/>
      <c r="C421" s="17"/>
      <c r="D421" s="17"/>
      <c r="E421" s="17"/>
      <c r="F421" s="17"/>
      <c r="G421" s="4">
        <f t="shared" si="15"/>
        <v>0</v>
      </c>
      <c r="H421" s="17"/>
      <c r="I421" s="4">
        <f t="shared" si="17"/>
        <v>349526.07999999996</v>
      </c>
      <c r="J421" s="32" t="str">
        <f t="shared" si="16"/>
        <v/>
      </c>
      <c r="K421" s="72"/>
      <c r="L421" s="72"/>
      <c r="M421" s="2"/>
      <c r="N421" s="5"/>
      <c r="O421" s="3"/>
      <c r="P421" s="6"/>
      <c r="Q421" s="48">
        <f>IF(Учет!$O421=Справочники!$F$2,Учет!$H421,0)</f>
        <v>0</v>
      </c>
      <c r="R421" s="48">
        <f>IF(Учет!$O421=Справочники!$F$3,Учет!$H421,0)</f>
        <v>0</v>
      </c>
      <c r="S421" s="48">
        <f>IF(Учет!$O421=Справочники!$F$4,Учет!$H421,0)</f>
        <v>0</v>
      </c>
      <c r="T421" s="48">
        <f>IF(Учет!$O421=Справочники!$F$5,Учет!$H421,0)</f>
        <v>0</v>
      </c>
      <c r="U421" s="48">
        <f>IF(Учет!$O421=Справочники!$F$6,Учет!$H421,0)</f>
        <v>0</v>
      </c>
      <c r="V421" s="43">
        <f>V420+Учет!Q421-Q421</f>
        <v>-488978.92000000004</v>
      </c>
      <c r="W421" s="43">
        <f>W420+Учет!R421-R421</f>
        <v>336855</v>
      </c>
      <c r="X421" s="43">
        <f>X420+Учет!S421-S421</f>
        <v>500</v>
      </c>
      <c r="Y421" s="43">
        <f>Y420+Учет!T421-T421</f>
        <v>1150</v>
      </c>
      <c r="Z421" s="43">
        <f>Z420+Учет!U421-U421</f>
        <v>500000</v>
      </c>
      <c r="AA421" s="45">
        <f>Учет!X421</f>
        <v>500</v>
      </c>
    </row>
    <row r="422" spans="1:27" ht="15" customHeight="1" x14ac:dyDescent="0.25">
      <c r="A422" s="1"/>
      <c r="B422" s="17"/>
      <c r="C422" s="17"/>
      <c r="D422" s="17"/>
      <c r="E422" s="17"/>
      <c r="F422" s="17"/>
      <c r="G422" s="4">
        <f t="shared" si="15"/>
        <v>0</v>
      </c>
      <c r="H422" s="17"/>
      <c r="I422" s="4">
        <f t="shared" si="17"/>
        <v>349526.07999999996</v>
      </c>
      <c r="J422" s="32" t="str">
        <f t="shared" si="16"/>
        <v/>
      </c>
      <c r="K422" s="72"/>
      <c r="L422" s="72"/>
      <c r="M422" s="2"/>
      <c r="N422" s="5"/>
      <c r="O422" s="3"/>
      <c r="P422" s="6"/>
      <c r="Q422" s="48">
        <f>IF(Учет!$O422=Справочники!$F$2,Учет!$H422,0)</f>
        <v>0</v>
      </c>
      <c r="R422" s="48">
        <f>IF(Учет!$O422=Справочники!$F$3,Учет!$H422,0)</f>
        <v>0</v>
      </c>
      <c r="S422" s="48">
        <f>IF(Учет!$O422=Справочники!$F$4,Учет!$H422,0)</f>
        <v>0</v>
      </c>
      <c r="T422" s="48">
        <f>IF(Учет!$O422=Справочники!$F$5,Учет!$H422,0)</f>
        <v>0</v>
      </c>
      <c r="U422" s="48">
        <f>IF(Учет!$O422=Справочники!$F$6,Учет!$H422,0)</f>
        <v>0</v>
      </c>
      <c r="V422" s="43">
        <f>V421+Учет!Q422-Q422</f>
        <v>-488978.92000000004</v>
      </c>
      <c r="W422" s="43">
        <f>W421+Учет!R422-R422</f>
        <v>336855</v>
      </c>
      <c r="X422" s="43">
        <f>X421+Учет!S422-S422</f>
        <v>500</v>
      </c>
      <c r="Y422" s="43">
        <f>Y421+Учет!T422-T422</f>
        <v>1150</v>
      </c>
      <c r="Z422" s="43">
        <f>Z421+Учет!U422-U422</f>
        <v>500000</v>
      </c>
      <c r="AA422" s="45">
        <f>Учет!X422</f>
        <v>500</v>
      </c>
    </row>
    <row r="423" spans="1:27" ht="15" customHeight="1" x14ac:dyDescent="0.25">
      <c r="A423" s="1"/>
      <c r="B423" s="17"/>
      <c r="C423" s="17"/>
      <c r="D423" s="17"/>
      <c r="E423" s="17"/>
      <c r="F423" s="17"/>
      <c r="G423" s="4">
        <f t="shared" si="15"/>
        <v>0</v>
      </c>
      <c r="H423" s="17"/>
      <c r="I423" s="4">
        <f t="shared" si="17"/>
        <v>349526.07999999996</v>
      </c>
      <c r="J423" s="32" t="str">
        <f t="shared" si="16"/>
        <v/>
      </c>
      <c r="K423" s="72"/>
      <c r="L423" s="72"/>
      <c r="M423" s="2"/>
      <c r="N423" s="5"/>
      <c r="O423" s="3"/>
      <c r="P423" s="6"/>
      <c r="Q423" s="48">
        <f>IF(Учет!$O423=Справочники!$F$2,Учет!$H423,0)</f>
        <v>0</v>
      </c>
      <c r="R423" s="48">
        <f>IF(Учет!$O423=Справочники!$F$3,Учет!$H423,0)</f>
        <v>0</v>
      </c>
      <c r="S423" s="48">
        <f>IF(Учет!$O423=Справочники!$F$4,Учет!$H423,0)</f>
        <v>0</v>
      </c>
      <c r="T423" s="48">
        <f>IF(Учет!$O423=Справочники!$F$5,Учет!$H423,0)</f>
        <v>0</v>
      </c>
      <c r="U423" s="48">
        <f>IF(Учет!$O423=Справочники!$F$6,Учет!$H423,0)</f>
        <v>0</v>
      </c>
      <c r="V423" s="43">
        <f>V422+Учет!Q423-Q423</f>
        <v>-488978.92000000004</v>
      </c>
      <c r="W423" s="43">
        <f>W422+Учет!R423-R423</f>
        <v>336855</v>
      </c>
      <c r="X423" s="43">
        <f>X422+Учет!S423-S423</f>
        <v>500</v>
      </c>
      <c r="Y423" s="43">
        <f>Y422+Учет!T423-T423</f>
        <v>1150</v>
      </c>
      <c r="Z423" s="43">
        <f>Z422+Учет!U423-U423</f>
        <v>500000</v>
      </c>
      <c r="AA423" s="45">
        <f>Учет!X423</f>
        <v>500</v>
      </c>
    </row>
    <row r="424" spans="1:27" ht="15" customHeight="1" x14ac:dyDescent="0.25">
      <c r="A424" s="1"/>
      <c r="B424" s="17"/>
      <c r="C424" s="17"/>
      <c r="D424" s="17"/>
      <c r="E424" s="17"/>
      <c r="F424" s="17"/>
      <c r="G424" s="4">
        <f t="shared" si="15"/>
        <v>0</v>
      </c>
      <c r="H424" s="17"/>
      <c r="I424" s="4">
        <f t="shared" si="17"/>
        <v>349526.07999999996</v>
      </c>
      <c r="J424" s="32" t="str">
        <f t="shared" si="16"/>
        <v/>
      </c>
      <c r="K424" s="72"/>
      <c r="L424" s="72"/>
      <c r="M424" s="2"/>
      <c r="N424" s="5"/>
      <c r="O424" s="3"/>
      <c r="P424" s="6"/>
      <c r="Q424" s="48">
        <f>IF(Учет!$O424=Справочники!$F$2,Учет!$H424,0)</f>
        <v>0</v>
      </c>
      <c r="R424" s="48">
        <f>IF(Учет!$O424=Справочники!$F$3,Учет!$H424,0)</f>
        <v>0</v>
      </c>
      <c r="S424" s="48">
        <f>IF(Учет!$O424=Справочники!$F$4,Учет!$H424,0)</f>
        <v>0</v>
      </c>
      <c r="T424" s="48">
        <f>IF(Учет!$O424=Справочники!$F$5,Учет!$H424,0)</f>
        <v>0</v>
      </c>
      <c r="U424" s="48">
        <f>IF(Учет!$O424=Справочники!$F$6,Учет!$H424,0)</f>
        <v>0</v>
      </c>
      <c r="V424" s="43">
        <f>V423+Учет!Q424-Q424</f>
        <v>-488978.92000000004</v>
      </c>
      <c r="W424" s="43">
        <f>W423+Учет!R424-R424</f>
        <v>336855</v>
      </c>
      <c r="X424" s="43">
        <f>X423+Учет!S424-S424</f>
        <v>500</v>
      </c>
      <c r="Y424" s="43">
        <f>Y423+Учет!T424-T424</f>
        <v>1150</v>
      </c>
      <c r="Z424" s="43">
        <f>Z423+Учет!U424-U424</f>
        <v>500000</v>
      </c>
      <c r="AA424" s="45">
        <f>Учет!X424</f>
        <v>500</v>
      </c>
    </row>
    <row r="425" spans="1:27" ht="15" customHeight="1" x14ac:dyDescent="0.25">
      <c r="A425" s="1"/>
      <c r="B425" s="17"/>
      <c r="C425" s="17"/>
      <c r="D425" s="17"/>
      <c r="E425" s="17"/>
      <c r="F425" s="17"/>
      <c r="G425" s="4">
        <f t="shared" si="15"/>
        <v>0</v>
      </c>
      <c r="H425" s="17"/>
      <c r="I425" s="4">
        <f t="shared" si="17"/>
        <v>349526.07999999996</v>
      </c>
      <c r="J425" s="32" t="str">
        <f t="shared" si="16"/>
        <v/>
      </c>
      <c r="K425" s="72"/>
      <c r="L425" s="72"/>
      <c r="M425" s="2"/>
      <c r="N425" s="5"/>
      <c r="O425" s="3"/>
      <c r="P425" s="6"/>
      <c r="Q425" s="48">
        <f>IF(Учет!$O425=Справочники!$F$2,Учет!$H425,0)</f>
        <v>0</v>
      </c>
      <c r="R425" s="48">
        <f>IF(Учет!$O425=Справочники!$F$3,Учет!$H425,0)</f>
        <v>0</v>
      </c>
      <c r="S425" s="48">
        <f>IF(Учет!$O425=Справочники!$F$4,Учет!$H425,0)</f>
        <v>0</v>
      </c>
      <c r="T425" s="48">
        <f>IF(Учет!$O425=Справочники!$F$5,Учет!$H425,0)</f>
        <v>0</v>
      </c>
      <c r="U425" s="48">
        <f>IF(Учет!$O425=Справочники!$F$6,Учет!$H425,0)</f>
        <v>0</v>
      </c>
      <c r="V425" s="43">
        <f>V424+Учет!Q425-Q425</f>
        <v>-488978.92000000004</v>
      </c>
      <c r="W425" s="43">
        <f>W424+Учет!R425-R425</f>
        <v>336855</v>
      </c>
      <c r="X425" s="43">
        <f>X424+Учет!S425-S425</f>
        <v>500</v>
      </c>
      <c r="Y425" s="43">
        <f>Y424+Учет!T425-T425</f>
        <v>1150</v>
      </c>
      <c r="Z425" s="43">
        <f>Z424+Учет!U425-U425</f>
        <v>500000</v>
      </c>
      <c r="AA425" s="45">
        <f>Учет!X425</f>
        <v>500</v>
      </c>
    </row>
    <row r="426" spans="1:27" ht="15" customHeight="1" x14ac:dyDescent="0.25">
      <c r="A426" s="1"/>
      <c r="B426" s="17"/>
      <c r="C426" s="17"/>
      <c r="D426" s="17"/>
      <c r="E426" s="17"/>
      <c r="F426" s="17"/>
      <c r="G426" s="4">
        <f t="shared" si="15"/>
        <v>0</v>
      </c>
      <c r="H426" s="17"/>
      <c r="I426" s="4">
        <f t="shared" si="17"/>
        <v>349526.07999999996</v>
      </c>
      <c r="J426" s="32" t="str">
        <f t="shared" si="16"/>
        <v/>
      </c>
      <c r="K426" s="72"/>
      <c r="L426" s="72"/>
      <c r="M426" s="2"/>
      <c r="N426" s="5"/>
      <c r="O426" s="3"/>
      <c r="P426" s="6"/>
      <c r="Q426" s="48">
        <f>IF(Учет!$O426=Справочники!$F$2,Учет!$H426,0)</f>
        <v>0</v>
      </c>
      <c r="R426" s="48">
        <f>IF(Учет!$O426=Справочники!$F$3,Учет!$H426,0)</f>
        <v>0</v>
      </c>
      <c r="S426" s="48">
        <f>IF(Учет!$O426=Справочники!$F$4,Учет!$H426,0)</f>
        <v>0</v>
      </c>
      <c r="T426" s="48">
        <f>IF(Учет!$O426=Справочники!$F$5,Учет!$H426,0)</f>
        <v>0</v>
      </c>
      <c r="U426" s="48">
        <f>IF(Учет!$O426=Справочники!$F$6,Учет!$H426,0)</f>
        <v>0</v>
      </c>
      <c r="V426" s="43">
        <f>V425+Учет!Q426-Q426</f>
        <v>-488978.92000000004</v>
      </c>
      <c r="W426" s="43">
        <f>W425+Учет!R426-R426</f>
        <v>336855</v>
      </c>
      <c r="X426" s="43">
        <f>X425+Учет!S426-S426</f>
        <v>500</v>
      </c>
      <c r="Y426" s="43">
        <f>Y425+Учет!T426-T426</f>
        <v>1150</v>
      </c>
      <c r="Z426" s="43">
        <f>Z425+Учет!U426-U426</f>
        <v>500000</v>
      </c>
      <c r="AA426" s="45">
        <f>Учет!X426</f>
        <v>500</v>
      </c>
    </row>
    <row r="427" spans="1:27" ht="15" customHeight="1" x14ac:dyDescent="0.25">
      <c r="A427" s="1"/>
      <c r="B427" s="17"/>
      <c r="C427" s="17"/>
      <c r="D427" s="17"/>
      <c r="E427" s="17"/>
      <c r="F427" s="17"/>
      <c r="G427" s="4">
        <f t="shared" si="15"/>
        <v>0</v>
      </c>
      <c r="H427" s="17"/>
      <c r="I427" s="4">
        <f t="shared" si="17"/>
        <v>349526.07999999996</v>
      </c>
      <c r="J427" s="32" t="str">
        <f t="shared" si="16"/>
        <v/>
      </c>
      <c r="K427" s="72"/>
      <c r="L427" s="72"/>
      <c r="M427" s="2"/>
      <c r="N427" s="5"/>
      <c r="O427" s="3"/>
      <c r="P427" s="6"/>
      <c r="Q427" s="48">
        <f>IF(Учет!$O427=Справочники!$F$2,Учет!$H427,0)</f>
        <v>0</v>
      </c>
      <c r="R427" s="48">
        <f>IF(Учет!$O427=Справочники!$F$3,Учет!$H427,0)</f>
        <v>0</v>
      </c>
      <c r="S427" s="48">
        <f>IF(Учет!$O427=Справочники!$F$4,Учет!$H427,0)</f>
        <v>0</v>
      </c>
      <c r="T427" s="48">
        <f>IF(Учет!$O427=Справочники!$F$5,Учет!$H427,0)</f>
        <v>0</v>
      </c>
      <c r="U427" s="48">
        <f>IF(Учет!$O427=Справочники!$F$6,Учет!$H427,0)</f>
        <v>0</v>
      </c>
      <c r="V427" s="43">
        <f>V426+Учет!Q427-Q427</f>
        <v>-488978.92000000004</v>
      </c>
      <c r="W427" s="43">
        <f>W426+Учет!R427-R427</f>
        <v>336855</v>
      </c>
      <c r="X427" s="43">
        <f>X426+Учет!S427-S427</f>
        <v>500</v>
      </c>
      <c r="Y427" s="43">
        <f>Y426+Учет!T427-T427</f>
        <v>1150</v>
      </c>
      <c r="Z427" s="43">
        <f>Z426+Учет!U427-U427</f>
        <v>500000</v>
      </c>
      <c r="AA427" s="45">
        <f>Учет!X427</f>
        <v>500</v>
      </c>
    </row>
    <row r="428" spans="1:27" ht="15" customHeight="1" x14ac:dyDescent="0.25">
      <c r="A428" s="1"/>
      <c r="B428" s="17"/>
      <c r="C428" s="17"/>
      <c r="D428" s="17"/>
      <c r="E428" s="17"/>
      <c r="F428" s="17"/>
      <c r="G428" s="4">
        <f t="shared" si="15"/>
        <v>0</v>
      </c>
      <c r="H428" s="17"/>
      <c r="I428" s="4">
        <f t="shared" si="17"/>
        <v>349526.07999999996</v>
      </c>
      <c r="J428" s="32" t="str">
        <f t="shared" si="16"/>
        <v/>
      </c>
      <c r="K428" s="72"/>
      <c r="L428" s="72"/>
      <c r="M428" s="2"/>
      <c r="N428" s="5"/>
      <c r="O428" s="3"/>
      <c r="P428" s="6"/>
      <c r="Q428" s="48">
        <f>IF(Учет!$O428=Справочники!$F$2,Учет!$H428,0)</f>
        <v>0</v>
      </c>
      <c r="R428" s="48">
        <f>IF(Учет!$O428=Справочники!$F$3,Учет!$H428,0)</f>
        <v>0</v>
      </c>
      <c r="S428" s="48">
        <f>IF(Учет!$O428=Справочники!$F$4,Учет!$H428,0)</f>
        <v>0</v>
      </c>
      <c r="T428" s="48">
        <f>IF(Учет!$O428=Справочники!$F$5,Учет!$H428,0)</f>
        <v>0</v>
      </c>
      <c r="U428" s="48">
        <f>IF(Учет!$O428=Справочники!$F$6,Учет!$H428,0)</f>
        <v>0</v>
      </c>
      <c r="V428" s="43">
        <f>V427+Учет!Q428-Q428</f>
        <v>-488978.92000000004</v>
      </c>
      <c r="W428" s="43">
        <f>W427+Учет!R428-R428</f>
        <v>336855</v>
      </c>
      <c r="X428" s="43">
        <f>X427+Учет!S428-S428</f>
        <v>500</v>
      </c>
      <c r="Y428" s="43">
        <f>Y427+Учет!T428-T428</f>
        <v>1150</v>
      </c>
      <c r="Z428" s="43">
        <f>Z427+Учет!U428-U428</f>
        <v>500000</v>
      </c>
      <c r="AA428" s="45">
        <f>Учет!X428</f>
        <v>500</v>
      </c>
    </row>
    <row r="429" spans="1:27" ht="15" customHeight="1" x14ac:dyDescent="0.25">
      <c r="A429" s="1"/>
      <c r="B429" s="17"/>
      <c r="C429" s="17"/>
      <c r="D429" s="17"/>
      <c r="E429" s="17"/>
      <c r="F429" s="17"/>
      <c r="G429" s="4">
        <f t="shared" si="15"/>
        <v>0</v>
      </c>
      <c r="H429" s="17"/>
      <c r="I429" s="4">
        <f t="shared" si="17"/>
        <v>349526.07999999996</v>
      </c>
      <c r="J429" s="32" t="str">
        <f t="shared" si="16"/>
        <v/>
      </c>
      <c r="K429" s="72"/>
      <c r="L429" s="72"/>
      <c r="M429" s="2"/>
      <c r="N429" s="5"/>
      <c r="O429" s="3"/>
      <c r="P429" s="6"/>
      <c r="Q429" s="48">
        <f>IF(Учет!$O429=Справочники!$F$2,Учет!$H429,0)</f>
        <v>0</v>
      </c>
      <c r="R429" s="48">
        <f>IF(Учет!$O429=Справочники!$F$3,Учет!$H429,0)</f>
        <v>0</v>
      </c>
      <c r="S429" s="48">
        <f>IF(Учет!$O429=Справочники!$F$4,Учет!$H429,0)</f>
        <v>0</v>
      </c>
      <c r="T429" s="48">
        <f>IF(Учет!$O429=Справочники!$F$5,Учет!$H429,0)</f>
        <v>0</v>
      </c>
      <c r="U429" s="48">
        <f>IF(Учет!$O429=Справочники!$F$6,Учет!$H429,0)</f>
        <v>0</v>
      </c>
      <c r="V429" s="43">
        <f>V428+Учет!Q429-Q429</f>
        <v>-488978.92000000004</v>
      </c>
      <c r="W429" s="43">
        <f>W428+Учет!R429-R429</f>
        <v>336855</v>
      </c>
      <c r="X429" s="43">
        <f>X428+Учет!S429-S429</f>
        <v>500</v>
      </c>
      <c r="Y429" s="43">
        <f>Y428+Учет!T429-T429</f>
        <v>1150</v>
      </c>
      <c r="Z429" s="43">
        <f>Z428+Учет!U429-U429</f>
        <v>500000</v>
      </c>
      <c r="AA429" s="45">
        <f>Учет!X429</f>
        <v>500</v>
      </c>
    </row>
    <row r="430" spans="1:27" ht="15" customHeight="1" x14ac:dyDescent="0.25">
      <c r="A430" s="1"/>
      <c r="B430" s="17"/>
      <c r="C430" s="17"/>
      <c r="D430" s="17"/>
      <c r="E430" s="17"/>
      <c r="F430" s="17"/>
      <c r="G430" s="4">
        <f t="shared" si="15"/>
        <v>0</v>
      </c>
      <c r="H430" s="17"/>
      <c r="I430" s="4">
        <f t="shared" si="17"/>
        <v>349526.07999999996</v>
      </c>
      <c r="J430" s="32" t="str">
        <f t="shared" si="16"/>
        <v/>
      </c>
      <c r="K430" s="72"/>
      <c r="L430" s="72"/>
      <c r="M430" s="2"/>
      <c r="N430" s="5"/>
      <c r="O430" s="3"/>
      <c r="P430" s="6"/>
      <c r="Q430" s="48">
        <f>IF(Учет!$O430=Справочники!$F$2,Учет!$H430,0)</f>
        <v>0</v>
      </c>
      <c r="R430" s="48">
        <f>IF(Учет!$O430=Справочники!$F$3,Учет!$H430,0)</f>
        <v>0</v>
      </c>
      <c r="S430" s="48">
        <f>IF(Учет!$O430=Справочники!$F$4,Учет!$H430,0)</f>
        <v>0</v>
      </c>
      <c r="T430" s="48">
        <f>IF(Учет!$O430=Справочники!$F$5,Учет!$H430,0)</f>
        <v>0</v>
      </c>
      <c r="U430" s="48">
        <f>IF(Учет!$O430=Справочники!$F$6,Учет!$H430,0)</f>
        <v>0</v>
      </c>
      <c r="V430" s="43">
        <f>V429+Учет!Q430-Q430</f>
        <v>-488978.92000000004</v>
      </c>
      <c r="W430" s="43">
        <f>W429+Учет!R430-R430</f>
        <v>336855</v>
      </c>
      <c r="X430" s="43">
        <f>X429+Учет!S430-S430</f>
        <v>500</v>
      </c>
      <c r="Y430" s="43">
        <f>Y429+Учет!T430-T430</f>
        <v>1150</v>
      </c>
      <c r="Z430" s="43">
        <f>Z429+Учет!U430-U430</f>
        <v>500000</v>
      </c>
      <c r="AA430" s="45">
        <f>Учет!X430</f>
        <v>500</v>
      </c>
    </row>
    <row r="431" spans="1:27" ht="15" customHeight="1" x14ac:dyDescent="0.25">
      <c r="A431" s="1"/>
      <c r="B431" s="17"/>
      <c r="C431" s="17"/>
      <c r="D431" s="17"/>
      <c r="E431" s="17"/>
      <c r="F431" s="17"/>
      <c r="G431" s="4">
        <f t="shared" si="15"/>
        <v>0</v>
      </c>
      <c r="H431" s="17"/>
      <c r="I431" s="4">
        <f t="shared" si="17"/>
        <v>349526.07999999996</v>
      </c>
      <c r="J431" s="32" t="str">
        <f t="shared" si="16"/>
        <v/>
      </c>
      <c r="K431" s="72"/>
      <c r="L431" s="72"/>
      <c r="M431" s="2"/>
      <c r="N431" s="5"/>
      <c r="O431" s="3"/>
      <c r="P431" s="6"/>
      <c r="Q431" s="48">
        <f>IF(Учет!$O431=Справочники!$F$2,Учет!$H431,0)</f>
        <v>0</v>
      </c>
      <c r="R431" s="48">
        <f>IF(Учет!$O431=Справочники!$F$3,Учет!$H431,0)</f>
        <v>0</v>
      </c>
      <c r="S431" s="48">
        <f>IF(Учет!$O431=Справочники!$F$4,Учет!$H431,0)</f>
        <v>0</v>
      </c>
      <c r="T431" s="48">
        <f>IF(Учет!$O431=Справочники!$F$5,Учет!$H431,0)</f>
        <v>0</v>
      </c>
      <c r="U431" s="48">
        <f>IF(Учет!$O431=Справочники!$F$6,Учет!$H431,0)</f>
        <v>0</v>
      </c>
      <c r="V431" s="43">
        <f>V430+Учет!Q431-Q431</f>
        <v>-488978.92000000004</v>
      </c>
      <c r="W431" s="43">
        <f>W430+Учет!R431-R431</f>
        <v>336855</v>
      </c>
      <c r="X431" s="43">
        <f>X430+Учет!S431-S431</f>
        <v>500</v>
      </c>
      <c r="Y431" s="43">
        <f>Y430+Учет!T431-T431</f>
        <v>1150</v>
      </c>
      <c r="Z431" s="43">
        <f>Z430+Учет!U431-U431</f>
        <v>500000</v>
      </c>
      <c r="AA431" s="45">
        <f>Учет!X431</f>
        <v>500</v>
      </c>
    </row>
    <row r="432" spans="1:27" ht="15" customHeight="1" x14ac:dyDescent="0.25">
      <c r="A432" s="1"/>
      <c r="B432" s="17"/>
      <c r="C432" s="17"/>
      <c r="D432" s="17"/>
      <c r="E432" s="17"/>
      <c r="F432" s="17"/>
      <c r="G432" s="4">
        <f t="shared" si="15"/>
        <v>0</v>
      </c>
      <c r="H432" s="17"/>
      <c r="I432" s="4">
        <f t="shared" si="17"/>
        <v>349526.07999999996</v>
      </c>
      <c r="J432" s="32" t="str">
        <f t="shared" si="16"/>
        <v/>
      </c>
      <c r="K432" s="72"/>
      <c r="L432" s="72"/>
      <c r="M432" s="2"/>
      <c r="N432" s="5"/>
      <c r="O432" s="3"/>
      <c r="P432" s="6"/>
      <c r="Q432" s="48">
        <f>IF(Учет!$O432=Справочники!$F$2,Учет!$H432,0)</f>
        <v>0</v>
      </c>
      <c r="R432" s="48">
        <f>IF(Учет!$O432=Справочники!$F$3,Учет!$H432,0)</f>
        <v>0</v>
      </c>
      <c r="S432" s="48">
        <f>IF(Учет!$O432=Справочники!$F$4,Учет!$H432,0)</f>
        <v>0</v>
      </c>
      <c r="T432" s="48">
        <f>IF(Учет!$O432=Справочники!$F$5,Учет!$H432,0)</f>
        <v>0</v>
      </c>
      <c r="U432" s="48">
        <f>IF(Учет!$O432=Справочники!$F$6,Учет!$H432,0)</f>
        <v>0</v>
      </c>
      <c r="V432" s="43">
        <f>V431+Учет!Q432-Q432</f>
        <v>-488978.92000000004</v>
      </c>
      <c r="W432" s="43">
        <f>W431+Учет!R432-R432</f>
        <v>336855</v>
      </c>
      <c r="X432" s="43">
        <f>X431+Учет!S432-S432</f>
        <v>500</v>
      </c>
      <c r="Y432" s="43">
        <f>Y431+Учет!T432-T432</f>
        <v>1150</v>
      </c>
      <c r="Z432" s="43">
        <f>Z431+Учет!U432-U432</f>
        <v>500000</v>
      </c>
      <c r="AA432" s="45">
        <f>Учет!X432</f>
        <v>500</v>
      </c>
    </row>
    <row r="433" spans="1:27" ht="15" customHeight="1" x14ac:dyDescent="0.25">
      <c r="A433" s="1"/>
      <c r="B433" s="17"/>
      <c r="C433" s="17"/>
      <c r="D433" s="17"/>
      <c r="E433" s="17"/>
      <c r="F433" s="17"/>
      <c r="G433" s="4">
        <f t="shared" si="15"/>
        <v>0</v>
      </c>
      <c r="H433" s="17"/>
      <c r="I433" s="4">
        <f t="shared" si="17"/>
        <v>349526.07999999996</v>
      </c>
      <c r="J433" s="32" t="str">
        <f t="shared" si="16"/>
        <v/>
      </c>
      <c r="K433" s="72"/>
      <c r="L433" s="72"/>
      <c r="M433" s="2"/>
      <c r="N433" s="5"/>
      <c r="O433" s="3"/>
      <c r="P433" s="6"/>
      <c r="Q433" s="48">
        <f>IF(Учет!$O433=Справочники!$F$2,Учет!$H433,0)</f>
        <v>0</v>
      </c>
      <c r="R433" s="48">
        <f>IF(Учет!$O433=Справочники!$F$3,Учет!$H433,0)</f>
        <v>0</v>
      </c>
      <c r="S433" s="48">
        <f>IF(Учет!$O433=Справочники!$F$4,Учет!$H433,0)</f>
        <v>0</v>
      </c>
      <c r="T433" s="48">
        <f>IF(Учет!$O433=Справочники!$F$5,Учет!$H433,0)</f>
        <v>0</v>
      </c>
      <c r="U433" s="48">
        <f>IF(Учет!$O433=Справочники!$F$6,Учет!$H433,0)</f>
        <v>0</v>
      </c>
      <c r="V433" s="43">
        <f>V432+Учет!Q433-Q433</f>
        <v>-488978.92000000004</v>
      </c>
      <c r="W433" s="43">
        <f>W432+Учет!R433-R433</f>
        <v>336855</v>
      </c>
      <c r="X433" s="43">
        <f>X432+Учет!S433-S433</f>
        <v>500</v>
      </c>
      <c r="Y433" s="43">
        <f>Y432+Учет!T433-T433</f>
        <v>1150</v>
      </c>
      <c r="Z433" s="43">
        <f>Z432+Учет!U433-U433</f>
        <v>500000</v>
      </c>
      <c r="AA433" s="45">
        <f>Учет!X433</f>
        <v>500</v>
      </c>
    </row>
    <row r="434" spans="1:27" ht="15" customHeight="1" x14ac:dyDescent="0.25">
      <c r="A434" s="1"/>
      <c r="B434" s="17"/>
      <c r="C434" s="17"/>
      <c r="D434" s="17"/>
      <c r="E434" s="17"/>
      <c r="F434" s="17"/>
      <c r="G434" s="4">
        <f t="shared" si="15"/>
        <v>0</v>
      </c>
      <c r="H434" s="17"/>
      <c r="I434" s="4">
        <f t="shared" si="17"/>
        <v>349526.07999999996</v>
      </c>
      <c r="J434" s="32" t="str">
        <f t="shared" si="16"/>
        <v/>
      </c>
      <c r="K434" s="72"/>
      <c r="L434" s="72"/>
      <c r="M434" s="2"/>
      <c r="N434" s="5"/>
      <c r="O434" s="3"/>
      <c r="P434" s="6"/>
      <c r="Q434" s="48">
        <f>IF(Учет!$O434=Справочники!$F$2,Учет!$H434,0)</f>
        <v>0</v>
      </c>
      <c r="R434" s="48">
        <f>IF(Учет!$O434=Справочники!$F$3,Учет!$H434,0)</f>
        <v>0</v>
      </c>
      <c r="S434" s="48">
        <f>IF(Учет!$O434=Справочники!$F$4,Учет!$H434,0)</f>
        <v>0</v>
      </c>
      <c r="T434" s="48">
        <f>IF(Учет!$O434=Справочники!$F$5,Учет!$H434,0)</f>
        <v>0</v>
      </c>
      <c r="U434" s="48">
        <f>IF(Учет!$O434=Справочники!$F$6,Учет!$H434,0)</f>
        <v>0</v>
      </c>
      <c r="V434" s="43">
        <f>V433+Учет!Q434-Q434</f>
        <v>-488978.92000000004</v>
      </c>
      <c r="W434" s="43">
        <f>W433+Учет!R434-R434</f>
        <v>336855</v>
      </c>
      <c r="X434" s="43">
        <f>X433+Учет!S434-S434</f>
        <v>500</v>
      </c>
      <c r="Y434" s="43">
        <f>Y433+Учет!T434-T434</f>
        <v>1150</v>
      </c>
      <c r="Z434" s="43">
        <f>Z433+Учет!U434-U434</f>
        <v>500000</v>
      </c>
      <c r="AA434" s="45">
        <f>Учет!X434</f>
        <v>500</v>
      </c>
    </row>
    <row r="435" spans="1:27" ht="15" customHeight="1" x14ac:dyDescent="0.25">
      <c r="A435" s="1"/>
      <c r="B435" s="17"/>
      <c r="C435" s="17"/>
      <c r="D435" s="17"/>
      <c r="E435" s="17"/>
      <c r="F435" s="17"/>
      <c r="G435" s="4">
        <f t="shared" si="15"/>
        <v>0</v>
      </c>
      <c r="H435" s="17"/>
      <c r="I435" s="4">
        <f t="shared" si="17"/>
        <v>349526.07999999996</v>
      </c>
      <c r="J435" s="32" t="str">
        <f t="shared" si="16"/>
        <v/>
      </c>
      <c r="K435" s="72"/>
      <c r="L435" s="72"/>
      <c r="M435" s="2"/>
      <c r="N435" s="5"/>
      <c r="O435" s="3"/>
      <c r="P435" s="6"/>
      <c r="Q435" s="48">
        <f>IF(Учет!$O435=Справочники!$F$2,Учет!$H435,0)</f>
        <v>0</v>
      </c>
      <c r="R435" s="48">
        <f>IF(Учет!$O435=Справочники!$F$3,Учет!$H435,0)</f>
        <v>0</v>
      </c>
      <c r="S435" s="48">
        <f>IF(Учет!$O435=Справочники!$F$4,Учет!$H435,0)</f>
        <v>0</v>
      </c>
      <c r="T435" s="48">
        <f>IF(Учет!$O435=Справочники!$F$5,Учет!$H435,0)</f>
        <v>0</v>
      </c>
      <c r="U435" s="48">
        <f>IF(Учет!$O435=Справочники!$F$6,Учет!$H435,0)</f>
        <v>0</v>
      </c>
      <c r="V435" s="43">
        <f>V434+Учет!Q435-Q435</f>
        <v>-488978.92000000004</v>
      </c>
      <c r="W435" s="43">
        <f>W434+Учет!R435-R435</f>
        <v>336855</v>
      </c>
      <c r="X435" s="43">
        <f>X434+Учет!S435-S435</f>
        <v>500</v>
      </c>
      <c r="Y435" s="43">
        <f>Y434+Учет!T435-T435</f>
        <v>1150</v>
      </c>
      <c r="Z435" s="43">
        <f>Z434+Учет!U435-U435</f>
        <v>500000</v>
      </c>
      <c r="AA435" s="45">
        <f>Учет!X435</f>
        <v>500</v>
      </c>
    </row>
    <row r="436" spans="1:27" ht="15" customHeight="1" x14ac:dyDescent="0.25">
      <c r="A436" s="1"/>
      <c r="B436" s="17"/>
      <c r="C436" s="17"/>
      <c r="D436" s="17"/>
      <c r="E436" s="17"/>
      <c r="F436" s="17"/>
      <c r="G436" s="4">
        <f t="shared" si="15"/>
        <v>0</v>
      </c>
      <c r="H436" s="17"/>
      <c r="I436" s="4">
        <f t="shared" si="17"/>
        <v>349526.07999999996</v>
      </c>
      <c r="J436" s="32" t="str">
        <f t="shared" si="16"/>
        <v/>
      </c>
      <c r="K436" s="72"/>
      <c r="L436" s="72"/>
      <c r="M436" s="2"/>
      <c r="N436" s="5"/>
      <c r="O436" s="3"/>
      <c r="P436" s="6"/>
      <c r="Q436" s="48">
        <f>IF(Учет!$O436=Справочники!$F$2,Учет!$H436,0)</f>
        <v>0</v>
      </c>
      <c r="R436" s="48">
        <f>IF(Учет!$O436=Справочники!$F$3,Учет!$H436,0)</f>
        <v>0</v>
      </c>
      <c r="S436" s="48">
        <f>IF(Учет!$O436=Справочники!$F$4,Учет!$H436,0)</f>
        <v>0</v>
      </c>
      <c r="T436" s="48">
        <f>IF(Учет!$O436=Справочники!$F$5,Учет!$H436,0)</f>
        <v>0</v>
      </c>
      <c r="U436" s="48">
        <f>IF(Учет!$O436=Справочники!$F$6,Учет!$H436,0)</f>
        <v>0</v>
      </c>
      <c r="V436" s="43">
        <f>V435+Учет!Q436-Q436</f>
        <v>-488978.92000000004</v>
      </c>
      <c r="W436" s="43">
        <f>W435+Учет!R436-R436</f>
        <v>336855</v>
      </c>
      <c r="X436" s="43">
        <f>X435+Учет!S436-S436</f>
        <v>500</v>
      </c>
      <c r="Y436" s="43">
        <f>Y435+Учет!T436-T436</f>
        <v>1150</v>
      </c>
      <c r="Z436" s="43">
        <f>Z435+Учет!U436-U436</f>
        <v>500000</v>
      </c>
      <c r="AA436" s="45">
        <f>Учет!X436</f>
        <v>500</v>
      </c>
    </row>
    <row r="437" spans="1:27" ht="15" customHeight="1" x14ac:dyDescent="0.25">
      <c r="A437" s="1"/>
      <c r="B437" s="17"/>
      <c r="C437" s="17"/>
      <c r="D437" s="17"/>
      <c r="E437" s="17"/>
      <c r="F437" s="17"/>
      <c r="G437" s="4">
        <f t="shared" si="15"/>
        <v>0</v>
      </c>
      <c r="H437" s="17"/>
      <c r="I437" s="4">
        <f t="shared" si="17"/>
        <v>349526.07999999996</v>
      </c>
      <c r="J437" s="32" t="str">
        <f t="shared" si="16"/>
        <v/>
      </c>
      <c r="K437" s="72"/>
      <c r="L437" s="72"/>
      <c r="M437" s="2"/>
      <c r="N437" s="5"/>
      <c r="O437" s="3"/>
      <c r="P437" s="6"/>
      <c r="Q437" s="48">
        <f>IF(Учет!$O437=Справочники!$F$2,Учет!$H437,0)</f>
        <v>0</v>
      </c>
      <c r="R437" s="48">
        <f>IF(Учет!$O437=Справочники!$F$3,Учет!$H437,0)</f>
        <v>0</v>
      </c>
      <c r="S437" s="48">
        <f>IF(Учет!$O437=Справочники!$F$4,Учет!$H437,0)</f>
        <v>0</v>
      </c>
      <c r="T437" s="48">
        <f>IF(Учет!$O437=Справочники!$F$5,Учет!$H437,0)</f>
        <v>0</v>
      </c>
      <c r="U437" s="48">
        <f>IF(Учет!$O437=Справочники!$F$6,Учет!$H437,0)</f>
        <v>0</v>
      </c>
      <c r="V437" s="43">
        <f>V436+Учет!Q437-Q437</f>
        <v>-488978.92000000004</v>
      </c>
      <c r="W437" s="43">
        <f>W436+Учет!R437-R437</f>
        <v>336855</v>
      </c>
      <c r="X437" s="43">
        <f>X436+Учет!S437-S437</f>
        <v>500</v>
      </c>
      <c r="Y437" s="43">
        <f>Y436+Учет!T437-T437</f>
        <v>1150</v>
      </c>
      <c r="Z437" s="43">
        <f>Z436+Учет!U437-U437</f>
        <v>500000</v>
      </c>
      <c r="AA437" s="45">
        <f>Учет!X437</f>
        <v>500</v>
      </c>
    </row>
    <row r="438" spans="1:27" ht="15" customHeight="1" x14ac:dyDescent="0.25">
      <c r="A438" s="1"/>
      <c r="B438" s="17"/>
      <c r="C438" s="17"/>
      <c r="D438" s="17"/>
      <c r="E438" s="17"/>
      <c r="F438" s="17"/>
      <c r="G438" s="4">
        <f t="shared" si="15"/>
        <v>0</v>
      </c>
      <c r="H438" s="17"/>
      <c r="I438" s="4">
        <f t="shared" si="17"/>
        <v>349526.07999999996</v>
      </c>
      <c r="J438" s="32" t="str">
        <f t="shared" si="16"/>
        <v/>
      </c>
      <c r="K438" s="72"/>
      <c r="L438" s="72"/>
      <c r="M438" s="2"/>
      <c r="N438" s="5"/>
      <c r="O438" s="3"/>
      <c r="P438" s="6"/>
      <c r="Q438" s="48">
        <f>IF(Учет!$O438=Справочники!$F$2,Учет!$H438,0)</f>
        <v>0</v>
      </c>
      <c r="R438" s="48">
        <f>IF(Учет!$O438=Справочники!$F$3,Учет!$H438,0)</f>
        <v>0</v>
      </c>
      <c r="S438" s="48">
        <f>IF(Учет!$O438=Справочники!$F$4,Учет!$H438,0)</f>
        <v>0</v>
      </c>
      <c r="T438" s="48">
        <f>IF(Учет!$O438=Справочники!$F$5,Учет!$H438,0)</f>
        <v>0</v>
      </c>
      <c r="U438" s="48">
        <f>IF(Учет!$O438=Справочники!$F$6,Учет!$H438,0)</f>
        <v>0</v>
      </c>
      <c r="V438" s="43">
        <f>V437+Учет!Q438-Q438</f>
        <v>-488978.92000000004</v>
      </c>
      <c r="W438" s="43">
        <f>W437+Учет!R438-R438</f>
        <v>336855</v>
      </c>
      <c r="X438" s="43">
        <f>X437+Учет!S438-S438</f>
        <v>500</v>
      </c>
      <c r="Y438" s="43">
        <f>Y437+Учет!T438-T438</f>
        <v>1150</v>
      </c>
      <c r="Z438" s="43">
        <f>Z437+Учет!U438-U438</f>
        <v>500000</v>
      </c>
      <c r="AA438" s="45">
        <f>Учет!X438</f>
        <v>500</v>
      </c>
    </row>
    <row r="439" spans="1:27" ht="15" customHeight="1" x14ac:dyDescent="0.25">
      <c r="A439" s="1"/>
      <c r="B439" s="17"/>
      <c r="C439" s="17"/>
      <c r="D439" s="17"/>
      <c r="E439" s="17"/>
      <c r="F439" s="17"/>
      <c r="G439" s="4">
        <f t="shared" si="15"/>
        <v>0</v>
      </c>
      <c r="H439" s="17"/>
      <c r="I439" s="4">
        <f t="shared" si="17"/>
        <v>349526.07999999996</v>
      </c>
      <c r="J439" s="32" t="str">
        <f t="shared" si="16"/>
        <v/>
      </c>
      <c r="K439" s="72"/>
      <c r="L439" s="72"/>
      <c r="M439" s="2"/>
      <c r="N439" s="5"/>
      <c r="O439" s="3"/>
      <c r="P439" s="6"/>
      <c r="Q439" s="48">
        <f>IF(Учет!$O439=Справочники!$F$2,Учет!$H439,0)</f>
        <v>0</v>
      </c>
      <c r="R439" s="48">
        <f>IF(Учет!$O439=Справочники!$F$3,Учет!$H439,0)</f>
        <v>0</v>
      </c>
      <c r="S439" s="48">
        <f>IF(Учет!$O439=Справочники!$F$4,Учет!$H439,0)</f>
        <v>0</v>
      </c>
      <c r="T439" s="48">
        <f>IF(Учет!$O439=Справочники!$F$5,Учет!$H439,0)</f>
        <v>0</v>
      </c>
      <c r="U439" s="48">
        <f>IF(Учет!$O439=Справочники!$F$6,Учет!$H439,0)</f>
        <v>0</v>
      </c>
      <c r="V439" s="43">
        <f>V438+Учет!Q439-Q439</f>
        <v>-488978.92000000004</v>
      </c>
      <c r="W439" s="43">
        <f>W438+Учет!R439-R439</f>
        <v>336855</v>
      </c>
      <c r="X439" s="43">
        <f>X438+Учет!S439-S439</f>
        <v>500</v>
      </c>
      <c r="Y439" s="43">
        <f>Y438+Учет!T439-T439</f>
        <v>1150</v>
      </c>
      <c r="Z439" s="43">
        <f>Z438+Учет!U439-U439</f>
        <v>500000</v>
      </c>
      <c r="AA439" s="45">
        <f>Учет!X439</f>
        <v>500</v>
      </c>
    </row>
    <row r="440" spans="1:27" ht="15" customHeight="1" x14ac:dyDescent="0.25">
      <c r="A440" s="1"/>
      <c r="B440" s="17"/>
      <c r="C440" s="17"/>
      <c r="D440" s="17"/>
      <c r="E440" s="17"/>
      <c r="F440" s="17"/>
      <c r="G440" s="4">
        <f t="shared" si="15"/>
        <v>0</v>
      </c>
      <c r="H440" s="17"/>
      <c r="I440" s="4">
        <f t="shared" si="17"/>
        <v>349526.07999999996</v>
      </c>
      <c r="J440" s="32" t="str">
        <f t="shared" si="16"/>
        <v/>
      </c>
      <c r="K440" s="72"/>
      <c r="L440" s="72"/>
      <c r="M440" s="2"/>
      <c r="N440" s="5"/>
      <c r="O440" s="3"/>
      <c r="P440" s="6"/>
      <c r="Q440" s="48">
        <f>IF(Учет!$O440=Справочники!$F$2,Учет!$H440,0)</f>
        <v>0</v>
      </c>
      <c r="R440" s="48">
        <f>IF(Учет!$O440=Справочники!$F$3,Учет!$H440,0)</f>
        <v>0</v>
      </c>
      <c r="S440" s="48">
        <f>IF(Учет!$O440=Справочники!$F$4,Учет!$H440,0)</f>
        <v>0</v>
      </c>
      <c r="T440" s="48">
        <f>IF(Учет!$O440=Справочники!$F$5,Учет!$H440,0)</f>
        <v>0</v>
      </c>
      <c r="U440" s="48">
        <f>IF(Учет!$O440=Справочники!$F$6,Учет!$H440,0)</f>
        <v>0</v>
      </c>
      <c r="V440" s="43">
        <f>V439+Учет!Q440-Q440</f>
        <v>-488978.92000000004</v>
      </c>
      <c r="W440" s="43">
        <f>W439+Учет!R440-R440</f>
        <v>336855</v>
      </c>
      <c r="X440" s="43">
        <f>X439+Учет!S440-S440</f>
        <v>500</v>
      </c>
      <c r="Y440" s="43">
        <f>Y439+Учет!T440-T440</f>
        <v>1150</v>
      </c>
      <c r="Z440" s="43">
        <f>Z439+Учет!U440-U440</f>
        <v>500000</v>
      </c>
      <c r="AA440" s="45">
        <f>Учет!X440</f>
        <v>500</v>
      </c>
    </row>
    <row r="441" spans="1:27" ht="15" customHeight="1" x14ac:dyDescent="0.25">
      <c r="A441" s="1"/>
      <c r="B441" s="17"/>
      <c r="C441" s="17"/>
      <c r="D441" s="17"/>
      <c r="E441" s="17"/>
      <c r="F441" s="17"/>
      <c r="G441" s="4">
        <f t="shared" si="15"/>
        <v>0</v>
      </c>
      <c r="H441" s="17"/>
      <c r="I441" s="4">
        <f t="shared" si="17"/>
        <v>349526.07999999996</v>
      </c>
      <c r="J441" s="32" t="str">
        <f t="shared" si="16"/>
        <v/>
      </c>
      <c r="K441" s="72"/>
      <c r="L441" s="72"/>
      <c r="M441" s="2"/>
      <c r="N441" s="5"/>
      <c r="O441" s="3"/>
      <c r="P441" s="6"/>
      <c r="Q441" s="48">
        <f>IF(Учет!$O441=Справочники!$F$2,Учет!$H441,0)</f>
        <v>0</v>
      </c>
      <c r="R441" s="48">
        <f>IF(Учет!$O441=Справочники!$F$3,Учет!$H441,0)</f>
        <v>0</v>
      </c>
      <c r="S441" s="48">
        <f>IF(Учет!$O441=Справочники!$F$4,Учет!$H441,0)</f>
        <v>0</v>
      </c>
      <c r="T441" s="48">
        <f>IF(Учет!$O441=Справочники!$F$5,Учет!$H441,0)</f>
        <v>0</v>
      </c>
      <c r="U441" s="48">
        <f>IF(Учет!$O441=Справочники!$F$6,Учет!$H441,0)</f>
        <v>0</v>
      </c>
      <c r="V441" s="43">
        <f>V440+Учет!Q441-Q441</f>
        <v>-488978.92000000004</v>
      </c>
      <c r="W441" s="43">
        <f>W440+Учет!R441-R441</f>
        <v>336855</v>
      </c>
      <c r="X441" s="43">
        <f>X440+Учет!S441-S441</f>
        <v>500</v>
      </c>
      <c r="Y441" s="43">
        <f>Y440+Учет!T441-T441</f>
        <v>1150</v>
      </c>
      <c r="Z441" s="43">
        <f>Z440+Учет!U441-U441</f>
        <v>500000</v>
      </c>
      <c r="AA441" s="45">
        <f>Учет!X441</f>
        <v>500</v>
      </c>
    </row>
    <row r="442" spans="1:27" ht="15" customHeight="1" x14ac:dyDescent="0.25">
      <c r="A442" s="1"/>
      <c r="B442" s="17"/>
      <c r="C442" s="17"/>
      <c r="D442" s="17"/>
      <c r="E442" s="17"/>
      <c r="F442" s="17"/>
      <c r="G442" s="4">
        <f t="shared" si="15"/>
        <v>0</v>
      </c>
      <c r="H442" s="17"/>
      <c r="I442" s="4">
        <f t="shared" si="17"/>
        <v>349526.07999999996</v>
      </c>
      <c r="J442" s="32" t="str">
        <f t="shared" si="16"/>
        <v/>
      </c>
      <c r="K442" s="72"/>
      <c r="L442" s="72"/>
      <c r="M442" s="2"/>
      <c r="N442" s="5"/>
      <c r="O442" s="3"/>
      <c r="P442" s="6"/>
      <c r="Q442" s="48">
        <f>IF(Учет!$O442=Справочники!$F$2,Учет!$H442,0)</f>
        <v>0</v>
      </c>
      <c r="R442" s="48">
        <f>IF(Учет!$O442=Справочники!$F$3,Учет!$H442,0)</f>
        <v>0</v>
      </c>
      <c r="S442" s="48">
        <f>IF(Учет!$O442=Справочники!$F$4,Учет!$H442,0)</f>
        <v>0</v>
      </c>
      <c r="T442" s="48">
        <f>IF(Учет!$O442=Справочники!$F$5,Учет!$H442,0)</f>
        <v>0</v>
      </c>
      <c r="U442" s="48">
        <f>IF(Учет!$O442=Справочники!$F$6,Учет!$H442,0)</f>
        <v>0</v>
      </c>
      <c r="V442" s="43">
        <f>V441+Учет!Q442-Q442</f>
        <v>-488978.92000000004</v>
      </c>
      <c r="W442" s="43">
        <f>W441+Учет!R442-R442</f>
        <v>336855</v>
      </c>
      <c r="X442" s="43">
        <f>X441+Учет!S442-S442</f>
        <v>500</v>
      </c>
      <c r="Y442" s="43">
        <f>Y441+Учет!T442-T442</f>
        <v>1150</v>
      </c>
      <c r="Z442" s="43">
        <f>Z441+Учет!U442-U442</f>
        <v>500000</v>
      </c>
      <c r="AA442" s="45">
        <f>Учет!X442</f>
        <v>500</v>
      </c>
    </row>
    <row r="443" spans="1:27" ht="15" customHeight="1" x14ac:dyDescent="0.25">
      <c r="A443" s="1"/>
      <c r="B443" s="17"/>
      <c r="C443" s="17"/>
      <c r="D443" s="17"/>
      <c r="E443" s="17"/>
      <c r="F443" s="17"/>
      <c r="G443" s="4">
        <f t="shared" si="15"/>
        <v>0</v>
      </c>
      <c r="H443" s="17"/>
      <c r="I443" s="4">
        <f t="shared" si="17"/>
        <v>349526.07999999996</v>
      </c>
      <c r="J443" s="32" t="str">
        <f t="shared" si="16"/>
        <v/>
      </c>
      <c r="K443" s="72"/>
      <c r="L443" s="72"/>
      <c r="M443" s="2"/>
      <c r="N443" s="5"/>
      <c r="O443" s="3"/>
      <c r="P443" s="6"/>
      <c r="Q443" s="48">
        <f>IF(Учет!$O443=Справочники!$F$2,Учет!$H443,0)</f>
        <v>0</v>
      </c>
      <c r="R443" s="48">
        <f>IF(Учет!$O443=Справочники!$F$3,Учет!$H443,0)</f>
        <v>0</v>
      </c>
      <c r="S443" s="48">
        <f>IF(Учет!$O443=Справочники!$F$4,Учет!$H443,0)</f>
        <v>0</v>
      </c>
      <c r="T443" s="48">
        <f>IF(Учет!$O443=Справочники!$F$5,Учет!$H443,0)</f>
        <v>0</v>
      </c>
      <c r="U443" s="48">
        <f>IF(Учет!$O443=Справочники!$F$6,Учет!$H443,0)</f>
        <v>0</v>
      </c>
      <c r="V443" s="43">
        <f>V442+Учет!Q443-Q443</f>
        <v>-488978.92000000004</v>
      </c>
      <c r="W443" s="43">
        <f>W442+Учет!R443-R443</f>
        <v>336855</v>
      </c>
      <c r="X443" s="43">
        <f>X442+Учет!S443-S443</f>
        <v>500</v>
      </c>
      <c r="Y443" s="43">
        <f>Y442+Учет!T443-T443</f>
        <v>1150</v>
      </c>
      <c r="Z443" s="43">
        <f>Z442+Учет!U443-U443</f>
        <v>500000</v>
      </c>
      <c r="AA443" s="45">
        <f>Учет!X443</f>
        <v>500</v>
      </c>
    </row>
    <row r="444" spans="1:27" ht="15" customHeight="1" x14ac:dyDescent="0.25">
      <c r="A444" s="1"/>
      <c r="B444" s="17"/>
      <c r="C444" s="17"/>
      <c r="D444" s="17"/>
      <c r="E444" s="17"/>
      <c r="F444" s="17"/>
      <c r="G444" s="4">
        <f t="shared" si="15"/>
        <v>0</v>
      </c>
      <c r="H444" s="17"/>
      <c r="I444" s="4">
        <f t="shared" si="17"/>
        <v>349526.07999999996</v>
      </c>
      <c r="J444" s="32" t="str">
        <f t="shared" si="16"/>
        <v/>
      </c>
      <c r="K444" s="72"/>
      <c r="L444" s="72"/>
      <c r="M444" s="2"/>
      <c r="N444" s="5"/>
      <c r="O444" s="3"/>
      <c r="P444" s="6"/>
      <c r="Q444" s="48">
        <f>IF(Учет!$O444=Справочники!$F$2,Учет!$H444,0)</f>
        <v>0</v>
      </c>
      <c r="R444" s="48">
        <f>IF(Учет!$O444=Справочники!$F$3,Учет!$H444,0)</f>
        <v>0</v>
      </c>
      <c r="S444" s="48">
        <f>IF(Учет!$O444=Справочники!$F$4,Учет!$H444,0)</f>
        <v>0</v>
      </c>
      <c r="T444" s="48">
        <f>IF(Учет!$O444=Справочники!$F$5,Учет!$H444,0)</f>
        <v>0</v>
      </c>
      <c r="U444" s="48">
        <f>IF(Учет!$O444=Справочники!$F$6,Учет!$H444,0)</f>
        <v>0</v>
      </c>
      <c r="V444" s="43">
        <f>V443+Учет!Q444-Q444</f>
        <v>-488978.92000000004</v>
      </c>
      <c r="W444" s="43">
        <f>W443+Учет!R444-R444</f>
        <v>336855</v>
      </c>
      <c r="X444" s="43">
        <f>X443+Учет!S444-S444</f>
        <v>500</v>
      </c>
      <c r="Y444" s="43">
        <f>Y443+Учет!T444-T444</f>
        <v>1150</v>
      </c>
      <c r="Z444" s="43">
        <f>Z443+Учет!U444-U444</f>
        <v>500000</v>
      </c>
      <c r="AA444" s="45">
        <f>Учет!X444</f>
        <v>500</v>
      </c>
    </row>
    <row r="445" spans="1:27" ht="15" customHeight="1" x14ac:dyDescent="0.25">
      <c r="A445" s="1"/>
      <c r="B445" s="17"/>
      <c r="C445" s="17"/>
      <c r="D445" s="17"/>
      <c r="E445" s="17"/>
      <c r="F445" s="17"/>
      <c r="G445" s="4">
        <f t="shared" si="15"/>
        <v>0</v>
      </c>
      <c r="H445" s="17"/>
      <c r="I445" s="4">
        <f t="shared" si="17"/>
        <v>349526.07999999996</v>
      </c>
      <c r="J445" s="32" t="str">
        <f t="shared" si="16"/>
        <v/>
      </c>
      <c r="K445" s="72"/>
      <c r="L445" s="72"/>
      <c r="M445" s="2"/>
      <c r="N445" s="5"/>
      <c r="O445" s="3"/>
      <c r="P445" s="6"/>
      <c r="Q445" s="48">
        <f>IF(Учет!$O445=Справочники!$F$2,Учет!$H445,0)</f>
        <v>0</v>
      </c>
      <c r="R445" s="48">
        <f>IF(Учет!$O445=Справочники!$F$3,Учет!$H445,0)</f>
        <v>0</v>
      </c>
      <c r="S445" s="48">
        <f>IF(Учет!$O445=Справочники!$F$4,Учет!$H445,0)</f>
        <v>0</v>
      </c>
      <c r="T445" s="48">
        <f>IF(Учет!$O445=Справочники!$F$5,Учет!$H445,0)</f>
        <v>0</v>
      </c>
      <c r="U445" s="48">
        <f>IF(Учет!$O445=Справочники!$F$6,Учет!$H445,0)</f>
        <v>0</v>
      </c>
      <c r="V445" s="43">
        <f>V444+Учет!Q445-Q445</f>
        <v>-488978.92000000004</v>
      </c>
      <c r="W445" s="43">
        <f>W444+Учет!R445-R445</f>
        <v>336855</v>
      </c>
      <c r="X445" s="43">
        <f>X444+Учет!S445-S445</f>
        <v>500</v>
      </c>
      <c r="Y445" s="43">
        <f>Y444+Учет!T445-T445</f>
        <v>1150</v>
      </c>
      <c r="Z445" s="43">
        <f>Z444+Учет!U445-U445</f>
        <v>500000</v>
      </c>
      <c r="AA445" s="45">
        <f>Учет!X445</f>
        <v>500</v>
      </c>
    </row>
    <row r="446" spans="1:27" ht="15" customHeight="1" x14ac:dyDescent="0.25">
      <c r="A446" s="1"/>
      <c r="B446" s="17"/>
      <c r="C446" s="17"/>
      <c r="D446" s="17"/>
      <c r="E446" s="17"/>
      <c r="F446" s="17"/>
      <c r="G446" s="4">
        <f t="shared" si="15"/>
        <v>0</v>
      </c>
      <c r="H446" s="17"/>
      <c r="I446" s="4">
        <f t="shared" si="17"/>
        <v>349526.07999999996</v>
      </c>
      <c r="J446" s="32" t="str">
        <f t="shared" si="16"/>
        <v/>
      </c>
      <c r="K446" s="72"/>
      <c r="L446" s="72"/>
      <c r="M446" s="2"/>
      <c r="N446" s="5"/>
      <c r="O446" s="3"/>
      <c r="P446" s="6"/>
      <c r="Q446" s="48">
        <f>IF(Учет!$O446=Справочники!$F$2,Учет!$H446,0)</f>
        <v>0</v>
      </c>
      <c r="R446" s="48">
        <f>IF(Учет!$O446=Справочники!$F$3,Учет!$H446,0)</f>
        <v>0</v>
      </c>
      <c r="S446" s="48">
        <f>IF(Учет!$O446=Справочники!$F$4,Учет!$H446,0)</f>
        <v>0</v>
      </c>
      <c r="T446" s="48">
        <f>IF(Учет!$O446=Справочники!$F$5,Учет!$H446,0)</f>
        <v>0</v>
      </c>
      <c r="U446" s="48">
        <f>IF(Учет!$O446=Справочники!$F$6,Учет!$H446,0)</f>
        <v>0</v>
      </c>
      <c r="V446" s="43">
        <f>V445+Учет!Q446-Q446</f>
        <v>-488978.92000000004</v>
      </c>
      <c r="W446" s="43">
        <f>W445+Учет!R446-R446</f>
        <v>336855</v>
      </c>
      <c r="X446" s="43">
        <f>X445+Учет!S446-S446</f>
        <v>500</v>
      </c>
      <c r="Y446" s="43">
        <f>Y445+Учет!T446-T446</f>
        <v>1150</v>
      </c>
      <c r="Z446" s="43">
        <f>Z445+Учет!U446-U446</f>
        <v>500000</v>
      </c>
      <c r="AA446" s="45">
        <f>Учет!X446</f>
        <v>500</v>
      </c>
    </row>
    <row r="447" spans="1:27" ht="15" customHeight="1" x14ac:dyDescent="0.25">
      <c r="A447" s="1"/>
      <c r="B447" s="17"/>
      <c r="C447" s="17"/>
      <c r="D447" s="17"/>
      <c r="E447" s="17"/>
      <c r="F447" s="17"/>
      <c r="G447" s="4">
        <f t="shared" si="15"/>
        <v>0</v>
      </c>
      <c r="H447" s="17"/>
      <c r="I447" s="4">
        <f t="shared" si="17"/>
        <v>349526.07999999996</v>
      </c>
      <c r="J447" s="32" t="str">
        <f t="shared" si="16"/>
        <v/>
      </c>
      <c r="K447" s="72"/>
      <c r="L447" s="72"/>
      <c r="M447" s="2"/>
      <c r="N447" s="5"/>
      <c r="O447" s="3"/>
      <c r="P447" s="6"/>
      <c r="Q447" s="48">
        <f>IF(Учет!$O447=Справочники!$F$2,Учет!$H447,0)</f>
        <v>0</v>
      </c>
      <c r="R447" s="48">
        <f>IF(Учет!$O447=Справочники!$F$3,Учет!$H447,0)</f>
        <v>0</v>
      </c>
      <c r="S447" s="48">
        <f>IF(Учет!$O447=Справочники!$F$4,Учет!$H447,0)</f>
        <v>0</v>
      </c>
      <c r="T447" s="48">
        <f>IF(Учет!$O447=Справочники!$F$5,Учет!$H447,0)</f>
        <v>0</v>
      </c>
      <c r="U447" s="48">
        <f>IF(Учет!$O447=Справочники!$F$6,Учет!$H447,0)</f>
        <v>0</v>
      </c>
      <c r="V447" s="43">
        <f>V446+Учет!Q447-Q447</f>
        <v>-488978.92000000004</v>
      </c>
      <c r="W447" s="43">
        <f>W446+Учет!R447-R447</f>
        <v>336855</v>
      </c>
      <c r="X447" s="43">
        <f>X446+Учет!S447-S447</f>
        <v>500</v>
      </c>
      <c r="Y447" s="43">
        <f>Y446+Учет!T447-T447</f>
        <v>1150</v>
      </c>
      <c r="Z447" s="43">
        <f>Z446+Учет!U447-U447</f>
        <v>500000</v>
      </c>
      <c r="AA447" s="45">
        <f>Учет!X447</f>
        <v>500</v>
      </c>
    </row>
    <row r="448" spans="1:27" ht="15" customHeight="1" x14ac:dyDescent="0.25">
      <c r="A448" s="1"/>
      <c r="B448" s="17"/>
      <c r="C448" s="17"/>
      <c r="D448" s="17"/>
      <c r="E448" s="17"/>
      <c r="F448" s="17"/>
      <c r="G448" s="4">
        <f t="shared" si="15"/>
        <v>0</v>
      </c>
      <c r="H448" s="17"/>
      <c r="I448" s="4">
        <f t="shared" si="17"/>
        <v>349526.07999999996</v>
      </c>
      <c r="J448" s="32" t="str">
        <f t="shared" si="16"/>
        <v/>
      </c>
      <c r="K448" s="72"/>
      <c r="L448" s="72"/>
      <c r="M448" s="2"/>
      <c r="N448" s="5"/>
      <c r="O448" s="3"/>
      <c r="P448" s="6"/>
      <c r="Q448" s="48">
        <f>IF(Учет!$O448=Справочники!$F$2,Учет!$H448,0)</f>
        <v>0</v>
      </c>
      <c r="R448" s="48">
        <f>IF(Учет!$O448=Справочники!$F$3,Учет!$H448,0)</f>
        <v>0</v>
      </c>
      <c r="S448" s="48">
        <f>IF(Учет!$O448=Справочники!$F$4,Учет!$H448,0)</f>
        <v>0</v>
      </c>
      <c r="T448" s="48">
        <f>IF(Учет!$O448=Справочники!$F$5,Учет!$H448,0)</f>
        <v>0</v>
      </c>
      <c r="U448" s="48">
        <f>IF(Учет!$O448=Справочники!$F$6,Учет!$H448,0)</f>
        <v>0</v>
      </c>
      <c r="V448" s="43">
        <f>V447+Учет!Q448-Q448</f>
        <v>-488978.92000000004</v>
      </c>
      <c r="W448" s="43">
        <f>W447+Учет!R448-R448</f>
        <v>336855</v>
      </c>
      <c r="X448" s="43">
        <f>X447+Учет!S448-S448</f>
        <v>500</v>
      </c>
      <c r="Y448" s="43">
        <f>Y447+Учет!T448-T448</f>
        <v>1150</v>
      </c>
      <c r="Z448" s="43">
        <f>Z447+Учет!U448-U448</f>
        <v>500000</v>
      </c>
      <c r="AA448" s="45">
        <f>Учет!X448</f>
        <v>500</v>
      </c>
    </row>
    <row r="449" spans="1:27" ht="15" customHeight="1" x14ac:dyDescent="0.25">
      <c r="A449" s="1"/>
      <c r="B449" s="17"/>
      <c r="C449" s="17"/>
      <c r="D449" s="17"/>
      <c r="E449" s="17"/>
      <c r="F449" s="17"/>
      <c r="G449" s="4">
        <f t="shared" si="15"/>
        <v>0</v>
      </c>
      <c r="H449" s="17"/>
      <c r="I449" s="4">
        <f t="shared" si="17"/>
        <v>349526.07999999996</v>
      </c>
      <c r="J449" s="32" t="str">
        <f t="shared" si="16"/>
        <v/>
      </c>
      <c r="K449" s="72"/>
      <c r="L449" s="72"/>
      <c r="M449" s="2"/>
      <c r="N449" s="5"/>
      <c r="O449" s="3"/>
      <c r="P449" s="6"/>
      <c r="Q449" s="48">
        <f>IF(Учет!$O449=Справочники!$F$2,Учет!$H449,0)</f>
        <v>0</v>
      </c>
      <c r="R449" s="48">
        <f>IF(Учет!$O449=Справочники!$F$3,Учет!$H449,0)</f>
        <v>0</v>
      </c>
      <c r="S449" s="48">
        <f>IF(Учет!$O449=Справочники!$F$4,Учет!$H449,0)</f>
        <v>0</v>
      </c>
      <c r="T449" s="48">
        <f>IF(Учет!$O449=Справочники!$F$5,Учет!$H449,0)</f>
        <v>0</v>
      </c>
      <c r="U449" s="48">
        <f>IF(Учет!$O449=Справочники!$F$6,Учет!$H449,0)</f>
        <v>0</v>
      </c>
      <c r="V449" s="43">
        <f>V448+Учет!Q449-Q449</f>
        <v>-488978.92000000004</v>
      </c>
      <c r="W449" s="43">
        <f>W448+Учет!R449-R449</f>
        <v>336855</v>
      </c>
      <c r="X449" s="43">
        <f>X448+Учет!S449-S449</f>
        <v>500</v>
      </c>
      <c r="Y449" s="43">
        <f>Y448+Учет!T449-T449</f>
        <v>1150</v>
      </c>
      <c r="Z449" s="43">
        <f>Z448+Учет!U449-U449</f>
        <v>500000</v>
      </c>
      <c r="AA449" s="45">
        <f>Учет!X449</f>
        <v>500</v>
      </c>
    </row>
    <row r="450" spans="1:27" ht="15" customHeight="1" x14ac:dyDescent="0.25">
      <c r="A450" s="1"/>
      <c r="B450" s="17"/>
      <c r="C450" s="17"/>
      <c r="D450" s="17"/>
      <c r="E450" s="17"/>
      <c r="F450" s="17"/>
      <c r="G450" s="4">
        <f t="shared" ref="G450:G513" si="18">SUM($B450:$F450)</f>
        <v>0</v>
      </c>
      <c r="H450" s="17"/>
      <c r="I450" s="4">
        <f t="shared" si="17"/>
        <v>349526.07999999996</v>
      </c>
      <c r="J450" s="32" t="str">
        <f t="shared" ref="J450:J513" si="19">IF($A451&lt;&gt;$A450,$I450,"")</f>
        <v/>
      </c>
      <c r="K450" s="72"/>
      <c r="L450" s="72"/>
      <c r="M450" s="2"/>
      <c r="N450" s="5"/>
      <c r="O450" s="3"/>
      <c r="P450" s="6"/>
      <c r="Q450" s="48">
        <f>IF(Учет!$O450=Справочники!$F$2,Учет!$H450,0)</f>
        <v>0</v>
      </c>
      <c r="R450" s="48">
        <f>IF(Учет!$O450=Справочники!$F$3,Учет!$H450,0)</f>
        <v>0</v>
      </c>
      <c r="S450" s="48">
        <f>IF(Учет!$O450=Справочники!$F$4,Учет!$H450,0)</f>
        <v>0</v>
      </c>
      <c r="T450" s="48">
        <f>IF(Учет!$O450=Справочники!$F$5,Учет!$H450,0)</f>
        <v>0</v>
      </c>
      <c r="U450" s="48">
        <f>IF(Учет!$O450=Справочники!$F$6,Учет!$H450,0)</f>
        <v>0</v>
      </c>
      <c r="V450" s="43">
        <f>V449+Учет!Q450-Q450</f>
        <v>-488978.92000000004</v>
      </c>
      <c r="W450" s="43">
        <f>W449+Учет!R450-R450</f>
        <v>336855</v>
      </c>
      <c r="X450" s="43">
        <f>X449+Учет!S450-S450</f>
        <v>500</v>
      </c>
      <c r="Y450" s="43">
        <f>Y449+Учет!T450-T450</f>
        <v>1150</v>
      </c>
      <c r="Z450" s="43">
        <f>Z449+Учет!U450-U450</f>
        <v>500000</v>
      </c>
      <c r="AA450" s="45">
        <f>Учет!X450</f>
        <v>500</v>
      </c>
    </row>
    <row r="451" spans="1:27" ht="15" customHeight="1" x14ac:dyDescent="0.25">
      <c r="A451" s="1"/>
      <c r="B451" s="17"/>
      <c r="C451" s="17"/>
      <c r="D451" s="17"/>
      <c r="E451" s="17"/>
      <c r="F451" s="17"/>
      <c r="G451" s="4">
        <f t="shared" si="18"/>
        <v>0</v>
      </c>
      <c r="H451" s="17"/>
      <c r="I451" s="4">
        <f t="shared" ref="I451:I514" si="20">$I450+$G451-$H451</f>
        <v>349526.07999999996</v>
      </c>
      <c r="J451" s="32" t="str">
        <f t="shared" si="19"/>
        <v/>
      </c>
      <c r="K451" s="72"/>
      <c r="L451" s="72"/>
      <c r="M451" s="2"/>
      <c r="N451" s="5"/>
      <c r="O451" s="3"/>
      <c r="P451" s="6"/>
      <c r="Q451" s="48">
        <f>IF(Учет!$O451=Справочники!$F$2,Учет!$H451,0)</f>
        <v>0</v>
      </c>
      <c r="R451" s="48">
        <f>IF(Учет!$O451=Справочники!$F$3,Учет!$H451,0)</f>
        <v>0</v>
      </c>
      <c r="S451" s="48">
        <f>IF(Учет!$O451=Справочники!$F$4,Учет!$H451,0)</f>
        <v>0</v>
      </c>
      <c r="T451" s="48">
        <f>IF(Учет!$O451=Справочники!$F$5,Учет!$H451,0)</f>
        <v>0</v>
      </c>
      <c r="U451" s="48">
        <f>IF(Учет!$O451=Справочники!$F$6,Учет!$H451,0)</f>
        <v>0</v>
      </c>
      <c r="V451" s="43">
        <f>V450+Учет!Q451-Q451</f>
        <v>-488978.92000000004</v>
      </c>
      <c r="W451" s="43">
        <f>W450+Учет!R451-R451</f>
        <v>336855</v>
      </c>
      <c r="X451" s="43">
        <f>X450+Учет!S451-S451</f>
        <v>500</v>
      </c>
      <c r="Y451" s="43">
        <f>Y450+Учет!T451-T451</f>
        <v>1150</v>
      </c>
      <c r="Z451" s="43">
        <f>Z450+Учет!U451-U451</f>
        <v>500000</v>
      </c>
      <c r="AA451" s="45">
        <f>Учет!X451</f>
        <v>500</v>
      </c>
    </row>
    <row r="452" spans="1:27" ht="15" customHeight="1" x14ac:dyDescent="0.25">
      <c r="A452" s="1"/>
      <c r="B452" s="17"/>
      <c r="C452" s="17"/>
      <c r="D452" s="17"/>
      <c r="E452" s="17"/>
      <c r="F452" s="17"/>
      <c r="G452" s="4">
        <f t="shared" si="18"/>
        <v>0</v>
      </c>
      <c r="H452" s="17"/>
      <c r="I452" s="4">
        <f t="shared" si="20"/>
        <v>349526.07999999996</v>
      </c>
      <c r="J452" s="32" t="str">
        <f t="shared" si="19"/>
        <v/>
      </c>
      <c r="K452" s="72"/>
      <c r="L452" s="72"/>
      <c r="M452" s="2"/>
      <c r="N452" s="5"/>
      <c r="O452" s="3"/>
      <c r="P452" s="6"/>
      <c r="Q452" s="48">
        <f>IF(Учет!$O452=Справочники!$F$2,Учет!$H452,0)</f>
        <v>0</v>
      </c>
      <c r="R452" s="48">
        <f>IF(Учет!$O452=Справочники!$F$3,Учет!$H452,0)</f>
        <v>0</v>
      </c>
      <c r="S452" s="48">
        <f>IF(Учет!$O452=Справочники!$F$4,Учет!$H452,0)</f>
        <v>0</v>
      </c>
      <c r="T452" s="48">
        <f>IF(Учет!$O452=Справочники!$F$5,Учет!$H452,0)</f>
        <v>0</v>
      </c>
      <c r="U452" s="48">
        <f>IF(Учет!$O452=Справочники!$F$6,Учет!$H452,0)</f>
        <v>0</v>
      </c>
      <c r="V452" s="43">
        <f>V451+Учет!Q452-Q452</f>
        <v>-488978.92000000004</v>
      </c>
      <c r="W452" s="43">
        <f>W451+Учет!R452-R452</f>
        <v>336855</v>
      </c>
      <c r="X452" s="43">
        <f>X451+Учет!S452-S452</f>
        <v>500</v>
      </c>
      <c r="Y452" s="43">
        <f>Y451+Учет!T452-T452</f>
        <v>1150</v>
      </c>
      <c r="Z452" s="43">
        <f>Z451+Учет!U452-U452</f>
        <v>500000</v>
      </c>
      <c r="AA452" s="45">
        <f>Учет!X452</f>
        <v>500</v>
      </c>
    </row>
    <row r="453" spans="1:27" ht="15" customHeight="1" x14ac:dyDescent="0.25">
      <c r="A453" s="1"/>
      <c r="B453" s="17"/>
      <c r="C453" s="17"/>
      <c r="D453" s="17"/>
      <c r="E453" s="17"/>
      <c r="F453" s="17"/>
      <c r="G453" s="4">
        <f t="shared" si="18"/>
        <v>0</v>
      </c>
      <c r="H453" s="17"/>
      <c r="I453" s="4">
        <f t="shared" si="20"/>
        <v>349526.07999999996</v>
      </c>
      <c r="J453" s="32" t="str">
        <f t="shared" si="19"/>
        <v/>
      </c>
      <c r="K453" s="72"/>
      <c r="L453" s="72"/>
      <c r="M453" s="2"/>
      <c r="N453" s="5"/>
      <c r="O453" s="3"/>
      <c r="P453" s="6"/>
      <c r="Q453" s="48">
        <f>IF(Учет!$O453=Справочники!$F$2,Учет!$H453,0)</f>
        <v>0</v>
      </c>
      <c r="R453" s="48">
        <f>IF(Учет!$O453=Справочники!$F$3,Учет!$H453,0)</f>
        <v>0</v>
      </c>
      <c r="S453" s="48">
        <f>IF(Учет!$O453=Справочники!$F$4,Учет!$H453,0)</f>
        <v>0</v>
      </c>
      <c r="T453" s="48">
        <f>IF(Учет!$O453=Справочники!$F$5,Учет!$H453,0)</f>
        <v>0</v>
      </c>
      <c r="U453" s="48">
        <f>IF(Учет!$O453=Справочники!$F$6,Учет!$H453,0)</f>
        <v>0</v>
      </c>
      <c r="V453" s="43">
        <f>V452+Учет!Q453-Q453</f>
        <v>-488978.92000000004</v>
      </c>
      <c r="W453" s="43">
        <f>W452+Учет!R453-R453</f>
        <v>336855</v>
      </c>
      <c r="X453" s="43">
        <f>X452+Учет!S453-S453</f>
        <v>500</v>
      </c>
      <c r="Y453" s="43">
        <f>Y452+Учет!T453-T453</f>
        <v>1150</v>
      </c>
      <c r="Z453" s="43">
        <f>Z452+Учет!U453-U453</f>
        <v>500000</v>
      </c>
      <c r="AA453" s="45">
        <f>Учет!X453</f>
        <v>500</v>
      </c>
    </row>
    <row r="454" spans="1:27" ht="15" customHeight="1" x14ac:dyDescent="0.25">
      <c r="A454" s="1"/>
      <c r="B454" s="17"/>
      <c r="C454" s="17"/>
      <c r="D454" s="17"/>
      <c r="E454" s="17"/>
      <c r="F454" s="17"/>
      <c r="G454" s="4">
        <f t="shared" si="18"/>
        <v>0</v>
      </c>
      <c r="H454" s="17"/>
      <c r="I454" s="4">
        <f t="shared" si="20"/>
        <v>349526.07999999996</v>
      </c>
      <c r="J454" s="32" t="str">
        <f t="shared" si="19"/>
        <v/>
      </c>
      <c r="K454" s="72"/>
      <c r="L454" s="72"/>
      <c r="M454" s="2"/>
      <c r="N454" s="5"/>
      <c r="O454" s="3"/>
      <c r="P454" s="6"/>
      <c r="Q454" s="48">
        <f>IF(Учет!$O454=Справочники!$F$2,Учет!$H454,0)</f>
        <v>0</v>
      </c>
      <c r="R454" s="48">
        <f>IF(Учет!$O454=Справочники!$F$3,Учет!$H454,0)</f>
        <v>0</v>
      </c>
      <c r="S454" s="48">
        <f>IF(Учет!$O454=Справочники!$F$4,Учет!$H454,0)</f>
        <v>0</v>
      </c>
      <c r="T454" s="48">
        <f>IF(Учет!$O454=Справочники!$F$5,Учет!$H454,0)</f>
        <v>0</v>
      </c>
      <c r="U454" s="48">
        <f>IF(Учет!$O454=Справочники!$F$6,Учет!$H454,0)</f>
        <v>0</v>
      </c>
      <c r="V454" s="43">
        <f>V453+Учет!Q454-Q454</f>
        <v>-488978.92000000004</v>
      </c>
      <c r="W454" s="43">
        <f>W453+Учет!R454-R454</f>
        <v>336855</v>
      </c>
      <c r="X454" s="43">
        <f>X453+Учет!S454-S454</f>
        <v>500</v>
      </c>
      <c r="Y454" s="43">
        <f>Y453+Учет!T454-T454</f>
        <v>1150</v>
      </c>
      <c r="Z454" s="43">
        <f>Z453+Учет!U454-U454</f>
        <v>500000</v>
      </c>
      <c r="AA454" s="45">
        <f>Учет!X454</f>
        <v>500</v>
      </c>
    </row>
    <row r="455" spans="1:27" ht="15" customHeight="1" x14ac:dyDescent="0.25">
      <c r="A455" s="1"/>
      <c r="B455" s="17"/>
      <c r="C455" s="17"/>
      <c r="D455" s="17"/>
      <c r="E455" s="17"/>
      <c r="F455" s="17"/>
      <c r="G455" s="4">
        <f t="shared" si="18"/>
        <v>0</v>
      </c>
      <c r="H455" s="17"/>
      <c r="I455" s="4">
        <f t="shared" si="20"/>
        <v>349526.07999999996</v>
      </c>
      <c r="J455" s="32" t="str">
        <f t="shared" si="19"/>
        <v/>
      </c>
      <c r="K455" s="72"/>
      <c r="L455" s="72"/>
      <c r="M455" s="2"/>
      <c r="N455" s="5"/>
      <c r="O455" s="3"/>
      <c r="P455" s="6"/>
      <c r="Q455" s="48">
        <f>IF(Учет!$O455=Справочники!$F$2,Учет!$H455,0)</f>
        <v>0</v>
      </c>
      <c r="R455" s="48">
        <f>IF(Учет!$O455=Справочники!$F$3,Учет!$H455,0)</f>
        <v>0</v>
      </c>
      <c r="S455" s="48">
        <f>IF(Учет!$O455=Справочники!$F$4,Учет!$H455,0)</f>
        <v>0</v>
      </c>
      <c r="T455" s="48">
        <f>IF(Учет!$O455=Справочники!$F$5,Учет!$H455,0)</f>
        <v>0</v>
      </c>
      <c r="U455" s="48">
        <f>IF(Учет!$O455=Справочники!$F$6,Учет!$H455,0)</f>
        <v>0</v>
      </c>
      <c r="V455" s="43">
        <f>V454+Учет!Q455-Q455</f>
        <v>-488978.92000000004</v>
      </c>
      <c r="W455" s="43">
        <f>W454+Учет!R455-R455</f>
        <v>336855</v>
      </c>
      <c r="X455" s="43">
        <f>X454+Учет!S455-S455</f>
        <v>500</v>
      </c>
      <c r="Y455" s="43">
        <f>Y454+Учет!T455-T455</f>
        <v>1150</v>
      </c>
      <c r="Z455" s="43">
        <f>Z454+Учет!U455-U455</f>
        <v>500000</v>
      </c>
      <c r="AA455" s="45">
        <f>Учет!X455</f>
        <v>500</v>
      </c>
    </row>
    <row r="456" spans="1:27" ht="15" customHeight="1" x14ac:dyDescent="0.25">
      <c r="A456" s="1"/>
      <c r="B456" s="17"/>
      <c r="C456" s="17"/>
      <c r="D456" s="17"/>
      <c r="E456" s="17"/>
      <c r="F456" s="17"/>
      <c r="G456" s="4">
        <f t="shared" si="18"/>
        <v>0</v>
      </c>
      <c r="H456" s="17"/>
      <c r="I456" s="4">
        <f t="shared" si="20"/>
        <v>349526.07999999996</v>
      </c>
      <c r="J456" s="32" t="str">
        <f t="shared" si="19"/>
        <v/>
      </c>
      <c r="K456" s="72"/>
      <c r="L456" s="72"/>
      <c r="M456" s="2"/>
      <c r="N456" s="5"/>
      <c r="O456" s="3"/>
      <c r="P456" s="6"/>
      <c r="Q456" s="48">
        <f>IF(Учет!$O456=Справочники!$F$2,Учет!$H456,0)</f>
        <v>0</v>
      </c>
      <c r="R456" s="48">
        <f>IF(Учет!$O456=Справочники!$F$3,Учет!$H456,0)</f>
        <v>0</v>
      </c>
      <c r="S456" s="48">
        <f>IF(Учет!$O456=Справочники!$F$4,Учет!$H456,0)</f>
        <v>0</v>
      </c>
      <c r="T456" s="48">
        <f>IF(Учет!$O456=Справочники!$F$5,Учет!$H456,0)</f>
        <v>0</v>
      </c>
      <c r="U456" s="48">
        <f>IF(Учет!$O456=Справочники!$F$6,Учет!$H456,0)</f>
        <v>0</v>
      </c>
      <c r="V456" s="43">
        <f>V455+Учет!Q456-Q456</f>
        <v>-488978.92000000004</v>
      </c>
      <c r="W456" s="43">
        <f>W455+Учет!R456-R456</f>
        <v>336855</v>
      </c>
      <c r="X456" s="43">
        <f>X455+Учет!S456-S456</f>
        <v>500</v>
      </c>
      <c r="Y456" s="43">
        <f>Y455+Учет!T456-T456</f>
        <v>1150</v>
      </c>
      <c r="Z456" s="43">
        <f>Z455+Учет!U456-U456</f>
        <v>500000</v>
      </c>
      <c r="AA456" s="45">
        <f>Учет!X456</f>
        <v>500</v>
      </c>
    </row>
    <row r="457" spans="1:27" ht="15" customHeight="1" x14ac:dyDescent="0.25">
      <c r="A457" s="1"/>
      <c r="B457" s="17"/>
      <c r="C457" s="17"/>
      <c r="D457" s="17"/>
      <c r="E457" s="17"/>
      <c r="F457" s="17"/>
      <c r="G457" s="4">
        <f t="shared" si="18"/>
        <v>0</v>
      </c>
      <c r="H457" s="17"/>
      <c r="I457" s="4">
        <f t="shared" si="20"/>
        <v>349526.07999999996</v>
      </c>
      <c r="J457" s="32" t="str">
        <f t="shared" si="19"/>
        <v/>
      </c>
      <c r="K457" s="72"/>
      <c r="L457" s="72"/>
      <c r="M457" s="2"/>
      <c r="N457" s="5"/>
      <c r="O457" s="3"/>
      <c r="P457" s="6"/>
      <c r="Q457" s="48">
        <f>IF(Учет!$O457=Справочники!$F$2,Учет!$H457,0)</f>
        <v>0</v>
      </c>
      <c r="R457" s="48">
        <f>IF(Учет!$O457=Справочники!$F$3,Учет!$H457,0)</f>
        <v>0</v>
      </c>
      <c r="S457" s="48">
        <f>IF(Учет!$O457=Справочники!$F$4,Учет!$H457,0)</f>
        <v>0</v>
      </c>
      <c r="T457" s="48">
        <f>IF(Учет!$O457=Справочники!$F$5,Учет!$H457,0)</f>
        <v>0</v>
      </c>
      <c r="U457" s="48">
        <f>IF(Учет!$O457=Справочники!$F$6,Учет!$H457,0)</f>
        <v>0</v>
      </c>
      <c r="V457" s="43">
        <f>V456+Учет!Q457-Q457</f>
        <v>-488978.92000000004</v>
      </c>
      <c r="W457" s="43">
        <f>W456+Учет!R457-R457</f>
        <v>336855</v>
      </c>
      <c r="X457" s="43">
        <f>X456+Учет!S457-S457</f>
        <v>500</v>
      </c>
      <c r="Y457" s="43">
        <f>Y456+Учет!T457-T457</f>
        <v>1150</v>
      </c>
      <c r="Z457" s="43">
        <f>Z456+Учет!U457-U457</f>
        <v>500000</v>
      </c>
      <c r="AA457" s="45">
        <f>Учет!X457</f>
        <v>500</v>
      </c>
    </row>
    <row r="458" spans="1:27" ht="15" customHeight="1" x14ac:dyDescent="0.25">
      <c r="A458" s="1"/>
      <c r="B458" s="17"/>
      <c r="C458" s="17"/>
      <c r="D458" s="17"/>
      <c r="E458" s="17"/>
      <c r="F458" s="17"/>
      <c r="G458" s="4">
        <f t="shared" si="18"/>
        <v>0</v>
      </c>
      <c r="H458" s="17"/>
      <c r="I458" s="4">
        <f t="shared" si="20"/>
        <v>349526.07999999996</v>
      </c>
      <c r="J458" s="32" t="str">
        <f t="shared" si="19"/>
        <v/>
      </c>
      <c r="K458" s="72"/>
      <c r="L458" s="72"/>
      <c r="M458" s="2"/>
      <c r="N458" s="5"/>
      <c r="O458" s="3"/>
      <c r="P458" s="6"/>
      <c r="Q458" s="48">
        <f>IF(Учет!$O458=Справочники!$F$2,Учет!$H458,0)</f>
        <v>0</v>
      </c>
      <c r="R458" s="48">
        <f>IF(Учет!$O458=Справочники!$F$3,Учет!$H458,0)</f>
        <v>0</v>
      </c>
      <c r="S458" s="48">
        <f>IF(Учет!$O458=Справочники!$F$4,Учет!$H458,0)</f>
        <v>0</v>
      </c>
      <c r="T458" s="48">
        <f>IF(Учет!$O458=Справочники!$F$5,Учет!$H458,0)</f>
        <v>0</v>
      </c>
      <c r="U458" s="48">
        <f>IF(Учет!$O458=Справочники!$F$6,Учет!$H458,0)</f>
        <v>0</v>
      </c>
      <c r="V458" s="43">
        <f>V457+Учет!Q458-Q458</f>
        <v>-488978.92000000004</v>
      </c>
      <c r="W458" s="43">
        <f>W457+Учет!R458-R458</f>
        <v>336855</v>
      </c>
      <c r="X458" s="43">
        <f>X457+Учет!S458-S458</f>
        <v>500</v>
      </c>
      <c r="Y458" s="43">
        <f>Y457+Учет!T458-T458</f>
        <v>1150</v>
      </c>
      <c r="Z458" s="43">
        <f>Z457+Учет!U458-U458</f>
        <v>500000</v>
      </c>
      <c r="AA458" s="45">
        <f>Учет!X458</f>
        <v>500</v>
      </c>
    </row>
    <row r="459" spans="1:27" ht="15" customHeight="1" x14ac:dyDescent="0.25">
      <c r="A459" s="1"/>
      <c r="B459" s="17"/>
      <c r="C459" s="17"/>
      <c r="D459" s="17"/>
      <c r="E459" s="17"/>
      <c r="F459" s="17"/>
      <c r="G459" s="4">
        <f t="shared" si="18"/>
        <v>0</v>
      </c>
      <c r="H459" s="17"/>
      <c r="I459" s="4">
        <f t="shared" si="20"/>
        <v>349526.07999999996</v>
      </c>
      <c r="J459" s="32" t="str">
        <f t="shared" si="19"/>
        <v/>
      </c>
      <c r="K459" s="72"/>
      <c r="L459" s="72"/>
      <c r="M459" s="2"/>
      <c r="N459" s="5"/>
      <c r="O459" s="3"/>
      <c r="P459" s="6"/>
      <c r="Q459" s="48">
        <f>IF(Учет!$O459=Справочники!$F$2,Учет!$H459,0)</f>
        <v>0</v>
      </c>
      <c r="R459" s="48">
        <f>IF(Учет!$O459=Справочники!$F$3,Учет!$H459,0)</f>
        <v>0</v>
      </c>
      <c r="S459" s="48">
        <f>IF(Учет!$O459=Справочники!$F$4,Учет!$H459,0)</f>
        <v>0</v>
      </c>
      <c r="T459" s="48">
        <f>IF(Учет!$O459=Справочники!$F$5,Учет!$H459,0)</f>
        <v>0</v>
      </c>
      <c r="U459" s="48">
        <f>IF(Учет!$O459=Справочники!$F$6,Учет!$H459,0)</f>
        <v>0</v>
      </c>
      <c r="V459" s="43">
        <f>V458+Учет!Q459-Q459</f>
        <v>-488978.92000000004</v>
      </c>
      <c r="W459" s="43">
        <f>W458+Учет!R459-R459</f>
        <v>336855</v>
      </c>
      <c r="X459" s="43">
        <f>X458+Учет!S459-S459</f>
        <v>500</v>
      </c>
      <c r="Y459" s="43">
        <f>Y458+Учет!T459-T459</f>
        <v>1150</v>
      </c>
      <c r="Z459" s="43">
        <f>Z458+Учет!U459-U459</f>
        <v>500000</v>
      </c>
      <c r="AA459" s="45">
        <f>Учет!X459</f>
        <v>500</v>
      </c>
    </row>
    <row r="460" spans="1:27" ht="15" customHeight="1" x14ac:dyDescent="0.25">
      <c r="A460" s="1"/>
      <c r="B460" s="17"/>
      <c r="C460" s="17"/>
      <c r="D460" s="17"/>
      <c r="E460" s="17"/>
      <c r="F460" s="17"/>
      <c r="G460" s="4">
        <f t="shared" si="18"/>
        <v>0</v>
      </c>
      <c r="H460" s="17"/>
      <c r="I460" s="4">
        <f t="shared" si="20"/>
        <v>349526.07999999996</v>
      </c>
      <c r="J460" s="32" t="str">
        <f t="shared" si="19"/>
        <v/>
      </c>
      <c r="K460" s="72"/>
      <c r="L460" s="72"/>
      <c r="M460" s="2"/>
      <c r="N460" s="5"/>
      <c r="O460" s="3"/>
      <c r="P460" s="6"/>
      <c r="Q460" s="48">
        <f>IF(Учет!$O460=Справочники!$F$2,Учет!$H460,0)</f>
        <v>0</v>
      </c>
      <c r="R460" s="48">
        <f>IF(Учет!$O460=Справочники!$F$3,Учет!$H460,0)</f>
        <v>0</v>
      </c>
      <c r="S460" s="48">
        <f>IF(Учет!$O460=Справочники!$F$4,Учет!$H460,0)</f>
        <v>0</v>
      </c>
      <c r="T460" s="48">
        <f>IF(Учет!$O460=Справочники!$F$5,Учет!$H460,0)</f>
        <v>0</v>
      </c>
      <c r="U460" s="48">
        <f>IF(Учет!$O460=Справочники!$F$6,Учет!$H460,0)</f>
        <v>0</v>
      </c>
      <c r="V460" s="43">
        <f>V459+Учет!Q460-Q460</f>
        <v>-488978.92000000004</v>
      </c>
      <c r="W460" s="43">
        <f>W459+Учет!R460-R460</f>
        <v>336855</v>
      </c>
      <c r="X460" s="43">
        <f>X459+Учет!S460-S460</f>
        <v>500</v>
      </c>
      <c r="Y460" s="43">
        <f>Y459+Учет!T460-T460</f>
        <v>1150</v>
      </c>
      <c r="Z460" s="43">
        <f>Z459+Учет!U460-U460</f>
        <v>500000</v>
      </c>
      <c r="AA460" s="45">
        <f>Учет!X460</f>
        <v>500</v>
      </c>
    </row>
    <row r="461" spans="1:27" ht="15" customHeight="1" x14ac:dyDescent="0.25">
      <c r="A461" s="1"/>
      <c r="B461" s="17"/>
      <c r="C461" s="17"/>
      <c r="D461" s="17"/>
      <c r="E461" s="17"/>
      <c r="F461" s="17"/>
      <c r="G461" s="4">
        <f t="shared" si="18"/>
        <v>0</v>
      </c>
      <c r="H461" s="17"/>
      <c r="I461" s="4">
        <f t="shared" si="20"/>
        <v>349526.07999999996</v>
      </c>
      <c r="J461" s="32" t="str">
        <f t="shared" si="19"/>
        <v/>
      </c>
      <c r="K461" s="72"/>
      <c r="L461" s="72"/>
      <c r="M461" s="2"/>
      <c r="N461" s="5"/>
      <c r="O461" s="3"/>
      <c r="P461" s="6"/>
      <c r="Q461" s="48">
        <f>IF(Учет!$O461=Справочники!$F$2,Учет!$H461,0)</f>
        <v>0</v>
      </c>
      <c r="R461" s="48">
        <f>IF(Учет!$O461=Справочники!$F$3,Учет!$H461,0)</f>
        <v>0</v>
      </c>
      <c r="S461" s="48">
        <f>IF(Учет!$O461=Справочники!$F$4,Учет!$H461,0)</f>
        <v>0</v>
      </c>
      <c r="T461" s="48">
        <f>IF(Учет!$O461=Справочники!$F$5,Учет!$H461,0)</f>
        <v>0</v>
      </c>
      <c r="U461" s="48">
        <f>IF(Учет!$O461=Справочники!$F$6,Учет!$H461,0)</f>
        <v>0</v>
      </c>
      <c r="V461" s="43">
        <f>V460+Учет!Q461-Q461</f>
        <v>-488978.92000000004</v>
      </c>
      <c r="W461" s="43">
        <f>W460+Учет!R461-R461</f>
        <v>336855</v>
      </c>
      <c r="X461" s="43">
        <f>X460+Учет!S461-S461</f>
        <v>500</v>
      </c>
      <c r="Y461" s="43">
        <f>Y460+Учет!T461-T461</f>
        <v>1150</v>
      </c>
      <c r="Z461" s="43">
        <f>Z460+Учет!U461-U461</f>
        <v>500000</v>
      </c>
      <c r="AA461" s="45">
        <f>Учет!X461</f>
        <v>500</v>
      </c>
    </row>
    <row r="462" spans="1:27" ht="15" customHeight="1" x14ac:dyDescent="0.25">
      <c r="A462" s="1"/>
      <c r="B462" s="17"/>
      <c r="C462" s="17"/>
      <c r="D462" s="17"/>
      <c r="E462" s="17"/>
      <c r="F462" s="17"/>
      <c r="G462" s="4">
        <f t="shared" si="18"/>
        <v>0</v>
      </c>
      <c r="H462" s="17"/>
      <c r="I462" s="4">
        <f t="shared" si="20"/>
        <v>349526.07999999996</v>
      </c>
      <c r="J462" s="32" t="str">
        <f t="shared" si="19"/>
        <v/>
      </c>
      <c r="K462" s="72"/>
      <c r="L462" s="72"/>
      <c r="M462" s="2"/>
      <c r="N462" s="5"/>
      <c r="O462" s="3"/>
      <c r="P462" s="6"/>
      <c r="Q462" s="48">
        <f>IF(Учет!$O462=Справочники!$F$2,Учет!$H462,0)</f>
        <v>0</v>
      </c>
      <c r="R462" s="48">
        <f>IF(Учет!$O462=Справочники!$F$3,Учет!$H462,0)</f>
        <v>0</v>
      </c>
      <c r="S462" s="48">
        <f>IF(Учет!$O462=Справочники!$F$4,Учет!$H462,0)</f>
        <v>0</v>
      </c>
      <c r="T462" s="48">
        <f>IF(Учет!$O462=Справочники!$F$5,Учет!$H462,0)</f>
        <v>0</v>
      </c>
      <c r="U462" s="48">
        <f>IF(Учет!$O462=Справочники!$F$6,Учет!$H462,0)</f>
        <v>0</v>
      </c>
      <c r="V462" s="43">
        <f>V461+Учет!Q462-Q462</f>
        <v>-488978.92000000004</v>
      </c>
      <c r="W462" s="43">
        <f>W461+Учет!R462-R462</f>
        <v>336855</v>
      </c>
      <c r="X462" s="43">
        <f>X461+Учет!S462-S462</f>
        <v>500</v>
      </c>
      <c r="Y462" s="43">
        <f>Y461+Учет!T462-T462</f>
        <v>1150</v>
      </c>
      <c r="Z462" s="43">
        <f>Z461+Учет!U462-U462</f>
        <v>500000</v>
      </c>
      <c r="AA462" s="45">
        <f>Учет!X462</f>
        <v>500</v>
      </c>
    </row>
    <row r="463" spans="1:27" ht="15" customHeight="1" x14ac:dyDescent="0.25">
      <c r="A463" s="1"/>
      <c r="B463" s="17"/>
      <c r="C463" s="17"/>
      <c r="D463" s="17"/>
      <c r="E463" s="17"/>
      <c r="F463" s="17"/>
      <c r="G463" s="4">
        <f t="shared" si="18"/>
        <v>0</v>
      </c>
      <c r="H463" s="17"/>
      <c r="I463" s="4">
        <f t="shared" si="20"/>
        <v>349526.07999999996</v>
      </c>
      <c r="J463" s="32" t="str">
        <f t="shared" si="19"/>
        <v/>
      </c>
      <c r="K463" s="72"/>
      <c r="L463" s="72"/>
      <c r="M463" s="2"/>
      <c r="N463" s="5"/>
      <c r="O463" s="3"/>
      <c r="P463" s="6"/>
      <c r="Q463" s="48">
        <f>IF(Учет!$O463=Справочники!$F$2,Учет!$H463,0)</f>
        <v>0</v>
      </c>
      <c r="R463" s="48">
        <f>IF(Учет!$O463=Справочники!$F$3,Учет!$H463,0)</f>
        <v>0</v>
      </c>
      <c r="S463" s="48">
        <f>IF(Учет!$O463=Справочники!$F$4,Учет!$H463,0)</f>
        <v>0</v>
      </c>
      <c r="T463" s="48">
        <f>IF(Учет!$O463=Справочники!$F$5,Учет!$H463,0)</f>
        <v>0</v>
      </c>
      <c r="U463" s="48">
        <f>IF(Учет!$O463=Справочники!$F$6,Учет!$H463,0)</f>
        <v>0</v>
      </c>
      <c r="V463" s="43">
        <f>V462+Учет!Q463-Q463</f>
        <v>-488978.92000000004</v>
      </c>
      <c r="W463" s="43">
        <f>W462+Учет!R463-R463</f>
        <v>336855</v>
      </c>
      <c r="X463" s="43">
        <f>X462+Учет!S463-S463</f>
        <v>500</v>
      </c>
      <c r="Y463" s="43">
        <f>Y462+Учет!T463-T463</f>
        <v>1150</v>
      </c>
      <c r="Z463" s="43">
        <f>Z462+Учет!U463-U463</f>
        <v>500000</v>
      </c>
      <c r="AA463" s="45">
        <f>Учет!X463</f>
        <v>500</v>
      </c>
    </row>
    <row r="464" spans="1:27" ht="15" customHeight="1" x14ac:dyDescent="0.25">
      <c r="A464" s="1"/>
      <c r="B464" s="17"/>
      <c r="C464" s="17"/>
      <c r="D464" s="17"/>
      <c r="E464" s="17"/>
      <c r="F464" s="17"/>
      <c r="G464" s="4">
        <f t="shared" si="18"/>
        <v>0</v>
      </c>
      <c r="H464" s="17"/>
      <c r="I464" s="4">
        <f t="shared" si="20"/>
        <v>349526.07999999996</v>
      </c>
      <c r="J464" s="32" t="str">
        <f t="shared" si="19"/>
        <v/>
      </c>
      <c r="K464" s="72"/>
      <c r="L464" s="72"/>
      <c r="M464" s="2"/>
      <c r="N464" s="5"/>
      <c r="O464" s="3"/>
      <c r="P464" s="6"/>
      <c r="Q464" s="48">
        <f>IF(Учет!$O464=Справочники!$F$2,Учет!$H464,0)</f>
        <v>0</v>
      </c>
      <c r="R464" s="48">
        <f>IF(Учет!$O464=Справочники!$F$3,Учет!$H464,0)</f>
        <v>0</v>
      </c>
      <c r="S464" s="48">
        <f>IF(Учет!$O464=Справочники!$F$4,Учет!$H464,0)</f>
        <v>0</v>
      </c>
      <c r="T464" s="48">
        <f>IF(Учет!$O464=Справочники!$F$5,Учет!$H464,0)</f>
        <v>0</v>
      </c>
      <c r="U464" s="48">
        <f>IF(Учет!$O464=Справочники!$F$6,Учет!$H464,0)</f>
        <v>0</v>
      </c>
      <c r="V464" s="43">
        <f>V463+Учет!Q464-Q464</f>
        <v>-488978.92000000004</v>
      </c>
      <c r="W464" s="43">
        <f>W463+Учет!R464-R464</f>
        <v>336855</v>
      </c>
      <c r="X464" s="43">
        <f>X463+Учет!S464-S464</f>
        <v>500</v>
      </c>
      <c r="Y464" s="43">
        <f>Y463+Учет!T464-T464</f>
        <v>1150</v>
      </c>
      <c r="Z464" s="43">
        <f>Z463+Учет!U464-U464</f>
        <v>500000</v>
      </c>
      <c r="AA464" s="45">
        <f>Учет!X464</f>
        <v>500</v>
      </c>
    </row>
    <row r="465" spans="1:27" ht="15" customHeight="1" x14ac:dyDescent="0.25">
      <c r="A465" s="1"/>
      <c r="B465" s="17"/>
      <c r="C465" s="17"/>
      <c r="D465" s="17"/>
      <c r="E465" s="17"/>
      <c r="F465" s="17"/>
      <c r="G465" s="4">
        <f t="shared" si="18"/>
        <v>0</v>
      </c>
      <c r="H465" s="17"/>
      <c r="I465" s="4">
        <f t="shared" si="20"/>
        <v>349526.07999999996</v>
      </c>
      <c r="J465" s="32" t="str">
        <f t="shared" si="19"/>
        <v/>
      </c>
      <c r="K465" s="72"/>
      <c r="L465" s="72"/>
      <c r="M465" s="2"/>
      <c r="N465" s="5"/>
      <c r="O465" s="3"/>
      <c r="P465" s="6"/>
      <c r="Q465" s="48">
        <f>IF(Учет!$O465=Справочники!$F$2,Учет!$H465,0)</f>
        <v>0</v>
      </c>
      <c r="R465" s="48">
        <f>IF(Учет!$O465=Справочники!$F$3,Учет!$H465,0)</f>
        <v>0</v>
      </c>
      <c r="S465" s="48">
        <f>IF(Учет!$O465=Справочники!$F$4,Учет!$H465,0)</f>
        <v>0</v>
      </c>
      <c r="T465" s="48">
        <f>IF(Учет!$O465=Справочники!$F$5,Учет!$H465,0)</f>
        <v>0</v>
      </c>
      <c r="U465" s="48">
        <f>IF(Учет!$O465=Справочники!$F$6,Учет!$H465,0)</f>
        <v>0</v>
      </c>
      <c r="V465" s="43">
        <f>V464+Учет!Q465-Q465</f>
        <v>-488978.92000000004</v>
      </c>
      <c r="W465" s="43">
        <f>W464+Учет!R465-R465</f>
        <v>336855</v>
      </c>
      <c r="X465" s="43">
        <f>X464+Учет!S465-S465</f>
        <v>500</v>
      </c>
      <c r="Y465" s="43">
        <f>Y464+Учет!T465-T465</f>
        <v>1150</v>
      </c>
      <c r="Z465" s="43">
        <f>Z464+Учет!U465-U465</f>
        <v>500000</v>
      </c>
      <c r="AA465" s="45">
        <f>Учет!X465</f>
        <v>500</v>
      </c>
    </row>
    <row r="466" spans="1:27" ht="15" customHeight="1" x14ac:dyDescent="0.25">
      <c r="A466" s="1"/>
      <c r="B466" s="17"/>
      <c r="C466" s="17"/>
      <c r="D466" s="17"/>
      <c r="E466" s="17"/>
      <c r="F466" s="17"/>
      <c r="G466" s="4">
        <f t="shared" si="18"/>
        <v>0</v>
      </c>
      <c r="H466" s="17"/>
      <c r="I466" s="4">
        <f t="shared" si="20"/>
        <v>349526.07999999996</v>
      </c>
      <c r="J466" s="32" t="str">
        <f t="shared" si="19"/>
        <v/>
      </c>
      <c r="K466" s="72"/>
      <c r="L466" s="72"/>
      <c r="M466" s="2"/>
      <c r="N466" s="5"/>
      <c r="O466" s="3"/>
      <c r="P466" s="6"/>
      <c r="Q466" s="48">
        <f>IF(Учет!$O466=Справочники!$F$2,Учет!$H466,0)</f>
        <v>0</v>
      </c>
      <c r="R466" s="48">
        <f>IF(Учет!$O466=Справочники!$F$3,Учет!$H466,0)</f>
        <v>0</v>
      </c>
      <c r="S466" s="48">
        <f>IF(Учет!$O466=Справочники!$F$4,Учет!$H466,0)</f>
        <v>0</v>
      </c>
      <c r="T466" s="48">
        <f>IF(Учет!$O466=Справочники!$F$5,Учет!$H466,0)</f>
        <v>0</v>
      </c>
      <c r="U466" s="48">
        <f>IF(Учет!$O466=Справочники!$F$6,Учет!$H466,0)</f>
        <v>0</v>
      </c>
      <c r="V466" s="43">
        <f>V465+Учет!Q466-Q466</f>
        <v>-488978.92000000004</v>
      </c>
      <c r="W466" s="43">
        <f>W465+Учет!R466-R466</f>
        <v>336855</v>
      </c>
      <c r="X466" s="43">
        <f>X465+Учет!S466-S466</f>
        <v>500</v>
      </c>
      <c r="Y466" s="43">
        <f>Y465+Учет!T466-T466</f>
        <v>1150</v>
      </c>
      <c r="Z466" s="43">
        <f>Z465+Учет!U466-U466</f>
        <v>500000</v>
      </c>
      <c r="AA466" s="45">
        <f>Учет!X466</f>
        <v>500</v>
      </c>
    </row>
    <row r="467" spans="1:27" ht="15" customHeight="1" x14ac:dyDescent="0.25">
      <c r="A467" s="1"/>
      <c r="B467" s="17"/>
      <c r="C467" s="17"/>
      <c r="D467" s="17"/>
      <c r="E467" s="17"/>
      <c r="F467" s="17"/>
      <c r="G467" s="4">
        <f t="shared" si="18"/>
        <v>0</v>
      </c>
      <c r="H467" s="17"/>
      <c r="I467" s="4">
        <f t="shared" si="20"/>
        <v>349526.07999999996</v>
      </c>
      <c r="J467" s="32" t="str">
        <f t="shared" si="19"/>
        <v/>
      </c>
      <c r="K467" s="72"/>
      <c r="L467" s="72"/>
      <c r="M467" s="2"/>
      <c r="N467" s="5"/>
      <c r="O467" s="3"/>
      <c r="P467" s="6"/>
      <c r="Q467" s="48">
        <f>IF(Учет!$O467=Справочники!$F$2,Учет!$H467,0)</f>
        <v>0</v>
      </c>
      <c r="R467" s="48">
        <f>IF(Учет!$O467=Справочники!$F$3,Учет!$H467,0)</f>
        <v>0</v>
      </c>
      <c r="S467" s="48">
        <f>IF(Учет!$O467=Справочники!$F$4,Учет!$H467,0)</f>
        <v>0</v>
      </c>
      <c r="T467" s="48">
        <f>IF(Учет!$O467=Справочники!$F$5,Учет!$H467,0)</f>
        <v>0</v>
      </c>
      <c r="U467" s="48">
        <f>IF(Учет!$O467=Справочники!$F$6,Учет!$H467,0)</f>
        <v>0</v>
      </c>
      <c r="V467" s="43">
        <f>V466+Учет!Q467-Q467</f>
        <v>-488978.92000000004</v>
      </c>
      <c r="W467" s="43">
        <f>W466+Учет!R467-R467</f>
        <v>336855</v>
      </c>
      <c r="X467" s="43">
        <f>X466+Учет!S467-S467</f>
        <v>500</v>
      </c>
      <c r="Y467" s="43">
        <f>Y466+Учет!T467-T467</f>
        <v>1150</v>
      </c>
      <c r="Z467" s="43">
        <f>Z466+Учет!U467-U467</f>
        <v>500000</v>
      </c>
      <c r="AA467" s="45">
        <f>Учет!X467</f>
        <v>500</v>
      </c>
    </row>
    <row r="468" spans="1:27" ht="15" customHeight="1" x14ac:dyDescent="0.25">
      <c r="A468" s="1"/>
      <c r="B468" s="17"/>
      <c r="C468" s="17"/>
      <c r="D468" s="17"/>
      <c r="E468" s="17"/>
      <c r="F468" s="17"/>
      <c r="G468" s="4">
        <f t="shared" si="18"/>
        <v>0</v>
      </c>
      <c r="H468" s="17"/>
      <c r="I468" s="4">
        <f t="shared" si="20"/>
        <v>349526.07999999996</v>
      </c>
      <c r="J468" s="32" t="str">
        <f t="shared" si="19"/>
        <v/>
      </c>
      <c r="K468" s="72"/>
      <c r="L468" s="72"/>
      <c r="M468" s="2"/>
      <c r="N468" s="5"/>
      <c r="O468" s="3"/>
      <c r="P468" s="6"/>
      <c r="Q468" s="48">
        <f>IF(Учет!$O468=Справочники!$F$2,Учет!$H468,0)</f>
        <v>0</v>
      </c>
      <c r="R468" s="48">
        <f>IF(Учет!$O468=Справочники!$F$3,Учет!$H468,0)</f>
        <v>0</v>
      </c>
      <c r="S468" s="48">
        <f>IF(Учет!$O468=Справочники!$F$4,Учет!$H468,0)</f>
        <v>0</v>
      </c>
      <c r="T468" s="48">
        <f>IF(Учет!$O468=Справочники!$F$5,Учет!$H468,0)</f>
        <v>0</v>
      </c>
      <c r="U468" s="48">
        <f>IF(Учет!$O468=Справочники!$F$6,Учет!$H468,0)</f>
        <v>0</v>
      </c>
      <c r="V468" s="43">
        <f>V467+Учет!Q468-Q468</f>
        <v>-488978.92000000004</v>
      </c>
      <c r="W468" s="43">
        <f>W467+Учет!R468-R468</f>
        <v>336855</v>
      </c>
      <c r="X468" s="43">
        <f>X467+Учет!S468-S468</f>
        <v>500</v>
      </c>
      <c r="Y468" s="43">
        <f>Y467+Учет!T468-T468</f>
        <v>1150</v>
      </c>
      <c r="Z468" s="43">
        <f>Z467+Учет!U468-U468</f>
        <v>500000</v>
      </c>
      <c r="AA468" s="45">
        <f>Учет!X468</f>
        <v>500</v>
      </c>
    </row>
    <row r="469" spans="1:27" ht="15" customHeight="1" x14ac:dyDescent="0.25">
      <c r="A469" s="1"/>
      <c r="B469" s="17"/>
      <c r="C469" s="17"/>
      <c r="D469" s="17"/>
      <c r="E469" s="17"/>
      <c r="F469" s="17"/>
      <c r="G469" s="4">
        <f t="shared" si="18"/>
        <v>0</v>
      </c>
      <c r="H469" s="17"/>
      <c r="I469" s="4">
        <f t="shared" si="20"/>
        <v>349526.07999999996</v>
      </c>
      <c r="J469" s="32" t="str">
        <f t="shared" si="19"/>
        <v/>
      </c>
      <c r="K469" s="72"/>
      <c r="L469" s="72"/>
      <c r="M469" s="2"/>
      <c r="N469" s="5"/>
      <c r="O469" s="3"/>
      <c r="P469" s="6"/>
      <c r="Q469" s="48">
        <f>IF(Учет!$O469=Справочники!$F$2,Учет!$H469,0)</f>
        <v>0</v>
      </c>
      <c r="R469" s="48">
        <f>IF(Учет!$O469=Справочники!$F$3,Учет!$H469,0)</f>
        <v>0</v>
      </c>
      <c r="S469" s="48">
        <f>IF(Учет!$O469=Справочники!$F$4,Учет!$H469,0)</f>
        <v>0</v>
      </c>
      <c r="T469" s="48">
        <f>IF(Учет!$O469=Справочники!$F$5,Учет!$H469,0)</f>
        <v>0</v>
      </c>
      <c r="U469" s="48">
        <f>IF(Учет!$O469=Справочники!$F$6,Учет!$H469,0)</f>
        <v>0</v>
      </c>
      <c r="V469" s="43">
        <f>V468+Учет!Q469-Q469</f>
        <v>-488978.92000000004</v>
      </c>
      <c r="W469" s="43">
        <f>W468+Учет!R469-R469</f>
        <v>336855</v>
      </c>
      <c r="X469" s="43">
        <f>X468+Учет!S469-S469</f>
        <v>500</v>
      </c>
      <c r="Y469" s="43">
        <f>Y468+Учет!T469-T469</f>
        <v>1150</v>
      </c>
      <c r="Z469" s="43">
        <f>Z468+Учет!U469-U469</f>
        <v>500000</v>
      </c>
      <c r="AA469" s="45">
        <f>Учет!X469</f>
        <v>500</v>
      </c>
    </row>
    <row r="470" spans="1:27" ht="15" customHeight="1" x14ac:dyDescent="0.25">
      <c r="A470" s="1"/>
      <c r="B470" s="17"/>
      <c r="C470" s="17"/>
      <c r="D470" s="17"/>
      <c r="E470" s="17"/>
      <c r="F470" s="17"/>
      <c r="G470" s="4">
        <f t="shared" si="18"/>
        <v>0</v>
      </c>
      <c r="H470" s="17"/>
      <c r="I470" s="4">
        <f t="shared" si="20"/>
        <v>349526.07999999996</v>
      </c>
      <c r="J470" s="32" t="str">
        <f t="shared" si="19"/>
        <v/>
      </c>
      <c r="K470" s="72"/>
      <c r="L470" s="72"/>
      <c r="M470" s="2"/>
      <c r="N470" s="5"/>
      <c r="O470" s="3"/>
      <c r="P470" s="6"/>
      <c r="Q470" s="48">
        <f>IF(Учет!$O470=Справочники!$F$2,Учет!$H470,0)</f>
        <v>0</v>
      </c>
      <c r="R470" s="48">
        <f>IF(Учет!$O470=Справочники!$F$3,Учет!$H470,0)</f>
        <v>0</v>
      </c>
      <c r="S470" s="48">
        <f>IF(Учет!$O470=Справочники!$F$4,Учет!$H470,0)</f>
        <v>0</v>
      </c>
      <c r="T470" s="48">
        <f>IF(Учет!$O470=Справочники!$F$5,Учет!$H470,0)</f>
        <v>0</v>
      </c>
      <c r="U470" s="48">
        <f>IF(Учет!$O470=Справочники!$F$6,Учет!$H470,0)</f>
        <v>0</v>
      </c>
      <c r="V470" s="43">
        <f>V469+Учет!Q470-Q470</f>
        <v>-488978.92000000004</v>
      </c>
      <c r="W470" s="43">
        <f>W469+Учет!R470-R470</f>
        <v>336855</v>
      </c>
      <c r="X470" s="43">
        <f>X469+Учет!S470-S470</f>
        <v>500</v>
      </c>
      <c r="Y470" s="43">
        <f>Y469+Учет!T470-T470</f>
        <v>1150</v>
      </c>
      <c r="Z470" s="43">
        <f>Z469+Учет!U470-U470</f>
        <v>500000</v>
      </c>
      <c r="AA470" s="45">
        <f>Учет!X470</f>
        <v>500</v>
      </c>
    </row>
    <row r="471" spans="1:27" ht="15" customHeight="1" x14ac:dyDescent="0.25">
      <c r="A471" s="1"/>
      <c r="B471" s="17"/>
      <c r="C471" s="17"/>
      <c r="D471" s="17"/>
      <c r="E471" s="17"/>
      <c r="F471" s="17"/>
      <c r="G471" s="4">
        <f t="shared" si="18"/>
        <v>0</v>
      </c>
      <c r="H471" s="17"/>
      <c r="I471" s="4">
        <f t="shared" si="20"/>
        <v>349526.07999999996</v>
      </c>
      <c r="J471" s="32" t="str">
        <f t="shared" si="19"/>
        <v/>
      </c>
      <c r="K471" s="72"/>
      <c r="L471" s="72"/>
      <c r="M471" s="2"/>
      <c r="N471" s="5"/>
      <c r="O471" s="3"/>
      <c r="P471" s="6"/>
      <c r="Q471" s="48">
        <f>IF(Учет!$O471=Справочники!$F$2,Учет!$H471,0)</f>
        <v>0</v>
      </c>
      <c r="R471" s="48">
        <f>IF(Учет!$O471=Справочники!$F$3,Учет!$H471,0)</f>
        <v>0</v>
      </c>
      <c r="S471" s="48">
        <f>IF(Учет!$O471=Справочники!$F$4,Учет!$H471,0)</f>
        <v>0</v>
      </c>
      <c r="T471" s="48">
        <f>IF(Учет!$O471=Справочники!$F$5,Учет!$H471,0)</f>
        <v>0</v>
      </c>
      <c r="U471" s="48">
        <f>IF(Учет!$O471=Справочники!$F$6,Учет!$H471,0)</f>
        <v>0</v>
      </c>
      <c r="V471" s="43">
        <f>V470+Учет!Q471-Q471</f>
        <v>-488978.92000000004</v>
      </c>
      <c r="W471" s="43">
        <f>W470+Учет!R471-R471</f>
        <v>336855</v>
      </c>
      <c r="X471" s="43">
        <f>X470+Учет!S471-S471</f>
        <v>500</v>
      </c>
      <c r="Y471" s="43">
        <f>Y470+Учет!T471-T471</f>
        <v>1150</v>
      </c>
      <c r="Z471" s="43">
        <f>Z470+Учет!U471-U471</f>
        <v>500000</v>
      </c>
      <c r="AA471" s="45">
        <f>Учет!X471</f>
        <v>500</v>
      </c>
    </row>
    <row r="472" spans="1:27" ht="15" customHeight="1" x14ac:dyDescent="0.25">
      <c r="A472" s="1"/>
      <c r="B472" s="17"/>
      <c r="C472" s="17"/>
      <c r="D472" s="17"/>
      <c r="E472" s="17"/>
      <c r="F472" s="17"/>
      <c r="G472" s="4">
        <f t="shared" si="18"/>
        <v>0</v>
      </c>
      <c r="H472" s="17"/>
      <c r="I472" s="4">
        <f t="shared" si="20"/>
        <v>349526.07999999996</v>
      </c>
      <c r="J472" s="32" t="str">
        <f t="shared" si="19"/>
        <v/>
      </c>
      <c r="K472" s="72"/>
      <c r="L472" s="72"/>
      <c r="M472" s="2"/>
      <c r="N472" s="5"/>
      <c r="O472" s="3"/>
      <c r="P472" s="6"/>
      <c r="Q472" s="48">
        <f>IF(Учет!$O472=Справочники!$F$2,Учет!$H472,0)</f>
        <v>0</v>
      </c>
      <c r="R472" s="48">
        <f>IF(Учет!$O472=Справочники!$F$3,Учет!$H472,0)</f>
        <v>0</v>
      </c>
      <c r="S472" s="48">
        <f>IF(Учет!$O472=Справочники!$F$4,Учет!$H472,0)</f>
        <v>0</v>
      </c>
      <c r="T472" s="48">
        <f>IF(Учет!$O472=Справочники!$F$5,Учет!$H472,0)</f>
        <v>0</v>
      </c>
      <c r="U472" s="48">
        <f>IF(Учет!$O472=Справочники!$F$6,Учет!$H472,0)</f>
        <v>0</v>
      </c>
      <c r="V472" s="43">
        <f>V471+Учет!Q472-Q472</f>
        <v>-488978.92000000004</v>
      </c>
      <c r="W472" s="43">
        <f>W471+Учет!R472-R472</f>
        <v>336855</v>
      </c>
      <c r="X472" s="43">
        <f>X471+Учет!S472-S472</f>
        <v>500</v>
      </c>
      <c r="Y472" s="43">
        <f>Y471+Учет!T472-T472</f>
        <v>1150</v>
      </c>
      <c r="Z472" s="43">
        <f>Z471+Учет!U472-U472</f>
        <v>500000</v>
      </c>
      <c r="AA472" s="45">
        <f>Учет!X472</f>
        <v>500</v>
      </c>
    </row>
    <row r="473" spans="1:27" ht="15" customHeight="1" x14ac:dyDescent="0.25">
      <c r="A473" s="1"/>
      <c r="B473" s="17"/>
      <c r="C473" s="17"/>
      <c r="D473" s="17"/>
      <c r="E473" s="17"/>
      <c r="F473" s="17"/>
      <c r="G473" s="4">
        <f t="shared" si="18"/>
        <v>0</v>
      </c>
      <c r="H473" s="17"/>
      <c r="I473" s="4">
        <f t="shared" si="20"/>
        <v>349526.07999999996</v>
      </c>
      <c r="J473" s="32" t="str">
        <f t="shared" si="19"/>
        <v/>
      </c>
      <c r="K473" s="72"/>
      <c r="L473" s="72"/>
      <c r="M473" s="2"/>
      <c r="N473" s="5"/>
      <c r="O473" s="3"/>
      <c r="P473" s="6"/>
      <c r="Q473" s="48">
        <f>IF(Учет!$O473=Справочники!$F$2,Учет!$H473,0)</f>
        <v>0</v>
      </c>
      <c r="R473" s="48">
        <f>IF(Учет!$O473=Справочники!$F$3,Учет!$H473,0)</f>
        <v>0</v>
      </c>
      <c r="S473" s="48">
        <f>IF(Учет!$O473=Справочники!$F$4,Учет!$H473,0)</f>
        <v>0</v>
      </c>
      <c r="T473" s="48">
        <f>IF(Учет!$O473=Справочники!$F$5,Учет!$H473,0)</f>
        <v>0</v>
      </c>
      <c r="U473" s="48">
        <f>IF(Учет!$O473=Справочники!$F$6,Учет!$H473,0)</f>
        <v>0</v>
      </c>
      <c r="V473" s="43">
        <f>V472+Учет!Q473-Q473</f>
        <v>-488978.92000000004</v>
      </c>
      <c r="W473" s="43">
        <f>W472+Учет!R473-R473</f>
        <v>336855</v>
      </c>
      <c r="X473" s="43">
        <f>X472+Учет!S473-S473</f>
        <v>500</v>
      </c>
      <c r="Y473" s="43">
        <f>Y472+Учет!T473-T473</f>
        <v>1150</v>
      </c>
      <c r="Z473" s="43">
        <f>Z472+Учет!U473-U473</f>
        <v>500000</v>
      </c>
      <c r="AA473" s="45">
        <f>Учет!X473</f>
        <v>500</v>
      </c>
    </row>
    <row r="474" spans="1:27" ht="15" customHeight="1" x14ac:dyDescent="0.25">
      <c r="A474" s="1"/>
      <c r="B474" s="17"/>
      <c r="C474" s="17"/>
      <c r="D474" s="17"/>
      <c r="E474" s="17"/>
      <c r="F474" s="17"/>
      <c r="G474" s="4">
        <f t="shared" si="18"/>
        <v>0</v>
      </c>
      <c r="H474" s="17"/>
      <c r="I474" s="4">
        <f t="shared" si="20"/>
        <v>349526.07999999996</v>
      </c>
      <c r="J474" s="32" t="str">
        <f t="shared" si="19"/>
        <v/>
      </c>
      <c r="K474" s="72"/>
      <c r="L474" s="72"/>
      <c r="M474" s="2"/>
      <c r="N474" s="5"/>
      <c r="O474" s="3"/>
      <c r="P474" s="6"/>
      <c r="Q474" s="48">
        <f>IF(Учет!$O474=Справочники!$F$2,Учет!$H474,0)</f>
        <v>0</v>
      </c>
      <c r="R474" s="48">
        <f>IF(Учет!$O474=Справочники!$F$3,Учет!$H474,0)</f>
        <v>0</v>
      </c>
      <c r="S474" s="48">
        <f>IF(Учет!$O474=Справочники!$F$4,Учет!$H474,0)</f>
        <v>0</v>
      </c>
      <c r="T474" s="48">
        <f>IF(Учет!$O474=Справочники!$F$5,Учет!$H474,0)</f>
        <v>0</v>
      </c>
      <c r="U474" s="48">
        <f>IF(Учет!$O474=Справочники!$F$6,Учет!$H474,0)</f>
        <v>0</v>
      </c>
      <c r="V474" s="43">
        <f>V473+Учет!Q474-Q474</f>
        <v>-488978.92000000004</v>
      </c>
      <c r="W474" s="43">
        <f>W473+Учет!R474-R474</f>
        <v>336855</v>
      </c>
      <c r="X474" s="43">
        <f>X473+Учет!S474-S474</f>
        <v>500</v>
      </c>
      <c r="Y474" s="43">
        <f>Y473+Учет!T474-T474</f>
        <v>1150</v>
      </c>
      <c r="Z474" s="43">
        <f>Z473+Учет!U474-U474</f>
        <v>500000</v>
      </c>
      <c r="AA474" s="45">
        <f>Учет!X474</f>
        <v>500</v>
      </c>
    </row>
    <row r="475" spans="1:27" ht="15" customHeight="1" x14ac:dyDescent="0.25">
      <c r="A475" s="1"/>
      <c r="B475" s="17"/>
      <c r="C475" s="17"/>
      <c r="D475" s="17"/>
      <c r="E475" s="17"/>
      <c r="F475" s="17"/>
      <c r="G475" s="4">
        <f t="shared" si="18"/>
        <v>0</v>
      </c>
      <c r="H475" s="17"/>
      <c r="I475" s="4">
        <f t="shared" si="20"/>
        <v>349526.07999999996</v>
      </c>
      <c r="J475" s="32" t="str">
        <f t="shared" si="19"/>
        <v/>
      </c>
      <c r="K475" s="72"/>
      <c r="L475" s="72"/>
      <c r="M475" s="2"/>
      <c r="N475" s="5"/>
      <c r="O475" s="3"/>
      <c r="P475" s="6"/>
      <c r="Q475" s="48">
        <f>IF(Учет!$O475=Справочники!$F$2,Учет!$H475,0)</f>
        <v>0</v>
      </c>
      <c r="R475" s="48">
        <f>IF(Учет!$O475=Справочники!$F$3,Учет!$H475,0)</f>
        <v>0</v>
      </c>
      <c r="S475" s="48">
        <f>IF(Учет!$O475=Справочники!$F$4,Учет!$H475,0)</f>
        <v>0</v>
      </c>
      <c r="T475" s="48">
        <f>IF(Учет!$O475=Справочники!$F$5,Учет!$H475,0)</f>
        <v>0</v>
      </c>
      <c r="U475" s="48">
        <f>IF(Учет!$O475=Справочники!$F$6,Учет!$H475,0)</f>
        <v>0</v>
      </c>
      <c r="V475" s="43">
        <f>V474+Учет!Q475-Q475</f>
        <v>-488978.92000000004</v>
      </c>
      <c r="W475" s="43">
        <f>W474+Учет!R475-R475</f>
        <v>336855</v>
      </c>
      <c r="X475" s="43">
        <f>X474+Учет!S475-S475</f>
        <v>500</v>
      </c>
      <c r="Y475" s="43">
        <f>Y474+Учет!T475-T475</f>
        <v>1150</v>
      </c>
      <c r="Z475" s="43">
        <f>Z474+Учет!U475-U475</f>
        <v>500000</v>
      </c>
      <c r="AA475" s="45">
        <f>Учет!X475</f>
        <v>500</v>
      </c>
    </row>
    <row r="476" spans="1:27" ht="15" customHeight="1" x14ac:dyDescent="0.25">
      <c r="A476" s="1"/>
      <c r="B476" s="17"/>
      <c r="C476" s="17"/>
      <c r="D476" s="17"/>
      <c r="E476" s="17"/>
      <c r="F476" s="17"/>
      <c r="G476" s="4">
        <f t="shared" si="18"/>
        <v>0</v>
      </c>
      <c r="H476" s="17"/>
      <c r="I476" s="4">
        <f t="shared" si="20"/>
        <v>349526.07999999996</v>
      </c>
      <c r="J476" s="32" t="str">
        <f t="shared" si="19"/>
        <v/>
      </c>
      <c r="K476" s="72"/>
      <c r="L476" s="72"/>
      <c r="M476" s="2"/>
      <c r="N476" s="5"/>
      <c r="O476" s="3"/>
      <c r="P476" s="6"/>
      <c r="Q476" s="48">
        <f>IF(Учет!$O476=Справочники!$F$2,Учет!$H476,0)</f>
        <v>0</v>
      </c>
      <c r="R476" s="48">
        <f>IF(Учет!$O476=Справочники!$F$3,Учет!$H476,0)</f>
        <v>0</v>
      </c>
      <c r="S476" s="48">
        <f>IF(Учет!$O476=Справочники!$F$4,Учет!$H476,0)</f>
        <v>0</v>
      </c>
      <c r="T476" s="48">
        <f>IF(Учет!$O476=Справочники!$F$5,Учет!$H476,0)</f>
        <v>0</v>
      </c>
      <c r="U476" s="48">
        <f>IF(Учет!$O476=Справочники!$F$6,Учет!$H476,0)</f>
        <v>0</v>
      </c>
      <c r="V476" s="43">
        <f>V475+Учет!Q476-Q476</f>
        <v>-488978.92000000004</v>
      </c>
      <c r="W476" s="43">
        <f>W475+Учет!R476-R476</f>
        <v>336855</v>
      </c>
      <c r="X476" s="43">
        <f>X475+Учет!S476-S476</f>
        <v>500</v>
      </c>
      <c r="Y476" s="43">
        <f>Y475+Учет!T476-T476</f>
        <v>1150</v>
      </c>
      <c r="Z476" s="43">
        <f>Z475+Учет!U476-U476</f>
        <v>500000</v>
      </c>
      <c r="AA476" s="45">
        <f>Учет!X476</f>
        <v>500</v>
      </c>
    </row>
    <row r="477" spans="1:27" ht="15" customHeight="1" x14ac:dyDescent="0.25">
      <c r="A477" s="1"/>
      <c r="B477" s="17"/>
      <c r="C477" s="17"/>
      <c r="D477" s="17"/>
      <c r="E477" s="17"/>
      <c r="F477" s="17"/>
      <c r="G477" s="4">
        <f t="shared" si="18"/>
        <v>0</v>
      </c>
      <c r="H477" s="17"/>
      <c r="I477" s="4">
        <f t="shared" si="20"/>
        <v>349526.07999999996</v>
      </c>
      <c r="J477" s="32" t="str">
        <f t="shared" si="19"/>
        <v/>
      </c>
      <c r="K477" s="72"/>
      <c r="L477" s="72"/>
      <c r="M477" s="2"/>
      <c r="N477" s="5"/>
      <c r="O477" s="3"/>
      <c r="P477" s="6"/>
      <c r="Q477" s="48">
        <f>IF(Учет!$O477=Справочники!$F$2,Учет!$H477,0)</f>
        <v>0</v>
      </c>
      <c r="R477" s="48">
        <f>IF(Учет!$O477=Справочники!$F$3,Учет!$H477,0)</f>
        <v>0</v>
      </c>
      <c r="S477" s="48">
        <f>IF(Учет!$O477=Справочники!$F$4,Учет!$H477,0)</f>
        <v>0</v>
      </c>
      <c r="T477" s="48">
        <f>IF(Учет!$O477=Справочники!$F$5,Учет!$H477,0)</f>
        <v>0</v>
      </c>
      <c r="U477" s="48">
        <f>IF(Учет!$O477=Справочники!$F$6,Учет!$H477,0)</f>
        <v>0</v>
      </c>
      <c r="V477" s="43">
        <f>V476+Учет!Q477-Q477</f>
        <v>-488978.92000000004</v>
      </c>
      <c r="W477" s="43">
        <f>W476+Учет!R477-R477</f>
        <v>336855</v>
      </c>
      <c r="X477" s="43">
        <f>X476+Учет!S477-S477</f>
        <v>500</v>
      </c>
      <c r="Y477" s="43">
        <f>Y476+Учет!T477-T477</f>
        <v>1150</v>
      </c>
      <c r="Z477" s="43">
        <f>Z476+Учет!U477-U477</f>
        <v>500000</v>
      </c>
      <c r="AA477" s="45">
        <f>Учет!X477</f>
        <v>500</v>
      </c>
    </row>
    <row r="478" spans="1:27" ht="15" customHeight="1" x14ac:dyDescent="0.25">
      <c r="A478" s="1"/>
      <c r="B478" s="17"/>
      <c r="C478" s="17"/>
      <c r="D478" s="17"/>
      <c r="E478" s="17"/>
      <c r="F478" s="17"/>
      <c r="G478" s="4">
        <f t="shared" si="18"/>
        <v>0</v>
      </c>
      <c r="H478" s="17"/>
      <c r="I478" s="4">
        <f t="shared" si="20"/>
        <v>349526.07999999996</v>
      </c>
      <c r="J478" s="32" t="str">
        <f t="shared" si="19"/>
        <v/>
      </c>
      <c r="K478" s="72"/>
      <c r="L478" s="72"/>
      <c r="M478" s="2"/>
      <c r="N478" s="5"/>
      <c r="O478" s="3"/>
      <c r="P478" s="6"/>
      <c r="Q478" s="48">
        <f>IF(Учет!$O478=Справочники!$F$2,Учет!$H478,0)</f>
        <v>0</v>
      </c>
      <c r="R478" s="48">
        <f>IF(Учет!$O478=Справочники!$F$3,Учет!$H478,0)</f>
        <v>0</v>
      </c>
      <c r="S478" s="48">
        <f>IF(Учет!$O478=Справочники!$F$4,Учет!$H478,0)</f>
        <v>0</v>
      </c>
      <c r="T478" s="48">
        <f>IF(Учет!$O478=Справочники!$F$5,Учет!$H478,0)</f>
        <v>0</v>
      </c>
      <c r="U478" s="48">
        <f>IF(Учет!$O478=Справочники!$F$6,Учет!$H478,0)</f>
        <v>0</v>
      </c>
      <c r="V478" s="43">
        <f>V477+Учет!Q478-Q478</f>
        <v>-488978.92000000004</v>
      </c>
      <c r="W478" s="43">
        <f>W477+Учет!R478-R478</f>
        <v>336855</v>
      </c>
      <c r="X478" s="43">
        <f>X477+Учет!S478-S478</f>
        <v>500</v>
      </c>
      <c r="Y478" s="43">
        <f>Y477+Учет!T478-T478</f>
        <v>1150</v>
      </c>
      <c r="Z478" s="43">
        <f>Z477+Учет!U478-U478</f>
        <v>500000</v>
      </c>
      <c r="AA478" s="45">
        <f>Учет!X478</f>
        <v>500</v>
      </c>
    </row>
    <row r="479" spans="1:27" ht="15" customHeight="1" x14ac:dyDescent="0.25">
      <c r="A479" s="1"/>
      <c r="B479" s="17"/>
      <c r="C479" s="17"/>
      <c r="D479" s="17"/>
      <c r="E479" s="17"/>
      <c r="F479" s="17"/>
      <c r="G479" s="4">
        <f t="shared" si="18"/>
        <v>0</v>
      </c>
      <c r="H479" s="17"/>
      <c r="I479" s="4">
        <f t="shared" si="20"/>
        <v>349526.07999999996</v>
      </c>
      <c r="J479" s="32" t="str">
        <f t="shared" si="19"/>
        <v/>
      </c>
      <c r="K479" s="72"/>
      <c r="L479" s="72"/>
      <c r="M479" s="2"/>
      <c r="N479" s="5"/>
      <c r="O479" s="3"/>
      <c r="P479" s="6"/>
      <c r="Q479" s="48">
        <f>IF(Учет!$O479=Справочники!$F$2,Учет!$H479,0)</f>
        <v>0</v>
      </c>
      <c r="R479" s="48">
        <f>IF(Учет!$O479=Справочники!$F$3,Учет!$H479,0)</f>
        <v>0</v>
      </c>
      <c r="S479" s="48">
        <f>IF(Учет!$O479=Справочники!$F$4,Учет!$H479,0)</f>
        <v>0</v>
      </c>
      <c r="T479" s="48">
        <f>IF(Учет!$O479=Справочники!$F$5,Учет!$H479,0)</f>
        <v>0</v>
      </c>
      <c r="U479" s="48">
        <f>IF(Учет!$O479=Справочники!$F$6,Учет!$H479,0)</f>
        <v>0</v>
      </c>
      <c r="V479" s="43">
        <f>V478+Учет!Q479-Q479</f>
        <v>-488978.92000000004</v>
      </c>
      <c r="W479" s="43">
        <f>W478+Учет!R479-R479</f>
        <v>336855</v>
      </c>
      <c r="X479" s="43">
        <f>X478+Учет!S479-S479</f>
        <v>500</v>
      </c>
      <c r="Y479" s="43">
        <f>Y478+Учет!T479-T479</f>
        <v>1150</v>
      </c>
      <c r="Z479" s="43">
        <f>Z478+Учет!U479-U479</f>
        <v>500000</v>
      </c>
      <c r="AA479" s="45">
        <f>Учет!X479</f>
        <v>500</v>
      </c>
    </row>
    <row r="480" spans="1:27" ht="15" customHeight="1" x14ac:dyDescent="0.25">
      <c r="A480" s="1"/>
      <c r="B480" s="17"/>
      <c r="C480" s="17"/>
      <c r="D480" s="17"/>
      <c r="E480" s="17"/>
      <c r="F480" s="17"/>
      <c r="G480" s="4">
        <f t="shared" si="18"/>
        <v>0</v>
      </c>
      <c r="H480" s="17"/>
      <c r="I480" s="4">
        <f t="shared" si="20"/>
        <v>349526.07999999996</v>
      </c>
      <c r="J480" s="32" t="str">
        <f t="shared" si="19"/>
        <v/>
      </c>
      <c r="K480" s="72"/>
      <c r="L480" s="72"/>
      <c r="M480" s="2"/>
      <c r="N480" s="5"/>
      <c r="O480" s="3"/>
      <c r="P480" s="6"/>
      <c r="Q480" s="48">
        <f>IF(Учет!$O480=Справочники!$F$2,Учет!$H480,0)</f>
        <v>0</v>
      </c>
      <c r="R480" s="48">
        <f>IF(Учет!$O480=Справочники!$F$3,Учет!$H480,0)</f>
        <v>0</v>
      </c>
      <c r="S480" s="48">
        <f>IF(Учет!$O480=Справочники!$F$4,Учет!$H480,0)</f>
        <v>0</v>
      </c>
      <c r="T480" s="48">
        <f>IF(Учет!$O480=Справочники!$F$5,Учет!$H480,0)</f>
        <v>0</v>
      </c>
      <c r="U480" s="48">
        <f>IF(Учет!$O480=Справочники!$F$6,Учет!$H480,0)</f>
        <v>0</v>
      </c>
      <c r="V480" s="43">
        <f>V479+Учет!Q480-Q480</f>
        <v>-488978.92000000004</v>
      </c>
      <c r="W480" s="43">
        <f>W479+Учет!R480-R480</f>
        <v>336855</v>
      </c>
      <c r="X480" s="43">
        <f>X479+Учет!S480-S480</f>
        <v>500</v>
      </c>
      <c r="Y480" s="43">
        <f>Y479+Учет!T480-T480</f>
        <v>1150</v>
      </c>
      <c r="Z480" s="43">
        <f>Z479+Учет!U480-U480</f>
        <v>500000</v>
      </c>
      <c r="AA480" s="45">
        <f>Учет!X480</f>
        <v>500</v>
      </c>
    </row>
    <row r="481" spans="1:27" ht="15" customHeight="1" x14ac:dyDescent="0.25">
      <c r="A481" s="1"/>
      <c r="B481" s="17"/>
      <c r="C481" s="17"/>
      <c r="D481" s="17"/>
      <c r="E481" s="17"/>
      <c r="F481" s="17"/>
      <c r="G481" s="4">
        <f t="shared" si="18"/>
        <v>0</v>
      </c>
      <c r="H481" s="17"/>
      <c r="I481" s="4">
        <f t="shared" si="20"/>
        <v>349526.07999999996</v>
      </c>
      <c r="J481" s="32" t="str">
        <f t="shared" si="19"/>
        <v/>
      </c>
      <c r="K481" s="72"/>
      <c r="L481" s="72"/>
      <c r="M481" s="2"/>
      <c r="N481" s="5"/>
      <c r="O481" s="3"/>
      <c r="P481" s="6"/>
      <c r="Q481" s="48">
        <f>IF(Учет!$O481=Справочники!$F$2,Учет!$H481,0)</f>
        <v>0</v>
      </c>
      <c r="R481" s="48">
        <f>IF(Учет!$O481=Справочники!$F$3,Учет!$H481,0)</f>
        <v>0</v>
      </c>
      <c r="S481" s="48">
        <f>IF(Учет!$O481=Справочники!$F$4,Учет!$H481,0)</f>
        <v>0</v>
      </c>
      <c r="T481" s="48">
        <f>IF(Учет!$O481=Справочники!$F$5,Учет!$H481,0)</f>
        <v>0</v>
      </c>
      <c r="U481" s="48">
        <f>IF(Учет!$O481=Справочники!$F$6,Учет!$H481,0)</f>
        <v>0</v>
      </c>
      <c r="V481" s="43">
        <f>V480+Учет!Q481-Q481</f>
        <v>-488978.92000000004</v>
      </c>
      <c r="W481" s="43">
        <f>W480+Учет!R481-R481</f>
        <v>336855</v>
      </c>
      <c r="X481" s="43">
        <f>X480+Учет!S481-S481</f>
        <v>500</v>
      </c>
      <c r="Y481" s="43">
        <f>Y480+Учет!T481-T481</f>
        <v>1150</v>
      </c>
      <c r="Z481" s="43">
        <f>Z480+Учет!U481-U481</f>
        <v>500000</v>
      </c>
      <c r="AA481" s="45">
        <f>Учет!X481</f>
        <v>500</v>
      </c>
    </row>
    <row r="482" spans="1:27" ht="15" customHeight="1" x14ac:dyDescent="0.25">
      <c r="A482" s="1"/>
      <c r="B482" s="17"/>
      <c r="C482" s="17"/>
      <c r="D482" s="17"/>
      <c r="E482" s="17"/>
      <c r="F482" s="17"/>
      <c r="G482" s="4">
        <f t="shared" si="18"/>
        <v>0</v>
      </c>
      <c r="H482" s="17"/>
      <c r="I482" s="4">
        <f t="shared" si="20"/>
        <v>349526.07999999996</v>
      </c>
      <c r="J482" s="32" t="str">
        <f t="shared" si="19"/>
        <v/>
      </c>
      <c r="K482" s="72"/>
      <c r="L482" s="72"/>
      <c r="M482" s="2"/>
      <c r="N482" s="5"/>
      <c r="O482" s="3"/>
      <c r="P482" s="6"/>
      <c r="Q482" s="48">
        <f>IF(Учет!$O482=Справочники!$F$2,Учет!$H482,0)</f>
        <v>0</v>
      </c>
      <c r="R482" s="48">
        <f>IF(Учет!$O482=Справочники!$F$3,Учет!$H482,0)</f>
        <v>0</v>
      </c>
      <c r="S482" s="48">
        <f>IF(Учет!$O482=Справочники!$F$4,Учет!$H482,0)</f>
        <v>0</v>
      </c>
      <c r="T482" s="48">
        <f>IF(Учет!$O482=Справочники!$F$5,Учет!$H482,0)</f>
        <v>0</v>
      </c>
      <c r="U482" s="48">
        <f>IF(Учет!$O482=Справочники!$F$6,Учет!$H482,0)</f>
        <v>0</v>
      </c>
      <c r="V482" s="43">
        <f>V481+Учет!Q482-Q482</f>
        <v>-488978.92000000004</v>
      </c>
      <c r="W482" s="43">
        <f>W481+Учет!R482-R482</f>
        <v>336855</v>
      </c>
      <c r="X482" s="43">
        <f>X481+Учет!S482-S482</f>
        <v>500</v>
      </c>
      <c r="Y482" s="43">
        <f>Y481+Учет!T482-T482</f>
        <v>1150</v>
      </c>
      <c r="Z482" s="43">
        <f>Z481+Учет!U482-U482</f>
        <v>500000</v>
      </c>
      <c r="AA482" s="45">
        <f>Учет!X482</f>
        <v>500</v>
      </c>
    </row>
    <row r="483" spans="1:27" ht="15" customHeight="1" x14ac:dyDescent="0.25">
      <c r="A483" s="1"/>
      <c r="B483" s="17"/>
      <c r="C483" s="17"/>
      <c r="D483" s="17"/>
      <c r="E483" s="17"/>
      <c r="F483" s="17"/>
      <c r="G483" s="4">
        <f t="shared" si="18"/>
        <v>0</v>
      </c>
      <c r="H483" s="17"/>
      <c r="I483" s="4">
        <f t="shared" si="20"/>
        <v>349526.07999999996</v>
      </c>
      <c r="J483" s="32" t="str">
        <f t="shared" si="19"/>
        <v/>
      </c>
      <c r="K483" s="72"/>
      <c r="L483" s="72"/>
      <c r="M483" s="2"/>
      <c r="N483" s="5"/>
      <c r="O483" s="3"/>
      <c r="P483" s="6"/>
      <c r="Q483" s="48">
        <f>IF(Учет!$O483=Справочники!$F$2,Учет!$H483,0)</f>
        <v>0</v>
      </c>
      <c r="R483" s="48">
        <f>IF(Учет!$O483=Справочники!$F$3,Учет!$H483,0)</f>
        <v>0</v>
      </c>
      <c r="S483" s="48">
        <f>IF(Учет!$O483=Справочники!$F$4,Учет!$H483,0)</f>
        <v>0</v>
      </c>
      <c r="T483" s="48">
        <f>IF(Учет!$O483=Справочники!$F$5,Учет!$H483,0)</f>
        <v>0</v>
      </c>
      <c r="U483" s="48">
        <f>IF(Учет!$O483=Справочники!$F$6,Учет!$H483,0)</f>
        <v>0</v>
      </c>
      <c r="V483" s="43">
        <f>V482+Учет!Q483-Q483</f>
        <v>-488978.92000000004</v>
      </c>
      <c r="W483" s="43">
        <f>W482+Учет!R483-R483</f>
        <v>336855</v>
      </c>
      <c r="X483" s="43">
        <f>X482+Учет!S483-S483</f>
        <v>500</v>
      </c>
      <c r="Y483" s="43">
        <f>Y482+Учет!T483-T483</f>
        <v>1150</v>
      </c>
      <c r="Z483" s="43">
        <f>Z482+Учет!U483-U483</f>
        <v>500000</v>
      </c>
      <c r="AA483" s="45">
        <f>Учет!X483</f>
        <v>500</v>
      </c>
    </row>
    <row r="484" spans="1:27" ht="15" customHeight="1" x14ac:dyDescent="0.25">
      <c r="A484" s="1"/>
      <c r="B484" s="17"/>
      <c r="C484" s="17"/>
      <c r="D484" s="17"/>
      <c r="E484" s="17"/>
      <c r="F484" s="17"/>
      <c r="G484" s="4">
        <f t="shared" si="18"/>
        <v>0</v>
      </c>
      <c r="H484" s="17"/>
      <c r="I484" s="4">
        <f t="shared" si="20"/>
        <v>349526.07999999996</v>
      </c>
      <c r="J484" s="32" t="str">
        <f t="shared" si="19"/>
        <v/>
      </c>
      <c r="K484" s="72"/>
      <c r="L484" s="72"/>
      <c r="M484" s="2"/>
      <c r="N484" s="5"/>
      <c r="O484" s="3"/>
      <c r="P484" s="6"/>
      <c r="Q484" s="48">
        <f>IF(Учет!$O484=Справочники!$F$2,Учет!$H484,0)</f>
        <v>0</v>
      </c>
      <c r="R484" s="48">
        <f>IF(Учет!$O484=Справочники!$F$3,Учет!$H484,0)</f>
        <v>0</v>
      </c>
      <c r="S484" s="48">
        <f>IF(Учет!$O484=Справочники!$F$4,Учет!$H484,0)</f>
        <v>0</v>
      </c>
      <c r="T484" s="48">
        <f>IF(Учет!$O484=Справочники!$F$5,Учет!$H484,0)</f>
        <v>0</v>
      </c>
      <c r="U484" s="48">
        <f>IF(Учет!$O484=Справочники!$F$6,Учет!$H484,0)</f>
        <v>0</v>
      </c>
      <c r="V484" s="43">
        <f>V483+Учет!Q484-Q484</f>
        <v>-488978.92000000004</v>
      </c>
      <c r="W484" s="43">
        <f>W483+Учет!R484-R484</f>
        <v>336855</v>
      </c>
      <c r="X484" s="43">
        <f>X483+Учет!S484-S484</f>
        <v>500</v>
      </c>
      <c r="Y484" s="43">
        <f>Y483+Учет!T484-T484</f>
        <v>1150</v>
      </c>
      <c r="Z484" s="43">
        <f>Z483+Учет!U484-U484</f>
        <v>500000</v>
      </c>
      <c r="AA484" s="45">
        <f>Учет!X484</f>
        <v>500</v>
      </c>
    </row>
    <row r="485" spans="1:27" ht="15" customHeight="1" x14ac:dyDescent="0.25">
      <c r="A485" s="1"/>
      <c r="B485" s="17"/>
      <c r="C485" s="17"/>
      <c r="D485" s="17"/>
      <c r="E485" s="17"/>
      <c r="F485" s="17"/>
      <c r="G485" s="4">
        <f t="shared" si="18"/>
        <v>0</v>
      </c>
      <c r="H485" s="17"/>
      <c r="I485" s="4">
        <f t="shared" si="20"/>
        <v>349526.07999999996</v>
      </c>
      <c r="J485" s="32" t="str">
        <f t="shared" si="19"/>
        <v/>
      </c>
      <c r="K485" s="72"/>
      <c r="L485" s="72"/>
      <c r="M485" s="2"/>
      <c r="N485" s="5"/>
      <c r="O485" s="3"/>
      <c r="P485" s="6"/>
      <c r="Q485" s="48">
        <f>IF(Учет!$O485=Справочники!$F$2,Учет!$H485,0)</f>
        <v>0</v>
      </c>
      <c r="R485" s="48">
        <f>IF(Учет!$O485=Справочники!$F$3,Учет!$H485,0)</f>
        <v>0</v>
      </c>
      <c r="S485" s="48">
        <f>IF(Учет!$O485=Справочники!$F$4,Учет!$H485,0)</f>
        <v>0</v>
      </c>
      <c r="T485" s="48">
        <f>IF(Учет!$O485=Справочники!$F$5,Учет!$H485,0)</f>
        <v>0</v>
      </c>
      <c r="U485" s="48">
        <f>IF(Учет!$O485=Справочники!$F$6,Учет!$H485,0)</f>
        <v>0</v>
      </c>
      <c r="V485" s="43">
        <f>V484+Учет!Q485-Q485</f>
        <v>-488978.92000000004</v>
      </c>
      <c r="W485" s="43">
        <f>W484+Учет!R485-R485</f>
        <v>336855</v>
      </c>
      <c r="X485" s="43">
        <f>X484+Учет!S485-S485</f>
        <v>500</v>
      </c>
      <c r="Y485" s="43">
        <f>Y484+Учет!T485-T485</f>
        <v>1150</v>
      </c>
      <c r="Z485" s="43">
        <f>Z484+Учет!U485-U485</f>
        <v>500000</v>
      </c>
      <c r="AA485" s="45">
        <f>Учет!X485</f>
        <v>500</v>
      </c>
    </row>
    <row r="486" spans="1:27" ht="15" customHeight="1" x14ac:dyDescent="0.25">
      <c r="A486" s="1"/>
      <c r="B486" s="17"/>
      <c r="C486" s="17"/>
      <c r="D486" s="17"/>
      <c r="E486" s="17"/>
      <c r="F486" s="17"/>
      <c r="G486" s="4">
        <f t="shared" si="18"/>
        <v>0</v>
      </c>
      <c r="H486" s="17"/>
      <c r="I486" s="4">
        <f t="shared" si="20"/>
        <v>349526.07999999996</v>
      </c>
      <c r="J486" s="32" t="str">
        <f t="shared" si="19"/>
        <v/>
      </c>
      <c r="K486" s="72"/>
      <c r="L486" s="72"/>
      <c r="M486" s="2"/>
      <c r="N486" s="5"/>
      <c r="O486" s="3"/>
      <c r="P486" s="6"/>
      <c r="Q486" s="48">
        <f>IF(Учет!$O486=Справочники!$F$2,Учет!$H486,0)</f>
        <v>0</v>
      </c>
      <c r="R486" s="48">
        <f>IF(Учет!$O486=Справочники!$F$3,Учет!$H486,0)</f>
        <v>0</v>
      </c>
      <c r="S486" s="48">
        <f>IF(Учет!$O486=Справочники!$F$4,Учет!$H486,0)</f>
        <v>0</v>
      </c>
      <c r="T486" s="48">
        <f>IF(Учет!$O486=Справочники!$F$5,Учет!$H486,0)</f>
        <v>0</v>
      </c>
      <c r="U486" s="48">
        <f>IF(Учет!$O486=Справочники!$F$6,Учет!$H486,0)</f>
        <v>0</v>
      </c>
      <c r="V486" s="43">
        <f>V485+Учет!Q486-Q486</f>
        <v>-488978.92000000004</v>
      </c>
      <c r="W486" s="43">
        <f>W485+Учет!R486-R486</f>
        <v>336855</v>
      </c>
      <c r="X486" s="43">
        <f>X485+Учет!S486-S486</f>
        <v>500</v>
      </c>
      <c r="Y486" s="43">
        <f>Y485+Учет!T486-T486</f>
        <v>1150</v>
      </c>
      <c r="Z486" s="43">
        <f>Z485+Учет!U486-U486</f>
        <v>500000</v>
      </c>
      <c r="AA486" s="45">
        <f>Учет!X486</f>
        <v>500</v>
      </c>
    </row>
    <row r="487" spans="1:27" ht="15" customHeight="1" x14ac:dyDescent="0.25">
      <c r="A487" s="1"/>
      <c r="B487" s="17"/>
      <c r="C487" s="17"/>
      <c r="D487" s="17"/>
      <c r="E487" s="17"/>
      <c r="F487" s="17"/>
      <c r="G487" s="4">
        <f t="shared" si="18"/>
        <v>0</v>
      </c>
      <c r="H487" s="17"/>
      <c r="I487" s="4">
        <f t="shared" si="20"/>
        <v>349526.07999999996</v>
      </c>
      <c r="J487" s="32" t="str">
        <f t="shared" si="19"/>
        <v/>
      </c>
      <c r="K487" s="72"/>
      <c r="L487" s="72"/>
      <c r="M487" s="2"/>
      <c r="N487" s="5"/>
      <c r="O487" s="3"/>
      <c r="P487" s="6"/>
      <c r="Q487" s="48">
        <f>IF(Учет!$O487=Справочники!$F$2,Учет!$H487,0)</f>
        <v>0</v>
      </c>
      <c r="R487" s="48">
        <f>IF(Учет!$O487=Справочники!$F$3,Учет!$H487,0)</f>
        <v>0</v>
      </c>
      <c r="S487" s="48">
        <f>IF(Учет!$O487=Справочники!$F$4,Учет!$H487,0)</f>
        <v>0</v>
      </c>
      <c r="T487" s="48">
        <f>IF(Учет!$O487=Справочники!$F$5,Учет!$H487,0)</f>
        <v>0</v>
      </c>
      <c r="U487" s="48">
        <f>IF(Учет!$O487=Справочники!$F$6,Учет!$H487,0)</f>
        <v>0</v>
      </c>
      <c r="V487" s="43">
        <f>V486+Учет!Q487-Q487</f>
        <v>-488978.92000000004</v>
      </c>
      <c r="W487" s="43">
        <f>W486+Учет!R487-R487</f>
        <v>336855</v>
      </c>
      <c r="X487" s="43">
        <f>X486+Учет!S487-S487</f>
        <v>500</v>
      </c>
      <c r="Y487" s="43">
        <f>Y486+Учет!T487-T487</f>
        <v>1150</v>
      </c>
      <c r="Z487" s="43">
        <f>Z486+Учет!U487-U487</f>
        <v>500000</v>
      </c>
      <c r="AA487" s="45">
        <f>Учет!X487</f>
        <v>500</v>
      </c>
    </row>
    <row r="488" spans="1:27" ht="15" customHeight="1" x14ac:dyDescent="0.25">
      <c r="A488" s="1"/>
      <c r="B488" s="17"/>
      <c r="C488" s="17"/>
      <c r="D488" s="17"/>
      <c r="E488" s="17"/>
      <c r="F488" s="17"/>
      <c r="G488" s="4">
        <f t="shared" si="18"/>
        <v>0</v>
      </c>
      <c r="H488" s="17"/>
      <c r="I488" s="4">
        <f t="shared" si="20"/>
        <v>349526.07999999996</v>
      </c>
      <c r="J488" s="32" t="str">
        <f t="shared" si="19"/>
        <v/>
      </c>
      <c r="K488" s="72"/>
      <c r="L488" s="72"/>
      <c r="M488" s="2"/>
      <c r="N488" s="5"/>
      <c r="O488" s="3"/>
      <c r="P488" s="6"/>
      <c r="Q488" s="48">
        <f>IF(Учет!$O488=Справочники!$F$2,Учет!$H488,0)</f>
        <v>0</v>
      </c>
      <c r="R488" s="48">
        <f>IF(Учет!$O488=Справочники!$F$3,Учет!$H488,0)</f>
        <v>0</v>
      </c>
      <c r="S488" s="48">
        <f>IF(Учет!$O488=Справочники!$F$4,Учет!$H488,0)</f>
        <v>0</v>
      </c>
      <c r="T488" s="48">
        <f>IF(Учет!$O488=Справочники!$F$5,Учет!$H488,0)</f>
        <v>0</v>
      </c>
      <c r="U488" s="48">
        <f>IF(Учет!$O488=Справочники!$F$6,Учет!$H488,0)</f>
        <v>0</v>
      </c>
      <c r="V488" s="43">
        <f>V487+Учет!Q488-Q488</f>
        <v>-488978.92000000004</v>
      </c>
      <c r="W488" s="43">
        <f>W487+Учет!R488-R488</f>
        <v>336855</v>
      </c>
      <c r="X488" s="43">
        <f>X487+Учет!S488-S488</f>
        <v>500</v>
      </c>
      <c r="Y488" s="43">
        <f>Y487+Учет!T488-T488</f>
        <v>1150</v>
      </c>
      <c r="Z488" s="43">
        <f>Z487+Учет!U488-U488</f>
        <v>500000</v>
      </c>
      <c r="AA488" s="45">
        <f>Учет!X488</f>
        <v>500</v>
      </c>
    </row>
    <row r="489" spans="1:27" ht="15" customHeight="1" x14ac:dyDescent="0.25">
      <c r="A489" s="1"/>
      <c r="B489" s="17"/>
      <c r="C489" s="17"/>
      <c r="D489" s="17"/>
      <c r="E489" s="17"/>
      <c r="F489" s="17"/>
      <c r="G489" s="4">
        <f t="shared" si="18"/>
        <v>0</v>
      </c>
      <c r="H489" s="17"/>
      <c r="I489" s="4">
        <f t="shared" si="20"/>
        <v>349526.07999999996</v>
      </c>
      <c r="J489" s="32" t="str">
        <f t="shared" si="19"/>
        <v/>
      </c>
      <c r="K489" s="72"/>
      <c r="L489" s="72"/>
      <c r="M489" s="2"/>
      <c r="N489" s="5"/>
      <c r="O489" s="3"/>
      <c r="P489" s="6"/>
      <c r="Q489" s="48">
        <f>IF(Учет!$O489=Справочники!$F$2,Учет!$H489,0)</f>
        <v>0</v>
      </c>
      <c r="R489" s="48">
        <f>IF(Учет!$O489=Справочники!$F$3,Учет!$H489,0)</f>
        <v>0</v>
      </c>
      <c r="S489" s="48">
        <f>IF(Учет!$O489=Справочники!$F$4,Учет!$H489,0)</f>
        <v>0</v>
      </c>
      <c r="T489" s="48">
        <f>IF(Учет!$O489=Справочники!$F$5,Учет!$H489,0)</f>
        <v>0</v>
      </c>
      <c r="U489" s="48">
        <f>IF(Учет!$O489=Справочники!$F$6,Учет!$H489,0)</f>
        <v>0</v>
      </c>
      <c r="V489" s="43">
        <f>V488+Учет!Q489-Q489</f>
        <v>-488978.92000000004</v>
      </c>
      <c r="W489" s="43">
        <f>W488+Учет!R489-R489</f>
        <v>336855</v>
      </c>
      <c r="X489" s="43">
        <f>X488+Учет!S489-S489</f>
        <v>500</v>
      </c>
      <c r="Y489" s="43">
        <f>Y488+Учет!T489-T489</f>
        <v>1150</v>
      </c>
      <c r="Z489" s="43">
        <f>Z488+Учет!U489-U489</f>
        <v>500000</v>
      </c>
      <c r="AA489" s="45">
        <f>Учет!X489</f>
        <v>500</v>
      </c>
    </row>
    <row r="490" spans="1:27" ht="15" customHeight="1" x14ac:dyDescent="0.25">
      <c r="A490" s="1"/>
      <c r="B490" s="17"/>
      <c r="C490" s="17"/>
      <c r="D490" s="17"/>
      <c r="E490" s="17"/>
      <c r="F490" s="17"/>
      <c r="G490" s="4">
        <f t="shared" si="18"/>
        <v>0</v>
      </c>
      <c r="H490" s="17"/>
      <c r="I490" s="4">
        <f t="shared" si="20"/>
        <v>349526.07999999996</v>
      </c>
      <c r="J490" s="32" t="str">
        <f t="shared" si="19"/>
        <v/>
      </c>
      <c r="K490" s="72"/>
      <c r="L490" s="72"/>
      <c r="M490" s="2"/>
      <c r="N490" s="5"/>
      <c r="O490" s="3"/>
      <c r="P490" s="6"/>
      <c r="Q490" s="48">
        <f>IF(Учет!$O490=Справочники!$F$2,Учет!$H490,0)</f>
        <v>0</v>
      </c>
      <c r="R490" s="48">
        <f>IF(Учет!$O490=Справочники!$F$3,Учет!$H490,0)</f>
        <v>0</v>
      </c>
      <c r="S490" s="48">
        <f>IF(Учет!$O490=Справочники!$F$4,Учет!$H490,0)</f>
        <v>0</v>
      </c>
      <c r="T490" s="48">
        <f>IF(Учет!$O490=Справочники!$F$5,Учет!$H490,0)</f>
        <v>0</v>
      </c>
      <c r="U490" s="48">
        <f>IF(Учет!$O490=Справочники!$F$6,Учет!$H490,0)</f>
        <v>0</v>
      </c>
      <c r="V490" s="43">
        <f>V489+Учет!Q490-Q490</f>
        <v>-488978.92000000004</v>
      </c>
      <c r="W490" s="43">
        <f>W489+Учет!R490-R490</f>
        <v>336855</v>
      </c>
      <c r="X490" s="43">
        <f>X489+Учет!S490-S490</f>
        <v>500</v>
      </c>
      <c r="Y490" s="43">
        <f>Y489+Учет!T490-T490</f>
        <v>1150</v>
      </c>
      <c r="Z490" s="43">
        <f>Z489+Учет!U490-U490</f>
        <v>500000</v>
      </c>
      <c r="AA490" s="45">
        <f>Учет!X490</f>
        <v>500</v>
      </c>
    </row>
    <row r="491" spans="1:27" ht="15" customHeight="1" x14ac:dyDescent="0.25">
      <c r="A491" s="1"/>
      <c r="B491" s="17"/>
      <c r="C491" s="17"/>
      <c r="D491" s="17"/>
      <c r="E491" s="17"/>
      <c r="F491" s="17"/>
      <c r="G491" s="4">
        <f t="shared" si="18"/>
        <v>0</v>
      </c>
      <c r="H491" s="17"/>
      <c r="I491" s="4">
        <f t="shared" si="20"/>
        <v>349526.07999999996</v>
      </c>
      <c r="J491" s="32" t="str">
        <f t="shared" si="19"/>
        <v/>
      </c>
      <c r="K491" s="72"/>
      <c r="L491" s="72"/>
      <c r="M491" s="2"/>
      <c r="N491" s="5"/>
      <c r="O491" s="3"/>
      <c r="P491" s="6"/>
      <c r="Q491" s="48">
        <f>IF(Учет!$O491=Справочники!$F$2,Учет!$H491,0)</f>
        <v>0</v>
      </c>
      <c r="R491" s="48">
        <f>IF(Учет!$O491=Справочники!$F$3,Учет!$H491,0)</f>
        <v>0</v>
      </c>
      <c r="S491" s="48">
        <f>IF(Учет!$O491=Справочники!$F$4,Учет!$H491,0)</f>
        <v>0</v>
      </c>
      <c r="T491" s="48">
        <f>IF(Учет!$O491=Справочники!$F$5,Учет!$H491,0)</f>
        <v>0</v>
      </c>
      <c r="U491" s="48">
        <f>IF(Учет!$O491=Справочники!$F$6,Учет!$H491,0)</f>
        <v>0</v>
      </c>
      <c r="V491" s="43">
        <f>V490+Учет!Q491-Q491</f>
        <v>-488978.92000000004</v>
      </c>
      <c r="W491" s="43">
        <f>W490+Учет!R491-R491</f>
        <v>336855</v>
      </c>
      <c r="X491" s="43">
        <f>X490+Учет!S491-S491</f>
        <v>500</v>
      </c>
      <c r="Y491" s="43">
        <f>Y490+Учет!T491-T491</f>
        <v>1150</v>
      </c>
      <c r="Z491" s="43">
        <f>Z490+Учет!U491-U491</f>
        <v>500000</v>
      </c>
      <c r="AA491" s="45">
        <f>Учет!X491</f>
        <v>500</v>
      </c>
    </row>
    <row r="492" spans="1:27" ht="15" customHeight="1" x14ac:dyDescent="0.25">
      <c r="A492" s="1"/>
      <c r="B492" s="17"/>
      <c r="C492" s="17"/>
      <c r="D492" s="17"/>
      <c r="E492" s="17"/>
      <c r="F492" s="17"/>
      <c r="G492" s="4">
        <f t="shared" si="18"/>
        <v>0</v>
      </c>
      <c r="H492" s="17"/>
      <c r="I492" s="4">
        <f t="shared" si="20"/>
        <v>349526.07999999996</v>
      </c>
      <c r="J492" s="32" t="str">
        <f t="shared" si="19"/>
        <v/>
      </c>
      <c r="K492" s="72"/>
      <c r="L492" s="72"/>
      <c r="M492" s="2"/>
      <c r="N492" s="5"/>
      <c r="O492" s="3"/>
      <c r="P492" s="6"/>
      <c r="Q492" s="48">
        <f>IF(Учет!$O492=Справочники!$F$2,Учет!$H492,0)</f>
        <v>0</v>
      </c>
      <c r="R492" s="48">
        <f>IF(Учет!$O492=Справочники!$F$3,Учет!$H492,0)</f>
        <v>0</v>
      </c>
      <c r="S492" s="48">
        <f>IF(Учет!$O492=Справочники!$F$4,Учет!$H492,0)</f>
        <v>0</v>
      </c>
      <c r="T492" s="48">
        <f>IF(Учет!$O492=Справочники!$F$5,Учет!$H492,0)</f>
        <v>0</v>
      </c>
      <c r="U492" s="48">
        <f>IF(Учет!$O492=Справочники!$F$6,Учет!$H492,0)</f>
        <v>0</v>
      </c>
      <c r="V492" s="43">
        <f>V491+Учет!Q492-Q492</f>
        <v>-488978.92000000004</v>
      </c>
      <c r="W492" s="43">
        <f>W491+Учет!R492-R492</f>
        <v>336855</v>
      </c>
      <c r="X492" s="43">
        <f>X491+Учет!S492-S492</f>
        <v>500</v>
      </c>
      <c r="Y492" s="43">
        <f>Y491+Учет!T492-T492</f>
        <v>1150</v>
      </c>
      <c r="Z492" s="43">
        <f>Z491+Учет!U492-U492</f>
        <v>500000</v>
      </c>
      <c r="AA492" s="45">
        <f>Учет!X492</f>
        <v>500</v>
      </c>
    </row>
    <row r="493" spans="1:27" ht="15" customHeight="1" x14ac:dyDescent="0.25">
      <c r="A493" s="1"/>
      <c r="B493" s="17"/>
      <c r="C493" s="17"/>
      <c r="D493" s="17"/>
      <c r="E493" s="17"/>
      <c r="F493" s="17"/>
      <c r="G493" s="4">
        <f t="shared" si="18"/>
        <v>0</v>
      </c>
      <c r="H493" s="17"/>
      <c r="I493" s="4">
        <f t="shared" si="20"/>
        <v>349526.07999999996</v>
      </c>
      <c r="J493" s="32" t="str">
        <f t="shared" si="19"/>
        <v/>
      </c>
      <c r="K493" s="72"/>
      <c r="L493" s="72"/>
      <c r="M493" s="2"/>
      <c r="N493" s="5"/>
      <c r="O493" s="3"/>
      <c r="P493" s="6"/>
      <c r="Q493" s="48">
        <f>IF(Учет!$O493=Справочники!$F$2,Учет!$H493,0)</f>
        <v>0</v>
      </c>
      <c r="R493" s="48">
        <f>IF(Учет!$O493=Справочники!$F$3,Учет!$H493,0)</f>
        <v>0</v>
      </c>
      <c r="S493" s="48">
        <f>IF(Учет!$O493=Справочники!$F$4,Учет!$H493,0)</f>
        <v>0</v>
      </c>
      <c r="T493" s="48">
        <f>IF(Учет!$O493=Справочники!$F$5,Учет!$H493,0)</f>
        <v>0</v>
      </c>
      <c r="U493" s="48">
        <f>IF(Учет!$O493=Справочники!$F$6,Учет!$H493,0)</f>
        <v>0</v>
      </c>
      <c r="V493" s="43">
        <f>V492+Учет!Q493-Q493</f>
        <v>-488978.92000000004</v>
      </c>
      <c r="W493" s="43">
        <f>W492+Учет!R493-R493</f>
        <v>336855</v>
      </c>
      <c r="X493" s="43">
        <f>X492+Учет!S493-S493</f>
        <v>500</v>
      </c>
      <c r="Y493" s="43">
        <f>Y492+Учет!T493-T493</f>
        <v>1150</v>
      </c>
      <c r="Z493" s="43">
        <f>Z492+Учет!U493-U493</f>
        <v>500000</v>
      </c>
      <c r="AA493" s="45">
        <f>Учет!X493</f>
        <v>500</v>
      </c>
    </row>
    <row r="494" spans="1:27" ht="15" customHeight="1" x14ac:dyDescent="0.25">
      <c r="A494" s="1"/>
      <c r="B494" s="17"/>
      <c r="C494" s="17"/>
      <c r="D494" s="17"/>
      <c r="E494" s="17"/>
      <c r="F494" s="17"/>
      <c r="G494" s="4">
        <f t="shared" si="18"/>
        <v>0</v>
      </c>
      <c r="H494" s="17"/>
      <c r="I494" s="4">
        <f t="shared" si="20"/>
        <v>349526.07999999996</v>
      </c>
      <c r="J494" s="32" t="str">
        <f t="shared" si="19"/>
        <v/>
      </c>
      <c r="K494" s="72"/>
      <c r="L494" s="72"/>
      <c r="M494" s="2"/>
      <c r="N494" s="5"/>
      <c r="O494" s="3"/>
      <c r="P494" s="6"/>
      <c r="Q494" s="48">
        <f>IF(Учет!$O494=Справочники!$F$2,Учет!$H494,0)</f>
        <v>0</v>
      </c>
      <c r="R494" s="48">
        <f>IF(Учет!$O494=Справочники!$F$3,Учет!$H494,0)</f>
        <v>0</v>
      </c>
      <c r="S494" s="48">
        <f>IF(Учет!$O494=Справочники!$F$4,Учет!$H494,0)</f>
        <v>0</v>
      </c>
      <c r="T494" s="48">
        <f>IF(Учет!$O494=Справочники!$F$5,Учет!$H494,0)</f>
        <v>0</v>
      </c>
      <c r="U494" s="48">
        <f>IF(Учет!$O494=Справочники!$F$6,Учет!$H494,0)</f>
        <v>0</v>
      </c>
      <c r="V494" s="43">
        <f>V493+Учет!Q494-Q494</f>
        <v>-488978.92000000004</v>
      </c>
      <c r="W494" s="43">
        <f>W493+Учет!R494-R494</f>
        <v>336855</v>
      </c>
      <c r="X494" s="43">
        <f>X493+Учет!S494-S494</f>
        <v>500</v>
      </c>
      <c r="Y494" s="43">
        <f>Y493+Учет!T494-T494</f>
        <v>1150</v>
      </c>
      <c r="Z494" s="43">
        <f>Z493+Учет!U494-U494</f>
        <v>500000</v>
      </c>
      <c r="AA494" s="45">
        <f>Учет!X494</f>
        <v>500</v>
      </c>
    </row>
    <row r="495" spans="1:27" ht="15" customHeight="1" x14ac:dyDescent="0.25">
      <c r="A495" s="1"/>
      <c r="B495" s="17"/>
      <c r="C495" s="17"/>
      <c r="D495" s="17"/>
      <c r="E495" s="17"/>
      <c r="F495" s="17"/>
      <c r="G495" s="4">
        <f t="shared" si="18"/>
        <v>0</v>
      </c>
      <c r="H495" s="17"/>
      <c r="I495" s="4">
        <f t="shared" si="20"/>
        <v>349526.07999999996</v>
      </c>
      <c r="J495" s="32" t="str">
        <f t="shared" si="19"/>
        <v/>
      </c>
      <c r="K495" s="72"/>
      <c r="L495" s="72"/>
      <c r="M495" s="2"/>
      <c r="N495" s="5"/>
      <c r="O495" s="3"/>
      <c r="P495" s="6"/>
      <c r="Q495" s="48">
        <f>IF(Учет!$O495=Справочники!$F$2,Учет!$H495,0)</f>
        <v>0</v>
      </c>
      <c r="R495" s="48">
        <f>IF(Учет!$O495=Справочники!$F$3,Учет!$H495,0)</f>
        <v>0</v>
      </c>
      <c r="S495" s="48">
        <f>IF(Учет!$O495=Справочники!$F$4,Учет!$H495,0)</f>
        <v>0</v>
      </c>
      <c r="T495" s="48">
        <f>IF(Учет!$O495=Справочники!$F$5,Учет!$H495,0)</f>
        <v>0</v>
      </c>
      <c r="U495" s="48">
        <f>IF(Учет!$O495=Справочники!$F$6,Учет!$H495,0)</f>
        <v>0</v>
      </c>
      <c r="V495" s="43">
        <f>V494+Учет!Q495-Q495</f>
        <v>-488978.92000000004</v>
      </c>
      <c r="W495" s="43">
        <f>W494+Учет!R495-R495</f>
        <v>336855</v>
      </c>
      <c r="X495" s="43">
        <f>X494+Учет!S495-S495</f>
        <v>500</v>
      </c>
      <c r="Y495" s="43">
        <f>Y494+Учет!T495-T495</f>
        <v>1150</v>
      </c>
      <c r="Z495" s="43">
        <f>Z494+Учет!U495-U495</f>
        <v>500000</v>
      </c>
      <c r="AA495" s="45">
        <f>Учет!X495</f>
        <v>500</v>
      </c>
    </row>
    <row r="496" spans="1:27" ht="15" customHeight="1" x14ac:dyDescent="0.25">
      <c r="A496" s="1"/>
      <c r="B496" s="17"/>
      <c r="C496" s="17"/>
      <c r="D496" s="17"/>
      <c r="E496" s="17"/>
      <c r="F496" s="17"/>
      <c r="G496" s="4">
        <f t="shared" si="18"/>
        <v>0</v>
      </c>
      <c r="H496" s="17"/>
      <c r="I496" s="4">
        <f t="shared" si="20"/>
        <v>349526.07999999996</v>
      </c>
      <c r="J496" s="32" t="str">
        <f t="shared" si="19"/>
        <v/>
      </c>
      <c r="K496" s="72"/>
      <c r="L496" s="72"/>
      <c r="M496" s="2"/>
      <c r="N496" s="5"/>
      <c r="O496" s="3"/>
      <c r="P496" s="6"/>
      <c r="Q496" s="48">
        <f>IF(Учет!$O496=Справочники!$F$2,Учет!$H496,0)</f>
        <v>0</v>
      </c>
      <c r="R496" s="48">
        <f>IF(Учет!$O496=Справочники!$F$3,Учет!$H496,0)</f>
        <v>0</v>
      </c>
      <c r="S496" s="48">
        <f>IF(Учет!$O496=Справочники!$F$4,Учет!$H496,0)</f>
        <v>0</v>
      </c>
      <c r="T496" s="48">
        <f>IF(Учет!$O496=Справочники!$F$5,Учет!$H496,0)</f>
        <v>0</v>
      </c>
      <c r="U496" s="48">
        <f>IF(Учет!$O496=Справочники!$F$6,Учет!$H496,0)</f>
        <v>0</v>
      </c>
      <c r="V496" s="43">
        <f>V495+Учет!Q496-Q496</f>
        <v>-488978.92000000004</v>
      </c>
      <c r="W496" s="43">
        <f>W495+Учет!R496-R496</f>
        <v>336855</v>
      </c>
      <c r="X496" s="43">
        <f>X495+Учет!S496-S496</f>
        <v>500</v>
      </c>
      <c r="Y496" s="43">
        <f>Y495+Учет!T496-T496</f>
        <v>1150</v>
      </c>
      <c r="Z496" s="43">
        <f>Z495+Учет!U496-U496</f>
        <v>500000</v>
      </c>
      <c r="AA496" s="45">
        <f>Учет!X496</f>
        <v>500</v>
      </c>
    </row>
    <row r="497" spans="1:27" ht="15" customHeight="1" x14ac:dyDescent="0.25">
      <c r="A497" s="1"/>
      <c r="B497" s="17"/>
      <c r="C497" s="17"/>
      <c r="D497" s="17"/>
      <c r="E497" s="17"/>
      <c r="F497" s="17"/>
      <c r="G497" s="4">
        <f t="shared" si="18"/>
        <v>0</v>
      </c>
      <c r="H497" s="17"/>
      <c r="I497" s="4">
        <f t="shared" si="20"/>
        <v>349526.07999999996</v>
      </c>
      <c r="J497" s="32" t="str">
        <f t="shared" si="19"/>
        <v/>
      </c>
      <c r="K497" s="72"/>
      <c r="L497" s="72"/>
      <c r="M497" s="2"/>
      <c r="N497" s="5"/>
      <c r="O497" s="3"/>
      <c r="P497" s="6"/>
      <c r="Q497" s="48">
        <f>IF(Учет!$O497=Справочники!$F$2,Учет!$H497,0)</f>
        <v>0</v>
      </c>
      <c r="R497" s="48">
        <f>IF(Учет!$O497=Справочники!$F$3,Учет!$H497,0)</f>
        <v>0</v>
      </c>
      <c r="S497" s="48">
        <f>IF(Учет!$O497=Справочники!$F$4,Учет!$H497,0)</f>
        <v>0</v>
      </c>
      <c r="T497" s="48">
        <f>IF(Учет!$O497=Справочники!$F$5,Учет!$H497,0)</f>
        <v>0</v>
      </c>
      <c r="U497" s="48">
        <f>IF(Учет!$O497=Справочники!$F$6,Учет!$H497,0)</f>
        <v>0</v>
      </c>
      <c r="V497" s="43">
        <f>V496+Учет!Q497-Q497</f>
        <v>-488978.92000000004</v>
      </c>
      <c r="W497" s="43">
        <f>W496+Учет!R497-R497</f>
        <v>336855</v>
      </c>
      <c r="X497" s="43">
        <f>X496+Учет!S497-S497</f>
        <v>500</v>
      </c>
      <c r="Y497" s="43">
        <f>Y496+Учет!T497-T497</f>
        <v>1150</v>
      </c>
      <c r="Z497" s="43">
        <f>Z496+Учет!U497-U497</f>
        <v>500000</v>
      </c>
      <c r="AA497" s="45">
        <f>Учет!X497</f>
        <v>500</v>
      </c>
    </row>
    <row r="498" spans="1:27" ht="15" customHeight="1" x14ac:dyDescent="0.25">
      <c r="A498" s="1"/>
      <c r="B498" s="17"/>
      <c r="C498" s="17"/>
      <c r="D498" s="17"/>
      <c r="E498" s="17"/>
      <c r="F498" s="17"/>
      <c r="G498" s="4">
        <f t="shared" si="18"/>
        <v>0</v>
      </c>
      <c r="H498" s="17"/>
      <c r="I498" s="4">
        <f t="shared" si="20"/>
        <v>349526.07999999996</v>
      </c>
      <c r="J498" s="32" t="str">
        <f t="shared" si="19"/>
        <v/>
      </c>
      <c r="K498" s="72"/>
      <c r="L498" s="72"/>
      <c r="M498" s="2"/>
      <c r="N498" s="5"/>
      <c r="O498" s="3"/>
      <c r="P498" s="6"/>
      <c r="Q498" s="48">
        <f>IF(Учет!$O498=Справочники!$F$2,Учет!$H498,0)</f>
        <v>0</v>
      </c>
      <c r="R498" s="48">
        <f>IF(Учет!$O498=Справочники!$F$3,Учет!$H498,0)</f>
        <v>0</v>
      </c>
      <c r="S498" s="48">
        <f>IF(Учет!$O498=Справочники!$F$4,Учет!$H498,0)</f>
        <v>0</v>
      </c>
      <c r="T498" s="48">
        <f>IF(Учет!$O498=Справочники!$F$5,Учет!$H498,0)</f>
        <v>0</v>
      </c>
      <c r="U498" s="48">
        <f>IF(Учет!$O498=Справочники!$F$6,Учет!$H498,0)</f>
        <v>0</v>
      </c>
      <c r="V498" s="43">
        <f>V497+Учет!Q498-Q498</f>
        <v>-488978.92000000004</v>
      </c>
      <c r="W498" s="43">
        <f>W497+Учет!R498-R498</f>
        <v>336855</v>
      </c>
      <c r="X498" s="43">
        <f>X497+Учет!S498-S498</f>
        <v>500</v>
      </c>
      <c r="Y498" s="43">
        <f>Y497+Учет!T498-T498</f>
        <v>1150</v>
      </c>
      <c r="Z498" s="43">
        <f>Z497+Учет!U498-U498</f>
        <v>500000</v>
      </c>
      <c r="AA498" s="45">
        <f>Учет!X498</f>
        <v>500</v>
      </c>
    </row>
    <row r="499" spans="1:27" ht="15" customHeight="1" x14ac:dyDescent="0.25">
      <c r="A499" s="1"/>
      <c r="B499" s="17"/>
      <c r="C499" s="17"/>
      <c r="D499" s="17"/>
      <c r="E499" s="17"/>
      <c r="F499" s="17"/>
      <c r="G499" s="4">
        <f t="shared" si="18"/>
        <v>0</v>
      </c>
      <c r="H499" s="17"/>
      <c r="I499" s="4">
        <f t="shared" si="20"/>
        <v>349526.07999999996</v>
      </c>
      <c r="J499" s="32" t="str">
        <f t="shared" si="19"/>
        <v/>
      </c>
      <c r="K499" s="72"/>
      <c r="L499" s="72"/>
      <c r="M499" s="2"/>
      <c r="N499" s="5"/>
      <c r="O499" s="3"/>
      <c r="P499" s="6"/>
      <c r="Q499" s="48">
        <f>IF(Учет!$O499=Справочники!$F$2,Учет!$H499,0)</f>
        <v>0</v>
      </c>
      <c r="R499" s="48">
        <f>IF(Учет!$O499=Справочники!$F$3,Учет!$H499,0)</f>
        <v>0</v>
      </c>
      <c r="S499" s="48">
        <f>IF(Учет!$O499=Справочники!$F$4,Учет!$H499,0)</f>
        <v>0</v>
      </c>
      <c r="T499" s="48">
        <f>IF(Учет!$O499=Справочники!$F$5,Учет!$H499,0)</f>
        <v>0</v>
      </c>
      <c r="U499" s="48">
        <f>IF(Учет!$O499=Справочники!$F$6,Учет!$H499,0)</f>
        <v>0</v>
      </c>
      <c r="V499" s="43">
        <f>V498+Учет!Q499-Q499</f>
        <v>-488978.92000000004</v>
      </c>
      <c r="W499" s="43">
        <f>W498+Учет!R499-R499</f>
        <v>336855</v>
      </c>
      <c r="X499" s="43">
        <f>X498+Учет!S499-S499</f>
        <v>500</v>
      </c>
      <c r="Y499" s="43">
        <f>Y498+Учет!T499-T499</f>
        <v>1150</v>
      </c>
      <c r="Z499" s="43">
        <f>Z498+Учет!U499-U499</f>
        <v>500000</v>
      </c>
      <c r="AA499" s="45">
        <f>Учет!X499</f>
        <v>500</v>
      </c>
    </row>
    <row r="500" spans="1:27" ht="15" customHeight="1" x14ac:dyDescent="0.25">
      <c r="A500" s="1"/>
      <c r="B500" s="17"/>
      <c r="C500" s="17"/>
      <c r="D500" s="17"/>
      <c r="E500" s="17"/>
      <c r="F500" s="17"/>
      <c r="G500" s="4">
        <f t="shared" si="18"/>
        <v>0</v>
      </c>
      <c r="H500" s="17"/>
      <c r="I500" s="4">
        <f t="shared" si="20"/>
        <v>349526.07999999996</v>
      </c>
      <c r="J500" s="32" t="str">
        <f t="shared" si="19"/>
        <v/>
      </c>
      <c r="K500" s="72"/>
      <c r="L500" s="72"/>
      <c r="M500" s="2"/>
      <c r="N500" s="5"/>
      <c r="O500" s="3"/>
      <c r="P500" s="6"/>
      <c r="Q500" s="48">
        <f>IF(Учет!$O500=Справочники!$F$2,Учет!$H500,0)</f>
        <v>0</v>
      </c>
      <c r="R500" s="48">
        <f>IF(Учет!$O500=Справочники!$F$3,Учет!$H500,0)</f>
        <v>0</v>
      </c>
      <c r="S500" s="48">
        <f>IF(Учет!$O500=Справочники!$F$4,Учет!$H500,0)</f>
        <v>0</v>
      </c>
      <c r="T500" s="48">
        <f>IF(Учет!$O500=Справочники!$F$5,Учет!$H500,0)</f>
        <v>0</v>
      </c>
      <c r="U500" s="48">
        <f>IF(Учет!$O500=Справочники!$F$6,Учет!$H500,0)</f>
        <v>0</v>
      </c>
      <c r="V500" s="43">
        <f>V499+Учет!Q500-Q500</f>
        <v>-488978.92000000004</v>
      </c>
      <c r="W500" s="43">
        <f>W499+Учет!R500-R500</f>
        <v>336855</v>
      </c>
      <c r="X500" s="43">
        <f>X499+Учет!S500-S500</f>
        <v>500</v>
      </c>
      <c r="Y500" s="43">
        <f>Y499+Учет!T500-T500</f>
        <v>1150</v>
      </c>
      <c r="Z500" s="43">
        <f>Z499+Учет!U500-U500</f>
        <v>500000</v>
      </c>
      <c r="AA500" s="45">
        <f>Учет!X500</f>
        <v>500</v>
      </c>
    </row>
    <row r="501" spans="1:27" ht="15" customHeight="1" x14ac:dyDescent="0.25">
      <c r="A501" s="1"/>
      <c r="B501" s="17"/>
      <c r="C501" s="17"/>
      <c r="D501" s="17"/>
      <c r="E501" s="17"/>
      <c r="F501" s="17"/>
      <c r="G501" s="4">
        <f t="shared" si="18"/>
        <v>0</v>
      </c>
      <c r="H501" s="17"/>
      <c r="I501" s="4">
        <f t="shared" si="20"/>
        <v>349526.07999999996</v>
      </c>
      <c r="J501" s="32" t="str">
        <f t="shared" si="19"/>
        <v/>
      </c>
      <c r="K501" s="72"/>
      <c r="L501" s="72"/>
      <c r="M501" s="2"/>
      <c r="N501" s="5"/>
      <c r="O501" s="3"/>
      <c r="P501" s="6"/>
      <c r="Q501" s="48">
        <f>IF(Учет!$O501=Справочники!$F$2,Учет!$H501,0)</f>
        <v>0</v>
      </c>
      <c r="R501" s="48">
        <f>IF(Учет!$O501=Справочники!$F$3,Учет!$H501,0)</f>
        <v>0</v>
      </c>
      <c r="S501" s="48">
        <f>IF(Учет!$O501=Справочники!$F$4,Учет!$H501,0)</f>
        <v>0</v>
      </c>
      <c r="T501" s="48">
        <f>IF(Учет!$O501=Справочники!$F$5,Учет!$H501,0)</f>
        <v>0</v>
      </c>
      <c r="U501" s="48">
        <f>IF(Учет!$O501=Справочники!$F$6,Учет!$H501,0)</f>
        <v>0</v>
      </c>
      <c r="V501" s="43">
        <f>V500+Учет!Q501-Q501</f>
        <v>-488978.92000000004</v>
      </c>
      <c r="W501" s="43">
        <f>W500+Учет!R501-R501</f>
        <v>336855</v>
      </c>
      <c r="X501" s="43">
        <f>X500+Учет!S501-S501</f>
        <v>500</v>
      </c>
      <c r="Y501" s="43">
        <f>Y500+Учет!T501-T501</f>
        <v>1150</v>
      </c>
      <c r="Z501" s="43">
        <f>Z500+Учет!U501-U501</f>
        <v>500000</v>
      </c>
      <c r="AA501" s="45">
        <f>Учет!X501</f>
        <v>500</v>
      </c>
    </row>
    <row r="502" spans="1:27" ht="15" customHeight="1" x14ac:dyDescent="0.25">
      <c r="A502" s="1"/>
      <c r="B502" s="17"/>
      <c r="C502" s="17"/>
      <c r="D502" s="17"/>
      <c r="E502" s="17"/>
      <c r="F502" s="17"/>
      <c r="G502" s="4">
        <f t="shared" si="18"/>
        <v>0</v>
      </c>
      <c r="H502" s="17"/>
      <c r="I502" s="4">
        <f t="shared" si="20"/>
        <v>349526.07999999996</v>
      </c>
      <c r="J502" s="32" t="str">
        <f t="shared" si="19"/>
        <v/>
      </c>
      <c r="K502" s="72"/>
      <c r="L502" s="72"/>
      <c r="M502" s="2"/>
      <c r="N502" s="5"/>
      <c r="O502" s="3"/>
      <c r="P502" s="6"/>
      <c r="Q502" s="48">
        <f>IF(Учет!$O502=Справочники!$F$2,Учет!$H502,0)</f>
        <v>0</v>
      </c>
      <c r="R502" s="48">
        <f>IF(Учет!$O502=Справочники!$F$3,Учет!$H502,0)</f>
        <v>0</v>
      </c>
      <c r="S502" s="48">
        <f>IF(Учет!$O502=Справочники!$F$4,Учет!$H502,0)</f>
        <v>0</v>
      </c>
      <c r="T502" s="48">
        <f>IF(Учет!$O502=Справочники!$F$5,Учет!$H502,0)</f>
        <v>0</v>
      </c>
      <c r="U502" s="48">
        <f>IF(Учет!$O502=Справочники!$F$6,Учет!$H502,0)</f>
        <v>0</v>
      </c>
      <c r="V502" s="43">
        <f>V501+Учет!Q502-Q502</f>
        <v>-488978.92000000004</v>
      </c>
      <c r="W502" s="43">
        <f>W501+Учет!R502-R502</f>
        <v>336855</v>
      </c>
      <c r="X502" s="43">
        <f>X501+Учет!S502-S502</f>
        <v>500</v>
      </c>
      <c r="Y502" s="43">
        <f>Y501+Учет!T502-T502</f>
        <v>1150</v>
      </c>
      <c r="Z502" s="43">
        <f>Z501+Учет!U502-U502</f>
        <v>500000</v>
      </c>
      <c r="AA502" s="45">
        <f>Учет!X502</f>
        <v>500</v>
      </c>
    </row>
    <row r="503" spans="1:27" ht="15" customHeight="1" x14ac:dyDescent="0.25">
      <c r="A503" s="1"/>
      <c r="B503" s="17"/>
      <c r="C503" s="17"/>
      <c r="D503" s="17"/>
      <c r="E503" s="17"/>
      <c r="F503" s="17"/>
      <c r="G503" s="4">
        <f t="shared" si="18"/>
        <v>0</v>
      </c>
      <c r="H503" s="17"/>
      <c r="I503" s="4">
        <f t="shared" si="20"/>
        <v>349526.07999999996</v>
      </c>
      <c r="J503" s="32" t="str">
        <f t="shared" si="19"/>
        <v/>
      </c>
      <c r="K503" s="72"/>
      <c r="L503" s="72"/>
      <c r="M503" s="2"/>
      <c r="N503" s="5"/>
      <c r="O503" s="3"/>
      <c r="P503" s="6"/>
      <c r="Q503" s="48">
        <f>IF(Учет!$O503=Справочники!$F$2,Учет!$H503,0)</f>
        <v>0</v>
      </c>
      <c r="R503" s="48">
        <f>IF(Учет!$O503=Справочники!$F$3,Учет!$H503,0)</f>
        <v>0</v>
      </c>
      <c r="S503" s="48">
        <f>IF(Учет!$O503=Справочники!$F$4,Учет!$H503,0)</f>
        <v>0</v>
      </c>
      <c r="T503" s="48">
        <f>IF(Учет!$O503=Справочники!$F$5,Учет!$H503,0)</f>
        <v>0</v>
      </c>
      <c r="U503" s="48">
        <f>IF(Учет!$O503=Справочники!$F$6,Учет!$H503,0)</f>
        <v>0</v>
      </c>
      <c r="V503" s="43">
        <f>V502+Учет!Q503-Q503</f>
        <v>-488978.92000000004</v>
      </c>
      <c r="W503" s="43">
        <f>W502+Учет!R503-R503</f>
        <v>336855</v>
      </c>
      <c r="X503" s="43">
        <f>X502+Учет!S503-S503</f>
        <v>500</v>
      </c>
      <c r="Y503" s="43">
        <f>Y502+Учет!T503-T503</f>
        <v>1150</v>
      </c>
      <c r="Z503" s="43">
        <f>Z502+Учет!U503-U503</f>
        <v>500000</v>
      </c>
      <c r="AA503" s="45">
        <f>Учет!X503</f>
        <v>500</v>
      </c>
    </row>
    <row r="504" spans="1:27" ht="15" customHeight="1" x14ac:dyDescent="0.25">
      <c r="A504" s="1"/>
      <c r="B504" s="17"/>
      <c r="C504" s="17"/>
      <c r="D504" s="17"/>
      <c r="E504" s="17"/>
      <c r="F504" s="17"/>
      <c r="G504" s="4">
        <f t="shared" si="18"/>
        <v>0</v>
      </c>
      <c r="H504" s="17"/>
      <c r="I504" s="4">
        <f t="shared" si="20"/>
        <v>349526.07999999996</v>
      </c>
      <c r="J504" s="32" t="str">
        <f t="shared" si="19"/>
        <v/>
      </c>
      <c r="K504" s="72"/>
      <c r="L504" s="72"/>
      <c r="M504" s="2"/>
      <c r="N504" s="5"/>
      <c r="O504" s="3"/>
      <c r="P504" s="6"/>
      <c r="Q504" s="48">
        <f>IF(Учет!$O504=Справочники!$F$2,Учет!$H504,0)</f>
        <v>0</v>
      </c>
      <c r="R504" s="48">
        <f>IF(Учет!$O504=Справочники!$F$3,Учет!$H504,0)</f>
        <v>0</v>
      </c>
      <c r="S504" s="48">
        <f>IF(Учет!$O504=Справочники!$F$4,Учет!$H504,0)</f>
        <v>0</v>
      </c>
      <c r="T504" s="48">
        <f>IF(Учет!$O504=Справочники!$F$5,Учет!$H504,0)</f>
        <v>0</v>
      </c>
      <c r="U504" s="48">
        <f>IF(Учет!$O504=Справочники!$F$6,Учет!$H504,0)</f>
        <v>0</v>
      </c>
      <c r="V504" s="43">
        <f>V503+Учет!Q504-Q504</f>
        <v>-488978.92000000004</v>
      </c>
      <c r="W504" s="43">
        <f>W503+Учет!R504-R504</f>
        <v>336855</v>
      </c>
      <c r="X504" s="43">
        <f>X503+Учет!S504-S504</f>
        <v>500</v>
      </c>
      <c r="Y504" s="43">
        <f>Y503+Учет!T504-T504</f>
        <v>1150</v>
      </c>
      <c r="Z504" s="43">
        <f>Z503+Учет!U504-U504</f>
        <v>500000</v>
      </c>
      <c r="AA504" s="45">
        <f>Учет!X504</f>
        <v>500</v>
      </c>
    </row>
    <row r="505" spans="1:27" ht="15" customHeight="1" x14ac:dyDescent="0.25">
      <c r="A505" s="1"/>
      <c r="B505" s="17"/>
      <c r="C505" s="17"/>
      <c r="D505" s="17"/>
      <c r="E505" s="17"/>
      <c r="F505" s="17"/>
      <c r="G505" s="4">
        <f t="shared" si="18"/>
        <v>0</v>
      </c>
      <c r="H505" s="17"/>
      <c r="I505" s="4">
        <f t="shared" si="20"/>
        <v>349526.07999999996</v>
      </c>
      <c r="J505" s="32" t="str">
        <f t="shared" si="19"/>
        <v/>
      </c>
      <c r="K505" s="72"/>
      <c r="L505" s="72"/>
      <c r="M505" s="2"/>
      <c r="N505" s="5"/>
      <c r="O505" s="3"/>
      <c r="P505" s="6"/>
      <c r="Q505" s="48">
        <f>IF(Учет!$O505=Справочники!$F$2,Учет!$H505,0)</f>
        <v>0</v>
      </c>
      <c r="R505" s="48">
        <f>IF(Учет!$O505=Справочники!$F$3,Учет!$H505,0)</f>
        <v>0</v>
      </c>
      <c r="S505" s="48">
        <f>IF(Учет!$O505=Справочники!$F$4,Учет!$H505,0)</f>
        <v>0</v>
      </c>
      <c r="T505" s="48">
        <f>IF(Учет!$O505=Справочники!$F$5,Учет!$H505,0)</f>
        <v>0</v>
      </c>
      <c r="U505" s="48">
        <f>IF(Учет!$O505=Справочники!$F$6,Учет!$H505,0)</f>
        <v>0</v>
      </c>
      <c r="V505" s="43">
        <f>V504+Учет!Q505-Q505</f>
        <v>-488978.92000000004</v>
      </c>
      <c r="W505" s="43">
        <f>W504+Учет!R505-R505</f>
        <v>336855</v>
      </c>
      <c r="X505" s="43">
        <f>X504+Учет!S505-S505</f>
        <v>500</v>
      </c>
      <c r="Y505" s="43">
        <f>Y504+Учет!T505-T505</f>
        <v>1150</v>
      </c>
      <c r="Z505" s="43">
        <f>Z504+Учет!U505-U505</f>
        <v>500000</v>
      </c>
      <c r="AA505" s="45">
        <f>Учет!X505</f>
        <v>500</v>
      </c>
    </row>
    <row r="506" spans="1:27" ht="15" customHeight="1" x14ac:dyDescent="0.25">
      <c r="A506" s="1"/>
      <c r="B506" s="17"/>
      <c r="C506" s="17"/>
      <c r="D506" s="17"/>
      <c r="E506" s="17"/>
      <c r="F506" s="17"/>
      <c r="G506" s="4">
        <f t="shared" si="18"/>
        <v>0</v>
      </c>
      <c r="H506" s="17"/>
      <c r="I506" s="4">
        <f t="shared" si="20"/>
        <v>349526.07999999996</v>
      </c>
      <c r="J506" s="32" t="str">
        <f t="shared" si="19"/>
        <v/>
      </c>
      <c r="K506" s="72"/>
      <c r="L506" s="72"/>
      <c r="M506" s="2"/>
      <c r="N506" s="5"/>
      <c r="O506" s="3"/>
      <c r="P506" s="6"/>
      <c r="Q506" s="48">
        <f>IF(Учет!$O506=Справочники!$F$2,Учет!$H506,0)</f>
        <v>0</v>
      </c>
      <c r="R506" s="48">
        <f>IF(Учет!$O506=Справочники!$F$3,Учет!$H506,0)</f>
        <v>0</v>
      </c>
      <c r="S506" s="48">
        <f>IF(Учет!$O506=Справочники!$F$4,Учет!$H506,0)</f>
        <v>0</v>
      </c>
      <c r="T506" s="48">
        <f>IF(Учет!$O506=Справочники!$F$5,Учет!$H506,0)</f>
        <v>0</v>
      </c>
      <c r="U506" s="48">
        <f>IF(Учет!$O506=Справочники!$F$6,Учет!$H506,0)</f>
        <v>0</v>
      </c>
      <c r="V506" s="43">
        <f>V505+Учет!Q506-Q506</f>
        <v>-488978.92000000004</v>
      </c>
      <c r="W506" s="43">
        <f>W505+Учет!R506-R506</f>
        <v>336855</v>
      </c>
      <c r="X506" s="43">
        <f>X505+Учет!S506-S506</f>
        <v>500</v>
      </c>
      <c r="Y506" s="43">
        <f>Y505+Учет!T506-T506</f>
        <v>1150</v>
      </c>
      <c r="Z506" s="43">
        <f>Z505+Учет!U506-U506</f>
        <v>500000</v>
      </c>
      <c r="AA506" s="45">
        <f>Учет!X506</f>
        <v>500</v>
      </c>
    </row>
    <row r="507" spans="1:27" ht="15" customHeight="1" x14ac:dyDescent="0.25">
      <c r="A507" s="1"/>
      <c r="B507" s="17"/>
      <c r="C507" s="17"/>
      <c r="D507" s="17"/>
      <c r="E507" s="17"/>
      <c r="F507" s="17"/>
      <c r="G507" s="4">
        <f t="shared" si="18"/>
        <v>0</v>
      </c>
      <c r="H507" s="17"/>
      <c r="I507" s="4">
        <f t="shared" si="20"/>
        <v>349526.07999999996</v>
      </c>
      <c r="J507" s="32" t="str">
        <f t="shared" si="19"/>
        <v/>
      </c>
      <c r="K507" s="72"/>
      <c r="L507" s="72"/>
      <c r="M507" s="2"/>
      <c r="N507" s="5"/>
      <c r="O507" s="3"/>
      <c r="P507" s="6"/>
      <c r="Q507" s="48">
        <f>IF(Учет!$O507=Справочники!$F$2,Учет!$H507,0)</f>
        <v>0</v>
      </c>
      <c r="R507" s="48">
        <f>IF(Учет!$O507=Справочники!$F$3,Учет!$H507,0)</f>
        <v>0</v>
      </c>
      <c r="S507" s="48">
        <f>IF(Учет!$O507=Справочники!$F$4,Учет!$H507,0)</f>
        <v>0</v>
      </c>
      <c r="T507" s="48">
        <f>IF(Учет!$O507=Справочники!$F$5,Учет!$H507,0)</f>
        <v>0</v>
      </c>
      <c r="U507" s="48">
        <f>IF(Учет!$O507=Справочники!$F$6,Учет!$H507,0)</f>
        <v>0</v>
      </c>
      <c r="V507" s="43">
        <f>V506+Учет!Q507-Q507</f>
        <v>-488978.92000000004</v>
      </c>
      <c r="W507" s="43">
        <f>W506+Учет!R507-R507</f>
        <v>336855</v>
      </c>
      <c r="X507" s="43">
        <f>X506+Учет!S507-S507</f>
        <v>500</v>
      </c>
      <c r="Y507" s="43">
        <f>Y506+Учет!T507-T507</f>
        <v>1150</v>
      </c>
      <c r="Z507" s="43">
        <f>Z506+Учет!U507-U507</f>
        <v>500000</v>
      </c>
      <c r="AA507" s="45">
        <f>Учет!X507</f>
        <v>500</v>
      </c>
    </row>
    <row r="508" spans="1:27" ht="15" customHeight="1" x14ac:dyDescent="0.25">
      <c r="A508" s="1"/>
      <c r="B508" s="17"/>
      <c r="C508" s="17"/>
      <c r="D508" s="17"/>
      <c r="E508" s="17"/>
      <c r="F508" s="17"/>
      <c r="G508" s="4">
        <f t="shared" si="18"/>
        <v>0</v>
      </c>
      <c r="H508" s="17"/>
      <c r="I508" s="4">
        <f t="shared" si="20"/>
        <v>349526.07999999996</v>
      </c>
      <c r="J508" s="32" t="str">
        <f t="shared" si="19"/>
        <v/>
      </c>
      <c r="K508" s="72"/>
      <c r="L508" s="72"/>
      <c r="M508" s="2"/>
      <c r="N508" s="5"/>
      <c r="O508" s="3"/>
      <c r="P508" s="6"/>
      <c r="Q508" s="48">
        <f>IF(Учет!$O508=Справочники!$F$2,Учет!$H508,0)</f>
        <v>0</v>
      </c>
      <c r="R508" s="48">
        <f>IF(Учет!$O508=Справочники!$F$3,Учет!$H508,0)</f>
        <v>0</v>
      </c>
      <c r="S508" s="48">
        <f>IF(Учет!$O508=Справочники!$F$4,Учет!$H508,0)</f>
        <v>0</v>
      </c>
      <c r="T508" s="48">
        <f>IF(Учет!$O508=Справочники!$F$5,Учет!$H508,0)</f>
        <v>0</v>
      </c>
      <c r="U508" s="48">
        <f>IF(Учет!$O508=Справочники!$F$6,Учет!$H508,0)</f>
        <v>0</v>
      </c>
      <c r="V508" s="43">
        <f>V507+Учет!Q508-Q508</f>
        <v>-488978.92000000004</v>
      </c>
      <c r="W508" s="43">
        <f>W507+Учет!R508-R508</f>
        <v>336855</v>
      </c>
      <c r="X508" s="43">
        <f>X507+Учет!S508-S508</f>
        <v>500</v>
      </c>
      <c r="Y508" s="43">
        <f>Y507+Учет!T508-T508</f>
        <v>1150</v>
      </c>
      <c r="Z508" s="43">
        <f>Z507+Учет!U508-U508</f>
        <v>500000</v>
      </c>
      <c r="AA508" s="45">
        <f>Учет!X508</f>
        <v>500</v>
      </c>
    </row>
    <row r="509" spans="1:27" ht="15" customHeight="1" x14ac:dyDescent="0.25">
      <c r="A509" s="1"/>
      <c r="B509" s="17"/>
      <c r="C509" s="17"/>
      <c r="D509" s="17"/>
      <c r="E509" s="17"/>
      <c r="F509" s="17"/>
      <c r="G509" s="4">
        <f t="shared" si="18"/>
        <v>0</v>
      </c>
      <c r="H509" s="17"/>
      <c r="I509" s="4">
        <f t="shared" si="20"/>
        <v>349526.07999999996</v>
      </c>
      <c r="J509" s="32" t="str">
        <f t="shared" si="19"/>
        <v/>
      </c>
      <c r="K509" s="72"/>
      <c r="L509" s="72"/>
      <c r="M509" s="2"/>
      <c r="N509" s="5"/>
      <c r="O509" s="3"/>
      <c r="P509" s="6"/>
      <c r="Q509" s="48">
        <f>IF(Учет!$O509=Справочники!$F$2,Учет!$H509,0)</f>
        <v>0</v>
      </c>
      <c r="R509" s="48">
        <f>IF(Учет!$O509=Справочники!$F$3,Учет!$H509,0)</f>
        <v>0</v>
      </c>
      <c r="S509" s="48">
        <f>IF(Учет!$O509=Справочники!$F$4,Учет!$H509,0)</f>
        <v>0</v>
      </c>
      <c r="T509" s="48">
        <f>IF(Учет!$O509=Справочники!$F$5,Учет!$H509,0)</f>
        <v>0</v>
      </c>
      <c r="U509" s="48">
        <f>IF(Учет!$O509=Справочники!$F$6,Учет!$H509,0)</f>
        <v>0</v>
      </c>
      <c r="V509" s="43">
        <f>V508+Учет!Q509-Q509</f>
        <v>-488978.92000000004</v>
      </c>
      <c r="W509" s="43">
        <f>W508+Учет!R509-R509</f>
        <v>336855</v>
      </c>
      <c r="X509" s="43">
        <f>X508+Учет!S509-S509</f>
        <v>500</v>
      </c>
      <c r="Y509" s="43">
        <f>Y508+Учет!T509-T509</f>
        <v>1150</v>
      </c>
      <c r="Z509" s="43">
        <f>Z508+Учет!U509-U509</f>
        <v>500000</v>
      </c>
      <c r="AA509" s="45">
        <f>Учет!X509</f>
        <v>500</v>
      </c>
    </row>
    <row r="510" spans="1:27" ht="15" customHeight="1" x14ac:dyDescent="0.25">
      <c r="A510" s="1"/>
      <c r="B510" s="17"/>
      <c r="C510" s="17"/>
      <c r="D510" s="17"/>
      <c r="E510" s="17"/>
      <c r="F510" s="17"/>
      <c r="G510" s="4">
        <f t="shared" si="18"/>
        <v>0</v>
      </c>
      <c r="H510" s="17"/>
      <c r="I510" s="4">
        <f t="shared" si="20"/>
        <v>349526.07999999996</v>
      </c>
      <c r="J510" s="32" t="str">
        <f t="shared" si="19"/>
        <v/>
      </c>
      <c r="K510" s="72"/>
      <c r="L510" s="72"/>
      <c r="M510" s="2"/>
      <c r="N510" s="5"/>
      <c r="O510" s="3"/>
      <c r="P510" s="6"/>
      <c r="Q510" s="48">
        <f>IF(Учет!$O510=Справочники!$F$2,Учет!$H510,0)</f>
        <v>0</v>
      </c>
      <c r="R510" s="48">
        <f>IF(Учет!$O510=Справочники!$F$3,Учет!$H510,0)</f>
        <v>0</v>
      </c>
      <c r="S510" s="48">
        <f>IF(Учет!$O510=Справочники!$F$4,Учет!$H510,0)</f>
        <v>0</v>
      </c>
      <c r="T510" s="48">
        <f>IF(Учет!$O510=Справочники!$F$5,Учет!$H510,0)</f>
        <v>0</v>
      </c>
      <c r="U510" s="48">
        <f>IF(Учет!$O510=Справочники!$F$6,Учет!$H510,0)</f>
        <v>0</v>
      </c>
      <c r="V510" s="43">
        <f>V509+Учет!Q510-Q510</f>
        <v>-488978.92000000004</v>
      </c>
      <c r="W510" s="43">
        <f>W509+Учет!R510-R510</f>
        <v>336855</v>
      </c>
      <c r="X510" s="43">
        <f>X509+Учет!S510-S510</f>
        <v>500</v>
      </c>
      <c r="Y510" s="43">
        <f>Y509+Учет!T510-T510</f>
        <v>1150</v>
      </c>
      <c r="Z510" s="43">
        <f>Z509+Учет!U510-U510</f>
        <v>500000</v>
      </c>
      <c r="AA510" s="45">
        <f>Учет!X510</f>
        <v>500</v>
      </c>
    </row>
    <row r="511" spans="1:27" ht="15" customHeight="1" x14ac:dyDescent="0.25">
      <c r="A511" s="1"/>
      <c r="B511" s="17"/>
      <c r="C511" s="17"/>
      <c r="D511" s="17"/>
      <c r="E511" s="17"/>
      <c r="F511" s="17"/>
      <c r="G511" s="4">
        <f t="shared" si="18"/>
        <v>0</v>
      </c>
      <c r="H511" s="17"/>
      <c r="I511" s="4">
        <f t="shared" si="20"/>
        <v>349526.07999999996</v>
      </c>
      <c r="J511" s="32" t="str">
        <f t="shared" si="19"/>
        <v/>
      </c>
      <c r="K511" s="72"/>
      <c r="L511" s="72"/>
      <c r="M511" s="2"/>
      <c r="N511" s="5"/>
      <c r="O511" s="3"/>
      <c r="P511" s="6"/>
      <c r="Q511" s="48">
        <f>IF(Учет!$O511=Справочники!$F$2,Учет!$H511,0)</f>
        <v>0</v>
      </c>
      <c r="R511" s="48">
        <f>IF(Учет!$O511=Справочники!$F$3,Учет!$H511,0)</f>
        <v>0</v>
      </c>
      <c r="S511" s="48">
        <f>IF(Учет!$O511=Справочники!$F$4,Учет!$H511,0)</f>
        <v>0</v>
      </c>
      <c r="T511" s="48">
        <f>IF(Учет!$O511=Справочники!$F$5,Учет!$H511,0)</f>
        <v>0</v>
      </c>
      <c r="U511" s="48">
        <f>IF(Учет!$O511=Справочники!$F$6,Учет!$H511,0)</f>
        <v>0</v>
      </c>
      <c r="V511" s="43">
        <f>V510+Учет!Q511-Q511</f>
        <v>-488978.92000000004</v>
      </c>
      <c r="W511" s="43">
        <f>W510+Учет!R511-R511</f>
        <v>336855</v>
      </c>
      <c r="X511" s="43">
        <f>X510+Учет!S511-S511</f>
        <v>500</v>
      </c>
      <c r="Y511" s="43">
        <f>Y510+Учет!T511-T511</f>
        <v>1150</v>
      </c>
      <c r="Z511" s="43">
        <f>Z510+Учет!U511-U511</f>
        <v>500000</v>
      </c>
      <c r="AA511" s="45">
        <f>Учет!X511</f>
        <v>500</v>
      </c>
    </row>
    <row r="512" spans="1:27" ht="15" customHeight="1" x14ac:dyDescent="0.25">
      <c r="A512" s="1"/>
      <c r="B512" s="17"/>
      <c r="C512" s="17"/>
      <c r="D512" s="17"/>
      <c r="E512" s="17"/>
      <c r="F512" s="17"/>
      <c r="G512" s="4">
        <f t="shared" si="18"/>
        <v>0</v>
      </c>
      <c r="H512" s="17"/>
      <c r="I512" s="4">
        <f t="shared" si="20"/>
        <v>349526.07999999996</v>
      </c>
      <c r="J512" s="32" t="str">
        <f t="shared" si="19"/>
        <v/>
      </c>
      <c r="K512" s="72"/>
      <c r="L512" s="72"/>
      <c r="M512" s="2"/>
      <c r="N512" s="5"/>
      <c r="O512" s="3"/>
      <c r="P512" s="6"/>
      <c r="Q512" s="48">
        <f>IF(Учет!$O512=Справочники!$F$2,Учет!$H512,0)</f>
        <v>0</v>
      </c>
      <c r="R512" s="48">
        <f>IF(Учет!$O512=Справочники!$F$3,Учет!$H512,0)</f>
        <v>0</v>
      </c>
      <c r="S512" s="48">
        <f>IF(Учет!$O512=Справочники!$F$4,Учет!$H512,0)</f>
        <v>0</v>
      </c>
      <c r="T512" s="48">
        <f>IF(Учет!$O512=Справочники!$F$5,Учет!$H512,0)</f>
        <v>0</v>
      </c>
      <c r="U512" s="48">
        <f>IF(Учет!$O512=Справочники!$F$6,Учет!$H512,0)</f>
        <v>0</v>
      </c>
      <c r="V512" s="43">
        <f>V511+Учет!Q512-Q512</f>
        <v>-488978.92000000004</v>
      </c>
      <c r="W512" s="43">
        <f>W511+Учет!R512-R512</f>
        <v>336855</v>
      </c>
      <c r="X512" s="43">
        <f>X511+Учет!S512-S512</f>
        <v>500</v>
      </c>
      <c r="Y512" s="43">
        <f>Y511+Учет!T512-T512</f>
        <v>1150</v>
      </c>
      <c r="Z512" s="43">
        <f>Z511+Учет!U512-U512</f>
        <v>500000</v>
      </c>
      <c r="AA512" s="45">
        <f>Учет!X512</f>
        <v>500</v>
      </c>
    </row>
    <row r="513" spans="1:27" ht="15" customHeight="1" x14ac:dyDescent="0.25">
      <c r="A513" s="1"/>
      <c r="B513" s="17"/>
      <c r="C513" s="17"/>
      <c r="D513" s="17"/>
      <c r="E513" s="17"/>
      <c r="F513" s="17"/>
      <c r="G513" s="4">
        <f t="shared" si="18"/>
        <v>0</v>
      </c>
      <c r="H513" s="17"/>
      <c r="I513" s="4">
        <f t="shared" si="20"/>
        <v>349526.07999999996</v>
      </c>
      <c r="J513" s="32" t="str">
        <f t="shared" si="19"/>
        <v/>
      </c>
      <c r="K513" s="72"/>
      <c r="L513" s="72"/>
      <c r="M513" s="2"/>
      <c r="N513" s="5"/>
      <c r="O513" s="3"/>
      <c r="P513" s="6"/>
      <c r="Q513" s="48">
        <f>IF(Учет!$O513=Справочники!$F$2,Учет!$H513,0)</f>
        <v>0</v>
      </c>
      <c r="R513" s="48">
        <f>IF(Учет!$O513=Справочники!$F$3,Учет!$H513,0)</f>
        <v>0</v>
      </c>
      <c r="S513" s="48">
        <f>IF(Учет!$O513=Справочники!$F$4,Учет!$H513,0)</f>
        <v>0</v>
      </c>
      <c r="T513" s="48">
        <f>IF(Учет!$O513=Справочники!$F$5,Учет!$H513,0)</f>
        <v>0</v>
      </c>
      <c r="U513" s="48">
        <f>IF(Учет!$O513=Справочники!$F$6,Учет!$H513,0)</f>
        <v>0</v>
      </c>
      <c r="V513" s="43">
        <f>V512+Учет!Q513-Q513</f>
        <v>-488978.92000000004</v>
      </c>
      <c r="W513" s="43">
        <f>W512+Учет!R513-R513</f>
        <v>336855</v>
      </c>
      <c r="X513" s="43">
        <f>X512+Учет!S513-S513</f>
        <v>500</v>
      </c>
      <c r="Y513" s="43">
        <f>Y512+Учет!T513-T513</f>
        <v>1150</v>
      </c>
      <c r="Z513" s="43">
        <f>Z512+Учет!U513-U513</f>
        <v>500000</v>
      </c>
      <c r="AA513" s="45">
        <f>Учет!X513</f>
        <v>500</v>
      </c>
    </row>
    <row r="514" spans="1:27" ht="15" customHeight="1" x14ac:dyDescent="0.25">
      <c r="A514" s="1"/>
      <c r="B514" s="17"/>
      <c r="C514" s="17"/>
      <c r="D514" s="17"/>
      <c r="E514" s="17"/>
      <c r="F514" s="17"/>
      <c r="G514" s="4">
        <f t="shared" ref="G514:G577" si="21">SUM($B514:$F514)</f>
        <v>0</v>
      </c>
      <c r="H514" s="17"/>
      <c r="I514" s="4">
        <f t="shared" si="20"/>
        <v>349526.07999999996</v>
      </c>
      <c r="J514" s="32" t="str">
        <f t="shared" ref="J514:J577" si="22">IF($A515&lt;&gt;$A514,$I514,"")</f>
        <v/>
      </c>
      <c r="K514" s="72"/>
      <c r="L514" s="72"/>
      <c r="M514" s="2"/>
      <c r="N514" s="5"/>
      <c r="O514" s="3"/>
      <c r="P514" s="6"/>
      <c r="Q514" s="48">
        <f>IF(Учет!$O514=Справочники!$F$2,Учет!$H514,0)</f>
        <v>0</v>
      </c>
      <c r="R514" s="48">
        <f>IF(Учет!$O514=Справочники!$F$3,Учет!$H514,0)</f>
        <v>0</v>
      </c>
      <c r="S514" s="48">
        <f>IF(Учет!$O514=Справочники!$F$4,Учет!$H514,0)</f>
        <v>0</v>
      </c>
      <c r="T514" s="48">
        <f>IF(Учет!$O514=Справочники!$F$5,Учет!$H514,0)</f>
        <v>0</v>
      </c>
      <c r="U514" s="48">
        <f>IF(Учет!$O514=Справочники!$F$6,Учет!$H514,0)</f>
        <v>0</v>
      </c>
      <c r="V514" s="43">
        <f>V513+Учет!Q514-Q514</f>
        <v>-488978.92000000004</v>
      </c>
      <c r="W514" s="43">
        <f>W513+Учет!R514-R514</f>
        <v>336855</v>
      </c>
      <c r="X514" s="43">
        <f>X513+Учет!S514-S514</f>
        <v>500</v>
      </c>
      <c r="Y514" s="43">
        <f>Y513+Учет!T514-T514</f>
        <v>1150</v>
      </c>
      <c r="Z514" s="43">
        <f>Z513+Учет!U514-U514</f>
        <v>500000</v>
      </c>
      <c r="AA514" s="45">
        <f>Учет!X514</f>
        <v>500</v>
      </c>
    </row>
    <row r="515" spans="1:27" ht="15" customHeight="1" x14ac:dyDescent="0.25">
      <c r="A515" s="1"/>
      <c r="B515" s="17"/>
      <c r="C515" s="17"/>
      <c r="D515" s="17"/>
      <c r="E515" s="17"/>
      <c r="F515" s="17"/>
      <c r="G515" s="4">
        <f t="shared" si="21"/>
        <v>0</v>
      </c>
      <c r="H515" s="17"/>
      <c r="I515" s="4">
        <f t="shared" ref="I515:I578" si="23">$I514+$G515-$H515</f>
        <v>349526.07999999996</v>
      </c>
      <c r="J515" s="32" t="str">
        <f t="shared" si="22"/>
        <v/>
      </c>
      <c r="K515" s="72"/>
      <c r="L515" s="72"/>
      <c r="M515" s="2"/>
      <c r="N515" s="5"/>
      <c r="O515" s="3"/>
      <c r="P515" s="6"/>
      <c r="Q515" s="48">
        <f>IF(Учет!$O515=Справочники!$F$2,Учет!$H515,0)</f>
        <v>0</v>
      </c>
      <c r="R515" s="48">
        <f>IF(Учет!$O515=Справочники!$F$3,Учет!$H515,0)</f>
        <v>0</v>
      </c>
      <c r="S515" s="48">
        <f>IF(Учет!$O515=Справочники!$F$4,Учет!$H515,0)</f>
        <v>0</v>
      </c>
      <c r="T515" s="48">
        <f>IF(Учет!$O515=Справочники!$F$5,Учет!$H515,0)</f>
        <v>0</v>
      </c>
      <c r="U515" s="48">
        <f>IF(Учет!$O515=Справочники!$F$6,Учет!$H515,0)</f>
        <v>0</v>
      </c>
      <c r="V515" s="43">
        <f>V514+Учет!Q515-Q515</f>
        <v>-488978.92000000004</v>
      </c>
      <c r="W515" s="43">
        <f>W514+Учет!R515-R515</f>
        <v>336855</v>
      </c>
      <c r="X515" s="43">
        <f>X514+Учет!S515-S515</f>
        <v>500</v>
      </c>
      <c r="Y515" s="43">
        <f>Y514+Учет!T515-T515</f>
        <v>1150</v>
      </c>
      <c r="Z515" s="43">
        <f>Z514+Учет!U515-U515</f>
        <v>500000</v>
      </c>
      <c r="AA515" s="45">
        <f>Учет!X515</f>
        <v>500</v>
      </c>
    </row>
    <row r="516" spans="1:27" ht="15" customHeight="1" x14ac:dyDescent="0.25">
      <c r="A516" s="1"/>
      <c r="B516" s="17"/>
      <c r="C516" s="17"/>
      <c r="D516" s="17"/>
      <c r="E516" s="17"/>
      <c r="F516" s="17"/>
      <c r="G516" s="4">
        <f t="shared" si="21"/>
        <v>0</v>
      </c>
      <c r="H516" s="17"/>
      <c r="I516" s="4">
        <f t="shared" si="23"/>
        <v>349526.07999999996</v>
      </c>
      <c r="J516" s="32" t="str">
        <f t="shared" si="22"/>
        <v/>
      </c>
      <c r="K516" s="72"/>
      <c r="L516" s="72"/>
      <c r="M516" s="2"/>
      <c r="N516" s="5"/>
      <c r="O516" s="3"/>
      <c r="P516" s="6"/>
      <c r="Q516" s="48">
        <f>IF(Учет!$O516=Справочники!$F$2,Учет!$H516,0)</f>
        <v>0</v>
      </c>
      <c r="R516" s="48">
        <f>IF(Учет!$O516=Справочники!$F$3,Учет!$H516,0)</f>
        <v>0</v>
      </c>
      <c r="S516" s="48">
        <f>IF(Учет!$O516=Справочники!$F$4,Учет!$H516,0)</f>
        <v>0</v>
      </c>
      <c r="T516" s="48">
        <f>IF(Учет!$O516=Справочники!$F$5,Учет!$H516,0)</f>
        <v>0</v>
      </c>
      <c r="U516" s="48">
        <f>IF(Учет!$O516=Справочники!$F$6,Учет!$H516,0)</f>
        <v>0</v>
      </c>
      <c r="V516" s="43">
        <f>V515+Учет!Q516-Q516</f>
        <v>-488978.92000000004</v>
      </c>
      <c r="W516" s="43">
        <f>W515+Учет!R516-R516</f>
        <v>336855</v>
      </c>
      <c r="X516" s="43">
        <f>X515+Учет!S516-S516</f>
        <v>500</v>
      </c>
      <c r="Y516" s="43">
        <f>Y515+Учет!T516-T516</f>
        <v>1150</v>
      </c>
      <c r="Z516" s="43">
        <f>Z515+Учет!U516-U516</f>
        <v>500000</v>
      </c>
      <c r="AA516" s="45">
        <f>Учет!X516</f>
        <v>500</v>
      </c>
    </row>
    <row r="517" spans="1:27" ht="15" customHeight="1" x14ac:dyDescent="0.25">
      <c r="A517" s="1"/>
      <c r="B517" s="17"/>
      <c r="C517" s="17"/>
      <c r="D517" s="17"/>
      <c r="E517" s="17"/>
      <c r="F517" s="17"/>
      <c r="G517" s="4">
        <f t="shared" si="21"/>
        <v>0</v>
      </c>
      <c r="H517" s="17"/>
      <c r="I517" s="4">
        <f t="shared" si="23"/>
        <v>349526.07999999996</v>
      </c>
      <c r="J517" s="32" t="str">
        <f t="shared" si="22"/>
        <v/>
      </c>
      <c r="K517" s="72"/>
      <c r="L517" s="72"/>
      <c r="M517" s="2"/>
      <c r="N517" s="5"/>
      <c r="O517" s="3"/>
      <c r="P517" s="6"/>
      <c r="Q517" s="48">
        <f>IF(Учет!$O517=Справочники!$F$2,Учет!$H517,0)</f>
        <v>0</v>
      </c>
      <c r="R517" s="48">
        <f>IF(Учет!$O517=Справочники!$F$3,Учет!$H517,0)</f>
        <v>0</v>
      </c>
      <c r="S517" s="48">
        <f>IF(Учет!$O517=Справочники!$F$4,Учет!$H517,0)</f>
        <v>0</v>
      </c>
      <c r="T517" s="48">
        <f>IF(Учет!$O517=Справочники!$F$5,Учет!$H517,0)</f>
        <v>0</v>
      </c>
      <c r="U517" s="48">
        <f>IF(Учет!$O517=Справочники!$F$6,Учет!$H517,0)</f>
        <v>0</v>
      </c>
      <c r="V517" s="43">
        <f>V516+Учет!Q517-Q517</f>
        <v>-488978.92000000004</v>
      </c>
      <c r="W517" s="43">
        <f>W516+Учет!R517-R517</f>
        <v>336855</v>
      </c>
      <c r="X517" s="43">
        <f>X516+Учет!S517-S517</f>
        <v>500</v>
      </c>
      <c r="Y517" s="43">
        <f>Y516+Учет!T517-T517</f>
        <v>1150</v>
      </c>
      <c r="Z517" s="43">
        <f>Z516+Учет!U517-U517</f>
        <v>500000</v>
      </c>
      <c r="AA517" s="45">
        <f>Учет!X517</f>
        <v>500</v>
      </c>
    </row>
    <row r="518" spans="1:27" ht="15" customHeight="1" x14ac:dyDescent="0.25">
      <c r="A518" s="1"/>
      <c r="B518" s="17"/>
      <c r="C518" s="17"/>
      <c r="D518" s="17"/>
      <c r="E518" s="17"/>
      <c r="F518" s="17"/>
      <c r="G518" s="4">
        <f t="shared" si="21"/>
        <v>0</v>
      </c>
      <c r="H518" s="17"/>
      <c r="I518" s="4">
        <f t="shared" si="23"/>
        <v>349526.07999999996</v>
      </c>
      <c r="J518" s="32" t="str">
        <f t="shared" si="22"/>
        <v/>
      </c>
      <c r="K518" s="72"/>
      <c r="L518" s="72"/>
      <c r="M518" s="2"/>
      <c r="N518" s="5"/>
      <c r="O518" s="3"/>
      <c r="P518" s="6"/>
      <c r="Q518" s="48">
        <f>IF(Учет!$O518=Справочники!$F$2,Учет!$H518,0)</f>
        <v>0</v>
      </c>
      <c r="R518" s="48">
        <f>IF(Учет!$O518=Справочники!$F$3,Учет!$H518,0)</f>
        <v>0</v>
      </c>
      <c r="S518" s="48">
        <f>IF(Учет!$O518=Справочники!$F$4,Учет!$H518,0)</f>
        <v>0</v>
      </c>
      <c r="T518" s="48">
        <f>IF(Учет!$O518=Справочники!$F$5,Учет!$H518,0)</f>
        <v>0</v>
      </c>
      <c r="U518" s="48">
        <f>IF(Учет!$O518=Справочники!$F$6,Учет!$H518,0)</f>
        <v>0</v>
      </c>
      <c r="V518" s="43">
        <f>V517+Учет!Q518-Q518</f>
        <v>-488978.92000000004</v>
      </c>
      <c r="W518" s="43">
        <f>W517+Учет!R518-R518</f>
        <v>336855</v>
      </c>
      <c r="X518" s="43">
        <f>X517+Учет!S518-S518</f>
        <v>500</v>
      </c>
      <c r="Y518" s="43">
        <f>Y517+Учет!T518-T518</f>
        <v>1150</v>
      </c>
      <c r="Z518" s="43">
        <f>Z517+Учет!U518-U518</f>
        <v>500000</v>
      </c>
      <c r="AA518" s="45">
        <f>Учет!X518</f>
        <v>500</v>
      </c>
    </row>
    <row r="519" spans="1:27" ht="15" customHeight="1" x14ac:dyDescent="0.25">
      <c r="A519" s="1"/>
      <c r="B519" s="17"/>
      <c r="C519" s="17"/>
      <c r="D519" s="17"/>
      <c r="E519" s="17"/>
      <c r="F519" s="17"/>
      <c r="G519" s="4">
        <f t="shared" si="21"/>
        <v>0</v>
      </c>
      <c r="H519" s="17"/>
      <c r="I519" s="4">
        <f t="shared" si="23"/>
        <v>349526.07999999996</v>
      </c>
      <c r="J519" s="32" t="str">
        <f t="shared" si="22"/>
        <v/>
      </c>
      <c r="K519" s="72"/>
      <c r="L519" s="72"/>
      <c r="M519" s="2"/>
      <c r="N519" s="5"/>
      <c r="O519" s="3"/>
      <c r="P519" s="6"/>
      <c r="Q519" s="48">
        <f>IF(Учет!$O519=Справочники!$F$2,Учет!$H519,0)</f>
        <v>0</v>
      </c>
      <c r="R519" s="48">
        <f>IF(Учет!$O519=Справочники!$F$3,Учет!$H519,0)</f>
        <v>0</v>
      </c>
      <c r="S519" s="48">
        <f>IF(Учет!$O519=Справочники!$F$4,Учет!$H519,0)</f>
        <v>0</v>
      </c>
      <c r="T519" s="48">
        <f>IF(Учет!$O519=Справочники!$F$5,Учет!$H519,0)</f>
        <v>0</v>
      </c>
      <c r="U519" s="48">
        <f>IF(Учет!$O519=Справочники!$F$6,Учет!$H519,0)</f>
        <v>0</v>
      </c>
      <c r="V519" s="43">
        <f>V518+Учет!Q519-Q519</f>
        <v>-488978.92000000004</v>
      </c>
      <c r="W519" s="43">
        <f>W518+Учет!R519-R519</f>
        <v>336855</v>
      </c>
      <c r="X519" s="43">
        <f>X518+Учет!S519-S519</f>
        <v>500</v>
      </c>
      <c r="Y519" s="43">
        <f>Y518+Учет!T519-T519</f>
        <v>1150</v>
      </c>
      <c r="Z519" s="43">
        <f>Z518+Учет!U519-U519</f>
        <v>500000</v>
      </c>
      <c r="AA519" s="45">
        <f>Учет!X519</f>
        <v>500</v>
      </c>
    </row>
    <row r="520" spans="1:27" ht="15" customHeight="1" x14ac:dyDescent="0.25">
      <c r="A520" s="1"/>
      <c r="B520" s="17"/>
      <c r="C520" s="17"/>
      <c r="D520" s="17"/>
      <c r="E520" s="17"/>
      <c r="F520" s="17"/>
      <c r="G520" s="4">
        <f t="shared" si="21"/>
        <v>0</v>
      </c>
      <c r="H520" s="17"/>
      <c r="I520" s="4">
        <f t="shared" si="23"/>
        <v>349526.07999999996</v>
      </c>
      <c r="J520" s="32" t="str">
        <f t="shared" si="22"/>
        <v/>
      </c>
      <c r="K520" s="72"/>
      <c r="L520" s="72"/>
      <c r="M520" s="2"/>
      <c r="N520" s="5"/>
      <c r="O520" s="3"/>
      <c r="P520" s="6"/>
      <c r="Q520" s="48">
        <f>IF(Учет!$O520=Справочники!$F$2,Учет!$H520,0)</f>
        <v>0</v>
      </c>
      <c r="R520" s="48">
        <f>IF(Учет!$O520=Справочники!$F$3,Учет!$H520,0)</f>
        <v>0</v>
      </c>
      <c r="S520" s="48">
        <f>IF(Учет!$O520=Справочники!$F$4,Учет!$H520,0)</f>
        <v>0</v>
      </c>
      <c r="T520" s="48">
        <f>IF(Учет!$O520=Справочники!$F$5,Учет!$H520,0)</f>
        <v>0</v>
      </c>
      <c r="U520" s="48">
        <f>IF(Учет!$O520=Справочники!$F$6,Учет!$H520,0)</f>
        <v>0</v>
      </c>
      <c r="V520" s="43">
        <f>V519+Учет!Q520-Q520</f>
        <v>-488978.92000000004</v>
      </c>
      <c r="W520" s="43">
        <f>W519+Учет!R520-R520</f>
        <v>336855</v>
      </c>
      <c r="X520" s="43">
        <f>X519+Учет!S520-S520</f>
        <v>500</v>
      </c>
      <c r="Y520" s="43">
        <f>Y519+Учет!T520-T520</f>
        <v>1150</v>
      </c>
      <c r="Z520" s="43">
        <f>Z519+Учет!U520-U520</f>
        <v>500000</v>
      </c>
      <c r="AA520" s="45">
        <f>Учет!X520</f>
        <v>500</v>
      </c>
    </row>
    <row r="521" spans="1:27" ht="15" customHeight="1" x14ac:dyDescent="0.25">
      <c r="A521" s="1"/>
      <c r="B521" s="17"/>
      <c r="C521" s="17"/>
      <c r="D521" s="17"/>
      <c r="E521" s="17"/>
      <c r="F521" s="17"/>
      <c r="G521" s="4">
        <f t="shared" si="21"/>
        <v>0</v>
      </c>
      <c r="H521" s="17"/>
      <c r="I521" s="4">
        <f t="shared" si="23"/>
        <v>349526.07999999996</v>
      </c>
      <c r="J521" s="32" t="str">
        <f t="shared" si="22"/>
        <v/>
      </c>
      <c r="K521" s="72"/>
      <c r="L521" s="72"/>
      <c r="M521" s="2"/>
      <c r="N521" s="5"/>
      <c r="O521" s="3"/>
      <c r="P521" s="6"/>
      <c r="Q521" s="48">
        <f>IF(Учет!$O521=Справочники!$F$2,Учет!$H521,0)</f>
        <v>0</v>
      </c>
      <c r="R521" s="48">
        <f>IF(Учет!$O521=Справочники!$F$3,Учет!$H521,0)</f>
        <v>0</v>
      </c>
      <c r="S521" s="48">
        <f>IF(Учет!$O521=Справочники!$F$4,Учет!$H521,0)</f>
        <v>0</v>
      </c>
      <c r="T521" s="48">
        <f>IF(Учет!$O521=Справочники!$F$5,Учет!$H521,0)</f>
        <v>0</v>
      </c>
      <c r="U521" s="48">
        <f>IF(Учет!$O521=Справочники!$F$6,Учет!$H521,0)</f>
        <v>0</v>
      </c>
      <c r="V521" s="43">
        <f>V520+Учет!Q521-Q521</f>
        <v>-488978.92000000004</v>
      </c>
      <c r="W521" s="43">
        <f>W520+Учет!R521-R521</f>
        <v>336855</v>
      </c>
      <c r="X521" s="43">
        <f>X520+Учет!S521-S521</f>
        <v>500</v>
      </c>
      <c r="Y521" s="43">
        <f>Y520+Учет!T521-T521</f>
        <v>1150</v>
      </c>
      <c r="Z521" s="43">
        <f>Z520+Учет!U521-U521</f>
        <v>500000</v>
      </c>
      <c r="AA521" s="45">
        <f>Учет!X521</f>
        <v>500</v>
      </c>
    </row>
    <row r="522" spans="1:27" ht="15" customHeight="1" x14ac:dyDescent="0.25">
      <c r="A522" s="1"/>
      <c r="B522" s="17"/>
      <c r="C522" s="17"/>
      <c r="D522" s="17"/>
      <c r="E522" s="17"/>
      <c r="F522" s="17"/>
      <c r="G522" s="4">
        <f t="shared" si="21"/>
        <v>0</v>
      </c>
      <c r="H522" s="17"/>
      <c r="I522" s="4">
        <f t="shared" si="23"/>
        <v>349526.07999999996</v>
      </c>
      <c r="J522" s="32" t="str">
        <f t="shared" si="22"/>
        <v/>
      </c>
      <c r="K522" s="72"/>
      <c r="L522" s="72"/>
      <c r="M522" s="2"/>
      <c r="N522" s="5"/>
      <c r="O522" s="3"/>
      <c r="P522" s="6"/>
      <c r="Q522" s="48">
        <f>IF(Учет!$O522=Справочники!$F$2,Учет!$H522,0)</f>
        <v>0</v>
      </c>
      <c r="R522" s="48">
        <f>IF(Учет!$O522=Справочники!$F$3,Учет!$H522,0)</f>
        <v>0</v>
      </c>
      <c r="S522" s="48">
        <f>IF(Учет!$O522=Справочники!$F$4,Учет!$H522,0)</f>
        <v>0</v>
      </c>
      <c r="T522" s="48">
        <f>IF(Учет!$O522=Справочники!$F$5,Учет!$H522,0)</f>
        <v>0</v>
      </c>
      <c r="U522" s="48">
        <f>IF(Учет!$O522=Справочники!$F$6,Учет!$H522,0)</f>
        <v>0</v>
      </c>
      <c r="V522" s="43">
        <f>V521+Учет!Q522-Q522</f>
        <v>-488978.92000000004</v>
      </c>
      <c r="W522" s="43">
        <f>W521+Учет!R522-R522</f>
        <v>336855</v>
      </c>
      <c r="X522" s="43">
        <f>X521+Учет!S522-S522</f>
        <v>500</v>
      </c>
      <c r="Y522" s="43">
        <f>Y521+Учет!T522-T522</f>
        <v>1150</v>
      </c>
      <c r="Z522" s="43">
        <f>Z521+Учет!U522-U522</f>
        <v>500000</v>
      </c>
      <c r="AA522" s="45">
        <f>Учет!X522</f>
        <v>500</v>
      </c>
    </row>
    <row r="523" spans="1:27" ht="15" customHeight="1" x14ac:dyDescent="0.25">
      <c r="A523" s="1"/>
      <c r="B523" s="17"/>
      <c r="C523" s="17"/>
      <c r="D523" s="17"/>
      <c r="E523" s="17"/>
      <c r="F523" s="17"/>
      <c r="G523" s="4">
        <f t="shared" si="21"/>
        <v>0</v>
      </c>
      <c r="H523" s="17"/>
      <c r="I523" s="4">
        <f t="shared" si="23"/>
        <v>349526.07999999996</v>
      </c>
      <c r="J523" s="32" t="str">
        <f t="shared" si="22"/>
        <v/>
      </c>
      <c r="K523" s="72"/>
      <c r="L523" s="72"/>
      <c r="M523" s="2"/>
      <c r="N523" s="5"/>
      <c r="O523" s="3"/>
      <c r="P523" s="6"/>
      <c r="Q523" s="48">
        <f>IF(Учет!$O523=Справочники!$F$2,Учет!$H523,0)</f>
        <v>0</v>
      </c>
      <c r="R523" s="48">
        <f>IF(Учет!$O523=Справочники!$F$3,Учет!$H523,0)</f>
        <v>0</v>
      </c>
      <c r="S523" s="48">
        <f>IF(Учет!$O523=Справочники!$F$4,Учет!$H523,0)</f>
        <v>0</v>
      </c>
      <c r="T523" s="48">
        <f>IF(Учет!$O523=Справочники!$F$5,Учет!$H523,0)</f>
        <v>0</v>
      </c>
      <c r="U523" s="48">
        <f>IF(Учет!$O523=Справочники!$F$6,Учет!$H523,0)</f>
        <v>0</v>
      </c>
      <c r="V523" s="43">
        <f>V522+Учет!Q523-Q523</f>
        <v>-488978.92000000004</v>
      </c>
      <c r="W523" s="43">
        <f>W522+Учет!R523-R523</f>
        <v>336855</v>
      </c>
      <c r="X523" s="43">
        <f>X522+Учет!S523-S523</f>
        <v>500</v>
      </c>
      <c r="Y523" s="43">
        <f>Y522+Учет!T523-T523</f>
        <v>1150</v>
      </c>
      <c r="Z523" s="43">
        <f>Z522+Учет!U523-U523</f>
        <v>500000</v>
      </c>
      <c r="AA523" s="45">
        <f>Учет!X523</f>
        <v>500</v>
      </c>
    </row>
    <row r="524" spans="1:27" ht="15" customHeight="1" x14ac:dyDescent="0.25">
      <c r="A524" s="1"/>
      <c r="B524" s="17"/>
      <c r="C524" s="17"/>
      <c r="D524" s="17"/>
      <c r="E524" s="17"/>
      <c r="F524" s="17"/>
      <c r="G524" s="4">
        <f t="shared" si="21"/>
        <v>0</v>
      </c>
      <c r="H524" s="17"/>
      <c r="I524" s="4">
        <f t="shared" si="23"/>
        <v>349526.07999999996</v>
      </c>
      <c r="J524" s="32" t="str">
        <f t="shared" si="22"/>
        <v/>
      </c>
      <c r="K524" s="72"/>
      <c r="L524" s="72"/>
      <c r="M524" s="2"/>
      <c r="N524" s="5"/>
      <c r="O524" s="3"/>
      <c r="P524" s="6"/>
      <c r="Q524" s="48">
        <f>IF(Учет!$O524=Справочники!$F$2,Учет!$H524,0)</f>
        <v>0</v>
      </c>
      <c r="R524" s="48">
        <f>IF(Учет!$O524=Справочники!$F$3,Учет!$H524,0)</f>
        <v>0</v>
      </c>
      <c r="S524" s="48">
        <f>IF(Учет!$O524=Справочники!$F$4,Учет!$H524,0)</f>
        <v>0</v>
      </c>
      <c r="T524" s="48">
        <f>IF(Учет!$O524=Справочники!$F$5,Учет!$H524,0)</f>
        <v>0</v>
      </c>
      <c r="U524" s="48">
        <f>IF(Учет!$O524=Справочники!$F$6,Учет!$H524,0)</f>
        <v>0</v>
      </c>
      <c r="V524" s="43">
        <f>V523+Учет!Q524-Q524</f>
        <v>-488978.92000000004</v>
      </c>
      <c r="W524" s="43">
        <f>W523+Учет!R524-R524</f>
        <v>336855</v>
      </c>
      <c r="X524" s="43">
        <f>X523+Учет!S524-S524</f>
        <v>500</v>
      </c>
      <c r="Y524" s="43">
        <f>Y523+Учет!T524-T524</f>
        <v>1150</v>
      </c>
      <c r="Z524" s="43">
        <f>Z523+Учет!U524-U524</f>
        <v>500000</v>
      </c>
      <c r="AA524" s="45">
        <f>Учет!X524</f>
        <v>500</v>
      </c>
    </row>
    <row r="525" spans="1:27" ht="15" customHeight="1" x14ac:dyDescent="0.25">
      <c r="A525" s="1"/>
      <c r="B525" s="17"/>
      <c r="C525" s="17"/>
      <c r="D525" s="17"/>
      <c r="E525" s="17"/>
      <c r="F525" s="17"/>
      <c r="G525" s="4">
        <f t="shared" si="21"/>
        <v>0</v>
      </c>
      <c r="H525" s="17"/>
      <c r="I525" s="4">
        <f t="shared" si="23"/>
        <v>349526.07999999996</v>
      </c>
      <c r="J525" s="32" t="str">
        <f t="shared" si="22"/>
        <v/>
      </c>
      <c r="K525" s="72"/>
      <c r="L525" s="72"/>
      <c r="M525" s="2"/>
      <c r="N525" s="5"/>
      <c r="O525" s="3"/>
      <c r="P525" s="6"/>
      <c r="Q525" s="48">
        <f>IF(Учет!$O525=Справочники!$F$2,Учет!$H525,0)</f>
        <v>0</v>
      </c>
      <c r="R525" s="48">
        <f>IF(Учет!$O525=Справочники!$F$3,Учет!$H525,0)</f>
        <v>0</v>
      </c>
      <c r="S525" s="48">
        <f>IF(Учет!$O525=Справочники!$F$4,Учет!$H525,0)</f>
        <v>0</v>
      </c>
      <c r="T525" s="48">
        <f>IF(Учет!$O525=Справочники!$F$5,Учет!$H525,0)</f>
        <v>0</v>
      </c>
      <c r="U525" s="48">
        <f>IF(Учет!$O525=Справочники!$F$6,Учет!$H525,0)</f>
        <v>0</v>
      </c>
      <c r="V525" s="43">
        <f>V524+Учет!Q525-Q525</f>
        <v>-488978.92000000004</v>
      </c>
      <c r="W525" s="43">
        <f>W524+Учет!R525-R525</f>
        <v>336855</v>
      </c>
      <c r="X525" s="43">
        <f>X524+Учет!S525-S525</f>
        <v>500</v>
      </c>
      <c r="Y525" s="43">
        <f>Y524+Учет!T525-T525</f>
        <v>1150</v>
      </c>
      <c r="Z525" s="43">
        <f>Z524+Учет!U525-U525</f>
        <v>500000</v>
      </c>
      <c r="AA525" s="45">
        <f>Учет!X525</f>
        <v>500</v>
      </c>
    </row>
    <row r="526" spans="1:27" ht="15" customHeight="1" x14ac:dyDescent="0.25">
      <c r="A526" s="1"/>
      <c r="B526" s="17"/>
      <c r="C526" s="17"/>
      <c r="D526" s="17"/>
      <c r="E526" s="17"/>
      <c r="F526" s="17"/>
      <c r="G526" s="4">
        <f t="shared" si="21"/>
        <v>0</v>
      </c>
      <c r="H526" s="17"/>
      <c r="I526" s="4">
        <f t="shared" si="23"/>
        <v>349526.07999999996</v>
      </c>
      <c r="J526" s="32" t="str">
        <f t="shared" si="22"/>
        <v/>
      </c>
      <c r="K526" s="72"/>
      <c r="L526" s="72"/>
      <c r="M526" s="2"/>
      <c r="N526" s="5"/>
      <c r="O526" s="3"/>
      <c r="P526" s="6"/>
      <c r="Q526" s="48">
        <f>IF(Учет!$O526=Справочники!$F$2,Учет!$H526,0)</f>
        <v>0</v>
      </c>
      <c r="R526" s="48">
        <f>IF(Учет!$O526=Справочники!$F$3,Учет!$H526,0)</f>
        <v>0</v>
      </c>
      <c r="S526" s="48">
        <f>IF(Учет!$O526=Справочники!$F$4,Учет!$H526,0)</f>
        <v>0</v>
      </c>
      <c r="T526" s="48">
        <f>IF(Учет!$O526=Справочники!$F$5,Учет!$H526,0)</f>
        <v>0</v>
      </c>
      <c r="U526" s="48">
        <f>IF(Учет!$O526=Справочники!$F$6,Учет!$H526,0)</f>
        <v>0</v>
      </c>
      <c r="V526" s="43">
        <f>V525+Учет!Q526-Q526</f>
        <v>-488978.92000000004</v>
      </c>
      <c r="W526" s="43">
        <f>W525+Учет!R526-R526</f>
        <v>336855</v>
      </c>
      <c r="X526" s="43">
        <f>X525+Учет!S526-S526</f>
        <v>500</v>
      </c>
      <c r="Y526" s="43">
        <f>Y525+Учет!T526-T526</f>
        <v>1150</v>
      </c>
      <c r="Z526" s="43">
        <f>Z525+Учет!U526-U526</f>
        <v>500000</v>
      </c>
      <c r="AA526" s="45">
        <f>Учет!X526</f>
        <v>500</v>
      </c>
    </row>
    <row r="527" spans="1:27" ht="15" customHeight="1" x14ac:dyDescent="0.25">
      <c r="A527" s="1"/>
      <c r="B527" s="17"/>
      <c r="C527" s="17"/>
      <c r="D527" s="17"/>
      <c r="E527" s="17"/>
      <c r="F527" s="17"/>
      <c r="G527" s="4">
        <f t="shared" si="21"/>
        <v>0</v>
      </c>
      <c r="H527" s="17"/>
      <c r="I527" s="4">
        <f t="shared" si="23"/>
        <v>349526.07999999996</v>
      </c>
      <c r="J527" s="32" t="str">
        <f t="shared" si="22"/>
        <v/>
      </c>
      <c r="K527" s="72"/>
      <c r="L527" s="72"/>
      <c r="M527" s="2"/>
      <c r="N527" s="5"/>
      <c r="O527" s="3"/>
      <c r="P527" s="6"/>
      <c r="Q527" s="48">
        <f>IF(Учет!$O527=Справочники!$F$2,Учет!$H527,0)</f>
        <v>0</v>
      </c>
      <c r="R527" s="48">
        <f>IF(Учет!$O527=Справочники!$F$3,Учет!$H527,0)</f>
        <v>0</v>
      </c>
      <c r="S527" s="48">
        <f>IF(Учет!$O527=Справочники!$F$4,Учет!$H527,0)</f>
        <v>0</v>
      </c>
      <c r="T527" s="48">
        <f>IF(Учет!$O527=Справочники!$F$5,Учет!$H527,0)</f>
        <v>0</v>
      </c>
      <c r="U527" s="48">
        <f>IF(Учет!$O527=Справочники!$F$6,Учет!$H527,0)</f>
        <v>0</v>
      </c>
      <c r="V527" s="43">
        <f>V526+Учет!Q527-Q527</f>
        <v>-488978.92000000004</v>
      </c>
      <c r="W527" s="43">
        <f>W526+Учет!R527-R527</f>
        <v>336855</v>
      </c>
      <c r="X527" s="43">
        <f>X526+Учет!S527-S527</f>
        <v>500</v>
      </c>
      <c r="Y527" s="43">
        <f>Y526+Учет!T527-T527</f>
        <v>1150</v>
      </c>
      <c r="Z527" s="43">
        <f>Z526+Учет!U527-U527</f>
        <v>500000</v>
      </c>
      <c r="AA527" s="45">
        <f>Учет!X527</f>
        <v>500</v>
      </c>
    </row>
    <row r="528" spans="1:27" ht="15" customHeight="1" x14ac:dyDescent="0.25">
      <c r="A528" s="1"/>
      <c r="B528" s="17"/>
      <c r="C528" s="17"/>
      <c r="D528" s="17"/>
      <c r="E528" s="17"/>
      <c r="F528" s="17"/>
      <c r="G528" s="4">
        <f t="shared" si="21"/>
        <v>0</v>
      </c>
      <c r="H528" s="17"/>
      <c r="I528" s="4">
        <f t="shared" si="23"/>
        <v>349526.07999999996</v>
      </c>
      <c r="J528" s="32" t="str">
        <f t="shared" si="22"/>
        <v/>
      </c>
      <c r="K528" s="72"/>
      <c r="L528" s="72"/>
      <c r="M528" s="2"/>
      <c r="N528" s="5"/>
      <c r="O528" s="3"/>
      <c r="P528" s="6"/>
      <c r="Q528" s="48">
        <f>IF(Учет!$O528=Справочники!$F$2,Учет!$H528,0)</f>
        <v>0</v>
      </c>
      <c r="R528" s="48">
        <f>IF(Учет!$O528=Справочники!$F$3,Учет!$H528,0)</f>
        <v>0</v>
      </c>
      <c r="S528" s="48">
        <f>IF(Учет!$O528=Справочники!$F$4,Учет!$H528,0)</f>
        <v>0</v>
      </c>
      <c r="T528" s="48">
        <f>IF(Учет!$O528=Справочники!$F$5,Учет!$H528,0)</f>
        <v>0</v>
      </c>
      <c r="U528" s="48">
        <f>IF(Учет!$O528=Справочники!$F$6,Учет!$H528,0)</f>
        <v>0</v>
      </c>
      <c r="V528" s="43">
        <f>V527+Учет!Q528-Q528</f>
        <v>-488978.92000000004</v>
      </c>
      <c r="W528" s="43">
        <f>W527+Учет!R528-R528</f>
        <v>336855</v>
      </c>
      <c r="X528" s="43">
        <f>X527+Учет!S528-S528</f>
        <v>500</v>
      </c>
      <c r="Y528" s="43">
        <f>Y527+Учет!T528-T528</f>
        <v>1150</v>
      </c>
      <c r="Z528" s="43">
        <f>Z527+Учет!U528-U528</f>
        <v>500000</v>
      </c>
      <c r="AA528" s="45">
        <f>Учет!X528</f>
        <v>500</v>
      </c>
    </row>
    <row r="529" spans="1:27" ht="15" customHeight="1" x14ac:dyDescent="0.25">
      <c r="A529" s="1"/>
      <c r="B529" s="17"/>
      <c r="C529" s="17"/>
      <c r="D529" s="17"/>
      <c r="E529" s="17"/>
      <c r="F529" s="17"/>
      <c r="G529" s="4">
        <f t="shared" si="21"/>
        <v>0</v>
      </c>
      <c r="H529" s="17"/>
      <c r="I529" s="4">
        <f t="shared" si="23"/>
        <v>349526.07999999996</v>
      </c>
      <c r="J529" s="32" t="str">
        <f t="shared" si="22"/>
        <v/>
      </c>
      <c r="K529" s="72"/>
      <c r="L529" s="72"/>
      <c r="M529" s="2"/>
      <c r="N529" s="5"/>
      <c r="O529" s="3"/>
      <c r="P529" s="6"/>
      <c r="Q529" s="48">
        <f>IF(Учет!$O529=Справочники!$F$2,Учет!$H529,0)</f>
        <v>0</v>
      </c>
      <c r="R529" s="48">
        <f>IF(Учет!$O529=Справочники!$F$3,Учет!$H529,0)</f>
        <v>0</v>
      </c>
      <c r="S529" s="48">
        <f>IF(Учет!$O529=Справочники!$F$4,Учет!$H529,0)</f>
        <v>0</v>
      </c>
      <c r="T529" s="48">
        <f>IF(Учет!$O529=Справочники!$F$5,Учет!$H529,0)</f>
        <v>0</v>
      </c>
      <c r="U529" s="48">
        <f>IF(Учет!$O529=Справочники!$F$6,Учет!$H529,0)</f>
        <v>0</v>
      </c>
      <c r="V529" s="43">
        <f>V528+Учет!Q529-Q529</f>
        <v>-488978.92000000004</v>
      </c>
      <c r="W529" s="43">
        <f>W528+Учет!R529-R529</f>
        <v>336855</v>
      </c>
      <c r="X529" s="43">
        <f>X528+Учет!S529-S529</f>
        <v>500</v>
      </c>
      <c r="Y529" s="43">
        <f>Y528+Учет!T529-T529</f>
        <v>1150</v>
      </c>
      <c r="Z529" s="43">
        <f>Z528+Учет!U529-U529</f>
        <v>500000</v>
      </c>
      <c r="AA529" s="45">
        <f>Учет!X529</f>
        <v>500</v>
      </c>
    </row>
    <row r="530" spans="1:27" ht="15" customHeight="1" x14ac:dyDescent="0.25">
      <c r="A530" s="1"/>
      <c r="B530" s="17"/>
      <c r="C530" s="17"/>
      <c r="D530" s="17"/>
      <c r="E530" s="17"/>
      <c r="F530" s="17"/>
      <c r="G530" s="4">
        <f t="shared" si="21"/>
        <v>0</v>
      </c>
      <c r="H530" s="17"/>
      <c r="I530" s="4">
        <f t="shared" si="23"/>
        <v>349526.07999999996</v>
      </c>
      <c r="J530" s="32" t="str">
        <f t="shared" si="22"/>
        <v/>
      </c>
      <c r="K530" s="72"/>
      <c r="L530" s="72"/>
      <c r="M530" s="2"/>
      <c r="N530" s="5"/>
      <c r="O530" s="3"/>
      <c r="P530" s="6"/>
      <c r="Q530" s="48">
        <f>IF(Учет!$O530=Справочники!$F$2,Учет!$H530,0)</f>
        <v>0</v>
      </c>
      <c r="R530" s="48">
        <f>IF(Учет!$O530=Справочники!$F$3,Учет!$H530,0)</f>
        <v>0</v>
      </c>
      <c r="S530" s="48">
        <f>IF(Учет!$O530=Справочники!$F$4,Учет!$H530,0)</f>
        <v>0</v>
      </c>
      <c r="T530" s="48">
        <f>IF(Учет!$O530=Справочники!$F$5,Учет!$H530,0)</f>
        <v>0</v>
      </c>
      <c r="U530" s="48">
        <f>IF(Учет!$O530=Справочники!$F$6,Учет!$H530,0)</f>
        <v>0</v>
      </c>
      <c r="V530" s="43">
        <f>V529+Учет!Q530-Q530</f>
        <v>-488978.92000000004</v>
      </c>
      <c r="W530" s="43">
        <f>W529+Учет!R530-R530</f>
        <v>336855</v>
      </c>
      <c r="X530" s="43">
        <f>X529+Учет!S530-S530</f>
        <v>500</v>
      </c>
      <c r="Y530" s="43">
        <f>Y529+Учет!T530-T530</f>
        <v>1150</v>
      </c>
      <c r="Z530" s="43">
        <f>Z529+Учет!U530-U530</f>
        <v>500000</v>
      </c>
      <c r="AA530" s="45">
        <f>Учет!X530</f>
        <v>500</v>
      </c>
    </row>
    <row r="531" spans="1:27" ht="15" customHeight="1" x14ac:dyDescent="0.25">
      <c r="A531" s="1"/>
      <c r="B531" s="17"/>
      <c r="C531" s="17"/>
      <c r="D531" s="17"/>
      <c r="E531" s="17"/>
      <c r="F531" s="17"/>
      <c r="G531" s="4">
        <f t="shared" si="21"/>
        <v>0</v>
      </c>
      <c r="H531" s="17"/>
      <c r="I531" s="4">
        <f t="shared" si="23"/>
        <v>349526.07999999996</v>
      </c>
      <c r="J531" s="32" t="str">
        <f t="shared" si="22"/>
        <v/>
      </c>
      <c r="K531" s="72"/>
      <c r="L531" s="72"/>
      <c r="M531" s="2"/>
      <c r="N531" s="5"/>
      <c r="O531" s="3"/>
      <c r="P531" s="6"/>
      <c r="Q531" s="48">
        <f>IF(Учет!$O531=Справочники!$F$2,Учет!$H531,0)</f>
        <v>0</v>
      </c>
      <c r="R531" s="48">
        <f>IF(Учет!$O531=Справочники!$F$3,Учет!$H531,0)</f>
        <v>0</v>
      </c>
      <c r="S531" s="48">
        <f>IF(Учет!$O531=Справочники!$F$4,Учет!$H531,0)</f>
        <v>0</v>
      </c>
      <c r="T531" s="48">
        <f>IF(Учет!$O531=Справочники!$F$5,Учет!$H531,0)</f>
        <v>0</v>
      </c>
      <c r="U531" s="48">
        <f>IF(Учет!$O531=Справочники!$F$6,Учет!$H531,0)</f>
        <v>0</v>
      </c>
      <c r="V531" s="43">
        <f>V530+Учет!Q531-Q531</f>
        <v>-488978.92000000004</v>
      </c>
      <c r="W531" s="43">
        <f>W530+Учет!R531-R531</f>
        <v>336855</v>
      </c>
      <c r="X531" s="43">
        <f>X530+Учет!S531-S531</f>
        <v>500</v>
      </c>
      <c r="Y531" s="43">
        <f>Y530+Учет!T531-T531</f>
        <v>1150</v>
      </c>
      <c r="Z531" s="43">
        <f>Z530+Учет!U531-U531</f>
        <v>500000</v>
      </c>
      <c r="AA531" s="45">
        <f>Учет!X531</f>
        <v>500</v>
      </c>
    </row>
    <row r="532" spans="1:27" ht="15" customHeight="1" x14ac:dyDescent="0.25">
      <c r="A532" s="1"/>
      <c r="B532" s="17"/>
      <c r="C532" s="17"/>
      <c r="D532" s="17"/>
      <c r="E532" s="17"/>
      <c r="F532" s="17"/>
      <c r="G532" s="4">
        <f t="shared" si="21"/>
        <v>0</v>
      </c>
      <c r="H532" s="17"/>
      <c r="I532" s="4">
        <f t="shared" si="23"/>
        <v>349526.07999999996</v>
      </c>
      <c r="J532" s="32" t="str">
        <f t="shared" si="22"/>
        <v/>
      </c>
      <c r="K532" s="72"/>
      <c r="L532" s="72"/>
      <c r="M532" s="2"/>
      <c r="N532" s="5"/>
      <c r="O532" s="3"/>
      <c r="P532" s="6"/>
      <c r="Q532" s="48">
        <f>IF(Учет!$O532=Справочники!$F$2,Учет!$H532,0)</f>
        <v>0</v>
      </c>
      <c r="R532" s="48">
        <f>IF(Учет!$O532=Справочники!$F$3,Учет!$H532,0)</f>
        <v>0</v>
      </c>
      <c r="S532" s="48">
        <f>IF(Учет!$O532=Справочники!$F$4,Учет!$H532,0)</f>
        <v>0</v>
      </c>
      <c r="T532" s="48">
        <f>IF(Учет!$O532=Справочники!$F$5,Учет!$H532,0)</f>
        <v>0</v>
      </c>
      <c r="U532" s="48">
        <f>IF(Учет!$O532=Справочники!$F$6,Учет!$H532,0)</f>
        <v>0</v>
      </c>
      <c r="V532" s="43">
        <f>V531+Учет!Q532-Q532</f>
        <v>-488978.92000000004</v>
      </c>
      <c r="W532" s="43">
        <f>W531+Учет!R532-R532</f>
        <v>336855</v>
      </c>
      <c r="X532" s="43">
        <f>X531+Учет!S532-S532</f>
        <v>500</v>
      </c>
      <c r="Y532" s="43">
        <f>Y531+Учет!T532-T532</f>
        <v>1150</v>
      </c>
      <c r="Z532" s="43">
        <f>Z531+Учет!U532-U532</f>
        <v>500000</v>
      </c>
      <c r="AA532" s="45">
        <f>Учет!X532</f>
        <v>500</v>
      </c>
    </row>
    <row r="533" spans="1:27" ht="15" customHeight="1" x14ac:dyDescent="0.25">
      <c r="A533" s="1"/>
      <c r="B533" s="17"/>
      <c r="C533" s="17"/>
      <c r="D533" s="17"/>
      <c r="E533" s="17"/>
      <c r="F533" s="17"/>
      <c r="G533" s="4">
        <f t="shared" si="21"/>
        <v>0</v>
      </c>
      <c r="H533" s="17"/>
      <c r="I533" s="4">
        <f t="shared" si="23"/>
        <v>349526.07999999996</v>
      </c>
      <c r="J533" s="32" t="str">
        <f t="shared" si="22"/>
        <v/>
      </c>
      <c r="K533" s="72"/>
      <c r="L533" s="72"/>
      <c r="M533" s="2"/>
      <c r="N533" s="5"/>
      <c r="O533" s="3"/>
      <c r="P533" s="6"/>
      <c r="Q533" s="48">
        <f>IF(Учет!$O533=Справочники!$F$2,Учет!$H533,0)</f>
        <v>0</v>
      </c>
      <c r="R533" s="48">
        <f>IF(Учет!$O533=Справочники!$F$3,Учет!$H533,0)</f>
        <v>0</v>
      </c>
      <c r="S533" s="48">
        <f>IF(Учет!$O533=Справочники!$F$4,Учет!$H533,0)</f>
        <v>0</v>
      </c>
      <c r="T533" s="48">
        <f>IF(Учет!$O533=Справочники!$F$5,Учет!$H533,0)</f>
        <v>0</v>
      </c>
      <c r="U533" s="48">
        <f>IF(Учет!$O533=Справочники!$F$6,Учет!$H533,0)</f>
        <v>0</v>
      </c>
      <c r="V533" s="43">
        <f>V532+Учет!Q533-Q533</f>
        <v>-488978.92000000004</v>
      </c>
      <c r="W533" s="43">
        <f>W532+Учет!R533-R533</f>
        <v>336855</v>
      </c>
      <c r="X533" s="43">
        <f>X532+Учет!S533-S533</f>
        <v>500</v>
      </c>
      <c r="Y533" s="43">
        <f>Y532+Учет!T533-T533</f>
        <v>1150</v>
      </c>
      <c r="Z533" s="43">
        <f>Z532+Учет!U533-U533</f>
        <v>500000</v>
      </c>
      <c r="AA533" s="45">
        <f>Учет!X533</f>
        <v>500</v>
      </c>
    </row>
    <row r="534" spans="1:27" ht="15" customHeight="1" x14ac:dyDescent="0.25">
      <c r="A534" s="1"/>
      <c r="B534" s="17"/>
      <c r="C534" s="17"/>
      <c r="D534" s="17"/>
      <c r="E534" s="17"/>
      <c r="F534" s="17"/>
      <c r="G534" s="4">
        <f t="shared" si="21"/>
        <v>0</v>
      </c>
      <c r="H534" s="17"/>
      <c r="I534" s="4">
        <f t="shared" si="23"/>
        <v>349526.07999999996</v>
      </c>
      <c r="J534" s="32" t="str">
        <f t="shared" si="22"/>
        <v/>
      </c>
      <c r="K534" s="72"/>
      <c r="L534" s="72"/>
      <c r="M534" s="2"/>
      <c r="N534" s="5"/>
      <c r="O534" s="3"/>
      <c r="P534" s="6"/>
      <c r="Q534" s="48">
        <f>IF(Учет!$O534=Справочники!$F$2,Учет!$H534,0)</f>
        <v>0</v>
      </c>
      <c r="R534" s="48">
        <f>IF(Учет!$O534=Справочники!$F$3,Учет!$H534,0)</f>
        <v>0</v>
      </c>
      <c r="S534" s="48">
        <f>IF(Учет!$O534=Справочники!$F$4,Учет!$H534,0)</f>
        <v>0</v>
      </c>
      <c r="T534" s="48">
        <f>IF(Учет!$O534=Справочники!$F$5,Учет!$H534,0)</f>
        <v>0</v>
      </c>
      <c r="U534" s="48">
        <f>IF(Учет!$O534=Справочники!$F$6,Учет!$H534,0)</f>
        <v>0</v>
      </c>
      <c r="V534" s="43">
        <f>V533+Учет!Q534-Q534</f>
        <v>-488978.92000000004</v>
      </c>
      <c r="W534" s="43">
        <f>W533+Учет!R534-R534</f>
        <v>336855</v>
      </c>
      <c r="X534" s="43">
        <f>X533+Учет!S534-S534</f>
        <v>500</v>
      </c>
      <c r="Y534" s="43">
        <f>Y533+Учет!T534-T534</f>
        <v>1150</v>
      </c>
      <c r="Z534" s="43">
        <f>Z533+Учет!U534-U534</f>
        <v>500000</v>
      </c>
      <c r="AA534" s="45">
        <f>Учет!X534</f>
        <v>500</v>
      </c>
    </row>
    <row r="535" spans="1:27" ht="15" customHeight="1" x14ac:dyDescent="0.25">
      <c r="A535" s="1"/>
      <c r="B535" s="17"/>
      <c r="C535" s="17"/>
      <c r="D535" s="17"/>
      <c r="E535" s="17"/>
      <c r="F535" s="17"/>
      <c r="G535" s="4">
        <f t="shared" si="21"/>
        <v>0</v>
      </c>
      <c r="H535" s="17"/>
      <c r="I535" s="4">
        <f t="shared" si="23"/>
        <v>349526.07999999996</v>
      </c>
      <c r="J535" s="32" t="str">
        <f t="shared" si="22"/>
        <v/>
      </c>
      <c r="K535" s="72"/>
      <c r="L535" s="72"/>
      <c r="M535" s="2"/>
      <c r="N535" s="5"/>
      <c r="O535" s="3"/>
      <c r="P535" s="6"/>
      <c r="Q535" s="48">
        <f>IF(Учет!$O535=Справочники!$F$2,Учет!$H535,0)</f>
        <v>0</v>
      </c>
      <c r="R535" s="48">
        <f>IF(Учет!$O535=Справочники!$F$3,Учет!$H535,0)</f>
        <v>0</v>
      </c>
      <c r="S535" s="48">
        <f>IF(Учет!$O535=Справочники!$F$4,Учет!$H535,0)</f>
        <v>0</v>
      </c>
      <c r="T535" s="48">
        <f>IF(Учет!$O535=Справочники!$F$5,Учет!$H535,0)</f>
        <v>0</v>
      </c>
      <c r="U535" s="48">
        <f>IF(Учет!$O535=Справочники!$F$6,Учет!$H535,0)</f>
        <v>0</v>
      </c>
      <c r="V535" s="43">
        <f>V534+Учет!Q535-Q535</f>
        <v>-488978.92000000004</v>
      </c>
      <c r="W535" s="43">
        <f>W534+Учет!R535-R535</f>
        <v>336855</v>
      </c>
      <c r="X535" s="43">
        <f>X534+Учет!S535-S535</f>
        <v>500</v>
      </c>
      <c r="Y535" s="43">
        <f>Y534+Учет!T535-T535</f>
        <v>1150</v>
      </c>
      <c r="Z535" s="43">
        <f>Z534+Учет!U535-U535</f>
        <v>500000</v>
      </c>
      <c r="AA535" s="45">
        <f>Учет!X535</f>
        <v>500</v>
      </c>
    </row>
    <row r="536" spans="1:27" ht="15" customHeight="1" x14ac:dyDescent="0.25">
      <c r="A536" s="1"/>
      <c r="B536" s="17"/>
      <c r="C536" s="17"/>
      <c r="D536" s="17"/>
      <c r="E536" s="17"/>
      <c r="F536" s="17"/>
      <c r="G536" s="4">
        <f t="shared" si="21"/>
        <v>0</v>
      </c>
      <c r="H536" s="17"/>
      <c r="I536" s="4">
        <f t="shared" si="23"/>
        <v>349526.07999999996</v>
      </c>
      <c r="J536" s="32" t="str">
        <f t="shared" si="22"/>
        <v/>
      </c>
      <c r="K536" s="72"/>
      <c r="L536" s="72"/>
      <c r="M536" s="2"/>
      <c r="N536" s="5"/>
      <c r="O536" s="3"/>
      <c r="P536" s="6"/>
      <c r="Q536" s="48">
        <f>IF(Учет!$O536=Справочники!$F$2,Учет!$H536,0)</f>
        <v>0</v>
      </c>
      <c r="R536" s="48">
        <f>IF(Учет!$O536=Справочники!$F$3,Учет!$H536,0)</f>
        <v>0</v>
      </c>
      <c r="S536" s="48">
        <f>IF(Учет!$O536=Справочники!$F$4,Учет!$H536,0)</f>
        <v>0</v>
      </c>
      <c r="T536" s="48">
        <f>IF(Учет!$O536=Справочники!$F$5,Учет!$H536,0)</f>
        <v>0</v>
      </c>
      <c r="U536" s="48">
        <f>IF(Учет!$O536=Справочники!$F$6,Учет!$H536,0)</f>
        <v>0</v>
      </c>
      <c r="V536" s="43">
        <f>V535+Учет!Q536-Q536</f>
        <v>-488978.92000000004</v>
      </c>
      <c r="W536" s="43">
        <f>W535+Учет!R536-R536</f>
        <v>336855</v>
      </c>
      <c r="X536" s="43">
        <f>X535+Учет!S536-S536</f>
        <v>500</v>
      </c>
      <c r="Y536" s="43">
        <f>Y535+Учет!T536-T536</f>
        <v>1150</v>
      </c>
      <c r="Z536" s="43">
        <f>Z535+Учет!U536-U536</f>
        <v>500000</v>
      </c>
      <c r="AA536" s="45">
        <f>Учет!X536</f>
        <v>500</v>
      </c>
    </row>
    <row r="537" spans="1:27" ht="15" customHeight="1" x14ac:dyDescent="0.25">
      <c r="A537" s="1"/>
      <c r="B537" s="17"/>
      <c r="C537" s="17"/>
      <c r="D537" s="17"/>
      <c r="E537" s="17"/>
      <c r="F537" s="17"/>
      <c r="G537" s="4">
        <f t="shared" si="21"/>
        <v>0</v>
      </c>
      <c r="H537" s="17"/>
      <c r="I537" s="4">
        <f t="shared" si="23"/>
        <v>349526.07999999996</v>
      </c>
      <c r="J537" s="32" t="str">
        <f t="shared" si="22"/>
        <v/>
      </c>
      <c r="K537" s="72"/>
      <c r="L537" s="72"/>
      <c r="M537" s="2"/>
      <c r="N537" s="5"/>
      <c r="O537" s="3"/>
      <c r="P537" s="6"/>
      <c r="Q537" s="48">
        <f>IF(Учет!$O537=Справочники!$F$2,Учет!$H537,0)</f>
        <v>0</v>
      </c>
      <c r="R537" s="48">
        <f>IF(Учет!$O537=Справочники!$F$3,Учет!$H537,0)</f>
        <v>0</v>
      </c>
      <c r="S537" s="48">
        <f>IF(Учет!$O537=Справочники!$F$4,Учет!$H537,0)</f>
        <v>0</v>
      </c>
      <c r="T537" s="48">
        <f>IF(Учет!$O537=Справочники!$F$5,Учет!$H537,0)</f>
        <v>0</v>
      </c>
      <c r="U537" s="48">
        <f>IF(Учет!$O537=Справочники!$F$6,Учет!$H537,0)</f>
        <v>0</v>
      </c>
      <c r="V537" s="43">
        <f>V536+Учет!Q537-Q537</f>
        <v>-488978.92000000004</v>
      </c>
      <c r="W537" s="43">
        <f>W536+Учет!R537-R537</f>
        <v>336855</v>
      </c>
      <c r="X537" s="43">
        <f>X536+Учет!S537-S537</f>
        <v>500</v>
      </c>
      <c r="Y537" s="43">
        <f>Y536+Учет!T537-T537</f>
        <v>1150</v>
      </c>
      <c r="Z537" s="43">
        <f>Z536+Учет!U537-U537</f>
        <v>500000</v>
      </c>
      <c r="AA537" s="45">
        <f>Учет!X537</f>
        <v>500</v>
      </c>
    </row>
    <row r="538" spans="1:27" ht="15" customHeight="1" x14ac:dyDescent="0.25">
      <c r="A538" s="1"/>
      <c r="B538" s="17"/>
      <c r="C538" s="17"/>
      <c r="D538" s="17"/>
      <c r="E538" s="17"/>
      <c r="F538" s="17"/>
      <c r="G538" s="4">
        <f t="shared" si="21"/>
        <v>0</v>
      </c>
      <c r="H538" s="17"/>
      <c r="I538" s="4">
        <f t="shared" si="23"/>
        <v>349526.07999999996</v>
      </c>
      <c r="J538" s="32" t="str">
        <f t="shared" si="22"/>
        <v/>
      </c>
      <c r="K538" s="72"/>
      <c r="L538" s="72"/>
      <c r="M538" s="2"/>
      <c r="N538" s="5"/>
      <c r="O538" s="3"/>
      <c r="P538" s="6"/>
      <c r="Q538" s="48">
        <f>IF(Учет!$O538=Справочники!$F$2,Учет!$H538,0)</f>
        <v>0</v>
      </c>
      <c r="R538" s="48">
        <f>IF(Учет!$O538=Справочники!$F$3,Учет!$H538,0)</f>
        <v>0</v>
      </c>
      <c r="S538" s="48">
        <f>IF(Учет!$O538=Справочники!$F$4,Учет!$H538,0)</f>
        <v>0</v>
      </c>
      <c r="T538" s="48">
        <f>IF(Учет!$O538=Справочники!$F$5,Учет!$H538,0)</f>
        <v>0</v>
      </c>
      <c r="U538" s="48">
        <f>IF(Учет!$O538=Справочники!$F$6,Учет!$H538,0)</f>
        <v>0</v>
      </c>
      <c r="V538" s="43">
        <f>V537+Учет!Q538-Q538</f>
        <v>-488978.92000000004</v>
      </c>
      <c r="W538" s="43">
        <f>W537+Учет!R538-R538</f>
        <v>336855</v>
      </c>
      <c r="X538" s="43">
        <f>X537+Учет!S538-S538</f>
        <v>500</v>
      </c>
      <c r="Y538" s="43">
        <f>Y537+Учет!T538-T538</f>
        <v>1150</v>
      </c>
      <c r="Z538" s="43">
        <f>Z537+Учет!U538-U538</f>
        <v>500000</v>
      </c>
      <c r="AA538" s="45">
        <f>Учет!X538</f>
        <v>500</v>
      </c>
    </row>
    <row r="539" spans="1:27" ht="15" customHeight="1" x14ac:dyDescent="0.25">
      <c r="A539" s="1"/>
      <c r="B539" s="17"/>
      <c r="C539" s="17"/>
      <c r="D539" s="17"/>
      <c r="E539" s="17"/>
      <c r="F539" s="17"/>
      <c r="G539" s="4">
        <f t="shared" si="21"/>
        <v>0</v>
      </c>
      <c r="H539" s="17"/>
      <c r="I539" s="4">
        <f t="shared" si="23"/>
        <v>349526.07999999996</v>
      </c>
      <c r="J539" s="32" t="str">
        <f t="shared" si="22"/>
        <v/>
      </c>
      <c r="K539" s="72"/>
      <c r="L539" s="72"/>
      <c r="M539" s="2"/>
      <c r="N539" s="5"/>
      <c r="O539" s="3"/>
      <c r="P539" s="6"/>
      <c r="Q539" s="48">
        <f>IF(Учет!$O539=Справочники!$F$2,Учет!$H539,0)</f>
        <v>0</v>
      </c>
      <c r="R539" s="48">
        <f>IF(Учет!$O539=Справочники!$F$3,Учет!$H539,0)</f>
        <v>0</v>
      </c>
      <c r="S539" s="48">
        <f>IF(Учет!$O539=Справочники!$F$4,Учет!$H539,0)</f>
        <v>0</v>
      </c>
      <c r="T539" s="48">
        <f>IF(Учет!$O539=Справочники!$F$5,Учет!$H539,0)</f>
        <v>0</v>
      </c>
      <c r="U539" s="48">
        <f>IF(Учет!$O539=Справочники!$F$6,Учет!$H539,0)</f>
        <v>0</v>
      </c>
      <c r="V539" s="43">
        <f>V538+Учет!Q539-Q539</f>
        <v>-488978.92000000004</v>
      </c>
      <c r="W539" s="43">
        <f>W538+Учет!R539-R539</f>
        <v>336855</v>
      </c>
      <c r="X539" s="43">
        <f>X538+Учет!S539-S539</f>
        <v>500</v>
      </c>
      <c r="Y539" s="43">
        <f>Y538+Учет!T539-T539</f>
        <v>1150</v>
      </c>
      <c r="Z539" s="43">
        <f>Z538+Учет!U539-U539</f>
        <v>500000</v>
      </c>
      <c r="AA539" s="45">
        <f>Учет!X539</f>
        <v>500</v>
      </c>
    </row>
    <row r="540" spans="1:27" ht="15" customHeight="1" x14ac:dyDescent="0.25">
      <c r="A540" s="1"/>
      <c r="B540" s="17"/>
      <c r="C540" s="17"/>
      <c r="D540" s="17"/>
      <c r="E540" s="17"/>
      <c r="F540" s="17"/>
      <c r="G540" s="4">
        <f t="shared" si="21"/>
        <v>0</v>
      </c>
      <c r="H540" s="17"/>
      <c r="I540" s="4">
        <f t="shared" si="23"/>
        <v>349526.07999999996</v>
      </c>
      <c r="J540" s="32" t="str">
        <f t="shared" si="22"/>
        <v/>
      </c>
      <c r="K540" s="72"/>
      <c r="L540" s="72"/>
      <c r="M540" s="2"/>
      <c r="N540" s="5"/>
      <c r="O540" s="3"/>
      <c r="P540" s="6"/>
      <c r="Q540" s="48">
        <f>IF(Учет!$O540=Справочники!$F$2,Учет!$H540,0)</f>
        <v>0</v>
      </c>
      <c r="R540" s="48">
        <f>IF(Учет!$O540=Справочники!$F$3,Учет!$H540,0)</f>
        <v>0</v>
      </c>
      <c r="S540" s="48">
        <f>IF(Учет!$O540=Справочники!$F$4,Учет!$H540,0)</f>
        <v>0</v>
      </c>
      <c r="T540" s="48">
        <f>IF(Учет!$O540=Справочники!$F$5,Учет!$H540,0)</f>
        <v>0</v>
      </c>
      <c r="U540" s="48">
        <f>IF(Учет!$O540=Справочники!$F$6,Учет!$H540,0)</f>
        <v>0</v>
      </c>
      <c r="V540" s="43">
        <f>V539+Учет!Q540-Q540</f>
        <v>-488978.92000000004</v>
      </c>
      <c r="W540" s="43">
        <f>W539+Учет!R540-R540</f>
        <v>336855</v>
      </c>
      <c r="X540" s="43">
        <f>X539+Учет!S540-S540</f>
        <v>500</v>
      </c>
      <c r="Y540" s="43">
        <f>Y539+Учет!T540-T540</f>
        <v>1150</v>
      </c>
      <c r="Z540" s="43">
        <f>Z539+Учет!U540-U540</f>
        <v>500000</v>
      </c>
      <c r="AA540" s="45">
        <f>Учет!X540</f>
        <v>500</v>
      </c>
    </row>
    <row r="541" spans="1:27" ht="15" customHeight="1" x14ac:dyDescent="0.25">
      <c r="A541" s="1"/>
      <c r="B541" s="17"/>
      <c r="C541" s="17"/>
      <c r="D541" s="17"/>
      <c r="E541" s="17"/>
      <c r="F541" s="17"/>
      <c r="G541" s="4">
        <f t="shared" si="21"/>
        <v>0</v>
      </c>
      <c r="H541" s="17"/>
      <c r="I541" s="4">
        <f t="shared" si="23"/>
        <v>349526.07999999996</v>
      </c>
      <c r="J541" s="32" t="str">
        <f t="shared" si="22"/>
        <v/>
      </c>
      <c r="K541" s="72"/>
      <c r="L541" s="72"/>
      <c r="M541" s="2"/>
      <c r="N541" s="5"/>
      <c r="O541" s="3"/>
      <c r="P541" s="6"/>
      <c r="Q541" s="48">
        <f>IF(Учет!$O541=Справочники!$F$2,Учет!$H541,0)</f>
        <v>0</v>
      </c>
      <c r="R541" s="48">
        <f>IF(Учет!$O541=Справочники!$F$3,Учет!$H541,0)</f>
        <v>0</v>
      </c>
      <c r="S541" s="48">
        <f>IF(Учет!$O541=Справочники!$F$4,Учет!$H541,0)</f>
        <v>0</v>
      </c>
      <c r="T541" s="48">
        <f>IF(Учет!$O541=Справочники!$F$5,Учет!$H541,0)</f>
        <v>0</v>
      </c>
      <c r="U541" s="48">
        <f>IF(Учет!$O541=Справочники!$F$6,Учет!$H541,0)</f>
        <v>0</v>
      </c>
      <c r="V541" s="43">
        <f>V540+Учет!Q541-Q541</f>
        <v>-488978.92000000004</v>
      </c>
      <c r="W541" s="43">
        <f>W540+Учет!R541-R541</f>
        <v>336855</v>
      </c>
      <c r="X541" s="43">
        <f>X540+Учет!S541-S541</f>
        <v>500</v>
      </c>
      <c r="Y541" s="43">
        <f>Y540+Учет!T541-T541</f>
        <v>1150</v>
      </c>
      <c r="Z541" s="43">
        <f>Z540+Учет!U541-U541</f>
        <v>500000</v>
      </c>
      <c r="AA541" s="45">
        <f>Учет!X541</f>
        <v>500</v>
      </c>
    </row>
    <row r="542" spans="1:27" ht="15" customHeight="1" x14ac:dyDescent="0.25">
      <c r="A542" s="1"/>
      <c r="B542" s="17"/>
      <c r="C542" s="17"/>
      <c r="D542" s="17"/>
      <c r="E542" s="17"/>
      <c r="F542" s="17"/>
      <c r="G542" s="4">
        <f t="shared" si="21"/>
        <v>0</v>
      </c>
      <c r="H542" s="17"/>
      <c r="I542" s="4">
        <f t="shared" si="23"/>
        <v>349526.07999999996</v>
      </c>
      <c r="J542" s="32" t="str">
        <f t="shared" si="22"/>
        <v/>
      </c>
      <c r="K542" s="72"/>
      <c r="L542" s="72"/>
      <c r="M542" s="2"/>
      <c r="N542" s="5"/>
      <c r="O542" s="3"/>
      <c r="P542" s="6"/>
      <c r="Q542" s="48">
        <f>IF(Учет!$O542=Справочники!$F$2,Учет!$H542,0)</f>
        <v>0</v>
      </c>
      <c r="R542" s="48">
        <f>IF(Учет!$O542=Справочники!$F$3,Учет!$H542,0)</f>
        <v>0</v>
      </c>
      <c r="S542" s="48">
        <f>IF(Учет!$O542=Справочники!$F$4,Учет!$H542,0)</f>
        <v>0</v>
      </c>
      <c r="T542" s="48">
        <f>IF(Учет!$O542=Справочники!$F$5,Учет!$H542,0)</f>
        <v>0</v>
      </c>
      <c r="U542" s="48">
        <f>IF(Учет!$O542=Справочники!$F$6,Учет!$H542,0)</f>
        <v>0</v>
      </c>
      <c r="V542" s="43">
        <f>V541+Учет!Q542-Q542</f>
        <v>-488978.92000000004</v>
      </c>
      <c r="W542" s="43">
        <f>W541+Учет!R542-R542</f>
        <v>336855</v>
      </c>
      <c r="X542" s="43">
        <f>X541+Учет!S542-S542</f>
        <v>500</v>
      </c>
      <c r="Y542" s="43">
        <f>Y541+Учет!T542-T542</f>
        <v>1150</v>
      </c>
      <c r="Z542" s="43">
        <f>Z541+Учет!U542-U542</f>
        <v>500000</v>
      </c>
      <c r="AA542" s="45">
        <f>Учет!X542</f>
        <v>500</v>
      </c>
    </row>
    <row r="543" spans="1:27" ht="15" customHeight="1" x14ac:dyDescent="0.25">
      <c r="A543" s="1"/>
      <c r="B543" s="17"/>
      <c r="C543" s="17"/>
      <c r="D543" s="17"/>
      <c r="E543" s="17"/>
      <c r="F543" s="17"/>
      <c r="G543" s="4">
        <f t="shared" si="21"/>
        <v>0</v>
      </c>
      <c r="H543" s="17"/>
      <c r="I543" s="4">
        <f t="shared" si="23"/>
        <v>349526.07999999996</v>
      </c>
      <c r="J543" s="32" t="str">
        <f t="shared" si="22"/>
        <v/>
      </c>
      <c r="K543" s="72"/>
      <c r="L543" s="72"/>
      <c r="M543" s="2"/>
      <c r="N543" s="5"/>
      <c r="O543" s="3"/>
      <c r="P543" s="6"/>
      <c r="Q543" s="48">
        <f>IF(Учет!$O543=Справочники!$F$2,Учет!$H543,0)</f>
        <v>0</v>
      </c>
      <c r="R543" s="48">
        <f>IF(Учет!$O543=Справочники!$F$3,Учет!$H543,0)</f>
        <v>0</v>
      </c>
      <c r="S543" s="48">
        <f>IF(Учет!$O543=Справочники!$F$4,Учет!$H543,0)</f>
        <v>0</v>
      </c>
      <c r="T543" s="48">
        <f>IF(Учет!$O543=Справочники!$F$5,Учет!$H543,0)</f>
        <v>0</v>
      </c>
      <c r="U543" s="48">
        <f>IF(Учет!$O543=Справочники!$F$6,Учет!$H543,0)</f>
        <v>0</v>
      </c>
      <c r="V543" s="43">
        <f>V542+Учет!Q543-Q543</f>
        <v>-488978.92000000004</v>
      </c>
      <c r="W543" s="43">
        <f>W542+Учет!R543-R543</f>
        <v>336855</v>
      </c>
      <c r="X543" s="43">
        <f>X542+Учет!S543-S543</f>
        <v>500</v>
      </c>
      <c r="Y543" s="43">
        <f>Y542+Учет!T543-T543</f>
        <v>1150</v>
      </c>
      <c r="Z543" s="43">
        <f>Z542+Учет!U543-U543</f>
        <v>500000</v>
      </c>
      <c r="AA543" s="45">
        <f>Учет!X543</f>
        <v>500</v>
      </c>
    </row>
    <row r="544" spans="1:27" ht="15" customHeight="1" x14ac:dyDescent="0.25">
      <c r="A544" s="1"/>
      <c r="B544" s="17"/>
      <c r="C544" s="17"/>
      <c r="D544" s="17"/>
      <c r="E544" s="17"/>
      <c r="F544" s="17"/>
      <c r="G544" s="4">
        <f t="shared" si="21"/>
        <v>0</v>
      </c>
      <c r="H544" s="17"/>
      <c r="I544" s="4">
        <f t="shared" si="23"/>
        <v>349526.07999999996</v>
      </c>
      <c r="J544" s="32" t="str">
        <f t="shared" si="22"/>
        <v/>
      </c>
      <c r="K544" s="72"/>
      <c r="L544" s="72"/>
      <c r="M544" s="2"/>
      <c r="N544" s="5"/>
      <c r="O544" s="3"/>
      <c r="P544" s="6"/>
      <c r="Q544" s="48">
        <f>IF(Учет!$O544=Справочники!$F$2,Учет!$H544,0)</f>
        <v>0</v>
      </c>
      <c r="R544" s="48">
        <f>IF(Учет!$O544=Справочники!$F$3,Учет!$H544,0)</f>
        <v>0</v>
      </c>
      <c r="S544" s="48">
        <f>IF(Учет!$O544=Справочники!$F$4,Учет!$H544,0)</f>
        <v>0</v>
      </c>
      <c r="T544" s="48">
        <f>IF(Учет!$O544=Справочники!$F$5,Учет!$H544,0)</f>
        <v>0</v>
      </c>
      <c r="U544" s="48">
        <f>IF(Учет!$O544=Справочники!$F$6,Учет!$H544,0)</f>
        <v>0</v>
      </c>
      <c r="V544" s="43">
        <f>V543+Учет!Q544-Q544</f>
        <v>-488978.92000000004</v>
      </c>
      <c r="W544" s="43">
        <f>W543+Учет!R544-R544</f>
        <v>336855</v>
      </c>
      <c r="X544" s="43">
        <f>X543+Учет!S544-S544</f>
        <v>500</v>
      </c>
      <c r="Y544" s="43">
        <f>Y543+Учет!T544-T544</f>
        <v>1150</v>
      </c>
      <c r="Z544" s="43">
        <f>Z543+Учет!U544-U544</f>
        <v>500000</v>
      </c>
      <c r="AA544" s="45">
        <f>Учет!X544</f>
        <v>500</v>
      </c>
    </row>
    <row r="545" spans="1:27" ht="15" customHeight="1" x14ac:dyDescent="0.25">
      <c r="A545" s="1"/>
      <c r="B545" s="17"/>
      <c r="C545" s="17"/>
      <c r="D545" s="17"/>
      <c r="E545" s="17"/>
      <c r="F545" s="17"/>
      <c r="G545" s="4">
        <f t="shared" si="21"/>
        <v>0</v>
      </c>
      <c r="H545" s="17"/>
      <c r="I545" s="4">
        <f t="shared" si="23"/>
        <v>349526.07999999996</v>
      </c>
      <c r="J545" s="32" t="str">
        <f t="shared" si="22"/>
        <v/>
      </c>
      <c r="K545" s="72"/>
      <c r="L545" s="72"/>
      <c r="M545" s="2"/>
      <c r="N545" s="5"/>
      <c r="O545" s="3"/>
      <c r="P545" s="6"/>
      <c r="Q545" s="48">
        <f>IF(Учет!$O545=Справочники!$F$2,Учет!$H545,0)</f>
        <v>0</v>
      </c>
      <c r="R545" s="48">
        <f>IF(Учет!$O545=Справочники!$F$3,Учет!$H545,0)</f>
        <v>0</v>
      </c>
      <c r="S545" s="48">
        <f>IF(Учет!$O545=Справочники!$F$4,Учет!$H545,0)</f>
        <v>0</v>
      </c>
      <c r="T545" s="48">
        <f>IF(Учет!$O545=Справочники!$F$5,Учет!$H545,0)</f>
        <v>0</v>
      </c>
      <c r="U545" s="48">
        <f>IF(Учет!$O545=Справочники!$F$6,Учет!$H545,0)</f>
        <v>0</v>
      </c>
      <c r="V545" s="43">
        <f>V544+Учет!Q545-Q545</f>
        <v>-488978.92000000004</v>
      </c>
      <c r="W545" s="43">
        <f>W544+Учет!R545-R545</f>
        <v>336855</v>
      </c>
      <c r="X545" s="43">
        <f>X544+Учет!S545-S545</f>
        <v>500</v>
      </c>
      <c r="Y545" s="43">
        <f>Y544+Учет!T545-T545</f>
        <v>1150</v>
      </c>
      <c r="Z545" s="43">
        <f>Z544+Учет!U545-U545</f>
        <v>500000</v>
      </c>
      <c r="AA545" s="45">
        <f>Учет!X545</f>
        <v>500</v>
      </c>
    </row>
    <row r="546" spans="1:27" ht="15" customHeight="1" x14ac:dyDescent="0.25">
      <c r="A546" s="1"/>
      <c r="B546" s="17"/>
      <c r="C546" s="17"/>
      <c r="D546" s="17"/>
      <c r="E546" s="17"/>
      <c r="F546" s="17"/>
      <c r="G546" s="4">
        <f t="shared" si="21"/>
        <v>0</v>
      </c>
      <c r="H546" s="17"/>
      <c r="I546" s="4">
        <f t="shared" si="23"/>
        <v>349526.07999999996</v>
      </c>
      <c r="J546" s="32" t="str">
        <f t="shared" si="22"/>
        <v/>
      </c>
      <c r="K546" s="72"/>
      <c r="L546" s="72"/>
      <c r="M546" s="2"/>
      <c r="N546" s="5"/>
      <c r="O546" s="3"/>
      <c r="P546" s="6"/>
      <c r="Q546" s="48">
        <f>IF(Учет!$O546=Справочники!$F$2,Учет!$H546,0)</f>
        <v>0</v>
      </c>
      <c r="R546" s="48">
        <f>IF(Учет!$O546=Справочники!$F$3,Учет!$H546,0)</f>
        <v>0</v>
      </c>
      <c r="S546" s="48">
        <f>IF(Учет!$O546=Справочники!$F$4,Учет!$H546,0)</f>
        <v>0</v>
      </c>
      <c r="T546" s="48">
        <f>IF(Учет!$O546=Справочники!$F$5,Учет!$H546,0)</f>
        <v>0</v>
      </c>
      <c r="U546" s="48">
        <f>IF(Учет!$O546=Справочники!$F$6,Учет!$H546,0)</f>
        <v>0</v>
      </c>
      <c r="V546" s="43">
        <f>V545+Учет!Q546-Q546</f>
        <v>-488978.92000000004</v>
      </c>
      <c r="W546" s="43">
        <f>W545+Учет!R546-R546</f>
        <v>336855</v>
      </c>
      <c r="X546" s="43">
        <f>X545+Учет!S546-S546</f>
        <v>500</v>
      </c>
      <c r="Y546" s="43">
        <f>Y545+Учет!T546-T546</f>
        <v>1150</v>
      </c>
      <c r="Z546" s="43">
        <f>Z545+Учет!U546-U546</f>
        <v>500000</v>
      </c>
      <c r="AA546" s="45">
        <f>Учет!X546</f>
        <v>500</v>
      </c>
    </row>
    <row r="547" spans="1:27" ht="15" customHeight="1" x14ac:dyDescent="0.25">
      <c r="A547" s="1"/>
      <c r="B547" s="17"/>
      <c r="C547" s="17"/>
      <c r="D547" s="17"/>
      <c r="E547" s="17"/>
      <c r="F547" s="17"/>
      <c r="G547" s="4">
        <f t="shared" si="21"/>
        <v>0</v>
      </c>
      <c r="H547" s="17"/>
      <c r="I547" s="4">
        <f t="shared" si="23"/>
        <v>349526.07999999996</v>
      </c>
      <c r="J547" s="32" t="str">
        <f t="shared" si="22"/>
        <v/>
      </c>
      <c r="K547" s="72"/>
      <c r="L547" s="72"/>
      <c r="M547" s="2"/>
      <c r="N547" s="5"/>
      <c r="O547" s="3"/>
      <c r="P547" s="6"/>
      <c r="Q547" s="48">
        <f>IF(Учет!$O547=Справочники!$F$2,Учет!$H547,0)</f>
        <v>0</v>
      </c>
      <c r="R547" s="48">
        <f>IF(Учет!$O547=Справочники!$F$3,Учет!$H547,0)</f>
        <v>0</v>
      </c>
      <c r="S547" s="48">
        <f>IF(Учет!$O547=Справочники!$F$4,Учет!$H547,0)</f>
        <v>0</v>
      </c>
      <c r="T547" s="48">
        <f>IF(Учет!$O547=Справочники!$F$5,Учет!$H547,0)</f>
        <v>0</v>
      </c>
      <c r="U547" s="48">
        <f>IF(Учет!$O547=Справочники!$F$6,Учет!$H547,0)</f>
        <v>0</v>
      </c>
      <c r="V547" s="43">
        <f>V546+Учет!Q547-Q547</f>
        <v>-488978.92000000004</v>
      </c>
      <c r="W547" s="43">
        <f>W546+Учет!R547-R547</f>
        <v>336855</v>
      </c>
      <c r="X547" s="43">
        <f>X546+Учет!S547-S547</f>
        <v>500</v>
      </c>
      <c r="Y547" s="43">
        <f>Y546+Учет!T547-T547</f>
        <v>1150</v>
      </c>
      <c r="Z547" s="43">
        <f>Z546+Учет!U547-U547</f>
        <v>500000</v>
      </c>
      <c r="AA547" s="45">
        <f>Учет!X547</f>
        <v>500</v>
      </c>
    </row>
    <row r="548" spans="1:27" ht="15" customHeight="1" x14ac:dyDescent="0.25">
      <c r="A548" s="1"/>
      <c r="B548" s="17"/>
      <c r="C548" s="17"/>
      <c r="D548" s="17"/>
      <c r="E548" s="17"/>
      <c r="F548" s="17"/>
      <c r="G548" s="4">
        <f t="shared" si="21"/>
        <v>0</v>
      </c>
      <c r="H548" s="17"/>
      <c r="I548" s="4">
        <f t="shared" si="23"/>
        <v>349526.07999999996</v>
      </c>
      <c r="J548" s="32" t="str">
        <f t="shared" si="22"/>
        <v/>
      </c>
      <c r="K548" s="72"/>
      <c r="L548" s="72"/>
      <c r="M548" s="2"/>
      <c r="N548" s="5"/>
      <c r="O548" s="3"/>
      <c r="P548" s="6"/>
      <c r="Q548" s="48">
        <f>IF(Учет!$O548=Справочники!$F$2,Учет!$H548,0)</f>
        <v>0</v>
      </c>
      <c r="R548" s="48">
        <f>IF(Учет!$O548=Справочники!$F$3,Учет!$H548,0)</f>
        <v>0</v>
      </c>
      <c r="S548" s="48">
        <f>IF(Учет!$O548=Справочники!$F$4,Учет!$H548,0)</f>
        <v>0</v>
      </c>
      <c r="T548" s="48">
        <f>IF(Учет!$O548=Справочники!$F$5,Учет!$H548,0)</f>
        <v>0</v>
      </c>
      <c r="U548" s="48">
        <f>IF(Учет!$O548=Справочники!$F$6,Учет!$H548,0)</f>
        <v>0</v>
      </c>
      <c r="V548" s="43">
        <f>V547+Учет!Q548-Q548</f>
        <v>-488978.92000000004</v>
      </c>
      <c r="W548" s="43">
        <f>W547+Учет!R548-R548</f>
        <v>336855</v>
      </c>
      <c r="X548" s="43">
        <f>X547+Учет!S548-S548</f>
        <v>500</v>
      </c>
      <c r="Y548" s="43">
        <f>Y547+Учет!T548-T548</f>
        <v>1150</v>
      </c>
      <c r="Z548" s="43">
        <f>Z547+Учет!U548-U548</f>
        <v>500000</v>
      </c>
      <c r="AA548" s="45">
        <f>Учет!X548</f>
        <v>500</v>
      </c>
    </row>
    <row r="549" spans="1:27" ht="15" customHeight="1" x14ac:dyDescent="0.25">
      <c r="A549" s="1"/>
      <c r="B549" s="17"/>
      <c r="C549" s="17"/>
      <c r="D549" s="17"/>
      <c r="E549" s="17"/>
      <c r="F549" s="17"/>
      <c r="G549" s="4">
        <f t="shared" si="21"/>
        <v>0</v>
      </c>
      <c r="H549" s="17"/>
      <c r="I549" s="4">
        <f t="shared" si="23"/>
        <v>349526.07999999996</v>
      </c>
      <c r="J549" s="32" t="str">
        <f t="shared" si="22"/>
        <v/>
      </c>
      <c r="K549" s="72"/>
      <c r="L549" s="72"/>
      <c r="M549" s="2"/>
      <c r="N549" s="5"/>
      <c r="O549" s="3"/>
      <c r="P549" s="6"/>
      <c r="Q549" s="48">
        <f>IF(Учет!$O549=Справочники!$F$2,Учет!$H549,0)</f>
        <v>0</v>
      </c>
      <c r="R549" s="48">
        <f>IF(Учет!$O549=Справочники!$F$3,Учет!$H549,0)</f>
        <v>0</v>
      </c>
      <c r="S549" s="48">
        <f>IF(Учет!$O549=Справочники!$F$4,Учет!$H549,0)</f>
        <v>0</v>
      </c>
      <c r="T549" s="48">
        <f>IF(Учет!$O549=Справочники!$F$5,Учет!$H549,0)</f>
        <v>0</v>
      </c>
      <c r="U549" s="48">
        <f>IF(Учет!$O549=Справочники!$F$6,Учет!$H549,0)</f>
        <v>0</v>
      </c>
      <c r="V549" s="43">
        <f>V548+Учет!Q549-Q549</f>
        <v>-488978.92000000004</v>
      </c>
      <c r="W549" s="43">
        <f>W548+Учет!R549-R549</f>
        <v>336855</v>
      </c>
      <c r="X549" s="43">
        <f>X548+Учет!S549-S549</f>
        <v>500</v>
      </c>
      <c r="Y549" s="43">
        <f>Y548+Учет!T549-T549</f>
        <v>1150</v>
      </c>
      <c r="Z549" s="43">
        <f>Z548+Учет!U549-U549</f>
        <v>500000</v>
      </c>
      <c r="AA549" s="45">
        <f>Учет!X549</f>
        <v>500</v>
      </c>
    </row>
    <row r="550" spans="1:27" ht="15" customHeight="1" x14ac:dyDescent="0.25">
      <c r="A550" s="1"/>
      <c r="B550" s="17"/>
      <c r="C550" s="17"/>
      <c r="D550" s="17"/>
      <c r="E550" s="17"/>
      <c r="F550" s="17"/>
      <c r="G550" s="4">
        <f t="shared" si="21"/>
        <v>0</v>
      </c>
      <c r="H550" s="17"/>
      <c r="I550" s="4">
        <f t="shared" si="23"/>
        <v>349526.07999999996</v>
      </c>
      <c r="J550" s="32" t="str">
        <f t="shared" si="22"/>
        <v/>
      </c>
      <c r="K550" s="72"/>
      <c r="L550" s="72"/>
      <c r="M550" s="2"/>
      <c r="N550" s="5"/>
      <c r="O550" s="3"/>
      <c r="P550" s="6"/>
      <c r="Q550" s="48">
        <f>IF(Учет!$O550=Справочники!$F$2,Учет!$H550,0)</f>
        <v>0</v>
      </c>
      <c r="R550" s="48">
        <f>IF(Учет!$O550=Справочники!$F$3,Учет!$H550,0)</f>
        <v>0</v>
      </c>
      <c r="S550" s="48">
        <f>IF(Учет!$O550=Справочники!$F$4,Учет!$H550,0)</f>
        <v>0</v>
      </c>
      <c r="T550" s="48">
        <f>IF(Учет!$O550=Справочники!$F$5,Учет!$H550,0)</f>
        <v>0</v>
      </c>
      <c r="U550" s="48">
        <f>IF(Учет!$O550=Справочники!$F$6,Учет!$H550,0)</f>
        <v>0</v>
      </c>
      <c r="V550" s="43">
        <f>V549+Учет!Q550-Q550</f>
        <v>-488978.92000000004</v>
      </c>
      <c r="W550" s="43">
        <f>W549+Учет!R550-R550</f>
        <v>336855</v>
      </c>
      <c r="X550" s="43">
        <f>X549+Учет!S550-S550</f>
        <v>500</v>
      </c>
      <c r="Y550" s="43">
        <f>Y549+Учет!T550-T550</f>
        <v>1150</v>
      </c>
      <c r="Z550" s="43">
        <f>Z549+Учет!U550-U550</f>
        <v>500000</v>
      </c>
      <c r="AA550" s="45">
        <f>Учет!X550</f>
        <v>500</v>
      </c>
    </row>
    <row r="551" spans="1:27" ht="15" customHeight="1" x14ac:dyDescent="0.25">
      <c r="A551" s="1"/>
      <c r="B551" s="17"/>
      <c r="C551" s="17"/>
      <c r="D551" s="17"/>
      <c r="E551" s="17"/>
      <c r="F551" s="17"/>
      <c r="G551" s="4">
        <f t="shared" si="21"/>
        <v>0</v>
      </c>
      <c r="H551" s="17"/>
      <c r="I551" s="4">
        <f t="shared" si="23"/>
        <v>349526.07999999996</v>
      </c>
      <c r="J551" s="32" t="str">
        <f t="shared" si="22"/>
        <v/>
      </c>
      <c r="K551" s="72"/>
      <c r="L551" s="72"/>
      <c r="M551" s="2"/>
      <c r="N551" s="5"/>
      <c r="O551" s="3"/>
      <c r="P551" s="6"/>
      <c r="Q551" s="48">
        <f>IF(Учет!$O551=Справочники!$F$2,Учет!$H551,0)</f>
        <v>0</v>
      </c>
      <c r="R551" s="48">
        <f>IF(Учет!$O551=Справочники!$F$3,Учет!$H551,0)</f>
        <v>0</v>
      </c>
      <c r="S551" s="48">
        <f>IF(Учет!$O551=Справочники!$F$4,Учет!$H551,0)</f>
        <v>0</v>
      </c>
      <c r="T551" s="48">
        <f>IF(Учет!$O551=Справочники!$F$5,Учет!$H551,0)</f>
        <v>0</v>
      </c>
      <c r="U551" s="48">
        <f>IF(Учет!$O551=Справочники!$F$6,Учет!$H551,0)</f>
        <v>0</v>
      </c>
      <c r="V551" s="43">
        <f>V550+Учет!Q551-Q551</f>
        <v>-488978.92000000004</v>
      </c>
      <c r="W551" s="43">
        <f>W550+Учет!R551-R551</f>
        <v>336855</v>
      </c>
      <c r="X551" s="43">
        <f>X550+Учет!S551-S551</f>
        <v>500</v>
      </c>
      <c r="Y551" s="43">
        <f>Y550+Учет!T551-T551</f>
        <v>1150</v>
      </c>
      <c r="Z551" s="43">
        <f>Z550+Учет!U551-U551</f>
        <v>500000</v>
      </c>
      <c r="AA551" s="45">
        <f>Учет!X551</f>
        <v>500</v>
      </c>
    </row>
    <row r="552" spans="1:27" ht="15" customHeight="1" x14ac:dyDescent="0.25">
      <c r="A552" s="1"/>
      <c r="B552" s="17"/>
      <c r="C552" s="17"/>
      <c r="D552" s="17"/>
      <c r="E552" s="17"/>
      <c r="F552" s="17"/>
      <c r="G552" s="4">
        <f t="shared" si="21"/>
        <v>0</v>
      </c>
      <c r="H552" s="17"/>
      <c r="I552" s="4">
        <f t="shared" si="23"/>
        <v>349526.07999999996</v>
      </c>
      <c r="J552" s="32" t="str">
        <f t="shared" si="22"/>
        <v/>
      </c>
      <c r="K552" s="72"/>
      <c r="L552" s="72"/>
      <c r="M552" s="2"/>
      <c r="N552" s="5"/>
      <c r="O552" s="3"/>
      <c r="P552" s="6"/>
      <c r="Q552" s="48">
        <f>IF(Учет!$O552=Справочники!$F$2,Учет!$H552,0)</f>
        <v>0</v>
      </c>
      <c r="R552" s="48">
        <f>IF(Учет!$O552=Справочники!$F$3,Учет!$H552,0)</f>
        <v>0</v>
      </c>
      <c r="S552" s="48">
        <f>IF(Учет!$O552=Справочники!$F$4,Учет!$H552,0)</f>
        <v>0</v>
      </c>
      <c r="T552" s="48">
        <f>IF(Учет!$O552=Справочники!$F$5,Учет!$H552,0)</f>
        <v>0</v>
      </c>
      <c r="U552" s="48">
        <f>IF(Учет!$O552=Справочники!$F$6,Учет!$H552,0)</f>
        <v>0</v>
      </c>
      <c r="V552" s="43">
        <f>V551+Учет!Q552-Q552</f>
        <v>-488978.92000000004</v>
      </c>
      <c r="W552" s="43">
        <f>W551+Учет!R552-R552</f>
        <v>336855</v>
      </c>
      <c r="X552" s="43">
        <f>X551+Учет!S552-S552</f>
        <v>500</v>
      </c>
      <c r="Y552" s="43">
        <f>Y551+Учет!T552-T552</f>
        <v>1150</v>
      </c>
      <c r="Z552" s="43">
        <f>Z551+Учет!U552-U552</f>
        <v>500000</v>
      </c>
      <c r="AA552" s="45">
        <f>Учет!X552</f>
        <v>500</v>
      </c>
    </row>
    <row r="553" spans="1:27" ht="15" customHeight="1" x14ac:dyDescent="0.25">
      <c r="A553" s="1"/>
      <c r="B553" s="17"/>
      <c r="C553" s="17"/>
      <c r="D553" s="17"/>
      <c r="E553" s="17"/>
      <c r="F553" s="17"/>
      <c r="G553" s="4">
        <f t="shared" si="21"/>
        <v>0</v>
      </c>
      <c r="H553" s="17"/>
      <c r="I553" s="4">
        <f t="shared" si="23"/>
        <v>349526.07999999996</v>
      </c>
      <c r="J553" s="32" t="str">
        <f t="shared" si="22"/>
        <v/>
      </c>
      <c r="K553" s="72"/>
      <c r="L553" s="72"/>
      <c r="M553" s="2"/>
      <c r="N553" s="5"/>
      <c r="O553" s="3"/>
      <c r="P553" s="6"/>
      <c r="Q553" s="48">
        <f>IF(Учет!$O553=Справочники!$F$2,Учет!$H553,0)</f>
        <v>0</v>
      </c>
      <c r="R553" s="48">
        <f>IF(Учет!$O553=Справочники!$F$3,Учет!$H553,0)</f>
        <v>0</v>
      </c>
      <c r="S553" s="48">
        <f>IF(Учет!$O553=Справочники!$F$4,Учет!$H553,0)</f>
        <v>0</v>
      </c>
      <c r="T553" s="48">
        <f>IF(Учет!$O553=Справочники!$F$5,Учет!$H553,0)</f>
        <v>0</v>
      </c>
      <c r="U553" s="48">
        <f>IF(Учет!$O553=Справочники!$F$6,Учет!$H553,0)</f>
        <v>0</v>
      </c>
      <c r="V553" s="43">
        <f>V552+Учет!Q553-Q553</f>
        <v>-488978.92000000004</v>
      </c>
      <c r="W553" s="43">
        <f>W552+Учет!R553-R553</f>
        <v>336855</v>
      </c>
      <c r="X553" s="43">
        <f>X552+Учет!S553-S553</f>
        <v>500</v>
      </c>
      <c r="Y553" s="43">
        <f>Y552+Учет!T553-T553</f>
        <v>1150</v>
      </c>
      <c r="Z553" s="43">
        <f>Z552+Учет!U553-U553</f>
        <v>500000</v>
      </c>
      <c r="AA553" s="45">
        <f>Учет!X553</f>
        <v>500</v>
      </c>
    </row>
    <row r="554" spans="1:27" ht="15" customHeight="1" x14ac:dyDescent="0.25">
      <c r="A554" s="1"/>
      <c r="B554" s="17"/>
      <c r="C554" s="17"/>
      <c r="D554" s="17"/>
      <c r="E554" s="17"/>
      <c r="F554" s="17"/>
      <c r="G554" s="4">
        <f t="shared" si="21"/>
        <v>0</v>
      </c>
      <c r="H554" s="17"/>
      <c r="I554" s="4">
        <f t="shared" si="23"/>
        <v>349526.07999999996</v>
      </c>
      <c r="J554" s="32" t="str">
        <f t="shared" si="22"/>
        <v/>
      </c>
      <c r="K554" s="72"/>
      <c r="L554" s="72"/>
      <c r="M554" s="2"/>
      <c r="N554" s="5"/>
      <c r="O554" s="3"/>
      <c r="P554" s="6"/>
      <c r="Q554" s="48">
        <f>IF(Учет!$O554=Справочники!$F$2,Учет!$H554,0)</f>
        <v>0</v>
      </c>
      <c r="R554" s="48">
        <f>IF(Учет!$O554=Справочники!$F$3,Учет!$H554,0)</f>
        <v>0</v>
      </c>
      <c r="S554" s="48">
        <f>IF(Учет!$O554=Справочники!$F$4,Учет!$H554,0)</f>
        <v>0</v>
      </c>
      <c r="T554" s="48">
        <f>IF(Учет!$O554=Справочники!$F$5,Учет!$H554,0)</f>
        <v>0</v>
      </c>
      <c r="U554" s="48">
        <f>IF(Учет!$O554=Справочники!$F$6,Учет!$H554,0)</f>
        <v>0</v>
      </c>
      <c r="V554" s="43">
        <f>V553+Учет!Q554-Q554</f>
        <v>-488978.92000000004</v>
      </c>
      <c r="W554" s="43">
        <f>W553+Учет!R554-R554</f>
        <v>336855</v>
      </c>
      <c r="X554" s="43">
        <f>X553+Учет!S554-S554</f>
        <v>500</v>
      </c>
      <c r="Y554" s="43">
        <f>Y553+Учет!T554-T554</f>
        <v>1150</v>
      </c>
      <c r="Z554" s="43">
        <f>Z553+Учет!U554-U554</f>
        <v>500000</v>
      </c>
      <c r="AA554" s="45">
        <f>Учет!X554</f>
        <v>500</v>
      </c>
    </row>
    <row r="555" spans="1:27" ht="15" customHeight="1" x14ac:dyDescent="0.25">
      <c r="A555" s="1"/>
      <c r="B555" s="17"/>
      <c r="C555" s="17"/>
      <c r="D555" s="17"/>
      <c r="E555" s="17"/>
      <c r="F555" s="17"/>
      <c r="G555" s="4">
        <f t="shared" si="21"/>
        <v>0</v>
      </c>
      <c r="H555" s="17"/>
      <c r="I555" s="4">
        <f t="shared" si="23"/>
        <v>349526.07999999996</v>
      </c>
      <c r="J555" s="32" t="str">
        <f t="shared" si="22"/>
        <v/>
      </c>
      <c r="K555" s="72"/>
      <c r="L555" s="72"/>
      <c r="M555" s="2"/>
      <c r="N555" s="5"/>
      <c r="O555" s="3"/>
      <c r="P555" s="6"/>
      <c r="Q555" s="48">
        <f>IF(Учет!$O555=Справочники!$F$2,Учет!$H555,0)</f>
        <v>0</v>
      </c>
      <c r="R555" s="48">
        <f>IF(Учет!$O555=Справочники!$F$3,Учет!$H555,0)</f>
        <v>0</v>
      </c>
      <c r="S555" s="48">
        <f>IF(Учет!$O555=Справочники!$F$4,Учет!$H555,0)</f>
        <v>0</v>
      </c>
      <c r="T555" s="48">
        <f>IF(Учет!$O555=Справочники!$F$5,Учет!$H555,0)</f>
        <v>0</v>
      </c>
      <c r="U555" s="48">
        <f>IF(Учет!$O555=Справочники!$F$6,Учет!$H555,0)</f>
        <v>0</v>
      </c>
      <c r="V555" s="43">
        <f>V554+Учет!Q555-Q555</f>
        <v>-488978.92000000004</v>
      </c>
      <c r="W555" s="43">
        <f>W554+Учет!R555-R555</f>
        <v>336855</v>
      </c>
      <c r="X555" s="43">
        <f>X554+Учет!S555-S555</f>
        <v>500</v>
      </c>
      <c r="Y555" s="43">
        <f>Y554+Учет!T555-T555</f>
        <v>1150</v>
      </c>
      <c r="Z555" s="43">
        <f>Z554+Учет!U555-U555</f>
        <v>500000</v>
      </c>
      <c r="AA555" s="45">
        <f>Учет!X555</f>
        <v>500</v>
      </c>
    </row>
    <row r="556" spans="1:27" ht="15" customHeight="1" x14ac:dyDescent="0.25">
      <c r="A556" s="1"/>
      <c r="B556" s="17"/>
      <c r="C556" s="17"/>
      <c r="D556" s="17"/>
      <c r="E556" s="17"/>
      <c r="F556" s="17"/>
      <c r="G556" s="4">
        <f t="shared" si="21"/>
        <v>0</v>
      </c>
      <c r="H556" s="17"/>
      <c r="I556" s="4">
        <f t="shared" si="23"/>
        <v>349526.07999999996</v>
      </c>
      <c r="J556" s="32" t="str">
        <f t="shared" si="22"/>
        <v/>
      </c>
      <c r="K556" s="72"/>
      <c r="L556" s="72"/>
      <c r="M556" s="2"/>
      <c r="N556" s="5"/>
      <c r="O556" s="3"/>
      <c r="P556" s="6"/>
      <c r="Q556" s="48">
        <f>IF(Учет!$O556=Справочники!$F$2,Учет!$H556,0)</f>
        <v>0</v>
      </c>
      <c r="R556" s="48">
        <f>IF(Учет!$O556=Справочники!$F$3,Учет!$H556,0)</f>
        <v>0</v>
      </c>
      <c r="S556" s="48">
        <f>IF(Учет!$O556=Справочники!$F$4,Учет!$H556,0)</f>
        <v>0</v>
      </c>
      <c r="T556" s="48">
        <f>IF(Учет!$O556=Справочники!$F$5,Учет!$H556,0)</f>
        <v>0</v>
      </c>
      <c r="U556" s="48">
        <f>IF(Учет!$O556=Справочники!$F$6,Учет!$H556,0)</f>
        <v>0</v>
      </c>
      <c r="V556" s="43">
        <f>V555+Учет!Q556-Q556</f>
        <v>-488978.92000000004</v>
      </c>
      <c r="W556" s="43">
        <f>W555+Учет!R556-R556</f>
        <v>336855</v>
      </c>
      <c r="X556" s="43">
        <f>X555+Учет!S556-S556</f>
        <v>500</v>
      </c>
      <c r="Y556" s="43">
        <f>Y555+Учет!T556-T556</f>
        <v>1150</v>
      </c>
      <c r="Z556" s="43">
        <f>Z555+Учет!U556-U556</f>
        <v>500000</v>
      </c>
      <c r="AA556" s="45">
        <f>Учет!X556</f>
        <v>500</v>
      </c>
    </row>
    <row r="557" spans="1:27" ht="15" customHeight="1" x14ac:dyDescent="0.25">
      <c r="A557" s="1"/>
      <c r="B557" s="17"/>
      <c r="C557" s="17"/>
      <c r="D557" s="17"/>
      <c r="E557" s="17"/>
      <c r="F557" s="17"/>
      <c r="G557" s="4">
        <f t="shared" si="21"/>
        <v>0</v>
      </c>
      <c r="H557" s="17"/>
      <c r="I557" s="4">
        <f t="shared" si="23"/>
        <v>349526.07999999996</v>
      </c>
      <c r="J557" s="32" t="str">
        <f t="shared" si="22"/>
        <v/>
      </c>
      <c r="K557" s="72"/>
      <c r="L557" s="72"/>
      <c r="M557" s="2"/>
      <c r="N557" s="5"/>
      <c r="O557" s="3"/>
      <c r="P557" s="6"/>
      <c r="Q557" s="48">
        <f>IF(Учет!$O557=Справочники!$F$2,Учет!$H557,0)</f>
        <v>0</v>
      </c>
      <c r="R557" s="48">
        <f>IF(Учет!$O557=Справочники!$F$3,Учет!$H557,0)</f>
        <v>0</v>
      </c>
      <c r="S557" s="48">
        <f>IF(Учет!$O557=Справочники!$F$4,Учет!$H557,0)</f>
        <v>0</v>
      </c>
      <c r="T557" s="48">
        <f>IF(Учет!$O557=Справочники!$F$5,Учет!$H557,0)</f>
        <v>0</v>
      </c>
      <c r="U557" s="48">
        <f>IF(Учет!$O557=Справочники!$F$6,Учет!$H557,0)</f>
        <v>0</v>
      </c>
      <c r="V557" s="43">
        <f>V556+Учет!Q557-Q557</f>
        <v>-488978.92000000004</v>
      </c>
      <c r="W557" s="43">
        <f>W556+Учет!R557-R557</f>
        <v>336855</v>
      </c>
      <c r="X557" s="43">
        <f>X556+Учет!S557-S557</f>
        <v>500</v>
      </c>
      <c r="Y557" s="43">
        <f>Y556+Учет!T557-T557</f>
        <v>1150</v>
      </c>
      <c r="Z557" s="43">
        <f>Z556+Учет!U557-U557</f>
        <v>500000</v>
      </c>
      <c r="AA557" s="45">
        <f>Учет!X557</f>
        <v>500</v>
      </c>
    </row>
    <row r="558" spans="1:27" ht="15" customHeight="1" x14ac:dyDescent="0.25">
      <c r="A558" s="1"/>
      <c r="B558" s="17"/>
      <c r="C558" s="17"/>
      <c r="D558" s="17"/>
      <c r="E558" s="17"/>
      <c r="F558" s="17"/>
      <c r="G558" s="4">
        <f t="shared" si="21"/>
        <v>0</v>
      </c>
      <c r="H558" s="17"/>
      <c r="I558" s="4">
        <f t="shared" si="23"/>
        <v>349526.07999999996</v>
      </c>
      <c r="J558" s="32" t="str">
        <f t="shared" si="22"/>
        <v/>
      </c>
      <c r="K558" s="72"/>
      <c r="L558" s="72"/>
      <c r="M558" s="2"/>
      <c r="N558" s="5"/>
      <c r="O558" s="3"/>
      <c r="P558" s="6"/>
      <c r="Q558" s="48">
        <f>IF(Учет!$O558=Справочники!$F$2,Учет!$H558,0)</f>
        <v>0</v>
      </c>
      <c r="R558" s="48">
        <f>IF(Учет!$O558=Справочники!$F$3,Учет!$H558,0)</f>
        <v>0</v>
      </c>
      <c r="S558" s="48">
        <f>IF(Учет!$O558=Справочники!$F$4,Учет!$H558,0)</f>
        <v>0</v>
      </c>
      <c r="T558" s="48">
        <f>IF(Учет!$O558=Справочники!$F$5,Учет!$H558,0)</f>
        <v>0</v>
      </c>
      <c r="U558" s="48">
        <f>IF(Учет!$O558=Справочники!$F$6,Учет!$H558,0)</f>
        <v>0</v>
      </c>
      <c r="V558" s="43">
        <f>V557+Учет!Q558-Q558</f>
        <v>-488978.92000000004</v>
      </c>
      <c r="W558" s="43">
        <f>W557+Учет!R558-R558</f>
        <v>336855</v>
      </c>
      <c r="X558" s="43">
        <f>X557+Учет!S558-S558</f>
        <v>500</v>
      </c>
      <c r="Y558" s="43">
        <f>Y557+Учет!T558-T558</f>
        <v>1150</v>
      </c>
      <c r="Z558" s="43">
        <f>Z557+Учет!U558-U558</f>
        <v>500000</v>
      </c>
      <c r="AA558" s="45">
        <f>Учет!X558</f>
        <v>500</v>
      </c>
    </row>
    <row r="559" spans="1:27" ht="15" customHeight="1" x14ac:dyDescent="0.25">
      <c r="A559" s="1"/>
      <c r="B559" s="17"/>
      <c r="C559" s="17"/>
      <c r="D559" s="17"/>
      <c r="E559" s="17"/>
      <c r="F559" s="17"/>
      <c r="G559" s="4">
        <f t="shared" si="21"/>
        <v>0</v>
      </c>
      <c r="H559" s="17"/>
      <c r="I559" s="4">
        <f t="shared" si="23"/>
        <v>349526.07999999996</v>
      </c>
      <c r="J559" s="32" t="str">
        <f t="shared" si="22"/>
        <v/>
      </c>
      <c r="K559" s="72"/>
      <c r="L559" s="72"/>
      <c r="M559" s="2"/>
      <c r="N559" s="5"/>
      <c r="O559" s="3"/>
      <c r="P559" s="6"/>
      <c r="Q559" s="48">
        <f>IF(Учет!$O559=Справочники!$F$2,Учет!$H559,0)</f>
        <v>0</v>
      </c>
      <c r="R559" s="48">
        <f>IF(Учет!$O559=Справочники!$F$3,Учет!$H559,0)</f>
        <v>0</v>
      </c>
      <c r="S559" s="48">
        <f>IF(Учет!$O559=Справочники!$F$4,Учет!$H559,0)</f>
        <v>0</v>
      </c>
      <c r="T559" s="48">
        <f>IF(Учет!$O559=Справочники!$F$5,Учет!$H559,0)</f>
        <v>0</v>
      </c>
      <c r="U559" s="48">
        <f>IF(Учет!$O559=Справочники!$F$6,Учет!$H559,0)</f>
        <v>0</v>
      </c>
      <c r="V559" s="43">
        <f>V558+Учет!Q559-Q559</f>
        <v>-488978.92000000004</v>
      </c>
      <c r="W559" s="43">
        <f>W558+Учет!R559-R559</f>
        <v>336855</v>
      </c>
      <c r="X559" s="43">
        <f>X558+Учет!S559-S559</f>
        <v>500</v>
      </c>
      <c r="Y559" s="43">
        <f>Y558+Учет!T559-T559</f>
        <v>1150</v>
      </c>
      <c r="Z559" s="43">
        <f>Z558+Учет!U559-U559</f>
        <v>500000</v>
      </c>
      <c r="AA559" s="45">
        <f>Учет!X559</f>
        <v>500</v>
      </c>
    </row>
    <row r="560" spans="1:27" ht="15" customHeight="1" x14ac:dyDescent="0.25">
      <c r="A560" s="1"/>
      <c r="B560" s="17"/>
      <c r="C560" s="17"/>
      <c r="D560" s="17"/>
      <c r="E560" s="17"/>
      <c r="F560" s="17"/>
      <c r="G560" s="4">
        <f t="shared" si="21"/>
        <v>0</v>
      </c>
      <c r="H560" s="17"/>
      <c r="I560" s="4">
        <f t="shared" si="23"/>
        <v>349526.07999999996</v>
      </c>
      <c r="J560" s="32" t="str">
        <f t="shared" si="22"/>
        <v/>
      </c>
      <c r="K560" s="72"/>
      <c r="L560" s="72"/>
      <c r="M560" s="2"/>
      <c r="N560" s="5"/>
      <c r="O560" s="3"/>
      <c r="P560" s="6"/>
      <c r="Q560" s="48">
        <f>IF(Учет!$O560=Справочники!$F$2,Учет!$H560,0)</f>
        <v>0</v>
      </c>
      <c r="R560" s="48">
        <f>IF(Учет!$O560=Справочники!$F$3,Учет!$H560,0)</f>
        <v>0</v>
      </c>
      <c r="S560" s="48">
        <f>IF(Учет!$O560=Справочники!$F$4,Учет!$H560,0)</f>
        <v>0</v>
      </c>
      <c r="T560" s="48">
        <f>IF(Учет!$O560=Справочники!$F$5,Учет!$H560,0)</f>
        <v>0</v>
      </c>
      <c r="U560" s="48">
        <f>IF(Учет!$O560=Справочники!$F$6,Учет!$H560,0)</f>
        <v>0</v>
      </c>
      <c r="V560" s="43">
        <f>V559+Учет!Q560-Q560</f>
        <v>-488978.92000000004</v>
      </c>
      <c r="W560" s="43">
        <f>W559+Учет!R560-R560</f>
        <v>336855</v>
      </c>
      <c r="X560" s="43">
        <f>X559+Учет!S560-S560</f>
        <v>500</v>
      </c>
      <c r="Y560" s="43">
        <f>Y559+Учет!T560-T560</f>
        <v>1150</v>
      </c>
      <c r="Z560" s="43">
        <f>Z559+Учет!U560-U560</f>
        <v>500000</v>
      </c>
      <c r="AA560" s="45">
        <f>Учет!X560</f>
        <v>500</v>
      </c>
    </row>
    <row r="561" spans="1:27" ht="15" customHeight="1" x14ac:dyDescent="0.25">
      <c r="A561" s="1"/>
      <c r="B561" s="17"/>
      <c r="C561" s="17"/>
      <c r="D561" s="17"/>
      <c r="E561" s="17"/>
      <c r="F561" s="17"/>
      <c r="G561" s="4">
        <f t="shared" si="21"/>
        <v>0</v>
      </c>
      <c r="H561" s="17"/>
      <c r="I561" s="4">
        <f t="shared" si="23"/>
        <v>349526.07999999996</v>
      </c>
      <c r="J561" s="32" t="str">
        <f t="shared" si="22"/>
        <v/>
      </c>
      <c r="K561" s="72"/>
      <c r="L561" s="72"/>
      <c r="M561" s="2"/>
      <c r="N561" s="5"/>
      <c r="O561" s="3"/>
      <c r="P561" s="6"/>
      <c r="Q561" s="48">
        <f>IF(Учет!$O561=Справочники!$F$2,Учет!$H561,0)</f>
        <v>0</v>
      </c>
      <c r="R561" s="48">
        <f>IF(Учет!$O561=Справочники!$F$3,Учет!$H561,0)</f>
        <v>0</v>
      </c>
      <c r="S561" s="48">
        <f>IF(Учет!$O561=Справочники!$F$4,Учет!$H561,0)</f>
        <v>0</v>
      </c>
      <c r="T561" s="48">
        <f>IF(Учет!$O561=Справочники!$F$5,Учет!$H561,0)</f>
        <v>0</v>
      </c>
      <c r="U561" s="48">
        <f>IF(Учет!$O561=Справочники!$F$6,Учет!$H561,0)</f>
        <v>0</v>
      </c>
      <c r="V561" s="43">
        <f>V560+Учет!Q561-Q561</f>
        <v>-488978.92000000004</v>
      </c>
      <c r="W561" s="43">
        <f>W560+Учет!R561-R561</f>
        <v>336855</v>
      </c>
      <c r="X561" s="43">
        <f>X560+Учет!S561-S561</f>
        <v>500</v>
      </c>
      <c r="Y561" s="43">
        <f>Y560+Учет!T561-T561</f>
        <v>1150</v>
      </c>
      <c r="Z561" s="43">
        <f>Z560+Учет!U561-U561</f>
        <v>500000</v>
      </c>
      <c r="AA561" s="45">
        <f>Учет!X561</f>
        <v>500</v>
      </c>
    </row>
    <row r="562" spans="1:27" ht="15" customHeight="1" x14ac:dyDescent="0.25">
      <c r="A562" s="1"/>
      <c r="B562" s="17"/>
      <c r="C562" s="17"/>
      <c r="D562" s="17"/>
      <c r="E562" s="17"/>
      <c r="F562" s="17"/>
      <c r="G562" s="4">
        <f t="shared" si="21"/>
        <v>0</v>
      </c>
      <c r="H562" s="17"/>
      <c r="I562" s="4">
        <f t="shared" si="23"/>
        <v>349526.07999999996</v>
      </c>
      <c r="J562" s="32" t="str">
        <f t="shared" si="22"/>
        <v/>
      </c>
      <c r="K562" s="72"/>
      <c r="L562" s="72"/>
      <c r="M562" s="2"/>
      <c r="N562" s="5"/>
      <c r="O562" s="3"/>
      <c r="P562" s="6"/>
      <c r="Q562" s="48">
        <f>IF(Учет!$O562=Справочники!$F$2,Учет!$H562,0)</f>
        <v>0</v>
      </c>
      <c r="R562" s="48">
        <f>IF(Учет!$O562=Справочники!$F$3,Учет!$H562,0)</f>
        <v>0</v>
      </c>
      <c r="S562" s="48">
        <f>IF(Учет!$O562=Справочники!$F$4,Учет!$H562,0)</f>
        <v>0</v>
      </c>
      <c r="T562" s="48">
        <f>IF(Учет!$O562=Справочники!$F$5,Учет!$H562,0)</f>
        <v>0</v>
      </c>
      <c r="U562" s="48">
        <f>IF(Учет!$O562=Справочники!$F$6,Учет!$H562,0)</f>
        <v>0</v>
      </c>
      <c r="V562" s="43">
        <f>V561+Учет!Q562-Q562</f>
        <v>-488978.92000000004</v>
      </c>
      <c r="W562" s="43">
        <f>W561+Учет!R562-R562</f>
        <v>336855</v>
      </c>
      <c r="X562" s="43">
        <f>X561+Учет!S562-S562</f>
        <v>500</v>
      </c>
      <c r="Y562" s="43">
        <f>Y561+Учет!T562-T562</f>
        <v>1150</v>
      </c>
      <c r="Z562" s="43">
        <f>Z561+Учет!U562-U562</f>
        <v>500000</v>
      </c>
      <c r="AA562" s="45">
        <f>Учет!X562</f>
        <v>500</v>
      </c>
    </row>
    <row r="563" spans="1:27" ht="15" customHeight="1" x14ac:dyDescent="0.25">
      <c r="A563" s="1"/>
      <c r="B563" s="17"/>
      <c r="C563" s="17"/>
      <c r="D563" s="17"/>
      <c r="E563" s="17"/>
      <c r="F563" s="17"/>
      <c r="G563" s="4">
        <f t="shared" si="21"/>
        <v>0</v>
      </c>
      <c r="H563" s="17"/>
      <c r="I563" s="4">
        <f t="shared" si="23"/>
        <v>349526.07999999996</v>
      </c>
      <c r="J563" s="32" t="str">
        <f t="shared" si="22"/>
        <v/>
      </c>
      <c r="K563" s="72"/>
      <c r="L563" s="72"/>
      <c r="M563" s="2"/>
      <c r="N563" s="5"/>
      <c r="O563" s="3"/>
      <c r="P563" s="6"/>
      <c r="Q563" s="48">
        <f>IF(Учет!$O563=Справочники!$F$2,Учет!$H563,0)</f>
        <v>0</v>
      </c>
      <c r="R563" s="48">
        <f>IF(Учет!$O563=Справочники!$F$3,Учет!$H563,0)</f>
        <v>0</v>
      </c>
      <c r="S563" s="48">
        <f>IF(Учет!$O563=Справочники!$F$4,Учет!$H563,0)</f>
        <v>0</v>
      </c>
      <c r="T563" s="48">
        <f>IF(Учет!$O563=Справочники!$F$5,Учет!$H563,0)</f>
        <v>0</v>
      </c>
      <c r="U563" s="48">
        <f>IF(Учет!$O563=Справочники!$F$6,Учет!$H563,0)</f>
        <v>0</v>
      </c>
      <c r="V563" s="43">
        <f>V562+Учет!Q563-Q563</f>
        <v>-488978.92000000004</v>
      </c>
      <c r="W563" s="43">
        <f>W562+Учет!R563-R563</f>
        <v>336855</v>
      </c>
      <c r="X563" s="43">
        <f>X562+Учет!S563-S563</f>
        <v>500</v>
      </c>
      <c r="Y563" s="43">
        <f>Y562+Учет!T563-T563</f>
        <v>1150</v>
      </c>
      <c r="Z563" s="43">
        <f>Z562+Учет!U563-U563</f>
        <v>500000</v>
      </c>
      <c r="AA563" s="45">
        <f>Учет!X563</f>
        <v>500</v>
      </c>
    </row>
    <row r="564" spans="1:27" ht="15" customHeight="1" x14ac:dyDescent="0.25">
      <c r="A564" s="1"/>
      <c r="B564" s="17"/>
      <c r="C564" s="17"/>
      <c r="D564" s="17"/>
      <c r="E564" s="17"/>
      <c r="F564" s="17"/>
      <c r="G564" s="4">
        <f t="shared" si="21"/>
        <v>0</v>
      </c>
      <c r="H564" s="17"/>
      <c r="I564" s="4">
        <f t="shared" si="23"/>
        <v>349526.07999999996</v>
      </c>
      <c r="J564" s="32" t="str">
        <f t="shared" si="22"/>
        <v/>
      </c>
      <c r="K564" s="72"/>
      <c r="L564" s="72"/>
      <c r="M564" s="2"/>
      <c r="N564" s="5"/>
      <c r="O564" s="3"/>
      <c r="P564" s="6"/>
      <c r="Q564" s="48">
        <f>IF(Учет!$O564=Справочники!$F$2,Учет!$H564,0)</f>
        <v>0</v>
      </c>
      <c r="R564" s="48">
        <f>IF(Учет!$O564=Справочники!$F$3,Учет!$H564,0)</f>
        <v>0</v>
      </c>
      <c r="S564" s="48">
        <f>IF(Учет!$O564=Справочники!$F$4,Учет!$H564,0)</f>
        <v>0</v>
      </c>
      <c r="T564" s="48">
        <f>IF(Учет!$O564=Справочники!$F$5,Учет!$H564,0)</f>
        <v>0</v>
      </c>
      <c r="U564" s="48">
        <f>IF(Учет!$O564=Справочники!$F$6,Учет!$H564,0)</f>
        <v>0</v>
      </c>
      <c r="V564" s="43">
        <f>V563+Учет!Q564-Q564</f>
        <v>-488978.92000000004</v>
      </c>
      <c r="W564" s="43">
        <f>W563+Учет!R564-R564</f>
        <v>336855</v>
      </c>
      <c r="X564" s="43">
        <f>X563+Учет!S564-S564</f>
        <v>500</v>
      </c>
      <c r="Y564" s="43">
        <f>Y563+Учет!T564-T564</f>
        <v>1150</v>
      </c>
      <c r="Z564" s="43">
        <f>Z563+Учет!U564-U564</f>
        <v>500000</v>
      </c>
      <c r="AA564" s="45">
        <f>Учет!X564</f>
        <v>500</v>
      </c>
    </row>
    <row r="565" spans="1:27" ht="15" customHeight="1" x14ac:dyDescent="0.25">
      <c r="A565" s="1"/>
      <c r="B565" s="17"/>
      <c r="C565" s="17"/>
      <c r="D565" s="17"/>
      <c r="E565" s="17"/>
      <c r="F565" s="17"/>
      <c r="G565" s="4">
        <f t="shared" si="21"/>
        <v>0</v>
      </c>
      <c r="H565" s="17"/>
      <c r="I565" s="4">
        <f t="shared" si="23"/>
        <v>349526.07999999996</v>
      </c>
      <c r="J565" s="32" t="str">
        <f t="shared" si="22"/>
        <v/>
      </c>
      <c r="K565" s="72"/>
      <c r="L565" s="72"/>
      <c r="M565" s="2"/>
      <c r="N565" s="5"/>
      <c r="O565" s="3"/>
      <c r="P565" s="6"/>
      <c r="Q565" s="48">
        <f>IF(Учет!$O565=Справочники!$F$2,Учет!$H565,0)</f>
        <v>0</v>
      </c>
      <c r="R565" s="48">
        <f>IF(Учет!$O565=Справочники!$F$3,Учет!$H565,0)</f>
        <v>0</v>
      </c>
      <c r="S565" s="48">
        <f>IF(Учет!$O565=Справочники!$F$4,Учет!$H565,0)</f>
        <v>0</v>
      </c>
      <c r="T565" s="48">
        <f>IF(Учет!$O565=Справочники!$F$5,Учет!$H565,0)</f>
        <v>0</v>
      </c>
      <c r="U565" s="48">
        <f>IF(Учет!$O565=Справочники!$F$6,Учет!$H565,0)</f>
        <v>0</v>
      </c>
      <c r="V565" s="43">
        <f>V564+Учет!Q565-Q565</f>
        <v>-488978.92000000004</v>
      </c>
      <c r="W565" s="43">
        <f>W564+Учет!R565-R565</f>
        <v>336855</v>
      </c>
      <c r="X565" s="43">
        <f>X564+Учет!S565-S565</f>
        <v>500</v>
      </c>
      <c r="Y565" s="43">
        <f>Y564+Учет!T565-T565</f>
        <v>1150</v>
      </c>
      <c r="Z565" s="43">
        <f>Z564+Учет!U565-U565</f>
        <v>500000</v>
      </c>
      <c r="AA565" s="45">
        <f>Учет!X565</f>
        <v>500</v>
      </c>
    </row>
    <row r="566" spans="1:27" ht="15" customHeight="1" x14ac:dyDescent="0.25">
      <c r="A566" s="1"/>
      <c r="B566" s="17"/>
      <c r="C566" s="17"/>
      <c r="D566" s="17"/>
      <c r="E566" s="17"/>
      <c r="F566" s="17"/>
      <c r="G566" s="4">
        <f t="shared" si="21"/>
        <v>0</v>
      </c>
      <c r="H566" s="17"/>
      <c r="I566" s="4">
        <f t="shared" si="23"/>
        <v>349526.07999999996</v>
      </c>
      <c r="J566" s="32" t="str">
        <f t="shared" si="22"/>
        <v/>
      </c>
      <c r="K566" s="72"/>
      <c r="L566" s="72"/>
      <c r="M566" s="2"/>
      <c r="N566" s="5"/>
      <c r="O566" s="3"/>
      <c r="P566" s="6"/>
      <c r="Q566" s="48">
        <f>IF(Учет!$O566=Справочники!$F$2,Учет!$H566,0)</f>
        <v>0</v>
      </c>
      <c r="R566" s="48">
        <f>IF(Учет!$O566=Справочники!$F$3,Учет!$H566,0)</f>
        <v>0</v>
      </c>
      <c r="S566" s="48">
        <f>IF(Учет!$O566=Справочники!$F$4,Учет!$H566,0)</f>
        <v>0</v>
      </c>
      <c r="T566" s="48">
        <f>IF(Учет!$O566=Справочники!$F$5,Учет!$H566,0)</f>
        <v>0</v>
      </c>
      <c r="U566" s="48">
        <f>IF(Учет!$O566=Справочники!$F$6,Учет!$H566,0)</f>
        <v>0</v>
      </c>
      <c r="V566" s="43">
        <f>V565+Учет!Q566-Q566</f>
        <v>-488978.92000000004</v>
      </c>
      <c r="W566" s="43">
        <f>W565+Учет!R566-R566</f>
        <v>336855</v>
      </c>
      <c r="X566" s="43">
        <f>X565+Учет!S566-S566</f>
        <v>500</v>
      </c>
      <c r="Y566" s="43">
        <f>Y565+Учет!T566-T566</f>
        <v>1150</v>
      </c>
      <c r="Z566" s="43">
        <f>Z565+Учет!U566-U566</f>
        <v>500000</v>
      </c>
      <c r="AA566" s="45">
        <f>Учет!X566</f>
        <v>500</v>
      </c>
    </row>
    <row r="567" spans="1:27" ht="15" customHeight="1" x14ac:dyDescent="0.25">
      <c r="A567" s="1"/>
      <c r="B567" s="17"/>
      <c r="C567" s="17"/>
      <c r="D567" s="17"/>
      <c r="E567" s="17"/>
      <c r="F567" s="17"/>
      <c r="G567" s="4">
        <f t="shared" si="21"/>
        <v>0</v>
      </c>
      <c r="H567" s="17"/>
      <c r="I567" s="4">
        <f t="shared" si="23"/>
        <v>349526.07999999996</v>
      </c>
      <c r="J567" s="32" t="str">
        <f t="shared" si="22"/>
        <v/>
      </c>
      <c r="K567" s="72"/>
      <c r="L567" s="72"/>
      <c r="M567" s="2"/>
      <c r="N567" s="5"/>
      <c r="O567" s="3"/>
      <c r="P567" s="6"/>
      <c r="Q567" s="48">
        <f>IF(Учет!$O567=Справочники!$F$2,Учет!$H567,0)</f>
        <v>0</v>
      </c>
      <c r="R567" s="48">
        <f>IF(Учет!$O567=Справочники!$F$3,Учет!$H567,0)</f>
        <v>0</v>
      </c>
      <c r="S567" s="48">
        <f>IF(Учет!$O567=Справочники!$F$4,Учет!$H567,0)</f>
        <v>0</v>
      </c>
      <c r="T567" s="48">
        <f>IF(Учет!$O567=Справочники!$F$5,Учет!$H567,0)</f>
        <v>0</v>
      </c>
      <c r="U567" s="48">
        <f>IF(Учет!$O567=Справочники!$F$6,Учет!$H567,0)</f>
        <v>0</v>
      </c>
      <c r="V567" s="43">
        <f>V566+Учет!Q567-Q567</f>
        <v>-488978.92000000004</v>
      </c>
      <c r="W567" s="43">
        <f>W566+Учет!R567-R567</f>
        <v>336855</v>
      </c>
      <c r="X567" s="43">
        <f>X566+Учет!S567-S567</f>
        <v>500</v>
      </c>
      <c r="Y567" s="43">
        <f>Y566+Учет!T567-T567</f>
        <v>1150</v>
      </c>
      <c r="Z567" s="43">
        <f>Z566+Учет!U567-U567</f>
        <v>500000</v>
      </c>
      <c r="AA567" s="45">
        <f>Учет!X567</f>
        <v>500</v>
      </c>
    </row>
    <row r="568" spans="1:27" ht="15" customHeight="1" x14ac:dyDescent="0.25">
      <c r="A568" s="1"/>
      <c r="B568" s="17"/>
      <c r="C568" s="17"/>
      <c r="D568" s="17"/>
      <c r="E568" s="17"/>
      <c r="F568" s="17"/>
      <c r="G568" s="4">
        <f t="shared" si="21"/>
        <v>0</v>
      </c>
      <c r="H568" s="17"/>
      <c r="I568" s="4">
        <f t="shared" si="23"/>
        <v>349526.07999999996</v>
      </c>
      <c r="J568" s="32" t="str">
        <f t="shared" si="22"/>
        <v/>
      </c>
      <c r="K568" s="72"/>
      <c r="L568" s="72"/>
      <c r="M568" s="2"/>
      <c r="N568" s="5"/>
      <c r="O568" s="3"/>
      <c r="P568" s="6"/>
      <c r="Q568" s="48">
        <f>IF(Учет!$O568=Справочники!$F$2,Учет!$H568,0)</f>
        <v>0</v>
      </c>
      <c r="R568" s="48">
        <f>IF(Учет!$O568=Справочники!$F$3,Учет!$H568,0)</f>
        <v>0</v>
      </c>
      <c r="S568" s="48">
        <f>IF(Учет!$O568=Справочники!$F$4,Учет!$H568,0)</f>
        <v>0</v>
      </c>
      <c r="T568" s="48">
        <f>IF(Учет!$O568=Справочники!$F$5,Учет!$H568,0)</f>
        <v>0</v>
      </c>
      <c r="U568" s="48">
        <f>IF(Учет!$O568=Справочники!$F$6,Учет!$H568,0)</f>
        <v>0</v>
      </c>
      <c r="V568" s="43">
        <f>V567+Учет!Q568-Q568</f>
        <v>-488978.92000000004</v>
      </c>
      <c r="W568" s="43">
        <f>W567+Учет!R568-R568</f>
        <v>336855</v>
      </c>
      <c r="X568" s="43">
        <f>X567+Учет!S568-S568</f>
        <v>500</v>
      </c>
      <c r="Y568" s="43">
        <f>Y567+Учет!T568-T568</f>
        <v>1150</v>
      </c>
      <c r="Z568" s="43">
        <f>Z567+Учет!U568-U568</f>
        <v>500000</v>
      </c>
      <c r="AA568" s="45">
        <f>Учет!X568</f>
        <v>500</v>
      </c>
    </row>
    <row r="569" spans="1:27" ht="15" customHeight="1" x14ac:dyDescent="0.25">
      <c r="A569" s="1"/>
      <c r="B569" s="17"/>
      <c r="C569" s="17"/>
      <c r="D569" s="17"/>
      <c r="E569" s="17"/>
      <c r="F569" s="17"/>
      <c r="G569" s="4">
        <f t="shared" si="21"/>
        <v>0</v>
      </c>
      <c r="H569" s="17"/>
      <c r="I569" s="4">
        <f t="shared" si="23"/>
        <v>349526.07999999996</v>
      </c>
      <c r="J569" s="32" t="str">
        <f t="shared" si="22"/>
        <v/>
      </c>
      <c r="K569" s="72"/>
      <c r="L569" s="72"/>
      <c r="M569" s="2"/>
      <c r="N569" s="5"/>
      <c r="O569" s="3"/>
      <c r="P569" s="6"/>
      <c r="Q569" s="48">
        <f>IF(Учет!$O569=Справочники!$F$2,Учет!$H569,0)</f>
        <v>0</v>
      </c>
      <c r="R569" s="48">
        <f>IF(Учет!$O569=Справочники!$F$3,Учет!$H569,0)</f>
        <v>0</v>
      </c>
      <c r="S569" s="48">
        <f>IF(Учет!$O569=Справочники!$F$4,Учет!$H569,0)</f>
        <v>0</v>
      </c>
      <c r="T569" s="48">
        <f>IF(Учет!$O569=Справочники!$F$5,Учет!$H569,0)</f>
        <v>0</v>
      </c>
      <c r="U569" s="48">
        <f>IF(Учет!$O569=Справочники!$F$6,Учет!$H569,0)</f>
        <v>0</v>
      </c>
      <c r="V569" s="43">
        <f>V568+Учет!Q569-Q569</f>
        <v>-488978.92000000004</v>
      </c>
      <c r="W569" s="43">
        <f>W568+Учет!R569-R569</f>
        <v>336855</v>
      </c>
      <c r="X569" s="43">
        <f>X568+Учет!S569-S569</f>
        <v>500</v>
      </c>
      <c r="Y569" s="43">
        <f>Y568+Учет!T569-T569</f>
        <v>1150</v>
      </c>
      <c r="Z569" s="43">
        <f>Z568+Учет!U569-U569</f>
        <v>500000</v>
      </c>
      <c r="AA569" s="45">
        <f>Учет!X569</f>
        <v>500</v>
      </c>
    </row>
    <row r="570" spans="1:27" ht="15" customHeight="1" x14ac:dyDescent="0.25">
      <c r="A570" s="1"/>
      <c r="B570" s="17"/>
      <c r="C570" s="17"/>
      <c r="D570" s="17"/>
      <c r="E570" s="17"/>
      <c r="F570" s="17"/>
      <c r="G570" s="4">
        <f t="shared" si="21"/>
        <v>0</v>
      </c>
      <c r="H570" s="17"/>
      <c r="I570" s="4">
        <f t="shared" si="23"/>
        <v>349526.07999999996</v>
      </c>
      <c r="J570" s="32" t="str">
        <f t="shared" si="22"/>
        <v/>
      </c>
      <c r="K570" s="72"/>
      <c r="L570" s="72"/>
      <c r="M570" s="2"/>
      <c r="N570" s="5"/>
      <c r="O570" s="3"/>
      <c r="P570" s="6"/>
      <c r="Q570" s="48">
        <f>IF(Учет!$O570=Справочники!$F$2,Учет!$H570,0)</f>
        <v>0</v>
      </c>
      <c r="R570" s="48">
        <f>IF(Учет!$O570=Справочники!$F$3,Учет!$H570,0)</f>
        <v>0</v>
      </c>
      <c r="S570" s="48">
        <f>IF(Учет!$O570=Справочники!$F$4,Учет!$H570,0)</f>
        <v>0</v>
      </c>
      <c r="T570" s="48">
        <f>IF(Учет!$O570=Справочники!$F$5,Учет!$H570,0)</f>
        <v>0</v>
      </c>
      <c r="U570" s="48">
        <f>IF(Учет!$O570=Справочники!$F$6,Учет!$H570,0)</f>
        <v>0</v>
      </c>
      <c r="V570" s="43">
        <f>V569+Учет!Q570-Q570</f>
        <v>-488978.92000000004</v>
      </c>
      <c r="W570" s="43">
        <f>W569+Учет!R570-R570</f>
        <v>336855</v>
      </c>
      <c r="X570" s="43">
        <f>X569+Учет!S570-S570</f>
        <v>500</v>
      </c>
      <c r="Y570" s="43">
        <f>Y569+Учет!T570-T570</f>
        <v>1150</v>
      </c>
      <c r="Z570" s="43">
        <f>Z569+Учет!U570-U570</f>
        <v>500000</v>
      </c>
      <c r="AA570" s="45">
        <f>Учет!X570</f>
        <v>500</v>
      </c>
    </row>
    <row r="571" spans="1:27" ht="15" customHeight="1" x14ac:dyDescent="0.25">
      <c r="A571" s="1"/>
      <c r="B571" s="17"/>
      <c r="C571" s="17"/>
      <c r="D571" s="17"/>
      <c r="E571" s="17"/>
      <c r="F571" s="17"/>
      <c r="G571" s="4">
        <f t="shared" si="21"/>
        <v>0</v>
      </c>
      <c r="H571" s="17"/>
      <c r="I571" s="4">
        <f t="shared" si="23"/>
        <v>349526.07999999996</v>
      </c>
      <c r="J571" s="32" t="str">
        <f t="shared" si="22"/>
        <v/>
      </c>
      <c r="K571" s="72"/>
      <c r="L571" s="72"/>
      <c r="M571" s="2"/>
      <c r="N571" s="5"/>
      <c r="O571" s="3"/>
      <c r="P571" s="6"/>
      <c r="Q571" s="48">
        <f>IF(Учет!$O571=Справочники!$F$2,Учет!$H571,0)</f>
        <v>0</v>
      </c>
      <c r="R571" s="48">
        <f>IF(Учет!$O571=Справочники!$F$3,Учет!$H571,0)</f>
        <v>0</v>
      </c>
      <c r="S571" s="48">
        <f>IF(Учет!$O571=Справочники!$F$4,Учет!$H571,0)</f>
        <v>0</v>
      </c>
      <c r="T571" s="48">
        <f>IF(Учет!$O571=Справочники!$F$5,Учет!$H571,0)</f>
        <v>0</v>
      </c>
      <c r="U571" s="48">
        <f>IF(Учет!$O571=Справочники!$F$6,Учет!$H571,0)</f>
        <v>0</v>
      </c>
      <c r="V571" s="43">
        <f>V570+Учет!Q571-Q571</f>
        <v>-488978.92000000004</v>
      </c>
      <c r="W571" s="43">
        <f>W570+Учет!R571-R571</f>
        <v>336855</v>
      </c>
      <c r="X571" s="43">
        <f>X570+Учет!S571-S571</f>
        <v>500</v>
      </c>
      <c r="Y571" s="43">
        <f>Y570+Учет!T571-T571</f>
        <v>1150</v>
      </c>
      <c r="Z571" s="43">
        <f>Z570+Учет!U571-U571</f>
        <v>500000</v>
      </c>
      <c r="AA571" s="45">
        <f>Учет!X571</f>
        <v>500</v>
      </c>
    </row>
    <row r="572" spans="1:27" ht="15" customHeight="1" x14ac:dyDescent="0.25">
      <c r="A572" s="1"/>
      <c r="B572" s="17"/>
      <c r="C572" s="17"/>
      <c r="D572" s="17"/>
      <c r="E572" s="17"/>
      <c r="F572" s="17"/>
      <c r="G572" s="4">
        <f t="shared" si="21"/>
        <v>0</v>
      </c>
      <c r="H572" s="17"/>
      <c r="I572" s="4">
        <f t="shared" si="23"/>
        <v>349526.07999999996</v>
      </c>
      <c r="J572" s="32" t="str">
        <f t="shared" si="22"/>
        <v/>
      </c>
      <c r="K572" s="72"/>
      <c r="L572" s="72"/>
      <c r="M572" s="2"/>
      <c r="N572" s="5"/>
      <c r="O572" s="3"/>
      <c r="P572" s="6"/>
      <c r="Q572" s="48">
        <f>IF(Учет!$O572=Справочники!$F$2,Учет!$H572,0)</f>
        <v>0</v>
      </c>
      <c r="R572" s="48">
        <f>IF(Учет!$O572=Справочники!$F$3,Учет!$H572,0)</f>
        <v>0</v>
      </c>
      <c r="S572" s="48">
        <f>IF(Учет!$O572=Справочники!$F$4,Учет!$H572,0)</f>
        <v>0</v>
      </c>
      <c r="T572" s="48">
        <f>IF(Учет!$O572=Справочники!$F$5,Учет!$H572,0)</f>
        <v>0</v>
      </c>
      <c r="U572" s="48">
        <f>IF(Учет!$O572=Справочники!$F$6,Учет!$H572,0)</f>
        <v>0</v>
      </c>
      <c r="V572" s="43">
        <f>V571+Учет!Q572-Q572</f>
        <v>-488978.92000000004</v>
      </c>
      <c r="W572" s="43">
        <f>W571+Учет!R572-R572</f>
        <v>336855</v>
      </c>
      <c r="X572" s="43">
        <f>X571+Учет!S572-S572</f>
        <v>500</v>
      </c>
      <c r="Y572" s="43">
        <f>Y571+Учет!T572-T572</f>
        <v>1150</v>
      </c>
      <c r="Z572" s="43">
        <f>Z571+Учет!U572-U572</f>
        <v>500000</v>
      </c>
      <c r="AA572" s="45">
        <f>Учет!X572</f>
        <v>500</v>
      </c>
    </row>
    <row r="573" spans="1:27" ht="15" customHeight="1" x14ac:dyDescent="0.25">
      <c r="A573" s="1"/>
      <c r="B573" s="17"/>
      <c r="C573" s="17"/>
      <c r="D573" s="17"/>
      <c r="E573" s="17"/>
      <c r="F573" s="17"/>
      <c r="G573" s="4">
        <f t="shared" si="21"/>
        <v>0</v>
      </c>
      <c r="H573" s="17"/>
      <c r="I573" s="4">
        <f t="shared" si="23"/>
        <v>349526.07999999996</v>
      </c>
      <c r="J573" s="32" t="str">
        <f t="shared" si="22"/>
        <v/>
      </c>
      <c r="K573" s="72"/>
      <c r="L573" s="72"/>
      <c r="M573" s="2"/>
      <c r="N573" s="5"/>
      <c r="O573" s="3"/>
      <c r="P573" s="6"/>
      <c r="Q573" s="48">
        <f>IF(Учет!$O573=Справочники!$F$2,Учет!$H573,0)</f>
        <v>0</v>
      </c>
      <c r="R573" s="48">
        <f>IF(Учет!$O573=Справочники!$F$3,Учет!$H573,0)</f>
        <v>0</v>
      </c>
      <c r="S573" s="48">
        <f>IF(Учет!$O573=Справочники!$F$4,Учет!$H573,0)</f>
        <v>0</v>
      </c>
      <c r="T573" s="48">
        <f>IF(Учет!$O573=Справочники!$F$5,Учет!$H573,0)</f>
        <v>0</v>
      </c>
      <c r="U573" s="48">
        <f>IF(Учет!$O573=Справочники!$F$6,Учет!$H573,0)</f>
        <v>0</v>
      </c>
      <c r="V573" s="43">
        <f>V572+Учет!Q573-Q573</f>
        <v>-488978.92000000004</v>
      </c>
      <c r="W573" s="43">
        <f>W572+Учет!R573-R573</f>
        <v>336855</v>
      </c>
      <c r="X573" s="43">
        <f>X572+Учет!S573-S573</f>
        <v>500</v>
      </c>
      <c r="Y573" s="43">
        <f>Y572+Учет!T573-T573</f>
        <v>1150</v>
      </c>
      <c r="Z573" s="43">
        <f>Z572+Учет!U573-U573</f>
        <v>500000</v>
      </c>
      <c r="AA573" s="45">
        <f>Учет!X573</f>
        <v>500</v>
      </c>
    </row>
    <row r="574" spans="1:27" ht="15" customHeight="1" x14ac:dyDescent="0.25">
      <c r="A574" s="1"/>
      <c r="B574" s="17"/>
      <c r="C574" s="17"/>
      <c r="D574" s="17"/>
      <c r="E574" s="17"/>
      <c r="F574" s="17"/>
      <c r="G574" s="4">
        <f t="shared" si="21"/>
        <v>0</v>
      </c>
      <c r="H574" s="17"/>
      <c r="I574" s="4">
        <f t="shared" si="23"/>
        <v>349526.07999999996</v>
      </c>
      <c r="J574" s="32" t="str">
        <f t="shared" si="22"/>
        <v/>
      </c>
      <c r="K574" s="72"/>
      <c r="L574" s="72"/>
      <c r="M574" s="2"/>
      <c r="N574" s="5"/>
      <c r="O574" s="3"/>
      <c r="P574" s="6"/>
      <c r="Q574" s="48">
        <f>IF(Учет!$O574=Справочники!$F$2,Учет!$H574,0)</f>
        <v>0</v>
      </c>
      <c r="R574" s="48">
        <f>IF(Учет!$O574=Справочники!$F$3,Учет!$H574,0)</f>
        <v>0</v>
      </c>
      <c r="S574" s="48">
        <f>IF(Учет!$O574=Справочники!$F$4,Учет!$H574,0)</f>
        <v>0</v>
      </c>
      <c r="T574" s="48">
        <f>IF(Учет!$O574=Справочники!$F$5,Учет!$H574,0)</f>
        <v>0</v>
      </c>
      <c r="U574" s="48">
        <f>IF(Учет!$O574=Справочники!$F$6,Учет!$H574,0)</f>
        <v>0</v>
      </c>
      <c r="V574" s="43">
        <f>V573+Учет!Q574-Q574</f>
        <v>-488978.92000000004</v>
      </c>
      <c r="W574" s="43">
        <f>W573+Учет!R574-R574</f>
        <v>336855</v>
      </c>
      <c r="X574" s="43">
        <f>X573+Учет!S574-S574</f>
        <v>500</v>
      </c>
      <c r="Y574" s="43">
        <f>Y573+Учет!T574-T574</f>
        <v>1150</v>
      </c>
      <c r="Z574" s="43">
        <f>Z573+Учет!U574-U574</f>
        <v>500000</v>
      </c>
      <c r="AA574" s="45">
        <f>Учет!X574</f>
        <v>500</v>
      </c>
    </row>
    <row r="575" spans="1:27" ht="15" customHeight="1" x14ac:dyDescent="0.25">
      <c r="A575" s="1"/>
      <c r="B575" s="17"/>
      <c r="C575" s="17"/>
      <c r="D575" s="17"/>
      <c r="E575" s="17"/>
      <c r="F575" s="17"/>
      <c r="G575" s="4">
        <f t="shared" si="21"/>
        <v>0</v>
      </c>
      <c r="H575" s="17"/>
      <c r="I575" s="4">
        <f t="shared" si="23"/>
        <v>349526.07999999996</v>
      </c>
      <c r="J575" s="32" t="str">
        <f t="shared" si="22"/>
        <v/>
      </c>
      <c r="K575" s="72"/>
      <c r="L575" s="72"/>
      <c r="M575" s="2"/>
      <c r="N575" s="5"/>
      <c r="O575" s="3"/>
      <c r="P575" s="6"/>
      <c r="Q575" s="48">
        <f>IF(Учет!$O575=Справочники!$F$2,Учет!$H575,0)</f>
        <v>0</v>
      </c>
      <c r="R575" s="48">
        <f>IF(Учет!$O575=Справочники!$F$3,Учет!$H575,0)</f>
        <v>0</v>
      </c>
      <c r="S575" s="48">
        <f>IF(Учет!$O575=Справочники!$F$4,Учет!$H575,0)</f>
        <v>0</v>
      </c>
      <c r="T575" s="48">
        <f>IF(Учет!$O575=Справочники!$F$5,Учет!$H575,0)</f>
        <v>0</v>
      </c>
      <c r="U575" s="48">
        <f>IF(Учет!$O575=Справочники!$F$6,Учет!$H575,0)</f>
        <v>0</v>
      </c>
      <c r="V575" s="43">
        <f>V574+Учет!Q575-Q575</f>
        <v>-488978.92000000004</v>
      </c>
      <c r="W575" s="43">
        <f>W574+Учет!R575-R575</f>
        <v>336855</v>
      </c>
      <c r="X575" s="43">
        <f>X574+Учет!S575-S575</f>
        <v>500</v>
      </c>
      <c r="Y575" s="43">
        <f>Y574+Учет!T575-T575</f>
        <v>1150</v>
      </c>
      <c r="Z575" s="43">
        <f>Z574+Учет!U575-U575</f>
        <v>500000</v>
      </c>
      <c r="AA575" s="45">
        <f>Учет!X575</f>
        <v>500</v>
      </c>
    </row>
    <row r="576" spans="1:27" ht="15" customHeight="1" x14ac:dyDescent="0.25">
      <c r="A576" s="1"/>
      <c r="B576" s="17"/>
      <c r="C576" s="17"/>
      <c r="D576" s="17"/>
      <c r="E576" s="17"/>
      <c r="F576" s="17"/>
      <c r="G576" s="4">
        <f t="shared" si="21"/>
        <v>0</v>
      </c>
      <c r="H576" s="17"/>
      <c r="I576" s="4">
        <f t="shared" si="23"/>
        <v>349526.07999999996</v>
      </c>
      <c r="J576" s="32" t="str">
        <f t="shared" si="22"/>
        <v/>
      </c>
      <c r="K576" s="72"/>
      <c r="L576" s="72"/>
      <c r="M576" s="2"/>
      <c r="N576" s="5"/>
      <c r="O576" s="3"/>
      <c r="P576" s="6"/>
      <c r="Q576" s="48">
        <f>IF(Учет!$O576=Справочники!$F$2,Учет!$H576,0)</f>
        <v>0</v>
      </c>
      <c r="R576" s="48">
        <f>IF(Учет!$O576=Справочники!$F$3,Учет!$H576,0)</f>
        <v>0</v>
      </c>
      <c r="S576" s="48">
        <f>IF(Учет!$O576=Справочники!$F$4,Учет!$H576,0)</f>
        <v>0</v>
      </c>
      <c r="T576" s="48">
        <f>IF(Учет!$O576=Справочники!$F$5,Учет!$H576,0)</f>
        <v>0</v>
      </c>
      <c r="U576" s="48">
        <f>IF(Учет!$O576=Справочники!$F$6,Учет!$H576,0)</f>
        <v>0</v>
      </c>
      <c r="V576" s="43">
        <f>V575+Учет!Q576-Q576</f>
        <v>-488978.92000000004</v>
      </c>
      <c r="W576" s="43">
        <f>W575+Учет!R576-R576</f>
        <v>336855</v>
      </c>
      <c r="X576" s="43">
        <f>X575+Учет!S576-S576</f>
        <v>500</v>
      </c>
      <c r="Y576" s="43">
        <f>Y575+Учет!T576-T576</f>
        <v>1150</v>
      </c>
      <c r="Z576" s="43">
        <f>Z575+Учет!U576-U576</f>
        <v>500000</v>
      </c>
      <c r="AA576" s="45">
        <f>Учет!X576</f>
        <v>500</v>
      </c>
    </row>
    <row r="577" spans="1:27" ht="15" customHeight="1" x14ac:dyDescent="0.25">
      <c r="A577" s="1"/>
      <c r="B577" s="17"/>
      <c r="C577" s="17"/>
      <c r="D577" s="17"/>
      <c r="E577" s="17"/>
      <c r="F577" s="17"/>
      <c r="G577" s="4">
        <f t="shared" si="21"/>
        <v>0</v>
      </c>
      <c r="H577" s="17"/>
      <c r="I577" s="4">
        <f t="shared" si="23"/>
        <v>349526.07999999996</v>
      </c>
      <c r="J577" s="32" t="str">
        <f t="shared" si="22"/>
        <v/>
      </c>
      <c r="K577" s="72"/>
      <c r="L577" s="72"/>
      <c r="M577" s="2"/>
      <c r="N577" s="5"/>
      <c r="O577" s="3"/>
      <c r="P577" s="6"/>
      <c r="Q577" s="48">
        <f>IF(Учет!$O577=Справочники!$F$2,Учет!$H577,0)</f>
        <v>0</v>
      </c>
      <c r="R577" s="48">
        <f>IF(Учет!$O577=Справочники!$F$3,Учет!$H577,0)</f>
        <v>0</v>
      </c>
      <c r="S577" s="48">
        <f>IF(Учет!$O577=Справочники!$F$4,Учет!$H577,0)</f>
        <v>0</v>
      </c>
      <c r="T577" s="48">
        <f>IF(Учет!$O577=Справочники!$F$5,Учет!$H577,0)</f>
        <v>0</v>
      </c>
      <c r="U577" s="48">
        <f>IF(Учет!$O577=Справочники!$F$6,Учет!$H577,0)</f>
        <v>0</v>
      </c>
      <c r="V577" s="43">
        <f>V576+Учет!Q577-Q577</f>
        <v>-488978.92000000004</v>
      </c>
      <c r="W577" s="43">
        <f>W576+Учет!R577-R577</f>
        <v>336855</v>
      </c>
      <c r="X577" s="43">
        <f>X576+Учет!S577-S577</f>
        <v>500</v>
      </c>
      <c r="Y577" s="43">
        <f>Y576+Учет!T577-T577</f>
        <v>1150</v>
      </c>
      <c r="Z577" s="43">
        <f>Z576+Учет!U577-U577</f>
        <v>500000</v>
      </c>
      <c r="AA577" s="45">
        <f>Учет!X577</f>
        <v>500</v>
      </c>
    </row>
    <row r="578" spans="1:27" ht="15" customHeight="1" x14ac:dyDescent="0.25">
      <c r="A578" s="1"/>
      <c r="B578" s="17"/>
      <c r="C578" s="17"/>
      <c r="D578" s="17"/>
      <c r="E578" s="17"/>
      <c r="F578" s="17"/>
      <c r="G578" s="4">
        <f t="shared" ref="G578:G641" si="24">SUM($B578:$F578)</f>
        <v>0</v>
      </c>
      <c r="H578" s="17"/>
      <c r="I578" s="4">
        <f t="shared" si="23"/>
        <v>349526.07999999996</v>
      </c>
      <c r="J578" s="32" t="str">
        <f t="shared" ref="J578:J641" si="25">IF($A579&lt;&gt;$A578,$I578,"")</f>
        <v/>
      </c>
      <c r="K578" s="72"/>
      <c r="L578" s="72"/>
      <c r="M578" s="2"/>
      <c r="N578" s="5"/>
      <c r="O578" s="3"/>
      <c r="P578" s="6"/>
      <c r="Q578" s="48">
        <f>IF(Учет!$O578=Справочники!$F$2,Учет!$H578,0)</f>
        <v>0</v>
      </c>
      <c r="R578" s="48">
        <f>IF(Учет!$O578=Справочники!$F$3,Учет!$H578,0)</f>
        <v>0</v>
      </c>
      <c r="S578" s="48">
        <f>IF(Учет!$O578=Справочники!$F$4,Учет!$H578,0)</f>
        <v>0</v>
      </c>
      <c r="T578" s="48">
        <f>IF(Учет!$O578=Справочники!$F$5,Учет!$H578,0)</f>
        <v>0</v>
      </c>
      <c r="U578" s="48">
        <f>IF(Учет!$O578=Справочники!$F$6,Учет!$H578,0)</f>
        <v>0</v>
      </c>
      <c r="V578" s="43">
        <f>V577+Учет!Q578-Q578</f>
        <v>-488978.92000000004</v>
      </c>
      <c r="W578" s="43">
        <f>W577+Учет!R578-R578</f>
        <v>336855</v>
      </c>
      <c r="X578" s="43">
        <f>X577+Учет!S578-S578</f>
        <v>500</v>
      </c>
      <c r="Y578" s="43">
        <f>Y577+Учет!T578-T578</f>
        <v>1150</v>
      </c>
      <c r="Z578" s="43">
        <f>Z577+Учет!U578-U578</f>
        <v>500000</v>
      </c>
      <c r="AA578" s="45">
        <f>Учет!X578</f>
        <v>500</v>
      </c>
    </row>
    <row r="579" spans="1:27" ht="15" customHeight="1" x14ac:dyDescent="0.25">
      <c r="A579" s="1"/>
      <c r="B579" s="17"/>
      <c r="C579" s="17"/>
      <c r="D579" s="17"/>
      <c r="E579" s="17"/>
      <c r="F579" s="17"/>
      <c r="G579" s="4">
        <f t="shared" si="24"/>
        <v>0</v>
      </c>
      <c r="H579" s="17"/>
      <c r="I579" s="4">
        <f t="shared" ref="I579:I642" si="26">$I578+$G579-$H579</f>
        <v>349526.07999999996</v>
      </c>
      <c r="J579" s="32" t="str">
        <f t="shared" si="25"/>
        <v/>
      </c>
      <c r="K579" s="72"/>
      <c r="L579" s="72"/>
      <c r="M579" s="2"/>
      <c r="N579" s="5"/>
      <c r="O579" s="3"/>
      <c r="P579" s="6"/>
      <c r="Q579" s="48">
        <f>IF(Учет!$O579=Справочники!$F$2,Учет!$H579,0)</f>
        <v>0</v>
      </c>
      <c r="R579" s="48">
        <f>IF(Учет!$O579=Справочники!$F$3,Учет!$H579,0)</f>
        <v>0</v>
      </c>
      <c r="S579" s="48">
        <f>IF(Учет!$O579=Справочники!$F$4,Учет!$H579,0)</f>
        <v>0</v>
      </c>
      <c r="T579" s="48">
        <f>IF(Учет!$O579=Справочники!$F$5,Учет!$H579,0)</f>
        <v>0</v>
      </c>
      <c r="U579" s="48">
        <f>IF(Учет!$O579=Справочники!$F$6,Учет!$H579,0)</f>
        <v>0</v>
      </c>
      <c r="V579" s="43">
        <f>V578+Учет!Q579-Q579</f>
        <v>-488978.92000000004</v>
      </c>
      <c r="W579" s="43">
        <f>W578+Учет!R579-R579</f>
        <v>336855</v>
      </c>
      <c r="X579" s="43">
        <f>X578+Учет!S579-S579</f>
        <v>500</v>
      </c>
      <c r="Y579" s="43">
        <f>Y578+Учет!T579-T579</f>
        <v>1150</v>
      </c>
      <c r="Z579" s="43">
        <f>Z578+Учет!U579-U579</f>
        <v>500000</v>
      </c>
      <c r="AA579" s="45">
        <f>Учет!X579</f>
        <v>500</v>
      </c>
    </row>
    <row r="580" spans="1:27" ht="15" customHeight="1" x14ac:dyDescent="0.25">
      <c r="A580" s="1"/>
      <c r="B580" s="17"/>
      <c r="C580" s="17"/>
      <c r="D580" s="17"/>
      <c r="E580" s="17"/>
      <c r="F580" s="17"/>
      <c r="G580" s="4">
        <f t="shared" si="24"/>
        <v>0</v>
      </c>
      <c r="H580" s="17"/>
      <c r="I580" s="4">
        <f t="shared" si="26"/>
        <v>349526.07999999996</v>
      </c>
      <c r="J580" s="32" t="str">
        <f t="shared" si="25"/>
        <v/>
      </c>
      <c r="K580" s="72"/>
      <c r="L580" s="72"/>
      <c r="M580" s="2"/>
      <c r="N580" s="5"/>
      <c r="O580" s="3"/>
      <c r="P580" s="6"/>
      <c r="Q580" s="48">
        <f>IF(Учет!$O580=Справочники!$F$2,Учет!$H580,0)</f>
        <v>0</v>
      </c>
      <c r="R580" s="48">
        <f>IF(Учет!$O580=Справочники!$F$3,Учет!$H580,0)</f>
        <v>0</v>
      </c>
      <c r="S580" s="48">
        <f>IF(Учет!$O580=Справочники!$F$4,Учет!$H580,0)</f>
        <v>0</v>
      </c>
      <c r="T580" s="48">
        <f>IF(Учет!$O580=Справочники!$F$5,Учет!$H580,0)</f>
        <v>0</v>
      </c>
      <c r="U580" s="48">
        <f>IF(Учет!$O580=Справочники!$F$6,Учет!$H580,0)</f>
        <v>0</v>
      </c>
      <c r="V580" s="43">
        <f>V579+Учет!Q580-Q580</f>
        <v>-488978.92000000004</v>
      </c>
      <c r="W580" s="43">
        <f>W579+Учет!R580-R580</f>
        <v>336855</v>
      </c>
      <c r="X580" s="43">
        <f>X579+Учет!S580-S580</f>
        <v>500</v>
      </c>
      <c r="Y580" s="43">
        <f>Y579+Учет!T580-T580</f>
        <v>1150</v>
      </c>
      <c r="Z580" s="43">
        <f>Z579+Учет!U580-U580</f>
        <v>500000</v>
      </c>
      <c r="AA580" s="45">
        <f>Учет!X580</f>
        <v>500</v>
      </c>
    </row>
    <row r="581" spans="1:27" ht="15" customHeight="1" x14ac:dyDescent="0.25">
      <c r="A581" s="1"/>
      <c r="B581" s="17"/>
      <c r="C581" s="17"/>
      <c r="D581" s="17"/>
      <c r="E581" s="17"/>
      <c r="F581" s="17"/>
      <c r="G581" s="4">
        <f t="shared" si="24"/>
        <v>0</v>
      </c>
      <c r="H581" s="17"/>
      <c r="I581" s="4">
        <f t="shared" si="26"/>
        <v>349526.07999999996</v>
      </c>
      <c r="J581" s="32" t="str">
        <f t="shared" si="25"/>
        <v/>
      </c>
      <c r="K581" s="72"/>
      <c r="L581" s="72"/>
      <c r="M581" s="2"/>
      <c r="N581" s="5"/>
      <c r="O581" s="3"/>
      <c r="P581" s="6"/>
      <c r="Q581" s="48">
        <f>IF(Учет!$O581=Справочники!$F$2,Учет!$H581,0)</f>
        <v>0</v>
      </c>
      <c r="R581" s="48">
        <f>IF(Учет!$O581=Справочники!$F$3,Учет!$H581,0)</f>
        <v>0</v>
      </c>
      <c r="S581" s="48">
        <f>IF(Учет!$O581=Справочники!$F$4,Учет!$H581,0)</f>
        <v>0</v>
      </c>
      <c r="T581" s="48">
        <f>IF(Учет!$O581=Справочники!$F$5,Учет!$H581,0)</f>
        <v>0</v>
      </c>
      <c r="U581" s="48">
        <f>IF(Учет!$O581=Справочники!$F$6,Учет!$H581,0)</f>
        <v>0</v>
      </c>
      <c r="V581" s="43">
        <f>V580+Учет!Q581-Q581</f>
        <v>-488978.92000000004</v>
      </c>
      <c r="W581" s="43">
        <f>W580+Учет!R581-R581</f>
        <v>336855</v>
      </c>
      <c r="X581" s="43">
        <f>X580+Учет!S581-S581</f>
        <v>500</v>
      </c>
      <c r="Y581" s="43">
        <f>Y580+Учет!T581-T581</f>
        <v>1150</v>
      </c>
      <c r="Z581" s="43">
        <f>Z580+Учет!U581-U581</f>
        <v>500000</v>
      </c>
      <c r="AA581" s="45">
        <f>Учет!X581</f>
        <v>500</v>
      </c>
    </row>
    <row r="582" spans="1:27" ht="15" customHeight="1" x14ac:dyDescent="0.25">
      <c r="A582" s="1"/>
      <c r="B582" s="17"/>
      <c r="C582" s="17"/>
      <c r="D582" s="17"/>
      <c r="E582" s="17"/>
      <c r="F582" s="17"/>
      <c r="G582" s="4">
        <f t="shared" si="24"/>
        <v>0</v>
      </c>
      <c r="H582" s="17"/>
      <c r="I582" s="4">
        <f t="shared" si="26"/>
        <v>349526.07999999996</v>
      </c>
      <c r="J582" s="32" t="str">
        <f t="shared" si="25"/>
        <v/>
      </c>
      <c r="K582" s="72"/>
      <c r="L582" s="72"/>
      <c r="M582" s="2"/>
      <c r="N582" s="5"/>
      <c r="O582" s="3"/>
      <c r="P582" s="6"/>
      <c r="Q582" s="48">
        <f>IF(Учет!$O582=Справочники!$F$2,Учет!$H582,0)</f>
        <v>0</v>
      </c>
      <c r="R582" s="48">
        <f>IF(Учет!$O582=Справочники!$F$3,Учет!$H582,0)</f>
        <v>0</v>
      </c>
      <c r="S582" s="48">
        <f>IF(Учет!$O582=Справочники!$F$4,Учет!$H582,0)</f>
        <v>0</v>
      </c>
      <c r="T582" s="48">
        <f>IF(Учет!$O582=Справочники!$F$5,Учет!$H582,0)</f>
        <v>0</v>
      </c>
      <c r="U582" s="48">
        <f>IF(Учет!$O582=Справочники!$F$6,Учет!$H582,0)</f>
        <v>0</v>
      </c>
      <c r="V582" s="43">
        <f>V581+Учет!Q582-Q582</f>
        <v>-488978.92000000004</v>
      </c>
      <c r="W582" s="43">
        <f>W581+Учет!R582-R582</f>
        <v>336855</v>
      </c>
      <c r="X582" s="43">
        <f>X581+Учет!S582-S582</f>
        <v>500</v>
      </c>
      <c r="Y582" s="43">
        <f>Y581+Учет!T582-T582</f>
        <v>1150</v>
      </c>
      <c r="Z582" s="43">
        <f>Z581+Учет!U582-U582</f>
        <v>500000</v>
      </c>
      <c r="AA582" s="45">
        <f>Учет!X582</f>
        <v>500</v>
      </c>
    </row>
    <row r="583" spans="1:27" ht="15" customHeight="1" x14ac:dyDescent="0.25">
      <c r="A583" s="1"/>
      <c r="B583" s="17"/>
      <c r="C583" s="17"/>
      <c r="D583" s="17"/>
      <c r="E583" s="17"/>
      <c r="F583" s="17"/>
      <c r="G583" s="4">
        <f t="shared" si="24"/>
        <v>0</v>
      </c>
      <c r="H583" s="17"/>
      <c r="I583" s="4">
        <f t="shared" si="26"/>
        <v>349526.07999999996</v>
      </c>
      <c r="J583" s="32" t="str">
        <f t="shared" si="25"/>
        <v/>
      </c>
      <c r="K583" s="72"/>
      <c r="L583" s="72"/>
      <c r="M583" s="2"/>
      <c r="N583" s="5"/>
      <c r="O583" s="3"/>
      <c r="P583" s="6"/>
      <c r="Q583" s="48">
        <f>IF(Учет!$O583=Справочники!$F$2,Учет!$H583,0)</f>
        <v>0</v>
      </c>
      <c r="R583" s="48">
        <f>IF(Учет!$O583=Справочники!$F$3,Учет!$H583,0)</f>
        <v>0</v>
      </c>
      <c r="S583" s="48">
        <f>IF(Учет!$O583=Справочники!$F$4,Учет!$H583,0)</f>
        <v>0</v>
      </c>
      <c r="T583" s="48">
        <f>IF(Учет!$O583=Справочники!$F$5,Учет!$H583,0)</f>
        <v>0</v>
      </c>
      <c r="U583" s="48">
        <f>IF(Учет!$O583=Справочники!$F$6,Учет!$H583,0)</f>
        <v>0</v>
      </c>
      <c r="V583" s="43">
        <f>V582+Учет!Q583-Q583</f>
        <v>-488978.92000000004</v>
      </c>
      <c r="W583" s="43">
        <f>W582+Учет!R583-R583</f>
        <v>336855</v>
      </c>
      <c r="X583" s="43">
        <f>X582+Учет!S583-S583</f>
        <v>500</v>
      </c>
      <c r="Y583" s="43">
        <f>Y582+Учет!T583-T583</f>
        <v>1150</v>
      </c>
      <c r="Z583" s="43">
        <f>Z582+Учет!U583-U583</f>
        <v>500000</v>
      </c>
      <c r="AA583" s="45">
        <f>Учет!X583</f>
        <v>500</v>
      </c>
    </row>
    <row r="584" spans="1:27" ht="15" customHeight="1" x14ac:dyDescent="0.25">
      <c r="A584" s="1"/>
      <c r="B584" s="17"/>
      <c r="C584" s="17"/>
      <c r="D584" s="17"/>
      <c r="E584" s="17"/>
      <c r="F584" s="17"/>
      <c r="G584" s="4">
        <f t="shared" si="24"/>
        <v>0</v>
      </c>
      <c r="H584" s="17"/>
      <c r="I584" s="4">
        <f t="shared" si="26"/>
        <v>349526.07999999996</v>
      </c>
      <c r="J584" s="32" t="str">
        <f t="shared" si="25"/>
        <v/>
      </c>
      <c r="K584" s="72"/>
      <c r="L584" s="72"/>
      <c r="M584" s="2"/>
      <c r="N584" s="5"/>
      <c r="O584" s="3"/>
      <c r="P584" s="6"/>
      <c r="Q584" s="48">
        <f>IF(Учет!$O584=Справочники!$F$2,Учет!$H584,0)</f>
        <v>0</v>
      </c>
      <c r="R584" s="48">
        <f>IF(Учет!$O584=Справочники!$F$3,Учет!$H584,0)</f>
        <v>0</v>
      </c>
      <c r="S584" s="48">
        <f>IF(Учет!$O584=Справочники!$F$4,Учет!$H584,0)</f>
        <v>0</v>
      </c>
      <c r="T584" s="48">
        <f>IF(Учет!$O584=Справочники!$F$5,Учет!$H584,0)</f>
        <v>0</v>
      </c>
      <c r="U584" s="48">
        <f>IF(Учет!$O584=Справочники!$F$6,Учет!$H584,0)</f>
        <v>0</v>
      </c>
      <c r="V584" s="43">
        <f>V583+Учет!Q584-Q584</f>
        <v>-488978.92000000004</v>
      </c>
      <c r="W584" s="43">
        <f>W583+Учет!R584-R584</f>
        <v>336855</v>
      </c>
      <c r="X584" s="43">
        <f>X583+Учет!S584-S584</f>
        <v>500</v>
      </c>
      <c r="Y584" s="43">
        <f>Y583+Учет!T584-T584</f>
        <v>1150</v>
      </c>
      <c r="Z584" s="43">
        <f>Z583+Учет!U584-U584</f>
        <v>500000</v>
      </c>
      <c r="AA584" s="45">
        <f>Учет!X584</f>
        <v>500</v>
      </c>
    </row>
    <row r="585" spans="1:27" ht="15" customHeight="1" x14ac:dyDescent="0.25">
      <c r="A585" s="1"/>
      <c r="B585" s="17"/>
      <c r="C585" s="17"/>
      <c r="D585" s="17"/>
      <c r="E585" s="17"/>
      <c r="F585" s="17"/>
      <c r="G585" s="4">
        <f t="shared" si="24"/>
        <v>0</v>
      </c>
      <c r="H585" s="17"/>
      <c r="I585" s="4">
        <f t="shared" si="26"/>
        <v>349526.07999999996</v>
      </c>
      <c r="J585" s="32" t="str">
        <f t="shared" si="25"/>
        <v/>
      </c>
      <c r="K585" s="72"/>
      <c r="L585" s="72"/>
      <c r="M585" s="2"/>
      <c r="N585" s="5"/>
      <c r="O585" s="3"/>
      <c r="P585" s="6"/>
      <c r="Q585" s="48">
        <f>IF(Учет!$O585=Справочники!$F$2,Учет!$H585,0)</f>
        <v>0</v>
      </c>
      <c r="R585" s="48">
        <f>IF(Учет!$O585=Справочники!$F$3,Учет!$H585,0)</f>
        <v>0</v>
      </c>
      <c r="S585" s="48">
        <f>IF(Учет!$O585=Справочники!$F$4,Учет!$H585,0)</f>
        <v>0</v>
      </c>
      <c r="T585" s="48">
        <f>IF(Учет!$O585=Справочники!$F$5,Учет!$H585,0)</f>
        <v>0</v>
      </c>
      <c r="U585" s="48">
        <f>IF(Учет!$O585=Справочники!$F$6,Учет!$H585,0)</f>
        <v>0</v>
      </c>
      <c r="V585" s="43">
        <f>V584+Учет!Q585-Q585</f>
        <v>-488978.92000000004</v>
      </c>
      <c r="W585" s="43">
        <f>W584+Учет!R585-R585</f>
        <v>336855</v>
      </c>
      <c r="X585" s="43">
        <f>X584+Учет!S585-S585</f>
        <v>500</v>
      </c>
      <c r="Y585" s="43">
        <f>Y584+Учет!T585-T585</f>
        <v>1150</v>
      </c>
      <c r="Z585" s="43">
        <f>Z584+Учет!U585-U585</f>
        <v>500000</v>
      </c>
      <c r="AA585" s="45">
        <f>Учет!X585</f>
        <v>500</v>
      </c>
    </row>
    <row r="586" spans="1:27" ht="15" customHeight="1" x14ac:dyDescent="0.25">
      <c r="A586" s="1"/>
      <c r="B586" s="17"/>
      <c r="C586" s="17"/>
      <c r="D586" s="17"/>
      <c r="E586" s="17"/>
      <c r="F586" s="17"/>
      <c r="G586" s="4">
        <f t="shared" si="24"/>
        <v>0</v>
      </c>
      <c r="H586" s="17"/>
      <c r="I586" s="4">
        <f t="shared" si="26"/>
        <v>349526.07999999996</v>
      </c>
      <c r="J586" s="32" t="str">
        <f t="shared" si="25"/>
        <v/>
      </c>
      <c r="K586" s="72"/>
      <c r="L586" s="72"/>
      <c r="M586" s="2"/>
      <c r="N586" s="5"/>
      <c r="O586" s="3"/>
      <c r="P586" s="6"/>
      <c r="Q586" s="48">
        <f>IF(Учет!$O586=Справочники!$F$2,Учет!$H586,0)</f>
        <v>0</v>
      </c>
      <c r="R586" s="48">
        <f>IF(Учет!$O586=Справочники!$F$3,Учет!$H586,0)</f>
        <v>0</v>
      </c>
      <c r="S586" s="48">
        <f>IF(Учет!$O586=Справочники!$F$4,Учет!$H586,0)</f>
        <v>0</v>
      </c>
      <c r="T586" s="48">
        <f>IF(Учет!$O586=Справочники!$F$5,Учет!$H586,0)</f>
        <v>0</v>
      </c>
      <c r="U586" s="48">
        <f>IF(Учет!$O586=Справочники!$F$6,Учет!$H586,0)</f>
        <v>0</v>
      </c>
      <c r="V586" s="43">
        <f>V585+Учет!Q586-Q586</f>
        <v>-488978.92000000004</v>
      </c>
      <c r="W586" s="43">
        <f>W585+Учет!R586-R586</f>
        <v>336855</v>
      </c>
      <c r="X586" s="43">
        <f>X585+Учет!S586-S586</f>
        <v>500</v>
      </c>
      <c r="Y586" s="43">
        <f>Y585+Учет!T586-T586</f>
        <v>1150</v>
      </c>
      <c r="Z586" s="43">
        <f>Z585+Учет!U586-U586</f>
        <v>500000</v>
      </c>
      <c r="AA586" s="45">
        <f>Учет!X586</f>
        <v>500</v>
      </c>
    </row>
    <row r="587" spans="1:27" ht="15" customHeight="1" x14ac:dyDescent="0.25">
      <c r="A587" s="1"/>
      <c r="B587" s="17"/>
      <c r="C587" s="17"/>
      <c r="D587" s="17"/>
      <c r="E587" s="17"/>
      <c r="F587" s="17"/>
      <c r="G587" s="4">
        <f t="shared" si="24"/>
        <v>0</v>
      </c>
      <c r="H587" s="17"/>
      <c r="I587" s="4">
        <f t="shared" si="26"/>
        <v>349526.07999999996</v>
      </c>
      <c r="J587" s="32" t="str">
        <f t="shared" si="25"/>
        <v/>
      </c>
      <c r="K587" s="72"/>
      <c r="L587" s="72"/>
      <c r="M587" s="2"/>
      <c r="N587" s="5"/>
      <c r="O587" s="3"/>
      <c r="P587" s="6"/>
      <c r="Q587" s="48">
        <f>IF(Учет!$O587=Справочники!$F$2,Учет!$H587,0)</f>
        <v>0</v>
      </c>
      <c r="R587" s="48">
        <f>IF(Учет!$O587=Справочники!$F$3,Учет!$H587,0)</f>
        <v>0</v>
      </c>
      <c r="S587" s="48">
        <f>IF(Учет!$O587=Справочники!$F$4,Учет!$H587,0)</f>
        <v>0</v>
      </c>
      <c r="T587" s="48">
        <f>IF(Учет!$O587=Справочники!$F$5,Учет!$H587,0)</f>
        <v>0</v>
      </c>
      <c r="U587" s="48">
        <f>IF(Учет!$O587=Справочники!$F$6,Учет!$H587,0)</f>
        <v>0</v>
      </c>
      <c r="V587" s="43">
        <f>V586+Учет!Q587-Q587</f>
        <v>-488978.92000000004</v>
      </c>
      <c r="W587" s="43">
        <f>W586+Учет!R587-R587</f>
        <v>336855</v>
      </c>
      <c r="X587" s="43">
        <f>X586+Учет!S587-S587</f>
        <v>500</v>
      </c>
      <c r="Y587" s="43">
        <f>Y586+Учет!T587-T587</f>
        <v>1150</v>
      </c>
      <c r="Z587" s="43">
        <f>Z586+Учет!U587-U587</f>
        <v>500000</v>
      </c>
      <c r="AA587" s="45">
        <f>Учет!X587</f>
        <v>500</v>
      </c>
    </row>
    <row r="588" spans="1:27" ht="15" customHeight="1" x14ac:dyDescent="0.25">
      <c r="A588" s="1"/>
      <c r="B588" s="17"/>
      <c r="C588" s="17"/>
      <c r="D588" s="17"/>
      <c r="E588" s="17"/>
      <c r="F588" s="17"/>
      <c r="G588" s="4">
        <f t="shared" si="24"/>
        <v>0</v>
      </c>
      <c r="H588" s="17"/>
      <c r="I588" s="4">
        <f t="shared" si="26"/>
        <v>349526.07999999996</v>
      </c>
      <c r="J588" s="32" t="str">
        <f t="shared" si="25"/>
        <v/>
      </c>
      <c r="K588" s="72"/>
      <c r="L588" s="72"/>
      <c r="M588" s="2"/>
      <c r="N588" s="5"/>
      <c r="O588" s="3"/>
      <c r="P588" s="6"/>
      <c r="Q588" s="48">
        <f>IF(Учет!$O588=Справочники!$F$2,Учет!$H588,0)</f>
        <v>0</v>
      </c>
      <c r="R588" s="48">
        <f>IF(Учет!$O588=Справочники!$F$3,Учет!$H588,0)</f>
        <v>0</v>
      </c>
      <c r="S588" s="48">
        <f>IF(Учет!$O588=Справочники!$F$4,Учет!$H588,0)</f>
        <v>0</v>
      </c>
      <c r="T588" s="48">
        <f>IF(Учет!$O588=Справочники!$F$5,Учет!$H588,0)</f>
        <v>0</v>
      </c>
      <c r="U588" s="48">
        <f>IF(Учет!$O588=Справочники!$F$6,Учет!$H588,0)</f>
        <v>0</v>
      </c>
      <c r="V588" s="43">
        <f>V587+Учет!Q588-Q588</f>
        <v>-488978.92000000004</v>
      </c>
      <c r="W588" s="43">
        <f>W587+Учет!R588-R588</f>
        <v>336855</v>
      </c>
      <c r="X588" s="43">
        <f>X587+Учет!S588-S588</f>
        <v>500</v>
      </c>
      <c r="Y588" s="43">
        <f>Y587+Учет!T588-T588</f>
        <v>1150</v>
      </c>
      <c r="Z588" s="43">
        <f>Z587+Учет!U588-U588</f>
        <v>500000</v>
      </c>
      <c r="AA588" s="45">
        <f>Учет!X588</f>
        <v>500</v>
      </c>
    </row>
    <row r="589" spans="1:27" ht="15" customHeight="1" x14ac:dyDescent="0.25">
      <c r="A589" s="1"/>
      <c r="B589" s="17"/>
      <c r="C589" s="17"/>
      <c r="D589" s="17"/>
      <c r="E589" s="17"/>
      <c r="F589" s="17"/>
      <c r="G589" s="4">
        <f t="shared" si="24"/>
        <v>0</v>
      </c>
      <c r="H589" s="17"/>
      <c r="I589" s="4">
        <f t="shared" si="26"/>
        <v>349526.07999999996</v>
      </c>
      <c r="J589" s="32" t="str">
        <f t="shared" si="25"/>
        <v/>
      </c>
      <c r="K589" s="72"/>
      <c r="L589" s="72"/>
      <c r="M589" s="2"/>
      <c r="N589" s="5"/>
      <c r="O589" s="3"/>
      <c r="P589" s="6"/>
      <c r="Q589" s="48">
        <f>IF(Учет!$O589=Справочники!$F$2,Учет!$H589,0)</f>
        <v>0</v>
      </c>
      <c r="R589" s="48">
        <f>IF(Учет!$O589=Справочники!$F$3,Учет!$H589,0)</f>
        <v>0</v>
      </c>
      <c r="S589" s="48">
        <f>IF(Учет!$O589=Справочники!$F$4,Учет!$H589,0)</f>
        <v>0</v>
      </c>
      <c r="T589" s="48">
        <f>IF(Учет!$O589=Справочники!$F$5,Учет!$H589,0)</f>
        <v>0</v>
      </c>
      <c r="U589" s="48">
        <f>IF(Учет!$O589=Справочники!$F$6,Учет!$H589,0)</f>
        <v>0</v>
      </c>
      <c r="V589" s="43">
        <f>V588+Учет!Q589-Q589</f>
        <v>-488978.92000000004</v>
      </c>
      <c r="W589" s="43">
        <f>W588+Учет!R589-R589</f>
        <v>336855</v>
      </c>
      <c r="X589" s="43">
        <f>X588+Учет!S589-S589</f>
        <v>500</v>
      </c>
      <c r="Y589" s="43">
        <f>Y588+Учет!T589-T589</f>
        <v>1150</v>
      </c>
      <c r="Z589" s="43">
        <f>Z588+Учет!U589-U589</f>
        <v>500000</v>
      </c>
      <c r="AA589" s="45">
        <f>Учет!X589</f>
        <v>500</v>
      </c>
    </row>
    <row r="590" spans="1:27" ht="15" customHeight="1" x14ac:dyDescent="0.25">
      <c r="A590" s="1"/>
      <c r="B590" s="17"/>
      <c r="C590" s="17"/>
      <c r="D590" s="17"/>
      <c r="E590" s="17"/>
      <c r="F590" s="17"/>
      <c r="G590" s="4">
        <f t="shared" si="24"/>
        <v>0</v>
      </c>
      <c r="H590" s="17"/>
      <c r="I590" s="4">
        <f t="shared" si="26"/>
        <v>349526.07999999996</v>
      </c>
      <c r="J590" s="32" t="str">
        <f t="shared" si="25"/>
        <v/>
      </c>
      <c r="K590" s="72"/>
      <c r="L590" s="72"/>
      <c r="M590" s="2"/>
      <c r="N590" s="5"/>
      <c r="O590" s="3"/>
      <c r="P590" s="6"/>
      <c r="Q590" s="48">
        <f>IF(Учет!$O590=Справочники!$F$2,Учет!$H590,0)</f>
        <v>0</v>
      </c>
      <c r="R590" s="48">
        <f>IF(Учет!$O590=Справочники!$F$3,Учет!$H590,0)</f>
        <v>0</v>
      </c>
      <c r="S590" s="48">
        <f>IF(Учет!$O590=Справочники!$F$4,Учет!$H590,0)</f>
        <v>0</v>
      </c>
      <c r="T590" s="48">
        <f>IF(Учет!$O590=Справочники!$F$5,Учет!$H590,0)</f>
        <v>0</v>
      </c>
      <c r="U590" s="48">
        <f>IF(Учет!$O590=Справочники!$F$6,Учет!$H590,0)</f>
        <v>0</v>
      </c>
      <c r="V590" s="43">
        <f>V589+Учет!Q590-Q590</f>
        <v>-488978.92000000004</v>
      </c>
      <c r="W590" s="43">
        <f>W589+Учет!R590-R590</f>
        <v>336855</v>
      </c>
      <c r="X590" s="43">
        <f>X589+Учет!S590-S590</f>
        <v>500</v>
      </c>
      <c r="Y590" s="43">
        <f>Y589+Учет!T590-T590</f>
        <v>1150</v>
      </c>
      <c r="Z590" s="43">
        <f>Z589+Учет!U590-U590</f>
        <v>500000</v>
      </c>
      <c r="AA590" s="45">
        <f>Учет!X590</f>
        <v>500</v>
      </c>
    </row>
    <row r="591" spans="1:27" ht="15" customHeight="1" x14ac:dyDescent="0.25">
      <c r="A591" s="1"/>
      <c r="B591" s="17"/>
      <c r="C591" s="17"/>
      <c r="D591" s="17"/>
      <c r="E591" s="17"/>
      <c r="F591" s="17"/>
      <c r="G591" s="4">
        <f t="shared" si="24"/>
        <v>0</v>
      </c>
      <c r="H591" s="17"/>
      <c r="I591" s="4">
        <f t="shared" si="26"/>
        <v>349526.07999999996</v>
      </c>
      <c r="J591" s="32" t="str">
        <f t="shared" si="25"/>
        <v/>
      </c>
      <c r="K591" s="72"/>
      <c r="L591" s="72"/>
      <c r="M591" s="2"/>
      <c r="N591" s="5"/>
      <c r="O591" s="3"/>
      <c r="P591" s="6"/>
      <c r="Q591" s="48">
        <f>IF(Учет!$O591=Справочники!$F$2,Учет!$H591,0)</f>
        <v>0</v>
      </c>
      <c r="R591" s="48">
        <f>IF(Учет!$O591=Справочники!$F$3,Учет!$H591,0)</f>
        <v>0</v>
      </c>
      <c r="S591" s="48">
        <f>IF(Учет!$O591=Справочники!$F$4,Учет!$H591,0)</f>
        <v>0</v>
      </c>
      <c r="T591" s="48">
        <f>IF(Учет!$O591=Справочники!$F$5,Учет!$H591,0)</f>
        <v>0</v>
      </c>
      <c r="U591" s="48">
        <f>IF(Учет!$O591=Справочники!$F$6,Учет!$H591,0)</f>
        <v>0</v>
      </c>
      <c r="V591" s="43">
        <f>V590+Учет!Q591-Q591</f>
        <v>-488978.92000000004</v>
      </c>
      <c r="W591" s="43">
        <f>W590+Учет!R591-R591</f>
        <v>336855</v>
      </c>
      <c r="X591" s="43">
        <f>X590+Учет!S591-S591</f>
        <v>500</v>
      </c>
      <c r="Y591" s="43">
        <f>Y590+Учет!T591-T591</f>
        <v>1150</v>
      </c>
      <c r="Z591" s="43">
        <f>Z590+Учет!U591-U591</f>
        <v>500000</v>
      </c>
      <c r="AA591" s="45">
        <f>Учет!X591</f>
        <v>500</v>
      </c>
    </row>
    <row r="592" spans="1:27" ht="15" customHeight="1" x14ac:dyDescent="0.25">
      <c r="A592" s="1"/>
      <c r="B592" s="17"/>
      <c r="C592" s="17"/>
      <c r="D592" s="17"/>
      <c r="E592" s="17"/>
      <c r="F592" s="17"/>
      <c r="G592" s="4">
        <f t="shared" si="24"/>
        <v>0</v>
      </c>
      <c r="H592" s="17"/>
      <c r="I592" s="4">
        <f t="shared" si="26"/>
        <v>349526.07999999996</v>
      </c>
      <c r="J592" s="32" t="str">
        <f t="shared" si="25"/>
        <v/>
      </c>
      <c r="K592" s="72"/>
      <c r="L592" s="72"/>
      <c r="M592" s="2"/>
      <c r="N592" s="5"/>
      <c r="O592" s="3"/>
      <c r="P592" s="6"/>
      <c r="Q592" s="48">
        <f>IF(Учет!$O592=Справочники!$F$2,Учет!$H592,0)</f>
        <v>0</v>
      </c>
      <c r="R592" s="48">
        <f>IF(Учет!$O592=Справочники!$F$3,Учет!$H592,0)</f>
        <v>0</v>
      </c>
      <c r="S592" s="48">
        <f>IF(Учет!$O592=Справочники!$F$4,Учет!$H592,0)</f>
        <v>0</v>
      </c>
      <c r="T592" s="48">
        <f>IF(Учет!$O592=Справочники!$F$5,Учет!$H592,0)</f>
        <v>0</v>
      </c>
      <c r="U592" s="48">
        <f>IF(Учет!$O592=Справочники!$F$6,Учет!$H592,0)</f>
        <v>0</v>
      </c>
      <c r="V592" s="43">
        <f>V591+Учет!Q592-Q592</f>
        <v>-488978.92000000004</v>
      </c>
      <c r="W592" s="43">
        <f>W591+Учет!R592-R592</f>
        <v>336855</v>
      </c>
      <c r="X592" s="43">
        <f>X591+Учет!S592-S592</f>
        <v>500</v>
      </c>
      <c r="Y592" s="43">
        <f>Y591+Учет!T592-T592</f>
        <v>1150</v>
      </c>
      <c r="Z592" s="43">
        <f>Z591+Учет!U592-U592</f>
        <v>500000</v>
      </c>
      <c r="AA592" s="45">
        <f>Учет!X592</f>
        <v>500</v>
      </c>
    </row>
    <row r="593" spans="1:27" ht="15" customHeight="1" x14ac:dyDescent="0.25">
      <c r="A593" s="1"/>
      <c r="B593" s="17"/>
      <c r="C593" s="17"/>
      <c r="D593" s="17"/>
      <c r="E593" s="17"/>
      <c r="F593" s="17"/>
      <c r="G593" s="4">
        <f t="shared" si="24"/>
        <v>0</v>
      </c>
      <c r="H593" s="17"/>
      <c r="I593" s="4">
        <f t="shared" si="26"/>
        <v>349526.07999999996</v>
      </c>
      <c r="J593" s="32" t="str">
        <f t="shared" si="25"/>
        <v/>
      </c>
      <c r="K593" s="72"/>
      <c r="L593" s="72"/>
      <c r="M593" s="2"/>
      <c r="N593" s="5"/>
      <c r="O593" s="3"/>
      <c r="P593" s="6"/>
      <c r="Q593" s="48">
        <f>IF(Учет!$O593=Справочники!$F$2,Учет!$H593,0)</f>
        <v>0</v>
      </c>
      <c r="R593" s="48">
        <f>IF(Учет!$O593=Справочники!$F$3,Учет!$H593,0)</f>
        <v>0</v>
      </c>
      <c r="S593" s="48">
        <f>IF(Учет!$O593=Справочники!$F$4,Учет!$H593,0)</f>
        <v>0</v>
      </c>
      <c r="T593" s="48">
        <f>IF(Учет!$O593=Справочники!$F$5,Учет!$H593,0)</f>
        <v>0</v>
      </c>
      <c r="U593" s="48">
        <f>IF(Учет!$O593=Справочники!$F$6,Учет!$H593,0)</f>
        <v>0</v>
      </c>
      <c r="V593" s="43">
        <f>V592+Учет!Q593-Q593</f>
        <v>-488978.92000000004</v>
      </c>
      <c r="W593" s="43">
        <f>W592+Учет!R593-R593</f>
        <v>336855</v>
      </c>
      <c r="X593" s="43">
        <f>X592+Учет!S593-S593</f>
        <v>500</v>
      </c>
      <c r="Y593" s="43">
        <f>Y592+Учет!T593-T593</f>
        <v>1150</v>
      </c>
      <c r="Z593" s="43">
        <f>Z592+Учет!U593-U593</f>
        <v>500000</v>
      </c>
      <c r="AA593" s="45">
        <f>Учет!X593</f>
        <v>500</v>
      </c>
    </row>
    <row r="594" spans="1:27" ht="15" customHeight="1" x14ac:dyDescent="0.25">
      <c r="A594" s="1"/>
      <c r="B594" s="17"/>
      <c r="C594" s="17"/>
      <c r="D594" s="17"/>
      <c r="E594" s="17"/>
      <c r="F594" s="17"/>
      <c r="G594" s="4">
        <f t="shared" si="24"/>
        <v>0</v>
      </c>
      <c r="H594" s="17"/>
      <c r="I594" s="4">
        <f t="shared" si="26"/>
        <v>349526.07999999996</v>
      </c>
      <c r="J594" s="32" t="str">
        <f t="shared" si="25"/>
        <v/>
      </c>
      <c r="K594" s="72"/>
      <c r="L594" s="72"/>
      <c r="M594" s="2"/>
      <c r="N594" s="5"/>
      <c r="O594" s="3"/>
      <c r="P594" s="6"/>
      <c r="Q594" s="48">
        <f>IF(Учет!$O594=Справочники!$F$2,Учет!$H594,0)</f>
        <v>0</v>
      </c>
      <c r="R594" s="48">
        <f>IF(Учет!$O594=Справочники!$F$3,Учет!$H594,0)</f>
        <v>0</v>
      </c>
      <c r="S594" s="48">
        <f>IF(Учет!$O594=Справочники!$F$4,Учет!$H594,0)</f>
        <v>0</v>
      </c>
      <c r="T594" s="48">
        <f>IF(Учет!$O594=Справочники!$F$5,Учет!$H594,0)</f>
        <v>0</v>
      </c>
      <c r="U594" s="48">
        <f>IF(Учет!$O594=Справочники!$F$6,Учет!$H594,0)</f>
        <v>0</v>
      </c>
      <c r="V594" s="43">
        <f>V593+Учет!Q594-Q594</f>
        <v>-488978.92000000004</v>
      </c>
      <c r="W594" s="43">
        <f>W593+Учет!R594-R594</f>
        <v>336855</v>
      </c>
      <c r="X594" s="43">
        <f>X593+Учет!S594-S594</f>
        <v>500</v>
      </c>
      <c r="Y594" s="43">
        <f>Y593+Учет!T594-T594</f>
        <v>1150</v>
      </c>
      <c r="Z594" s="43">
        <f>Z593+Учет!U594-U594</f>
        <v>500000</v>
      </c>
      <c r="AA594" s="45">
        <f>Учет!X594</f>
        <v>500</v>
      </c>
    </row>
    <row r="595" spans="1:27" ht="15" customHeight="1" x14ac:dyDescent="0.25">
      <c r="A595" s="1"/>
      <c r="B595" s="17"/>
      <c r="C595" s="17"/>
      <c r="D595" s="17"/>
      <c r="E595" s="17"/>
      <c r="F595" s="17"/>
      <c r="G595" s="4">
        <f t="shared" si="24"/>
        <v>0</v>
      </c>
      <c r="H595" s="17"/>
      <c r="I595" s="4">
        <f t="shared" si="26"/>
        <v>349526.07999999996</v>
      </c>
      <c r="J595" s="32" t="str">
        <f t="shared" si="25"/>
        <v/>
      </c>
      <c r="K595" s="72"/>
      <c r="L595" s="72"/>
      <c r="M595" s="2"/>
      <c r="N595" s="5"/>
      <c r="O595" s="3"/>
      <c r="P595" s="6"/>
      <c r="Q595" s="48">
        <f>IF(Учет!$O595=Справочники!$F$2,Учет!$H595,0)</f>
        <v>0</v>
      </c>
      <c r="R595" s="48">
        <f>IF(Учет!$O595=Справочники!$F$3,Учет!$H595,0)</f>
        <v>0</v>
      </c>
      <c r="S595" s="48">
        <f>IF(Учет!$O595=Справочники!$F$4,Учет!$H595,0)</f>
        <v>0</v>
      </c>
      <c r="T595" s="48">
        <f>IF(Учет!$O595=Справочники!$F$5,Учет!$H595,0)</f>
        <v>0</v>
      </c>
      <c r="U595" s="48">
        <f>IF(Учет!$O595=Справочники!$F$6,Учет!$H595,0)</f>
        <v>0</v>
      </c>
      <c r="V595" s="43">
        <f>V594+Учет!Q595-Q595</f>
        <v>-488978.92000000004</v>
      </c>
      <c r="W595" s="43">
        <f>W594+Учет!R595-R595</f>
        <v>336855</v>
      </c>
      <c r="X595" s="43">
        <f>X594+Учет!S595-S595</f>
        <v>500</v>
      </c>
      <c r="Y595" s="43">
        <f>Y594+Учет!T595-T595</f>
        <v>1150</v>
      </c>
      <c r="Z595" s="43">
        <f>Z594+Учет!U595-U595</f>
        <v>500000</v>
      </c>
      <c r="AA595" s="45">
        <f>Учет!X595</f>
        <v>500</v>
      </c>
    </row>
    <row r="596" spans="1:27" ht="15" customHeight="1" x14ac:dyDescent="0.25">
      <c r="A596" s="1"/>
      <c r="B596" s="17"/>
      <c r="C596" s="17"/>
      <c r="D596" s="17"/>
      <c r="E596" s="17"/>
      <c r="F596" s="17"/>
      <c r="G596" s="4">
        <f t="shared" si="24"/>
        <v>0</v>
      </c>
      <c r="H596" s="17"/>
      <c r="I596" s="4">
        <f t="shared" si="26"/>
        <v>349526.07999999996</v>
      </c>
      <c r="J596" s="32" t="str">
        <f t="shared" si="25"/>
        <v/>
      </c>
      <c r="K596" s="72"/>
      <c r="L596" s="72"/>
      <c r="M596" s="2"/>
      <c r="N596" s="5"/>
      <c r="O596" s="3"/>
      <c r="P596" s="6"/>
      <c r="Q596" s="48">
        <f>IF(Учет!$O596=Справочники!$F$2,Учет!$H596,0)</f>
        <v>0</v>
      </c>
      <c r="R596" s="48">
        <f>IF(Учет!$O596=Справочники!$F$3,Учет!$H596,0)</f>
        <v>0</v>
      </c>
      <c r="S596" s="48">
        <f>IF(Учет!$O596=Справочники!$F$4,Учет!$H596,0)</f>
        <v>0</v>
      </c>
      <c r="T596" s="48">
        <f>IF(Учет!$O596=Справочники!$F$5,Учет!$H596,0)</f>
        <v>0</v>
      </c>
      <c r="U596" s="48">
        <f>IF(Учет!$O596=Справочники!$F$6,Учет!$H596,0)</f>
        <v>0</v>
      </c>
      <c r="V596" s="43">
        <f>V595+Учет!Q596-Q596</f>
        <v>-488978.92000000004</v>
      </c>
      <c r="W596" s="43">
        <f>W595+Учет!R596-R596</f>
        <v>336855</v>
      </c>
      <c r="X596" s="43">
        <f>X595+Учет!S596-S596</f>
        <v>500</v>
      </c>
      <c r="Y596" s="43">
        <f>Y595+Учет!T596-T596</f>
        <v>1150</v>
      </c>
      <c r="Z596" s="43">
        <f>Z595+Учет!U596-U596</f>
        <v>500000</v>
      </c>
      <c r="AA596" s="45">
        <f>Учет!X596</f>
        <v>500</v>
      </c>
    </row>
    <row r="597" spans="1:27" ht="15" customHeight="1" x14ac:dyDescent="0.25">
      <c r="A597" s="1"/>
      <c r="B597" s="17"/>
      <c r="C597" s="17"/>
      <c r="D597" s="17"/>
      <c r="E597" s="17"/>
      <c r="F597" s="17"/>
      <c r="G597" s="4">
        <f t="shared" si="24"/>
        <v>0</v>
      </c>
      <c r="H597" s="17"/>
      <c r="I597" s="4">
        <f t="shared" si="26"/>
        <v>349526.07999999996</v>
      </c>
      <c r="J597" s="32" t="str">
        <f t="shared" si="25"/>
        <v/>
      </c>
      <c r="K597" s="72"/>
      <c r="L597" s="72"/>
      <c r="M597" s="2"/>
      <c r="N597" s="5"/>
      <c r="O597" s="3"/>
      <c r="P597" s="6"/>
      <c r="Q597" s="48">
        <f>IF(Учет!$O597=Справочники!$F$2,Учет!$H597,0)</f>
        <v>0</v>
      </c>
      <c r="R597" s="48">
        <f>IF(Учет!$O597=Справочники!$F$3,Учет!$H597,0)</f>
        <v>0</v>
      </c>
      <c r="S597" s="48">
        <f>IF(Учет!$O597=Справочники!$F$4,Учет!$H597,0)</f>
        <v>0</v>
      </c>
      <c r="T597" s="48">
        <f>IF(Учет!$O597=Справочники!$F$5,Учет!$H597,0)</f>
        <v>0</v>
      </c>
      <c r="U597" s="48">
        <f>IF(Учет!$O597=Справочники!$F$6,Учет!$H597,0)</f>
        <v>0</v>
      </c>
      <c r="V597" s="43">
        <f>V596+Учет!Q597-Q597</f>
        <v>-488978.92000000004</v>
      </c>
      <c r="W597" s="43">
        <f>W596+Учет!R597-R597</f>
        <v>336855</v>
      </c>
      <c r="X597" s="43">
        <f>X596+Учет!S597-S597</f>
        <v>500</v>
      </c>
      <c r="Y597" s="43">
        <f>Y596+Учет!T597-T597</f>
        <v>1150</v>
      </c>
      <c r="Z597" s="43">
        <f>Z596+Учет!U597-U597</f>
        <v>500000</v>
      </c>
      <c r="AA597" s="45">
        <f>Учет!X597</f>
        <v>500</v>
      </c>
    </row>
    <row r="598" spans="1:27" ht="15" customHeight="1" x14ac:dyDescent="0.25">
      <c r="A598" s="1"/>
      <c r="B598" s="17"/>
      <c r="C598" s="17"/>
      <c r="D598" s="17"/>
      <c r="E598" s="17"/>
      <c r="F598" s="17"/>
      <c r="G598" s="4">
        <f t="shared" si="24"/>
        <v>0</v>
      </c>
      <c r="H598" s="17"/>
      <c r="I598" s="4">
        <f t="shared" si="26"/>
        <v>349526.07999999996</v>
      </c>
      <c r="J598" s="32" t="str">
        <f t="shared" si="25"/>
        <v/>
      </c>
      <c r="K598" s="72"/>
      <c r="L598" s="72"/>
      <c r="M598" s="2"/>
      <c r="N598" s="5"/>
      <c r="O598" s="3"/>
      <c r="P598" s="6"/>
      <c r="Q598" s="48">
        <f>IF(Учет!$O598=Справочники!$F$2,Учет!$H598,0)</f>
        <v>0</v>
      </c>
      <c r="R598" s="48">
        <f>IF(Учет!$O598=Справочники!$F$3,Учет!$H598,0)</f>
        <v>0</v>
      </c>
      <c r="S598" s="48">
        <f>IF(Учет!$O598=Справочники!$F$4,Учет!$H598,0)</f>
        <v>0</v>
      </c>
      <c r="T598" s="48">
        <f>IF(Учет!$O598=Справочники!$F$5,Учет!$H598,0)</f>
        <v>0</v>
      </c>
      <c r="U598" s="48">
        <f>IF(Учет!$O598=Справочники!$F$6,Учет!$H598,0)</f>
        <v>0</v>
      </c>
      <c r="V598" s="43">
        <f>V597+Учет!Q598-Q598</f>
        <v>-488978.92000000004</v>
      </c>
      <c r="W598" s="43">
        <f>W597+Учет!R598-R598</f>
        <v>336855</v>
      </c>
      <c r="X598" s="43">
        <f>X597+Учет!S598-S598</f>
        <v>500</v>
      </c>
      <c r="Y598" s="43">
        <f>Y597+Учет!T598-T598</f>
        <v>1150</v>
      </c>
      <c r="Z598" s="43">
        <f>Z597+Учет!U598-U598</f>
        <v>500000</v>
      </c>
      <c r="AA598" s="45">
        <f>Учет!X598</f>
        <v>500</v>
      </c>
    </row>
    <row r="599" spans="1:27" ht="15" customHeight="1" x14ac:dyDescent="0.25">
      <c r="A599" s="1"/>
      <c r="B599" s="17"/>
      <c r="C599" s="17"/>
      <c r="D599" s="17"/>
      <c r="E599" s="17"/>
      <c r="F599" s="17"/>
      <c r="G599" s="4">
        <f t="shared" si="24"/>
        <v>0</v>
      </c>
      <c r="H599" s="17"/>
      <c r="I599" s="4">
        <f t="shared" si="26"/>
        <v>349526.07999999996</v>
      </c>
      <c r="J599" s="32" t="str">
        <f t="shared" si="25"/>
        <v/>
      </c>
      <c r="K599" s="72"/>
      <c r="L599" s="72"/>
      <c r="M599" s="2"/>
      <c r="N599" s="5"/>
      <c r="O599" s="3"/>
      <c r="P599" s="6"/>
      <c r="Q599" s="48">
        <f>IF(Учет!$O599=Справочники!$F$2,Учет!$H599,0)</f>
        <v>0</v>
      </c>
      <c r="R599" s="48">
        <f>IF(Учет!$O599=Справочники!$F$3,Учет!$H599,0)</f>
        <v>0</v>
      </c>
      <c r="S599" s="48">
        <f>IF(Учет!$O599=Справочники!$F$4,Учет!$H599,0)</f>
        <v>0</v>
      </c>
      <c r="T599" s="48">
        <f>IF(Учет!$O599=Справочники!$F$5,Учет!$H599,0)</f>
        <v>0</v>
      </c>
      <c r="U599" s="48">
        <f>IF(Учет!$O599=Справочники!$F$6,Учет!$H599,0)</f>
        <v>0</v>
      </c>
      <c r="V599" s="43">
        <f>V598+Учет!Q599-Q599</f>
        <v>-488978.92000000004</v>
      </c>
      <c r="W599" s="43">
        <f>W598+Учет!R599-R599</f>
        <v>336855</v>
      </c>
      <c r="X599" s="43">
        <f>X598+Учет!S599-S599</f>
        <v>500</v>
      </c>
      <c r="Y599" s="43">
        <f>Y598+Учет!T599-T599</f>
        <v>1150</v>
      </c>
      <c r="Z599" s="43">
        <f>Z598+Учет!U599-U599</f>
        <v>500000</v>
      </c>
      <c r="AA599" s="45">
        <f>Учет!X599</f>
        <v>500</v>
      </c>
    </row>
    <row r="600" spans="1:27" ht="15" customHeight="1" x14ac:dyDescent="0.25">
      <c r="A600" s="1"/>
      <c r="B600" s="17"/>
      <c r="C600" s="17"/>
      <c r="D600" s="17"/>
      <c r="E600" s="17"/>
      <c r="F600" s="17"/>
      <c r="G600" s="4">
        <f t="shared" si="24"/>
        <v>0</v>
      </c>
      <c r="H600" s="17"/>
      <c r="I600" s="4">
        <f t="shared" si="26"/>
        <v>349526.07999999996</v>
      </c>
      <c r="J600" s="32" t="str">
        <f t="shared" si="25"/>
        <v/>
      </c>
      <c r="K600" s="72"/>
      <c r="L600" s="72"/>
      <c r="M600" s="2"/>
      <c r="N600" s="5"/>
      <c r="O600" s="3"/>
      <c r="P600" s="6"/>
      <c r="Q600" s="48">
        <f>IF(Учет!$O600=Справочники!$F$2,Учет!$H600,0)</f>
        <v>0</v>
      </c>
      <c r="R600" s="48">
        <f>IF(Учет!$O600=Справочники!$F$3,Учет!$H600,0)</f>
        <v>0</v>
      </c>
      <c r="S600" s="48">
        <f>IF(Учет!$O600=Справочники!$F$4,Учет!$H600,0)</f>
        <v>0</v>
      </c>
      <c r="T600" s="48">
        <f>IF(Учет!$O600=Справочники!$F$5,Учет!$H600,0)</f>
        <v>0</v>
      </c>
      <c r="U600" s="48">
        <f>IF(Учет!$O600=Справочники!$F$6,Учет!$H600,0)</f>
        <v>0</v>
      </c>
      <c r="V600" s="43">
        <f>V599+Учет!Q600-Q600</f>
        <v>-488978.92000000004</v>
      </c>
      <c r="W600" s="43">
        <f>W599+Учет!R600-R600</f>
        <v>336855</v>
      </c>
      <c r="X600" s="43">
        <f>X599+Учет!S600-S600</f>
        <v>500</v>
      </c>
      <c r="Y600" s="43">
        <f>Y599+Учет!T600-T600</f>
        <v>1150</v>
      </c>
      <c r="Z600" s="43">
        <f>Z599+Учет!U600-U600</f>
        <v>500000</v>
      </c>
      <c r="AA600" s="45">
        <f>Учет!X600</f>
        <v>500</v>
      </c>
    </row>
    <row r="601" spans="1:27" ht="15" customHeight="1" x14ac:dyDescent="0.25">
      <c r="A601" s="1"/>
      <c r="B601" s="17"/>
      <c r="C601" s="17"/>
      <c r="D601" s="17"/>
      <c r="E601" s="17"/>
      <c r="F601" s="17"/>
      <c r="G601" s="4">
        <f t="shared" si="24"/>
        <v>0</v>
      </c>
      <c r="H601" s="17"/>
      <c r="I601" s="4">
        <f t="shared" si="26"/>
        <v>349526.07999999996</v>
      </c>
      <c r="J601" s="32" t="str">
        <f t="shared" si="25"/>
        <v/>
      </c>
      <c r="K601" s="72"/>
      <c r="L601" s="72"/>
      <c r="M601" s="2"/>
      <c r="N601" s="5"/>
      <c r="O601" s="3"/>
      <c r="P601" s="6"/>
      <c r="Q601" s="48">
        <f>IF(Учет!$O601=Справочники!$F$2,Учет!$H601,0)</f>
        <v>0</v>
      </c>
      <c r="R601" s="48">
        <f>IF(Учет!$O601=Справочники!$F$3,Учет!$H601,0)</f>
        <v>0</v>
      </c>
      <c r="S601" s="48">
        <f>IF(Учет!$O601=Справочники!$F$4,Учет!$H601,0)</f>
        <v>0</v>
      </c>
      <c r="T601" s="48">
        <f>IF(Учет!$O601=Справочники!$F$5,Учет!$H601,0)</f>
        <v>0</v>
      </c>
      <c r="U601" s="48">
        <f>IF(Учет!$O601=Справочники!$F$6,Учет!$H601,0)</f>
        <v>0</v>
      </c>
      <c r="V601" s="43">
        <f>V600+Учет!Q601-Q601</f>
        <v>-488978.92000000004</v>
      </c>
      <c r="W601" s="43">
        <f>W600+Учет!R601-R601</f>
        <v>336855</v>
      </c>
      <c r="X601" s="43">
        <f>X600+Учет!S601-S601</f>
        <v>500</v>
      </c>
      <c r="Y601" s="43">
        <f>Y600+Учет!T601-T601</f>
        <v>1150</v>
      </c>
      <c r="Z601" s="43">
        <f>Z600+Учет!U601-U601</f>
        <v>500000</v>
      </c>
      <c r="AA601" s="45">
        <f>Учет!X601</f>
        <v>500</v>
      </c>
    </row>
    <row r="602" spans="1:27" ht="15" customHeight="1" x14ac:dyDescent="0.25">
      <c r="A602" s="1"/>
      <c r="B602" s="17"/>
      <c r="C602" s="17"/>
      <c r="D602" s="17"/>
      <c r="E602" s="17"/>
      <c r="F602" s="17"/>
      <c r="G602" s="4">
        <f t="shared" si="24"/>
        <v>0</v>
      </c>
      <c r="H602" s="17"/>
      <c r="I602" s="4">
        <f t="shared" si="26"/>
        <v>349526.07999999996</v>
      </c>
      <c r="J602" s="32" t="str">
        <f t="shared" si="25"/>
        <v/>
      </c>
      <c r="K602" s="72"/>
      <c r="L602" s="72"/>
      <c r="M602" s="2"/>
      <c r="N602" s="5"/>
      <c r="O602" s="3"/>
      <c r="P602" s="6"/>
      <c r="Q602" s="48">
        <f>IF(Учет!$O602=Справочники!$F$2,Учет!$H602,0)</f>
        <v>0</v>
      </c>
      <c r="R602" s="48">
        <f>IF(Учет!$O602=Справочники!$F$3,Учет!$H602,0)</f>
        <v>0</v>
      </c>
      <c r="S602" s="48">
        <f>IF(Учет!$O602=Справочники!$F$4,Учет!$H602,0)</f>
        <v>0</v>
      </c>
      <c r="T602" s="48">
        <f>IF(Учет!$O602=Справочники!$F$5,Учет!$H602,0)</f>
        <v>0</v>
      </c>
      <c r="U602" s="48">
        <f>IF(Учет!$O602=Справочники!$F$6,Учет!$H602,0)</f>
        <v>0</v>
      </c>
      <c r="V602" s="43">
        <f>V601+Учет!Q602-Q602</f>
        <v>-488978.92000000004</v>
      </c>
      <c r="W602" s="43">
        <f>W601+Учет!R602-R602</f>
        <v>336855</v>
      </c>
      <c r="X602" s="43">
        <f>X601+Учет!S602-S602</f>
        <v>500</v>
      </c>
      <c r="Y602" s="43">
        <f>Y601+Учет!T602-T602</f>
        <v>1150</v>
      </c>
      <c r="Z602" s="43">
        <f>Z601+Учет!U602-U602</f>
        <v>500000</v>
      </c>
      <c r="AA602" s="45">
        <f>Учет!X602</f>
        <v>500</v>
      </c>
    </row>
    <row r="603" spans="1:27" ht="15" customHeight="1" x14ac:dyDescent="0.25">
      <c r="A603" s="1"/>
      <c r="B603" s="17"/>
      <c r="C603" s="17"/>
      <c r="D603" s="17"/>
      <c r="E603" s="17"/>
      <c r="F603" s="17"/>
      <c r="G603" s="4">
        <f t="shared" si="24"/>
        <v>0</v>
      </c>
      <c r="H603" s="17"/>
      <c r="I603" s="4">
        <f t="shared" si="26"/>
        <v>349526.07999999996</v>
      </c>
      <c r="J603" s="32" t="str">
        <f t="shared" si="25"/>
        <v/>
      </c>
      <c r="K603" s="72"/>
      <c r="L603" s="72"/>
      <c r="M603" s="2"/>
      <c r="N603" s="5"/>
      <c r="O603" s="3"/>
      <c r="P603" s="6"/>
      <c r="Q603" s="48">
        <f>IF(Учет!$O603=Справочники!$F$2,Учет!$H603,0)</f>
        <v>0</v>
      </c>
      <c r="R603" s="48">
        <f>IF(Учет!$O603=Справочники!$F$3,Учет!$H603,0)</f>
        <v>0</v>
      </c>
      <c r="S603" s="48">
        <f>IF(Учет!$O603=Справочники!$F$4,Учет!$H603,0)</f>
        <v>0</v>
      </c>
      <c r="T603" s="48">
        <f>IF(Учет!$O603=Справочники!$F$5,Учет!$H603,0)</f>
        <v>0</v>
      </c>
      <c r="U603" s="48">
        <f>IF(Учет!$O603=Справочники!$F$6,Учет!$H603,0)</f>
        <v>0</v>
      </c>
      <c r="V603" s="43">
        <f>V602+Учет!Q603-Q603</f>
        <v>-488978.92000000004</v>
      </c>
      <c r="W603" s="43">
        <f>W602+Учет!R603-R603</f>
        <v>336855</v>
      </c>
      <c r="X603" s="43">
        <f>X602+Учет!S603-S603</f>
        <v>500</v>
      </c>
      <c r="Y603" s="43">
        <f>Y602+Учет!T603-T603</f>
        <v>1150</v>
      </c>
      <c r="Z603" s="43">
        <f>Z602+Учет!U603-U603</f>
        <v>500000</v>
      </c>
      <c r="AA603" s="45">
        <f>Учет!X603</f>
        <v>500</v>
      </c>
    </row>
    <row r="604" spans="1:27" ht="15" customHeight="1" x14ac:dyDescent="0.25">
      <c r="A604" s="1"/>
      <c r="B604" s="17"/>
      <c r="C604" s="17"/>
      <c r="D604" s="17"/>
      <c r="E604" s="17"/>
      <c r="F604" s="17"/>
      <c r="G604" s="4">
        <f t="shared" si="24"/>
        <v>0</v>
      </c>
      <c r="H604" s="17"/>
      <c r="I604" s="4">
        <f t="shared" si="26"/>
        <v>349526.07999999996</v>
      </c>
      <c r="J604" s="32" t="str">
        <f t="shared" si="25"/>
        <v/>
      </c>
      <c r="K604" s="72"/>
      <c r="L604" s="72"/>
      <c r="M604" s="2"/>
      <c r="N604" s="5"/>
      <c r="O604" s="3"/>
      <c r="P604" s="6"/>
      <c r="Q604" s="48">
        <f>IF(Учет!$O604=Справочники!$F$2,Учет!$H604,0)</f>
        <v>0</v>
      </c>
      <c r="R604" s="48">
        <f>IF(Учет!$O604=Справочники!$F$3,Учет!$H604,0)</f>
        <v>0</v>
      </c>
      <c r="S604" s="48">
        <f>IF(Учет!$O604=Справочники!$F$4,Учет!$H604,0)</f>
        <v>0</v>
      </c>
      <c r="T604" s="48">
        <f>IF(Учет!$O604=Справочники!$F$5,Учет!$H604,0)</f>
        <v>0</v>
      </c>
      <c r="U604" s="48">
        <f>IF(Учет!$O604=Справочники!$F$6,Учет!$H604,0)</f>
        <v>0</v>
      </c>
      <c r="V604" s="43">
        <f>V603+Учет!Q604-Q604</f>
        <v>-488978.92000000004</v>
      </c>
      <c r="W604" s="43">
        <f>W603+Учет!R604-R604</f>
        <v>336855</v>
      </c>
      <c r="X604" s="43">
        <f>X603+Учет!S604-S604</f>
        <v>500</v>
      </c>
      <c r="Y604" s="43">
        <f>Y603+Учет!T604-T604</f>
        <v>1150</v>
      </c>
      <c r="Z604" s="43">
        <f>Z603+Учет!U604-U604</f>
        <v>500000</v>
      </c>
      <c r="AA604" s="45">
        <f>Учет!X604</f>
        <v>500</v>
      </c>
    </row>
    <row r="605" spans="1:27" ht="15" customHeight="1" x14ac:dyDescent="0.25">
      <c r="A605" s="1"/>
      <c r="B605" s="17"/>
      <c r="C605" s="17"/>
      <c r="D605" s="17"/>
      <c r="E605" s="17"/>
      <c r="F605" s="17"/>
      <c r="G605" s="4">
        <f t="shared" si="24"/>
        <v>0</v>
      </c>
      <c r="H605" s="17"/>
      <c r="I605" s="4">
        <f t="shared" si="26"/>
        <v>349526.07999999996</v>
      </c>
      <c r="J605" s="32" t="str">
        <f t="shared" si="25"/>
        <v/>
      </c>
      <c r="K605" s="72"/>
      <c r="L605" s="72"/>
      <c r="M605" s="2"/>
      <c r="N605" s="5"/>
      <c r="O605" s="3"/>
      <c r="P605" s="6"/>
      <c r="Q605" s="48">
        <f>IF(Учет!$O605=Справочники!$F$2,Учет!$H605,0)</f>
        <v>0</v>
      </c>
      <c r="R605" s="48">
        <f>IF(Учет!$O605=Справочники!$F$3,Учет!$H605,0)</f>
        <v>0</v>
      </c>
      <c r="S605" s="48">
        <f>IF(Учет!$O605=Справочники!$F$4,Учет!$H605,0)</f>
        <v>0</v>
      </c>
      <c r="T605" s="48">
        <f>IF(Учет!$O605=Справочники!$F$5,Учет!$H605,0)</f>
        <v>0</v>
      </c>
      <c r="U605" s="48">
        <f>IF(Учет!$O605=Справочники!$F$6,Учет!$H605,0)</f>
        <v>0</v>
      </c>
      <c r="V605" s="43">
        <f>V604+Учет!Q605-Q605</f>
        <v>-488978.92000000004</v>
      </c>
      <c r="W605" s="43">
        <f>W604+Учет!R605-R605</f>
        <v>336855</v>
      </c>
      <c r="X605" s="43">
        <f>X604+Учет!S605-S605</f>
        <v>500</v>
      </c>
      <c r="Y605" s="43">
        <f>Y604+Учет!T605-T605</f>
        <v>1150</v>
      </c>
      <c r="Z605" s="43">
        <f>Z604+Учет!U605-U605</f>
        <v>500000</v>
      </c>
      <c r="AA605" s="45">
        <f>Учет!X605</f>
        <v>500</v>
      </c>
    </row>
    <row r="606" spans="1:27" ht="15" customHeight="1" x14ac:dyDescent="0.25">
      <c r="A606" s="1"/>
      <c r="B606" s="17"/>
      <c r="C606" s="17"/>
      <c r="D606" s="17"/>
      <c r="E606" s="17"/>
      <c r="F606" s="17"/>
      <c r="G606" s="4">
        <f t="shared" si="24"/>
        <v>0</v>
      </c>
      <c r="H606" s="17"/>
      <c r="I606" s="4">
        <f t="shared" si="26"/>
        <v>349526.07999999996</v>
      </c>
      <c r="J606" s="32" t="str">
        <f t="shared" si="25"/>
        <v/>
      </c>
      <c r="K606" s="72"/>
      <c r="L606" s="72"/>
      <c r="M606" s="2"/>
      <c r="N606" s="5"/>
      <c r="O606" s="3"/>
      <c r="P606" s="6"/>
      <c r="Q606" s="48">
        <f>IF(Учет!$O606=Справочники!$F$2,Учет!$H606,0)</f>
        <v>0</v>
      </c>
      <c r="R606" s="48">
        <f>IF(Учет!$O606=Справочники!$F$3,Учет!$H606,0)</f>
        <v>0</v>
      </c>
      <c r="S606" s="48">
        <f>IF(Учет!$O606=Справочники!$F$4,Учет!$H606,0)</f>
        <v>0</v>
      </c>
      <c r="T606" s="48">
        <f>IF(Учет!$O606=Справочники!$F$5,Учет!$H606,0)</f>
        <v>0</v>
      </c>
      <c r="U606" s="48">
        <f>IF(Учет!$O606=Справочники!$F$6,Учет!$H606,0)</f>
        <v>0</v>
      </c>
      <c r="V606" s="43">
        <f>V605+Учет!Q606-Q606</f>
        <v>-488978.92000000004</v>
      </c>
      <c r="W606" s="43">
        <f>W605+Учет!R606-R606</f>
        <v>336855</v>
      </c>
      <c r="X606" s="43">
        <f>X605+Учет!S606-S606</f>
        <v>500</v>
      </c>
      <c r="Y606" s="43">
        <f>Y605+Учет!T606-T606</f>
        <v>1150</v>
      </c>
      <c r="Z606" s="43">
        <f>Z605+Учет!U606-U606</f>
        <v>500000</v>
      </c>
      <c r="AA606" s="45">
        <f>Учет!X606</f>
        <v>500</v>
      </c>
    </row>
    <row r="607" spans="1:27" ht="15" customHeight="1" x14ac:dyDescent="0.25">
      <c r="A607" s="1"/>
      <c r="B607" s="17"/>
      <c r="C607" s="17"/>
      <c r="D607" s="17"/>
      <c r="E607" s="17"/>
      <c r="F607" s="17"/>
      <c r="G607" s="4">
        <f t="shared" si="24"/>
        <v>0</v>
      </c>
      <c r="H607" s="17"/>
      <c r="I607" s="4">
        <f t="shared" si="26"/>
        <v>349526.07999999996</v>
      </c>
      <c r="J607" s="32" t="str">
        <f t="shared" si="25"/>
        <v/>
      </c>
      <c r="K607" s="72"/>
      <c r="L607" s="72"/>
      <c r="M607" s="2"/>
      <c r="N607" s="5"/>
      <c r="O607" s="3"/>
      <c r="P607" s="6"/>
      <c r="Q607" s="48">
        <f>IF(Учет!$O607=Справочники!$F$2,Учет!$H607,0)</f>
        <v>0</v>
      </c>
      <c r="R607" s="48">
        <f>IF(Учет!$O607=Справочники!$F$3,Учет!$H607,0)</f>
        <v>0</v>
      </c>
      <c r="S607" s="48">
        <f>IF(Учет!$O607=Справочники!$F$4,Учет!$H607,0)</f>
        <v>0</v>
      </c>
      <c r="T607" s="48">
        <f>IF(Учет!$O607=Справочники!$F$5,Учет!$H607,0)</f>
        <v>0</v>
      </c>
      <c r="U607" s="48">
        <f>IF(Учет!$O607=Справочники!$F$6,Учет!$H607,0)</f>
        <v>0</v>
      </c>
      <c r="V607" s="43">
        <f>V606+Учет!Q607-Q607</f>
        <v>-488978.92000000004</v>
      </c>
      <c r="W607" s="43">
        <f>W606+Учет!R607-R607</f>
        <v>336855</v>
      </c>
      <c r="X607" s="43">
        <f>X606+Учет!S607-S607</f>
        <v>500</v>
      </c>
      <c r="Y607" s="43">
        <f>Y606+Учет!T607-T607</f>
        <v>1150</v>
      </c>
      <c r="Z607" s="43">
        <f>Z606+Учет!U607-U607</f>
        <v>500000</v>
      </c>
      <c r="AA607" s="45">
        <f>Учет!X607</f>
        <v>500</v>
      </c>
    </row>
    <row r="608" spans="1:27" ht="15" customHeight="1" x14ac:dyDescent="0.25">
      <c r="A608" s="1"/>
      <c r="B608" s="17"/>
      <c r="C608" s="17"/>
      <c r="D608" s="17"/>
      <c r="E608" s="17"/>
      <c r="F608" s="17"/>
      <c r="G608" s="4">
        <f t="shared" si="24"/>
        <v>0</v>
      </c>
      <c r="H608" s="17"/>
      <c r="I608" s="4">
        <f t="shared" si="26"/>
        <v>349526.07999999996</v>
      </c>
      <c r="J608" s="32" t="str">
        <f t="shared" si="25"/>
        <v/>
      </c>
      <c r="K608" s="72"/>
      <c r="L608" s="72"/>
      <c r="M608" s="2"/>
      <c r="N608" s="5"/>
      <c r="O608" s="3"/>
      <c r="P608" s="6"/>
      <c r="Q608" s="48">
        <f>IF(Учет!$O608=Справочники!$F$2,Учет!$H608,0)</f>
        <v>0</v>
      </c>
      <c r="R608" s="48">
        <f>IF(Учет!$O608=Справочники!$F$3,Учет!$H608,0)</f>
        <v>0</v>
      </c>
      <c r="S608" s="48">
        <f>IF(Учет!$O608=Справочники!$F$4,Учет!$H608,0)</f>
        <v>0</v>
      </c>
      <c r="T608" s="48">
        <f>IF(Учет!$O608=Справочники!$F$5,Учет!$H608,0)</f>
        <v>0</v>
      </c>
      <c r="U608" s="48">
        <f>IF(Учет!$O608=Справочники!$F$6,Учет!$H608,0)</f>
        <v>0</v>
      </c>
      <c r="V608" s="43">
        <f>V607+Учет!Q608-Q608</f>
        <v>-488978.92000000004</v>
      </c>
      <c r="W608" s="43">
        <f>W607+Учет!R608-R608</f>
        <v>336855</v>
      </c>
      <c r="X608" s="43">
        <f>X607+Учет!S608-S608</f>
        <v>500</v>
      </c>
      <c r="Y608" s="43">
        <f>Y607+Учет!T608-T608</f>
        <v>1150</v>
      </c>
      <c r="Z608" s="43">
        <f>Z607+Учет!U608-U608</f>
        <v>500000</v>
      </c>
      <c r="AA608" s="45">
        <f>Учет!X608</f>
        <v>500</v>
      </c>
    </row>
    <row r="609" spans="1:27" ht="15" customHeight="1" x14ac:dyDescent="0.25">
      <c r="A609" s="1"/>
      <c r="B609" s="17"/>
      <c r="C609" s="17"/>
      <c r="D609" s="17"/>
      <c r="E609" s="17"/>
      <c r="F609" s="17"/>
      <c r="G609" s="4">
        <f t="shared" si="24"/>
        <v>0</v>
      </c>
      <c r="H609" s="17"/>
      <c r="I609" s="4">
        <f t="shared" si="26"/>
        <v>349526.07999999996</v>
      </c>
      <c r="J609" s="32" t="str">
        <f t="shared" si="25"/>
        <v/>
      </c>
      <c r="K609" s="72"/>
      <c r="L609" s="72"/>
      <c r="M609" s="2"/>
      <c r="N609" s="5"/>
      <c r="O609" s="3"/>
      <c r="P609" s="6"/>
      <c r="Q609" s="48">
        <f>IF(Учет!$O609=Справочники!$F$2,Учет!$H609,0)</f>
        <v>0</v>
      </c>
      <c r="R609" s="48">
        <f>IF(Учет!$O609=Справочники!$F$3,Учет!$H609,0)</f>
        <v>0</v>
      </c>
      <c r="S609" s="48">
        <f>IF(Учет!$O609=Справочники!$F$4,Учет!$H609,0)</f>
        <v>0</v>
      </c>
      <c r="T609" s="48">
        <f>IF(Учет!$O609=Справочники!$F$5,Учет!$H609,0)</f>
        <v>0</v>
      </c>
      <c r="U609" s="48">
        <f>IF(Учет!$O609=Справочники!$F$6,Учет!$H609,0)</f>
        <v>0</v>
      </c>
      <c r="V609" s="43">
        <f>V608+Учет!Q609-Q609</f>
        <v>-488978.92000000004</v>
      </c>
      <c r="W609" s="43">
        <f>W608+Учет!R609-R609</f>
        <v>336855</v>
      </c>
      <c r="X609" s="43">
        <f>X608+Учет!S609-S609</f>
        <v>500</v>
      </c>
      <c r="Y609" s="43">
        <f>Y608+Учет!T609-T609</f>
        <v>1150</v>
      </c>
      <c r="Z609" s="43">
        <f>Z608+Учет!U609-U609</f>
        <v>500000</v>
      </c>
      <c r="AA609" s="45">
        <f>Учет!X609</f>
        <v>500</v>
      </c>
    </row>
    <row r="610" spans="1:27" ht="15" customHeight="1" x14ac:dyDescent="0.25">
      <c r="A610" s="1"/>
      <c r="B610" s="17"/>
      <c r="C610" s="17"/>
      <c r="D610" s="17"/>
      <c r="E610" s="17"/>
      <c r="F610" s="17"/>
      <c r="G610" s="4">
        <f t="shared" si="24"/>
        <v>0</v>
      </c>
      <c r="H610" s="17"/>
      <c r="I610" s="4">
        <f t="shared" si="26"/>
        <v>349526.07999999996</v>
      </c>
      <c r="J610" s="32" t="str">
        <f t="shared" si="25"/>
        <v/>
      </c>
      <c r="K610" s="72"/>
      <c r="L610" s="72"/>
      <c r="M610" s="2"/>
      <c r="N610" s="5"/>
      <c r="O610" s="3"/>
      <c r="P610" s="6"/>
      <c r="Q610" s="48">
        <f>IF(Учет!$O610=Справочники!$F$2,Учет!$H610,0)</f>
        <v>0</v>
      </c>
      <c r="R610" s="48">
        <f>IF(Учет!$O610=Справочники!$F$3,Учет!$H610,0)</f>
        <v>0</v>
      </c>
      <c r="S610" s="48">
        <f>IF(Учет!$O610=Справочники!$F$4,Учет!$H610,0)</f>
        <v>0</v>
      </c>
      <c r="T610" s="48">
        <f>IF(Учет!$O610=Справочники!$F$5,Учет!$H610,0)</f>
        <v>0</v>
      </c>
      <c r="U610" s="48">
        <f>IF(Учет!$O610=Справочники!$F$6,Учет!$H610,0)</f>
        <v>0</v>
      </c>
      <c r="V610" s="43">
        <f>V609+Учет!Q610-Q610</f>
        <v>-488978.92000000004</v>
      </c>
      <c r="W610" s="43">
        <f>W609+Учет!R610-R610</f>
        <v>336855</v>
      </c>
      <c r="X610" s="43">
        <f>X609+Учет!S610-S610</f>
        <v>500</v>
      </c>
      <c r="Y610" s="43">
        <f>Y609+Учет!T610-T610</f>
        <v>1150</v>
      </c>
      <c r="Z610" s="43">
        <f>Z609+Учет!U610-U610</f>
        <v>500000</v>
      </c>
      <c r="AA610" s="45">
        <f>Учет!X610</f>
        <v>500</v>
      </c>
    </row>
    <row r="611" spans="1:27" ht="15" customHeight="1" x14ac:dyDescent="0.25">
      <c r="A611" s="1"/>
      <c r="B611" s="17"/>
      <c r="C611" s="17"/>
      <c r="D611" s="17"/>
      <c r="E611" s="17"/>
      <c r="F611" s="17"/>
      <c r="G611" s="4">
        <f t="shared" si="24"/>
        <v>0</v>
      </c>
      <c r="H611" s="17"/>
      <c r="I611" s="4">
        <f t="shared" si="26"/>
        <v>349526.07999999996</v>
      </c>
      <c r="J611" s="32" t="str">
        <f t="shared" si="25"/>
        <v/>
      </c>
      <c r="K611" s="72"/>
      <c r="L611" s="72"/>
      <c r="M611" s="2"/>
      <c r="N611" s="5"/>
      <c r="O611" s="3"/>
      <c r="P611" s="6"/>
      <c r="Q611" s="48">
        <f>IF(Учет!$O611=Справочники!$F$2,Учет!$H611,0)</f>
        <v>0</v>
      </c>
      <c r="R611" s="48">
        <f>IF(Учет!$O611=Справочники!$F$3,Учет!$H611,0)</f>
        <v>0</v>
      </c>
      <c r="S611" s="48">
        <f>IF(Учет!$O611=Справочники!$F$4,Учет!$H611,0)</f>
        <v>0</v>
      </c>
      <c r="T611" s="48">
        <f>IF(Учет!$O611=Справочники!$F$5,Учет!$H611,0)</f>
        <v>0</v>
      </c>
      <c r="U611" s="48">
        <f>IF(Учет!$O611=Справочники!$F$6,Учет!$H611,0)</f>
        <v>0</v>
      </c>
      <c r="V611" s="43">
        <f>V610+Учет!Q611-Q611</f>
        <v>-488978.92000000004</v>
      </c>
      <c r="W611" s="43">
        <f>W610+Учет!R611-R611</f>
        <v>336855</v>
      </c>
      <c r="X611" s="43">
        <f>X610+Учет!S611-S611</f>
        <v>500</v>
      </c>
      <c r="Y611" s="43">
        <f>Y610+Учет!T611-T611</f>
        <v>1150</v>
      </c>
      <c r="Z611" s="43">
        <f>Z610+Учет!U611-U611</f>
        <v>500000</v>
      </c>
      <c r="AA611" s="45">
        <f>Учет!X611</f>
        <v>500</v>
      </c>
    </row>
    <row r="612" spans="1:27" ht="15" customHeight="1" x14ac:dyDescent="0.25">
      <c r="A612" s="1"/>
      <c r="B612" s="17"/>
      <c r="C612" s="17"/>
      <c r="D612" s="17"/>
      <c r="E612" s="17"/>
      <c r="F612" s="17"/>
      <c r="G612" s="4">
        <f t="shared" si="24"/>
        <v>0</v>
      </c>
      <c r="H612" s="17"/>
      <c r="I612" s="4">
        <f t="shared" si="26"/>
        <v>349526.07999999996</v>
      </c>
      <c r="J612" s="32" t="str">
        <f t="shared" si="25"/>
        <v/>
      </c>
      <c r="K612" s="72"/>
      <c r="L612" s="72"/>
      <c r="M612" s="2"/>
      <c r="N612" s="5"/>
      <c r="O612" s="3"/>
      <c r="P612" s="6"/>
      <c r="Q612" s="48">
        <f>IF(Учет!$O612=Справочники!$F$2,Учет!$H612,0)</f>
        <v>0</v>
      </c>
      <c r="R612" s="48">
        <f>IF(Учет!$O612=Справочники!$F$3,Учет!$H612,0)</f>
        <v>0</v>
      </c>
      <c r="S612" s="48">
        <f>IF(Учет!$O612=Справочники!$F$4,Учет!$H612,0)</f>
        <v>0</v>
      </c>
      <c r="T612" s="48">
        <f>IF(Учет!$O612=Справочники!$F$5,Учет!$H612,0)</f>
        <v>0</v>
      </c>
      <c r="U612" s="48">
        <f>IF(Учет!$O612=Справочники!$F$6,Учет!$H612,0)</f>
        <v>0</v>
      </c>
      <c r="V612" s="43">
        <f>V611+Учет!Q612-Q612</f>
        <v>-488978.92000000004</v>
      </c>
      <c r="W612" s="43">
        <f>W611+Учет!R612-R612</f>
        <v>336855</v>
      </c>
      <c r="X612" s="43">
        <f>X611+Учет!S612-S612</f>
        <v>500</v>
      </c>
      <c r="Y612" s="43">
        <f>Y611+Учет!T612-T612</f>
        <v>1150</v>
      </c>
      <c r="Z612" s="43">
        <f>Z611+Учет!U612-U612</f>
        <v>500000</v>
      </c>
      <c r="AA612" s="45">
        <f>Учет!X612</f>
        <v>500</v>
      </c>
    </row>
    <row r="613" spans="1:27" ht="15" customHeight="1" x14ac:dyDescent="0.25">
      <c r="A613" s="1"/>
      <c r="B613" s="17"/>
      <c r="C613" s="17"/>
      <c r="D613" s="17"/>
      <c r="E613" s="17"/>
      <c r="F613" s="17"/>
      <c r="G613" s="4">
        <f t="shared" si="24"/>
        <v>0</v>
      </c>
      <c r="H613" s="17"/>
      <c r="I613" s="4">
        <f t="shared" si="26"/>
        <v>349526.07999999996</v>
      </c>
      <c r="J613" s="32" t="str">
        <f t="shared" si="25"/>
        <v/>
      </c>
      <c r="K613" s="72"/>
      <c r="L613" s="72"/>
      <c r="M613" s="2"/>
      <c r="N613" s="5"/>
      <c r="O613" s="3"/>
      <c r="P613" s="6"/>
      <c r="Q613" s="48">
        <f>IF(Учет!$O613=Справочники!$F$2,Учет!$H613,0)</f>
        <v>0</v>
      </c>
      <c r="R613" s="48">
        <f>IF(Учет!$O613=Справочники!$F$3,Учет!$H613,0)</f>
        <v>0</v>
      </c>
      <c r="S613" s="48">
        <f>IF(Учет!$O613=Справочники!$F$4,Учет!$H613,0)</f>
        <v>0</v>
      </c>
      <c r="T613" s="48">
        <f>IF(Учет!$O613=Справочники!$F$5,Учет!$H613,0)</f>
        <v>0</v>
      </c>
      <c r="U613" s="48">
        <f>IF(Учет!$O613=Справочники!$F$6,Учет!$H613,0)</f>
        <v>0</v>
      </c>
      <c r="V613" s="43">
        <f>V612+Учет!Q613-Q613</f>
        <v>-488978.92000000004</v>
      </c>
      <c r="W613" s="43">
        <f>W612+Учет!R613-R613</f>
        <v>336855</v>
      </c>
      <c r="X613" s="43">
        <f>X612+Учет!S613-S613</f>
        <v>500</v>
      </c>
      <c r="Y613" s="43">
        <f>Y612+Учет!T613-T613</f>
        <v>1150</v>
      </c>
      <c r="Z613" s="43">
        <f>Z612+Учет!U613-U613</f>
        <v>500000</v>
      </c>
      <c r="AA613" s="45">
        <f>Учет!X613</f>
        <v>500</v>
      </c>
    </row>
    <row r="614" spans="1:27" ht="15" customHeight="1" x14ac:dyDescent="0.25">
      <c r="A614" s="1"/>
      <c r="B614" s="17"/>
      <c r="C614" s="17"/>
      <c r="D614" s="17"/>
      <c r="E614" s="17"/>
      <c r="F614" s="17"/>
      <c r="G614" s="4">
        <f t="shared" si="24"/>
        <v>0</v>
      </c>
      <c r="H614" s="17"/>
      <c r="I614" s="4">
        <f t="shared" si="26"/>
        <v>349526.07999999996</v>
      </c>
      <c r="J614" s="32" t="str">
        <f t="shared" si="25"/>
        <v/>
      </c>
      <c r="K614" s="72"/>
      <c r="L614" s="72"/>
      <c r="M614" s="2"/>
      <c r="N614" s="5"/>
      <c r="O614" s="3"/>
      <c r="P614" s="6"/>
      <c r="Q614" s="48">
        <f>IF(Учет!$O614=Справочники!$F$2,Учет!$H614,0)</f>
        <v>0</v>
      </c>
      <c r="R614" s="48">
        <f>IF(Учет!$O614=Справочники!$F$3,Учет!$H614,0)</f>
        <v>0</v>
      </c>
      <c r="S614" s="48">
        <f>IF(Учет!$O614=Справочники!$F$4,Учет!$H614,0)</f>
        <v>0</v>
      </c>
      <c r="T614" s="48">
        <f>IF(Учет!$O614=Справочники!$F$5,Учет!$H614,0)</f>
        <v>0</v>
      </c>
      <c r="U614" s="48">
        <f>IF(Учет!$O614=Справочники!$F$6,Учет!$H614,0)</f>
        <v>0</v>
      </c>
      <c r="V614" s="43">
        <f>V613+Учет!Q614-Q614</f>
        <v>-488978.92000000004</v>
      </c>
      <c r="W614" s="43">
        <f>W613+Учет!R614-R614</f>
        <v>336855</v>
      </c>
      <c r="X614" s="43">
        <f>X613+Учет!S614-S614</f>
        <v>500</v>
      </c>
      <c r="Y614" s="43">
        <f>Y613+Учет!T614-T614</f>
        <v>1150</v>
      </c>
      <c r="Z614" s="43">
        <f>Z613+Учет!U614-U614</f>
        <v>500000</v>
      </c>
      <c r="AA614" s="45">
        <f>Учет!X614</f>
        <v>500</v>
      </c>
    </row>
    <row r="615" spans="1:27" ht="15" customHeight="1" x14ac:dyDescent="0.25">
      <c r="A615" s="1"/>
      <c r="B615" s="17"/>
      <c r="C615" s="17"/>
      <c r="D615" s="17"/>
      <c r="E615" s="17"/>
      <c r="F615" s="17"/>
      <c r="G615" s="4">
        <f t="shared" si="24"/>
        <v>0</v>
      </c>
      <c r="H615" s="17"/>
      <c r="I615" s="4">
        <f t="shared" si="26"/>
        <v>349526.07999999996</v>
      </c>
      <c r="J615" s="32" t="str">
        <f t="shared" si="25"/>
        <v/>
      </c>
      <c r="K615" s="72"/>
      <c r="L615" s="72"/>
      <c r="M615" s="2"/>
      <c r="N615" s="5"/>
      <c r="O615" s="3"/>
      <c r="P615" s="6"/>
      <c r="Q615" s="48">
        <f>IF(Учет!$O615=Справочники!$F$2,Учет!$H615,0)</f>
        <v>0</v>
      </c>
      <c r="R615" s="48">
        <f>IF(Учет!$O615=Справочники!$F$3,Учет!$H615,0)</f>
        <v>0</v>
      </c>
      <c r="S615" s="48">
        <f>IF(Учет!$O615=Справочники!$F$4,Учет!$H615,0)</f>
        <v>0</v>
      </c>
      <c r="T615" s="48">
        <f>IF(Учет!$O615=Справочники!$F$5,Учет!$H615,0)</f>
        <v>0</v>
      </c>
      <c r="U615" s="48">
        <f>IF(Учет!$O615=Справочники!$F$6,Учет!$H615,0)</f>
        <v>0</v>
      </c>
      <c r="V615" s="43">
        <f>V614+Учет!Q615-Q615</f>
        <v>-488978.92000000004</v>
      </c>
      <c r="W615" s="43">
        <f>W614+Учет!R615-R615</f>
        <v>336855</v>
      </c>
      <c r="X615" s="43">
        <f>X614+Учет!S615-S615</f>
        <v>500</v>
      </c>
      <c r="Y615" s="43">
        <f>Y614+Учет!T615-T615</f>
        <v>1150</v>
      </c>
      <c r="Z615" s="43">
        <f>Z614+Учет!U615-U615</f>
        <v>500000</v>
      </c>
      <c r="AA615" s="45">
        <f>Учет!X615</f>
        <v>500</v>
      </c>
    </row>
    <row r="616" spans="1:27" ht="15" customHeight="1" x14ac:dyDescent="0.25">
      <c r="A616" s="1"/>
      <c r="B616" s="17"/>
      <c r="C616" s="17"/>
      <c r="D616" s="17"/>
      <c r="E616" s="17"/>
      <c r="F616" s="17"/>
      <c r="G616" s="4">
        <f t="shared" si="24"/>
        <v>0</v>
      </c>
      <c r="H616" s="17"/>
      <c r="I616" s="4">
        <f t="shared" si="26"/>
        <v>349526.07999999996</v>
      </c>
      <c r="J616" s="32" t="str">
        <f t="shared" si="25"/>
        <v/>
      </c>
      <c r="K616" s="72"/>
      <c r="L616" s="72"/>
      <c r="M616" s="2"/>
      <c r="N616" s="5"/>
      <c r="O616" s="3"/>
      <c r="P616" s="6"/>
      <c r="Q616" s="48">
        <f>IF(Учет!$O616=Справочники!$F$2,Учет!$H616,0)</f>
        <v>0</v>
      </c>
      <c r="R616" s="48">
        <f>IF(Учет!$O616=Справочники!$F$3,Учет!$H616,0)</f>
        <v>0</v>
      </c>
      <c r="S616" s="48">
        <f>IF(Учет!$O616=Справочники!$F$4,Учет!$H616,0)</f>
        <v>0</v>
      </c>
      <c r="T616" s="48">
        <f>IF(Учет!$O616=Справочники!$F$5,Учет!$H616,0)</f>
        <v>0</v>
      </c>
      <c r="U616" s="48">
        <f>IF(Учет!$O616=Справочники!$F$6,Учет!$H616,0)</f>
        <v>0</v>
      </c>
      <c r="V616" s="43">
        <f>V615+Учет!Q616-Q616</f>
        <v>-488978.92000000004</v>
      </c>
      <c r="W616" s="43">
        <f>W615+Учет!R616-R616</f>
        <v>336855</v>
      </c>
      <c r="X616" s="43">
        <f>X615+Учет!S616-S616</f>
        <v>500</v>
      </c>
      <c r="Y616" s="43">
        <f>Y615+Учет!T616-T616</f>
        <v>1150</v>
      </c>
      <c r="Z616" s="43">
        <f>Z615+Учет!U616-U616</f>
        <v>500000</v>
      </c>
      <c r="AA616" s="45">
        <f>Учет!X616</f>
        <v>500</v>
      </c>
    </row>
    <row r="617" spans="1:27" ht="15" customHeight="1" x14ac:dyDescent="0.25">
      <c r="A617" s="1"/>
      <c r="B617" s="17"/>
      <c r="C617" s="17"/>
      <c r="D617" s="17"/>
      <c r="E617" s="17"/>
      <c r="F617" s="17"/>
      <c r="G617" s="4">
        <f t="shared" si="24"/>
        <v>0</v>
      </c>
      <c r="H617" s="17"/>
      <c r="I617" s="4">
        <f t="shared" si="26"/>
        <v>349526.07999999996</v>
      </c>
      <c r="J617" s="32" t="str">
        <f t="shared" si="25"/>
        <v/>
      </c>
      <c r="K617" s="72"/>
      <c r="L617" s="72"/>
      <c r="M617" s="2"/>
      <c r="N617" s="5"/>
      <c r="O617" s="3"/>
      <c r="P617" s="6"/>
      <c r="Q617" s="48">
        <f>IF(Учет!$O617=Справочники!$F$2,Учет!$H617,0)</f>
        <v>0</v>
      </c>
      <c r="R617" s="48">
        <f>IF(Учет!$O617=Справочники!$F$3,Учет!$H617,0)</f>
        <v>0</v>
      </c>
      <c r="S617" s="48">
        <f>IF(Учет!$O617=Справочники!$F$4,Учет!$H617,0)</f>
        <v>0</v>
      </c>
      <c r="T617" s="48">
        <f>IF(Учет!$O617=Справочники!$F$5,Учет!$H617,0)</f>
        <v>0</v>
      </c>
      <c r="U617" s="48">
        <f>IF(Учет!$O617=Справочники!$F$6,Учет!$H617,0)</f>
        <v>0</v>
      </c>
      <c r="V617" s="43">
        <f>V616+Учет!Q617-Q617</f>
        <v>-488978.92000000004</v>
      </c>
      <c r="W617" s="43">
        <f>W616+Учет!R617-R617</f>
        <v>336855</v>
      </c>
      <c r="X617" s="43">
        <f>X616+Учет!S617-S617</f>
        <v>500</v>
      </c>
      <c r="Y617" s="43">
        <f>Y616+Учет!T617-T617</f>
        <v>1150</v>
      </c>
      <c r="Z617" s="43">
        <f>Z616+Учет!U617-U617</f>
        <v>500000</v>
      </c>
      <c r="AA617" s="45">
        <f>Учет!X617</f>
        <v>500</v>
      </c>
    </row>
    <row r="618" spans="1:27" ht="15" customHeight="1" x14ac:dyDescent="0.25">
      <c r="A618" s="1"/>
      <c r="B618" s="17"/>
      <c r="C618" s="17"/>
      <c r="D618" s="17"/>
      <c r="E618" s="17"/>
      <c r="F618" s="17"/>
      <c r="G618" s="4">
        <f t="shared" si="24"/>
        <v>0</v>
      </c>
      <c r="H618" s="17"/>
      <c r="I618" s="4">
        <f t="shared" si="26"/>
        <v>349526.07999999996</v>
      </c>
      <c r="J618" s="32" t="str">
        <f t="shared" si="25"/>
        <v/>
      </c>
      <c r="K618" s="72"/>
      <c r="L618" s="72"/>
      <c r="M618" s="2"/>
      <c r="N618" s="5"/>
      <c r="O618" s="3"/>
      <c r="P618" s="6"/>
      <c r="Q618" s="48">
        <f>IF(Учет!$O618=Справочники!$F$2,Учет!$H618,0)</f>
        <v>0</v>
      </c>
      <c r="R618" s="48">
        <f>IF(Учет!$O618=Справочники!$F$3,Учет!$H618,0)</f>
        <v>0</v>
      </c>
      <c r="S618" s="48">
        <f>IF(Учет!$O618=Справочники!$F$4,Учет!$H618,0)</f>
        <v>0</v>
      </c>
      <c r="T618" s="48">
        <f>IF(Учет!$O618=Справочники!$F$5,Учет!$H618,0)</f>
        <v>0</v>
      </c>
      <c r="U618" s="48">
        <f>IF(Учет!$O618=Справочники!$F$6,Учет!$H618,0)</f>
        <v>0</v>
      </c>
      <c r="V618" s="43">
        <f>V617+Учет!Q618-Q618</f>
        <v>-488978.92000000004</v>
      </c>
      <c r="W618" s="43">
        <f>W617+Учет!R618-R618</f>
        <v>336855</v>
      </c>
      <c r="X618" s="43">
        <f>X617+Учет!S618-S618</f>
        <v>500</v>
      </c>
      <c r="Y618" s="43">
        <f>Y617+Учет!T618-T618</f>
        <v>1150</v>
      </c>
      <c r="Z618" s="43">
        <f>Z617+Учет!U618-U618</f>
        <v>500000</v>
      </c>
      <c r="AA618" s="45">
        <f>Учет!X618</f>
        <v>500</v>
      </c>
    </row>
    <row r="619" spans="1:27" ht="15" customHeight="1" x14ac:dyDescent="0.25">
      <c r="A619" s="1"/>
      <c r="B619" s="17"/>
      <c r="C619" s="17"/>
      <c r="D619" s="17"/>
      <c r="E619" s="17"/>
      <c r="F619" s="17"/>
      <c r="G619" s="4">
        <f t="shared" si="24"/>
        <v>0</v>
      </c>
      <c r="H619" s="17"/>
      <c r="I619" s="4">
        <f t="shared" si="26"/>
        <v>349526.07999999996</v>
      </c>
      <c r="J619" s="32" t="str">
        <f t="shared" si="25"/>
        <v/>
      </c>
      <c r="K619" s="72"/>
      <c r="L619" s="72"/>
      <c r="M619" s="2"/>
      <c r="N619" s="5"/>
      <c r="O619" s="3"/>
      <c r="P619" s="6"/>
      <c r="Q619" s="48">
        <f>IF(Учет!$O619=Справочники!$F$2,Учет!$H619,0)</f>
        <v>0</v>
      </c>
      <c r="R619" s="48">
        <f>IF(Учет!$O619=Справочники!$F$3,Учет!$H619,0)</f>
        <v>0</v>
      </c>
      <c r="S619" s="48">
        <f>IF(Учет!$O619=Справочники!$F$4,Учет!$H619,0)</f>
        <v>0</v>
      </c>
      <c r="T619" s="48">
        <f>IF(Учет!$O619=Справочники!$F$5,Учет!$H619,0)</f>
        <v>0</v>
      </c>
      <c r="U619" s="48">
        <f>IF(Учет!$O619=Справочники!$F$6,Учет!$H619,0)</f>
        <v>0</v>
      </c>
      <c r="V619" s="43">
        <f>V618+Учет!Q619-Q619</f>
        <v>-488978.92000000004</v>
      </c>
      <c r="W619" s="43">
        <f>W618+Учет!R619-R619</f>
        <v>336855</v>
      </c>
      <c r="X619" s="43">
        <f>X618+Учет!S619-S619</f>
        <v>500</v>
      </c>
      <c r="Y619" s="43">
        <f>Y618+Учет!T619-T619</f>
        <v>1150</v>
      </c>
      <c r="Z619" s="43">
        <f>Z618+Учет!U619-U619</f>
        <v>500000</v>
      </c>
      <c r="AA619" s="45">
        <f>Учет!X619</f>
        <v>500</v>
      </c>
    </row>
    <row r="620" spans="1:27" ht="15" customHeight="1" x14ac:dyDescent="0.25">
      <c r="A620" s="1"/>
      <c r="B620" s="17"/>
      <c r="C620" s="17"/>
      <c r="D620" s="17"/>
      <c r="E620" s="17"/>
      <c r="F620" s="17"/>
      <c r="G620" s="4">
        <f t="shared" si="24"/>
        <v>0</v>
      </c>
      <c r="H620" s="17"/>
      <c r="I620" s="4">
        <f t="shared" si="26"/>
        <v>349526.07999999996</v>
      </c>
      <c r="J620" s="32" t="str">
        <f t="shared" si="25"/>
        <v/>
      </c>
      <c r="K620" s="72"/>
      <c r="L620" s="72"/>
      <c r="M620" s="2"/>
      <c r="N620" s="5"/>
      <c r="O620" s="3"/>
      <c r="P620" s="6"/>
      <c r="Q620" s="48">
        <f>IF(Учет!$O620=Справочники!$F$2,Учет!$H620,0)</f>
        <v>0</v>
      </c>
      <c r="R620" s="48">
        <f>IF(Учет!$O620=Справочники!$F$3,Учет!$H620,0)</f>
        <v>0</v>
      </c>
      <c r="S620" s="48">
        <f>IF(Учет!$O620=Справочники!$F$4,Учет!$H620,0)</f>
        <v>0</v>
      </c>
      <c r="T620" s="48">
        <f>IF(Учет!$O620=Справочники!$F$5,Учет!$H620,0)</f>
        <v>0</v>
      </c>
      <c r="U620" s="48">
        <f>IF(Учет!$O620=Справочники!$F$6,Учет!$H620,0)</f>
        <v>0</v>
      </c>
      <c r="V620" s="43">
        <f>V619+Учет!Q620-Q620</f>
        <v>-488978.92000000004</v>
      </c>
      <c r="W620" s="43">
        <f>W619+Учет!R620-R620</f>
        <v>336855</v>
      </c>
      <c r="X620" s="43">
        <f>X619+Учет!S620-S620</f>
        <v>500</v>
      </c>
      <c r="Y620" s="43">
        <f>Y619+Учет!T620-T620</f>
        <v>1150</v>
      </c>
      <c r="Z620" s="43">
        <f>Z619+Учет!U620-U620</f>
        <v>500000</v>
      </c>
      <c r="AA620" s="45">
        <f>Учет!X620</f>
        <v>500</v>
      </c>
    </row>
    <row r="621" spans="1:27" ht="15" customHeight="1" x14ac:dyDescent="0.25">
      <c r="A621" s="1"/>
      <c r="B621" s="17"/>
      <c r="C621" s="17"/>
      <c r="D621" s="17"/>
      <c r="E621" s="17"/>
      <c r="F621" s="17"/>
      <c r="G621" s="4">
        <f t="shared" si="24"/>
        <v>0</v>
      </c>
      <c r="H621" s="17"/>
      <c r="I621" s="4">
        <f t="shared" si="26"/>
        <v>349526.07999999996</v>
      </c>
      <c r="J621" s="32" t="str">
        <f t="shared" si="25"/>
        <v/>
      </c>
      <c r="K621" s="72"/>
      <c r="L621" s="72"/>
      <c r="M621" s="2"/>
      <c r="N621" s="5"/>
      <c r="O621" s="3"/>
      <c r="P621" s="6"/>
      <c r="Q621" s="48">
        <f>IF(Учет!$O621=Справочники!$F$2,Учет!$H621,0)</f>
        <v>0</v>
      </c>
      <c r="R621" s="48">
        <f>IF(Учет!$O621=Справочники!$F$3,Учет!$H621,0)</f>
        <v>0</v>
      </c>
      <c r="S621" s="48">
        <f>IF(Учет!$O621=Справочники!$F$4,Учет!$H621,0)</f>
        <v>0</v>
      </c>
      <c r="T621" s="48">
        <f>IF(Учет!$O621=Справочники!$F$5,Учет!$H621,0)</f>
        <v>0</v>
      </c>
      <c r="U621" s="48">
        <f>IF(Учет!$O621=Справочники!$F$6,Учет!$H621,0)</f>
        <v>0</v>
      </c>
      <c r="V621" s="43">
        <f>V620+Учет!Q621-Q621</f>
        <v>-488978.92000000004</v>
      </c>
      <c r="W621" s="43">
        <f>W620+Учет!R621-R621</f>
        <v>336855</v>
      </c>
      <c r="X621" s="43">
        <f>X620+Учет!S621-S621</f>
        <v>500</v>
      </c>
      <c r="Y621" s="43">
        <f>Y620+Учет!T621-T621</f>
        <v>1150</v>
      </c>
      <c r="Z621" s="43">
        <f>Z620+Учет!U621-U621</f>
        <v>500000</v>
      </c>
      <c r="AA621" s="45">
        <f>Учет!X621</f>
        <v>500</v>
      </c>
    </row>
    <row r="622" spans="1:27" ht="15" customHeight="1" x14ac:dyDescent="0.25">
      <c r="A622" s="1"/>
      <c r="B622" s="17"/>
      <c r="C622" s="17"/>
      <c r="D622" s="17"/>
      <c r="E622" s="17"/>
      <c r="F622" s="17"/>
      <c r="G622" s="4">
        <f t="shared" si="24"/>
        <v>0</v>
      </c>
      <c r="H622" s="17"/>
      <c r="I622" s="4">
        <f t="shared" si="26"/>
        <v>349526.07999999996</v>
      </c>
      <c r="J622" s="32" t="str">
        <f t="shared" si="25"/>
        <v/>
      </c>
      <c r="K622" s="72"/>
      <c r="L622" s="72"/>
      <c r="M622" s="2"/>
      <c r="N622" s="5"/>
      <c r="O622" s="3"/>
      <c r="P622" s="6"/>
      <c r="Q622" s="48">
        <f>IF(Учет!$O622=Справочники!$F$2,Учет!$H622,0)</f>
        <v>0</v>
      </c>
      <c r="R622" s="48">
        <f>IF(Учет!$O622=Справочники!$F$3,Учет!$H622,0)</f>
        <v>0</v>
      </c>
      <c r="S622" s="48">
        <f>IF(Учет!$O622=Справочники!$F$4,Учет!$H622,0)</f>
        <v>0</v>
      </c>
      <c r="T622" s="48">
        <f>IF(Учет!$O622=Справочники!$F$5,Учет!$H622,0)</f>
        <v>0</v>
      </c>
      <c r="U622" s="48">
        <f>IF(Учет!$O622=Справочники!$F$6,Учет!$H622,0)</f>
        <v>0</v>
      </c>
      <c r="V622" s="43">
        <f>V621+Учет!Q622-Q622</f>
        <v>-488978.92000000004</v>
      </c>
      <c r="W622" s="43">
        <f>W621+Учет!R622-R622</f>
        <v>336855</v>
      </c>
      <c r="X622" s="43">
        <f>X621+Учет!S622-S622</f>
        <v>500</v>
      </c>
      <c r="Y622" s="43">
        <f>Y621+Учет!T622-T622</f>
        <v>1150</v>
      </c>
      <c r="Z622" s="43">
        <f>Z621+Учет!U622-U622</f>
        <v>500000</v>
      </c>
      <c r="AA622" s="45">
        <f>Учет!X622</f>
        <v>500</v>
      </c>
    </row>
    <row r="623" spans="1:27" ht="15" customHeight="1" x14ac:dyDescent="0.25">
      <c r="A623" s="1"/>
      <c r="B623" s="17"/>
      <c r="C623" s="17"/>
      <c r="D623" s="17"/>
      <c r="E623" s="17"/>
      <c r="F623" s="17"/>
      <c r="G623" s="4">
        <f t="shared" si="24"/>
        <v>0</v>
      </c>
      <c r="H623" s="17"/>
      <c r="I623" s="4">
        <f t="shared" si="26"/>
        <v>349526.07999999996</v>
      </c>
      <c r="J623" s="32" t="str">
        <f t="shared" si="25"/>
        <v/>
      </c>
      <c r="K623" s="72"/>
      <c r="L623" s="72"/>
      <c r="M623" s="2"/>
      <c r="N623" s="5"/>
      <c r="O623" s="3"/>
      <c r="P623" s="6"/>
      <c r="Q623" s="48">
        <f>IF(Учет!$O623=Справочники!$F$2,Учет!$H623,0)</f>
        <v>0</v>
      </c>
      <c r="R623" s="48">
        <f>IF(Учет!$O623=Справочники!$F$3,Учет!$H623,0)</f>
        <v>0</v>
      </c>
      <c r="S623" s="48">
        <f>IF(Учет!$O623=Справочники!$F$4,Учет!$H623,0)</f>
        <v>0</v>
      </c>
      <c r="T623" s="48">
        <f>IF(Учет!$O623=Справочники!$F$5,Учет!$H623,0)</f>
        <v>0</v>
      </c>
      <c r="U623" s="48">
        <f>IF(Учет!$O623=Справочники!$F$6,Учет!$H623,0)</f>
        <v>0</v>
      </c>
      <c r="V623" s="43">
        <f>V622+Учет!Q623-Q623</f>
        <v>-488978.92000000004</v>
      </c>
      <c r="W623" s="43">
        <f>W622+Учет!R623-R623</f>
        <v>336855</v>
      </c>
      <c r="X623" s="43">
        <f>X622+Учет!S623-S623</f>
        <v>500</v>
      </c>
      <c r="Y623" s="43">
        <f>Y622+Учет!T623-T623</f>
        <v>1150</v>
      </c>
      <c r="Z623" s="43">
        <f>Z622+Учет!U623-U623</f>
        <v>500000</v>
      </c>
      <c r="AA623" s="45">
        <f>Учет!X623</f>
        <v>500</v>
      </c>
    </row>
    <row r="624" spans="1:27" ht="15" customHeight="1" x14ac:dyDescent="0.25">
      <c r="A624" s="1"/>
      <c r="B624" s="17"/>
      <c r="C624" s="17"/>
      <c r="D624" s="17"/>
      <c r="E624" s="17"/>
      <c r="F624" s="17"/>
      <c r="G624" s="4">
        <f t="shared" si="24"/>
        <v>0</v>
      </c>
      <c r="H624" s="17"/>
      <c r="I624" s="4">
        <f t="shared" si="26"/>
        <v>349526.07999999996</v>
      </c>
      <c r="J624" s="32" t="str">
        <f t="shared" si="25"/>
        <v/>
      </c>
      <c r="K624" s="72"/>
      <c r="L624" s="72"/>
      <c r="M624" s="2"/>
      <c r="N624" s="5"/>
      <c r="O624" s="3"/>
      <c r="P624" s="6"/>
      <c r="Q624" s="48">
        <f>IF(Учет!$O624=Справочники!$F$2,Учет!$H624,0)</f>
        <v>0</v>
      </c>
      <c r="R624" s="48">
        <f>IF(Учет!$O624=Справочники!$F$3,Учет!$H624,0)</f>
        <v>0</v>
      </c>
      <c r="S624" s="48">
        <f>IF(Учет!$O624=Справочники!$F$4,Учет!$H624,0)</f>
        <v>0</v>
      </c>
      <c r="T624" s="48">
        <f>IF(Учет!$O624=Справочники!$F$5,Учет!$H624,0)</f>
        <v>0</v>
      </c>
      <c r="U624" s="48">
        <f>IF(Учет!$O624=Справочники!$F$6,Учет!$H624,0)</f>
        <v>0</v>
      </c>
      <c r="V624" s="43">
        <f>V623+Учет!Q624-Q624</f>
        <v>-488978.92000000004</v>
      </c>
      <c r="W624" s="43">
        <f>W623+Учет!R624-R624</f>
        <v>336855</v>
      </c>
      <c r="X624" s="43">
        <f>X623+Учет!S624-S624</f>
        <v>500</v>
      </c>
      <c r="Y624" s="43">
        <f>Y623+Учет!T624-T624</f>
        <v>1150</v>
      </c>
      <c r="Z624" s="43">
        <f>Z623+Учет!U624-U624</f>
        <v>500000</v>
      </c>
      <c r="AA624" s="45">
        <f>Учет!X624</f>
        <v>500</v>
      </c>
    </row>
    <row r="625" spans="1:27" ht="15" customHeight="1" x14ac:dyDescent="0.25">
      <c r="A625" s="1"/>
      <c r="B625" s="17"/>
      <c r="C625" s="17"/>
      <c r="D625" s="17"/>
      <c r="E625" s="17"/>
      <c r="F625" s="17"/>
      <c r="G625" s="4">
        <f t="shared" si="24"/>
        <v>0</v>
      </c>
      <c r="H625" s="17"/>
      <c r="I625" s="4">
        <f t="shared" si="26"/>
        <v>349526.07999999996</v>
      </c>
      <c r="J625" s="32" t="str">
        <f t="shared" si="25"/>
        <v/>
      </c>
      <c r="K625" s="72"/>
      <c r="L625" s="72"/>
      <c r="M625" s="2"/>
      <c r="N625" s="5"/>
      <c r="O625" s="3"/>
      <c r="P625" s="6"/>
      <c r="Q625" s="48">
        <f>IF(Учет!$O625=Справочники!$F$2,Учет!$H625,0)</f>
        <v>0</v>
      </c>
      <c r="R625" s="48">
        <f>IF(Учет!$O625=Справочники!$F$3,Учет!$H625,0)</f>
        <v>0</v>
      </c>
      <c r="S625" s="48">
        <f>IF(Учет!$O625=Справочники!$F$4,Учет!$H625,0)</f>
        <v>0</v>
      </c>
      <c r="T625" s="48">
        <f>IF(Учет!$O625=Справочники!$F$5,Учет!$H625,0)</f>
        <v>0</v>
      </c>
      <c r="U625" s="48">
        <f>IF(Учет!$O625=Справочники!$F$6,Учет!$H625,0)</f>
        <v>0</v>
      </c>
      <c r="V625" s="43">
        <f>V624+Учет!Q625-Q625</f>
        <v>-488978.92000000004</v>
      </c>
      <c r="W625" s="43">
        <f>W624+Учет!R625-R625</f>
        <v>336855</v>
      </c>
      <c r="X625" s="43">
        <f>X624+Учет!S625-S625</f>
        <v>500</v>
      </c>
      <c r="Y625" s="43">
        <f>Y624+Учет!T625-T625</f>
        <v>1150</v>
      </c>
      <c r="Z625" s="43">
        <f>Z624+Учет!U625-U625</f>
        <v>500000</v>
      </c>
      <c r="AA625" s="45">
        <f>Учет!X625</f>
        <v>500</v>
      </c>
    </row>
    <row r="626" spans="1:27" ht="15" customHeight="1" x14ac:dyDescent="0.25">
      <c r="A626" s="1"/>
      <c r="B626" s="17"/>
      <c r="C626" s="17"/>
      <c r="D626" s="17"/>
      <c r="E626" s="17"/>
      <c r="F626" s="17"/>
      <c r="G626" s="4">
        <f t="shared" si="24"/>
        <v>0</v>
      </c>
      <c r="H626" s="17"/>
      <c r="I626" s="4">
        <f t="shared" si="26"/>
        <v>349526.07999999996</v>
      </c>
      <c r="J626" s="32" t="str">
        <f t="shared" si="25"/>
        <v/>
      </c>
      <c r="K626" s="72"/>
      <c r="L626" s="72"/>
      <c r="M626" s="2"/>
      <c r="N626" s="5"/>
      <c r="O626" s="3"/>
      <c r="P626" s="6"/>
      <c r="Q626" s="48">
        <f>IF(Учет!$O626=Справочники!$F$2,Учет!$H626,0)</f>
        <v>0</v>
      </c>
      <c r="R626" s="48">
        <f>IF(Учет!$O626=Справочники!$F$3,Учет!$H626,0)</f>
        <v>0</v>
      </c>
      <c r="S626" s="48">
        <f>IF(Учет!$O626=Справочники!$F$4,Учет!$H626,0)</f>
        <v>0</v>
      </c>
      <c r="T626" s="48">
        <f>IF(Учет!$O626=Справочники!$F$5,Учет!$H626,0)</f>
        <v>0</v>
      </c>
      <c r="U626" s="48">
        <f>IF(Учет!$O626=Справочники!$F$6,Учет!$H626,0)</f>
        <v>0</v>
      </c>
      <c r="V626" s="43">
        <f>V625+Учет!Q626-Q626</f>
        <v>-488978.92000000004</v>
      </c>
      <c r="W626" s="43">
        <f>W625+Учет!R626-R626</f>
        <v>336855</v>
      </c>
      <c r="X626" s="43">
        <f>X625+Учет!S626-S626</f>
        <v>500</v>
      </c>
      <c r="Y626" s="43">
        <f>Y625+Учет!T626-T626</f>
        <v>1150</v>
      </c>
      <c r="Z626" s="43">
        <f>Z625+Учет!U626-U626</f>
        <v>500000</v>
      </c>
      <c r="AA626" s="45">
        <f>Учет!X626</f>
        <v>500</v>
      </c>
    </row>
    <row r="627" spans="1:27" ht="15" customHeight="1" x14ac:dyDescent="0.25">
      <c r="A627" s="1"/>
      <c r="B627" s="17"/>
      <c r="C627" s="17"/>
      <c r="D627" s="17"/>
      <c r="E627" s="17"/>
      <c r="F627" s="17"/>
      <c r="G627" s="4">
        <f t="shared" si="24"/>
        <v>0</v>
      </c>
      <c r="H627" s="17"/>
      <c r="I627" s="4">
        <f t="shared" si="26"/>
        <v>349526.07999999996</v>
      </c>
      <c r="J627" s="32" t="str">
        <f t="shared" si="25"/>
        <v/>
      </c>
      <c r="K627" s="72"/>
      <c r="L627" s="72"/>
      <c r="M627" s="2"/>
      <c r="N627" s="5"/>
      <c r="O627" s="3"/>
      <c r="P627" s="6"/>
      <c r="Q627" s="48">
        <f>IF(Учет!$O627=Справочники!$F$2,Учет!$H627,0)</f>
        <v>0</v>
      </c>
      <c r="R627" s="48">
        <f>IF(Учет!$O627=Справочники!$F$3,Учет!$H627,0)</f>
        <v>0</v>
      </c>
      <c r="S627" s="48">
        <f>IF(Учет!$O627=Справочники!$F$4,Учет!$H627,0)</f>
        <v>0</v>
      </c>
      <c r="T627" s="48">
        <f>IF(Учет!$O627=Справочники!$F$5,Учет!$H627,0)</f>
        <v>0</v>
      </c>
      <c r="U627" s="48">
        <f>IF(Учет!$O627=Справочники!$F$6,Учет!$H627,0)</f>
        <v>0</v>
      </c>
      <c r="V627" s="43">
        <f>V626+Учет!Q627-Q627</f>
        <v>-488978.92000000004</v>
      </c>
      <c r="W627" s="43">
        <f>W626+Учет!R627-R627</f>
        <v>336855</v>
      </c>
      <c r="X627" s="43">
        <f>X626+Учет!S627-S627</f>
        <v>500</v>
      </c>
      <c r="Y627" s="43">
        <f>Y626+Учет!T627-T627</f>
        <v>1150</v>
      </c>
      <c r="Z627" s="43">
        <f>Z626+Учет!U627-U627</f>
        <v>500000</v>
      </c>
      <c r="AA627" s="45">
        <f>Учет!X627</f>
        <v>500</v>
      </c>
    </row>
    <row r="628" spans="1:27" ht="15" customHeight="1" x14ac:dyDescent="0.25">
      <c r="A628" s="1"/>
      <c r="B628" s="17"/>
      <c r="C628" s="17"/>
      <c r="D628" s="17"/>
      <c r="E628" s="17"/>
      <c r="F628" s="17"/>
      <c r="G628" s="4">
        <f t="shared" si="24"/>
        <v>0</v>
      </c>
      <c r="H628" s="17"/>
      <c r="I628" s="4">
        <f t="shared" si="26"/>
        <v>349526.07999999996</v>
      </c>
      <c r="J628" s="32" t="str">
        <f t="shared" si="25"/>
        <v/>
      </c>
      <c r="K628" s="72"/>
      <c r="L628" s="72"/>
      <c r="M628" s="2"/>
      <c r="N628" s="5"/>
      <c r="O628" s="3"/>
      <c r="P628" s="6"/>
      <c r="Q628" s="48">
        <f>IF(Учет!$O628=Справочники!$F$2,Учет!$H628,0)</f>
        <v>0</v>
      </c>
      <c r="R628" s="48">
        <f>IF(Учет!$O628=Справочники!$F$3,Учет!$H628,0)</f>
        <v>0</v>
      </c>
      <c r="S628" s="48">
        <f>IF(Учет!$O628=Справочники!$F$4,Учет!$H628,0)</f>
        <v>0</v>
      </c>
      <c r="T628" s="48">
        <f>IF(Учет!$O628=Справочники!$F$5,Учет!$H628,0)</f>
        <v>0</v>
      </c>
      <c r="U628" s="48">
        <f>IF(Учет!$O628=Справочники!$F$6,Учет!$H628,0)</f>
        <v>0</v>
      </c>
      <c r="V628" s="43">
        <f>V627+Учет!Q628-Q628</f>
        <v>-488978.92000000004</v>
      </c>
      <c r="W628" s="43">
        <f>W627+Учет!R628-R628</f>
        <v>336855</v>
      </c>
      <c r="X628" s="43">
        <f>X627+Учет!S628-S628</f>
        <v>500</v>
      </c>
      <c r="Y628" s="43">
        <f>Y627+Учет!T628-T628</f>
        <v>1150</v>
      </c>
      <c r="Z628" s="43">
        <f>Z627+Учет!U628-U628</f>
        <v>500000</v>
      </c>
      <c r="AA628" s="45">
        <f>Учет!X628</f>
        <v>500</v>
      </c>
    </row>
    <row r="629" spans="1:27" ht="15" customHeight="1" x14ac:dyDescent="0.25">
      <c r="A629" s="1"/>
      <c r="B629" s="17"/>
      <c r="C629" s="17"/>
      <c r="D629" s="17"/>
      <c r="E629" s="17"/>
      <c r="F629" s="17"/>
      <c r="G629" s="4">
        <f t="shared" si="24"/>
        <v>0</v>
      </c>
      <c r="H629" s="17"/>
      <c r="I629" s="4">
        <f t="shared" si="26"/>
        <v>349526.07999999996</v>
      </c>
      <c r="J629" s="32" t="str">
        <f t="shared" si="25"/>
        <v/>
      </c>
      <c r="K629" s="72"/>
      <c r="L629" s="72"/>
      <c r="M629" s="2"/>
      <c r="N629" s="5"/>
      <c r="O629" s="3"/>
      <c r="P629" s="6"/>
      <c r="Q629" s="48">
        <f>IF(Учет!$O629=Справочники!$F$2,Учет!$H629,0)</f>
        <v>0</v>
      </c>
      <c r="R629" s="48">
        <f>IF(Учет!$O629=Справочники!$F$3,Учет!$H629,0)</f>
        <v>0</v>
      </c>
      <c r="S629" s="48">
        <f>IF(Учет!$O629=Справочники!$F$4,Учет!$H629,0)</f>
        <v>0</v>
      </c>
      <c r="T629" s="48">
        <f>IF(Учет!$O629=Справочники!$F$5,Учет!$H629,0)</f>
        <v>0</v>
      </c>
      <c r="U629" s="48">
        <f>IF(Учет!$O629=Справочники!$F$6,Учет!$H629,0)</f>
        <v>0</v>
      </c>
      <c r="V629" s="43">
        <f>V628+Учет!Q629-Q629</f>
        <v>-488978.92000000004</v>
      </c>
      <c r="W629" s="43">
        <f>W628+Учет!R629-R629</f>
        <v>336855</v>
      </c>
      <c r="X629" s="43">
        <f>X628+Учет!S629-S629</f>
        <v>500</v>
      </c>
      <c r="Y629" s="43">
        <f>Y628+Учет!T629-T629</f>
        <v>1150</v>
      </c>
      <c r="Z629" s="43">
        <f>Z628+Учет!U629-U629</f>
        <v>500000</v>
      </c>
      <c r="AA629" s="45">
        <f>Учет!X629</f>
        <v>500</v>
      </c>
    </row>
    <row r="630" spans="1:27" ht="15" customHeight="1" x14ac:dyDescent="0.25">
      <c r="A630" s="1"/>
      <c r="B630" s="17"/>
      <c r="C630" s="17"/>
      <c r="D630" s="17"/>
      <c r="E630" s="17"/>
      <c r="F630" s="17"/>
      <c r="G630" s="4">
        <f t="shared" si="24"/>
        <v>0</v>
      </c>
      <c r="H630" s="17"/>
      <c r="I630" s="4">
        <f t="shared" si="26"/>
        <v>349526.07999999996</v>
      </c>
      <c r="J630" s="32" t="str">
        <f t="shared" si="25"/>
        <v/>
      </c>
      <c r="K630" s="72"/>
      <c r="L630" s="72"/>
      <c r="M630" s="2"/>
      <c r="N630" s="5"/>
      <c r="O630" s="3"/>
      <c r="P630" s="6"/>
      <c r="Q630" s="48">
        <f>IF(Учет!$O630=Справочники!$F$2,Учет!$H630,0)</f>
        <v>0</v>
      </c>
      <c r="R630" s="48">
        <f>IF(Учет!$O630=Справочники!$F$3,Учет!$H630,0)</f>
        <v>0</v>
      </c>
      <c r="S630" s="48">
        <f>IF(Учет!$O630=Справочники!$F$4,Учет!$H630,0)</f>
        <v>0</v>
      </c>
      <c r="T630" s="48">
        <f>IF(Учет!$O630=Справочники!$F$5,Учет!$H630,0)</f>
        <v>0</v>
      </c>
      <c r="U630" s="48">
        <f>IF(Учет!$O630=Справочники!$F$6,Учет!$H630,0)</f>
        <v>0</v>
      </c>
      <c r="V630" s="43">
        <f>V629+Учет!Q630-Q630</f>
        <v>-488978.92000000004</v>
      </c>
      <c r="W630" s="43">
        <f>W629+Учет!R630-R630</f>
        <v>336855</v>
      </c>
      <c r="X630" s="43">
        <f>X629+Учет!S630-S630</f>
        <v>500</v>
      </c>
      <c r="Y630" s="43">
        <f>Y629+Учет!T630-T630</f>
        <v>1150</v>
      </c>
      <c r="Z630" s="43">
        <f>Z629+Учет!U630-U630</f>
        <v>500000</v>
      </c>
      <c r="AA630" s="45">
        <f>Учет!X630</f>
        <v>500</v>
      </c>
    </row>
    <row r="631" spans="1:27" ht="15" customHeight="1" x14ac:dyDescent="0.25">
      <c r="A631" s="1"/>
      <c r="B631" s="17"/>
      <c r="C631" s="17"/>
      <c r="D631" s="17"/>
      <c r="E631" s="17"/>
      <c r="F631" s="17"/>
      <c r="G631" s="4">
        <f t="shared" si="24"/>
        <v>0</v>
      </c>
      <c r="H631" s="17"/>
      <c r="I631" s="4">
        <f t="shared" si="26"/>
        <v>349526.07999999996</v>
      </c>
      <c r="J631" s="32" t="str">
        <f t="shared" si="25"/>
        <v/>
      </c>
      <c r="K631" s="72"/>
      <c r="L631" s="72"/>
      <c r="M631" s="2"/>
      <c r="N631" s="5"/>
      <c r="O631" s="3"/>
      <c r="P631" s="6"/>
      <c r="Q631" s="48">
        <f>IF(Учет!$O631=Справочники!$F$2,Учет!$H631,0)</f>
        <v>0</v>
      </c>
      <c r="R631" s="48">
        <f>IF(Учет!$O631=Справочники!$F$3,Учет!$H631,0)</f>
        <v>0</v>
      </c>
      <c r="S631" s="48">
        <f>IF(Учет!$O631=Справочники!$F$4,Учет!$H631,0)</f>
        <v>0</v>
      </c>
      <c r="T631" s="48">
        <f>IF(Учет!$O631=Справочники!$F$5,Учет!$H631,0)</f>
        <v>0</v>
      </c>
      <c r="U631" s="48">
        <f>IF(Учет!$O631=Справочники!$F$6,Учет!$H631,0)</f>
        <v>0</v>
      </c>
      <c r="V631" s="43">
        <f>V630+Учет!Q631-Q631</f>
        <v>-488978.92000000004</v>
      </c>
      <c r="W631" s="43">
        <f>W630+Учет!R631-R631</f>
        <v>336855</v>
      </c>
      <c r="X631" s="43">
        <f>X630+Учет!S631-S631</f>
        <v>500</v>
      </c>
      <c r="Y631" s="43">
        <f>Y630+Учет!T631-T631</f>
        <v>1150</v>
      </c>
      <c r="Z631" s="43">
        <f>Z630+Учет!U631-U631</f>
        <v>500000</v>
      </c>
      <c r="AA631" s="45">
        <f>Учет!X631</f>
        <v>500</v>
      </c>
    </row>
    <row r="632" spans="1:27" ht="15" customHeight="1" x14ac:dyDescent="0.25">
      <c r="A632" s="1"/>
      <c r="B632" s="17"/>
      <c r="C632" s="17"/>
      <c r="D632" s="17"/>
      <c r="E632" s="17"/>
      <c r="F632" s="17"/>
      <c r="G632" s="4">
        <f t="shared" si="24"/>
        <v>0</v>
      </c>
      <c r="H632" s="17"/>
      <c r="I632" s="4">
        <f t="shared" si="26"/>
        <v>349526.07999999996</v>
      </c>
      <c r="J632" s="32" t="str">
        <f t="shared" si="25"/>
        <v/>
      </c>
      <c r="K632" s="72"/>
      <c r="L632" s="72"/>
      <c r="M632" s="2"/>
      <c r="N632" s="5"/>
      <c r="O632" s="3"/>
      <c r="P632" s="6"/>
      <c r="Q632" s="48">
        <f>IF(Учет!$O632=Справочники!$F$2,Учет!$H632,0)</f>
        <v>0</v>
      </c>
      <c r="R632" s="48">
        <f>IF(Учет!$O632=Справочники!$F$3,Учет!$H632,0)</f>
        <v>0</v>
      </c>
      <c r="S632" s="48">
        <f>IF(Учет!$O632=Справочники!$F$4,Учет!$H632,0)</f>
        <v>0</v>
      </c>
      <c r="T632" s="48">
        <f>IF(Учет!$O632=Справочники!$F$5,Учет!$H632,0)</f>
        <v>0</v>
      </c>
      <c r="U632" s="48">
        <f>IF(Учет!$O632=Справочники!$F$6,Учет!$H632,0)</f>
        <v>0</v>
      </c>
      <c r="V632" s="43">
        <f>V631+Учет!Q632-Q632</f>
        <v>-488978.92000000004</v>
      </c>
      <c r="W632" s="43">
        <f>W631+Учет!R632-R632</f>
        <v>336855</v>
      </c>
      <c r="X632" s="43">
        <f>X631+Учет!S632-S632</f>
        <v>500</v>
      </c>
      <c r="Y632" s="43">
        <f>Y631+Учет!T632-T632</f>
        <v>1150</v>
      </c>
      <c r="Z632" s="43">
        <f>Z631+Учет!U632-U632</f>
        <v>500000</v>
      </c>
      <c r="AA632" s="45">
        <f>Учет!X632</f>
        <v>500</v>
      </c>
    </row>
    <row r="633" spans="1:27" ht="15" customHeight="1" x14ac:dyDescent="0.25">
      <c r="A633" s="1"/>
      <c r="B633" s="17"/>
      <c r="C633" s="17"/>
      <c r="D633" s="17"/>
      <c r="E633" s="17"/>
      <c r="F633" s="17"/>
      <c r="G633" s="4">
        <f t="shared" si="24"/>
        <v>0</v>
      </c>
      <c r="H633" s="17"/>
      <c r="I633" s="4">
        <f t="shared" si="26"/>
        <v>349526.07999999996</v>
      </c>
      <c r="J633" s="32" t="str">
        <f t="shared" si="25"/>
        <v/>
      </c>
      <c r="K633" s="72"/>
      <c r="L633" s="72"/>
      <c r="M633" s="2"/>
      <c r="N633" s="5"/>
      <c r="O633" s="3"/>
      <c r="P633" s="6"/>
      <c r="Q633" s="48">
        <f>IF(Учет!$O633=Справочники!$F$2,Учет!$H633,0)</f>
        <v>0</v>
      </c>
      <c r="R633" s="48">
        <f>IF(Учет!$O633=Справочники!$F$3,Учет!$H633,0)</f>
        <v>0</v>
      </c>
      <c r="S633" s="48">
        <f>IF(Учет!$O633=Справочники!$F$4,Учет!$H633,0)</f>
        <v>0</v>
      </c>
      <c r="T633" s="48">
        <f>IF(Учет!$O633=Справочники!$F$5,Учет!$H633,0)</f>
        <v>0</v>
      </c>
      <c r="U633" s="48">
        <f>IF(Учет!$O633=Справочники!$F$6,Учет!$H633,0)</f>
        <v>0</v>
      </c>
      <c r="V633" s="43">
        <f>V632+Учет!Q633-Q633</f>
        <v>-488978.92000000004</v>
      </c>
      <c r="W633" s="43">
        <f>W632+Учет!R633-R633</f>
        <v>336855</v>
      </c>
      <c r="X633" s="43">
        <f>X632+Учет!S633-S633</f>
        <v>500</v>
      </c>
      <c r="Y633" s="43">
        <f>Y632+Учет!T633-T633</f>
        <v>1150</v>
      </c>
      <c r="Z633" s="43">
        <f>Z632+Учет!U633-U633</f>
        <v>500000</v>
      </c>
      <c r="AA633" s="45">
        <f>Учет!X633</f>
        <v>500</v>
      </c>
    </row>
    <row r="634" spans="1:27" ht="15" customHeight="1" x14ac:dyDescent="0.25">
      <c r="A634" s="1"/>
      <c r="B634" s="17"/>
      <c r="C634" s="17"/>
      <c r="D634" s="17"/>
      <c r="E634" s="17"/>
      <c r="F634" s="17"/>
      <c r="G634" s="4">
        <f t="shared" si="24"/>
        <v>0</v>
      </c>
      <c r="H634" s="17"/>
      <c r="I634" s="4">
        <f t="shared" si="26"/>
        <v>349526.07999999996</v>
      </c>
      <c r="J634" s="32" t="str">
        <f t="shared" si="25"/>
        <v/>
      </c>
      <c r="K634" s="72"/>
      <c r="L634" s="72"/>
      <c r="M634" s="2"/>
      <c r="N634" s="5"/>
      <c r="O634" s="3"/>
      <c r="P634" s="6"/>
      <c r="Q634" s="48">
        <f>IF(Учет!$O634=Справочники!$F$2,Учет!$H634,0)</f>
        <v>0</v>
      </c>
      <c r="R634" s="48">
        <f>IF(Учет!$O634=Справочники!$F$3,Учет!$H634,0)</f>
        <v>0</v>
      </c>
      <c r="S634" s="48">
        <f>IF(Учет!$O634=Справочники!$F$4,Учет!$H634,0)</f>
        <v>0</v>
      </c>
      <c r="T634" s="48">
        <f>IF(Учет!$O634=Справочники!$F$5,Учет!$H634,0)</f>
        <v>0</v>
      </c>
      <c r="U634" s="48">
        <f>IF(Учет!$O634=Справочники!$F$6,Учет!$H634,0)</f>
        <v>0</v>
      </c>
      <c r="V634" s="43">
        <f>V633+Учет!Q634-Q634</f>
        <v>-488978.92000000004</v>
      </c>
      <c r="W634" s="43">
        <f>W633+Учет!R634-R634</f>
        <v>336855</v>
      </c>
      <c r="X634" s="43">
        <f>X633+Учет!S634-S634</f>
        <v>500</v>
      </c>
      <c r="Y634" s="43">
        <f>Y633+Учет!T634-T634</f>
        <v>1150</v>
      </c>
      <c r="Z634" s="43">
        <f>Z633+Учет!U634-U634</f>
        <v>500000</v>
      </c>
      <c r="AA634" s="45">
        <f>Учет!X634</f>
        <v>500</v>
      </c>
    </row>
    <row r="635" spans="1:27" ht="15" customHeight="1" x14ac:dyDescent="0.25">
      <c r="A635" s="1"/>
      <c r="B635" s="17"/>
      <c r="C635" s="17"/>
      <c r="D635" s="17"/>
      <c r="E635" s="17"/>
      <c r="F635" s="17"/>
      <c r="G635" s="4">
        <f t="shared" si="24"/>
        <v>0</v>
      </c>
      <c r="H635" s="17"/>
      <c r="I635" s="4">
        <f t="shared" si="26"/>
        <v>349526.07999999996</v>
      </c>
      <c r="J635" s="32" t="str">
        <f t="shared" si="25"/>
        <v/>
      </c>
      <c r="K635" s="72"/>
      <c r="L635" s="72"/>
      <c r="M635" s="2"/>
      <c r="N635" s="5"/>
      <c r="O635" s="3"/>
      <c r="P635" s="6"/>
      <c r="Q635" s="48">
        <f>IF(Учет!$O635=Справочники!$F$2,Учет!$H635,0)</f>
        <v>0</v>
      </c>
      <c r="R635" s="48">
        <f>IF(Учет!$O635=Справочники!$F$3,Учет!$H635,0)</f>
        <v>0</v>
      </c>
      <c r="S635" s="48">
        <f>IF(Учет!$O635=Справочники!$F$4,Учет!$H635,0)</f>
        <v>0</v>
      </c>
      <c r="T635" s="48">
        <f>IF(Учет!$O635=Справочники!$F$5,Учет!$H635,0)</f>
        <v>0</v>
      </c>
      <c r="U635" s="48">
        <f>IF(Учет!$O635=Справочники!$F$6,Учет!$H635,0)</f>
        <v>0</v>
      </c>
      <c r="V635" s="43">
        <f>V634+Учет!Q635-Q635</f>
        <v>-488978.92000000004</v>
      </c>
      <c r="W635" s="43">
        <f>W634+Учет!R635-R635</f>
        <v>336855</v>
      </c>
      <c r="X635" s="43">
        <f>X634+Учет!S635-S635</f>
        <v>500</v>
      </c>
      <c r="Y635" s="43">
        <f>Y634+Учет!T635-T635</f>
        <v>1150</v>
      </c>
      <c r="Z635" s="43">
        <f>Z634+Учет!U635-U635</f>
        <v>500000</v>
      </c>
      <c r="AA635" s="45">
        <f>Учет!X635</f>
        <v>500</v>
      </c>
    </row>
    <row r="636" spans="1:27" ht="15" customHeight="1" x14ac:dyDescent="0.25">
      <c r="A636" s="1"/>
      <c r="B636" s="17"/>
      <c r="C636" s="17"/>
      <c r="D636" s="17"/>
      <c r="E636" s="17"/>
      <c r="F636" s="17"/>
      <c r="G636" s="4">
        <f t="shared" si="24"/>
        <v>0</v>
      </c>
      <c r="H636" s="17"/>
      <c r="I636" s="4">
        <f t="shared" si="26"/>
        <v>349526.07999999996</v>
      </c>
      <c r="J636" s="32" t="str">
        <f t="shared" si="25"/>
        <v/>
      </c>
      <c r="K636" s="72"/>
      <c r="L636" s="72"/>
      <c r="M636" s="2"/>
      <c r="N636" s="5"/>
      <c r="O636" s="3"/>
      <c r="P636" s="6"/>
      <c r="Q636" s="48">
        <f>IF(Учет!$O636=Справочники!$F$2,Учет!$H636,0)</f>
        <v>0</v>
      </c>
      <c r="R636" s="48">
        <f>IF(Учет!$O636=Справочники!$F$3,Учет!$H636,0)</f>
        <v>0</v>
      </c>
      <c r="S636" s="48">
        <f>IF(Учет!$O636=Справочники!$F$4,Учет!$H636,0)</f>
        <v>0</v>
      </c>
      <c r="T636" s="48">
        <f>IF(Учет!$O636=Справочники!$F$5,Учет!$H636,0)</f>
        <v>0</v>
      </c>
      <c r="U636" s="48">
        <f>IF(Учет!$O636=Справочники!$F$6,Учет!$H636,0)</f>
        <v>0</v>
      </c>
      <c r="V636" s="43">
        <f>V635+Учет!Q636-Q636</f>
        <v>-488978.92000000004</v>
      </c>
      <c r="W636" s="43">
        <f>W635+Учет!R636-R636</f>
        <v>336855</v>
      </c>
      <c r="X636" s="43">
        <f>X635+Учет!S636-S636</f>
        <v>500</v>
      </c>
      <c r="Y636" s="43">
        <f>Y635+Учет!T636-T636</f>
        <v>1150</v>
      </c>
      <c r="Z636" s="43">
        <f>Z635+Учет!U636-U636</f>
        <v>500000</v>
      </c>
      <c r="AA636" s="45">
        <f>Учет!X636</f>
        <v>500</v>
      </c>
    </row>
    <row r="637" spans="1:27" ht="15" customHeight="1" x14ac:dyDescent="0.25">
      <c r="A637" s="1"/>
      <c r="B637" s="17"/>
      <c r="C637" s="17"/>
      <c r="D637" s="17"/>
      <c r="E637" s="17"/>
      <c r="F637" s="17"/>
      <c r="G637" s="4">
        <f t="shared" si="24"/>
        <v>0</v>
      </c>
      <c r="H637" s="17"/>
      <c r="I637" s="4">
        <f t="shared" si="26"/>
        <v>349526.07999999996</v>
      </c>
      <c r="J637" s="32" t="str">
        <f t="shared" si="25"/>
        <v/>
      </c>
      <c r="K637" s="72"/>
      <c r="L637" s="72"/>
      <c r="M637" s="2"/>
      <c r="N637" s="5"/>
      <c r="O637" s="3"/>
      <c r="P637" s="6"/>
      <c r="Q637" s="48">
        <f>IF(Учет!$O637=Справочники!$F$2,Учет!$H637,0)</f>
        <v>0</v>
      </c>
      <c r="R637" s="48">
        <f>IF(Учет!$O637=Справочники!$F$3,Учет!$H637,0)</f>
        <v>0</v>
      </c>
      <c r="S637" s="48">
        <f>IF(Учет!$O637=Справочники!$F$4,Учет!$H637,0)</f>
        <v>0</v>
      </c>
      <c r="T637" s="48">
        <f>IF(Учет!$O637=Справочники!$F$5,Учет!$H637,0)</f>
        <v>0</v>
      </c>
      <c r="U637" s="48">
        <f>IF(Учет!$O637=Справочники!$F$6,Учет!$H637,0)</f>
        <v>0</v>
      </c>
      <c r="V637" s="43">
        <f>V636+Учет!Q637-Q637</f>
        <v>-488978.92000000004</v>
      </c>
      <c r="W637" s="43">
        <f>W636+Учет!R637-R637</f>
        <v>336855</v>
      </c>
      <c r="X637" s="43">
        <f>X636+Учет!S637-S637</f>
        <v>500</v>
      </c>
      <c r="Y637" s="43">
        <f>Y636+Учет!T637-T637</f>
        <v>1150</v>
      </c>
      <c r="Z637" s="43">
        <f>Z636+Учет!U637-U637</f>
        <v>500000</v>
      </c>
      <c r="AA637" s="45">
        <f>Учет!X637</f>
        <v>500</v>
      </c>
    </row>
    <row r="638" spans="1:27" ht="15" customHeight="1" x14ac:dyDescent="0.25">
      <c r="A638" s="1"/>
      <c r="B638" s="17"/>
      <c r="C638" s="17"/>
      <c r="D638" s="17"/>
      <c r="E638" s="17"/>
      <c r="F638" s="17"/>
      <c r="G638" s="4">
        <f t="shared" si="24"/>
        <v>0</v>
      </c>
      <c r="H638" s="17"/>
      <c r="I638" s="4">
        <f t="shared" si="26"/>
        <v>349526.07999999996</v>
      </c>
      <c r="J638" s="32" t="str">
        <f t="shared" si="25"/>
        <v/>
      </c>
      <c r="K638" s="72"/>
      <c r="L638" s="72"/>
      <c r="M638" s="2"/>
      <c r="N638" s="5"/>
      <c r="O638" s="3"/>
      <c r="P638" s="6"/>
      <c r="Q638" s="48">
        <f>IF(Учет!$O638=Справочники!$F$2,Учет!$H638,0)</f>
        <v>0</v>
      </c>
      <c r="R638" s="48">
        <f>IF(Учет!$O638=Справочники!$F$3,Учет!$H638,0)</f>
        <v>0</v>
      </c>
      <c r="S638" s="48">
        <f>IF(Учет!$O638=Справочники!$F$4,Учет!$H638,0)</f>
        <v>0</v>
      </c>
      <c r="T638" s="48">
        <f>IF(Учет!$O638=Справочники!$F$5,Учет!$H638,0)</f>
        <v>0</v>
      </c>
      <c r="U638" s="48">
        <f>IF(Учет!$O638=Справочники!$F$6,Учет!$H638,0)</f>
        <v>0</v>
      </c>
      <c r="V638" s="43">
        <f>V637+Учет!Q638-Q638</f>
        <v>-488978.92000000004</v>
      </c>
      <c r="W638" s="43">
        <f>W637+Учет!R638-R638</f>
        <v>336855</v>
      </c>
      <c r="X638" s="43">
        <f>X637+Учет!S638-S638</f>
        <v>500</v>
      </c>
      <c r="Y638" s="43">
        <f>Y637+Учет!T638-T638</f>
        <v>1150</v>
      </c>
      <c r="Z638" s="43">
        <f>Z637+Учет!U638-U638</f>
        <v>500000</v>
      </c>
      <c r="AA638" s="45">
        <f>Учет!X638</f>
        <v>500</v>
      </c>
    </row>
    <row r="639" spans="1:27" ht="15" customHeight="1" x14ac:dyDescent="0.25">
      <c r="A639" s="1"/>
      <c r="B639" s="17"/>
      <c r="C639" s="17"/>
      <c r="D639" s="17"/>
      <c r="E639" s="17"/>
      <c r="F639" s="17"/>
      <c r="G639" s="4">
        <f t="shared" si="24"/>
        <v>0</v>
      </c>
      <c r="H639" s="17"/>
      <c r="I639" s="4">
        <f t="shared" si="26"/>
        <v>349526.07999999996</v>
      </c>
      <c r="J639" s="32" t="str">
        <f t="shared" si="25"/>
        <v/>
      </c>
      <c r="K639" s="72"/>
      <c r="L639" s="72"/>
      <c r="M639" s="2"/>
      <c r="N639" s="5"/>
      <c r="O639" s="3"/>
      <c r="P639" s="6"/>
      <c r="Q639" s="48">
        <f>IF(Учет!$O639=Справочники!$F$2,Учет!$H639,0)</f>
        <v>0</v>
      </c>
      <c r="R639" s="48">
        <f>IF(Учет!$O639=Справочники!$F$3,Учет!$H639,0)</f>
        <v>0</v>
      </c>
      <c r="S639" s="48">
        <f>IF(Учет!$O639=Справочники!$F$4,Учет!$H639,0)</f>
        <v>0</v>
      </c>
      <c r="T639" s="48">
        <f>IF(Учет!$O639=Справочники!$F$5,Учет!$H639,0)</f>
        <v>0</v>
      </c>
      <c r="U639" s="48">
        <f>IF(Учет!$O639=Справочники!$F$6,Учет!$H639,0)</f>
        <v>0</v>
      </c>
      <c r="V639" s="43">
        <f>V638+Учет!Q639-Q639</f>
        <v>-488978.92000000004</v>
      </c>
      <c r="W639" s="43">
        <f>W638+Учет!R639-R639</f>
        <v>336855</v>
      </c>
      <c r="X639" s="43">
        <f>X638+Учет!S639-S639</f>
        <v>500</v>
      </c>
      <c r="Y639" s="43">
        <f>Y638+Учет!T639-T639</f>
        <v>1150</v>
      </c>
      <c r="Z639" s="43">
        <f>Z638+Учет!U639-U639</f>
        <v>500000</v>
      </c>
      <c r="AA639" s="45">
        <f>Учет!X639</f>
        <v>500</v>
      </c>
    </row>
    <row r="640" spans="1:27" ht="15" customHeight="1" x14ac:dyDescent="0.25">
      <c r="A640" s="1"/>
      <c r="B640" s="17"/>
      <c r="C640" s="17"/>
      <c r="D640" s="17"/>
      <c r="E640" s="17"/>
      <c r="F640" s="17"/>
      <c r="G640" s="4">
        <f t="shared" si="24"/>
        <v>0</v>
      </c>
      <c r="H640" s="17"/>
      <c r="I640" s="4">
        <f t="shared" si="26"/>
        <v>349526.07999999996</v>
      </c>
      <c r="J640" s="32" t="str">
        <f t="shared" si="25"/>
        <v/>
      </c>
      <c r="K640" s="72"/>
      <c r="L640" s="72"/>
      <c r="M640" s="2"/>
      <c r="N640" s="5"/>
      <c r="O640" s="3"/>
      <c r="P640" s="6"/>
      <c r="Q640" s="48">
        <f>IF(Учет!$O640=Справочники!$F$2,Учет!$H640,0)</f>
        <v>0</v>
      </c>
      <c r="R640" s="48">
        <f>IF(Учет!$O640=Справочники!$F$3,Учет!$H640,0)</f>
        <v>0</v>
      </c>
      <c r="S640" s="48">
        <f>IF(Учет!$O640=Справочники!$F$4,Учет!$H640,0)</f>
        <v>0</v>
      </c>
      <c r="T640" s="48">
        <f>IF(Учет!$O640=Справочники!$F$5,Учет!$H640,0)</f>
        <v>0</v>
      </c>
      <c r="U640" s="48">
        <f>IF(Учет!$O640=Справочники!$F$6,Учет!$H640,0)</f>
        <v>0</v>
      </c>
      <c r="V640" s="43">
        <f>V639+Учет!Q640-Q640</f>
        <v>-488978.92000000004</v>
      </c>
      <c r="W640" s="43">
        <f>W639+Учет!R640-R640</f>
        <v>336855</v>
      </c>
      <c r="X640" s="43">
        <f>X639+Учет!S640-S640</f>
        <v>500</v>
      </c>
      <c r="Y640" s="43">
        <f>Y639+Учет!T640-T640</f>
        <v>1150</v>
      </c>
      <c r="Z640" s="43">
        <f>Z639+Учет!U640-U640</f>
        <v>500000</v>
      </c>
      <c r="AA640" s="45">
        <f>Учет!X640</f>
        <v>500</v>
      </c>
    </row>
    <row r="641" spans="1:27" ht="15" customHeight="1" x14ac:dyDescent="0.25">
      <c r="A641" s="1"/>
      <c r="B641" s="17"/>
      <c r="C641" s="17"/>
      <c r="D641" s="17"/>
      <c r="E641" s="17"/>
      <c r="F641" s="17"/>
      <c r="G641" s="4">
        <f t="shared" si="24"/>
        <v>0</v>
      </c>
      <c r="H641" s="17"/>
      <c r="I641" s="4">
        <f t="shared" si="26"/>
        <v>349526.07999999996</v>
      </c>
      <c r="J641" s="32" t="str">
        <f t="shared" si="25"/>
        <v/>
      </c>
      <c r="K641" s="72"/>
      <c r="L641" s="72"/>
      <c r="M641" s="2"/>
      <c r="N641" s="5"/>
      <c r="O641" s="3"/>
      <c r="P641" s="6"/>
      <c r="Q641" s="48">
        <f>IF(Учет!$O641=Справочники!$F$2,Учет!$H641,0)</f>
        <v>0</v>
      </c>
      <c r="R641" s="48">
        <f>IF(Учет!$O641=Справочники!$F$3,Учет!$H641,0)</f>
        <v>0</v>
      </c>
      <c r="S641" s="48">
        <f>IF(Учет!$O641=Справочники!$F$4,Учет!$H641,0)</f>
        <v>0</v>
      </c>
      <c r="T641" s="48">
        <f>IF(Учет!$O641=Справочники!$F$5,Учет!$H641,0)</f>
        <v>0</v>
      </c>
      <c r="U641" s="48">
        <f>IF(Учет!$O641=Справочники!$F$6,Учет!$H641,0)</f>
        <v>0</v>
      </c>
      <c r="V641" s="43">
        <f>V640+Учет!Q641-Q641</f>
        <v>-488978.92000000004</v>
      </c>
      <c r="W641" s="43">
        <f>W640+Учет!R641-R641</f>
        <v>336855</v>
      </c>
      <c r="X641" s="43">
        <f>X640+Учет!S641-S641</f>
        <v>500</v>
      </c>
      <c r="Y641" s="43">
        <f>Y640+Учет!T641-T641</f>
        <v>1150</v>
      </c>
      <c r="Z641" s="43">
        <f>Z640+Учет!U641-U641</f>
        <v>500000</v>
      </c>
      <c r="AA641" s="45">
        <f>Учет!X641</f>
        <v>500</v>
      </c>
    </row>
    <row r="642" spans="1:27" ht="15" customHeight="1" x14ac:dyDescent="0.25">
      <c r="A642" s="1"/>
      <c r="B642" s="17"/>
      <c r="C642" s="17"/>
      <c r="D642" s="17"/>
      <c r="E642" s="17"/>
      <c r="F642" s="17"/>
      <c r="G642" s="4">
        <f t="shared" ref="G642:G705" si="27">SUM($B642:$F642)</f>
        <v>0</v>
      </c>
      <c r="H642" s="17"/>
      <c r="I642" s="4">
        <f t="shared" si="26"/>
        <v>349526.07999999996</v>
      </c>
      <c r="J642" s="32" t="str">
        <f t="shared" ref="J642:J705" si="28">IF($A643&lt;&gt;$A642,$I642,"")</f>
        <v/>
      </c>
      <c r="K642" s="72"/>
      <c r="L642" s="72"/>
      <c r="M642" s="2"/>
      <c r="N642" s="5"/>
      <c r="O642" s="3"/>
      <c r="P642" s="6"/>
      <c r="Q642" s="48">
        <f>IF(Учет!$O642=Справочники!$F$2,Учет!$H642,0)</f>
        <v>0</v>
      </c>
      <c r="R642" s="48">
        <f>IF(Учет!$O642=Справочники!$F$3,Учет!$H642,0)</f>
        <v>0</v>
      </c>
      <c r="S642" s="48">
        <f>IF(Учет!$O642=Справочники!$F$4,Учет!$H642,0)</f>
        <v>0</v>
      </c>
      <c r="T642" s="48">
        <f>IF(Учет!$O642=Справочники!$F$5,Учет!$H642,0)</f>
        <v>0</v>
      </c>
      <c r="U642" s="48">
        <f>IF(Учет!$O642=Справочники!$F$6,Учет!$H642,0)</f>
        <v>0</v>
      </c>
      <c r="V642" s="43">
        <f>V641+Учет!Q642-Q642</f>
        <v>-488978.92000000004</v>
      </c>
      <c r="W642" s="43">
        <f>W641+Учет!R642-R642</f>
        <v>336855</v>
      </c>
      <c r="X642" s="43">
        <f>X641+Учет!S642-S642</f>
        <v>500</v>
      </c>
      <c r="Y642" s="43">
        <f>Y641+Учет!T642-T642</f>
        <v>1150</v>
      </c>
      <c r="Z642" s="43">
        <f>Z641+Учет!U642-U642</f>
        <v>500000</v>
      </c>
      <c r="AA642" s="45">
        <f>Учет!X642</f>
        <v>500</v>
      </c>
    </row>
    <row r="643" spans="1:27" ht="15" customHeight="1" x14ac:dyDescent="0.25">
      <c r="A643" s="1"/>
      <c r="B643" s="17"/>
      <c r="C643" s="17"/>
      <c r="D643" s="17"/>
      <c r="E643" s="17"/>
      <c r="F643" s="17"/>
      <c r="G643" s="4">
        <f t="shared" si="27"/>
        <v>0</v>
      </c>
      <c r="H643" s="17"/>
      <c r="I643" s="4">
        <f t="shared" ref="I643:I706" si="29">$I642+$G643-$H643</f>
        <v>349526.07999999996</v>
      </c>
      <c r="J643" s="32" t="str">
        <f t="shared" si="28"/>
        <v/>
      </c>
      <c r="K643" s="72"/>
      <c r="L643" s="72"/>
      <c r="M643" s="2"/>
      <c r="N643" s="5"/>
      <c r="O643" s="3"/>
      <c r="P643" s="6"/>
      <c r="Q643" s="48">
        <f>IF(Учет!$O643=Справочники!$F$2,Учет!$H643,0)</f>
        <v>0</v>
      </c>
      <c r="R643" s="48">
        <f>IF(Учет!$O643=Справочники!$F$3,Учет!$H643,0)</f>
        <v>0</v>
      </c>
      <c r="S643" s="48">
        <f>IF(Учет!$O643=Справочники!$F$4,Учет!$H643,0)</f>
        <v>0</v>
      </c>
      <c r="T643" s="48">
        <f>IF(Учет!$O643=Справочники!$F$5,Учет!$H643,0)</f>
        <v>0</v>
      </c>
      <c r="U643" s="48">
        <f>IF(Учет!$O643=Справочники!$F$6,Учет!$H643,0)</f>
        <v>0</v>
      </c>
      <c r="V643" s="43">
        <f>V642+Учет!Q643-Q643</f>
        <v>-488978.92000000004</v>
      </c>
      <c r="W643" s="43">
        <f>W642+Учет!R643-R643</f>
        <v>336855</v>
      </c>
      <c r="X643" s="43">
        <f>X642+Учет!S643-S643</f>
        <v>500</v>
      </c>
      <c r="Y643" s="43">
        <f>Y642+Учет!T643-T643</f>
        <v>1150</v>
      </c>
      <c r="Z643" s="43">
        <f>Z642+Учет!U643-U643</f>
        <v>500000</v>
      </c>
      <c r="AA643" s="45">
        <f>Учет!X643</f>
        <v>500</v>
      </c>
    </row>
    <row r="644" spans="1:27" ht="15" customHeight="1" x14ac:dyDescent="0.25">
      <c r="A644" s="1"/>
      <c r="B644" s="17"/>
      <c r="C644" s="17"/>
      <c r="D644" s="17"/>
      <c r="E644" s="17"/>
      <c r="F644" s="17"/>
      <c r="G644" s="4">
        <f t="shared" si="27"/>
        <v>0</v>
      </c>
      <c r="H644" s="17"/>
      <c r="I644" s="4">
        <f t="shared" si="29"/>
        <v>349526.07999999996</v>
      </c>
      <c r="J644" s="32" t="str">
        <f t="shared" si="28"/>
        <v/>
      </c>
      <c r="K644" s="72"/>
      <c r="L644" s="72"/>
      <c r="M644" s="2"/>
      <c r="N644" s="5"/>
      <c r="O644" s="3"/>
      <c r="P644" s="6"/>
      <c r="Q644" s="48">
        <f>IF(Учет!$O644=Справочники!$F$2,Учет!$H644,0)</f>
        <v>0</v>
      </c>
      <c r="R644" s="48">
        <f>IF(Учет!$O644=Справочники!$F$3,Учет!$H644,0)</f>
        <v>0</v>
      </c>
      <c r="S644" s="48">
        <f>IF(Учет!$O644=Справочники!$F$4,Учет!$H644,0)</f>
        <v>0</v>
      </c>
      <c r="T644" s="48">
        <f>IF(Учет!$O644=Справочники!$F$5,Учет!$H644,0)</f>
        <v>0</v>
      </c>
      <c r="U644" s="48">
        <f>IF(Учет!$O644=Справочники!$F$6,Учет!$H644,0)</f>
        <v>0</v>
      </c>
      <c r="V644" s="43">
        <f>V643+Учет!Q644-Q644</f>
        <v>-488978.92000000004</v>
      </c>
      <c r="W644" s="43">
        <f>W643+Учет!R644-R644</f>
        <v>336855</v>
      </c>
      <c r="X644" s="43">
        <f>X643+Учет!S644-S644</f>
        <v>500</v>
      </c>
      <c r="Y644" s="43">
        <f>Y643+Учет!T644-T644</f>
        <v>1150</v>
      </c>
      <c r="Z644" s="43">
        <f>Z643+Учет!U644-U644</f>
        <v>500000</v>
      </c>
      <c r="AA644" s="45">
        <f>Учет!X644</f>
        <v>500</v>
      </c>
    </row>
    <row r="645" spans="1:27" ht="15" customHeight="1" x14ac:dyDescent="0.25">
      <c r="A645" s="1"/>
      <c r="B645" s="17"/>
      <c r="C645" s="17"/>
      <c r="D645" s="17"/>
      <c r="E645" s="17"/>
      <c r="F645" s="17"/>
      <c r="G645" s="4">
        <f t="shared" si="27"/>
        <v>0</v>
      </c>
      <c r="H645" s="17"/>
      <c r="I645" s="4">
        <f t="shared" si="29"/>
        <v>349526.07999999996</v>
      </c>
      <c r="J645" s="32" t="str">
        <f t="shared" si="28"/>
        <v/>
      </c>
      <c r="K645" s="72"/>
      <c r="L645" s="72"/>
      <c r="M645" s="2"/>
      <c r="N645" s="5"/>
      <c r="O645" s="3"/>
      <c r="P645" s="6"/>
      <c r="Q645" s="48">
        <f>IF(Учет!$O645=Справочники!$F$2,Учет!$H645,0)</f>
        <v>0</v>
      </c>
      <c r="R645" s="48">
        <f>IF(Учет!$O645=Справочники!$F$3,Учет!$H645,0)</f>
        <v>0</v>
      </c>
      <c r="S645" s="48">
        <f>IF(Учет!$O645=Справочники!$F$4,Учет!$H645,0)</f>
        <v>0</v>
      </c>
      <c r="T645" s="48">
        <f>IF(Учет!$O645=Справочники!$F$5,Учет!$H645,0)</f>
        <v>0</v>
      </c>
      <c r="U645" s="48">
        <f>IF(Учет!$O645=Справочники!$F$6,Учет!$H645,0)</f>
        <v>0</v>
      </c>
      <c r="V645" s="43">
        <f>V644+Учет!Q645-Q645</f>
        <v>-488978.92000000004</v>
      </c>
      <c r="W645" s="43">
        <f>W644+Учет!R645-R645</f>
        <v>336855</v>
      </c>
      <c r="X645" s="43">
        <f>X644+Учет!S645-S645</f>
        <v>500</v>
      </c>
      <c r="Y645" s="43">
        <f>Y644+Учет!T645-T645</f>
        <v>1150</v>
      </c>
      <c r="Z645" s="43">
        <f>Z644+Учет!U645-U645</f>
        <v>500000</v>
      </c>
      <c r="AA645" s="45">
        <f>Учет!X645</f>
        <v>500</v>
      </c>
    </row>
    <row r="646" spans="1:27" ht="15" customHeight="1" x14ac:dyDescent="0.25">
      <c r="A646" s="1"/>
      <c r="B646" s="17"/>
      <c r="C646" s="17"/>
      <c r="D646" s="17"/>
      <c r="E646" s="17"/>
      <c r="F646" s="17"/>
      <c r="G646" s="4">
        <f t="shared" si="27"/>
        <v>0</v>
      </c>
      <c r="H646" s="17"/>
      <c r="I646" s="4">
        <f t="shared" si="29"/>
        <v>349526.07999999996</v>
      </c>
      <c r="J646" s="32" t="str">
        <f t="shared" si="28"/>
        <v/>
      </c>
      <c r="K646" s="72"/>
      <c r="L646" s="72"/>
      <c r="M646" s="2"/>
      <c r="N646" s="5"/>
      <c r="O646" s="3"/>
      <c r="P646" s="6"/>
      <c r="Q646" s="48">
        <f>IF(Учет!$O646=Справочники!$F$2,Учет!$H646,0)</f>
        <v>0</v>
      </c>
      <c r="R646" s="48">
        <f>IF(Учет!$O646=Справочники!$F$3,Учет!$H646,0)</f>
        <v>0</v>
      </c>
      <c r="S646" s="48">
        <f>IF(Учет!$O646=Справочники!$F$4,Учет!$H646,0)</f>
        <v>0</v>
      </c>
      <c r="T646" s="48">
        <f>IF(Учет!$O646=Справочники!$F$5,Учет!$H646,0)</f>
        <v>0</v>
      </c>
      <c r="U646" s="48">
        <f>IF(Учет!$O646=Справочники!$F$6,Учет!$H646,0)</f>
        <v>0</v>
      </c>
      <c r="V646" s="43">
        <f>V645+Учет!Q646-Q646</f>
        <v>-488978.92000000004</v>
      </c>
      <c r="W646" s="43">
        <f>W645+Учет!R646-R646</f>
        <v>336855</v>
      </c>
      <c r="X646" s="43">
        <f>X645+Учет!S646-S646</f>
        <v>500</v>
      </c>
      <c r="Y646" s="43">
        <f>Y645+Учет!T646-T646</f>
        <v>1150</v>
      </c>
      <c r="Z646" s="43">
        <f>Z645+Учет!U646-U646</f>
        <v>500000</v>
      </c>
      <c r="AA646" s="45">
        <f>Учет!X646</f>
        <v>500</v>
      </c>
    </row>
    <row r="647" spans="1:27" ht="15" customHeight="1" x14ac:dyDescent="0.25">
      <c r="A647" s="1"/>
      <c r="B647" s="17"/>
      <c r="C647" s="17"/>
      <c r="D647" s="17"/>
      <c r="E647" s="17"/>
      <c r="F647" s="17"/>
      <c r="G647" s="4">
        <f t="shared" si="27"/>
        <v>0</v>
      </c>
      <c r="H647" s="17"/>
      <c r="I647" s="4">
        <f t="shared" si="29"/>
        <v>349526.07999999996</v>
      </c>
      <c r="J647" s="32" t="str">
        <f t="shared" si="28"/>
        <v/>
      </c>
      <c r="K647" s="72"/>
      <c r="L647" s="72"/>
      <c r="M647" s="2"/>
      <c r="N647" s="5"/>
      <c r="O647" s="3"/>
      <c r="P647" s="6"/>
      <c r="Q647" s="48">
        <f>IF(Учет!$O647=Справочники!$F$2,Учет!$H647,0)</f>
        <v>0</v>
      </c>
      <c r="R647" s="48">
        <f>IF(Учет!$O647=Справочники!$F$3,Учет!$H647,0)</f>
        <v>0</v>
      </c>
      <c r="S647" s="48">
        <f>IF(Учет!$O647=Справочники!$F$4,Учет!$H647,0)</f>
        <v>0</v>
      </c>
      <c r="T647" s="48">
        <f>IF(Учет!$O647=Справочники!$F$5,Учет!$H647,0)</f>
        <v>0</v>
      </c>
      <c r="U647" s="48">
        <f>IF(Учет!$O647=Справочники!$F$6,Учет!$H647,0)</f>
        <v>0</v>
      </c>
      <c r="V647" s="43">
        <f>V646+Учет!Q647-Q647</f>
        <v>-488978.92000000004</v>
      </c>
      <c r="W647" s="43">
        <f>W646+Учет!R647-R647</f>
        <v>336855</v>
      </c>
      <c r="X647" s="43">
        <f>X646+Учет!S647-S647</f>
        <v>500</v>
      </c>
      <c r="Y647" s="43">
        <f>Y646+Учет!T647-T647</f>
        <v>1150</v>
      </c>
      <c r="Z647" s="43">
        <f>Z646+Учет!U647-U647</f>
        <v>500000</v>
      </c>
      <c r="AA647" s="45">
        <f>Учет!X647</f>
        <v>500</v>
      </c>
    </row>
    <row r="648" spans="1:27" ht="15" customHeight="1" x14ac:dyDescent="0.25">
      <c r="A648" s="1"/>
      <c r="B648" s="17"/>
      <c r="C648" s="17"/>
      <c r="D648" s="17"/>
      <c r="E648" s="17"/>
      <c r="F648" s="17"/>
      <c r="G648" s="4">
        <f t="shared" si="27"/>
        <v>0</v>
      </c>
      <c r="H648" s="17"/>
      <c r="I648" s="4">
        <f t="shared" si="29"/>
        <v>349526.07999999996</v>
      </c>
      <c r="J648" s="32" t="str">
        <f t="shared" si="28"/>
        <v/>
      </c>
      <c r="K648" s="72"/>
      <c r="L648" s="72"/>
      <c r="M648" s="2"/>
      <c r="N648" s="5"/>
      <c r="O648" s="3"/>
      <c r="P648" s="6"/>
      <c r="Q648" s="48">
        <f>IF(Учет!$O648=Справочники!$F$2,Учет!$H648,0)</f>
        <v>0</v>
      </c>
      <c r="R648" s="48">
        <f>IF(Учет!$O648=Справочники!$F$3,Учет!$H648,0)</f>
        <v>0</v>
      </c>
      <c r="S648" s="48">
        <f>IF(Учет!$O648=Справочники!$F$4,Учет!$H648,0)</f>
        <v>0</v>
      </c>
      <c r="T648" s="48">
        <f>IF(Учет!$O648=Справочники!$F$5,Учет!$H648,0)</f>
        <v>0</v>
      </c>
      <c r="U648" s="48">
        <f>IF(Учет!$O648=Справочники!$F$6,Учет!$H648,0)</f>
        <v>0</v>
      </c>
      <c r="V648" s="43">
        <f>V647+Учет!Q648-Q648</f>
        <v>-488978.92000000004</v>
      </c>
      <c r="W648" s="43">
        <f>W647+Учет!R648-R648</f>
        <v>336855</v>
      </c>
      <c r="X648" s="43">
        <f>X647+Учет!S648-S648</f>
        <v>500</v>
      </c>
      <c r="Y648" s="43">
        <f>Y647+Учет!T648-T648</f>
        <v>1150</v>
      </c>
      <c r="Z648" s="43">
        <f>Z647+Учет!U648-U648</f>
        <v>500000</v>
      </c>
      <c r="AA648" s="45">
        <f>Учет!X648</f>
        <v>500</v>
      </c>
    </row>
    <row r="649" spans="1:27" ht="15" customHeight="1" x14ac:dyDescent="0.25">
      <c r="A649" s="1"/>
      <c r="B649" s="17"/>
      <c r="C649" s="17"/>
      <c r="D649" s="17"/>
      <c r="E649" s="17"/>
      <c r="F649" s="17"/>
      <c r="G649" s="4">
        <f t="shared" si="27"/>
        <v>0</v>
      </c>
      <c r="H649" s="17"/>
      <c r="I649" s="4">
        <f t="shared" si="29"/>
        <v>349526.07999999996</v>
      </c>
      <c r="J649" s="32" t="str">
        <f t="shared" si="28"/>
        <v/>
      </c>
      <c r="K649" s="72"/>
      <c r="L649" s="72"/>
      <c r="M649" s="2"/>
      <c r="N649" s="5"/>
      <c r="O649" s="3"/>
      <c r="P649" s="6"/>
      <c r="Q649" s="48">
        <f>IF(Учет!$O649=Справочники!$F$2,Учет!$H649,0)</f>
        <v>0</v>
      </c>
      <c r="R649" s="48">
        <f>IF(Учет!$O649=Справочники!$F$3,Учет!$H649,0)</f>
        <v>0</v>
      </c>
      <c r="S649" s="48">
        <f>IF(Учет!$O649=Справочники!$F$4,Учет!$H649,0)</f>
        <v>0</v>
      </c>
      <c r="T649" s="48">
        <f>IF(Учет!$O649=Справочники!$F$5,Учет!$H649,0)</f>
        <v>0</v>
      </c>
      <c r="U649" s="48">
        <f>IF(Учет!$O649=Справочники!$F$6,Учет!$H649,0)</f>
        <v>0</v>
      </c>
      <c r="V649" s="43">
        <f>V648+Учет!Q649-Q649</f>
        <v>-488978.92000000004</v>
      </c>
      <c r="W649" s="43">
        <f>W648+Учет!R649-R649</f>
        <v>336855</v>
      </c>
      <c r="X649" s="43">
        <f>X648+Учет!S649-S649</f>
        <v>500</v>
      </c>
      <c r="Y649" s="43">
        <f>Y648+Учет!T649-T649</f>
        <v>1150</v>
      </c>
      <c r="Z649" s="43">
        <f>Z648+Учет!U649-U649</f>
        <v>500000</v>
      </c>
      <c r="AA649" s="45">
        <f>Учет!X649</f>
        <v>500</v>
      </c>
    </row>
    <row r="650" spans="1:27" ht="15" customHeight="1" x14ac:dyDescent="0.25">
      <c r="A650" s="1"/>
      <c r="B650" s="17"/>
      <c r="C650" s="17"/>
      <c r="D650" s="17"/>
      <c r="E650" s="17"/>
      <c r="F650" s="17"/>
      <c r="G650" s="4">
        <f t="shared" si="27"/>
        <v>0</v>
      </c>
      <c r="H650" s="17"/>
      <c r="I650" s="4">
        <f t="shared" si="29"/>
        <v>349526.07999999996</v>
      </c>
      <c r="J650" s="32" t="str">
        <f t="shared" si="28"/>
        <v/>
      </c>
      <c r="K650" s="72"/>
      <c r="L650" s="72"/>
      <c r="M650" s="2"/>
      <c r="N650" s="5"/>
      <c r="O650" s="3"/>
      <c r="P650" s="6"/>
      <c r="Q650" s="48">
        <f>IF(Учет!$O650=Справочники!$F$2,Учет!$H650,0)</f>
        <v>0</v>
      </c>
      <c r="R650" s="48">
        <f>IF(Учет!$O650=Справочники!$F$3,Учет!$H650,0)</f>
        <v>0</v>
      </c>
      <c r="S650" s="48">
        <f>IF(Учет!$O650=Справочники!$F$4,Учет!$H650,0)</f>
        <v>0</v>
      </c>
      <c r="T650" s="48">
        <f>IF(Учет!$O650=Справочники!$F$5,Учет!$H650,0)</f>
        <v>0</v>
      </c>
      <c r="U650" s="48">
        <f>IF(Учет!$O650=Справочники!$F$6,Учет!$H650,0)</f>
        <v>0</v>
      </c>
      <c r="V650" s="43">
        <f>V649+Учет!Q650-Q650</f>
        <v>-488978.92000000004</v>
      </c>
      <c r="W650" s="43">
        <f>W649+Учет!R650-R650</f>
        <v>336855</v>
      </c>
      <c r="X650" s="43">
        <f>X649+Учет!S650-S650</f>
        <v>500</v>
      </c>
      <c r="Y650" s="43">
        <f>Y649+Учет!T650-T650</f>
        <v>1150</v>
      </c>
      <c r="Z650" s="43">
        <f>Z649+Учет!U650-U650</f>
        <v>500000</v>
      </c>
      <c r="AA650" s="45">
        <f>Учет!X650</f>
        <v>500</v>
      </c>
    </row>
    <row r="651" spans="1:27" ht="15" customHeight="1" x14ac:dyDescent="0.25">
      <c r="A651" s="1"/>
      <c r="B651" s="17"/>
      <c r="C651" s="17"/>
      <c r="D651" s="17"/>
      <c r="E651" s="17"/>
      <c r="F651" s="17"/>
      <c r="G651" s="4">
        <f t="shared" si="27"/>
        <v>0</v>
      </c>
      <c r="H651" s="17"/>
      <c r="I651" s="4">
        <f t="shared" si="29"/>
        <v>349526.07999999996</v>
      </c>
      <c r="J651" s="32" t="str">
        <f t="shared" si="28"/>
        <v/>
      </c>
      <c r="K651" s="72"/>
      <c r="L651" s="72"/>
      <c r="M651" s="2"/>
      <c r="N651" s="5"/>
      <c r="O651" s="3"/>
      <c r="P651" s="6"/>
      <c r="Q651" s="48">
        <f>IF(Учет!$O651=Справочники!$F$2,Учет!$H651,0)</f>
        <v>0</v>
      </c>
      <c r="R651" s="48">
        <f>IF(Учет!$O651=Справочники!$F$3,Учет!$H651,0)</f>
        <v>0</v>
      </c>
      <c r="S651" s="48">
        <f>IF(Учет!$O651=Справочники!$F$4,Учет!$H651,0)</f>
        <v>0</v>
      </c>
      <c r="T651" s="48">
        <f>IF(Учет!$O651=Справочники!$F$5,Учет!$H651,0)</f>
        <v>0</v>
      </c>
      <c r="U651" s="48">
        <f>IF(Учет!$O651=Справочники!$F$6,Учет!$H651,0)</f>
        <v>0</v>
      </c>
      <c r="V651" s="43">
        <f>V650+Учет!Q651-Q651</f>
        <v>-488978.92000000004</v>
      </c>
      <c r="W651" s="43">
        <f>W650+Учет!R651-R651</f>
        <v>336855</v>
      </c>
      <c r="X651" s="43">
        <f>X650+Учет!S651-S651</f>
        <v>500</v>
      </c>
      <c r="Y651" s="43">
        <f>Y650+Учет!T651-T651</f>
        <v>1150</v>
      </c>
      <c r="Z651" s="43">
        <f>Z650+Учет!U651-U651</f>
        <v>500000</v>
      </c>
      <c r="AA651" s="45">
        <f>Учет!X651</f>
        <v>500</v>
      </c>
    </row>
    <row r="652" spans="1:27" ht="15" customHeight="1" x14ac:dyDescent="0.25">
      <c r="A652" s="1"/>
      <c r="B652" s="17"/>
      <c r="C652" s="17"/>
      <c r="D652" s="17"/>
      <c r="E652" s="17"/>
      <c r="F652" s="17"/>
      <c r="G652" s="4">
        <f t="shared" si="27"/>
        <v>0</v>
      </c>
      <c r="H652" s="17"/>
      <c r="I652" s="4">
        <f t="shared" si="29"/>
        <v>349526.07999999996</v>
      </c>
      <c r="J652" s="32" t="str">
        <f t="shared" si="28"/>
        <v/>
      </c>
      <c r="K652" s="72"/>
      <c r="L652" s="72"/>
      <c r="M652" s="2"/>
      <c r="N652" s="5"/>
      <c r="O652" s="3"/>
      <c r="P652" s="6"/>
      <c r="Q652" s="48">
        <f>IF(Учет!$O652=Справочники!$F$2,Учет!$H652,0)</f>
        <v>0</v>
      </c>
      <c r="R652" s="48">
        <f>IF(Учет!$O652=Справочники!$F$3,Учет!$H652,0)</f>
        <v>0</v>
      </c>
      <c r="S652" s="48">
        <f>IF(Учет!$O652=Справочники!$F$4,Учет!$H652,0)</f>
        <v>0</v>
      </c>
      <c r="T652" s="48">
        <f>IF(Учет!$O652=Справочники!$F$5,Учет!$H652,0)</f>
        <v>0</v>
      </c>
      <c r="U652" s="48">
        <f>IF(Учет!$O652=Справочники!$F$6,Учет!$H652,0)</f>
        <v>0</v>
      </c>
      <c r="V652" s="43">
        <f>V651+Учет!Q652-Q652</f>
        <v>-488978.92000000004</v>
      </c>
      <c r="W652" s="43">
        <f>W651+Учет!R652-R652</f>
        <v>336855</v>
      </c>
      <c r="X652" s="43">
        <f>X651+Учет!S652-S652</f>
        <v>500</v>
      </c>
      <c r="Y652" s="43">
        <f>Y651+Учет!T652-T652</f>
        <v>1150</v>
      </c>
      <c r="Z652" s="43">
        <f>Z651+Учет!U652-U652</f>
        <v>500000</v>
      </c>
      <c r="AA652" s="45">
        <f>Учет!X652</f>
        <v>500</v>
      </c>
    </row>
    <row r="653" spans="1:27" ht="15" customHeight="1" x14ac:dyDescent="0.25">
      <c r="A653" s="1"/>
      <c r="B653" s="17"/>
      <c r="C653" s="17"/>
      <c r="D653" s="17"/>
      <c r="E653" s="17"/>
      <c r="F653" s="17"/>
      <c r="G653" s="4">
        <f t="shared" si="27"/>
        <v>0</v>
      </c>
      <c r="H653" s="17"/>
      <c r="I653" s="4">
        <f t="shared" si="29"/>
        <v>349526.07999999996</v>
      </c>
      <c r="J653" s="32" t="str">
        <f t="shared" si="28"/>
        <v/>
      </c>
      <c r="K653" s="72"/>
      <c r="L653" s="72"/>
      <c r="M653" s="2"/>
      <c r="N653" s="5"/>
      <c r="O653" s="3"/>
      <c r="P653" s="6"/>
      <c r="Q653" s="48">
        <f>IF(Учет!$O653=Справочники!$F$2,Учет!$H653,0)</f>
        <v>0</v>
      </c>
      <c r="R653" s="48">
        <f>IF(Учет!$O653=Справочники!$F$3,Учет!$H653,0)</f>
        <v>0</v>
      </c>
      <c r="S653" s="48">
        <f>IF(Учет!$O653=Справочники!$F$4,Учет!$H653,0)</f>
        <v>0</v>
      </c>
      <c r="T653" s="48">
        <f>IF(Учет!$O653=Справочники!$F$5,Учет!$H653,0)</f>
        <v>0</v>
      </c>
      <c r="U653" s="48">
        <f>IF(Учет!$O653=Справочники!$F$6,Учет!$H653,0)</f>
        <v>0</v>
      </c>
      <c r="V653" s="43">
        <f>V652+Учет!Q653-Q653</f>
        <v>-488978.92000000004</v>
      </c>
      <c r="W653" s="43">
        <f>W652+Учет!R653-R653</f>
        <v>336855</v>
      </c>
      <c r="X653" s="43">
        <f>X652+Учет!S653-S653</f>
        <v>500</v>
      </c>
      <c r="Y653" s="43">
        <f>Y652+Учет!T653-T653</f>
        <v>1150</v>
      </c>
      <c r="Z653" s="43">
        <f>Z652+Учет!U653-U653</f>
        <v>500000</v>
      </c>
      <c r="AA653" s="45">
        <f>Учет!X653</f>
        <v>500</v>
      </c>
    </row>
    <row r="654" spans="1:27" ht="15" customHeight="1" x14ac:dyDescent="0.25">
      <c r="A654" s="1"/>
      <c r="B654" s="17"/>
      <c r="C654" s="17"/>
      <c r="D654" s="17"/>
      <c r="E654" s="17"/>
      <c r="F654" s="17"/>
      <c r="G654" s="4">
        <f t="shared" si="27"/>
        <v>0</v>
      </c>
      <c r="H654" s="17"/>
      <c r="I654" s="4">
        <f t="shared" si="29"/>
        <v>349526.07999999996</v>
      </c>
      <c r="J654" s="32" t="str">
        <f t="shared" si="28"/>
        <v/>
      </c>
      <c r="K654" s="72"/>
      <c r="L654" s="72"/>
      <c r="M654" s="2"/>
      <c r="N654" s="5"/>
      <c r="O654" s="3"/>
      <c r="P654" s="6"/>
      <c r="Q654" s="48">
        <f>IF(Учет!$O654=Справочники!$F$2,Учет!$H654,0)</f>
        <v>0</v>
      </c>
      <c r="R654" s="48">
        <f>IF(Учет!$O654=Справочники!$F$3,Учет!$H654,0)</f>
        <v>0</v>
      </c>
      <c r="S654" s="48">
        <f>IF(Учет!$O654=Справочники!$F$4,Учет!$H654,0)</f>
        <v>0</v>
      </c>
      <c r="T654" s="48">
        <f>IF(Учет!$O654=Справочники!$F$5,Учет!$H654,0)</f>
        <v>0</v>
      </c>
      <c r="U654" s="48">
        <f>IF(Учет!$O654=Справочники!$F$6,Учет!$H654,0)</f>
        <v>0</v>
      </c>
      <c r="V654" s="43">
        <f>V653+Учет!Q654-Q654</f>
        <v>-488978.92000000004</v>
      </c>
      <c r="W654" s="43">
        <f>W653+Учет!R654-R654</f>
        <v>336855</v>
      </c>
      <c r="X654" s="43">
        <f>X653+Учет!S654-S654</f>
        <v>500</v>
      </c>
      <c r="Y654" s="43">
        <f>Y653+Учет!T654-T654</f>
        <v>1150</v>
      </c>
      <c r="Z654" s="43">
        <f>Z653+Учет!U654-U654</f>
        <v>500000</v>
      </c>
      <c r="AA654" s="45">
        <f>Учет!X654</f>
        <v>500</v>
      </c>
    </row>
    <row r="655" spans="1:27" ht="15" customHeight="1" x14ac:dyDescent="0.25">
      <c r="A655" s="1"/>
      <c r="B655" s="17"/>
      <c r="C655" s="17"/>
      <c r="D655" s="17"/>
      <c r="E655" s="17"/>
      <c r="F655" s="17"/>
      <c r="G655" s="4">
        <f t="shared" si="27"/>
        <v>0</v>
      </c>
      <c r="H655" s="17"/>
      <c r="I655" s="4">
        <f t="shared" si="29"/>
        <v>349526.07999999996</v>
      </c>
      <c r="J655" s="32" t="str">
        <f t="shared" si="28"/>
        <v/>
      </c>
      <c r="K655" s="72"/>
      <c r="L655" s="72"/>
      <c r="M655" s="2"/>
      <c r="N655" s="5"/>
      <c r="O655" s="3"/>
      <c r="P655" s="6"/>
      <c r="Q655" s="48">
        <f>IF(Учет!$O655=Справочники!$F$2,Учет!$H655,0)</f>
        <v>0</v>
      </c>
      <c r="R655" s="48">
        <f>IF(Учет!$O655=Справочники!$F$3,Учет!$H655,0)</f>
        <v>0</v>
      </c>
      <c r="S655" s="48">
        <f>IF(Учет!$O655=Справочники!$F$4,Учет!$H655,0)</f>
        <v>0</v>
      </c>
      <c r="T655" s="48">
        <f>IF(Учет!$O655=Справочники!$F$5,Учет!$H655,0)</f>
        <v>0</v>
      </c>
      <c r="U655" s="48">
        <f>IF(Учет!$O655=Справочники!$F$6,Учет!$H655,0)</f>
        <v>0</v>
      </c>
      <c r="V655" s="43">
        <f>V654+Учет!Q655-Q655</f>
        <v>-488978.92000000004</v>
      </c>
      <c r="W655" s="43">
        <f>W654+Учет!R655-R655</f>
        <v>336855</v>
      </c>
      <c r="X655" s="43">
        <f>X654+Учет!S655-S655</f>
        <v>500</v>
      </c>
      <c r="Y655" s="43">
        <f>Y654+Учет!T655-T655</f>
        <v>1150</v>
      </c>
      <c r="Z655" s="43">
        <f>Z654+Учет!U655-U655</f>
        <v>500000</v>
      </c>
      <c r="AA655" s="45">
        <f>Учет!X655</f>
        <v>500</v>
      </c>
    </row>
    <row r="656" spans="1:27" ht="15" customHeight="1" x14ac:dyDescent="0.25">
      <c r="A656" s="1"/>
      <c r="B656" s="17"/>
      <c r="C656" s="17"/>
      <c r="D656" s="17"/>
      <c r="E656" s="17"/>
      <c r="F656" s="17"/>
      <c r="G656" s="4">
        <f t="shared" si="27"/>
        <v>0</v>
      </c>
      <c r="H656" s="17"/>
      <c r="I656" s="4">
        <f t="shared" si="29"/>
        <v>349526.07999999996</v>
      </c>
      <c r="J656" s="32" t="str">
        <f t="shared" si="28"/>
        <v/>
      </c>
      <c r="K656" s="72"/>
      <c r="L656" s="72"/>
      <c r="M656" s="2"/>
      <c r="N656" s="5"/>
      <c r="O656" s="3"/>
      <c r="P656" s="6"/>
      <c r="Q656" s="48">
        <f>IF(Учет!$O656=Справочники!$F$2,Учет!$H656,0)</f>
        <v>0</v>
      </c>
      <c r="R656" s="48">
        <f>IF(Учет!$O656=Справочники!$F$3,Учет!$H656,0)</f>
        <v>0</v>
      </c>
      <c r="S656" s="48">
        <f>IF(Учет!$O656=Справочники!$F$4,Учет!$H656,0)</f>
        <v>0</v>
      </c>
      <c r="T656" s="48">
        <f>IF(Учет!$O656=Справочники!$F$5,Учет!$H656,0)</f>
        <v>0</v>
      </c>
      <c r="U656" s="48">
        <f>IF(Учет!$O656=Справочники!$F$6,Учет!$H656,0)</f>
        <v>0</v>
      </c>
      <c r="V656" s="43">
        <f>V655+Учет!Q656-Q656</f>
        <v>-488978.92000000004</v>
      </c>
      <c r="W656" s="43">
        <f>W655+Учет!R656-R656</f>
        <v>336855</v>
      </c>
      <c r="X656" s="43">
        <f>X655+Учет!S656-S656</f>
        <v>500</v>
      </c>
      <c r="Y656" s="43">
        <f>Y655+Учет!T656-T656</f>
        <v>1150</v>
      </c>
      <c r="Z656" s="43">
        <f>Z655+Учет!U656-U656</f>
        <v>500000</v>
      </c>
      <c r="AA656" s="45">
        <f>Учет!X656</f>
        <v>500</v>
      </c>
    </row>
    <row r="657" spans="1:27" ht="15" customHeight="1" x14ac:dyDescent="0.25">
      <c r="A657" s="1"/>
      <c r="B657" s="17"/>
      <c r="C657" s="17"/>
      <c r="D657" s="17"/>
      <c r="E657" s="17"/>
      <c r="F657" s="17"/>
      <c r="G657" s="4">
        <f t="shared" si="27"/>
        <v>0</v>
      </c>
      <c r="H657" s="17"/>
      <c r="I657" s="4">
        <f t="shared" si="29"/>
        <v>349526.07999999996</v>
      </c>
      <c r="J657" s="32" t="str">
        <f t="shared" si="28"/>
        <v/>
      </c>
      <c r="K657" s="72"/>
      <c r="L657" s="72"/>
      <c r="M657" s="2"/>
      <c r="N657" s="5"/>
      <c r="O657" s="3"/>
      <c r="P657" s="6"/>
      <c r="Q657" s="48">
        <f>IF(Учет!$O657=Справочники!$F$2,Учет!$H657,0)</f>
        <v>0</v>
      </c>
      <c r="R657" s="48">
        <f>IF(Учет!$O657=Справочники!$F$3,Учет!$H657,0)</f>
        <v>0</v>
      </c>
      <c r="S657" s="48">
        <f>IF(Учет!$O657=Справочники!$F$4,Учет!$H657,0)</f>
        <v>0</v>
      </c>
      <c r="T657" s="48">
        <f>IF(Учет!$O657=Справочники!$F$5,Учет!$H657,0)</f>
        <v>0</v>
      </c>
      <c r="U657" s="48">
        <f>IF(Учет!$O657=Справочники!$F$6,Учет!$H657,0)</f>
        <v>0</v>
      </c>
      <c r="V657" s="43">
        <f>V656+Учет!Q657-Q657</f>
        <v>-488978.92000000004</v>
      </c>
      <c r="W657" s="43">
        <f>W656+Учет!R657-R657</f>
        <v>336855</v>
      </c>
      <c r="X657" s="43">
        <f>X656+Учет!S657-S657</f>
        <v>500</v>
      </c>
      <c r="Y657" s="43">
        <f>Y656+Учет!T657-T657</f>
        <v>1150</v>
      </c>
      <c r="Z657" s="43">
        <f>Z656+Учет!U657-U657</f>
        <v>500000</v>
      </c>
      <c r="AA657" s="45">
        <f>Учет!X657</f>
        <v>500</v>
      </c>
    </row>
    <row r="658" spans="1:27" ht="15" customHeight="1" x14ac:dyDescent="0.25">
      <c r="A658" s="1"/>
      <c r="B658" s="17"/>
      <c r="C658" s="17"/>
      <c r="D658" s="17"/>
      <c r="E658" s="17"/>
      <c r="F658" s="17"/>
      <c r="G658" s="4">
        <f t="shared" si="27"/>
        <v>0</v>
      </c>
      <c r="H658" s="17"/>
      <c r="I658" s="4">
        <f t="shared" si="29"/>
        <v>349526.07999999996</v>
      </c>
      <c r="J658" s="32" t="str">
        <f t="shared" si="28"/>
        <v/>
      </c>
      <c r="K658" s="72"/>
      <c r="L658" s="72"/>
      <c r="M658" s="2"/>
      <c r="N658" s="5"/>
      <c r="O658" s="3"/>
      <c r="P658" s="6"/>
      <c r="Q658" s="48">
        <f>IF(Учет!$O658=Справочники!$F$2,Учет!$H658,0)</f>
        <v>0</v>
      </c>
      <c r="R658" s="48">
        <f>IF(Учет!$O658=Справочники!$F$3,Учет!$H658,0)</f>
        <v>0</v>
      </c>
      <c r="S658" s="48">
        <f>IF(Учет!$O658=Справочники!$F$4,Учет!$H658,0)</f>
        <v>0</v>
      </c>
      <c r="T658" s="48">
        <f>IF(Учет!$O658=Справочники!$F$5,Учет!$H658,0)</f>
        <v>0</v>
      </c>
      <c r="U658" s="48">
        <f>IF(Учет!$O658=Справочники!$F$6,Учет!$H658,0)</f>
        <v>0</v>
      </c>
      <c r="V658" s="43">
        <f>V657+Учет!Q658-Q658</f>
        <v>-488978.92000000004</v>
      </c>
      <c r="W658" s="43">
        <f>W657+Учет!R658-R658</f>
        <v>336855</v>
      </c>
      <c r="X658" s="43">
        <f>X657+Учет!S658-S658</f>
        <v>500</v>
      </c>
      <c r="Y658" s="43">
        <f>Y657+Учет!T658-T658</f>
        <v>1150</v>
      </c>
      <c r="Z658" s="43">
        <f>Z657+Учет!U658-U658</f>
        <v>500000</v>
      </c>
      <c r="AA658" s="45">
        <f>Учет!X658</f>
        <v>500</v>
      </c>
    </row>
    <row r="659" spans="1:27" ht="15" customHeight="1" x14ac:dyDescent="0.25">
      <c r="A659" s="1"/>
      <c r="B659" s="17"/>
      <c r="C659" s="17"/>
      <c r="D659" s="17"/>
      <c r="E659" s="17"/>
      <c r="F659" s="17"/>
      <c r="G659" s="4">
        <f t="shared" si="27"/>
        <v>0</v>
      </c>
      <c r="H659" s="17"/>
      <c r="I659" s="4">
        <f t="shared" si="29"/>
        <v>349526.07999999996</v>
      </c>
      <c r="J659" s="32" t="str">
        <f t="shared" si="28"/>
        <v/>
      </c>
      <c r="K659" s="72"/>
      <c r="L659" s="72"/>
      <c r="M659" s="2"/>
      <c r="N659" s="5"/>
      <c r="O659" s="3"/>
      <c r="P659" s="6"/>
      <c r="Q659" s="48">
        <f>IF(Учет!$O659=Справочники!$F$2,Учет!$H659,0)</f>
        <v>0</v>
      </c>
      <c r="R659" s="48">
        <f>IF(Учет!$O659=Справочники!$F$3,Учет!$H659,0)</f>
        <v>0</v>
      </c>
      <c r="S659" s="48">
        <f>IF(Учет!$O659=Справочники!$F$4,Учет!$H659,0)</f>
        <v>0</v>
      </c>
      <c r="T659" s="48">
        <f>IF(Учет!$O659=Справочники!$F$5,Учет!$H659,0)</f>
        <v>0</v>
      </c>
      <c r="U659" s="48">
        <f>IF(Учет!$O659=Справочники!$F$6,Учет!$H659,0)</f>
        <v>0</v>
      </c>
      <c r="V659" s="43">
        <f>V658+Учет!Q659-Q659</f>
        <v>-488978.92000000004</v>
      </c>
      <c r="W659" s="43">
        <f>W658+Учет!R659-R659</f>
        <v>336855</v>
      </c>
      <c r="X659" s="43">
        <f>X658+Учет!S659-S659</f>
        <v>500</v>
      </c>
      <c r="Y659" s="43">
        <f>Y658+Учет!T659-T659</f>
        <v>1150</v>
      </c>
      <c r="Z659" s="43">
        <f>Z658+Учет!U659-U659</f>
        <v>500000</v>
      </c>
      <c r="AA659" s="45">
        <f>Учет!X659</f>
        <v>500</v>
      </c>
    </row>
    <row r="660" spans="1:27" ht="15" customHeight="1" x14ac:dyDescent="0.25">
      <c r="A660" s="1"/>
      <c r="B660" s="17"/>
      <c r="C660" s="17"/>
      <c r="D660" s="17"/>
      <c r="E660" s="17"/>
      <c r="F660" s="17"/>
      <c r="G660" s="4">
        <f t="shared" si="27"/>
        <v>0</v>
      </c>
      <c r="H660" s="17"/>
      <c r="I660" s="4">
        <f t="shared" si="29"/>
        <v>349526.07999999996</v>
      </c>
      <c r="J660" s="32" t="str">
        <f t="shared" si="28"/>
        <v/>
      </c>
      <c r="K660" s="72"/>
      <c r="L660" s="72"/>
      <c r="M660" s="2"/>
      <c r="N660" s="5"/>
      <c r="O660" s="3"/>
      <c r="P660" s="6"/>
      <c r="Q660" s="48">
        <f>IF(Учет!$O660=Справочники!$F$2,Учет!$H660,0)</f>
        <v>0</v>
      </c>
      <c r="R660" s="48">
        <f>IF(Учет!$O660=Справочники!$F$3,Учет!$H660,0)</f>
        <v>0</v>
      </c>
      <c r="S660" s="48">
        <f>IF(Учет!$O660=Справочники!$F$4,Учет!$H660,0)</f>
        <v>0</v>
      </c>
      <c r="T660" s="48">
        <f>IF(Учет!$O660=Справочники!$F$5,Учет!$H660,0)</f>
        <v>0</v>
      </c>
      <c r="U660" s="48">
        <f>IF(Учет!$O660=Справочники!$F$6,Учет!$H660,0)</f>
        <v>0</v>
      </c>
      <c r="V660" s="43">
        <f>V659+Учет!Q660-Q660</f>
        <v>-488978.92000000004</v>
      </c>
      <c r="W660" s="43">
        <f>W659+Учет!R660-R660</f>
        <v>336855</v>
      </c>
      <c r="X660" s="43">
        <f>X659+Учет!S660-S660</f>
        <v>500</v>
      </c>
      <c r="Y660" s="43">
        <f>Y659+Учет!T660-T660</f>
        <v>1150</v>
      </c>
      <c r="Z660" s="43">
        <f>Z659+Учет!U660-U660</f>
        <v>500000</v>
      </c>
      <c r="AA660" s="45">
        <f>Учет!X660</f>
        <v>500</v>
      </c>
    </row>
    <row r="661" spans="1:27" ht="15" customHeight="1" x14ac:dyDescent="0.25">
      <c r="A661" s="1"/>
      <c r="B661" s="17"/>
      <c r="C661" s="17"/>
      <c r="D661" s="17"/>
      <c r="E661" s="17"/>
      <c r="F661" s="17"/>
      <c r="G661" s="4">
        <f t="shared" si="27"/>
        <v>0</v>
      </c>
      <c r="H661" s="17"/>
      <c r="I661" s="4">
        <f t="shared" si="29"/>
        <v>349526.07999999996</v>
      </c>
      <c r="J661" s="32" t="str">
        <f t="shared" si="28"/>
        <v/>
      </c>
      <c r="K661" s="72"/>
      <c r="L661" s="72"/>
      <c r="M661" s="2"/>
      <c r="N661" s="5"/>
      <c r="O661" s="3"/>
      <c r="P661" s="6"/>
      <c r="Q661" s="48">
        <f>IF(Учет!$O661=Справочники!$F$2,Учет!$H661,0)</f>
        <v>0</v>
      </c>
      <c r="R661" s="48">
        <f>IF(Учет!$O661=Справочники!$F$3,Учет!$H661,0)</f>
        <v>0</v>
      </c>
      <c r="S661" s="48">
        <f>IF(Учет!$O661=Справочники!$F$4,Учет!$H661,0)</f>
        <v>0</v>
      </c>
      <c r="T661" s="48">
        <f>IF(Учет!$O661=Справочники!$F$5,Учет!$H661,0)</f>
        <v>0</v>
      </c>
      <c r="U661" s="48">
        <f>IF(Учет!$O661=Справочники!$F$6,Учет!$H661,0)</f>
        <v>0</v>
      </c>
      <c r="V661" s="43">
        <f>V660+Учет!Q661-Q661</f>
        <v>-488978.92000000004</v>
      </c>
      <c r="W661" s="43">
        <f>W660+Учет!R661-R661</f>
        <v>336855</v>
      </c>
      <c r="X661" s="43">
        <f>X660+Учет!S661-S661</f>
        <v>500</v>
      </c>
      <c r="Y661" s="43">
        <f>Y660+Учет!T661-T661</f>
        <v>1150</v>
      </c>
      <c r="Z661" s="43">
        <f>Z660+Учет!U661-U661</f>
        <v>500000</v>
      </c>
      <c r="AA661" s="45">
        <f>Учет!X661</f>
        <v>500</v>
      </c>
    </row>
    <row r="662" spans="1:27" ht="15" customHeight="1" x14ac:dyDescent="0.25">
      <c r="A662" s="1"/>
      <c r="B662" s="17"/>
      <c r="C662" s="17"/>
      <c r="D662" s="17"/>
      <c r="E662" s="17"/>
      <c r="F662" s="17"/>
      <c r="G662" s="4">
        <f t="shared" si="27"/>
        <v>0</v>
      </c>
      <c r="H662" s="17"/>
      <c r="I662" s="4">
        <f t="shared" si="29"/>
        <v>349526.07999999996</v>
      </c>
      <c r="J662" s="32" t="str">
        <f t="shared" si="28"/>
        <v/>
      </c>
      <c r="K662" s="72"/>
      <c r="L662" s="72"/>
      <c r="M662" s="2"/>
      <c r="N662" s="5"/>
      <c r="O662" s="3"/>
      <c r="P662" s="6"/>
      <c r="Q662" s="48">
        <f>IF(Учет!$O662=Справочники!$F$2,Учет!$H662,0)</f>
        <v>0</v>
      </c>
      <c r="R662" s="48">
        <f>IF(Учет!$O662=Справочники!$F$3,Учет!$H662,0)</f>
        <v>0</v>
      </c>
      <c r="S662" s="48">
        <f>IF(Учет!$O662=Справочники!$F$4,Учет!$H662,0)</f>
        <v>0</v>
      </c>
      <c r="T662" s="48">
        <f>IF(Учет!$O662=Справочники!$F$5,Учет!$H662,0)</f>
        <v>0</v>
      </c>
      <c r="U662" s="48">
        <f>IF(Учет!$O662=Справочники!$F$6,Учет!$H662,0)</f>
        <v>0</v>
      </c>
      <c r="V662" s="43">
        <f>V661+Учет!Q662-Q662</f>
        <v>-488978.92000000004</v>
      </c>
      <c r="W662" s="43">
        <f>W661+Учет!R662-R662</f>
        <v>336855</v>
      </c>
      <c r="X662" s="43">
        <f>X661+Учет!S662-S662</f>
        <v>500</v>
      </c>
      <c r="Y662" s="43">
        <f>Y661+Учет!T662-T662</f>
        <v>1150</v>
      </c>
      <c r="Z662" s="43">
        <f>Z661+Учет!U662-U662</f>
        <v>500000</v>
      </c>
      <c r="AA662" s="45">
        <f>Учет!X662</f>
        <v>500</v>
      </c>
    </row>
    <row r="663" spans="1:27" ht="15" customHeight="1" x14ac:dyDescent="0.25">
      <c r="A663" s="1"/>
      <c r="B663" s="17"/>
      <c r="C663" s="17"/>
      <c r="D663" s="17"/>
      <c r="E663" s="17"/>
      <c r="F663" s="17"/>
      <c r="G663" s="4">
        <f t="shared" si="27"/>
        <v>0</v>
      </c>
      <c r="H663" s="17"/>
      <c r="I663" s="4">
        <f t="shared" si="29"/>
        <v>349526.07999999996</v>
      </c>
      <c r="J663" s="32" t="str">
        <f t="shared" si="28"/>
        <v/>
      </c>
      <c r="K663" s="72"/>
      <c r="L663" s="72"/>
      <c r="M663" s="2"/>
      <c r="N663" s="5"/>
      <c r="O663" s="3"/>
      <c r="P663" s="6"/>
      <c r="Q663" s="48">
        <f>IF(Учет!$O663=Справочники!$F$2,Учет!$H663,0)</f>
        <v>0</v>
      </c>
      <c r="R663" s="48">
        <f>IF(Учет!$O663=Справочники!$F$3,Учет!$H663,0)</f>
        <v>0</v>
      </c>
      <c r="S663" s="48">
        <f>IF(Учет!$O663=Справочники!$F$4,Учет!$H663,0)</f>
        <v>0</v>
      </c>
      <c r="T663" s="48">
        <f>IF(Учет!$O663=Справочники!$F$5,Учет!$H663,0)</f>
        <v>0</v>
      </c>
      <c r="U663" s="48">
        <f>IF(Учет!$O663=Справочники!$F$6,Учет!$H663,0)</f>
        <v>0</v>
      </c>
      <c r="V663" s="43">
        <f>V662+Учет!Q663-Q663</f>
        <v>-488978.92000000004</v>
      </c>
      <c r="W663" s="43">
        <f>W662+Учет!R663-R663</f>
        <v>336855</v>
      </c>
      <c r="X663" s="43">
        <f>X662+Учет!S663-S663</f>
        <v>500</v>
      </c>
      <c r="Y663" s="43">
        <f>Y662+Учет!T663-T663</f>
        <v>1150</v>
      </c>
      <c r="Z663" s="43">
        <f>Z662+Учет!U663-U663</f>
        <v>500000</v>
      </c>
      <c r="AA663" s="45">
        <f>Учет!X663</f>
        <v>500</v>
      </c>
    </row>
    <row r="664" spans="1:27" ht="15" customHeight="1" x14ac:dyDescent="0.25">
      <c r="A664" s="1"/>
      <c r="B664" s="17"/>
      <c r="C664" s="17"/>
      <c r="D664" s="17"/>
      <c r="E664" s="17"/>
      <c r="F664" s="17"/>
      <c r="G664" s="4">
        <f t="shared" si="27"/>
        <v>0</v>
      </c>
      <c r="H664" s="17"/>
      <c r="I664" s="4">
        <f t="shared" si="29"/>
        <v>349526.07999999996</v>
      </c>
      <c r="J664" s="32" t="str">
        <f t="shared" si="28"/>
        <v/>
      </c>
      <c r="K664" s="72"/>
      <c r="L664" s="72"/>
      <c r="M664" s="2"/>
      <c r="N664" s="5"/>
      <c r="O664" s="3"/>
      <c r="P664" s="6"/>
      <c r="Q664" s="48">
        <f>IF(Учет!$O664=Справочники!$F$2,Учет!$H664,0)</f>
        <v>0</v>
      </c>
      <c r="R664" s="48">
        <f>IF(Учет!$O664=Справочники!$F$3,Учет!$H664,0)</f>
        <v>0</v>
      </c>
      <c r="S664" s="48">
        <f>IF(Учет!$O664=Справочники!$F$4,Учет!$H664,0)</f>
        <v>0</v>
      </c>
      <c r="T664" s="48">
        <f>IF(Учет!$O664=Справочники!$F$5,Учет!$H664,0)</f>
        <v>0</v>
      </c>
      <c r="U664" s="48">
        <f>IF(Учет!$O664=Справочники!$F$6,Учет!$H664,0)</f>
        <v>0</v>
      </c>
      <c r="V664" s="43">
        <f>V663+Учет!Q664-Q664</f>
        <v>-488978.92000000004</v>
      </c>
      <c r="W664" s="43">
        <f>W663+Учет!R664-R664</f>
        <v>336855</v>
      </c>
      <c r="X664" s="43">
        <f>X663+Учет!S664-S664</f>
        <v>500</v>
      </c>
      <c r="Y664" s="43">
        <f>Y663+Учет!T664-T664</f>
        <v>1150</v>
      </c>
      <c r="Z664" s="43">
        <f>Z663+Учет!U664-U664</f>
        <v>500000</v>
      </c>
      <c r="AA664" s="45">
        <f>Учет!X664</f>
        <v>500</v>
      </c>
    </row>
    <row r="665" spans="1:27" ht="15" customHeight="1" x14ac:dyDescent="0.25">
      <c r="A665" s="1"/>
      <c r="B665" s="17"/>
      <c r="C665" s="17"/>
      <c r="D665" s="17"/>
      <c r="E665" s="17"/>
      <c r="F665" s="17"/>
      <c r="G665" s="4">
        <f t="shared" si="27"/>
        <v>0</v>
      </c>
      <c r="H665" s="17"/>
      <c r="I665" s="4">
        <f t="shared" si="29"/>
        <v>349526.07999999996</v>
      </c>
      <c r="J665" s="32" t="str">
        <f t="shared" si="28"/>
        <v/>
      </c>
      <c r="K665" s="72"/>
      <c r="L665" s="72"/>
      <c r="M665" s="2"/>
      <c r="N665" s="5"/>
      <c r="O665" s="3"/>
      <c r="P665" s="6"/>
      <c r="Q665" s="48">
        <f>IF(Учет!$O665=Справочники!$F$2,Учет!$H665,0)</f>
        <v>0</v>
      </c>
      <c r="R665" s="48">
        <f>IF(Учет!$O665=Справочники!$F$3,Учет!$H665,0)</f>
        <v>0</v>
      </c>
      <c r="S665" s="48">
        <f>IF(Учет!$O665=Справочники!$F$4,Учет!$H665,0)</f>
        <v>0</v>
      </c>
      <c r="T665" s="48">
        <f>IF(Учет!$O665=Справочники!$F$5,Учет!$H665,0)</f>
        <v>0</v>
      </c>
      <c r="U665" s="48">
        <f>IF(Учет!$O665=Справочники!$F$6,Учет!$H665,0)</f>
        <v>0</v>
      </c>
      <c r="V665" s="43">
        <f>V664+Учет!Q665-Q665</f>
        <v>-488978.92000000004</v>
      </c>
      <c r="W665" s="43">
        <f>W664+Учет!R665-R665</f>
        <v>336855</v>
      </c>
      <c r="X665" s="43">
        <f>X664+Учет!S665-S665</f>
        <v>500</v>
      </c>
      <c r="Y665" s="43">
        <f>Y664+Учет!T665-T665</f>
        <v>1150</v>
      </c>
      <c r="Z665" s="43">
        <f>Z664+Учет!U665-U665</f>
        <v>500000</v>
      </c>
      <c r="AA665" s="45">
        <f>Учет!X665</f>
        <v>500</v>
      </c>
    </row>
    <row r="666" spans="1:27" ht="15" customHeight="1" x14ac:dyDescent="0.25">
      <c r="A666" s="1"/>
      <c r="B666" s="17"/>
      <c r="C666" s="17"/>
      <c r="D666" s="17"/>
      <c r="E666" s="17"/>
      <c r="F666" s="17"/>
      <c r="G666" s="4">
        <f t="shared" si="27"/>
        <v>0</v>
      </c>
      <c r="H666" s="17"/>
      <c r="I666" s="4">
        <f t="shared" si="29"/>
        <v>349526.07999999996</v>
      </c>
      <c r="J666" s="32" t="str">
        <f t="shared" si="28"/>
        <v/>
      </c>
      <c r="K666" s="72"/>
      <c r="L666" s="72"/>
      <c r="M666" s="2"/>
      <c r="N666" s="5"/>
      <c r="O666" s="3"/>
      <c r="P666" s="6"/>
      <c r="Q666" s="48">
        <f>IF(Учет!$O666=Справочники!$F$2,Учет!$H666,0)</f>
        <v>0</v>
      </c>
      <c r="R666" s="48">
        <f>IF(Учет!$O666=Справочники!$F$3,Учет!$H666,0)</f>
        <v>0</v>
      </c>
      <c r="S666" s="48">
        <f>IF(Учет!$O666=Справочники!$F$4,Учет!$H666,0)</f>
        <v>0</v>
      </c>
      <c r="T666" s="48">
        <f>IF(Учет!$O666=Справочники!$F$5,Учет!$H666,0)</f>
        <v>0</v>
      </c>
      <c r="U666" s="48">
        <f>IF(Учет!$O666=Справочники!$F$6,Учет!$H666,0)</f>
        <v>0</v>
      </c>
      <c r="V666" s="43">
        <f>V665+Учет!Q666-Q666</f>
        <v>-488978.92000000004</v>
      </c>
      <c r="W666" s="43">
        <f>W665+Учет!R666-R666</f>
        <v>336855</v>
      </c>
      <c r="X666" s="43">
        <f>X665+Учет!S666-S666</f>
        <v>500</v>
      </c>
      <c r="Y666" s="43">
        <f>Y665+Учет!T666-T666</f>
        <v>1150</v>
      </c>
      <c r="Z666" s="43">
        <f>Z665+Учет!U666-U666</f>
        <v>500000</v>
      </c>
      <c r="AA666" s="45">
        <f>Учет!X666</f>
        <v>500</v>
      </c>
    </row>
    <row r="667" spans="1:27" ht="15" customHeight="1" x14ac:dyDescent="0.25">
      <c r="A667" s="1"/>
      <c r="B667" s="17"/>
      <c r="C667" s="17"/>
      <c r="D667" s="17"/>
      <c r="E667" s="17"/>
      <c r="F667" s="17"/>
      <c r="G667" s="4">
        <f t="shared" si="27"/>
        <v>0</v>
      </c>
      <c r="H667" s="17"/>
      <c r="I667" s="4">
        <f t="shared" si="29"/>
        <v>349526.07999999996</v>
      </c>
      <c r="J667" s="32" t="str">
        <f t="shared" si="28"/>
        <v/>
      </c>
      <c r="K667" s="72"/>
      <c r="L667" s="72"/>
      <c r="M667" s="2"/>
      <c r="N667" s="5"/>
      <c r="O667" s="3"/>
      <c r="P667" s="6"/>
      <c r="Q667" s="48">
        <f>IF(Учет!$O667=Справочники!$F$2,Учет!$H667,0)</f>
        <v>0</v>
      </c>
      <c r="R667" s="48">
        <f>IF(Учет!$O667=Справочники!$F$3,Учет!$H667,0)</f>
        <v>0</v>
      </c>
      <c r="S667" s="48">
        <f>IF(Учет!$O667=Справочники!$F$4,Учет!$H667,0)</f>
        <v>0</v>
      </c>
      <c r="T667" s="48">
        <f>IF(Учет!$O667=Справочники!$F$5,Учет!$H667,0)</f>
        <v>0</v>
      </c>
      <c r="U667" s="48">
        <f>IF(Учет!$O667=Справочники!$F$6,Учет!$H667,0)</f>
        <v>0</v>
      </c>
      <c r="V667" s="43">
        <f>V666+Учет!Q667-Q667</f>
        <v>-488978.92000000004</v>
      </c>
      <c r="W667" s="43">
        <f>W666+Учет!R667-R667</f>
        <v>336855</v>
      </c>
      <c r="X667" s="43">
        <f>X666+Учет!S667-S667</f>
        <v>500</v>
      </c>
      <c r="Y667" s="43">
        <f>Y666+Учет!T667-T667</f>
        <v>1150</v>
      </c>
      <c r="Z667" s="43">
        <f>Z666+Учет!U667-U667</f>
        <v>500000</v>
      </c>
      <c r="AA667" s="45">
        <f>Учет!X667</f>
        <v>500</v>
      </c>
    </row>
    <row r="668" spans="1:27" ht="15" customHeight="1" x14ac:dyDescent="0.25">
      <c r="A668" s="1"/>
      <c r="B668" s="17"/>
      <c r="C668" s="17"/>
      <c r="D668" s="17"/>
      <c r="E668" s="17"/>
      <c r="F668" s="17"/>
      <c r="G668" s="4">
        <f t="shared" si="27"/>
        <v>0</v>
      </c>
      <c r="H668" s="17"/>
      <c r="I668" s="4">
        <f t="shared" si="29"/>
        <v>349526.07999999996</v>
      </c>
      <c r="J668" s="32" t="str">
        <f t="shared" si="28"/>
        <v/>
      </c>
      <c r="K668" s="72"/>
      <c r="L668" s="72"/>
      <c r="M668" s="2"/>
      <c r="N668" s="5"/>
      <c r="O668" s="3"/>
      <c r="P668" s="6"/>
      <c r="Q668" s="48">
        <f>IF(Учет!$O668=Справочники!$F$2,Учет!$H668,0)</f>
        <v>0</v>
      </c>
      <c r="R668" s="48">
        <f>IF(Учет!$O668=Справочники!$F$3,Учет!$H668,0)</f>
        <v>0</v>
      </c>
      <c r="S668" s="48">
        <f>IF(Учет!$O668=Справочники!$F$4,Учет!$H668,0)</f>
        <v>0</v>
      </c>
      <c r="T668" s="48">
        <f>IF(Учет!$O668=Справочники!$F$5,Учет!$H668,0)</f>
        <v>0</v>
      </c>
      <c r="U668" s="48">
        <f>IF(Учет!$O668=Справочники!$F$6,Учет!$H668,0)</f>
        <v>0</v>
      </c>
      <c r="V668" s="43">
        <f>V667+Учет!Q668-Q668</f>
        <v>-488978.92000000004</v>
      </c>
      <c r="W668" s="43">
        <f>W667+Учет!R668-R668</f>
        <v>336855</v>
      </c>
      <c r="X668" s="43">
        <f>X667+Учет!S668-S668</f>
        <v>500</v>
      </c>
      <c r="Y668" s="43">
        <f>Y667+Учет!T668-T668</f>
        <v>1150</v>
      </c>
      <c r="Z668" s="43">
        <f>Z667+Учет!U668-U668</f>
        <v>500000</v>
      </c>
      <c r="AA668" s="45">
        <f>Учет!X668</f>
        <v>500</v>
      </c>
    </row>
    <row r="669" spans="1:27" ht="15" customHeight="1" x14ac:dyDescent="0.25">
      <c r="A669" s="1"/>
      <c r="B669" s="17"/>
      <c r="C669" s="17"/>
      <c r="D669" s="17"/>
      <c r="E669" s="17"/>
      <c r="F669" s="17"/>
      <c r="G669" s="4">
        <f t="shared" si="27"/>
        <v>0</v>
      </c>
      <c r="H669" s="17"/>
      <c r="I669" s="4">
        <f t="shared" si="29"/>
        <v>349526.07999999996</v>
      </c>
      <c r="J669" s="32" t="str">
        <f t="shared" si="28"/>
        <v/>
      </c>
      <c r="K669" s="72"/>
      <c r="L669" s="72"/>
      <c r="M669" s="2"/>
      <c r="N669" s="5"/>
      <c r="O669" s="3"/>
      <c r="P669" s="6"/>
      <c r="Q669" s="48">
        <f>IF(Учет!$O669=Справочники!$F$2,Учет!$H669,0)</f>
        <v>0</v>
      </c>
      <c r="R669" s="48">
        <f>IF(Учет!$O669=Справочники!$F$3,Учет!$H669,0)</f>
        <v>0</v>
      </c>
      <c r="S669" s="48">
        <f>IF(Учет!$O669=Справочники!$F$4,Учет!$H669,0)</f>
        <v>0</v>
      </c>
      <c r="T669" s="48">
        <f>IF(Учет!$O669=Справочники!$F$5,Учет!$H669,0)</f>
        <v>0</v>
      </c>
      <c r="U669" s="48">
        <f>IF(Учет!$O669=Справочники!$F$6,Учет!$H669,0)</f>
        <v>0</v>
      </c>
      <c r="V669" s="43">
        <f>V668+Учет!Q669-Q669</f>
        <v>-488978.92000000004</v>
      </c>
      <c r="W669" s="43">
        <f>W668+Учет!R669-R669</f>
        <v>336855</v>
      </c>
      <c r="X669" s="43">
        <f>X668+Учет!S669-S669</f>
        <v>500</v>
      </c>
      <c r="Y669" s="43">
        <f>Y668+Учет!T669-T669</f>
        <v>1150</v>
      </c>
      <c r="Z669" s="43">
        <f>Z668+Учет!U669-U669</f>
        <v>500000</v>
      </c>
      <c r="AA669" s="45">
        <f>Учет!X669</f>
        <v>500</v>
      </c>
    </row>
    <row r="670" spans="1:27" ht="15" customHeight="1" x14ac:dyDescent="0.25">
      <c r="A670" s="1"/>
      <c r="B670" s="17"/>
      <c r="C670" s="17"/>
      <c r="D670" s="17"/>
      <c r="E670" s="17"/>
      <c r="F670" s="17"/>
      <c r="G670" s="4">
        <f t="shared" si="27"/>
        <v>0</v>
      </c>
      <c r="H670" s="17"/>
      <c r="I670" s="4">
        <f t="shared" si="29"/>
        <v>349526.07999999996</v>
      </c>
      <c r="J670" s="32" t="str">
        <f t="shared" si="28"/>
        <v/>
      </c>
      <c r="K670" s="72"/>
      <c r="L670" s="72"/>
      <c r="M670" s="2"/>
      <c r="N670" s="5"/>
      <c r="O670" s="3"/>
      <c r="P670" s="6"/>
      <c r="Q670" s="48">
        <f>IF(Учет!$O670=Справочники!$F$2,Учет!$H670,0)</f>
        <v>0</v>
      </c>
      <c r="R670" s="48">
        <f>IF(Учет!$O670=Справочники!$F$3,Учет!$H670,0)</f>
        <v>0</v>
      </c>
      <c r="S670" s="48">
        <f>IF(Учет!$O670=Справочники!$F$4,Учет!$H670,0)</f>
        <v>0</v>
      </c>
      <c r="T670" s="48">
        <f>IF(Учет!$O670=Справочники!$F$5,Учет!$H670,0)</f>
        <v>0</v>
      </c>
      <c r="U670" s="48">
        <f>IF(Учет!$O670=Справочники!$F$6,Учет!$H670,0)</f>
        <v>0</v>
      </c>
      <c r="V670" s="43">
        <f>V669+Учет!Q670-Q670</f>
        <v>-488978.92000000004</v>
      </c>
      <c r="W670" s="43">
        <f>W669+Учет!R670-R670</f>
        <v>336855</v>
      </c>
      <c r="X670" s="43">
        <f>X669+Учет!S670-S670</f>
        <v>500</v>
      </c>
      <c r="Y670" s="43">
        <f>Y669+Учет!T670-T670</f>
        <v>1150</v>
      </c>
      <c r="Z670" s="43">
        <f>Z669+Учет!U670-U670</f>
        <v>500000</v>
      </c>
      <c r="AA670" s="45">
        <f>Учет!X670</f>
        <v>500</v>
      </c>
    </row>
    <row r="671" spans="1:27" ht="15" customHeight="1" x14ac:dyDescent="0.25">
      <c r="A671" s="1"/>
      <c r="B671" s="17"/>
      <c r="C671" s="17"/>
      <c r="D671" s="17"/>
      <c r="E671" s="17"/>
      <c r="F671" s="17"/>
      <c r="G671" s="4">
        <f t="shared" si="27"/>
        <v>0</v>
      </c>
      <c r="H671" s="17"/>
      <c r="I671" s="4">
        <f t="shared" si="29"/>
        <v>349526.07999999996</v>
      </c>
      <c r="J671" s="32" t="str">
        <f t="shared" si="28"/>
        <v/>
      </c>
      <c r="K671" s="72"/>
      <c r="L671" s="72"/>
      <c r="M671" s="2"/>
      <c r="N671" s="5"/>
      <c r="O671" s="3"/>
      <c r="P671" s="6"/>
      <c r="Q671" s="48">
        <f>IF(Учет!$O671=Справочники!$F$2,Учет!$H671,0)</f>
        <v>0</v>
      </c>
      <c r="R671" s="48">
        <f>IF(Учет!$O671=Справочники!$F$3,Учет!$H671,0)</f>
        <v>0</v>
      </c>
      <c r="S671" s="48">
        <f>IF(Учет!$O671=Справочники!$F$4,Учет!$H671,0)</f>
        <v>0</v>
      </c>
      <c r="T671" s="48">
        <f>IF(Учет!$O671=Справочники!$F$5,Учет!$H671,0)</f>
        <v>0</v>
      </c>
      <c r="U671" s="48">
        <f>IF(Учет!$O671=Справочники!$F$6,Учет!$H671,0)</f>
        <v>0</v>
      </c>
      <c r="V671" s="43">
        <f>V670+Учет!Q671-Q671</f>
        <v>-488978.92000000004</v>
      </c>
      <c r="W671" s="43">
        <f>W670+Учет!R671-R671</f>
        <v>336855</v>
      </c>
      <c r="X671" s="43">
        <f>X670+Учет!S671-S671</f>
        <v>500</v>
      </c>
      <c r="Y671" s="43">
        <f>Y670+Учет!T671-T671</f>
        <v>1150</v>
      </c>
      <c r="Z671" s="43">
        <f>Z670+Учет!U671-U671</f>
        <v>500000</v>
      </c>
      <c r="AA671" s="45">
        <f>Учет!X671</f>
        <v>500</v>
      </c>
    </row>
    <row r="672" spans="1:27" ht="15" customHeight="1" x14ac:dyDescent="0.25">
      <c r="A672" s="1"/>
      <c r="B672" s="17"/>
      <c r="C672" s="17"/>
      <c r="D672" s="17"/>
      <c r="E672" s="17"/>
      <c r="F672" s="17"/>
      <c r="G672" s="4">
        <f t="shared" si="27"/>
        <v>0</v>
      </c>
      <c r="H672" s="17"/>
      <c r="I672" s="4">
        <f t="shared" si="29"/>
        <v>349526.07999999996</v>
      </c>
      <c r="J672" s="32" t="str">
        <f t="shared" si="28"/>
        <v/>
      </c>
      <c r="K672" s="72"/>
      <c r="L672" s="72"/>
      <c r="M672" s="2"/>
      <c r="N672" s="5"/>
      <c r="O672" s="3"/>
      <c r="P672" s="6"/>
      <c r="Q672" s="48">
        <f>IF(Учет!$O672=Справочники!$F$2,Учет!$H672,0)</f>
        <v>0</v>
      </c>
      <c r="R672" s="48">
        <f>IF(Учет!$O672=Справочники!$F$3,Учет!$H672,0)</f>
        <v>0</v>
      </c>
      <c r="S672" s="48">
        <f>IF(Учет!$O672=Справочники!$F$4,Учет!$H672,0)</f>
        <v>0</v>
      </c>
      <c r="T672" s="48">
        <f>IF(Учет!$O672=Справочники!$F$5,Учет!$H672,0)</f>
        <v>0</v>
      </c>
      <c r="U672" s="48">
        <f>IF(Учет!$O672=Справочники!$F$6,Учет!$H672,0)</f>
        <v>0</v>
      </c>
      <c r="V672" s="43">
        <f>V671+Учет!Q672-Q672</f>
        <v>-488978.92000000004</v>
      </c>
      <c r="W672" s="43">
        <f>W671+Учет!R672-R672</f>
        <v>336855</v>
      </c>
      <c r="X672" s="43">
        <f>X671+Учет!S672-S672</f>
        <v>500</v>
      </c>
      <c r="Y672" s="43">
        <f>Y671+Учет!T672-T672</f>
        <v>1150</v>
      </c>
      <c r="Z672" s="43">
        <f>Z671+Учет!U672-U672</f>
        <v>500000</v>
      </c>
      <c r="AA672" s="45">
        <f>Учет!X672</f>
        <v>500</v>
      </c>
    </row>
    <row r="673" spans="1:27" ht="15" customHeight="1" x14ac:dyDescent="0.25">
      <c r="A673" s="1"/>
      <c r="B673" s="17"/>
      <c r="C673" s="17"/>
      <c r="D673" s="17"/>
      <c r="E673" s="17"/>
      <c r="F673" s="17"/>
      <c r="G673" s="4">
        <f t="shared" si="27"/>
        <v>0</v>
      </c>
      <c r="H673" s="17"/>
      <c r="I673" s="4">
        <f t="shared" si="29"/>
        <v>349526.07999999996</v>
      </c>
      <c r="J673" s="32" t="str">
        <f t="shared" si="28"/>
        <v/>
      </c>
      <c r="K673" s="72"/>
      <c r="L673" s="72"/>
      <c r="M673" s="2"/>
      <c r="N673" s="5"/>
      <c r="O673" s="3"/>
      <c r="P673" s="6"/>
      <c r="Q673" s="48">
        <f>IF(Учет!$O673=Справочники!$F$2,Учет!$H673,0)</f>
        <v>0</v>
      </c>
      <c r="R673" s="48">
        <f>IF(Учет!$O673=Справочники!$F$3,Учет!$H673,0)</f>
        <v>0</v>
      </c>
      <c r="S673" s="48">
        <f>IF(Учет!$O673=Справочники!$F$4,Учет!$H673,0)</f>
        <v>0</v>
      </c>
      <c r="T673" s="48">
        <f>IF(Учет!$O673=Справочники!$F$5,Учет!$H673,0)</f>
        <v>0</v>
      </c>
      <c r="U673" s="48">
        <f>IF(Учет!$O673=Справочники!$F$6,Учет!$H673,0)</f>
        <v>0</v>
      </c>
      <c r="V673" s="43">
        <f>V672+Учет!Q673-Q673</f>
        <v>-488978.92000000004</v>
      </c>
      <c r="W673" s="43">
        <f>W672+Учет!R673-R673</f>
        <v>336855</v>
      </c>
      <c r="X673" s="43">
        <f>X672+Учет!S673-S673</f>
        <v>500</v>
      </c>
      <c r="Y673" s="43">
        <f>Y672+Учет!T673-T673</f>
        <v>1150</v>
      </c>
      <c r="Z673" s="43">
        <f>Z672+Учет!U673-U673</f>
        <v>500000</v>
      </c>
      <c r="AA673" s="45">
        <f>Учет!X673</f>
        <v>500</v>
      </c>
    </row>
    <row r="674" spans="1:27" ht="15" customHeight="1" x14ac:dyDescent="0.25">
      <c r="A674" s="1"/>
      <c r="B674" s="17"/>
      <c r="C674" s="17"/>
      <c r="D674" s="17"/>
      <c r="E674" s="17"/>
      <c r="F674" s="17"/>
      <c r="G674" s="4">
        <f t="shared" si="27"/>
        <v>0</v>
      </c>
      <c r="H674" s="17"/>
      <c r="I674" s="4">
        <f t="shared" si="29"/>
        <v>349526.07999999996</v>
      </c>
      <c r="J674" s="32" t="str">
        <f t="shared" si="28"/>
        <v/>
      </c>
      <c r="K674" s="72"/>
      <c r="L674" s="72"/>
      <c r="M674" s="2"/>
      <c r="N674" s="5"/>
      <c r="O674" s="3"/>
      <c r="P674" s="6"/>
      <c r="Q674" s="48">
        <f>IF(Учет!$O674=Справочники!$F$2,Учет!$H674,0)</f>
        <v>0</v>
      </c>
      <c r="R674" s="48">
        <f>IF(Учет!$O674=Справочники!$F$3,Учет!$H674,0)</f>
        <v>0</v>
      </c>
      <c r="S674" s="48">
        <f>IF(Учет!$O674=Справочники!$F$4,Учет!$H674,0)</f>
        <v>0</v>
      </c>
      <c r="T674" s="48">
        <f>IF(Учет!$O674=Справочники!$F$5,Учет!$H674,0)</f>
        <v>0</v>
      </c>
      <c r="U674" s="48">
        <f>IF(Учет!$O674=Справочники!$F$6,Учет!$H674,0)</f>
        <v>0</v>
      </c>
      <c r="V674" s="43">
        <f>V673+Учет!Q674-Q674</f>
        <v>-488978.92000000004</v>
      </c>
      <c r="W674" s="43">
        <f>W673+Учет!R674-R674</f>
        <v>336855</v>
      </c>
      <c r="X674" s="43">
        <f>X673+Учет!S674-S674</f>
        <v>500</v>
      </c>
      <c r="Y674" s="43">
        <f>Y673+Учет!T674-T674</f>
        <v>1150</v>
      </c>
      <c r="Z674" s="43">
        <f>Z673+Учет!U674-U674</f>
        <v>500000</v>
      </c>
      <c r="AA674" s="45">
        <f>Учет!X674</f>
        <v>500</v>
      </c>
    </row>
    <row r="675" spans="1:27" ht="15" customHeight="1" x14ac:dyDescent="0.25">
      <c r="A675" s="1"/>
      <c r="B675" s="17"/>
      <c r="C675" s="17"/>
      <c r="D675" s="17"/>
      <c r="E675" s="17"/>
      <c r="F675" s="17"/>
      <c r="G675" s="4">
        <f t="shared" si="27"/>
        <v>0</v>
      </c>
      <c r="H675" s="17"/>
      <c r="I675" s="4">
        <f t="shared" si="29"/>
        <v>349526.07999999996</v>
      </c>
      <c r="J675" s="32" t="str">
        <f t="shared" si="28"/>
        <v/>
      </c>
      <c r="K675" s="72"/>
      <c r="L675" s="72"/>
      <c r="M675" s="2"/>
      <c r="N675" s="5"/>
      <c r="O675" s="3"/>
      <c r="P675" s="6"/>
      <c r="Q675" s="48">
        <f>IF(Учет!$O675=Справочники!$F$2,Учет!$H675,0)</f>
        <v>0</v>
      </c>
      <c r="R675" s="48">
        <f>IF(Учет!$O675=Справочники!$F$3,Учет!$H675,0)</f>
        <v>0</v>
      </c>
      <c r="S675" s="48">
        <f>IF(Учет!$O675=Справочники!$F$4,Учет!$H675,0)</f>
        <v>0</v>
      </c>
      <c r="T675" s="48">
        <f>IF(Учет!$O675=Справочники!$F$5,Учет!$H675,0)</f>
        <v>0</v>
      </c>
      <c r="U675" s="48">
        <f>IF(Учет!$O675=Справочники!$F$6,Учет!$H675,0)</f>
        <v>0</v>
      </c>
      <c r="V675" s="43">
        <f>V674+Учет!Q675-Q675</f>
        <v>-488978.92000000004</v>
      </c>
      <c r="W675" s="43">
        <f>W674+Учет!R675-R675</f>
        <v>336855</v>
      </c>
      <c r="X675" s="43">
        <f>X674+Учет!S675-S675</f>
        <v>500</v>
      </c>
      <c r="Y675" s="43">
        <f>Y674+Учет!T675-T675</f>
        <v>1150</v>
      </c>
      <c r="Z675" s="43">
        <f>Z674+Учет!U675-U675</f>
        <v>500000</v>
      </c>
      <c r="AA675" s="45">
        <f>Учет!X675</f>
        <v>500</v>
      </c>
    </row>
    <row r="676" spans="1:27" ht="15" customHeight="1" x14ac:dyDescent="0.25">
      <c r="A676" s="1"/>
      <c r="B676" s="17"/>
      <c r="C676" s="17"/>
      <c r="D676" s="17"/>
      <c r="E676" s="17"/>
      <c r="F676" s="17"/>
      <c r="G676" s="4">
        <f t="shared" si="27"/>
        <v>0</v>
      </c>
      <c r="H676" s="17"/>
      <c r="I676" s="4">
        <f t="shared" si="29"/>
        <v>349526.07999999996</v>
      </c>
      <c r="J676" s="32" t="str">
        <f t="shared" si="28"/>
        <v/>
      </c>
      <c r="K676" s="72"/>
      <c r="L676" s="72"/>
      <c r="M676" s="2"/>
      <c r="N676" s="5"/>
      <c r="O676" s="3"/>
      <c r="P676" s="6"/>
      <c r="Q676" s="48">
        <f>IF(Учет!$O676=Справочники!$F$2,Учет!$H676,0)</f>
        <v>0</v>
      </c>
      <c r="R676" s="48">
        <f>IF(Учет!$O676=Справочники!$F$3,Учет!$H676,0)</f>
        <v>0</v>
      </c>
      <c r="S676" s="48">
        <f>IF(Учет!$O676=Справочники!$F$4,Учет!$H676,0)</f>
        <v>0</v>
      </c>
      <c r="T676" s="48">
        <f>IF(Учет!$O676=Справочники!$F$5,Учет!$H676,0)</f>
        <v>0</v>
      </c>
      <c r="U676" s="48">
        <f>IF(Учет!$O676=Справочники!$F$6,Учет!$H676,0)</f>
        <v>0</v>
      </c>
      <c r="V676" s="43">
        <f>V675+Учет!Q676-Q676</f>
        <v>-488978.92000000004</v>
      </c>
      <c r="W676" s="43">
        <f>W675+Учет!R676-R676</f>
        <v>336855</v>
      </c>
      <c r="X676" s="43">
        <f>X675+Учет!S676-S676</f>
        <v>500</v>
      </c>
      <c r="Y676" s="43">
        <f>Y675+Учет!T676-T676</f>
        <v>1150</v>
      </c>
      <c r="Z676" s="43">
        <f>Z675+Учет!U676-U676</f>
        <v>500000</v>
      </c>
      <c r="AA676" s="45">
        <f>Учет!X676</f>
        <v>500</v>
      </c>
    </row>
    <row r="677" spans="1:27" ht="15" customHeight="1" x14ac:dyDescent="0.25">
      <c r="A677" s="1"/>
      <c r="B677" s="17"/>
      <c r="C677" s="17"/>
      <c r="D677" s="17"/>
      <c r="E677" s="17"/>
      <c r="F677" s="17"/>
      <c r="G677" s="4">
        <f t="shared" si="27"/>
        <v>0</v>
      </c>
      <c r="H677" s="17"/>
      <c r="I677" s="4">
        <f t="shared" si="29"/>
        <v>349526.07999999996</v>
      </c>
      <c r="J677" s="32" t="str">
        <f t="shared" si="28"/>
        <v/>
      </c>
      <c r="K677" s="72"/>
      <c r="L677" s="72"/>
      <c r="M677" s="2"/>
      <c r="N677" s="5"/>
      <c r="O677" s="3"/>
      <c r="P677" s="6"/>
      <c r="Q677" s="48">
        <f>IF(Учет!$O677=Справочники!$F$2,Учет!$H677,0)</f>
        <v>0</v>
      </c>
      <c r="R677" s="48">
        <f>IF(Учет!$O677=Справочники!$F$3,Учет!$H677,0)</f>
        <v>0</v>
      </c>
      <c r="S677" s="48">
        <f>IF(Учет!$O677=Справочники!$F$4,Учет!$H677,0)</f>
        <v>0</v>
      </c>
      <c r="T677" s="48">
        <f>IF(Учет!$O677=Справочники!$F$5,Учет!$H677,0)</f>
        <v>0</v>
      </c>
      <c r="U677" s="48">
        <f>IF(Учет!$O677=Справочники!$F$6,Учет!$H677,0)</f>
        <v>0</v>
      </c>
      <c r="V677" s="43">
        <f>V676+Учет!Q677-Q677</f>
        <v>-488978.92000000004</v>
      </c>
      <c r="W677" s="43">
        <f>W676+Учет!R677-R677</f>
        <v>336855</v>
      </c>
      <c r="X677" s="43">
        <f>X676+Учет!S677-S677</f>
        <v>500</v>
      </c>
      <c r="Y677" s="43">
        <f>Y676+Учет!T677-T677</f>
        <v>1150</v>
      </c>
      <c r="Z677" s="43">
        <f>Z676+Учет!U677-U677</f>
        <v>500000</v>
      </c>
      <c r="AA677" s="45">
        <f>Учет!X677</f>
        <v>500</v>
      </c>
    </row>
    <row r="678" spans="1:27" ht="15" customHeight="1" x14ac:dyDescent="0.25">
      <c r="A678" s="1"/>
      <c r="B678" s="17"/>
      <c r="C678" s="17"/>
      <c r="D678" s="17"/>
      <c r="E678" s="17"/>
      <c r="F678" s="17"/>
      <c r="G678" s="4">
        <f t="shared" si="27"/>
        <v>0</v>
      </c>
      <c r="H678" s="17"/>
      <c r="I678" s="4">
        <f t="shared" si="29"/>
        <v>349526.07999999996</v>
      </c>
      <c r="J678" s="32" t="str">
        <f t="shared" si="28"/>
        <v/>
      </c>
      <c r="K678" s="72"/>
      <c r="L678" s="72"/>
      <c r="M678" s="2"/>
      <c r="N678" s="5"/>
      <c r="O678" s="3"/>
      <c r="P678" s="6"/>
      <c r="Q678" s="48">
        <f>IF(Учет!$O678=Справочники!$F$2,Учет!$H678,0)</f>
        <v>0</v>
      </c>
      <c r="R678" s="48">
        <f>IF(Учет!$O678=Справочники!$F$3,Учет!$H678,0)</f>
        <v>0</v>
      </c>
      <c r="S678" s="48">
        <f>IF(Учет!$O678=Справочники!$F$4,Учет!$H678,0)</f>
        <v>0</v>
      </c>
      <c r="T678" s="48">
        <f>IF(Учет!$O678=Справочники!$F$5,Учет!$H678,0)</f>
        <v>0</v>
      </c>
      <c r="U678" s="48">
        <f>IF(Учет!$O678=Справочники!$F$6,Учет!$H678,0)</f>
        <v>0</v>
      </c>
      <c r="V678" s="43">
        <f>V677+Учет!Q678-Q678</f>
        <v>-488978.92000000004</v>
      </c>
      <c r="W678" s="43">
        <f>W677+Учет!R678-R678</f>
        <v>336855</v>
      </c>
      <c r="X678" s="43">
        <f>X677+Учет!S678-S678</f>
        <v>500</v>
      </c>
      <c r="Y678" s="43">
        <f>Y677+Учет!T678-T678</f>
        <v>1150</v>
      </c>
      <c r="Z678" s="43">
        <f>Z677+Учет!U678-U678</f>
        <v>500000</v>
      </c>
      <c r="AA678" s="45">
        <f>Учет!X678</f>
        <v>500</v>
      </c>
    </row>
    <row r="679" spans="1:27" ht="15" customHeight="1" x14ac:dyDescent="0.25">
      <c r="A679" s="1"/>
      <c r="B679" s="17"/>
      <c r="C679" s="17"/>
      <c r="D679" s="17"/>
      <c r="E679" s="17"/>
      <c r="F679" s="17"/>
      <c r="G679" s="4">
        <f t="shared" si="27"/>
        <v>0</v>
      </c>
      <c r="H679" s="17"/>
      <c r="I679" s="4">
        <f t="shared" si="29"/>
        <v>349526.07999999996</v>
      </c>
      <c r="J679" s="32" t="str">
        <f t="shared" si="28"/>
        <v/>
      </c>
      <c r="K679" s="72"/>
      <c r="L679" s="72"/>
      <c r="M679" s="2"/>
      <c r="N679" s="5"/>
      <c r="O679" s="3"/>
      <c r="P679" s="6"/>
      <c r="Q679" s="48">
        <f>IF(Учет!$O679=Справочники!$F$2,Учет!$H679,0)</f>
        <v>0</v>
      </c>
      <c r="R679" s="48">
        <f>IF(Учет!$O679=Справочники!$F$3,Учет!$H679,0)</f>
        <v>0</v>
      </c>
      <c r="S679" s="48">
        <f>IF(Учет!$O679=Справочники!$F$4,Учет!$H679,0)</f>
        <v>0</v>
      </c>
      <c r="T679" s="48">
        <f>IF(Учет!$O679=Справочники!$F$5,Учет!$H679,0)</f>
        <v>0</v>
      </c>
      <c r="U679" s="48">
        <f>IF(Учет!$O679=Справочники!$F$6,Учет!$H679,0)</f>
        <v>0</v>
      </c>
      <c r="V679" s="43">
        <f>V678+Учет!Q679-Q679</f>
        <v>-488978.92000000004</v>
      </c>
      <c r="W679" s="43">
        <f>W678+Учет!R679-R679</f>
        <v>336855</v>
      </c>
      <c r="X679" s="43">
        <f>X678+Учет!S679-S679</f>
        <v>500</v>
      </c>
      <c r="Y679" s="43">
        <f>Y678+Учет!T679-T679</f>
        <v>1150</v>
      </c>
      <c r="Z679" s="43">
        <f>Z678+Учет!U679-U679</f>
        <v>500000</v>
      </c>
      <c r="AA679" s="45">
        <f>Учет!X679</f>
        <v>500</v>
      </c>
    </row>
    <row r="680" spans="1:27" ht="15" customHeight="1" x14ac:dyDescent="0.25">
      <c r="A680" s="1"/>
      <c r="B680" s="17"/>
      <c r="C680" s="17"/>
      <c r="D680" s="17"/>
      <c r="E680" s="17"/>
      <c r="F680" s="17"/>
      <c r="G680" s="4">
        <f t="shared" si="27"/>
        <v>0</v>
      </c>
      <c r="H680" s="17"/>
      <c r="I680" s="4">
        <f t="shared" si="29"/>
        <v>349526.07999999996</v>
      </c>
      <c r="J680" s="32" t="str">
        <f t="shared" si="28"/>
        <v/>
      </c>
      <c r="K680" s="72"/>
      <c r="L680" s="72"/>
      <c r="M680" s="2"/>
      <c r="N680" s="5"/>
      <c r="O680" s="3"/>
      <c r="P680" s="6"/>
      <c r="Q680" s="48">
        <f>IF(Учет!$O680=Справочники!$F$2,Учет!$H680,0)</f>
        <v>0</v>
      </c>
      <c r="R680" s="48">
        <f>IF(Учет!$O680=Справочники!$F$3,Учет!$H680,0)</f>
        <v>0</v>
      </c>
      <c r="S680" s="48">
        <f>IF(Учет!$O680=Справочники!$F$4,Учет!$H680,0)</f>
        <v>0</v>
      </c>
      <c r="T680" s="48">
        <f>IF(Учет!$O680=Справочники!$F$5,Учет!$H680,0)</f>
        <v>0</v>
      </c>
      <c r="U680" s="48">
        <f>IF(Учет!$O680=Справочники!$F$6,Учет!$H680,0)</f>
        <v>0</v>
      </c>
      <c r="V680" s="43">
        <f>V679+Учет!Q680-Q680</f>
        <v>-488978.92000000004</v>
      </c>
      <c r="W680" s="43">
        <f>W679+Учет!R680-R680</f>
        <v>336855</v>
      </c>
      <c r="X680" s="43">
        <f>X679+Учет!S680-S680</f>
        <v>500</v>
      </c>
      <c r="Y680" s="43">
        <f>Y679+Учет!T680-T680</f>
        <v>1150</v>
      </c>
      <c r="Z680" s="43">
        <f>Z679+Учет!U680-U680</f>
        <v>500000</v>
      </c>
      <c r="AA680" s="45">
        <f>Учет!X680</f>
        <v>500</v>
      </c>
    </row>
    <row r="681" spans="1:27" ht="15" customHeight="1" x14ac:dyDescent="0.25">
      <c r="A681" s="1"/>
      <c r="B681" s="17"/>
      <c r="C681" s="17"/>
      <c r="D681" s="17"/>
      <c r="E681" s="17"/>
      <c r="F681" s="17"/>
      <c r="G681" s="4">
        <f t="shared" si="27"/>
        <v>0</v>
      </c>
      <c r="H681" s="17"/>
      <c r="I681" s="4">
        <f t="shared" si="29"/>
        <v>349526.07999999996</v>
      </c>
      <c r="J681" s="32" t="str">
        <f t="shared" si="28"/>
        <v/>
      </c>
      <c r="K681" s="72"/>
      <c r="L681" s="72"/>
      <c r="M681" s="2"/>
      <c r="N681" s="5"/>
      <c r="O681" s="3"/>
      <c r="P681" s="6"/>
      <c r="Q681" s="48">
        <f>IF(Учет!$O681=Справочники!$F$2,Учет!$H681,0)</f>
        <v>0</v>
      </c>
      <c r="R681" s="48">
        <f>IF(Учет!$O681=Справочники!$F$3,Учет!$H681,0)</f>
        <v>0</v>
      </c>
      <c r="S681" s="48">
        <f>IF(Учет!$O681=Справочники!$F$4,Учет!$H681,0)</f>
        <v>0</v>
      </c>
      <c r="T681" s="48">
        <f>IF(Учет!$O681=Справочники!$F$5,Учет!$H681,0)</f>
        <v>0</v>
      </c>
      <c r="U681" s="48">
        <f>IF(Учет!$O681=Справочники!$F$6,Учет!$H681,0)</f>
        <v>0</v>
      </c>
      <c r="V681" s="43">
        <f>V680+Учет!Q681-Q681</f>
        <v>-488978.92000000004</v>
      </c>
      <c r="W681" s="43">
        <f>W680+Учет!R681-R681</f>
        <v>336855</v>
      </c>
      <c r="X681" s="43">
        <f>X680+Учет!S681-S681</f>
        <v>500</v>
      </c>
      <c r="Y681" s="43">
        <f>Y680+Учет!T681-T681</f>
        <v>1150</v>
      </c>
      <c r="Z681" s="43">
        <f>Z680+Учет!U681-U681</f>
        <v>500000</v>
      </c>
      <c r="AA681" s="45">
        <f>Учет!X681</f>
        <v>500</v>
      </c>
    </row>
    <row r="682" spans="1:27" ht="15" customHeight="1" x14ac:dyDescent="0.25">
      <c r="A682" s="1"/>
      <c r="B682" s="17"/>
      <c r="C682" s="17"/>
      <c r="D682" s="17"/>
      <c r="E682" s="17"/>
      <c r="F682" s="17"/>
      <c r="G682" s="4">
        <f t="shared" si="27"/>
        <v>0</v>
      </c>
      <c r="H682" s="17"/>
      <c r="I682" s="4">
        <f t="shared" si="29"/>
        <v>349526.07999999996</v>
      </c>
      <c r="J682" s="32" t="str">
        <f t="shared" si="28"/>
        <v/>
      </c>
      <c r="K682" s="72"/>
      <c r="L682" s="72"/>
      <c r="M682" s="2"/>
      <c r="N682" s="5"/>
      <c r="O682" s="3"/>
      <c r="P682" s="6"/>
      <c r="Q682" s="48">
        <f>IF(Учет!$O682=Справочники!$F$2,Учет!$H682,0)</f>
        <v>0</v>
      </c>
      <c r="R682" s="48">
        <f>IF(Учет!$O682=Справочники!$F$3,Учет!$H682,0)</f>
        <v>0</v>
      </c>
      <c r="S682" s="48">
        <f>IF(Учет!$O682=Справочники!$F$4,Учет!$H682,0)</f>
        <v>0</v>
      </c>
      <c r="T682" s="48">
        <f>IF(Учет!$O682=Справочники!$F$5,Учет!$H682,0)</f>
        <v>0</v>
      </c>
      <c r="U682" s="48">
        <f>IF(Учет!$O682=Справочники!$F$6,Учет!$H682,0)</f>
        <v>0</v>
      </c>
      <c r="V682" s="43">
        <f>V681+Учет!Q682-Q682</f>
        <v>-488978.92000000004</v>
      </c>
      <c r="W682" s="43">
        <f>W681+Учет!R682-R682</f>
        <v>336855</v>
      </c>
      <c r="X682" s="43">
        <f>X681+Учет!S682-S682</f>
        <v>500</v>
      </c>
      <c r="Y682" s="43">
        <f>Y681+Учет!T682-T682</f>
        <v>1150</v>
      </c>
      <c r="Z682" s="43">
        <f>Z681+Учет!U682-U682</f>
        <v>500000</v>
      </c>
      <c r="AA682" s="45">
        <f>Учет!X682</f>
        <v>500</v>
      </c>
    </row>
    <row r="683" spans="1:27" ht="15" customHeight="1" x14ac:dyDescent="0.25">
      <c r="A683" s="1"/>
      <c r="B683" s="17"/>
      <c r="C683" s="17"/>
      <c r="D683" s="17"/>
      <c r="E683" s="17"/>
      <c r="F683" s="17"/>
      <c r="G683" s="4">
        <f t="shared" si="27"/>
        <v>0</v>
      </c>
      <c r="H683" s="17"/>
      <c r="I683" s="4">
        <f t="shared" si="29"/>
        <v>349526.07999999996</v>
      </c>
      <c r="J683" s="32" t="str">
        <f t="shared" si="28"/>
        <v/>
      </c>
      <c r="K683" s="72"/>
      <c r="L683" s="72"/>
      <c r="M683" s="2"/>
      <c r="N683" s="5"/>
      <c r="O683" s="3"/>
      <c r="P683" s="6"/>
      <c r="Q683" s="48">
        <f>IF(Учет!$O683=Справочники!$F$2,Учет!$H683,0)</f>
        <v>0</v>
      </c>
      <c r="R683" s="48">
        <f>IF(Учет!$O683=Справочники!$F$3,Учет!$H683,0)</f>
        <v>0</v>
      </c>
      <c r="S683" s="48">
        <f>IF(Учет!$O683=Справочники!$F$4,Учет!$H683,0)</f>
        <v>0</v>
      </c>
      <c r="T683" s="48">
        <f>IF(Учет!$O683=Справочники!$F$5,Учет!$H683,0)</f>
        <v>0</v>
      </c>
      <c r="U683" s="48">
        <f>IF(Учет!$O683=Справочники!$F$6,Учет!$H683,0)</f>
        <v>0</v>
      </c>
      <c r="V683" s="43">
        <f>V682+Учет!Q683-Q683</f>
        <v>-488978.92000000004</v>
      </c>
      <c r="W683" s="43">
        <f>W682+Учет!R683-R683</f>
        <v>336855</v>
      </c>
      <c r="X683" s="43">
        <f>X682+Учет!S683-S683</f>
        <v>500</v>
      </c>
      <c r="Y683" s="43">
        <f>Y682+Учет!T683-T683</f>
        <v>1150</v>
      </c>
      <c r="Z683" s="43">
        <f>Z682+Учет!U683-U683</f>
        <v>500000</v>
      </c>
      <c r="AA683" s="45">
        <f>Учет!X683</f>
        <v>500</v>
      </c>
    </row>
    <row r="684" spans="1:27" ht="15" customHeight="1" x14ac:dyDescent="0.25">
      <c r="A684" s="1"/>
      <c r="B684" s="17"/>
      <c r="C684" s="17"/>
      <c r="D684" s="17"/>
      <c r="E684" s="17"/>
      <c r="F684" s="17"/>
      <c r="G684" s="4">
        <f t="shared" si="27"/>
        <v>0</v>
      </c>
      <c r="H684" s="17"/>
      <c r="I684" s="4">
        <f t="shared" si="29"/>
        <v>349526.07999999996</v>
      </c>
      <c r="J684" s="32" t="str">
        <f t="shared" si="28"/>
        <v/>
      </c>
      <c r="K684" s="72"/>
      <c r="L684" s="72"/>
      <c r="M684" s="2"/>
      <c r="N684" s="5"/>
      <c r="O684" s="3"/>
      <c r="P684" s="6"/>
      <c r="Q684" s="48">
        <f>IF(Учет!$O684=Справочники!$F$2,Учет!$H684,0)</f>
        <v>0</v>
      </c>
      <c r="R684" s="48">
        <f>IF(Учет!$O684=Справочники!$F$3,Учет!$H684,0)</f>
        <v>0</v>
      </c>
      <c r="S684" s="48">
        <f>IF(Учет!$O684=Справочники!$F$4,Учет!$H684,0)</f>
        <v>0</v>
      </c>
      <c r="T684" s="48">
        <f>IF(Учет!$O684=Справочники!$F$5,Учет!$H684,0)</f>
        <v>0</v>
      </c>
      <c r="U684" s="48">
        <f>IF(Учет!$O684=Справочники!$F$6,Учет!$H684,0)</f>
        <v>0</v>
      </c>
      <c r="V684" s="43">
        <f>V683+Учет!Q684-Q684</f>
        <v>-488978.92000000004</v>
      </c>
      <c r="W684" s="43">
        <f>W683+Учет!R684-R684</f>
        <v>336855</v>
      </c>
      <c r="X684" s="43">
        <f>X683+Учет!S684-S684</f>
        <v>500</v>
      </c>
      <c r="Y684" s="43">
        <f>Y683+Учет!T684-T684</f>
        <v>1150</v>
      </c>
      <c r="Z684" s="43">
        <f>Z683+Учет!U684-U684</f>
        <v>500000</v>
      </c>
      <c r="AA684" s="45">
        <f>Учет!X684</f>
        <v>500</v>
      </c>
    </row>
    <row r="685" spans="1:27" ht="15" customHeight="1" x14ac:dyDescent="0.25">
      <c r="A685" s="1"/>
      <c r="B685" s="17"/>
      <c r="C685" s="17"/>
      <c r="D685" s="17"/>
      <c r="E685" s="17"/>
      <c r="F685" s="17"/>
      <c r="G685" s="4">
        <f t="shared" si="27"/>
        <v>0</v>
      </c>
      <c r="H685" s="17"/>
      <c r="I685" s="4">
        <f t="shared" si="29"/>
        <v>349526.07999999996</v>
      </c>
      <c r="J685" s="32" t="str">
        <f t="shared" si="28"/>
        <v/>
      </c>
      <c r="K685" s="72"/>
      <c r="L685" s="72"/>
      <c r="M685" s="2"/>
      <c r="N685" s="5"/>
      <c r="O685" s="3"/>
      <c r="P685" s="6"/>
      <c r="Q685" s="48">
        <f>IF(Учет!$O685=Справочники!$F$2,Учет!$H685,0)</f>
        <v>0</v>
      </c>
      <c r="R685" s="48">
        <f>IF(Учет!$O685=Справочники!$F$3,Учет!$H685,0)</f>
        <v>0</v>
      </c>
      <c r="S685" s="48">
        <f>IF(Учет!$O685=Справочники!$F$4,Учет!$H685,0)</f>
        <v>0</v>
      </c>
      <c r="T685" s="48">
        <f>IF(Учет!$O685=Справочники!$F$5,Учет!$H685,0)</f>
        <v>0</v>
      </c>
      <c r="U685" s="48">
        <f>IF(Учет!$O685=Справочники!$F$6,Учет!$H685,0)</f>
        <v>0</v>
      </c>
      <c r="V685" s="43">
        <f>V684+Учет!Q685-Q685</f>
        <v>-488978.92000000004</v>
      </c>
      <c r="W685" s="43">
        <f>W684+Учет!R685-R685</f>
        <v>336855</v>
      </c>
      <c r="X685" s="43">
        <f>X684+Учет!S685-S685</f>
        <v>500</v>
      </c>
      <c r="Y685" s="43">
        <f>Y684+Учет!T685-T685</f>
        <v>1150</v>
      </c>
      <c r="Z685" s="43">
        <f>Z684+Учет!U685-U685</f>
        <v>500000</v>
      </c>
      <c r="AA685" s="45">
        <f>Учет!X685</f>
        <v>500</v>
      </c>
    </row>
    <row r="686" spans="1:27" ht="15" customHeight="1" x14ac:dyDescent="0.25">
      <c r="A686" s="1"/>
      <c r="B686" s="17"/>
      <c r="C686" s="17"/>
      <c r="D686" s="17"/>
      <c r="E686" s="17"/>
      <c r="F686" s="17"/>
      <c r="G686" s="4">
        <f t="shared" si="27"/>
        <v>0</v>
      </c>
      <c r="H686" s="17"/>
      <c r="I686" s="4">
        <f t="shared" si="29"/>
        <v>349526.07999999996</v>
      </c>
      <c r="J686" s="32" t="str">
        <f t="shared" si="28"/>
        <v/>
      </c>
      <c r="K686" s="72"/>
      <c r="L686" s="72"/>
      <c r="M686" s="2"/>
      <c r="N686" s="5"/>
      <c r="O686" s="3"/>
      <c r="P686" s="6"/>
      <c r="Q686" s="48">
        <f>IF(Учет!$O686=Справочники!$F$2,Учет!$H686,0)</f>
        <v>0</v>
      </c>
      <c r="R686" s="48">
        <f>IF(Учет!$O686=Справочники!$F$3,Учет!$H686,0)</f>
        <v>0</v>
      </c>
      <c r="S686" s="48">
        <f>IF(Учет!$O686=Справочники!$F$4,Учет!$H686,0)</f>
        <v>0</v>
      </c>
      <c r="T686" s="48">
        <f>IF(Учет!$O686=Справочники!$F$5,Учет!$H686,0)</f>
        <v>0</v>
      </c>
      <c r="U686" s="48">
        <f>IF(Учет!$O686=Справочники!$F$6,Учет!$H686,0)</f>
        <v>0</v>
      </c>
      <c r="V686" s="43">
        <f>V685+Учет!Q686-Q686</f>
        <v>-488978.92000000004</v>
      </c>
      <c r="W686" s="43">
        <f>W685+Учет!R686-R686</f>
        <v>336855</v>
      </c>
      <c r="X686" s="43">
        <f>X685+Учет!S686-S686</f>
        <v>500</v>
      </c>
      <c r="Y686" s="43">
        <f>Y685+Учет!T686-T686</f>
        <v>1150</v>
      </c>
      <c r="Z686" s="43">
        <f>Z685+Учет!U686-U686</f>
        <v>500000</v>
      </c>
      <c r="AA686" s="45">
        <f>Учет!X686</f>
        <v>500</v>
      </c>
    </row>
    <row r="687" spans="1:27" ht="15" customHeight="1" x14ac:dyDescent="0.25">
      <c r="A687" s="1"/>
      <c r="B687" s="17"/>
      <c r="C687" s="17"/>
      <c r="D687" s="17"/>
      <c r="E687" s="17"/>
      <c r="F687" s="17"/>
      <c r="G687" s="4">
        <f t="shared" si="27"/>
        <v>0</v>
      </c>
      <c r="H687" s="17"/>
      <c r="I687" s="4">
        <f t="shared" si="29"/>
        <v>349526.07999999996</v>
      </c>
      <c r="J687" s="32" t="str">
        <f t="shared" si="28"/>
        <v/>
      </c>
      <c r="K687" s="72"/>
      <c r="L687" s="72"/>
      <c r="M687" s="2"/>
      <c r="N687" s="5"/>
      <c r="O687" s="3"/>
      <c r="P687" s="6"/>
      <c r="Q687" s="48">
        <f>IF(Учет!$O687=Справочники!$F$2,Учет!$H687,0)</f>
        <v>0</v>
      </c>
      <c r="R687" s="48">
        <f>IF(Учет!$O687=Справочники!$F$3,Учет!$H687,0)</f>
        <v>0</v>
      </c>
      <c r="S687" s="48">
        <f>IF(Учет!$O687=Справочники!$F$4,Учет!$H687,0)</f>
        <v>0</v>
      </c>
      <c r="T687" s="48">
        <f>IF(Учет!$O687=Справочники!$F$5,Учет!$H687,0)</f>
        <v>0</v>
      </c>
      <c r="U687" s="48">
        <f>IF(Учет!$O687=Справочники!$F$6,Учет!$H687,0)</f>
        <v>0</v>
      </c>
      <c r="V687" s="43">
        <f>V686+Учет!Q687-Q687</f>
        <v>-488978.92000000004</v>
      </c>
      <c r="W687" s="43">
        <f>W686+Учет!R687-R687</f>
        <v>336855</v>
      </c>
      <c r="X687" s="43">
        <f>X686+Учет!S687-S687</f>
        <v>500</v>
      </c>
      <c r="Y687" s="43">
        <f>Y686+Учет!T687-T687</f>
        <v>1150</v>
      </c>
      <c r="Z687" s="43">
        <f>Z686+Учет!U687-U687</f>
        <v>500000</v>
      </c>
      <c r="AA687" s="45">
        <f>Учет!X687</f>
        <v>500</v>
      </c>
    </row>
    <row r="688" spans="1:27" ht="15" customHeight="1" x14ac:dyDescent="0.25">
      <c r="A688" s="1"/>
      <c r="B688" s="17"/>
      <c r="C688" s="17"/>
      <c r="D688" s="17"/>
      <c r="E688" s="17"/>
      <c r="F688" s="17"/>
      <c r="G688" s="4">
        <f t="shared" si="27"/>
        <v>0</v>
      </c>
      <c r="H688" s="17"/>
      <c r="I688" s="4">
        <f t="shared" si="29"/>
        <v>349526.07999999996</v>
      </c>
      <c r="J688" s="32" t="str">
        <f t="shared" si="28"/>
        <v/>
      </c>
      <c r="K688" s="72"/>
      <c r="L688" s="72"/>
      <c r="M688" s="2"/>
      <c r="N688" s="5"/>
      <c r="O688" s="3"/>
      <c r="P688" s="6"/>
      <c r="Q688" s="48">
        <f>IF(Учет!$O688=Справочники!$F$2,Учет!$H688,0)</f>
        <v>0</v>
      </c>
      <c r="R688" s="48">
        <f>IF(Учет!$O688=Справочники!$F$3,Учет!$H688,0)</f>
        <v>0</v>
      </c>
      <c r="S688" s="48">
        <f>IF(Учет!$O688=Справочники!$F$4,Учет!$H688,0)</f>
        <v>0</v>
      </c>
      <c r="T688" s="48">
        <f>IF(Учет!$O688=Справочники!$F$5,Учет!$H688,0)</f>
        <v>0</v>
      </c>
      <c r="U688" s="48">
        <f>IF(Учет!$O688=Справочники!$F$6,Учет!$H688,0)</f>
        <v>0</v>
      </c>
      <c r="V688" s="43">
        <f>V687+Учет!Q688-Q688</f>
        <v>-488978.92000000004</v>
      </c>
      <c r="W688" s="43">
        <f>W687+Учет!R688-R688</f>
        <v>336855</v>
      </c>
      <c r="X688" s="43">
        <f>X687+Учет!S688-S688</f>
        <v>500</v>
      </c>
      <c r="Y688" s="43">
        <f>Y687+Учет!T688-T688</f>
        <v>1150</v>
      </c>
      <c r="Z688" s="43">
        <f>Z687+Учет!U688-U688</f>
        <v>500000</v>
      </c>
      <c r="AA688" s="45">
        <f>Учет!X688</f>
        <v>500</v>
      </c>
    </row>
    <row r="689" spans="1:27" ht="15" customHeight="1" x14ac:dyDescent="0.25">
      <c r="A689" s="1"/>
      <c r="B689" s="17"/>
      <c r="C689" s="17"/>
      <c r="D689" s="17"/>
      <c r="E689" s="17"/>
      <c r="F689" s="17"/>
      <c r="G689" s="4">
        <f t="shared" si="27"/>
        <v>0</v>
      </c>
      <c r="H689" s="17"/>
      <c r="I689" s="4">
        <f t="shared" si="29"/>
        <v>349526.07999999996</v>
      </c>
      <c r="J689" s="32" t="str">
        <f t="shared" si="28"/>
        <v/>
      </c>
      <c r="K689" s="72"/>
      <c r="L689" s="72"/>
      <c r="M689" s="2"/>
      <c r="N689" s="5"/>
      <c r="O689" s="3"/>
      <c r="P689" s="6"/>
      <c r="Q689" s="48">
        <f>IF(Учет!$O689=Справочники!$F$2,Учет!$H689,0)</f>
        <v>0</v>
      </c>
      <c r="R689" s="48">
        <f>IF(Учет!$O689=Справочники!$F$3,Учет!$H689,0)</f>
        <v>0</v>
      </c>
      <c r="S689" s="48">
        <f>IF(Учет!$O689=Справочники!$F$4,Учет!$H689,0)</f>
        <v>0</v>
      </c>
      <c r="T689" s="48">
        <f>IF(Учет!$O689=Справочники!$F$5,Учет!$H689,0)</f>
        <v>0</v>
      </c>
      <c r="U689" s="48">
        <f>IF(Учет!$O689=Справочники!$F$6,Учет!$H689,0)</f>
        <v>0</v>
      </c>
      <c r="V689" s="43">
        <f>V688+Учет!Q689-Q689</f>
        <v>-488978.92000000004</v>
      </c>
      <c r="W689" s="43">
        <f>W688+Учет!R689-R689</f>
        <v>336855</v>
      </c>
      <c r="X689" s="43">
        <f>X688+Учет!S689-S689</f>
        <v>500</v>
      </c>
      <c r="Y689" s="43">
        <f>Y688+Учет!T689-T689</f>
        <v>1150</v>
      </c>
      <c r="Z689" s="43">
        <f>Z688+Учет!U689-U689</f>
        <v>500000</v>
      </c>
      <c r="AA689" s="45">
        <f>Учет!X689</f>
        <v>500</v>
      </c>
    </row>
    <row r="690" spans="1:27" ht="15" customHeight="1" x14ac:dyDescent="0.25">
      <c r="A690" s="1"/>
      <c r="B690" s="17"/>
      <c r="C690" s="17"/>
      <c r="D690" s="17"/>
      <c r="E690" s="17"/>
      <c r="F690" s="17"/>
      <c r="G690" s="4">
        <f t="shared" si="27"/>
        <v>0</v>
      </c>
      <c r="H690" s="17"/>
      <c r="I690" s="4">
        <f t="shared" si="29"/>
        <v>349526.07999999996</v>
      </c>
      <c r="J690" s="32" t="str">
        <f t="shared" si="28"/>
        <v/>
      </c>
      <c r="K690" s="72"/>
      <c r="L690" s="72"/>
      <c r="M690" s="2"/>
      <c r="N690" s="5"/>
      <c r="O690" s="3"/>
      <c r="P690" s="6"/>
      <c r="Q690" s="48">
        <f>IF(Учет!$O690=Справочники!$F$2,Учет!$H690,0)</f>
        <v>0</v>
      </c>
      <c r="R690" s="48">
        <f>IF(Учет!$O690=Справочники!$F$3,Учет!$H690,0)</f>
        <v>0</v>
      </c>
      <c r="S690" s="48">
        <f>IF(Учет!$O690=Справочники!$F$4,Учет!$H690,0)</f>
        <v>0</v>
      </c>
      <c r="T690" s="48">
        <f>IF(Учет!$O690=Справочники!$F$5,Учет!$H690,0)</f>
        <v>0</v>
      </c>
      <c r="U690" s="48">
        <f>IF(Учет!$O690=Справочники!$F$6,Учет!$H690,0)</f>
        <v>0</v>
      </c>
      <c r="V690" s="43">
        <f>V689+Учет!Q690-Q690</f>
        <v>-488978.92000000004</v>
      </c>
      <c r="W690" s="43">
        <f>W689+Учет!R690-R690</f>
        <v>336855</v>
      </c>
      <c r="X690" s="43">
        <f>X689+Учет!S690-S690</f>
        <v>500</v>
      </c>
      <c r="Y690" s="43">
        <f>Y689+Учет!T690-T690</f>
        <v>1150</v>
      </c>
      <c r="Z690" s="43">
        <f>Z689+Учет!U690-U690</f>
        <v>500000</v>
      </c>
      <c r="AA690" s="45">
        <f>Учет!X690</f>
        <v>500</v>
      </c>
    </row>
    <row r="691" spans="1:27" ht="15" customHeight="1" x14ac:dyDescent="0.25">
      <c r="A691" s="1"/>
      <c r="B691" s="17"/>
      <c r="C691" s="17"/>
      <c r="D691" s="17"/>
      <c r="E691" s="17"/>
      <c r="F691" s="17"/>
      <c r="G691" s="4">
        <f t="shared" si="27"/>
        <v>0</v>
      </c>
      <c r="H691" s="17"/>
      <c r="I691" s="4">
        <f t="shared" si="29"/>
        <v>349526.07999999996</v>
      </c>
      <c r="J691" s="32" t="str">
        <f t="shared" si="28"/>
        <v/>
      </c>
      <c r="K691" s="72"/>
      <c r="L691" s="72"/>
      <c r="M691" s="2"/>
      <c r="N691" s="5"/>
      <c r="O691" s="3"/>
      <c r="P691" s="6"/>
      <c r="Q691" s="48">
        <f>IF(Учет!$O691=Справочники!$F$2,Учет!$H691,0)</f>
        <v>0</v>
      </c>
      <c r="R691" s="48">
        <f>IF(Учет!$O691=Справочники!$F$3,Учет!$H691,0)</f>
        <v>0</v>
      </c>
      <c r="S691" s="48">
        <f>IF(Учет!$O691=Справочники!$F$4,Учет!$H691,0)</f>
        <v>0</v>
      </c>
      <c r="T691" s="48">
        <f>IF(Учет!$O691=Справочники!$F$5,Учет!$H691,0)</f>
        <v>0</v>
      </c>
      <c r="U691" s="48">
        <f>IF(Учет!$O691=Справочники!$F$6,Учет!$H691,0)</f>
        <v>0</v>
      </c>
      <c r="V691" s="43">
        <f>V690+Учет!Q691-Q691</f>
        <v>-488978.92000000004</v>
      </c>
      <c r="W691" s="43">
        <f>W690+Учет!R691-R691</f>
        <v>336855</v>
      </c>
      <c r="X691" s="43">
        <f>X690+Учет!S691-S691</f>
        <v>500</v>
      </c>
      <c r="Y691" s="43">
        <f>Y690+Учет!T691-T691</f>
        <v>1150</v>
      </c>
      <c r="Z691" s="43">
        <f>Z690+Учет!U691-U691</f>
        <v>500000</v>
      </c>
      <c r="AA691" s="45">
        <f>Учет!X691</f>
        <v>500</v>
      </c>
    </row>
    <row r="692" spans="1:27" ht="15" customHeight="1" x14ac:dyDescent="0.25">
      <c r="A692" s="1"/>
      <c r="B692" s="17"/>
      <c r="C692" s="17"/>
      <c r="D692" s="17"/>
      <c r="E692" s="17"/>
      <c r="F692" s="17"/>
      <c r="G692" s="4">
        <f t="shared" si="27"/>
        <v>0</v>
      </c>
      <c r="H692" s="17"/>
      <c r="I692" s="4">
        <f t="shared" si="29"/>
        <v>349526.07999999996</v>
      </c>
      <c r="J692" s="32" t="str">
        <f t="shared" si="28"/>
        <v/>
      </c>
      <c r="K692" s="72"/>
      <c r="L692" s="72"/>
      <c r="M692" s="2"/>
      <c r="N692" s="5"/>
      <c r="O692" s="3"/>
      <c r="P692" s="6"/>
      <c r="Q692" s="48">
        <f>IF(Учет!$O692=Справочники!$F$2,Учет!$H692,0)</f>
        <v>0</v>
      </c>
      <c r="R692" s="48">
        <f>IF(Учет!$O692=Справочники!$F$3,Учет!$H692,0)</f>
        <v>0</v>
      </c>
      <c r="S692" s="48">
        <f>IF(Учет!$O692=Справочники!$F$4,Учет!$H692,0)</f>
        <v>0</v>
      </c>
      <c r="T692" s="48">
        <f>IF(Учет!$O692=Справочники!$F$5,Учет!$H692,0)</f>
        <v>0</v>
      </c>
      <c r="U692" s="48">
        <f>IF(Учет!$O692=Справочники!$F$6,Учет!$H692,0)</f>
        <v>0</v>
      </c>
      <c r="V692" s="43">
        <f>V691+Учет!Q692-Q692</f>
        <v>-488978.92000000004</v>
      </c>
      <c r="W692" s="43">
        <f>W691+Учет!R692-R692</f>
        <v>336855</v>
      </c>
      <c r="X692" s="43">
        <f>X691+Учет!S692-S692</f>
        <v>500</v>
      </c>
      <c r="Y692" s="43">
        <f>Y691+Учет!T692-T692</f>
        <v>1150</v>
      </c>
      <c r="Z692" s="43">
        <f>Z691+Учет!U692-U692</f>
        <v>500000</v>
      </c>
      <c r="AA692" s="45">
        <f>Учет!X692</f>
        <v>500</v>
      </c>
    </row>
    <row r="693" spans="1:27" ht="15" customHeight="1" x14ac:dyDescent="0.25">
      <c r="A693" s="1"/>
      <c r="B693" s="17"/>
      <c r="C693" s="17"/>
      <c r="D693" s="17"/>
      <c r="E693" s="17"/>
      <c r="F693" s="17"/>
      <c r="G693" s="4">
        <f t="shared" si="27"/>
        <v>0</v>
      </c>
      <c r="H693" s="17"/>
      <c r="I693" s="4">
        <f t="shared" si="29"/>
        <v>349526.07999999996</v>
      </c>
      <c r="J693" s="32" t="str">
        <f t="shared" si="28"/>
        <v/>
      </c>
      <c r="K693" s="72"/>
      <c r="L693" s="72"/>
      <c r="M693" s="2"/>
      <c r="N693" s="5"/>
      <c r="O693" s="3"/>
      <c r="P693" s="6"/>
      <c r="Q693" s="48">
        <f>IF(Учет!$O693=Справочники!$F$2,Учет!$H693,0)</f>
        <v>0</v>
      </c>
      <c r="R693" s="48">
        <f>IF(Учет!$O693=Справочники!$F$3,Учет!$H693,0)</f>
        <v>0</v>
      </c>
      <c r="S693" s="48">
        <f>IF(Учет!$O693=Справочники!$F$4,Учет!$H693,0)</f>
        <v>0</v>
      </c>
      <c r="T693" s="48">
        <f>IF(Учет!$O693=Справочники!$F$5,Учет!$H693,0)</f>
        <v>0</v>
      </c>
      <c r="U693" s="48">
        <f>IF(Учет!$O693=Справочники!$F$6,Учет!$H693,0)</f>
        <v>0</v>
      </c>
      <c r="V693" s="43">
        <f>V692+Учет!Q693-Q693</f>
        <v>-488978.92000000004</v>
      </c>
      <c r="W693" s="43">
        <f>W692+Учет!R693-R693</f>
        <v>336855</v>
      </c>
      <c r="X693" s="43">
        <f>X692+Учет!S693-S693</f>
        <v>500</v>
      </c>
      <c r="Y693" s="43">
        <f>Y692+Учет!T693-T693</f>
        <v>1150</v>
      </c>
      <c r="Z693" s="43">
        <f>Z692+Учет!U693-U693</f>
        <v>500000</v>
      </c>
      <c r="AA693" s="45">
        <f>Учет!X693</f>
        <v>500</v>
      </c>
    </row>
    <row r="694" spans="1:27" ht="15" customHeight="1" x14ac:dyDescent="0.25">
      <c r="A694" s="1"/>
      <c r="B694" s="17"/>
      <c r="C694" s="17"/>
      <c r="D694" s="17"/>
      <c r="E694" s="17"/>
      <c r="F694" s="17"/>
      <c r="G694" s="4">
        <f t="shared" si="27"/>
        <v>0</v>
      </c>
      <c r="H694" s="17"/>
      <c r="I694" s="4">
        <f t="shared" si="29"/>
        <v>349526.07999999996</v>
      </c>
      <c r="J694" s="32" t="str">
        <f t="shared" si="28"/>
        <v/>
      </c>
      <c r="K694" s="72"/>
      <c r="L694" s="72"/>
      <c r="M694" s="2"/>
      <c r="N694" s="5"/>
      <c r="O694" s="3"/>
      <c r="P694" s="6"/>
      <c r="Q694" s="48">
        <f>IF(Учет!$O694=Справочники!$F$2,Учет!$H694,0)</f>
        <v>0</v>
      </c>
      <c r="R694" s="48">
        <f>IF(Учет!$O694=Справочники!$F$3,Учет!$H694,0)</f>
        <v>0</v>
      </c>
      <c r="S694" s="48">
        <f>IF(Учет!$O694=Справочники!$F$4,Учет!$H694,0)</f>
        <v>0</v>
      </c>
      <c r="T694" s="48">
        <f>IF(Учет!$O694=Справочники!$F$5,Учет!$H694,0)</f>
        <v>0</v>
      </c>
      <c r="U694" s="48">
        <f>IF(Учет!$O694=Справочники!$F$6,Учет!$H694,0)</f>
        <v>0</v>
      </c>
      <c r="V694" s="43">
        <f>V693+Учет!Q694-Q694</f>
        <v>-488978.92000000004</v>
      </c>
      <c r="W694" s="43">
        <f>W693+Учет!R694-R694</f>
        <v>336855</v>
      </c>
      <c r="X694" s="43">
        <f>X693+Учет!S694-S694</f>
        <v>500</v>
      </c>
      <c r="Y694" s="43">
        <f>Y693+Учет!T694-T694</f>
        <v>1150</v>
      </c>
      <c r="Z694" s="43">
        <f>Z693+Учет!U694-U694</f>
        <v>500000</v>
      </c>
      <c r="AA694" s="45">
        <f>Учет!X694</f>
        <v>500</v>
      </c>
    </row>
    <row r="695" spans="1:27" ht="15" customHeight="1" x14ac:dyDescent="0.25">
      <c r="A695" s="1"/>
      <c r="B695" s="17"/>
      <c r="C695" s="17"/>
      <c r="D695" s="17"/>
      <c r="E695" s="17"/>
      <c r="F695" s="17"/>
      <c r="G695" s="4">
        <f t="shared" si="27"/>
        <v>0</v>
      </c>
      <c r="H695" s="17"/>
      <c r="I695" s="4">
        <f t="shared" si="29"/>
        <v>349526.07999999996</v>
      </c>
      <c r="J695" s="32" t="str">
        <f t="shared" si="28"/>
        <v/>
      </c>
      <c r="K695" s="72"/>
      <c r="L695" s="72"/>
      <c r="M695" s="2"/>
      <c r="N695" s="5"/>
      <c r="O695" s="3"/>
      <c r="P695" s="6"/>
      <c r="Q695" s="48">
        <f>IF(Учет!$O695=Справочники!$F$2,Учет!$H695,0)</f>
        <v>0</v>
      </c>
      <c r="R695" s="48">
        <f>IF(Учет!$O695=Справочники!$F$3,Учет!$H695,0)</f>
        <v>0</v>
      </c>
      <c r="S695" s="48">
        <f>IF(Учет!$O695=Справочники!$F$4,Учет!$H695,0)</f>
        <v>0</v>
      </c>
      <c r="T695" s="48">
        <f>IF(Учет!$O695=Справочники!$F$5,Учет!$H695,0)</f>
        <v>0</v>
      </c>
      <c r="U695" s="48">
        <f>IF(Учет!$O695=Справочники!$F$6,Учет!$H695,0)</f>
        <v>0</v>
      </c>
      <c r="V695" s="43">
        <f>V694+Учет!Q695-Q695</f>
        <v>-488978.92000000004</v>
      </c>
      <c r="W695" s="43">
        <f>W694+Учет!R695-R695</f>
        <v>336855</v>
      </c>
      <c r="X695" s="43">
        <f>X694+Учет!S695-S695</f>
        <v>500</v>
      </c>
      <c r="Y695" s="43">
        <f>Y694+Учет!T695-T695</f>
        <v>1150</v>
      </c>
      <c r="Z695" s="43">
        <f>Z694+Учет!U695-U695</f>
        <v>500000</v>
      </c>
      <c r="AA695" s="45">
        <f>Учет!X695</f>
        <v>500</v>
      </c>
    </row>
    <row r="696" spans="1:27" ht="15" customHeight="1" x14ac:dyDescent="0.25">
      <c r="A696" s="1"/>
      <c r="B696" s="17"/>
      <c r="C696" s="17"/>
      <c r="D696" s="17"/>
      <c r="E696" s="17"/>
      <c r="F696" s="17"/>
      <c r="G696" s="4">
        <f t="shared" si="27"/>
        <v>0</v>
      </c>
      <c r="H696" s="17"/>
      <c r="I696" s="4">
        <f t="shared" si="29"/>
        <v>349526.07999999996</v>
      </c>
      <c r="J696" s="32" t="str">
        <f t="shared" si="28"/>
        <v/>
      </c>
      <c r="K696" s="72"/>
      <c r="L696" s="72"/>
      <c r="M696" s="2"/>
      <c r="N696" s="5"/>
      <c r="O696" s="3"/>
      <c r="P696" s="6"/>
      <c r="Q696" s="48">
        <f>IF(Учет!$O696=Справочники!$F$2,Учет!$H696,0)</f>
        <v>0</v>
      </c>
      <c r="R696" s="48">
        <f>IF(Учет!$O696=Справочники!$F$3,Учет!$H696,0)</f>
        <v>0</v>
      </c>
      <c r="S696" s="48">
        <f>IF(Учет!$O696=Справочники!$F$4,Учет!$H696,0)</f>
        <v>0</v>
      </c>
      <c r="T696" s="48">
        <f>IF(Учет!$O696=Справочники!$F$5,Учет!$H696,0)</f>
        <v>0</v>
      </c>
      <c r="U696" s="48">
        <f>IF(Учет!$O696=Справочники!$F$6,Учет!$H696,0)</f>
        <v>0</v>
      </c>
      <c r="V696" s="43">
        <f>V695+Учет!Q696-Q696</f>
        <v>-488978.92000000004</v>
      </c>
      <c r="W696" s="43">
        <f>W695+Учет!R696-R696</f>
        <v>336855</v>
      </c>
      <c r="X696" s="43">
        <f>X695+Учет!S696-S696</f>
        <v>500</v>
      </c>
      <c r="Y696" s="43">
        <f>Y695+Учет!T696-T696</f>
        <v>1150</v>
      </c>
      <c r="Z696" s="43">
        <f>Z695+Учет!U696-U696</f>
        <v>500000</v>
      </c>
      <c r="AA696" s="45">
        <f>Учет!X696</f>
        <v>500</v>
      </c>
    </row>
    <row r="697" spans="1:27" ht="15" customHeight="1" x14ac:dyDescent="0.25">
      <c r="A697" s="1"/>
      <c r="B697" s="17"/>
      <c r="C697" s="17"/>
      <c r="D697" s="17"/>
      <c r="E697" s="17"/>
      <c r="F697" s="17"/>
      <c r="G697" s="4">
        <f t="shared" si="27"/>
        <v>0</v>
      </c>
      <c r="H697" s="17"/>
      <c r="I697" s="4">
        <f t="shared" si="29"/>
        <v>349526.07999999996</v>
      </c>
      <c r="J697" s="32" t="str">
        <f t="shared" si="28"/>
        <v/>
      </c>
      <c r="K697" s="72"/>
      <c r="L697" s="72"/>
      <c r="M697" s="2"/>
      <c r="N697" s="5"/>
      <c r="O697" s="3"/>
      <c r="P697" s="6"/>
      <c r="Q697" s="48">
        <f>IF(Учет!$O697=Справочники!$F$2,Учет!$H697,0)</f>
        <v>0</v>
      </c>
      <c r="R697" s="48">
        <f>IF(Учет!$O697=Справочники!$F$3,Учет!$H697,0)</f>
        <v>0</v>
      </c>
      <c r="S697" s="48">
        <f>IF(Учет!$O697=Справочники!$F$4,Учет!$H697,0)</f>
        <v>0</v>
      </c>
      <c r="T697" s="48">
        <f>IF(Учет!$O697=Справочники!$F$5,Учет!$H697,0)</f>
        <v>0</v>
      </c>
      <c r="U697" s="48">
        <f>IF(Учет!$O697=Справочники!$F$6,Учет!$H697,0)</f>
        <v>0</v>
      </c>
      <c r="V697" s="43">
        <f>V696+Учет!Q697-Q697</f>
        <v>-488978.92000000004</v>
      </c>
      <c r="W697" s="43">
        <f>W696+Учет!R697-R697</f>
        <v>336855</v>
      </c>
      <c r="X697" s="43">
        <f>X696+Учет!S697-S697</f>
        <v>500</v>
      </c>
      <c r="Y697" s="43">
        <f>Y696+Учет!T697-T697</f>
        <v>1150</v>
      </c>
      <c r="Z697" s="43">
        <f>Z696+Учет!U697-U697</f>
        <v>500000</v>
      </c>
      <c r="AA697" s="45">
        <f>Учет!X697</f>
        <v>500</v>
      </c>
    </row>
    <row r="698" spans="1:27" ht="15" customHeight="1" x14ac:dyDescent="0.25">
      <c r="A698" s="1"/>
      <c r="B698" s="17"/>
      <c r="C698" s="17"/>
      <c r="D698" s="17"/>
      <c r="E698" s="17"/>
      <c r="F698" s="17"/>
      <c r="G698" s="4">
        <f t="shared" si="27"/>
        <v>0</v>
      </c>
      <c r="H698" s="17"/>
      <c r="I698" s="4">
        <f t="shared" si="29"/>
        <v>349526.07999999996</v>
      </c>
      <c r="J698" s="32" t="str">
        <f t="shared" si="28"/>
        <v/>
      </c>
      <c r="K698" s="72"/>
      <c r="L698" s="72"/>
      <c r="M698" s="2"/>
      <c r="N698" s="5"/>
      <c r="O698" s="3"/>
      <c r="P698" s="6"/>
      <c r="Q698" s="48">
        <f>IF(Учет!$O698=Справочники!$F$2,Учет!$H698,0)</f>
        <v>0</v>
      </c>
      <c r="R698" s="48">
        <f>IF(Учет!$O698=Справочники!$F$3,Учет!$H698,0)</f>
        <v>0</v>
      </c>
      <c r="S698" s="48">
        <f>IF(Учет!$O698=Справочники!$F$4,Учет!$H698,0)</f>
        <v>0</v>
      </c>
      <c r="T698" s="48">
        <f>IF(Учет!$O698=Справочники!$F$5,Учет!$H698,0)</f>
        <v>0</v>
      </c>
      <c r="U698" s="48">
        <f>IF(Учет!$O698=Справочники!$F$6,Учет!$H698,0)</f>
        <v>0</v>
      </c>
      <c r="V698" s="43">
        <f>V697+Учет!Q698-Q698</f>
        <v>-488978.92000000004</v>
      </c>
      <c r="W698" s="43">
        <f>W697+Учет!R698-R698</f>
        <v>336855</v>
      </c>
      <c r="X698" s="43">
        <f>X697+Учет!S698-S698</f>
        <v>500</v>
      </c>
      <c r="Y698" s="43">
        <f>Y697+Учет!T698-T698</f>
        <v>1150</v>
      </c>
      <c r="Z698" s="43">
        <f>Z697+Учет!U698-U698</f>
        <v>500000</v>
      </c>
      <c r="AA698" s="45">
        <f>Учет!X698</f>
        <v>500</v>
      </c>
    </row>
    <row r="699" spans="1:27" ht="15" customHeight="1" x14ac:dyDescent="0.25">
      <c r="A699" s="1"/>
      <c r="B699" s="17"/>
      <c r="C699" s="17"/>
      <c r="D699" s="17"/>
      <c r="E699" s="17"/>
      <c r="F699" s="17"/>
      <c r="G699" s="4">
        <f t="shared" si="27"/>
        <v>0</v>
      </c>
      <c r="H699" s="17"/>
      <c r="I699" s="4">
        <f t="shared" si="29"/>
        <v>349526.07999999996</v>
      </c>
      <c r="J699" s="32" t="str">
        <f t="shared" si="28"/>
        <v/>
      </c>
      <c r="K699" s="72"/>
      <c r="L699" s="72"/>
      <c r="M699" s="2"/>
      <c r="N699" s="5"/>
      <c r="O699" s="3"/>
      <c r="P699" s="6"/>
      <c r="Q699" s="48">
        <f>IF(Учет!$O699=Справочники!$F$2,Учет!$H699,0)</f>
        <v>0</v>
      </c>
      <c r="R699" s="48">
        <f>IF(Учет!$O699=Справочники!$F$3,Учет!$H699,0)</f>
        <v>0</v>
      </c>
      <c r="S699" s="48">
        <f>IF(Учет!$O699=Справочники!$F$4,Учет!$H699,0)</f>
        <v>0</v>
      </c>
      <c r="T699" s="48">
        <f>IF(Учет!$O699=Справочники!$F$5,Учет!$H699,0)</f>
        <v>0</v>
      </c>
      <c r="U699" s="48">
        <f>IF(Учет!$O699=Справочники!$F$6,Учет!$H699,0)</f>
        <v>0</v>
      </c>
      <c r="V699" s="43">
        <f>V698+Учет!Q699-Q699</f>
        <v>-488978.92000000004</v>
      </c>
      <c r="W699" s="43">
        <f>W698+Учет!R699-R699</f>
        <v>336855</v>
      </c>
      <c r="X699" s="43">
        <f>X698+Учет!S699-S699</f>
        <v>500</v>
      </c>
      <c r="Y699" s="43">
        <f>Y698+Учет!T699-T699</f>
        <v>1150</v>
      </c>
      <c r="Z699" s="43">
        <f>Z698+Учет!U699-U699</f>
        <v>500000</v>
      </c>
      <c r="AA699" s="45">
        <f>Учет!X699</f>
        <v>500</v>
      </c>
    </row>
    <row r="700" spans="1:27" ht="15" customHeight="1" x14ac:dyDescent="0.25">
      <c r="A700" s="1"/>
      <c r="B700" s="17"/>
      <c r="C700" s="17"/>
      <c r="D700" s="17"/>
      <c r="E700" s="17"/>
      <c r="F700" s="17"/>
      <c r="G700" s="4">
        <f t="shared" si="27"/>
        <v>0</v>
      </c>
      <c r="H700" s="17"/>
      <c r="I700" s="4">
        <f t="shared" si="29"/>
        <v>349526.07999999996</v>
      </c>
      <c r="J700" s="32" t="str">
        <f t="shared" si="28"/>
        <v/>
      </c>
      <c r="K700" s="72"/>
      <c r="L700" s="72"/>
      <c r="M700" s="2"/>
      <c r="N700" s="5"/>
      <c r="O700" s="3"/>
      <c r="P700" s="6"/>
      <c r="Q700" s="48">
        <f>IF(Учет!$O700=Справочники!$F$2,Учет!$H700,0)</f>
        <v>0</v>
      </c>
      <c r="R700" s="48">
        <f>IF(Учет!$O700=Справочники!$F$3,Учет!$H700,0)</f>
        <v>0</v>
      </c>
      <c r="S700" s="48">
        <f>IF(Учет!$O700=Справочники!$F$4,Учет!$H700,0)</f>
        <v>0</v>
      </c>
      <c r="T700" s="48">
        <f>IF(Учет!$O700=Справочники!$F$5,Учет!$H700,0)</f>
        <v>0</v>
      </c>
      <c r="U700" s="48">
        <f>IF(Учет!$O700=Справочники!$F$6,Учет!$H700,0)</f>
        <v>0</v>
      </c>
      <c r="V700" s="43">
        <f>V699+Учет!Q700-Q700</f>
        <v>-488978.92000000004</v>
      </c>
      <c r="W700" s="43">
        <f>W699+Учет!R700-R700</f>
        <v>336855</v>
      </c>
      <c r="X700" s="43">
        <f>X699+Учет!S700-S700</f>
        <v>500</v>
      </c>
      <c r="Y700" s="43">
        <f>Y699+Учет!T700-T700</f>
        <v>1150</v>
      </c>
      <c r="Z700" s="43">
        <f>Z699+Учет!U700-U700</f>
        <v>500000</v>
      </c>
      <c r="AA700" s="45">
        <f>Учет!X700</f>
        <v>500</v>
      </c>
    </row>
    <row r="701" spans="1:27" ht="15" customHeight="1" x14ac:dyDescent="0.25">
      <c r="A701" s="1"/>
      <c r="B701" s="17"/>
      <c r="C701" s="17"/>
      <c r="D701" s="17"/>
      <c r="E701" s="17"/>
      <c r="F701" s="17"/>
      <c r="G701" s="4">
        <f t="shared" si="27"/>
        <v>0</v>
      </c>
      <c r="H701" s="17"/>
      <c r="I701" s="4">
        <f t="shared" si="29"/>
        <v>349526.07999999996</v>
      </c>
      <c r="J701" s="32" t="str">
        <f t="shared" si="28"/>
        <v/>
      </c>
      <c r="K701" s="72"/>
      <c r="L701" s="72"/>
      <c r="M701" s="2"/>
      <c r="N701" s="5"/>
      <c r="O701" s="3"/>
      <c r="P701" s="6"/>
      <c r="Q701" s="48">
        <f>IF(Учет!$O701=Справочники!$F$2,Учет!$H701,0)</f>
        <v>0</v>
      </c>
      <c r="R701" s="48">
        <f>IF(Учет!$O701=Справочники!$F$3,Учет!$H701,0)</f>
        <v>0</v>
      </c>
      <c r="S701" s="48">
        <f>IF(Учет!$O701=Справочники!$F$4,Учет!$H701,0)</f>
        <v>0</v>
      </c>
      <c r="T701" s="48">
        <f>IF(Учет!$O701=Справочники!$F$5,Учет!$H701,0)</f>
        <v>0</v>
      </c>
      <c r="U701" s="48">
        <f>IF(Учет!$O701=Справочники!$F$6,Учет!$H701,0)</f>
        <v>0</v>
      </c>
      <c r="V701" s="43">
        <f>V700+Учет!Q701-Q701</f>
        <v>-488978.92000000004</v>
      </c>
      <c r="W701" s="43">
        <f>W700+Учет!R701-R701</f>
        <v>336855</v>
      </c>
      <c r="X701" s="43">
        <f>X700+Учет!S701-S701</f>
        <v>500</v>
      </c>
      <c r="Y701" s="43">
        <f>Y700+Учет!T701-T701</f>
        <v>1150</v>
      </c>
      <c r="Z701" s="43">
        <f>Z700+Учет!U701-U701</f>
        <v>500000</v>
      </c>
      <c r="AA701" s="45">
        <f>Учет!X701</f>
        <v>500</v>
      </c>
    </row>
    <row r="702" spans="1:27" ht="15" customHeight="1" x14ac:dyDescent="0.25">
      <c r="A702" s="1"/>
      <c r="B702" s="17"/>
      <c r="C702" s="17"/>
      <c r="D702" s="17"/>
      <c r="E702" s="17"/>
      <c r="F702" s="17"/>
      <c r="G702" s="4">
        <f t="shared" si="27"/>
        <v>0</v>
      </c>
      <c r="H702" s="17"/>
      <c r="I702" s="4">
        <f t="shared" si="29"/>
        <v>349526.07999999996</v>
      </c>
      <c r="J702" s="32" t="str">
        <f t="shared" si="28"/>
        <v/>
      </c>
      <c r="K702" s="72"/>
      <c r="L702" s="72"/>
      <c r="M702" s="2"/>
      <c r="N702" s="5"/>
      <c r="O702" s="3"/>
      <c r="P702" s="6"/>
      <c r="Q702" s="48">
        <f>IF(Учет!$O702=Справочники!$F$2,Учет!$H702,0)</f>
        <v>0</v>
      </c>
      <c r="R702" s="48">
        <f>IF(Учет!$O702=Справочники!$F$3,Учет!$H702,0)</f>
        <v>0</v>
      </c>
      <c r="S702" s="48">
        <f>IF(Учет!$O702=Справочники!$F$4,Учет!$H702,0)</f>
        <v>0</v>
      </c>
      <c r="T702" s="48">
        <f>IF(Учет!$O702=Справочники!$F$5,Учет!$H702,0)</f>
        <v>0</v>
      </c>
      <c r="U702" s="48">
        <f>IF(Учет!$O702=Справочники!$F$6,Учет!$H702,0)</f>
        <v>0</v>
      </c>
      <c r="V702" s="43">
        <f>V701+Учет!Q702-Q702</f>
        <v>-488978.92000000004</v>
      </c>
      <c r="W702" s="43">
        <f>W701+Учет!R702-R702</f>
        <v>336855</v>
      </c>
      <c r="X702" s="43">
        <f>X701+Учет!S702-S702</f>
        <v>500</v>
      </c>
      <c r="Y702" s="43">
        <f>Y701+Учет!T702-T702</f>
        <v>1150</v>
      </c>
      <c r="Z702" s="43">
        <f>Z701+Учет!U702-U702</f>
        <v>500000</v>
      </c>
      <c r="AA702" s="45">
        <f>Учет!X702</f>
        <v>500</v>
      </c>
    </row>
    <row r="703" spans="1:27" ht="15" customHeight="1" x14ac:dyDescent="0.25">
      <c r="A703" s="1"/>
      <c r="B703" s="17"/>
      <c r="C703" s="17"/>
      <c r="D703" s="17"/>
      <c r="E703" s="17"/>
      <c r="F703" s="17"/>
      <c r="G703" s="4">
        <f t="shared" si="27"/>
        <v>0</v>
      </c>
      <c r="H703" s="17"/>
      <c r="I703" s="4">
        <f t="shared" si="29"/>
        <v>349526.07999999996</v>
      </c>
      <c r="J703" s="32" t="str">
        <f t="shared" si="28"/>
        <v/>
      </c>
      <c r="K703" s="72"/>
      <c r="L703" s="72"/>
      <c r="M703" s="2"/>
      <c r="N703" s="5"/>
      <c r="O703" s="3"/>
      <c r="P703" s="6"/>
      <c r="Q703" s="48">
        <f>IF(Учет!$O703=Справочники!$F$2,Учет!$H703,0)</f>
        <v>0</v>
      </c>
      <c r="R703" s="48">
        <f>IF(Учет!$O703=Справочники!$F$3,Учет!$H703,0)</f>
        <v>0</v>
      </c>
      <c r="S703" s="48">
        <f>IF(Учет!$O703=Справочники!$F$4,Учет!$H703,0)</f>
        <v>0</v>
      </c>
      <c r="T703" s="48">
        <f>IF(Учет!$O703=Справочники!$F$5,Учет!$H703,0)</f>
        <v>0</v>
      </c>
      <c r="U703" s="48">
        <f>IF(Учет!$O703=Справочники!$F$6,Учет!$H703,0)</f>
        <v>0</v>
      </c>
      <c r="V703" s="43">
        <f>V702+Учет!Q703-Q703</f>
        <v>-488978.92000000004</v>
      </c>
      <c r="W703" s="43">
        <f>W702+Учет!R703-R703</f>
        <v>336855</v>
      </c>
      <c r="X703" s="43">
        <f>X702+Учет!S703-S703</f>
        <v>500</v>
      </c>
      <c r="Y703" s="43">
        <f>Y702+Учет!T703-T703</f>
        <v>1150</v>
      </c>
      <c r="Z703" s="43">
        <f>Z702+Учет!U703-U703</f>
        <v>500000</v>
      </c>
      <c r="AA703" s="45">
        <f>Учет!X703</f>
        <v>500</v>
      </c>
    </row>
    <row r="704" spans="1:27" ht="15" customHeight="1" x14ac:dyDescent="0.25">
      <c r="A704" s="1"/>
      <c r="B704" s="17"/>
      <c r="C704" s="17"/>
      <c r="D704" s="17"/>
      <c r="E704" s="17"/>
      <c r="F704" s="17"/>
      <c r="G704" s="4">
        <f t="shared" si="27"/>
        <v>0</v>
      </c>
      <c r="H704" s="17"/>
      <c r="I704" s="4">
        <f t="shared" si="29"/>
        <v>349526.07999999996</v>
      </c>
      <c r="J704" s="32" t="str">
        <f t="shared" si="28"/>
        <v/>
      </c>
      <c r="K704" s="72"/>
      <c r="L704" s="72"/>
      <c r="M704" s="2"/>
      <c r="N704" s="5"/>
      <c r="O704" s="3"/>
      <c r="P704" s="6"/>
      <c r="Q704" s="48">
        <f>IF(Учет!$O704=Справочники!$F$2,Учет!$H704,0)</f>
        <v>0</v>
      </c>
      <c r="R704" s="48">
        <f>IF(Учет!$O704=Справочники!$F$3,Учет!$H704,0)</f>
        <v>0</v>
      </c>
      <c r="S704" s="48">
        <f>IF(Учет!$O704=Справочники!$F$4,Учет!$H704,0)</f>
        <v>0</v>
      </c>
      <c r="T704" s="48">
        <f>IF(Учет!$O704=Справочники!$F$5,Учет!$H704,0)</f>
        <v>0</v>
      </c>
      <c r="U704" s="48">
        <f>IF(Учет!$O704=Справочники!$F$6,Учет!$H704,0)</f>
        <v>0</v>
      </c>
      <c r="V704" s="43">
        <f>V703+Учет!Q704-Q704</f>
        <v>-488978.92000000004</v>
      </c>
      <c r="W704" s="43">
        <f>W703+Учет!R704-R704</f>
        <v>336855</v>
      </c>
      <c r="X704" s="43">
        <f>X703+Учет!S704-S704</f>
        <v>500</v>
      </c>
      <c r="Y704" s="43">
        <f>Y703+Учет!T704-T704</f>
        <v>1150</v>
      </c>
      <c r="Z704" s="43">
        <f>Z703+Учет!U704-U704</f>
        <v>500000</v>
      </c>
      <c r="AA704" s="45">
        <f>Учет!X704</f>
        <v>500</v>
      </c>
    </row>
    <row r="705" spans="1:27" ht="15" customHeight="1" x14ac:dyDescent="0.25">
      <c r="A705" s="1"/>
      <c r="B705" s="17"/>
      <c r="C705" s="17"/>
      <c r="D705" s="17"/>
      <c r="E705" s="17"/>
      <c r="F705" s="17"/>
      <c r="G705" s="4">
        <f t="shared" si="27"/>
        <v>0</v>
      </c>
      <c r="H705" s="17"/>
      <c r="I705" s="4">
        <f t="shared" si="29"/>
        <v>349526.07999999996</v>
      </c>
      <c r="J705" s="32" t="str">
        <f t="shared" si="28"/>
        <v/>
      </c>
      <c r="K705" s="72"/>
      <c r="L705" s="72"/>
      <c r="M705" s="2"/>
      <c r="N705" s="5"/>
      <c r="O705" s="3"/>
      <c r="P705" s="6"/>
      <c r="Q705" s="48">
        <f>IF(Учет!$O705=Справочники!$F$2,Учет!$H705,0)</f>
        <v>0</v>
      </c>
      <c r="R705" s="48">
        <f>IF(Учет!$O705=Справочники!$F$3,Учет!$H705,0)</f>
        <v>0</v>
      </c>
      <c r="S705" s="48">
        <f>IF(Учет!$O705=Справочники!$F$4,Учет!$H705,0)</f>
        <v>0</v>
      </c>
      <c r="T705" s="48">
        <f>IF(Учет!$O705=Справочники!$F$5,Учет!$H705,0)</f>
        <v>0</v>
      </c>
      <c r="U705" s="48">
        <f>IF(Учет!$O705=Справочники!$F$6,Учет!$H705,0)</f>
        <v>0</v>
      </c>
      <c r="V705" s="43">
        <f>V704+Учет!Q705-Q705</f>
        <v>-488978.92000000004</v>
      </c>
      <c r="W705" s="43">
        <f>W704+Учет!R705-R705</f>
        <v>336855</v>
      </c>
      <c r="X705" s="43">
        <f>X704+Учет!S705-S705</f>
        <v>500</v>
      </c>
      <c r="Y705" s="43">
        <f>Y704+Учет!T705-T705</f>
        <v>1150</v>
      </c>
      <c r="Z705" s="43">
        <f>Z704+Учет!U705-U705</f>
        <v>500000</v>
      </c>
      <c r="AA705" s="45">
        <f>Учет!X705</f>
        <v>500</v>
      </c>
    </row>
    <row r="706" spans="1:27" ht="15" customHeight="1" x14ac:dyDescent="0.25">
      <c r="A706" s="1"/>
      <c r="B706" s="17"/>
      <c r="C706" s="17"/>
      <c r="D706" s="17"/>
      <c r="E706" s="17"/>
      <c r="F706" s="17"/>
      <c r="G706" s="4">
        <f t="shared" ref="G706:G769" si="30">SUM($B706:$F706)</f>
        <v>0</v>
      </c>
      <c r="H706" s="17"/>
      <c r="I706" s="4">
        <f t="shared" si="29"/>
        <v>349526.07999999996</v>
      </c>
      <c r="J706" s="32" t="str">
        <f t="shared" ref="J706:J769" si="31">IF($A707&lt;&gt;$A706,$I706,"")</f>
        <v/>
      </c>
      <c r="K706" s="72"/>
      <c r="L706" s="72"/>
      <c r="M706" s="2"/>
      <c r="N706" s="5"/>
      <c r="O706" s="3"/>
      <c r="P706" s="6"/>
      <c r="Q706" s="48">
        <f>IF(Учет!$O706=Справочники!$F$2,Учет!$H706,0)</f>
        <v>0</v>
      </c>
      <c r="R706" s="48">
        <f>IF(Учет!$O706=Справочники!$F$3,Учет!$H706,0)</f>
        <v>0</v>
      </c>
      <c r="S706" s="48">
        <f>IF(Учет!$O706=Справочники!$F$4,Учет!$H706,0)</f>
        <v>0</v>
      </c>
      <c r="T706" s="48">
        <f>IF(Учет!$O706=Справочники!$F$5,Учет!$H706,0)</f>
        <v>0</v>
      </c>
      <c r="U706" s="48">
        <f>IF(Учет!$O706=Справочники!$F$6,Учет!$H706,0)</f>
        <v>0</v>
      </c>
      <c r="V706" s="43">
        <f>V705+Учет!Q706-Q706</f>
        <v>-488978.92000000004</v>
      </c>
      <c r="W706" s="43">
        <f>W705+Учет!R706-R706</f>
        <v>336855</v>
      </c>
      <c r="X706" s="43">
        <f>X705+Учет!S706-S706</f>
        <v>500</v>
      </c>
      <c r="Y706" s="43">
        <f>Y705+Учет!T706-T706</f>
        <v>1150</v>
      </c>
      <c r="Z706" s="43">
        <f>Z705+Учет!U706-U706</f>
        <v>500000</v>
      </c>
      <c r="AA706" s="45">
        <f>Учет!X706</f>
        <v>500</v>
      </c>
    </row>
    <row r="707" spans="1:27" ht="15" customHeight="1" x14ac:dyDescent="0.25">
      <c r="A707" s="1"/>
      <c r="B707" s="17"/>
      <c r="C707" s="17"/>
      <c r="D707" s="17"/>
      <c r="E707" s="17"/>
      <c r="F707" s="17"/>
      <c r="G707" s="4">
        <f t="shared" si="30"/>
        <v>0</v>
      </c>
      <c r="H707" s="17"/>
      <c r="I707" s="4">
        <f t="shared" ref="I707:I770" si="32">$I706+$G707-$H707</f>
        <v>349526.07999999996</v>
      </c>
      <c r="J707" s="32" t="str">
        <f t="shared" si="31"/>
        <v/>
      </c>
      <c r="K707" s="72"/>
      <c r="L707" s="72"/>
      <c r="M707" s="2"/>
      <c r="N707" s="5"/>
      <c r="O707" s="3"/>
      <c r="P707" s="6"/>
      <c r="Q707" s="48">
        <f>IF(Учет!$O707=Справочники!$F$2,Учет!$H707,0)</f>
        <v>0</v>
      </c>
      <c r="R707" s="48">
        <f>IF(Учет!$O707=Справочники!$F$3,Учет!$H707,0)</f>
        <v>0</v>
      </c>
      <c r="S707" s="48">
        <f>IF(Учет!$O707=Справочники!$F$4,Учет!$H707,0)</f>
        <v>0</v>
      </c>
      <c r="T707" s="48">
        <f>IF(Учет!$O707=Справочники!$F$5,Учет!$H707,0)</f>
        <v>0</v>
      </c>
      <c r="U707" s="48">
        <f>IF(Учет!$O707=Справочники!$F$6,Учет!$H707,0)</f>
        <v>0</v>
      </c>
      <c r="V707" s="43">
        <f>V706+Учет!Q707-Q707</f>
        <v>-488978.92000000004</v>
      </c>
      <c r="W707" s="43">
        <f>W706+Учет!R707-R707</f>
        <v>336855</v>
      </c>
      <c r="X707" s="43">
        <f>X706+Учет!S707-S707</f>
        <v>500</v>
      </c>
      <c r="Y707" s="43">
        <f>Y706+Учет!T707-T707</f>
        <v>1150</v>
      </c>
      <c r="Z707" s="43">
        <f>Z706+Учет!U707-U707</f>
        <v>500000</v>
      </c>
      <c r="AA707" s="45">
        <f>Учет!X707</f>
        <v>500</v>
      </c>
    </row>
    <row r="708" spans="1:27" ht="15" customHeight="1" x14ac:dyDescent="0.25">
      <c r="A708" s="1"/>
      <c r="B708" s="17"/>
      <c r="C708" s="17"/>
      <c r="D708" s="17"/>
      <c r="E708" s="17"/>
      <c r="F708" s="17"/>
      <c r="G708" s="4">
        <f t="shared" si="30"/>
        <v>0</v>
      </c>
      <c r="H708" s="17"/>
      <c r="I708" s="4">
        <f t="shared" si="32"/>
        <v>349526.07999999996</v>
      </c>
      <c r="J708" s="32" t="str">
        <f t="shared" si="31"/>
        <v/>
      </c>
      <c r="K708" s="72"/>
      <c r="L708" s="72"/>
      <c r="M708" s="2"/>
      <c r="N708" s="5"/>
      <c r="O708" s="3"/>
      <c r="P708" s="6"/>
      <c r="Q708" s="48">
        <f>IF(Учет!$O708=Справочники!$F$2,Учет!$H708,0)</f>
        <v>0</v>
      </c>
      <c r="R708" s="48">
        <f>IF(Учет!$O708=Справочники!$F$3,Учет!$H708,0)</f>
        <v>0</v>
      </c>
      <c r="S708" s="48">
        <f>IF(Учет!$O708=Справочники!$F$4,Учет!$H708,0)</f>
        <v>0</v>
      </c>
      <c r="T708" s="48">
        <f>IF(Учет!$O708=Справочники!$F$5,Учет!$H708,0)</f>
        <v>0</v>
      </c>
      <c r="U708" s="48">
        <f>IF(Учет!$O708=Справочники!$F$6,Учет!$H708,0)</f>
        <v>0</v>
      </c>
      <c r="V708" s="43">
        <f>V707+Учет!Q708-Q708</f>
        <v>-488978.92000000004</v>
      </c>
      <c r="W708" s="43">
        <f>W707+Учет!R708-R708</f>
        <v>336855</v>
      </c>
      <c r="X708" s="43">
        <f>X707+Учет!S708-S708</f>
        <v>500</v>
      </c>
      <c r="Y708" s="43">
        <f>Y707+Учет!T708-T708</f>
        <v>1150</v>
      </c>
      <c r="Z708" s="43">
        <f>Z707+Учет!U708-U708</f>
        <v>500000</v>
      </c>
      <c r="AA708" s="45">
        <f>Учет!X708</f>
        <v>500</v>
      </c>
    </row>
    <row r="709" spans="1:27" ht="15" customHeight="1" x14ac:dyDescent="0.25">
      <c r="A709" s="1"/>
      <c r="B709" s="17"/>
      <c r="C709" s="17"/>
      <c r="D709" s="17"/>
      <c r="E709" s="17"/>
      <c r="F709" s="17"/>
      <c r="G709" s="4">
        <f t="shared" si="30"/>
        <v>0</v>
      </c>
      <c r="H709" s="17"/>
      <c r="I709" s="4">
        <f t="shared" si="32"/>
        <v>349526.07999999996</v>
      </c>
      <c r="J709" s="32" t="str">
        <f t="shared" si="31"/>
        <v/>
      </c>
      <c r="K709" s="72"/>
      <c r="L709" s="72"/>
      <c r="M709" s="2"/>
      <c r="N709" s="5"/>
      <c r="O709" s="3"/>
      <c r="P709" s="6"/>
      <c r="Q709" s="48">
        <f>IF(Учет!$O709=Справочники!$F$2,Учет!$H709,0)</f>
        <v>0</v>
      </c>
      <c r="R709" s="48">
        <f>IF(Учет!$O709=Справочники!$F$3,Учет!$H709,0)</f>
        <v>0</v>
      </c>
      <c r="S709" s="48">
        <f>IF(Учет!$O709=Справочники!$F$4,Учет!$H709,0)</f>
        <v>0</v>
      </c>
      <c r="T709" s="48">
        <f>IF(Учет!$O709=Справочники!$F$5,Учет!$H709,0)</f>
        <v>0</v>
      </c>
      <c r="U709" s="48">
        <f>IF(Учет!$O709=Справочники!$F$6,Учет!$H709,0)</f>
        <v>0</v>
      </c>
      <c r="V709" s="43">
        <f>V708+Учет!Q709-Q709</f>
        <v>-488978.92000000004</v>
      </c>
      <c r="W709" s="43">
        <f>W708+Учет!R709-R709</f>
        <v>336855</v>
      </c>
      <c r="X709" s="43">
        <f>X708+Учет!S709-S709</f>
        <v>500</v>
      </c>
      <c r="Y709" s="43">
        <f>Y708+Учет!T709-T709</f>
        <v>1150</v>
      </c>
      <c r="Z709" s="43">
        <f>Z708+Учет!U709-U709</f>
        <v>500000</v>
      </c>
      <c r="AA709" s="45">
        <f>Учет!X709</f>
        <v>500</v>
      </c>
    </row>
    <row r="710" spans="1:27" ht="15" customHeight="1" x14ac:dyDescent="0.25">
      <c r="A710" s="1"/>
      <c r="B710" s="17"/>
      <c r="C710" s="17"/>
      <c r="D710" s="17"/>
      <c r="E710" s="17"/>
      <c r="F710" s="17"/>
      <c r="G710" s="4">
        <f t="shared" si="30"/>
        <v>0</v>
      </c>
      <c r="H710" s="17"/>
      <c r="I710" s="4">
        <f t="shared" si="32"/>
        <v>349526.07999999996</v>
      </c>
      <c r="J710" s="32" t="str">
        <f t="shared" si="31"/>
        <v/>
      </c>
      <c r="K710" s="72"/>
      <c r="L710" s="72"/>
      <c r="M710" s="2"/>
      <c r="N710" s="5"/>
      <c r="O710" s="3"/>
      <c r="P710" s="6"/>
      <c r="Q710" s="48">
        <f>IF(Учет!$O710=Справочники!$F$2,Учет!$H710,0)</f>
        <v>0</v>
      </c>
      <c r="R710" s="48">
        <f>IF(Учет!$O710=Справочники!$F$3,Учет!$H710,0)</f>
        <v>0</v>
      </c>
      <c r="S710" s="48">
        <f>IF(Учет!$O710=Справочники!$F$4,Учет!$H710,0)</f>
        <v>0</v>
      </c>
      <c r="T710" s="48">
        <f>IF(Учет!$O710=Справочники!$F$5,Учет!$H710,0)</f>
        <v>0</v>
      </c>
      <c r="U710" s="48">
        <f>IF(Учет!$O710=Справочники!$F$6,Учет!$H710,0)</f>
        <v>0</v>
      </c>
      <c r="V710" s="43">
        <f>V709+Учет!Q710-Q710</f>
        <v>-488978.92000000004</v>
      </c>
      <c r="W710" s="43">
        <f>W709+Учет!R710-R710</f>
        <v>336855</v>
      </c>
      <c r="X710" s="43">
        <f>X709+Учет!S710-S710</f>
        <v>500</v>
      </c>
      <c r="Y710" s="43">
        <f>Y709+Учет!T710-T710</f>
        <v>1150</v>
      </c>
      <c r="Z710" s="43">
        <f>Z709+Учет!U710-U710</f>
        <v>500000</v>
      </c>
      <c r="AA710" s="45">
        <f>Учет!X710</f>
        <v>500</v>
      </c>
    </row>
    <row r="711" spans="1:27" ht="15" customHeight="1" x14ac:dyDescent="0.25">
      <c r="A711" s="1"/>
      <c r="B711" s="17"/>
      <c r="C711" s="17"/>
      <c r="D711" s="17"/>
      <c r="E711" s="17"/>
      <c r="F711" s="17"/>
      <c r="G711" s="4">
        <f t="shared" si="30"/>
        <v>0</v>
      </c>
      <c r="H711" s="17"/>
      <c r="I711" s="4">
        <f t="shared" si="32"/>
        <v>349526.07999999996</v>
      </c>
      <c r="J711" s="32" t="str">
        <f t="shared" si="31"/>
        <v/>
      </c>
      <c r="K711" s="72"/>
      <c r="L711" s="72"/>
      <c r="M711" s="2"/>
      <c r="N711" s="5"/>
      <c r="O711" s="3"/>
      <c r="P711" s="6"/>
      <c r="Q711" s="48">
        <f>IF(Учет!$O711=Справочники!$F$2,Учет!$H711,0)</f>
        <v>0</v>
      </c>
      <c r="R711" s="48">
        <f>IF(Учет!$O711=Справочники!$F$3,Учет!$H711,0)</f>
        <v>0</v>
      </c>
      <c r="S711" s="48">
        <f>IF(Учет!$O711=Справочники!$F$4,Учет!$H711,0)</f>
        <v>0</v>
      </c>
      <c r="T711" s="48">
        <f>IF(Учет!$O711=Справочники!$F$5,Учет!$H711,0)</f>
        <v>0</v>
      </c>
      <c r="U711" s="48">
        <f>IF(Учет!$O711=Справочники!$F$6,Учет!$H711,0)</f>
        <v>0</v>
      </c>
      <c r="V711" s="43">
        <f>V710+Учет!Q711-Q711</f>
        <v>-488978.92000000004</v>
      </c>
      <c r="W711" s="43">
        <f>W710+Учет!R711-R711</f>
        <v>336855</v>
      </c>
      <c r="X711" s="43">
        <f>X710+Учет!S711-S711</f>
        <v>500</v>
      </c>
      <c r="Y711" s="43">
        <f>Y710+Учет!T711-T711</f>
        <v>1150</v>
      </c>
      <c r="Z711" s="43">
        <f>Z710+Учет!U711-U711</f>
        <v>500000</v>
      </c>
      <c r="AA711" s="45">
        <f>Учет!X711</f>
        <v>500</v>
      </c>
    </row>
    <row r="712" spans="1:27" ht="15" customHeight="1" x14ac:dyDescent="0.25">
      <c r="A712" s="1"/>
      <c r="B712" s="17"/>
      <c r="C712" s="17"/>
      <c r="D712" s="17"/>
      <c r="E712" s="17"/>
      <c r="F712" s="17"/>
      <c r="G712" s="4">
        <f t="shared" si="30"/>
        <v>0</v>
      </c>
      <c r="H712" s="17"/>
      <c r="I712" s="4">
        <f t="shared" si="32"/>
        <v>349526.07999999996</v>
      </c>
      <c r="J712" s="32" t="str">
        <f t="shared" si="31"/>
        <v/>
      </c>
      <c r="K712" s="72"/>
      <c r="L712" s="72"/>
      <c r="M712" s="2"/>
      <c r="N712" s="5"/>
      <c r="O712" s="3"/>
      <c r="P712" s="6"/>
      <c r="Q712" s="48">
        <f>IF(Учет!$O712=Справочники!$F$2,Учет!$H712,0)</f>
        <v>0</v>
      </c>
      <c r="R712" s="48">
        <f>IF(Учет!$O712=Справочники!$F$3,Учет!$H712,0)</f>
        <v>0</v>
      </c>
      <c r="S712" s="48">
        <f>IF(Учет!$O712=Справочники!$F$4,Учет!$H712,0)</f>
        <v>0</v>
      </c>
      <c r="T712" s="48">
        <f>IF(Учет!$O712=Справочники!$F$5,Учет!$H712,0)</f>
        <v>0</v>
      </c>
      <c r="U712" s="48">
        <f>IF(Учет!$O712=Справочники!$F$6,Учет!$H712,0)</f>
        <v>0</v>
      </c>
      <c r="V712" s="43">
        <f>V711+Учет!Q712-Q712</f>
        <v>-488978.92000000004</v>
      </c>
      <c r="W712" s="43">
        <f>W711+Учет!R712-R712</f>
        <v>336855</v>
      </c>
      <c r="X712" s="43">
        <f>X711+Учет!S712-S712</f>
        <v>500</v>
      </c>
      <c r="Y712" s="43">
        <f>Y711+Учет!T712-T712</f>
        <v>1150</v>
      </c>
      <c r="Z712" s="43">
        <f>Z711+Учет!U712-U712</f>
        <v>500000</v>
      </c>
      <c r="AA712" s="45">
        <f>Учет!X712</f>
        <v>500</v>
      </c>
    </row>
    <row r="713" spans="1:27" ht="15" customHeight="1" x14ac:dyDescent="0.25">
      <c r="A713" s="1"/>
      <c r="B713" s="17"/>
      <c r="C713" s="17"/>
      <c r="D713" s="17"/>
      <c r="E713" s="17"/>
      <c r="F713" s="17"/>
      <c r="G713" s="4">
        <f t="shared" si="30"/>
        <v>0</v>
      </c>
      <c r="H713" s="17"/>
      <c r="I713" s="4">
        <f t="shared" si="32"/>
        <v>349526.07999999996</v>
      </c>
      <c r="J713" s="32" t="str">
        <f t="shared" si="31"/>
        <v/>
      </c>
      <c r="K713" s="72"/>
      <c r="L713" s="72"/>
      <c r="M713" s="2"/>
      <c r="N713" s="5"/>
      <c r="O713" s="3"/>
      <c r="P713" s="6"/>
      <c r="Q713" s="48">
        <f>IF(Учет!$O713=Справочники!$F$2,Учет!$H713,0)</f>
        <v>0</v>
      </c>
      <c r="R713" s="48">
        <f>IF(Учет!$O713=Справочники!$F$3,Учет!$H713,0)</f>
        <v>0</v>
      </c>
      <c r="S713" s="48">
        <f>IF(Учет!$O713=Справочники!$F$4,Учет!$H713,0)</f>
        <v>0</v>
      </c>
      <c r="T713" s="48">
        <f>IF(Учет!$O713=Справочники!$F$5,Учет!$H713,0)</f>
        <v>0</v>
      </c>
      <c r="U713" s="48">
        <f>IF(Учет!$O713=Справочники!$F$6,Учет!$H713,0)</f>
        <v>0</v>
      </c>
      <c r="V713" s="43">
        <f>V712+Учет!Q713-Q713</f>
        <v>-488978.92000000004</v>
      </c>
      <c r="W713" s="43">
        <f>W712+Учет!R713-R713</f>
        <v>336855</v>
      </c>
      <c r="X713" s="43">
        <f>X712+Учет!S713-S713</f>
        <v>500</v>
      </c>
      <c r="Y713" s="43">
        <f>Y712+Учет!T713-T713</f>
        <v>1150</v>
      </c>
      <c r="Z713" s="43">
        <f>Z712+Учет!U713-U713</f>
        <v>500000</v>
      </c>
      <c r="AA713" s="45">
        <f>Учет!X713</f>
        <v>500</v>
      </c>
    </row>
    <row r="714" spans="1:27" ht="15" customHeight="1" x14ac:dyDescent="0.25">
      <c r="A714" s="1"/>
      <c r="B714" s="17"/>
      <c r="C714" s="17"/>
      <c r="D714" s="17"/>
      <c r="E714" s="17"/>
      <c r="F714" s="17"/>
      <c r="G714" s="4">
        <f t="shared" si="30"/>
        <v>0</v>
      </c>
      <c r="H714" s="17"/>
      <c r="I714" s="4">
        <f t="shared" si="32"/>
        <v>349526.07999999996</v>
      </c>
      <c r="J714" s="32" t="str">
        <f t="shared" si="31"/>
        <v/>
      </c>
      <c r="K714" s="72"/>
      <c r="L714" s="72"/>
      <c r="M714" s="2"/>
      <c r="N714" s="5"/>
      <c r="O714" s="3"/>
      <c r="P714" s="6"/>
      <c r="Q714" s="48">
        <f>IF(Учет!$O714=Справочники!$F$2,Учет!$H714,0)</f>
        <v>0</v>
      </c>
      <c r="R714" s="48">
        <f>IF(Учет!$O714=Справочники!$F$3,Учет!$H714,0)</f>
        <v>0</v>
      </c>
      <c r="S714" s="48">
        <f>IF(Учет!$O714=Справочники!$F$4,Учет!$H714,0)</f>
        <v>0</v>
      </c>
      <c r="T714" s="48">
        <f>IF(Учет!$O714=Справочники!$F$5,Учет!$H714,0)</f>
        <v>0</v>
      </c>
      <c r="U714" s="48">
        <f>IF(Учет!$O714=Справочники!$F$6,Учет!$H714,0)</f>
        <v>0</v>
      </c>
      <c r="V714" s="43">
        <f>V713+Учет!Q714-Q714</f>
        <v>-488978.92000000004</v>
      </c>
      <c r="W714" s="43">
        <f>W713+Учет!R714-R714</f>
        <v>336855</v>
      </c>
      <c r="X714" s="43">
        <f>X713+Учет!S714-S714</f>
        <v>500</v>
      </c>
      <c r="Y714" s="43">
        <f>Y713+Учет!T714-T714</f>
        <v>1150</v>
      </c>
      <c r="Z714" s="43">
        <f>Z713+Учет!U714-U714</f>
        <v>500000</v>
      </c>
      <c r="AA714" s="45">
        <f>Учет!X714</f>
        <v>500</v>
      </c>
    </row>
    <row r="715" spans="1:27" ht="15" customHeight="1" x14ac:dyDescent="0.25">
      <c r="A715" s="1"/>
      <c r="B715" s="17"/>
      <c r="C715" s="17"/>
      <c r="D715" s="17"/>
      <c r="E715" s="17"/>
      <c r="F715" s="17"/>
      <c r="G715" s="4">
        <f t="shared" si="30"/>
        <v>0</v>
      </c>
      <c r="H715" s="17"/>
      <c r="I715" s="4">
        <f t="shared" si="32"/>
        <v>349526.07999999996</v>
      </c>
      <c r="J715" s="32" t="str">
        <f t="shared" si="31"/>
        <v/>
      </c>
      <c r="K715" s="72"/>
      <c r="L715" s="72"/>
      <c r="M715" s="2"/>
      <c r="N715" s="5"/>
      <c r="O715" s="3"/>
      <c r="P715" s="6"/>
      <c r="Q715" s="48">
        <f>IF(Учет!$O715=Справочники!$F$2,Учет!$H715,0)</f>
        <v>0</v>
      </c>
      <c r="R715" s="48">
        <f>IF(Учет!$O715=Справочники!$F$3,Учет!$H715,0)</f>
        <v>0</v>
      </c>
      <c r="S715" s="48">
        <f>IF(Учет!$O715=Справочники!$F$4,Учет!$H715,0)</f>
        <v>0</v>
      </c>
      <c r="T715" s="48">
        <f>IF(Учет!$O715=Справочники!$F$5,Учет!$H715,0)</f>
        <v>0</v>
      </c>
      <c r="U715" s="48">
        <f>IF(Учет!$O715=Справочники!$F$6,Учет!$H715,0)</f>
        <v>0</v>
      </c>
      <c r="V715" s="43">
        <f>V714+Учет!Q715-Q715</f>
        <v>-488978.92000000004</v>
      </c>
      <c r="W715" s="43">
        <f>W714+Учет!R715-R715</f>
        <v>336855</v>
      </c>
      <c r="X715" s="43">
        <f>X714+Учет!S715-S715</f>
        <v>500</v>
      </c>
      <c r="Y715" s="43">
        <f>Y714+Учет!T715-T715</f>
        <v>1150</v>
      </c>
      <c r="Z715" s="43">
        <f>Z714+Учет!U715-U715</f>
        <v>500000</v>
      </c>
      <c r="AA715" s="45">
        <f>Учет!X715</f>
        <v>500</v>
      </c>
    </row>
    <row r="716" spans="1:27" ht="15" customHeight="1" x14ac:dyDescent="0.25">
      <c r="A716" s="1"/>
      <c r="B716" s="17"/>
      <c r="C716" s="17"/>
      <c r="D716" s="17"/>
      <c r="E716" s="17"/>
      <c r="F716" s="17"/>
      <c r="G716" s="4">
        <f t="shared" si="30"/>
        <v>0</v>
      </c>
      <c r="H716" s="17"/>
      <c r="I716" s="4">
        <f t="shared" si="32"/>
        <v>349526.07999999996</v>
      </c>
      <c r="J716" s="32" t="str">
        <f t="shared" si="31"/>
        <v/>
      </c>
      <c r="K716" s="72"/>
      <c r="L716" s="72"/>
      <c r="M716" s="2"/>
      <c r="N716" s="5"/>
      <c r="O716" s="3"/>
      <c r="P716" s="6"/>
      <c r="Q716" s="48">
        <f>IF(Учет!$O716=Справочники!$F$2,Учет!$H716,0)</f>
        <v>0</v>
      </c>
      <c r="R716" s="48">
        <f>IF(Учет!$O716=Справочники!$F$3,Учет!$H716,0)</f>
        <v>0</v>
      </c>
      <c r="S716" s="48">
        <f>IF(Учет!$O716=Справочники!$F$4,Учет!$H716,0)</f>
        <v>0</v>
      </c>
      <c r="T716" s="48">
        <f>IF(Учет!$O716=Справочники!$F$5,Учет!$H716,0)</f>
        <v>0</v>
      </c>
      <c r="U716" s="48">
        <f>IF(Учет!$O716=Справочники!$F$6,Учет!$H716,0)</f>
        <v>0</v>
      </c>
      <c r="V716" s="43">
        <f>V715+Учет!Q716-Q716</f>
        <v>-488978.92000000004</v>
      </c>
      <c r="W716" s="43">
        <f>W715+Учет!R716-R716</f>
        <v>336855</v>
      </c>
      <c r="X716" s="43">
        <f>X715+Учет!S716-S716</f>
        <v>500</v>
      </c>
      <c r="Y716" s="43">
        <f>Y715+Учет!T716-T716</f>
        <v>1150</v>
      </c>
      <c r="Z716" s="43">
        <f>Z715+Учет!U716-U716</f>
        <v>500000</v>
      </c>
      <c r="AA716" s="45">
        <f>Учет!X716</f>
        <v>500</v>
      </c>
    </row>
    <row r="717" spans="1:27" ht="15" customHeight="1" x14ac:dyDescent="0.25">
      <c r="A717" s="1"/>
      <c r="B717" s="17"/>
      <c r="C717" s="17"/>
      <c r="D717" s="17"/>
      <c r="E717" s="17"/>
      <c r="F717" s="17"/>
      <c r="G717" s="4">
        <f t="shared" si="30"/>
        <v>0</v>
      </c>
      <c r="H717" s="17"/>
      <c r="I717" s="4">
        <f t="shared" si="32"/>
        <v>349526.07999999996</v>
      </c>
      <c r="J717" s="32" t="str">
        <f t="shared" si="31"/>
        <v/>
      </c>
      <c r="K717" s="72"/>
      <c r="L717" s="72"/>
      <c r="M717" s="2"/>
      <c r="N717" s="5"/>
      <c r="O717" s="3"/>
      <c r="P717" s="6"/>
      <c r="Q717" s="48">
        <f>IF(Учет!$O717=Справочники!$F$2,Учет!$H717,0)</f>
        <v>0</v>
      </c>
      <c r="R717" s="48">
        <f>IF(Учет!$O717=Справочники!$F$3,Учет!$H717,0)</f>
        <v>0</v>
      </c>
      <c r="S717" s="48">
        <f>IF(Учет!$O717=Справочники!$F$4,Учет!$H717,0)</f>
        <v>0</v>
      </c>
      <c r="T717" s="48">
        <f>IF(Учет!$O717=Справочники!$F$5,Учет!$H717,0)</f>
        <v>0</v>
      </c>
      <c r="U717" s="48">
        <f>IF(Учет!$O717=Справочники!$F$6,Учет!$H717,0)</f>
        <v>0</v>
      </c>
      <c r="V717" s="43">
        <f>V716+Учет!Q717-Q717</f>
        <v>-488978.92000000004</v>
      </c>
      <c r="W717" s="43">
        <f>W716+Учет!R717-R717</f>
        <v>336855</v>
      </c>
      <c r="X717" s="43">
        <f>X716+Учет!S717-S717</f>
        <v>500</v>
      </c>
      <c r="Y717" s="43">
        <f>Y716+Учет!T717-T717</f>
        <v>1150</v>
      </c>
      <c r="Z717" s="43">
        <f>Z716+Учет!U717-U717</f>
        <v>500000</v>
      </c>
      <c r="AA717" s="45">
        <f>Учет!X717</f>
        <v>500</v>
      </c>
    </row>
    <row r="718" spans="1:27" ht="15" customHeight="1" x14ac:dyDescent="0.25">
      <c r="A718" s="1"/>
      <c r="B718" s="17"/>
      <c r="C718" s="17"/>
      <c r="D718" s="17"/>
      <c r="E718" s="17"/>
      <c r="F718" s="17"/>
      <c r="G718" s="4">
        <f t="shared" si="30"/>
        <v>0</v>
      </c>
      <c r="H718" s="17"/>
      <c r="I718" s="4">
        <f t="shared" si="32"/>
        <v>349526.07999999996</v>
      </c>
      <c r="J718" s="32" t="str">
        <f t="shared" si="31"/>
        <v/>
      </c>
      <c r="K718" s="72"/>
      <c r="L718" s="72"/>
      <c r="M718" s="2"/>
      <c r="N718" s="5"/>
      <c r="O718" s="3"/>
      <c r="P718" s="6"/>
      <c r="Q718" s="48">
        <f>IF(Учет!$O718=Справочники!$F$2,Учет!$H718,0)</f>
        <v>0</v>
      </c>
      <c r="R718" s="48">
        <f>IF(Учет!$O718=Справочники!$F$3,Учет!$H718,0)</f>
        <v>0</v>
      </c>
      <c r="S718" s="48">
        <f>IF(Учет!$O718=Справочники!$F$4,Учет!$H718,0)</f>
        <v>0</v>
      </c>
      <c r="T718" s="48">
        <f>IF(Учет!$O718=Справочники!$F$5,Учет!$H718,0)</f>
        <v>0</v>
      </c>
      <c r="U718" s="48">
        <f>IF(Учет!$O718=Справочники!$F$6,Учет!$H718,0)</f>
        <v>0</v>
      </c>
      <c r="V718" s="43">
        <f>V717+Учет!Q718-Q718</f>
        <v>-488978.92000000004</v>
      </c>
      <c r="W718" s="43">
        <f>W717+Учет!R718-R718</f>
        <v>336855</v>
      </c>
      <c r="X718" s="43">
        <f>X717+Учет!S718-S718</f>
        <v>500</v>
      </c>
      <c r="Y718" s="43">
        <f>Y717+Учет!T718-T718</f>
        <v>1150</v>
      </c>
      <c r="Z718" s="43">
        <f>Z717+Учет!U718-U718</f>
        <v>500000</v>
      </c>
      <c r="AA718" s="45">
        <f>Учет!X718</f>
        <v>500</v>
      </c>
    </row>
    <row r="719" spans="1:27" ht="15" customHeight="1" x14ac:dyDescent="0.25">
      <c r="A719" s="1"/>
      <c r="B719" s="17"/>
      <c r="C719" s="17"/>
      <c r="D719" s="17"/>
      <c r="E719" s="17"/>
      <c r="F719" s="17"/>
      <c r="G719" s="4">
        <f t="shared" si="30"/>
        <v>0</v>
      </c>
      <c r="H719" s="17"/>
      <c r="I719" s="4">
        <f t="shared" si="32"/>
        <v>349526.07999999996</v>
      </c>
      <c r="J719" s="32" t="str">
        <f t="shared" si="31"/>
        <v/>
      </c>
      <c r="K719" s="72"/>
      <c r="L719" s="72"/>
      <c r="M719" s="2"/>
      <c r="N719" s="5"/>
      <c r="O719" s="3"/>
      <c r="P719" s="6"/>
      <c r="Q719" s="48">
        <f>IF(Учет!$O719=Справочники!$F$2,Учет!$H719,0)</f>
        <v>0</v>
      </c>
      <c r="R719" s="48">
        <f>IF(Учет!$O719=Справочники!$F$3,Учет!$H719,0)</f>
        <v>0</v>
      </c>
      <c r="S719" s="48">
        <f>IF(Учет!$O719=Справочники!$F$4,Учет!$H719,0)</f>
        <v>0</v>
      </c>
      <c r="T719" s="48">
        <f>IF(Учет!$O719=Справочники!$F$5,Учет!$H719,0)</f>
        <v>0</v>
      </c>
      <c r="U719" s="48">
        <f>IF(Учет!$O719=Справочники!$F$6,Учет!$H719,0)</f>
        <v>0</v>
      </c>
      <c r="V719" s="43">
        <f>V718+Учет!Q719-Q719</f>
        <v>-488978.92000000004</v>
      </c>
      <c r="W719" s="43">
        <f>W718+Учет!R719-R719</f>
        <v>336855</v>
      </c>
      <c r="X719" s="43">
        <f>X718+Учет!S719-S719</f>
        <v>500</v>
      </c>
      <c r="Y719" s="43">
        <f>Y718+Учет!T719-T719</f>
        <v>1150</v>
      </c>
      <c r="Z719" s="43">
        <f>Z718+Учет!U719-U719</f>
        <v>500000</v>
      </c>
      <c r="AA719" s="45">
        <f>Учет!X719</f>
        <v>500</v>
      </c>
    </row>
    <row r="720" spans="1:27" ht="15" customHeight="1" x14ac:dyDescent="0.25">
      <c r="A720" s="1"/>
      <c r="B720" s="17"/>
      <c r="C720" s="17"/>
      <c r="D720" s="17"/>
      <c r="E720" s="17"/>
      <c r="F720" s="17"/>
      <c r="G720" s="4">
        <f t="shared" si="30"/>
        <v>0</v>
      </c>
      <c r="H720" s="17"/>
      <c r="I720" s="4">
        <f t="shared" si="32"/>
        <v>349526.07999999996</v>
      </c>
      <c r="J720" s="32" t="str">
        <f t="shared" si="31"/>
        <v/>
      </c>
      <c r="K720" s="72"/>
      <c r="L720" s="72"/>
      <c r="M720" s="2"/>
      <c r="N720" s="5"/>
      <c r="O720" s="3"/>
      <c r="P720" s="6"/>
      <c r="Q720" s="48">
        <f>IF(Учет!$O720=Справочники!$F$2,Учет!$H720,0)</f>
        <v>0</v>
      </c>
      <c r="R720" s="48">
        <f>IF(Учет!$O720=Справочники!$F$3,Учет!$H720,0)</f>
        <v>0</v>
      </c>
      <c r="S720" s="48">
        <f>IF(Учет!$O720=Справочники!$F$4,Учет!$H720,0)</f>
        <v>0</v>
      </c>
      <c r="T720" s="48">
        <f>IF(Учет!$O720=Справочники!$F$5,Учет!$H720,0)</f>
        <v>0</v>
      </c>
      <c r="U720" s="48">
        <f>IF(Учет!$O720=Справочники!$F$6,Учет!$H720,0)</f>
        <v>0</v>
      </c>
      <c r="V720" s="43">
        <f>V719+Учет!Q720-Q720</f>
        <v>-488978.92000000004</v>
      </c>
      <c r="W720" s="43">
        <f>W719+Учет!R720-R720</f>
        <v>336855</v>
      </c>
      <c r="X720" s="43">
        <f>X719+Учет!S720-S720</f>
        <v>500</v>
      </c>
      <c r="Y720" s="43">
        <f>Y719+Учет!T720-T720</f>
        <v>1150</v>
      </c>
      <c r="Z720" s="43">
        <f>Z719+Учет!U720-U720</f>
        <v>500000</v>
      </c>
      <c r="AA720" s="45">
        <f>Учет!X720</f>
        <v>500</v>
      </c>
    </row>
    <row r="721" spans="1:27" ht="15" customHeight="1" x14ac:dyDescent="0.25">
      <c r="A721" s="1"/>
      <c r="B721" s="17"/>
      <c r="C721" s="17"/>
      <c r="D721" s="17"/>
      <c r="E721" s="17"/>
      <c r="F721" s="17"/>
      <c r="G721" s="4">
        <f t="shared" si="30"/>
        <v>0</v>
      </c>
      <c r="H721" s="17"/>
      <c r="I721" s="4">
        <f t="shared" si="32"/>
        <v>349526.07999999996</v>
      </c>
      <c r="J721" s="32" t="str">
        <f t="shared" si="31"/>
        <v/>
      </c>
      <c r="K721" s="72"/>
      <c r="L721" s="72"/>
      <c r="M721" s="2"/>
      <c r="N721" s="5"/>
      <c r="O721" s="3"/>
      <c r="P721" s="6"/>
      <c r="Q721" s="48">
        <f>IF(Учет!$O721=Справочники!$F$2,Учет!$H721,0)</f>
        <v>0</v>
      </c>
      <c r="R721" s="48">
        <f>IF(Учет!$O721=Справочники!$F$3,Учет!$H721,0)</f>
        <v>0</v>
      </c>
      <c r="S721" s="48">
        <f>IF(Учет!$O721=Справочники!$F$4,Учет!$H721,0)</f>
        <v>0</v>
      </c>
      <c r="T721" s="48">
        <f>IF(Учет!$O721=Справочники!$F$5,Учет!$H721,0)</f>
        <v>0</v>
      </c>
      <c r="U721" s="48">
        <f>IF(Учет!$O721=Справочники!$F$6,Учет!$H721,0)</f>
        <v>0</v>
      </c>
      <c r="V721" s="43">
        <f>V720+Учет!Q721-Q721</f>
        <v>-488978.92000000004</v>
      </c>
      <c r="W721" s="43">
        <f>W720+Учет!R721-R721</f>
        <v>336855</v>
      </c>
      <c r="X721" s="43">
        <f>X720+Учет!S721-S721</f>
        <v>500</v>
      </c>
      <c r="Y721" s="43">
        <f>Y720+Учет!T721-T721</f>
        <v>1150</v>
      </c>
      <c r="Z721" s="43">
        <f>Z720+Учет!U721-U721</f>
        <v>500000</v>
      </c>
      <c r="AA721" s="45">
        <f>Учет!X721</f>
        <v>500</v>
      </c>
    </row>
    <row r="722" spans="1:27" ht="15" customHeight="1" x14ac:dyDescent="0.25">
      <c r="A722" s="1"/>
      <c r="B722" s="17"/>
      <c r="C722" s="17"/>
      <c r="D722" s="17"/>
      <c r="E722" s="17"/>
      <c r="F722" s="17"/>
      <c r="G722" s="4">
        <f t="shared" si="30"/>
        <v>0</v>
      </c>
      <c r="H722" s="17"/>
      <c r="I722" s="4">
        <f t="shared" si="32"/>
        <v>349526.07999999996</v>
      </c>
      <c r="J722" s="32" t="str">
        <f t="shared" si="31"/>
        <v/>
      </c>
      <c r="K722" s="72"/>
      <c r="L722" s="72"/>
      <c r="M722" s="2"/>
      <c r="N722" s="5"/>
      <c r="O722" s="3"/>
      <c r="P722" s="6"/>
      <c r="Q722" s="48">
        <f>IF(Учет!$O722=Справочники!$F$2,Учет!$H722,0)</f>
        <v>0</v>
      </c>
      <c r="R722" s="48">
        <f>IF(Учет!$O722=Справочники!$F$3,Учет!$H722,0)</f>
        <v>0</v>
      </c>
      <c r="S722" s="48">
        <f>IF(Учет!$O722=Справочники!$F$4,Учет!$H722,0)</f>
        <v>0</v>
      </c>
      <c r="T722" s="48">
        <f>IF(Учет!$O722=Справочники!$F$5,Учет!$H722,0)</f>
        <v>0</v>
      </c>
      <c r="U722" s="48">
        <f>IF(Учет!$O722=Справочники!$F$6,Учет!$H722,0)</f>
        <v>0</v>
      </c>
      <c r="V722" s="43">
        <f>V721+Учет!Q722-Q722</f>
        <v>-488978.92000000004</v>
      </c>
      <c r="W722" s="43">
        <f>W721+Учет!R722-R722</f>
        <v>336855</v>
      </c>
      <c r="X722" s="43">
        <f>X721+Учет!S722-S722</f>
        <v>500</v>
      </c>
      <c r="Y722" s="43">
        <f>Y721+Учет!T722-T722</f>
        <v>1150</v>
      </c>
      <c r="Z722" s="43">
        <f>Z721+Учет!U722-U722</f>
        <v>500000</v>
      </c>
      <c r="AA722" s="45">
        <f>Учет!X722</f>
        <v>500</v>
      </c>
    </row>
    <row r="723" spans="1:27" ht="15" customHeight="1" x14ac:dyDescent="0.25">
      <c r="A723" s="1"/>
      <c r="B723" s="17"/>
      <c r="C723" s="17"/>
      <c r="D723" s="17"/>
      <c r="E723" s="17"/>
      <c r="F723" s="17"/>
      <c r="G723" s="4">
        <f t="shared" si="30"/>
        <v>0</v>
      </c>
      <c r="H723" s="17"/>
      <c r="I723" s="4">
        <f t="shared" si="32"/>
        <v>349526.07999999996</v>
      </c>
      <c r="J723" s="32" t="str">
        <f t="shared" si="31"/>
        <v/>
      </c>
      <c r="K723" s="72"/>
      <c r="L723" s="72"/>
      <c r="M723" s="2"/>
      <c r="N723" s="5"/>
      <c r="O723" s="3"/>
      <c r="P723" s="6"/>
      <c r="Q723" s="48">
        <f>IF(Учет!$O723=Справочники!$F$2,Учет!$H723,0)</f>
        <v>0</v>
      </c>
      <c r="R723" s="48">
        <f>IF(Учет!$O723=Справочники!$F$3,Учет!$H723,0)</f>
        <v>0</v>
      </c>
      <c r="S723" s="48">
        <f>IF(Учет!$O723=Справочники!$F$4,Учет!$H723,0)</f>
        <v>0</v>
      </c>
      <c r="T723" s="48">
        <f>IF(Учет!$O723=Справочники!$F$5,Учет!$H723,0)</f>
        <v>0</v>
      </c>
      <c r="U723" s="48">
        <f>IF(Учет!$O723=Справочники!$F$6,Учет!$H723,0)</f>
        <v>0</v>
      </c>
      <c r="V723" s="43">
        <f>V722+Учет!Q723-Q723</f>
        <v>-488978.92000000004</v>
      </c>
      <c r="W723" s="43">
        <f>W722+Учет!R723-R723</f>
        <v>336855</v>
      </c>
      <c r="X723" s="43">
        <f>X722+Учет!S723-S723</f>
        <v>500</v>
      </c>
      <c r="Y723" s="43">
        <f>Y722+Учет!T723-T723</f>
        <v>1150</v>
      </c>
      <c r="Z723" s="43">
        <f>Z722+Учет!U723-U723</f>
        <v>500000</v>
      </c>
      <c r="AA723" s="45">
        <f>Учет!X723</f>
        <v>500</v>
      </c>
    </row>
    <row r="724" spans="1:27" ht="15" customHeight="1" x14ac:dyDescent="0.25">
      <c r="A724" s="1"/>
      <c r="B724" s="17"/>
      <c r="C724" s="17"/>
      <c r="D724" s="17"/>
      <c r="E724" s="17"/>
      <c r="F724" s="17"/>
      <c r="G724" s="4">
        <f t="shared" si="30"/>
        <v>0</v>
      </c>
      <c r="H724" s="17"/>
      <c r="I724" s="4">
        <f t="shared" si="32"/>
        <v>349526.07999999996</v>
      </c>
      <c r="J724" s="32" t="str">
        <f t="shared" si="31"/>
        <v/>
      </c>
      <c r="K724" s="72"/>
      <c r="L724" s="72"/>
      <c r="M724" s="2"/>
      <c r="N724" s="5"/>
      <c r="O724" s="3"/>
      <c r="P724" s="6"/>
      <c r="Q724" s="48">
        <f>IF(Учет!$O724=Справочники!$F$2,Учет!$H724,0)</f>
        <v>0</v>
      </c>
      <c r="R724" s="48">
        <f>IF(Учет!$O724=Справочники!$F$3,Учет!$H724,0)</f>
        <v>0</v>
      </c>
      <c r="S724" s="48">
        <f>IF(Учет!$O724=Справочники!$F$4,Учет!$H724,0)</f>
        <v>0</v>
      </c>
      <c r="T724" s="48">
        <f>IF(Учет!$O724=Справочники!$F$5,Учет!$H724,0)</f>
        <v>0</v>
      </c>
      <c r="U724" s="48">
        <f>IF(Учет!$O724=Справочники!$F$6,Учет!$H724,0)</f>
        <v>0</v>
      </c>
      <c r="V724" s="43">
        <f>V723+Учет!Q724-Q724</f>
        <v>-488978.92000000004</v>
      </c>
      <c r="W724" s="43">
        <f>W723+Учет!R724-R724</f>
        <v>336855</v>
      </c>
      <c r="X724" s="43">
        <f>X723+Учет!S724-S724</f>
        <v>500</v>
      </c>
      <c r="Y724" s="43">
        <f>Y723+Учет!T724-T724</f>
        <v>1150</v>
      </c>
      <c r="Z724" s="43">
        <f>Z723+Учет!U724-U724</f>
        <v>500000</v>
      </c>
      <c r="AA724" s="45">
        <f>Учет!X724</f>
        <v>500</v>
      </c>
    </row>
    <row r="725" spans="1:27" ht="15" customHeight="1" x14ac:dyDescent="0.25">
      <c r="A725" s="1"/>
      <c r="B725" s="17"/>
      <c r="C725" s="17"/>
      <c r="D725" s="17"/>
      <c r="E725" s="17"/>
      <c r="F725" s="17"/>
      <c r="G725" s="4">
        <f t="shared" si="30"/>
        <v>0</v>
      </c>
      <c r="H725" s="17"/>
      <c r="I725" s="4">
        <f t="shared" si="32"/>
        <v>349526.07999999996</v>
      </c>
      <c r="J725" s="32" t="str">
        <f t="shared" si="31"/>
        <v/>
      </c>
      <c r="K725" s="72"/>
      <c r="L725" s="72"/>
      <c r="M725" s="2"/>
      <c r="N725" s="5"/>
      <c r="O725" s="3"/>
      <c r="P725" s="6"/>
      <c r="Q725" s="48">
        <f>IF(Учет!$O725=Справочники!$F$2,Учет!$H725,0)</f>
        <v>0</v>
      </c>
      <c r="R725" s="48">
        <f>IF(Учет!$O725=Справочники!$F$3,Учет!$H725,0)</f>
        <v>0</v>
      </c>
      <c r="S725" s="48">
        <f>IF(Учет!$O725=Справочники!$F$4,Учет!$H725,0)</f>
        <v>0</v>
      </c>
      <c r="T725" s="48">
        <f>IF(Учет!$O725=Справочники!$F$5,Учет!$H725,0)</f>
        <v>0</v>
      </c>
      <c r="U725" s="48">
        <f>IF(Учет!$O725=Справочники!$F$6,Учет!$H725,0)</f>
        <v>0</v>
      </c>
      <c r="V725" s="43">
        <f>V724+Учет!Q725-Q725</f>
        <v>-488978.92000000004</v>
      </c>
      <c r="W725" s="43">
        <f>W724+Учет!R725-R725</f>
        <v>336855</v>
      </c>
      <c r="X725" s="43">
        <f>X724+Учет!S725-S725</f>
        <v>500</v>
      </c>
      <c r="Y725" s="43">
        <f>Y724+Учет!T725-T725</f>
        <v>1150</v>
      </c>
      <c r="Z725" s="43">
        <f>Z724+Учет!U725-U725</f>
        <v>500000</v>
      </c>
      <c r="AA725" s="45">
        <f>Учет!X725</f>
        <v>500</v>
      </c>
    </row>
    <row r="726" spans="1:27" ht="15" customHeight="1" x14ac:dyDescent="0.25">
      <c r="A726" s="1"/>
      <c r="B726" s="17"/>
      <c r="C726" s="17"/>
      <c r="D726" s="17"/>
      <c r="E726" s="17"/>
      <c r="F726" s="17"/>
      <c r="G726" s="4">
        <f t="shared" si="30"/>
        <v>0</v>
      </c>
      <c r="H726" s="17"/>
      <c r="I726" s="4">
        <f t="shared" si="32"/>
        <v>349526.07999999996</v>
      </c>
      <c r="J726" s="32" t="str">
        <f t="shared" si="31"/>
        <v/>
      </c>
      <c r="K726" s="72"/>
      <c r="L726" s="72"/>
      <c r="M726" s="2"/>
      <c r="N726" s="5"/>
      <c r="O726" s="3"/>
      <c r="P726" s="6"/>
      <c r="Q726" s="48">
        <f>IF(Учет!$O726=Справочники!$F$2,Учет!$H726,0)</f>
        <v>0</v>
      </c>
      <c r="R726" s="48">
        <f>IF(Учет!$O726=Справочники!$F$3,Учет!$H726,0)</f>
        <v>0</v>
      </c>
      <c r="S726" s="48">
        <f>IF(Учет!$O726=Справочники!$F$4,Учет!$H726,0)</f>
        <v>0</v>
      </c>
      <c r="T726" s="48">
        <f>IF(Учет!$O726=Справочники!$F$5,Учет!$H726,0)</f>
        <v>0</v>
      </c>
      <c r="U726" s="48">
        <f>IF(Учет!$O726=Справочники!$F$6,Учет!$H726,0)</f>
        <v>0</v>
      </c>
      <c r="V726" s="43">
        <f>V725+Учет!Q726-Q726</f>
        <v>-488978.92000000004</v>
      </c>
      <c r="W726" s="43">
        <f>W725+Учет!R726-R726</f>
        <v>336855</v>
      </c>
      <c r="X726" s="43">
        <f>X725+Учет!S726-S726</f>
        <v>500</v>
      </c>
      <c r="Y726" s="43">
        <f>Y725+Учет!T726-T726</f>
        <v>1150</v>
      </c>
      <c r="Z726" s="43">
        <f>Z725+Учет!U726-U726</f>
        <v>500000</v>
      </c>
      <c r="AA726" s="45">
        <f>Учет!X726</f>
        <v>500</v>
      </c>
    </row>
    <row r="727" spans="1:27" ht="15" customHeight="1" x14ac:dyDescent="0.25">
      <c r="A727" s="1"/>
      <c r="B727" s="17"/>
      <c r="C727" s="17"/>
      <c r="D727" s="17"/>
      <c r="E727" s="17"/>
      <c r="F727" s="17"/>
      <c r="G727" s="4">
        <f t="shared" si="30"/>
        <v>0</v>
      </c>
      <c r="H727" s="17"/>
      <c r="I727" s="4">
        <f t="shared" si="32"/>
        <v>349526.07999999996</v>
      </c>
      <c r="J727" s="32" t="str">
        <f t="shared" si="31"/>
        <v/>
      </c>
      <c r="K727" s="72"/>
      <c r="L727" s="72"/>
      <c r="M727" s="2"/>
      <c r="N727" s="5"/>
      <c r="O727" s="3"/>
      <c r="P727" s="6"/>
      <c r="Q727" s="48">
        <f>IF(Учет!$O727=Справочники!$F$2,Учет!$H727,0)</f>
        <v>0</v>
      </c>
      <c r="R727" s="48">
        <f>IF(Учет!$O727=Справочники!$F$3,Учет!$H727,0)</f>
        <v>0</v>
      </c>
      <c r="S727" s="48">
        <f>IF(Учет!$O727=Справочники!$F$4,Учет!$H727,0)</f>
        <v>0</v>
      </c>
      <c r="T727" s="48">
        <f>IF(Учет!$O727=Справочники!$F$5,Учет!$H727,0)</f>
        <v>0</v>
      </c>
      <c r="U727" s="48">
        <f>IF(Учет!$O727=Справочники!$F$6,Учет!$H727,0)</f>
        <v>0</v>
      </c>
      <c r="V727" s="43">
        <f>V726+Учет!Q727-Q727</f>
        <v>-488978.92000000004</v>
      </c>
      <c r="W727" s="43">
        <f>W726+Учет!R727-R727</f>
        <v>336855</v>
      </c>
      <c r="X727" s="43">
        <f>X726+Учет!S727-S727</f>
        <v>500</v>
      </c>
      <c r="Y727" s="43">
        <f>Y726+Учет!T727-T727</f>
        <v>1150</v>
      </c>
      <c r="Z727" s="43">
        <f>Z726+Учет!U727-U727</f>
        <v>500000</v>
      </c>
      <c r="AA727" s="45">
        <f>Учет!X727</f>
        <v>500</v>
      </c>
    </row>
    <row r="728" spans="1:27" ht="15" customHeight="1" x14ac:dyDescent="0.25">
      <c r="A728" s="1"/>
      <c r="B728" s="17"/>
      <c r="C728" s="17"/>
      <c r="D728" s="17"/>
      <c r="E728" s="17"/>
      <c r="F728" s="17"/>
      <c r="G728" s="4">
        <f t="shared" si="30"/>
        <v>0</v>
      </c>
      <c r="H728" s="17"/>
      <c r="I728" s="4">
        <f t="shared" si="32"/>
        <v>349526.07999999996</v>
      </c>
      <c r="J728" s="32" t="str">
        <f t="shared" si="31"/>
        <v/>
      </c>
      <c r="K728" s="72"/>
      <c r="L728" s="72"/>
      <c r="M728" s="2"/>
      <c r="N728" s="5"/>
      <c r="O728" s="3"/>
      <c r="P728" s="6"/>
      <c r="Q728" s="48">
        <f>IF(Учет!$O728=Справочники!$F$2,Учет!$H728,0)</f>
        <v>0</v>
      </c>
      <c r="R728" s="48">
        <f>IF(Учет!$O728=Справочники!$F$3,Учет!$H728,0)</f>
        <v>0</v>
      </c>
      <c r="S728" s="48">
        <f>IF(Учет!$O728=Справочники!$F$4,Учет!$H728,0)</f>
        <v>0</v>
      </c>
      <c r="T728" s="48">
        <f>IF(Учет!$O728=Справочники!$F$5,Учет!$H728,0)</f>
        <v>0</v>
      </c>
      <c r="U728" s="48">
        <f>IF(Учет!$O728=Справочники!$F$6,Учет!$H728,0)</f>
        <v>0</v>
      </c>
      <c r="V728" s="43">
        <f>V727+Учет!Q728-Q728</f>
        <v>-488978.92000000004</v>
      </c>
      <c r="W728" s="43">
        <f>W727+Учет!R728-R728</f>
        <v>336855</v>
      </c>
      <c r="X728" s="43">
        <f>X727+Учет!S728-S728</f>
        <v>500</v>
      </c>
      <c r="Y728" s="43">
        <f>Y727+Учет!T728-T728</f>
        <v>1150</v>
      </c>
      <c r="Z728" s="43">
        <f>Z727+Учет!U728-U728</f>
        <v>500000</v>
      </c>
      <c r="AA728" s="45">
        <f>Учет!X728</f>
        <v>500</v>
      </c>
    </row>
    <row r="729" spans="1:27" ht="15" customHeight="1" x14ac:dyDescent="0.25">
      <c r="A729" s="1"/>
      <c r="B729" s="17"/>
      <c r="C729" s="17"/>
      <c r="D729" s="17"/>
      <c r="E729" s="17"/>
      <c r="F729" s="17"/>
      <c r="G729" s="4">
        <f t="shared" si="30"/>
        <v>0</v>
      </c>
      <c r="H729" s="17"/>
      <c r="I729" s="4">
        <f t="shared" si="32"/>
        <v>349526.07999999996</v>
      </c>
      <c r="J729" s="32" t="str">
        <f t="shared" si="31"/>
        <v/>
      </c>
      <c r="K729" s="72"/>
      <c r="L729" s="72"/>
      <c r="M729" s="2"/>
      <c r="N729" s="5"/>
      <c r="O729" s="3"/>
      <c r="P729" s="6"/>
      <c r="Q729" s="48">
        <f>IF(Учет!$O729=Справочники!$F$2,Учет!$H729,0)</f>
        <v>0</v>
      </c>
      <c r="R729" s="48">
        <f>IF(Учет!$O729=Справочники!$F$3,Учет!$H729,0)</f>
        <v>0</v>
      </c>
      <c r="S729" s="48">
        <f>IF(Учет!$O729=Справочники!$F$4,Учет!$H729,0)</f>
        <v>0</v>
      </c>
      <c r="T729" s="48">
        <f>IF(Учет!$O729=Справочники!$F$5,Учет!$H729,0)</f>
        <v>0</v>
      </c>
      <c r="U729" s="48">
        <f>IF(Учет!$O729=Справочники!$F$6,Учет!$H729,0)</f>
        <v>0</v>
      </c>
      <c r="V729" s="43">
        <f>V728+Учет!Q729-Q729</f>
        <v>-488978.92000000004</v>
      </c>
      <c r="W729" s="43">
        <f>W728+Учет!R729-R729</f>
        <v>336855</v>
      </c>
      <c r="X729" s="43">
        <f>X728+Учет!S729-S729</f>
        <v>500</v>
      </c>
      <c r="Y729" s="43">
        <f>Y728+Учет!T729-T729</f>
        <v>1150</v>
      </c>
      <c r="Z729" s="43">
        <f>Z728+Учет!U729-U729</f>
        <v>500000</v>
      </c>
      <c r="AA729" s="45">
        <f>Учет!X729</f>
        <v>500</v>
      </c>
    </row>
    <row r="730" spans="1:27" ht="15" customHeight="1" x14ac:dyDescent="0.25">
      <c r="A730" s="1"/>
      <c r="B730" s="17"/>
      <c r="C730" s="17"/>
      <c r="D730" s="17"/>
      <c r="E730" s="17"/>
      <c r="F730" s="17"/>
      <c r="G730" s="4">
        <f t="shared" si="30"/>
        <v>0</v>
      </c>
      <c r="H730" s="17"/>
      <c r="I730" s="4">
        <f t="shared" si="32"/>
        <v>349526.07999999996</v>
      </c>
      <c r="J730" s="32" t="str">
        <f t="shared" si="31"/>
        <v/>
      </c>
      <c r="K730" s="72"/>
      <c r="L730" s="72"/>
      <c r="M730" s="2"/>
      <c r="N730" s="5"/>
      <c r="O730" s="3"/>
      <c r="P730" s="6"/>
      <c r="Q730" s="48">
        <f>IF(Учет!$O730=Справочники!$F$2,Учет!$H730,0)</f>
        <v>0</v>
      </c>
      <c r="R730" s="48">
        <f>IF(Учет!$O730=Справочники!$F$3,Учет!$H730,0)</f>
        <v>0</v>
      </c>
      <c r="S730" s="48">
        <f>IF(Учет!$O730=Справочники!$F$4,Учет!$H730,0)</f>
        <v>0</v>
      </c>
      <c r="T730" s="48">
        <f>IF(Учет!$O730=Справочники!$F$5,Учет!$H730,0)</f>
        <v>0</v>
      </c>
      <c r="U730" s="48">
        <f>IF(Учет!$O730=Справочники!$F$6,Учет!$H730,0)</f>
        <v>0</v>
      </c>
      <c r="V730" s="43">
        <f>V729+Учет!Q730-Q730</f>
        <v>-488978.92000000004</v>
      </c>
      <c r="W730" s="43">
        <f>W729+Учет!R730-R730</f>
        <v>336855</v>
      </c>
      <c r="X730" s="43">
        <f>X729+Учет!S730-S730</f>
        <v>500</v>
      </c>
      <c r="Y730" s="43">
        <f>Y729+Учет!T730-T730</f>
        <v>1150</v>
      </c>
      <c r="Z730" s="43">
        <f>Z729+Учет!U730-U730</f>
        <v>500000</v>
      </c>
      <c r="AA730" s="45">
        <f>Учет!X730</f>
        <v>500</v>
      </c>
    </row>
    <row r="731" spans="1:27" ht="15" customHeight="1" x14ac:dyDescent="0.25">
      <c r="A731" s="1"/>
      <c r="B731" s="17"/>
      <c r="C731" s="17"/>
      <c r="D731" s="17"/>
      <c r="E731" s="17"/>
      <c r="F731" s="17"/>
      <c r="G731" s="4">
        <f t="shared" si="30"/>
        <v>0</v>
      </c>
      <c r="H731" s="17"/>
      <c r="I731" s="4">
        <f t="shared" si="32"/>
        <v>349526.07999999996</v>
      </c>
      <c r="J731" s="32" t="str">
        <f t="shared" si="31"/>
        <v/>
      </c>
      <c r="K731" s="72"/>
      <c r="L731" s="72"/>
      <c r="M731" s="2"/>
      <c r="N731" s="5"/>
      <c r="O731" s="3"/>
      <c r="P731" s="6"/>
      <c r="Q731" s="48">
        <f>IF(Учет!$O731=Справочники!$F$2,Учет!$H731,0)</f>
        <v>0</v>
      </c>
      <c r="R731" s="48">
        <f>IF(Учет!$O731=Справочники!$F$3,Учет!$H731,0)</f>
        <v>0</v>
      </c>
      <c r="S731" s="48">
        <f>IF(Учет!$O731=Справочники!$F$4,Учет!$H731,0)</f>
        <v>0</v>
      </c>
      <c r="T731" s="48">
        <f>IF(Учет!$O731=Справочники!$F$5,Учет!$H731,0)</f>
        <v>0</v>
      </c>
      <c r="U731" s="48">
        <f>IF(Учет!$O731=Справочники!$F$6,Учет!$H731,0)</f>
        <v>0</v>
      </c>
      <c r="V731" s="43">
        <f>V730+Учет!Q731-Q731</f>
        <v>-488978.92000000004</v>
      </c>
      <c r="W731" s="43">
        <f>W730+Учет!R731-R731</f>
        <v>336855</v>
      </c>
      <c r="X731" s="43">
        <f>X730+Учет!S731-S731</f>
        <v>500</v>
      </c>
      <c r="Y731" s="43">
        <f>Y730+Учет!T731-T731</f>
        <v>1150</v>
      </c>
      <c r="Z731" s="43">
        <f>Z730+Учет!U731-U731</f>
        <v>500000</v>
      </c>
      <c r="AA731" s="45">
        <f>Учет!X731</f>
        <v>500</v>
      </c>
    </row>
    <row r="732" spans="1:27" ht="15" customHeight="1" x14ac:dyDescent="0.25">
      <c r="A732" s="1"/>
      <c r="B732" s="17"/>
      <c r="C732" s="17"/>
      <c r="D732" s="17"/>
      <c r="E732" s="17"/>
      <c r="F732" s="17"/>
      <c r="G732" s="4">
        <f t="shared" si="30"/>
        <v>0</v>
      </c>
      <c r="H732" s="17"/>
      <c r="I732" s="4">
        <f t="shared" si="32"/>
        <v>349526.07999999996</v>
      </c>
      <c r="J732" s="32" t="str">
        <f t="shared" si="31"/>
        <v/>
      </c>
      <c r="K732" s="72"/>
      <c r="L732" s="72"/>
      <c r="M732" s="2"/>
      <c r="N732" s="5"/>
      <c r="O732" s="3"/>
      <c r="P732" s="6"/>
      <c r="Q732" s="48">
        <f>IF(Учет!$O732=Справочники!$F$2,Учет!$H732,0)</f>
        <v>0</v>
      </c>
      <c r="R732" s="48">
        <f>IF(Учет!$O732=Справочники!$F$3,Учет!$H732,0)</f>
        <v>0</v>
      </c>
      <c r="S732" s="48">
        <f>IF(Учет!$O732=Справочники!$F$4,Учет!$H732,0)</f>
        <v>0</v>
      </c>
      <c r="T732" s="48">
        <f>IF(Учет!$O732=Справочники!$F$5,Учет!$H732,0)</f>
        <v>0</v>
      </c>
      <c r="U732" s="48">
        <f>IF(Учет!$O732=Справочники!$F$6,Учет!$H732,0)</f>
        <v>0</v>
      </c>
      <c r="V732" s="43">
        <f>V731+Учет!Q732-Q732</f>
        <v>-488978.92000000004</v>
      </c>
      <c r="W732" s="43">
        <f>W731+Учет!R732-R732</f>
        <v>336855</v>
      </c>
      <c r="X732" s="43">
        <f>X731+Учет!S732-S732</f>
        <v>500</v>
      </c>
      <c r="Y732" s="43">
        <f>Y731+Учет!T732-T732</f>
        <v>1150</v>
      </c>
      <c r="Z732" s="43">
        <f>Z731+Учет!U732-U732</f>
        <v>500000</v>
      </c>
      <c r="AA732" s="45">
        <f>Учет!X732</f>
        <v>500</v>
      </c>
    </row>
    <row r="733" spans="1:27" ht="15" customHeight="1" x14ac:dyDescent="0.25">
      <c r="A733" s="1"/>
      <c r="B733" s="17"/>
      <c r="C733" s="17"/>
      <c r="D733" s="17"/>
      <c r="E733" s="17"/>
      <c r="F733" s="17"/>
      <c r="G733" s="4">
        <f t="shared" si="30"/>
        <v>0</v>
      </c>
      <c r="H733" s="17"/>
      <c r="I733" s="4">
        <f t="shared" si="32"/>
        <v>349526.07999999996</v>
      </c>
      <c r="J733" s="32" t="str">
        <f t="shared" si="31"/>
        <v/>
      </c>
      <c r="K733" s="72"/>
      <c r="L733" s="72"/>
      <c r="M733" s="2"/>
      <c r="N733" s="5"/>
      <c r="O733" s="3"/>
      <c r="P733" s="6"/>
      <c r="Q733" s="48">
        <f>IF(Учет!$O733=Справочники!$F$2,Учет!$H733,0)</f>
        <v>0</v>
      </c>
      <c r="R733" s="48">
        <f>IF(Учет!$O733=Справочники!$F$3,Учет!$H733,0)</f>
        <v>0</v>
      </c>
      <c r="S733" s="48">
        <f>IF(Учет!$O733=Справочники!$F$4,Учет!$H733,0)</f>
        <v>0</v>
      </c>
      <c r="T733" s="48">
        <f>IF(Учет!$O733=Справочники!$F$5,Учет!$H733,0)</f>
        <v>0</v>
      </c>
      <c r="U733" s="48">
        <f>IF(Учет!$O733=Справочники!$F$6,Учет!$H733,0)</f>
        <v>0</v>
      </c>
      <c r="V733" s="43">
        <f>V732+Учет!Q733-Q733</f>
        <v>-488978.92000000004</v>
      </c>
      <c r="W733" s="43">
        <f>W732+Учет!R733-R733</f>
        <v>336855</v>
      </c>
      <c r="X733" s="43">
        <f>X732+Учет!S733-S733</f>
        <v>500</v>
      </c>
      <c r="Y733" s="43">
        <f>Y732+Учет!T733-T733</f>
        <v>1150</v>
      </c>
      <c r="Z733" s="43">
        <f>Z732+Учет!U733-U733</f>
        <v>500000</v>
      </c>
      <c r="AA733" s="45">
        <f>Учет!X733</f>
        <v>500</v>
      </c>
    </row>
    <row r="734" spans="1:27" ht="15" customHeight="1" x14ac:dyDescent="0.25">
      <c r="A734" s="1"/>
      <c r="B734" s="17"/>
      <c r="C734" s="17"/>
      <c r="D734" s="17"/>
      <c r="E734" s="17"/>
      <c r="F734" s="17"/>
      <c r="G734" s="4">
        <f t="shared" si="30"/>
        <v>0</v>
      </c>
      <c r="H734" s="17"/>
      <c r="I734" s="4">
        <f t="shared" si="32"/>
        <v>349526.07999999996</v>
      </c>
      <c r="J734" s="32" t="str">
        <f t="shared" si="31"/>
        <v/>
      </c>
      <c r="K734" s="72"/>
      <c r="L734" s="72"/>
      <c r="M734" s="2"/>
      <c r="N734" s="5"/>
      <c r="O734" s="3"/>
      <c r="P734" s="6"/>
      <c r="Q734" s="48">
        <f>IF(Учет!$O734=Справочники!$F$2,Учет!$H734,0)</f>
        <v>0</v>
      </c>
      <c r="R734" s="48">
        <f>IF(Учет!$O734=Справочники!$F$3,Учет!$H734,0)</f>
        <v>0</v>
      </c>
      <c r="S734" s="48">
        <f>IF(Учет!$O734=Справочники!$F$4,Учет!$H734,0)</f>
        <v>0</v>
      </c>
      <c r="T734" s="48">
        <f>IF(Учет!$O734=Справочники!$F$5,Учет!$H734,0)</f>
        <v>0</v>
      </c>
      <c r="U734" s="48">
        <f>IF(Учет!$O734=Справочники!$F$6,Учет!$H734,0)</f>
        <v>0</v>
      </c>
      <c r="V734" s="43">
        <f>V733+Учет!Q734-Q734</f>
        <v>-488978.92000000004</v>
      </c>
      <c r="W734" s="43">
        <f>W733+Учет!R734-R734</f>
        <v>336855</v>
      </c>
      <c r="X734" s="43">
        <f>X733+Учет!S734-S734</f>
        <v>500</v>
      </c>
      <c r="Y734" s="43">
        <f>Y733+Учет!T734-T734</f>
        <v>1150</v>
      </c>
      <c r="Z734" s="43">
        <f>Z733+Учет!U734-U734</f>
        <v>500000</v>
      </c>
      <c r="AA734" s="45">
        <f>Учет!X734</f>
        <v>500</v>
      </c>
    </row>
    <row r="735" spans="1:27" ht="15" customHeight="1" x14ac:dyDescent="0.25">
      <c r="A735" s="1"/>
      <c r="B735" s="17"/>
      <c r="C735" s="17"/>
      <c r="D735" s="17"/>
      <c r="E735" s="17"/>
      <c r="F735" s="17"/>
      <c r="G735" s="4">
        <f t="shared" si="30"/>
        <v>0</v>
      </c>
      <c r="H735" s="17"/>
      <c r="I735" s="4">
        <f t="shared" si="32"/>
        <v>349526.07999999996</v>
      </c>
      <c r="J735" s="32" t="str">
        <f t="shared" si="31"/>
        <v/>
      </c>
      <c r="K735" s="72"/>
      <c r="L735" s="72"/>
      <c r="M735" s="2"/>
      <c r="N735" s="5"/>
      <c r="O735" s="3"/>
      <c r="P735" s="6"/>
      <c r="Q735" s="48">
        <f>IF(Учет!$O735=Справочники!$F$2,Учет!$H735,0)</f>
        <v>0</v>
      </c>
      <c r="R735" s="48">
        <f>IF(Учет!$O735=Справочники!$F$3,Учет!$H735,0)</f>
        <v>0</v>
      </c>
      <c r="S735" s="48">
        <f>IF(Учет!$O735=Справочники!$F$4,Учет!$H735,0)</f>
        <v>0</v>
      </c>
      <c r="T735" s="48">
        <f>IF(Учет!$O735=Справочники!$F$5,Учет!$H735,0)</f>
        <v>0</v>
      </c>
      <c r="U735" s="48">
        <f>IF(Учет!$O735=Справочники!$F$6,Учет!$H735,0)</f>
        <v>0</v>
      </c>
      <c r="V735" s="43">
        <f>V734+Учет!Q735-Q735</f>
        <v>-488978.92000000004</v>
      </c>
      <c r="W735" s="43">
        <f>W734+Учет!R735-R735</f>
        <v>336855</v>
      </c>
      <c r="X735" s="43">
        <f>X734+Учет!S735-S735</f>
        <v>500</v>
      </c>
      <c r="Y735" s="43">
        <f>Y734+Учет!T735-T735</f>
        <v>1150</v>
      </c>
      <c r="Z735" s="43">
        <f>Z734+Учет!U735-U735</f>
        <v>500000</v>
      </c>
      <c r="AA735" s="45">
        <f>Учет!X735</f>
        <v>500</v>
      </c>
    </row>
    <row r="736" spans="1:27" ht="15" customHeight="1" x14ac:dyDescent="0.25">
      <c r="A736" s="1"/>
      <c r="B736" s="17"/>
      <c r="C736" s="17"/>
      <c r="D736" s="17"/>
      <c r="E736" s="17"/>
      <c r="F736" s="17"/>
      <c r="G736" s="4">
        <f t="shared" si="30"/>
        <v>0</v>
      </c>
      <c r="H736" s="17"/>
      <c r="I736" s="4">
        <f t="shared" si="32"/>
        <v>349526.07999999996</v>
      </c>
      <c r="J736" s="32" t="str">
        <f t="shared" si="31"/>
        <v/>
      </c>
      <c r="K736" s="72"/>
      <c r="L736" s="72"/>
      <c r="M736" s="2"/>
      <c r="N736" s="5"/>
      <c r="O736" s="3"/>
      <c r="P736" s="6"/>
      <c r="Q736" s="48">
        <f>IF(Учет!$O736=Справочники!$F$2,Учет!$H736,0)</f>
        <v>0</v>
      </c>
      <c r="R736" s="48">
        <f>IF(Учет!$O736=Справочники!$F$3,Учет!$H736,0)</f>
        <v>0</v>
      </c>
      <c r="S736" s="48">
        <f>IF(Учет!$O736=Справочники!$F$4,Учет!$H736,0)</f>
        <v>0</v>
      </c>
      <c r="T736" s="48">
        <f>IF(Учет!$O736=Справочники!$F$5,Учет!$H736,0)</f>
        <v>0</v>
      </c>
      <c r="U736" s="48">
        <f>IF(Учет!$O736=Справочники!$F$6,Учет!$H736,0)</f>
        <v>0</v>
      </c>
      <c r="V736" s="43">
        <f>V735+Учет!Q736-Q736</f>
        <v>-488978.92000000004</v>
      </c>
      <c r="W736" s="43">
        <f>W735+Учет!R736-R736</f>
        <v>336855</v>
      </c>
      <c r="X736" s="43">
        <f>X735+Учет!S736-S736</f>
        <v>500</v>
      </c>
      <c r="Y736" s="43">
        <f>Y735+Учет!T736-T736</f>
        <v>1150</v>
      </c>
      <c r="Z736" s="43">
        <f>Z735+Учет!U736-U736</f>
        <v>500000</v>
      </c>
      <c r="AA736" s="45">
        <f>Учет!X736</f>
        <v>500</v>
      </c>
    </row>
    <row r="737" spans="1:27" ht="15" customHeight="1" x14ac:dyDescent="0.25">
      <c r="A737" s="1"/>
      <c r="B737" s="17"/>
      <c r="C737" s="17"/>
      <c r="D737" s="17"/>
      <c r="E737" s="17"/>
      <c r="F737" s="17"/>
      <c r="G737" s="4">
        <f t="shared" si="30"/>
        <v>0</v>
      </c>
      <c r="H737" s="17"/>
      <c r="I737" s="4">
        <f t="shared" si="32"/>
        <v>349526.07999999996</v>
      </c>
      <c r="J737" s="32" t="str">
        <f t="shared" si="31"/>
        <v/>
      </c>
      <c r="K737" s="72"/>
      <c r="L737" s="72"/>
      <c r="M737" s="2"/>
      <c r="N737" s="5"/>
      <c r="O737" s="3"/>
      <c r="P737" s="6"/>
      <c r="Q737" s="48">
        <f>IF(Учет!$O737=Справочники!$F$2,Учет!$H737,0)</f>
        <v>0</v>
      </c>
      <c r="R737" s="48">
        <f>IF(Учет!$O737=Справочники!$F$3,Учет!$H737,0)</f>
        <v>0</v>
      </c>
      <c r="S737" s="48">
        <f>IF(Учет!$O737=Справочники!$F$4,Учет!$H737,0)</f>
        <v>0</v>
      </c>
      <c r="T737" s="48">
        <f>IF(Учет!$O737=Справочники!$F$5,Учет!$H737,0)</f>
        <v>0</v>
      </c>
      <c r="U737" s="48">
        <f>IF(Учет!$O737=Справочники!$F$6,Учет!$H737,0)</f>
        <v>0</v>
      </c>
      <c r="V737" s="43">
        <f>V736+Учет!Q737-Q737</f>
        <v>-488978.92000000004</v>
      </c>
      <c r="W737" s="43">
        <f>W736+Учет!R737-R737</f>
        <v>336855</v>
      </c>
      <c r="X737" s="43">
        <f>X736+Учет!S737-S737</f>
        <v>500</v>
      </c>
      <c r="Y737" s="43">
        <f>Y736+Учет!T737-T737</f>
        <v>1150</v>
      </c>
      <c r="Z737" s="43">
        <f>Z736+Учет!U737-U737</f>
        <v>500000</v>
      </c>
      <c r="AA737" s="45">
        <f>Учет!X737</f>
        <v>500</v>
      </c>
    </row>
    <row r="738" spans="1:27" ht="15" customHeight="1" x14ac:dyDescent="0.25">
      <c r="A738" s="1"/>
      <c r="B738" s="17"/>
      <c r="C738" s="17"/>
      <c r="D738" s="17"/>
      <c r="E738" s="17"/>
      <c r="F738" s="17"/>
      <c r="G738" s="4">
        <f t="shared" si="30"/>
        <v>0</v>
      </c>
      <c r="H738" s="17"/>
      <c r="I738" s="4">
        <f t="shared" si="32"/>
        <v>349526.07999999996</v>
      </c>
      <c r="J738" s="32" t="str">
        <f t="shared" si="31"/>
        <v/>
      </c>
      <c r="K738" s="72"/>
      <c r="L738" s="72"/>
      <c r="M738" s="2"/>
      <c r="N738" s="5"/>
      <c r="O738" s="3"/>
      <c r="P738" s="6"/>
      <c r="Q738" s="48">
        <f>IF(Учет!$O738=Справочники!$F$2,Учет!$H738,0)</f>
        <v>0</v>
      </c>
      <c r="R738" s="48">
        <f>IF(Учет!$O738=Справочники!$F$3,Учет!$H738,0)</f>
        <v>0</v>
      </c>
      <c r="S738" s="48">
        <f>IF(Учет!$O738=Справочники!$F$4,Учет!$H738,0)</f>
        <v>0</v>
      </c>
      <c r="T738" s="48">
        <f>IF(Учет!$O738=Справочники!$F$5,Учет!$H738,0)</f>
        <v>0</v>
      </c>
      <c r="U738" s="48">
        <f>IF(Учет!$O738=Справочники!$F$6,Учет!$H738,0)</f>
        <v>0</v>
      </c>
      <c r="V738" s="43">
        <f>V737+Учет!Q738-Q738</f>
        <v>-488978.92000000004</v>
      </c>
      <c r="W738" s="43">
        <f>W737+Учет!R738-R738</f>
        <v>336855</v>
      </c>
      <c r="X738" s="43">
        <f>X737+Учет!S738-S738</f>
        <v>500</v>
      </c>
      <c r="Y738" s="43">
        <f>Y737+Учет!T738-T738</f>
        <v>1150</v>
      </c>
      <c r="Z738" s="43">
        <f>Z737+Учет!U738-U738</f>
        <v>500000</v>
      </c>
      <c r="AA738" s="45">
        <f>Учет!X738</f>
        <v>500</v>
      </c>
    </row>
    <row r="739" spans="1:27" ht="15" customHeight="1" x14ac:dyDescent="0.25">
      <c r="A739" s="1"/>
      <c r="B739" s="17"/>
      <c r="C739" s="17"/>
      <c r="D739" s="17"/>
      <c r="E739" s="17"/>
      <c r="F739" s="17"/>
      <c r="G739" s="4">
        <f t="shared" si="30"/>
        <v>0</v>
      </c>
      <c r="H739" s="17"/>
      <c r="I739" s="4">
        <f t="shared" si="32"/>
        <v>349526.07999999996</v>
      </c>
      <c r="J739" s="32" t="str">
        <f t="shared" si="31"/>
        <v/>
      </c>
      <c r="K739" s="72"/>
      <c r="L739" s="72"/>
      <c r="M739" s="2"/>
      <c r="N739" s="5"/>
      <c r="O739" s="3"/>
      <c r="P739" s="6"/>
      <c r="Q739" s="48">
        <f>IF(Учет!$O739=Справочники!$F$2,Учет!$H739,0)</f>
        <v>0</v>
      </c>
      <c r="R739" s="48">
        <f>IF(Учет!$O739=Справочники!$F$3,Учет!$H739,0)</f>
        <v>0</v>
      </c>
      <c r="S739" s="48">
        <f>IF(Учет!$O739=Справочники!$F$4,Учет!$H739,0)</f>
        <v>0</v>
      </c>
      <c r="T739" s="48">
        <f>IF(Учет!$O739=Справочники!$F$5,Учет!$H739,0)</f>
        <v>0</v>
      </c>
      <c r="U739" s="48">
        <f>IF(Учет!$O739=Справочники!$F$6,Учет!$H739,0)</f>
        <v>0</v>
      </c>
      <c r="V739" s="43">
        <f>V738+Учет!Q739-Q739</f>
        <v>-488978.92000000004</v>
      </c>
      <c r="W739" s="43">
        <f>W738+Учет!R739-R739</f>
        <v>336855</v>
      </c>
      <c r="X739" s="43">
        <f>X738+Учет!S739-S739</f>
        <v>500</v>
      </c>
      <c r="Y739" s="43">
        <f>Y738+Учет!T739-T739</f>
        <v>1150</v>
      </c>
      <c r="Z739" s="43">
        <f>Z738+Учет!U739-U739</f>
        <v>500000</v>
      </c>
      <c r="AA739" s="45">
        <f>Учет!X739</f>
        <v>500</v>
      </c>
    </row>
    <row r="740" spans="1:27" ht="15" customHeight="1" x14ac:dyDescent="0.25">
      <c r="A740" s="1"/>
      <c r="B740" s="17"/>
      <c r="C740" s="17"/>
      <c r="D740" s="17"/>
      <c r="E740" s="17"/>
      <c r="F740" s="17"/>
      <c r="G740" s="4">
        <f t="shared" si="30"/>
        <v>0</v>
      </c>
      <c r="H740" s="17"/>
      <c r="I740" s="4">
        <f t="shared" si="32"/>
        <v>349526.07999999996</v>
      </c>
      <c r="J740" s="32" t="str">
        <f t="shared" si="31"/>
        <v/>
      </c>
      <c r="K740" s="72"/>
      <c r="L740" s="72"/>
      <c r="M740" s="2"/>
      <c r="N740" s="5"/>
      <c r="O740" s="3"/>
      <c r="P740" s="6"/>
      <c r="Q740" s="48">
        <f>IF(Учет!$O740=Справочники!$F$2,Учет!$H740,0)</f>
        <v>0</v>
      </c>
      <c r="R740" s="48">
        <f>IF(Учет!$O740=Справочники!$F$3,Учет!$H740,0)</f>
        <v>0</v>
      </c>
      <c r="S740" s="48">
        <f>IF(Учет!$O740=Справочники!$F$4,Учет!$H740,0)</f>
        <v>0</v>
      </c>
      <c r="T740" s="48">
        <f>IF(Учет!$O740=Справочники!$F$5,Учет!$H740,0)</f>
        <v>0</v>
      </c>
      <c r="U740" s="48">
        <f>IF(Учет!$O740=Справочники!$F$6,Учет!$H740,0)</f>
        <v>0</v>
      </c>
      <c r="V740" s="43">
        <f>V739+Учет!Q740-Q740</f>
        <v>-488978.92000000004</v>
      </c>
      <c r="W740" s="43">
        <f>W739+Учет!R740-R740</f>
        <v>336855</v>
      </c>
      <c r="X740" s="43">
        <f>X739+Учет!S740-S740</f>
        <v>500</v>
      </c>
      <c r="Y740" s="43">
        <f>Y739+Учет!T740-T740</f>
        <v>1150</v>
      </c>
      <c r="Z740" s="43">
        <f>Z739+Учет!U740-U740</f>
        <v>500000</v>
      </c>
      <c r="AA740" s="45">
        <f>Учет!X740</f>
        <v>500</v>
      </c>
    </row>
    <row r="741" spans="1:27" ht="15" customHeight="1" x14ac:dyDescent="0.25">
      <c r="A741" s="1"/>
      <c r="B741" s="17"/>
      <c r="C741" s="17"/>
      <c r="D741" s="17"/>
      <c r="E741" s="17"/>
      <c r="F741" s="17"/>
      <c r="G741" s="4">
        <f t="shared" si="30"/>
        <v>0</v>
      </c>
      <c r="H741" s="17"/>
      <c r="I741" s="4">
        <f t="shared" si="32"/>
        <v>349526.07999999996</v>
      </c>
      <c r="J741" s="32" t="str">
        <f t="shared" si="31"/>
        <v/>
      </c>
      <c r="K741" s="72"/>
      <c r="L741" s="72"/>
      <c r="M741" s="2"/>
      <c r="N741" s="5"/>
      <c r="O741" s="3"/>
      <c r="P741" s="6"/>
      <c r="Q741" s="48">
        <f>IF(Учет!$O741=Справочники!$F$2,Учет!$H741,0)</f>
        <v>0</v>
      </c>
      <c r="R741" s="48">
        <f>IF(Учет!$O741=Справочники!$F$3,Учет!$H741,0)</f>
        <v>0</v>
      </c>
      <c r="S741" s="48">
        <f>IF(Учет!$O741=Справочники!$F$4,Учет!$H741,0)</f>
        <v>0</v>
      </c>
      <c r="T741" s="48">
        <f>IF(Учет!$O741=Справочники!$F$5,Учет!$H741,0)</f>
        <v>0</v>
      </c>
      <c r="U741" s="48">
        <f>IF(Учет!$O741=Справочники!$F$6,Учет!$H741,0)</f>
        <v>0</v>
      </c>
      <c r="V741" s="43">
        <f>V740+Учет!Q741-Q741</f>
        <v>-488978.92000000004</v>
      </c>
      <c r="W741" s="43">
        <f>W740+Учет!R741-R741</f>
        <v>336855</v>
      </c>
      <c r="X741" s="43">
        <f>X740+Учет!S741-S741</f>
        <v>500</v>
      </c>
      <c r="Y741" s="43">
        <f>Y740+Учет!T741-T741</f>
        <v>1150</v>
      </c>
      <c r="Z741" s="43">
        <f>Z740+Учет!U741-U741</f>
        <v>500000</v>
      </c>
      <c r="AA741" s="45">
        <f>Учет!X741</f>
        <v>500</v>
      </c>
    </row>
    <row r="742" spans="1:27" ht="15" customHeight="1" x14ac:dyDescent="0.25">
      <c r="A742" s="1"/>
      <c r="B742" s="17"/>
      <c r="C742" s="17"/>
      <c r="D742" s="17"/>
      <c r="E742" s="17"/>
      <c r="F742" s="17"/>
      <c r="G742" s="4">
        <f t="shared" si="30"/>
        <v>0</v>
      </c>
      <c r="H742" s="17"/>
      <c r="I742" s="4">
        <f t="shared" si="32"/>
        <v>349526.07999999996</v>
      </c>
      <c r="J742" s="32" t="str">
        <f t="shared" si="31"/>
        <v/>
      </c>
      <c r="K742" s="72"/>
      <c r="L742" s="72"/>
      <c r="M742" s="2"/>
      <c r="N742" s="5"/>
      <c r="O742" s="3"/>
      <c r="P742" s="6"/>
      <c r="Q742" s="48">
        <f>IF(Учет!$O742=Справочники!$F$2,Учет!$H742,0)</f>
        <v>0</v>
      </c>
      <c r="R742" s="48">
        <f>IF(Учет!$O742=Справочники!$F$3,Учет!$H742,0)</f>
        <v>0</v>
      </c>
      <c r="S742" s="48">
        <f>IF(Учет!$O742=Справочники!$F$4,Учет!$H742,0)</f>
        <v>0</v>
      </c>
      <c r="T742" s="48">
        <f>IF(Учет!$O742=Справочники!$F$5,Учет!$H742,0)</f>
        <v>0</v>
      </c>
      <c r="U742" s="48">
        <f>IF(Учет!$O742=Справочники!$F$6,Учет!$H742,0)</f>
        <v>0</v>
      </c>
      <c r="V742" s="43">
        <f>V741+Учет!Q742-Q742</f>
        <v>-488978.92000000004</v>
      </c>
      <c r="W742" s="43">
        <f>W741+Учет!R742-R742</f>
        <v>336855</v>
      </c>
      <c r="X742" s="43">
        <f>X741+Учет!S742-S742</f>
        <v>500</v>
      </c>
      <c r="Y742" s="43">
        <f>Y741+Учет!T742-T742</f>
        <v>1150</v>
      </c>
      <c r="Z742" s="43">
        <f>Z741+Учет!U742-U742</f>
        <v>500000</v>
      </c>
      <c r="AA742" s="45">
        <f>Учет!X742</f>
        <v>500</v>
      </c>
    </row>
    <row r="743" spans="1:27" ht="15" customHeight="1" x14ac:dyDescent="0.25">
      <c r="A743" s="1"/>
      <c r="B743" s="17"/>
      <c r="C743" s="17"/>
      <c r="D743" s="17"/>
      <c r="E743" s="17"/>
      <c r="F743" s="17"/>
      <c r="G743" s="4">
        <f t="shared" si="30"/>
        <v>0</v>
      </c>
      <c r="H743" s="17"/>
      <c r="I743" s="4">
        <f t="shared" si="32"/>
        <v>349526.07999999996</v>
      </c>
      <c r="J743" s="32" t="str">
        <f t="shared" si="31"/>
        <v/>
      </c>
      <c r="K743" s="72"/>
      <c r="L743" s="72"/>
      <c r="M743" s="2"/>
      <c r="N743" s="5"/>
      <c r="O743" s="3"/>
      <c r="P743" s="6"/>
      <c r="Q743" s="48">
        <f>IF(Учет!$O743=Справочники!$F$2,Учет!$H743,0)</f>
        <v>0</v>
      </c>
      <c r="R743" s="48">
        <f>IF(Учет!$O743=Справочники!$F$3,Учет!$H743,0)</f>
        <v>0</v>
      </c>
      <c r="S743" s="48">
        <f>IF(Учет!$O743=Справочники!$F$4,Учет!$H743,0)</f>
        <v>0</v>
      </c>
      <c r="T743" s="48">
        <f>IF(Учет!$O743=Справочники!$F$5,Учет!$H743,0)</f>
        <v>0</v>
      </c>
      <c r="U743" s="48">
        <f>IF(Учет!$O743=Справочники!$F$6,Учет!$H743,0)</f>
        <v>0</v>
      </c>
      <c r="V743" s="43">
        <f>V742+Учет!Q743-Q743</f>
        <v>-488978.92000000004</v>
      </c>
      <c r="W743" s="43">
        <f>W742+Учет!R743-R743</f>
        <v>336855</v>
      </c>
      <c r="X743" s="43">
        <f>X742+Учет!S743-S743</f>
        <v>500</v>
      </c>
      <c r="Y743" s="43">
        <f>Y742+Учет!T743-T743</f>
        <v>1150</v>
      </c>
      <c r="Z743" s="43">
        <f>Z742+Учет!U743-U743</f>
        <v>500000</v>
      </c>
      <c r="AA743" s="45">
        <f>Учет!X743</f>
        <v>500</v>
      </c>
    </row>
    <row r="744" spans="1:27" ht="15" customHeight="1" x14ac:dyDescent="0.25">
      <c r="A744" s="1"/>
      <c r="B744" s="17"/>
      <c r="C744" s="17"/>
      <c r="D744" s="17"/>
      <c r="E744" s="17"/>
      <c r="F744" s="17"/>
      <c r="G744" s="4">
        <f t="shared" si="30"/>
        <v>0</v>
      </c>
      <c r="H744" s="17"/>
      <c r="I744" s="4">
        <f t="shared" si="32"/>
        <v>349526.07999999996</v>
      </c>
      <c r="J744" s="32" t="str">
        <f t="shared" si="31"/>
        <v/>
      </c>
      <c r="K744" s="72"/>
      <c r="L744" s="72"/>
      <c r="M744" s="2"/>
      <c r="N744" s="5"/>
      <c r="O744" s="3"/>
      <c r="P744" s="6"/>
      <c r="Q744" s="48">
        <f>IF(Учет!$O744=Справочники!$F$2,Учет!$H744,0)</f>
        <v>0</v>
      </c>
      <c r="R744" s="48">
        <f>IF(Учет!$O744=Справочники!$F$3,Учет!$H744,0)</f>
        <v>0</v>
      </c>
      <c r="S744" s="48">
        <f>IF(Учет!$O744=Справочники!$F$4,Учет!$H744,0)</f>
        <v>0</v>
      </c>
      <c r="T744" s="48">
        <f>IF(Учет!$O744=Справочники!$F$5,Учет!$H744,0)</f>
        <v>0</v>
      </c>
      <c r="U744" s="48">
        <f>IF(Учет!$O744=Справочники!$F$6,Учет!$H744,0)</f>
        <v>0</v>
      </c>
      <c r="V744" s="43">
        <f>V743+Учет!Q744-Q744</f>
        <v>-488978.92000000004</v>
      </c>
      <c r="W744" s="43">
        <f>W743+Учет!R744-R744</f>
        <v>336855</v>
      </c>
      <c r="X744" s="43">
        <f>X743+Учет!S744-S744</f>
        <v>500</v>
      </c>
      <c r="Y744" s="43">
        <f>Y743+Учет!T744-T744</f>
        <v>1150</v>
      </c>
      <c r="Z744" s="43">
        <f>Z743+Учет!U744-U744</f>
        <v>500000</v>
      </c>
      <c r="AA744" s="45">
        <f>Учет!X744</f>
        <v>500</v>
      </c>
    </row>
    <row r="745" spans="1:27" ht="15" customHeight="1" x14ac:dyDescent="0.25">
      <c r="A745" s="1"/>
      <c r="B745" s="17"/>
      <c r="C745" s="17"/>
      <c r="D745" s="17"/>
      <c r="E745" s="17"/>
      <c r="F745" s="17"/>
      <c r="G745" s="4">
        <f t="shared" si="30"/>
        <v>0</v>
      </c>
      <c r="H745" s="17"/>
      <c r="I745" s="4">
        <f t="shared" si="32"/>
        <v>349526.07999999996</v>
      </c>
      <c r="J745" s="32" t="str">
        <f t="shared" si="31"/>
        <v/>
      </c>
      <c r="K745" s="72"/>
      <c r="L745" s="72"/>
      <c r="M745" s="2"/>
      <c r="N745" s="5"/>
      <c r="O745" s="3"/>
      <c r="P745" s="6"/>
      <c r="Q745" s="48">
        <f>IF(Учет!$O745=Справочники!$F$2,Учет!$H745,0)</f>
        <v>0</v>
      </c>
      <c r="R745" s="48">
        <f>IF(Учет!$O745=Справочники!$F$3,Учет!$H745,0)</f>
        <v>0</v>
      </c>
      <c r="S745" s="48">
        <f>IF(Учет!$O745=Справочники!$F$4,Учет!$H745,0)</f>
        <v>0</v>
      </c>
      <c r="T745" s="48">
        <f>IF(Учет!$O745=Справочники!$F$5,Учет!$H745,0)</f>
        <v>0</v>
      </c>
      <c r="U745" s="48">
        <f>IF(Учет!$O745=Справочники!$F$6,Учет!$H745,0)</f>
        <v>0</v>
      </c>
      <c r="V745" s="43">
        <f>V744+Учет!Q745-Q745</f>
        <v>-488978.92000000004</v>
      </c>
      <c r="W745" s="43">
        <f>W744+Учет!R745-R745</f>
        <v>336855</v>
      </c>
      <c r="X745" s="43">
        <f>X744+Учет!S745-S745</f>
        <v>500</v>
      </c>
      <c r="Y745" s="43">
        <f>Y744+Учет!T745-T745</f>
        <v>1150</v>
      </c>
      <c r="Z745" s="43">
        <f>Z744+Учет!U745-U745</f>
        <v>500000</v>
      </c>
      <c r="AA745" s="45">
        <f>Учет!X745</f>
        <v>500</v>
      </c>
    </row>
    <row r="746" spans="1:27" ht="15" customHeight="1" x14ac:dyDescent="0.25">
      <c r="A746" s="1"/>
      <c r="B746" s="17"/>
      <c r="C746" s="17"/>
      <c r="D746" s="17"/>
      <c r="E746" s="17"/>
      <c r="F746" s="17"/>
      <c r="G746" s="4">
        <f t="shared" si="30"/>
        <v>0</v>
      </c>
      <c r="H746" s="17"/>
      <c r="I746" s="4">
        <f t="shared" si="32"/>
        <v>349526.07999999996</v>
      </c>
      <c r="J746" s="32" t="str">
        <f t="shared" si="31"/>
        <v/>
      </c>
      <c r="K746" s="72"/>
      <c r="L746" s="72"/>
      <c r="M746" s="2"/>
      <c r="N746" s="5"/>
      <c r="O746" s="3"/>
      <c r="P746" s="6"/>
      <c r="Q746" s="48">
        <f>IF(Учет!$O746=Справочники!$F$2,Учет!$H746,0)</f>
        <v>0</v>
      </c>
      <c r="R746" s="48">
        <f>IF(Учет!$O746=Справочники!$F$3,Учет!$H746,0)</f>
        <v>0</v>
      </c>
      <c r="S746" s="48">
        <f>IF(Учет!$O746=Справочники!$F$4,Учет!$H746,0)</f>
        <v>0</v>
      </c>
      <c r="T746" s="48">
        <f>IF(Учет!$O746=Справочники!$F$5,Учет!$H746,0)</f>
        <v>0</v>
      </c>
      <c r="U746" s="48">
        <f>IF(Учет!$O746=Справочники!$F$6,Учет!$H746,0)</f>
        <v>0</v>
      </c>
      <c r="V746" s="43">
        <f>V745+Учет!Q746-Q746</f>
        <v>-488978.92000000004</v>
      </c>
      <c r="W746" s="43">
        <f>W745+Учет!R746-R746</f>
        <v>336855</v>
      </c>
      <c r="X746" s="43">
        <f>X745+Учет!S746-S746</f>
        <v>500</v>
      </c>
      <c r="Y746" s="43">
        <f>Y745+Учет!T746-T746</f>
        <v>1150</v>
      </c>
      <c r="Z746" s="43">
        <f>Z745+Учет!U746-U746</f>
        <v>500000</v>
      </c>
      <c r="AA746" s="45">
        <f>Учет!X746</f>
        <v>500</v>
      </c>
    </row>
    <row r="747" spans="1:27" ht="15" customHeight="1" x14ac:dyDescent="0.25">
      <c r="A747" s="1"/>
      <c r="B747" s="17"/>
      <c r="C747" s="17"/>
      <c r="D747" s="17"/>
      <c r="E747" s="17"/>
      <c r="F747" s="17"/>
      <c r="G747" s="4">
        <f t="shared" si="30"/>
        <v>0</v>
      </c>
      <c r="H747" s="17"/>
      <c r="I747" s="4">
        <f t="shared" si="32"/>
        <v>349526.07999999996</v>
      </c>
      <c r="J747" s="32" t="str">
        <f t="shared" si="31"/>
        <v/>
      </c>
      <c r="K747" s="72"/>
      <c r="L747" s="72"/>
      <c r="M747" s="2"/>
      <c r="N747" s="5"/>
      <c r="O747" s="3"/>
      <c r="P747" s="6"/>
      <c r="Q747" s="48">
        <f>IF(Учет!$O747=Справочники!$F$2,Учет!$H747,0)</f>
        <v>0</v>
      </c>
      <c r="R747" s="48">
        <f>IF(Учет!$O747=Справочники!$F$3,Учет!$H747,0)</f>
        <v>0</v>
      </c>
      <c r="S747" s="48">
        <f>IF(Учет!$O747=Справочники!$F$4,Учет!$H747,0)</f>
        <v>0</v>
      </c>
      <c r="T747" s="48">
        <f>IF(Учет!$O747=Справочники!$F$5,Учет!$H747,0)</f>
        <v>0</v>
      </c>
      <c r="U747" s="48">
        <f>IF(Учет!$O747=Справочники!$F$6,Учет!$H747,0)</f>
        <v>0</v>
      </c>
      <c r="V747" s="43">
        <f>V746+Учет!Q747-Q747</f>
        <v>-488978.92000000004</v>
      </c>
      <c r="W747" s="43">
        <f>W746+Учет!R747-R747</f>
        <v>336855</v>
      </c>
      <c r="X747" s="43">
        <f>X746+Учет!S747-S747</f>
        <v>500</v>
      </c>
      <c r="Y747" s="43">
        <f>Y746+Учет!T747-T747</f>
        <v>1150</v>
      </c>
      <c r="Z747" s="43">
        <f>Z746+Учет!U747-U747</f>
        <v>500000</v>
      </c>
      <c r="AA747" s="45">
        <f>Учет!X747</f>
        <v>500</v>
      </c>
    </row>
    <row r="748" spans="1:27" ht="15" customHeight="1" x14ac:dyDescent="0.25">
      <c r="A748" s="1"/>
      <c r="B748" s="17"/>
      <c r="C748" s="17"/>
      <c r="D748" s="17"/>
      <c r="E748" s="17"/>
      <c r="F748" s="17"/>
      <c r="G748" s="4">
        <f t="shared" si="30"/>
        <v>0</v>
      </c>
      <c r="H748" s="17"/>
      <c r="I748" s="4">
        <f t="shared" si="32"/>
        <v>349526.07999999996</v>
      </c>
      <c r="J748" s="32" t="str">
        <f t="shared" si="31"/>
        <v/>
      </c>
      <c r="K748" s="72"/>
      <c r="L748" s="72"/>
      <c r="M748" s="2"/>
      <c r="N748" s="5"/>
      <c r="O748" s="3"/>
      <c r="P748" s="6"/>
      <c r="Q748" s="48">
        <f>IF(Учет!$O748=Справочники!$F$2,Учет!$H748,0)</f>
        <v>0</v>
      </c>
      <c r="R748" s="48">
        <f>IF(Учет!$O748=Справочники!$F$3,Учет!$H748,0)</f>
        <v>0</v>
      </c>
      <c r="S748" s="48">
        <f>IF(Учет!$O748=Справочники!$F$4,Учет!$H748,0)</f>
        <v>0</v>
      </c>
      <c r="T748" s="48">
        <f>IF(Учет!$O748=Справочники!$F$5,Учет!$H748,0)</f>
        <v>0</v>
      </c>
      <c r="U748" s="48">
        <f>IF(Учет!$O748=Справочники!$F$6,Учет!$H748,0)</f>
        <v>0</v>
      </c>
      <c r="V748" s="43">
        <f>V747+Учет!Q748-Q748</f>
        <v>-488978.92000000004</v>
      </c>
      <c r="W748" s="43">
        <f>W747+Учет!R748-R748</f>
        <v>336855</v>
      </c>
      <c r="X748" s="43">
        <f>X747+Учет!S748-S748</f>
        <v>500</v>
      </c>
      <c r="Y748" s="43">
        <f>Y747+Учет!T748-T748</f>
        <v>1150</v>
      </c>
      <c r="Z748" s="43">
        <f>Z747+Учет!U748-U748</f>
        <v>500000</v>
      </c>
      <c r="AA748" s="45">
        <f>Учет!X748</f>
        <v>500</v>
      </c>
    </row>
    <row r="749" spans="1:27" ht="15" customHeight="1" x14ac:dyDescent="0.25">
      <c r="A749" s="1"/>
      <c r="B749" s="17"/>
      <c r="C749" s="17"/>
      <c r="D749" s="17"/>
      <c r="E749" s="17"/>
      <c r="F749" s="17"/>
      <c r="G749" s="4">
        <f t="shared" si="30"/>
        <v>0</v>
      </c>
      <c r="H749" s="17"/>
      <c r="I749" s="4">
        <f t="shared" si="32"/>
        <v>349526.07999999996</v>
      </c>
      <c r="J749" s="32" t="str">
        <f t="shared" si="31"/>
        <v/>
      </c>
      <c r="K749" s="72"/>
      <c r="L749" s="72"/>
      <c r="M749" s="2"/>
      <c r="N749" s="5"/>
      <c r="O749" s="3"/>
      <c r="P749" s="6"/>
      <c r="Q749" s="48">
        <f>IF(Учет!$O749=Справочники!$F$2,Учет!$H749,0)</f>
        <v>0</v>
      </c>
      <c r="R749" s="48">
        <f>IF(Учет!$O749=Справочники!$F$3,Учет!$H749,0)</f>
        <v>0</v>
      </c>
      <c r="S749" s="48">
        <f>IF(Учет!$O749=Справочники!$F$4,Учет!$H749,0)</f>
        <v>0</v>
      </c>
      <c r="T749" s="48">
        <f>IF(Учет!$O749=Справочники!$F$5,Учет!$H749,0)</f>
        <v>0</v>
      </c>
      <c r="U749" s="48">
        <f>IF(Учет!$O749=Справочники!$F$6,Учет!$H749,0)</f>
        <v>0</v>
      </c>
      <c r="V749" s="43">
        <f>V748+Учет!Q749-Q749</f>
        <v>-488978.92000000004</v>
      </c>
      <c r="W749" s="43">
        <f>W748+Учет!R749-R749</f>
        <v>336855</v>
      </c>
      <c r="X749" s="43">
        <f>X748+Учет!S749-S749</f>
        <v>500</v>
      </c>
      <c r="Y749" s="43">
        <f>Y748+Учет!T749-T749</f>
        <v>1150</v>
      </c>
      <c r="Z749" s="43">
        <f>Z748+Учет!U749-U749</f>
        <v>500000</v>
      </c>
      <c r="AA749" s="45">
        <f>Учет!X749</f>
        <v>500</v>
      </c>
    </row>
    <row r="750" spans="1:27" ht="15" customHeight="1" x14ac:dyDescent="0.25">
      <c r="A750" s="1"/>
      <c r="B750" s="17"/>
      <c r="C750" s="17"/>
      <c r="D750" s="17"/>
      <c r="E750" s="17"/>
      <c r="F750" s="17"/>
      <c r="G750" s="4">
        <f t="shared" si="30"/>
        <v>0</v>
      </c>
      <c r="H750" s="17"/>
      <c r="I750" s="4">
        <f t="shared" si="32"/>
        <v>349526.07999999996</v>
      </c>
      <c r="J750" s="32" t="str">
        <f t="shared" si="31"/>
        <v/>
      </c>
      <c r="K750" s="72"/>
      <c r="L750" s="72"/>
      <c r="M750" s="2"/>
      <c r="N750" s="5"/>
      <c r="O750" s="3"/>
      <c r="P750" s="6"/>
      <c r="Q750" s="48">
        <f>IF(Учет!$O750=Справочники!$F$2,Учет!$H750,0)</f>
        <v>0</v>
      </c>
      <c r="R750" s="48">
        <f>IF(Учет!$O750=Справочники!$F$3,Учет!$H750,0)</f>
        <v>0</v>
      </c>
      <c r="S750" s="48">
        <f>IF(Учет!$O750=Справочники!$F$4,Учет!$H750,0)</f>
        <v>0</v>
      </c>
      <c r="T750" s="48">
        <f>IF(Учет!$O750=Справочники!$F$5,Учет!$H750,0)</f>
        <v>0</v>
      </c>
      <c r="U750" s="48">
        <f>IF(Учет!$O750=Справочники!$F$6,Учет!$H750,0)</f>
        <v>0</v>
      </c>
      <c r="V750" s="43">
        <f>V749+Учет!Q750-Q750</f>
        <v>-488978.92000000004</v>
      </c>
      <c r="W750" s="43">
        <f>W749+Учет!R750-R750</f>
        <v>336855</v>
      </c>
      <c r="X750" s="43">
        <f>X749+Учет!S750-S750</f>
        <v>500</v>
      </c>
      <c r="Y750" s="43">
        <f>Y749+Учет!T750-T750</f>
        <v>1150</v>
      </c>
      <c r="Z750" s="43">
        <f>Z749+Учет!U750-U750</f>
        <v>500000</v>
      </c>
      <c r="AA750" s="45">
        <f>Учет!X750</f>
        <v>500</v>
      </c>
    </row>
    <row r="751" spans="1:27" ht="15" customHeight="1" x14ac:dyDescent="0.25">
      <c r="A751" s="1"/>
      <c r="B751" s="17"/>
      <c r="C751" s="17"/>
      <c r="D751" s="17"/>
      <c r="E751" s="17"/>
      <c r="F751" s="17"/>
      <c r="G751" s="4">
        <f t="shared" si="30"/>
        <v>0</v>
      </c>
      <c r="H751" s="17"/>
      <c r="I751" s="4">
        <f t="shared" si="32"/>
        <v>349526.07999999996</v>
      </c>
      <c r="J751" s="32" t="str">
        <f t="shared" si="31"/>
        <v/>
      </c>
      <c r="K751" s="72"/>
      <c r="L751" s="72"/>
      <c r="M751" s="2"/>
      <c r="N751" s="5"/>
      <c r="O751" s="3"/>
      <c r="P751" s="6"/>
      <c r="Q751" s="48">
        <f>IF(Учет!$O751=Справочники!$F$2,Учет!$H751,0)</f>
        <v>0</v>
      </c>
      <c r="R751" s="48">
        <f>IF(Учет!$O751=Справочники!$F$3,Учет!$H751,0)</f>
        <v>0</v>
      </c>
      <c r="S751" s="48">
        <f>IF(Учет!$O751=Справочники!$F$4,Учет!$H751,0)</f>
        <v>0</v>
      </c>
      <c r="T751" s="48">
        <f>IF(Учет!$O751=Справочники!$F$5,Учет!$H751,0)</f>
        <v>0</v>
      </c>
      <c r="U751" s="48">
        <f>IF(Учет!$O751=Справочники!$F$6,Учет!$H751,0)</f>
        <v>0</v>
      </c>
      <c r="V751" s="43">
        <f>V750+Учет!Q751-Q751</f>
        <v>-488978.92000000004</v>
      </c>
      <c r="W751" s="43">
        <f>W750+Учет!R751-R751</f>
        <v>336855</v>
      </c>
      <c r="X751" s="43">
        <f>X750+Учет!S751-S751</f>
        <v>500</v>
      </c>
      <c r="Y751" s="43">
        <f>Y750+Учет!T751-T751</f>
        <v>1150</v>
      </c>
      <c r="Z751" s="43">
        <f>Z750+Учет!U751-U751</f>
        <v>500000</v>
      </c>
      <c r="AA751" s="45">
        <f>Учет!X751</f>
        <v>500</v>
      </c>
    </row>
    <row r="752" spans="1:27" ht="15" customHeight="1" x14ac:dyDescent="0.25">
      <c r="A752" s="1"/>
      <c r="B752" s="17"/>
      <c r="C752" s="17"/>
      <c r="D752" s="17"/>
      <c r="E752" s="17"/>
      <c r="F752" s="17"/>
      <c r="G752" s="4">
        <f t="shared" si="30"/>
        <v>0</v>
      </c>
      <c r="H752" s="17"/>
      <c r="I752" s="4">
        <f t="shared" si="32"/>
        <v>349526.07999999996</v>
      </c>
      <c r="J752" s="32" t="str">
        <f t="shared" si="31"/>
        <v/>
      </c>
      <c r="K752" s="72"/>
      <c r="L752" s="72"/>
      <c r="M752" s="2"/>
      <c r="N752" s="5"/>
      <c r="O752" s="3"/>
      <c r="P752" s="6"/>
      <c r="Q752" s="48">
        <f>IF(Учет!$O752=Справочники!$F$2,Учет!$H752,0)</f>
        <v>0</v>
      </c>
      <c r="R752" s="48">
        <f>IF(Учет!$O752=Справочники!$F$3,Учет!$H752,0)</f>
        <v>0</v>
      </c>
      <c r="S752" s="48">
        <f>IF(Учет!$O752=Справочники!$F$4,Учет!$H752,0)</f>
        <v>0</v>
      </c>
      <c r="T752" s="48">
        <f>IF(Учет!$O752=Справочники!$F$5,Учет!$H752,0)</f>
        <v>0</v>
      </c>
      <c r="U752" s="48">
        <f>IF(Учет!$O752=Справочники!$F$6,Учет!$H752,0)</f>
        <v>0</v>
      </c>
      <c r="V752" s="43">
        <f>V751+Учет!Q752-Q752</f>
        <v>-488978.92000000004</v>
      </c>
      <c r="W752" s="43">
        <f>W751+Учет!R752-R752</f>
        <v>336855</v>
      </c>
      <c r="X752" s="43">
        <f>X751+Учет!S752-S752</f>
        <v>500</v>
      </c>
      <c r="Y752" s="43">
        <f>Y751+Учет!T752-T752</f>
        <v>1150</v>
      </c>
      <c r="Z752" s="43">
        <f>Z751+Учет!U752-U752</f>
        <v>500000</v>
      </c>
      <c r="AA752" s="45">
        <f>Учет!X752</f>
        <v>500</v>
      </c>
    </row>
    <row r="753" spans="1:27" ht="15" customHeight="1" x14ac:dyDescent="0.25">
      <c r="A753" s="1"/>
      <c r="B753" s="17"/>
      <c r="C753" s="17"/>
      <c r="D753" s="17"/>
      <c r="E753" s="17"/>
      <c r="F753" s="17"/>
      <c r="G753" s="4">
        <f t="shared" si="30"/>
        <v>0</v>
      </c>
      <c r="H753" s="17"/>
      <c r="I753" s="4">
        <f t="shared" si="32"/>
        <v>349526.07999999996</v>
      </c>
      <c r="J753" s="32" t="str">
        <f t="shared" si="31"/>
        <v/>
      </c>
      <c r="K753" s="72"/>
      <c r="L753" s="72"/>
      <c r="M753" s="2"/>
      <c r="N753" s="5"/>
      <c r="O753" s="3"/>
      <c r="P753" s="6"/>
      <c r="Q753" s="48">
        <f>IF(Учет!$O753=Справочники!$F$2,Учет!$H753,0)</f>
        <v>0</v>
      </c>
      <c r="R753" s="48">
        <f>IF(Учет!$O753=Справочники!$F$3,Учет!$H753,0)</f>
        <v>0</v>
      </c>
      <c r="S753" s="48">
        <f>IF(Учет!$O753=Справочники!$F$4,Учет!$H753,0)</f>
        <v>0</v>
      </c>
      <c r="T753" s="48">
        <f>IF(Учет!$O753=Справочники!$F$5,Учет!$H753,0)</f>
        <v>0</v>
      </c>
      <c r="U753" s="48">
        <f>IF(Учет!$O753=Справочники!$F$6,Учет!$H753,0)</f>
        <v>0</v>
      </c>
      <c r="V753" s="43">
        <f>V752+Учет!Q753-Q753</f>
        <v>-488978.92000000004</v>
      </c>
      <c r="W753" s="43">
        <f>W752+Учет!R753-R753</f>
        <v>336855</v>
      </c>
      <c r="X753" s="43">
        <f>X752+Учет!S753-S753</f>
        <v>500</v>
      </c>
      <c r="Y753" s="43">
        <f>Y752+Учет!T753-T753</f>
        <v>1150</v>
      </c>
      <c r="Z753" s="43">
        <f>Z752+Учет!U753-U753</f>
        <v>500000</v>
      </c>
      <c r="AA753" s="45">
        <f>Учет!X753</f>
        <v>500</v>
      </c>
    </row>
    <row r="754" spans="1:27" ht="15" customHeight="1" x14ac:dyDescent="0.25">
      <c r="A754" s="1"/>
      <c r="B754" s="17"/>
      <c r="C754" s="17"/>
      <c r="D754" s="17"/>
      <c r="E754" s="17"/>
      <c r="F754" s="17"/>
      <c r="G754" s="4">
        <f t="shared" si="30"/>
        <v>0</v>
      </c>
      <c r="H754" s="17"/>
      <c r="I754" s="4">
        <f t="shared" si="32"/>
        <v>349526.07999999996</v>
      </c>
      <c r="J754" s="32" t="str">
        <f t="shared" si="31"/>
        <v/>
      </c>
      <c r="K754" s="72"/>
      <c r="L754" s="72"/>
      <c r="M754" s="2"/>
      <c r="N754" s="5"/>
      <c r="O754" s="3"/>
      <c r="P754" s="6"/>
      <c r="Q754" s="48">
        <f>IF(Учет!$O754=Справочники!$F$2,Учет!$H754,0)</f>
        <v>0</v>
      </c>
      <c r="R754" s="48">
        <f>IF(Учет!$O754=Справочники!$F$3,Учет!$H754,0)</f>
        <v>0</v>
      </c>
      <c r="S754" s="48">
        <f>IF(Учет!$O754=Справочники!$F$4,Учет!$H754,0)</f>
        <v>0</v>
      </c>
      <c r="T754" s="48">
        <f>IF(Учет!$O754=Справочники!$F$5,Учет!$H754,0)</f>
        <v>0</v>
      </c>
      <c r="U754" s="48">
        <f>IF(Учет!$O754=Справочники!$F$6,Учет!$H754,0)</f>
        <v>0</v>
      </c>
      <c r="V754" s="43">
        <f>V753+Учет!Q754-Q754</f>
        <v>-488978.92000000004</v>
      </c>
      <c r="W754" s="43">
        <f>W753+Учет!R754-R754</f>
        <v>336855</v>
      </c>
      <c r="X754" s="43">
        <f>X753+Учет!S754-S754</f>
        <v>500</v>
      </c>
      <c r="Y754" s="43">
        <f>Y753+Учет!T754-T754</f>
        <v>1150</v>
      </c>
      <c r="Z754" s="43">
        <f>Z753+Учет!U754-U754</f>
        <v>500000</v>
      </c>
      <c r="AA754" s="45">
        <f>Учет!X754</f>
        <v>500</v>
      </c>
    </row>
    <row r="755" spans="1:27" ht="15" customHeight="1" x14ac:dyDescent="0.25">
      <c r="A755" s="1"/>
      <c r="B755" s="17"/>
      <c r="C755" s="17"/>
      <c r="D755" s="17"/>
      <c r="E755" s="17"/>
      <c r="F755" s="17"/>
      <c r="G755" s="4">
        <f t="shared" si="30"/>
        <v>0</v>
      </c>
      <c r="H755" s="17"/>
      <c r="I755" s="4">
        <f t="shared" si="32"/>
        <v>349526.07999999996</v>
      </c>
      <c r="J755" s="32" t="str">
        <f t="shared" si="31"/>
        <v/>
      </c>
      <c r="K755" s="72"/>
      <c r="L755" s="72"/>
      <c r="M755" s="2"/>
      <c r="N755" s="5"/>
      <c r="O755" s="3"/>
      <c r="P755" s="6"/>
      <c r="Q755" s="48">
        <f>IF(Учет!$O755=Справочники!$F$2,Учет!$H755,0)</f>
        <v>0</v>
      </c>
      <c r="R755" s="48">
        <f>IF(Учет!$O755=Справочники!$F$3,Учет!$H755,0)</f>
        <v>0</v>
      </c>
      <c r="S755" s="48">
        <f>IF(Учет!$O755=Справочники!$F$4,Учет!$H755,0)</f>
        <v>0</v>
      </c>
      <c r="T755" s="48">
        <f>IF(Учет!$O755=Справочники!$F$5,Учет!$H755,0)</f>
        <v>0</v>
      </c>
      <c r="U755" s="48">
        <f>IF(Учет!$O755=Справочники!$F$6,Учет!$H755,0)</f>
        <v>0</v>
      </c>
      <c r="V755" s="43">
        <f>V754+Учет!Q755-Q755</f>
        <v>-488978.92000000004</v>
      </c>
      <c r="W755" s="43">
        <f>W754+Учет!R755-R755</f>
        <v>336855</v>
      </c>
      <c r="X755" s="43">
        <f>X754+Учет!S755-S755</f>
        <v>500</v>
      </c>
      <c r="Y755" s="43">
        <f>Y754+Учет!T755-T755</f>
        <v>1150</v>
      </c>
      <c r="Z755" s="43">
        <f>Z754+Учет!U755-U755</f>
        <v>500000</v>
      </c>
      <c r="AA755" s="45">
        <f>Учет!X755</f>
        <v>500</v>
      </c>
    </row>
    <row r="756" spans="1:27" ht="15" customHeight="1" x14ac:dyDescent="0.25">
      <c r="A756" s="1"/>
      <c r="B756" s="17"/>
      <c r="C756" s="17"/>
      <c r="D756" s="17"/>
      <c r="E756" s="17"/>
      <c r="F756" s="17"/>
      <c r="G756" s="4">
        <f t="shared" si="30"/>
        <v>0</v>
      </c>
      <c r="H756" s="17"/>
      <c r="I756" s="4">
        <f t="shared" si="32"/>
        <v>349526.07999999996</v>
      </c>
      <c r="J756" s="32" t="str">
        <f t="shared" si="31"/>
        <v/>
      </c>
      <c r="K756" s="72"/>
      <c r="L756" s="72"/>
      <c r="M756" s="2"/>
      <c r="N756" s="5"/>
      <c r="O756" s="3"/>
      <c r="P756" s="6"/>
      <c r="Q756" s="48">
        <f>IF(Учет!$O756=Справочники!$F$2,Учет!$H756,0)</f>
        <v>0</v>
      </c>
      <c r="R756" s="48">
        <f>IF(Учет!$O756=Справочники!$F$3,Учет!$H756,0)</f>
        <v>0</v>
      </c>
      <c r="S756" s="48">
        <f>IF(Учет!$O756=Справочники!$F$4,Учет!$H756,0)</f>
        <v>0</v>
      </c>
      <c r="T756" s="48">
        <f>IF(Учет!$O756=Справочники!$F$5,Учет!$H756,0)</f>
        <v>0</v>
      </c>
      <c r="U756" s="48">
        <f>IF(Учет!$O756=Справочники!$F$6,Учет!$H756,0)</f>
        <v>0</v>
      </c>
      <c r="V756" s="43">
        <f>V755+Учет!Q756-Q756</f>
        <v>-488978.92000000004</v>
      </c>
      <c r="W756" s="43">
        <f>W755+Учет!R756-R756</f>
        <v>336855</v>
      </c>
      <c r="X756" s="43">
        <f>X755+Учет!S756-S756</f>
        <v>500</v>
      </c>
      <c r="Y756" s="43">
        <f>Y755+Учет!T756-T756</f>
        <v>1150</v>
      </c>
      <c r="Z756" s="43">
        <f>Z755+Учет!U756-U756</f>
        <v>500000</v>
      </c>
      <c r="AA756" s="45">
        <f>Учет!X756</f>
        <v>500</v>
      </c>
    </row>
    <row r="757" spans="1:27" ht="15" customHeight="1" x14ac:dyDescent="0.25">
      <c r="A757" s="1"/>
      <c r="B757" s="17"/>
      <c r="C757" s="17"/>
      <c r="D757" s="17"/>
      <c r="E757" s="17"/>
      <c r="F757" s="17"/>
      <c r="G757" s="4">
        <f t="shared" si="30"/>
        <v>0</v>
      </c>
      <c r="H757" s="17"/>
      <c r="I757" s="4">
        <f t="shared" si="32"/>
        <v>349526.07999999996</v>
      </c>
      <c r="J757" s="32" t="str">
        <f t="shared" si="31"/>
        <v/>
      </c>
      <c r="K757" s="72"/>
      <c r="L757" s="72"/>
      <c r="M757" s="2"/>
      <c r="N757" s="5"/>
      <c r="O757" s="3"/>
      <c r="P757" s="6"/>
      <c r="Q757" s="48">
        <f>IF(Учет!$O757=Справочники!$F$2,Учет!$H757,0)</f>
        <v>0</v>
      </c>
      <c r="R757" s="48">
        <f>IF(Учет!$O757=Справочники!$F$3,Учет!$H757,0)</f>
        <v>0</v>
      </c>
      <c r="S757" s="48">
        <f>IF(Учет!$O757=Справочники!$F$4,Учет!$H757,0)</f>
        <v>0</v>
      </c>
      <c r="T757" s="48">
        <f>IF(Учет!$O757=Справочники!$F$5,Учет!$H757,0)</f>
        <v>0</v>
      </c>
      <c r="U757" s="48">
        <f>IF(Учет!$O757=Справочники!$F$6,Учет!$H757,0)</f>
        <v>0</v>
      </c>
      <c r="V757" s="43">
        <f>V756+Учет!Q757-Q757</f>
        <v>-488978.92000000004</v>
      </c>
      <c r="W757" s="43">
        <f>W756+Учет!R757-R757</f>
        <v>336855</v>
      </c>
      <c r="X757" s="43">
        <f>X756+Учет!S757-S757</f>
        <v>500</v>
      </c>
      <c r="Y757" s="43">
        <f>Y756+Учет!T757-T757</f>
        <v>1150</v>
      </c>
      <c r="Z757" s="43">
        <f>Z756+Учет!U757-U757</f>
        <v>500000</v>
      </c>
      <c r="AA757" s="45">
        <f>Учет!X757</f>
        <v>500</v>
      </c>
    </row>
    <row r="758" spans="1:27" ht="15" customHeight="1" x14ac:dyDescent="0.25">
      <c r="A758" s="1"/>
      <c r="B758" s="17"/>
      <c r="C758" s="17"/>
      <c r="D758" s="17"/>
      <c r="E758" s="17"/>
      <c r="F758" s="17"/>
      <c r="G758" s="4">
        <f t="shared" si="30"/>
        <v>0</v>
      </c>
      <c r="H758" s="17"/>
      <c r="I758" s="4">
        <f t="shared" si="32"/>
        <v>349526.07999999996</v>
      </c>
      <c r="J758" s="32" t="str">
        <f t="shared" si="31"/>
        <v/>
      </c>
      <c r="K758" s="72"/>
      <c r="L758" s="72"/>
      <c r="M758" s="2"/>
      <c r="N758" s="5"/>
      <c r="O758" s="3"/>
      <c r="P758" s="6"/>
      <c r="Q758" s="48">
        <f>IF(Учет!$O758=Справочники!$F$2,Учет!$H758,0)</f>
        <v>0</v>
      </c>
      <c r="R758" s="48">
        <f>IF(Учет!$O758=Справочники!$F$3,Учет!$H758,0)</f>
        <v>0</v>
      </c>
      <c r="S758" s="48">
        <f>IF(Учет!$O758=Справочники!$F$4,Учет!$H758,0)</f>
        <v>0</v>
      </c>
      <c r="T758" s="48">
        <f>IF(Учет!$O758=Справочники!$F$5,Учет!$H758,0)</f>
        <v>0</v>
      </c>
      <c r="U758" s="48">
        <f>IF(Учет!$O758=Справочники!$F$6,Учет!$H758,0)</f>
        <v>0</v>
      </c>
      <c r="V758" s="43">
        <f>V757+Учет!Q758-Q758</f>
        <v>-488978.92000000004</v>
      </c>
      <c r="W758" s="43">
        <f>W757+Учет!R758-R758</f>
        <v>336855</v>
      </c>
      <c r="X758" s="43">
        <f>X757+Учет!S758-S758</f>
        <v>500</v>
      </c>
      <c r="Y758" s="43">
        <f>Y757+Учет!T758-T758</f>
        <v>1150</v>
      </c>
      <c r="Z758" s="43">
        <f>Z757+Учет!U758-U758</f>
        <v>500000</v>
      </c>
      <c r="AA758" s="45">
        <f>Учет!X758</f>
        <v>500</v>
      </c>
    </row>
    <row r="759" spans="1:27" ht="15" customHeight="1" x14ac:dyDescent="0.25">
      <c r="A759" s="1"/>
      <c r="B759" s="17"/>
      <c r="C759" s="17"/>
      <c r="D759" s="17"/>
      <c r="E759" s="17"/>
      <c r="F759" s="17"/>
      <c r="G759" s="4">
        <f t="shared" si="30"/>
        <v>0</v>
      </c>
      <c r="H759" s="17"/>
      <c r="I759" s="4">
        <f t="shared" si="32"/>
        <v>349526.07999999996</v>
      </c>
      <c r="J759" s="32" t="str">
        <f t="shared" si="31"/>
        <v/>
      </c>
      <c r="K759" s="72"/>
      <c r="L759" s="72"/>
      <c r="M759" s="2"/>
      <c r="N759" s="5"/>
      <c r="O759" s="3"/>
      <c r="P759" s="6"/>
      <c r="Q759" s="48">
        <f>IF(Учет!$O759=Справочники!$F$2,Учет!$H759,0)</f>
        <v>0</v>
      </c>
      <c r="R759" s="48">
        <f>IF(Учет!$O759=Справочники!$F$3,Учет!$H759,0)</f>
        <v>0</v>
      </c>
      <c r="S759" s="48">
        <f>IF(Учет!$O759=Справочники!$F$4,Учет!$H759,0)</f>
        <v>0</v>
      </c>
      <c r="T759" s="48">
        <f>IF(Учет!$O759=Справочники!$F$5,Учет!$H759,0)</f>
        <v>0</v>
      </c>
      <c r="U759" s="48">
        <f>IF(Учет!$O759=Справочники!$F$6,Учет!$H759,0)</f>
        <v>0</v>
      </c>
      <c r="V759" s="43">
        <f>V758+Учет!Q759-Q759</f>
        <v>-488978.92000000004</v>
      </c>
      <c r="W759" s="43">
        <f>W758+Учет!R759-R759</f>
        <v>336855</v>
      </c>
      <c r="X759" s="43">
        <f>X758+Учет!S759-S759</f>
        <v>500</v>
      </c>
      <c r="Y759" s="43">
        <f>Y758+Учет!T759-T759</f>
        <v>1150</v>
      </c>
      <c r="Z759" s="43">
        <f>Z758+Учет!U759-U759</f>
        <v>500000</v>
      </c>
      <c r="AA759" s="45">
        <f>Учет!X759</f>
        <v>500</v>
      </c>
    </row>
    <row r="760" spans="1:27" ht="15" customHeight="1" x14ac:dyDescent="0.25">
      <c r="A760" s="1"/>
      <c r="B760" s="17"/>
      <c r="C760" s="17"/>
      <c r="D760" s="17"/>
      <c r="E760" s="17"/>
      <c r="F760" s="17"/>
      <c r="G760" s="4">
        <f t="shared" si="30"/>
        <v>0</v>
      </c>
      <c r="H760" s="17"/>
      <c r="I760" s="4">
        <f t="shared" si="32"/>
        <v>349526.07999999996</v>
      </c>
      <c r="J760" s="32" t="str">
        <f t="shared" si="31"/>
        <v/>
      </c>
      <c r="K760" s="72"/>
      <c r="L760" s="72"/>
      <c r="M760" s="2"/>
      <c r="N760" s="5"/>
      <c r="O760" s="3"/>
      <c r="P760" s="6"/>
      <c r="Q760" s="48">
        <f>IF(Учет!$O760=Справочники!$F$2,Учет!$H760,0)</f>
        <v>0</v>
      </c>
      <c r="R760" s="48">
        <f>IF(Учет!$O760=Справочники!$F$3,Учет!$H760,0)</f>
        <v>0</v>
      </c>
      <c r="S760" s="48">
        <f>IF(Учет!$O760=Справочники!$F$4,Учет!$H760,0)</f>
        <v>0</v>
      </c>
      <c r="T760" s="48">
        <f>IF(Учет!$O760=Справочники!$F$5,Учет!$H760,0)</f>
        <v>0</v>
      </c>
      <c r="U760" s="48">
        <f>IF(Учет!$O760=Справочники!$F$6,Учет!$H760,0)</f>
        <v>0</v>
      </c>
      <c r="V760" s="43">
        <f>V759+Учет!Q760-Q760</f>
        <v>-488978.92000000004</v>
      </c>
      <c r="W760" s="43">
        <f>W759+Учет!R760-R760</f>
        <v>336855</v>
      </c>
      <c r="X760" s="43">
        <f>X759+Учет!S760-S760</f>
        <v>500</v>
      </c>
      <c r="Y760" s="43">
        <f>Y759+Учет!T760-T760</f>
        <v>1150</v>
      </c>
      <c r="Z760" s="43">
        <f>Z759+Учет!U760-U760</f>
        <v>500000</v>
      </c>
      <c r="AA760" s="45">
        <f>Учет!X760</f>
        <v>500</v>
      </c>
    </row>
    <row r="761" spans="1:27" ht="15" customHeight="1" x14ac:dyDescent="0.25">
      <c r="A761" s="1"/>
      <c r="B761" s="17"/>
      <c r="C761" s="17"/>
      <c r="D761" s="17"/>
      <c r="E761" s="17"/>
      <c r="F761" s="17"/>
      <c r="G761" s="4">
        <f t="shared" si="30"/>
        <v>0</v>
      </c>
      <c r="H761" s="17"/>
      <c r="I761" s="4">
        <f t="shared" si="32"/>
        <v>349526.07999999996</v>
      </c>
      <c r="J761" s="32" t="str">
        <f t="shared" si="31"/>
        <v/>
      </c>
      <c r="K761" s="72"/>
      <c r="L761" s="72"/>
      <c r="M761" s="2"/>
      <c r="N761" s="5"/>
      <c r="O761" s="3"/>
      <c r="P761" s="6"/>
      <c r="Q761" s="48">
        <f>IF(Учет!$O761=Справочники!$F$2,Учет!$H761,0)</f>
        <v>0</v>
      </c>
      <c r="R761" s="48">
        <f>IF(Учет!$O761=Справочники!$F$3,Учет!$H761,0)</f>
        <v>0</v>
      </c>
      <c r="S761" s="48">
        <f>IF(Учет!$O761=Справочники!$F$4,Учет!$H761,0)</f>
        <v>0</v>
      </c>
      <c r="T761" s="48">
        <f>IF(Учет!$O761=Справочники!$F$5,Учет!$H761,0)</f>
        <v>0</v>
      </c>
      <c r="U761" s="48">
        <f>IF(Учет!$O761=Справочники!$F$6,Учет!$H761,0)</f>
        <v>0</v>
      </c>
      <c r="V761" s="43">
        <f>V760+Учет!Q761-Q761</f>
        <v>-488978.92000000004</v>
      </c>
      <c r="W761" s="43">
        <f>W760+Учет!R761-R761</f>
        <v>336855</v>
      </c>
      <c r="X761" s="43">
        <f>X760+Учет!S761-S761</f>
        <v>500</v>
      </c>
      <c r="Y761" s="43">
        <f>Y760+Учет!T761-T761</f>
        <v>1150</v>
      </c>
      <c r="Z761" s="43">
        <f>Z760+Учет!U761-U761</f>
        <v>500000</v>
      </c>
      <c r="AA761" s="45">
        <f>Учет!X761</f>
        <v>500</v>
      </c>
    </row>
    <row r="762" spans="1:27" ht="15" customHeight="1" x14ac:dyDescent="0.25">
      <c r="A762" s="1"/>
      <c r="B762" s="17"/>
      <c r="C762" s="17"/>
      <c r="D762" s="17"/>
      <c r="E762" s="17"/>
      <c r="F762" s="17"/>
      <c r="G762" s="4">
        <f t="shared" si="30"/>
        <v>0</v>
      </c>
      <c r="H762" s="17"/>
      <c r="I762" s="4">
        <f t="shared" si="32"/>
        <v>349526.07999999996</v>
      </c>
      <c r="J762" s="32" t="str">
        <f t="shared" si="31"/>
        <v/>
      </c>
      <c r="K762" s="72"/>
      <c r="L762" s="72"/>
      <c r="M762" s="2"/>
      <c r="N762" s="5"/>
      <c r="O762" s="3"/>
      <c r="P762" s="6"/>
      <c r="Q762" s="48">
        <f>IF(Учет!$O762=Справочники!$F$2,Учет!$H762,0)</f>
        <v>0</v>
      </c>
      <c r="R762" s="48">
        <f>IF(Учет!$O762=Справочники!$F$3,Учет!$H762,0)</f>
        <v>0</v>
      </c>
      <c r="S762" s="48">
        <f>IF(Учет!$O762=Справочники!$F$4,Учет!$H762,0)</f>
        <v>0</v>
      </c>
      <c r="T762" s="48">
        <f>IF(Учет!$O762=Справочники!$F$5,Учет!$H762,0)</f>
        <v>0</v>
      </c>
      <c r="U762" s="48">
        <f>IF(Учет!$O762=Справочники!$F$6,Учет!$H762,0)</f>
        <v>0</v>
      </c>
      <c r="V762" s="43">
        <f>V761+Учет!Q762-Q762</f>
        <v>-488978.92000000004</v>
      </c>
      <c r="W762" s="43">
        <f>W761+Учет!R762-R762</f>
        <v>336855</v>
      </c>
      <c r="X762" s="43">
        <f>X761+Учет!S762-S762</f>
        <v>500</v>
      </c>
      <c r="Y762" s="43">
        <f>Y761+Учет!T762-T762</f>
        <v>1150</v>
      </c>
      <c r="Z762" s="43">
        <f>Z761+Учет!U762-U762</f>
        <v>500000</v>
      </c>
      <c r="AA762" s="45">
        <f>Учет!X762</f>
        <v>500</v>
      </c>
    </row>
    <row r="763" spans="1:27" ht="15" customHeight="1" x14ac:dyDescent="0.25">
      <c r="A763" s="1"/>
      <c r="B763" s="17"/>
      <c r="C763" s="17"/>
      <c r="D763" s="17"/>
      <c r="E763" s="17"/>
      <c r="F763" s="17"/>
      <c r="G763" s="4">
        <f t="shared" si="30"/>
        <v>0</v>
      </c>
      <c r="H763" s="17"/>
      <c r="I763" s="4">
        <f t="shared" si="32"/>
        <v>349526.07999999996</v>
      </c>
      <c r="J763" s="32" t="str">
        <f t="shared" si="31"/>
        <v/>
      </c>
      <c r="K763" s="72"/>
      <c r="L763" s="72"/>
      <c r="M763" s="2"/>
      <c r="N763" s="5"/>
      <c r="O763" s="3"/>
      <c r="P763" s="6"/>
      <c r="Q763" s="48">
        <f>IF(Учет!$O763=Справочники!$F$2,Учет!$H763,0)</f>
        <v>0</v>
      </c>
      <c r="R763" s="48">
        <f>IF(Учет!$O763=Справочники!$F$3,Учет!$H763,0)</f>
        <v>0</v>
      </c>
      <c r="S763" s="48">
        <f>IF(Учет!$O763=Справочники!$F$4,Учет!$H763,0)</f>
        <v>0</v>
      </c>
      <c r="T763" s="48">
        <f>IF(Учет!$O763=Справочники!$F$5,Учет!$H763,0)</f>
        <v>0</v>
      </c>
      <c r="U763" s="48">
        <f>IF(Учет!$O763=Справочники!$F$6,Учет!$H763,0)</f>
        <v>0</v>
      </c>
      <c r="V763" s="43">
        <f>V762+Учет!Q763-Q763</f>
        <v>-488978.92000000004</v>
      </c>
      <c r="W763" s="43">
        <f>W762+Учет!R763-R763</f>
        <v>336855</v>
      </c>
      <c r="X763" s="43">
        <f>X762+Учет!S763-S763</f>
        <v>500</v>
      </c>
      <c r="Y763" s="43">
        <f>Y762+Учет!T763-T763</f>
        <v>1150</v>
      </c>
      <c r="Z763" s="43">
        <f>Z762+Учет!U763-U763</f>
        <v>500000</v>
      </c>
      <c r="AA763" s="45">
        <f>Учет!X763</f>
        <v>500</v>
      </c>
    </row>
    <row r="764" spans="1:27" ht="15" customHeight="1" x14ac:dyDescent="0.25">
      <c r="A764" s="1"/>
      <c r="B764" s="17"/>
      <c r="C764" s="17"/>
      <c r="D764" s="17"/>
      <c r="E764" s="17"/>
      <c r="F764" s="17"/>
      <c r="G764" s="4">
        <f t="shared" si="30"/>
        <v>0</v>
      </c>
      <c r="H764" s="17"/>
      <c r="I764" s="4">
        <f t="shared" si="32"/>
        <v>349526.07999999996</v>
      </c>
      <c r="J764" s="32" t="str">
        <f t="shared" si="31"/>
        <v/>
      </c>
      <c r="K764" s="72"/>
      <c r="L764" s="72"/>
      <c r="M764" s="2"/>
      <c r="N764" s="5"/>
      <c r="O764" s="3"/>
      <c r="P764" s="6"/>
      <c r="Q764" s="48">
        <f>IF(Учет!$O764=Справочники!$F$2,Учет!$H764,0)</f>
        <v>0</v>
      </c>
      <c r="R764" s="48">
        <f>IF(Учет!$O764=Справочники!$F$3,Учет!$H764,0)</f>
        <v>0</v>
      </c>
      <c r="S764" s="48">
        <f>IF(Учет!$O764=Справочники!$F$4,Учет!$H764,0)</f>
        <v>0</v>
      </c>
      <c r="T764" s="48">
        <f>IF(Учет!$O764=Справочники!$F$5,Учет!$H764,0)</f>
        <v>0</v>
      </c>
      <c r="U764" s="48">
        <f>IF(Учет!$O764=Справочники!$F$6,Учет!$H764,0)</f>
        <v>0</v>
      </c>
      <c r="V764" s="43">
        <f>V763+Учет!Q764-Q764</f>
        <v>-488978.92000000004</v>
      </c>
      <c r="W764" s="43">
        <f>W763+Учет!R764-R764</f>
        <v>336855</v>
      </c>
      <c r="X764" s="43">
        <f>X763+Учет!S764-S764</f>
        <v>500</v>
      </c>
      <c r="Y764" s="43">
        <f>Y763+Учет!T764-T764</f>
        <v>1150</v>
      </c>
      <c r="Z764" s="43">
        <f>Z763+Учет!U764-U764</f>
        <v>500000</v>
      </c>
      <c r="AA764" s="45">
        <f>Учет!X764</f>
        <v>500</v>
      </c>
    </row>
    <row r="765" spans="1:27" ht="15" customHeight="1" x14ac:dyDescent="0.25">
      <c r="A765" s="1"/>
      <c r="B765" s="17"/>
      <c r="C765" s="17"/>
      <c r="D765" s="17"/>
      <c r="E765" s="17"/>
      <c r="F765" s="17"/>
      <c r="G765" s="4">
        <f t="shared" si="30"/>
        <v>0</v>
      </c>
      <c r="H765" s="17"/>
      <c r="I765" s="4">
        <f t="shared" si="32"/>
        <v>349526.07999999996</v>
      </c>
      <c r="J765" s="32" t="str">
        <f t="shared" si="31"/>
        <v/>
      </c>
      <c r="K765" s="72"/>
      <c r="L765" s="72"/>
      <c r="M765" s="2"/>
      <c r="N765" s="5"/>
      <c r="O765" s="3"/>
      <c r="P765" s="6"/>
      <c r="Q765" s="48">
        <f>IF(Учет!$O765=Справочники!$F$2,Учет!$H765,0)</f>
        <v>0</v>
      </c>
      <c r="R765" s="48">
        <f>IF(Учет!$O765=Справочники!$F$3,Учет!$H765,0)</f>
        <v>0</v>
      </c>
      <c r="S765" s="48">
        <f>IF(Учет!$O765=Справочники!$F$4,Учет!$H765,0)</f>
        <v>0</v>
      </c>
      <c r="T765" s="48">
        <f>IF(Учет!$O765=Справочники!$F$5,Учет!$H765,0)</f>
        <v>0</v>
      </c>
      <c r="U765" s="48">
        <f>IF(Учет!$O765=Справочники!$F$6,Учет!$H765,0)</f>
        <v>0</v>
      </c>
      <c r="V765" s="43">
        <f>V764+Учет!Q765-Q765</f>
        <v>-488978.92000000004</v>
      </c>
      <c r="W765" s="43">
        <f>W764+Учет!R765-R765</f>
        <v>336855</v>
      </c>
      <c r="X765" s="43">
        <f>X764+Учет!S765-S765</f>
        <v>500</v>
      </c>
      <c r="Y765" s="43">
        <f>Y764+Учет!T765-T765</f>
        <v>1150</v>
      </c>
      <c r="Z765" s="43">
        <f>Z764+Учет!U765-U765</f>
        <v>500000</v>
      </c>
      <c r="AA765" s="45">
        <f>Учет!X765</f>
        <v>500</v>
      </c>
    </row>
    <row r="766" spans="1:27" ht="15" customHeight="1" x14ac:dyDescent="0.25">
      <c r="A766" s="1"/>
      <c r="B766" s="17"/>
      <c r="C766" s="17"/>
      <c r="D766" s="17"/>
      <c r="E766" s="17"/>
      <c r="F766" s="17"/>
      <c r="G766" s="4">
        <f t="shared" si="30"/>
        <v>0</v>
      </c>
      <c r="H766" s="17"/>
      <c r="I766" s="4">
        <f t="shared" si="32"/>
        <v>349526.07999999996</v>
      </c>
      <c r="J766" s="32" t="str">
        <f t="shared" si="31"/>
        <v/>
      </c>
      <c r="K766" s="72"/>
      <c r="L766" s="72"/>
      <c r="M766" s="2"/>
      <c r="N766" s="5"/>
      <c r="O766" s="3"/>
      <c r="P766" s="6"/>
      <c r="Q766" s="48">
        <f>IF(Учет!$O766=Справочники!$F$2,Учет!$H766,0)</f>
        <v>0</v>
      </c>
      <c r="R766" s="48">
        <f>IF(Учет!$O766=Справочники!$F$3,Учет!$H766,0)</f>
        <v>0</v>
      </c>
      <c r="S766" s="48">
        <f>IF(Учет!$O766=Справочники!$F$4,Учет!$H766,0)</f>
        <v>0</v>
      </c>
      <c r="T766" s="48">
        <f>IF(Учет!$O766=Справочники!$F$5,Учет!$H766,0)</f>
        <v>0</v>
      </c>
      <c r="U766" s="48">
        <f>IF(Учет!$O766=Справочники!$F$6,Учет!$H766,0)</f>
        <v>0</v>
      </c>
      <c r="V766" s="43">
        <f>V765+Учет!Q766-Q766</f>
        <v>-488978.92000000004</v>
      </c>
      <c r="W766" s="43">
        <f>W765+Учет!R766-R766</f>
        <v>336855</v>
      </c>
      <c r="X766" s="43">
        <f>X765+Учет!S766-S766</f>
        <v>500</v>
      </c>
      <c r="Y766" s="43">
        <f>Y765+Учет!T766-T766</f>
        <v>1150</v>
      </c>
      <c r="Z766" s="43">
        <f>Z765+Учет!U766-U766</f>
        <v>500000</v>
      </c>
      <c r="AA766" s="45">
        <f>Учет!X766</f>
        <v>500</v>
      </c>
    </row>
    <row r="767" spans="1:27" ht="15" customHeight="1" x14ac:dyDescent="0.25">
      <c r="A767" s="1"/>
      <c r="B767" s="17"/>
      <c r="C767" s="17"/>
      <c r="D767" s="17"/>
      <c r="E767" s="17"/>
      <c r="F767" s="17"/>
      <c r="G767" s="4">
        <f t="shared" si="30"/>
        <v>0</v>
      </c>
      <c r="H767" s="17"/>
      <c r="I767" s="4">
        <f t="shared" si="32"/>
        <v>349526.07999999996</v>
      </c>
      <c r="J767" s="32" t="str">
        <f t="shared" si="31"/>
        <v/>
      </c>
      <c r="K767" s="72"/>
      <c r="L767" s="72"/>
      <c r="M767" s="2"/>
      <c r="N767" s="5"/>
      <c r="O767" s="3"/>
      <c r="P767" s="6"/>
      <c r="Q767" s="48">
        <f>IF(Учет!$O767=Справочники!$F$2,Учет!$H767,0)</f>
        <v>0</v>
      </c>
      <c r="R767" s="48">
        <f>IF(Учет!$O767=Справочники!$F$3,Учет!$H767,0)</f>
        <v>0</v>
      </c>
      <c r="S767" s="48">
        <f>IF(Учет!$O767=Справочники!$F$4,Учет!$H767,0)</f>
        <v>0</v>
      </c>
      <c r="T767" s="48">
        <f>IF(Учет!$O767=Справочники!$F$5,Учет!$H767,0)</f>
        <v>0</v>
      </c>
      <c r="U767" s="48">
        <f>IF(Учет!$O767=Справочники!$F$6,Учет!$H767,0)</f>
        <v>0</v>
      </c>
      <c r="V767" s="43">
        <f>V766+Учет!Q767-Q767</f>
        <v>-488978.92000000004</v>
      </c>
      <c r="W767" s="43">
        <f>W766+Учет!R767-R767</f>
        <v>336855</v>
      </c>
      <c r="X767" s="43">
        <f>X766+Учет!S767-S767</f>
        <v>500</v>
      </c>
      <c r="Y767" s="43">
        <f>Y766+Учет!T767-T767</f>
        <v>1150</v>
      </c>
      <c r="Z767" s="43">
        <f>Z766+Учет!U767-U767</f>
        <v>500000</v>
      </c>
      <c r="AA767" s="45">
        <f>Учет!X767</f>
        <v>500</v>
      </c>
    </row>
    <row r="768" spans="1:27" ht="15" customHeight="1" x14ac:dyDescent="0.25">
      <c r="A768" s="1"/>
      <c r="B768" s="17"/>
      <c r="C768" s="17"/>
      <c r="D768" s="17"/>
      <c r="E768" s="17"/>
      <c r="F768" s="17"/>
      <c r="G768" s="4">
        <f t="shared" si="30"/>
        <v>0</v>
      </c>
      <c r="H768" s="17"/>
      <c r="I768" s="4">
        <f t="shared" si="32"/>
        <v>349526.07999999996</v>
      </c>
      <c r="J768" s="32" t="str">
        <f t="shared" si="31"/>
        <v/>
      </c>
      <c r="K768" s="72"/>
      <c r="L768" s="72"/>
      <c r="M768" s="2"/>
      <c r="N768" s="5"/>
      <c r="O768" s="3"/>
      <c r="P768" s="6"/>
      <c r="Q768" s="48">
        <f>IF(Учет!$O768=Справочники!$F$2,Учет!$H768,0)</f>
        <v>0</v>
      </c>
      <c r="R768" s="48">
        <f>IF(Учет!$O768=Справочники!$F$3,Учет!$H768,0)</f>
        <v>0</v>
      </c>
      <c r="S768" s="48">
        <f>IF(Учет!$O768=Справочники!$F$4,Учет!$H768,0)</f>
        <v>0</v>
      </c>
      <c r="T768" s="48">
        <f>IF(Учет!$O768=Справочники!$F$5,Учет!$H768,0)</f>
        <v>0</v>
      </c>
      <c r="U768" s="48">
        <f>IF(Учет!$O768=Справочники!$F$6,Учет!$H768,0)</f>
        <v>0</v>
      </c>
      <c r="V768" s="43">
        <f>V767+Учет!Q768-Q768</f>
        <v>-488978.92000000004</v>
      </c>
      <c r="W768" s="43">
        <f>W767+Учет!R768-R768</f>
        <v>336855</v>
      </c>
      <c r="X768" s="43">
        <f>X767+Учет!S768-S768</f>
        <v>500</v>
      </c>
      <c r="Y768" s="43">
        <f>Y767+Учет!T768-T768</f>
        <v>1150</v>
      </c>
      <c r="Z768" s="43">
        <f>Z767+Учет!U768-U768</f>
        <v>500000</v>
      </c>
      <c r="AA768" s="45">
        <f>Учет!X768</f>
        <v>500</v>
      </c>
    </row>
    <row r="769" spans="1:27" ht="15" customHeight="1" x14ac:dyDescent="0.25">
      <c r="A769" s="1"/>
      <c r="B769" s="17"/>
      <c r="C769" s="17"/>
      <c r="D769" s="17"/>
      <c r="E769" s="17"/>
      <c r="F769" s="17"/>
      <c r="G769" s="4">
        <f t="shared" si="30"/>
        <v>0</v>
      </c>
      <c r="H769" s="17"/>
      <c r="I769" s="4">
        <f t="shared" si="32"/>
        <v>349526.07999999996</v>
      </c>
      <c r="J769" s="32" t="str">
        <f t="shared" si="31"/>
        <v/>
      </c>
      <c r="K769" s="72"/>
      <c r="L769" s="72"/>
      <c r="M769" s="2"/>
      <c r="N769" s="5"/>
      <c r="O769" s="3"/>
      <c r="P769" s="6"/>
      <c r="Q769" s="48">
        <f>IF(Учет!$O769=Справочники!$F$2,Учет!$H769,0)</f>
        <v>0</v>
      </c>
      <c r="R769" s="48">
        <f>IF(Учет!$O769=Справочники!$F$3,Учет!$H769,0)</f>
        <v>0</v>
      </c>
      <c r="S769" s="48">
        <f>IF(Учет!$O769=Справочники!$F$4,Учет!$H769,0)</f>
        <v>0</v>
      </c>
      <c r="T769" s="48">
        <f>IF(Учет!$O769=Справочники!$F$5,Учет!$H769,0)</f>
        <v>0</v>
      </c>
      <c r="U769" s="48">
        <f>IF(Учет!$O769=Справочники!$F$6,Учет!$H769,0)</f>
        <v>0</v>
      </c>
      <c r="V769" s="43">
        <f>V768+Учет!Q769-Q769</f>
        <v>-488978.92000000004</v>
      </c>
      <c r="W769" s="43">
        <f>W768+Учет!R769-R769</f>
        <v>336855</v>
      </c>
      <c r="X769" s="43">
        <f>X768+Учет!S769-S769</f>
        <v>500</v>
      </c>
      <c r="Y769" s="43">
        <f>Y768+Учет!T769-T769</f>
        <v>1150</v>
      </c>
      <c r="Z769" s="43">
        <f>Z768+Учет!U769-U769</f>
        <v>500000</v>
      </c>
      <c r="AA769" s="45">
        <f>Учет!X769</f>
        <v>500</v>
      </c>
    </row>
    <row r="770" spans="1:27" ht="15" customHeight="1" x14ac:dyDescent="0.25">
      <c r="A770" s="1"/>
      <c r="B770" s="17"/>
      <c r="C770" s="17"/>
      <c r="D770" s="17"/>
      <c r="E770" s="17"/>
      <c r="F770" s="17"/>
      <c r="G770" s="4">
        <f t="shared" ref="G770:G833" si="33">SUM($B770:$F770)</f>
        <v>0</v>
      </c>
      <c r="H770" s="17"/>
      <c r="I770" s="4">
        <f t="shared" si="32"/>
        <v>349526.07999999996</v>
      </c>
      <c r="J770" s="32" t="str">
        <f t="shared" ref="J770:J833" si="34">IF($A771&lt;&gt;$A770,$I770,"")</f>
        <v/>
      </c>
      <c r="K770" s="72"/>
      <c r="L770" s="72"/>
      <c r="M770" s="2"/>
      <c r="N770" s="5"/>
      <c r="O770" s="3"/>
      <c r="P770" s="6"/>
      <c r="Q770" s="48">
        <f>IF(Учет!$O770=Справочники!$F$2,Учет!$H770,0)</f>
        <v>0</v>
      </c>
      <c r="R770" s="48">
        <f>IF(Учет!$O770=Справочники!$F$3,Учет!$H770,0)</f>
        <v>0</v>
      </c>
      <c r="S770" s="48">
        <f>IF(Учет!$O770=Справочники!$F$4,Учет!$H770,0)</f>
        <v>0</v>
      </c>
      <c r="T770" s="48">
        <f>IF(Учет!$O770=Справочники!$F$5,Учет!$H770,0)</f>
        <v>0</v>
      </c>
      <c r="U770" s="48">
        <f>IF(Учет!$O770=Справочники!$F$6,Учет!$H770,0)</f>
        <v>0</v>
      </c>
      <c r="V770" s="43">
        <f>V769+Учет!Q770-Q770</f>
        <v>-488978.92000000004</v>
      </c>
      <c r="W770" s="43">
        <f>W769+Учет!R770-R770</f>
        <v>336855</v>
      </c>
      <c r="X770" s="43">
        <f>X769+Учет!S770-S770</f>
        <v>500</v>
      </c>
      <c r="Y770" s="43">
        <f>Y769+Учет!T770-T770</f>
        <v>1150</v>
      </c>
      <c r="Z770" s="43">
        <f>Z769+Учет!U770-U770</f>
        <v>500000</v>
      </c>
      <c r="AA770" s="45">
        <f>Учет!X770</f>
        <v>500</v>
      </c>
    </row>
    <row r="771" spans="1:27" ht="15" customHeight="1" x14ac:dyDescent="0.25">
      <c r="A771" s="1"/>
      <c r="B771" s="17"/>
      <c r="C771" s="17"/>
      <c r="D771" s="17"/>
      <c r="E771" s="17"/>
      <c r="F771" s="17"/>
      <c r="G771" s="4">
        <f t="shared" si="33"/>
        <v>0</v>
      </c>
      <c r="H771" s="17"/>
      <c r="I771" s="4">
        <f t="shared" ref="I771:I834" si="35">$I770+$G771-$H771</f>
        <v>349526.07999999996</v>
      </c>
      <c r="J771" s="32" t="str">
        <f t="shared" si="34"/>
        <v/>
      </c>
      <c r="K771" s="72"/>
      <c r="L771" s="72"/>
      <c r="M771" s="2"/>
      <c r="N771" s="5"/>
      <c r="O771" s="3"/>
      <c r="P771" s="6"/>
      <c r="Q771" s="48">
        <f>IF(Учет!$O771=Справочники!$F$2,Учет!$H771,0)</f>
        <v>0</v>
      </c>
      <c r="R771" s="48">
        <f>IF(Учет!$O771=Справочники!$F$3,Учет!$H771,0)</f>
        <v>0</v>
      </c>
      <c r="S771" s="48">
        <f>IF(Учет!$O771=Справочники!$F$4,Учет!$H771,0)</f>
        <v>0</v>
      </c>
      <c r="T771" s="48">
        <f>IF(Учет!$O771=Справочники!$F$5,Учет!$H771,0)</f>
        <v>0</v>
      </c>
      <c r="U771" s="48">
        <f>IF(Учет!$O771=Справочники!$F$6,Учет!$H771,0)</f>
        <v>0</v>
      </c>
      <c r="V771" s="43">
        <f>V770+Учет!Q771-Q771</f>
        <v>-488978.92000000004</v>
      </c>
      <c r="W771" s="43">
        <f>W770+Учет!R771-R771</f>
        <v>336855</v>
      </c>
      <c r="X771" s="43">
        <f>X770+Учет!S771-S771</f>
        <v>500</v>
      </c>
      <c r="Y771" s="43">
        <f>Y770+Учет!T771-T771</f>
        <v>1150</v>
      </c>
      <c r="Z771" s="43">
        <f>Z770+Учет!U771-U771</f>
        <v>500000</v>
      </c>
      <c r="AA771" s="45">
        <f>Учет!X771</f>
        <v>500</v>
      </c>
    </row>
    <row r="772" spans="1:27" ht="15" customHeight="1" x14ac:dyDescent="0.25">
      <c r="A772" s="1"/>
      <c r="B772" s="17"/>
      <c r="C772" s="17"/>
      <c r="D772" s="17"/>
      <c r="E772" s="17"/>
      <c r="F772" s="17"/>
      <c r="G772" s="4">
        <f t="shared" si="33"/>
        <v>0</v>
      </c>
      <c r="H772" s="17"/>
      <c r="I772" s="4">
        <f t="shared" si="35"/>
        <v>349526.07999999996</v>
      </c>
      <c r="J772" s="32" t="str">
        <f t="shared" si="34"/>
        <v/>
      </c>
      <c r="K772" s="72"/>
      <c r="L772" s="72"/>
      <c r="M772" s="2"/>
      <c r="N772" s="5"/>
      <c r="O772" s="3"/>
      <c r="P772" s="6"/>
      <c r="Q772" s="48">
        <f>IF(Учет!$O772=Справочники!$F$2,Учет!$H772,0)</f>
        <v>0</v>
      </c>
      <c r="R772" s="48">
        <f>IF(Учет!$O772=Справочники!$F$3,Учет!$H772,0)</f>
        <v>0</v>
      </c>
      <c r="S772" s="48">
        <f>IF(Учет!$O772=Справочники!$F$4,Учет!$H772,0)</f>
        <v>0</v>
      </c>
      <c r="T772" s="48">
        <f>IF(Учет!$O772=Справочники!$F$5,Учет!$H772,0)</f>
        <v>0</v>
      </c>
      <c r="U772" s="48">
        <f>IF(Учет!$O772=Справочники!$F$6,Учет!$H772,0)</f>
        <v>0</v>
      </c>
      <c r="V772" s="43">
        <f>V771+Учет!Q772-Q772</f>
        <v>-488978.92000000004</v>
      </c>
      <c r="W772" s="43">
        <f>W771+Учет!R772-R772</f>
        <v>336855</v>
      </c>
      <c r="X772" s="43">
        <f>X771+Учет!S772-S772</f>
        <v>500</v>
      </c>
      <c r="Y772" s="43">
        <f>Y771+Учет!T772-T772</f>
        <v>1150</v>
      </c>
      <c r="Z772" s="43">
        <f>Z771+Учет!U772-U772</f>
        <v>500000</v>
      </c>
      <c r="AA772" s="45">
        <f>Учет!X772</f>
        <v>500</v>
      </c>
    </row>
    <row r="773" spans="1:27" ht="15" customHeight="1" x14ac:dyDescent="0.25">
      <c r="A773" s="1"/>
      <c r="B773" s="17"/>
      <c r="C773" s="17"/>
      <c r="D773" s="17"/>
      <c r="E773" s="17"/>
      <c r="F773" s="17"/>
      <c r="G773" s="4">
        <f t="shared" si="33"/>
        <v>0</v>
      </c>
      <c r="H773" s="17"/>
      <c r="I773" s="4">
        <f t="shared" si="35"/>
        <v>349526.07999999996</v>
      </c>
      <c r="J773" s="32" t="str">
        <f t="shared" si="34"/>
        <v/>
      </c>
      <c r="K773" s="72"/>
      <c r="L773" s="72"/>
      <c r="M773" s="2"/>
      <c r="N773" s="5"/>
      <c r="O773" s="3"/>
      <c r="P773" s="6"/>
      <c r="Q773" s="48">
        <f>IF(Учет!$O773=Справочники!$F$2,Учет!$H773,0)</f>
        <v>0</v>
      </c>
      <c r="R773" s="48">
        <f>IF(Учет!$O773=Справочники!$F$3,Учет!$H773,0)</f>
        <v>0</v>
      </c>
      <c r="S773" s="48">
        <f>IF(Учет!$O773=Справочники!$F$4,Учет!$H773,0)</f>
        <v>0</v>
      </c>
      <c r="T773" s="48">
        <f>IF(Учет!$O773=Справочники!$F$5,Учет!$H773,0)</f>
        <v>0</v>
      </c>
      <c r="U773" s="48">
        <f>IF(Учет!$O773=Справочники!$F$6,Учет!$H773,0)</f>
        <v>0</v>
      </c>
      <c r="V773" s="43">
        <f>V772+Учет!Q773-Q773</f>
        <v>-488978.92000000004</v>
      </c>
      <c r="W773" s="43">
        <f>W772+Учет!R773-R773</f>
        <v>336855</v>
      </c>
      <c r="X773" s="43">
        <f>X772+Учет!S773-S773</f>
        <v>500</v>
      </c>
      <c r="Y773" s="43">
        <f>Y772+Учет!T773-T773</f>
        <v>1150</v>
      </c>
      <c r="Z773" s="43">
        <f>Z772+Учет!U773-U773</f>
        <v>500000</v>
      </c>
      <c r="AA773" s="45">
        <f>Учет!X773</f>
        <v>500</v>
      </c>
    </row>
    <row r="774" spans="1:27" ht="15" customHeight="1" x14ac:dyDescent="0.25">
      <c r="A774" s="1"/>
      <c r="B774" s="17"/>
      <c r="C774" s="17"/>
      <c r="D774" s="17"/>
      <c r="E774" s="17"/>
      <c r="F774" s="17"/>
      <c r="G774" s="4">
        <f t="shared" si="33"/>
        <v>0</v>
      </c>
      <c r="H774" s="17"/>
      <c r="I774" s="4">
        <f t="shared" si="35"/>
        <v>349526.07999999996</v>
      </c>
      <c r="J774" s="32" t="str">
        <f t="shared" si="34"/>
        <v/>
      </c>
      <c r="K774" s="72"/>
      <c r="L774" s="72"/>
      <c r="M774" s="2"/>
      <c r="N774" s="5"/>
      <c r="O774" s="3"/>
      <c r="P774" s="6"/>
      <c r="Q774" s="48">
        <f>IF(Учет!$O774=Справочники!$F$2,Учет!$H774,0)</f>
        <v>0</v>
      </c>
      <c r="R774" s="48">
        <f>IF(Учет!$O774=Справочники!$F$3,Учет!$H774,0)</f>
        <v>0</v>
      </c>
      <c r="S774" s="48">
        <f>IF(Учет!$O774=Справочники!$F$4,Учет!$H774,0)</f>
        <v>0</v>
      </c>
      <c r="T774" s="48">
        <f>IF(Учет!$O774=Справочники!$F$5,Учет!$H774,0)</f>
        <v>0</v>
      </c>
      <c r="U774" s="48">
        <f>IF(Учет!$O774=Справочники!$F$6,Учет!$H774,0)</f>
        <v>0</v>
      </c>
      <c r="V774" s="43">
        <f>V773+Учет!Q774-Q774</f>
        <v>-488978.92000000004</v>
      </c>
      <c r="W774" s="43">
        <f>W773+Учет!R774-R774</f>
        <v>336855</v>
      </c>
      <c r="X774" s="43">
        <f>X773+Учет!S774-S774</f>
        <v>500</v>
      </c>
      <c r="Y774" s="43">
        <f>Y773+Учет!T774-T774</f>
        <v>1150</v>
      </c>
      <c r="Z774" s="43">
        <f>Z773+Учет!U774-U774</f>
        <v>500000</v>
      </c>
      <c r="AA774" s="45">
        <f>Учет!X774</f>
        <v>500</v>
      </c>
    </row>
    <row r="775" spans="1:27" ht="15" customHeight="1" x14ac:dyDescent="0.25">
      <c r="A775" s="1"/>
      <c r="B775" s="17"/>
      <c r="C775" s="17"/>
      <c r="D775" s="17"/>
      <c r="E775" s="17"/>
      <c r="F775" s="17"/>
      <c r="G775" s="4">
        <f t="shared" si="33"/>
        <v>0</v>
      </c>
      <c r="H775" s="17"/>
      <c r="I775" s="4">
        <f t="shared" si="35"/>
        <v>349526.07999999996</v>
      </c>
      <c r="J775" s="32" t="str">
        <f t="shared" si="34"/>
        <v/>
      </c>
      <c r="K775" s="72"/>
      <c r="L775" s="72"/>
      <c r="M775" s="2"/>
      <c r="N775" s="5"/>
      <c r="O775" s="3"/>
      <c r="P775" s="6"/>
      <c r="Q775" s="48">
        <f>IF(Учет!$O775=Справочники!$F$2,Учет!$H775,0)</f>
        <v>0</v>
      </c>
      <c r="R775" s="48">
        <f>IF(Учет!$O775=Справочники!$F$3,Учет!$H775,0)</f>
        <v>0</v>
      </c>
      <c r="S775" s="48">
        <f>IF(Учет!$O775=Справочники!$F$4,Учет!$H775,0)</f>
        <v>0</v>
      </c>
      <c r="T775" s="48">
        <f>IF(Учет!$O775=Справочники!$F$5,Учет!$H775,0)</f>
        <v>0</v>
      </c>
      <c r="U775" s="48">
        <f>IF(Учет!$O775=Справочники!$F$6,Учет!$H775,0)</f>
        <v>0</v>
      </c>
      <c r="V775" s="43">
        <f>V774+Учет!Q775-Q775</f>
        <v>-488978.92000000004</v>
      </c>
      <c r="W775" s="43">
        <f>W774+Учет!R775-R775</f>
        <v>336855</v>
      </c>
      <c r="X775" s="43">
        <f>X774+Учет!S775-S775</f>
        <v>500</v>
      </c>
      <c r="Y775" s="43">
        <f>Y774+Учет!T775-T775</f>
        <v>1150</v>
      </c>
      <c r="Z775" s="43">
        <f>Z774+Учет!U775-U775</f>
        <v>500000</v>
      </c>
      <c r="AA775" s="45">
        <f>Учет!X775</f>
        <v>500</v>
      </c>
    </row>
    <row r="776" spans="1:27" ht="15" customHeight="1" x14ac:dyDescent="0.25">
      <c r="A776" s="1"/>
      <c r="B776" s="17"/>
      <c r="C776" s="17"/>
      <c r="D776" s="17"/>
      <c r="E776" s="17"/>
      <c r="F776" s="17"/>
      <c r="G776" s="4">
        <f t="shared" si="33"/>
        <v>0</v>
      </c>
      <c r="H776" s="17"/>
      <c r="I776" s="4">
        <f t="shared" si="35"/>
        <v>349526.07999999996</v>
      </c>
      <c r="J776" s="32" t="str">
        <f t="shared" si="34"/>
        <v/>
      </c>
      <c r="K776" s="72"/>
      <c r="L776" s="72"/>
      <c r="M776" s="2"/>
      <c r="N776" s="5"/>
      <c r="O776" s="3"/>
      <c r="P776" s="6"/>
      <c r="Q776" s="48">
        <f>IF(Учет!$O776=Справочники!$F$2,Учет!$H776,0)</f>
        <v>0</v>
      </c>
      <c r="R776" s="48">
        <f>IF(Учет!$O776=Справочники!$F$3,Учет!$H776,0)</f>
        <v>0</v>
      </c>
      <c r="S776" s="48">
        <f>IF(Учет!$O776=Справочники!$F$4,Учет!$H776,0)</f>
        <v>0</v>
      </c>
      <c r="T776" s="48">
        <f>IF(Учет!$O776=Справочники!$F$5,Учет!$H776,0)</f>
        <v>0</v>
      </c>
      <c r="U776" s="48">
        <f>IF(Учет!$O776=Справочники!$F$6,Учет!$H776,0)</f>
        <v>0</v>
      </c>
      <c r="V776" s="43">
        <f>V775+Учет!Q776-Q776</f>
        <v>-488978.92000000004</v>
      </c>
      <c r="W776" s="43">
        <f>W775+Учет!R776-R776</f>
        <v>336855</v>
      </c>
      <c r="X776" s="43">
        <f>X775+Учет!S776-S776</f>
        <v>500</v>
      </c>
      <c r="Y776" s="43">
        <f>Y775+Учет!T776-T776</f>
        <v>1150</v>
      </c>
      <c r="Z776" s="43">
        <f>Z775+Учет!U776-U776</f>
        <v>500000</v>
      </c>
      <c r="AA776" s="45">
        <f>Учет!X776</f>
        <v>500</v>
      </c>
    </row>
    <row r="777" spans="1:27" ht="15" customHeight="1" x14ac:dyDescent="0.25">
      <c r="A777" s="1"/>
      <c r="B777" s="17"/>
      <c r="C777" s="17"/>
      <c r="D777" s="17"/>
      <c r="E777" s="17"/>
      <c r="F777" s="17"/>
      <c r="G777" s="4">
        <f t="shared" si="33"/>
        <v>0</v>
      </c>
      <c r="H777" s="17"/>
      <c r="I777" s="4">
        <f t="shared" si="35"/>
        <v>349526.07999999996</v>
      </c>
      <c r="J777" s="32" t="str">
        <f t="shared" si="34"/>
        <v/>
      </c>
      <c r="K777" s="72"/>
      <c r="L777" s="72"/>
      <c r="M777" s="2"/>
      <c r="N777" s="5"/>
      <c r="O777" s="3"/>
      <c r="P777" s="6"/>
      <c r="Q777" s="48">
        <f>IF(Учет!$O777=Справочники!$F$2,Учет!$H777,0)</f>
        <v>0</v>
      </c>
      <c r="R777" s="48">
        <f>IF(Учет!$O777=Справочники!$F$3,Учет!$H777,0)</f>
        <v>0</v>
      </c>
      <c r="S777" s="48">
        <f>IF(Учет!$O777=Справочники!$F$4,Учет!$H777,0)</f>
        <v>0</v>
      </c>
      <c r="T777" s="48">
        <f>IF(Учет!$O777=Справочники!$F$5,Учет!$H777,0)</f>
        <v>0</v>
      </c>
      <c r="U777" s="48">
        <f>IF(Учет!$O777=Справочники!$F$6,Учет!$H777,0)</f>
        <v>0</v>
      </c>
      <c r="V777" s="43">
        <f>V776+Учет!Q777-Q777</f>
        <v>-488978.92000000004</v>
      </c>
      <c r="W777" s="43">
        <f>W776+Учет!R777-R777</f>
        <v>336855</v>
      </c>
      <c r="X777" s="43">
        <f>X776+Учет!S777-S777</f>
        <v>500</v>
      </c>
      <c r="Y777" s="43">
        <f>Y776+Учет!T777-T777</f>
        <v>1150</v>
      </c>
      <c r="Z777" s="43">
        <f>Z776+Учет!U777-U777</f>
        <v>500000</v>
      </c>
      <c r="AA777" s="45">
        <f>Учет!X777</f>
        <v>500</v>
      </c>
    </row>
    <row r="778" spans="1:27" ht="15" customHeight="1" x14ac:dyDescent="0.25">
      <c r="A778" s="1"/>
      <c r="B778" s="17"/>
      <c r="C778" s="17"/>
      <c r="D778" s="17"/>
      <c r="E778" s="17"/>
      <c r="F778" s="17"/>
      <c r="G778" s="4">
        <f t="shared" si="33"/>
        <v>0</v>
      </c>
      <c r="H778" s="17"/>
      <c r="I778" s="4">
        <f t="shared" si="35"/>
        <v>349526.07999999996</v>
      </c>
      <c r="J778" s="32" t="str">
        <f t="shared" si="34"/>
        <v/>
      </c>
      <c r="K778" s="72"/>
      <c r="L778" s="72"/>
      <c r="M778" s="2"/>
      <c r="N778" s="5"/>
      <c r="O778" s="3"/>
      <c r="P778" s="6"/>
      <c r="Q778" s="48">
        <f>IF(Учет!$O778=Справочники!$F$2,Учет!$H778,0)</f>
        <v>0</v>
      </c>
      <c r="R778" s="48">
        <f>IF(Учет!$O778=Справочники!$F$3,Учет!$H778,0)</f>
        <v>0</v>
      </c>
      <c r="S778" s="48">
        <f>IF(Учет!$O778=Справочники!$F$4,Учет!$H778,0)</f>
        <v>0</v>
      </c>
      <c r="T778" s="48">
        <f>IF(Учет!$O778=Справочники!$F$5,Учет!$H778,0)</f>
        <v>0</v>
      </c>
      <c r="U778" s="48">
        <f>IF(Учет!$O778=Справочники!$F$6,Учет!$H778,0)</f>
        <v>0</v>
      </c>
      <c r="V778" s="43">
        <f>V777+Учет!Q778-Q778</f>
        <v>-488978.92000000004</v>
      </c>
      <c r="W778" s="43">
        <f>W777+Учет!R778-R778</f>
        <v>336855</v>
      </c>
      <c r="X778" s="43">
        <f>X777+Учет!S778-S778</f>
        <v>500</v>
      </c>
      <c r="Y778" s="43">
        <f>Y777+Учет!T778-T778</f>
        <v>1150</v>
      </c>
      <c r="Z778" s="43">
        <f>Z777+Учет!U778-U778</f>
        <v>500000</v>
      </c>
      <c r="AA778" s="45">
        <f>Учет!X778</f>
        <v>500</v>
      </c>
    </row>
    <row r="779" spans="1:27" ht="15" customHeight="1" x14ac:dyDescent="0.25">
      <c r="A779" s="1"/>
      <c r="B779" s="17"/>
      <c r="C779" s="17"/>
      <c r="D779" s="17"/>
      <c r="E779" s="17"/>
      <c r="F779" s="17"/>
      <c r="G779" s="4">
        <f t="shared" si="33"/>
        <v>0</v>
      </c>
      <c r="H779" s="17"/>
      <c r="I779" s="4">
        <f t="shared" si="35"/>
        <v>349526.07999999996</v>
      </c>
      <c r="J779" s="32" t="str">
        <f t="shared" si="34"/>
        <v/>
      </c>
      <c r="K779" s="72"/>
      <c r="L779" s="72"/>
      <c r="M779" s="2"/>
      <c r="N779" s="5"/>
      <c r="O779" s="3"/>
      <c r="P779" s="6"/>
      <c r="Q779" s="48">
        <f>IF(Учет!$O779=Справочники!$F$2,Учет!$H779,0)</f>
        <v>0</v>
      </c>
      <c r="R779" s="48">
        <f>IF(Учет!$O779=Справочники!$F$3,Учет!$H779,0)</f>
        <v>0</v>
      </c>
      <c r="S779" s="48">
        <f>IF(Учет!$O779=Справочники!$F$4,Учет!$H779,0)</f>
        <v>0</v>
      </c>
      <c r="T779" s="48">
        <f>IF(Учет!$O779=Справочники!$F$5,Учет!$H779,0)</f>
        <v>0</v>
      </c>
      <c r="U779" s="48">
        <f>IF(Учет!$O779=Справочники!$F$6,Учет!$H779,0)</f>
        <v>0</v>
      </c>
      <c r="V779" s="43">
        <f>V778+Учет!Q779-Q779</f>
        <v>-488978.92000000004</v>
      </c>
      <c r="W779" s="43">
        <f>W778+Учет!R779-R779</f>
        <v>336855</v>
      </c>
      <c r="X779" s="43">
        <f>X778+Учет!S779-S779</f>
        <v>500</v>
      </c>
      <c r="Y779" s="43">
        <f>Y778+Учет!T779-T779</f>
        <v>1150</v>
      </c>
      <c r="Z779" s="43">
        <f>Z778+Учет!U779-U779</f>
        <v>500000</v>
      </c>
      <c r="AA779" s="45">
        <f>Учет!X779</f>
        <v>500</v>
      </c>
    </row>
    <row r="780" spans="1:27" ht="15" customHeight="1" x14ac:dyDescent="0.25">
      <c r="A780" s="1"/>
      <c r="B780" s="17"/>
      <c r="C780" s="17"/>
      <c r="D780" s="17"/>
      <c r="E780" s="17"/>
      <c r="F780" s="17"/>
      <c r="G780" s="4">
        <f t="shared" si="33"/>
        <v>0</v>
      </c>
      <c r="H780" s="17"/>
      <c r="I780" s="4">
        <f t="shared" si="35"/>
        <v>349526.07999999996</v>
      </c>
      <c r="J780" s="32" t="str">
        <f t="shared" si="34"/>
        <v/>
      </c>
      <c r="K780" s="72"/>
      <c r="L780" s="72"/>
      <c r="M780" s="2"/>
      <c r="N780" s="5"/>
      <c r="O780" s="3"/>
      <c r="P780" s="6"/>
      <c r="Q780" s="48">
        <f>IF(Учет!$O780=Справочники!$F$2,Учет!$H780,0)</f>
        <v>0</v>
      </c>
      <c r="R780" s="48">
        <f>IF(Учет!$O780=Справочники!$F$3,Учет!$H780,0)</f>
        <v>0</v>
      </c>
      <c r="S780" s="48">
        <f>IF(Учет!$O780=Справочники!$F$4,Учет!$H780,0)</f>
        <v>0</v>
      </c>
      <c r="T780" s="48">
        <f>IF(Учет!$O780=Справочники!$F$5,Учет!$H780,0)</f>
        <v>0</v>
      </c>
      <c r="U780" s="48">
        <f>IF(Учет!$O780=Справочники!$F$6,Учет!$H780,0)</f>
        <v>0</v>
      </c>
      <c r="V780" s="43">
        <f>V779+Учет!Q780-Q780</f>
        <v>-488978.92000000004</v>
      </c>
      <c r="W780" s="43">
        <f>W779+Учет!R780-R780</f>
        <v>336855</v>
      </c>
      <c r="X780" s="43">
        <f>X779+Учет!S780-S780</f>
        <v>500</v>
      </c>
      <c r="Y780" s="43">
        <f>Y779+Учет!T780-T780</f>
        <v>1150</v>
      </c>
      <c r="Z780" s="43">
        <f>Z779+Учет!U780-U780</f>
        <v>500000</v>
      </c>
      <c r="AA780" s="45">
        <f>Учет!X780</f>
        <v>500</v>
      </c>
    </row>
    <row r="781" spans="1:27" ht="15" customHeight="1" x14ac:dyDescent="0.25">
      <c r="A781" s="1"/>
      <c r="B781" s="17"/>
      <c r="C781" s="17"/>
      <c r="D781" s="17"/>
      <c r="E781" s="17"/>
      <c r="F781" s="17"/>
      <c r="G781" s="4">
        <f t="shared" si="33"/>
        <v>0</v>
      </c>
      <c r="H781" s="17"/>
      <c r="I781" s="4">
        <f t="shared" si="35"/>
        <v>349526.07999999996</v>
      </c>
      <c r="J781" s="32" t="str">
        <f t="shared" si="34"/>
        <v/>
      </c>
      <c r="K781" s="72"/>
      <c r="L781" s="72"/>
      <c r="M781" s="2"/>
      <c r="N781" s="5"/>
      <c r="O781" s="3"/>
      <c r="P781" s="6"/>
      <c r="Q781" s="48">
        <f>IF(Учет!$O781=Справочники!$F$2,Учет!$H781,0)</f>
        <v>0</v>
      </c>
      <c r="R781" s="48">
        <f>IF(Учет!$O781=Справочники!$F$3,Учет!$H781,0)</f>
        <v>0</v>
      </c>
      <c r="S781" s="48">
        <f>IF(Учет!$O781=Справочники!$F$4,Учет!$H781,0)</f>
        <v>0</v>
      </c>
      <c r="T781" s="48">
        <f>IF(Учет!$O781=Справочники!$F$5,Учет!$H781,0)</f>
        <v>0</v>
      </c>
      <c r="U781" s="48">
        <f>IF(Учет!$O781=Справочники!$F$6,Учет!$H781,0)</f>
        <v>0</v>
      </c>
      <c r="V781" s="43">
        <f>V780+Учет!Q781-Q781</f>
        <v>-488978.92000000004</v>
      </c>
      <c r="W781" s="43">
        <f>W780+Учет!R781-R781</f>
        <v>336855</v>
      </c>
      <c r="X781" s="43">
        <f>X780+Учет!S781-S781</f>
        <v>500</v>
      </c>
      <c r="Y781" s="43">
        <f>Y780+Учет!T781-T781</f>
        <v>1150</v>
      </c>
      <c r="Z781" s="43">
        <f>Z780+Учет!U781-U781</f>
        <v>500000</v>
      </c>
      <c r="AA781" s="45">
        <f>Учет!X781</f>
        <v>500</v>
      </c>
    </row>
    <row r="782" spans="1:27" ht="15" customHeight="1" x14ac:dyDescent="0.25">
      <c r="A782" s="1"/>
      <c r="B782" s="17"/>
      <c r="C782" s="17"/>
      <c r="D782" s="17"/>
      <c r="E782" s="17"/>
      <c r="F782" s="17"/>
      <c r="G782" s="4">
        <f t="shared" si="33"/>
        <v>0</v>
      </c>
      <c r="H782" s="17"/>
      <c r="I782" s="4">
        <f t="shared" si="35"/>
        <v>349526.07999999996</v>
      </c>
      <c r="J782" s="32" t="str">
        <f t="shared" si="34"/>
        <v/>
      </c>
      <c r="K782" s="72"/>
      <c r="L782" s="72"/>
      <c r="M782" s="2"/>
      <c r="N782" s="5"/>
      <c r="O782" s="3"/>
      <c r="P782" s="6"/>
      <c r="Q782" s="48">
        <f>IF(Учет!$O782=Справочники!$F$2,Учет!$H782,0)</f>
        <v>0</v>
      </c>
      <c r="R782" s="48">
        <f>IF(Учет!$O782=Справочники!$F$3,Учет!$H782,0)</f>
        <v>0</v>
      </c>
      <c r="S782" s="48">
        <f>IF(Учет!$O782=Справочники!$F$4,Учет!$H782,0)</f>
        <v>0</v>
      </c>
      <c r="T782" s="48">
        <f>IF(Учет!$O782=Справочники!$F$5,Учет!$H782,0)</f>
        <v>0</v>
      </c>
      <c r="U782" s="48">
        <f>IF(Учет!$O782=Справочники!$F$6,Учет!$H782,0)</f>
        <v>0</v>
      </c>
      <c r="V782" s="43">
        <f>V781+Учет!Q782-Q782</f>
        <v>-488978.92000000004</v>
      </c>
      <c r="W782" s="43">
        <f>W781+Учет!R782-R782</f>
        <v>336855</v>
      </c>
      <c r="X782" s="43">
        <f>X781+Учет!S782-S782</f>
        <v>500</v>
      </c>
      <c r="Y782" s="43">
        <f>Y781+Учет!T782-T782</f>
        <v>1150</v>
      </c>
      <c r="Z782" s="43">
        <f>Z781+Учет!U782-U782</f>
        <v>500000</v>
      </c>
      <c r="AA782" s="45">
        <f>Учет!X782</f>
        <v>500</v>
      </c>
    </row>
    <row r="783" spans="1:27" ht="15" customHeight="1" x14ac:dyDescent="0.25">
      <c r="A783" s="1"/>
      <c r="B783" s="17"/>
      <c r="C783" s="17"/>
      <c r="D783" s="17"/>
      <c r="E783" s="17"/>
      <c r="F783" s="17"/>
      <c r="G783" s="4">
        <f t="shared" si="33"/>
        <v>0</v>
      </c>
      <c r="H783" s="17"/>
      <c r="I783" s="4">
        <f t="shared" si="35"/>
        <v>349526.07999999996</v>
      </c>
      <c r="J783" s="32" t="str">
        <f t="shared" si="34"/>
        <v/>
      </c>
      <c r="K783" s="72"/>
      <c r="L783" s="72"/>
      <c r="M783" s="2"/>
      <c r="N783" s="5"/>
      <c r="O783" s="3"/>
      <c r="P783" s="6"/>
      <c r="Q783" s="48">
        <f>IF(Учет!$O783=Справочники!$F$2,Учет!$H783,0)</f>
        <v>0</v>
      </c>
      <c r="R783" s="48">
        <f>IF(Учет!$O783=Справочники!$F$3,Учет!$H783,0)</f>
        <v>0</v>
      </c>
      <c r="S783" s="48">
        <f>IF(Учет!$O783=Справочники!$F$4,Учет!$H783,0)</f>
        <v>0</v>
      </c>
      <c r="T783" s="48">
        <f>IF(Учет!$O783=Справочники!$F$5,Учет!$H783,0)</f>
        <v>0</v>
      </c>
      <c r="U783" s="48">
        <f>IF(Учет!$O783=Справочники!$F$6,Учет!$H783,0)</f>
        <v>0</v>
      </c>
      <c r="V783" s="43">
        <f>V782+Учет!Q783-Q783</f>
        <v>-488978.92000000004</v>
      </c>
      <c r="W783" s="43">
        <f>W782+Учет!R783-R783</f>
        <v>336855</v>
      </c>
      <c r="X783" s="43">
        <f>X782+Учет!S783-S783</f>
        <v>500</v>
      </c>
      <c r="Y783" s="43">
        <f>Y782+Учет!T783-T783</f>
        <v>1150</v>
      </c>
      <c r="Z783" s="43">
        <f>Z782+Учет!U783-U783</f>
        <v>500000</v>
      </c>
      <c r="AA783" s="45">
        <f>Учет!X783</f>
        <v>500</v>
      </c>
    </row>
    <row r="784" spans="1:27" ht="15" customHeight="1" x14ac:dyDescent="0.25">
      <c r="A784" s="1"/>
      <c r="B784" s="17"/>
      <c r="C784" s="17"/>
      <c r="D784" s="17"/>
      <c r="E784" s="17"/>
      <c r="F784" s="17"/>
      <c r="G784" s="4">
        <f t="shared" si="33"/>
        <v>0</v>
      </c>
      <c r="H784" s="17"/>
      <c r="I784" s="4">
        <f t="shared" si="35"/>
        <v>349526.07999999996</v>
      </c>
      <c r="J784" s="32" t="str">
        <f t="shared" si="34"/>
        <v/>
      </c>
      <c r="K784" s="72"/>
      <c r="L784" s="72"/>
      <c r="M784" s="2"/>
      <c r="N784" s="5"/>
      <c r="O784" s="3"/>
      <c r="P784" s="6"/>
      <c r="Q784" s="48">
        <f>IF(Учет!$O784=Справочники!$F$2,Учет!$H784,0)</f>
        <v>0</v>
      </c>
      <c r="R784" s="48">
        <f>IF(Учет!$O784=Справочники!$F$3,Учет!$H784,0)</f>
        <v>0</v>
      </c>
      <c r="S784" s="48">
        <f>IF(Учет!$O784=Справочники!$F$4,Учет!$H784,0)</f>
        <v>0</v>
      </c>
      <c r="T784" s="48">
        <f>IF(Учет!$O784=Справочники!$F$5,Учет!$H784,0)</f>
        <v>0</v>
      </c>
      <c r="U784" s="48">
        <f>IF(Учет!$O784=Справочники!$F$6,Учет!$H784,0)</f>
        <v>0</v>
      </c>
      <c r="V784" s="43">
        <f>V783+Учет!Q784-Q784</f>
        <v>-488978.92000000004</v>
      </c>
      <c r="W784" s="43">
        <f>W783+Учет!R784-R784</f>
        <v>336855</v>
      </c>
      <c r="X784" s="43">
        <f>X783+Учет!S784-S784</f>
        <v>500</v>
      </c>
      <c r="Y784" s="43">
        <f>Y783+Учет!T784-T784</f>
        <v>1150</v>
      </c>
      <c r="Z784" s="43">
        <f>Z783+Учет!U784-U784</f>
        <v>500000</v>
      </c>
      <c r="AA784" s="45">
        <f>Учет!X784</f>
        <v>500</v>
      </c>
    </row>
    <row r="785" spans="1:27" ht="15" customHeight="1" x14ac:dyDescent="0.25">
      <c r="A785" s="1"/>
      <c r="B785" s="17"/>
      <c r="C785" s="17"/>
      <c r="D785" s="17"/>
      <c r="E785" s="17"/>
      <c r="F785" s="17"/>
      <c r="G785" s="4">
        <f t="shared" si="33"/>
        <v>0</v>
      </c>
      <c r="H785" s="17"/>
      <c r="I785" s="4">
        <f t="shared" si="35"/>
        <v>349526.07999999996</v>
      </c>
      <c r="J785" s="32" t="str">
        <f t="shared" si="34"/>
        <v/>
      </c>
      <c r="K785" s="72"/>
      <c r="L785" s="72"/>
      <c r="M785" s="2"/>
      <c r="N785" s="5"/>
      <c r="O785" s="3"/>
      <c r="P785" s="6"/>
      <c r="Q785" s="48">
        <f>IF(Учет!$O785=Справочники!$F$2,Учет!$H785,0)</f>
        <v>0</v>
      </c>
      <c r="R785" s="48">
        <f>IF(Учет!$O785=Справочники!$F$3,Учет!$H785,0)</f>
        <v>0</v>
      </c>
      <c r="S785" s="48">
        <f>IF(Учет!$O785=Справочники!$F$4,Учет!$H785,0)</f>
        <v>0</v>
      </c>
      <c r="T785" s="48">
        <f>IF(Учет!$O785=Справочники!$F$5,Учет!$H785,0)</f>
        <v>0</v>
      </c>
      <c r="U785" s="48">
        <f>IF(Учет!$O785=Справочники!$F$6,Учет!$H785,0)</f>
        <v>0</v>
      </c>
      <c r="V785" s="43">
        <f>V784+Учет!Q785-Q785</f>
        <v>-488978.92000000004</v>
      </c>
      <c r="W785" s="43">
        <f>W784+Учет!R785-R785</f>
        <v>336855</v>
      </c>
      <c r="X785" s="43">
        <f>X784+Учет!S785-S785</f>
        <v>500</v>
      </c>
      <c r="Y785" s="43">
        <f>Y784+Учет!T785-T785</f>
        <v>1150</v>
      </c>
      <c r="Z785" s="43">
        <f>Z784+Учет!U785-U785</f>
        <v>500000</v>
      </c>
      <c r="AA785" s="45">
        <f>Учет!X785</f>
        <v>500</v>
      </c>
    </row>
    <row r="786" spans="1:27" ht="15" customHeight="1" x14ac:dyDescent="0.25">
      <c r="A786" s="1"/>
      <c r="B786" s="17"/>
      <c r="C786" s="17"/>
      <c r="D786" s="17"/>
      <c r="E786" s="17"/>
      <c r="F786" s="17"/>
      <c r="G786" s="4">
        <f t="shared" si="33"/>
        <v>0</v>
      </c>
      <c r="H786" s="17"/>
      <c r="I786" s="4">
        <f t="shared" si="35"/>
        <v>349526.07999999996</v>
      </c>
      <c r="J786" s="32" t="str">
        <f t="shared" si="34"/>
        <v/>
      </c>
      <c r="K786" s="72"/>
      <c r="L786" s="72"/>
      <c r="M786" s="2"/>
      <c r="N786" s="5"/>
      <c r="O786" s="3"/>
      <c r="P786" s="6"/>
      <c r="Q786" s="48">
        <f>IF(Учет!$O786=Справочники!$F$2,Учет!$H786,0)</f>
        <v>0</v>
      </c>
      <c r="R786" s="48">
        <f>IF(Учет!$O786=Справочники!$F$3,Учет!$H786,0)</f>
        <v>0</v>
      </c>
      <c r="S786" s="48">
        <f>IF(Учет!$O786=Справочники!$F$4,Учет!$H786,0)</f>
        <v>0</v>
      </c>
      <c r="T786" s="48">
        <f>IF(Учет!$O786=Справочники!$F$5,Учет!$H786,0)</f>
        <v>0</v>
      </c>
      <c r="U786" s="48">
        <f>IF(Учет!$O786=Справочники!$F$6,Учет!$H786,0)</f>
        <v>0</v>
      </c>
      <c r="V786" s="43">
        <f>V785+Учет!Q786-Q786</f>
        <v>-488978.92000000004</v>
      </c>
      <c r="W786" s="43">
        <f>W785+Учет!R786-R786</f>
        <v>336855</v>
      </c>
      <c r="X786" s="43">
        <f>X785+Учет!S786-S786</f>
        <v>500</v>
      </c>
      <c r="Y786" s="43">
        <f>Y785+Учет!T786-T786</f>
        <v>1150</v>
      </c>
      <c r="Z786" s="43">
        <f>Z785+Учет!U786-U786</f>
        <v>500000</v>
      </c>
      <c r="AA786" s="45">
        <f>Учет!X786</f>
        <v>500</v>
      </c>
    </row>
    <row r="787" spans="1:27" ht="15" customHeight="1" x14ac:dyDescent="0.25">
      <c r="A787" s="1"/>
      <c r="B787" s="17"/>
      <c r="C787" s="17"/>
      <c r="D787" s="17"/>
      <c r="E787" s="17"/>
      <c r="F787" s="17"/>
      <c r="G787" s="4">
        <f t="shared" si="33"/>
        <v>0</v>
      </c>
      <c r="H787" s="17"/>
      <c r="I787" s="4">
        <f t="shared" si="35"/>
        <v>349526.07999999996</v>
      </c>
      <c r="J787" s="32" t="str">
        <f t="shared" si="34"/>
        <v/>
      </c>
      <c r="K787" s="72"/>
      <c r="L787" s="72"/>
      <c r="M787" s="2"/>
      <c r="N787" s="5"/>
      <c r="O787" s="3"/>
      <c r="P787" s="6"/>
      <c r="Q787" s="48">
        <f>IF(Учет!$O787=Справочники!$F$2,Учет!$H787,0)</f>
        <v>0</v>
      </c>
      <c r="R787" s="48">
        <f>IF(Учет!$O787=Справочники!$F$3,Учет!$H787,0)</f>
        <v>0</v>
      </c>
      <c r="S787" s="48">
        <f>IF(Учет!$O787=Справочники!$F$4,Учет!$H787,0)</f>
        <v>0</v>
      </c>
      <c r="T787" s="48">
        <f>IF(Учет!$O787=Справочники!$F$5,Учет!$H787,0)</f>
        <v>0</v>
      </c>
      <c r="U787" s="48">
        <f>IF(Учет!$O787=Справочники!$F$6,Учет!$H787,0)</f>
        <v>0</v>
      </c>
      <c r="V787" s="43">
        <f>V786+Учет!Q787-Q787</f>
        <v>-488978.92000000004</v>
      </c>
      <c r="W787" s="43">
        <f>W786+Учет!R787-R787</f>
        <v>336855</v>
      </c>
      <c r="X787" s="43">
        <f>X786+Учет!S787-S787</f>
        <v>500</v>
      </c>
      <c r="Y787" s="43">
        <f>Y786+Учет!T787-T787</f>
        <v>1150</v>
      </c>
      <c r="Z787" s="43">
        <f>Z786+Учет!U787-U787</f>
        <v>500000</v>
      </c>
      <c r="AA787" s="45">
        <f>Учет!X787</f>
        <v>500</v>
      </c>
    </row>
    <row r="788" spans="1:27" ht="15" customHeight="1" x14ac:dyDescent="0.25">
      <c r="A788" s="1"/>
      <c r="B788" s="17"/>
      <c r="C788" s="17"/>
      <c r="D788" s="17"/>
      <c r="E788" s="17"/>
      <c r="F788" s="17"/>
      <c r="G788" s="4">
        <f t="shared" si="33"/>
        <v>0</v>
      </c>
      <c r="H788" s="17"/>
      <c r="I788" s="4">
        <f t="shared" si="35"/>
        <v>349526.07999999996</v>
      </c>
      <c r="J788" s="32" t="str">
        <f t="shared" si="34"/>
        <v/>
      </c>
      <c r="K788" s="72"/>
      <c r="L788" s="72"/>
      <c r="M788" s="2"/>
      <c r="N788" s="5"/>
      <c r="O788" s="3"/>
      <c r="P788" s="6"/>
      <c r="Q788" s="48">
        <f>IF(Учет!$O788=Справочники!$F$2,Учет!$H788,0)</f>
        <v>0</v>
      </c>
      <c r="R788" s="48">
        <f>IF(Учет!$O788=Справочники!$F$3,Учет!$H788,0)</f>
        <v>0</v>
      </c>
      <c r="S788" s="48">
        <f>IF(Учет!$O788=Справочники!$F$4,Учет!$H788,0)</f>
        <v>0</v>
      </c>
      <c r="T788" s="48">
        <f>IF(Учет!$O788=Справочники!$F$5,Учет!$H788,0)</f>
        <v>0</v>
      </c>
      <c r="U788" s="48">
        <f>IF(Учет!$O788=Справочники!$F$6,Учет!$H788,0)</f>
        <v>0</v>
      </c>
      <c r="V788" s="43">
        <f>V787+Учет!Q788-Q788</f>
        <v>-488978.92000000004</v>
      </c>
      <c r="W788" s="43">
        <f>W787+Учет!R788-R788</f>
        <v>336855</v>
      </c>
      <c r="X788" s="43">
        <f>X787+Учет!S788-S788</f>
        <v>500</v>
      </c>
      <c r="Y788" s="43">
        <f>Y787+Учет!T788-T788</f>
        <v>1150</v>
      </c>
      <c r="Z788" s="43">
        <f>Z787+Учет!U788-U788</f>
        <v>500000</v>
      </c>
      <c r="AA788" s="45">
        <f>Учет!X788</f>
        <v>500</v>
      </c>
    </row>
    <row r="789" spans="1:27" ht="15" customHeight="1" x14ac:dyDescent="0.25">
      <c r="A789" s="1"/>
      <c r="B789" s="17"/>
      <c r="C789" s="17"/>
      <c r="D789" s="17"/>
      <c r="E789" s="17"/>
      <c r="F789" s="17"/>
      <c r="G789" s="4">
        <f t="shared" si="33"/>
        <v>0</v>
      </c>
      <c r="H789" s="17"/>
      <c r="I789" s="4">
        <f t="shared" si="35"/>
        <v>349526.07999999996</v>
      </c>
      <c r="J789" s="32" t="str">
        <f t="shared" si="34"/>
        <v/>
      </c>
      <c r="K789" s="72"/>
      <c r="L789" s="72"/>
      <c r="M789" s="2"/>
      <c r="N789" s="5"/>
      <c r="O789" s="3"/>
      <c r="P789" s="6"/>
      <c r="Q789" s="48">
        <f>IF(Учет!$O789=Справочники!$F$2,Учет!$H789,0)</f>
        <v>0</v>
      </c>
      <c r="R789" s="48">
        <f>IF(Учет!$O789=Справочники!$F$3,Учет!$H789,0)</f>
        <v>0</v>
      </c>
      <c r="S789" s="48">
        <f>IF(Учет!$O789=Справочники!$F$4,Учет!$H789,0)</f>
        <v>0</v>
      </c>
      <c r="T789" s="48">
        <f>IF(Учет!$O789=Справочники!$F$5,Учет!$H789,0)</f>
        <v>0</v>
      </c>
      <c r="U789" s="48">
        <f>IF(Учет!$O789=Справочники!$F$6,Учет!$H789,0)</f>
        <v>0</v>
      </c>
      <c r="V789" s="43">
        <f>V788+Учет!Q789-Q789</f>
        <v>-488978.92000000004</v>
      </c>
      <c r="W789" s="43">
        <f>W788+Учет!R789-R789</f>
        <v>336855</v>
      </c>
      <c r="X789" s="43">
        <f>X788+Учет!S789-S789</f>
        <v>500</v>
      </c>
      <c r="Y789" s="43">
        <f>Y788+Учет!T789-T789</f>
        <v>1150</v>
      </c>
      <c r="Z789" s="43">
        <f>Z788+Учет!U789-U789</f>
        <v>500000</v>
      </c>
      <c r="AA789" s="45">
        <f>Учет!X789</f>
        <v>500</v>
      </c>
    </row>
    <row r="790" spans="1:27" ht="15" customHeight="1" x14ac:dyDescent="0.25">
      <c r="A790" s="1"/>
      <c r="B790" s="17"/>
      <c r="C790" s="17"/>
      <c r="D790" s="17"/>
      <c r="E790" s="17"/>
      <c r="F790" s="17"/>
      <c r="G790" s="4">
        <f t="shared" si="33"/>
        <v>0</v>
      </c>
      <c r="H790" s="17"/>
      <c r="I790" s="4">
        <f t="shared" si="35"/>
        <v>349526.07999999996</v>
      </c>
      <c r="J790" s="32" t="str">
        <f t="shared" si="34"/>
        <v/>
      </c>
      <c r="K790" s="72"/>
      <c r="L790" s="72"/>
      <c r="M790" s="2"/>
      <c r="N790" s="5"/>
      <c r="O790" s="3"/>
      <c r="P790" s="6"/>
      <c r="Q790" s="48">
        <f>IF(Учет!$O790=Справочники!$F$2,Учет!$H790,0)</f>
        <v>0</v>
      </c>
      <c r="R790" s="48">
        <f>IF(Учет!$O790=Справочники!$F$3,Учет!$H790,0)</f>
        <v>0</v>
      </c>
      <c r="S790" s="48">
        <f>IF(Учет!$O790=Справочники!$F$4,Учет!$H790,0)</f>
        <v>0</v>
      </c>
      <c r="T790" s="48">
        <f>IF(Учет!$O790=Справочники!$F$5,Учет!$H790,0)</f>
        <v>0</v>
      </c>
      <c r="U790" s="48">
        <f>IF(Учет!$O790=Справочники!$F$6,Учет!$H790,0)</f>
        <v>0</v>
      </c>
      <c r="V790" s="43">
        <f>V789+Учет!Q790-Q790</f>
        <v>-488978.92000000004</v>
      </c>
      <c r="W790" s="43">
        <f>W789+Учет!R790-R790</f>
        <v>336855</v>
      </c>
      <c r="X790" s="43">
        <f>X789+Учет!S790-S790</f>
        <v>500</v>
      </c>
      <c r="Y790" s="43">
        <f>Y789+Учет!T790-T790</f>
        <v>1150</v>
      </c>
      <c r="Z790" s="43">
        <f>Z789+Учет!U790-U790</f>
        <v>500000</v>
      </c>
      <c r="AA790" s="45">
        <f>Учет!X790</f>
        <v>500</v>
      </c>
    </row>
    <row r="791" spans="1:27" ht="15" customHeight="1" x14ac:dyDescent="0.25">
      <c r="A791" s="1"/>
      <c r="B791" s="17"/>
      <c r="C791" s="17"/>
      <c r="D791" s="17"/>
      <c r="E791" s="17"/>
      <c r="F791" s="17"/>
      <c r="G791" s="4">
        <f t="shared" si="33"/>
        <v>0</v>
      </c>
      <c r="H791" s="17"/>
      <c r="I791" s="4">
        <f t="shared" si="35"/>
        <v>349526.07999999996</v>
      </c>
      <c r="J791" s="32" t="str">
        <f t="shared" si="34"/>
        <v/>
      </c>
      <c r="K791" s="72"/>
      <c r="L791" s="72"/>
      <c r="M791" s="2"/>
      <c r="N791" s="5"/>
      <c r="O791" s="3"/>
      <c r="P791" s="6"/>
      <c r="Q791" s="48">
        <f>IF(Учет!$O791=Справочники!$F$2,Учет!$H791,0)</f>
        <v>0</v>
      </c>
      <c r="R791" s="48">
        <f>IF(Учет!$O791=Справочники!$F$3,Учет!$H791,0)</f>
        <v>0</v>
      </c>
      <c r="S791" s="48">
        <f>IF(Учет!$O791=Справочники!$F$4,Учет!$H791,0)</f>
        <v>0</v>
      </c>
      <c r="T791" s="48">
        <f>IF(Учет!$O791=Справочники!$F$5,Учет!$H791,0)</f>
        <v>0</v>
      </c>
      <c r="U791" s="48">
        <f>IF(Учет!$O791=Справочники!$F$6,Учет!$H791,0)</f>
        <v>0</v>
      </c>
      <c r="V791" s="43">
        <f>V790+Учет!Q791-Q791</f>
        <v>-488978.92000000004</v>
      </c>
      <c r="W791" s="43">
        <f>W790+Учет!R791-R791</f>
        <v>336855</v>
      </c>
      <c r="X791" s="43">
        <f>X790+Учет!S791-S791</f>
        <v>500</v>
      </c>
      <c r="Y791" s="43">
        <f>Y790+Учет!T791-T791</f>
        <v>1150</v>
      </c>
      <c r="Z791" s="43">
        <f>Z790+Учет!U791-U791</f>
        <v>500000</v>
      </c>
      <c r="AA791" s="45">
        <f>Учет!X791</f>
        <v>500</v>
      </c>
    </row>
    <row r="792" spans="1:27" ht="15" customHeight="1" x14ac:dyDescent="0.25">
      <c r="A792" s="1"/>
      <c r="B792" s="17"/>
      <c r="C792" s="17"/>
      <c r="D792" s="17"/>
      <c r="E792" s="17"/>
      <c r="F792" s="17"/>
      <c r="G792" s="4">
        <f t="shared" si="33"/>
        <v>0</v>
      </c>
      <c r="H792" s="17"/>
      <c r="I792" s="4">
        <f t="shared" si="35"/>
        <v>349526.07999999996</v>
      </c>
      <c r="J792" s="32" t="str">
        <f t="shared" si="34"/>
        <v/>
      </c>
      <c r="K792" s="72"/>
      <c r="L792" s="72"/>
      <c r="M792" s="2"/>
      <c r="N792" s="5"/>
      <c r="O792" s="3"/>
      <c r="P792" s="6"/>
      <c r="Q792" s="48">
        <f>IF(Учет!$O792=Справочники!$F$2,Учет!$H792,0)</f>
        <v>0</v>
      </c>
      <c r="R792" s="48">
        <f>IF(Учет!$O792=Справочники!$F$3,Учет!$H792,0)</f>
        <v>0</v>
      </c>
      <c r="S792" s="48">
        <f>IF(Учет!$O792=Справочники!$F$4,Учет!$H792,0)</f>
        <v>0</v>
      </c>
      <c r="T792" s="48">
        <f>IF(Учет!$O792=Справочники!$F$5,Учет!$H792,0)</f>
        <v>0</v>
      </c>
      <c r="U792" s="48">
        <f>IF(Учет!$O792=Справочники!$F$6,Учет!$H792,0)</f>
        <v>0</v>
      </c>
      <c r="V792" s="43">
        <f>V791+Учет!Q792-Q792</f>
        <v>-488978.92000000004</v>
      </c>
      <c r="W792" s="43">
        <f>W791+Учет!R792-R792</f>
        <v>336855</v>
      </c>
      <c r="X792" s="43">
        <f>X791+Учет!S792-S792</f>
        <v>500</v>
      </c>
      <c r="Y792" s="43">
        <f>Y791+Учет!T792-T792</f>
        <v>1150</v>
      </c>
      <c r="Z792" s="43">
        <f>Z791+Учет!U792-U792</f>
        <v>500000</v>
      </c>
      <c r="AA792" s="45">
        <f>Учет!X792</f>
        <v>500</v>
      </c>
    </row>
    <row r="793" spans="1:27" ht="15" customHeight="1" x14ac:dyDescent="0.25">
      <c r="A793" s="1"/>
      <c r="B793" s="17"/>
      <c r="C793" s="17"/>
      <c r="D793" s="17"/>
      <c r="E793" s="17"/>
      <c r="F793" s="17"/>
      <c r="G793" s="4">
        <f t="shared" si="33"/>
        <v>0</v>
      </c>
      <c r="H793" s="17"/>
      <c r="I793" s="4">
        <f t="shared" si="35"/>
        <v>349526.07999999996</v>
      </c>
      <c r="J793" s="32" t="str">
        <f t="shared" si="34"/>
        <v/>
      </c>
      <c r="K793" s="72"/>
      <c r="L793" s="72"/>
      <c r="M793" s="2"/>
      <c r="N793" s="5"/>
      <c r="O793" s="3"/>
      <c r="P793" s="6"/>
      <c r="Q793" s="48">
        <f>IF(Учет!$O793=Справочники!$F$2,Учет!$H793,0)</f>
        <v>0</v>
      </c>
      <c r="R793" s="48">
        <f>IF(Учет!$O793=Справочники!$F$3,Учет!$H793,0)</f>
        <v>0</v>
      </c>
      <c r="S793" s="48">
        <f>IF(Учет!$O793=Справочники!$F$4,Учет!$H793,0)</f>
        <v>0</v>
      </c>
      <c r="T793" s="48">
        <f>IF(Учет!$O793=Справочники!$F$5,Учет!$H793,0)</f>
        <v>0</v>
      </c>
      <c r="U793" s="48">
        <f>IF(Учет!$O793=Справочники!$F$6,Учет!$H793,0)</f>
        <v>0</v>
      </c>
      <c r="V793" s="43">
        <f>V792+Учет!Q793-Q793</f>
        <v>-488978.92000000004</v>
      </c>
      <c r="W793" s="43">
        <f>W792+Учет!R793-R793</f>
        <v>336855</v>
      </c>
      <c r="X793" s="43">
        <f>X792+Учет!S793-S793</f>
        <v>500</v>
      </c>
      <c r="Y793" s="43">
        <f>Y792+Учет!T793-T793</f>
        <v>1150</v>
      </c>
      <c r="Z793" s="43">
        <f>Z792+Учет!U793-U793</f>
        <v>500000</v>
      </c>
      <c r="AA793" s="45">
        <f>Учет!X793</f>
        <v>500</v>
      </c>
    </row>
    <row r="794" spans="1:27" ht="15" customHeight="1" x14ac:dyDescent="0.25">
      <c r="A794" s="1"/>
      <c r="B794" s="17"/>
      <c r="C794" s="17"/>
      <c r="D794" s="17"/>
      <c r="E794" s="17"/>
      <c r="F794" s="17"/>
      <c r="G794" s="4">
        <f t="shared" si="33"/>
        <v>0</v>
      </c>
      <c r="H794" s="17"/>
      <c r="I794" s="4">
        <f t="shared" si="35"/>
        <v>349526.07999999996</v>
      </c>
      <c r="J794" s="32" t="str">
        <f t="shared" si="34"/>
        <v/>
      </c>
      <c r="K794" s="72"/>
      <c r="L794" s="72"/>
      <c r="M794" s="2"/>
      <c r="N794" s="5"/>
      <c r="O794" s="3"/>
      <c r="P794" s="6"/>
      <c r="Q794" s="48">
        <f>IF(Учет!$O794=Справочники!$F$2,Учет!$H794,0)</f>
        <v>0</v>
      </c>
      <c r="R794" s="48">
        <f>IF(Учет!$O794=Справочники!$F$3,Учет!$H794,0)</f>
        <v>0</v>
      </c>
      <c r="S794" s="48">
        <f>IF(Учет!$O794=Справочники!$F$4,Учет!$H794,0)</f>
        <v>0</v>
      </c>
      <c r="T794" s="48">
        <f>IF(Учет!$O794=Справочники!$F$5,Учет!$H794,0)</f>
        <v>0</v>
      </c>
      <c r="U794" s="48">
        <f>IF(Учет!$O794=Справочники!$F$6,Учет!$H794,0)</f>
        <v>0</v>
      </c>
      <c r="V794" s="43">
        <f>V793+Учет!Q794-Q794</f>
        <v>-488978.92000000004</v>
      </c>
      <c r="W794" s="43">
        <f>W793+Учет!R794-R794</f>
        <v>336855</v>
      </c>
      <c r="X794" s="43">
        <f>X793+Учет!S794-S794</f>
        <v>500</v>
      </c>
      <c r="Y794" s="43">
        <f>Y793+Учет!T794-T794</f>
        <v>1150</v>
      </c>
      <c r="Z794" s="43">
        <f>Z793+Учет!U794-U794</f>
        <v>500000</v>
      </c>
      <c r="AA794" s="45">
        <f>Учет!X794</f>
        <v>500</v>
      </c>
    </row>
    <row r="795" spans="1:27" ht="15" customHeight="1" x14ac:dyDescent="0.25">
      <c r="A795" s="1"/>
      <c r="B795" s="17"/>
      <c r="C795" s="17"/>
      <c r="D795" s="17"/>
      <c r="E795" s="17"/>
      <c r="F795" s="17"/>
      <c r="G795" s="4">
        <f t="shared" si="33"/>
        <v>0</v>
      </c>
      <c r="H795" s="17"/>
      <c r="I795" s="4">
        <f t="shared" si="35"/>
        <v>349526.07999999996</v>
      </c>
      <c r="J795" s="32" t="str">
        <f t="shared" si="34"/>
        <v/>
      </c>
      <c r="K795" s="72"/>
      <c r="L795" s="72"/>
      <c r="M795" s="2"/>
      <c r="N795" s="5"/>
      <c r="O795" s="3"/>
      <c r="P795" s="6"/>
      <c r="Q795" s="48">
        <f>IF(Учет!$O795=Справочники!$F$2,Учет!$H795,0)</f>
        <v>0</v>
      </c>
      <c r="R795" s="48">
        <f>IF(Учет!$O795=Справочники!$F$3,Учет!$H795,0)</f>
        <v>0</v>
      </c>
      <c r="S795" s="48">
        <f>IF(Учет!$O795=Справочники!$F$4,Учет!$H795,0)</f>
        <v>0</v>
      </c>
      <c r="T795" s="48">
        <f>IF(Учет!$O795=Справочники!$F$5,Учет!$H795,0)</f>
        <v>0</v>
      </c>
      <c r="U795" s="48">
        <f>IF(Учет!$O795=Справочники!$F$6,Учет!$H795,0)</f>
        <v>0</v>
      </c>
      <c r="V795" s="43">
        <f>V794+Учет!Q795-Q795</f>
        <v>-488978.92000000004</v>
      </c>
      <c r="W795" s="43">
        <f>W794+Учет!R795-R795</f>
        <v>336855</v>
      </c>
      <c r="X795" s="43">
        <f>X794+Учет!S795-S795</f>
        <v>500</v>
      </c>
      <c r="Y795" s="43">
        <f>Y794+Учет!T795-T795</f>
        <v>1150</v>
      </c>
      <c r="Z795" s="43">
        <f>Z794+Учет!U795-U795</f>
        <v>500000</v>
      </c>
      <c r="AA795" s="45">
        <f>Учет!X795</f>
        <v>500</v>
      </c>
    </row>
    <row r="796" spans="1:27" ht="15" customHeight="1" x14ac:dyDescent="0.25">
      <c r="A796" s="1"/>
      <c r="B796" s="17"/>
      <c r="C796" s="17"/>
      <c r="D796" s="17"/>
      <c r="E796" s="17"/>
      <c r="F796" s="17"/>
      <c r="G796" s="4">
        <f t="shared" si="33"/>
        <v>0</v>
      </c>
      <c r="H796" s="17"/>
      <c r="I796" s="4">
        <f t="shared" si="35"/>
        <v>349526.07999999996</v>
      </c>
      <c r="J796" s="32" t="str">
        <f t="shared" si="34"/>
        <v/>
      </c>
      <c r="K796" s="72"/>
      <c r="L796" s="72"/>
      <c r="M796" s="2"/>
      <c r="N796" s="5"/>
      <c r="O796" s="3"/>
      <c r="P796" s="6"/>
      <c r="Q796" s="48">
        <f>IF(Учет!$O796=Справочники!$F$2,Учет!$H796,0)</f>
        <v>0</v>
      </c>
      <c r="R796" s="48">
        <f>IF(Учет!$O796=Справочники!$F$3,Учет!$H796,0)</f>
        <v>0</v>
      </c>
      <c r="S796" s="48">
        <f>IF(Учет!$O796=Справочники!$F$4,Учет!$H796,0)</f>
        <v>0</v>
      </c>
      <c r="T796" s="48">
        <f>IF(Учет!$O796=Справочники!$F$5,Учет!$H796,0)</f>
        <v>0</v>
      </c>
      <c r="U796" s="48">
        <f>IF(Учет!$O796=Справочники!$F$6,Учет!$H796,0)</f>
        <v>0</v>
      </c>
      <c r="V796" s="43">
        <f>V795+Учет!Q796-Q796</f>
        <v>-488978.92000000004</v>
      </c>
      <c r="W796" s="43">
        <f>W795+Учет!R796-R796</f>
        <v>336855</v>
      </c>
      <c r="X796" s="43">
        <f>X795+Учет!S796-S796</f>
        <v>500</v>
      </c>
      <c r="Y796" s="43">
        <f>Y795+Учет!T796-T796</f>
        <v>1150</v>
      </c>
      <c r="Z796" s="43">
        <f>Z795+Учет!U796-U796</f>
        <v>500000</v>
      </c>
      <c r="AA796" s="45">
        <f>Учет!X796</f>
        <v>500</v>
      </c>
    </row>
    <row r="797" spans="1:27" ht="15" customHeight="1" x14ac:dyDescent="0.25">
      <c r="A797" s="1"/>
      <c r="B797" s="17"/>
      <c r="C797" s="17"/>
      <c r="D797" s="17"/>
      <c r="E797" s="17"/>
      <c r="F797" s="17"/>
      <c r="G797" s="4">
        <f t="shared" si="33"/>
        <v>0</v>
      </c>
      <c r="H797" s="17"/>
      <c r="I797" s="4">
        <f t="shared" si="35"/>
        <v>349526.07999999996</v>
      </c>
      <c r="J797" s="32" t="str">
        <f t="shared" si="34"/>
        <v/>
      </c>
      <c r="K797" s="72"/>
      <c r="L797" s="72"/>
      <c r="M797" s="2"/>
      <c r="N797" s="5"/>
      <c r="O797" s="3"/>
      <c r="P797" s="6"/>
      <c r="Q797" s="48">
        <f>IF(Учет!$O797=Справочники!$F$2,Учет!$H797,0)</f>
        <v>0</v>
      </c>
      <c r="R797" s="48">
        <f>IF(Учет!$O797=Справочники!$F$3,Учет!$H797,0)</f>
        <v>0</v>
      </c>
      <c r="S797" s="48">
        <f>IF(Учет!$O797=Справочники!$F$4,Учет!$H797,0)</f>
        <v>0</v>
      </c>
      <c r="T797" s="48">
        <f>IF(Учет!$O797=Справочники!$F$5,Учет!$H797,0)</f>
        <v>0</v>
      </c>
      <c r="U797" s="48">
        <f>IF(Учет!$O797=Справочники!$F$6,Учет!$H797,0)</f>
        <v>0</v>
      </c>
      <c r="V797" s="43">
        <f>V796+Учет!Q797-Q797</f>
        <v>-488978.92000000004</v>
      </c>
      <c r="W797" s="43">
        <f>W796+Учет!R797-R797</f>
        <v>336855</v>
      </c>
      <c r="X797" s="43">
        <f>X796+Учет!S797-S797</f>
        <v>500</v>
      </c>
      <c r="Y797" s="43">
        <f>Y796+Учет!T797-T797</f>
        <v>1150</v>
      </c>
      <c r="Z797" s="43">
        <f>Z796+Учет!U797-U797</f>
        <v>500000</v>
      </c>
      <c r="AA797" s="45">
        <f>Учет!X797</f>
        <v>500</v>
      </c>
    </row>
    <row r="798" spans="1:27" ht="15" customHeight="1" x14ac:dyDescent="0.25">
      <c r="A798" s="1"/>
      <c r="B798" s="17"/>
      <c r="C798" s="17"/>
      <c r="D798" s="17"/>
      <c r="E798" s="17"/>
      <c r="F798" s="17"/>
      <c r="G798" s="4">
        <f t="shared" si="33"/>
        <v>0</v>
      </c>
      <c r="H798" s="17"/>
      <c r="I798" s="4">
        <f t="shared" si="35"/>
        <v>349526.07999999996</v>
      </c>
      <c r="J798" s="32" t="str">
        <f t="shared" si="34"/>
        <v/>
      </c>
      <c r="K798" s="72"/>
      <c r="L798" s="72"/>
      <c r="M798" s="2"/>
      <c r="N798" s="5"/>
      <c r="O798" s="3"/>
      <c r="P798" s="6"/>
      <c r="Q798" s="48">
        <f>IF(Учет!$O798=Справочники!$F$2,Учет!$H798,0)</f>
        <v>0</v>
      </c>
      <c r="R798" s="48">
        <f>IF(Учет!$O798=Справочники!$F$3,Учет!$H798,0)</f>
        <v>0</v>
      </c>
      <c r="S798" s="48">
        <f>IF(Учет!$O798=Справочники!$F$4,Учет!$H798,0)</f>
        <v>0</v>
      </c>
      <c r="T798" s="48">
        <f>IF(Учет!$O798=Справочники!$F$5,Учет!$H798,0)</f>
        <v>0</v>
      </c>
      <c r="U798" s="48">
        <f>IF(Учет!$O798=Справочники!$F$6,Учет!$H798,0)</f>
        <v>0</v>
      </c>
      <c r="V798" s="43">
        <f>V797+Учет!Q798-Q798</f>
        <v>-488978.92000000004</v>
      </c>
      <c r="W798" s="43">
        <f>W797+Учет!R798-R798</f>
        <v>336855</v>
      </c>
      <c r="X798" s="43">
        <f>X797+Учет!S798-S798</f>
        <v>500</v>
      </c>
      <c r="Y798" s="43">
        <f>Y797+Учет!T798-T798</f>
        <v>1150</v>
      </c>
      <c r="Z798" s="43">
        <f>Z797+Учет!U798-U798</f>
        <v>500000</v>
      </c>
      <c r="AA798" s="45">
        <f>Учет!X798</f>
        <v>500</v>
      </c>
    </row>
    <row r="799" spans="1:27" ht="15" customHeight="1" x14ac:dyDescent="0.25">
      <c r="A799" s="1"/>
      <c r="B799" s="17"/>
      <c r="C799" s="17"/>
      <c r="D799" s="17"/>
      <c r="E799" s="17"/>
      <c r="F799" s="17"/>
      <c r="G799" s="4">
        <f t="shared" si="33"/>
        <v>0</v>
      </c>
      <c r="H799" s="17"/>
      <c r="I799" s="4">
        <f t="shared" si="35"/>
        <v>349526.07999999996</v>
      </c>
      <c r="J799" s="32" t="str">
        <f t="shared" si="34"/>
        <v/>
      </c>
      <c r="K799" s="72"/>
      <c r="L799" s="72"/>
      <c r="M799" s="2"/>
      <c r="N799" s="5"/>
      <c r="O799" s="3"/>
      <c r="P799" s="6"/>
      <c r="Q799" s="48">
        <f>IF(Учет!$O799=Справочники!$F$2,Учет!$H799,0)</f>
        <v>0</v>
      </c>
      <c r="R799" s="48">
        <f>IF(Учет!$O799=Справочники!$F$3,Учет!$H799,0)</f>
        <v>0</v>
      </c>
      <c r="S799" s="48">
        <f>IF(Учет!$O799=Справочники!$F$4,Учет!$H799,0)</f>
        <v>0</v>
      </c>
      <c r="T799" s="48">
        <f>IF(Учет!$O799=Справочники!$F$5,Учет!$H799,0)</f>
        <v>0</v>
      </c>
      <c r="U799" s="48">
        <f>IF(Учет!$O799=Справочники!$F$6,Учет!$H799,0)</f>
        <v>0</v>
      </c>
      <c r="V799" s="43">
        <f>V798+Учет!Q799-Q799</f>
        <v>-488978.92000000004</v>
      </c>
      <c r="W799" s="43">
        <f>W798+Учет!R799-R799</f>
        <v>336855</v>
      </c>
      <c r="X799" s="43">
        <f>X798+Учет!S799-S799</f>
        <v>500</v>
      </c>
      <c r="Y799" s="43">
        <f>Y798+Учет!T799-T799</f>
        <v>1150</v>
      </c>
      <c r="Z799" s="43">
        <f>Z798+Учет!U799-U799</f>
        <v>500000</v>
      </c>
      <c r="AA799" s="45">
        <f>Учет!X799</f>
        <v>500</v>
      </c>
    </row>
    <row r="800" spans="1:27" ht="15" customHeight="1" x14ac:dyDescent="0.25">
      <c r="A800" s="1"/>
      <c r="B800" s="17"/>
      <c r="C800" s="17"/>
      <c r="D800" s="17"/>
      <c r="E800" s="17"/>
      <c r="F800" s="17"/>
      <c r="G800" s="4">
        <f t="shared" si="33"/>
        <v>0</v>
      </c>
      <c r="H800" s="17"/>
      <c r="I800" s="4">
        <f t="shared" si="35"/>
        <v>349526.07999999996</v>
      </c>
      <c r="J800" s="32" t="str">
        <f t="shared" si="34"/>
        <v/>
      </c>
      <c r="K800" s="72"/>
      <c r="L800" s="72"/>
      <c r="M800" s="2"/>
      <c r="N800" s="5"/>
      <c r="O800" s="3"/>
      <c r="P800" s="6"/>
      <c r="Q800" s="48">
        <f>IF(Учет!$O800=Справочники!$F$2,Учет!$H800,0)</f>
        <v>0</v>
      </c>
      <c r="R800" s="48">
        <f>IF(Учет!$O800=Справочники!$F$3,Учет!$H800,0)</f>
        <v>0</v>
      </c>
      <c r="S800" s="48">
        <f>IF(Учет!$O800=Справочники!$F$4,Учет!$H800,0)</f>
        <v>0</v>
      </c>
      <c r="T800" s="48">
        <f>IF(Учет!$O800=Справочники!$F$5,Учет!$H800,0)</f>
        <v>0</v>
      </c>
      <c r="U800" s="48">
        <f>IF(Учет!$O800=Справочники!$F$6,Учет!$H800,0)</f>
        <v>0</v>
      </c>
      <c r="V800" s="43">
        <f>V799+Учет!Q800-Q800</f>
        <v>-488978.92000000004</v>
      </c>
      <c r="W800" s="43">
        <f>W799+Учет!R800-R800</f>
        <v>336855</v>
      </c>
      <c r="X800" s="43">
        <f>X799+Учет!S800-S800</f>
        <v>500</v>
      </c>
      <c r="Y800" s="43">
        <f>Y799+Учет!T800-T800</f>
        <v>1150</v>
      </c>
      <c r="Z800" s="43">
        <f>Z799+Учет!U800-U800</f>
        <v>500000</v>
      </c>
      <c r="AA800" s="45">
        <f>Учет!X800</f>
        <v>500</v>
      </c>
    </row>
    <row r="801" spans="1:27" ht="15" customHeight="1" x14ac:dyDescent="0.25">
      <c r="A801" s="1"/>
      <c r="B801" s="17"/>
      <c r="C801" s="17"/>
      <c r="D801" s="17"/>
      <c r="E801" s="17"/>
      <c r="F801" s="17"/>
      <c r="G801" s="4">
        <f t="shared" si="33"/>
        <v>0</v>
      </c>
      <c r="H801" s="17"/>
      <c r="I801" s="4">
        <f t="shared" si="35"/>
        <v>349526.07999999996</v>
      </c>
      <c r="J801" s="32" t="str">
        <f t="shared" si="34"/>
        <v/>
      </c>
      <c r="K801" s="72"/>
      <c r="L801" s="72"/>
      <c r="M801" s="2"/>
      <c r="N801" s="5"/>
      <c r="O801" s="3"/>
      <c r="P801" s="6"/>
      <c r="Q801" s="48">
        <f>IF(Учет!$O801=Справочники!$F$2,Учет!$H801,0)</f>
        <v>0</v>
      </c>
      <c r="R801" s="48">
        <f>IF(Учет!$O801=Справочники!$F$3,Учет!$H801,0)</f>
        <v>0</v>
      </c>
      <c r="S801" s="48">
        <f>IF(Учет!$O801=Справочники!$F$4,Учет!$H801,0)</f>
        <v>0</v>
      </c>
      <c r="T801" s="48">
        <f>IF(Учет!$O801=Справочники!$F$5,Учет!$H801,0)</f>
        <v>0</v>
      </c>
      <c r="U801" s="48">
        <f>IF(Учет!$O801=Справочники!$F$6,Учет!$H801,0)</f>
        <v>0</v>
      </c>
      <c r="V801" s="43">
        <f>V800+Учет!Q801-Q801</f>
        <v>-488978.92000000004</v>
      </c>
      <c r="W801" s="43">
        <f>W800+Учет!R801-R801</f>
        <v>336855</v>
      </c>
      <c r="X801" s="43">
        <f>X800+Учет!S801-S801</f>
        <v>500</v>
      </c>
      <c r="Y801" s="43">
        <f>Y800+Учет!T801-T801</f>
        <v>1150</v>
      </c>
      <c r="Z801" s="43">
        <f>Z800+Учет!U801-U801</f>
        <v>500000</v>
      </c>
      <c r="AA801" s="45">
        <f>Учет!X801</f>
        <v>500</v>
      </c>
    </row>
    <row r="802" spans="1:27" ht="15" customHeight="1" x14ac:dyDescent="0.25">
      <c r="A802" s="1"/>
      <c r="B802" s="17"/>
      <c r="C802" s="17"/>
      <c r="D802" s="17"/>
      <c r="E802" s="17"/>
      <c r="F802" s="17"/>
      <c r="G802" s="4">
        <f t="shared" si="33"/>
        <v>0</v>
      </c>
      <c r="H802" s="17"/>
      <c r="I802" s="4">
        <f t="shared" si="35"/>
        <v>349526.07999999996</v>
      </c>
      <c r="J802" s="32" t="str">
        <f t="shared" si="34"/>
        <v/>
      </c>
      <c r="K802" s="72"/>
      <c r="L802" s="72"/>
      <c r="M802" s="2"/>
      <c r="N802" s="5"/>
      <c r="O802" s="3"/>
      <c r="P802" s="6"/>
      <c r="Q802" s="48">
        <f>IF(Учет!$O802=Справочники!$F$2,Учет!$H802,0)</f>
        <v>0</v>
      </c>
      <c r="R802" s="48">
        <f>IF(Учет!$O802=Справочники!$F$3,Учет!$H802,0)</f>
        <v>0</v>
      </c>
      <c r="S802" s="48">
        <f>IF(Учет!$O802=Справочники!$F$4,Учет!$H802,0)</f>
        <v>0</v>
      </c>
      <c r="T802" s="48">
        <f>IF(Учет!$O802=Справочники!$F$5,Учет!$H802,0)</f>
        <v>0</v>
      </c>
      <c r="U802" s="48">
        <f>IF(Учет!$O802=Справочники!$F$6,Учет!$H802,0)</f>
        <v>0</v>
      </c>
      <c r="V802" s="43">
        <f>V801+Учет!Q802-Q802</f>
        <v>-488978.92000000004</v>
      </c>
      <c r="W802" s="43">
        <f>W801+Учет!R802-R802</f>
        <v>336855</v>
      </c>
      <c r="X802" s="43">
        <f>X801+Учет!S802-S802</f>
        <v>500</v>
      </c>
      <c r="Y802" s="43">
        <f>Y801+Учет!T802-T802</f>
        <v>1150</v>
      </c>
      <c r="Z802" s="43">
        <f>Z801+Учет!U802-U802</f>
        <v>500000</v>
      </c>
      <c r="AA802" s="45">
        <f>Учет!X802</f>
        <v>500</v>
      </c>
    </row>
    <row r="803" spans="1:27" ht="15" customHeight="1" x14ac:dyDescent="0.25">
      <c r="A803" s="1"/>
      <c r="B803" s="17"/>
      <c r="C803" s="17"/>
      <c r="D803" s="17"/>
      <c r="E803" s="17"/>
      <c r="F803" s="17"/>
      <c r="G803" s="4">
        <f t="shared" si="33"/>
        <v>0</v>
      </c>
      <c r="H803" s="17"/>
      <c r="I803" s="4">
        <f t="shared" si="35"/>
        <v>349526.07999999996</v>
      </c>
      <c r="J803" s="32" t="str">
        <f t="shared" si="34"/>
        <v/>
      </c>
      <c r="K803" s="72"/>
      <c r="L803" s="72"/>
      <c r="M803" s="2"/>
      <c r="N803" s="5"/>
      <c r="O803" s="3"/>
      <c r="P803" s="6"/>
      <c r="Q803" s="48">
        <f>IF(Учет!$O803=Справочники!$F$2,Учет!$H803,0)</f>
        <v>0</v>
      </c>
      <c r="R803" s="48">
        <f>IF(Учет!$O803=Справочники!$F$3,Учет!$H803,0)</f>
        <v>0</v>
      </c>
      <c r="S803" s="48">
        <f>IF(Учет!$O803=Справочники!$F$4,Учет!$H803,0)</f>
        <v>0</v>
      </c>
      <c r="T803" s="48">
        <f>IF(Учет!$O803=Справочники!$F$5,Учет!$H803,0)</f>
        <v>0</v>
      </c>
      <c r="U803" s="48">
        <f>IF(Учет!$O803=Справочники!$F$6,Учет!$H803,0)</f>
        <v>0</v>
      </c>
      <c r="V803" s="43">
        <f>V802+Учет!Q803-Q803</f>
        <v>-488978.92000000004</v>
      </c>
      <c r="W803" s="43">
        <f>W802+Учет!R803-R803</f>
        <v>336855</v>
      </c>
      <c r="X803" s="43">
        <f>X802+Учет!S803-S803</f>
        <v>500</v>
      </c>
      <c r="Y803" s="43">
        <f>Y802+Учет!T803-T803</f>
        <v>1150</v>
      </c>
      <c r="Z803" s="43">
        <f>Z802+Учет!U803-U803</f>
        <v>500000</v>
      </c>
      <c r="AA803" s="45">
        <f>Учет!X803</f>
        <v>500</v>
      </c>
    </row>
    <row r="804" spans="1:27" ht="15" customHeight="1" x14ac:dyDescent="0.25">
      <c r="A804" s="1"/>
      <c r="B804" s="17"/>
      <c r="C804" s="17"/>
      <c r="D804" s="17"/>
      <c r="E804" s="17"/>
      <c r="F804" s="17"/>
      <c r="G804" s="4">
        <f t="shared" si="33"/>
        <v>0</v>
      </c>
      <c r="H804" s="17"/>
      <c r="I804" s="4">
        <f t="shared" si="35"/>
        <v>349526.07999999996</v>
      </c>
      <c r="J804" s="32" t="str">
        <f t="shared" si="34"/>
        <v/>
      </c>
      <c r="K804" s="72"/>
      <c r="L804" s="72"/>
      <c r="M804" s="2"/>
      <c r="N804" s="5"/>
      <c r="O804" s="3"/>
      <c r="P804" s="6"/>
      <c r="Q804" s="48">
        <f>IF(Учет!$O804=Справочники!$F$2,Учет!$H804,0)</f>
        <v>0</v>
      </c>
      <c r="R804" s="48">
        <f>IF(Учет!$O804=Справочники!$F$3,Учет!$H804,0)</f>
        <v>0</v>
      </c>
      <c r="S804" s="48">
        <f>IF(Учет!$O804=Справочники!$F$4,Учет!$H804,0)</f>
        <v>0</v>
      </c>
      <c r="T804" s="48">
        <f>IF(Учет!$O804=Справочники!$F$5,Учет!$H804,0)</f>
        <v>0</v>
      </c>
      <c r="U804" s="48">
        <f>IF(Учет!$O804=Справочники!$F$6,Учет!$H804,0)</f>
        <v>0</v>
      </c>
      <c r="V804" s="43">
        <f>V803+Учет!Q804-Q804</f>
        <v>-488978.92000000004</v>
      </c>
      <c r="W804" s="43">
        <f>W803+Учет!R804-R804</f>
        <v>336855</v>
      </c>
      <c r="X804" s="43">
        <f>X803+Учет!S804-S804</f>
        <v>500</v>
      </c>
      <c r="Y804" s="43">
        <f>Y803+Учет!T804-T804</f>
        <v>1150</v>
      </c>
      <c r="Z804" s="43">
        <f>Z803+Учет!U804-U804</f>
        <v>500000</v>
      </c>
      <c r="AA804" s="45">
        <f>Учет!X804</f>
        <v>500</v>
      </c>
    </row>
    <row r="805" spans="1:27" ht="15" customHeight="1" x14ac:dyDescent="0.25">
      <c r="A805" s="1"/>
      <c r="B805" s="17"/>
      <c r="C805" s="17"/>
      <c r="D805" s="17"/>
      <c r="E805" s="17"/>
      <c r="F805" s="17"/>
      <c r="G805" s="4">
        <f t="shared" si="33"/>
        <v>0</v>
      </c>
      <c r="H805" s="17"/>
      <c r="I805" s="4">
        <f t="shared" si="35"/>
        <v>349526.07999999996</v>
      </c>
      <c r="J805" s="32" t="str">
        <f t="shared" si="34"/>
        <v/>
      </c>
      <c r="K805" s="72"/>
      <c r="L805" s="72"/>
      <c r="M805" s="2"/>
      <c r="N805" s="5"/>
      <c r="O805" s="3"/>
      <c r="P805" s="6"/>
      <c r="Q805" s="48">
        <f>IF(Учет!$O805=Справочники!$F$2,Учет!$H805,0)</f>
        <v>0</v>
      </c>
      <c r="R805" s="48">
        <f>IF(Учет!$O805=Справочники!$F$3,Учет!$H805,0)</f>
        <v>0</v>
      </c>
      <c r="S805" s="48">
        <f>IF(Учет!$O805=Справочники!$F$4,Учет!$H805,0)</f>
        <v>0</v>
      </c>
      <c r="T805" s="48">
        <f>IF(Учет!$O805=Справочники!$F$5,Учет!$H805,0)</f>
        <v>0</v>
      </c>
      <c r="U805" s="48">
        <f>IF(Учет!$O805=Справочники!$F$6,Учет!$H805,0)</f>
        <v>0</v>
      </c>
      <c r="V805" s="43">
        <f>V804+Учет!Q805-Q805</f>
        <v>-488978.92000000004</v>
      </c>
      <c r="W805" s="43">
        <f>W804+Учет!R805-R805</f>
        <v>336855</v>
      </c>
      <c r="X805" s="43">
        <f>X804+Учет!S805-S805</f>
        <v>500</v>
      </c>
      <c r="Y805" s="43">
        <f>Y804+Учет!T805-T805</f>
        <v>1150</v>
      </c>
      <c r="Z805" s="43">
        <f>Z804+Учет!U805-U805</f>
        <v>500000</v>
      </c>
      <c r="AA805" s="45">
        <f>Учет!X805</f>
        <v>500</v>
      </c>
    </row>
    <row r="806" spans="1:27" ht="15" customHeight="1" x14ac:dyDescent="0.25">
      <c r="A806" s="1"/>
      <c r="B806" s="17"/>
      <c r="C806" s="17"/>
      <c r="D806" s="17"/>
      <c r="E806" s="17"/>
      <c r="F806" s="17"/>
      <c r="G806" s="4">
        <f t="shared" si="33"/>
        <v>0</v>
      </c>
      <c r="H806" s="17"/>
      <c r="I806" s="4">
        <f t="shared" si="35"/>
        <v>349526.07999999996</v>
      </c>
      <c r="J806" s="32" t="str">
        <f t="shared" si="34"/>
        <v/>
      </c>
      <c r="K806" s="72"/>
      <c r="L806" s="72"/>
      <c r="M806" s="2"/>
      <c r="N806" s="5"/>
      <c r="O806" s="3"/>
      <c r="P806" s="6"/>
      <c r="Q806" s="48">
        <f>IF(Учет!$O806=Справочники!$F$2,Учет!$H806,0)</f>
        <v>0</v>
      </c>
      <c r="R806" s="48">
        <f>IF(Учет!$O806=Справочники!$F$3,Учет!$H806,0)</f>
        <v>0</v>
      </c>
      <c r="S806" s="48">
        <f>IF(Учет!$O806=Справочники!$F$4,Учет!$H806,0)</f>
        <v>0</v>
      </c>
      <c r="T806" s="48">
        <f>IF(Учет!$O806=Справочники!$F$5,Учет!$H806,0)</f>
        <v>0</v>
      </c>
      <c r="U806" s="48">
        <f>IF(Учет!$O806=Справочники!$F$6,Учет!$H806,0)</f>
        <v>0</v>
      </c>
      <c r="V806" s="43">
        <f>V805+Учет!Q806-Q806</f>
        <v>-488978.92000000004</v>
      </c>
      <c r="W806" s="43">
        <f>W805+Учет!R806-R806</f>
        <v>336855</v>
      </c>
      <c r="X806" s="43">
        <f>X805+Учет!S806-S806</f>
        <v>500</v>
      </c>
      <c r="Y806" s="43">
        <f>Y805+Учет!T806-T806</f>
        <v>1150</v>
      </c>
      <c r="Z806" s="43">
        <f>Z805+Учет!U806-U806</f>
        <v>500000</v>
      </c>
      <c r="AA806" s="45">
        <f>Учет!X806</f>
        <v>500</v>
      </c>
    </row>
    <row r="807" spans="1:27" ht="15" customHeight="1" x14ac:dyDescent="0.25">
      <c r="A807" s="1"/>
      <c r="B807" s="17"/>
      <c r="C807" s="17"/>
      <c r="D807" s="17"/>
      <c r="E807" s="17"/>
      <c r="F807" s="17"/>
      <c r="G807" s="4">
        <f t="shared" si="33"/>
        <v>0</v>
      </c>
      <c r="H807" s="17"/>
      <c r="I807" s="4">
        <f t="shared" si="35"/>
        <v>349526.07999999996</v>
      </c>
      <c r="J807" s="32" t="str">
        <f t="shared" si="34"/>
        <v/>
      </c>
      <c r="K807" s="72"/>
      <c r="L807" s="72"/>
      <c r="M807" s="2"/>
      <c r="N807" s="5"/>
      <c r="O807" s="3"/>
      <c r="P807" s="6"/>
      <c r="Q807" s="48">
        <f>IF(Учет!$O807=Справочники!$F$2,Учет!$H807,0)</f>
        <v>0</v>
      </c>
      <c r="R807" s="48">
        <f>IF(Учет!$O807=Справочники!$F$3,Учет!$H807,0)</f>
        <v>0</v>
      </c>
      <c r="S807" s="48">
        <f>IF(Учет!$O807=Справочники!$F$4,Учет!$H807,0)</f>
        <v>0</v>
      </c>
      <c r="T807" s="48">
        <f>IF(Учет!$O807=Справочники!$F$5,Учет!$H807,0)</f>
        <v>0</v>
      </c>
      <c r="U807" s="48">
        <f>IF(Учет!$O807=Справочники!$F$6,Учет!$H807,0)</f>
        <v>0</v>
      </c>
      <c r="V807" s="43">
        <f>V806+Учет!Q807-Q807</f>
        <v>-488978.92000000004</v>
      </c>
      <c r="W807" s="43">
        <f>W806+Учет!R807-R807</f>
        <v>336855</v>
      </c>
      <c r="X807" s="43">
        <f>X806+Учет!S807-S807</f>
        <v>500</v>
      </c>
      <c r="Y807" s="43">
        <f>Y806+Учет!T807-T807</f>
        <v>1150</v>
      </c>
      <c r="Z807" s="43">
        <f>Z806+Учет!U807-U807</f>
        <v>500000</v>
      </c>
      <c r="AA807" s="45">
        <f>Учет!X807</f>
        <v>500</v>
      </c>
    </row>
    <row r="808" spans="1:27" ht="15" customHeight="1" x14ac:dyDescent="0.25">
      <c r="A808" s="1"/>
      <c r="B808" s="17"/>
      <c r="C808" s="17"/>
      <c r="D808" s="17"/>
      <c r="E808" s="17"/>
      <c r="F808" s="17"/>
      <c r="G808" s="4">
        <f t="shared" si="33"/>
        <v>0</v>
      </c>
      <c r="H808" s="17"/>
      <c r="I808" s="4">
        <f t="shared" si="35"/>
        <v>349526.07999999996</v>
      </c>
      <c r="J808" s="32" t="str">
        <f t="shared" si="34"/>
        <v/>
      </c>
      <c r="K808" s="72"/>
      <c r="L808" s="72"/>
      <c r="M808" s="2"/>
      <c r="N808" s="5"/>
      <c r="O808" s="3"/>
      <c r="P808" s="6"/>
      <c r="Q808" s="48">
        <f>IF(Учет!$O808=Справочники!$F$2,Учет!$H808,0)</f>
        <v>0</v>
      </c>
      <c r="R808" s="48">
        <f>IF(Учет!$O808=Справочники!$F$3,Учет!$H808,0)</f>
        <v>0</v>
      </c>
      <c r="S808" s="48">
        <f>IF(Учет!$O808=Справочники!$F$4,Учет!$H808,0)</f>
        <v>0</v>
      </c>
      <c r="T808" s="48">
        <f>IF(Учет!$O808=Справочники!$F$5,Учет!$H808,0)</f>
        <v>0</v>
      </c>
      <c r="U808" s="48">
        <f>IF(Учет!$O808=Справочники!$F$6,Учет!$H808,0)</f>
        <v>0</v>
      </c>
      <c r="V808" s="43">
        <f>V807+Учет!Q808-Q808</f>
        <v>-488978.92000000004</v>
      </c>
      <c r="W808" s="43">
        <f>W807+Учет!R808-R808</f>
        <v>336855</v>
      </c>
      <c r="X808" s="43">
        <f>X807+Учет!S808-S808</f>
        <v>500</v>
      </c>
      <c r="Y808" s="43">
        <f>Y807+Учет!T808-T808</f>
        <v>1150</v>
      </c>
      <c r="Z808" s="43">
        <f>Z807+Учет!U808-U808</f>
        <v>500000</v>
      </c>
      <c r="AA808" s="45">
        <f>Учет!X808</f>
        <v>500</v>
      </c>
    </row>
    <row r="809" spans="1:27" ht="15" customHeight="1" x14ac:dyDescent="0.25">
      <c r="A809" s="1"/>
      <c r="B809" s="17"/>
      <c r="C809" s="17"/>
      <c r="D809" s="17"/>
      <c r="E809" s="17"/>
      <c r="F809" s="17"/>
      <c r="G809" s="4">
        <f t="shared" si="33"/>
        <v>0</v>
      </c>
      <c r="H809" s="17"/>
      <c r="I809" s="4">
        <f t="shared" si="35"/>
        <v>349526.07999999996</v>
      </c>
      <c r="J809" s="32" t="str">
        <f t="shared" si="34"/>
        <v/>
      </c>
      <c r="K809" s="72"/>
      <c r="L809" s="72"/>
      <c r="M809" s="2"/>
      <c r="N809" s="5"/>
      <c r="O809" s="3"/>
      <c r="P809" s="6"/>
      <c r="Q809" s="48">
        <f>IF(Учет!$O809=Справочники!$F$2,Учет!$H809,0)</f>
        <v>0</v>
      </c>
      <c r="R809" s="48">
        <f>IF(Учет!$O809=Справочники!$F$3,Учет!$H809,0)</f>
        <v>0</v>
      </c>
      <c r="S809" s="48">
        <f>IF(Учет!$O809=Справочники!$F$4,Учет!$H809,0)</f>
        <v>0</v>
      </c>
      <c r="T809" s="48">
        <f>IF(Учет!$O809=Справочники!$F$5,Учет!$H809,0)</f>
        <v>0</v>
      </c>
      <c r="U809" s="48">
        <f>IF(Учет!$O809=Справочники!$F$6,Учет!$H809,0)</f>
        <v>0</v>
      </c>
      <c r="V809" s="43">
        <f>V808+Учет!Q809-Q809</f>
        <v>-488978.92000000004</v>
      </c>
      <c r="W809" s="43">
        <f>W808+Учет!R809-R809</f>
        <v>336855</v>
      </c>
      <c r="X809" s="43">
        <f>X808+Учет!S809-S809</f>
        <v>500</v>
      </c>
      <c r="Y809" s="43">
        <f>Y808+Учет!T809-T809</f>
        <v>1150</v>
      </c>
      <c r="Z809" s="43">
        <f>Z808+Учет!U809-U809</f>
        <v>500000</v>
      </c>
      <c r="AA809" s="45">
        <f>Учет!X809</f>
        <v>500</v>
      </c>
    </row>
    <row r="810" spans="1:27" ht="15" customHeight="1" x14ac:dyDescent="0.25">
      <c r="A810" s="1"/>
      <c r="B810" s="17"/>
      <c r="C810" s="17"/>
      <c r="D810" s="17"/>
      <c r="E810" s="17"/>
      <c r="F810" s="17"/>
      <c r="G810" s="4">
        <f t="shared" si="33"/>
        <v>0</v>
      </c>
      <c r="H810" s="17"/>
      <c r="I810" s="4">
        <f t="shared" si="35"/>
        <v>349526.07999999996</v>
      </c>
      <c r="J810" s="32" t="str">
        <f t="shared" si="34"/>
        <v/>
      </c>
      <c r="K810" s="72"/>
      <c r="L810" s="72"/>
      <c r="M810" s="2"/>
      <c r="N810" s="5"/>
      <c r="O810" s="3"/>
      <c r="P810" s="6"/>
      <c r="Q810" s="48">
        <f>IF(Учет!$O810=Справочники!$F$2,Учет!$H810,0)</f>
        <v>0</v>
      </c>
      <c r="R810" s="48">
        <f>IF(Учет!$O810=Справочники!$F$3,Учет!$H810,0)</f>
        <v>0</v>
      </c>
      <c r="S810" s="48">
        <f>IF(Учет!$O810=Справочники!$F$4,Учет!$H810,0)</f>
        <v>0</v>
      </c>
      <c r="T810" s="48">
        <f>IF(Учет!$O810=Справочники!$F$5,Учет!$H810,0)</f>
        <v>0</v>
      </c>
      <c r="U810" s="48">
        <f>IF(Учет!$O810=Справочники!$F$6,Учет!$H810,0)</f>
        <v>0</v>
      </c>
      <c r="V810" s="43">
        <f>V809+Учет!Q810-Q810</f>
        <v>-488978.92000000004</v>
      </c>
      <c r="W810" s="43">
        <f>W809+Учет!R810-R810</f>
        <v>336855</v>
      </c>
      <c r="X810" s="43">
        <f>X809+Учет!S810-S810</f>
        <v>500</v>
      </c>
      <c r="Y810" s="43">
        <f>Y809+Учет!T810-T810</f>
        <v>1150</v>
      </c>
      <c r="Z810" s="43">
        <f>Z809+Учет!U810-U810</f>
        <v>500000</v>
      </c>
      <c r="AA810" s="45">
        <f>Учет!X810</f>
        <v>500</v>
      </c>
    </row>
    <row r="811" spans="1:27" ht="15" customHeight="1" x14ac:dyDescent="0.25">
      <c r="A811" s="1"/>
      <c r="B811" s="17"/>
      <c r="C811" s="17"/>
      <c r="D811" s="17"/>
      <c r="E811" s="17"/>
      <c r="F811" s="17"/>
      <c r="G811" s="4">
        <f t="shared" si="33"/>
        <v>0</v>
      </c>
      <c r="H811" s="17"/>
      <c r="I811" s="4">
        <f t="shared" si="35"/>
        <v>349526.07999999996</v>
      </c>
      <c r="J811" s="32" t="str">
        <f t="shared" si="34"/>
        <v/>
      </c>
      <c r="K811" s="72"/>
      <c r="L811" s="72"/>
      <c r="M811" s="2"/>
      <c r="N811" s="5"/>
      <c r="O811" s="3"/>
      <c r="P811" s="6"/>
      <c r="Q811" s="48">
        <f>IF(Учет!$O811=Справочники!$F$2,Учет!$H811,0)</f>
        <v>0</v>
      </c>
      <c r="R811" s="48">
        <f>IF(Учет!$O811=Справочники!$F$3,Учет!$H811,0)</f>
        <v>0</v>
      </c>
      <c r="S811" s="48">
        <f>IF(Учет!$O811=Справочники!$F$4,Учет!$H811,0)</f>
        <v>0</v>
      </c>
      <c r="T811" s="48">
        <f>IF(Учет!$O811=Справочники!$F$5,Учет!$H811,0)</f>
        <v>0</v>
      </c>
      <c r="U811" s="48">
        <f>IF(Учет!$O811=Справочники!$F$6,Учет!$H811,0)</f>
        <v>0</v>
      </c>
      <c r="V811" s="43">
        <f>V810+Учет!Q811-Q811</f>
        <v>-488978.92000000004</v>
      </c>
      <c r="W811" s="43">
        <f>W810+Учет!R811-R811</f>
        <v>336855</v>
      </c>
      <c r="X811" s="43">
        <f>X810+Учет!S811-S811</f>
        <v>500</v>
      </c>
      <c r="Y811" s="43">
        <f>Y810+Учет!T811-T811</f>
        <v>1150</v>
      </c>
      <c r="Z811" s="43">
        <f>Z810+Учет!U811-U811</f>
        <v>500000</v>
      </c>
      <c r="AA811" s="45">
        <f>Учет!X811</f>
        <v>500</v>
      </c>
    </row>
    <row r="812" spans="1:27" ht="15" customHeight="1" x14ac:dyDescent="0.25">
      <c r="A812" s="1"/>
      <c r="B812" s="17"/>
      <c r="C812" s="17"/>
      <c r="D812" s="17"/>
      <c r="E812" s="17"/>
      <c r="F812" s="17"/>
      <c r="G812" s="4">
        <f t="shared" si="33"/>
        <v>0</v>
      </c>
      <c r="H812" s="17"/>
      <c r="I812" s="4">
        <f t="shared" si="35"/>
        <v>349526.07999999996</v>
      </c>
      <c r="J812" s="32" t="str">
        <f t="shared" si="34"/>
        <v/>
      </c>
      <c r="K812" s="72"/>
      <c r="L812" s="72"/>
      <c r="M812" s="2"/>
      <c r="N812" s="5"/>
      <c r="O812" s="3"/>
      <c r="P812" s="6"/>
      <c r="Q812" s="48">
        <f>IF(Учет!$O812=Справочники!$F$2,Учет!$H812,0)</f>
        <v>0</v>
      </c>
      <c r="R812" s="48">
        <f>IF(Учет!$O812=Справочники!$F$3,Учет!$H812,0)</f>
        <v>0</v>
      </c>
      <c r="S812" s="48">
        <f>IF(Учет!$O812=Справочники!$F$4,Учет!$H812,0)</f>
        <v>0</v>
      </c>
      <c r="T812" s="48">
        <f>IF(Учет!$O812=Справочники!$F$5,Учет!$H812,0)</f>
        <v>0</v>
      </c>
      <c r="U812" s="48">
        <f>IF(Учет!$O812=Справочники!$F$6,Учет!$H812,0)</f>
        <v>0</v>
      </c>
      <c r="V812" s="43">
        <f>V811+Учет!Q812-Q812</f>
        <v>-488978.92000000004</v>
      </c>
      <c r="W812" s="43">
        <f>W811+Учет!R812-R812</f>
        <v>336855</v>
      </c>
      <c r="X812" s="43">
        <f>X811+Учет!S812-S812</f>
        <v>500</v>
      </c>
      <c r="Y812" s="43">
        <f>Y811+Учет!T812-T812</f>
        <v>1150</v>
      </c>
      <c r="Z812" s="43">
        <f>Z811+Учет!U812-U812</f>
        <v>500000</v>
      </c>
      <c r="AA812" s="45">
        <f>Учет!X812</f>
        <v>500</v>
      </c>
    </row>
    <row r="813" spans="1:27" ht="15" customHeight="1" x14ac:dyDescent="0.25">
      <c r="A813" s="1"/>
      <c r="B813" s="17"/>
      <c r="C813" s="17"/>
      <c r="D813" s="17"/>
      <c r="E813" s="17"/>
      <c r="F813" s="17"/>
      <c r="G813" s="4">
        <f t="shared" si="33"/>
        <v>0</v>
      </c>
      <c r="H813" s="17"/>
      <c r="I813" s="4">
        <f t="shared" si="35"/>
        <v>349526.07999999996</v>
      </c>
      <c r="J813" s="32" t="str">
        <f t="shared" si="34"/>
        <v/>
      </c>
      <c r="K813" s="72"/>
      <c r="L813" s="72"/>
      <c r="M813" s="2"/>
      <c r="N813" s="5"/>
      <c r="O813" s="3"/>
      <c r="P813" s="6"/>
      <c r="Q813" s="48">
        <f>IF(Учет!$O813=Справочники!$F$2,Учет!$H813,0)</f>
        <v>0</v>
      </c>
      <c r="R813" s="48">
        <f>IF(Учет!$O813=Справочники!$F$3,Учет!$H813,0)</f>
        <v>0</v>
      </c>
      <c r="S813" s="48">
        <f>IF(Учет!$O813=Справочники!$F$4,Учет!$H813,0)</f>
        <v>0</v>
      </c>
      <c r="T813" s="48">
        <f>IF(Учет!$O813=Справочники!$F$5,Учет!$H813,0)</f>
        <v>0</v>
      </c>
      <c r="U813" s="48">
        <f>IF(Учет!$O813=Справочники!$F$6,Учет!$H813,0)</f>
        <v>0</v>
      </c>
      <c r="V813" s="43">
        <f>V812+Учет!Q813-Q813</f>
        <v>-488978.92000000004</v>
      </c>
      <c r="W813" s="43">
        <f>W812+Учет!R813-R813</f>
        <v>336855</v>
      </c>
      <c r="X813" s="43">
        <f>X812+Учет!S813-S813</f>
        <v>500</v>
      </c>
      <c r="Y813" s="43">
        <f>Y812+Учет!T813-T813</f>
        <v>1150</v>
      </c>
      <c r="Z813" s="43">
        <f>Z812+Учет!U813-U813</f>
        <v>500000</v>
      </c>
      <c r="AA813" s="45">
        <f>Учет!X813</f>
        <v>500</v>
      </c>
    </row>
    <row r="814" spans="1:27" ht="15" customHeight="1" x14ac:dyDescent="0.25">
      <c r="A814" s="1"/>
      <c r="B814" s="17"/>
      <c r="C814" s="17"/>
      <c r="D814" s="17"/>
      <c r="E814" s="17"/>
      <c r="F814" s="17"/>
      <c r="G814" s="4">
        <f t="shared" si="33"/>
        <v>0</v>
      </c>
      <c r="H814" s="17"/>
      <c r="I814" s="4">
        <f t="shared" si="35"/>
        <v>349526.07999999996</v>
      </c>
      <c r="J814" s="32" t="str">
        <f t="shared" si="34"/>
        <v/>
      </c>
      <c r="K814" s="72"/>
      <c r="L814" s="72"/>
      <c r="M814" s="2"/>
      <c r="N814" s="5"/>
      <c r="O814" s="3"/>
      <c r="P814" s="6"/>
      <c r="Q814" s="48">
        <f>IF(Учет!$O814=Справочники!$F$2,Учет!$H814,0)</f>
        <v>0</v>
      </c>
      <c r="R814" s="48">
        <f>IF(Учет!$O814=Справочники!$F$3,Учет!$H814,0)</f>
        <v>0</v>
      </c>
      <c r="S814" s="48">
        <f>IF(Учет!$O814=Справочники!$F$4,Учет!$H814,0)</f>
        <v>0</v>
      </c>
      <c r="T814" s="48">
        <f>IF(Учет!$O814=Справочники!$F$5,Учет!$H814,0)</f>
        <v>0</v>
      </c>
      <c r="U814" s="48">
        <f>IF(Учет!$O814=Справочники!$F$6,Учет!$H814,0)</f>
        <v>0</v>
      </c>
      <c r="V814" s="43">
        <f>V813+Учет!Q814-Q814</f>
        <v>-488978.92000000004</v>
      </c>
      <c r="W814" s="43">
        <f>W813+Учет!R814-R814</f>
        <v>336855</v>
      </c>
      <c r="X814" s="43">
        <f>X813+Учет!S814-S814</f>
        <v>500</v>
      </c>
      <c r="Y814" s="43">
        <f>Y813+Учет!T814-T814</f>
        <v>1150</v>
      </c>
      <c r="Z814" s="43">
        <f>Z813+Учет!U814-U814</f>
        <v>500000</v>
      </c>
      <c r="AA814" s="45">
        <f>Учет!X814</f>
        <v>500</v>
      </c>
    </row>
    <row r="815" spans="1:27" ht="15" customHeight="1" x14ac:dyDescent="0.25">
      <c r="A815" s="1"/>
      <c r="B815" s="17"/>
      <c r="C815" s="17"/>
      <c r="D815" s="17"/>
      <c r="E815" s="17"/>
      <c r="F815" s="17"/>
      <c r="G815" s="4">
        <f t="shared" si="33"/>
        <v>0</v>
      </c>
      <c r="H815" s="17"/>
      <c r="I815" s="4">
        <f t="shared" si="35"/>
        <v>349526.07999999996</v>
      </c>
      <c r="J815" s="32" t="str">
        <f t="shared" si="34"/>
        <v/>
      </c>
      <c r="K815" s="72"/>
      <c r="L815" s="72"/>
      <c r="M815" s="2"/>
      <c r="N815" s="5"/>
      <c r="O815" s="3"/>
      <c r="P815" s="6"/>
      <c r="Q815" s="48">
        <f>IF(Учет!$O815=Справочники!$F$2,Учет!$H815,0)</f>
        <v>0</v>
      </c>
      <c r="R815" s="48">
        <f>IF(Учет!$O815=Справочники!$F$3,Учет!$H815,0)</f>
        <v>0</v>
      </c>
      <c r="S815" s="48">
        <f>IF(Учет!$O815=Справочники!$F$4,Учет!$H815,0)</f>
        <v>0</v>
      </c>
      <c r="T815" s="48">
        <f>IF(Учет!$O815=Справочники!$F$5,Учет!$H815,0)</f>
        <v>0</v>
      </c>
      <c r="U815" s="48">
        <f>IF(Учет!$O815=Справочники!$F$6,Учет!$H815,0)</f>
        <v>0</v>
      </c>
      <c r="V815" s="43">
        <f>V814+Учет!Q815-Q815</f>
        <v>-488978.92000000004</v>
      </c>
      <c r="W815" s="43">
        <f>W814+Учет!R815-R815</f>
        <v>336855</v>
      </c>
      <c r="X815" s="43">
        <f>X814+Учет!S815-S815</f>
        <v>500</v>
      </c>
      <c r="Y815" s="43">
        <f>Y814+Учет!T815-T815</f>
        <v>1150</v>
      </c>
      <c r="Z815" s="43">
        <f>Z814+Учет!U815-U815</f>
        <v>500000</v>
      </c>
      <c r="AA815" s="45">
        <f>Учет!X815</f>
        <v>500</v>
      </c>
    </row>
    <row r="816" spans="1:27" ht="15" customHeight="1" x14ac:dyDescent="0.25">
      <c r="A816" s="1"/>
      <c r="B816" s="17"/>
      <c r="C816" s="17"/>
      <c r="D816" s="17"/>
      <c r="E816" s="17"/>
      <c r="F816" s="17"/>
      <c r="G816" s="4">
        <f t="shared" si="33"/>
        <v>0</v>
      </c>
      <c r="H816" s="17"/>
      <c r="I816" s="4">
        <f t="shared" si="35"/>
        <v>349526.07999999996</v>
      </c>
      <c r="J816" s="32" t="str">
        <f t="shared" si="34"/>
        <v/>
      </c>
      <c r="K816" s="72"/>
      <c r="L816" s="72"/>
      <c r="M816" s="2"/>
      <c r="N816" s="5"/>
      <c r="O816" s="3"/>
      <c r="P816" s="6"/>
      <c r="Q816" s="48">
        <f>IF(Учет!$O816=Справочники!$F$2,Учет!$H816,0)</f>
        <v>0</v>
      </c>
      <c r="R816" s="48">
        <f>IF(Учет!$O816=Справочники!$F$3,Учет!$H816,0)</f>
        <v>0</v>
      </c>
      <c r="S816" s="48">
        <f>IF(Учет!$O816=Справочники!$F$4,Учет!$H816,0)</f>
        <v>0</v>
      </c>
      <c r="T816" s="48">
        <f>IF(Учет!$O816=Справочники!$F$5,Учет!$H816,0)</f>
        <v>0</v>
      </c>
      <c r="U816" s="48">
        <f>IF(Учет!$O816=Справочники!$F$6,Учет!$H816,0)</f>
        <v>0</v>
      </c>
      <c r="V816" s="43">
        <f>V815+Учет!Q816-Q816</f>
        <v>-488978.92000000004</v>
      </c>
      <c r="W816" s="43">
        <f>W815+Учет!R816-R816</f>
        <v>336855</v>
      </c>
      <c r="X816" s="43">
        <f>X815+Учет!S816-S816</f>
        <v>500</v>
      </c>
      <c r="Y816" s="43">
        <f>Y815+Учет!T816-T816</f>
        <v>1150</v>
      </c>
      <c r="Z816" s="43">
        <f>Z815+Учет!U816-U816</f>
        <v>500000</v>
      </c>
      <c r="AA816" s="45">
        <f>Учет!X816</f>
        <v>500</v>
      </c>
    </row>
    <row r="817" spans="1:27" ht="15" customHeight="1" x14ac:dyDescent="0.25">
      <c r="A817" s="1"/>
      <c r="B817" s="17"/>
      <c r="C817" s="17"/>
      <c r="D817" s="17"/>
      <c r="E817" s="17"/>
      <c r="F817" s="17"/>
      <c r="G817" s="4">
        <f t="shared" si="33"/>
        <v>0</v>
      </c>
      <c r="H817" s="17"/>
      <c r="I817" s="4">
        <f t="shared" si="35"/>
        <v>349526.07999999996</v>
      </c>
      <c r="J817" s="32" t="str">
        <f t="shared" si="34"/>
        <v/>
      </c>
      <c r="K817" s="72"/>
      <c r="L817" s="72"/>
      <c r="M817" s="2"/>
      <c r="N817" s="5"/>
      <c r="O817" s="3"/>
      <c r="P817" s="6"/>
      <c r="Q817" s="48">
        <f>IF(Учет!$O817=Справочники!$F$2,Учет!$H817,0)</f>
        <v>0</v>
      </c>
      <c r="R817" s="48">
        <f>IF(Учет!$O817=Справочники!$F$3,Учет!$H817,0)</f>
        <v>0</v>
      </c>
      <c r="S817" s="48">
        <f>IF(Учет!$O817=Справочники!$F$4,Учет!$H817,0)</f>
        <v>0</v>
      </c>
      <c r="T817" s="48">
        <f>IF(Учет!$O817=Справочники!$F$5,Учет!$H817,0)</f>
        <v>0</v>
      </c>
      <c r="U817" s="48">
        <f>IF(Учет!$O817=Справочники!$F$6,Учет!$H817,0)</f>
        <v>0</v>
      </c>
      <c r="V817" s="43">
        <f>V816+Учет!Q817-Q817</f>
        <v>-488978.92000000004</v>
      </c>
      <c r="W817" s="43">
        <f>W816+Учет!R817-R817</f>
        <v>336855</v>
      </c>
      <c r="X817" s="43">
        <f>X816+Учет!S817-S817</f>
        <v>500</v>
      </c>
      <c r="Y817" s="43">
        <f>Y816+Учет!T817-T817</f>
        <v>1150</v>
      </c>
      <c r="Z817" s="43">
        <f>Z816+Учет!U817-U817</f>
        <v>500000</v>
      </c>
      <c r="AA817" s="45">
        <f>Учет!X817</f>
        <v>500</v>
      </c>
    </row>
    <row r="818" spans="1:27" ht="15" customHeight="1" x14ac:dyDescent="0.25">
      <c r="A818" s="1"/>
      <c r="B818" s="17"/>
      <c r="C818" s="17"/>
      <c r="D818" s="17"/>
      <c r="E818" s="17"/>
      <c r="F818" s="17"/>
      <c r="G818" s="4">
        <f t="shared" si="33"/>
        <v>0</v>
      </c>
      <c r="H818" s="17"/>
      <c r="I818" s="4">
        <f t="shared" si="35"/>
        <v>349526.07999999996</v>
      </c>
      <c r="J818" s="32" t="str">
        <f t="shared" si="34"/>
        <v/>
      </c>
      <c r="K818" s="72"/>
      <c r="L818" s="72"/>
      <c r="M818" s="2"/>
      <c r="N818" s="5"/>
      <c r="O818" s="3"/>
      <c r="P818" s="6"/>
      <c r="Q818" s="48">
        <f>IF(Учет!$O818=Справочники!$F$2,Учет!$H818,0)</f>
        <v>0</v>
      </c>
      <c r="R818" s="48">
        <f>IF(Учет!$O818=Справочники!$F$3,Учет!$H818,0)</f>
        <v>0</v>
      </c>
      <c r="S818" s="48">
        <f>IF(Учет!$O818=Справочники!$F$4,Учет!$H818,0)</f>
        <v>0</v>
      </c>
      <c r="T818" s="48">
        <f>IF(Учет!$O818=Справочники!$F$5,Учет!$H818,0)</f>
        <v>0</v>
      </c>
      <c r="U818" s="48">
        <f>IF(Учет!$O818=Справочники!$F$6,Учет!$H818,0)</f>
        <v>0</v>
      </c>
      <c r="V818" s="43">
        <f>V817+Учет!Q818-Q818</f>
        <v>-488978.92000000004</v>
      </c>
      <c r="W818" s="43">
        <f>W817+Учет!R818-R818</f>
        <v>336855</v>
      </c>
      <c r="X818" s="43">
        <f>X817+Учет!S818-S818</f>
        <v>500</v>
      </c>
      <c r="Y818" s="43">
        <f>Y817+Учет!T818-T818</f>
        <v>1150</v>
      </c>
      <c r="Z818" s="43">
        <f>Z817+Учет!U818-U818</f>
        <v>500000</v>
      </c>
      <c r="AA818" s="45">
        <f>Учет!X818</f>
        <v>500</v>
      </c>
    </row>
    <row r="819" spans="1:27" ht="15" customHeight="1" x14ac:dyDescent="0.25">
      <c r="A819" s="1"/>
      <c r="B819" s="17"/>
      <c r="C819" s="17"/>
      <c r="D819" s="17"/>
      <c r="E819" s="17"/>
      <c r="F819" s="17"/>
      <c r="G819" s="4">
        <f t="shared" si="33"/>
        <v>0</v>
      </c>
      <c r="H819" s="17"/>
      <c r="I819" s="4">
        <f t="shared" si="35"/>
        <v>349526.07999999996</v>
      </c>
      <c r="J819" s="32" t="str">
        <f t="shared" si="34"/>
        <v/>
      </c>
      <c r="K819" s="72"/>
      <c r="L819" s="72"/>
      <c r="M819" s="2"/>
      <c r="N819" s="5"/>
      <c r="O819" s="3"/>
      <c r="P819" s="6"/>
      <c r="Q819" s="48">
        <f>IF(Учет!$O819=Справочники!$F$2,Учет!$H819,0)</f>
        <v>0</v>
      </c>
      <c r="R819" s="48">
        <f>IF(Учет!$O819=Справочники!$F$3,Учет!$H819,0)</f>
        <v>0</v>
      </c>
      <c r="S819" s="48">
        <f>IF(Учет!$O819=Справочники!$F$4,Учет!$H819,0)</f>
        <v>0</v>
      </c>
      <c r="T819" s="48">
        <f>IF(Учет!$O819=Справочники!$F$5,Учет!$H819,0)</f>
        <v>0</v>
      </c>
      <c r="U819" s="48">
        <f>IF(Учет!$O819=Справочники!$F$6,Учет!$H819,0)</f>
        <v>0</v>
      </c>
      <c r="V819" s="43">
        <f>V818+Учет!Q819-Q819</f>
        <v>-488978.92000000004</v>
      </c>
      <c r="W819" s="43">
        <f>W818+Учет!R819-R819</f>
        <v>336855</v>
      </c>
      <c r="X819" s="43">
        <f>X818+Учет!S819-S819</f>
        <v>500</v>
      </c>
      <c r="Y819" s="43">
        <f>Y818+Учет!T819-T819</f>
        <v>1150</v>
      </c>
      <c r="Z819" s="43">
        <f>Z818+Учет!U819-U819</f>
        <v>500000</v>
      </c>
      <c r="AA819" s="45">
        <f>Учет!X819</f>
        <v>500</v>
      </c>
    </row>
    <row r="820" spans="1:27" ht="15" customHeight="1" x14ac:dyDescent="0.25">
      <c r="A820" s="1"/>
      <c r="B820" s="17"/>
      <c r="C820" s="17"/>
      <c r="D820" s="17"/>
      <c r="E820" s="17"/>
      <c r="F820" s="17"/>
      <c r="G820" s="4">
        <f t="shared" si="33"/>
        <v>0</v>
      </c>
      <c r="H820" s="17"/>
      <c r="I820" s="4">
        <f t="shared" si="35"/>
        <v>349526.07999999996</v>
      </c>
      <c r="J820" s="32" t="str">
        <f t="shared" si="34"/>
        <v/>
      </c>
      <c r="K820" s="72"/>
      <c r="L820" s="72"/>
      <c r="M820" s="2"/>
      <c r="N820" s="5"/>
      <c r="O820" s="3"/>
      <c r="P820" s="6"/>
      <c r="Q820" s="48">
        <f>IF(Учет!$O820=Справочники!$F$2,Учет!$H820,0)</f>
        <v>0</v>
      </c>
      <c r="R820" s="48">
        <f>IF(Учет!$O820=Справочники!$F$3,Учет!$H820,0)</f>
        <v>0</v>
      </c>
      <c r="S820" s="48">
        <f>IF(Учет!$O820=Справочники!$F$4,Учет!$H820,0)</f>
        <v>0</v>
      </c>
      <c r="T820" s="48">
        <f>IF(Учет!$O820=Справочники!$F$5,Учет!$H820,0)</f>
        <v>0</v>
      </c>
      <c r="U820" s="48">
        <f>IF(Учет!$O820=Справочники!$F$6,Учет!$H820,0)</f>
        <v>0</v>
      </c>
      <c r="V820" s="43">
        <f>V819+Учет!Q820-Q820</f>
        <v>-488978.92000000004</v>
      </c>
      <c r="W820" s="43">
        <f>W819+Учет!R820-R820</f>
        <v>336855</v>
      </c>
      <c r="X820" s="43">
        <f>X819+Учет!S820-S820</f>
        <v>500</v>
      </c>
      <c r="Y820" s="43">
        <f>Y819+Учет!T820-T820</f>
        <v>1150</v>
      </c>
      <c r="Z820" s="43">
        <f>Z819+Учет!U820-U820</f>
        <v>500000</v>
      </c>
      <c r="AA820" s="45">
        <f>Учет!X820</f>
        <v>500</v>
      </c>
    </row>
    <row r="821" spans="1:27" ht="15" customHeight="1" x14ac:dyDescent="0.25">
      <c r="A821" s="1"/>
      <c r="B821" s="17"/>
      <c r="C821" s="17"/>
      <c r="D821" s="17"/>
      <c r="E821" s="17"/>
      <c r="F821" s="17"/>
      <c r="G821" s="4">
        <f t="shared" si="33"/>
        <v>0</v>
      </c>
      <c r="H821" s="17"/>
      <c r="I821" s="4">
        <f t="shared" si="35"/>
        <v>349526.07999999996</v>
      </c>
      <c r="J821" s="32" t="str">
        <f t="shared" si="34"/>
        <v/>
      </c>
      <c r="K821" s="72"/>
      <c r="L821" s="72"/>
      <c r="M821" s="2"/>
      <c r="N821" s="5"/>
      <c r="O821" s="3"/>
      <c r="P821" s="6"/>
      <c r="Q821" s="48">
        <f>IF(Учет!$O821=Справочники!$F$2,Учет!$H821,0)</f>
        <v>0</v>
      </c>
      <c r="R821" s="48">
        <f>IF(Учет!$O821=Справочники!$F$3,Учет!$H821,0)</f>
        <v>0</v>
      </c>
      <c r="S821" s="48">
        <f>IF(Учет!$O821=Справочники!$F$4,Учет!$H821,0)</f>
        <v>0</v>
      </c>
      <c r="T821" s="48">
        <f>IF(Учет!$O821=Справочники!$F$5,Учет!$H821,0)</f>
        <v>0</v>
      </c>
      <c r="U821" s="48">
        <f>IF(Учет!$O821=Справочники!$F$6,Учет!$H821,0)</f>
        <v>0</v>
      </c>
      <c r="V821" s="43">
        <f>V820+Учет!Q821-Q821</f>
        <v>-488978.92000000004</v>
      </c>
      <c r="W821" s="43">
        <f>W820+Учет!R821-R821</f>
        <v>336855</v>
      </c>
      <c r="X821" s="43">
        <f>X820+Учет!S821-S821</f>
        <v>500</v>
      </c>
      <c r="Y821" s="43">
        <f>Y820+Учет!T821-T821</f>
        <v>1150</v>
      </c>
      <c r="Z821" s="43">
        <f>Z820+Учет!U821-U821</f>
        <v>500000</v>
      </c>
      <c r="AA821" s="45">
        <f>Учет!X821</f>
        <v>500</v>
      </c>
    </row>
    <row r="822" spans="1:27" ht="15" customHeight="1" x14ac:dyDescent="0.25">
      <c r="A822" s="1"/>
      <c r="B822" s="17"/>
      <c r="C822" s="17"/>
      <c r="D822" s="17"/>
      <c r="E822" s="17"/>
      <c r="F822" s="17"/>
      <c r="G822" s="4">
        <f t="shared" si="33"/>
        <v>0</v>
      </c>
      <c r="H822" s="17"/>
      <c r="I822" s="4">
        <f t="shared" si="35"/>
        <v>349526.07999999996</v>
      </c>
      <c r="J822" s="32" t="str">
        <f t="shared" si="34"/>
        <v/>
      </c>
      <c r="K822" s="72"/>
      <c r="L822" s="72"/>
      <c r="M822" s="2"/>
      <c r="N822" s="5"/>
      <c r="O822" s="3"/>
      <c r="P822" s="6"/>
      <c r="Q822" s="48">
        <f>IF(Учет!$O822=Справочники!$F$2,Учет!$H822,0)</f>
        <v>0</v>
      </c>
      <c r="R822" s="48">
        <f>IF(Учет!$O822=Справочники!$F$3,Учет!$H822,0)</f>
        <v>0</v>
      </c>
      <c r="S822" s="48">
        <f>IF(Учет!$O822=Справочники!$F$4,Учет!$H822,0)</f>
        <v>0</v>
      </c>
      <c r="T822" s="48">
        <f>IF(Учет!$O822=Справочники!$F$5,Учет!$H822,0)</f>
        <v>0</v>
      </c>
      <c r="U822" s="48">
        <f>IF(Учет!$O822=Справочники!$F$6,Учет!$H822,0)</f>
        <v>0</v>
      </c>
      <c r="V822" s="43">
        <f>V821+Учет!Q822-Q822</f>
        <v>-488978.92000000004</v>
      </c>
      <c r="W822" s="43">
        <f>W821+Учет!R822-R822</f>
        <v>336855</v>
      </c>
      <c r="X822" s="43">
        <f>X821+Учет!S822-S822</f>
        <v>500</v>
      </c>
      <c r="Y822" s="43">
        <f>Y821+Учет!T822-T822</f>
        <v>1150</v>
      </c>
      <c r="Z822" s="43">
        <f>Z821+Учет!U822-U822</f>
        <v>500000</v>
      </c>
      <c r="AA822" s="45">
        <f>Учет!X822</f>
        <v>500</v>
      </c>
    </row>
    <row r="823" spans="1:27" ht="15" customHeight="1" x14ac:dyDescent="0.25">
      <c r="A823" s="1"/>
      <c r="B823" s="17"/>
      <c r="C823" s="17"/>
      <c r="D823" s="17"/>
      <c r="E823" s="17"/>
      <c r="F823" s="17"/>
      <c r="G823" s="4">
        <f t="shared" si="33"/>
        <v>0</v>
      </c>
      <c r="H823" s="17"/>
      <c r="I823" s="4">
        <f t="shared" si="35"/>
        <v>349526.07999999996</v>
      </c>
      <c r="J823" s="32" t="str">
        <f t="shared" si="34"/>
        <v/>
      </c>
      <c r="K823" s="72"/>
      <c r="L823" s="72"/>
      <c r="M823" s="2"/>
      <c r="N823" s="5"/>
      <c r="O823" s="3"/>
      <c r="P823" s="6"/>
      <c r="Q823" s="48">
        <f>IF(Учет!$O823=Справочники!$F$2,Учет!$H823,0)</f>
        <v>0</v>
      </c>
      <c r="R823" s="48">
        <f>IF(Учет!$O823=Справочники!$F$3,Учет!$H823,0)</f>
        <v>0</v>
      </c>
      <c r="S823" s="48">
        <f>IF(Учет!$O823=Справочники!$F$4,Учет!$H823,0)</f>
        <v>0</v>
      </c>
      <c r="T823" s="48">
        <f>IF(Учет!$O823=Справочники!$F$5,Учет!$H823,0)</f>
        <v>0</v>
      </c>
      <c r="U823" s="48">
        <f>IF(Учет!$O823=Справочники!$F$6,Учет!$H823,0)</f>
        <v>0</v>
      </c>
      <c r="V823" s="43">
        <f>V822+Учет!Q823-Q823</f>
        <v>-488978.92000000004</v>
      </c>
      <c r="W823" s="43">
        <f>W822+Учет!R823-R823</f>
        <v>336855</v>
      </c>
      <c r="X823" s="43">
        <f>X822+Учет!S823-S823</f>
        <v>500</v>
      </c>
      <c r="Y823" s="43">
        <f>Y822+Учет!T823-T823</f>
        <v>1150</v>
      </c>
      <c r="Z823" s="43">
        <f>Z822+Учет!U823-U823</f>
        <v>500000</v>
      </c>
      <c r="AA823" s="45">
        <f>Учет!X823</f>
        <v>500</v>
      </c>
    </row>
    <row r="824" spans="1:27" ht="15" customHeight="1" x14ac:dyDescent="0.25">
      <c r="A824" s="1"/>
      <c r="B824" s="17"/>
      <c r="C824" s="17"/>
      <c r="D824" s="17"/>
      <c r="E824" s="17"/>
      <c r="F824" s="17"/>
      <c r="G824" s="4">
        <f t="shared" si="33"/>
        <v>0</v>
      </c>
      <c r="H824" s="17"/>
      <c r="I824" s="4">
        <f t="shared" si="35"/>
        <v>349526.07999999996</v>
      </c>
      <c r="J824" s="32" t="str">
        <f t="shared" si="34"/>
        <v/>
      </c>
      <c r="K824" s="72"/>
      <c r="L824" s="72"/>
      <c r="M824" s="2"/>
      <c r="N824" s="5"/>
      <c r="O824" s="3"/>
      <c r="P824" s="6"/>
      <c r="Q824" s="48">
        <f>IF(Учет!$O824=Справочники!$F$2,Учет!$H824,0)</f>
        <v>0</v>
      </c>
      <c r="R824" s="48">
        <f>IF(Учет!$O824=Справочники!$F$3,Учет!$H824,0)</f>
        <v>0</v>
      </c>
      <c r="S824" s="48">
        <f>IF(Учет!$O824=Справочники!$F$4,Учет!$H824,0)</f>
        <v>0</v>
      </c>
      <c r="T824" s="48">
        <f>IF(Учет!$O824=Справочники!$F$5,Учет!$H824,0)</f>
        <v>0</v>
      </c>
      <c r="U824" s="48">
        <f>IF(Учет!$O824=Справочники!$F$6,Учет!$H824,0)</f>
        <v>0</v>
      </c>
      <c r="V824" s="43">
        <f>V823+Учет!Q824-Q824</f>
        <v>-488978.92000000004</v>
      </c>
      <c r="W824" s="43">
        <f>W823+Учет!R824-R824</f>
        <v>336855</v>
      </c>
      <c r="X824" s="43">
        <f>X823+Учет!S824-S824</f>
        <v>500</v>
      </c>
      <c r="Y824" s="43">
        <f>Y823+Учет!T824-T824</f>
        <v>1150</v>
      </c>
      <c r="Z824" s="43">
        <f>Z823+Учет!U824-U824</f>
        <v>500000</v>
      </c>
      <c r="AA824" s="45">
        <f>Учет!X824</f>
        <v>500</v>
      </c>
    </row>
    <row r="825" spans="1:27" ht="15" customHeight="1" x14ac:dyDescent="0.25">
      <c r="A825" s="1"/>
      <c r="B825" s="17"/>
      <c r="C825" s="17"/>
      <c r="D825" s="17"/>
      <c r="E825" s="17"/>
      <c r="F825" s="17"/>
      <c r="G825" s="4">
        <f t="shared" si="33"/>
        <v>0</v>
      </c>
      <c r="H825" s="17"/>
      <c r="I825" s="4">
        <f t="shared" si="35"/>
        <v>349526.07999999996</v>
      </c>
      <c r="J825" s="32" t="str">
        <f t="shared" si="34"/>
        <v/>
      </c>
      <c r="K825" s="72"/>
      <c r="L825" s="72"/>
      <c r="M825" s="2"/>
      <c r="N825" s="5"/>
      <c r="O825" s="3"/>
      <c r="P825" s="6"/>
      <c r="Q825" s="48">
        <f>IF(Учет!$O825=Справочники!$F$2,Учет!$H825,0)</f>
        <v>0</v>
      </c>
      <c r="R825" s="48">
        <f>IF(Учет!$O825=Справочники!$F$3,Учет!$H825,0)</f>
        <v>0</v>
      </c>
      <c r="S825" s="48">
        <f>IF(Учет!$O825=Справочники!$F$4,Учет!$H825,0)</f>
        <v>0</v>
      </c>
      <c r="T825" s="48">
        <f>IF(Учет!$O825=Справочники!$F$5,Учет!$H825,0)</f>
        <v>0</v>
      </c>
      <c r="U825" s="48">
        <f>IF(Учет!$O825=Справочники!$F$6,Учет!$H825,0)</f>
        <v>0</v>
      </c>
      <c r="V825" s="43">
        <f>V824+Учет!Q825-Q825</f>
        <v>-488978.92000000004</v>
      </c>
      <c r="W825" s="43">
        <f>W824+Учет!R825-R825</f>
        <v>336855</v>
      </c>
      <c r="X825" s="43">
        <f>X824+Учет!S825-S825</f>
        <v>500</v>
      </c>
      <c r="Y825" s="43">
        <f>Y824+Учет!T825-T825</f>
        <v>1150</v>
      </c>
      <c r="Z825" s="43">
        <f>Z824+Учет!U825-U825</f>
        <v>500000</v>
      </c>
      <c r="AA825" s="45">
        <f>Учет!X825</f>
        <v>500</v>
      </c>
    </row>
    <row r="826" spans="1:27" ht="15" customHeight="1" x14ac:dyDescent="0.25">
      <c r="A826" s="1"/>
      <c r="B826" s="17"/>
      <c r="C826" s="17"/>
      <c r="D826" s="17"/>
      <c r="E826" s="17"/>
      <c r="F826" s="17"/>
      <c r="G826" s="4">
        <f t="shared" si="33"/>
        <v>0</v>
      </c>
      <c r="H826" s="17"/>
      <c r="I826" s="4">
        <f t="shared" si="35"/>
        <v>349526.07999999996</v>
      </c>
      <c r="J826" s="32" t="str">
        <f t="shared" si="34"/>
        <v/>
      </c>
      <c r="K826" s="72"/>
      <c r="L826" s="72"/>
      <c r="M826" s="2"/>
      <c r="N826" s="5"/>
      <c r="O826" s="3"/>
      <c r="P826" s="6"/>
      <c r="Q826" s="48">
        <f>IF(Учет!$O826=Справочники!$F$2,Учет!$H826,0)</f>
        <v>0</v>
      </c>
      <c r="R826" s="48">
        <f>IF(Учет!$O826=Справочники!$F$3,Учет!$H826,0)</f>
        <v>0</v>
      </c>
      <c r="S826" s="48">
        <f>IF(Учет!$O826=Справочники!$F$4,Учет!$H826,0)</f>
        <v>0</v>
      </c>
      <c r="T826" s="48">
        <f>IF(Учет!$O826=Справочники!$F$5,Учет!$H826,0)</f>
        <v>0</v>
      </c>
      <c r="U826" s="48">
        <f>IF(Учет!$O826=Справочники!$F$6,Учет!$H826,0)</f>
        <v>0</v>
      </c>
      <c r="V826" s="43">
        <f>V825+Учет!Q826-Q826</f>
        <v>-488978.92000000004</v>
      </c>
      <c r="W826" s="43">
        <f>W825+Учет!R826-R826</f>
        <v>336855</v>
      </c>
      <c r="X826" s="43">
        <f>X825+Учет!S826-S826</f>
        <v>500</v>
      </c>
      <c r="Y826" s="43">
        <f>Y825+Учет!T826-T826</f>
        <v>1150</v>
      </c>
      <c r="Z826" s="43">
        <f>Z825+Учет!U826-U826</f>
        <v>500000</v>
      </c>
      <c r="AA826" s="45">
        <f>Учет!X826</f>
        <v>500</v>
      </c>
    </row>
    <row r="827" spans="1:27" ht="15" customHeight="1" x14ac:dyDescent="0.25">
      <c r="A827" s="1"/>
      <c r="B827" s="17"/>
      <c r="C827" s="17"/>
      <c r="D827" s="17"/>
      <c r="E827" s="17"/>
      <c r="F827" s="17"/>
      <c r="G827" s="4">
        <f t="shared" si="33"/>
        <v>0</v>
      </c>
      <c r="H827" s="17"/>
      <c r="I827" s="4">
        <f t="shared" si="35"/>
        <v>349526.07999999996</v>
      </c>
      <c r="J827" s="32" t="str">
        <f t="shared" si="34"/>
        <v/>
      </c>
      <c r="K827" s="72"/>
      <c r="L827" s="72"/>
      <c r="M827" s="2"/>
      <c r="N827" s="5"/>
      <c r="O827" s="3"/>
      <c r="P827" s="6"/>
      <c r="Q827" s="48">
        <f>IF(Учет!$O827=Справочники!$F$2,Учет!$H827,0)</f>
        <v>0</v>
      </c>
      <c r="R827" s="48">
        <f>IF(Учет!$O827=Справочники!$F$3,Учет!$H827,0)</f>
        <v>0</v>
      </c>
      <c r="S827" s="48">
        <f>IF(Учет!$O827=Справочники!$F$4,Учет!$H827,0)</f>
        <v>0</v>
      </c>
      <c r="T827" s="48">
        <f>IF(Учет!$O827=Справочники!$F$5,Учет!$H827,0)</f>
        <v>0</v>
      </c>
      <c r="U827" s="48">
        <f>IF(Учет!$O827=Справочники!$F$6,Учет!$H827,0)</f>
        <v>0</v>
      </c>
      <c r="V827" s="43">
        <f>V826+Учет!Q827-Q827</f>
        <v>-488978.92000000004</v>
      </c>
      <c r="W827" s="43">
        <f>W826+Учет!R827-R827</f>
        <v>336855</v>
      </c>
      <c r="X827" s="43">
        <f>X826+Учет!S827-S827</f>
        <v>500</v>
      </c>
      <c r="Y827" s="43">
        <f>Y826+Учет!T827-T827</f>
        <v>1150</v>
      </c>
      <c r="Z827" s="43">
        <f>Z826+Учет!U827-U827</f>
        <v>500000</v>
      </c>
      <c r="AA827" s="45">
        <f>Учет!X827</f>
        <v>500</v>
      </c>
    </row>
    <row r="828" spans="1:27" ht="15" customHeight="1" x14ac:dyDescent="0.25">
      <c r="A828" s="1"/>
      <c r="B828" s="17"/>
      <c r="C828" s="17"/>
      <c r="D828" s="17"/>
      <c r="E828" s="17"/>
      <c r="F828" s="17"/>
      <c r="G828" s="4">
        <f t="shared" si="33"/>
        <v>0</v>
      </c>
      <c r="H828" s="17"/>
      <c r="I828" s="4">
        <f t="shared" si="35"/>
        <v>349526.07999999996</v>
      </c>
      <c r="J828" s="32" t="str">
        <f t="shared" si="34"/>
        <v/>
      </c>
      <c r="K828" s="72"/>
      <c r="L828" s="72"/>
      <c r="M828" s="2"/>
      <c r="N828" s="5"/>
      <c r="O828" s="3"/>
      <c r="P828" s="6"/>
      <c r="Q828" s="48">
        <f>IF(Учет!$O828=Справочники!$F$2,Учет!$H828,0)</f>
        <v>0</v>
      </c>
      <c r="R828" s="48">
        <f>IF(Учет!$O828=Справочники!$F$3,Учет!$H828,0)</f>
        <v>0</v>
      </c>
      <c r="S828" s="48">
        <f>IF(Учет!$O828=Справочники!$F$4,Учет!$H828,0)</f>
        <v>0</v>
      </c>
      <c r="T828" s="48">
        <f>IF(Учет!$O828=Справочники!$F$5,Учет!$H828,0)</f>
        <v>0</v>
      </c>
      <c r="U828" s="48">
        <f>IF(Учет!$O828=Справочники!$F$6,Учет!$H828,0)</f>
        <v>0</v>
      </c>
      <c r="V828" s="43">
        <f>V827+Учет!Q828-Q828</f>
        <v>-488978.92000000004</v>
      </c>
      <c r="W828" s="43">
        <f>W827+Учет!R828-R828</f>
        <v>336855</v>
      </c>
      <c r="X828" s="43">
        <f>X827+Учет!S828-S828</f>
        <v>500</v>
      </c>
      <c r="Y828" s="43">
        <f>Y827+Учет!T828-T828</f>
        <v>1150</v>
      </c>
      <c r="Z828" s="43">
        <f>Z827+Учет!U828-U828</f>
        <v>500000</v>
      </c>
      <c r="AA828" s="45">
        <f>Учет!X828</f>
        <v>500</v>
      </c>
    </row>
    <row r="829" spans="1:27" ht="15" customHeight="1" x14ac:dyDescent="0.25">
      <c r="A829" s="1"/>
      <c r="B829" s="17"/>
      <c r="C829" s="17"/>
      <c r="D829" s="17"/>
      <c r="E829" s="17"/>
      <c r="F829" s="17"/>
      <c r="G829" s="4">
        <f t="shared" si="33"/>
        <v>0</v>
      </c>
      <c r="H829" s="17"/>
      <c r="I829" s="4">
        <f t="shared" si="35"/>
        <v>349526.07999999996</v>
      </c>
      <c r="J829" s="32" t="str">
        <f t="shared" si="34"/>
        <v/>
      </c>
      <c r="K829" s="72"/>
      <c r="L829" s="72"/>
      <c r="M829" s="2"/>
      <c r="N829" s="5"/>
      <c r="O829" s="3"/>
      <c r="P829" s="6"/>
      <c r="Q829" s="48">
        <f>IF(Учет!$O829=Справочники!$F$2,Учет!$H829,0)</f>
        <v>0</v>
      </c>
      <c r="R829" s="48">
        <f>IF(Учет!$O829=Справочники!$F$3,Учет!$H829,0)</f>
        <v>0</v>
      </c>
      <c r="S829" s="48">
        <f>IF(Учет!$O829=Справочники!$F$4,Учет!$H829,0)</f>
        <v>0</v>
      </c>
      <c r="T829" s="48">
        <f>IF(Учет!$O829=Справочники!$F$5,Учет!$H829,0)</f>
        <v>0</v>
      </c>
      <c r="U829" s="48">
        <f>IF(Учет!$O829=Справочники!$F$6,Учет!$H829,0)</f>
        <v>0</v>
      </c>
      <c r="V829" s="43">
        <f>V828+Учет!Q829-Q829</f>
        <v>-488978.92000000004</v>
      </c>
      <c r="W829" s="43">
        <f>W828+Учет!R829-R829</f>
        <v>336855</v>
      </c>
      <c r="X829" s="43">
        <f>X828+Учет!S829-S829</f>
        <v>500</v>
      </c>
      <c r="Y829" s="43">
        <f>Y828+Учет!T829-T829</f>
        <v>1150</v>
      </c>
      <c r="Z829" s="43">
        <f>Z828+Учет!U829-U829</f>
        <v>500000</v>
      </c>
      <c r="AA829" s="45">
        <f>Учет!X829</f>
        <v>500</v>
      </c>
    </row>
    <row r="830" spans="1:27" ht="15" customHeight="1" x14ac:dyDescent="0.25">
      <c r="A830" s="1"/>
      <c r="B830" s="17"/>
      <c r="C830" s="17"/>
      <c r="D830" s="17"/>
      <c r="E830" s="17"/>
      <c r="F830" s="17"/>
      <c r="G830" s="4">
        <f t="shared" si="33"/>
        <v>0</v>
      </c>
      <c r="H830" s="17"/>
      <c r="I830" s="4">
        <f t="shared" si="35"/>
        <v>349526.07999999996</v>
      </c>
      <c r="J830" s="32" t="str">
        <f t="shared" si="34"/>
        <v/>
      </c>
      <c r="K830" s="72"/>
      <c r="L830" s="72"/>
      <c r="M830" s="2"/>
      <c r="N830" s="5"/>
      <c r="O830" s="3"/>
      <c r="P830" s="6"/>
      <c r="Q830" s="48">
        <f>IF(Учет!$O830=Справочники!$F$2,Учет!$H830,0)</f>
        <v>0</v>
      </c>
      <c r="R830" s="48">
        <f>IF(Учет!$O830=Справочники!$F$3,Учет!$H830,0)</f>
        <v>0</v>
      </c>
      <c r="S830" s="48">
        <f>IF(Учет!$O830=Справочники!$F$4,Учет!$H830,0)</f>
        <v>0</v>
      </c>
      <c r="T830" s="48">
        <f>IF(Учет!$O830=Справочники!$F$5,Учет!$H830,0)</f>
        <v>0</v>
      </c>
      <c r="U830" s="48">
        <f>IF(Учет!$O830=Справочники!$F$6,Учет!$H830,0)</f>
        <v>0</v>
      </c>
      <c r="V830" s="43">
        <f>V829+Учет!Q830-Q830</f>
        <v>-488978.92000000004</v>
      </c>
      <c r="W830" s="43">
        <f>W829+Учет!R830-R830</f>
        <v>336855</v>
      </c>
      <c r="X830" s="43">
        <f>X829+Учет!S830-S830</f>
        <v>500</v>
      </c>
      <c r="Y830" s="43">
        <f>Y829+Учет!T830-T830</f>
        <v>1150</v>
      </c>
      <c r="Z830" s="43">
        <f>Z829+Учет!U830-U830</f>
        <v>500000</v>
      </c>
      <c r="AA830" s="45">
        <f>Учет!X830</f>
        <v>500</v>
      </c>
    </row>
    <row r="831" spans="1:27" ht="15" customHeight="1" x14ac:dyDescent="0.25">
      <c r="A831" s="1"/>
      <c r="B831" s="17"/>
      <c r="C831" s="17"/>
      <c r="D831" s="17"/>
      <c r="E831" s="17"/>
      <c r="F831" s="17"/>
      <c r="G831" s="4">
        <f t="shared" si="33"/>
        <v>0</v>
      </c>
      <c r="H831" s="17"/>
      <c r="I831" s="4">
        <f t="shared" si="35"/>
        <v>349526.07999999996</v>
      </c>
      <c r="J831" s="32" t="str">
        <f t="shared" si="34"/>
        <v/>
      </c>
      <c r="K831" s="72"/>
      <c r="L831" s="72"/>
      <c r="M831" s="2"/>
      <c r="N831" s="5"/>
      <c r="O831" s="3"/>
      <c r="P831" s="6"/>
      <c r="Q831" s="48">
        <f>IF(Учет!$O831=Справочники!$F$2,Учет!$H831,0)</f>
        <v>0</v>
      </c>
      <c r="R831" s="48">
        <f>IF(Учет!$O831=Справочники!$F$3,Учет!$H831,0)</f>
        <v>0</v>
      </c>
      <c r="S831" s="48">
        <f>IF(Учет!$O831=Справочники!$F$4,Учет!$H831,0)</f>
        <v>0</v>
      </c>
      <c r="T831" s="48">
        <f>IF(Учет!$O831=Справочники!$F$5,Учет!$H831,0)</f>
        <v>0</v>
      </c>
      <c r="U831" s="48">
        <f>IF(Учет!$O831=Справочники!$F$6,Учет!$H831,0)</f>
        <v>0</v>
      </c>
      <c r="V831" s="43">
        <f>V830+Учет!Q831-Q831</f>
        <v>-488978.92000000004</v>
      </c>
      <c r="W831" s="43">
        <f>W830+Учет!R831-R831</f>
        <v>336855</v>
      </c>
      <c r="X831" s="43">
        <f>X830+Учет!S831-S831</f>
        <v>500</v>
      </c>
      <c r="Y831" s="43">
        <f>Y830+Учет!T831-T831</f>
        <v>1150</v>
      </c>
      <c r="Z831" s="43">
        <f>Z830+Учет!U831-U831</f>
        <v>500000</v>
      </c>
      <c r="AA831" s="45">
        <f>Учет!X831</f>
        <v>500</v>
      </c>
    </row>
    <row r="832" spans="1:27" ht="15" customHeight="1" x14ac:dyDescent="0.25">
      <c r="A832" s="1"/>
      <c r="B832" s="17"/>
      <c r="C832" s="17"/>
      <c r="D832" s="17"/>
      <c r="E832" s="17"/>
      <c r="F832" s="17"/>
      <c r="G832" s="4">
        <f t="shared" si="33"/>
        <v>0</v>
      </c>
      <c r="H832" s="17"/>
      <c r="I832" s="4">
        <f t="shared" si="35"/>
        <v>349526.07999999996</v>
      </c>
      <c r="J832" s="32" t="str">
        <f t="shared" si="34"/>
        <v/>
      </c>
      <c r="K832" s="72"/>
      <c r="L832" s="72"/>
      <c r="M832" s="2"/>
      <c r="N832" s="5"/>
      <c r="O832" s="3"/>
      <c r="P832" s="6"/>
      <c r="Q832" s="48">
        <f>IF(Учет!$O832=Справочники!$F$2,Учет!$H832,0)</f>
        <v>0</v>
      </c>
      <c r="R832" s="48">
        <f>IF(Учет!$O832=Справочники!$F$3,Учет!$H832,0)</f>
        <v>0</v>
      </c>
      <c r="S832" s="48">
        <f>IF(Учет!$O832=Справочники!$F$4,Учет!$H832,0)</f>
        <v>0</v>
      </c>
      <c r="T832" s="48">
        <f>IF(Учет!$O832=Справочники!$F$5,Учет!$H832,0)</f>
        <v>0</v>
      </c>
      <c r="U832" s="48">
        <f>IF(Учет!$O832=Справочники!$F$6,Учет!$H832,0)</f>
        <v>0</v>
      </c>
      <c r="V832" s="43">
        <f>V831+Учет!Q832-Q832</f>
        <v>-488978.92000000004</v>
      </c>
      <c r="W832" s="43">
        <f>W831+Учет!R832-R832</f>
        <v>336855</v>
      </c>
      <c r="X832" s="43">
        <f>X831+Учет!S832-S832</f>
        <v>500</v>
      </c>
      <c r="Y832" s="43">
        <f>Y831+Учет!T832-T832</f>
        <v>1150</v>
      </c>
      <c r="Z832" s="43">
        <f>Z831+Учет!U832-U832</f>
        <v>500000</v>
      </c>
      <c r="AA832" s="45">
        <f>Учет!X832</f>
        <v>500</v>
      </c>
    </row>
    <row r="833" spans="1:27" ht="15" customHeight="1" x14ac:dyDescent="0.25">
      <c r="A833" s="1"/>
      <c r="B833" s="17"/>
      <c r="C833" s="17"/>
      <c r="D833" s="17"/>
      <c r="E833" s="17"/>
      <c r="F833" s="17"/>
      <c r="G833" s="4">
        <f t="shared" si="33"/>
        <v>0</v>
      </c>
      <c r="H833" s="17"/>
      <c r="I833" s="4">
        <f t="shared" si="35"/>
        <v>349526.07999999996</v>
      </c>
      <c r="J833" s="32" t="str">
        <f t="shared" si="34"/>
        <v/>
      </c>
      <c r="K833" s="72"/>
      <c r="L833" s="72"/>
      <c r="M833" s="2"/>
      <c r="N833" s="5"/>
      <c r="O833" s="3"/>
      <c r="P833" s="6"/>
      <c r="Q833" s="48">
        <f>IF(Учет!$O833=Справочники!$F$2,Учет!$H833,0)</f>
        <v>0</v>
      </c>
      <c r="R833" s="48">
        <f>IF(Учет!$O833=Справочники!$F$3,Учет!$H833,0)</f>
        <v>0</v>
      </c>
      <c r="S833" s="48">
        <f>IF(Учет!$O833=Справочники!$F$4,Учет!$H833,0)</f>
        <v>0</v>
      </c>
      <c r="T833" s="48">
        <f>IF(Учет!$O833=Справочники!$F$5,Учет!$H833,0)</f>
        <v>0</v>
      </c>
      <c r="U833" s="48">
        <f>IF(Учет!$O833=Справочники!$F$6,Учет!$H833,0)</f>
        <v>0</v>
      </c>
      <c r="V833" s="43">
        <f>V832+Учет!Q833-Q833</f>
        <v>-488978.92000000004</v>
      </c>
      <c r="W833" s="43">
        <f>W832+Учет!R833-R833</f>
        <v>336855</v>
      </c>
      <c r="X833" s="43">
        <f>X832+Учет!S833-S833</f>
        <v>500</v>
      </c>
      <c r="Y833" s="43">
        <f>Y832+Учет!T833-T833</f>
        <v>1150</v>
      </c>
      <c r="Z833" s="43">
        <f>Z832+Учет!U833-U833</f>
        <v>500000</v>
      </c>
      <c r="AA833" s="45">
        <f>Учет!X833</f>
        <v>500</v>
      </c>
    </row>
    <row r="834" spans="1:27" ht="15" customHeight="1" x14ac:dyDescent="0.25">
      <c r="A834" s="1"/>
      <c r="B834" s="17"/>
      <c r="C834" s="17"/>
      <c r="D834" s="17"/>
      <c r="E834" s="17"/>
      <c r="F834" s="17"/>
      <c r="G834" s="4">
        <f t="shared" ref="G834:G897" si="36">SUM($B834:$F834)</f>
        <v>0</v>
      </c>
      <c r="H834" s="17"/>
      <c r="I834" s="4">
        <f t="shared" si="35"/>
        <v>349526.07999999996</v>
      </c>
      <c r="J834" s="32" t="str">
        <f t="shared" ref="J834:J897" si="37">IF($A835&lt;&gt;$A834,$I834,"")</f>
        <v/>
      </c>
      <c r="K834" s="72"/>
      <c r="L834" s="72"/>
      <c r="M834" s="2"/>
      <c r="N834" s="5"/>
      <c r="O834" s="3"/>
      <c r="P834" s="6"/>
      <c r="Q834" s="48">
        <f>IF(Учет!$O834=Справочники!$F$2,Учет!$H834,0)</f>
        <v>0</v>
      </c>
      <c r="R834" s="48">
        <f>IF(Учет!$O834=Справочники!$F$3,Учет!$H834,0)</f>
        <v>0</v>
      </c>
      <c r="S834" s="48">
        <f>IF(Учет!$O834=Справочники!$F$4,Учет!$H834,0)</f>
        <v>0</v>
      </c>
      <c r="T834" s="48">
        <f>IF(Учет!$O834=Справочники!$F$5,Учет!$H834,0)</f>
        <v>0</v>
      </c>
      <c r="U834" s="48">
        <f>IF(Учет!$O834=Справочники!$F$6,Учет!$H834,0)</f>
        <v>0</v>
      </c>
      <c r="V834" s="43">
        <f>V833+Учет!Q834-Q834</f>
        <v>-488978.92000000004</v>
      </c>
      <c r="W834" s="43">
        <f>W833+Учет!R834-R834</f>
        <v>336855</v>
      </c>
      <c r="X834" s="43">
        <f>X833+Учет!S834-S834</f>
        <v>500</v>
      </c>
      <c r="Y834" s="43">
        <f>Y833+Учет!T834-T834</f>
        <v>1150</v>
      </c>
      <c r="Z834" s="43">
        <f>Z833+Учет!U834-U834</f>
        <v>500000</v>
      </c>
      <c r="AA834" s="45">
        <f>Учет!X834</f>
        <v>500</v>
      </c>
    </row>
    <row r="835" spans="1:27" ht="15" customHeight="1" x14ac:dyDescent="0.25">
      <c r="A835" s="1"/>
      <c r="B835" s="17"/>
      <c r="C835" s="17"/>
      <c r="D835" s="17"/>
      <c r="E835" s="17"/>
      <c r="F835" s="17"/>
      <c r="G835" s="4">
        <f t="shared" si="36"/>
        <v>0</v>
      </c>
      <c r="H835" s="17"/>
      <c r="I835" s="4">
        <f t="shared" ref="I835:I898" si="38">$I834+$G835-$H835</f>
        <v>349526.07999999996</v>
      </c>
      <c r="J835" s="32" t="str">
        <f t="shared" si="37"/>
        <v/>
      </c>
      <c r="K835" s="72"/>
      <c r="L835" s="72"/>
      <c r="M835" s="2"/>
      <c r="N835" s="5"/>
      <c r="O835" s="3"/>
      <c r="P835" s="6"/>
      <c r="Q835" s="48">
        <f>IF(Учет!$O835=Справочники!$F$2,Учет!$H835,0)</f>
        <v>0</v>
      </c>
      <c r="R835" s="48">
        <f>IF(Учет!$O835=Справочники!$F$3,Учет!$H835,0)</f>
        <v>0</v>
      </c>
      <c r="S835" s="48">
        <f>IF(Учет!$O835=Справочники!$F$4,Учет!$H835,0)</f>
        <v>0</v>
      </c>
      <c r="T835" s="48">
        <f>IF(Учет!$O835=Справочники!$F$5,Учет!$H835,0)</f>
        <v>0</v>
      </c>
      <c r="U835" s="48">
        <f>IF(Учет!$O835=Справочники!$F$6,Учет!$H835,0)</f>
        <v>0</v>
      </c>
      <c r="V835" s="43">
        <f>V834+Учет!Q835-Q835</f>
        <v>-488978.92000000004</v>
      </c>
      <c r="W835" s="43">
        <f>W834+Учет!R835-R835</f>
        <v>336855</v>
      </c>
      <c r="X835" s="43">
        <f>X834+Учет!S835-S835</f>
        <v>500</v>
      </c>
      <c r="Y835" s="43">
        <f>Y834+Учет!T835-T835</f>
        <v>1150</v>
      </c>
      <c r="Z835" s="43">
        <f>Z834+Учет!U835-U835</f>
        <v>500000</v>
      </c>
      <c r="AA835" s="45">
        <f>Учет!X835</f>
        <v>500</v>
      </c>
    </row>
    <row r="836" spans="1:27" ht="15" customHeight="1" x14ac:dyDescent="0.25">
      <c r="A836" s="1"/>
      <c r="B836" s="17"/>
      <c r="C836" s="17"/>
      <c r="D836" s="17"/>
      <c r="E836" s="17"/>
      <c r="F836" s="17"/>
      <c r="G836" s="4">
        <f t="shared" si="36"/>
        <v>0</v>
      </c>
      <c r="H836" s="17"/>
      <c r="I836" s="4">
        <f t="shared" si="38"/>
        <v>349526.07999999996</v>
      </c>
      <c r="J836" s="32" t="str">
        <f t="shared" si="37"/>
        <v/>
      </c>
      <c r="K836" s="72"/>
      <c r="L836" s="72"/>
      <c r="M836" s="2"/>
      <c r="N836" s="5"/>
      <c r="O836" s="3"/>
      <c r="P836" s="6"/>
      <c r="Q836" s="48">
        <f>IF(Учет!$O836=Справочники!$F$2,Учет!$H836,0)</f>
        <v>0</v>
      </c>
      <c r="R836" s="48">
        <f>IF(Учет!$O836=Справочники!$F$3,Учет!$H836,0)</f>
        <v>0</v>
      </c>
      <c r="S836" s="48">
        <f>IF(Учет!$O836=Справочники!$F$4,Учет!$H836,0)</f>
        <v>0</v>
      </c>
      <c r="T836" s="48">
        <f>IF(Учет!$O836=Справочники!$F$5,Учет!$H836,0)</f>
        <v>0</v>
      </c>
      <c r="U836" s="48">
        <f>IF(Учет!$O836=Справочники!$F$6,Учет!$H836,0)</f>
        <v>0</v>
      </c>
      <c r="V836" s="43">
        <f>V835+Учет!Q836-Q836</f>
        <v>-488978.92000000004</v>
      </c>
      <c r="W836" s="43">
        <f>W835+Учет!R836-R836</f>
        <v>336855</v>
      </c>
      <c r="X836" s="43">
        <f>X835+Учет!S836-S836</f>
        <v>500</v>
      </c>
      <c r="Y836" s="43">
        <f>Y835+Учет!T836-T836</f>
        <v>1150</v>
      </c>
      <c r="Z836" s="43">
        <f>Z835+Учет!U836-U836</f>
        <v>500000</v>
      </c>
      <c r="AA836" s="45">
        <f>Учет!X836</f>
        <v>500</v>
      </c>
    </row>
    <row r="837" spans="1:27" ht="15" customHeight="1" x14ac:dyDescent="0.25">
      <c r="A837" s="1"/>
      <c r="B837" s="17"/>
      <c r="C837" s="17"/>
      <c r="D837" s="17"/>
      <c r="E837" s="17"/>
      <c r="F837" s="17"/>
      <c r="G837" s="4">
        <f t="shared" si="36"/>
        <v>0</v>
      </c>
      <c r="H837" s="17"/>
      <c r="I837" s="4">
        <f t="shared" si="38"/>
        <v>349526.07999999996</v>
      </c>
      <c r="J837" s="32" t="str">
        <f t="shared" si="37"/>
        <v/>
      </c>
      <c r="K837" s="72"/>
      <c r="L837" s="72"/>
      <c r="M837" s="2"/>
      <c r="N837" s="5"/>
      <c r="O837" s="3"/>
      <c r="P837" s="6"/>
      <c r="Q837" s="48">
        <f>IF(Учет!$O837=Справочники!$F$2,Учет!$H837,0)</f>
        <v>0</v>
      </c>
      <c r="R837" s="48">
        <f>IF(Учет!$O837=Справочники!$F$3,Учет!$H837,0)</f>
        <v>0</v>
      </c>
      <c r="S837" s="48">
        <f>IF(Учет!$O837=Справочники!$F$4,Учет!$H837,0)</f>
        <v>0</v>
      </c>
      <c r="T837" s="48">
        <f>IF(Учет!$O837=Справочники!$F$5,Учет!$H837,0)</f>
        <v>0</v>
      </c>
      <c r="U837" s="48">
        <f>IF(Учет!$O837=Справочники!$F$6,Учет!$H837,0)</f>
        <v>0</v>
      </c>
      <c r="V837" s="43">
        <f>V836+Учет!Q837-Q837</f>
        <v>-488978.92000000004</v>
      </c>
      <c r="W837" s="43">
        <f>W836+Учет!R837-R837</f>
        <v>336855</v>
      </c>
      <c r="X837" s="43">
        <f>X836+Учет!S837-S837</f>
        <v>500</v>
      </c>
      <c r="Y837" s="43">
        <f>Y836+Учет!T837-T837</f>
        <v>1150</v>
      </c>
      <c r="Z837" s="43">
        <f>Z836+Учет!U837-U837</f>
        <v>500000</v>
      </c>
      <c r="AA837" s="45">
        <f>Учет!X837</f>
        <v>500</v>
      </c>
    </row>
    <row r="838" spans="1:27" ht="15" customHeight="1" x14ac:dyDescent="0.25">
      <c r="A838" s="1"/>
      <c r="B838" s="17"/>
      <c r="C838" s="17"/>
      <c r="D838" s="17"/>
      <c r="E838" s="17"/>
      <c r="F838" s="17"/>
      <c r="G838" s="4">
        <f t="shared" si="36"/>
        <v>0</v>
      </c>
      <c r="H838" s="17"/>
      <c r="I838" s="4">
        <f t="shared" si="38"/>
        <v>349526.07999999996</v>
      </c>
      <c r="J838" s="32" t="str">
        <f t="shared" si="37"/>
        <v/>
      </c>
      <c r="K838" s="72"/>
      <c r="L838" s="72"/>
      <c r="M838" s="2"/>
      <c r="N838" s="5"/>
      <c r="O838" s="3"/>
      <c r="P838" s="6"/>
      <c r="Q838" s="48">
        <f>IF(Учет!$O838=Справочники!$F$2,Учет!$H838,0)</f>
        <v>0</v>
      </c>
      <c r="R838" s="48">
        <f>IF(Учет!$O838=Справочники!$F$3,Учет!$H838,0)</f>
        <v>0</v>
      </c>
      <c r="S838" s="48">
        <f>IF(Учет!$O838=Справочники!$F$4,Учет!$H838,0)</f>
        <v>0</v>
      </c>
      <c r="T838" s="48">
        <f>IF(Учет!$O838=Справочники!$F$5,Учет!$H838,0)</f>
        <v>0</v>
      </c>
      <c r="U838" s="48">
        <f>IF(Учет!$O838=Справочники!$F$6,Учет!$H838,0)</f>
        <v>0</v>
      </c>
      <c r="V838" s="43">
        <f>V837+Учет!Q838-Q838</f>
        <v>-488978.92000000004</v>
      </c>
      <c r="W838" s="43">
        <f>W837+Учет!R838-R838</f>
        <v>336855</v>
      </c>
      <c r="X838" s="43">
        <f>X837+Учет!S838-S838</f>
        <v>500</v>
      </c>
      <c r="Y838" s="43">
        <f>Y837+Учет!T838-T838</f>
        <v>1150</v>
      </c>
      <c r="Z838" s="43">
        <f>Z837+Учет!U838-U838</f>
        <v>500000</v>
      </c>
      <c r="AA838" s="45">
        <f>Учет!X838</f>
        <v>500</v>
      </c>
    </row>
    <row r="839" spans="1:27" ht="15" customHeight="1" x14ac:dyDescent="0.25">
      <c r="A839" s="1"/>
      <c r="B839" s="17"/>
      <c r="C839" s="17"/>
      <c r="D839" s="17"/>
      <c r="E839" s="17"/>
      <c r="F839" s="17"/>
      <c r="G839" s="4">
        <f t="shared" si="36"/>
        <v>0</v>
      </c>
      <c r="H839" s="17"/>
      <c r="I839" s="4">
        <f t="shared" si="38"/>
        <v>349526.07999999996</v>
      </c>
      <c r="J839" s="32" t="str">
        <f t="shared" si="37"/>
        <v/>
      </c>
      <c r="K839" s="72"/>
      <c r="L839" s="72"/>
      <c r="M839" s="2"/>
      <c r="N839" s="5"/>
      <c r="O839" s="3"/>
      <c r="P839" s="6"/>
      <c r="Q839" s="48">
        <f>IF(Учет!$O839=Справочники!$F$2,Учет!$H839,0)</f>
        <v>0</v>
      </c>
      <c r="R839" s="48">
        <f>IF(Учет!$O839=Справочники!$F$3,Учет!$H839,0)</f>
        <v>0</v>
      </c>
      <c r="S839" s="48">
        <f>IF(Учет!$O839=Справочники!$F$4,Учет!$H839,0)</f>
        <v>0</v>
      </c>
      <c r="T839" s="48">
        <f>IF(Учет!$O839=Справочники!$F$5,Учет!$H839,0)</f>
        <v>0</v>
      </c>
      <c r="U839" s="48">
        <f>IF(Учет!$O839=Справочники!$F$6,Учет!$H839,0)</f>
        <v>0</v>
      </c>
      <c r="V839" s="43">
        <f>V838+Учет!Q839-Q839</f>
        <v>-488978.92000000004</v>
      </c>
      <c r="W839" s="43">
        <f>W838+Учет!R839-R839</f>
        <v>336855</v>
      </c>
      <c r="X839" s="43">
        <f>X838+Учет!S839-S839</f>
        <v>500</v>
      </c>
      <c r="Y839" s="43">
        <f>Y838+Учет!T839-T839</f>
        <v>1150</v>
      </c>
      <c r="Z839" s="43">
        <f>Z838+Учет!U839-U839</f>
        <v>500000</v>
      </c>
      <c r="AA839" s="45">
        <f>Учет!X839</f>
        <v>500</v>
      </c>
    </row>
    <row r="840" spans="1:27" ht="15" customHeight="1" x14ac:dyDescent="0.25">
      <c r="A840" s="1"/>
      <c r="B840" s="17"/>
      <c r="C840" s="17"/>
      <c r="D840" s="17"/>
      <c r="E840" s="17"/>
      <c r="F840" s="17"/>
      <c r="G840" s="4">
        <f t="shared" si="36"/>
        <v>0</v>
      </c>
      <c r="H840" s="17"/>
      <c r="I840" s="4">
        <f t="shared" si="38"/>
        <v>349526.07999999996</v>
      </c>
      <c r="J840" s="32" t="str">
        <f t="shared" si="37"/>
        <v/>
      </c>
      <c r="K840" s="72"/>
      <c r="L840" s="72"/>
      <c r="M840" s="2"/>
      <c r="N840" s="5"/>
      <c r="O840" s="3"/>
      <c r="P840" s="6"/>
      <c r="Q840" s="48">
        <f>IF(Учет!$O840=Справочники!$F$2,Учет!$H840,0)</f>
        <v>0</v>
      </c>
      <c r="R840" s="48">
        <f>IF(Учет!$O840=Справочники!$F$3,Учет!$H840,0)</f>
        <v>0</v>
      </c>
      <c r="S840" s="48">
        <f>IF(Учет!$O840=Справочники!$F$4,Учет!$H840,0)</f>
        <v>0</v>
      </c>
      <c r="T840" s="48">
        <f>IF(Учет!$O840=Справочники!$F$5,Учет!$H840,0)</f>
        <v>0</v>
      </c>
      <c r="U840" s="48">
        <f>IF(Учет!$O840=Справочники!$F$6,Учет!$H840,0)</f>
        <v>0</v>
      </c>
      <c r="V840" s="43">
        <f>V839+Учет!Q840-Q840</f>
        <v>-488978.92000000004</v>
      </c>
      <c r="W840" s="43">
        <f>W839+Учет!R840-R840</f>
        <v>336855</v>
      </c>
      <c r="X840" s="43">
        <f>X839+Учет!S840-S840</f>
        <v>500</v>
      </c>
      <c r="Y840" s="43">
        <f>Y839+Учет!T840-T840</f>
        <v>1150</v>
      </c>
      <c r="Z840" s="43">
        <f>Z839+Учет!U840-U840</f>
        <v>500000</v>
      </c>
      <c r="AA840" s="45">
        <f>Учет!X840</f>
        <v>500</v>
      </c>
    </row>
    <row r="841" spans="1:27" ht="15" customHeight="1" x14ac:dyDescent="0.25">
      <c r="A841" s="1"/>
      <c r="B841" s="17"/>
      <c r="C841" s="17"/>
      <c r="D841" s="17"/>
      <c r="E841" s="17"/>
      <c r="F841" s="17"/>
      <c r="G841" s="4">
        <f t="shared" si="36"/>
        <v>0</v>
      </c>
      <c r="H841" s="17"/>
      <c r="I841" s="4">
        <f t="shared" si="38"/>
        <v>349526.07999999996</v>
      </c>
      <c r="J841" s="32" t="str">
        <f t="shared" si="37"/>
        <v/>
      </c>
      <c r="K841" s="72"/>
      <c r="L841" s="72"/>
      <c r="M841" s="2"/>
      <c r="N841" s="5"/>
      <c r="O841" s="3"/>
      <c r="P841" s="6"/>
      <c r="Q841" s="48">
        <f>IF(Учет!$O841=Справочники!$F$2,Учет!$H841,0)</f>
        <v>0</v>
      </c>
      <c r="R841" s="48">
        <f>IF(Учет!$O841=Справочники!$F$3,Учет!$H841,0)</f>
        <v>0</v>
      </c>
      <c r="S841" s="48">
        <f>IF(Учет!$O841=Справочники!$F$4,Учет!$H841,0)</f>
        <v>0</v>
      </c>
      <c r="T841" s="48">
        <f>IF(Учет!$O841=Справочники!$F$5,Учет!$H841,0)</f>
        <v>0</v>
      </c>
      <c r="U841" s="48">
        <f>IF(Учет!$O841=Справочники!$F$6,Учет!$H841,0)</f>
        <v>0</v>
      </c>
      <c r="V841" s="43">
        <f>V840+Учет!Q841-Q841</f>
        <v>-488978.92000000004</v>
      </c>
      <c r="W841" s="43">
        <f>W840+Учет!R841-R841</f>
        <v>336855</v>
      </c>
      <c r="X841" s="43">
        <f>X840+Учет!S841-S841</f>
        <v>500</v>
      </c>
      <c r="Y841" s="43">
        <f>Y840+Учет!T841-T841</f>
        <v>1150</v>
      </c>
      <c r="Z841" s="43">
        <f>Z840+Учет!U841-U841</f>
        <v>500000</v>
      </c>
      <c r="AA841" s="45">
        <f>Учет!X841</f>
        <v>500</v>
      </c>
    </row>
    <row r="842" spans="1:27" ht="15" customHeight="1" x14ac:dyDescent="0.25">
      <c r="A842" s="1"/>
      <c r="B842" s="17"/>
      <c r="C842" s="17"/>
      <c r="D842" s="17"/>
      <c r="E842" s="17"/>
      <c r="F842" s="17"/>
      <c r="G842" s="4">
        <f t="shared" si="36"/>
        <v>0</v>
      </c>
      <c r="H842" s="17"/>
      <c r="I842" s="4">
        <f t="shared" si="38"/>
        <v>349526.07999999996</v>
      </c>
      <c r="J842" s="32" t="str">
        <f t="shared" si="37"/>
        <v/>
      </c>
      <c r="K842" s="72"/>
      <c r="L842" s="72"/>
      <c r="M842" s="2"/>
      <c r="N842" s="5"/>
      <c r="O842" s="3"/>
      <c r="P842" s="6"/>
      <c r="Q842" s="48">
        <f>IF(Учет!$O842=Справочники!$F$2,Учет!$H842,0)</f>
        <v>0</v>
      </c>
      <c r="R842" s="48">
        <f>IF(Учет!$O842=Справочники!$F$3,Учет!$H842,0)</f>
        <v>0</v>
      </c>
      <c r="S842" s="48">
        <f>IF(Учет!$O842=Справочники!$F$4,Учет!$H842,0)</f>
        <v>0</v>
      </c>
      <c r="T842" s="48">
        <f>IF(Учет!$O842=Справочники!$F$5,Учет!$H842,0)</f>
        <v>0</v>
      </c>
      <c r="U842" s="48">
        <f>IF(Учет!$O842=Справочники!$F$6,Учет!$H842,0)</f>
        <v>0</v>
      </c>
      <c r="V842" s="43">
        <f>V841+Учет!Q842-Q842</f>
        <v>-488978.92000000004</v>
      </c>
      <c r="W842" s="43">
        <f>W841+Учет!R842-R842</f>
        <v>336855</v>
      </c>
      <c r="X842" s="43">
        <f>X841+Учет!S842-S842</f>
        <v>500</v>
      </c>
      <c r="Y842" s="43">
        <f>Y841+Учет!T842-T842</f>
        <v>1150</v>
      </c>
      <c r="Z842" s="43">
        <f>Z841+Учет!U842-U842</f>
        <v>500000</v>
      </c>
      <c r="AA842" s="45">
        <f>Учет!X842</f>
        <v>500</v>
      </c>
    </row>
    <row r="843" spans="1:27" ht="15" customHeight="1" x14ac:dyDescent="0.25">
      <c r="A843" s="1"/>
      <c r="B843" s="17"/>
      <c r="C843" s="17"/>
      <c r="D843" s="17"/>
      <c r="E843" s="17"/>
      <c r="F843" s="17"/>
      <c r="G843" s="4">
        <f t="shared" si="36"/>
        <v>0</v>
      </c>
      <c r="H843" s="17"/>
      <c r="I843" s="4">
        <f t="shared" si="38"/>
        <v>349526.07999999996</v>
      </c>
      <c r="J843" s="32" t="str">
        <f t="shared" si="37"/>
        <v/>
      </c>
      <c r="K843" s="72"/>
      <c r="L843" s="72"/>
      <c r="M843" s="2"/>
      <c r="N843" s="5"/>
      <c r="O843" s="3"/>
      <c r="P843" s="6"/>
      <c r="Q843" s="48">
        <f>IF(Учет!$O843=Справочники!$F$2,Учет!$H843,0)</f>
        <v>0</v>
      </c>
      <c r="R843" s="48">
        <f>IF(Учет!$O843=Справочники!$F$3,Учет!$H843,0)</f>
        <v>0</v>
      </c>
      <c r="S843" s="48">
        <f>IF(Учет!$O843=Справочники!$F$4,Учет!$H843,0)</f>
        <v>0</v>
      </c>
      <c r="T843" s="48">
        <f>IF(Учет!$O843=Справочники!$F$5,Учет!$H843,0)</f>
        <v>0</v>
      </c>
      <c r="U843" s="48">
        <f>IF(Учет!$O843=Справочники!$F$6,Учет!$H843,0)</f>
        <v>0</v>
      </c>
      <c r="V843" s="43">
        <f>V842+Учет!Q843-Q843</f>
        <v>-488978.92000000004</v>
      </c>
      <c r="W843" s="43">
        <f>W842+Учет!R843-R843</f>
        <v>336855</v>
      </c>
      <c r="X843" s="43">
        <f>X842+Учет!S843-S843</f>
        <v>500</v>
      </c>
      <c r="Y843" s="43">
        <f>Y842+Учет!T843-T843</f>
        <v>1150</v>
      </c>
      <c r="Z843" s="43">
        <f>Z842+Учет!U843-U843</f>
        <v>500000</v>
      </c>
      <c r="AA843" s="45">
        <f>Учет!X843</f>
        <v>500</v>
      </c>
    </row>
    <row r="844" spans="1:27" ht="15" customHeight="1" x14ac:dyDescent="0.25">
      <c r="A844" s="1"/>
      <c r="B844" s="17"/>
      <c r="C844" s="17"/>
      <c r="D844" s="17"/>
      <c r="E844" s="17"/>
      <c r="F844" s="17"/>
      <c r="G844" s="4">
        <f t="shared" si="36"/>
        <v>0</v>
      </c>
      <c r="H844" s="17"/>
      <c r="I844" s="4">
        <f t="shared" si="38"/>
        <v>349526.07999999996</v>
      </c>
      <c r="J844" s="32" t="str">
        <f t="shared" si="37"/>
        <v/>
      </c>
      <c r="K844" s="72"/>
      <c r="L844" s="72"/>
      <c r="M844" s="2"/>
      <c r="N844" s="5"/>
      <c r="O844" s="3"/>
      <c r="P844" s="6"/>
      <c r="Q844" s="48">
        <f>IF(Учет!$O844=Справочники!$F$2,Учет!$H844,0)</f>
        <v>0</v>
      </c>
      <c r="R844" s="48">
        <f>IF(Учет!$O844=Справочники!$F$3,Учет!$H844,0)</f>
        <v>0</v>
      </c>
      <c r="S844" s="48">
        <f>IF(Учет!$O844=Справочники!$F$4,Учет!$H844,0)</f>
        <v>0</v>
      </c>
      <c r="T844" s="48">
        <f>IF(Учет!$O844=Справочники!$F$5,Учет!$H844,0)</f>
        <v>0</v>
      </c>
      <c r="U844" s="48">
        <f>IF(Учет!$O844=Справочники!$F$6,Учет!$H844,0)</f>
        <v>0</v>
      </c>
      <c r="V844" s="43">
        <f>V843+Учет!Q844-Q844</f>
        <v>-488978.92000000004</v>
      </c>
      <c r="W844" s="43">
        <f>W843+Учет!R844-R844</f>
        <v>336855</v>
      </c>
      <c r="X844" s="43">
        <f>X843+Учет!S844-S844</f>
        <v>500</v>
      </c>
      <c r="Y844" s="43">
        <f>Y843+Учет!T844-T844</f>
        <v>1150</v>
      </c>
      <c r="Z844" s="43">
        <f>Z843+Учет!U844-U844</f>
        <v>500000</v>
      </c>
      <c r="AA844" s="45">
        <f>Учет!X844</f>
        <v>500</v>
      </c>
    </row>
    <row r="845" spans="1:27" ht="15" customHeight="1" x14ac:dyDescent="0.25">
      <c r="A845" s="1"/>
      <c r="B845" s="17"/>
      <c r="C845" s="17"/>
      <c r="D845" s="17"/>
      <c r="E845" s="17"/>
      <c r="F845" s="17"/>
      <c r="G845" s="4">
        <f t="shared" si="36"/>
        <v>0</v>
      </c>
      <c r="H845" s="17"/>
      <c r="I845" s="4">
        <f t="shared" si="38"/>
        <v>349526.07999999996</v>
      </c>
      <c r="J845" s="32" t="str">
        <f t="shared" si="37"/>
        <v/>
      </c>
      <c r="K845" s="72"/>
      <c r="L845" s="72"/>
      <c r="M845" s="2"/>
      <c r="N845" s="5"/>
      <c r="O845" s="3"/>
      <c r="P845" s="6"/>
      <c r="Q845" s="48">
        <f>IF(Учет!$O845=Справочники!$F$2,Учет!$H845,0)</f>
        <v>0</v>
      </c>
      <c r="R845" s="48">
        <f>IF(Учет!$O845=Справочники!$F$3,Учет!$H845,0)</f>
        <v>0</v>
      </c>
      <c r="S845" s="48">
        <f>IF(Учет!$O845=Справочники!$F$4,Учет!$H845,0)</f>
        <v>0</v>
      </c>
      <c r="T845" s="48">
        <f>IF(Учет!$O845=Справочники!$F$5,Учет!$H845,0)</f>
        <v>0</v>
      </c>
      <c r="U845" s="48">
        <f>IF(Учет!$O845=Справочники!$F$6,Учет!$H845,0)</f>
        <v>0</v>
      </c>
      <c r="V845" s="43">
        <f>V844+Учет!Q845-Q845</f>
        <v>-488978.92000000004</v>
      </c>
      <c r="W845" s="43">
        <f>W844+Учет!R845-R845</f>
        <v>336855</v>
      </c>
      <c r="X845" s="43">
        <f>X844+Учет!S845-S845</f>
        <v>500</v>
      </c>
      <c r="Y845" s="43">
        <f>Y844+Учет!T845-T845</f>
        <v>1150</v>
      </c>
      <c r="Z845" s="43">
        <f>Z844+Учет!U845-U845</f>
        <v>500000</v>
      </c>
      <c r="AA845" s="45">
        <f>Учет!X845</f>
        <v>500</v>
      </c>
    </row>
    <row r="846" spans="1:27" ht="15" customHeight="1" x14ac:dyDescent="0.25">
      <c r="A846" s="1"/>
      <c r="B846" s="17"/>
      <c r="C846" s="17"/>
      <c r="D846" s="17"/>
      <c r="E846" s="17"/>
      <c r="F846" s="17"/>
      <c r="G846" s="4">
        <f t="shared" si="36"/>
        <v>0</v>
      </c>
      <c r="H846" s="17"/>
      <c r="I846" s="4">
        <f t="shared" si="38"/>
        <v>349526.07999999996</v>
      </c>
      <c r="J846" s="32" t="str">
        <f t="shared" si="37"/>
        <v/>
      </c>
      <c r="K846" s="72"/>
      <c r="L846" s="72"/>
      <c r="M846" s="2"/>
      <c r="N846" s="5"/>
      <c r="O846" s="3"/>
      <c r="P846" s="6"/>
      <c r="Q846" s="48">
        <f>IF(Учет!$O846=Справочники!$F$2,Учет!$H846,0)</f>
        <v>0</v>
      </c>
      <c r="R846" s="48">
        <f>IF(Учет!$O846=Справочники!$F$3,Учет!$H846,0)</f>
        <v>0</v>
      </c>
      <c r="S846" s="48">
        <f>IF(Учет!$O846=Справочники!$F$4,Учет!$H846,0)</f>
        <v>0</v>
      </c>
      <c r="T846" s="48">
        <f>IF(Учет!$O846=Справочники!$F$5,Учет!$H846,0)</f>
        <v>0</v>
      </c>
      <c r="U846" s="48">
        <f>IF(Учет!$O846=Справочники!$F$6,Учет!$H846,0)</f>
        <v>0</v>
      </c>
      <c r="V846" s="43">
        <f>V845+Учет!Q846-Q846</f>
        <v>-488978.92000000004</v>
      </c>
      <c r="W846" s="43">
        <f>W845+Учет!R846-R846</f>
        <v>336855</v>
      </c>
      <c r="X846" s="43">
        <f>X845+Учет!S846-S846</f>
        <v>500</v>
      </c>
      <c r="Y846" s="43">
        <f>Y845+Учет!T846-T846</f>
        <v>1150</v>
      </c>
      <c r="Z846" s="43">
        <f>Z845+Учет!U846-U846</f>
        <v>500000</v>
      </c>
      <c r="AA846" s="45">
        <f>Учет!X846</f>
        <v>500</v>
      </c>
    </row>
    <row r="847" spans="1:27" ht="15" customHeight="1" x14ac:dyDescent="0.25">
      <c r="A847" s="1"/>
      <c r="B847" s="17"/>
      <c r="C847" s="17"/>
      <c r="D847" s="17"/>
      <c r="E847" s="17"/>
      <c r="F847" s="17"/>
      <c r="G847" s="4">
        <f t="shared" si="36"/>
        <v>0</v>
      </c>
      <c r="H847" s="17"/>
      <c r="I847" s="4">
        <f t="shared" si="38"/>
        <v>349526.07999999996</v>
      </c>
      <c r="J847" s="32" t="str">
        <f t="shared" si="37"/>
        <v/>
      </c>
      <c r="K847" s="72"/>
      <c r="L847" s="72"/>
      <c r="M847" s="2"/>
      <c r="N847" s="5"/>
      <c r="O847" s="3"/>
      <c r="P847" s="6"/>
      <c r="Q847" s="48">
        <f>IF(Учет!$O847=Справочники!$F$2,Учет!$H847,0)</f>
        <v>0</v>
      </c>
      <c r="R847" s="48">
        <f>IF(Учет!$O847=Справочники!$F$3,Учет!$H847,0)</f>
        <v>0</v>
      </c>
      <c r="S847" s="48">
        <f>IF(Учет!$O847=Справочники!$F$4,Учет!$H847,0)</f>
        <v>0</v>
      </c>
      <c r="T847" s="48">
        <f>IF(Учет!$O847=Справочники!$F$5,Учет!$H847,0)</f>
        <v>0</v>
      </c>
      <c r="U847" s="48">
        <f>IF(Учет!$O847=Справочники!$F$6,Учет!$H847,0)</f>
        <v>0</v>
      </c>
      <c r="V847" s="43">
        <f>V846+Учет!Q847-Q847</f>
        <v>-488978.92000000004</v>
      </c>
      <c r="W847" s="43">
        <f>W846+Учет!R847-R847</f>
        <v>336855</v>
      </c>
      <c r="X847" s="43">
        <f>X846+Учет!S847-S847</f>
        <v>500</v>
      </c>
      <c r="Y847" s="43">
        <f>Y846+Учет!T847-T847</f>
        <v>1150</v>
      </c>
      <c r="Z847" s="43">
        <f>Z846+Учет!U847-U847</f>
        <v>500000</v>
      </c>
      <c r="AA847" s="45">
        <f>Учет!X847</f>
        <v>500</v>
      </c>
    </row>
    <row r="848" spans="1:27" ht="15" customHeight="1" x14ac:dyDescent="0.25">
      <c r="A848" s="1"/>
      <c r="B848" s="17"/>
      <c r="C848" s="17"/>
      <c r="D848" s="17"/>
      <c r="E848" s="17"/>
      <c r="F848" s="17"/>
      <c r="G848" s="4">
        <f t="shared" si="36"/>
        <v>0</v>
      </c>
      <c r="H848" s="17"/>
      <c r="I848" s="4">
        <f t="shared" si="38"/>
        <v>349526.07999999996</v>
      </c>
      <c r="J848" s="32" t="str">
        <f t="shared" si="37"/>
        <v/>
      </c>
      <c r="K848" s="72"/>
      <c r="L848" s="72"/>
      <c r="M848" s="2"/>
      <c r="N848" s="5"/>
      <c r="O848" s="3"/>
      <c r="P848" s="6"/>
      <c r="Q848" s="48">
        <f>IF(Учет!$O848=Справочники!$F$2,Учет!$H848,0)</f>
        <v>0</v>
      </c>
      <c r="R848" s="48">
        <f>IF(Учет!$O848=Справочники!$F$3,Учет!$H848,0)</f>
        <v>0</v>
      </c>
      <c r="S848" s="48">
        <f>IF(Учет!$O848=Справочники!$F$4,Учет!$H848,0)</f>
        <v>0</v>
      </c>
      <c r="T848" s="48">
        <f>IF(Учет!$O848=Справочники!$F$5,Учет!$H848,0)</f>
        <v>0</v>
      </c>
      <c r="U848" s="48">
        <f>IF(Учет!$O848=Справочники!$F$6,Учет!$H848,0)</f>
        <v>0</v>
      </c>
      <c r="V848" s="43">
        <f>V847+Учет!Q848-Q848</f>
        <v>-488978.92000000004</v>
      </c>
      <c r="W848" s="43">
        <f>W847+Учет!R848-R848</f>
        <v>336855</v>
      </c>
      <c r="X848" s="43">
        <f>X847+Учет!S848-S848</f>
        <v>500</v>
      </c>
      <c r="Y848" s="43">
        <f>Y847+Учет!T848-T848</f>
        <v>1150</v>
      </c>
      <c r="Z848" s="43">
        <f>Z847+Учет!U848-U848</f>
        <v>500000</v>
      </c>
      <c r="AA848" s="45">
        <f>Учет!X848</f>
        <v>500</v>
      </c>
    </row>
    <row r="849" spans="1:27" ht="15" customHeight="1" x14ac:dyDescent="0.25">
      <c r="A849" s="1"/>
      <c r="B849" s="17"/>
      <c r="C849" s="17"/>
      <c r="D849" s="17"/>
      <c r="E849" s="17"/>
      <c r="F849" s="17"/>
      <c r="G849" s="4">
        <f t="shared" si="36"/>
        <v>0</v>
      </c>
      <c r="H849" s="17"/>
      <c r="I849" s="4">
        <f t="shared" si="38"/>
        <v>349526.07999999996</v>
      </c>
      <c r="J849" s="32" t="str">
        <f t="shared" si="37"/>
        <v/>
      </c>
      <c r="K849" s="72"/>
      <c r="L849" s="72"/>
      <c r="M849" s="2"/>
      <c r="N849" s="5"/>
      <c r="O849" s="3"/>
      <c r="P849" s="6"/>
      <c r="Q849" s="48">
        <f>IF(Учет!$O849=Справочники!$F$2,Учет!$H849,0)</f>
        <v>0</v>
      </c>
      <c r="R849" s="48">
        <f>IF(Учет!$O849=Справочники!$F$3,Учет!$H849,0)</f>
        <v>0</v>
      </c>
      <c r="S849" s="48">
        <f>IF(Учет!$O849=Справочники!$F$4,Учет!$H849,0)</f>
        <v>0</v>
      </c>
      <c r="T849" s="48">
        <f>IF(Учет!$O849=Справочники!$F$5,Учет!$H849,0)</f>
        <v>0</v>
      </c>
      <c r="U849" s="48">
        <f>IF(Учет!$O849=Справочники!$F$6,Учет!$H849,0)</f>
        <v>0</v>
      </c>
      <c r="V849" s="43">
        <f>V848+Учет!Q849-Q849</f>
        <v>-488978.92000000004</v>
      </c>
      <c r="W849" s="43">
        <f>W848+Учет!R849-R849</f>
        <v>336855</v>
      </c>
      <c r="X849" s="43">
        <f>X848+Учет!S849-S849</f>
        <v>500</v>
      </c>
      <c r="Y849" s="43">
        <f>Y848+Учет!T849-T849</f>
        <v>1150</v>
      </c>
      <c r="Z849" s="43">
        <f>Z848+Учет!U849-U849</f>
        <v>500000</v>
      </c>
      <c r="AA849" s="45">
        <f>Учет!X849</f>
        <v>500</v>
      </c>
    </row>
    <row r="850" spans="1:27" ht="15" customHeight="1" x14ac:dyDescent="0.25">
      <c r="A850" s="1"/>
      <c r="B850" s="17"/>
      <c r="C850" s="17"/>
      <c r="D850" s="17"/>
      <c r="E850" s="17"/>
      <c r="F850" s="17"/>
      <c r="G850" s="4">
        <f t="shared" si="36"/>
        <v>0</v>
      </c>
      <c r="H850" s="17"/>
      <c r="I850" s="4">
        <f t="shared" si="38"/>
        <v>349526.07999999996</v>
      </c>
      <c r="J850" s="32" t="str">
        <f t="shared" si="37"/>
        <v/>
      </c>
      <c r="K850" s="72"/>
      <c r="L850" s="72"/>
      <c r="M850" s="2"/>
      <c r="N850" s="5"/>
      <c r="O850" s="3"/>
      <c r="P850" s="6"/>
      <c r="Q850" s="48">
        <f>IF(Учет!$O850=Справочники!$F$2,Учет!$H850,0)</f>
        <v>0</v>
      </c>
      <c r="R850" s="48">
        <f>IF(Учет!$O850=Справочники!$F$3,Учет!$H850,0)</f>
        <v>0</v>
      </c>
      <c r="S850" s="48">
        <f>IF(Учет!$O850=Справочники!$F$4,Учет!$H850,0)</f>
        <v>0</v>
      </c>
      <c r="T850" s="48">
        <f>IF(Учет!$O850=Справочники!$F$5,Учет!$H850,0)</f>
        <v>0</v>
      </c>
      <c r="U850" s="48">
        <f>IF(Учет!$O850=Справочники!$F$6,Учет!$H850,0)</f>
        <v>0</v>
      </c>
      <c r="V850" s="43">
        <f>V849+Учет!Q850-Q850</f>
        <v>-488978.92000000004</v>
      </c>
      <c r="W850" s="43">
        <f>W849+Учет!R850-R850</f>
        <v>336855</v>
      </c>
      <c r="X850" s="43">
        <f>X849+Учет!S850-S850</f>
        <v>500</v>
      </c>
      <c r="Y850" s="43">
        <f>Y849+Учет!T850-T850</f>
        <v>1150</v>
      </c>
      <c r="Z850" s="43">
        <f>Z849+Учет!U850-U850</f>
        <v>500000</v>
      </c>
      <c r="AA850" s="45">
        <f>Учет!X850</f>
        <v>500</v>
      </c>
    </row>
    <row r="851" spans="1:27" ht="15" customHeight="1" x14ac:dyDescent="0.25">
      <c r="A851" s="1"/>
      <c r="B851" s="17"/>
      <c r="C851" s="17"/>
      <c r="D851" s="17"/>
      <c r="E851" s="17"/>
      <c r="F851" s="17"/>
      <c r="G851" s="4">
        <f t="shared" si="36"/>
        <v>0</v>
      </c>
      <c r="H851" s="17"/>
      <c r="I851" s="4">
        <f t="shared" si="38"/>
        <v>349526.07999999996</v>
      </c>
      <c r="J851" s="32" t="str">
        <f t="shared" si="37"/>
        <v/>
      </c>
      <c r="K851" s="72"/>
      <c r="L851" s="72"/>
      <c r="M851" s="2"/>
      <c r="N851" s="5"/>
      <c r="O851" s="3"/>
      <c r="P851" s="6"/>
      <c r="Q851" s="48">
        <f>IF(Учет!$O851=Справочники!$F$2,Учет!$H851,0)</f>
        <v>0</v>
      </c>
      <c r="R851" s="48">
        <f>IF(Учет!$O851=Справочники!$F$3,Учет!$H851,0)</f>
        <v>0</v>
      </c>
      <c r="S851" s="48">
        <f>IF(Учет!$O851=Справочники!$F$4,Учет!$H851,0)</f>
        <v>0</v>
      </c>
      <c r="T851" s="48">
        <f>IF(Учет!$O851=Справочники!$F$5,Учет!$H851,0)</f>
        <v>0</v>
      </c>
      <c r="U851" s="48">
        <f>IF(Учет!$O851=Справочники!$F$6,Учет!$H851,0)</f>
        <v>0</v>
      </c>
      <c r="V851" s="43">
        <f>V850+Учет!Q851-Q851</f>
        <v>-488978.92000000004</v>
      </c>
      <c r="W851" s="43">
        <f>W850+Учет!R851-R851</f>
        <v>336855</v>
      </c>
      <c r="X851" s="43">
        <f>X850+Учет!S851-S851</f>
        <v>500</v>
      </c>
      <c r="Y851" s="43">
        <f>Y850+Учет!T851-T851</f>
        <v>1150</v>
      </c>
      <c r="Z851" s="43">
        <f>Z850+Учет!U851-U851</f>
        <v>500000</v>
      </c>
      <c r="AA851" s="45">
        <f>Учет!X851</f>
        <v>500</v>
      </c>
    </row>
    <row r="852" spans="1:27" ht="15" customHeight="1" x14ac:dyDescent="0.25">
      <c r="A852" s="1"/>
      <c r="B852" s="17"/>
      <c r="C852" s="17"/>
      <c r="D852" s="17"/>
      <c r="E852" s="17"/>
      <c r="F852" s="17"/>
      <c r="G852" s="4">
        <f t="shared" si="36"/>
        <v>0</v>
      </c>
      <c r="H852" s="17"/>
      <c r="I852" s="4">
        <f t="shared" si="38"/>
        <v>349526.07999999996</v>
      </c>
      <c r="J852" s="32" t="str">
        <f t="shared" si="37"/>
        <v/>
      </c>
      <c r="K852" s="72"/>
      <c r="L852" s="72"/>
      <c r="M852" s="2"/>
      <c r="N852" s="5"/>
      <c r="O852" s="3"/>
      <c r="P852" s="6"/>
      <c r="Q852" s="48">
        <f>IF(Учет!$O852=Справочники!$F$2,Учет!$H852,0)</f>
        <v>0</v>
      </c>
      <c r="R852" s="48">
        <f>IF(Учет!$O852=Справочники!$F$3,Учет!$H852,0)</f>
        <v>0</v>
      </c>
      <c r="S852" s="48">
        <f>IF(Учет!$O852=Справочники!$F$4,Учет!$H852,0)</f>
        <v>0</v>
      </c>
      <c r="T852" s="48">
        <f>IF(Учет!$O852=Справочники!$F$5,Учет!$H852,0)</f>
        <v>0</v>
      </c>
      <c r="U852" s="48">
        <f>IF(Учет!$O852=Справочники!$F$6,Учет!$H852,0)</f>
        <v>0</v>
      </c>
      <c r="V852" s="43">
        <f>V851+Учет!Q852-Q852</f>
        <v>-488978.92000000004</v>
      </c>
      <c r="W852" s="43">
        <f>W851+Учет!R852-R852</f>
        <v>336855</v>
      </c>
      <c r="X852" s="43">
        <f>X851+Учет!S852-S852</f>
        <v>500</v>
      </c>
      <c r="Y852" s="43">
        <f>Y851+Учет!T852-T852</f>
        <v>1150</v>
      </c>
      <c r="Z852" s="43">
        <f>Z851+Учет!U852-U852</f>
        <v>500000</v>
      </c>
      <c r="AA852" s="45">
        <f>Учет!X852</f>
        <v>500</v>
      </c>
    </row>
    <row r="853" spans="1:27" ht="15" customHeight="1" x14ac:dyDescent="0.25">
      <c r="A853" s="1"/>
      <c r="B853" s="17"/>
      <c r="C853" s="17"/>
      <c r="D853" s="17"/>
      <c r="E853" s="17"/>
      <c r="F853" s="17"/>
      <c r="G853" s="4">
        <f t="shared" si="36"/>
        <v>0</v>
      </c>
      <c r="H853" s="17"/>
      <c r="I853" s="4">
        <f t="shared" si="38"/>
        <v>349526.07999999996</v>
      </c>
      <c r="J853" s="32" t="str">
        <f t="shared" si="37"/>
        <v/>
      </c>
      <c r="K853" s="72"/>
      <c r="L853" s="72"/>
      <c r="M853" s="2"/>
      <c r="N853" s="5"/>
      <c r="O853" s="3"/>
      <c r="P853" s="6"/>
      <c r="Q853" s="48">
        <f>IF(Учет!$O853=Справочники!$F$2,Учет!$H853,0)</f>
        <v>0</v>
      </c>
      <c r="R853" s="48">
        <f>IF(Учет!$O853=Справочники!$F$3,Учет!$H853,0)</f>
        <v>0</v>
      </c>
      <c r="S853" s="48">
        <f>IF(Учет!$O853=Справочники!$F$4,Учет!$H853,0)</f>
        <v>0</v>
      </c>
      <c r="T853" s="48">
        <f>IF(Учет!$O853=Справочники!$F$5,Учет!$H853,0)</f>
        <v>0</v>
      </c>
      <c r="U853" s="48">
        <f>IF(Учет!$O853=Справочники!$F$6,Учет!$H853,0)</f>
        <v>0</v>
      </c>
      <c r="V853" s="43">
        <f>V852+Учет!Q853-Q853</f>
        <v>-488978.92000000004</v>
      </c>
      <c r="W853" s="43">
        <f>W852+Учет!R853-R853</f>
        <v>336855</v>
      </c>
      <c r="X853" s="43">
        <f>X852+Учет!S853-S853</f>
        <v>500</v>
      </c>
      <c r="Y853" s="43">
        <f>Y852+Учет!T853-T853</f>
        <v>1150</v>
      </c>
      <c r="Z853" s="43">
        <f>Z852+Учет!U853-U853</f>
        <v>500000</v>
      </c>
      <c r="AA853" s="45">
        <f>Учет!X853</f>
        <v>500</v>
      </c>
    </row>
    <row r="854" spans="1:27" ht="15" customHeight="1" x14ac:dyDescent="0.25">
      <c r="A854" s="1"/>
      <c r="B854" s="17"/>
      <c r="C854" s="17"/>
      <c r="D854" s="17"/>
      <c r="E854" s="17"/>
      <c r="F854" s="17"/>
      <c r="G854" s="4">
        <f t="shared" si="36"/>
        <v>0</v>
      </c>
      <c r="H854" s="17"/>
      <c r="I854" s="4">
        <f t="shared" si="38"/>
        <v>349526.07999999996</v>
      </c>
      <c r="J854" s="32" t="str">
        <f t="shared" si="37"/>
        <v/>
      </c>
      <c r="K854" s="72"/>
      <c r="L854" s="72"/>
      <c r="M854" s="2"/>
      <c r="N854" s="5"/>
      <c r="O854" s="3"/>
      <c r="P854" s="6"/>
      <c r="Q854" s="48">
        <f>IF(Учет!$O854=Справочники!$F$2,Учет!$H854,0)</f>
        <v>0</v>
      </c>
      <c r="R854" s="48">
        <f>IF(Учет!$O854=Справочники!$F$3,Учет!$H854,0)</f>
        <v>0</v>
      </c>
      <c r="S854" s="48">
        <f>IF(Учет!$O854=Справочники!$F$4,Учет!$H854,0)</f>
        <v>0</v>
      </c>
      <c r="T854" s="48">
        <f>IF(Учет!$O854=Справочники!$F$5,Учет!$H854,0)</f>
        <v>0</v>
      </c>
      <c r="U854" s="48">
        <f>IF(Учет!$O854=Справочники!$F$6,Учет!$H854,0)</f>
        <v>0</v>
      </c>
      <c r="V854" s="43">
        <f>V853+Учет!Q854-Q854</f>
        <v>-488978.92000000004</v>
      </c>
      <c r="W854" s="43">
        <f>W853+Учет!R854-R854</f>
        <v>336855</v>
      </c>
      <c r="X854" s="43">
        <f>X853+Учет!S854-S854</f>
        <v>500</v>
      </c>
      <c r="Y854" s="43">
        <f>Y853+Учет!T854-T854</f>
        <v>1150</v>
      </c>
      <c r="Z854" s="43">
        <f>Z853+Учет!U854-U854</f>
        <v>500000</v>
      </c>
      <c r="AA854" s="45">
        <f>Учет!X854</f>
        <v>500</v>
      </c>
    </row>
    <row r="855" spans="1:27" ht="15" customHeight="1" x14ac:dyDescent="0.25">
      <c r="A855" s="1"/>
      <c r="B855" s="17"/>
      <c r="C855" s="17"/>
      <c r="D855" s="17"/>
      <c r="E855" s="17"/>
      <c r="F855" s="17"/>
      <c r="G855" s="4">
        <f t="shared" si="36"/>
        <v>0</v>
      </c>
      <c r="H855" s="17"/>
      <c r="I855" s="4">
        <f t="shared" si="38"/>
        <v>349526.07999999996</v>
      </c>
      <c r="J855" s="32" t="str">
        <f t="shared" si="37"/>
        <v/>
      </c>
      <c r="K855" s="72"/>
      <c r="L855" s="72"/>
      <c r="M855" s="2"/>
      <c r="N855" s="5"/>
      <c r="O855" s="3"/>
      <c r="P855" s="6"/>
      <c r="Q855" s="48">
        <f>IF(Учет!$O855=Справочники!$F$2,Учет!$H855,0)</f>
        <v>0</v>
      </c>
      <c r="R855" s="48">
        <f>IF(Учет!$O855=Справочники!$F$3,Учет!$H855,0)</f>
        <v>0</v>
      </c>
      <c r="S855" s="48">
        <f>IF(Учет!$O855=Справочники!$F$4,Учет!$H855,0)</f>
        <v>0</v>
      </c>
      <c r="T855" s="48">
        <f>IF(Учет!$O855=Справочники!$F$5,Учет!$H855,0)</f>
        <v>0</v>
      </c>
      <c r="U855" s="48">
        <f>IF(Учет!$O855=Справочники!$F$6,Учет!$H855,0)</f>
        <v>0</v>
      </c>
      <c r="V855" s="43">
        <f>V854+Учет!Q855-Q855</f>
        <v>-488978.92000000004</v>
      </c>
      <c r="W855" s="43">
        <f>W854+Учет!R855-R855</f>
        <v>336855</v>
      </c>
      <c r="X855" s="43">
        <f>X854+Учет!S855-S855</f>
        <v>500</v>
      </c>
      <c r="Y855" s="43">
        <f>Y854+Учет!T855-T855</f>
        <v>1150</v>
      </c>
      <c r="Z855" s="43">
        <f>Z854+Учет!U855-U855</f>
        <v>500000</v>
      </c>
      <c r="AA855" s="45">
        <f>Учет!X855</f>
        <v>500</v>
      </c>
    </row>
    <row r="856" spans="1:27" ht="15" customHeight="1" x14ac:dyDescent="0.25">
      <c r="A856" s="1"/>
      <c r="B856" s="17"/>
      <c r="C856" s="17"/>
      <c r="D856" s="17"/>
      <c r="E856" s="17"/>
      <c r="F856" s="17"/>
      <c r="G856" s="4">
        <f t="shared" si="36"/>
        <v>0</v>
      </c>
      <c r="H856" s="17"/>
      <c r="I856" s="4">
        <f t="shared" si="38"/>
        <v>349526.07999999996</v>
      </c>
      <c r="J856" s="32" t="str">
        <f t="shared" si="37"/>
        <v/>
      </c>
      <c r="K856" s="72"/>
      <c r="L856" s="72"/>
      <c r="M856" s="2"/>
      <c r="N856" s="5"/>
      <c r="O856" s="3"/>
      <c r="P856" s="6"/>
      <c r="Q856" s="48">
        <f>IF(Учет!$O856=Справочники!$F$2,Учет!$H856,0)</f>
        <v>0</v>
      </c>
      <c r="R856" s="48">
        <f>IF(Учет!$O856=Справочники!$F$3,Учет!$H856,0)</f>
        <v>0</v>
      </c>
      <c r="S856" s="48">
        <f>IF(Учет!$O856=Справочники!$F$4,Учет!$H856,0)</f>
        <v>0</v>
      </c>
      <c r="T856" s="48">
        <f>IF(Учет!$O856=Справочники!$F$5,Учет!$H856,0)</f>
        <v>0</v>
      </c>
      <c r="U856" s="48">
        <f>IF(Учет!$O856=Справочники!$F$6,Учет!$H856,0)</f>
        <v>0</v>
      </c>
      <c r="V856" s="43">
        <f>V855+Учет!Q856-Q856</f>
        <v>-488978.92000000004</v>
      </c>
      <c r="W856" s="43">
        <f>W855+Учет!R856-R856</f>
        <v>336855</v>
      </c>
      <c r="X856" s="43">
        <f>X855+Учет!S856-S856</f>
        <v>500</v>
      </c>
      <c r="Y856" s="43">
        <f>Y855+Учет!T856-T856</f>
        <v>1150</v>
      </c>
      <c r="Z856" s="43">
        <f>Z855+Учет!U856-U856</f>
        <v>500000</v>
      </c>
      <c r="AA856" s="45">
        <f>Учет!X856</f>
        <v>500</v>
      </c>
    </row>
    <row r="857" spans="1:27" ht="15" customHeight="1" x14ac:dyDescent="0.25">
      <c r="A857" s="1"/>
      <c r="B857" s="17"/>
      <c r="C857" s="17"/>
      <c r="D857" s="17"/>
      <c r="E857" s="17"/>
      <c r="F857" s="17"/>
      <c r="G857" s="4">
        <f t="shared" si="36"/>
        <v>0</v>
      </c>
      <c r="H857" s="17"/>
      <c r="I857" s="4">
        <f t="shared" si="38"/>
        <v>349526.07999999996</v>
      </c>
      <c r="J857" s="32" t="str">
        <f t="shared" si="37"/>
        <v/>
      </c>
      <c r="K857" s="72"/>
      <c r="L857" s="72"/>
      <c r="M857" s="2"/>
      <c r="N857" s="5"/>
      <c r="O857" s="3"/>
      <c r="P857" s="6"/>
      <c r="Q857" s="48">
        <f>IF(Учет!$O857=Справочники!$F$2,Учет!$H857,0)</f>
        <v>0</v>
      </c>
      <c r="R857" s="48">
        <f>IF(Учет!$O857=Справочники!$F$3,Учет!$H857,0)</f>
        <v>0</v>
      </c>
      <c r="S857" s="48">
        <f>IF(Учет!$O857=Справочники!$F$4,Учет!$H857,0)</f>
        <v>0</v>
      </c>
      <c r="T857" s="48">
        <f>IF(Учет!$O857=Справочники!$F$5,Учет!$H857,0)</f>
        <v>0</v>
      </c>
      <c r="U857" s="48">
        <f>IF(Учет!$O857=Справочники!$F$6,Учет!$H857,0)</f>
        <v>0</v>
      </c>
      <c r="V857" s="43">
        <f>V856+Учет!Q857-Q857</f>
        <v>-488978.92000000004</v>
      </c>
      <c r="W857" s="43">
        <f>W856+Учет!R857-R857</f>
        <v>336855</v>
      </c>
      <c r="X857" s="43">
        <f>X856+Учет!S857-S857</f>
        <v>500</v>
      </c>
      <c r="Y857" s="43">
        <f>Y856+Учет!T857-T857</f>
        <v>1150</v>
      </c>
      <c r="Z857" s="43">
        <f>Z856+Учет!U857-U857</f>
        <v>500000</v>
      </c>
      <c r="AA857" s="45">
        <f>Учет!X857</f>
        <v>500</v>
      </c>
    </row>
    <row r="858" spans="1:27" ht="15" customHeight="1" x14ac:dyDescent="0.25">
      <c r="A858" s="1"/>
      <c r="B858" s="17"/>
      <c r="C858" s="17"/>
      <c r="D858" s="17"/>
      <c r="E858" s="17"/>
      <c r="F858" s="17"/>
      <c r="G858" s="4">
        <f t="shared" si="36"/>
        <v>0</v>
      </c>
      <c r="H858" s="17"/>
      <c r="I858" s="4">
        <f t="shared" si="38"/>
        <v>349526.07999999996</v>
      </c>
      <c r="J858" s="32" t="str">
        <f t="shared" si="37"/>
        <v/>
      </c>
      <c r="K858" s="72"/>
      <c r="L858" s="72"/>
      <c r="M858" s="2"/>
      <c r="N858" s="5"/>
      <c r="O858" s="3"/>
      <c r="P858" s="6"/>
      <c r="Q858" s="48">
        <f>IF(Учет!$O858=Справочники!$F$2,Учет!$H858,0)</f>
        <v>0</v>
      </c>
      <c r="R858" s="48">
        <f>IF(Учет!$O858=Справочники!$F$3,Учет!$H858,0)</f>
        <v>0</v>
      </c>
      <c r="S858" s="48">
        <f>IF(Учет!$O858=Справочники!$F$4,Учет!$H858,0)</f>
        <v>0</v>
      </c>
      <c r="T858" s="48">
        <f>IF(Учет!$O858=Справочники!$F$5,Учет!$H858,0)</f>
        <v>0</v>
      </c>
      <c r="U858" s="48">
        <f>IF(Учет!$O858=Справочники!$F$6,Учет!$H858,0)</f>
        <v>0</v>
      </c>
      <c r="V858" s="43">
        <f>V857+Учет!Q858-Q858</f>
        <v>-488978.92000000004</v>
      </c>
      <c r="W858" s="43">
        <f>W857+Учет!R858-R858</f>
        <v>336855</v>
      </c>
      <c r="X858" s="43">
        <f>X857+Учет!S858-S858</f>
        <v>500</v>
      </c>
      <c r="Y858" s="43">
        <f>Y857+Учет!T858-T858</f>
        <v>1150</v>
      </c>
      <c r="Z858" s="43">
        <f>Z857+Учет!U858-U858</f>
        <v>500000</v>
      </c>
      <c r="AA858" s="45">
        <f>Учет!X858</f>
        <v>500</v>
      </c>
    </row>
    <row r="859" spans="1:27" ht="15" customHeight="1" x14ac:dyDescent="0.25">
      <c r="A859" s="1"/>
      <c r="B859" s="17"/>
      <c r="C859" s="17"/>
      <c r="D859" s="17"/>
      <c r="E859" s="17"/>
      <c r="F859" s="17"/>
      <c r="G859" s="4">
        <f t="shared" si="36"/>
        <v>0</v>
      </c>
      <c r="H859" s="17"/>
      <c r="I859" s="4">
        <f t="shared" si="38"/>
        <v>349526.07999999996</v>
      </c>
      <c r="J859" s="32" t="str">
        <f t="shared" si="37"/>
        <v/>
      </c>
      <c r="K859" s="72"/>
      <c r="L859" s="72"/>
      <c r="M859" s="2"/>
      <c r="N859" s="5"/>
      <c r="O859" s="3"/>
      <c r="P859" s="6"/>
      <c r="Q859" s="48">
        <f>IF(Учет!$O859=Справочники!$F$2,Учет!$H859,0)</f>
        <v>0</v>
      </c>
      <c r="R859" s="48">
        <f>IF(Учет!$O859=Справочники!$F$3,Учет!$H859,0)</f>
        <v>0</v>
      </c>
      <c r="S859" s="48">
        <f>IF(Учет!$O859=Справочники!$F$4,Учет!$H859,0)</f>
        <v>0</v>
      </c>
      <c r="T859" s="48">
        <f>IF(Учет!$O859=Справочники!$F$5,Учет!$H859,0)</f>
        <v>0</v>
      </c>
      <c r="U859" s="48">
        <f>IF(Учет!$O859=Справочники!$F$6,Учет!$H859,0)</f>
        <v>0</v>
      </c>
      <c r="V859" s="43">
        <f>V858+Учет!Q859-Q859</f>
        <v>-488978.92000000004</v>
      </c>
      <c r="W859" s="43">
        <f>W858+Учет!R859-R859</f>
        <v>336855</v>
      </c>
      <c r="X859" s="43">
        <f>X858+Учет!S859-S859</f>
        <v>500</v>
      </c>
      <c r="Y859" s="43">
        <f>Y858+Учет!T859-T859</f>
        <v>1150</v>
      </c>
      <c r="Z859" s="43">
        <f>Z858+Учет!U859-U859</f>
        <v>500000</v>
      </c>
      <c r="AA859" s="45">
        <f>Учет!X859</f>
        <v>500</v>
      </c>
    </row>
    <row r="860" spans="1:27" ht="15" customHeight="1" x14ac:dyDescent="0.25">
      <c r="A860" s="1"/>
      <c r="B860" s="17"/>
      <c r="C860" s="17"/>
      <c r="D860" s="17"/>
      <c r="E860" s="17"/>
      <c r="F860" s="17"/>
      <c r="G860" s="4">
        <f t="shared" si="36"/>
        <v>0</v>
      </c>
      <c r="H860" s="17"/>
      <c r="I860" s="4">
        <f t="shared" si="38"/>
        <v>349526.07999999996</v>
      </c>
      <c r="J860" s="32" t="str">
        <f t="shared" si="37"/>
        <v/>
      </c>
      <c r="K860" s="72"/>
      <c r="L860" s="72"/>
      <c r="M860" s="2"/>
      <c r="N860" s="5"/>
      <c r="O860" s="3"/>
      <c r="P860" s="6"/>
      <c r="Q860" s="48">
        <f>IF(Учет!$O860=Справочники!$F$2,Учет!$H860,0)</f>
        <v>0</v>
      </c>
      <c r="R860" s="48">
        <f>IF(Учет!$O860=Справочники!$F$3,Учет!$H860,0)</f>
        <v>0</v>
      </c>
      <c r="S860" s="48">
        <f>IF(Учет!$O860=Справочники!$F$4,Учет!$H860,0)</f>
        <v>0</v>
      </c>
      <c r="T860" s="48">
        <f>IF(Учет!$O860=Справочники!$F$5,Учет!$H860,0)</f>
        <v>0</v>
      </c>
      <c r="U860" s="48">
        <f>IF(Учет!$O860=Справочники!$F$6,Учет!$H860,0)</f>
        <v>0</v>
      </c>
      <c r="V860" s="43">
        <f>V859+Учет!Q860-Q860</f>
        <v>-488978.92000000004</v>
      </c>
      <c r="W860" s="43">
        <f>W859+Учет!R860-R860</f>
        <v>336855</v>
      </c>
      <c r="X860" s="43">
        <f>X859+Учет!S860-S860</f>
        <v>500</v>
      </c>
      <c r="Y860" s="43">
        <f>Y859+Учет!T860-T860</f>
        <v>1150</v>
      </c>
      <c r="Z860" s="43">
        <f>Z859+Учет!U860-U860</f>
        <v>500000</v>
      </c>
      <c r="AA860" s="45">
        <f>Учет!X860</f>
        <v>500</v>
      </c>
    </row>
    <row r="861" spans="1:27" ht="15" customHeight="1" x14ac:dyDescent="0.25">
      <c r="A861" s="1"/>
      <c r="B861" s="17"/>
      <c r="C861" s="17"/>
      <c r="D861" s="17"/>
      <c r="E861" s="17"/>
      <c r="F861" s="17"/>
      <c r="G861" s="4">
        <f t="shared" si="36"/>
        <v>0</v>
      </c>
      <c r="H861" s="17"/>
      <c r="I861" s="4">
        <f t="shared" si="38"/>
        <v>349526.07999999996</v>
      </c>
      <c r="J861" s="32" t="str">
        <f t="shared" si="37"/>
        <v/>
      </c>
      <c r="K861" s="72"/>
      <c r="L861" s="72"/>
      <c r="M861" s="2"/>
      <c r="N861" s="5"/>
      <c r="O861" s="3"/>
      <c r="P861" s="6"/>
      <c r="Q861" s="48">
        <f>IF(Учет!$O861=Справочники!$F$2,Учет!$H861,0)</f>
        <v>0</v>
      </c>
      <c r="R861" s="48">
        <f>IF(Учет!$O861=Справочники!$F$3,Учет!$H861,0)</f>
        <v>0</v>
      </c>
      <c r="S861" s="48">
        <f>IF(Учет!$O861=Справочники!$F$4,Учет!$H861,0)</f>
        <v>0</v>
      </c>
      <c r="T861" s="48">
        <f>IF(Учет!$O861=Справочники!$F$5,Учет!$H861,0)</f>
        <v>0</v>
      </c>
      <c r="U861" s="48">
        <f>IF(Учет!$O861=Справочники!$F$6,Учет!$H861,0)</f>
        <v>0</v>
      </c>
      <c r="V861" s="43">
        <f>V860+Учет!Q861-Q861</f>
        <v>-488978.92000000004</v>
      </c>
      <c r="W861" s="43">
        <f>W860+Учет!R861-R861</f>
        <v>336855</v>
      </c>
      <c r="X861" s="43">
        <f>X860+Учет!S861-S861</f>
        <v>500</v>
      </c>
      <c r="Y861" s="43">
        <f>Y860+Учет!T861-T861</f>
        <v>1150</v>
      </c>
      <c r="Z861" s="43">
        <f>Z860+Учет!U861-U861</f>
        <v>500000</v>
      </c>
      <c r="AA861" s="45">
        <f>Учет!X861</f>
        <v>500</v>
      </c>
    </row>
    <row r="862" spans="1:27" ht="15" customHeight="1" x14ac:dyDescent="0.25">
      <c r="A862" s="1"/>
      <c r="B862" s="17"/>
      <c r="C862" s="17"/>
      <c r="D862" s="17"/>
      <c r="E862" s="17"/>
      <c r="F862" s="17"/>
      <c r="G862" s="4">
        <f t="shared" si="36"/>
        <v>0</v>
      </c>
      <c r="H862" s="17"/>
      <c r="I862" s="4">
        <f t="shared" si="38"/>
        <v>349526.07999999996</v>
      </c>
      <c r="J862" s="32" t="str">
        <f t="shared" si="37"/>
        <v/>
      </c>
      <c r="K862" s="72"/>
      <c r="L862" s="72"/>
      <c r="M862" s="2"/>
      <c r="N862" s="5"/>
      <c r="O862" s="3"/>
      <c r="P862" s="6"/>
      <c r="Q862" s="48">
        <f>IF(Учет!$O862=Справочники!$F$2,Учет!$H862,0)</f>
        <v>0</v>
      </c>
      <c r="R862" s="48">
        <f>IF(Учет!$O862=Справочники!$F$3,Учет!$H862,0)</f>
        <v>0</v>
      </c>
      <c r="S862" s="48">
        <f>IF(Учет!$O862=Справочники!$F$4,Учет!$H862,0)</f>
        <v>0</v>
      </c>
      <c r="T862" s="48">
        <f>IF(Учет!$O862=Справочники!$F$5,Учет!$H862,0)</f>
        <v>0</v>
      </c>
      <c r="U862" s="48">
        <f>IF(Учет!$O862=Справочники!$F$6,Учет!$H862,0)</f>
        <v>0</v>
      </c>
      <c r="V862" s="43">
        <f>V861+Учет!Q862-Q862</f>
        <v>-488978.92000000004</v>
      </c>
      <c r="W862" s="43">
        <f>W861+Учет!R862-R862</f>
        <v>336855</v>
      </c>
      <c r="X862" s="43">
        <f>X861+Учет!S862-S862</f>
        <v>500</v>
      </c>
      <c r="Y862" s="43">
        <f>Y861+Учет!T862-T862</f>
        <v>1150</v>
      </c>
      <c r="Z862" s="43">
        <f>Z861+Учет!U862-U862</f>
        <v>500000</v>
      </c>
      <c r="AA862" s="45">
        <f>Учет!X862</f>
        <v>500</v>
      </c>
    </row>
    <row r="863" spans="1:27" ht="15" customHeight="1" x14ac:dyDescent="0.25">
      <c r="A863" s="1"/>
      <c r="B863" s="17"/>
      <c r="C863" s="17"/>
      <c r="D863" s="17"/>
      <c r="E863" s="17"/>
      <c r="F863" s="17"/>
      <c r="G863" s="4">
        <f t="shared" si="36"/>
        <v>0</v>
      </c>
      <c r="H863" s="17"/>
      <c r="I863" s="4">
        <f t="shared" si="38"/>
        <v>349526.07999999996</v>
      </c>
      <c r="J863" s="32" t="str">
        <f t="shared" si="37"/>
        <v/>
      </c>
      <c r="K863" s="72"/>
      <c r="L863" s="72"/>
      <c r="M863" s="2"/>
      <c r="N863" s="5"/>
      <c r="O863" s="3"/>
      <c r="P863" s="6"/>
      <c r="Q863" s="48">
        <f>IF(Учет!$O863=Справочники!$F$2,Учет!$H863,0)</f>
        <v>0</v>
      </c>
      <c r="R863" s="48">
        <f>IF(Учет!$O863=Справочники!$F$3,Учет!$H863,0)</f>
        <v>0</v>
      </c>
      <c r="S863" s="48">
        <f>IF(Учет!$O863=Справочники!$F$4,Учет!$H863,0)</f>
        <v>0</v>
      </c>
      <c r="T863" s="48">
        <f>IF(Учет!$O863=Справочники!$F$5,Учет!$H863,0)</f>
        <v>0</v>
      </c>
      <c r="U863" s="48">
        <f>IF(Учет!$O863=Справочники!$F$6,Учет!$H863,0)</f>
        <v>0</v>
      </c>
      <c r="V863" s="43">
        <f>V862+Учет!Q863-Q863</f>
        <v>-488978.92000000004</v>
      </c>
      <c r="W863" s="43">
        <f>W862+Учет!R863-R863</f>
        <v>336855</v>
      </c>
      <c r="X863" s="43">
        <f>X862+Учет!S863-S863</f>
        <v>500</v>
      </c>
      <c r="Y863" s="43">
        <f>Y862+Учет!T863-T863</f>
        <v>1150</v>
      </c>
      <c r="Z863" s="43">
        <f>Z862+Учет!U863-U863</f>
        <v>500000</v>
      </c>
      <c r="AA863" s="45">
        <f>Учет!X863</f>
        <v>500</v>
      </c>
    </row>
    <row r="864" spans="1:27" ht="15" customHeight="1" x14ac:dyDescent="0.25">
      <c r="A864" s="1"/>
      <c r="B864" s="17"/>
      <c r="C864" s="17"/>
      <c r="D864" s="17"/>
      <c r="E864" s="17"/>
      <c r="F864" s="17"/>
      <c r="G864" s="4">
        <f t="shared" si="36"/>
        <v>0</v>
      </c>
      <c r="H864" s="17"/>
      <c r="I864" s="4">
        <f t="shared" si="38"/>
        <v>349526.07999999996</v>
      </c>
      <c r="J864" s="32" t="str">
        <f t="shared" si="37"/>
        <v/>
      </c>
      <c r="K864" s="72"/>
      <c r="L864" s="72"/>
      <c r="M864" s="2"/>
      <c r="N864" s="5"/>
      <c r="O864" s="3"/>
      <c r="P864" s="6"/>
      <c r="Q864" s="48">
        <f>IF(Учет!$O864=Справочники!$F$2,Учет!$H864,0)</f>
        <v>0</v>
      </c>
      <c r="R864" s="48">
        <f>IF(Учет!$O864=Справочники!$F$3,Учет!$H864,0)</f>
        <v>0</v>
      </c>
      <c r="S864" s="48">
        <f>IF(Учет!$O864=Справочники!$F$4,Учет!$H864,0)</f>
        <v>0</v>
      </c>
      <c r="T864" s="48">
        <f>IF(Учет!$O864=Справочники!$F$5,Учет!$H864,0)</f>
        <v>0</v>
      </c>
      <c r="U864" s="48">
        <f>IF(Учет!$O864=Справочники!$F$6,Учет!$H864,0)</f>
        <v>0</v>
      </c>
      <c r="V864" s="43">
        <f>V863+Учет!Q864-Q864</f>
        <v>-488978.92000000004</v>
      </c>
      <c r="W864" s="43">
        <f>W863+Учет!R864-R864</f>
        <v>336855</v>
      </c>
      <c r="X864" s="43">
        <f>X863+Учет!S864-S864</f>
        <v>500</v>
      </c>
      <c r="Y864" s="43">
        <f>Y863+Учет!T864-T864</f>
        <v>1150</v>
      </c>
      <c r="Z864" s="43">
        <f>Z863+Учет!U864-U864</f>
        <v>500000</v>
      </c>
      <c r="AA864" s="45">
        <f>Учет!X864</f>
        <v>500</v>
      </c>
    </row>
    <row r="865" spans="1:27" ht="15" customHeight="1" x14ac:dyDescent="0.25">
      <c r="A865" s="1"/>
      <c r="B865" s="17"/>
      <c r="C865" s="17"/>
      <c r="D865" s="17"/>
      <c r="E865" s="17"/>
      <c r="F865" s="17"/>
      <c r="G865" s="4">
        <f t="shared" si="36"/>
        <v>0</v>
      </c>
      <c r="H865" s="17"/>
      <c r="I865" s="4">
        <f t="shared" si="38"/>
        <v>349526.07999999996</v>
      </c>
      <c r="J865" s="32" t="str">
        <f t="shared" si="37"/>
        <v/>
      </c>
      <c r="K865" s="72"/>
      <c r="L865" s="72"/>
      <c r="M865" s="2"/>
      <c r="N865" s="5"/>
      <c r="O865" s="3"/>
      <c r="P865" s="6"/>
      <c r="Q865" s="48">
        <f>IF(Учет!$O865=Справочники!$F$2,Учет!$H865,0)</f>
        <v>0</v>
      </c>
      <c r="R865" s="48">
        <f>IF(Учет!$O865=Справочники!$F$3,Учет!$H865,0)</f>
        <v>0</v>
      </c>
      <c r="S865" s="48">
        <f>IF(Учет!$O865=Справочники!$F$4,Учет!$H865,0)</f>
        <v>0</v>
      </c>
      <c r="T865" s="48">
        <f>IF(Учет!$O865=Справочники!$F$5,Учет!$H865,0)</f>
        <v>0</v>
      </c>
      <c r="U865" s="48">
        <f>IF(Учет!$O865=Справочники!$F$6,Учет!$H865,0)</f>
        <v>0</v>
      </c>
      <c r="V865" s="43">
        <f>V864+Учет!Q865-Q865</f>
        <v>-488978.92000000004</v>
      </c>
      <c r="W865" s="43">
        <f>W864+Учет!R865-R865</f>
        <v>336855</v>
      </c>
      <c r="X865" s="43">
        <f>X864+Учет!S865-S865</f>
        <v>500</v>
      </c>
      <c r="Y865" s="43">
        <f>Y864+Учет!T865-T865</f>
        <v>1150</v>
      </c>
      <c r="Z865" s="43">
        <f>Z864+Учет!U865-U865</f>
        <v>500000</v>
      </c>
      <c r="AA865" s="45">
        <f>Учет!X865</f>
        <v>500</v>
      </c>
    </row>
    <row r="866" spans="1:27" ht="15" customHeight="1" x14ac:dyDescent="0.25">
      <c r="A866" s="1"/>
      <c r="B866" s="17"/>
      <c r="C866" s="17"/>
      <c r="D866" s="17"/>
      <c r="E866" s="17"/>
      <c r="F866" s="17"/>
      <c r="G866" s="4">
        <f t="shared" si="36"/>
        <v>0</v>
      </c>
      <c r="H866" s="17"/>
      <c r="I866" s="4">
        <f t="shared" si="38"/>
        <v>349526.07999999996</v>
      </c>
      <c r="J866" s="32" t="str">
        <f t="shared" si="37"/>
        <v/>
      </c>
      <c r="K866" s="72"/>
      <c r="L866" s="72"/>
      <c r="M866" s="2"/>
      <c r="N866" s="5"/>
      <c r="O866" s="3"/>
      <c r="P866" s="6"/>
      <c r="Q866" s="48">
        <f>IF(Учет!$O866=Справочники!$F$2,Учет!$H866,0)</f>
        <v>0</v>
      </c>
      <c r="R866" s="48">
        <f>IF(Учет!$O866=Справочники!$F$3,Учет!$H866,0)</f>
        <v>0</v>
      </c>
      <c r="S866" s="48">
        <f>IF(Учет!$O866=Справочники!$F$4,Учет!$H866,0)</f>
        <v>0</v>
      </c>
      <c r="T866" s="48">
        <f>IF(Учет!$O866=Справочники!$F$5,Учет!$H866,0)</f>
        <v>0</v>
      </c>
      <c r="U866" s="48">
        <f>IF(Учет!$O866=Справочники!$F$6,Учет!$H866,0)</f>
        <v>0</v>
      </c>
      <c r="V866" s="43">
        <f>V865+Учет!Q866-Q866</f>
        <v>-488978.92000000004</v>
      </c>
      <c r="W866" s="43">
        <f>W865+Учет!R866-R866</f>
        <v>336855</v>
      </c>
      <c r="X866" s="43">
        <f>X865+Учет!S866-S866</f>
        <v>500</v>
      </c>
      <c r="Y866" s="43">
        <f>Y865+Учет!T866-T866</f>
        <v>1150</v>
      </c>
      <c r="Z866" s="43">
        <f>Z865+Учет!U866-U866</f>
        <v>500000</v>
      </c>
      <c r="AA866" s="45">
        <f>Учет!X866</f>
        <v>500</v>
      </c>
    </row>
    <row r="867" spans="1:27" ht="15" customHeight="1" x14ac:dyDescent="0.25">
      <c r="A867" s="1"/>
      <c r="B867" s="17"/>
      <c r="C867" s="17"/>
      <c r="D867" s="17"/>
      <c r="E867" s="17"/>
      <c r="F867" s="17"/>
      <c r="G867" s="4">
        <f t="shared" si="36"/>
        <v>0</v>
      </c>
      <c r="H867" s="17"/>
      <c r="I867" s="4">
        <f t="shared" si="38"/>
        <v>349526.07999999996</v>
      </c>
      <c r="J867" s="32" t="str">
        <f t="shared" si="37"/>
        <v/>
      </c>
      <c r="K867" s="72"/>
      <c r="L867" s="72"/>
      <c r="M867" s="2"/>
      <c r="N867" s="5"/>
      <c r="O867" s="3"/>
      <c r="P867" s="6"/>
      <c r="Q867" s="48">
        <f>IF(Учет!$O867=Справочники!$F$2,Учет!$H867,0)</f>
        <v>0</v>
      </c>
      <c r="R867" s="48">
        <f>IF(Учет!$O867=Справочники!$F$3,Учет!$H867,0)</f>
        <v>0</v>
      </c>
      <c r="S867" s="48">
        <f>IF(Учет!$O867=Справочники!$F$4,Учет!$H867,0)</f>
        <v>0</v>
      </c>
      <c r="T867" s="48">
        <f>IF(Учет!$O867=Справочники!$F$5,Учет!$H867,0)</f>
        <v>0</v>
      </c>
      <c r="U867" s="48">
        <f>IF(Учет!$O867=Справочники!$F$6,Учет!$H867,0)</f>
        <v>0</v>
      </c>
      <c r="V867" s="43">
        <f>V866+Учет!Q867-Q867</f>
        <v>-488978.92000000004</v>
      </c>
      <c r="W867" s="43">
        <f>W866+Учет!R867-R867</f>
        <v>336855</v>
      </c>
      <c r="X867" s="43">
        <f>X866+Учет!S867-S867</f>
        <v>500</v>
      </c>
      <c r="Y867" s="43">
        <f>Y866+Учет!T867-T867</f>
        <v>1150</v>
      </c>
      <c r="Z867" s="43">
        <f>Z866+Учет!U867-U867</f>
        <v>500000</v>
      </c>
      <c r="AA867" s="45">
        <f>Учет!X867</f>
        <v>500</v>
      </c>
    </row>
    <row r="868" spans="1:27" ht="15" customHeight="1" x14ac:dyDescent="0.25">
      <c r="A868" s="1"/>
      <c r="B868" s="17"/>
      <c r="C868" s="17"/>
      <c r="D868" s="17"/>
      <c r="E868" s="17"/>
      <c r="F868" s="17"/>
      <c r="G868" s="4">
        <f t="shared" si="36"/>
        <v>0</v>
      </c>
      <c r="H868" s="17"/>
      <c r="I868" s="4">
        <f t="shared" si="38"/>
        <v>349526.07999999996</v>
      </c>
      <c r="J868" s="32" t="str">
        <f t="shared" si="37"/>
        <v/>
      </c>
      <c r="K868" s="72"/>
      <c r="L868" s="72"/>
      <c r="M868" s="2"/>
      <c r="N868" s="5"/>
      <c r="O868" s="3"/>
      <c r="P868" s="6"/>
      <c r="Q868" s="48">
        <f>IF(Учет!$O868=Справочники!$F$2,Учет!$H868,0)</f>
        <v>0</v>
      </c>
      <c r="R868" s="48">
        <f>IF(Учет!$O868=Справочники!$F$3,Учет!$H868,0)</f>
        <v>0</v>
      </c>
      <c r="S868" s="48">
        <f>IF(Учет!$O868=Справочники!$F$4,Учет!$H868,0)</f>
        <v>0</v>
      </c>
      <c r="T868" s="48">
        <f>IF(Учет!$O868=Справочники!$F$5,Учет!$H868,0)</f>
        <v>0</v>
      </c>
      <c r="U868" s="48">
        <f>IF(Учет!$O868=Справочники!$F$6,Учет!$H868,0)</f>
        <v>0</v>
      </c>
      <c r="V868" s="43">
        <f>V867+Учет!Q868-Q868</f>
        <v>-488978.92000000004</v>
      </c>
      <c r="W868" s="43">
        <f>W867+Учет!R868-R868</f>
        <v>336855</v>
      </c>
      <c r="X868" s="43">
        <f>X867+Учет!S868-S868</f>
        <v>500</v>
      </c>
      <c r="Y868" s="43">
        <f>Y867+Учет!T868-T868</f>
        <v>1150</v>
      </c>
      <c r="Z868" s="43">
        <f>Z867+Учет!U868-U868</f>
        <v>500000</v>
      </c>
      <c r="AA868" s="45">
        <f>Учет!X868</f>
        <v>500</v>
      </c>
    </row>
    <row r="869" spans="1:27" ht="15" customHeight="1" x14ac:dyDescent="0.25">
      <c r="A869" s="1"/>
      <c r="B869" s="17"/>
      <c r="C869" s="17"/>
      <c r="D869" s="17"/>
      <c r="E869" s="17"/>
      <c r="F869" s="17"/>
      <c r="G869" s="4">
        <f t="shared" si="36"/>
        <v>0</v>
      </c>
      <c r="H869" s="17"/>
      <c r="I869" s="4">
        <f t="shared" si="38"/>
        <v>349526.07999999996</v>
      </c>
      <c r="J869" s="32" t="str">
        <f t="shared" si="37"/>
        <v/>
      </c>
      <c r="K869" s="72"/>
      <c r="L869" s="72"/>
      <c r="M869" s="2"/>
      <c r="N869" s="5"/>
      <c r="O869" s="3"/>
      <c r="P869" s="6"/>
      <c r="Q869" s="48">
        <f>IF(Учет!$O869=Справочники!$F$2,Учет!$H869,0)</f>
        <v>0</v>
      </c>
      <c r="R869" s="48">
        <f>IF(Учет!$O869=Справочники!$F$3,Учет!$H869,0)</f>
        <v>0</v>
      </c>
      <c r="S869" s="48">
        <f>IF(Учет!$O869=Справочники!$F$4,Учет!$H869,0)</f>
        <v>0</v>
      </c>
      <c r="T869" s="48">
        <f>IF(Учет!$O869=Справочники!$F$5,Учет!$H869,0)</f>
        <v>0</v>
      </c>
      <c r="U869" s="48">
        <f>IF(Учет!$O869=Справочники!$F$6,Учет!$H869,0)</f>
        <v>0</v>
      </c>
      <c r="V869" s="43">
        <f>V868+Учет!Q869-Q869</f>
        <v>-488978.92000000004</v>
      </c>
      <c r="W869" s="43">
        <f>W868+Учет!R869-R869</f>
        <v>336855</v>
      </c>
      <c r="X869" s="43">
        <f>X868+Учет!S869-S869</f>
        <v>500</v>
      </c>
      <c r="Y869" s="43">
        <f>Y868+Учет!T869-T869</f>
        <v>1150</v>
      </c>
      <c r="Z869" s="43">
        <f>Z868+Учет!U869-U869</f>
        <v>500000</v>
      </c>
      <c r="AA869" s="45">
        <f>Учет!X869</f>
        <v>500</v>
      </c>
    </row>
    <row r="870" spans="1:27" ht="15" customHeight="1" x14ac:dyDescent="0.25">
      <c r="A870" s="1"/>
      <c r="B870" s="17"/>
      <c r="C870" s="17"/>
      <c r="D870" s="17"/>
      <c r="E870" s="17"/>
      <c r="F870" s="17"/>
      <c r="G870" s="4">
        <f t="shared" si="36"/>
        <v>0</v>
      </c>
      <c r="H870" s="17"/>
      <c r="I870" s="4">
        <f t="shared" si="38"/>
        <v>349526.07999999996</v>
      </c>
      <c r="J870" s="32" t="str">
        <f t="shared" si="37"/>
        <v/>
      </c>
      <c r="K870" s="72"/>
      <c r="L870" s="72"/>
      <c r="M870" s="2"/>
      <c r="N870" s="5"/>
      <c r="O870" s="3"/>
      <c r="P870" s="6"/>
      <c r="Q870" s="48">
        <f>IF(Учет!$O870=Справочники!$F$2,Учет!$H870,0)</f>
        <v>0</v>
      </c>
      <c r="R870" s="48">
        <f>IF(Учет!$O870=Справочники!$F$3,Учет!$H870,0)</f>
        <v>0</v>
      </c>
      <c r="S870" s="48">
        <f>IF(Учет!$O870=Справочники!$F$4,Учет!$H870,0)</f>
        <v>0</v>
      </c>
      <c r="T870" s="48">
        <f>IF(Учет!$O870=Справочники!$F$5,Учет!$H870,0)</f>
        <v>0</v>
      </c>
      <c r="U870" s="48">
        <f>IF(Учет!$O870=Справочники!$F$6,Учет!$H870,0)</f>
        <v>0</v>
      </c>
      <c r="V870" s="43">
        <f>V869+Учет!Q870-Q870</f>
        <v>-488978.92000000004</v>
      </c>
      <c r="W870" s="43">
        <f>W869+Учет!R870-R870</f>
        <v>336855</v>
      </c>
      <c r="X870" s="43">
        <f>X869+Учет!S870-S870</f>
        <v>500</v>
      </c>
      <c r="Y870" s="43">
        <f>Y869+Учет!T870-T870</f>
        <v>1150</v>
      </c>
      <c r="Z870" s="43">
        <f>Z869+Учет!U870-U870</f>
        <v>500000</v>
      </c>
      <c r="AA870" s="45">
        <f>Учет!X870</f>
        <v>500</v>
      </c>
    </row>
    <row r="871" spans="1:27" ht="15" customHeight="1" x14ac:dyDescent="0.25">
      <c r="A871" s="1"/>
      <c r="B871" s="17"/>
      <c r="C871" s="17"/>
      <c r="D871" s="17"/>
      <c r="E871" s="17"/>
      <c r="F871" s="17"/>
      <c r="G871" s="4">
        <f t="shared" si="36"/>
        <v>0</v>
      </c>
      <c r="H871" s="17"/>
      <c r="I871" s="4">
        <f t="shared" si="38"/>
        <v>349526.07999999996</v>
      </c>
      <c r="J871" s="32" t="str">
        <f t="shared" si="37"/>
        <v/>
      </c>
      <c r="K871" s="72"/>
      <c r="L871" s="72"/>
      <c r="M871" s="2"/>
      <c r="N871" s="5"/>
      <c r="O871" s="3"/>
      <c r="P871" s="6"/>
      <c r="Q871" s="48">
        <f>IF(Учет!$O871=Справочники!$F$2,Учет!$H871,0)</f>
        <v>0</v>
      </c>
      <c r="R871" s="48">
        <f>IF(Учет!$O871=Справочники!$F$3,Учет!$H871,0)</f>
        <v>0</v>
      </c>
      <c r="S871" s="48">
        <f>IF(Учет!$O871=Справочники!$F$4,Учет!$H871,0)</f>
        <v>0</v>
      </c>
      <c r="T871" s="48">
        <f>IF(Учет!$O871=Справочники!$F$5,Учет!$H871,0)</f>
        <v>0</v>
      </c>
      <c r="U871" s="48">
        <f>IF(Учет!$O871=Справочники!$F$6,Учет!$H871,0)</f>
        <v>0</v>
      </c>
      <c r="V871" s="43">
        <f>V870+Учет!Q871-Q871</f>
        <v>-488978.92000000004</v>
      </c>
      <c r="W871" s="43">
        <f>W870+Учет!R871-R871</f>
        <v>336855</v>
      </c>
      <c r="X871" s="43">
        <f>X870+Учет!S871-S871</f>
        <v>500</v>
      </c>
      <c r="Y871" s="43">
        <f>Y870+Учет!T871-T871</f>
        <v>1150</v>
      </c>
      <c r="Z871" s="43">
        <f>Z870+Учет!U871-U871</f>
        <v>500000</v>
      </c>
      <c r="AA871" s="45">
        <f>Учет!X871</f>
        <v>500</v>
      </c>
    </row>
    <row r="872" spans="1:27" ht="15" customHeight="1" x14ac:dyDescent="0.25">
      <c r="A872" s="1"/>
      <c r="B872" s="17"/>
      <c r="C872" s="17"/>
      <c r="D872" s="17"/>
      <c r="E872" s="17"/>
      <c r="F872" s="17"/>
      <c r="G872" s="4">
        <f t="shared" si="36"/>
        <v>0</v>
      </c>
      <c r="H872" s="17"/>
      <c r="I872" s="4">
        <f t="shared" si="38"/>
        <v>349526.07999999996</v>
      </c>
      <c r="J872" s="32" t="str">
        <f t="shared" si="37"/>
        <v/>
      </c>
      <c r="K872" s="72"/>
      <c r="L872" s="72"/>
      <c r="M872" s="2"/>
      <c r="N872" s="5"/>
      <c r="O872" s="3"/>
      <c r="P872" s="6"/>
      <c r="Q872" s="48">
        <f>IF(Учет!$O872=Справочники!$F$2,Учет!$H872,0)</f>
        <v>0</v>
      </c>
      <c r="R872" s="48">
        <f>IF(Учет!$O872=Справочники!$F$3,Учет!$H872,0)</f>
        <v>0</v>
      </c>
      <c r="S872" s="48">
        <f>IF(Учет!$O872=Справочники!$F$4,Учет!$H872,0)</f>
        <v>0</v>
      </c>
      <c r="T872" s="48">
        <f>IF(Учет!$O872=Справочники!$F$5,Учет!$H872,0)</f>
        <v>0</v>
      </c>
      <c r="U872" s="48">
        <f>IF(Учет!$O872=Справочники!$F$6,Учет!$H872,0)</f>
        <v>0</v>
      </c>
      <c r="V872" s="43">
        <f>V871+Учет!Q872-Q872</f>
        <v>-488978.92000000004</v>
      </c>
      <c r="W872" s="43">
        <f>W871+Учет!R872-R872</f>
        <v>336855</v>
      </c>
      <c r="X872" s="43">
        <f>X871+Учет!S872-S872</f>
        <v>500</v>
      </c>
      <c r="Y872" s="43">
        <f>Y871+Учет!T872-T872</f>
        <v>1150</v>
      </c>
      <c r="Z872" s="43">
        <f>Z871+Учет!U872-U872</f>
        <v>500000</v>
      </c>
      <c r="AA872" s="45">
        <f>Учет!X872</f>
        <v>500</v>
      </c>
    </row>
    <row r="873" spans="1:27" ht="15" customHeight="1" x14ac:dyDescent="0.25">
      <c r="A873" s="1"/>
      <c r="B873" s="17"/>
      <c r="C873" s="17"/>
      <c r="D873" s="17"/>
      <c r="E873" s="17"/>
      <c r="F873" s="17"/>
      <c r="G873" s="4">
        <f t="shared" si="36"/>
        <v>0</v>
      </c>
      <c r="H873" s="17"/>
      <c r="I873" s="4">
        <f t="shared" si="38"/>
        <v>349526.07999999996</v>
      </c>
      <c r="J873" s="32" t="str">
        <f t="shared" si="37"/>
        <v/>
      </c>
      <c r="K873" s="72"/>
      <c r="L873" s="72"/>
      <c r="M873" s="2"/>
      <c r="N873" s="5"/>
      <c r="O873" s="3"/>
      <c r="P873" s="6"/>
      <c r="Q873" s="48">
        <f>IF(Учет!$O873=Справочники!$F$2,Учет!$H873,0)</f>
        <v>0</v>
      </c>
      <c r="R873" s="48">
        <f>IF(Учет!$O873=Справочники!$F$3,Учет!$H873,0)</f>
        <v>0</v>
      </c>
      <c r="S873" s="48">
        <f>IF(Учет!$O873=Справочники!$F$4,Учет!$H873,0)</f>
        <v>0</v>
      </c>
      <c r="T873" s="48">
        <f>IF(Учет!$O873=Справочники!$F$5,Учет!$H873,0)</f>
        <v>0</v>
      </c>
      <c r="U873" s="48">
        <f>IF(Учет!$O873=Справочники!$F$6,Учет!$H873,0)</f>
        <v>0</v>
      </c>
      <c r="V873" s="43">
        <f>V872+Учет!Q873-Q873</f>
        <v>-488978.92000000004</v>
      </c>
      <c r="W873" s="43">
        <f>W872+Учет!R873-R873</f>
        <v>336855</v>
      </c>
      <c r="X873" s="43">
        <f>X872+Учет!S873-S873</f>
        <v>500</v>
      </c>
      <c r="Y873" s="43">
        <f>Y872+Учет!T873-T873</f>
        <v>1150</v>
      </c>
      <c r="Z873" s="43">
        <f>Z872+Учет!U873-U873</f>
        <v>500000</v>
      </c>
      <c r="AA873" s="45">
        <f>Учет!X873</f>
        <v>500</v>
      </c>
    </row>
    <row r="874" spans="1:27" ht="15" customHeight="1" x14ac:dyDescent="0.25">
      <c r="A874" s="1"/>
      <c r="B874" s="17"/>
      <c r="C874" s="17"/>
      <c r="D874" s="17"/>
      <c r="E874" s="17"/>
      <c r="F874" s="17"/>
      <c r="G874" s="4">
        <f t="shared" si="36"/>
        <v>0</v>
      </c>
      <c r="H874" s="17"/>
      <c r="I874" s="4">
        <f t="shared" si="38"/>
        <v>349526.07999999996</v>
      </c>
      <c r="J874" s="32" t="str">
        <f t="shared" si="37"/>
        <v/>
      </c>
      <c r="K874" s="72"/>
      <c r="L874" s="72"/>
      <c r="M874" s="2"/>
      <c r="N874" s="5"/>
      <c r="O874" s="3"/>
      <c r="P874" s="6"/>
      <c r="Q874" s="48">
        <f>IF(Учет!$O874=Справочники!$F$2,Учет!$H874,0)</f>
        <v>0</v>
      </c>
      <c r="R874" s="48">
        <f>IF(Учет!$O874=Справочники!$F$3,Учет!$H874,0)</f>
        <v>0</v>
      </c>
      <c r="S874" s="48">
        <f>IF(Учет!$O874=Справочники!$F$4,Учет!$H874,0)</f>
        <v>0</v>
      </c>
      <c r="T874" s="48">
        <f>IF(Учет!$O874=Справочники!$F$5,Учет!$H874,0)</f>
        <v>0</v>
      </c>
      <c r="U874" s="48">
        <f>IF(Учет!$O874=Справочники!$F$6,Учет!$H874,0)</f>
        <v>0</v>
      </c>
      <c r="V874" s="43">
        <f>V873+Учет!Q874-Q874</f>
        <v>-488978.92000000004</v>
      </c>
      <c r="W874" s="43">
        <f>W873+Учет!R874-R874</f>
        <v>336855</v>
      </c>
      <c r="X874" s="43">
        <f>X873+Учет!S874-S874</f>
        <v>500</v>
      </c>
      <c r="Y874" s="43">
        <f>Y873+Учет!T874-T874</f>
        <v>1150</v>
      </c>
      <c r="Z874" s="43">
        <f>Z873+Учет!U874-U874</f>
        <v>500000</v>
      </c>
      <c r="AA874" s="45">
        <f>Учет!X874</f>
        <v>500</v>
      </c>
    </row>
    <row r="875" spans="1:27" ht="15" customHeight="1" x14ac:dyDescent="0.25">
      <c r="A875" s="1"/>
      <c r="B875" s="17"/>
      <c r="C875" s="17"/>
      <c r="D875" s="17"/>
      <c r="E875" s="17"/>
      <c r="F875" s="17"/>
      <c r="G875" s="4">
        <f t="shared" si="36"/>
        <v>0</v>
      </c>
      <c r="H875" s="17"/>
      <c r="I875" s="4">
        <f t="shared" si="38"/>
        <v>349526.07999999996</v>
      </c>
      <c r="J875" s="32" t="str">
        <f t="shared" si="37"/>
        <v/>
      </c>
      <c r="K875" s="72"/>
      <c r="L875" s="72"/>
      <c r="M875" s="2"/>
      <c r="N875" s="5"/>
      <c r="O875" s="3"/>
      <c r="P875" s="6"/>
      <c r="Q875" s="48">
        <f>IF(Учет!$O875=Справочники!$F$2,Учет!$H875,0)</f>
        <v>0</v>
      </c>
      <c r="R875" s="48">
        <f>IF(Учет!$O875=Справочники!$F$3,Учет!$H875,0)</f>
        <v>0</v>
      </c>
      <c r="S875" s="48">
        <f>IF(Учет!$O875=Справочники!$F$4,Учет!$H875,0)</f>
        <v>0</v>
      </c>
      <c r="T875" s="48">
        <f>IF(Учет!$O875=Справочники!$F$5,Учет!$H875,0)</f>
        <v>0</v>
      </c>
      <c r="U875" s="48">
        <f>IF(Учет!$O875=Справочники!$F$6,Учет!$H875,0)</f>
        <v>0</v>
      </c>
      <c r="V875" s="43">
        <f>V874+Учет!Q875-Q875</f>
        <v>-488978.92000000004</v>
      </c>
      <c r="W875" s="43">
        <f>W874+Учет!R875-R875</f>
        <v>336855</v>
      </c>
      <c r="X875" s="43">
        <f>X874+Учет!S875-S875</f>
        <v>500</v>
      </c>
      <c r="Y875" s="43">
        <f>Y874+Учет!T875-T875</f>
        <v>1150</v>
      </c>
      <c r="Z875" s="43">
        <f>Z874+Учет!U875-U875</f>
        <v>500000</v>
      </c>
      <c r="AA875" s="45">
        <f>Учет!X875</f>
        <v>500</v>
      </c>
    </row>
    <row r="876" spans="1:27" ht="15" customHeight="1" x14ac:dyDescent="0.25">
      <c r="A876" s="1"/>
      <c r="B876" s="17"/>
      <c r="C876" s="17"/>
      <c r="D876" s="17"/>
      <c r="E876" s="17"/>
      <c r="F876" s="17"/>
      <c r="G876" s="4">
        <f t="shared" si="36"/>
        <v>0</v>
      </c>
      <c r="H876" s="17"/>
      <c r="I876" s="4">
        <f t="shared" si="38"/>
        <v>349526.07999999996</v>
      </c>
      <c r="J876" s="32" t="str">
        <f t="shared" si="37"/>
        <v/>
      </c>
      <c r="K876" s="72"/>
      <c r="L876" s="72"/>
      <c r="M876" s="2"/>
      <c r="N876" s="5"/>
      <c r="O876" s="3"/>
      <c r="P876" s="6"/>
      <c r="Q876" s="48">
        <f>IF(Учет!$O876=Справочники!$F$2,Учет!$H876,0)</f>
        <v>0</v>
      </c>
      <c r="R876" s="48">
        <f>IF(Учет!$O876=Справочники!$F$3,Учет!$H876,0)</f>
        <v>0</v>
      </c>
      <c r="S876" s="48">
        <f>IF(Учет!$O876=Справочники!$F$4,Учет!$H876,0)</f>
        <v>0</v>
      </c>
      <c r="T876" s="48">
        <f>IF(Учет!$O876=Справочники!$F$5,Учет!$H876,0)</f>
        <v>0</v>
      </c>
      <c r="U876" s="48">
        <f>IF(Учет!$O876=Справочники!$F$6,Учет!$H876,0)</f>
        <v>0</v>
      </c>
      <c r="V876" s="43">
        <f>V875+Учет!Q876-Q876</f>
        <v>-488978.92000000004</v>
      </c>
      <c r="W876" s="43">
        <f>W875+Учет!R876-R876</f>
        <v>336855</v>
      </c>
      <c r="X876" s="43">
        <f>X875+Учет!S876-S876</f>
        <v>500</v>
      </c>
      <c r="Y876" s="43">
        <f>Y875+Учет!T876-T876</f>
        <v>1150</v>
      </c>
      <c r="Z876" s="43">
        <f>Z875+Учет!U876-U876</f>
        <v>500000</v>
      </c>
      <c r="AA876" s="45">
        <f>Учет!X876</f>
        <v>500</v>
      </c>
    </row>
    <row r="877" spans="1:27" ht="15" customHeight="1" x14ac:dyDescent="0.25">
      <c r="A877" s="1"/>
      <c r="B877" s="17"/>
      <c r="C877" s="17"/>
      <c r="D877" s="17"/>
      <c r="E877" s="17"/>
      <c r="F877" s="17"/>
      <c r="G877" s="4">
        <f t="shared" si="36"/>
        <v>0</v>
      </c>
      <c r="H877" s="17"/>
      <c r="I877" s="4">
        <f t="shared" si="38"/>
        <v>349526.07999999996</v>
      </c>
      <c r="J877" s="32" t="str">
        <f t="shared" si="37"/>
        <v/>
      </c>
      <c r="K877" s="72"/>
      <c r="L877" s="72"/>
      <c r="M877" s="2"/>
      <c r="N877" s="5"/>
      <c r="O877" s="3"/>
      <c r="P877" s="6"/>
      <c r="Q877" s="48">
        <f>IF(Учет!$O877=Справочники!$F$2,Учет!$H877,0)</f>
        <v>0</v>
      </c>
      <c r="R877" s="48">
        <f>IF(Учет!$O877=Справочники!$F$3,Учет!$H877,0)</f>
        <v>0</v>
      </c>
      <c r="S877" s="48">
        <f>IF(Учет!$O877=Справочники!$F$4,Учет!$H877,0)</f>
        <v>0</v>
      </c>
      <c r="T877" s="48">
        <f>IF(Учет!$O877=Справочники!$F$5,Учет!$H877,0)</f>
        <v>0</v>
      </c>
      <c r="U877" s="48">
        <f>IF(Учет!$O877=Справочники!$F$6,Учет!$H877,0)</f>
        <v>0</v>
      </c>
      <c r="V877" s="43">
        <f>V876+Учет!Q877-Q877</f>
        <v>-488978.92000000004</v>
      </c>
      <c r="W877" s="43">
        <f>W876+Учет!R877-R877</f>
        <v>336855</v>
      </c>
      <c r="X877" s="43">
        <f>X876+Учет!S877-S877</f>
        <v>500</v>
      </c>
      <c r="Y877" s="43">
        <f>Y876+Учет!T877-T877</f>
        <v>1150</v>
      </c>
      <c r="Z877" s="43">
        <f>Z876+Учет!U877-U877</f>
        <v>500000</v>
      </c>
      <c r="AA877" s="45">
        <f>Учет!X877</f>
        <v>500</v>
      </c>
    </row>
    <row r="878" spans="1:27" ht="15" customHeight="1" x14ac:dyDescent="0.25">
      <c r="A878" s="1"/>
      <c r="B878" s="17"/>
      <c r="C878" s="17"/>
      <c r="D878" s="17"/>
      <c r="E878" s="17"/>
      <c r="F878" s="17"/>
      <c r="G878" s="4">
        <f t="shared" si="36"/>
        <v>0</v>
      </c>
      <c r="H878" s="17"/>
      <c r="I878" s="4">
        <f t="shared" si="38"/>
        <v>349526.07999999996</v>
      </c>
      <c r="J878" s="32" t="str">
        <f t="shared" si="37"/>
        <v/>
      </c>
      <c r="K878" s="72"/>
      <c r="L878" s="72"/>
      <c r="M878" s="2"/>
      <c r="N878" s="5"/>
      <c r="O878" s="3"/>
      <c r="P878" s="6"/>
      <c r="Q878" s="48">
        <f>IF(Учет!$O878=Справочники!$F$2,Учет!$H878,0)</f>
        <v>0</v>
      </c>
      <c r="R878" s="48">
        <f>IF(Учет!$O878=Справочники!$F$3,Учет!$H878,0)</f>
        <v>0</v>
      </c>
      <c r="S878" s="48">
        <f>IF(Учет!$O878=Справочники!$F$4,Учет!$H878,0)</f>
        <v>0</v>
      </c>
      <c r="T878" s="48">
        <f>IF(Учет!$O878=Справочники!$F$5,Учет!$H878,0)</f>
        <v>0</v>
      </c>
      <c r="U878" s="48">
        <f>IF(Учет!$O878=Справочники!$F$6,Учет!$H878,0)</f>
        <v>0</v>
      </c>
      <c r="V878" s="43">
        <f>V877+Учет!Q878-Q878</f>
        <v>-488978.92000000004</v>
      </c>
      <c r="W878" s="43">
        <f>W877+Учет!R878-R878</f>
        <v>336855</v>
      </c>
      <c r="X878" s="43">
        <f>X877+Учет!S878-S878</f>
        <v>500</v>
      </c>
      <c r="Y878" s="43">
        <f>Y877+Учет!T878-T878</f>
        <v>1150</v>
      </c>
      <c r="Z878" s="43">
        <f>Z877+Учет!U878-U878</f>
        <v>500000</v>
      </c>
      <c r="AA878" s="45">
        <f>Учет!X878</f>
        <v>500</v>
      </c>
    </row>
    <row r="879" spans="1:27" ht="15" customHeight="1" x14ac:dyDescent="0.25">
      <c r="A879" s="1"/>
      <c r="B879" s="17"/>
      <c r="C879" s="17"/>
      <c r="D879" s="17"/>
      <c r="E879" s="17"/>
      <c r="F879" s="17"/>
      <c r="G879" s="4">
        <f t="shared" si="36"/>
        <v>0</v>
      </c>
      <c r="H879" s="17"/>
      <c r="I879" s="4">
        <f t="shared" si="38"/>
        <v>349526.07999999996</v>
      </c>
      <c r="J879" s="32" t="str">
        <f t="shared" si="37"/>
        <v/>
      </c>
      <c r="K879" s="72"/>
      <c r="L879" s="72"/>
      <c r="M879" s="2"/>
      <c r="N879" s="5"/>
      <c r="O879" s="3"/>
      <c r="P879" s="6"/>
      <c r="Q879" s="48">
        <f>IF(Учет!$O879=Справочники!$F$2,Учет!$H879,0)</f>
        <v>0</v>
      </c>
      <c r="R879" s="48">
        <f>IF(Учет!$O879=Справочники!$F$3,Учет!$H879,0)</f>
        <v>0</v>
      </c>
      <c r="S879" s="48">
        <f>IF(Учет!$O879=Справочники!$F$4,Учет!$H879,0)</f>
        <v>0</v>
      </c>
      <c r="T879" s="48">
        <f>IF(Учет!$O879=Справочники!$F$5,Учет!$H879,0)</f>
        <v>0</v>
      </c>
      <c r="U879" s="48">
        <f>IF(Учет!$O879=Справочники!$F$6,Учет!$H879,0)</f>
        <v>0</v>
      </c>
      <c r="V879" s="43">
        <f>V878+Учет!Q879-Q879</f>
        <v>-488978.92000000004</v>
      </c>
      <c r="W879" s="43">
        <f>W878+Учет!R879-R879</f>
        <v>336855</v>
      </c>
      <c r="X879" s="43">
        <f>X878+Учет!S879-S879</f>
        <v>500</v>
      </c>
      <c r="Y879" s="43">
        <f>Y878+Учет!T879-T879</f>
        <v>1150</v>
      </c>
      <c r="Z879" s="43">
        <f>Z878+Учет!U879-U879</f>
        <v>500000</v>
      </c>
      <c r="AA879" s="45">
        <f>Учет!X879</f>
        <v>500</v>
      </c>
    </row>
    <row r="880" spans="1:27" ht="15" customHeight="1" x14ac:dyDescent="0.25">
      <c r="A880" s="1"/>
      <c r="B880" s="17"/>
      <c r="C880" s="17"/>
      <c r="D880" s="17"/>
      <c r="E880" s="17"/>
      <c r="F880" s="17"/>
      <c r="G880" s="4">
        <f t="shared" si="36"/>
        <v>0</v>
      </c>
      <c r="H880" s="17"/>
      <c r="I880" s="4">
        <f t="shared" si="38"/>
        <v>349526.07999999996</v>
      </c>
      <c r="J880" s="32" t="str">
        <f t="shared" si="37"/>
        <v/>
      </c>
      <c r="K880" s="72"/>
      <c r="L880" s="72"/>
      <c r="M880" s="2"/>
      <c r="N880" s="5"/>
      <c r="O880" s="3"/>
      <c r="P880" s="6"/>
      <c r="Q880" s="48">
        <f>IF(Учет!$O880=Справочники!$F$2,Учет!$H880,0)</f>
        <v>0</v>
      </c>
      <c r="R880" s="48">
        <f>IF(Учет!$O880=Справочники!$F$3,Учет!$H880,0)</f>
        <v>0</v>
      </c>
      <c r="S880" s="48">
        <f>IF(Учет!$O880=Справочники!$F$4,Учет!$H880,0)</f>
        <v>0</v>
      </c>
      <c r="T880" s="48">
        <f>IF(Учет!$O880=Справочники!$F$5,Учет!$H880,0)</f>
        <v>0</v>
      </c>
      <c r="U880" s="48">
        <f>IF(Учет!$O880=Справочники!$F$6,Учет!$H880,0)</f>
        <v>0</v>
      </c>
      <c r="V880" s="43">
        <f>V879+Учет!Q880-Q880</f>
        <v>-488978.92000000004</v>
      </c>
      <c r="W880" s="43">
        <f>W879+Учет!R880-R880</f>
        <v>336855</v>
      </c>
      <c r="X880" s="43">
        <f>X879+Учет!S880-S880</f>
        <v>500</v>
      </c>
      <c r="Y880" s="43">
        <f>Y879+Учет!T880-T880</f>
        <v>1150</v>
      </c>
      <c r="Z880" s="43">
        <f>Z879+Учет!U880-U880</f>
        <v>500000</v>
      </c>
      <c r="AA880" s="45">
        <f>Учет!X880</f>
        <v>500</v>
      </c>
    </row>
    <row r="881" spans="1:27" ht="15" customHeight="1" x14ac:dyDescent="0.25">
      <c r="A881" s="1"/>
      <c r="B881" s="17"/>
      <c r="C881" s="17"/>
      <c r="D881" s="17"/>
      <c r="E881" s="17"/>
      <c r="F881" s="17"/>
      <c r="G881" s="4">
        <f t="shared" si="36"/>
        <v>0</v>
      </c>
      <c r="H881" s="17"/>
      <c r="I881" s="4">
        <f t="shared" si="38"/>
        <v>349526.07999999996</v>
      </c>
      <c r="J881" s="32" t="str">
        <f t="shared" si="37"/>
        <v/>
      </c>
      <c r="K881" s="72"/>
      <c r="L881" s="72"/>
      <c r="M881" s="2"/>
      <c r="N881" s="5"/>
      <c r="O881" s="3"/>
      <c r="P881" s="6"/>
      <c r="Q881" s="48">
        <f>IF(Учет!$O881=Справочники!$F$2,Учет!$H881,0)</f>
        <v>0</v>
      </c>
      <c r="R881" s="48">
        <f>IF(Учет!$O881=Справочники!$F$3,Учет!$H881,0)</f>
        <v>0</v>
      </c>
      <c r="S881" s="48">
        <f>IF(Учет!$O881=Справочники!$F$4,Учет!$H881,0)</f>
        <v>0</v>
      </c>
      <c r="T881" s="48">
        <f>IF(Учет!$O881=Справочники!$F$5,Учет!$H881,0)</f>
        <v>0</v>
      </c>
      <c r="U881" s="48">
        <f>IF(Учет!$O881=Справочники!$F$6,Учет!$H881,0)</f>
        <v>0</v>
      </c>
      <c r="V881" s="43">
        <f>V880+Учет!Q881-Q881</f>
        <v>-488978.92000000004</v>
      </c>
      <c r="W881" s="43">
        <f>W880+Учет!R881-R881</f>
        <v>336855</v>
      </c>
      <c r="X881" s="43">
        <f>X880+Учет!S881-S881</f>
        <v>500</v>
      </c>
      <c r="Y881" s="43">
        <f>Y880+Учет!T881-T881</f>
        <v>1150</v>
      </c>
      <c r="Z881" s="43">
        <f>Z880+Учет!U881-U881</f>
        <v>500000</v>
      </c>
      <c r="AA881" s="45">
        <f>Учет!X881</f>
        <v>500</v>
      </c>
    </row>
    <row r="882" spans="1:27" ht="15" customHeight="1" x14ac:dyDescent="0.25">
      <c r="A882" s="1"/>
      <c r="B882" s="17"/>
      <c r="C882" s="17"/>
      <c r="D882" s="17"/>
      <c r="E882" s="17"/>
      <c r="F882" s="17"/>
      <c r="G882" s="4">
        <f t="shared" si="36"/>
        <v>0</v>
      </c>
      <c r="H882" s="17"/>
      <c r="I882" s="4">
        <f t="shared" si="38"/>
        <v>349526.07999999996</v>
      </c>
      <c r="J882" s="32" t="str">
        <f t="shared" si="37"/>
        <v/>
      </c>
      <c r="K882" s="72"/>
      <c r="L882" s="72"/>
      <c r="M882" s="2"/>
      <c r="N882" s="5"/>
      <c r="O882" s="3"/>
      <c r="P882" s="6"/>
      <c r="Q882" s="48">
        <f>IF(Учет!$O882=Справочники!$F$2,Учет!$H882,0)</f>
        <v>0</v>
      </c>
      <c r="R882" s="48">
        <f>IF(Учет!$O882=Справочники!$F$3,Учет!$H882,0)</f>
        <v>0</v>
      </c>
      <c r="S882" s="48">
        <f>IF(Учет!$O882=Справочники!$F$4,Учет!$H882,0)</f>
        <v>0</v>
      </c>
      <c r="T882" s="48">
        <f>IF(Учет!$O882=Справочники!$F$5,Учет!$H882,0)</f>
        <v>0</v>
      </c>
      <c r="U882" s="48">
        <f>IF(Учет!$O882=Справочники!$F$6,Учет!$H882,0)</f>
        <v>0</v>
      </c>
      <c r="V882" s="43">
        <f>V881+Учет!Q882-Q882</f>
        <v>-488978.92000000004</v>
      </c>
      <c r="W882" s="43">
        <f>W881+Учет!R882-R882</f>
        <v>336855</v>
      </c>
      <c r="X882" s="43">
        <f>X881+Учет!S882-S882</f>
        <v>500</v>
      </c>
      <c r="Y882" s="43">
        <f>Y881+Учет!T882-T882</f>
        <v>1150</v>
      </c>
      <c r="Z882" s="43">
        <f>Z881+Учет!U882-U882</f>
        <v>500000</v>
      </c>
      <c r="AA882" s="45">
        <f>Учет!X882</f>
        <v>500</v>
      </c>
    </row>
    <row r="883" spans="1:27" ht="15" customHeight="1" x14ac:dyDescent="0.25">
      <c r="A883" s="1"/>
      <c r="B883" s="17"/>
      <c r="C883" s="17"/>
      <c r="D883" s="17"/>
      <c r="E883" s="17"/>
      <c r="F883" s="17"/>
      <c r="G883" s="4">
        <f t="shared" si="36"/>
        <v>0</v>
      </c>
      <c r="H883" s="17"/>
      <c r="I883" s="4">
        <f t="shared" si="38"/>
        <v>349526.07999999996</v>
      </c>
      <c r="J883" s="32" t="str">
        <f t="shared" si="37"/>
        <v/>
      </c>
      <c r="K883" s="72"/>
      <c r="L883" s="72"/>
      <c r="M883" s="2"/>
      <c r="N883" s="5"/>
      <c r="O883" s="3"/>
      <c r="P883" s="6"/>
      <c r="Q883" s="48">
        <f>IF(Учет!$O883=Справочники!$F$2,Учет!$H883,0)</f>
        <v>0</v>
      </c>
      <c r="R883" s="48">
        <f>IF(Учет!$O883=Справочники!$F$3,Учет!$H883,0)</f>
        <v>0</v>
      </c>
      <c r="S883" s="48">
        <f>IF(Учет!$O883=Справочники!$F$4,Учет!$H883,0)</f>
        <v>0</v>
      </c>
      <c r="T883" s="48">
        <f>IF(Учет!$O883=Справочники!$F$5,Учет!$H883,0)</f>
        <v>0</v>
      </c>
      <c r="U883" s="48">
        <f>IF(Учет!$O883=Справочники!$F$6,Учет!$H883,0)</f>
        <v>0</v>
      </c>
      <c r="V883" s="43">
        <f>V882+Учет!Q883-Q883</f>
        <v>-488978.92000000004</v>
      </c>
      <c r="W883" s="43">
        <f>W882+Учет!R883-R883</f>
        <v>336855</v>
      </c>
      <c r="X883" s="43">
        <f>X882+Учет!S883-S883</f>
        <v>500</v>
      </c>
      <c r="Y883" s="43">
        <f>Y882+Учет!T883-T883</f>
        <v>1150</v>
      </c>
      <c r="Z883" s="43">
        <f>Z882+Учет!U883-U883</f>
        <v>500000</v>
      </c>
      <c r="AA883" s="45">
        <f>Учет!X883</f>
        <v>500</v>
      </c>
    </row>
    <row r="884" spans="1:27" ht="15" customHeight="1" x14ac:dyDescent="0.25">
      <c r="A884" s="1"/>
      <c r="B884" s="17"/>
      <c r="C884" s="17"/>
      <c r="D884" s="17"/>
      <c r="E884" s="17"/>
      <c r="F884" s="17"/>
      <c r="G884" s="4">
        <f t="shared" si="36"/>
        <v>0</v>
      </c>
      <c r="H884" s="17"/>
      <c r="I884" s="4">
        <f t="shared" si="38"/>
        <v>349526.07999999996</v>
      </c>
      <c r="J884" s="32" t="str">
        <f t="shared" si="37"/>
        <v/>
      </c>
      <c r="K884" s="72"/>
      <c r="L884" s="72"/>
      <c r="M884" s="2"/>
      <c r="N884" s="5"/>
      <c r="O884" s="3"/>
      <c r="P884" s="6"/>
      <c r="Q884" s="48">
        <f>IF(Учет!$O884=Справочники!$F$2,Учет!$H884,0)</f>
        <v>0</v>
      </c>
      <c r="R884" s="48">
        <f>IF(Учет!$O884=Справочники!$F$3,Учет!$H884,0)</f>
        <v>0</v>
      </c>
      <c r="S884" s="48">
        <f>IF(Учет!$O884=Справочники!$F$4,Учет!$H884,0)</f>
        <v>0</v>
      </c>
      <c r="T884" s="48">
        <f>IF(Учет!$O884=Справочники!$F$5,Учет!$H884,0)</f>
        <v>0</v>
      </c>
      <c r="U884" s="48">
        <f>IF(Учет!$O884=Справочники!$F$6,Учет!$H884,0)</f>
        <v>0</v>
      </c>
      <c r="V884" s="43">
        <f>V883+Учет!Q884-Q884</f>
        <v>-488978.92000000004</v>
      </c>
      <c r="W884" s="43">
        <f>W883+Учет!R884-R884</f>
        <v>336855</v>
      </c>
      <c r="X884" s="43">
        <f>X883+Учет!S884-S884</f>
        <v>500</v>
      </c>
      <c r="Y884" s="43">
        <f>Y883+Учет!T884-T884</f>
        <v>1150</v>
      </c>
      <c r="Z884" s="43">
        <f>Z883+Учет!U884-U884</f>
        <v>500000</v>
      </c>
      <c r="AA884" s="45">
        <f>Учет!X884</f>
        <v>500</v>
      </c>
    </row>
    <row r="885" spans="1:27" ht="15" customHeight="1" x14ac:dyDescent="0.25">
      <c r="A885" s="1"/>
      <c r="B885" s="17"/>
      <c r="C885" s="17"/>
      <c r="D885" s="17"/>
      <c r="E885" s="17"/>
      <c r="F885" s="17"/>
      <c r="G885" s="4">
        <f t="shared" si="36"/>
        <v>0</v>
      </c>
      <c r="H885" s="17"/>
      <c r="I885" s="4">
        <f t="shared" si="38"/>
        <v>349526.07999999996</v>
      </c>
      <c r="J885" s="32" t="str">
        <f t="shared" si="37"/>
        <v/>
      </c>
      <c r="K885" s="72"/>
      <c r="L885" s="72"/>
      <c r="M885" s="2"/>
      <c r="N885" s="5"/>
      <c r="O885" s="3"/>
      <c r="P885" s="6"/>
      <c r="Q885" s="48">
        <f>IF(Учет!$O885=Справочники!$F$2,Учет!$H885,0)</f>
        <v>0</v>
      </c>
      <c r="R885" s="48">
        <f>IF(Учет!$O885=Справочники!$F$3,Учет!$H885,0)</f>
        <v>0</v>
      </c>
      <c r="S885" s="48">
        <f>IF(Учет!$O885=Справочники!$F$4,Учет!$H885,0)</f>
        <v>0</v>
      </c>
      <c r="T885" s="48">
        <f>IF(Учет!$O885=Справочники!$F$5,Учет!$H885,0)</f>
        <v>0</v>
      </c>
      <c r="U885" s="48">
        <f>IF(Учет!$O885=Справочники!$F$6,Учет!$H885,0)</f>
        <v>0</v>
      </c>
      <c r="V885" s="43">
        <f>V884+Учет!Q885-Q885</f>
        <v>-488978.92000000004</v>
      </c>
      <c r="W885" s="43">
        <f>W884+Учет!R885-R885</f>
        <v>336855</v>
      </c>
      <c r="X885" s="43">
        <f>X884+Учет!S885-S885</f>
        <v>500</v>
      </c>
      <c r="Y885" s="43">
        <f>Y884+Учет!T885-T885</f>
        <v>1150</v>
      </c>
      <c r="Z885" s="43">
        <f>Z884+Учет!U885-U885</f>
        <v>500000</v>
      </c>
      <c r="AA885" s="45">
        <f>Учет!X885</f>
        <v>500</v>
      </c>
    </row>
    <row r="886" spans="1:27" ht="15" customHeight="1" x14ac:dyDescent="0.25">
      <c r="A886" s="1"/>
      <c r="B886" s="17"/>
      <c r="C886" s="17"/>
      <c r="D886" s="17"/>
      <c r="E886" s="17"/>
      <c r="F886" s="17"/>
      <c r="G886" s="4">
        <f t="shared" si="36"/>
        <v>0</v>
      </c>
      <c r="H886" s="17"/>
      <c r="I886" s="4">
        <f t="shared" si="38"/>
        <v>349526.07999999996</v>
      </c>
      <c r="J886" s="32" t="str">
        <f t="shared" si="37"/>
        <v/>
      </c>
      <c r="K886" s="72"/>
      <c r="L886" s="72"/>
      <c r="M886" s="2"/>
      <c r="N886" s="5"/>
      <c r="O886" s="3"/>
      <c r="P886" s="6"/>
      <c r="Q886" s="48">
        <f>IF(Учет!$O886=Справочники!$F$2,Учет!$H886,0)</f>
        <v>0</v>
      </c>
      <c r="R886" s="48">
        <f>IF(Учет!$O886=Справочники!$F$3,Учет!$H886,0)</f>
        <v>0</v>
      </c>
      <c r="S886" s="48">
        <f>IF(Учет!$O886=Справочники!$F$4,Учет!$H886,0)</f>
        <v>0</v>
      </c>
      <c r="T886" s="48">
        <f>IF(Учет!$O886=Справочники!$F$5,Учет!$H886,0)</f>
        <v>0</v>
      </c>
      <c r="U886" s="48">
        <f>IF(Учет!$O886=Справочники!$F$6,Учет!$H886,0)</f>
        <v>0</v>
      </c>
      <c r="V886" s="43">
        <f>V885+Учет!Q886-Q886</f>
        <v>-488978.92000000004</v>
      </c>
      <c r="W886" s="43">
        <f>W885+Учет!R886-R886</f>
        <v>336855</v>
      </c>
      <c r="X886" s="43">
        <f>X885+Учет!S886-S886</f>
        <v>500</v>
      </c>
      <c r="Y886" s="43">
        <f>Y885+Учет!T886-T886</f>
        <v>1150</v>
      </c>
      <c r="Z886" s="43">
        <f>Z885+Учет!U886-U886</f>
        <v>500000</v>
      </c>
      <c r="AA886" s="45">
        <f>Учет!X886</f>
        <v>500</v>
      </c>
    </row>
    <row r="887" spans="1:27" ht="15" customHeight="1" x14ac:dyDescent="0.25">
      <c r="A887" s="1"/>
      <c r="B887" s="17"/>
      <c r="C887" s="17"/>
      <c r="D887" s="17"/>
      <c r="E887" s="17"/>
      <c r="F887" s="17"/>
      <c r="G887" s="4">
        <f t="shared" si="36"/>
        <v>0</v>
      </c>
      <c r="H887" s="17"/>
      <c r="I887" s="4">
        <f t="shared" si="38"/>
        <v>349526.07999999996</v>
      </c>
      <c r="J887" s="32" t="str">
        <f t="shared" si="37"/>
        <v/>
      </c>
      <c r="K887" s="72"/>
      <c r="L887" s="72"/>
      <c r="M887" s="2"/>
      <c r="N887" s="5"/>
      <c r="O887" s="3"/>
      <c r="P887" s="6"/>
      <c r="Q887" s="48">
        <f>IF(Учет!$O887=Справочники!$F$2,Учет!$H887,0)</f>
        <v>0</v>
      </c>
      <c r="R887" s="48">
        <f>IF(Учет!$O887=Справочники!$F$3,Учет!$H887,0)</f>
        <v>0</v>
      </c>
      <c r="S887" s="48">
        <f>IF(Учет!$O887=Справочники!$F$4,Учет!$H887,0)</f>
        <v>0</v>
      </c>
      <c r="T887" s="48">
        <f>IF(Учет!$O887=Справочники!$F$5,Учет!$H887,0)</f>
        <v>0</v>
      </c>
      <c r="U887" s="48">
        <f>IF(Учет!$O887=Справочники!$F$6,Учет!$H887,0)</f>
        <v>0</v>
      </c>
      <c r="V887" s="43">
        <f>V886+Учет!Q887-Q887</f>
        <v>-488978.92000000004</v>
      </c>
      <c r="W887" s="43">
        <f>W886+Учет!R887-R887</f>
        <v>336855</v>
      </c>
      <c r="X887" s="43">
        <f>X886+Учет!S887-S887</f>
        <v>500</v>
      </c>
      <c r="Y887" s="43">
        <f>Y886+Учет!T887-T887</f>
        <v>1150</v>
      </c>
      <c r="Z887" s="43">
        <f>Z886+Учет!U887-U887</f>
        <v>500000</v>
      </c>
      <c r="AA887" s="45">
        <f>Учет!X887</f>
        <v>500</v>
      </c>
    </row>
    <row r="888" spans="1:27" ht="15" customHeight="1" x14ac:dyDescent="0.25">
      <c r="A888" s="1"/>
      <c r="B888" s="17"/>
      <c r="C888" s="17"/>
      <c r="D888" s="17"/>
      <c r="E888" s="17"/>
      <c r="F888" s="17"/>
      <c r="G888" s="4">
        <f t="shared" si="36"/>
        <v>0</v>
      </c>
      <c r="H888" s="17"/>
      <c r="I888" s="4">
        <f t="shared" si="38"/>
        <v>349526.07999999996</v>
      </c>
      <c r="J888" s="32" t="str">
        <f t="shared" si="37"/>
        <v/>
      </c>
      <c r="K888" s="72"/>
      <c r="L888" s="72"/>
      <c r="M888" s="2"/>
      <c r="N888" s="5"/>
      <c r="O888" s="3"/>
      <c r="P888" s="6"/>
      <c r="Q888" s="48">
        <f>IF(Учет!$O888=Справочники!$F$2,Учет!$H888,0)</f>
        <v>0</v>
      </c>
      <c r="R888" s="48">
        <f>IF(Учет!$O888=Справочники!$F$3,Учет!$H888,0)</f>
        <v>0</v>
      </c>
      <c r="S888" s="48">
        <f>IF(Учет!$O888=Справочники!$F$4,Учет!$H888,0)</f>
        <v>0</v>
      </c>
      <c r="T888" s="48">
        <f>IF(Учет!$O888=Справочники!$F$5,Учет!$H888,0)</f>
        <v>0</v>
      </c>
      <c r="U888" s="48">
        <f>IF(Учет!$O888=Справочники!$F$6,Учет!$H888,0)</f>
        <v>0</v>
      </c>
      <c r="V888" s="43">
        <f>V887+Учет!Q888-Q888</f>
        <v>-488978.92000000004</v>
      </c>
      <c r="W888" s="43">
        <f>W887+Учет!R888-R888</f>
        <v>336855</v>
      </c>
      <c r="X888" s="43">
        <f>X887+Учет!S888-S888</f>
        <v>500</v>
      </c>
      <c r="Y888" s="43">
        <f>Y887+Учет!T888-T888</f>
        <v>1150</v>
      </c>
      <c r="Z888" s="43">
        <f>Z887+Учет!U888-U888</f>
        <v>500000</v>
      </c>
      <c r="AA888" s="45">
        <f>Учет!X888</f>
        <v>500</v>
      </c>
    </row>
    <row r="889" spans="1:27" ht="15" customHeight="1" x14ac:dyDescent="0.25">
      <c r="A889" s="1"/>
      <c r="B889" s="17"/>
      <c r="C889" s="17"/>
      <c r="D889" s="17"/>
      <c r="E889" s="17"/>
      <c r="F889" s="17"/>
      <c r="G889" s="4">
        <f t="shared" si="36"/>
        <v>0</v>
      </c>
      <c r="H889" s="17"/>
      <c r="I889" s="4">
        <f t="shared" si="38"/>
        <v>349526.07999999996</v>
      </c>
      <c r="J889" s="32" t="str">
        <f t="shared" si="37"/>
        <v/>
      </c>
      <c r="K889" s="72"/>
      <c r="L889" s="72"/>
      <c r="M889" s="2"/>
      <c r="N889" s="5"/>
      <c r="O889" s="3"/>
      <c r="P889" s="6"/>
      <c r="Q889" s="48">
        <f>IF(Учет!$O889=Справочники!$F$2,Учет!$H889,0)</f>
        <v>0</v>
      </c>
      <c r="R889" s="48">
        <f>IF(Учет!$O889=Справочники!$F$3,Учет!$H889,0)</f>
        <v>0</v>
      </c>
      <c r="S889" s="48">
        <f>IF(Учет!$O889=Справочники!$F$4,Учет!$H889,0)</f>
        <v>0</v>
      </c>
      <c r="T889" s="48">
        <f>IF(Учет!$O889=Справочники!$F$5,Учет!$H889,0)</f>
        <v>0</v>
      </c>
      <c r="U889" s="48">
        <f>IF(Учет!$O889=Справочники!$F$6,Учет!$H889,0)</f>
        <v>0</v>
      </c>
      <c r="V889" s="43">
        <f>V888+Учет!Q889-Q889</f>
        <v>-488978.92000000004</v>
      </c>
      <c r="W889" s="43">
        <f>W888+Учет!R889-R889</f>
        <v>336855</v>
      </c>
      <c r="X889" s="43">
        <f>X888+Учет!S889-S889</f>
        <v>500</v>
      </c>
      <c r="Y889" s="43">
        <f>Y888+Учет!T889-T889</f>
        <v>1150</v>
      </c>
      <c r="Z889" s="43">
        <f>Z888+Учет!U889-U889</f>
        <v>500000</v>
      </c>
      <c r="AA889" s="45">
        <f>Учет!X889</f>
        <v>500</v>
      </c>
    </row>
    <row r="890" spans="1:27" ht="15" customHeight="1" x14ac:dyDescent="0.25">
      <c r="A890" s="1"/>
      <c r="B890" s="17"/>
      <c r="C890" s="17"/>
      <c r="D890" s="17"/>
      <c r="E890" s="17"/>
      <c r="F890" s="17"/>
      <c r="G890" s="4">
        <f t="shared" si="36"/>
        <v>0</v>
      </c>
      <c r="H890" s="17"/>
      <c r="I890" s="4">
        <f t="shared" si="38"/>
        <v>349526.07999999996</v>
      </c>
      <c r="J890" s="32" t="str">
        <f t="shared" si="37"/>
        <v/>
      </c>
      <c r="K890" s="72"/>
      <c r="L890" s="72"/>
      <c r="M890" s="2"/>
      <c r="N890" s="5"/>
      <c r="O890" s="3"/>
      <c r="P890" s="6"/>
      <c r="Q890" s="48">
        <f>IF(Учет!$O890=Справочники!$F$2,Учет!$H890,0)</f>
        <v>0</v>
      </c>
      <c r="R890" s="48">
        <f>IF(Учет!$O890=Справочники!$F$3,Учет!$H890,0)</f>
        <v>0</v>
      </c>
      <c r="S890" s="48">
        <f>IF(Учет!$O890=Справочники!$F$4,Учет!$H890,0)</f>
        <v>0</v>
      </c>
      <c r="T890" s="48">
        <f>IF(Учет!$O890=Справочники!$F$5,Учет!$H890,0)</f>
        <v>0</v>
      </c>
      <c r="U890" s="48">
        <f>IF(Учет!$O890=Справочники!$F$6,Учет!$H890,0)</f>
        <v>0</v>
      </c>
      <c r="V890" s="43">
        <f>V889+Учет!Q890-Q890</f>
        <v>-488978.92000000004</v>
      </c>
      <c r="W890" s="43">
        <f>W889+Учет!R890-R890</f>
        <v>336855</v>
      </c>
      <c r="X890" s="43">
        <f>X889+Учет!S890-S890</f>
        <v>500</v>
      </c>
      <c r="Y890" s="43">
        <f>Y889+Учет!T890-T890</f>
        <v>1150</v>
      </c>
      <c r="Z890" s="43">
        <f>Z889+Учет!U890-U890</f>
        <v>500000</v>
      </c>
      <c r="AA890" s="45">
        <f>Учет!X890</f>
        <v>500</v>
      </c>
    </row>
    <row r="891" spans="1:27" ht="15" customHeight="1" x14ac:dyDescent="0.25">
      <c r="A891" s="1"/>
      <c r="B891" s="17"/>
      <c r="C891" s="17"/>
      <c r="D891" s="17"/>
      <c r="E891" s="17"/>
      <c r="F891" s="17"/>
      <c r="G891" s="4">
        <f t="shared" si="36"/>
        <v>0</v>
      </c>
      <c r="H891" s="17"/>
      <c r="I891" s="4">
        <f t="shared" si="38"/>
        <v>349526.07999999996</v>
      </c>
      <c r="J891" s="32" t="str">
        <f t="shared" si="37"/>
        <v/>
      </c>
      <c r="K891" s="72"/>
      <c r="L891" s="72"/>
      <c r="M891" s="2"/>
      <c r="N891" s="5"/>
      <c r="O891" s="3"/>
      <c r="P891" s="6"/>
      <c r="Q891" s="48">
        <f>IF(Учет!$O891=Справочники!$F$2,Учет!$H891,0)</f>
        <v>0</v>
      </c>
      <c r="R891" s="48">
        <f>IF(Учет!$O891=Справочники!$F$3,Учет!$H891,0)</f>
        <v>0</v>
      </c>
      <c r="S891" s="48">
        <f>IF(Учет!$O891=Справочники!$F$4,Учет!$H891,0)</f>
        <v>0</v>
      </c>
      <c r="T891" s="48">
        <f>IF(Учет!$O891=Справочники!$F$5,Учет!$H891,0)</f>
        <v>0</v>
      </c>
      <c r="U891" s="48">
        <f>IF(Учет!$O891=Справочники!$F$6,Учет!$H891,0)</f>
        <v>0</v>
      </c>
      <c r="V891" s="43">
        <f>V890+Учет!Q891-Q891</f>
        <v>-488978.92000000004</v>
      </c>
      <c r="W891" s="43">
        <f>W890+Учет!R891-R891</f>
        <v>336855</v>
      </c>
      <c r="X891" s="43">
        <f>X890+Учет!S891-S891</f>
        <v>500</v>
      </c>
      <c r="Y891" s="43">
        <f>Y890+Учет!T891-T891</f>
        <v>1150</v>
      </c>
      <c r="Z891" s="43">
        <f>Z890+Учет!U891-U891</f>
        <v>500000</v>
      </c>
      <c r="AA891" s="45">
        <f>Учет!X891</f>
        <v>500</v>
      </c>
    </row>
    <row r="892" spans="1:27" ht="15" customHeight="1" x14ac:dyDescent="0.25">
      <c r="A892" s="1"/>
      <c r="B892" s="17"/>
      <c r="C892" s="17"/>
      <c r="D892" s="17"/>
      <c r="E892" s="17"/>
      <c r="F892" s="17"/>
      <c r="G892" s="4">
        <f t="shared" si="36"/>
        <v>0</v>
      </c>
      <c r="H892" s="17"/>
      <c r="I892" s="4">
        <f t="shared" si="38"/>
        <v>349526.07999999996</v>
      </c>
      <c r="J892" s="32" t="str">
        <f t="shared" si="37"/>
        <v/>
      </c>
      <c r="K892" s="72"/>
      <c r="L892" s="72"/>
      <c r="M892" s="2"/>
      <c r="N892" s="5"/>
      <c r="O892" s="3"/>
      <c r="P892" s="6"/>
      <c r="Q892" s="48">
        <f>IF(Учет!$O892=Справочники!$F$2,Учет!$H892,0)</f>
        <v>0</v>
      </c>
      <c r="R892" s="48">
        <f>IF(Учет!$O892=Справочники!$F$3,Учет!$H892,0)</f>
        <v>0</v>
      </c>
      <c r="S892" s="48">
        <f>IF(Учет!$O892=Справочники!$F$4,Учет!$H892,0)</f>
        <v>0</v>
      </c>
      <c r="T892" s="48">
        <f>IF(Учет!$O892=Справочники!$F$5,Учет!$H892,0)</f>
        <v>0</v>
      </c>
      <c r="U892" s="48">
        <f>IF(Учет!$O892=Справочники!$F$6,Учет!$H892,0)</f>
        <v>0</v>
      </c>
      <c r="V892" s="43">
        <f>V891+Учет!Q892-Q892</f>
        <v>-488978.92000000004</v>
      </c>
      <c r="W892" s="43">
        <f>W891+Учет!R892-R892</f>
        <v>336855</v>
      </c>
      <c r="X892" s="43">
        <f>X891+Учет!S892-S892</f>
        <v>500</v>
      </c>
      <c r="Y892" s="43">
        <f>Y891+Учет!T892-T892</f>
        <v>1150</v>
      </c>
      <c r="Z892" s="43">
        <f>Z891+Учет!U892-U892</f>
        <v>500000</v>
      </c>
      <c r="AA892" s="45">
        <f>Учет!X892</f>
        <v>500</v>
      </c>
    </row>
    <row r="893" spans="1:27" ht="15" customHeight="1" x14ac:dyDescent="0.25">
      <c r="A893" s="1"/>
      <c r="B893" s="17"/>
      <c r="C893" s="17"/>
      <c r="D893" s="17"/>
      <c r="E893" s="17"/>
      <c r="F893" s="17"/>
      <c r="G893" s="4">
        <f t="shared" si="36"/>
        <v>0</v>
      </c>
      <c r="H893" s="17"/>
      <c r="I893" s="4">
        <f t="shared" si="38"/>
        <v>349526.07999999996</v>
      </c>
      <c r="J893" s="32" t="str">
        <f t="shared" si="37"/>
        <v/>
      </c>
      <c r="K893" s="72"/>
      <c r="L893" s="72"/>
      <c r="M893" s="2"/>
      <c r="N893" s="5"/>
      <c r="O893" s="3"/>
      <c r="P893" s="6"/>
      <c r="Q893" s="48">
        <f>IF(Учет!$O893=Справочники!$F$2,Учет!$H893,0)</f>
        <v>0</v>
      </c>
      <c r="R893" s="48">
        <f>IF(Учет!$O893=Справочники!$F$3,Учет!$H893,0)</f>
        <v>0</v>
      </c>
      <c r="S893" s="48">
        <f>IF(Учет!$O893=Справочники!$F$4,Учет!$H893,0)</f>
        <v>0</v>
      </c>
      <c r="T893" s="48">
        <f>IF(Учет!$O893=Справочники!$F$5,Учет!$H893,0)</f>
        <v>0</v>
      </c>
      <c r="U893" s="48">
        <f>IF(Учет!$O893=Справочники!$F$6,Учет!$H893,0)</f>
        <v>0</v>
      </c>
      <c r="V893" s="43">
        <f>V892+Учет!Q893-Q893</f>
        <v>-488978.92000000004</v>
      </c>
      <c r="W893" s="43">
        <f>W892+Учет!R893-R893</f>
        <v>336855</v>
      </c>
      <c r="X893" s="43">
        <f>X892+Учет!S893-S893</f>
        <v>500</v>
      </c>
      <c r="Y893" s="43">
        <f>Y892+Учет!T893-T893</f>
        <v>1150</v>
      </c>
      <c r="Z893" s="43">
        <f>Z892+Учет!U893-U893</f>
        <v>500000</v>
      </c>
      <c r="AA893" s="45">
        <f>Учет!X893</f>
        <v>500</v>
      </c>
    </row>
    <row r="894" spans="1:27" ht="15" customHeight="1" x14ac:dyDescent="0.25">
      <c r="A894" s="1"/>
      <c r="B894" s="17"/>
      <c r="C894" s="17"/>
      <c r="D894" s="17"/>
      <c r="E894" s="17"/>
      <c r="F894" s="17"/>
      <c r="G894" s="4">
        <f t="shared" si="36"/>
        <v>0</v>
      </c>
      <c r="H894" s="17"/>
      <c r="I894" s="4">
        <f t="shared" si="38"/>
        <v>349526.07999999996</v>
      </c>
      <c r="J894" s="32" t="str">
        <f t="shared" si="37"/>
        <v/>
      </c>
      <c r="K894" s="72"/>
      <c r="L894" s="72"/>
      <c r="M894" s="2"/>
      <c r="N894" s="5"/>
      <c r="O894" s="3"/>
      <c r="P894" s="6"/>
      <c r="Q894" s="48">
        <f>IF(Учет!$O894=Справочники!$F$2,Учет!$H894,0)</f>
        <v>0</v>
      </c>
      <c r="R894" s="48">
        <f>IF(Учет!$O894=Справочники!$F$3,Учет!$H894,0)</f>
        <v>0</v>
      </c>
      <c r="S894" s="48">
        <f>IF(Учет!$O894=Справочники!$F$4,Учет!$H894,0)</f>
        <v>0</v>
      </c>
      <c r="T894" s="48">
        <f>IF(Учет!$O894=Справочники!$F$5,Учет!$H894,0)</f>
        <v>0</v>
      </c>
      <c r="U894" s="48">
        <f>IF(Учет!$O894=Справочники!$F$6,Учет!$H894,0)</f>
        <v>0</v>
      </c>
      <c r="V894" s="43">
        <f>V893+Учет!Q894-Q894</f>
        <v>-488978.92000000004</v>
      </c>
      <c r="W894" s="43">
        <f>W893+Учет!R894-R894</f>
        <v>336855</v>
      </c>
      <c r="X894" s="43">
        <f>X893+Учет!S894-S894</f>
        <v>500</v>
      </c>
      <c r="Y894" s="43">
        <f>Y893+Учет!T894-T894</f>
        <v>1150</v>
      </c>
      <c r="Z894" s="43">
        <f>Z893+Учет!U894-U894</f>
        <v>500000</v>
      </c>
      <c r="AA894" s="45">
        <f>Учет!X894</f>
        <v>500</v>
      </c>
    </row>
    <row r="895" spans="1:27" ht="15" customHeight="1" x14ac:dyDescent="0.25">
      <c r="A895" s="1"/>
      <c r="B895" s="17"/>
      <c r="C895" s="17"/>
      <c r="D895" s="17"/>
      <c r="E895" s="17"/>
      <c r="F895" s="17"/>
      <c r="G895" s="4">
        <f t="shared" si="36"/>
        <v>0</v>
      </c>
      <c r="H895" s="17"/>
      <c r="I895" s="4">
        <f t="shared" si="38"/>
        <v>349526.07999999996</v>
      </c>
      <c r="J895" s="32" t="str">
        <f t="shared" si="37"/>
        <v/>
      </c>
      <c r="K895" s="72"/>
      <c r="L895" s="72"/>
      <c r="M895" s="2"/>
      <c r="N895" s="5"/>
      <c r="O895" s="3"/>
      <c r="P895" s="6"/>
      <c r="Q895" s="48">
        <f>IF(Учет!$O895=Справочники!$F$2,Учет!$H895,0)</f>
        <v>0</v>
      </c>
      <c r="R895" s="48">
        <f>IF(Учет!$O895=Справочники!$F$3,Учет!$H895,0)</f>
        <v>0</v>
      </c>
      <c r="S895" s="48">
        <f>IF(Учет!$O895=Справочники!$F$4,Учет!$H895,0)</f>
        <v>0</v>
      </c>
      <c r="T895" s="48">
        <f>IF(Учет!$O895=Справочники!$F$5,Учет!$H895,0)</f>
        <v>0</v>
      </c>
      <c r="U895" s="48">
        <f>IF(Учет!$O895=Справочники!$F$6,Учет!$H895,0)</f>
        <v>0</v>
      </c>
      <c r="V895" s="43">
        <f>V894+Учет!Q895-Q895</f>
        <v>-488978.92000000004</v>
      </c>
      <c r="W895" s="43">
        <f>W894+Учет!R895-R895</f>
        <v>336855</v>
      </c>
      <c r="X895" s="43">
        <f>X894+Учет!S895-S895</f>
        <v>500</v>
      </c>
      <c r="Y895" s="43">
        <f>Y894+Учет!T895-T895</f>
        <v>1150</v>
      </c>
      <c r="Z895" s="43">
        <f>Z894+Учет!U895-U895</f>
        <v>500000</v>
      </c>
      <c r="AA895" s="45">
        <f>Учет!X895</f>
        <v>500</v>
      </c>
    </row>
    <row r="896" spans="1:27" ht="15" customHeight="1" x14ac:dyDescent="0.25">
      <c r="A896" s="1"/>
      <c r="B896" s="17"/>
      <c r="C896" s="17"/>
      <c r="D896" s="17"/>
      <c r="E896" s="17"/>
      <c r="F896" s="17"/>
      <c r="G896" s="4">
        <f t="shared" si="36"/>
        <v>0</v>
      </c>
      <c r="H896" s="17"/>
      <c r="I896" s="4">
        <f t="shared" si="38"/>
        <v>349526.07999999996</v>
      </c>
      <c r="J896" s="32" t="str">
        <f t="shared" si="37"/>
        <v/>
      </c>
      <c r="K896" s="72"/>
      <c r="L896" s="72"/>
      <c r="M896" s="2"/>
      <c r="N896" s="5"/>
      <c r="O896" s="3"/>
      <c r="P896" s="6"/>
      <c r="Q896" s="48">
        <f>IF(Учет!$O896=Справочники!$F$2,Учет!$H896,0)</f>
        <v>0</v>
      </c>
      <c r="R896" s="48">
        <f>IF(Учет!$O896=Справочники!$F$3,Учет!$H896,0)</f>
        <v>0</v>
      </c>
      <c r="S896" s="48">
        <f>IF(Учет!$O896=Справочники!$F$4,Учет!$H896,0)</f>
        <v>0</v>
      </c>
      <c r="T896" s="48">
        <f>IF(Учет!$O896=Справочники!$F$5,Учет!$H896,0)</f>
        <v>0</v>
      </c>
      <c r="U896" s="48">
        <f>IF(Учет!$O896=Справочники!$F$6,Учет!$H896,0)</f>
        <v>0</v>
      </c>
      <c r="V896" s="43">
        <f>V895+Учет!Q896-Q896</f>
        <v>-488978.92000000004</v>
      </c>
      <c r="W896" s="43">
        <f>W895+Учет!R896-R896</f>
        <v>336855</v>
      </c>
      <c r="X896" s="43">
        <f>X895+Учет!S896-S896</f>
        <v>500</v>
      </c>
      <c r="Y896" s="43">
        <f>Y895+Учет!T896-T896</f>
        <v>1150</v>
      </c>
      <c r="Z896" s="43">
        <f>Z895+Учет!U896-U896</f>
        <v>500000</v>
      </c>
      <c r="AA896" s="45">
        <f>Учет!X896</f>
        <v>500</v>
      </c>
    </row>
    <row r="897" spans="1:27" ht="15" customHeight="1" x14ac:dyDescent="0.25">
      <c r="A897" s="1"/>
      <c r="B897" s="17"/>
      <c r="C897" s="17"/>
      <c r="D897" s="17"/>
      <c r="E897" s="17"/>
      <c r="F897" s="17"/>
      <c r="G897" s="4">
        <f t="shared" si="36"/>
        <v>0</v>
      </c>
      <c r="H897" s="17"/>
      <c r="I897" s="4">
        <f t="shared" si="38"/>
        <v>349526.07999999996</v>
      </c>
      <c r="J897" s="32" t="str">
        <f t="shared" si="37"/>
        <v/>
      </c>
      <c r="K897" s="72"/>
      <c r="L897" s="72"/>
      <c r="M897" s="2"/>
      <c r="N897" s="5"/>
      <c r="O897" s="3"/>
      <c r="P897" s="6"/>
      <c r="Q897" s="48">
        <f>IF(Учет!$O897=Справочники!$F$2,Учет!$H897,0)</f>
        <v>0</v>
      </c>
      <c r="R897" s="48">
        <f>IF(Учет!$O897=Справочники!$F$3,Учет!$H897,0)</f>
        <v>0</v>
      </c>
      <c r="S897" s="48">
        <f>IF(Учет!$O897=Справочники!$F$4,Учет!$H897,0)</f>
        <v>0</v>
      </c>
      <c r="T897" s="48">
        <f>IF(Учет!$O897=Справочники!$F$5,Учет!$H897,0)</f>
        <v>0</v>
      </c>
      <c r="U897" s="48">
        <f>IF(Учет!$O897=Справочники!$F$6,Учет!$H897,0)</f>
        <v>0</v>
      </c>
      <c r="V897" s="43">
        <f>V896+Учет!Q897-Q897</f>
        <v>-488978.92000000004</v>
      </c>
      <c r="W897" s="43">
        <f>W896+Учет!R897-R897</f>
        <v>336855</v>
      </c>
      <c r="X897" s="43">
        <f>X896+Учет!S897-S897</f>
        <v>500</v>
      </c>
      <c r="Y897" s="43">
        <f>Y896+Учет!T897-T897</f>
        <v>1150</v>
      </c>
      <c r="Z897" s="43">
        <f>Z896+Учет!U897-U897</f>
        <v>500000</v>
      </c>
      <c r="AA897" s="45">
        <f>Учет!X897</f>
        <v>500</v>
      </c>
    </row>
    <row r="898" spans="1:27" ht="15" customHeight="1" x14ac:dyDescent="0.25">
      <c r="A898" s="1"/>
      <c r="B898" s="17"/>
      <c r="C898" s="17"/>
      <c r="D898" s="17"/>
      <c r="E898" s="17"/>
      <c r="F898" s="17"/>
      <c r="G898" s="4">
        <f t="shared" ref="G898:G961" si="39">SUM($B898:$F898)</f>
        <v>0</v>
      </c>
      <c r="H898" s="17"/>
      <c r="I898" s="4">
        <f t="shared" si="38"/>
        <v>349526.07999999996</v>
      </c>
      <c r="J898" s="32" t="str">
        <f t="shared" ref="J898:J961" si="40">IF($A899&lt;&gt;$A898,$I898,"")</f>
        <v/>
      </c>
      <c r="K898" s="72"/>
      <c r="L898" s="72"/>
      <c r="M898" s="2"/>
      <c r="N898" s="5"/>
      <c r="O898" s="3"/>
      <c r="P898" s="6"/>
      <c r="Q898" s="48">
        <f>IF(Учет!$O898=Справочники!$F$2,Учет!$H898,0)</f>
        <v>0</v>
      </c>
      <c r="R898" s="48">
        <f>IF(Учет!$O898=Справочники!$F$3,Учет!$H898,0)</f>
        <v>0</v>
      </c>
      <c r="S898" s="48">
        <f>IF(Учет!$O898=Справочники!$F$4,Учет!$H898,0)</f>
        <v>0</v>
      </c>
      <c r="T898" s="48">
        <f>IF(Учет!$O898=Справочники!$F$5,Учет!$H898,0)</f>
        <v>0</v>
      </c>
      <c r="U898" s="48">
        <f>IF(Учет!$O898=Справочники!$F$6,Учет!$H898,0)</f>
        <v>0</v>
      </c>
      <c r="V898" s="43">
        <f>V897+Учет!Q898-Q898</f>
        <v>-488978.92000000004</v>
      </c>
      <c r="W898" s="43">
        <f>W897+Учет!R898-R898</f>
        <v>336855</v>
      </c>
      <c r="X898" s="43">
        <f>X897+Учет!S898-S898</f>
        <v>500</v>
      </c>
      <c r="Y898" s="43">
        <f>Y897+Учет!T898-T898</f>
        <v>1150</v>
      </c>
      <c r="Z898" s="43">
        <f>Z897+Учет!U898-U898</f>
        <v>500000</v>
      </c>
      <c r="AA898" s="45">
        <f>Учет!X898</f>
        <v>500</v>
      </c>
    </row>
    <row r="899" spans="1:27" ht="15" customHeight="1" x14ac:dyDescent="0.25">
      <c r="A899" s="1"/>
      <c r="B899" s="17"/>
      <c r="C899" s="17"/>
      <c r="D899" s="17"/>
      <c r="E899" s="17"/>
      <c r="F899" s="17"/>
      <c r="G899" s="4">
        <f t="shared" si="39"/>
        <v>0</v>
      </c>
      <c r="H899" s="17"/>
      <c r="I899" s="4">
        <f t="shared" ref="I899:I962" si="41">$I898+$G899-$H899</f>
        <v>349526.07999999996</v>
      </c>
      <c r="J899" s="32" t="str">
        <f t="shared" si="40"/>
        <v/>
      </c>
      <c r="K899" s="72"/>
      <c r="L899" s="72"/>
      <c r="M899" s="2"/>
      <c r="N899" s="5"/>
      <c r="O899" s="3"/>
      <c r="P899" s="6"/>
      <c r="Q899" s="48">
        <f>IF(Учет!$O899=Справочники!$F$2,Учет!$H899,0)</f>
        <v>0</v>
      </c>
      <c r="R899" s="48">
        <f>IF(Учет!$O899=Справочники!$F$3,Учет!$H899,0)</f>
        <v>0</v>
      </c>
      <c r="S899" s="48">
        <f>IF(Учет!$O899=Справочники!$F$4,Учет!$H899,0)</f>
        <v>0</v>
      </c>
      <c r="T899" s="48">
        <f>IF(Учет!$O899=Справочники!$F$5,Учет!$H899,0)</f>
        <v>0</v>
      </c>
      <c r="U899" s="48">
        <f>IF(Учет!$O899=Справочники!$F$6,Учет!$H899,0)</f>
        <v>0</v>
      </c>
      <c r="V899" s="43">
        <f>V898+Учет!Q899-Q899</f>
        <v>-488978.92000000004</v>
      </c>
      <c r="W899" s="43">
        <f>W898+Учет!R899-R899</f>
        <v>336855</v>
      </c>
      <c r="X899" s="43">
        <f>X898+Учет!S899-S899</f>
        <v>500</v>
      </c>
      <c r="Y899" s="43">
        <f>Y898+Учет!T899-T899</f>
        <v>1150</v>
      </c>
      <c r="Z899" s="43">
        <f>Z898+Учет!U899-U899</f>
        <v>500000</v>
      </c>
      <c r="AA899" s="45">
        <f>Учет!X899</f>
        <v>500</v>
      </c>
    </row>
    <row r="900" spans="1:27" ht="15" customHeight="1" x14ac:dyDescent="0.25">
      <c r="A900" s="1"/>
      <c r="B900" s="17"/>
      <c r="C900" s="17"/>
      <c r="D900" s="17"/>
      <c r="E900" s="17"/>
      <c r="F900" s="17"/>
      <c r="G900" s="4">
        <f t="shared" si="39"/>
        <v>0</v>
      </c>
      <c r="H900" s="17"/>
      <c r="I900" s="4">
        <f t="shared" si="41"/>
        <v>349526.07999999996</v>
      </c>
      <c r="J900" s="32" t="str">
        <f t="shared" si="40"/>
        <v/>
      </c>
      <c r="K900" s="72"/>
      <c r="L900" s="72"/>
      <c r="M900" s="2"/>
      <c r="N900" s="5"/>
      <c r="O900" s="3"/>
      <c r="P900" s="6"/>
      <c r="Q900" s="48">
        <f>IF(Учет!$O900=Справочники!$F$2,Учет!$H900,0)</f>
        <v>0</v>
      </c>
      <c r="R900" s="48">
        <f>IF(Учет!$O900=Справочники!$F$3,Учет!$H900,0)</f>
        <v>0</v>
      </c>
      <c r="S900" s="48">
        <f>IF(Учет!$O900=Справочники!$F$4,Учет!$H900,0)</f>
        <v>0</v>
      </c>
      <c r="T900" s="48">
        <f>IF(Учет!$O900=Справочники!$F$5,Учет!$H900,0)</f>
        <v>0</v>
      </c>
      <c r="U900" s="48">
        <f>IF(Учет!$O900=Справочники!$F$6,Учет!$H900,0)</f>
        <v>0</v>
      </c>
      <c r="V900" s="43">
        <f>V899+Учет!Q900-Q900</f>
        <v>-488978.92000000004</v>
      </c>
      <c r="W900" s="43">
        <f>W899+Учет!R900-R900</f>
        <v>336855</v>
      </c>
      <c r="X900" s="43">
        <f>X899+Учет!S900-S900</f>
        <v>500</v>
      </c>
      <c r="Y900" s="43">
        <f>Y899+Учет!T900-T900</f>
        <v>1150</v>
      </c>
      <c r="Z900" s="43">
        <f>Z899+Учет!U900-U900</f>
        <v>500000</v>
      </c>
      <c r="AA900" s="45">
        <f>Учет!X900</f>
        <v>500</v>
      </c>
    </row>
    <row r="901" spans="1:27" ht="15" customHeight="1" x14ac:dyDescent="0.25">
      <c r="A901" s="1"/>
      <c r="B901" s="17"/>
      <c r="C901" s="17"/>
      <c r="D901" s="17"/>
      <c r="E901" s="17"/>
      <c r="F901" s="17"/>
      <c r="G901" s="4">
        <f t="shared" si="39"/>
        <v>0</v>
      </c>
      <c r="H901" s="17"/>
      <c r="I901" s="4">
        <f t="shared" si="41"/>
        <v>349526.07999999996</v>
      </c>
      <c r="J901" s="32" t="str">
        <f t="shared" si="40"/>
        <v/>
      </c>
      <c r="K901" s="72"/>
      <c r="L901" s="72"/>
      <c r="M901" s="2"/>
      <c r="N901" s="5"/>
      <c r="O901" s="3"/>
      <c r="P901" s="6"/>
      <c r="Q901" s="48">
        <f>IF(Учет!$O901=Справочники!$F$2,Учет!$H901,0)</f>
        <v>0</v>
      </c>
      <c r="R901" s="48">
        <f>IF(Учет!$O901=Справочники!$F$3,Учет!$H901,0)</f>
        <v>0</v>
      </c>
      <c r="S901" s="48">
        <f>IF(Учет!$O901=Справочники!$F$4,Учет!$H901,0)</f>
        <v>0</v>
      </c>
      <c r="T901" s="48">
        <f>IF(Учет!$O901=Справочники!$F$5,Учет!$H901,0)</f>
        <v>0</v>
      </c>
      <c r="U901" s="48">
        <f>IF(Учет!$O901=Справочники!$F$6,Учет!$H901,0)</f>
        <v>0</v>
      </c>
      <c r="V901" s="43">
        <f>V900+Учет!Q901-Q901</f>
        <v>-488978.92000000004</v>
      </c>
      <c r="W901" s="43">
        <f>W900+Учет!R901-R901</f>
        <v>336855</v>
      </c>
      <c r="X901" s="43">
        <f>X900+Учет!S901-S901</f>
        <v>500</v>
      </c>
      <c r="Y901" s="43">
        <f>Y900+Учет!T901-T901</f>
        <v>1150</v>
      </c>
      <c r="Z901" s="43">
        <f>Z900+Учет!U901-U901</f>
        <v>500000</v>
      </c>
      <c r="AA901" s="45">
        <f>Учет!X901</f>
        <v>500</v>
      </c>
    </row>
    <row r="902" spans="1:27" ht="15" customHeight="1" x14ac:dyDescent="0.25">
      <c r="A902" s="1"/>
      <c r="B902" s="17"/>
      <c r="C902" s="17"/>
      <c r="D902" s="17"/>
      <c r="E902" s="17"/>
      <c r="F902" s="17"/>
      <c r="G902" s="4">
        <f t="shared" si="39"/>
        <v>0</v>
      </c>
      <c r="H902" s="17"/>
      <c r="I902" s="4">
        <f t="shared" si="41"/>
        <v>349526.07999999996</v>
      </c>
      <c r="J902" s="32" t="str">
        <f t="shared" si="40"/>
        <v/>
      </c>
      <c r="K902" s="72"/>
      <c r="L902" s="72"/>
      <c r="M902" s="2"/>
      <c r="N902" s="5"/>
      <c r="O902" s="3"/>
      <c r="P902" s="6"/>
      <c r="Q902" s="48">
        <f>IF(Учет!$O902=Справочники!$F$2,Учет!$H902,0)</f>
        <v>0</v>
      </c>
      <c r="R902" s="48">
        <f>IF(Учет!$O902=Справочники!$F$3,Учет!$H902,0)</f>
        <v>0</v>
      </c>
      <c r="S902" s="48">
        <f>IF(Учет!$O902=Справочники!$F$4,Учет!$H902,0)</f>
        <v>0</v>
      </c>
      <c r="T902" s="48">
        <f>IF(Учет!$O902=Справочники!$F$5,Учет!$H902,0)</f>
        <v>0</v>
      </c>
      <c r="U902" s="48">
        <f>IF(Учет!$O902=Справочники!$F$6,Учет!$H902,0)</f>
        <v>0</v>
      </c>
      <c r="V902" s="43">
        <f>V901+Учет!Q902-Q902</f>
        <v>-488978.92000000004</v>
      </c>
      <c r="W902" s="43">
        <f>W901+Учет!R902-R902</f>
        <v>336855</v>
      </c>
      <c r="X902" s="43">
        <f>X901+Учет!S902-S902</f>
        <v>500</v>
      </c>
      <c r="Y902" s="43">
        <f>Y901+Учет!T902-T902</f>
        <v>1150</v>
      </c>
      <c r="Z902" s="43">
        <f>Z901+Учет!U902-U902</f>
        <v>500000</v>
      </c>
      <c r="AA902" s="45">
        <f>Учет!X902</f>
        <v>500</v>
      </c>
    </row>
    <row r="903" spans="1:27" ht="15" customHeight="1" x14ac:dyDescent="0.25">
      <c r="A903" s="1"/>
      <c r="B903" s="17"/>
      <c r="C903" s="17"/>
      <c r="D903" s="17"/>
      <c r="E903" s="17"/>
      <c r="F903" s="17"/>
      <c r="G903" s="4">
        <f t="shared" si="39"/>
        <v>0</v>
      </c>
      <c r="H903" s="17"/>
      <c r="I903" s="4">
        <f t="shared" si="41"/>
        <v>349526.07999999996</v>
      </c>
      <c r="J903" s="32" t="str">
        <f t="shared" si="40"/>
        <v/>
      </c>
      <c r="K903" s="72"/>
      <c r="L903" s="72"/>
      <c r="M903" s="2"/>
      <c r="N903" s="5"/>
      <c r="O903" s="3"/>
      <c r="P903" s="6"/>
      <c r="Q903" s="48">
        <f>IF(Учет!$O903=Справочники!$F$2,Учет!$H903,0)</f>
        <v>0</v>
      </c>
      <c r="R903" s="48">
        <f>IF(Учет!$O903=Справочники!$F$3,Учет!$H903,0)</f>
        <v>0</v>
      </c>
      <c r="S903" s="48">
        <f>IF(Учет!$O903=Справочники!$F$4,Учет!$H903,0)</f>
        <v>0</v>
      </c>
      <c r="T903" s="48">
        <f>IF(Учет!$O903=Справочники!$F$5,Учет!$H903,0)</f>
        <v>0</v>
      </c>
      <c r="U903" s="48">
        <f>IF(Учет!$O903=Справочники!$F$6,Учет!$H903,0)</f>
        <v>0</v>
      </c>
      <c r="V903" s="43">
        <f>V902+Учет!Q903-Q903</f>
        <v>-488978.92000000004</v>
      </c>
      <c r="W903" s="43">
        <f>W902+Учет!R903-R903</f>
        <v>336855</v>
      </c>
      <c r="X903" s="43">
        <f>X902+Учет!S903-S903</f>
        <v>500</v>
      </c>
      <c r="Y903" s="43">
        <f>Y902+Учет!T903-T903</f>
        <v>1150</v>
      </c>
      <c r="Z903" s="43">
        <f>Z902+Учет!U903-U903</f>
        <v>500000</v>
      </c>
      <c r="AA903" s="45">
        <f>Учет!X903</f>
        <v>500</v>
      </c>
    </row>
    <row r="904" spans="1:27" ht="15" customHeight="1" x14ac:dyDescent="0.25">
      <c r="A904" s="1"/>
      <c r="B904" s="17"/>
      <c r="C904" s="17"/>
      <c r="D904" s="17"/>
      <c r="E904" s="17"/>
      <c r="F904" s="17"/>
      <c r="G904" s="4">
        <f t="shared" si="39"/>
        <v>0</v>
      </c>
      <c r="H904" s="17"/>
      <c r="I904" s="4">
        <f t="shared" si="41"/>
        <v>349526.07999999996</v>
      </c>
      <c r="J904" s="32" t="str">
        <f t="shared" si="40"/>
        <v/>
      </c>
      <c r="K904" s="72"/>
      <c r="L904" s="72"/>
      <c r="M904" s="2"/>
      <c r="N904" s="5"/>
      <c r="O904" s="3"/>
      <c r="P904" s="6"/>
      <c r="Q904" s="48">
        <f>IF(Учет!$O904=Справочники!$F$2,Учет!$H904,0)</f>
        <v>0</v>
      </c>
      <c r="R904" s="48">
        <f>IF(Учет!$O904=Справочники!$F$3,Учет!$H904,0)</f>
        <v>0</v>
      </c>
      <c r="S904" s="48">
        <f>IF(Учет!$O904=Справочники!$F$4,Учет!$H904,0)</f>
        <v>0</v>
      </c>
      <c r="T904" s="48">
        <f>IF(Учет!$O904=Справочники!$F$5,Учет!$H904,0)</f>
        <v>0</v>
      </c>
      <c r="U904" s="48">
        <f>IF(Учет!$O904=Справочники!$F$6,Учет!$H904,0)</f>
        <v>0</v>
      </c>
      <c r="V904" s="43">
        <f>V903+Учет!Q904-Q904</f>
        <v>-488978.92000000004</v>
      </c>
      <c r="W904" s="43">
        <f>W903+Учет!R904-R904</f>
        <v>336855</v>
      </c>
      <c r="X904" s="43">
        <f>X903+Учет!S904-S904</f>
        <v>500</v>
      </c>
      <c r="Y904" s="43">
        <f>Y903+Учет!T904-T904</f>
        <v>1150</v>
      </c>
      <c r="Z904" s="43">
        <f>Z903+Учет!U904-U904</f>
        <v>500000</v>
      </c>
      <c r="AA904" s="45">
        <f>Учет!X904</f>
        <v>500</v>
      </c>
    </row>
    <row r="905" spans="1:27" ht="15" customHeight="1" x14ac:dyDescent="0.25">
      <c r="A905" s="1"/>
      <c r="B905" s="17"/>
      <c r="C905" s="17"/>
      <c r="D905" s="17"/>
      <c r="E905" s="17"/>
      <c r="F905" s="17"/>
      <c r="G905" s="4">
        <f t="shared" si="39"/>
        <v>0</v>
      </c>
      <c r="H905" s="17"/>
      <c r="I905" s="4">
        <f t="shared" si="41"/>
        <v>349526.07999999996</v>
      </c>
      <c r="J905" s="32" t="str">
        <f t="shared" si="40"/>
        <v/>
      </c>
      <c r="K905" s="72"/>
      <c r="L905" s="72"/>
      <c r="M905" s="2"/>
      <c r="N905" s="5"/>
      <c r="O905" s="3"/>
      <c r="P905" s="6"/>
      <c r="Q905" s="48">
        <f>IF(Учет!$O905=Справочники!$F$2,Учет!$H905,0)</f>
        <v>0</v>
      </c>
      <c r="R905" s="48">
        <f>IF(Учет!$O905=Справочники!$F$3,Учет!$H905,0)</f>
        <v>0</v>
      </c>
      <c r="S905" s="48">
        <f>IF(Учет!$O905=Справочники!$F$4,Учет!$H905,0)</f>
        <v>0</v>
      </c>
      <c r="T905" s="48">
        <f>IF(Учет!$O905=Справочники!$F$5,Учет!$H905,0)</f>
        <v>0</v>
      </c>
      <c r="U905" s="48">
        <f>IF(Учет!$O905=Справочники!$F$6,Учет!$H905,0)</f>
        <v>0</v>
      </c>
      <c r="V905" s="43">
        <f>V904+Учет!Q905-Q905</f>
        <v>-488978.92000000004</v>
      </c>
      <c r="W905" s="43">
        <f>W904+Учет!R905-R905</f>
        <v>336855</v>
      </c>
      <c r="X905" s="43">
        <f>X904+Учет!S905-S905</f>
        <v>500</v>
      </c>
      <c r="Y905" s="43">
        <f>Y904+Учет!T905-T905</f>
        <v>1150</v>
      </c>
      <c r="Z905" s="43">
        <f>Z904+Учет!U905-U905</f>
        <v>500000</v>
      </c>
      <c r="AA905" s="45">
        <f>Учет!X905</f>
        <v>500</v>
      </c>
    </row>
    <row r="906" spans="1:27" ht="15" customHeight="1" x14ac:dyDescent="0.25">
      <c r="A906" s="1"/>
      <c r="B906" s="17"/>
      <c r="C906" s="17"/>
      <c r="D906" s="17"/>
      <c r="E906" s="17"/>
      <c r="F906" s="17"/>
      <c r="G906" s="4">
        <f t="shared" si="39"/>
        <v>0</v>
      </c>
      <c r="H906" s="17"/>
      <c r="I906" s="4">
        <f t="shared" si="41"/>
        <v>349526.07999999996</v>
      </c>
      <c r="J906" s="32" t="str">
        <f t="shared" si="40"/>
        <v/>
      </c>
      <c r="K906" s="72"/>
      <c r="L906" s="72"/>
      <c r="M906" s="2"/>
      <c r="N906" s="5"/>
      <c r="O906" s="3"/>
      <c r="P906" s="6"/>
      <c r="Q906" s="48">
        <f>IF(Учет!$O906=Справочники!$F$2,Учет!$H906,0)</f>
        <v>0</v>
      </c>
      <c r="R906" s="48">
        <f>IF(Учет!$O906=Справочники!$F$3,Учет!$H906,0)</f>
        <v>0</v>
      </c>
      <c r="S906" s="48">
        <f>IF(Учет!$O906=Справочники!$F$4,Учет!$H906,0)</f>
        <v>0</v>
      </c>
      <c r="T906" s="48">
        <f>IF(Учет!$O906=Справочники!$F$5,Учет!$H906,0)</f>
        <v>0</v>
      </c>
      <c r="U906" s="48">
        <f>IF(Учет!$O906=Справочники!$F$6,Учет!$H906,0)</f>
        <v>0</v>
      </c>
      <c r="V906" s="43">
        <f>V905+Учет!Q906-Q906</f>
        <v>-488978.92000000004</v>
      </c>
      <c r="W906" s="43">
        <f>W905+Учет!R906-R906</f>
        <v>336855</v>
      </c>
      <c r="X906" s="43">
        <f>X905+Учет!S906-S906</f>
        <v>500</v>
      </c>
      <c r="Y906" s="43">
        <f>Y905+Учет!T906-T906</f>
        <v>1150</v>
      </c>
      <c r="Z906" s="43">
        <f>Z905+Учет!U906-U906</f>
        <v>500000</v>
      </c>
      <c r="AA906" s="45">
        <f>Учет!X906</f>
        <v>500</v>
      </c>
    </row>
    <row r="907" spans="1:27" ht="15" customHeight="1" x14ac:dyDescent="0.25">
      <c r="A907" s="1"/>
      <c r="B907" s="17"/>
      <c r="C907" s="17"/>
      <c r="D907" s="17"/>
      <c r="E907" s="17"/>
      <c r="F907" s="17"/>
      <c r="G907" s="4">
        <f t="shared" si="39"/>
        <v>0</v>
      </c>
      <c r="H907" s="17"/>
      <c r="I907" s="4">
        <f t="shared" si="41"/>
        <v>349526.07999999996</v>
      </c>
      <c r="J907" s="32" t="str">
        <f t="shared" si="40"/>
        <v/>
      </c>
      <c r="K907" s="72"/>
      <c r="L907" s="72"/>
      <c r="M907" s="2"/>
      <c r="N907" s="5"/>
      <c r="O907" s="3"/>
      <c r="P907" s="6"/>
      <c r="Q907" s="48">
        <f>IF(Учет!$O907=Справочники!$F$2,Учет!$H907,0)</f>
        <v>0</v>
      </c>
      <c r="R907" s="48">
        <f>IF(Учет!$O907=Справочники!$F$3,Учет!$H907,0)</f>
        <v>0</v>
      </c>
      <c r="S907" s="48">
        <f>IF(Учет!$O907=Справочники!$F$4,Учет!$H907,0)</f>
        <v>0</v>
      </c>
      <c r="T907" s="48">
        <f>IF(Учет!$O907=Справочники!$F$5,Учет!$H907,0)</f>
        <v>0</v>
      </c>
      <c r="U907" s="48">
        <f>IF(Учет!$O907=Справочники!$F$6,Учет!$H907,0)</f>
        <v>0</v>
      </c>
      <c r="V907" s="43">
        <f>V906+Учет!Q907-Q907</f>
        <v>-488978.92000000004</v>
      </c>
      <c r="W907" s="43">
        <f>W906+Учет!R907-R907</f>
        <v>336855</v>
      </c>
      <c r="X907" s="43">
        <f>X906+Учет!S907-S907</f>
        <v>500</v>
      </c>
      <c r="Y907" s="43">
        <f>Y906+Учет!T907-T907</f>
        <v>1150</v>
      </c>
      <c r="Z907" s="43">
        <f>Z906+Учет!U907-U907</f>
        <v>500000</v>
      </c>
      <c r="AA907" s="45">
        <f>Учет!X907</f>
        <v>500</v>
      </c>
    </row>
    <row r="908" spans="1:27" ht="15" customHeight="1" x14ac:dyDescent="0.25">
      <c r="A908" s="1"/>
      <c r="B908" s="17"/>
      <c r="C908" s="17"/>
      <c r="D908" s="17"/>
      <c r="E908" s="17"/>
      <c r="F908" s="17"/>
      <c r="G908" s="4">
        <f t="shared" si="39"/>
        <v>0</v>
      </c>
      <c r="H908" s="17"/>
      <c r="I908" s="4">
        <f t="shared" si="41"/>
        <v>349526.07999999996</v>
      </c>
      <c r="J908" s="32" t="str">
        <f t="shared" si="40"/>
        <v/>
      </c>
      <c r="K908" s="72"/>
      <c r="L908" s="72"/>
      <c r="M908" s="2"/>
      <c r="N908" s="5"/>
      <c r="O908" s="3"/>
      <c r="P908" s="6"/>
      <c r="Q908" s="48">
        <f>IF(Учет!$O908=Справочники!$F$2,Учет!$H908,0)</f>
        <v>0</v>
      </c>
      <c r="R908" s="48">
        <f>IF(Учет!$O908=Справочники!$F$3,Учет!$H908,0)</f>
        <v>0</v>
      </c>
      <c r="S908" s="48">
        <f>IF(Учет!$O908=Справочники!$F$4,Учет!$H908,0)</f>
        <v>0</v>
      </c>
      <c r="T908" s="48">
        <f>IF(Учет!$O908=Справочники!$F$5,Учет!$H908,0)</f>
        <v>0</v>
      </c>
      <c r="U908" s="48">
        <f>IF(Учет!$O908=Справочники!$F$6,Учет!$H908,0)</f>
        <v>0</v>
      </c>
      <c r="V908" s="43">
        <f>V907+Учет!Q908-Q908</f>
        <v>-488978.92000000004</v>
      </c>
      <c r="W908" s="43">
        <f>W907+Учет!R908-R908</f>
        <v>336855</v>
      </c>
      <c r="X908" s="43">
        <f>X907+Учет!S908-S908</f>
        <v>500</v>
      </c>
      <c r="Y908" s="43">
        <f>Y907+Учет!T908-T908</f>
        <v>1150</v>
      </c>
      <c r="Z908" s="43">
        <f>Z907+Учет!U908-U908</f>
        <v>500000</v>
      </c>
      <c r="AA908" s="45">
        <f>Учет!X908</f>
        <v>500</v>
      </c>
    </row>
    <row r="909" spans="1:27" ht="15" customHeight="1" x14ac:dyDescent="0.25">
      <c r="A909" s="1"/>
      <c r="B909" s="17"/>
      <c r="C909" s="17"/>
      <c r="D909" s="17"/>
      <c r="E909" s="17"/>
      <c r="F909" s="17"/>
      <c r="G909" s="4">
        <f t="shared" si="39"/>
        <v>0</v>
      </c>
      <c r="H909" s="17"/>
      <c r="I909" s="4">
        <f t="shared" si="41"/>
        <v>349526.07999999996</v>
      </c>
      <c r="J909" s="32" t="str">
        <f t="shared" si="40"/>
        <v/>
      </c>
      <c r="K909" s="72"/>
      <c r="L909" s="72"/>
      <c r="M909" s="2"/>
      <c r="N909" s="5"/>
      <c r="O909" s="3"/>
      <c r="P909" s="6"/>
      <c r="Q909" s="48">
        <f>IF(Учет!$O909=Справочники!$F$2,Учет!$H909,0)</f>
        <v>0</v>
      </c>
      <c r="R909" s="48">
        <f>IF(Учет!$O909=Справочники!$F$3,Учет!$H909,0)</f>
        <v>0</v>
      </c>
      <c r="S909" s="48">
        <f>IF(Учет!$O909=Справочники!$F$4,Учет!$H909,0)</f>
        <v>0</v>
      </c>
      <c r="T909" s="48">
        <f>IF(Учет!$O909=Справочники!$F$5,Учет!$H909,0)</f>
        <v>0</v>
      </c>
      <c r="U909" s="48">
        <f>IF(Учет!$O909=Справочники!$F$6,Учет!$H909,0)</f>
        <v>0</v>
      </c>
      <c r="V909" s="43">
        <f>V908+Учет!Q909-Q909</f>
        <v>-488978.92000000004</v>
      </c>
      <c r="W909" s="43">
        <f>W908+Учет!R909-R909</f>
        <v>336855</v>
      </c>
      <c r="X909" s="43">
        <f>X908+Учет!S909-S909</f>
        <v>500</v>
      </c>
      <c r="Y909" s="43">
        <f>Y908+Учет!T909-T909</f>
        <v>1150</v>
      </c>
      <c r="Z909" s="43">
        <f>Z908+Учет!U909-U909</f>
        <v>500000</v>
      </c>
      <c r="AA909" s="45">
        <f>Учет!X909</f>
        <v>500</v>
      </c>
    </row>
    <row r="910" spans="1:27" ht="15" customHeight="1" x14ac:dyDescent="0.25">
      <c r="A910" s="1"/>
      <c r="B910" s="17"/>
      <c r="C910" s="17"/>
      <c r="D910" s="17"/>
      <c r="E910" s="17"/>
      <c r="F910" s="17"/>
      <c r="G910" s="4">
        <f t="shared" si="39"/>
        <v>0</v>
      </c>
      <c r="H910" s="17"/>
      <c r="I910" s="4">
        <f t="shared" si="41"/>
        <v>349526.07999999996</v>
      </c>
      <c r="J910" s="32" t="str">
        <f t="shared" si="40"/>
        <v/>
      </c>
      <c r="K910" s="72"/>
      <c r="L910" s="72"/>
      <c r="M910" s="2"/>
      <c r="N910" s="5"/>
      <c r="O910" s="3"/>
      <c r="P910" s="6"/>
      <c r="Q910" s="48">
        <f>IF(Учет!$O910=Справочники!$F$2,Учет!$H910,0)</f>
        <v>0</v>
      </c>
      <c r="R910" s="48">
        <f>IF(Учет!$O910=Справочники!$F$3,Учет!$H910,0)</f>
        <v>0</v>
      </c>
      <c r="S910" s="48">
        <f>IF(Учет!$O910=Справочники!$F$4,Учет!$H910,0)</f>
        <v>0</v>
      </c>
      <c r="T910" s="48">
        <f>IF(Учет!$O910=Справочники!$F$5,Учет!$H910,0)</f>
        <v>0</v>
      </c>
      <c r="U910" s="48">
        <f>IF(Учет!$O910=Справочники!$F$6,Учет!$H910,0)</f>
        <v>0</v>
      </c>
      <c r="V910" s="43">
        <f>V909+Учет!Q910-Q910</f>
        <v>-488978.92000000004</v>
      </c>
      <c r="W910" s="43">
        <f>W909+Учет!R910-R910</f>
        <v>336855</v>
      </c>
      <c r="X910" s="43">
        <f>X909+Учет!S910-S910</f>
        <v>500</v>
      </c>
      <c r="Y910" s="43">
        <f>Y909+Учет!T910-T910</f>
        <v>1150</v>
      </c>
      <c r="Z910" s="43">
        <f>Z909+Учет!U910-U910</f>
        <v>500000</v>
      </c>
      <c r="AA910" s="45">
        <f>Учет!X910</f>
        <v>500</v>
      </c>
    </row>
    <row r="911" spans="1:27" ht="15" customHeight="1" x14ac:dyDescent="0.25">
      <c r="A911" s="1"/>
      <c r="B911" s="17"/>
      <c r="C911" s="17"/>
      <c r="D911" s="17"/>
      <c r="E911" s="17"/>
      <c r="F911" s="17"/>
      <c r="G911" s="4">
        <f t="shared" si="39"/>
        <v>0</v>
      </c>
      <c r="H911" s="17"/>
      <c r="I911" s="4">
        <f t="shared" si="41"/>
        <v>349526.07999999996</v>
      </c>
      <c r="J911" s="32" t="str">
        <f t="shared" si="40"/>
        <v/>
      </c>
      <c r="K911" s="72"/>
      <c r="L911" s="72"/>
      <c r="M911" s="2"/>
      <c r="N911" s="5"/>
      <c r="O911" s="3"/>
      <c r="P911" s="6"/>
      <c r="Q911" s="48">
        <f>IF(Учет!$O911=Справочники!$F$2,Учет!$H911,0)</f>
        <v>0</v>
      </c>
      <c r="R911" s="48">
        <f>IF(Учет!$O911=Справочники!$F$3,Учет!$H911,0)</f>
        <v>0</v>
      </c>
      <c r="S911" s="48">
        <f>IF(Учет!$O911=Справочники!$F$4,Учет!$H911,0)</f>
        <v>0</v>
      </c>
      <c r="T911" s="48">
        <f>IF(Учет!$O911=Справочники!$F$5,Учет!$H911,0)</f>
        <v>0</v>
      </c>
      <c r="U911" s="48">
        <f>IF(Учет!$O911=Справочники!$F$6,Учет!$H911,0)</f>
        <v>0</v>
      </c>
      <c r="V911" s="43">
        <f>V910+Учет!Q911-Q911</f>
        <v>-488978.92000000004</v>
      </c>
      <c r="W911" s="43">
        <f>W910+Учет!R911-R911</f>
        <v>336855</v>
      </c>
      <c r="X911" s="43">
        <f>X910+Учет!S911-S911</f>
        <v>500</v>
      </c>
      <c r="Y911" s="43">
        <f>Y910+Учет!T911-T911</f>
        <v>1150</v>
      </c>
      <c r="Z911" s="43">
        <f>Z910+Учет!U911-U911</f>
        <v>500000</v>
      </c>
      <c r="AA911" s="45">
        <f>Учет!X911</f>
        <v>500</v>
      </c>
    </row>
    <row r="912" spans="1:27" ht="15" customHeight="1" x14ac:dyDescent="0.25">
      <c r="A912" s="1"/>
      <c r="B912" s="17"/>
      <c r="C912" s="17"/>
      <c r="D912" s="17"/>
      <c r="E912" s="17"/>
      <c r="F912" s="17"/>
      <c r="G912" s="4">
        <f t="shared" si="39"/>
        <v>0</v>
      </c>
      <c r="H912" s="17"/>
      <c r="I912" s="4">
        <f t="shared" si="41"/>
        <v>349526.07999999996</v>
      </c>
      <c r="J912" s="32" t="str">
        <f t="shared" si="40"/>
        <v/>
      </c>
      <c r="K912" s="72"/>
      <c r="L912" s="72"/>
      <c r="M912" s="2"/>
      <c r="N912" s="5"/>
      <c r="O912" s="3"/>
      <c r="P912" s="6"/>
      <c r="Q912" s="48">
        <f>IF(Учет!$O912=Справочники!$F$2,Учет!$H912,0)</f>
        <v>0</v>
      </c>
      <c r="R912" s="48">
        <f>IF(Учет!$O912=Справочники!$F$3,Учет!$H912,0)</f>
        <v>0</v>
      </c>
      <c r="S912" s="48">
        <f>IF(Учет!$O912=Справочники!$F$4,Учет!$H912,0)</f>
        <v>0</v>
      </c>
      <c r="T912" s="48">
        <f>IF(Учет!$O912=Справочники!$F$5,Учет!$H912,0)</f>
        <v>0</v>
      </c>
      <c r="U912" s="48">
        <f>IF(Учет!$O912=Справочники!$F$6,Учет!$H912,0)</f>
        <v>0</v>
      </c>
      <c r="V912" s="43">
        <f>V911+Учет!Q912-Q912</f>
        <v>-488978.92000000004</v>
      </c>
      <c r="W912" s="43">
        <f>W911+Учет!R912-R912</f>
        <v>336855</v>
      </c>
      <c r="X912" s="43">
        <f>X911+Учет!S912-S912</f>
        <v>500</v>
      </c>
      <c r="Y912" s="43">
        <f>Y911+Учет!T912-T912</f>
        <v>1150</v>
      </c>
      <c r="Z912" s="43">
        <f>Z911+Учет!U912-U912</f>
        <v>500000</v>
      </c>
      <c r="AA912" s="45">
        <f>Учет!X912</f>
        <v>500</v>
      </c>
    </row>
    <row r="913" spans="1:27" ht="15" customHeight="1" x14ac:dyDescent="0.25">
      <c r="A913" s="1"/>
      <c r="B913" s="17"/>
      <c r="C913" s="17"/>
      <c r="D913" s="17"/>
      <c r="E913" s="17"/>
      <c r="F913" s="17"/>
      <c r="G913" s="4">
        <f t="shared" si="39"/>
        <v>0</v>
      </c>
      <c r="H913" s="17"/>
      <c r="I913" s="4">
        <f t="shared" si="41"/>
        <v>349526.07999999996</v>
      </c>
      <c r="J913" s="32" t="str">
        <f t="shared" si="40"/>
        <v/>
      </c>
      <c r="K913" s="72"/>
      <c r="L913" s="72"/>
      <c r="M913" s="2"/>
      <c r="N913" s="5"/>
      <c r="O913" s="3"/>
      <c r="P913" s="6"/>
      <c r="Q913" s="48">
        <f>IF(Учет!$O913=Справочники!$F$2,Учет!$H913,0)</f>
        <v>0</v>
      </c>
      <c r="R913" s="48">
        <f>IF(Учет!$O913=Справочники!$F$3,Учет!$H913,0)</f>
        <v>0</v>
      </c>
      <c r="S913" s="48">
        <f>IF(Учет!$O913=Справочники!$F$4,Учет!$H913,0)</f>
        <v>0</v>
      </c>
      <c r="T913" s="48">
        <f>IF(Учет!$O913=Справочники!$F$5,Учет!$H913,0)</f>
        <v>0</v>
      </c>
      <c r="U913" s="48">
        <f>IF(Учет!$O913=Справочники!$F$6,Учет!$H913,0)</f>
        <v>0</v>
      </c>
      <c r="V913" s="43">
        <f>V912+Учет!Q913-Q913</f>
        <v>-488978.92000000004</v>
      </c>
      <c r="W913" s="43">
        <f>W912+Учет!R913-R913</f>
        <v>336855</v>
      </c>
      <c r="X913" s="43">
        <f>X912+Учет!S913-S913</f>
        <v>500</v>
      </c>
      <c r="Y913" s="43">
        <f>Y912+Учет!T913-T913</f>
        <v>1150</v>
      </c>
      <c r="Z913" s="43">
        <f>Z912+Учет!U913-U913</f>
        <v>500000</v>
      </c>
      <c r="AA913" s="45">
        <f>Учет!X913</f>
        <v>500</v>
      </c>
    </row>
    <row r="914" spans="1:27" ht="15" customHeight="1" x14ac:dyDescent="0.25">
      <c r="A914" s="1"/>
      <c r="B914" s="17"/>
      <c r="C914" s="17"/>
      <c r="D914" s="17"/>
      <c r="E914" s="17"/>
      <c r="F914" s="17"/>
      <c r="G914" s="4">
        <f t="shared" si="39"/>
        <v>0</v>
      </c>
      <c r="H914" s="17"/>
      <c r="I914" s="4">
        <f t="shared" si="41"/>
        <v>349526.07999999996</v>
      </c>
      <c r="J914" s="32" t="str">
        <f t="shared" si="40"/>
        <v/>
      </c>
      <c r="K914" s="72"/>
      <c r="L914" s="72"/>
      <c r="M914" s="2"/>
      <c r="N914" s="5"/>
      <c r="O914" s="3"/>
      <c r="P914" s="6"/>
      <c r="Q914" s="48">
        <f>IF(Учет!$O914=Справочники!$F$2,Учет!$H914,0)</f>
        <v>0</v>
      </c>
      <c r="R914" s="48">
        <f>IF(Учет!$O914=Справочники!$F$3,Учет!$H914,0)</f>
        <v>0</v>
      </c>
      <c r="S914" s="48">
        <f>IF(Учет!$O914=Справочники!$F$4,Учет!$H914,0)</f>
        <v>0</v>
      </c>
      <c r="T914" s="48">
        <f>IF(Учет!$O914=Справочники!$F$5,Учет!$H914,0)</f>
        <v>0</v>
      </c>
      <c r="U914" s="48">
        <f>IF(Учет!$O914=Справочники!$F$6,Учет!$H914,0)</f>
        <v>0</v>
      </c>
      <c r="V914" s="43">
        <f>V913+Учет!Q914-Q914</f>
        <v>-488978.92000000004</v>
      </c>
      <c r="W914" s="43">
        <f>W913+Учет!R914-R914</f>
        <v>336855</v>
      </c>
      <c r="X914" s="43">
        <f>X913+Учет!S914-S914</f>
        <v>500</v>
      </c>
      <c r="Y914" s="43">
        <f>Y913+Учет!T914-T914</f>
        <v>1150</v>
      </c>
      <c r="Z914" s="43">
        <f>Z913+Учет!U914-U914</f>
        <v>500000</v>
      </c>
      <c r="AA914" s="45">
        <f>Учет!X914</f>
        <v>500</v>
      </c>
    </row>
    <row r="915" spans="1:27" ht="15" customHeight="1" x14ac:dyDescent="0.25">
      <c r="A915" s="1"/>
      <c r="B915" s="17"/>
      <c r="C915" s="17"/>
      <c r="D915" s="17"/>
      <c r="E915" s="17"/>
      <c r="F915" s="17"/>
      <c r="G915" s="4">
        <f t="shared" si="39"/>
        <v>0</v>
      </c>
      <c r="H915" s="17"/>
      <c r="I915" s="4">
        <f t="shared" si="41"/>
        <v>349526.07999999996</v>
      </c>
      <c r="J915" s="32" t="str">
        <f t="shared" si="40"/>
        <v/>
      </c>
      <c r="K915" s="72"/>
      <c r="L915" s="72"/>
      <c r="M915" s="2"/>
      <c r="N915" s="5"/>
      <c r="O915" s="3"/>
      <c r="P915" s="6"/>
      <c r="Q915" s="48">
        <f>IF(Учет!$O915=Справочники!$F$2,Учет!$H915,0)</f>
        <v>0</v>
      </c>
      <c r="R915" s="48">
        <f>IF(Учет!$O915=Справочники!$F$3,Учет!$H915,0)</f>
        <v>0</v>
      </c>
      <c r="S915" s="48">
        <f>IF(Учет!$O915=Справочники!$F$4,Учет!$H915,0)</f>
        <v>0</v>
      </c>
      <c r="T915" s="48">
        <f>IF(Учет!$O915=Справочники!$F$5,Учет!$H915,0)</f>
        <v>0</v>
      </c>
      <c r="U915" s="48">
        <f>IF(Учет!$O915=Справочники!$F$6,Учет!$H915,0)</f>
        <v>0</v>
      </c>
      <c r="V915" s="43">
        <f>V914+Учет!Q915-Q915</f>
        <v>-488978.92000000004</v>
      </c>
      <c r="W915" s="43">
        <f>W914+Учет!R915-R915</f>
        <v>336855</v>
      </c>
      <c r="X915" s="43">
        <f>X914+Учет!S915-S915</f>
        <v>500</v>
      </c>
      <c r="Y915" s="43">
        <f>Y914+Учет!T915-T915</f>
        <v>1150</v>
      </c>
      <c r="Z915" s="43">
        <f>Z914+Учет!U915-U915</f>
        <v>500000</v>
      </c>
      <c r="AA915" s="45">
        <f>Учет!X915</f>
        <v>500</v>
      </c>
    </row>
    <row r="916" spans="1:27" ht="15" customHeight="1" x14ac:dyDescent="0.25">
      <c r="A916" s="1"/>
      <c r="B916" s="17"/>
      <c r="C916" s="17"/>
      <c r="D916" s="17"/>
      <c r="E916" s="17"/>
      <c r="F916" s="17"/>
      <c r="G916" s="4">
        <f t="shared" si="39"/>
        <v>0</v>
      </c>
      <c r="H916" s="17"/>
      <c r="I916" s="4">
        <f t="shared" si="41"/>
        <v>349526.07999999996</v>
      </c>
      <c r="J916" s="32" t="str">
        <f t="shared" si="40"/>
        <v/>
      </c>
      <c r="K916" s="72"/>
      <c r="L916" s="72"/>
      <c r="M916" s="2"/>
      <c r="N916" s="5"/>
      <c r="O916" s="3"/>
      <c r="P916" s="6"/>
      <c r="Q916" s="48">
        <f>IF(Учет!$O916=Справочники!$F$2,Учет!$H916,0)</f>
        <v>0</v>
      </c>
      <c r="R916" s="48">
        <f>IF(Учет!$O916=Справочники!$F$3,Учет!$H916,0)</f>
        <v>0</v>
      </c>
      <c r="S916" s="48">
        <f>IF(Учет!$O916=Справочники!$F$4,Учет!$H916,0)</f>
        <v>0</v>
      </c>
      <c r="T916" s="48">
        <f>IF(Учет!$O916=Справочники!$F$5,Учет!$H916,0)</f>
        <v>0</v>
      </c>
      <c r="U916" s="48">
        <f>IF(Учет!$O916=Справочники!$F$6,Учет!$H916,0)</f>
        <v>0</v>
      </c>
      <c r="V916" s="43">
        <f>V915+Учет!Q916-Q916</f>
        <v>-488978.92000000004</v>
      </c>
      <c r="W916" s="43">
        <f>W915+Учет!R916-R916</f>
        <v>336855</v>
      </c>
      <c r="X916" s="43">
        <f>X915+Учет!S916-S916</f>
        <v>500</v>
      </c>
      <c r="Y916" s="43">
        <f>Y915+Учет!T916-T916</f>
        <v>1150</v>
      </c>
      <c r="Z916" s="43">
        <f>Z915+Учет!U916-U916</f>
        <v>500000</v>
      </c>
      <c r="AA916" s="45">
        <f>Учет!X916</f>
        <v>500</v>
      </c>
    </row>
    <row r="917" spans="1:27" ht="15" customHeight="1" x14ac:dyDescent="0.25">
      <c r="A917" s="1"/>
      <c r="B917" s="17"/>
      <c r="C917" s="17"/>
      <c r="D917" s="17"/>
      <c r="E917" s="17"/>
      <c r="F917" s="17"/>
      <c r="G917" s="4">
        <f t="shared" si="39"/>
        <v>0</v>
      </c>
      <c r="H917" s="17"/>
      <c r="I917" s="4">
        <f t="shared" si="41"/>
        <v>349526.07999999996</v>
      </c>
      <c r="J917" s="32" t="str">
        <f t="shared" si="40"/>
        <v/>
      </c>
      <c r="K917" s="72"/>
      <c r="L917" s="72"/>
      <c r="M917" s="2"/>
      <c r="N917" s="5"/>
      <c r="O917" s="3"/>
      <c r="P917" s="6"/>
      <c r="Q917" s="48">
        <f>IF(Учет!$O917=Справочники!$F$2,Учет!$H917,0)</f>
        <v>0</v>
      </c>
      <c r="R917" s="48">
        <f>IF(Учет!$O917=Справочники!$F$3,Учет!$H917,0)</f>
        <v>0</v>
      </c>
      <c r="S917" s="48">
        <f>IF(Учет!$O917=Справочники!$F$4,Учет!$H917,0)</f>
        <v>0</v>
      </c>
      <c r="T917" s="48">
        <f>IF(Учет!$O917=Справочники!$F$5,Учет!$H917,0)</f>
        <v>0</v>
      </c>
      <c r="U917" s="48">
        <f>IF(Учет!$O917=Справочники!$F$6,Учет!$H917,0)</f>
        <v>0</v>
      </c>
      <c r="V917" s="43">
        <f>V916+Учет!Q917-Q917</f>
        <v>-488978.92000000004</v>
      </c>
      <c r="W917" s="43">
        <f>W916+Учет!R917-R917</f>
        <v>336855</v>
      </c>
      <c r="X917" s="43">
        <f>X916+Учет!S917-S917</f>
        <v>500</v>
      </c>
      <c r="Y917" s="43">
        <f>Y916+Учет!T917-T917</f>
        <v>1150</v>
      </c>
      <c r="Z917" s="43">
        <f>Z916+Учет!U917-U917</f>
        <v>500000</v>
      </c>
      <c r="AA917" s="45">
        <f>Учет!X917</f>
        <v>500</v>
      </c>
    </row>
    <row r="918" spans="1:27" ht="15" customHeight="1" x14ac:dyDescent="0.25">
      <c r="A918" s="1"/>
      <c r="B918" s="17"/>
      <c r="C918" s="17"/>
      <c r="D918" s="17"/>
      <c r="E918" s="17"/>
      <c r="F918" s="17"/>
      <c r="G918" s="4">
        <f t="shared" si="39"/>
        <v>0</v>
      </c>
      <c r="H918" s="17"/>
      <c r="I918" s="4">
        <f t="shared" si="41"/>
        <v>349526.07999999996</v>
      </c>
      <c r="J918" s="32" t="str">
        <f t="shared" si="40"/>
        <v/>
      </c>
      <c r="K918" s="72"/>
      <c r="L918" s="72"/>
      <c r="M918" s="2"/>
      <c r="N918" s="5"/>
      <c r="O918" s="3"/>
      <c r="P918" s="6"/>
      <c r="Q918" s="48">
        <f>IF(Учет!$O918=Справочники!$F$2,Учет!$H918,0)</f>
        <v>0</v>
      </c>
      <c r="R918" s="48">
        <f>IF(Учет!$O918=Справочники!$F$3,Учет!$H918,0)</f>
        <v>0</v>
      </c>
      <c r="S918" s="48">
        <f>IF(Учет!$O918=Справочники!$F$4,Учет!$H918,0)</f>
        <v>0</v>
      </c>
      <c r="T918" s="48">
        <f>IF(Учет!$O918=Справочники!$F$5,Учет!$H918,0)</f>
        <v>0</v>
      </c>
      <c r="U918" s="48">
        <f>IF(Учет!$O918=Справочники!$F$6,Учет!$H918,0)</f>
        <v>0</v>
      </c>
      <c r="V918" s="43">
        <f>V917+Учет!Q918-Q918</f>
        <v>-488978.92000000004</v>
      </c>
      <c r="W918" s="43">
        <f>W917+Учет!R918-R918</f>
        <v>336855</v>
      </c>
      <c r="X918" s="43">
        <f>X917+Учет!S918-S918</f>
        <v>500</v>
      </c>
      <c r="Y918" s="43">
        <f>Y917+Учет!T918-T918</f>
        <v>1150</v>
      </c>
      <c r="Z918" s="43">
        <f>Z917+Учет!U918-U918</f>
        <v>500000</v>
      </c>
      <c r="AA918" s="45">
        <f>Учет!X918</f>
        <v>500</v>
      </c>
    </row>
    <row r="919" spans="1:27" ht="15" customHeight="1" x14ac:dyDescent="0.25">
      <c r="A919" s="1"/>
      <c r="B919" s="17"/>
      <c r="C919" s="17"/>
      <c r="D919" s="17"/>
      <c r="E919" s="17"/>
      <c r="F919" s="17"/>
      <c r="G919" s="4">
        <f t="shared" si="39"/>
        <v>0</v>
      </c>
      <c r="H919" s="17"/>
      <c r="I919" s="4">
        <f t="shared" si="41"/>
        <v>349526.07999999996</v>
      </c>
      <c r="J919" s="32" t="str">
        <f t="shared" si="40"/>
        <v/>
      </c>
      <c r="K919" s="72"/>
      <c r="L919" s="72"/>
      <c r="M919" s="2"/>
      <c r="N919" s="5"/>
      <c r="O919" s="3"/>
      <c r="P919" s="6"/>
      <c r="Q919" s="48">
        <f>IF(Учет!$O919=Справочники!$F$2,Учет!$H919,0)</f>
        <v>0</v>
      </c>
      <c r="R919" s="48">
        <f>IF(Учет!$O919=Справочники!$F$3,Учет!$H919,0)</f>
        <v>0</v>
      </c>
      <c r="S919" s="48">
        <f>IF(Учет!$O919=Справочники!$F$4,Учет!$H919,0)</f>
        <v>0</v>
      </c>
      <c r="T919" s="48">
        <f>IF(Учет!$O919=Справочники!$F$5,Учет!$H919,0)</f>
        <v>0</v>
      </c>
      <c r="U919" s="48">
        <f>IF(Учет!$O919=Справочники!$F$6,Учет!$H919,0)</f>
        <v>0</v>
      </c>
      <c r="V919" s="43">
        <f>V918+Учет!Q919-Q919</f>
        <v>-488978.92000000004</v>
      </c>
      <c r="W919" s="43">
        <f>W918+Учет!R919-R919</f>
        <v>336855</v>
      </c>
      <c r="X919" s="43">
        <f>X918+Учет!S919-S919</f>
        <v>500</v>
      </c>
      <c r="Y919" s="43">
        <f>Y918+Учет!T919-T919</f>
        <v>1150</v>
      </c>
      <c r="Z919" s="43">
        <f>Z918+Учет!U919-U919</f>
        <v>500000</v>
      </c>
      <c r="AA919" s="45">
        <f>Учет!X919</f>
        <v>500</v>
      </c>
    </row>
    <row r="920" spans="1:27" ht="15" customHeight="1" x14ac:dyDescent="0.25">
      <c r="A920" s="1"/>
      <c r="B920" s="17"/>
      <c r="C920" s="17"/>
      <c r="D920" s="17"/>
      <c r="E920" s="17"/>
      <c r="F920" s="17"/>
      <c r="G920" s="4">
        <f t="shared" si="39"/>
        <v>0</v>
      </c>
      <c r="H920" s="17"/>
      <c r="I920" s="4">
        <f t="shared" si="41"/>
        <v>349526.07999999996</v>
      </c>
      <c r="J920" s="32" t="str">
        <f t="shared" si="40"/>
        <v/>
      </c>
      <c r="K920" s="72"/>
      <c r="L920" s="72"/>
      <c r="M920" s="2"/>
      <c r="N920" s="5"/>
      <c r="O920" s="3"/>
      <c r="P920" s="6"/>
      <c r="Q920" s="48">
        <f>IF(Учет!$O920=Справочники!$F$2,Учет!$H920,0)</f>
        <v>0</v>
      </c>
      <c r="R920" s="48">
        <f>IF(Учет!$O920=Справочники!$F$3,Учет!$H920,0)</f>
        <v>0</v>
      </c>
      <c r="S920" s="48">
        <f>IF(Учет!$O920=Справочники!$F$4,Учет!$H920,0)</f>
        <v>0</v>
      </c>
      <c r="T920" s="48">
        <f>IF(Учет!$O920=Справочники!$F$5,Учет!$H920,0)</f>
        <v>0</v>
      </c>
      <c r="U920" s="48">
        <f>IF(Учет!$O920=Справочники!$F$6,Учет!$H920,0)</f>
        <v>0</v>
      </c>
      <c r="V920" s="43">
        <f>V919+Учет!Q920-Q920</f>
        <v>-488978.92000000004</v>
      </c>
      <c r="W920" s="43">
        <f>W919+Учет!R920-R920</f>
        <v>336855</v>
      </c>
      <c r="X920" s="43">
        <f>X919+Учет!S920-S920</f>
        <v>500</v>
      </c>
      <c r="Y920" s="43">
        <f>Y919+Учет!T920-T920</f>
        <v>1150</v>
      </c>
      <c r="Z920" s="43">
        <f>Z919+Учет!U920-U920</f>
        <v>500000</v>
      </c>
      <c r="AA920" s="45">
        <f>Учет!X920</f>
        <v>500</v>
      </c>
    </row>
    <row r="921" spans="1:27" ht="15" customHeight="1" x14ac:dyDescent="0.25">
      <c r="A921" s="1"/>
      <c r="B921" s="17"/>
      <c r="C921" s="17"/>
      <c r="D921" s="17"/>
      <c r="E921" s="17"/>
      <c r="F921" s="17"/>
      <c r="G921" s="4">
        <f t="shared" si="39"/>
        <v>0</v>
      </c>
      <c r="H921" s="17"/>
      <c r="I921" s="4">
        <f t="shared" si="41"/>
        <v>349526.07999999996</v>
      </c>
      <c r="J921" s="32" t="str">
        <f t="shared" si="40"/>
        <v/>
      </c>
      <c r="K921" s="72"/>
      <c r="L921" s="72"/>
      <c r="M921" s="2"/>
      <c r="N921" s="5"/>
      <c r="O921" s="3"/>
      <c r="P921" s="6"/>
      <c r="Q921" s="48">
        <f>IF(Учет!$O921=Справочники!$F$2,Учет!$H921,0)</f>
        <v>0</v>
      </c>
      <c r="R921" s="48">
        <f>IF(Учет!$O921=Справочники!$F$3,Учет!$H921,0)</f>
        <v>0</v>
      </c>
      <c r="S921" s="48">
        <f>IF(Учет!$O921=Справочники!$F$4,Учет!$H921,0)</f>
        <v>0</v>
      </c>
      <c r="T921" s="48">
        <f>IF(Учет!$O921=Справочники!$F$5,Учет!$H921,0)</f>
        <v>0</v>
      </c>
      <c r="U921" s="48">
        <f>IF(Учет!$O921=Справочники!$F$6,Учет!$H921,0)</f>
        <v>0</v>
      </c>
      <c r="V921" s="43">
        <f>V920+Учет!Q921-Q921</f>
        <v>-488978.92000000004</v>
      </c>
      <c r="W921" s="43">
        <f>W920+Учет!R921-R921</f>
        <v>336855</v>
      </c>
      <c r="X921" s="43">
        <f>X920+Учет!S921-S921</f>
        <v>500</v>
      </c>
      <c r="Y921" s="43">
        <f>Y920+Учет!T921-T921</f>
        <v>1150</v>
      </c>
      <c r="Z921" s="43">
        <f>Z920+Учет!U921-U921</f>
        <v>500000</v>
      </c>
      <c r="AA921" s="45">
        <f>Учет!X921</f>
        <v>500</v>
      </c>
    </row>
    <row r="922" spans="1:27" ht="15" customHeight="1" x14ac:dyDescent="0.25">
      <c r="A922" s="1"/>
      <c r="B922" s="17"/>
      <c r="C922" s="17"/>
      <c r="D922" s="17"/>
      <c r="E922" s="17"/>
      <c r="F922" s="17"/>
      <c r="G922" s="4">
        <f t="shared" si="39"/>
        <v>0</v>
      </c>
      <c r="H922" s="17"/>
      <c r="I922" s="4">
        <f t="shared" si="41"/>
        <v>349526.07999999996</v>
      </c>
      <c r="J922" s="32" t="str">
        <f t="shared" si="40"/>
        <v/>
      </c>
      <c r="K922" s="72"/>
      <c r="L922" s="72"/>
      <c r="M922" s="2"/>
      <c r="N922" s="5"/>
      <c r="O922" s="3"/>
      <c r="P922" s="6"/>
      <c r="Q922" s="48">
        <f>IF(Учет!$O922=Справочники!$F$2,Учет!$H922,0)</f>
        <v>0</v>
      </c>
      <c r="R922" s="48">
        <f>IF(Учет!$O922=Справочники!$F$3,Учет!$H922,0)</f>
        <v>0</v>
      </c>
      <c r="S922" s="48">
        <f>IF(Учет!$O922=Справочники!$F$4,Учет!$H922,0)</f>
        <v>0</v>
      </c>
      <c r="T922" s="48">
        <f>IF(Учет!$O922=Справочники!$F$5,Учет!$H922,0)</f>
        <v>0</v>
      </c>
      <c r="U922" s="48">
        <f>IF(Учет!$O922=Справочники!$F$6,Учет!$H922,0)</f>
        <v>0</v>
      </c>
      <c r="V922" s="43">
        <f>V921+Учет!Q922-Q922</f>
        <v>-488978.92000000004</v>
      </c>
      <c r="W922" s="43">
        <f>W921+Учет!R922-R922</f>
        <v>336855</v>
      </c>
      <c r="X922" s="43">
        <f>X921+Учет!S922-S922</f>
        <v>500</v>
      </c>
      <c r="Y922" s="43">
        <f>Y921+Учет!T922-T922</f>
        <v>1150</v>
      </c>
      <c r="Z922" s="43">
        <f>Z921+Учет!U922-U922</f>
        <v>500000</v>
      </c>
      <c r="AA922" s="45">
        <f>Учет!X922</f>
        <v>500</v>
      </c>
    </row>
    <row r="923" spans="1:27" ht="15" customHeight="1" x14ac:dyDescent="0.25">
      <c r="A923" s="1"/>
      <c r="B923" s="17"/>
      <c r="C923" s="17"/>
      <c r="D923" s="17"/>
      <c r="E923" s="17"/>
      <c r="F923" s="17"/>
      <c r="G923" s="4">
        <f t="shared" si="39"/>
        <v>0</v>
      </c>
      <c r="H923" s="17"/>
      <c r="I923" s="4">
        <f t="shared" si="41"/>
        <v>349526.07999999996</v>
      </c>
      <c r="J923" s="32" t="str">
        <f t="shared" si="40"/>
        <v/>
      </c>
      <c r="K923" s="72"/>
      <c r="L923" s="72"/>
      <c r="M923" s="2"/>
      <c r="N923" s="5"/>
      <c r="O923" s="3"/>
      <c r="P923" s="6"/>
      <c r="Q923" s="48">
        <f>IF(Учет!$O923=Справочники!$F$2,Учет!$H923,0)</f>
        <v>0</v>
      </c>
      <c r="R923" s="48">
        <f>IF(Учет!$O923=Справочники!$F$3,Учет!$H923,0)</f>
        <v>0</v>
      </c>
      <c r="S923" s="48">
        <f>IF(Учет!$O923=Справочники!$F$4,Учет!$H923,0)</f>
        <v>0</v>
      </c>
      <c r="T923" s="48">
        <f>IF(Учет!$O923=Справочники!$F$5,Учет!$H923,0)</f>
        <v>0</v>
      </c>
      <c r="U923" s="48">
        <f>IF(Учет!$O923=Справочники!$F$6,Учет!$H923,0)</f>
        <v>0</v>
      </c>
      <c r="V923" s="43">
        <f>V922+Учет!Q923-Q923</f>
        <v>-488978.92000000004</v>
      </c>
      <c r="W923" s="43">
        <f>W922+Учет!R923-R923</f>
        <v>336855</v>
      </c>
      <c r="X923" s="43">
        <f>X922+Учет!S923-S923</f>
        <v>500</v>
      </c>
      <c r="Y923" s="43">
        <f>Y922+Учет!T923-T923</f>
        <v>1150</v>
      </c>
      <c r="Z923" s="43">
        <f>Z922+Учет!U923-U923</f>
        <v>500000</v>
      </c>
      <c r="AA923" s="45">
        <f>Учет!X923</f>
        <v>500</v>
      </c>
    </row>
    <row r="924" spans="1:27" ht="15" customHeight="1" x14ac:dyDescent="0.25">
      <c r="A924" s="1"/>
      <c r="B924" s="17"/>
      <c r="C924" s="17"/>
      <c r="D924" s="17"/>
      <c r="E924" s="17"/>
      <c r="F924" s="17"/>
      <c r="G924" s="4">
        <f t="shared" si="39"/>
        <v>0</v>
      </c>
      <c r="H924" s="17"/>
      <c r="I924" s="4">
        <f t="shared" si="41"/>
        <v>349526.07999999996</v>
      </c>
      <c r="J924" s="32" t="str">
        <f t="shared" si="40"/>
        <v/>
      </c>
      <c r="K924" s="72"/>
      <c r="L924" s="72"/>
      <c r="M924" s="2"/>
      <c r="N924" s="5"/>
      <c r="O924" s="3"/>
      <c r="P924" s="6"/>
      <c r="Q924" s="48">
        <f>IF(Учет!$O924=Справочники!$F$2,Учет!$H924,0)</f>
        <v>0</v>
      </c>
      <c r="R924" s="48">
        <f>IF(Учет!$O924=Справочники!$F$3,Учет!$H924,0)</f>
        <v>0</v>
      </c>
      <c r="S924" s="48">
        <f>IF(Учет!$O924=Справочники!$F$4,Учет!$H924,0)</f>
        <v>0</v>
      </c>
      <c r="T924" s="48">
        <f>IF(Учет!$O924=Справочники!$F$5,Учет!$H924,0)</f>
        <v>0</v>
      </c>
      <c r="U924" s="48">
        <f>IF(Учет!$O924=Справочники!$F$6,Учет!$H924,0)</f>
        <v>0</v>
      </c>
      <c r="V924" s="43">
        <f>V923+Учет!Q924-Q924</f>
        <v>-488978.92000000004</v>
      </c>
      <c r="W924" s="43">
        <f>W923+Учет!R924-R924</f>
        <v>336855</v>
      </c>
      <c r="X924" s="43">
        <f>X923+Учет!S924-S924</f>
        <v>500</v>
      </c>
      <c r="Y924" s="43">
        <f>Y923+Учет!T924-T924</f>
        <v>1150</v>
      </c>
      <c r="Z924" s="43">
        <f>Z923+Учет!U924-U924</f>
        <v>500000</v>
      </c>
      <c r="AA924" s="45">
        <f>Учет!X924</f>
        <v>500</v>
      </c>
    </row>
    <row r="925" spans="1:27" ht="15" customHeight="1" x14ac:dyDescent="0.25">
      <c r="A925" s="1"/>
      <c r="B925" s="17"/>
      <c r="C925" s="17"/>
      <c r="D925" s="17"/>
      <c r="E925" s="17"/>
      <c r="F925" s="17"/>
      <c r="G925" s="4">
        <f t="shared" si="39"/>
        <v>0</v>
      </c>
      <c r="H925" s="17"/>
      <c r="I925" s="4">
        <f t="shared" si="41"/>
        <v>349526.07999999996</v>
      </c>
      <c r="J925" s="32" t="str">
        <f t="shared" si="40"/>
        <v/>
      </c>
      <c r="K925" s="72"/>
      <c r="L925" s="72"/>
      <c r="M925" s="2"/>
      <c r="N925" s="5"/>
      <c r="O925" s="3"/>
      <c r="P925" s="6"/>
      <c r="Q925" s="48">
        <f>IF(Учет!$O925=Справочники!$F$2,Учет!$H925,0)</f>
        <v>0</v>
      </c>
      <c r="R925" s="48">
        <f>IF(Учет!$O925=Справочники!$F$3,Учет!$H925,0)</f>
        <v>0</v>
      </c>
      <c r="S925" s="48">
        <f>IF(Учет!$O925=Справочники!$F$4,Учет!$H925,0)</f>
        <v>0</v>
      </c>
      <c r="T925" s="48">
        <f>IF(Учет!$O925=Справочники!$F$5,Учет!$H925,0)</f>
        <v>0</v>
      </c>
      <c r="U925" s="48">
        <f>IF(Учет!$O925=Справочники!$F$6,Учет!$H925,0)</f>
        <v>0</v>
      </c>
      <c r="V925" s="43">
        <f>V924+Учет!Q925-Q925</f>
        <v>-488978.92000000004</v>
      </c>
      <c r="W925" s="43">
        <f>W924+Учет!R925-R925</f>
        <v>336855</v>
      </c>
      <c r="X925" s="43">
        <f>X924+Учет!S925-S925</f>
        <v>500</v>
      </c>
      <c r="Y925" s="43">
        <f>Y924+Учет!T925-T925</f>
        <v>1150</v>
      </c>
      <c r="Z925" s="43">
        <f>Z924+Учет!U925-U925</f>
        <v>500000</v>
      </c>
      <c r="AA925" s="45">
        <f>Учет!X925</f>
        <v>500</v>
      </c>
    </row>
    <row r="926" spans="1:27" ht="15" customHeight="1" x14ac:dyDescent="0.25">
      <c r="A926" s="1"/>
      <c r="B926" s="17"/>
      <c r="C926" s="17"/>
      <c r="D926" s="17"/>
      <c r="E926" s="17"/>
      <c r="F926" s="17"/>
      <c r="G926" s="4">
        <f t="shared" si="39"/>
        <v>0</v>
      </c>
      <c r="H926" s="17"/>
      <c r="I926" s="4">
        <f t="shared" si="41"/>
        <v>349526.07999999996</v>
      </c>
      <c r="J926" s="32" t="str">
        <f t="shared" si="40"/>
        <v/>
      </c>
      <c r="K926" s="72"/>
      <c r="L926" s="72"/>
      <c r="M926" s="2"/>
      <c r="N926" s="5"/>
      <c r="O926" s="3"/>
      <c r="P926" s="6"/>
      <c r="Q926" s="48">
        <f>IF(Учет!$O926=Справочники!$F$2,Учет!$H926,0)</f>
        <v>0</v>
      </c>
      <c r="R926" s="48">
        <f>IF(Учет!$O926=Справочники!$F$3,Учет!$H926,0)</f>
        <v>0</v>
      </c>
      <c r="S926" s="48">
        <f>IF(Учет!$O926=Справочники!$F$4,Учет!$H926,0)</f>
        <v>0</v>
      </c>
      <c r="T926" s="48">
        <f>IF(Учет!$O926=Справочники!$F$5,Учет!$H926,0)</f>
        <v>0</v>
      </c>
      <c r="U926" s="48">
        <f>IF(Учет!$O926=Справочники!$F$6,Учет!$H926,0)</f>
        <v>0</v>
      </c>
      <c r="V926" s="43">
        <f>V925+Учет!Q926-Q926</f>
        <v>-488978.92000000004</v>
      </c>
      <c r="W926" s="43">
        <f>W925+Учет!R926-R926</f>
        <v>336855</v>
      </c>
      <c r="X926" s="43">
        <f>X925+Учет!S926-S926</f>
        <v>500</v>
      </c>
      <c r="Y926" s="43">
        <f>Y925+Учет!T926-T926</f>
        <v>1150</v>
      </c>
      <c r="Z926" s="43">
        <f>Z925+Учет!U926-U926</f>
        <v>500000</v>
      </c>
      <c r="AA926" s="45">
        <f>Учет!X926</f>
        <v>500</v>
      </c>
    </row>
    <row r="927" spans="1:27" ht="15" customHeight="1" x14ac:dyDescent="0.25">
      <c r="A927" s="1"/>
      <c r="B927" s="17"/>
      <c r="C927" s="17"/>
      <c r="D927" s="17"/>
      <c r="E927" s="17"/>
      <c r="F927" s="17"/>
      <c r="G927" s="4">
        <f t="shared" si="39"/>
        <v>0</v>
      </c>
      <c r="H927" s="17"/>
      <c r="I927" s="4">
        <f t="shared" si="41"/>
        <v>349526.07999999996</v>
      </c>
      <c r="J927" s="32" t="str">
        <f t="shared" si="40"/>
        <v/>
      </c>
      <c r="K927" s="72"/>
      <c r="L927" s="72"/>
      <c r="M927" s="2"/>
      <c r="N927" s="5"/>
      <c r="O927" s="3"/>
      <c r="P927" s="6"/>
      <c r="Q927" s="48">
        <f>IF(Учет!$O927=Справочники!$F$2,Учет!$H927,0)</f>
        <v>0</v>
      </c>
      <c r="R927" s="48">
        <f>IF(Учет!$O927=Справочники!$F$3,Учет!$H927,0)</f>
        <v>0</v>
      </c>
      <c r="S927" s="48">
        <f>IF(Учет!$O927=Справочники!$F$4,Учет!$H927,0)</f>
        <v>0</v>
      </c>
      <c r="T927" s="48">
        <f>IF(Учет!$O927=Справочники!$F$5,Учет!$H927,0)</f>
        <v>0</v>
      </c>
      <c r="U927" s="48">
        <f>IF(Учет!$O927=Справочники!$F$6,Учет!$H927,0)</f>
        <v>0</v>
      </c>
      <c r="V927" s="43">
        <f>V926+Учет!Q927-Q927</f>
        <v>-488978.92000000004</v>
      </c>
      <c r="W927" s="43">
        <f>W926+Учет!R927-R927</f>
        <v>336855</v>
      </c>
      <c r="X927" s="43">
        <f>X926+Учет!S927-S927</f>
        <v>500</v>
      </c>
      <c r="Y927" s="43">
        <f>Y926+Учет!T927-T927</f>
        <v>1150</v>
      </c>
      <c r="Z927" s="43">
        <f>Z926+Учет!U927-U927</f>
        <v>500000</v>
      </c>
      <c r="AA927" s="45">
        <f>Учет!X927</f>
        <v>500</v>
      </c>
    </row>
    <row r="928" spans="1:27" ht="15" customHeight="1" x14ac:dyDescent="0.25">
      <c r="A928" s="1"/>
      <c r="B928" s="17"/>
      <c r="C928" s="17"/>
      <c r="D928" s="17"/>
      <c r="E928" s="17"/>
      <c r="F928" s="17"/>
      <c r="G928" s="4">
        <f t="shared" si="39"/>
        <v>0</v>
      </c>
      <c r="H928" s="17"/>
      <c r="I928" s="4">
        <f t="shared" si="41"/>
        <v>349526.07999999996</v>
      </c>
      <c r="J928" s="32" t="str">
        <f t="shared" si="40"/>
        <v/>
      </c>
      <c r="K928" s="72"/>
      <c r="L928" s="72"/>
      <c r="M928" s="2"/>
      <c r="N928" s="5"/>
      <c r="O928" s="3"/>
      <c r="P928" s="6"/>
      <c r="Q928" s="48">
        <f>IF(Учет!$O928=Справочники!$F$2,Учет!$H928,0)</f>
        <v>0</v>
      </c>
      <c r="R928" s="48">
        <f>IF(Учет!$O928=Справочники!$F$3,Учет!$H928,0)</f>
        <v>0</v>
      </c>
      <c r="S928" s="48">
        <f>IF(Учет!$O928=Справочники!$F$4,Учет!$H928,0)</f>
        <v>0</v>
      </c>
      <c r="T928" s="48">
        <f>IF(Учет!$O928=Справочники!$F$5,Учет!$H928,0)</f>
        <v>0</v>
      </c>
      <c r="U928" s="48">
        <f>IF(Учет!$O928=Справочники!$F$6,Учет!$H928,0)</f>
        <v>0</v>
      </c>
      <c r="V928" s="43">
        <f>V927+Учет!Q928-Q928</f>
        <v>-488978.92000000004</v>
      </c>
      <c r="W928" s="43">
        <f>W927+Учет!R928-R928</f>
        <v>336855</v>
      </c>
      <c r="X928" s="43">
        <f>X927+Учет!S928-S928</f>
        <v>500</v>
      </c>
      <c r="Y928" s="43">
        <f>Y927+Учет!T928-T928</f>
        <v>1150</v>
      </c>
      <c r="Z928" s="43">
        <f>Z927+Учет!U928-U928</f>
        <v>500000</v>
      </c>
      <c r="AA928" s="45">
        <f>Учет!X928</f>
        <v>500</v>
      </c>
    </row>
    <row r="929" spans="1:27" ht="15" customHeight="1" x14ac:dyDescent="0.25">
      <c r="A929" s="1"/>
      <c r="B929" s="17"/>
      <c r="C929" s="17"/>
      <c r="D929" s="17"/>
      <c r="E929" s="17"/>
      <c r="F929" s="17"/>
      <c r="G929" s="4">
        <f t="shared" si="39"/>
        <v>0</v>
      </c>
      <c r="H929" s="17"/>
      <c r="I929" s="4">
        <f t="shared" si="41"/>
        <v>349526.07999999996</v>
      </c>
      <c r="J929" s="32" t="str">
        <f t="shared" si="40"/>
        <v/>
      </c>
      <c r="K929" s="72"/>
      <c r="L929" s="72"/>
      <c r="M929" s="2"/>
      <c r="N929" s="5"/>
      <c r="O929" s="3"/>
      <c r="P929" s="6"/>
      <c r="Q929" s="48">
        <f>IF(Учет!$O929=Справочники!$F$2,Учет!$H929,0)</f>
        <v>0</v>
      </c>
      <c r="R929" s="48">
        <f>IF(Учет!$O929=Справочники!$F$3,Учет!$H929,0)</f>
        <v>0</v>
      </c>
      <c r="S929" s="48">
        <f>IF(Учет!$O929=Справочники!$F$4,Учет!$H929,0)</f>
        <v>0</v>
      </c>
      <c r="T929" s="48">
        <f>IF(Учет!$O929=Справочники!$F$5,Учет!$H929,0)</f>
        <v>0</v>
      </c>
      <c r="U929" s="48">
        <f>IF(Учет!$O929=Справочники!$F$6,Учет!$H929,0)</f>
        <v>0</v>
      </c>
      <c r="V929" s="43">
        <f>V928+Учет!Q929-Q929</f>
        <v>-488978.92000000004</v>
      </c>
      <c r="W929" s="43">
        <f>W928+Учет!R929-R929</f>
        <v>336855</v>
      </c>
      <c r="X929" s="43">
        <f>X928+Учет!S929-S929</f>
        <v>500</v>
      </c>
      <c r="Y929" s="43">
        <f>Y928+Учет!T929-T929</f>
        <v>1150</v>
      </c>
      <c r="Z929" s="43">
        <f>Z928+Учет!U929-U929</f>
        <v>500000</v>
      </c>
      <c r="AA929" s="45">
        <f>Учет!X929</f>
        <v>500</v>
      </c>
    </row>
    <row r="930" spans="1:27" ht="15" customHeight="1" x14ac:dyDescent="0.25">
      <c r="A930" s="1"/>
      <c r="B930" s="17"/>
      <c r="C930" s="17"/>
      <c r="D930" s="17"/>
      <c r="E930" s="17"/>
      <c r="F930" s="17"/>
      <c r="G930" s="4">
        <f t="shared" si="39"/>
        <v>0</v>
      </c>
      <c r="H930" s="17"/>
      <c r="I930" s="4">
        <f t="shared" si="41"/>
        <v>349526.07999999996</v>
      </c>
      <c r="J930" s="32" t="str">
        <f t="shared" si="40"/>
        <v/>
      </c>
      <c r="K930" s="72"/>
      <c r="L930" s="72"/>
      <c r="M930" s="2"/>
      <c r="N930" s="5"/>
      <c r="O930" s="3"/>
      <c r="P930" s="6"/>
      <c r="Q930" s="48">
        <f>IF(Учет!$O930=Справочники!$F$2,Учет!$H930,0)</f>
        <v>0</v>
      </c>
      <c r="R930" s="48">
        <f>IF(Учет!$O930=Справочники!$F$3,Учет!$H930,0)</f>
        <v>0</v>
      </c>
      <c r="S930" s="48">
        <f>IF(Учет!$O930=Справочники!$F$4,Учет!$H930,0)</f>
        <v>0</v>
      </c>
      <c r="T930" s="48">
        <f>IF(Учет!$O930=Справочники!$F$5,Учет!$H930,0)</f>
        <v>0</v>
      </c>
      <c r="U930" s="48">
        <f>IF(Учет!$O930=Справочники!$F$6,Учет!$H930,0)</f>
        <v>0</v>
      </c>
      <c r="V930" s="43">
        <f>V929+Учет!Q930-Q930</f>
        <v>-488978.92000000004</v>
      </c>
      <c r="W930" s="43">
        <f>W929+Учет!R930-R930</f>
        <v>336855</v>
      </c>
      <c r="X930" s="43">
        <f>X929+Учет!S930-S930</f>
        <v>500</v>
      </c>
      <c r="Y930" s="43">
        <f>Y929+Учет!T930-T930</f>
        <v>1150</v>
      </c>
      <c r="Z930" s="43">
        <f>Z929+Учет!U930-U930</f>
        <v>500000</v>
      </c>
      <c r="AA930" s="45">
        <f>Учет!X930</f>
        <v>500</v>
      </c>
    </row>
    <row r="931" spans="1:27" ht="15" customHeight="1" x14ac:dyDescent="0.25">
      <c r="A931" s="1"/>
      <c r="B931" s="17"/>
      <c r="C931" s="17"/>
      <c r="D931" s="17"/>
      <c r="E931" s="17"/>
      <c r="F931" s="17"/>
      <c r="G931" s="4">
        <f t="shared" si="39"/>
        <v>0</v>
      </c>
      <c r="H931" s="17"/>
      <c r="I931" s="4">
        <f t="shared" si="41"/>
        <v>349526.07999999996</v>
      </c>
      <c r="J931" s="32" t="str">
        <f t="shared" si="40"/>
        <v/>
      </c>
      <c r="K931" s="72"/>
      <c r="L931" s="72"/>
      <c r="M931" s="2"/>
      <c r="N931" s="5"/>
      <c r="O931" s="3"/>
      <c r="P931" s="6"/>
      <c r="Q931" s="48">
        <f>IF(Учет!$O931=Справочники!$F$2,Учет!$H931,0)</f>
        <v>0</v>
      </c>
      <c r="R931" s="48">
        <f>IF(Учет!$O931=Справочники!$F$3,Учет!$H931,0)</f>
        <v>0</v>
      </c>
      <c r="S931" s="48">
        <f>IF(Учет!$O931=Справочники!$F$4,Учет!$H931,0)</f>
        <v>0</v>
      </c>
      <c r="T931" s="48">
        <f>IF(Учет!$O931=Справочники!$F$5,Учет!$H931,0)</f>
        <v>0</v>
      </c>
      <c r="U931" s="48">
        <f>IF(Учет!$O931=Справочники!$F$6,Учет!$H931,0)</f>
        <v>0</v>
      </c>
      <c r="V931" s="43">
        <f>V930+Учет!Q931-Q931</f>
        <v>-488978.92000000004</v>
      </c>
      <c r="W931" s="43">
        <f>W930+Учет!R931-R931</f>
        <v>336855</v>
      </c>
      <c r="X931" s="43">
        <f>X930+Учет!S931-S931</f>
        <v>500</v>
      </c>
      <c r="Y931" s="43">
        <f>Y930+Учет!T931-T931</f>
        <v>1150</v>
      </c>
      <c r="Z931" s="43">
        <f>Z930+Учет!U931-U931</f>
        <v>500000</v>
      </c>
      <c r="AA931" s="45">
        <f>Учет!X931</f>
        <v>500</v>
      </c>
    </row>
    <row r="932" spans="1:27" ht="15" customHeight="1" x14ac:dyDescent="0.25">
      <c r="A932" s="1"/>
      <c r="B932" s="17"/>
      <c r="C932" s="17"/>
      <c r="D932" s="17"/>
      <c r="E932" s="17"/>
      <c r="F932" s="17"/>
      <c r="G932" s="4">
        <f t="shared" si="39"/>
        <v>0</v>
      </c>
      <c r="H932" s="17"/>
      <c r="I932" s="4">
        <f t="shared" si="41"/>
        <v>349526.07999999996</v>
      </c>
      <c r="J932" s="32" t="str">
        <f t="shared" si="40"/>
        <v/>
      </c>
      <c r="K932" s="72"/>
      <c r="L932" s="72"/>
      <c r="M932" s="2"/>
      <c r="N932" s="5"/>
      <c r="O932" s="3"/>
      <c r="P932" s="6"/>
      <c r="Q932" s="48">
        <f>IF(Учет!$O932=Справочники!$F$2,Учет!$H932,0)</f>
        <v>0</v>
      </c>
      <c r="R932" s="48">
        <f>IF(Учет!$O932=Справочники!$F$3,Учет!$H932,0)</f>
        <v>0</v>
      </c>
      <c r="S932" s="48">
        <f>IF(Учет!$O932=Справочники!$F$4,Учет!$H932,0)</f>
        <v>0</v>
      </c>
      <c r="T932" s="48">
        <f>IF(Учет!$O932=Справочники!$F$5,Учет!$H932,0)</f>
        <v>0</v>
      </c>
      <c r="U932" s="48">
        <f>IF(Учет!$O932=Справочники!$F$6,Учет!$H932,0)</f>
        <v>0</v>
      </c>
      <c r="V932" s="43">
        <f>V931+Учет!Q932-Q932</f>
        <v>-488978.92000000004</v>
      </c>
      <c r="W932" s="43">
        <f>W931+Учет!R932-R932</f>
        <v>336855</v>
      </c>
      <c r="X932" s="43">
        <f>X931+Учет!S932-S932</f>
        <v>500</v>
      </c>
      <c r="Y932" s="43">
        <f>Y931+Учет!T932-T932</f>
        <v>1150</v>
      </c>
      <c r="Z932" s="43">
        <f>Z931+Учет!U932-U932</f>
        <v>500000</v>
      </c>
      <c r="AA932" s="45">
        <f>Учет!X932</f>
        <v>500</v>
      </c>
    </row>
    <row r="933" spans="1:27" ht="15" customHeight="1" x14ac:dyDescent="0.25">
      <c r="A933" s="1"/>
      <c r="B933" s="17"/>
      <c r="C933" s="17"/>
      <c r="D933" s="17"/>
      <c r="E933" s="17"/>
      <c r="F933" s="17"/>
      <c r="G933" s="4">
        <f t="shared" si="39"/>
        <v>0</v>
      </c>
      <c r="H933" s="17"/>
      <c r="I933" s="4">
        <f t="shared" si="41"/>
        <v>349526.07999999996</v>
      </c>
      <c r="J933" s="32" t="str">
        <f t="shared" si="40"/>
        <v/>
      </c>
      <c r="K933" s="72"/>
      <c r="L933" s="72"/>
      <c r="M933" s="2"/>
      <c r="N933" s="5"/>
      <c r="O933" s="3"/>
      <c r="P933" s="6"/>
      <c r="Q933" s="48">
        <f>IF(Учет!$O933=Справочники!$F$2,Учет!$H933,0)</f>
        <v>0</v>
      </c>
      <c r="R933" s="48">
        <f>IF(Учет!$O933=Справочники!$F$3,Учет!$H933,0)</f>
        <v>0</v>
      </c>
      <c r="S933" s="48">
        <f>IF(Учет!$O933=Справочники!$F$4,Учет!$H933,0)</f>
        <v>0</v>
      </c>
      <c r="T933" s="48">
        <f>IF(Учет!$O933=Справочники!$F$5,Учет!$H933,0)</f>
        <v>0</v>
      </c>
      <c r="U933" s="48">
        <f>IF(Учет!$O933=Справочники!$F$6,Учет!$H933,0)</f>
        <v>0</v>
      </c>
      <c r="V933" s="43">
        <f>V932+Учет!Q933-Q933</f>
        <v>-488978.92000000004</v>
      </c>
      <c r="W933" s="43">
        <f>W932+Учет!R933-R933</f>
        <v>336855</v>
      </c>
      <c r="X933" s="43">
        <f>X932+Учет!S933-S933</f>
        <v>500</v>
      </c>
      <c r="Y933" s="43">
        <f>Y932+Учет!T933-T933</f>
        <v>1150</v>
      </c>
      <c r="Z933" s="43">
        <f>Z932+Учет!U933-U933</f>
        <v>500000</v>
      </c>
      <c r="AA933" s="45">
        <f>Учет!X933</f>
        <v>500</v>
      </c>
    </row>
    <row r="934" spans="1:27" ht="15" customHeight="1" x14ac:dyDescent="0.25">
      <c r="A934" s="1"/>
      <c r="B934" s="17"/>
      <c r="C934" s="17"/>
      <c r="D934" s="17"/>
      <c r="E934" s="17"/>
      <c r="F934" s="17"/>
      <c r="G934" s="4">
        <f t="shared" si="39"/>
        <v>0</v>
      </c>
      <c r="H934" s="17"/>
      <c r="I934" s="4">
        <f t="shared" si="41"/>
        <v>349526.07999999996</v>
      </c>
      <c r="J934" s="32" t="str">
        <f t="shared" si="40"/>
        <v/>
      </c>
      <c r="K934" s="72"/>
      <c r="L934" s="72"/>
      <c r="M934" s="2"/>
      <c r="N934" s="5"/>
      <c r="O934" s="3"/>
      <c r="P934" s="6"/>
      <c r="Q934" s="48">
        <f>IF(Учет!$O934=Справочники!$F$2,Учет!$H934,0)</f>
        <v>0</v>
      </c>
      <c r="R934" s="48">
        <f>IF(Учет!$O934=Справочники!$F$3,Учет!$H934,0)</f>
        <v>0</v>
      </c>
      <c r="S934" s="48">
        <f>IF(Учет!$O934=Справочники!$F$4,Учет!$H934,0)</f>
        <v>0</v>
      </c>
      <c r="T934" s="48">
        <f>IF(Учет!$O934=Справочники!$F$5,Учет!$H934,0)</f>
        <v>0</v>
      </c>
      <c r="U934" s="48">
        <f>IF(Учет!$O934=Справочники!$F$6,Учет!$H934,0)</f>
        <v>0</v>
      </c>
      <c r="V934" s="43">
        <f>V933+Учет!Q934-Q934</f>
        <v>-488978.92000000004</v>
      </c>
      <c r="W934" s="43">
        <f>W933+Учет!R934-R934</f>
        <v>336855</v>
      </c>
      <c r="X934" s="43">
        <f>X933+Учет!S934-S934</f>
        <v>500</v>
      </c>
      <c r="Y934" s="43">
        <f>Y933+Учет!T934-T934</f>
        <v>1150</v>
      </c>
      <c r="Z934" s="43">
        <f>Z933+Учет!U934-U934</f>
        <v>500000</v>
      </c>
      <c r="AA934" s="45">
        <f>Учет!X934</f>
        <v>500</v>
      </c>
    </row>
    <row r="935" spans="1:27" ht="15" customHeight="1" x14ac:dyDescent="0.25">
      <c r="A935" s="1"/>
      <c r="B935" s="17"/>
      <c r="C935" s="17"/>
      <c r="D935" s="17"/>
      <c r="E935" s="17"/>
      <c r="F935" s="17"/>
      <c r="G935" s="4">
        <f t="shared" si="39"/>
        <v>0</v>
      </c>
      <c r="H935" s="17"/>
      <c r="I935" s="4">
        <f t="shared" si="41"/>
        <v>349526.07999999996</v>
      </c>
      <c r="J935" s="32" t="str">
        <f t="shared" si="40"/>
        <v/>
      </c>
      <c r="K935" s="72"/>
      <c r="L935" s="72"/>
      <c r="M935" s="2"/>
      <c r="N935" s="5"/>
      <c r="O935" s="3"/>
      <c r="P935" s="6"/>
      <c r="Q935" s="48">
        <f>IF(Учет!$O935=Справочники!$F$2,Учет!$H935,0)</f>
        <v>0</v>
      </c>
      <c r="R935" s="48">
        <f>IF(Учет!$O935=Справочники!$F$3,Учет!$H935,0)</f>
        <v>0</v>
      </c>
      <c r="S935" s="48">
        <f>IF(Учет!$O935=Справочники!$F$4,Учет!$H935,0)</f>
        <v>0</v>
      </c>
      <c r="T935" s="48">
        <f>IF(Учет!$O935=Справочники!$F$5,Учет!$H935,0)</f>
        <v>0</v>
      </c>
      <c r="U935" s="48">
        <f>IF(Учет!$O935=Справочники!$F$6,Учет!$H935,0)</f>
        <v>0</v>
      </c>
      <c r="V935" s="43">
        <f>V934+Учет!Q935-Q935</f>
        <v>-488978.92000000004</v>
      </c>
      <c r="W935" s="43">
        <f>W934+Учет!R935-R935</f>
        <v>336855</v>
      </c>
      <c r="X935" s="43">
        <f>X934+Учет!S935-S935</f>
        <v>500</v>
      </c>
      <c r="Y935" s="43">
        <f>Y934+Учет!T935-T935</f>
        <v>1150</v>
      </c>
      <c r="Z935" s="43">
        <f>Z934+Учет!U935-U935</f>
        <v>500000</v>
      </c>
      <c r="AA935" s="45">
        <f>Учет!X935</f>
        <v>500</v>
      </c>
    </row>
    <row r="936" spans="1:27" ht="15" customHeight="1" x14ac:dyDescent="0.25">
      <c r="A936" s="1"/>
      <c r="B936" s="17"/>
      <c r="C936" s="17"/>
      <c r="D936" s="17"/>
      <c r="E936" s="17"/>
      <c r="F936" s="17"/>
      <c r="G936" s="4">
        <f t="shared" si="39"/>
        <v>0</v>
      </c>
      <c r="H936" s="17"/>
      <c r="I936" s="4">
        <f t="shared" si="41"/>
        <v>349526.07999999996</v>
      </c>
      <c r="J936" s="32" t="str">
        <f t="shared" si="40"/>
        <v/>
      </c>
      <c r="K936" s="72"/>
      <c r="L936" s="72"/>
      <c r="M936" s="2"/>
      <c r="N936" s="5"/>
      <c r="O936" s="3"/>
      <c r="P936" s="6"/>
      <c r="Q936" s="48">
        <f>IF(Учет!$O936=Справочники!$F$2,Учет!$H936,0)</f>
        <v>0</v>
      </c>
      <c r="R936" s="48">
        <f>IF(Учет!$O936=Справочники!$F$3,Учет!$H936,0)</f>
        <v>0</v>
      </c>
      <c r="S936" s="48">
        <f>IF(Учет!$O936=Справочники!$F$4,Учет!$H936,0)</f>
        <v>0</v>
      </c>
      <c r="T936" s="48">
        <f>IF(Учет!$O936=Справочники!$F$5,Учет!$H936,0)</f>
        <v>0</v>
      </c>
      <c r="U936" s="48">
        <f>IF(Учет!$O936=Справочники!$F$6,Учет!$H936,0)</f>
        <v>0</v>
      </c>
      <c r="V936" s="43">
        <f>V935+Учет!Q936-Q936</f>
        <v>-488978.92000000004</v>
      </c>
      <c r="W936" s="43">
        <f>W935+Учет!R936-R936</f>
        <v>336855</v>
      </c>
      <c r="X936" s="43">
        <f>X935+Учет!S936-S936</f>
        <v>500</v>
      </c>
      <c r="Y936" s="43">
        <f>Y935+Учет!T936-T936</f>
        <v>1150</v>
      </c>
      <c r="Z936" s="43">
        <f>Z935+Учет!U936-U936</f>
        <v>500000</v>
      </c>
      <c r="AA936" s="45">
        <f>Учет!X936</f>
        <v>500</v>
      </c>
    </row>
    <row r="937" spans="1:27" ht="15" customHeight="1" x14ac:dyDescent="0.25">
      <c r="A937" s="1"/>
      <c r="B937" s="17"/>
      <c r="C937" s="17"/>
      <c r="D937" s="17"/>
      <c r="E937" s="17"/>
      <c r="F937" s="17"/>
      <c r="G937" s="4">
        <f t="shared" si="39"/>
        <v>0</v>
      </c>
      <c r="H937" s="17"/>
      <c r="I937" s="4">
        <f t="shared" si="41"/>
        <v>349526.07999999996</v>
      </c>
      <c r="J937" s="32" t="str">
        <f t="shared" si="40"/>
        <v/>
      </c>
      <c r="K937" s="72"/>
      <c r="L937" s="72"/>
      <c r="M937" s="2"/>
      <c r="N937" s="5"/>
      <c r="O937" s="3"/>
      <c r="P937" s="6"/>
      <c r="Q937" s="48">
        <f>IF(Учет!$O937=Справочники!$F$2,Учет!$H937,0)</f>
        <v>0</v>
      </c>
      <c r="R937" s="48">
        <f>IF(Учет!$O937=Справочники!$F$3,Учет!$H937,0)</f>
        <v>0</v>
      </c>
      <c r="S937" s="48">
        <f>IF(Учет!$O937=Справочники!$F$4,Учет!$H937,0)</f>
        <v>0</v>
      </c>
      <c r="T937" s="48">
        <f>IF(Учет!$O937=Справочники!$F$5,Учет!$H937,0)</f>
        <v>0</v>
      </c>
      <c r="U937" s="48">
        <f>IF(Учет!$O937=Справочники!$F$6,Учет!$H937,0)</f>
        <v>0</v>
      </c>
      <c r="V937" s="43">
        <f>V936+Учет!Q937-Q937</f>
        <v>-488978.92000000004</v>
      </c>
      <c r="W937" s="43">
        <f>W936+Учет!R937-R937</f>
        <v>336855</v>
      </c>
      <c r="X937" s="43">
        <f>X936+Учет!S937-S937</f>
        <v>500</v>
      </c>
      <c r="Y937" s="43">
        <f>Y936+Учет!T937-T937</f>
        <v>1150</v>
      </c>
      <c r="Z937" s="43">
        <f>Z936+Учет!U937-U937</f>
        <v>500000</v>
      </c>
      <c r="AA937" s="45">
        <f>Учет!X937</f>
        <v>500</v>
      </c>
    </row>
    <row r="938" spans="1:27" ht="15" customHeight="1" x14ac:dyDescent="0.25">
      <c r="A938" s="1"/>
      <c r="B938" s="17"/>
      <c r="C938" s="17"/>
      <c r="D938" s="17"/>
      <c r="E938" s="17"/>
      <c r="F938" s="17"/>
      <c r="G938" s="4">
        <f t="shared" si="39"/>
        <v>0</v>
      </c>
      <c r="H938" s="17"/>
      <c r="I938" s="4">
        <f t="shared" si="41"/>
        <v>349526.07999999996</v>
      </c>
      <c r="J938" s="32" t="str">
        <f t="shared" si="40"/>
        <v/>
      </c>
      <c r="K938" s="72"/>
      <c r="L938" s="72"/>
      <c r="M938" s="2"/>
      <c r="N938" s="5"/>
      <c r="O938" s="3"/>
      <c r="P938" s="6"/>
      <c r="Q938" s="48">
        <f>IF(Учет!$O938=Справочники!$F$2,Учет!$H938,0)</f>
        <v>0</v>
      </c>
      <c r="R938" s="48">
        <f>IF(Учет!$O938=Справочники!$F$3,Учет!$H938,0)</f>
        <v>0</v>
      </c>
      <c r="S938" s="48">
        <f>IF(Учет!$O938=Справочники!$F$4,Учет!$H938,0)</f>
        <v>0</v>
      </c>
      <c r="T938" s="48">
        <f>IF(Учет!$O938=Справочники!$F$5,Учет!$H938,0)</f>
        <v>0</v>
      </c>
      <c r="U938" s="48">
        <f>IF(Учет!$O938=Справочники!$F$6,Учет!$H938,0)</f>
        <v>0</v>
      </c>
      <c r="V938" s="43">
        <f>V937+Учет!Q938-Q938</f>
        <v>-488978.92000000004</v>
      </c>
      <c r="W938" s="43">
        <f>W937+Учет!R938-R938</f>
        <v>336855</v>
      </c>
      <c r="X938" s="43">
        <f>X937+Учет!S938-S938</f>
        <v>500</v>
      </c>
      <c r="Y938" s="43">
        <f>Y937+Учет!T938-T938</f>
        <v>1150</v>
      </c>
      <c r="Z938" s="43">
        <f>Z937+Учет!U938-U938</f>
        <v>500000</v>
      </c>
      <c r="AA938" s="45">
        <f>Учет!X938</f>
        <v>500</v>
      </c>
    </row>
    <row r="939" spans="1:27" ht="15" customHeight="1" x14ac:dyDescent="0.25">
      <c r="A939" s="1"/>
      <c r="B939" s="17"/>
      <c r="C939" s="17"/>
      <c r="D939" s="17"/>
      <c r="E939" s="17"/>
      <c r="F939" s="17"/>
      <c r="G939" s="4">
        <f t="shared" si="39"/>
        <v>0</v>
      </c>
      <c r="H939" s="17"/>
      <c r="I939" s="4">
        <f t="shared" si="41"/>
        <v>349526.07999999996</v>
      </c>
      <c r="J939" s="32" t="str">
        <f t="shared" si="40"/>
        <v/>
      </c>
      <c r="K939" s="72"/>
      <c r="L939" s="72"/>
      <c r="M939" s="2"/>
      <c r="N939" s="5"/>
      <c r="O939" s="3"/>
      <c r="P939" s="6"/>
      <c r="Q939" s="48">
        <f>IF(Учет!$O939=Справочники!$F$2,Учет!$H939,0)</f>
        <v>0</v>
      </c>
      <c r="R939" s="48">
        <f>IF(Учет!$O939=Справочники!$F$3,Учет!$H939,0)</f>
        <v>0</v>
      </c>
      <c r="S939" s="48">
        <f>IF(Учет!$O939=Справочники!$F$4,Учет!$H939,0)</f>
        <v>0</v>
      </c>
      <c r="T939" s="48">
        <f>IF(Учет!$O939=Справочники!$F$5,Учет!$H939,0)</f>
        <v>0</v>
      </c>
      <c r="U939" s="48">
        <f>IF(Учет!$O939=Справочники!$F$6,Учет!$H939,0)</f>
        <v>0</v>
      </c>
      <c r="V939" s="43">
        <f>V938+Учет!Q939-Q939</f>
        <v>-488978.92000000004</v>
      </c>
      <c r="W939" s="43">
        <f>W938+Учет!R939-R939</f>
        <v>336855</v>
      </c>
      <c r="X939" s="43">
        <f>X938+Учет!S939-S939</f>
        <v>500</v>
      </c>
      <c r="Y939" s="43">
        <f>Y938+Учет!T939-T939</f>
        <v>1150</v>
      </c>
      <c r="Z939" s="43">
        <f>Z938+Учет!U939-U939</f>
        <v>500000</v>
      </c>
      <c r="AA939" s="45">
        <f>Учет!X939</f>
        <v>500</v>
      </c>
    </row>
    <row r="940" spans="1:27" ht="15" customHeight="1" x14ac:dyDescent="0.25">
      <c r="A940" s="1"/>
      <c r="B940" s="17"/>
      <c r="C940" s="17"/>
      <c r="D940" s="17"/>
      <c r="E940" s="17"/>
      <c r="F940" s="17"/>
      <c r="G940" s="4">
        <f t="shared" si="39"/>
        <v>0</v>
      </c>
      <c r="H940" s="17"/>
      <c r="I940" s="4">
        <f t="shared" si="41"/>
        <v>349526.07999999996</v>
      </c>
      <c r="J940" s="32" t="str">
        <f t="shared" si="40"/>
        <v/>
      </c>
      <c r="K940" s="72"/>
      <c r="L940" s="72"/>
      <c r="M940" s="2"/>
      <c r="N940" s="5"/>
      <c r="O940" s="3"/>
      <c r="P940" s="6"/>
      <c r="Q940" s="48">
        <f>IF(Учет!$O940=Справочники!$F$2,Учет!$H940,0)</f>
        <v>0</v>
      </c>
      <c r="R940" s="48">
        <f>IF(Учет!$O940=Справочники!$F$3,Учет!$H940,0)</f>
        <v>0</v>
      </c>
      <c r="S940" s="48">
        <f>IF(Учет!$O940=Справочники!$F$4,Учет!$H940,0)</f>
        <v>0</v>
      </c>
      <c r="T940" s="48">
        <f>IF(Учет!$O940=Справочники!$F$5,Учет!$H940,0)</f>
        <v>0</v>
      </c>
      <c r="U940" s="48">
        <f>IF(Учет!$O940=Справочники!$F$6,Учет!$H940,0)</f>
        <v>0</v>
      </c>
      <c r="V940" s="43">
        <f>V939+Учет!Q940-Q940</f>
        <v>-488978.92000000004</v>
      </c>
      <c r="W940" s="43">
        <f>W939+Учет!R940-R940</f>
        <v>336855</v>
      </c>
      <c r="X940" s="43">
        <f>X939+Учет!S940-S940</f>
        <v>500</v>
      </c>
      <c r="Y940" s="43">
        <f>Y939+Учет!T940-T940</f>
        <v>1150</v>
      </c>
      <c r="Z940" s="43">
        <f>Z939+Учет!U940-U940</f>
        <v>500000</v>
      </c>
      <c r="AA940" s="45">
        <f>Учет!X940</f>
        <v>500</v>
      </c>
    </row>
    <row r="941" spans="1:27" ht="15" customHeight="1" x14ac:dyDescent="0.25">
      <c r="A941" s="1"/>
      <c r="B941" s="17"/>
      <c r="C941" s="17"/>
      <c r="D941" s="17"/>
      <c r="E941" s="17"/>
      <c r="F941" s="17"/>
      <c r="G941" s="4">
        <f t="shared" si="39"/>
        <v>0</v>
      </c>
      <c r="H941" s="17"/>
      <c r="I941" s="4">
        <f t="shared" si="41"/>
        <v>349526.07999999996</v>
      </c>
      <c r="J941" s="32" t="str">
        <f t="shared" si="40"/>
        <v/>
      </c>
      <c r="K941" s="72"/>
      <c r="L941" s="72"/>
      <c r="M941" s="2"/>
      <c r="N941" s="5"/>
      <c r="O941" s="3"/>
      <c r="P941" s="6"/>
      <c r="Q941" s="48">
        <f>IF(Учет!$O941=Справочники!$F$2,Учет!$H941,0)</f>
        <v>0</v>
      </c>
      <c r="R941" s="48">
        <f>IF(Учет!$O941=Справочники!$F$3,Учет!$H941,0)</f>
        <v>0</v>
      </c>
      <c r="S941" s="48">
        <f>IF(Учет!$O941=Справочники!$F$4,Учет!$H941,0)</f>
        <v>0</v>
      </c>
      <c r="T941" s="48">
        <f>IF(Учет!$O941=Справочники!$F$5,Учет!$H941,0)</f>
        <v>0</v>
      </c>
      <c r="U941" s="48">
        <f>IF(Учет!$O941=Справочники!$F$6,Учет!$H941,0)</f>
        <v>0</v>
      </c>
      <c r="V941" s="43">
        <f>V940+Учет!Q941-Q941</f>
        <v>-488978.92000000004</v>
      </c>
      <c r="W941" s="43">
        <f>W940+Учет!R941-R941</f>
        <v>336855</v>
      </c>
      <c r="X941" s="43">
        <f>X940+Учет!S941-S941</f>
        <v>500</v>
      </c>
      <c r="Y941" s="43">
        <f>Y940+Учет!T941-T941</f>
        <v>1150</v>
      </c>
      <c r="Z941" s="43">
        <f>Z940+Учет!U941-U941</f>
        <v>500000</v>
      </c>
      <c r="AA941" s="45">
        <f>Учет!X941</f>
        <v>500</v>
      </c>
    </row>
    <row r="942" spans="1:27" ht="15" customHeight="1" x14ac:dyDescent="0.25">
      <c r="A942" s="1"/>
      <c r="B942" s="17"/>
      <c r="C942" s="17"/>
      <c r="D942" s="17"/>
      <c r="E942" s="17"/>
      <c r="F942" s="17"/>
      <c r="G942" s="4">
        <f t="shared" si="39"/>
        <v>0</v>
      </c>
      <c r="H942" s="17"/>
      <c r="I942" s="4">
        <f t="shared" si="41"/>
        <v>349526.07999999996</v>
      </c>
      <c r="J942" s="32" t="str">
        <f t="shared" si="40"/>
        <v/>
      </c>
      <c r="K942" s="72"/>
      <c r="L942" s="72"/>
      <c r="M942" s="2"/>
      <c r="N942" s="5"/>
      <c r="O942" s="3"/>
      <c r="P942" s="6"/>
      <c r="Q942" s="48">
        <f>IF(Учет!$O942=Справочники!$F$2,Учет!$H942,0)</f>
        <v>0</v>
      </c>
      <c r="R942" s="48">
        <f>IF(Учет!$O942=Справочники!$F$3,Учет!$H942,0)</f>
        <v>0</v>
      </c>
      <c r="S942" s="48">
        <f>IF(Учет!$O942=Справочники!$F$4,Учет!$H942,0)</f>
        <v>0</v>
      </c>
      <c r="T942" s="48">
        <f>IF(Учет!$O942=Справочники!$F$5,Учет!$H942,0)</f>
        <v>0</v>
      </c>
      <c r="U942" s="48">
        <f>IF(Учет!$O942=Справочники!$F$6,Учет!$H942,0)</f>
        <v>0</v>
      </c>
      <c r="V942" s="43">
        <f>V941+Учет!Q942-Q942</f>
        <v>-488978.92000000004</v>
      </c>
      <c r="W942" s="43">
        <f>W941+Учет!R942-R942</f>
        <v>336855</v>
      </c>
      <c r="X942" s="43">
        <f>X941+Учет!S942-S942</f>
        <v>500</v>
      </c>
      <c r="Y942" s="43">
        <f>Y941+Учет!T942-T942</f>
        <v>1150</v>
      </c>
      <c r="Z942" s="43">
        <f>Z941+Учет!U942-U942</f>
        <v>500000</v>
      </c>
      <c r="AA942" s="45">
        <f>Учет!X942</f>
        <v>500</v>
      </c>
    </row>
    <row r="943" spans="1:27" ht="15" customHeight="1" x14ac:dyDescent="0.25">
      <c r="A943" s="1"/>
      <c r="B943" s="17"/>
      <c r="C943" s="17"/>
      <c r="D943" s="17"/>
      <c r="E943" s="17"/>
      <c r="F943" s="17"/>
      <c r="G943" s="4">
        <f t="shared" si="39"/>
        <v>0</v>
      </c>
      <c r="H943" s="17"/>
      <c r="I943" s="4">
        <f t="shared" si="41"/>
        <v>349526.07999999996</v>
      </c>
      <c r="J943" s="32" t="str">
        <f t="shared" si="40"/>
        <v/>
      </c>
      <c r="K943" s="72"/>
      <c r="L943" s="72"/>
      <c r="M943" s="2"/>
      <c r="N943" s="5"/>
      <c r="O943" s="3"/>
      <c r="P943" s="6"/>
      <c r="Q943" s="48">
        <f>IF(Учет!$O943=Справочники!$F$2,Учет!$H943,0)</f>
        <v>0</v>
      </c>
      <c r="R943" s="48">
        <f>IF(Учет!$O943=Справочники!$F$3,Учет!$H943,0)</f>
        <v>0</v>
      </c>
      <c r="S943" s="48">
        <f>IF(Учет!$O943=Справочники!$F$4,Учет!$H943,0)</f>
        <v>0</v>
      </c>
      <c r="T943" s="48">
        <f>IF(Учет!$O943=Справочники!$F$5,Учет!$H943,0)</f>
        <v>0</v>
      </c>
      <c r="U943" s="48">
        <f>IF(Учет!$O943=Справочники!$F$6,Учет!$H943,0)</f>
        <v>0</v>
      </c>
      <c r="V943" s="43">
        <f>V942+Учет!Q943-Q943</f>
        <v>-488978.92000000004</v>
      </c>
      <c r="W943" s="43">
        <f>W942+Учет!R943-R943</f>
        <v>336855</v>
      </c>
      <c r="X943" s="43">
        <f>X942+Учет!S943-S943</f>
        <v>500</v>
      </c>
      <c r="Y943" s="43">
        <f>Y942+Учет!T943-T943</f>
        <v>1150</v>
      </c>
      <c r="Z943" s="43">
        <f>Z942+Учет!U943-U943</f>
        <v>500000</v>
      </c>
      <c r="AA943" s="45">
        <f>Учет!X943</f>
        <v>500</v>
      </c>
    </row>
    <row r="944" spans="1:27" ht="15" customHeight="1" x14ac:dyDescent="0.25">
      <c r="A944" s="1"/>
      <c r="B944" s="17"/>
      <c r="C944" s="17"/>
      <c r="D944" s="17"/>
      <c r="E944" s="17"/>
      <c r="F944" s="17"/>
      <c r="G944" s="4">
        <f t="shared" si="39"/>
        <v>0</v>
      </c>
      <c r="H944" s="17"/>
      <c r="I944" s="4">
        <f t="shared" si="41"/>
        <v>349526.07999999996</v>
      </c>
      <c r="J944" s="32" t="str">
        <f t="shared" si="40"/>
        <v/>
      </c>
      <c r="K944" s="72"/>
      <c r="L944" s="72"/>
      <c r="M944" s="2"/>
      <c r="N944" s="5"/>
      <c r="O944" s="3"/>
      <c r="P944" s="6"/>
      <c r="Q944" s="48">
        <f>IF(Учет!$O944=Справочники!$F$2,Учет!$H944,0)</f>
        <v>0</v>
      </c>
      <c r="R944" s="48">
        <f>IF(Учет!$O944=Справочники!$F$3,Учет!$H944,0)</f>
        <v>0</v>
      </c>
      <c r="S944" s="48">
        <f>IF(Учет!$O944=Справочники!$F$4,Учет!$H944,0)</f>
        <v>0</v>
      </c>
      <c r="T944" s="48">
        <f>IF(Учет!$O944=Справочники!$F$5,Учет!$H944,0)</f>
        <v>0</v>
      </c>
      <c r="U944" s="48">
        <f>IF(Учет!$O944=Справочники!$F$6,Учет!$H944,0)</f>
        <v>0</v>
      </c>
      <c r="V944" s="43">
        <f>V943+Учет!Q944-Q944</f>
        <v>-488978.92000000004</v>
      </c>
      <c r="W944" s="43">
        <f>W943+Учет!R944-R944</f>
        <v>336855</v>
      </c>
      <c r="X944" s="43">
        <f>X943+Учет!S944-S944</f>
        <v>500</v>
      </c>
      <c r="Y944" s="43">
        <f>Y943+Учет!T944-T944</f>
        <v>1150</v>
      </c>
      <c r="Z944" s="43">
        <f>Z943+Учет!U944-U944</f>
        <v>500000</v>
      </c>
      <c r="AA944" s="45">
        <f>Учет!X944</f>
        <v>500</v>
      </c>
    </row>
    <row r="945" spans="1:27" ht="15" customHeight="1" x14ac:dyDescent="0.25">
      <c r="A945" s="1"/>
      <c r="B945" s="17"/>
      <c r="C945" s="17"/>
      <c r="D945" s="17"/>
      <c r="E945" s="17"/>
      <c r="F945" s="17"/>
      <c r="G945" s="4">
        <f t="shared" si="39"/>
        <v>0</v>
      </c>
      <c r="H945" s="17"/>
      <c r="I945" s="4">
        <f t="shared" si="41"/>
        <v>349526.07999999996</v>
      </c>
      <c r="J945" s="32" t="str">
        <f t="shared" si="40"/>
        <v/>
      </c>
      <c r="K945" s="72"/>
      <c r="L945" s="72"/>
      <c r="M945" s="2"/>
      <c r="N945" s="5"/>
      <c r="O945" s="3"/>
      <c r="P945" s="6"/>
      <c r="Q945" s="48">
        <f>IF(Учет!$O945=Справочники!$F$2,Учет!$H945,0)</f>
        <v>0</v>
      </c>
      <c r="R945" s="48">
        <f>IF(Учет!$O945=Справочники!$F$3,Учет!$H945,0)</f>
        <v>0</v>
      </c>
      <c r="S945" s="48">
        <f>IF(Учет!$O945=Справочники!$F$4,Учет!$H945,0)</f>
        <v>0</v>
      </c>
      <c r="T945" s="48">
        <f>IF(Учет!$O945=Справочники!$F$5,Учет!$H945,0)</f>
        <v>0</v>
      </c>
      <c r="U945" s="48">
        <f>IF(Учет!$O945=Справочники!$F$6,Учет!$H945,0)</f>
        <v>0</v>
      </c>
      <c r="V945" s="43">
        <f>V944+Учет!Q945-Q945</f>
        <v>-488978.92000000004</v>
      </c>
      <c r="W945" s="43">
        <f>W944+Учет!R945-R945</f>
        <v>336855</v>
      </c>
      <c r="X945" s="43">
        <f>X944+Учет!S945-S945</f>
        <v>500</v>
      </c>
      <c r="Y945" s="43">
        <f>Y944+Учет!T945-T945</f>
        <v>1150</v>
      </c>
      <c r="Z945" s="43">
        <f>Z944+Учет!U945-U945</f>
        <v>500000</v>
      </c>
      <c r="AA945" s="45">
        <f>Учет!X945</f>
        <v>500</v>
      </c>
    </row>
    <row r="946" spans="1:27" ht="15" customHeight="1" x14ac:dyDescent="0.25">
      <c r="A946" s="1"/>
      <c r="B946" s="17"/>
      <c r="C946" s="17"/>
      <c r="D946" s="17"/>
      <c r="E946" s="17"/>
      <c r="F946" s="17"/>
      <c r="G946" s="4">
        <f t="shared" si="39"/>
        <v>0</v>
      </c>
      <c r="H946" s="17"/>
      <c r="I946" s="4">
        <f t="shared" si="41"/>
        <v>349526.07999999996</v>
      </c>
      <c r="J946" s="32" t="str">
        <f t="shared" si="40"/>
        <v/>
      </c>
      <c r="K946" s="72"/>
      <c r="L946" s="72"/>
      <c r="M946" s="2"/>
      <c r="N946" s="5"/>
      <c r="O946" s="3"/>
      <c r="P946" s="6"/>
      <c r="Q946" s="48">
        <f>IF(Учет!$O946=Справочники!$F$2,Учет!$H946,0)</f>
        <v>0</v>
      </c>
      <c r="R946" s="48">
        <f>IF(Учет!$O946=Справочники!$F$3,Учет!$H946,0)</f>
        <v>0</v>
      </c>
      <c r="S946" s="48">
        <f>IF(Учет!$O946=Справочники!$F$4,Учет!$H946,0)</f>
        <v>0</v>
      </c>
      <c r="T946" s="48">
        <f>IF(Учет!$O946=Справочники!$F$5,Учет!$H946,0)</f>
        <v>0</v>
      </c>
      <c r="U946" s="48">
        <f>IF(Учет!$O946=Справочники!$F$6,Учет!$H946,0)</f>
        <v>0</v>
      </c>
      <c r="V946" s="43">
        <f>V945+Учет!Q946-Q946</f>
        <v>-488978.92000000004</v>
      </c>
      <c r="W946" s="43">
        <f>W945+Учет!R946-R946</f>
        <v>336855</v>
      </c>
      <c r="X946" s="43">
        <f>X945+Учет!S946-S946</f>
        <v>500</v>
      </c>
      <c r="Y946" s="43">
        <f>Y945+Учет!T946-T946</f>
        <v>1150</v>
      </c>
      <c r="Z946" s="43">
        <f>Z945+Учет!U946-U946</f>
        <v>500000</v>
      </c>
      <c r="AA946" s="45">
        <f>Учет!X946</f>
        <v>500</v>
      </c>
    </row>
    <row r="947" spans="1:27" ht="15" customHeight="1" x14ac:dyDescent="0.25">
      <c r="A947" s="1"/>
      <c r="B947" s="17"/>
      <c r="C947" s="17"/>
      <c r="D947" s="17"/>
      <c r="E947" s="17"/>
      <c r="F947" s="17"/>
      <c r="G947" s="4">
        <f t="shared" si="39"/>
        <v>0</v>
      </c>
      <c r="H947" s="17"/>
      <c r="I947" s="4">
        <f t="shared" si="41"/>
        <v>349526.07999999996</v>
      </c>
      <c r="J947" s="32" t="str">
        <f t="shared" si="40"/>
        <v/>
      </c>
      <c r="K947" s="72"/>
      <c r="L947" s="72"/>
      <c r="M947" s="2"/>
      <c r="N947" s="5"/>
      <c r="O947" s="3"/>
      <c r="P947" s="6"/>
      <c r="Q947" s="48">
        <f>IF(Учет!$O947=Справочники!$F$2,Учет!$H947,0)</f>
        <v>0</v>
      </c>
      <c r="R947" s="48">
        <f>IF(Учет!$O947=Справочники!$F$3,Учет!$H947,0)</f>
        <v>0</v>
      </c>
      <c r="S947" s="48">
        <f>IF(Учет!$O947=Справочники!$F$4,Учет!$H947,0)</f>
        <v>0</v>
      </c>
      <c r="T947" s="48">
        <f>IF(Учет!$O947=Справочники!$F$5,Учет!$H947,0)</f>
        <v>0</v>
      </c>
      <c r="U947" s="48">
        <f>IF(Учет!$O947=Справочники!$F$6,Учет!$H947,0)</f>
        <v>0</v>
      </c>
      <c r="V947" s="43">
        <f>V946+Учет!Q947-Q947</f>
        <v>-488978.92000000004</v>
      </c>
      <c r="W947" s="43">
        <f>W946+Учет!R947-R947</f>
        <v>336855</v>
      </c>
      <c r="X947" s="43">
        <f>X946+Учет!S947-S947</f>
        <v>500</v>
      </c>
      <c r="Y947" s="43">
        <f>Y946+Учет!T947-T947</f>
        <v>1150</v>
      </c>
      <c r="Z947" s="43">
        <f>Z946+Учет!U947-U947</f>
        <v>500000</v>
      </c>
      <c r="AA947" s="45">
        <f>Учет!X947</f>
        <v>500</v>
      </c>
    </row>
    <row r="948" spans="1:27" ht="15" customHeight="1" x14ac:dyDescent="0.25">
      <c r="A948" s="1"/>
      <c r="B948" s="17"/>
      <c r="C948" s="17"/>
      <c r="D948" s="17"/>
      <c r="E948" s="17"/>
      <c r="F948" s="17"/>
      <c r="G948" s="4">
        <f t="shared" si="39"/>
        <v>0</v>
      </c>
      <c r="H948" s="17"/>
      <c r="I948" s="4">
        <f t="shared" si="41"/>
        <v>349526.07999999996</v>
      </c>
      <c r="J948" s="32" t="str">
        <f t="shared" si="40"/>
        <v/>
      </c>
      <c r="K948" s="72"/>
      <c r="L948" s="72"/>
      <c r="M948" s="2"/>
      <c r="N948" s="5"/>
      <c r="O948" s="3"/>
      <c r="P948" s="6"/>
      <c r="Q948" s="48">
        <f>IF(Учет!$O948=Справочники!$F$2,Учет!$H948,0)</f>
        <v>0</v>
      </c>
      <c r="R948" s="48">
        <f>IF(Учет!$O948=Справочники!$F$3,Учет!$H948,0)</f>
        <v>0</v>
      </c>
      <c r="S948" s="48">
        <f>IF(Учет!$O948=Справочники!$F$4,Учет!$H948,0)</f>
        <v>0</v>
      </c>
      <c r="T948" s="48">
        <f>IF(Учет!$O948=Справочники!$F$5,Учет!$H948,0)</f>
        <v>0</v>
      </c>
      <c r="U948" s="48">
        <f>IF(Учет!$O948=Справочники!$F$6,Учет!$H948,0)</f>
        <v>0</v>
      </c>
      <c r="V948" s="43">
        <f>V947+Учет!Q948-Q948</f>
        <v>-488978.92000000004</v>
      </c>
      <c r="W948" s="43">
        <f>W947+Учет!R948-R948</f>
        <v>336855</v>
      </c>
      <c r="X948" s="43">
        <f>X947+Учет!S948-S948</f>
        <v>500</v>
      </c>
      <c r="Y948" s="43">
        <f>Y947+Учет!T948-T948</f>
        <v>1150</v>
      </c>
      <c r="Z948" s="43">
        <f>Z947+Учет!U948-U948</f>
        <v>500000</v>
      </c>
      <c r="AA948" s="45">
        <f>Учет!X948</f>
        <v>500</v>
      </c>
    </row>
    <row r="949" spans="1:27" ht="15" customHeight="1" x14ac:dyDescent="0.25">
      <c r="A949" s="1"/>
      <c r="B949" s="17"/>
      <c r="C949" s="17"/>
      <c r="D949" s="17"/>
      <c r="E949" s="17"/>
      <c r="F949" s="17"/>
      <c r="G949" s="4">
        <f t="shared" si="39"/>
        <v>0</v>
      </c>
      <c r="H949" s="17"/>
      <c r="I949" s="4">
        <f t="shared" si="41"/>
        <v>349526.07999999996</v>
      </c>
      <c r="J949" s="32" t="str">
        <f t="shared" si="40"/>
        <v/>
      </c>
      <c r="K949" s="72"/>
      <c r="L949" s="72"/>
      <c r="M949" s="2"/>
      <c r="N949" s="5"/>
      <c r="O949" s="3"/>
      <c r="P949" s="6"/>
      <c r="Q949" s="48">
        <f>IF(Учет!$O949=Справочники!$F$2,Учет!$H949,0)</f>
        <v>0</v>
      </c>
      <c r="R949" s="48">
        <f>IF(Учет!$O949=Справочники!$F$3,Учет!$H949,0)</f>
        <v>0</v>
      </c>
      <c r="S949" s="48">
        <f>IF(Учет!$O949=Справочники!$F$4,Учет!$H949,0)</f>
        <v>0</v>
      </c>
      <c r="T949" s="48">
        <f>IF(Учет!$O949=Справочники!$F$5,Учет!$H949,0)</f>
        <v>0</v>
      </c>
      <c r="U949" s="48">
        <f>IF(Учет!$O949=Справочники!$F$6,Учет!$H949,0)</f>
        <v>0</v>
      </c>
      <c r="V949" s="43">
        <f>V948+Учет!Q949-Q949</f>
        <v>-488978.92000000004</v>
      </c>
      <c r="W949" s="43">
        <f>W948+Учет!R949-R949</f>
        <v>336855</v>
      </c>
      <c r="X949" s="43">
        <f>X948+Учет!S949-S949</f>
        <v>500</v>
      </c>
      <c r="Y949" s="43">
        <f>Y948+Учет!T949-T949</f>
        <v>1150</v>
      </c>
      <c r="Z949" s="43">
        <f>Z948+Учет!U949-U949</f>
        <v>500000</v>
      </c>
      <c r="AA949" s="45">
        <f>Учет!X949</f>
        <v>500</v>
      </c>
    </row>
    <row r="950" spans="1:27" ht="15" customHeight="1" x14ac:dyDescent="0.25">
      <c r="A950" s="1"/>
      <c r="B950" s="17"/>
      <c r="C950" s="17"/>
      <c r="D950" s="17"/>
      <c r="E950" s="17"/>
      <c r="F950" s="17"/>
      <c r="G950" s="4">
        <f t="shared" si="39"/>
        <v>0</v>
      </c>
      <c r="H950" s="17"/>
      <c r="I950" s="4">
        <f t="shared" si="41"/>
        <v>349526.07999999996</v>
      </c>
      <c r="J950" s="32" t="str">
        <f t="shared" si="40"/>
        <v/>
      </c>
      <c r="K950" s="72"/>
      <c r="L950" s="72"/>
      <c r="M950" s="2"/>
      <c r="N950" s="5"/>
      <c r="O950" s="3"/>
      <c r="P950" s="6"/>
      <c r="Q950" s="48">
        <f>IF(Учет!$O950=Справочники!$F$2,Учет!$H950,0)</f>
        <v>0</v>
      </c>
      <c r="R950" s="48">
        <f>IF(Учет!$O950=Справочники!$F$3,Учет!$H950,0)</f>
        <v>0</v>
      </c>
      <c r="S950" s="48">
        <f>IF(Учет!$O950=Справочники!$F$4,Учет!$H950,0)</f>
        <v>0</v>
      </c>
      <c r="T950" s="48">
        <f>IF(Учет!$O950=Справочники!$F$5,Учет!$H950,0)</f>
        <v>0</v>
      </c>
      <c r="U950" s="48">
        <f>IF(Учет!$O950=Справочники!$F$6,Учет!$H950,0)</f>
        <v>0</v>
      </c>
      <c r="V950" s="43">
        <f>V949+Учет!Q950-Q950</f>
        <v>-488978.92000000004</v>
      </c>
      <c r="W950" s="43">
        <f>W949+Учет!R950-R950</f>
        <v>336855</v>
      </c>
      <c r="X950" s="43">
        <f>X949+Учет!S950-S950</f>
        <v>500</v>
      </c>
      <c r="Y950" s="43">
        <f>Y949+Учет!T950-T950</f>
        <v>1150</v>
      </c>
      <c r="Z950" s="43">
        <f>Z949+Учет!U950-U950</f>
        <v>500000</v>
      </c>
      <c r="AA950" s="45">
        <f>Учет!X950</f>
        <v>500</v>
      </c>
    </row>
    <row r="951" spans="1:27" ht="15" customHeight="1" x14ac:dyDescent="0.25">
      <c r="A951" s="1"/>
      <c r="B951" s="17"/>
      <c r="C951" s="17"/>
      <c r="D951" s="17"/>
      <c r="E951" s="17"/>
      <c r="F951" s="17"/>
      <c r="G951" s="4">
        <f t="shared" si="39"/>
        <v>0</v>
      </c>
      <c r="H951" s="17"/>
      <c r="I951" s="4">
        <f t="shared" si="41"/>
        <v>349526.07999999996</v>
      </c>
      <c r="J951" s="32" t="str">
        <f t="shared" si="40"/>
        <v/>
      </c>
      <c r="K951" s="72"/>
      <c r="L951" s="72"/>
      <c r="M951" s="2"/>
      <c r="N951" s="5"/>
      <c r="O951" s="3"/>
      <c r="P951" s="6"/>
      <c r="Q951" s="48">
        <f>IF(Учет!$O951=Справочники!$F$2,Учет!$H951,0)</f>
        <v>0</v>
      </c>
      <c r="R951" s="48">
        <f>IF(Учет!$O951=Справочники!$F$3,Учет!$H951,0)</f>
        <v>0</v>
      </c>
      <c r="S951" s="48">
        <f>IF(Учет!$O951=Справочники!$F$4,Учет!$H951,0)</f>
        <v>0</v>
      </c>
      <c r="T951" s="48">
        <f>IF(Учет!$O951=Справочники!$F$5,Учет!$H951,0)</f>
        <v>0</v>
      </c>
      <c r="U951" s="48">
        <f>IF(Учет!$O951=Справочники!$F$6,Учет!$H951,0)</f>
        <v>0</v>
      </c>
      <c r="V951" s="43">
        <f>V950+Учет!Q951-Q951</f>
        <v>-488978.92000000004</v>
      </c>
      <c r="W951" s="43">
        <f>W950+Учет!R951-R951</f>
        <v>336855</v>
      </c>
      <c r="X951" s="43">
        <f>X950+Учет!S951-S951</f>
        <v>500</v>
      </c>
      <c r="Y951" s="43">
        <f>Y950+Учет!T951-T951</f>
        <v>1150</v>
      </c>
      <c r="Z951" s="43">
        <f>Z950+Учет!U951-U951</f>
        <v>500000</v>
      </c>
      <c r="AA951" s="45">
        <f>Учет!X951</f>
        <v>500</v>
      </c>
    </row>
    <row r="952" spans="1:27" ht="15" customHeight="1" x14ac:dyDescent="0.25">
      <c r="A952" s="1"/>
      <c r="B952" s="17"/>
      <c r="C952" s="17"/>
      <c r="D952" s="17"/>
      <c r="E952" s="17"/>
      <c r="F952" s="17"/>
      <c r="G952" s="4">
        <f t="shared" si="39"/>
        <v>0</v>
      </c>
      <c r="H952" s="17"/>
      <c r="I952" s="4">
        <f t="shared" si="41"/>
        <v>349526.07999999996</v>
      </c>
      <c r="J952" s="32" t="str">
        <f t="shared" si="40"/>
        <v/>
      </c>
      <c r="K952" s="72"/>
      <c r="L952" s="72"/>
      <c r="M952" s="2"/>
      <c r="N952" s="5"/>
      <c r="O952" s="3"/>
      <c r="P952" s="6"/>
      <c r="Q952" s="48">
        <f>IF(Учет!$O952=Справочники!$F$2,Учет!$H952,0)</f>
        <v>0</v>
      </c>
      <c r="R952" s="48">
        <f>IF(Учет!$O952=Справочники!$F$3,Учет!$H952,0)</f>
        <v>0</v>
      </c>
      <c r="S952" s="48">
        <f>IF(Учет!$O952=Справочники!$F$4,Учет!$H952,0)</f>
        <v>0</v>
      </c>
      <c r="T952" s="48">
        <f>IF(Учет!$O952=Справочники!$F$5,Учет!$H952,0)</f>
        <v>0</v>
      </c>
      <c r="U952" s="48">
        <f>IF(Учет!$O952=Справочники!$F$6,Учет!$H952,0)</f>
        <v>0</v>
      </c>
      <c r="V952" s="43">
        <f>V951+Учет!Q952-Q952</f>
        <v>-488978.92000000004</v>
      </c>
      <c r="W952" s="43">
        <f>W951+Учет!R952-R952</f>
        <v>336855</v>
      </c>
      <c r="X952" s="43">
        <f>X951+Учет!S952-S952</f>
        <v>500</v>
      </c>
      <c r="Y952" s="43">
        <f>Y951+Учет!T952-T952</f>
        <v>1150</v>
      </c>
      <c r="Z952" s="43">
        <f>Z951+Учет!U952-U952</f>
        <v>500000</v>
      </c>
      <c r="AA952" s="45">
        <f>Учет!X952</f>
        <v>500</v>
      </c>
    </row>
    <row r="953" spans="1:27" ht="15" customHeight="1" x14ac:dyDescent="0.25">
      <c r="A953" s="1"/>
      <c r="B953" s="17"/>
      <c r="C953" s="17"/>
      <c r="D953" s="17"/>
      <c r="E953" s="17"/>
      <c r="F953" s="17"/>
      <c r="G953" s="4">
        <f t="shared" si="39"/>
        <v>0</v>
      </c>
      <c r="H953" s="17"/>
      <c r="I953" s="4">
        <f t="shared" si="41"/>
        <v>349526.07999999996</v>
      </c>
      <c r="J953" s="32" t="str">
        <f t="shared" si="40"/>
        <v/>
      </c>
      <c r="K953" s="72"/>
      <c r="L953" s="72"/>
      <c r="M953" s="2"/>
      <c r="N953" s="5"/>
      <c r="O953" s="3"/>
      <c r="P953" s="6"/>
      <c r="Q953" s="48">
        <f>IF(Учет!$O953=Справочники!$F$2,Учет!$H953,0)</f>
        <v>0</v>
      </c>
      <c r="R953" s="48">
        <f>IF(Учет!$O953=Справочники!$F$3,Учет!$H953,0)</f>
        <v>0</v>
      </c>
      <c r="S953" s="48">
        <f>IF(Учет!$O953=Справочники!$F$4,Учет!$H953,0)</f>
        <v>0</v>
      </c>
      <c r="T953" s="48">
        <f>IF(Учет!$O953=Справочники!$F$5,Учет!$H953,0)</f>
        <v>0</v>
      </c>
      <c r="U953" s="48">
        <f>IF(Учет!$O953=Справочники!$F$6,Учет!$H953,0)</f>
        <v>0</v>
      </c>
      <c r="V953" s="43">
        <f>V952+Учет!Q953-Q953</f>
        <v>-488978.92000000004</v>
      </c>
      <c r="W953" s="43">
        <f>W952+Учет!R953-R953</f>
        <v>336855</v>
      </c>
      <c r="X953" s="43">
        <f>X952+Учет!S953-S953</f>
        <v>500</v>
      </c>
      <c r="Y953" s="43">
        <f>Y952+Учет!T953-T953</f>
        <v>1150</v>
      </c>
      <c r="Z953" s="43">
        <f>Z952+Учет!U953-U953</f>
        <v>500000</v>
      </c>
      <c r="AA953" s="45">
        <f>Учет!X953</f>
        <v>500</v>
      </c>
    </row>
    <row r="954" spans="1:27" ht="15" customHeight="1" x14ac:dyDescent="0.25">
      <c r="A954" s="1"/>
      <c r="B954" s="17"/>
      <c r="C954" s="17"/>
      <c r="D954" s="17"/>
      <c r="E954" s="17"/>
      <c r="F954" s="17"/>
      <c r="G954" s="4">
        <f t="shared" si="39"/>
        <v>0</v>
      </c>
      <c r="H954" s="17"/>
      <c r="I954" s="4">
        <f t="shared" si="41"/>
        <v>349526.07999999996</v>
      </c>
      <c r="J954" s="32" t="str">
        <f t="shared" si="40"/>
        <v/>
      </c>
      <c r="K954" s="72"/>
      <c r="L954" s="72"/>
      <c r="M954" s="2"/>
      <c r="N954" s="5"/>
      <c r="O954" s="3"/>
      <c r="P954" s="6"/>
      <c r="Q954" s="48">
        <f>IF(Учет!$O954=Справочники!$F$2,Учет!$H954,0)</f>
        <v>0</v>
      </c>
      <c r="R954" s="48">
        <f>IF(Учет!$O954=Справочники!$F$3,Учет!$H954,0)</f>
        <v>0</v>
      </c>
      <c r="S954" s="48">
        <f>IF(Учет!$O954=Справочники!$F$4,Учет!$H954,0)</f>
        <v>0</v>
      </c>
      <c r="T954" s="48">
        <f>IF(Учет!$O954=Справочники!$F$5,Учет!$H954,0)</f>
        <v>0</v>
      </c>
      <c r="U954" s="48">
        <f>IF(Учет!$O954=Справочники!$F$6,Учет!$H954,0)</f>
        <v>0</v>
      </c>
      <c r="V954" s="43">
        <f>V953+Учет!Q954-Q954</f>
        <v>-488978.92000000004</v>
      </c>
      <c r="W954" s="43">
        <f>W953+Учет!R954-R954</f>
        <v>336855</v>
      </c>
      <c r="X954" s="43">
        <f>X953+Учет!S954-S954</f>
        <v>500</v>
      </c>
      <c r="Y954" s="43">
        <f>Y953+Учет!T954-T954</f>
        <v>1150</v>
      </c>
      <c r="Z954" s="43">
        <f>Z953+Учет!U954-U954</f>
        <v>500000</v>
      </c>
      <c r="AA954" s="45">
        <f>Учет!X954</f>
        <v>500</v>
      </c>
    </row>
    <row r="955" spans="1:27" ht="15" customHeight="1" x14ac:dyDescent="0.25">
      <c r="A955" s="1"/>
      <c r="B955" s="17"/>
      <c r="C955" s="17"/>
      <c r="D955" s="17"/>
      <c r="E955" s="17"/>
      <c r="F955" s="17"/>
      <c r="G955" s="4">
        <f t="shared" si="39"/>
        <v>0</v>
      </c>
      <c r="H955" s="17"/>
      <c r="I955" s="4">
        <f t="shared" si="41"/>
        <v>349526.07999999996</v>
      </c>
      <c r="J955" s="32" t="str">
        <f t="shared" si="40"/>
        <v/>
      </c>
      <c r="K955" s="72"/>
      <c r="L955" s="72"/>
      <c r="M955" s="2"/>
      <c r="N955" s="5"/>
      <c r="O955" s="3"/>
      <c r="P955" s="6"/>
      <c r="Q955" s="48">
        <f>IF(Учет!$O955=Справочники!$F$2,Учет!$H955,0)</f>
        <v>0</v>
      </c>
      <c r="R955" s="48">
        <f>IF(Учет!$O955=Справочники!$F$3,Учет!$H955,0)</f>
        <v>0</v>
      </c>
      <c r="S955" s="48">
        <f>IF(Учет!$O955=Справочники!$F$4,Учет!$H955,0)</f>
        <v>0</v>
      </c>
      <c r="T955" s="48">
        <f>IF(Учет!$O955=Справочники!$F$5,Учет!$H955,0)</f>
        <v>0</v>
      </c>
      <c r="U955" s="48">
        <f>IF(Учет!$O955=Справочники!$F$6,Учет!$H955,0)</f>
        <v>0</v>
      </c>
      <c r="V955" s="43">
        <f>V954+Учет!Q955-Q955</f>
        <v>-488978.92000000004</v>
      </c>
      <c r="W955" s="43">
        <f>W954+Учет!R955-R955</f>
        <v>336855</v>
      </c>
      <c r="X955" s="43">
        <f>X954+Учет!S955-S955</f>
        <v>500</v>
      </c>
      <c r="Y955" s="43">
        <f>Y954+Учет!T955-T955</f>
        <v>1150</v>
      </c>
      <c r="Z955" s="43">
        <f>Z954+Учет!U955-U955</f>
        <v>500000</v>
      </c>
      <c r="AA955" s="45">
        <f>Учет!X955</f>
        <v>500</v>
      </c>
    </row>
    <row r="956" spans="1:27" ht="15" customHeight="1" x14ac:dyDescent="0.25">
      <c r="A956" s="1"/>
      <c r="B956" s="17"/>
      <c r="C956" s="17"/>
      <c r="D956" s="17"/>
      <c r="E956" s="17"/>
      <c r="F956" s="17"/>
      <c r="G956" s="4">
        <f t="shared" si="39"/>
        <v>0</v>
      </c>
      <c r="H956" s="17"/>
      <c r="I956" s="4">
        <f t="shared" si="41"/>
        <v>349526.07999999996</v>
      </c>
      <c r="J956" s="32" t="str">
        <f t="shared" si="40"/>
        <v/>
      </c>
      <c r="K956" s="72"/>
      <c r="L956" s="72"/>
      <c r="M956" s="2"/>
      <c r="N956" s="5"/>
      <c r="O956" s="3"/>
      <c r="P956" s="6"/>
      <c r="Q956" s="48">
        <f>IF(Учет!$O956=Справочники!$F$2,Учет!$H956,0)</f>
        <v>0</v>
      </c>
      <c r="R956" s="48">
        <f>IF(Учет!$O956=Справочники!$F$3,Учет!$H956,0)</f>
        <v>0</v>
      </c>
      <c r="S956" s="48">
        <f>IF(Учет!$O956=Справочники!$F$4,Учет!$H956,0)</f>
        <v>0</v>
      </c>
      <c r="T956" s="48">
        <f>IF(Учет!$O956=Справочники!$F$5,Учет!$H956,0)</f>
        <v>0</v>
      </c>
      <c r="U956" s="48">
        <f>IF(Учет!$O956=Справочники!$F$6,Учет!$H956,0)</f>
        <v>0</v>
      </c>
      <c r="V956" s="43">
        <f>V955+Учет!Q956-Q956</f>
        <v>-488978.92000000004</v>
      </c>
      <c r="W956" s="43">
        <f>W955+Учет!R956-R956</f>
        <v>336855</v>
      </c>
      <c r="X956" s="43">
        <f>X955+Учет!S956-S956</f>
        <v>500</v>
      </c>
      <c r="Y956" s="43">
        <f>Y955+Учет!T956-T956</f>
        <v>1150</v>
      </c>
      <c r="Z956" s="43">
        <f>Z955+Учет!U956-U956</f>
        <v>500000</v>
      </c>
      <c r="AA956" s="45">
        <f>Учет!X956</f>
        <v>500</v>
      </c>
    </row>
    <row r="957" spans="1:27" ht="15" customHeight="1" x14ac:dyDescent="0.25">
      <c r="A957" s="1"/>
      <c r="B957" s="17"/>
      <c r="C957" s="17"/>
      <c r="D957" s="17"/>
      <c r="E957" s="17"/>
      <c r="F957" s="17"/>
      <c r="G957" s="4">
        <f t="shared" si="39"/>
        <v>0</v>
      </c>
      <c r="H957" s="17"/>
      <c r="I957" s="4">
        <f t="shared" si="41"/>
        <v>349526.07999999996</v>
      </c>
      <c r="J957" s="32" t="str">
        <f t="shared" si="40"/>
        <v/>
      </c>
      <c r="K957" s="72"/>
      <c r="L957" s="72"/>
      <c r="M957" s="2"/>
      <c r="N957" s="5"/>
      <c r="O957" s="3"/>
      <c r="P957" s="6"/>
      <c r="Q957" s="48">
        <f>IF(Учет!$O957=Справочники!$F$2,Учет!$H957,0)</f>
        <v>0</v>
      </c>
      <c r="R957" s="48">
        <f>IF(Учет!$O957=Справочники!$F$3,Учет!$H957,0)</f>
        <v>0</v>
      </c>
      <c r="S957" s="48">
        <f>IF(Учет!$O957=Справочники!$F$4,Учет!$H957,0)</f>
        <v>0</v>
      </c>
      <c r="T957" s="48">
        <f>IF(Учет!$O957=Справочники!$F$5,Учет!$H957,0)</f>
        <v>0</v>
      </c>
      <c r="U957" s="48">
        <f>IF(Учет!$O957=Справочники!$F$6,Учет!$H957,0)</f>
        <v>0</v>
      </c>
      <c r="V957" s="43">
        <f>V956+Учет!Q957-Q957</f>
        <v>-488978.92000000004</v>
      </c>
      <c r="W957" s="43">
        <f>W956+Учет!R957-R957</f>
        <v>336855</v>
      </c>
      <c r="X957" s="43">
        <f>X956+Учет!S957-S957</f>
        <v>500</v>
      </c>
      <c r="Y957" s="43">
        <f>Y956+Учет!T957-T957</f>
        <v>1150</v>
      </c>
      <c r="Z957" s="43">
        <f>Z956+Учет!U957-U957</f>
        <v>500000</v>
      </c>
      <c r="AA957" s="45">
        <f>Учет!X957</f>
        <v>500</v>
      </c>
    </row>
    <row r="958" spans="1:27" ht="15" customHeight="1" x14ac:dyDescent="0.25">
      <c r="A958" s="1"/>
      <c r="B958" s="17"/>
      <c r="C958" s="17"/>
      <c r="D958" s="17"/>
      <c r="E958" s="17"/>
      <c r="F958" s="17"/>
      <c r="G958" s="4">
        <f t="shared" si="39"/>
        <v>0</v>
      </c>
      <c r="H958" s="17"/>
      <c r="I958" s="4">
        <f t="shared" si="41"/>
        <v>349526.07999999996</v>
      </c>
      <c r="J958" s="32" t="str">
        <f t="shared" si="40"/>
        <v/>
      </c>
      <c r="K958" s="72"/>
      <c r="L958" s="72"/>
      <c r="M958" s="2"/>
      <c r="N958" s="5"/>
      <c r="O958" s="3"/>
      <c r="P958" s="6"/>
      <c r="Q958" s="48">
        <f>IF(Учет!$O958=Справочники!$F$2,Учет!$H958,0)</f>
        <v>0</v>
      </c>
      <c r="R958" s="48">
        <f>IF(Учет!$O958=Справочники!$F$3,Учет!$H958,0)</f>
        <v>0</v>
      </c>
      <c r="S958" s="48">
        <f>IF(Учет!$O958=Справочники!$F$4,Учет!$H958,0)</f>
        <v>0</v>
      </c>
      <c r="T958" s="48">
        <f>IF(Учет!$O958=Справочники!$F$5,Учет!$H958,0)</f>
        <v>0</v>
      </c>
      <c r="U958" s="48">
        <f>IF(Учет!$O958=Справочники!$F$6,Учет!$H958,0)</f>
        <v>0</v>
      </c>
      <c r="V958" s="43">
        <f>V957+Учет!Q958-Q958</f>
        <v>-488978.92000000004</v>
      </c>
      <c r="W958" s="43">
        <f>W957+Учет!R958-R958</f>
        <v>336855</v>
      </c>
      <c r="X958" s="43">
        <f>X957+Учет!S958-S958</f>
        <v>500</v>
      </c>
      <c r="Y958" s="43">
        <f>Y957+Учет!T958-T958</f>
        <v>1150</v>
      </c>
      <c r="Z958" s="43">
        <f>Z957+Учет!U958-U958</f>
        <v>500000</v>
      </c>
      <c r="AA958" s="45">
        <f>Учет!X958</f>
        <v>500</v>
      </c>
    </row>
    <row r="959" spans="1:27" ht="15" customHeight="1" x14ac:dyDescent="0.25">
      <c r="A959" s="1"/>
      <c r="B959" s="17"/>
      <c r="C959" s="17"/>
      <c r="D959" s="17"/>
      <c r="E959" s="17"/>
      <c r="F959" s="17"/>
      <c r="G959" s="4">
        <f t="shared" si="39"/>
        <v>0</v>
      </c>
      <c r="H959" s="17"/>
      <c r="I959" s="4">
        <f t="shared" si="41"/>
        <v>349526.07999999996</v>
      </c>
      <c r="J959" s="32" t="str">
        <f t="shared" si="40"/>
        <v/>
      </c>
      <c r="K959" s="72"/>
      <c r="L959" s="72"/>
      <c r="M959" s="2"/>
      <c r="N959" s="5"/>
      <c r="O959" s="3"/>
      <c r="P959" s="6"/>
      <c r="Q959" s="48">
        <f>IF(Учет!$O959=Справочники!$F$2,Учет!$H959,0)</f>
        <v>0</v>
      </c>
      <c r="R959" s="48">
        <f>IF(Учет!$O959=Справочники!$F$3,Учет!$H959,0)</f>
        <v>0</v>
      </c>
      <c r="S959" s="48">
        <f>IF(Учет!$O959=Справочники!$F$4,Учет!$H959,0)</f>
        <v>0</v>
      </c>
      <c r="T959" s="48">
        <f>IF(Учет!$O959=Справочники!$F$5,Учет!$H959,0)</f>
        <v>0</v>
      </c>
      <c r="U959" s="48">
        <f>IF(Учет!$O959=Справочники!$F$6,Учет!$H959,0)</f>
        <v>0</v>
      </c>
      <c r="V959" s="43">
        <f>V958+Учет!Q959-Q959</f>
        <v>-488978.92000000004</v>
      </c>
      <c r="W959" s="43">
        <f>W958+Учет!R959-R959</f>
        <v>336855</v>
      </c>
      <c r="X959" s="43">
        <f>X958+Учет!S959-S959</f>
        <v>500</v>
      </c>
      <c r="Y959" s="43">
        <f>Y958+Учет!T959-T959</f>
        <v>1150</v>
      </c>
      <c r="Z959" s="43">
        <f>Z958+Учет!U959-U959</f>
        <v>500000</v>
      </c>
      <c r="AA959" s="45">
        <f>Учет!X959</f>
        <v>500</v>
      </c>
    </row>
    <row r="960" spans="1:27" ht="15" customHeight="1" x14ac:dyDescent="0.25">
      <c r="A960" s="1"/>
      <c r="B960" s="17"/>
      <c r="C960" s="17"/>
      <c r="D960" s="17"/>
      <c r="E960" s="17"/>
      <c r="F960" s="17"/>
      <c r="G960" s="4">
        <f t="shared" si="39"/>
        <v>0</v>
      </c>
      <c r="H960" s="17"/>
      <c r="I960" s="4">
        <f t="shared" si="41"/>
        <v>349526.07999999996</v>
      </c>
      <c r="J960" s="32" t="str">
        <f t="shared" si="40"/>
        <v/>
      </c>
      <c r="K960" s="72"/>
      <c r="L960" s="72"/>
      <c r="M960" s="2"/>
      <c r="N960" s="5"/>
      <c r="O960" s="3"/>
      <c r="P960" s="6"/>
      <c r="Q960" s="48">
        <f>IF(Учет!$O960=Справочники!$F$2,Учет!$H960,0)</f>
        <v>0</v>
      </c>
      <c r="R960" s="48">
        <f>IF(Учет!$O960=Справочники!$F$3,Учет!$H960,0)</f>
        <v>0</v>
      </c>
      <c r="S960" s="48">
        <f>IF(Учет!$O960=Справочники!$F$4,Учет!$H960,0)</f>
        <v>0</v>
      </c>
      <c r="T960" s="48">
        <f>IF(Учет!$O960=Справочники!$F$5,Учет!$H960,0)</f>
        <v>0</v>
      </c>
      <c r="U960" s="48">
        <f>IF(Учет!$O960=Справочники!$F$6,Учет!$H960,0)</f>
        <v>0</v>
      </c>
      <c r="V960" s="43">
        <f>V959+Учет!Q960-Q960</f>
        <v>-488978.92000000004</v>
      </c>
      <c r="W960" s="43">
        <f>W959+Учет!R960-R960</f>
        <v>336855</v>
      </c>
      <c r="X960" s="43">
        <f>X959+Учет!S960-S960</f>
        <v>500</v>
      </c>
      <c r="Y960" s="43">
        <f>Y959+Учет!T960-T960</f>
        <v>1150</v>
      </c>
      <c r="Z960" s="43">
        <f>Z959+Учет!U960-U960</f>
        <v>500000</v>
      </c>
      <c r="AA960" s="45">
        <f>Учет!X960</f>
        <v>500</v>
      </c>
    </row>
    <row r="961" spans="1:27" ht="15" customHeight="1" x14ac:dyDescent="0.25">
      <c r="A961" s="1"/>
      <c r="B961" s="17"/>
      <c r="C961" s="17"/>
      <c r="D961" s="17"/>
      <c r="E961" s="17"/>
      <c r="F961" s="17"/>
      <c r="G961" s="4">
        <f t="shared" si="39"/>
        <v>0</v>
      </c>
      <c r="H961" s="17"/>
      <c r="I961" s="4">
        <f t="shared" si="41"/>
        <v>349526.07999999996</v>
      </c>
      <c r="J961" s="32" t="str">
        <f t="shared" si="40"/>
        <v/>
      </c>
      <c r="K961" s="72"/>
      <c r="L961" s="72"/>
      <c r="M961" s="2"/>
      <c r="N961" s="5"/>
      <c r="O961" s="3"/>
      <c r="P961" s="6"/>
      <c r="Q961" s="48">
        <f>IF(Учет!$O961=Справочники!$F$2,Учет!$H961,0)</f>
        <v>0</v>
      </c>
      <c r="R961" s="48">
        <f>IF(Учет!$O961=Справочники!$F$3,Учет!$H961,0)</f>
        <v>0</v>
      </c>
      <c r="S961" s="48">
        <f>IF(Учет!$O961=Справочники!$F$4,Учет!$H961,0)</f>
        <v>0</v>
      </c>
      <c r="T961" s="48">
        <f>IF(Учет!$O961=Справочники!$F$5,Учет!$H961,0)</f>
        <v>0</v>
      </c>
      <c r="U961" s="48">
        <f>IF(Учет!$O961=Справочники!$F$6,Учет!$H961,0)</f>
        <v>0</v>
      </c>
      <c r="V961" s="43">
        <f>V960+Учет!Q961-Q961</f>
        <v>-488978.92000000004</v>
      </c>
      <c r="W961" s="43">
        <f>W960+Учет!R961-R961</f>
        <v>336855</v>
      </c>
      <c r="X961" s="43">
        <f>X960+Учет!S961-S961</f>
        <v>500</v>
      </c>
      <c r="Y961" s="43">
        <f>Y960+Учет!T961-T961</f>
        <v>1150</v>
      </c>
      <c r="Z961" s="43">
        <f>Z960+Учет!U961-U961</f>
        <v>500000</v>
      </c>
      <c r="AA961" s="45">
        <f>Учет!X961</f>
        <v>500</v>
      </c>
    </row>
    <row r="962" spans="1:27" ht="15" customHeight="1" x14ac:dyDescent="0.25">
      <c r="A962" s="1"/>
      <c r="B962" s="17"/>
      <c r="C962" s="17"/>
      <c r="D962" s="17"/>
      <c r="E962" s="17"/>
      <c r="F962" s="17"/>
      <c r="G962" s="4">
        <f t="shared" ref="G962:G1025" si="42">SUM($B962:$F962)</f>
        <v>0</v>
      </c>
      <c r="H962" s="17"/>
      <c r="I962" s="4">
        <f t="shared" si="41"/>
        <v>349526.07999999996</v>
      </c>
      <c r="J962" s="32" t="str">
        <f t="shared" ref="J962:J1025" si="43">IF($A963&lt;&gt;$A962,$I962,"")</f>
        <v/>
      </c>
      <c r="K962" s="72"/>
      <c r="L962" s="72"/>
      <c r="M962" s="2"/>
      <c r="N962" s="5"/>
      <c r="O962" s="3"/>
      <c r="P962" s="6"/>
      <c r="Q962" s="48">
        <f>IF(Учет!$O962=Справочники!$F$2,Учет!$H962,0)</f>
        <v>0</v>
      </c>
      <c r="R962" s="48">
        <f>IF(Учет!$O962=Справочники!$F$3,Учет!$H962,0)</f>
        <v>0</v>
      </c>
      <c r="S962" s="48">
        <f>IF(Учет!$O962=Справочники!$F$4,Учет!$H962,0)</f>
        <v>0</v>
      </c>
      <c r="T962" s="48">
        <f>IF(Учет!$O962=Справочники!$F$5,Учет!$H962,0)</f>
        <v>0</v>
      </c>
      <c r="U962" s="48">
        <f>IF(Учет!$O962=Справочники!$F$6,Учет!$H962,0)</f>
        <v>0</v>
      </c>
      <c r="V962" s="43">
        <f>V961+Учет!Q962-Q962</f>
        <v>-488978.92000000004</v>
      </c>
      <c r="W962" s="43">
        <f>W961+Учет!R962-R962</f>
        <v>336855</v>
      </c>
      <c r="X962" s="43">
        <f>X961+Учет!S962-S962</f>
        <v>500</v>
      </c>
      <c r="Y962" s="43">
        <f>Y961+Учет!T962-T962</f>
        <v>1150</v>
      </c>
      <c r="Z962" s="43">
        <f>Z961+Учет!U962-U962</f>
        <v>500000</v>
      </c>
      <c r="AA962" s="45">
        <f>Учет!X962</f>
        <v>500</v>
      </c>
    </row>
    <row r="963" spans="1:27" ht="15" customHeight="1" x14ac:dyDescent="0.25">
      <c r="A963" s="1"/>
      <c r="B963" s="17"/>
      <c r="C963" s="17"/>
      <c r="D963" s="17"/>
      <c r="E963" s="17"/>
      <c r="F963" s="17"/>
      <c r="G963" s="4">
        <f t="shared" si="42"/>
        <v>0</v>
      </c>
      <c r="H963" s="17"/>
      <c r="I963" s="4">
        <f t="shared" ref="I963:I1026" si="44">$I962+$G963-$H963</f>
        <v>349526.07999999996</v>
      </c>
      <c r="J963" s="32" t="str">
        <f t="shared" si="43"/>
        <v/>
      </c>
      <c r="K963" s="72"/>
      <c r="L963" s="72"/>
      <c r="M963" s="2"/>
      <c r="N963" s="5"/>
      <c r="O963" s="3"/>
      <c r="P963" s="6"/>
      <c r="Q963" s="48">
        <f>IF(Учет!$O963=Справочники!$F$2,Учет!$H963,0)</f>
        <v>0</v>
      </c>
      <c r="R963" s="48">
        <f>IF(Учет!$O963=Справочники!$F$3,Учет!$H963,0)</f>
        <v>0</v>
      </c>
      <c r="S963" s="48">
        <f>IF(Учет!$O963=Справочники!$F$4,Учет!$H963,0)</f>
        <v>0</v>
      </c>
      <c r="T963" s="48">
        <f>IF(Учет!$O963=Справочники!$F$5,Учет!$H963,0)</f>
        <v>0</v>
      </c>
      <c r="U963" s="48">
        <f>IF(Учет!$O963=Справочники!$F$6,Учет!$H963,0)</f>
        <v>0</v>
      </c>
      <c r="V963" s="43">
        <f>V962+Учет!Q963-Q963</f>
        <v>-488978.92000000004</v>
      </c>
      <c r="W963" s="43">
        <f>W962+Учет!R963-R963</f>
        <v>336855</v>
      </c>
      <c r="X963" s="43">
        <f>X962+Учет!S963-S963</f>
        <v>500</v>
      </c>
      <c r="Y963" s="43">
        <f>Y962+Учет!T963-T963</f>
        <v>1150</v>
      </c>
      <c r="Z963" s="43">
        <f>Z962+Учет!U963-U963</f>
        <v>500000</v>
      </c>
      <c r="AA963" s="45">
        <f>Учет!X963</f>
        <v>500</v>
      </c>
    </row>
    <row r="964" spans="1:27" ht="15" customHeight="1" x14ac:dyDescent="0.25">
      <c r="A964" s="1"/>
      <c r="B964" s="17"/>
      <c r="C964" s="17"/>
      <c r="D964" s="17"/>
      <c r="E964" s="17"/>
      <c r="F964" s="17"/>
      <c r="G964" s="4">
        <f t="shared" si="42"/>
        <v>0</v>
      </c>
      <c r="H964" s="17"/>
      <c r="I964" s="4">
        <f t="shared" si="44"/>
        <v>349526.07999999996</v>
      </c>
      <c r="J964" s="32" t="str">
        <f t="shared" si="43"/>
        <v/>
      </c>
      <c r="K964" s="72"/>
      <c r="L964" s="72"/>
      <c r="M964" s="2"/>
      <c r="N964" s="5"/>
      <c r="O964" s="3"/>
      <c r="P964" s="6"/>
      <c r="Q964" s="48">
        <f>IF(Учет!$O964=Справочники!$F$2,Учет!$H964,0)</f>
        <v>0</v>
      </c>
      <c r="R964" s="48">
        <f>IF(Учет!$O964=Справочники!$F$3,Учет!$H964,0)</f>
        <v>0</v>
      </c>
      <c r="S964" s="48">
        <f>IF(Учет!$O964=Справочники!$F$4,Учет!$H964,0)</f>
        <v>0</v>
      </c>
      <c r="T964" s="48">
        <f>IF(Учет!$O964=Справочники!$F$5,Учет!$H964,0)</f>
        <v>0</v>
      </c>
      <c r="U964" s="48">
        <f>IF(Учет!$O964=Справочники!$F$6,Учет!$H964,0)</f>
        <v>0</v>
      </c>
      <c r="V964" s="43">
        <f>V963+Учет!Q964-Q964</f>
        <v>-488978.92000000004</v>
      </c>
      <c r="W964" s="43">
        <f>W963+Учет!R964-R964</f>
        <v>336855</v>
      </c>
      <c r="X964" s="43">
        <f>X963+Учет!S964-S964</f>
        <v>500</v>
      </c>
      <c r="Y964" s="43">
        <f>Y963+Учет!T964-T964</f>
        <v>1150</v>
      </c>
      <c r="Z964" s="43">
        <f>Z963+Учет!U964-U964</f>
        <v>500000</v>
      </c>
      <c r="AA964" s="45">
        <f>Учет!X964</f>
        <v>500</v>
      </c>
    </row>
    <row r="965" spans="1:27" ht="15" customHeight="1" x14ac:dyDescent="0.25">
      <c r="A965" s="1"/>
      <c r="B965" s="17"/>
      <c r="C965" s="17"/>
      <c r="D965" s="17"/>
      <c r="E965" s="17"/>
      <c r="F965" s="17"/>
      <c r="G965" s="4">
        <f t="shared" si="42"/>
        <v>0</v>
      </c>
      <c r="H965" s="17"/>
      <c r="I965" s="4">
        <f t="shared" si="44"/>
        <v>349526.07999999996</v>
      </c>
      <c r="J965" s="32" t="str">
        <f t="shared" si="43"/>
        <v/>
      </c>
      <c r="K965" s="72"/>
      <c r="L965" s="72"/>
      <c r="M965" s="2"/>
      <c r="N965" s="5"/>
      <c r="O965" s="3"/>
      <c r="P965" s="6"/>
      <c r="Q965" s="48">
        <f>IF(Учет!$O965=Справочники!$F$2,Учет!$H965,0)</f>
        <v>0</v>
      </c>
      <c r="R965" s="48">
        <f>IF(Учет!$O965=Справочники!$F$3,Учет!$H965,0)</f>
        <v>0</v>
      </c>
      <c r="S965" s="48">
        <f>IF(Учет!$O965=Справочники!$F$4,Учет!$H965,0)</f>
        <v>0</v>
      </c>
      <c r="T965" s="48">
        <f>IF(Учет!$O965=Справочники!$F$5,Учет!$H965,0)</f>
        <v>0</v>
      </c>
      <c r="U965" s="48">
        <f>IF(Учет!$O965=Справочники!$F$6,Учет!$H965,0)</f>
        <v>0</v>
      </c>
      <c r="V965" s="43">
        <f>V964+Учет!Q965-Q965</f>
        <v>-488978.92000000004</v>
      </c>
      <c r="W965" s="43">
        <f>W964+Учет!R965-R965</f>
        <v>336855</v>
      </c>
      <c r="X965" s="43">
        <f>X964+Учет!S965-S965</f>
        <v>500</v>
      </c>
      <c r="Y965" s="43">
        <f>Y964+Учет!T965-T965</f>
        <v>1150</v>
      </c>
      <c r="Z965" s="43">
        <f>Z964+Учет!U965-U965</f>
        <v>500000</v>
      </c>
      <c r="AA965" s="45">
        <f>Учет!X965</f>
        <v>500</v>
      </c>
    </row>
    <row r="966" spans="1:27" ht="15" customHeight="1" x14ac:dyDescent="0.25">
      <c r="A966" s="1"/>
      <c r="B966" s="17"/>
      <c r="C966" s="17"/>
      <c r="D966" s="17"/>
      <c r="E966" s="17"/>
      <c r="F966" s="17"/>
      <c r="G966" s="4">
        <f t="shared" si="42"/>
        <v>0</v>
      </c>
      <c r="H966" s="17"/>
      <c r="I966" s="4">
        <f t="shared" si="44"/>
        <v>349526.07999999996</v>
      </c>
      <c r="J966" s="32" t="str">
        <f t="shared" si="43"/>
        <v/>
      </c>
      <c r="K966" s="72"/>
      <c r="L966" s="72"/>
      <c r="M966" s="2"/>
      <c r="N966" s="5"/>
      <c r="O966" s="3"/>
      <c r="P966" s="6"/>
      <c r="Q966" s="48">
        <f>IF(Учет!$O966=Справочники!$F$2,Учет!$H966,0)</f>
        <v>0</v>
      </c>
      <c r="R966" s="48">
        <f>IF(Учет!$O966=Справочники!$F$3,Учет!$H966,0)</f>
        <v>0</v>
      </c>
      <c r="S966" s="48">
        <f>IF(Учет!$O966=Справочники!$F$4,Учет!$H966,0)</f>
        <v>0</v>
      </c>
      <c r="T966" s="48">
        <f>IF(Учет!$O966=Справочники!$F$5,Учет!$H966,0)</f>
        <v>0</v>
      </c>
      <c r="U966" s="48">
        <f>IF(Учет!$O966=Справочники!$F$6,Учет!$H966,0)</f>
        <v>0</v>
      </c>
      <c r="V966" s="43">
        <f>V965+Учет!Q966-Q966</f>
        <v>-488978.92000000004</v>
      </c>
      <c r="W966" s="43">
        <f>W965+Учет!R966-R966</f>
        <v>336855</v>
      </c>
      <c r="X966" s="43">
        <f>X965+Учет!S966-S966</f>
        <v>500</v>
      </c>
      <c r="Y966" s="43">
        <f>Y965+Учет!T966-T966</f>
        <v>1150</v>
      </c>
      <c r="Z966" s="43">
        <f>Z965+Учет!U966-U966</f>
        <v>500000</v>
      </c>
      <c r="AA966" s="45">
        <f>Учет!X966</f>
        <v>500</v>
      </c>
    </row>
    <row r="967" spans="1:27" ht="15" customHeight="1" x14ac:dyDescent="0.25">
      <c r="A967" s="1"/>
      <c r="B967" s="17"/>
      <c r="C967" s="17"/>
      <c r="D967" s="17"/>
      <c r="E967" s="17"/>
      <c r="F967" s="17"/>
      <c r="G967" s="4">
        <f t="shared" si="42"/>
        <v>0</v>
      </c>
      <c r="H967" s="17"/>
      <c r="I967" s="4">
        <f t="shared" si="44"/>
        <v>349526.07999999996</v>
      </c>
      <c r="J967" s="32" t="str">
        <f t="shared" si="43"/>
        <v/>
      </c>
      <c r="K967" s="72"/>
      <c r="L967" s="72"/>
      <c r="M967" s="2"/>
      <c r="N967" s="5"/>
      <c r="O967" s="3"/>
      <c r="P967" s="6"/>
      <c r="Q967" s="48">
        <f>IF(Учет!$O967=Справочники!$F$2,Учет!$H967,0)</f>
        <v>0</v>
      </c>
      <c r="R967" s="48">
        <f>IF(Учет!$O967=Справочники!$F$3,Учет!$H967,0)</f>
        <v>0</v>
      </c>
      <c r="S967" s="48">
        <f>IF(Учет!$O967=Справочники!$F$4,Учет!$H967,0)</f>
        <v>0</v>
      </c>
      <c r="T967" s="48">
        <f>IF(Учет!$O967=Справочники!$F$5,Учет!$H967,0)</f>
        <v>0</v>
      </c>
      <c r="U967" s="48">
        <f>IF(Учет!$O967=Справочники!$F$6,Учет!$H967,0)</f>
        <v>0</v>
      </c>
      <c r="V967" s="43">
        <f>V966+Учет!Q967-Q967</f>
        <v>-488978.92000000004</v>
      </c>
      <c r="W967" s="43">
        <f>W966+Учет!R967-R967</f>
        <v>336855</v>
      </c>
      <c r="X967" s="43">
        <f>X966+Учет!S967-S967</f>
        <v>500</v>
      </c>
      <c r="Y967" s="43">
        <f>Y966+Учет!T967-T967</f>
        <v>1150</v>
      </c>
      <c r="Z967" s="43">
        <f>Z966+Учет!U967-U967</f>
        <v>500000</v>
      </c>
      <c r="AA967" s="45">
        <f>Учет!X967</f>
        <v>500</v>
      </c>
    </row>
    <row r="968" spans="1:27" ht="15" customHeight="1" x14ac:dyDescent="0.25">
      <c r="A968" s="1"/>
      <c r="B968" s="17"/>
      <c r="C968" s="17"/>
      <c r="D968" s="17"/>
      <c r="E968" s="17"/>
      <c r="F968" s="17"/>
      <c r="G968" s="4">
        <f t="shared" si="42"/>
        <v>0</v>
      </c>
      <c r="H968" s="17"/>
      <c r="I968" s="4">
        <f t="shared" si="44"/>
        <v>349526.07999999996</v>
      </c>
      <c r="J968" s="32" t="str">
        <f t="shared" si="43"/>
        <v/>
      </c>
      <c r="K968" s="72"/>
      <c r="L968" s="72"/>
      <c r="M968" s="2"/>
      <c r="N968" s="5"/>
      <c r="O968" s="3"/>
      <c r="P968" s="6"/>
      <c r="Q968" s="48">
        <f>IF(Учет!$O968=Справочники!$F$2,Учет!$H968,0)</f>
        <v>0</v>
      </c>
      <c r="R968" s="48">
        <f>IF(Учет!$O968=Справочники!$F$3,Учет!$H968,0)</f>
        <v>0</v>
      </c>
      <c r="S968" s="48">
        <f>IF(Учет!$O968=Справочники!$F$4,Учет!$H968,0)</f>
        <v>0</v>
      </c>
      <c r="T968" s="48">
        <f>IF(Учет!$O968=Справочники!$F$5,Учет!$H968,0)</f>
        <v>0</v>
      </c>
      <c r="U968" s="48">
        <f>IF(Учет!$O968=Справочники!$F$6,Учет!$H968,0)</f>
        <v>0</v>
      </c>
      <c r="V968" s="43">
        <f>V967+Учет!Q968-Q968</f>
        <v>-488978.92000000004</v>
      </c>
      <c r="W968" s="43">
        <f>W967+Учет!R968-R968</f>
        <v>336855</v>
      </c>
      <c r="X968" s="43">
        <f>X967+Учет!S968-S968</f>
        <v>500</v>
      </c>
      <c r="Y968" s="43">
        <f>Y967+Учет!T968-T968</f>
        <v>1150</v>
      </c>
      <c r="Z968" s="43">
        <f>Z967+Учет!U968-U968</f>
        <v>500000</v>
      </c>
      <c r="AA968" s="45">
        <f>Учет!X968</f>
        <v>500</v>
      </c>
    </row>
    <row r="969" spans="1:27" ht="15" customHeight="1" x14ac:dyDescent="0.25">
      <c r="A969" s="1"/>
      <c r="B969" s="17"/>
      <c r="C969" s="17"/>
      <c r="D969" s="17"/>
      <c r="E969" s="17"/>
      <c r="F969" s="17"/>
      <c r="G969" s="4">
        <f t="shared" si="42"/>
        <v>0</v>
      </c>
      <c r="H969" s="17"/>
      <c r="I969" s="4">
        <f t="shared" si="44"/>
        <v>349526.07999999996</v>
      </c>
      <c r="J969" s="32" t="str">
        <f t="shared" si="43"/>
        <v/>
      </c>
      <c r="K969" s="72"/>
      <c r="L969" s="72"/>
      <c r="M969" s="2"/>
      <c r="N969" s="5"/>
      <c r="O969" s="3"/>
      <c r="P969" s="6"/>
      <c r="Q969" s="48">
        <f>IF(Учет!$O969=Справочники!$F$2,Учет!$H969,0)</f>
        <v>0</v>
      </c>
      <c r="R969" s="48">
        <f>IF(Учет!$O969=Справочники!$F$3,Учет!$H969,0)</f>
        <v>0</v>
      </c>
      <c r="S969" s="48">
        <f>IF(Учет!$O969=Справочники!$F$4,Учет!$H969,0)</f>
        <v>0</v>
      </c>
      <c r="T969" s="48">
        <f>IF(Учет!$O969=Справочники!$F$5,Учет!$H969,0)</f>
        <v>0</v>
      </c>
      <c r="U969" s="48">
        <f>IF(Учет!$O969=Справочники!$F$6,Учет!$H969,0)</f>
        <v>0</v>
      </c>
      <c r="V969" s="43">
        <f>V968+Учет!Q969-Q969</f>
        <v>-488978.92000000004</v>
      </c>
      <c r="W969" s="43">
        <f>W968+Учет!R969-R969</f>
        <v>336855</v>
      </c>
      <c r="X969" s="43">
        <f>X968+Учет!S969-S969</f>
        <v>500</v>
      </c>
      <c r="Y969" s="43">
        <f>Y968+Учет!T969-T969</f>
        <v>1150</v>
      </c>
      <c r="Z969" s="43">
        <f>Z968+Учет!U969-U969</f>
        <v>500000</v>
      </c>
      <c r="AA969" s="45">
        <f>Учет!X969</f>
        <v>500</v>
      </c>
    </row>
    <row r="970" spans="1:27" ht="15" customHeight="1" x14ac:dyDescent="0.25">
      <c r="A970" s="1"/>
      <c r="B970" s="17"/>
      <c r="C970" s="17"/>
      <c r="D970" s="17"/>
      <c r="E970" s="17"/>
      <c r="F970" s="17"/>
      <c r="G970" s="4">
        <f t="shared" si="42"/>
        <v>0</v>
      </c>
      <c r="H970" s="17"/>
      <c r="I970" s="4">
        <f t="shared" si="44"/>
        <v>349526.07999999996</v>
      </c>
      <c r="J970" s="32" t="str">
        <f t="shared" si="43"/>
        <v/>
      </c>
      <c r="K970" s="72"/>
      <c r="L970" s="72"/>
      <c r="M970" s="2"/>
      <c r="N970" s="5"/>
      <c r="O970" s="3"/>
      <c r="P970" s="6"/>
      <c r="Q970" s="48">
        <f>IF(Учет!$O970=Справочники!$F$2,Учет!$H970,0)</f>
        <v>0</v>
      </c>
      <c r="R970" s="48">
        <f>IF(Учет!$O970=Справочники!$F$3,Учет!$H970,0)</f>
        <v>0</v>
      </c>
      <c r="S970" s="48">
        <f>IF(Учет!$O970=Справочники!$F$4,Учет!$H970,0)</f>
        <v>0</v>
      </c>
      <c r="T970" s="48">
        <f>IF(Учет!$O970=Справочники!$F$5,Учет!$H970,0)</f>
        <v>0</v>
      </c>
      <c r="U970" s="48">
        <f>IF(Учет!$O970=Справочники!$F$6,Учет!$H970,0)</f>
        <v>0</v>
      </c>
      <c r="V970" s="43">
        <f>V969+Учет!Q970-Q970</f>
        <v>-488978.92000000004</v>
      </c>
      <c r="W970" s="43">
        <f>W969+Учет!R970-R970</f>
        <v>336855</v>
      </c>
      <c r="X970" s="43">
        <f>X969+Учет!S970-S970</f>
        <v>500</v>
      </c>
      <c r="Y970" s="43">
        <f>Y969+Учет!T970-T970</f>
        <v>1150</v>
      </c>
      <c r="Z970" s="43">
        <f>Z969+Учет!U970-U970</f>
        <v>500000</v>
      </c>
      <c r="AA970" s="45">
        <f>Учет!X970</f>
        <v>500</v>
      </c>
    </row>
    <row r="971" spans="1:27" ht="15" customHeight="1" x14ac:dyDescent="0.25">
      <c r="A971" s="1"/>
      <c r="B971" s="17"/>
      <c r="C971" s="17"/>
      <c r="D971" s="17"/>
      <c r="E971" s="17"/>
      <c r="F971" s="17"/>
      <c r="G971" s="4">
        <f t="shared" si="42"/>
        <v>0</v>
      </c>
      <c r="H971" s="17"/>
      <c r="I971" s="4">
        <f t="shared" si="44"/>
        <v>349526.07999999996</v>
      </c>
      <c r="J971" s="32" t="str">
        <f t="shared" si="43"/>
        <v/>
      </c>
      <c r="K971" s="72"/>
      <c r="L971" s="72"/>
      <c r="M971" s="2"/>
      <c r="N971" s="5"/>
      <c r="O971" s="3"/>
      <c r="P971" s="6"/>
      <c r="Q971" s="48">
        <f>IF(Учет!$O971=Справочники!$F$2,Учет!$H971,0)</f>
        <v>0</v>
      </c>
      <c r="R971" s="48">
        <f>IF(Учет!$O971=Справочники!$F$3,Учет!$H971,0)</f>
        <v>0</v>
      </c>
      <c r="S971" s="48">
        <f>IF(Учет!$O971=Справочники!$F$4,Учет!$H971,0)</f>
        <v>0</v>
      </c>
      <c r="T971" s="48">
        <f>IF(Учет!$O971=Справочники!$F$5,Учет!$H971,0)</f>
        <v>0</v>
      </c>
      <c r="U971" s="48">
        <f>IF(Учет!$O971=Справочники!$F$6,Учет!$H971,0)</f>
        <v>0</v>
      </c>
      <c r="V971" s="43">
        <f>V970+Учет!Q971-Q971</f>
        <v>-488978.92000000004</v>
      </c>
      <c r="W971" s="43">
        <f>W970+Учет!R971-R971</f>
        <v>336855</v>
      </c>
      <c r="X971" s="43">
        <f>X970+Учет!S971-S971</f>
        <v>500</v>
      </c>
      <c r="Y971" s="43">
        <f>Y970+Учет!T971-T971</f>
        <v>1150</v>
      </c>
      <c r="Z971" s="43">
        <f>Z970+Учет!U971-U971</f>
        <v>500000</v>
      </c>
      <c r="AA971" s="45">
        <f>Учет!X971</f>
        <v>500</v>
      </c>
    </row>
    <row r="972" spans="1:27" ht="15" customHeight="1" x14ac:dyDescent="0.25">
      <c r="A972" s="1"/>
      <c r="B972" s="17"/>
      <c r="C972" s="17"/>
      <c r="D972" s="17"/>
      <c r="E972" s="17"/>
      <c r="F972" s="17"/>
      <c r="G972" s="4">
        <f t="shared" si="42"/>
        <v>0</v>
      </c>
      <c r="H972" s="17"/>
      <c r="I972" s="4">
        <f t="shared" si="44"/>
        <v>349526.07999999996</v>
      </c>
      <c r="J972" s="32" t="str">
        <f t="shared" si="43"/>
        <v/>
      </c>
      <c r="K972" s="72"/>
      <c r="L972" s="72"/>
      <c r="M972" s="2"/>
      <c r="N972" s="5"/>
      <c r="O972" s="3"/>
      <c r="P972" s="6"/>
      <c r="Q972" s="48">
        <f>IF(Учет!$O972=Справочники!$F$2,Учет!$H972,0)</f>
        <v>0</v>
      </c>
      <c r="R972" s="48">
        <f>IF(Учет!$O972=Справочники!$F$3,Учет!$H972,0)</f>
        <v>0</v>
      </c>
      <c r="S972" s="48">
        <f>IF(Учет!$O972=Справочники!$F$4,Учет!$H972,0)</f>
        <v>0</v>
      </c>
      <c r="T972" s="48">
        <f>IF(Учет!$O972=Справочники!$F$5,Учет!$H972,0)</f>
        <v>0</v>
      </c>
      <c r="U972" s="48">
        <f>IF(Учет!$O972=Справочники!$F$6,Учет!$H972,0)</f>
        <v>0</v>
      </c>
      <c r="V972" s="43">
        <f>V971+Учет!Q972-Q972</f>
        <v>-488978.92000000004</v>
      </c>
      <c r="W972" s="43">
        <f>W971+Учет!R972-R972</f>
        <v>336855</v>
      </c>
      <c r="X972" s="43">
        <f>X971+Учет!S972-S972</f>
        <v>500</v>
      </c>
      <c r="Y972" s="43">
        <f>Y971+Учет!T972-T972</f>
        <v>1150</v>
      </c>
      <c r="Z972" s="43">
        <f>Z971+Учет!U972-U972</f>
        <v>500000</v>
      </c>
      <c r="AA972" s="45">
        <f>Учет!X972</f>
        <v>500</v>
      </c>
    </row>
    <row r="973" spans="1:27" ht="15" customHeight="1" x14ac:dyDescent="0.25">
      <c r="A973" s="1"/>
      <c r="B973" s="17"/>
      <c r="C973" s="17"/>
      <c r="D973" s="17"/>
      <c r="E973" s="17"/>
      <c r="F973" s="17"/>
      <c r="G973" s="4">
        <f t="shared" si="42"/>
        <v>0</v>
      </c>
      <c r="H973" s="17"/>
      <c r="I973" s="4">
        <f t="shared" si="44"/>
        <v>349526.07999999996</v>
      </c>
      <c r="J973" s="32" t="str">
        <f t="shared" si="43"/>
        <v/>
      </c>
      <c r="K973" s="72"/>
      <c r="L973" s="72"/>
      <c r="M973" s="2"/>
      <c r="N973" s="5"/>
      <c r="O973" s="3"/>
      <c r="P973" s="6"/>
      <c r="Q973" s="48">
        <f>IF(Учет!$O973=Справочники!$F$2,Учет!$H973,0)</f>
        <v>0</v>
      </c>
      <c r="R973" s="48">
        <f>IF(Учет!$O973=Справочники!$F$3,Учет!$H973,0)</f>
        <v>0</v>
      </c>
      <c r="S973" s="48">
        <f>IF(Учет!$O973=Справочники!$F$4,Учет!$H973,0)</f>
        <v>0</v>
      </c>
      <c r="T973" s="48">
        <f>IF(Учет!$O973=Справочники!$F$5,Учет!$H973,0)</f>
        <v>0</v>
      </c>
      <c r="U973" s="48">
        <f>IF(Учет!$O973=Справочники!$F$6,Учет!$H973,0)</f>
        <v>0</v>
      </c>
      <c r="V973" s="43">
        <f>V972+Учет!Q973-Q973</f>
        <v>-488978.92000000004</v>
      </c>
      <c r="W973" s="43">
        <f>W972+Учет!R973-R973</f>
        <v>336855</v>
      </c>
      <c r="X973" s="43">
        <f>X972+Учет!S973-S973</f>
        <v>500</v>
      </c>
      <c r="Y973" s="43">
        <f>Y972+Учет!T973-T973</f>
        <v>1150</v>
      </c>
      <c r="Z973" s="43">
        <f>Z972+Учет!U973-U973</f>
        <v>500000</v>
      </c>
      <c r="AA973" s="45">
        <f>Учет!X973</f>
        <v>500</v>
      </c>
    </row>
    <row r="974" spans="1:27" ht="15" customHeight="1" x14ac:dyDescent="0.25">
      <c r="A974" s="1"/>
      <c r="B974" s="17"/>
      <c r="C974" s="17"/>
      <c r="D974" s="17"/>
      <c r="E974" s="17"/>
      <c r="F974" s="17"/>
      <c r="G974" s="4">
        <f t="shared" si="42"/>
        <v>0</v>
      </c>
      <c r="H974" s="17"/>
      <c r="I974" s="4">
        <f t="shared" si="44"/>
        <v>349526.07999999996</v>
      </c>
      <c r="J974" s="32" t="str">
        <f t="shared" si="43"/>
        <v/>
      </c>
      <c r="K974" s="72"/>
      <c r="L974" s="72"/>
      <c r="M974" s="2"/>
      <c r="N974" s="5"/>
      <c r="O974" s="3"/>
      <c r="P974" s="6"/>
      <c r="Q974" s="48">
        <f>IF(Учет!$O974=Справочники!$F$2,Учет!$H974,0)</f>
        <v>0</v>
      </c>
      <c r="R974" s="48">
        <f>IF(Учет!$O974=Справочники!$F$3,Учет!$H974,0)</f>
        <v>0</v>
      </c>
      <c r="S974" s="48">
        <f>IF(Учет!$O974=Справочники!$F$4,Учет!$H974,0)</f>
        <v>0</v>
      </c>
      <c r="T974" s="48">
        <f>IF(Учет!$O974=Справочники!$F$5,Учет!$H974,0)</f>
        <v>0</v>
      </c>
      <c r="U974" s="48">
        <f>IF(Учет!$O974=Справочники!$F$6,Учет!$H974,0)</f>
        <v>0</v>
      </c>
      <c r="V974" s="43">
        <f>V973+Учет!Q974-Q974</f>
        <v>-488978.92000000004</v>
      </c>
      <c r="W974" s="43">
        <f>W973+Учет!R974-R974</f>
        <v>336855</v>
      </c>
      <c r="X974" s="43">
        <f>X973+Учет!S974-S974</f>
        <v>500</v>
      </c>
      <c r="Y974" s="43">
        <f>Y973+Учет!T974-T974</f>
        <v>1150</v>
      </c>
      <c r="Z974" s="43">
        <f>Z973+Учет!U974-U974</f>
        <v>500000</v>
      </c>
      <c r="AA974" s="45">
        <f>Учет!X974</f>
        <v>500</v>
      </c>
    </row>
    <row r="975" spans="1:27" ht="15" customHeight="1" x14ac:dyDescent="0.25">
      <c r="A975" s="1"/>
      <c r="B975" s="17"/>
      <c r="C975" s="17"/>
      <c r="D975" s="17"/>
      <c r="E975" s="17"/>
      <c r="F975" s="17"/>
      <c r="G975" s="4">
        <f t="shared" si="42"/>
        <v>0</v>
      </c>
      <c r="H975" s="17"/>
      <c r="I975" s="4">
        <f t="shared" si="44"/>
        <v>349526.07999999996</v>
      </c>
      <c r="J975" s="32" t="str">
        <f t="shared" si="43"/>
        <v/>
      </c>
      <c r="K975" s="72"/>
      <c r="L975" s="72"/>
      <c r="M975" s="2"/>
      <c r="N975" s="5"/>
      <c r="O975" s="3"/>
      <c r="P975" s="6"/>
      <c r="Q975" s="48">
        <f>IF(Учет!$O975=Справочники!$F$2,Учет!$H975,0)</f>
        <v>0</v>
      </c>
      <c r="R975" s="48">
        <f>IF(Учет!$O975=Справочники!$F$3,Учет!$H975,0)</f>
        <v>0</v>
      </c>
      <c r="S975" s="48">
        <f>IF(Учет!$O975=Справочники!$F$4,Учет!$H975,0)</f>
        <v>0</v>
      </c>
      <c r="T975" s="48">
        <f>IF(Учет!$O975=Справочники!$F$5,Учет!$H975,0)</f>
        <v>0</v>
      </c>
      <c r="U975" s="48">
        <f>IF(Учет!$O975=Справочники!$F$6,Учет!$H975,0)</f>
        <v>0</v>
      </c>
      <c r="V975" s="43">
        <f>V974+Учет!Q975-Q975</f>
        <v>-488978.92000000004</v>
      </c>
      <c r="W975" s="43">
        <f>W974+Учет!R975-R975</f>
        <v>336855</v>
      </c>
      <c r="X975" s="43">
        <f>X974+Учет!S975-S975</f>
        <v>500</v>
      </c>
      <c r="Y975" s="43">
        <f>Y974+Учет!T975-T975</f>
        <v>1150</v>
      </c>
      <c r="Z975" s="43">
        <f>Z974+Учет!U975-U975</f>
        <v>500000</v>
      </c>
      <c r="AA975" s="45">
        <f>Учет!X975</f>
        <v>500</v>
      </c>
    </row>
    <row r="976" spans="1:27" ht="15" customHeight="1" x14ac:dyDescent="0.25">
      <c r="A976" s="1"/>
      <c r="B976" s="17"/>
      <c r="C976" s="17"/>
      <c r="D976" s="17"/>
      <c r="E976" s="17"/>
      <c r="F976" s="17"/>
      <c r="G976" s="4">
        <f t="shared" si="42"/>
        <v>0</v>
      </c>
      <c r="H976" s="17"/>
      <c r="I976" s="4">
        <f t="shared" si="44"/>
        <v>349526.07999999996</v>
      </c>
      <c r="J976" s="32" t="str">
        <f t="shared" si="43"/>
        <v/>
      </c>
      <c r="K976" s="72"/>
      <c r="L976" s="72"/>
      <c r="M976" s="2"/>
      <c r="N976" s="5"/>
      <c r="O976" s="3"/>
      <c r="P976" s="6"/>
      <c r="Q976" s="48">
        <f>IF(Учет!$O976=Справочники!$F$2,Учет!$H976,0)</f>
        <v>0</v>
      </c>
      <c r="R976" s="48">
        <f>IF(Учет!$O976=Справочники!$F$3,Учет!$H976,0)</f>
        <v>0</v>
      </c>
      <c r="S976" s="48">
        <f>IF(Учет!$O976=Справочники!$F$4,Учет!$H976,0)</f>
        <v>0</v>
      </c>
      <c r="T976" s="48">
        <f>IF(Учет!$O976=Справочники!$F$5,Учет!$H976,0)</f>
        <v>0</v>
      </c>
      <c r="U976" s="48">
        <f>IF(Учет!$O976=Справочники!$F$6,Учет!$H976,0)</f>
        <v>0</v>
      </c>
      <c r="V976" s="43">
        <f>V975+Учет!Q976-Q976</f>
        <v>-488978.92000000004</v>
      </c>
      <c r="W976" s="43">
        <f>W975+Учет!R976-R976</f>
        <v>336855</v>
      </c>
      <c r="X976" s="43">
        <f>X975+Учет!S976-S976</f>
        <v>500</v>
      </c>
      <c r="Y976" s="43">
        <f>Y975+Учет!T976-T976</f>
        <v>1150</v>
      </c>
      <c r="Z976" s="43">
        <f>Z975+Учет!U976-U976</f>
        <v>500000</v>
      </c>
      <c r="AA976" s="45">
        <f>Учет!X976</f>
        <v>500</v>
      </c>
    </row>
    <row r="977" spans="1:27" ht="15" customHeight="1" x14ac:dyDescent="0.25">
      <c r="A977" s="1"/>
      <c r="B977" s="17"/>
      <c r="C977" s="17"/>
      <c r="D977" s="17"/>
      <c r="E977" s="17"/>
      <c r="F977" s="17"/>
      <c r="G977" s="4">
        <f t="shared" si="42"/>
        <v>0</v>
      </c>
      <c r="H977" s="17"/>
      <c r="I977" s="4">
        <f t="shared" si="44"/>
        <v>349526.07999999996</v>
      </c>
      <c r="J977" s="32" t="str">
        <f t="shared" si="43"/>
        <v/>
      </c>
      <c r="K977" s="72"/>
      <c r="L977" s="72"/>
      <c r="M977" s="2"/>
      <c r="N977" s="5"/>
      <c r="O977" s="3"/>
      <c r="P977" s="6"/>
      <c r="Q977" s="48">
        <f>IF(Учет!$O977=Справочники!$F$2,Учет!$H977,0)</f>
        <v>0</v>
      </c>
      <c r="R977" s="48">
        <f>IF(Учет!$O977=Справочники!$F$3,Учет!$H977,0)</f>
        <v>0</v>
      </c>
      <c r="S977" s="48">
        <f>IF(Учет!$O977=Справочники!$F$4,Учет!$H977,0)</f>
        <v>0</v>
      </c>
      <c r="T977" s="48">
        <f>IF(Учет!$O977=Справочники!$F$5,Учет!$H977,0)</f>
        <v>0</v>
      </c>
      <c r="U977" s="48">
        <f>IF(Учет!$O977=Справочники!$F$6,Учет!$H977,0)</f>
        <v>0</v>
      </c>
      <c r="V977" s="43">
        <f>V976+Учет!Q977-Q977</f>
        <v>-488978.92000000004</v>
      </c>
      <c r="W977" s="43">
        <f>W976+Учет!R977-R977</f>
        <v>336855</v>
      </c>
      <c r="X977" s="43">
        <f>X976+Учет!S977-S977</f>
        <v>500</v>
      </c>
      <c r="Y977" s="43">
        <f>Y976+Учет!T977-T977</f>
        <v>1150</v>
      </c>
      <c r="Z977" s="43">
        <f>Z976+Учет!U977-U977</f>
        <v>500000</v>
      </c>
      <c r="AA977" s="45">
        <f>Учет!X977</f>
        <v>500</v>
      </c>
    </row>
    <row r="978" spans="1:27" ht="15" customHeight="1" x14ac:dyDescent="0.25">
      <c r="A978" s="1"/>
      <c r="B978" s="17"/>
      <c r="C978" s="17"/>
      <c r="D978" s="17"/>
      <c r="E978" s="17"/>
      <c r="F978" s="17"/>
      <c r="G978" s="4">
        <f t="shared" si="42"/>
        <v>0</v>
      </c>
      <c r="H978" s="17"/>
      <c r="I978" s="4">
        <f t="shared" si="44"/>
        <v>349526.07999999996</v>
      </c>
      <c r="J978" s="32" t="str">
        <f t="shared" si="43"/>
        <v/>
      </c>
      <c r="K978" s="72"/>
      <c r="L978" s="72"/>
      <c r="M978" s="2"/>
      <c r="N978" s="5"/>
      <c r="O978" s="3"/>
      <c r="P978" s="6"/>
      <c r="Q978" s="48">
        <f>IF(Учет!$O978=Справочники!$F$2,Учет!$H978,0)</f>
        <v>0</v>
      </c>
      <c r="R978" s="48">
        <f>IF(Учет!$O978=Справочники!$F$3,Учет!$H978,0)</f>
        <v>0</v>
      </c>
      <c r="S978" s="48">
        <f>IF(Учет!$O978=Справочники!$F$4,Учет!$H978,0)</f>
        <v>0</v>
      </c>
      <c r="T978" s="48">
        <f>IF(Учет!$O978=Справочники!$F$5,Учет!$H978,0)</f>
        <v>0</v>
      </c>
      <c r="U978" s="48">
        <f>IF(Учет!$O978=Справочники!$F$6,Учет!$H978,0)</f>
        <v>0</v>
      </c>
      <c r="V978" s="43">
        <f>V977+Учет!Q978-Q978</f>
        <v>-488978.92000000004</v>
      </c>
      <c r="W978" s="43">
        <f>W977+Учет!R978-R978</f>
        <v>336855</v>
      </c>
      <c r="X978" s="43">
        <f>X977+Учет!S978-S978</f>
        <v>500</v>
      </c>
      <c r="Y978" s="43">
        <f>Y977+Учет!T978-T978</f>
        <v>1150</v>
      </c>
      <c r="Z978" s="43">
        <f>Z977+Учет!U978-U978</f>
        <v>500000</v>
      </c>
      <c r="AA978" s="45">
        <f>Учет!X978</f>
        <v>500</v>
      </c>
    </row>
    <row r="979" spans="1:27" ht="15" customHeight="1" x14ac:dyDescent="0.25">
      <c r="A979" s="1"/>
      <c r="B979" s="17"/>
      <c r="C979" s="17"/>
      <c r="D979" s="17"/>
      <c r="E979" s="17"/>
      <c r="F979" s="17"/>
      <c r="G979" s="4">
        <f t="shared" si="42"/>
        <v>0</v>
      </c>
      <c r="H979" s="17"/>
      <c r="I979" s="4">
        <f t="shared" si="44"/>
        <v>349526.07999999996</v>
      </c>
      <c r="J979" s="32" t="str">
        <f t="shared" si="43"/>
        <v/>
      </c>
      <c r="K979" s="72"/>
      <c r="L979" s="72"/>
      <c r="M979" s="2"/>
      <c r="N979" s="5"/>
      <c r="O979" s="3"/>
      <c r="P979" s="6"/>
      <c r="Q979" s="48">
        <f>IF(Учет!$O979=Справочники!$F$2,Учет!$H979,0)</f>
        <v>0</v>
      </c>
      <c r="R979" s="48">
        <f>IF(Учет!$O979=Справочники!$F$3,Учет!$H979,0)</f>
        <v>0</v>
      </c>
      <c r="S979" s="48">
        <f>IF(Учет!$O979=Справочники!$F$4,Учет!$H979,0)</f>
        <v>0</v>
      </c>
      <c r="T979" s="48">
        <f>IF(Учет!$O979=Справочники!$F$5,Учет!$H979,0)</f>
        <v>0</v>
      </c>
      <c r="U979" s="48">
        <f>IF(Учет!$O979=Справочники!$F$6,Учет!$H979,0)</f>
        <v>0</v>
      </c>
      <c r="V979" s="43">
        <f>V978+Учет!Q979-Q979</f>
        <v>-488978.92000000004</v>
      </c>
      <c r="W979" s="43">
        <f>W978+Учет!R979-R979</f>
        <v>336855</v>
      </c>
      <c r="X979" s="43">
        <f>X978+Учет!S979-S979</f>
        <v>500</v>
      </c>
      <c r="Y979" s="43">
        <f>Y978+Учет!T979-T979</f>
        <v>1150</v>
      </c>
      <c r="Z979" s="43">
        <f>Z978+Учет!U979-U979</f>
        <v>500000</v>
      </c>
      <c r="AA979" s="45">
        <f>Учет!X979</f>
        <v>500</v>
      </c>
    </row>
    <row r="980" spans="1:27" ht="15" customHeight="1" x14ac:dyDescent="0.25">
      <c r="A980" s="1"/>
      <c r="B980" s="17"/>
      <c r="C980" s="17"/>
      <c r="D980" s="17"/>
      <c r="E980" s="17"/>
      <c r="F980" s="17"/>
      <c r="G980" s="4">
        <f t="shared" si="42"/>
        <v>0</v>
      </c>
      <c r="H980" s="17"/>
      <c r="I980" s="4">
        <f t="shared" si="44"/>
        <v>349526.07999999996</v>
      </c>
      <c r="J980" s="32" t="str">
        <f t="shared" si="43"/>
        <v/>
      </c>
      <c r="K980" s="72"/>
      <c r="L980" s="72"/>
      <c r="M980" s="2"/>
      <c r="N980" s="5"/>
      <c r="O980" s="3"/>
      <c r="P980" s="6"/>
      <c r="Q980" s="48">
        <f>IF(Учет!$O980=Справочники!$F$2,Учет!$H980,0)</f>
        <v>0</v>
      </c>
      <c r="R980" s="48">
        <f>IF(Учет!$O980=Справочники!$F$3,Учет!$H980,0)</f>
        <v>0</v>
      </c>
      <c r="S980" s="48">
        <f>IF(Учет!$O980=Справочники!$F$4,Учет!$H980,0)</f>
        <v>0</v>
      </c>
      <c r="T980" s="48">
        <f>IF(Учет!$O980=Справочники!$F$5,Учет!$H980,0)</f>
        <v>0</v>
      </c>
      <c r="U980" s="48">
        <f>IF(Учет!$O980=Справочники!$F$6,Учет!$H980,0)</f>
        <v>0</v>
      </c>
      <c r="V980" s="43">
        <f>V979+Учет!Q980-Q980</f>
        <v>-488978.92000000004</v>
      </c>
      <c r="W980" s="43">
        <f>W979+Учет!R980-R980</f>
        <v>336855</v>
      </c>
      <c r="X980" s="43">
        <f>X979+Учет!S980-S980</f>
        <v>500</v>
      </c>
      <c r="Y980" s="43">
        <f>Y979+Учет!T980-T980</f>
        <v>1150</v>
      </c>
      <c r="Z980" s="43">
        <f>Z979+Учет!U980-U980</f>
        <v>500000</v>
      </c>
      <c r="AA980" s="45">
        <f>Учет!X980</f>
        <v>500</v>
      </c>
    </row>
    <row r="981" spans="1:27" ht="15" customHeight="1" x14ac:dyDescent="0.25">
      <c r="A981" s="1"/>
      <c r="B981" s="17"/>
      <c r="C981" s="17"/>
      <c r="D981" s="17"/>
      <c r="E981" s="17"/>
      <c r="F981" s="17"/>
      <c r="G981" s="4">
        <f t="shared" si="42"/>
        <v>0</v>
      </c>
      <c r="H981" s="17"/>
      <c r="I981" s="4">
        <f t="shared" si="44"/>
        <v>349526.07999999996</v>
      </c>
      <c r="J981" s="32" t="str">
        <f t="shared" si="43"/>
        <v/>
      </c>
      <c r="K981" s="72"/>
      <c r="L981" s="72"/>
      <c r="M981" s="2"/>
      <c r="N981" s="5"/>
      <c r="O981" s="3"/>
      <c r="P981" s="6"/>
      <c r="Q981" s="48">
        <f>IF(Учет!$O981=Справочники!$F$2,Учет!$H981,0)</f>
        <v>0</v>
      </c>
      <c r="R981" s="48">
        <f>IF(Учет!$O981=Справочники!$F$3,Учет!$H981,0)</f>
        <v>0</v>
      </c>
      <c r="S981" s="48">
        <f>IF(Учет!$O981=Справочники!$F$4,Учет!$H981,0)</f>
        <v>0</v>
      </c>
      <c r="T981" s="48">
        <f>IF(Учет!$O981=Справочники!$F$5,Учет!$H981,0)</f>
        <v>0</v>
      </c>
      <c r="U981" s="48">
        <f>IF(Учет!$O981=Справочники!$F$6,Учет!$H981,0)</f>
        <v>0</v>
      </c>
      <c r="V981" s="43">
        <f>V980+Учет!Q981-Q981</f>
        <v>-488978.92000000004</v>
      </c>
      <c r="W981" s="43">
        <f>W980+Учет!R981-R981</f>
        <v>336855</v>
      </c>
      <c r="X981" s="43">
        <f>X980+Учет!S981-S981</f>
        <v>500</v>
      </c>
      <c r="Y981" s="43">
        <f>Y980+Учет!T981-T981</f>
        <v>1150</v>
      </c>
      <c r="Z981" s="43">
        <f>Z980+Учет!U981-U981</f>
        <v>500000</v>
      </c>
      <c r="AA981" s="45">
        <f>Учет!X981</f>
        <v>500</v>
      </c>
    </row>
    <row r="982" spans="1:27" ht="15" customHeight="1" x14ac:dyDescent="0.25">
      <c r="A982" s="1"/>
      <c r="B982" s="17"/>
      <c r="C982" s="17"/>
      <c r="D982" s="17"/>
      <c r="E982" s="17"/>
      <c r="F982" s="17"/>
      <c r="G982" s="4">
        <f t="shared" si="42"/>
        <v>0</v>
      </c>
      <c r="H982" s="17"/>
      <c r="I982" s="4">
        <f t="shared" si="44"/>
        <v>349526.07999999996</v>
      </c>
      <c r="J982" s="32" t="str">
        <f t="shared" si="43"/>
        <v/>
      </c>
      <c r="K982" s="72"/>
      <c r="L982" s="72"/>
      <c r="M982" s="2"/>
      <c r="N982" s="5"/>
      <c r="O982" s="3"/>
      <c r="P982" s="6"/>
      <c r="Q982" s="48">
        <f>IF(Учет!$O982=Справочники!$F$2,Учет!$H982,0)</f>
        <v>0</v>
      </c>
      <c r="R982" s="48">
        <f>IF(Учет!$O982=Справочники!$F$3,Учет!$H982,0)</f>
        <v>0</v>
      </c>
      <c r="S982" s="48">
        <f>IF(Учет!$O982=Справочники!$F$4,Учет!$H982,0)</f>
        <v>0</v>
      </c>
      <c r="T982" s="48">
        <f>IF(Учет!$O982=Справочники!$F$5,Учет!$H982,0)</f>
        <v>0</v>
      </c>
      <c r="U982" s="48">
        <f>IF(Учет!$O982=Справочники!$F$6,Учет!$H982,0)</f>
        <v>0</v>
      </c>
      <c r="V982" s="43">
        <f>V981+Учет!Q982-Q982</f>
        <v>-488978.92000000004</v>
      </c>
      <c r="W982" s="43">
        <f>W981+Учет!R982-R982</f>
        <v>336855</v>
      </c>
      <c r="X982" s="43">
        <f>X981+Учет!S982-S982</f>
        <v>500</v>
      </c>
      <c r="Y982" s="43">
        <f>Y981+Учет!T982-T982</f>
        <v>1150</v>
      </c>
      <c r="Z982" s="43">
        <f>Z981+Учет!U982-U982</f>
        <v>500000</v>
      </c>
      <c r="AA982" s="45">
        <f>Учет!X982</f>
        <v>500</v>
      </c>
    </row>
    <row r="983" spans="1:27" ht="15" customHeight="1" x14ac:dyDescent="0.25">
      <c r="A983" s="1"/>
      <c r="B983" s="17"/>
      <c r="C983" s="17"/>
      <c r="D983" s="17"/>
      <c r="E983" s="17"/>
      <c r="F983" s="17"/>
      <c r="G983" s="4">
        <f t="shared" si="42"/>
        <v>0</v>
      </c>
      <c r="H983" s="17"/>
      <c r="I983" s="4">
        <f t="shared" si="44"/>
        <v>349526.07999999996</v>
      </c>
      <c r="J983" s="32" t="str">
        <f t="shared" si="43"/>
        <v/>
      </c>
      <c r="K983" s="72"/>
      <c r="L983" s="72"/>
      <c r="M983" s="2"/>
      <c r="N983" s="5"/>
      <c r="O983" s="3"/>
      <c r="P983" s="6"/>
      <c r="Q983" s="48">
        <f>IF(Учет!$O983=Справочники!$F$2,Учет!$H983,0)</f>
        <v>0</v>
      </c>
      <c r="R983" s="48">
        <f>IF(Учет!$O983=Справочники!$F$3,Учет!$H983,0)</f>
        <v>0</v>
      </c>
      <c r="S983" s="48">
        <f>IF(Учет!$O983=Справочники!$F$4,Учет!$H983,0)</f>
        <v>0</v>
      </c>
      <c r="T983" s="48">
        <f>IF(Учет!$O983=Справочники!$F$5,Учет!$H983,0)</f>
        <v>0</v>
      </c>
      <c r="U983" s="48">
        <f>IF(Учет!$O983=Справочники!$F$6,Учет!$H983,0)</f>
        <v>0</v>
      </c>
      <c r="V983" s="43">
        <f>V982+Учет!Q983-Q983</f>
        <v>-488978.92000000004</v>
      </c>
      <c r="W983" s="43">
        <f>W982+Учет!R983-R983</f>
        <v>336855</v>
      </c>
      <c r="X983" s="43">
        <f>X982+Учет!S983-S983</f>
        <v>500</v>
      </c>
      <c r="Y983" s="43">
        <f>Y982+Учет!T983-T983</f>
        <v>1150</v>
      </c>
      <c r="Z983" s="43">
        <f>Z982+Учет!U983-U983</f>
        <v>500000</v>
      </c>
      <c r="AA983" s="45">
        <f>Учет!X983</f>
        <v>500</v>
      </c>
    </row>
    <row r="984" spans="1:27" ht="15" customHeight="1" x14ac:dyDescent="0.25">
      <c r="A984" s="1"/>
      <c r="B984" s="17"/>
      <c r="C984" s="17"/>
      <c r="D984" s="17"/>
      <c r="E984" s="17"/>
      <c r="F984" s="17"/>
      <c r="G984" s="4">
        <f t="shared" si="42"/>
        <v>0</v>
      </c>
      <c r="H984" s="17"/>
      <c r="I984" s="4">
        <f t="shared" si="44"/>
        <v>349526.07999999996</v>
      </c>
      <c r="J984" s="32" t="str">
        <f t="shared" si="43"/>
        <v/>
      </c>
      <c r="K984" s="72"/>
      <c r="L984" s="72"/>
      <c r="M984" s="2"/>
      <c r="N984" s="5"/>
      <c r="O984" s="3"/>
      <c r="P984" s="6"/>
      <c r="Q984" s="48">
        <f>IF(Учет!$O984=Справочники!$F$2,Учет!$H984,0)</f>
        <v>0</v>
      </c>
      <c r="R984" s="48">
        <f>IF(Учет!$O984=Справочники!$F$3,Учет!$H984,0)</f>
        <v>0</v>
      </c>
      <c r="S984" s="48">
        <f>IF(Учет!$O984=Справочники!$F$4,Учет!$H984,0)</f>
        <v>0</v>
      </c>
      <c r="T984" s="48">
        <f>IF(Учет!$O984=Справочники!$F$5,Учет!$H984,0)</f>
        <v>0</v>
      </c>
      <c r="U984" s="48">
        <f>IF(Учет!$O984=Справочники!$F$6,Учет!$H984,0)</f>
        <v>0</v>
      </c>
      <c r="V984" s="43">
        <f>V983+Учет!Q984-Q984</f>
        <v>-488978.92000000004</v>
      </c>
      <c r="W984" s="43">
        <f>W983+Учет!R984-R984</f>
        <v>336855</v>
      </c>
      <c r="X984" s="43">
        <f>X983+Учет!S984-S984</f>
        <v>500</v>
      </c>
      <c r="Y984" s="43">
        <f>Y983+Учет!T984-T984</f>
        <v>1150</v>
      </c>
      <c r="Z984" s="43">
        <f>Z983+Учет!U984-U984</f>
        <v>500000</v>
      </c>
      <c r="AA984" s="45">
        <f>Учет!X984</f>
        <v>500</v>
      </c>
    </row>
    <row r="985" spans="1:27" ht="15" customHeight="1" x14ac:dyDescent="0.25">
      <c r="A985" s="1"/>
      <c r="B985" s="17"/>
      <c r="C985" s="17"/>
      <c r="D985" s="17"/>
      <c r="E985" s="17"/>
      <c r="F985" s="17"/>
      <c r="G985" s="4">
        <f t="shared" si="42"/>
        <v>0</v>
      </c>
      <c r="H985" s="17"/>
      <c r="I985" s="4">
        <f t="shared" si="44"/>
        <v>349526.07999999996</v>
      </c>
      <c r="J985" s="32" t="str">
        <f t="shared" si="43"/>
        <v/>
      </c>
      <c r="K985" s="72"/>
      <c r="L985" s="72"/>
      <c r="M985" s="2"/>
      <c r="N985" s="5"/>
      <c r="O985" s="3"/>
      <c r="P985" s="6"/>
      <c r="Q985" s="48">
        <f>IF(Учет!$O985=Справочники!$F$2,Учет!$H985,0)</f>
        <v>0</v>
      </c>
      <c r="R985" s="48">
        <f>IF(Учет!$O985=Справочники!$F$3,Учет!$H985,0)</f>
        <v>0</v>
      </c>
      <c r="S985" s="48">
        <f>IF(Учет!$O985=Справочники!$F$4,Учет!$H985,0)</f>
        <v>0</v>
      </c>
      <c r="T985" s="48">
        <f>IF(Учет!$O985=Справочники!$F$5,Учет!$H985,0)</f>
        <v>0</v>
      </c>
      <c r="U985" s="48">
        <f>IF(Учет!$O985=Справочники!$F$6,Учет!$H985,0)</f>
        <v>0</v>
      </c>
      <c r="V985" s="43">
        <f>V984+Учет!Q985-Q985</f>
        <v>-488978.92000000004</v>
      </c>
      <c r="W985" s="43">
        <f>W984+Учет!R985-R985</f>
        <v>336855</v>
      </c>
      <c r="X985" s="43">
        <f>X984+Учет!S985-S985</f>
        <v>500</v>
      </c>
      <c r="Y985" s="43">
        <f>Y984+Учет!T985-T985</f>
        <v>1150</v>
      </c>
      <c r="Z985" s="43">
        <f>Z984+Учет!U985-U985</f>
        <v>500000</v>
      </c>
      <c r="AA985" s="45">
        <f>Учет!X985</f>
        <v>500</v>
      </c>
    </row>
    <row r="986" spans="1:27" ht="15" customHeight="1" x14ac:dyDescent="0.25">
      <c r="A986" s="1"/>
      <c r="B986" s="17"/>
      <c r="C986" s="17"/>
      <c r="D986" s="17"/>
      <c r="E986" s="17"/>
      <c r="F986" s="17"/>
      <c r="G986" s="4">
        <f t="shared" si="42"/>
        <v>0</v>
      </c>
      <c r="H986" s="17"/>
      <c r="I986" s="4">
        <f t="shared" si="44"/>
        <v>349526.07999999996</v>
      </c>
      <c r="J986" s="32" t="str">
        <f t="shared" si="43"/>
        <v/>
      </c>
      <c r="K986" s="72"/>
      <c r="L986" s="72"/>
      <c r="M986" s="2"/>
      <c r="N986" s="5"/>
      <c r="O986" s="3"/>
      <c r="P986" s="6"/>
      <c r="Q986" s="48">
        <f>IF(Учет!$O986=Справочники!$F$2,Учет!$H986,0)</f>
        <v>0</v>
      </c>
      <c r="R986" s="48">
        <f>IF(Учет!$O986=Справочники!$F$3,Учет!$H986,0)</f>
        <v>0</v>
      </c>
      <c r="S986" s="48">
        <f>IF(Учет!$O986=Справочники!$F$4,Учет!$H986,0)</f>
        <v>0</v>
      </c>
      <c r="T986" s="48">
        <f>IF(Учет!$O986=Справочники!$F$5,Учет!$H986,0)</f>
        <v>0</v>
      </c>
      <c r="U986" s="48">
        <f>IF(Учет!$O986=Справочники!$F$6,Учет!$H986,0)</f>
        <v>0</v>
      </c>
      <c r="V986" s="43">
        <f>V985+Учет!Q986-Q986</f>
        <v>-488978.92000000004</v>
      </c>
      <c r="W986" s="43">
        <f>W985+Учет!R986-R986</f>
        <v>336855</v>
      </c>
      <c r="X986" s="43">
        <f>X985+Учет!S986-S986</f>
        <v>500</v>
      </c>
      <c r="Y986" s="43">
        <f>Y985+Учет!T986-T986</f>
        <v>1150</v>
      </c>
      <c r="Z986" s="43">
        <f>Z985+Учет!U986-U986</f>
        <v>500000</v>
      </c>
      <c r="AA986" s="45">
        <f>Учет!X986</f>
        <v>500</v>
      </c>
    </row>
    <row r="987" spans="1:27" ht="15" customHeight="1" x14ac:dyDescent="0.25">
      <c r="A987" s="1"/>
      <c r="B987" s="17"/>
      <c r="C987" s="17"/>
      <c r="D987" s="17"/>
      <c r="E987" s="17"/>
      <c r="F987" s="17"/>
      <c r="G987" s="4">
        <f t="shared" si="42"/>
        <v>0</v>
      </c>
      <c r="H987" s="17"/>
      <c r="I987" s="4">
        <f t="shared" si="44"/>
        <v>349526.07999999996</v>
      </c>
      <c r="J987" s="32" t="str">
        <f t="shared" si="43"/>
        <v/>
      </c>
      <c r="K987" s="72"/>
      <c r="L987" s="72"/>
      <c r="M987" s="2"/>
      <c r="N987" s="5"/>
      <c r="O987" s="3"/>
      <c r="P987" s="6"/>
      <c r="Q987" s="48">
        <f>IF(Учет!$O987=Справочники!$F$2,Учет!$H987,0)</f>
        <v>0</v>
      </c>
      <c r="R987" s="48">
        <f>IF(Учет!$O987=Справочники!$F$3,Учет!$H987,0)</f>
        <v>0</v>
      </c>
      <c r="S987" s="48">
        <f>IF(Учет!$O987=Справочники!$F$4,Учет!$H987,0)</f>
        <v>0</v>
      </c>
      <c r="T987" s="48">
        <f>IF(Учет!$O987=Справочники!$F$5,Учет!$H987,0)</f>
        <v>0</v>
      </c>
      <c r="U987" s="48">
        <f>IF(Учет!$O987=Справочники!$F$6,Учет!$H987,0)</f>
        <v>0</v>
      </c>
      <c r="V987" s="43">
        <f>V986+Учет!Q987-Q987</f>
        <v>-488978.92000000004</v>
      </c>
      <c r="W987" s="43">
        <f>W986+Учет!R987-R987</f>
        <v>336855</v>
      </c>
      <c r="X987" s="43">
        <f>X986+Учет!S987-S987</f>
        <v>500</v>
      </c>
      <c r="Y987" s="43">
        <f>Y986+Учет!T987-T987</f>
        <v>1150</v>
      </c>
      <c r="Z987" s="43">
        <f>Z986+Учет!U987-U987</f>
        <v>500000</v>
      </c>
      <c r="AA987" s="45">
        <f>Учет!X987</f>
        <v>500</v>
      </c>
    </row>
    <row r="988" spans="1:27" ht="15" customHeight="1" x14ac:dyDescent="0.25">
      <c r="A988" s="1"/>
      <c r="B988" s="17"/>
      <c r="C988" s="17"/>
      <c r="D988" s="17"/>
      <c r="E988" s="17"/>
      <c r="F988" s="17"/>
      <c r="G988" s="4">
        <f t="shared" si="42"/>
        <v>0</v>
      </c>
      <c r="H988" s="17"/>
      <c r="I988" s="4">
        <f t="shared" si="44"/>
        <v>349526.07999999996</v>
      </c>
      <c r="J988" s="32" t="str">
        <f t="shared" si="43"/>
        <v/>
      </c>
      <c r="K988" s="72"/>
      <c r="L988" s="72"/>
      <c r="M988" s="2"/>
      <c r="N988" s="5"/>
      <c r="O988" s="3"/>
      <c r="P988" s="6"/>
      <c r="Q988" s="48">
        <f>IF(Учет!$O988=Справочники!$F$2,Учет!$H988,0)</f>
        <v>0</v>
      </c>
      <c r="R988" s="48">
        <f>IF(Учет!$O988=Справочники!$F$3,Учет!$H988,0)</f>
        <v>0</v>
      </c>
      <c r="S988" s="48">
        <f>IF(Учет!$O988=Справочники!$F$4,Учет!$H988,0)</f>
        <v>0</v>
      </c>
      <c r="T988" s="48">
        <f>IF(Учет!$O988=Справочники!$F$5,Учет!$H988,0)</f>
        <v>0</v>
      </c>
      <c r="U988" s="48">
        <f>IF(Учет!$O988=Справочники!$F$6,Учет!$H988,0)</f>
        <v>0</v>
      </c>
      <c r="V988" s="43">
        <f>V987+Учет!Q988-Q988</f>
        <v>-488978.92000000004</v>
      </c>
      <c r="W988" s="43">
        <f>W987+Учет!R988-R988</f>
        <v>336855</v>
      </c>
      <c r="X988" s="43">
        <f>X987+Учет!S988-S988</f>
        <v>500</v>
      </c>
      <c r="Y988" s="43">
        <f>Y987+Учет!T988-T988</f>
        <v>1150</v>
      </c>
      <c r="Z988" s="43">
        <f>Z987+Учет!U988-U988</f>
        <v>500000</v>
      </c>
      <c r="AA988" s="45">
        <f>Учет!X988</f>
        <v>500</v>
      </c>
    </row>
    <row r="989" spans="1:27" ht="15" customHeight="1" x14ac:dyDescent="0.25">
      <c r="A989" s="1"/>
      <c r="B989" s="17"/>
      <c r="C989" s="17"/>
      <c r="D989" s="17"/>
      <c r="E989" s="17"/>
      <c r="F989" s="17"/>
      <c r="G989" s="4">
        <f t="shared" si="42"/>
        <v>0</v>
      </c>
      <c r="H989" s="17"/>
      <c r="I989" s="4">
        <f t="shared" si="44"/>
        <v>349526.07999999996</v>
      </c>
      <c r="J989" s="32" t="str">
        <f t="shared" si="43"/>
        <v/>
      </c>
      <c r="K989" s="72"/>
      <c r="L989" s="72"/>
      <c r="M989" s="2"/>
      <c r="N989" s="5"/>
      <c r="O989" s="3"/>
      <c r="P989" s="6"/>
      <c r="Q989" s="48">
        <f>IF(Учет!$O989=Справочники!$F$2,Учет!$H989,0)</f>
        <v>0</v>
      </c>
      <c r="R989" s="48">
        <f>IF(Учет!$O989=Справочники!$F$3,Учет!$H989,0)</f>
        <v>0</v>
      </c>
      <c r="S989" s="48">
        <f>IF(Учет!$O989=Справочники!$F$4,Учет!$H989,0)</f>
        <v>0</v>
      </c>
      <c r="T989" s="48">
        <f>IF(Учет!$O989=Справочники!$F$5,Учет!$H989,0)</f>
        <v>0</v>
      </c>
      <c r="U989" s="48">
        <f>IF(Учет!$O989=Справочники!$F$6,Учет!$H989,0)</f>
        <v>0</v>
      </c>
      <c r="V989" s="43">
        <f>V988+Учет!Q989-Q989</f>
        <v>-488978.92000000004</v>
      </c>
      <c r="W989" s="43">
        <f>W988+Учет!R989-R989</f>
        <v>336855</v>
      </c>
      <c r="X989" s="43">
        <f>X988+Учет!S989-S989</f>
        <v>500</v>
      </c>
      <c r="Y989" s="43">
        <f>Y988+Учет!T989-T989</f>
        <v>1150</v>
      </c>
      <c r="Z989" s="43">
        <f>Z988+Учет!U989-U989</f>
        <v>500000</v>
      </c>
      <c r="AA989" s="45">
        <f>Учет!X989</f>
        <v>500</v>
      </c>
    </row>
    <row r="990" spans="1:27" ht="15" customHeight="1" x14ac:dyDescent="0.25">
      <c r="A990" s="1"/>
      <c r="B990" s="17"/>
      <c r="C990" s="17"/>
      <c r="D990" s="17"/>
      <c r="E990" s="17"/>
      <c r="F990" s="17"/>
      <c r="G990" s="4">
        <f t="shared" si="42"/>
        <v>0</v>
      </c>
      <c r="H990" s="17"/>
      <c r="I990" s="4">
        <f t="shared" si="44"/>
        <v>349526.07999999996</v>
      </c>
      <c r="J990" s="32" t="str">
        <f t="shared" si="43"/>
        <v/>
      </c>
      <c r="K990" s="72"/>
      <c r="L990" s="72"/>
      <c r="M990" s="2"/>
      <c r="N990" s="5"/>
      <c r="O990" s="3"/>
      <c r="P990" s="6"/>
      <c r="Q990" s="48">
        <f>IF(Учет!$O990=Справочники!$F$2,Учет!$H990,0)</f>
        <v>0</v>
      </c>
      <c r="R990" s="48">
        <f>IF(Учет!$O990=Справочники!$F$3,Учет!$H990,0)</f>
        <v>0</v>
      </c>
      <c r="S990" s="48">
        <f>IF(Учет!$O990=Справочники!$F$4,Учет!$H990,0)</f>
        <v>0</v>
      </c>
      <c r="T990" s="48">
        <f>IF(Учет!$O990=Справочники!$F$5,Учет!$H990,0)</f>
        <v>0</v>
      </c>
      <c r="U990" s="48">
        <f>IF(Учет!$O990=Справочники!$F$6,Учет!$H990,0)</f>
        <v>0</v>
      </c>
      <c r="V990" s="43">
        <f>V989+Учет!Q990-Q990</f>
        <v>-488978.92000000004</v>
      </c>
      <c r="W990" s="43">
        <f>W989+Учет!R990-R990</f>
        <v>336855</v>
      </c>
      <c r="X990" s="43">
        <f>X989+Учет!S990-S990</f>
        <v>500</v>
      </c>
      <c r="Y990" s="43">
        <f>Y989+Учет!T990-T990</f>
        <v>1150</v>
      </c>
      <c r="Z990" s="43">
        <f>Z989+Учет!U990-U990</f>
        <v>500000</v>
      </c>
      <c r="AA990" s="45">
        <f>Учет!X990</f>
        <v>500</v>
      </c>
    </row>
    <row r="991" spans="1:27" ht="15" customHeight="1" x14ac:dyDescent="0.25">
      <c r="A991" s="1"/>
      <c r="B991" s="17"/>
      <c r="C991" s="17"/>
      <c r="D991" s="17"/>
      <c r="E991" s="17"/>
      <c r="F991" s="17"/>
      <c r="G991" s="4">
        <f t="shared" si="42"/>
        <v>0</v>
      </c>
      <c r="H991" s="17"/>
      <c r="I991" s="4">
        <f t="shared" si="44"/>
        <v>349526.07999999996</v>
      </c>
      <c r="J991" s="32" t="str">
        <f t="shared" si="43"/>
        <v/>
      </c>
      <c r="K991" s="72"/>
      <c r="L991" s="72"/>
      <c r="M991" s="2"/>
      <c r="N991" s="5"/>
      <c r="O991" s="3"/>
      <c r="P991" s="6"/>
      <c r="Q991" s="48">
        <f>IF(Учет!$O991=Справочники!$F$2,Учет!$H991,0)</f>
        <v>0</v>
      </c>
      <c r="R991" s="48">
        <f>IF(Учет!$O991=Справочники!$F$3,Учет!$H991,0)</f>
        <v>0</v>
      </c>
      <c r="S991" s="48">
        <f>IF(Учет!$O991=Справочники!$F$4,Учет!$H991,0)</f>
        <v>0</v>
      </c>
      <c r="T991" s="48">
        <f>IF(Учет!$O991=Справочники!$F$5,Учет!$H991,0)</f>
        <v>0</v>
      </c>
      <c r="U991" s="48">
        <f>IF(Учет!$O991=Справочники!$F$6,Учет!$H991,0)</f>
        <v>0</v>
      </c>
      <c r="V991" s="43">
        <f>V990+Учет!Q991-Q991</f>
        <v>-488978.92000000004</v>
      </c>
      <c r="W991" s="43">
        <f>W990+Учет!R991-R991</f>
        <v>336855</v>
      </c>
      <c r="X991" s="43">
        <f>X990+Учет!S991-S991</f>
        <v>500</v>
      </c>
      <c r="Y991" s="43">
        <f>Y990+Учет!T991-T991</f>
        <v>1150</v>
      </c>
      <c r="Z991" s="43">
        <f>Z990+Учет!U991-U991</f>
        <v>500000</v>
      </c>
      <c r="AA991" s="45">
        <f>Учет!X991</f>
        <v>500</v>
      </c>
    </row>
    <row r="992" spans="1:27" ht="15" customHeight="1" x14ac:dyDescent="0.25">
      <c r="A992" s="1"/>
      <c r="B992" s="17"/>
      <c r="C992" s="17"/>
      <c r="D992" s="17"/>
      <c r="E992" s="17"/>
      <c r="F992" s="17"/>
      <c r="G992" s="4">
        <f t="shared" si="42"/>
        <v>0</v>
      </c>
      <c r="H992" s="17"/>
      <c r="I992" s="4">
        <f t="shared" si="44"/>
        <v>349526.07999999996</v>
      </c>
      <c r="J992" s="32" t="str">
        <f t="shared" si="43"/>
        <v/>
      </c>
      <c r="K992" s="72"/>
      <c r="L992" s="72"/>
      <c r="M992" s="2"/>
      <c r="N992" s="5"/>
      <c r="O992" s="3"/>
      <c r="P992" s="6"/>
      <c r="Q992" s="48">
        <f>IF(Учет!$O992=Справочники!$F$2,Учет!$H992,0)</f>
        <v>0</v>
      </c>
      <c r="R992" s="48">
        <f>IF(Учет!$O992=Справочники!$F$3,Учет!$H992,0)</f>
        <v>0</v>
      </c>
      <c r="S992" s="48">
        <f>IF(Учет!$O992=Справочники!$F$4,Учет!$H992,0)</f>
        <v>0</v>
      </c>
      <c r="T992" s="48">
        <f>IF(Учет!$O992=Справочники!$F$5,Учет!$H992,0)</f>
        <v>0</v>
      </c>
      <c r="U992" s="48">
        <f>IF(Учет!$O992=Справочники!$F$6,Учет!$H992,0)</f>
        <v>0</v>
      </c>
      <c r="V992" s="43">
        <f>V991+Учет!Q992-Q992</f>
        <v>-488978.92000000004</v>
      </c>
      <c r="W992" s="43">
        <f>W991+Учет!R992-R992</f>
        <v>336855</v>
      </c>
      <c r="X992" s="43">
        <f>X991+Учет!S992-S992</f>
        <v>500</v>
      </c>
      <c r="Y992" s="43">
        <f>Y991+Учет!T992-T992</f>
        <v>1150</v>
      </c>
      <c r="Z992" s="43">
        <f>Z991+Учет!U992-U992</f>
        <v>500000</v>
      </c>
      <c r="AA992" s="45">
        <f>Учет!X992</f>
        <v>500</v>
      </c>
    </row>
    <row r="993" spans="1:27" ht="15" customHeight="1" x14ac:dyDescent="0.25">
      <c r="A993" s="1"/>
      <c r="B993" s="17"/>
      <c r="C993" s="17"/>
      <c r="D993" s="17"/>
      <c r="E993" s="17"/>
      <c r="F993" s="17"/>
      <c r="G993" s="4">
        <f t="shared" si="42"/>
        <v>0</v>
      </c>
      <c r="H993" s="17"/>
      <c r="I993" s="4">
        <f t="shared" si="44"/>
        <v>349526.07999999996</v>
      </c>
      <c r="J993" s="32" t="str">
        <f t="shared" si="43"/>
        <v/>
      </c>
      <c r="K993" s="72"/>
      <c r="L993" s="72"/>
      <c r="M993" s="2"/>
      <c r="N993" s="5"/>
      <c r="O993" s="3"/>
      <c r="P993" s="6"/>
      <c r="Q993" s="48">
        <f>IF(Учет!$O993=Справочники!$F$2,Учет!$H993,0)</f>
        <v>0</v>
      </c>
      <c r="R993" s="48">
        <f>IF(Учет!$O993=Справочники!$F$3,Учет!$H993,0)</f>
        <v>0</v>
      </c>
      <c r="S993" s="48">
        <f>IF(Учет!$O993=Справочники!$F$4,Учет!$H993,0)</f>
        <v>0</v>
      </c>
      <c r="T993" s="48">
        <f>IF(Учет!$O993=Справочники!$F$5,Учет!$H993,0)</f>
        <v>0</v>
      </c>
      <c r="U993" s="48">
        <f>IF(Учет!$O993=Справочники!$F$6,Учет!$H993,0)</f>
        <v>0</v>
      </c>
      <c r="V993" s="43">
        <f>V992+Учет!Q993-Q993</f>
        <v>-488978.92000000004</v>
      </c>
      <c r="W993" s="43">
        <f>W992+Учет!R993-R993</f>
        <v>336855</v>
      </c>
      <c r="X993" s="43">
        <f>X992+Учет!S993-S993</f>
        <v>500</v>
      </c>
      <c r="Y993" s="43">
        <f>Y992+Учет!T993-T993</f>
        <v>1150</v>
      </c>
      <c r="Z993" s="43">
        <f>Z992+Учет!U993-U993</f>
        <v>500000</v>
      </c>
      <c r="AA993" s="45">
        <f>Учет!X993</f>
        <v>500</v>
      </c>
    </row>
    <row r="994" spans="1:27" ht="15" customHeight="1" x14ac:dyDescent="0.25">
      <c r="A994" s="1"/>
      <c r="B994" s="17"/>
      <c r="C994" s="17"/>
      <c r="D994" s="17"/>
      <c r="E994" s="17"/>
      <c r="F994" s="17"/>
      <c r="G994" s="4">
        <f t="shared" si="42"/>
        <v>0</v>
      </c>
      <c r="H994" s="17"/>
      <c r="I994" s="4">
        <f t="shared" si="44"/>
        <v>349526.07999999996</v>
      </c>
      <c r="J994" s="32" t="str">
        <f t="shared" si="43"/>
        <v/>
      </c>
      <c r="K994" s="72"/>
      <c r="L994" s="72"/>
      <c r="M994" s="2"/>
      <c r="N994" s="5"/>
      <c r="O994" s="3"/>
      <c r="P994" s="6"/>
      <c r="Q994" s="48">
        <f>IF(Учет!$O994=Справочники!$F$2,Учет!$H994,0)</f>
        <v>0</v>
      </c>
      <c r="R994" s="48">
        <f>IF(Учет!$O994=Справочники!$F$3,Учет!$H994,0)</f>
        <v>0</v>
      </c>
      <c r="S994" s="48">
        <f>IF(Учет!$O994=Справочники!$F$4,Учет!$H994,0)</f>
        <v>0</v>
      </c>
      <c r="T994" s="48">
        <f>IF(Учет!$O994=Справочники!$F$5,Учет!$H994,0)</f>
        <v>0</v>
      </c>
      <c r="U994" s="48">
        <f>IF(Учет!$O994=Справочники!$F$6,Учет!$H994,0)</f>
        <v>0</v>
      </c>
      <c r="V994" s="43">
        <f>V993+Учет!Q994-Q994</f>
        <v>-488978.92000000004</v>
      </c>
      <c r="W994" s="43">
        <f>W993+Учет!R994-R994</f>
        <v>336855</v>
      </c>
      <c r="X994" s="43">
        <f>X993+Учет!S994-S994</f>
        <v>500</v>
      </c>
      <c r="Y994" s="43">
        <f>Y993+Учет!T994-T994</f>
        <v>1150</v>
      </c>
      <c r="Z994" s="43">
        <f>Z993+Учет!U994-U994</f>
        <v>500000</v>
      </c>
      <c r="AA994" s="45">
        <f>Учет!X994</f>
        <v>500</v>
      </c>
    </row>
    <row r="995" spans="1:27" ht="15" customHeight="1" x14ac:dyDescent="0.25">
      <c r="A995" s="1"/>
      <c r="B995" s="17"/>
      <c r="C995" s="17"/>
      <c r="D995" s="17"/>
      <c r="E995" s="17"/>
      <c r="F995" s="17"/>
      <c r="G995" s="4">
        <f t="shared" si="42"/>
        <v>0</v>
      </c>
      <c r="H995" s="17"/>
      <c r="I995" s="4">
        <f t="shared" si="44"/>
        <v>349526.07999999996</v>
      </c>
      <c r="J995" s="32" t="str">
        <f t="shared" si="43"/>
        <v/>
      </c>
      <c r="K995" s="72"/>
      <c r="L995" s="72"/>
      <c r="M995" s="2"/>
      <c r="N995" s="5"/>
      <c r="O995" s="3"/>
      <c r="P995" s="6"/>
      <c r="Q995" s="48">
        <f>IF(Учет!$O995=Справочники!$F$2,Учет!$H995,0)</f>
        <v>0</v>
      </c>
      <c r="R995" s="48">
        <f>IF(Учет!$O995=Справочники!$F$3,Учет!$H995,0)</f>
        <v>0</v>
      </c>
      <c r="S995" s="48">
        <f>IF(Учет!$O995=Справочники!$F$4,Учет!$H995,0)</f>
        <v>0</v>
      </c>
      <c r="T995" s="48">
        <f>IF(Учет!$O995=Справочники!$F$5,Учет!$H995,0)</f>
        <v>0</v>
      </c>
      <c r="U995" s="48">
        <f>IF(Учет!$O995=Справочники!$F$6,Учет!$H995,0)</f>
        <v>0</v>
      </c>
      <c r="V995" s="43">
        <f>V994+Учет!Q995-Q995</f>
        <v>-488978.92000000004</v>
      </c>
      <c r="W995" s="43">
        <f>W994+Учет!R995-R995</f>
        <v>336855</v>
      </c>
      <c r="X995" s="43">
        <f>X994+Учет!S995-S995</f>
        <v>500</v>
      </c>
      <c r="Y995" s="43">
        <f>Y994+Учет!T995-T995</f>
        <v>1150</v>
      </c>
      <c r="Z995" s="43">
        <f>Z994+Учет!U995-U995</f>
        <v>500000</v>
      </c>
      <c r="AA995" s="45">
        <f>Учет!X995</f>
        <v>500</v>
      </c>
    </row>
    <row r="996" spans="1:27" ht="15" customHeight="1" x14ac:dyDescent="0.25">
      <c r="A996" s="1"/>
      <c r="B996" s="17"/>
      <c r="C996" s="17"/>
      <c r="D996" s="17"/>
      <c r="E996" s="17"/>
      <c r="F996" s="17"/>
      <c r="G996" s="4">
        <f t="shared" si="42"/>
        <v>0</v>
      </c>
      <c r="H996" s="17"/>
      <c r="I996" s="4">
        <f t="shared" si="44"/>
        <v>349526.07999999996</v>
      </c>
      <c r="J996" s="32" t="str">
        <f t="shared" si="43"/>
        <v/>
      </c>
      <c r="K996" s="72"/>
      <c r="L996" s="72"/>
      <c r="M996" s="2"/>
      <c r="N996" s="5"/>
      <c r="O996" s="3"/>
      <c r="P996" s="6"/>
      <c r="Q996" s="48">
        <f>IF(Учет!$O996=Справочники!$F$2,Учет!$H996,0)</f>
        <v>0</v>
      </c>
      <c r="R996" s="48">
        <f>IF(Учет!$O996=Справочники!$F$3,Учет!$H996,0)</f>
        <v>0</v>
      </c>
      <c r="S996" s="48">
        <f>IF(Учет!$O996=Справочники!$F$4,Учет!$H996,0)</f>
        <v>0</v>
      </c>
      <c r="T996" s="48">
        <f>IF(Учет!$O996=Справочники!$F$5,Учет!$H996,0)</f>
        <v>0</v>
      </c>
      <c r="U996" s="48">
        <f>IF(Учет!$O996=Справочники!$F$6,Учет!$H996,0)</f>
        <v>0</v>
      </c>
      <c r="V996" s="43">
        <f>V995+Учет!Q996-Q996</f>
        <v>-488978.92000000004</v>
      </c>
      <c r="W996" s="43">
        <f>W995+Учет!R996-R996</f>
        <v>336855</v>
      </c>
      <c r="X996" s="43">
        <f>X995+Учет!S996-S996</f>
        <v>500</v>
      </c>
      <c r="Y996" s="43">
        <f>Y995+Учет!T996-T996</f>
        <v>1150</v>
      </c>
      <c r="Z996" s="43">
        <f>Z995+Учет!U996-U996</f>
        <v>500000</v>
      </c>
      <c r="AA996" s="45">
        <f>Учет!X996</f>
        <v>500</v>
      </c>
    </row>
    <row r="997" spans="1:27" ht="15" customHeight="1" x14ac:dyDescent="0.25">
      <c r="A997" s="1"/>
      <c r="B997" s="17"/>
      <c r="C997" s="17"/>
      <c r="D997" s="17"/>
      <c r="E997" s="17"/>
      <c r="F997" s="17"/>
      <c r="G997" s="4">
        <f t="shared" si="42"/>
        <v>0</v>
      </c>
      <c r="H997" s="17"/>
      <c r="I997" s="4">
        <f t="shared" si="44"/>
        <v>349526.07999999996</v>
      </c>
      <c r="J997" s="32" t="str">
        <f t="shared" si="43"/>
        <v/>
      </c>
      <c r="K997" s="72"/>
      <c r="L997" s="72"/>
      <c r="M997" s="2"/>
      <c r="N997" s="5"/>
      <c r="O997" s="3"/>
      <c r="P997" s="6"/>
      <c r="Q997" s="48">
        <f>IF(Учет!$O997=Справочники!$F$2,Учет!$H997,0)</f>
        <v>0</v>
      </c>
      <c r="R997" s="48">
        <f>IF(Учет!$O997=Справочники!$F$3,Учет!$H997,0)</f>
        <v>0</v>
      </c>
      <c r="S997" s="48">
        <f>IF(Учет!$O997=Справочники!$F$4,Учет!$H997,0)</f>
        <v>0</v>
      </c>
      <c r="T997" s="48">
        <f>IF(Учет!$O997=Справочники!$F$5,Учет!$H997,0)</f>
        <v>0</v>
      </c>
      <c r="U997" s="48">
        <f>IF(Учет!$O997=Справочники!$F$6,Учет!$H997,0)</f>
        <v>0</v>
      </c>
      <c r="V997" s="43">
        <f>V996+Учет!Q997-Q997</f>
        <v>-488978.92000000004</v>
      </c>
      <c r="W997" s="43">
        <f>W996+Учет!R997-R997</f>
        <v>336855</v>
      </c>
      <c r="X997" s="43">
        <f>X996+Учет!S997-S997</f>
        <v>500</v>
      </c>
      <c r="Y997" s="43">
        <f>Y996+Учет!T997-T997</f>
        <v>1150</v>
      </c>
      <c r="Z997" s="43">
        <f>Z996+Учет!U997-U997</f>
        <v>500000</v>
      </c>
      <c r="AA997" s="45">
        <f>Учет!X997</f>
        <v>500</v>
      </c>
    </row>
    <row r="998" spans="1:27" ht="15" customHeight="1" x14ac:dyDescent="0.25">
      <c r="A998" s="1"/>
      <c r="B998" s="17"/>
      <c r="C998" s="17"/>
      <c r="D998" s="17"/>
      <c r="E998" s="17"/>
      <c r="F998" s="17"/>
      <c r="G998" s="4">
        <f t="shared" si="42"/>
        <v>0</v>
      </c>
      <c r="H998" s="17"/>
      <c r="I998" s="4">
        <f t="shared" si="44"/>
        <v>349526.07999999996</v>
      </c>
      <c r="J998" s="32" t="str">
        <f t="shared" si="43"/>
        <v/>
      </c>
      <c r="K998" s="72"/>
      <c r="L998" s="72"/>
      <c r="M998" s="2"/>
      <c r="N998" s="5"/>
      <c r="O998" s="3"/>
      <c r="P998" s="6"/>
      <c r="Q998" s="48">
        <f>IF(Учет!$O998=Справочники!$F$2,Учет!$H998,0)</f>
        <v>0</v>
      </c>
      <c r="R998" s="48">
        <f>IF(Учет!$O998=Справочники!$F$3,Учет!$H998,0)</f>
        <v>0</v>
      </c>
      <c r="S998" s="48">
        <f>IF(Учет!$O998=Справочники!$F$4,Учет!$H998,0)</f>
        <v>0</v>
      </c>
      <c r="T998" s="48">
        <f>IF(Учет!$O998=Справочники!$F$5,Учет!$H998,0)</f>
        <v>0</v>
      </c>
      <c r="U998" s="48">
        <f>IF(Учет!$O998=Справочники!$F$6,Учет!$H998,0)</f>
        <v>0</v>
      </c>
      <c r="V998" s="43">
        <f>V997+Учет!Q998-Q998</f>
        <v>-488978.92000000004</v>
      </c>
      <c r="W998" s="43">
        <f>W997+Учет!R998-R998</f>
        <v>336855</v>
      </c>
      <c r="X998" s="43">
        <f>X997+Учет!S998-S998</f>
        <v>500</v>
      </c>
      <c r="Y998" s="43">
        <f>Y997+Учет!T998-T998</f>
        <v>1150</v>
      </c>
      <c r="Z998" s="43">
        <f>Z997+Учет!U998-U998</f>
        <v>500000</v>
      </c>
      <c r="AA998" s="45">
        <f>Учет!X998</f>
        <v>500</v>
      </c>
    </row>
    <row r="999" spans="1:27" ht="15" customHeight="1" x14ac:dyDescent="0.25">
      <c r="A999" s="1"/>
      <c r="B999" s="17"/>
      <c r="C999" s="17"/>
      <c r="D999" s="17"/>
      <c r="E999" s="17"/>
      <c r="F999" s="17"/>
      <c r="G999" s="4">
        <f t="shared" si="42"/>
        <v>0</v>
      </c>
      <c r="H999" s="17"/>
      <c r="I999" s="4">
        <f t="shared" si="44"/>
        <v>349526.07999999996</v>
      </c>
      <c r="J999" s="32" t="str">
        <f t="shared" si="43"/>
        <v/>
      </c>
      <c r="K999" s="72"/>
      <c r="L999" s="72"/>
      <c r="M999" s="2"/>
      <c r="N999" s="5"/>
      <c r="O999" s="3"/>
      <c r="P999" s="6"/>
      <c r="Q999" s="48">
        <f>IF(Учет!$O999=Справочники!$F$2,Учет!$H999,0)</f>
        <v>0</v>
      </c>
      <c r="R999" s="48">
        <f>IF(Учет!$O999=Справочники!$F$3,Учет!$H999,0)</f>
        <v>0</v>
      </c>
      <c r="S999" s="48">
        <f>IF(Учет!$O999=Справочники!$F$4,Учет!$H999,0)</f>
        <v>0</v>
      </c>
      <c r="T999" s="48">
        <f>IF(Учет!$O999=Справочники!$F$5,Учет!$H999,0)</f>
        <v>0</v>
      </c>
      <c r="U999" s="48">
        <f>IF(Учет!$O999=Справочники!$F$6,Учет!$H999,0)</f>
        <v>0</v>
      </c>
      <c r="V999" s="43">
        <f>V998+Учет!Q999-Q999</f>
        <v>-488978.92000000004</v>
      </c>
      <c r="W999" s="43">
        <f>W998+Учет!R999-R999</f>
        <v>336855</v>
      </c>
      <c r="X999" s="43">
        <f>X998+Учет!S999-S999</f>
        <v>500</v>
      </c>
      <c r="Y999" s="43">
        <f>Y998+Учет!T999-T999</f>
        <v>1150</v>
      </c>
      <c r="Z999" s="43">
        <f>Z998+Учет!U999-U999</f>
        <v>500000</v>
      </c>
      <c r="AA999" s="45">
        <f>Учет!X999</f>
        <v>500</v>
      </c>
    </row>
    <row r="1000" spans="1:27" ht="15" customHeight="1" x14ac:dyDescent="0.25">
      <c r="A1000" s="1"/>
      <c r="B1000" s="17"/>
      <c r="C1000" s="17"/>
      <c r="D1000" s="17"/>
      <c r="E1000" s="17"/>
      <c r="F1000" s="17"/>
      <c r="G1000" s="4">
        <f t="shared" si="42"/>
        <v>0</v>
      </c>
      <c r="H1000" s="17"/>
      <c r="I1000" s="4">
        <f t="shared" si="44"/>
        <v>349526.07999999996</v>
      </c>
      <c r="J1000" s="32" t="str">
        <f t="shared" si="43"/>
        <v/>
      </c>
      <c r="K1000" s="72"/>
      <c r="L1000" s="72"/>
      <c r="M1000" s="2"/>
      <c r="N1000" s="5"/>
      <c r="O1000" s="3"/>
      <c r="P1000" s="6"/>
      <c r="Q1000" s="48">
        <f>IF(Учет!$O1000=Справочники!$F$2,Учет!$H1000,0)</f>
        <v>0</v>
      </c>
      <c r="R1000" s="48">
        <f>IF(Учет!$O1000=Справочники!$F$3,Учет!$H1000,0)</f>
        <v>0</v>
      </c>
      <c r="S1000" s="48">
        <f>IF(Учет!$O1000=Справочники!$F$4,Учет!$H1000,0)</f>
        <v>0</v>
      </c>
      <c r="T1000" s="48">
        <f>IF(Учет!$O1000=Справочники!$F$5,Учет!$H1000,0)</f>
        <v>0</v>
      </c>
      <c r="U1000" s="48">
        <f>IF(Учет!$O1000=Справочники!$F$6,Учет!$H1000,0)</f>
        <v>0</v>
      </c>
      <c r="V1000" s="43">
        <f>V999+Учет!Q1000-Q1000</f>
        <v>-488978.92000000004</v>
      </c>
      <c r="W1000" s="43">
        <f>W999+Учет!R1000-R1000</f>
        <v>336855</v>
      </c>
      <c r="X1000" s="43">
        <f>X999+Учет!S1000-S1000</f>
        <v>500</v>
      </c>
      <c r="Y1000" s="43">
        <f>Y999+Учет!T1000-T1000</f>
        <v>1150</v>
      </c>
      <c r="Z1000" s="43">
        <f>Z999+Учет!U1000-U1000</f>
        <v>500000</v>
      </c>
      <c r="AA1000" s="45">
        <f>Учет!X1000</f>
        <v>500</v>
      </c>
    </row>
    <row r="1001" spans="1:27" ht="15" customHeight="1" x14ac:dyDescent="0.25">
      <c r="A1001" s="1"/>
      <c r="B1001" s="17"/>
      <c r="C1001" s="17"/>
      <c r="D1001" s="17"/>
      <c r="E1001" s="17"/>
      <c r="F1001" s="17"/>
      <c r="G1001" s="4">
        <f t="shared" si="42"/>
        <v>0</v>
      </c>
      <c r="H1001" s="17"/>
      <c r="I1001" s="4">
        <f t="shared" si="44"/>
        <v>349526.07999999996</v>
      </c>
      <c r="J1001" s="32" t="str">
        <f t="shared" si="43"/>
        <v/>
      </c>
      <c r="K1001" s="72"/>
      <c r="L1001" s="72"/>
      <c r="M1001" s="2"/>
      <c r="N1001" s="5"/>
      <c r="O1001" s="3"/>
      <c r="P1001" s="6"/>
      <c r="Q1001" s="48">
        <f>IF(Учет!$O1001=Справочники!$F$2,Учет!$H1001,0)</f>
        <v>0</v>
      </c>
      <c r="R1001" s="48">
        <f>IF(Учет!$O1001=Справочники!$F$3,Учет!$H1001,0)</f>
        <v>0</v>
      </c>
      <c r="S1001" s="48">
        <f>IF(Учет!$O1001=Справочники!$F$4,Учет!$H1001,0)</f>
        <v>0</v>
      </c>
      <c r="T1001" s="48">
        <f>IF(Учет!$O1001=Справочники!$F$5,Учет!$H1001,0)</f>
        <v>0</v>
      </c>
      <c r="U1001" s="48">
        <f>IF(Учет!$O1001=Справочники!$F$6,Учет!$H1001,0)</f>
        <v>0</v>
      </c>
      <c r="V1001" s="43">
        <f>V1000+Учет!Q1001-Q1001</f>
        <v>-488978.92000000004</v>
      </c>
      <c r="W1001" s="43">
        <f>W1000+Учет!R1001-R1001</f>
        <v>336855</v>
      </c>
      <c r="X1001" s="43">
        <f>X1000+Учет!S1001-S1001</f>
        <v>500</v>
      </c>
      <c r="Y1001" s="43">
        <f>Y1000+Учет!T1001-T1001</f>
        <v>1150</v>
      </c>
      <c r="Z1001" s="43">
        <f>Z1000+Учет!U1001-U1001</f>
        <v>500000</v>
      </c>
      <c r="AA1001" s="45">
        <f>Учет!X1001</f>
        <v>500</v>
      </c>
    </row>
    <row r="1002" spans="1:27" ht="15" customHeight="1" x14ac:dyDescent="0.25">
      <c r="A1002" s="1"/>
      <c r="B1002" s="17"/>
      <c r="C1002" s="17"/>
      <c r="D1002" s="17"/>
      <c r="E1002" s="17"/>
      <c r="F1002" s="17"/>
      <c r="G1002" s="4">
        <f t="shared" si="42"/>
        <v>0</v>
      </c>
      <c r="H1002" s="17"/>
      <c r="I1002" s="4">
        <f t="shared" si="44"/>
        <v>349526.07999999996</v>
      </c>
      <c r="J1002" s="32" t="str">
        <f t="shared" si="43"/>
        <v/>
      </c>
      <c r="K1002" s="72"/>
      <c r="L1002" s="72"/>
      <c r="M1002" s="2"/>
      <c r="N1002" s="5"/>
      <c r="O1002" s="3"/>
      <c r="P1002" s="6"/>
      <c r="Q1002" s="48">
        <f>IF(Учет!$O1002=Справочники!$F$2,Учет!$H1002,0)</f>
        <v>0</v>
      </c>
      <c r="R1002" s="48">
        <f>IF(Учет!$O1002=Справочники!$F$3,Учет!$H1002,0)</f>
        <v>0</v>
      </c>
      <c r="S1002" s="48">
        <f>IF(Учет!$O1002=Справочники!$F$4,Учет!$H1002,0)</f>
        <v>0</v>
      </c>
      <c r="T1002" s="48">
        <f>IF(Учет!$O1002=Справочники!$F$5,Учет!$H1002,0)</f>
        <v>0</v>
      </c>
      <c r="U1002" s="48">
        <f>IF(Учет!$O1002=Справочники!$F$6,Учет!$H1002,0)</f>
        <v>0</v>
      </c>
      <c r="V1002" s="43">
        <f>V1001+Учет!Q1002-Q1002</f>
        <v>-488978.92000000004</v>
      </c>
      <c r="W1002" s="43">
        <f>W1001+Учет!R1002-R1002</f>
        <v>336855</v>
      </c>
      <c r="X1002" s="43">
        <f>X1001+Учет!S1002-S1002</f>
        <v>500</v>
      </c>
      <c r="Y1002" s="43">
        <f>Y1001+Учет!T1002-T1002</f>
        <v>1150</v>
      </c>
      <c r="Z1002" s="43">
        <f>Z1001+Учет!U1002-U1002</f>
        <v>500000</v>
      </c>
      <c r="AA1002" s="45">
        <f>Учет!X1002</f>
        <v>500</v>
      </c>
    </row>
    <row r="1003" spans="1:27" ht="15" customHeight="1" x14ac:dyDescent="0.25">
      <c r="A1003" s="1"/>
      <c r="B1003" s="17"/>
      <c r="C1003" s="17"/>
      <c r="D1003" s="17"/>
      <c r="E1003" s="17"/>
      <c r="F1003" s="17"/>
      <c r="G1003" s="4">
        <f t="shared" si="42"/>
        <v>0</v>
      </c>
      <c r="H1003" s="17"/>
      <c r="I1003" s="4">
        <f t="shared" si="44"/>
        <v>349526.07999999996</v>
      </c>
      <c r="J1003" s="32" t="str">
        <f t="shared" si="43"/>
        <v/>
      </c>
      <c r="K1003" s="72"/>
      <c r="L1003" s="72"/>
      <c r="M1003" s="2"/>
      <c r="N1003" s="5"/>
      <c r="O1003" s="3"/>
      <c r="P1003" s="6"/>
      <c r="Q1003" s="48">
        <f>IF(Учет!$O1003=Справочники!$F$2,Учет!$H1003,0)</f>
        <v>0</v>
      </c>
      <c r="R1003" s="48">
        <f>IF(Учет!$O1003=Справочники!$F$3,Учет!$H1003,0)</f>
        <v>0</v>
      </c>
      <c r="S1003" s="48">
        <f>IF(Учет!$O1003=Справочники!$F$4,Учет!$H1003,0)</f>
        <v>0</v>
      </c>
      <c r="T1003" s="48">
        <f>IF(Учет!$O1003=Справочники!$F$5,Учет!$H1003,0)</f>
        <v>0</v>
      </c>
      <c r="U1003" s="48">
        <f>IF(Учет!$O1003=Справочники!$F$6,Учет!$H1003,0)</f>
        <v>0</v>
      </c>
      <c r="V1003" s="43">
        <f>V1002+Учет!Q1003-Q1003</f>
        <v>-488978.92000000004</v>
      </c>
      <c r="W1003" s="43">
        <f>W1002+Учет!R1003-R1003</f>
        <v>336855</v>
      </c>
      <c r="X1003" s="43">
        <f>X1002+Учет!S1003-S1003</f>
        <v>500</v>
      </c>
      <c r="Y1003" s="43">
        <f>Y1002+Учет!T1003-T1003</f>
        <v>1150</v>
      </c>
      <c r="Z1003" s="43">
        <f>Z1002+Учет!U1003-U1003</f>
        <v>500000</v>
      </c>
      <c r="AA1003" s="45">
        <f>Учет!X1003</f>
        <v>500</v>
      </c>
    </row>
    <row r="1004" spans="1:27" ht="15" customHeight="1" x14ac:dyDescent="0.25">
      <c r="A1004" s="1"/>
      <c r="B1004" s="17"/>
      <c r="C1004" s="17"/>
      <c r="D1004" s="17"/>
      <c r="E1004" s="17"/>
      <c r="F1004" s="17"/>
      <c r="G1004" s="4">
        <f t="shared" si="42"/>
        <v>0</v>
      </c>
      <c r="H1004" s="17"/>
      <c r="I1004" s="4">
        <f t="shared" si="44"/>
        <v>349526.07999999996</v>
      </c>
      <c r="J1004" s="32" t="str">
        <f t="shared" si="43"/>
        <v/>
      </c>
      <c r="K1004" s="72"/>
      <c r="L1004" s="72"/>
      <c r="M1004" s="2"/>
      <c r="N1004" s="5"/>
      <c r="O1004" s="3"/>
      <c r="P1004" s="6"/>
      <c r="Q1004" s="48">
        <f>IF(Учет!$O1004=Справочники!$F$2,Учет!$H1004,0)</f>
        <v>0</v>
      </c>
      <c r="R1004" s="48">
        <f>IF(Учет!$O1004=Справочники!$F$3,Учет!$H1004,0)</f>
        <v>0</v>
      </c>
      <c r="S1004" s="48">
        <f>IF(Учет!$O1004=Справочники!$F$4,Учет!$H1004,0)</f>
        <v>0</v>
      </c>
      <c r="T1004" s="48">
        <f>IF(Учет!$O1004=Справочники!$F$5,Учет!$H1004,0)</f>
        <v>0</v>
      </c>
      <c r="U1004" s="48">
        <f>IF(Учет!$O1004=Справочники!$F$6,Учет!$H1004,0)</f>
        <v>0</v>
      </c>
      <c r="V1004" s="43">
        <f>V1003+Учет!Q1004-Q1004</f>
        <v>-488978.92000000004</v>
      </c>
      <c r="W1004" s="43">
        <f>W1003+Учет!R1004-R1004</f>
        <v>336855</v>
      </c>
      <c r="X1004" s="43">
        <f>X1003+Учет!S1004-S1004</f>
        <v>500</v>
      </c>
      <c r="Y1004" s="43">
        <f>Y1003+Учет!T1004-T1004</f>
        <v>1150</v>
      </c>
      <c r="Z1004" s="43">
        <f>Z1003+Учет!U1004-U1004</f>
        <v>500000</v>
      </c>
      <c r="AA1004" s="45">
        <f>Учет!X1004</f>
        <v>500</v>
      </c>
    </row>
    <row r="1005" spans="1:27" ht="15" customHeight="1" x14ac:dyDescent="0.25">
      <c r="A1005" s="1"/>
      <c r="B1005" s="17"/>
      <c r="C1005" s="17"/>
      <c r="D1005" s="17"/>
      <c r="E1005" s="17"/>
      <c r="F1005" s="17"/>
      <c r="G1005" s="4">
        <f t="shared" si="42"/>
        <v>0</v>
      </c>
      <c r="H1005" s="17"/>
      <c r="I1005" s="4">
        <f t="shared" si="44"/>
        <v>349526.07999999996</v>
      </c>
      <c r="J1005" s="32" t="str">
        <f t="shared" si="43"/>
        <v/>
      </c>
      <c r="K1005" s="72"/>
      <c r="L1005" s="72"/>
      <c r="M1005" s="2"/>
      <c r="N1005" s="5"/>
      <c r="O1005" s="3"/>
      <c r="P1005" s="6"/>
      <c r="Q1005" s="48">
        <f>IF(Учет!$O1005=Справочники!$F$2,Учет!$H1005,0)</f>
        <v>0</v>
      </c>
      <c r="R1005" s="48">
        <f>IF(Учет!$O1005=Справочники!$F$3,Учет!$H1005,0)</f>
        <v>0</v>
      </c>
      <c r="S1005" s="48">
        <f>IF(Учет!$O1005=Справочники!$F$4,Учет!$H1005,0)</f>
        <v>0</v>
      </c>
      <c r="T1005" s="48">
        <f>IF(Учет!$O1005=Справочники!$F$5,Учет!$H1005,0)</f>
        <v>0</v>
      </c>
      <c r="U1005" s="48">
        <f>IF(Учет!$O1005=Справочники!$F$6,Учет!$H1005,0)</f>
        <v>0</v>
      </c>
      <c r="V1005" s="43">
        <f>V1004+Учет!Q1005-Q1005</f>
        <v>-488978.92000000004</v>
      </c>
      <c r="W1005" s="43">
        <f>W1004+Учет!R1005-R1005</f>
        <v>336855</v>
      </c>
      <c r="X1005" s="43">
        <f>X1004+Учет!S1005-S1005</f>
        <v>500</v>
      </c>
      <c r="Y1005" s="43">
        <f>Y1004+Учет!T1005-T1005</f>
        <v>1150</v>
      </c>
      <c r="Z1005" s="43">
        <f>Z1004+Учет!U1005-U1005</f>
        <v>500000</v>
      </c>
      <c r="AA1005" s="45">
        <f>Учет!X1005</f>
        <v>500</v>
      </c>
    </row>
    <row r="1006" spans="1:27" ht="15" customHeight="1" x14ac:dyDescent="0.25">
      <c r="A1006" s="1"/>
      <c r="B1006" s="17"/>
      <c r="C1006" s="17"/>
      <c r="D1006" s="17"/>
      <c r="E1006" s="17"/>
      <c r="F1006" s="17"/>
      <c r="G1006" s="4">
        <f t="shared" si="42"/>
        <v>0</v>
      </c>
      <c r="H1006" s="17"/>
      <c r="I1006" s="4">
        <f t="shared" si="44"/>
        <v>349526.07999999996</v>
      </c>
      <c r="J1006" s="32" t="str">
        <f t="shared" si="43"/>
        <v/>
      </c>
      <c r="K1006" s="72"/>
      <c r="L1006" s="72"/>
      <c r="M1006" s="2"/>
      <c r="N1006" s="5"/>
      <c r="O1006" s="3"/>
      <c r="P1006" s="6"/>
      <c r="Q1006" s="48">
        <f>IF(Учет!$O1006=Справочники!$F$2,Учет!$H1006,0)</f>
        <v>0</v>
      </c>
      <c r="R1006" s="48">
        <f>IF(Учет!$O1006=Справочники!$F$3,Учет!$H1006,0)</f>
        <v>0</v>
      </c>
      <c r="S1006" s="48">
        <f>IF(Учет!$O1006=Справочники!$F$4,Учет!$H1006,0)</f>
        <v>0</v>
      </c>
      <c r="T1006" s="48">
        <f>IF(Учет!$O1006=Справочники!$F$5,Учет!$H1006,0)</f>
        <v>0</v>
      </c>
      <c r="U1006" s="48">
        <f>IF(Учет!$O1006=Справочники!$F$6,Учет!$H1006,0)</f>
        <v>0</v>
      </c>
      <c r="V1006" s="43">
        <f>V1005+Учет!Q1006-Q1006</f>
        <v>-488978.92000000004</v>
      </c>
      <c r="W1006" s="43">
        <f>W1005+Учет!R1006-R1006</f>
        <v>336855</v>
      </c>
      <c r="X1006" s="43">
        <f>X1005+Учет!S1006-S1006</f>
        <v>500</v>
      </c>
      <c r="Y1006" s="43">
        <f>Y1005+Учет!T1006-T1006</f>
        <v>1150</v>
      </c>
      <c r="Z1006" s="43">
        <f>Z1005+Учет!U1006-U1006</f>
        <v>500000</v>
      </c>
      <c r="AA1006" s="45">
        <f>Учет!X1006</f>
        <v>500</v>
      </c>
    </row>
    <row r="1007" spans="1:27" ht="15" customHeight="1" x14ac:dyDescent="0.25">
      <c r="A1007" s="1"/>
      <c r="B1007" s="17"/>
      <c r="C1007" s="17"/>
      <c r="D1007" s="17"/>
      <c r="E1007" s="17"/>
      <c r="F1007" s="17"/>
      <c r="G1007" s="4">
        <f t="shared" si="42"/>
        <v>0</v>
      </c>
      <c r="H1007" s="17"/>
      <c r="I1007" s="4">
        <f t="shared" si="44"/>
        <v>349526.07999999996</v>
      </c>
      <c r="J1007" s="32" t="str">
        <f t="shared" si="43"/>
        <v/>
      </c>
      <c r="K1007" s="72"/>
      <c r="L1007" s="72"/>
      <c r="M1007" s="2"/>
      <c r="N1007" s="5"/>
      <c r="O1007" s="3"/>
      <c r="P1007" s="6"/>
      <c r="Q1007" s="48">
        <f>IF(Учет!$O1007=Справочники!$F$2,Учет!$H1007,0)</f>
        <v>0</v>
      </c>
      <c r="R1007" s="48">
        <f>IF(Учет!$O1007=Справочники!$F$3,Учет!$H1007,0)</f>
        <v>0</v>
      </c>
      <c r="S1007" s="48">
        <f>IF(Учет!$O1007=Справочники!$F$4,Учет!$H1007,0)</f>
        <v>0</v>
      </c>
      <c r="T1007" s="48">
        <f>IF(Учет!$O1007=Справочники!$F$5,Учет!$H1007,0)</f>
        <v>0</v>
      </c>
      <c r="U1007" s="48">
        <f>IF(Учет!$O1007=Справочники!$F$6,Учет!$H1007,0)</f>
        <v>0</v>
      </c>
      <c r="V1007" s="43">
        <f>V1006+Учет!Q1007-Q1007</f>
        <v>-488978.92000000004</v>
      </c>
      <c r="W1007" s="43">
        <f>W1006+Учет!R1007-R1007</f>
        <v>336855</v>
      </c>
      <c r="X1007" s="43">
        <f>X1006+Учет!S1007-S1007</f>
        <v>500</v>
      </c>
      <c r="Y1007" s="43">
        <f>Y1006+Учет!T1007-T1007</f>
        <v>1150</v>
      </c>
      <c r="Z1007" s="43">
        <f>Z1006+Учет!U1007-U1007</f>
        <v>500000</v>
      </c>
      <c r="AA1007" s="45">
        <f>Учет!X1007</f>
        <v>500</v>
      </c>
    </row>
    <row r="1008" spans="1:27" ht="15" customHeight="1" x14ac:dyDescent="0.25">
      <c r="A1008" s="1"/>
      <c r="B1008" s="17"/>
      <c r="C1008" s="17"/>
      <c r="D1008" s="17"/>
      <c r="E1008" s="17"/>
      <c r="F1008" s="17"/>
      <c r="G1008" s="4">
        <f t="shared" si="42"/>
        <v>0</v>
      </c>
      <c r="H1008" s="17"/>
      <c r="I1008" s="4">
        <f t="shared" si="44"/>
        <v>349526.07999999996</v>
      </c>
      <c r="J1008" s="32" t="str">
        <f t="shared" si="43"/>
        <v/>
      </c>
      <c r="K1008" s="72"/>
      <c r="L1008" s="72"/>
      <c r="M1008" s="2"/>
      <c r="N1008" s="5"/>
      <c r="O1008" s="3"/>
      <c r="P1008" s="6"/>
      <c r="Q1008" s="48">
        <f>IF(Учет!$O1008=Справочники!$F$2,Учет!$H1008,0)</f>
        <v>0</v>
      </c>
      <c r="R1008" s="48">
        <f>IF(Учет!$O1008=Справочники!$F$3,Учет!$H1008,0)</f>
        <v>0</v>
      </c>
      <c r="S1008" s="48">
        <f>IF(Учет!$O1008=Справочники!$F$4,Учет!$H1008,0)</f>
        <v>0</v>
      </c>
      <c r="T1008" s="48">
        <f>IF(Учет!$O1008=Справочники!$F$5,Учет!$H1008,0)</f>
        <v>0</v>
      </c>
      <c r="U1008" s="48">
        <f>IF(Учет!$O1008=Справочники!$F$6,Учет!$H1008,0)</f>
        <v>0</v>
      </c>
      <c r="V1008" s="43">
        <f>V1007+Учет!Q1008-Q1008</f>
        <v>-488978.92000000004</v>
      </c>
      <c r="W1008" s="43">
        <f>W1007+Учет!R1008-R1008</f>
        <v>336855</v>
      </c>
      <c r="X1008" s="43">
        <f>X1007+Учет!S1008-S1008</f>
        <v>500</v>
      </c>
      <c r="Y1008" s="43">
        <f>Y1007+Учет!T1008-T1008</f>
        <v>1150</v>
      </c>
      <c r="Z1008" s="43">
        <f>Z1007+Учет!U1008-U1008</f>
        <v>500000</v>
      </c>
      <c r="AA1008" s="45">
        <f>Учет!X1008</f>
        <v>500</v>
      </c>
    </row>
    <row r="1009" spans="1:27" ht="15" customHeight="1" x14ac:dyDescent="0.25">
      <c r="A1009" s="1"/>
      <c r="B1009" s="17"/>
      <c r="C1009" s="17"/>
      <c r="D1009" s="17"/>
      <c r="E1009" s="17"/>
      <c r="F1009" s="17"/>
      <c r="G1009" s="4">
        <f t="shared" si="42"/>
        <v>0</v>
      </c>
      <c r="H1009" s="17"/>
      <c r="I1009" s="4">
        <f t="shared" si="44"/>
        <v>349526.07999999996</v>
      </c>
      <c r="J1009" s="32" t="str">
        <f t="shared" si="43"/>
        <v/>
      </c>
      <c r="K1009" s="72"/>
      <c r="L1009" s="72"/>
      <c r="M1009" s="2"/>
      <c r="N1009" s="5"/>
      <c r="O1009" s="3"/>
      <c r="P1009" s="6"/>
      <c r="Q1009" s="48">
        <f>IF(Учет!$O1009=Справочники!$F$2,Учет!$H1009,0)</f>
        <v>0</v>
      </c>
      <c r="R1009" s="48">
        <f>IF(Учет!$O1009=Справочники!$F$3,Учет!$H1009,0)</f>
        <v>0</v>
      </c>
      <c r="S1009" s="48">
        <f>IF(Учет!$O1009=Справочники!$F$4,Учет!$H1009,0)</f>
        <v>0</v>
      </c>
      <c r="T1009" s="48">
        <f>IF(Учет!$O1009=Справочники!$F$5,Учет!$H1009,0)</f>
        <v>0</v>
      </c>
      <c r="U1009" s="48">
        <f>IF(Учет!$O1009=Справочники!$F$6,Учет!$H1009,0)</f>
        <v>0</v>
      </c>
      <c r="V1009" s="43">
        <f>V1008+Учет!Q1009-Q1009</f>
        <v>-488978.92000000004</v>
      </c>
      <c r="W1009" s="43">
        <f>W1008+Учет!R1009-R1009</f>
        <v>336855</v>
      </c>
      <c r="X1009" s="43">
        <f>X1008+Учет!S1009-S1009</f>
        <v>500</v>
      </c>
      <c r="Y1009" s="43">
        <f>Y1008+Учет!T1009-T1009</f>
        <v>1150</v>
      </c>
      <c r="Z1009" s="43">
        <f>Z1008+Учет!U1009-U1009</f>
        <v>500000</v>
      </c>
      <c r="AA1009" s="45">
        <f>Учет!X1009</f>
        <v>500</v>
      </c>
    </row>
    <row r="1010" spans="1:27" ht="15" customHeight="1" x14ac:dyDescent="0.25">
      <c r="A1010" s="1"/>
      <c r="B1010" s="17"/>
      <c r="C1010" s="17"/>
      <c r="D1010" s="17"/>
      <c r="E1010" s="17"/>
      <c r="F1010" s="17"/>
      <c r="G1010" s="4">
        <f t="shared" si="42"/>
        <v>0</v>
      </c>
      <c r="H1010" s="17"/>
      <c r="I1010" s="4">
        <f t="shared" si="44"/>
        <v>349526.07999999996</v>
      </c>
      <c r="J1010" s="32" t="str">
        <f t="shared" si="43"/>
        <v/>
      </c>
      <c r="K1010" s="72"/>
      <c r="L1010" s="72"/>
      <c r="M1010" s="2"/>
      <c r="N1010" s="5"/>
      <c r="O1010" s="3"/>
      <c r="P1010" s="6"/>
      <c r="Q1010" s="48">
        <f>IF(Учет!$O1010=Справочники!$F$2,Учет!$H1010,0)</f>
        <v>0</v>
      </c>
      <c r="R1010" s="48">
        <f>IF(Учет!$O1010=Справочники!$F$3,Учет!$H1010,0)</f>
        <v>0</v>
      </c>
      <c r="S1010" s="48">
        <f>IF(Учет!$O1010=Справочники!$F$4,Учет!$H1010,0)</f>
        <v>0</v>
      </c>
      <c r="T1010" s="48">
        <f>IF(Учет!$O1010=Справочники!$F$5,Учет!$H1010,0)</f>
        <v>0</v>
      </c>
      <c r="U1010" s="48">
        <f>IF(Учет!$O1010=Справочники!$F$6,Учет!$H1010,0)</f>
        <v>0</v>
      </c>
      <c r="V1010" s="43">
        <f>V1009+Учет!Q1010-Q1010</f>
        <v>-488978.92000000004</v>
      </c>
      <c r="W1010" s="43">
        <f>W1009+Учет!R1010-R1010</f>
        <v>336855</v>
      </c>
      <c r="X1010" s="43">
        <f>X1009+Учет!S1010-S1010</f>
        <v>500</v>
      </c>
      <c r="Y1010" s="43">
        <f>Y1009+Учет!T1010-T1010</f>
        <v>1150</v>
      </c>
      <c r="Z1010" s="43">
        <f>Z1009+Учет!U1010-U1010</f>
        <v>500000</v>
      </c>
      <c r="AA1010" s="45">
        <f>Учет!X1010</f>
        <v>500</v>
      </c>
    </row>
    <row r="1011" spans="1:27" ht="15" customHeight="1" x14ac:dyDescent="0.25">
      <c r="A1011" s="1"/>
      <c r="B1011" s="17"/>
      <c r="C1011" s="17"/>
      <c r="D1011" s="17"/>
      <c r="E1011" s="17"/>
      <c r="F1011" s="17"/>
      <c r="G1011" s="4">
        <f t="shared" si="42"/>
        <v>0</v>
      </c>
      <c r="H1011" s="17"/>
      <c r="I1011" s="4">
        <f t="shared" si="44"/>
        <v>349526.07999999996</v>
      </c>
      <c r="J1011" s="32" t="str">
        <f t="shared" si="43"/>
        <v/>
      </c>
      <c r="K1011" s="72"/>
      <c r="L1011" s="72"/>
      <c r="M1011" s="2"/>
      <c r="N1011" s="5"/>
      <c r="O1011" s="3"/>
      <c r="P1011" s="6"/>
      <c r="Q1011" s="48">
        <f>IF(Учет!$O1011=Справочники!$F$2,Учет!$H1011,0)</f>
        <v>0</v>
      </c>
      <c r="R1011" s="48">
        <f>IF(Учет!$O1011=Справочники!$F$3,Учет!$H1011,0)</f>
        <v>0</v>
      </c>
      <c r="S1011" s="48">
        <f>IF(Учет!$O1011=Справочники!$F$4,Учет!$H1011,0)</f>
        <v>0</v>
      </c>
      <c r="T1011" s="48">
        <f>IF(Учет!$O1011=Справочники!$F$5,Учет!$H1011,0)</f>
        <v>0</v>
      </c>
      <c r="U1011" s="48">
        <f>IF(Учет!$O1011=Справочники!$F$6,Учет!$H1011,0)</f>
        <v>0</v>
      </c>
      <c r="V1011" s="43">
        <f>V1010+Учет!Q1011-Q1011</f>
        <v>-488978.92000000004</v>
      </c>
      <c r="W1011" s="43">
        <f>W1010+Учет!R1011-R1011</f>
        <v>336855</v>
      </c>
      <c r="X1011" s="43">
        <f>X1010+Учет!S1011-S1011</f>
        <v>500</v>
      </c>
      <c r="Y1011" s="43">
        <f>Y1010+Учет!T1011-T1011</f>
        <v>1150</v>
      </c>
      <c r="Z1011" s="43">
        <f>Z1010+Учет!U1011-U1011</f>
        <v>500000</v>
      </c>
      <c r="AA1011" s="45">
        <f>Учет!X1011</f>
        <v>500</v>
      </c>
    </row>
    <row r="1012" spans="1:27" ht="15" customHeight="1" x14ac:dyDescent="0.25">
      <c r="A1012" s="1"/>
      <c r="B1012" s="17"/>
      <c r="C1012" s="17"/>
      <c r="D1012" s="17"/>
      <c r="E1012" s="17"/>
      <c r="F1012" s="17"/>
      <c r="G1012" s="4">
        <f t="shared" si="42"/>
        <v>0</v>
      </c>
      <c r="H1012" s="17"/>
      <c r="I1012" s="4">
        <f t="shared" si="44"/>
        <v>349526.07999999996</v>
      </c>
      <c r="J1012" s="32" t="str">
        <f t="shared" si="43"/>
        <v/>
      </c>
      <c r="K1012" s="72"/>
      <c r="L1012" s="72"/>
      <c r="M1012" s="2"/>
      <c r="N1012" s="5"/>
      <c r="O1012" s="3"/>
      <c r="P1012" s="6"/>
      <c r="Q1012" s="48">
        <f>IF(Учет!$O1012=Справочники!$F$2,Учет!$H1012,0)</f>
        <v>0</v>
      </c>
      <c r="R1012" s="48">
        <f>IF(Учет!$O1012=Справочники!$F$3,Учет!$H1012,0)</f>
        <v>0</v>
      </c>
      <c r="S1012" s="48">
        <f>IF(Учет!$O1012=Справочники!$F$4,Учет!$H1012,0)</f>
        <v>0</v>
      </c>
      <c r="T1012" s="48">
        <f>IF(Учет!$O1012=Справочники!$F$5,Учет!$H1012,0)</f>
        <v>0</v>
      </c>
      <c r="U1012" s="48">
        <f>IF(Учет!$O1012=Справочники!$F$6,Учет!$H1012,0)</f>
        <v>0</v>
      </c>
      <c r="V1012" s="43">
        <f>V1011+Учет!Q1012-Q1012</f>
        <v>-488978.92000000004</v>
      </c>
      <c r="W1012" s="43">
        <f>W1011+Учет!R1012-R1012</f>
        <v>336855</v>
      </c>
      <c r="X1012" s="43">
        <f>X1011+Учет!S1012-S1012</f>
        <v>500</v>
      </c>
      <c r="Y1012" s="43">
        <f>Y1011+Учет!T1012-T1012</f>
        <v>1150</v>
      </c>
      <c r="Z1012" s="43">
        <f>Z1011+Учет!U1012-U1012</f>
        <v>500000</v>
      </c>
      <c r="AA1012" s="45">
        <f>Учет!X1012</f>
        <v>500</v>
      </c>
    </row>
    <row r="1013" spans="1:27" ht="15" customHeight="1" x14ac:dyDescent="0.25">
      <c r="A1013" s="1"/>
      <c r="B1013" s="17"/>
      <c r="C1013" s="17"/>
      <c r="D1013" s="17"/>
      <c r="E1013" s="17"/>
      <c r="F1013" s="17"/>
      <c r="G1013" s="4">
        <f t="shared" si="42"/>
        <v>0</v>
      </c>
      <c r="H1013" s="17"/>
      <c r="I1013" s="4">
        <f t="shared" si="44"/>
        <v>349526.07999999996</v>
      </c>
      <c r="J1013" s="32" t="str">
        <f t="shared" si="43"/>
        <v/>
      </c>
      <c r="K1013" s="72"/>
      <c r="L1013" s="72"/>
      <c r="M1013" s="2"/>
      <c r="N1013" s="5"/>
      <c r="O1013" s="3"/>
      <c r="P1013" s="6"/>
      <c r="Q1013" s="48">
        <f>IF(Учет!$O1013=Справочники!$F$2,Учет!$H1013,0)</f>
        <v>0</v>
      </c>
      <c r="R1013" s="48">
        <f>IF(Учет!$O1013=Справочники!$F$3,Учет!$H1013,0)</f>
        <v>0</v>
      </c>
      <c r="S1013" s="48">
        <f>IF(Учет!$O1013=Справочники!$F$4,Учет!$H1013,0)</f>
        <v>0</v>
      </c>
      <c r="T1013" s="48">
        <f>IF(Учет!$O1013=Справочники!$F$5,Учет!$H1013,0)</f>
        <v>0</v>
      </c>
      <c r="U1013" s="48">
        <f>IF(Учет!$O1013=Справочники!$F$6,Учет!$H1013,0)</f>
        <v>0</v>
      </c>
      <c r="V1013" s="43">
        <f>V1012+Учет!Q1013-Q1013</f>
        <v>-488978.92000000004</v>
      </c>
      <c r="W1013" s="43">
        <f>W1012+Учет!R1013-R1013</f>
        <v>336855</v>
      </c>
      <c r="X1013" s="43">
        <f>X1012+Учет!S1013-S1013</f>
        <v>500</v>
      </c>
      <c r="Y1013" s="43">
        <f>Y1012+Учет!T1013-T1013</f>
        <v>1150</v>
      </c>
      <c r="Z1013" s="43">
        <f>Z1012+Учет!U1013-U1013</f>
        <v>500000</v>
      </c>
      <c r="AA1013" s="45">
        <f>Учет!X1013</f>
        <v>500</v>
      </c>
    </row>
    <row r="1014" spans="1:27" ht="15" customHeight="1" x14ac:dyDescent="0.25">
      <c r="A1014" s="1"/>
      <c r="B1014" s="17"/>
      <c r="C1014" s="17"/>
      <c r="D1014" s="17"/>
      <c r="E1014" s="17"/>
      <c r="F1014" s="17"/>
      <c r="G1014" s="4">
        <f t="shared" si="42"/>
        <v>0</v>
      </c>
      <c r="H1014" s="17"/>
      <c r="I1014" s="4">
        <f t="shared" si="44"/>
        <v>349526.07999999996</v>
      </c>
      <c r="J1014" s="32" t="str">
        <f t="shared" si="43"/>
        <v/>
      </c>
      <c r="K1014" s="72"/>
      <c r="L1014" s="72"/>
      <c r="M1014" s="2"/>
      <c r="N1014" s="5"/>
      <c r="O1014" s="3"/>
      <c r="P1014" s="6"/>
      <c r="Q1014" s="48">
        <f>IF(Учет!$O1014=Справочники!$F$2,Учет!$H1014,0)</f>
        <v>0</v>
      </c>
      <c r="R1014" s="48">
        <f>IF(Учет!$O1014=Справочники!$F$3,Учет!$H1014,0)</f>
        <v>0</v>
      </c>
      <c r="S1014" s="48">
        <f>IF(Учет!$O1014=Справочники!$F$4,Учет!$H1014,0)</f>
        <v>0</v>
      </c>
      <c r="T1014" s="48">
        <f>IF(Учет!$O1014=Справочники!$F$5,Учет!$H1014,0)</f>
        <v>0</v>
      </c>
      <c r="U1014" s="48">
        <f>IF(Учет!$O1014=Справочники!$F$6,Учет!$H1014,0)</f>
        <v>0</v>
      </c>
      <c r="V1014" s="43">
        <f>V1013+Учет!Q1014-Q1014</f>
        <v>-488978.92000000004</v>
      </c>
      <c r="W1014" s="43">
        <f>W1013+Учет!R1014-R1014</f>
        <v>336855</v>
      </c>
      <c r="X1014" s="43">
        <f>X1013+Учет!S1014-S1014</f>
        <v>500</v>
      </c>
      <c r="Y1014" s="43">
        <f>Y1013+Учет!T1014-T1014</f>
        <v>1150</v>
      </c>
      <c r="Z1014" s="43">
        <f>Z1013+Учет!U1014-U1014</f>
        <v>500000</v>
      </c>
      <c r="AA1014" s="45">
        <f>Учет!X1014</f>
        <v>500</v>
      </c>
    </row>
    <row r="1015" spans="1:27" ht="15" customHeight="1" x14ac:dyDescent="0.25">
      <c r="A1015" s="1"/>
      <c r="B1015" s="17"/>
      <c r="C1015" s="17"/>
      <c r="D1015" s="17"/>
      <c r="E1015" s="17"/>
      <c r="F1015" s="17"/>
      <c r="G1015" s="4">
        <f t="shared" si="42"/>
        <v>0</v>
      </c>
      <c r="H1015" s="17"/>
      <c r="I1015" s="4">
        <f t="shared" si="44"/>
        <v>349526.07999999996</v>
      </c>
      <c r="J1015" s="32" t="str">
        <f t="shared" si="43"/>
        <v/>
      </c>
      <c r="K1015" s="72"/>
      <c r="L1015" s="72"/>
      <c r="M1015" s="2"/>
      <c r="N1015" s="5"/>
      <c r="O1015" s="3"/>
      <c r="P1015" s="6"/>
      <c r="Q1015" s="48">
        <f>IF(Учет!$O1015=Справочники!$F$2,Учет!$H1015,0)</f>
        <v>0</v>
      </c>
      <c r="R1015" s="48">
        <f>IF(Учет!$O1015=Справочники!$F$3,Учет!$H1015,0)</f>
        <v>0</v>
      </c>
      <c r="S1015" s="48">
        <f>IF(Учет!$O1015=Справочники!$F$4,Учет!$H1015,0)</f>
        <v>0</v>
      </c>
      <c r="T1015" s="48">
        <f>IF(Учет!$O1015=Справочники!$F$5,Учет!$H1015,0)</f>
        <v>0</v>
      </c>
      <c r="U1015" s="48">
        <f>IF(Учет!$O1015=Справочники!$F$6,Учет!$H1015,0)</f>
        <v>0</v>
      </c>
      <c r="V1015" s="43">
        <f>V1014+Учет!Q1015-Q1015</f>
        <v>-488978.92000000004</v>
      </c>
      <c r="W1015" s="43">
        <f>W1014+Учет!R1015-R1015</f>
        <v>336855</v>
      </c>
      <c r="X1015" s="43">
        <f>X1014+Учет!S1015-S1015</f>
        <v>500</v>
      </c>
      <c r="Y1015" s="43">
        <f>Y1014+Учет!T1015-T1015</f>
        <v>1150</v>
      </c>
      <c r="Z1015" s="43">
        <f>Z1014+Учет!U1015-U1015</f>
        <v>500000</v>
      </c>
      <c r="AA1015" s="45">
        <f>Учет!X1015</f>
        <v>500</v>
      </c>
    </row>
    <row r="1016" spans="1:27" ht="15" customHeight="1" x14ac:dyDescent="0.25">
      <c r="A1016" s="1"/>
      <c r="B1016" s="17"/>
      <c r="C1016" s="17"/>
      <c r="D1016" s="17"/>
      <c r="E1016" s="17"/>
      <c r="F1016" s="17"/>
      <c r="G1016" s="4">
        <f t="shared" si="42"/>
        <v>0</v>
      </c>
      <c r="H1016" s="17"/>
      <c r="I1016" s="4">
        <f t="shared" si="44"/>
        <v>349526.07999999996</v>
      </c>
      <c r="J1016" s="32" t="str">
        <f t="shared" si="43"/>
        <v/>
      </c>
      <c r="K1016" s="72"/>
      <c r="L1016" s="72"/>
      <c r="M1016" s="2"/>
      <c r="N1016" s="5"/>
      <c r="O1016" s="3"/>
      <c r="P1016" s="6"/>
      <c r="Q1016" s="48">
        <f>IF(Учет!$O1016=Справочники!$F$2,Учет!$H1016,0)</f>
        <v>0</v>
      </c>
      <c r="R1016" s="48">
        <f>IF(Учет!$O1016=Справочники!$F$3,Учет!$H1016,0)</f>
        <v>0</v>
      </c>
      <c r="S1016" s="48">
        <f>IF(Учет!$O1016=Справочники!$F$4,Учет!$H1016,0)</f>
        <v>0</v>
      </c>
      <c r="T1016" s="48">
        <f>IF(Учет!$O1016=Справочники!$F$5,Учет!$H1016,0)</f>
        <v>0</v>
      </c>
      <c r="U1016" s="48">
        <f>IF(Учет!$O1016=Справочники!$F$6,Учет!$H1016,0)</f>
        <v>0</v>
      </c>
      <c r="V1016" s="43">
        <f>V1015+Учет!Q1016-Q1016</f>
        <v>-488978.92000000004</v>
      </c>
      <c r="W1016" s="43">
        <f>W1015+Учет!R1016-R1016</f>
        <v>336855</v>
      </c>
      <c r="X1016" s="43">
        <f>X1015+Учет!S1016-S1016</f>
        <v>500</v>
      </c>
      <c r="Y1016" s="43">
        <f>Y1015+Учет!T1016-T1016</f>
        <v>1150</v>
      </c>
      <c r="Z1016" s="43">
        <f>Z1015+Учет!U1016-U1016</f>
        <v>500000</v>
      </c>
      <c r="AA1016" s="45">
        <f>Учет!X1016</f>
        <v>500</v>
      </c>
    </row>
    <row r="1017" spans="1:27" ht="15" customHeight="1" x14ac:dyDescent="0.25">
      <c r="A1017" s="1"/>
      <c r="B1017" s="17"/>
      <c r="C1017" s="17"/>
      <c r="D1017" s="17"/>
      <c r="E1017" s="17"/>
      <c r="F1017" s="17"/>
      <c r="G1017" s="4">
        <f t="shared" si="42"/>
        <v>0</v>
      </c>
      <c r="H1017" s="17"/>
      <c r="I1017" s="4">
        <f t="shared" si="44"/>
        <v>349526.07999999996</v>
      </c>
      <c r="J1017" s="32" t="str">
        <f t="shared" si="43"/>
        <v/>
      </c>
      <c r="K1017" s="72"/>
      <c r="L1017" s="72"/>
      <c r="M1017" s="2"/>
      <c r="N1017" s="5"/>
      <c r="O1017" s="3"/>
      <c r="P1017" s="6"/>
      <c r="Q1017" s="48">
        <f>IF(Учет!$O1017=Справочники!$F$2,Учет!$H1017,0)</f>
        <v>0</v>
      </c>
      <c r="R1017" s="48">
        <f>IF(Учет!$O1017=Справочники!$F$3,Учет!$H1017,0)</f>
        <v>0</v>
      </c>
      <c r="S1017" s="48">
        <f>IF(Учет!$O1017=Справочники!$F$4,Учет!$H1017,0)</f>
        <v>0</v>
      </c>
      <c r="T1017" s="48">
        <f>IF(Учет!$O1017=Справочники!$F$5,Учет!$H1017,0)</f>
        <v>0</v>
      </c>
      <c r="U1017" s="48">
        <f>IF(Учет!$O1017=Справочники!$F$6,Учет!$H1017,0)</f>
        <v>0</v>
      </c>
      <c r="V1017" s="43">
        <f>V1016+Учет!Q1017-Q1017</f>
        <v>-488978.92000000004</v>
      </c>
      <c r="W1017" s="43">
        <f>W1016+Учет!R1017-R1017</f>
        <v>336855</v>
      </c>
      <c r="X1017" s="43">
        <f>X1016+Учет!S1017-S1017</f>
        <v>500</v>
      </c>
      <c r="Y1017" s="43">
        <f>Y1016+Учет!T1017-T1017</f>
        <v>1150</v>
      </c>
      <c r="Z1017" s="43">
        <f>Z1016+Учет!U1017-U1017</f>
        <v>500000</v>
      </c>
      <c r="AA1017" s="45">
        <f>Учет!X1017</f>
        <v>500</v>
      </c>
    </row>
    <row r="1018" spans="1:27" ht="15" customHeight="1" x14ac:dyDescent="0.25">
      <c r="A1018" s="1"/>
      <c r="B1018" s="17"/>
      <c r="C1018" s="17"/>
      <c r="D1018" s="17"/>
      <c r="E1018" s="17"/>
      <c r="F1018" s="17"/>
      <c r="G1018" s="4">
        <f t="shared" si="42"/>
        <v>0</v>
      </c>
      <c r="H1018" s="17"/>
      <c r="I1018" s="4">
        <f t="shared" si="44"/>
        <v>349526.07999999996</v>
      </c>
      <c r="J1018" s="32" t="str">
        <f t="shared" si="43"/>
        <v/>
      </c>
      <c r="K1018" s="72"/>
      <c r="L1018" s="72"/>
      <c r="M1018" s="2"/>
      <c r="N1018" s="5"/>
      <c r="O1018" s="3"/>
      <c r="P1018" s="6"/>
      <c r="Q1018" s="48">
        <f>IF(Учет!$O1018=Справочники!$F$2,Учет!$H1018,0)</f>
        <v>0</v>
      </c>
      <c r="R1018" s="48">
        <f>IF(Учет!$O1018=Справочники!$F$3,Учет!$H1018,0)</f>
        <v>0</v>
      </c>
      <c r="S1018" s="48">
        <f>IF(Учет!$O1018=Справочники!$F$4,Учет!$H1018,0)</f>
        <v>0</v>
      </c>
      <c r="T1018" s="48">
        <f>IF(Учет!$O1018=Справочники!$F$5,Учет!$H1018,0)</f>
        <v>0</v>
      </c>
      <c r="U1018" s="48">
        <f>IF(Учет!$O1018=Справочники!$F$6,Учет!$H1018,0)</f>
        <v>0</v>
      </c>
      <c r="V1018" s="43">
        <f>V1017+Учет!Q1018-Q1018</f>
        <v>-488978.92000000004</v>
      </c>
      <c r="W1018" s="43">
        <f>W1017+Учет!R1018-R1018</f>
        <v>336855</v>
      </c>
      <c r="X1018" s="43">
        <f>X1017+Учет!S1018-S1018</f>
        <v>500</v>
      </c>
      <c r="Y1018" s="43">
        <f>Y1017+Учет!T1018-T1018</f>
        <v>1150</v>
      </c>
      <c r="Z1018" s="43">
        <f>Z1017+Учет!U1018-U1018</f>
        <v>500000</v>
      </c>
      <c r="AA1018" s="45">
        <f>Учет!X1018</f>
        <v>500</v>
      </c>
    </row>
    <row r="1019" spans="1:27" ht="15" customHeight="1" x14ac:dyDescent="0.25">
      <c r="A1019" s="1"/>
      <c r="B1019" s="17"/>
      <c r="C1019" s="17"/>
      <c r="D1019" s="17"/>
      <c r="E1019" s="17"/>
      <c r="F1019" s="17"/>
      <c r="G1019" s="4">
        <f t="shared" si="42"/>
        <v>0</v>
      </c>
      <c r="H1019" s="17"/>
      <c r="I1019" s="4">
        <f t="shared" si="44"/>
        <v>349526.07999999996</v>
      </c>
      <c r="J1019" s="32" t="str">
        <f t="shared" si="43"/>
        <v/>
      </c>
      <c r="K1019" s="72"/>
      <c r="L1019" s="72"/>
      <c r="M1019" s="2"/>
      <c r="N1019" s="5"/>
      <c r="O1019" s="3"/>
      <c r="P1019" s="6"/>
      <c r="Q1019" s="48">
        <f>IF(Учет!$O1019=Справочники!$F$2,Учет!$H1019,0)</f>
        <v>0</v>
      </c>
      <c r="R1019" s="48">
        <f>IF(Учет!$O1019=Справочники!$F$3,Учет!$H1019,0)</f>
        <v>0</v>
      </c>
      <c r="S1019" s="48">
        <f>IF(Учет!$O1019=Справочники!$F$4,Учет!$H1019,0)</f>
        <v>0</v>
      </c>
      <c r="T1019" s="48">
        <f>IF(Учет!$O1019=Справочники!$F$5,Учет!$H1019,0)</f>
        <v>0</v>
      </c>
      <c r="U1019" s="48">
        <f>IF(Учет!$O1019=Справочники!$F$6,Учет!$H1019,0)</f>
        <v>0</v>
      </c>
      <c r="V1019" s="43">
        <f>V1018+Учет!Q1019-Q1019</f>
        <v>-488978.92000000004</v>
      </c>
      <c r="W1019" s="43">
        <f>W1018+Учет!R1019-R1019</f>
        <v>336855</v>
      </c>
      <c r="X1019" s="43">
        <f>X1018+Учет!S1019-S1019</f>
        <v>500</v>
      </c>
      <c r="Y1019" s="43">
        <f>Y1018+Учет!T1019-T1019</f>
        <v>1150</v>
      </c>
      <c r="Z1019" s="43">
        <f>Z1018+Учет!U1019-U1019</f>
        <v>500000</v>
      </c>
      <c r="AA1019" s="45">
        <f>Учет!X1019</f>
        <v>500</v>
      </c>
    </row>
    <row r="1020" spans="1:27" ht="15" customHeight="1" x14ac:dyDescent="0.25">
      <c r="A1020" s="1"/>
      <c r="B1020" s="17"/>
      <c r="C1020" s="17"/>
      <c r="D1020" s="17"/>
      <c r="E1020" s="17"/>
      <c r="F1020" s="17"/>
      <c r="G1020" s="4">
        <f t="shared" si="42"/>
        <v>0</v>
      </c>
      <c r="H1020" s="17"/>
      <c r="I1020" s="4">
        <f t="shared" si="44"/>
        <v>349526.07999999996</v>
      </c>
      <c r="J1020" s="32" t="str">
        <f t="shared" si="43"/>
        <v/>
      </c>
      <c r="K1020" s="72"/>
      <c r="L1020" s="72"/>
      <c r="M1020" s="2"/>
      <c r="N1020" s="5"/>
      <c r="O1020" s="3"/>
      <c r="P1020" s="6"/>
      <c r="Q1020" s="48">
        <f>IF(Учет!$O1020=Справочники!$F$2,Учет!$H1020,0)</f>
        <v>0</v>
      </c>
      <c r="R1020" s="48">
        <f>IF(Учет!$O1020=Справочники!$F$3,Учет!$H1020,0)</f>
        <v>0</v>
      </c>
      <c r="S1020" s="48">
        <f>IF(Учет!$O1020=Справочники!$F$4,Учет!$H1020,0)</f>
        <v>0</v>
      </c>
      <c r="T1020" s="48">
        <f>IF(Учет!$O1020=Справочники!$F$5,Учет!$H1020,0)</f>
        <v>0</v>
      </c>
      <c r="U1020" s="48">
        <f>IF(Учет!$O1020=Справочники!$F$6,Учет!$H1020,0)</f>
        <v>0</v>
      </c>
      <c r="V1020" s="43">
        <f>V1019+Учет!Q1020-Q1020</f>
        <v>-488978.92000000004</v>
      </c>
      <c r="W1020" s="43">
        <f>W1019+Учет!R1020-R1020</f>
        <v>336855</v>
      </c>
      <c r="X1020" s="43">
        <f>X1019+Учет!S1020-S1020</f>
        <v>500</v>
      </c>
      <c r="Y1020" s="43">
        <f>Y1019+Учет!T1020-T1020</f>
        <v>1150</v>
      </c>
      <c r="Z1020" s="43">
        <f>Z1019+Учет!U1020-U1020</f>
        <v>500000</v>
      </c>
      <c r="AA1020" s="45">
        <f>Учет!X1020</f>
        <v>500</v>
      </c>
    </row>
    <row r="1021" spans="1:27" ht="15" customHeight="1" x14ac:dyDescent="0.25">
      <c r="A1021" s="1"/>
      <c r="B1021" s="17"/>
      <c r="C1021" s="17"/>
      <c r="D1021" s="17"/>
      <c r="E1021" s="17"/>
      <c r="F1021" s="17"/>
      <c r="G1021" s="4">
        <f t="shared" si="42"/>
        <v>0</v>
      </c>
      <c r="H1021" s="17"/>
      <c r="I1021" s="4">
        <f t="shared" si="44"/>
        <v>349526.07999999996</v>
      </c>
      <c r="J1021" s="32" t="str">
        <f t="shared" si="43"/>
        <v/>
      </c>
      <c r="K1021" s="72"/>
      <c r="L1021" s="72"/>
      <c r="M1021" s="2"/>
      <c r="N1021" s="5"/>
      <c r="O1021" s="3"/>
      <c r="P1021" s="6"/>
      <c r="Q1021" s="48">
        <f>IF(Учет!$O1021=Справочники!$F$2,Учет!$H1021,0)</f>
        <v>0</v>
      </c>
      <c r="R1021" s="48">
        <f>IF(Учет!$O1021=Справочники!$F$3,Учет!$H1021,0)</f>
        <v>0</v>
      </c>
      <c r="S1021" s="48">
        <f>IF(Учет!$O1021=Справочники!$F$4,Учет!$H1021,0)</f>
        <v>0</v>
      </c>
      <c r="T1021" s="48">
        <f>IF(Учет!$O1021=Справочники!$F$5,Учет!$H1021,0)</f>
        <v>0</v>
      </c>
      <c r="U1021" s="48">
        <f>IF(Учет!$O1021=Справочники!$F$6,Учет!$H1021,0)</f>
        <v>0</v>
      </c>
      <c r="V1021" s="43">
        <f>V1020+Учет!Q1021-Q1021</f>
        <v>-488978.92000000004</v>
      </c>
      <c r="W1021" s="43">
        <f>W1020+Учет!R1021-R1021</f>
        <v>336855</v>
      </c>
      <c r="X1021" s="43">
        <f>X1020+Учет!S1021-S1021</f>
        <v>500</v>
      </c>
      <c r="Y1021" s="43">
        <f>Y1020+Учет!T1021-T1021</f>
        <v>1150</v>
      </c>
      <c r="Z1021" s="43">
        <f>Z1020+Учет!U1021-U1021</f>
        <v>500000</v>
      </c>
      <c r="AA1021" s="45">
        <f>Учет!X1021</f>
        <v>500</v>
      </c>
    </row>
    <row r="1022" spans="1:27" ht="15" customHeight="1" x14ac:dyDescent="0.25">
      <c r="A1022" s="1"/>
      <c r="B1022" s="17"/>
      <c r="C1022" s="17"/>
      <c r="D1022" s="17"/>
      <c r="E1022" s="17"/>
      <c r="F1022" s="17"/>
      <c r="G1022" s="4">
        <f t="shared" si="42"/>
        <v>0</v>
      </c>
      <c r="H1022" s="17"/>
      <c r="I1022" s="4">
        <f t="shared" si="44"/>
        <v>349526.07999999996</v>
      </c>
      <c r="J1022" s="32" t="str">
        <f t="shared" si="43"/>
        <v/>
      </c>
      <c r="K1022" s="72"/>
      <c r="L1022" s="72"/>
      <c r="M1022" s="2"/>
      <c r="N1022" s="5"/>
      <c r="O1022" s="3"/>
      <c r="P1022" s="6"/>
      <c r="Q1022" s="48">
        <f>IF(Учет!$O1022=Справочники!$F$2,Учет!$H1022,0)</f>
        <v>0</v>
      </c>
      <c r="R1022" s="48">
        <f>IF(Учет!$O1022=Справочники!$F$3,Учет!$H1022,0)</f>
        <v>0</v>
      </c>
      <c r="S1022" s="48">
        <f>IF(Учет!$O1022=Справочники!$F$4,Учет!$H1022,0)</f>
        <v>0</v>
      </c>
      <c r="T1022" s="48">
        <f>IF(Учет!$O1022=Справочники!$F$5,Учет!$H1022,0)</f>
        <v>0</v>
      </c>
      <c r="U1022" s="48">
        <f>IF(Учет!$O1022=Справочники!$F$6,Учет!$H1022,0)</f>
        <v>0</v>
      </c>
      <c r="V1022" s="43">
        <f>V1021+Учет!Q1022-Q1022</f>
        <v>-488978.92000000004</v>
      </c>
      <c r="W1022" s="43">
        <f>W1021+Учет!R1022-R1022</f>
        <v>336855</v>
      </c>
      <c r="X1022" s="43">
        <f>X1021+Учет!S1022-S1022</f>
        <v>500</v>
      </c>
      <c r="Y1022" s="43">
        <f>Y1021+Учет!T1022-T1022</f>
        <v>1150</v>
      </c>
      <c r="Z1022" s="43">
        <f>Z1021+Учет!U1022-U1022</f>
        <v>500000</v>
      </c>
      <c r="AA1022" s="45">
        <f>Учет!X1022</f>
        <v>500</v>
      </c>
    </row>
    <row r="1023" spans="1:27" ht="15" customHeight="1" x14ac:dyDescent="0.25">
      <c r="A1023" s="1"/>
      <c r="B1023" s="17"/>
      <c r="C1023" s="17"/>
      <c r="D1023" s="17"/>
      <c r="E1023" s="17"/>
      <c r="F1023" s="17"/>
      <c r="G1023" s="4">
        <f t="shared" si="42"/>
        <v>0</v>
      </c>
      <c r="H1023" s="17"/>
      <c r="I1023" s="4">
        <f t="shared" si="44"/>
        <v>349526.07999999996</v>
      </c>
      <c r="J1023" s="32" t="str">
        <f t="shared" si="43"/>
        <v/>
      </c>
      <c r="K1023" s="72"/>
      <c r="L1023" s="72"/>
      <c r="M1023" s="2"/>
      <c r="N1023" s="5"/>
      <c r="O1023" s="3"/>
      <c r="P1023" s="6"/>
      <c r="Q1023" s="48">
        <f>IF(Учет!$O1023=Справочники!$F$2,Учет!$H1023,0)</f>
        <v>0</v>
      </c>
      <c r="R1023" s="48">
        <f>IF(Учет!$O1023=Справочники!$F$3,Учет!$H1023,0)</f>
        <v>0</v>
      </c>
      <c r="S1023" s="48">
        <f>IF(Учет!$O1023=Справочники!$F$4,Учет!$H1023,0)</f>
        <v>0</v>
      </c>
      <c r="T1023" s="48">
        <f>IF(Учет!$O1023=Справочники!$F$5,Учет!$H1023,0)</f>
        <v>0</v>
      </c>
      <c r="U1023" s="48">
        <f>IF(Учет!$O1023=Справочники!$F$6,Учет!$H1023,0)</f>
        <v>0</v>
      </c>
      <c r="V1023" s="43">
        <f>V1022+Учет!Q1023-Q1023</f>
        <v>-488978.92000000004</v>
      </c>
      <c r="W1023" s="43">
        <f>W1022+Учет!R1023-R1023</f>
        <v>336855</v>
      </c>
      <c r="X1023" s="43">
        <f>X1022+Учет!S1023-S1023</f>
        <v>500</v>
      </c>
      <c r="Y1023" s="43">
        <f>Y1022+Учет!T1023-T1023</f>
        <v>1150</v>
      </c>
      <c r="Z1023" s="43">
        <f>Z1022+Учет!U1023-U1023</f>
        <v>500000</v>
      </c>
      <c r="AA1023" s="45">
        <f>Учет!X1023</f>
        <v>500</v>
      </c>
    </row>
    <row r="1024" spans="1:27" ht="15" customHeight="1" x14ac:dyDescent="0.25">
      <c r="A1024" s="1"/>
      <c r="B1024" s="17"/>
      <c r="C1024" s="17"/>
      <c r="D1024" s="17"/>
      <c r="E1024" s="17"/>
      <c r="F1024" s="17"/>
      <c r="G1024" s="4">
        <f t="shared" si="42"/>
        <v>0</v>
      </c>
      <c r="H1024" s="17"/>
      <c r="I1024" s="4">
        <f t="shared" si="44"/>
        <v>349526.07999999996</v>
      </c>
      <c r="J1024" s="32" t="str">
        <f t="shared" si="43"/>
        <v/>
      </c>
      <c r="K1024" s="72"/>
      <c r="L1024" s="72"/>
      <c r="M1024" s="2"/>
      <c r="N1024" s="5"/>
      <c r="O1024" s="3"/>
      <c r="P1024" s="6"/>
      <c r="Q1024" s="48">
        <f>IF(Учет!$O1024=Справочники!$F$2,Учет!$H1024,0)</f>
        <v>0</v>
      </c>
      <c r="R1024" s="48">
        <f>IF(Учет!$O1024=Справочники!$F$3,Учет!$H1024,0)</f>
        <v>0</v>
      </c>
      <c r="S1024" s="48">
        <f>IF(Учет!$O1024=Справочники!$F$4,Учет!$H1024,0)</f>
        <v>0</v>
      </c>
      <c r="T1024" s="48">
        <f>IF(Учет!$O1024=Справочники!$F$5,Учет!$H1024,0)</f>
        <v>0</v>
      </c>
      <c r="U1024" s="48">
        <f>IF(Учет!$O1024=Справочники!$F$6,Учет!$H1024,0)</f>
        <v>0</v>
      </c>
      <c r="V1024" s="43">
        <f>V1023+Учет!Q1024-Q1024</f>
        <v>-488978.92000000004</v>
      </c>
      <c r="W1024" s="43">
        <f>W1023+Учет!R1024-R1024</f>
        <v>336855</v>
      </c>
      <c r="X1024" s="43">
        <f>X1023+Учет!S1024-S1024</f>
        <v>500</v>
      </c>
      <c r="Y1024" s="43">
        <f>Y1023+Учет!T1024-T1024</f>
        <v>1150</v>
      </c>
      <c r="Z1024" s="43">
        <f>Z1023+Учет!U1024-U1024</f>
        <v>500000</v>
      </c>
      <c r="AA1024" s="45">
        <f>Учет!X1024</f>
        <v>500</v>
      </c>
    </row>
    <row r="1025" spans="1:27" ht="15" customHeight="1" x14ac:dyDescent="0.25">
      <c r="A1025" s="1"/>
      <c r="B1025" s="17"/>
      <c r="C1025" s="17"/>
      <c r="D1025" s="17"/>
      <c r="E1025" s="17"/>
      <c r="F1025" s="17"/>
      <c r="G1025" s="4">
        <f t="shared" si="42"/>
        <v>0</v>
      </c>
      <c r="H1025" s="17"/>
      <c r="I1025" s="4">
        <f t="shared" si="44"/>
        <v>349526.07999999996</v>
      </c>
      <c r="J1025" s="32" t="str">
        <f t="shared" si="43"/>
        <v/>
      </c>
      <c r="K1025" s="72"/>
      <c r="L1025" s="72"/>
      <c r="M1025" s="2"/>
      <c r="N1025" s="5"/>
      <c r="O1025" s="3"/>
      <c r="P1025" s="6"/>
      <c r="Q1025" s="48">
        <f>IF(Учет!$O1025=Справочники!$F$2,Учет!$H1025,0)</f>
        <v>0</v>
      </c>
      <c r="R1025" s="48">
        <f>IF(Учет!$O1025=Справочники!$F$3,Учет!$H1025,0)</f>
        <v>0</v>
      </c>
      <c r="S1025" s="48">
        <f>IF(Учет!$O1025=Справочники!$F$4,Учет!$H1025,0)</f>
        <v>0</v>
      </c>
      <c r="T1025" s="48">
        <f>IF(Учет!$O1025=Справочники!$F$5,Учет!$H1025,0)</f>
        <v>0</v>
      </c>
      <c r="U1025" s="48">
        <f>IF(Учет!$O1025=Справочники!$F$6,Учет!$H1025,0)</f>
        <v>0</v>
      </c>
      <c r="V1025" s="43">
        <f>V1024+Учет!Q1025-Q1025</f>
        <v>-488978.92000000004</v>
      </c>
      <c r="W1025" s="43">
        <f>W1024+Учет!R1025-R1025</f>
        <v>336855</v>
      </c>
      <c r="X1025" s="43">
        <f>X1024+Учет!S1025-S1025</f>
        <v>500</v>
      </c>
      <c r="Y1025" s="43">
        <f>Y1024+Учет!T1025-T1025</f>
        <v>1150</v>
      </c>
      <c r="Z1025" s="43">
        <f>Z1024+Учет!U1025-U1025</f>
        <v>500000</v>
      </c>
      <c r="AA1025" s="45">
        <f>Учет!X1025</f>
        <v>500</v>
      </c>
    </row>
    <row r="1026" spans="1:27" ht="15" customHeight="1" x14ac:dyDescent="0.25">
      <c r="A1026" s="1"/>
      <c r="B1026" s="17"/>
      <c r="C1026" s="17"/>
      <c r="D1026" s="17"/>
      <c r="E1026" s="17"/>
      <c r="F1026" s="17"/>
      <c r="G1026" s="4">
        <f t="shared" ref="G1026:G1089" si="45">SUM($B1026:$F1026)</f>
        <v>0</v>
      </c>
      <c r="H1026" s="17"/>
      <c r="I1026" s="4">
        <f t="shared" si="44"/>
        <v>349526.07999999996</v>
      </c>
      <c r="J1026" s="32" t="str">
        <f t="shared" ref="J1026:J1089" si="46">IF($A1027&lt;&gt;$A1026,$I1026,"")</f>
        <v/>
      </c>
      <c r="K1026" s="72"/>
      <c r="L1026" s="72"/>
      <c r="M1026" s="2"/>
      <c r="N1026" s="5"/>
      <c r="O1026" s="3"/>
      <c r="P1026" s="6"/>
      <c r="Q1026" s="48">
        <f>IF(Учет!$O1026=Справочники!$F$2,Учет!$H1026,0)</f>
        <v>0</v>
      </c>
      <c r="R1026" s="48">
        <f>IF(Учет!$O1026=Справочники!$F$3,Учет!$H1026,0)</f>
        <v>0</v>
      </c>
      <c r="S1026" s="48">
        <f>IF(Учет!$O1026=Справочники!$F$4,Учет!$H1026,0)</f>
        <v>0</v>
      </c>
      <c r="T1026" s="48">
        <f>IF(Учет!$O1026=Справочники!$F$5,Учет!$H1026,0)</f>
        <v>0</v>
      </c>
      <c r="U1026" s="48">
        <f>IF(Учет!$O1026=Справочники!$F$6,Учет!$H1026,0)</f>
        <v>0</v>
      </c>
      <c r="V1026" s="43">
        <f>V1025+Учет!Q1026-Q1026</f>
        <v>-488978.92000000004</v>
      </c>
      <c r="W1026" s="43">
        <f>W1025+Учет!R1026-R1026</f>
        <v>336855</v>
      </c>
      <c r="X1026" s="43">
        <f>X1025+Учет!S1026-S1026</f>
        <v>500</v>
      </c>
      <c r="Y1026" s="43">
        <f>Y1025+Учет!T1026-T1026</f>
        <v>1150</v>
      </c>
      <c r="Z1026" s="43">
        <f>Z1025+Учет!U1026-U1026</f>
        <v>500000</v>
      </c>
      <c r="AA1026" s="45">
        <f>Учет!X1026</f>
        <v>500</v>
      </c>
    </row>
    <row r="1027" spans="1:27" ht="15" customHeight="1" x14ac:dyDescent="0.25">
      <c r="A1027" s="1"/>
      <c r="B1027" s="17"/>
      <c r="C1027" s="17"/>
      <c r="D1027" s="17"/>
      <c r="E1027" s="17"/>
      <c r="F1027" s="17"/>
      <c r="G1027" s="4">
        <f t="shared" si="45"/>
        <v>0</v>
      </c>
      <c r="H1027" s="17"/>
      <c r="I1027" s="4">
        <f t="shared" ref="I1027:I1090" si="47">$I1026+$G1027-$H1027</f>
        <v>349526.07999999996</v>
      </c>
      <c r="J1027" s="32" t="str">
        <f t="shared" si="46"/>
        <v/>
      </c>
      <c r="K1027" s="72"/>
      <c r="L1027" s="72"/>
      <c r="M1027" s="2"/>
      <c r="N1027" s="5"/>
      <c r="O1027" s="3"/>
      <c r="P1027" s="6"/>
      <c r="Q1027" s="48">
        <f>IF(Учет!$O1027=Справочники!$F$2,Учет!$H1027,0)</f>
        <v>0</v>
      </c>
      <c r="R1027" s="48">
        <f>IF(Учет!$O1027=Справочники!$F$3,Учет!$H1027,0)</f>
        <v>0</v>
      </c>
      <c r="S1027" s="48">
        <f>IF(Учет!$O1027=Справочники!$F$4,Учет!$H1027,0)</f>
        <v>0</v>
      </c>
      <c r="T1027" s="48">
        <f>IF(Учет!$O1027=Справочники!$F$5,Учет!$H1027,0)</f>
        <v>0</v>
      </c>
      <c r="U1027" s="48">
        <f>IF(Учет!$O1027=Справочники!$F$6,Учет!$H1027,0)</f>
        <v>0</v>
      </c>
      <c r="V1027" s="43">
        <f>V1026+Учет!Q1027-Q1027</f>
        <v>-488978.92000000004</v>
      </c>
      <c r="W1027" s="43">
        <f>W1026+Учет!R1027-R1027</f>
        <v>336855</v>
      </c>
      <c r="X1027" s="43">
        <f>X1026+Учет!S1027-S1027</f>
        <v>500</v>
      </c>
      <c r="Y1027" s="43">
        <f>Y1026+Учет!T1027-T1027</f>
        <v>1150</v>
      </c>
      <c r="Z1027" s="43">
        <f>Z1026+Учет!U1027-U1027</f>
        <v>500000</v>
      </c>
      <c r="AA1027" s="45">
        <f>Учет!X1027</f>
        <v>500</v>
      </c>
    </row>
    <row r="1028" spans="1:27" ht="15" customHeight="1" x14ac:dyDescent="0.25">
      <c r="A1028" s="1"/>
      <c r="B1028" s="17"/>
      <c r="C1028" s="17"/>
      <c r="D1028" s="17"/>
      <c r="E1028" s="17"/>
      <c r="F1028" s="17"/>
      <c r="G1028" s="4">
        <f t="shared" si="45"/>
        <v>0</v>
      </c>
      <c r="H1028" s="17"/>
      <c r="I1028" s="4">
        <f t="shared" si="47"/>
        <v>349526.07999999996</v>
      </c>
      <c r="J1028" s="32" t="str">
        <f t="shared" si="46"/>
        <v/>
      </c>
      <c r="K1028" s="72"/>
      <c r="L1028" s="72"/>
      <c r="M1028" s="2"/>
      <c r="N1028" s="5"/>
      <c r="O1028" s="3"/>
      <c r="P1028" s="6"/>
      <c r="Q1028" s="48">
        <f>IF(Учет!$O1028=Справочники!$F$2,Учет!$H1028,0)</f>
        <v>0</v>
      </c>
      <c r="R1028" s="48">
        <f>IF(Учет!$O1028=Справочники!$F$3,Учет!$H1028,0)</f>
        <v>0</v>
      </c>
      <c r="S1028" s="48">
        <f>IF(Учет!$O1028=Справочники!$F$4,Учет!$H1028,0)</f>
        <v>0</v>
      </c>
      <c r="T1028" s="48">
        <f>IF(Учет!$O1028=Справочники!$F$5,Учет!$H1028,0)</f>
        <v>0</v>
      </c>
      <c r="U1028" s="48">
        <f>IF(Учет!$O1028=Справочники!$F$6,Учет!$H1028,0)</f>
        <v>0</v>
      </c>
      <c r="V1028" s="43">
        <f>V1027+Учет!Q1028-Q1028</f>
        <v>-488978.92000000004</v>
      </c>
      <c r="W1028" s="43">
        <f>W1027+Учет!R1028-R1028</f>
        <v>336855</v>
      </c>
      <c r="X1028" s="43">
        <f>X1027+Учет!S1028-S1028</f>
        <v>500</v>
      </c>
      <c r="Y1028" s="43">
        <f>Y1027+Учет!T1028-T1028</f>
        <v>1150</v>
      </c>
      <c r="Z1028" s="43">
        <f>Z1027+Учет!U1028-U1028</f>
        <v>500000</v>
      </c>
      <c r="AA1028" s="45">
        <f>Учет!X1028</f>
        <v>500</v>
      </c>
    </row>
    <row r="1029" spans="1:27" ht="15" customHeight="1" x14ac:dyDescent="0.25">
      <c r="A1029" s="1"/>
      <c r="B1029" s="17"/>
      <c r="C1029" s="17"/>
      <c r="D1029" s="17"/>
      <c r="E1029" s="17"/>
      <c r="F1029" s="17"/>
      <c r="G1029" s="4">
        <f t="shared" si="45"/>
        <v>0</v>
      </c>
      <c r="H1029" s="17"/>
      <c r="I1029" s="4">
        <f t="shared" si="47"/>
        <v>349526.07999999996</v>
      </c>
      <c r="J1029" s="32" t="str">
        <f t="shared" si="46"/>
        <v/>
      </c>
      <c r="K1029" s="72"/>
      <c r="L1029" s="72"/>
      <c r="M1029" s="2"/>
      <c r="N1029" s="5"/>
      <c r="O1029" s="3"/>
      <c r="P1029" s="6"/>
      <c r="Q1029" s="48">
        <f>IF(Учет!$O1029=Справочники!$F$2,Учет!$H1029,0)</f>
        <v>0</v>
      </c>
      <c r="R1029" s="48">
        <f>IF(Учет!$O1029=Справочники!$F$3,Учет!$H1029,0)</f>
        <v>0</v>
      </c>
      <c r="S1029" s="48">
        <f>IF(Учет!$O1029=Справочники!$F$4,Учет!$H1029,0)</f>
        <v>0</v>
      </c>
      <c r="T1029" s="48">
        <f>IF(Учет!$O1029=Справочники!$F$5,Учет!$H1029,0)</f>
        <v>0</v>
      </c>
      <c r="U1029" s="48">
        <f>IF(Учет!$O1029=Справочники!$F$6,Учет!$H1029,0)</f>
        <v>0</v>
      </c>
      <c r="V1029" s="43">
        <f>V1028+Учет!Q1029-Q1029</f>
        <v>-488978.92000000004</v>
      </c>
      <c r="W1029" s="43">
        <f>W1028+Учет!R1029-R1029</f>
        <v>336855</v>
      </c>
      <c r="X1029" s="43">
        <f>X1028+Учет!S1029-S1029</f>
        <v>500</v>
      </c>
      <c r="Y1029" s="43">
        <f>Y1028+Учет!T1029-T1029</f>
        <v>1150</v>
      </c>
      <c r="Z1029" s="43">
        <f>Z1028+Учет!U1029-U1029</f>
        <v>500000</v>
      </c>
      <c r="AA1029" s="45">
        <f>Учет!X1029</f>
        <v>500</v>
      </c>
    </row>
    <row r="1030" spans="1:27" ht="15" customHeight="1" x14ac:dyDescent="0.25">
      <c r="A1030" s="1"/>
      <c r="B1030" s="17"/>
      <c r="C1030" s="17"/>
      <c r="D1030" s="17"/>
      <c r="E1030" s="17"/>
      <c r="F1030" s="17"/>
      <c r="G1030" s="4">
        <f t="shared" si="45"/>
        <v>0</v>
      </c>
      <c r="H1030" s="17"/>
      <c r="I1030" s="4">
        <f t="shared" si="47"/>
        <v>349526.07999999996</v>
      </c>
      <c r="J1030" s="32" t="str">
        <f t="shared" si="46"/>
        <v/>
      </c>
      <c r="K1030" s="72"/>
      <c r="L1030" s="72"/>
      <c r="M1030" s="2"/>
      <c r="N1030" s="5"/>
      <c r="O1030" s="3"/>
      <c r="P1030" s="6"/>
      <c r="Q1030" s="48">
        <f>IF(Учет!$O1030=Справочники!$F$2,Учет!$H1030,0)</f>
        <v>0</v>
      </c>
      <c r="R1030" s="48">
        <f>IF(Учет!$O1030=Справочники!$F$3,Учет!$H1030,0)</f>
        <v>0</v>
      </c>
      <c r="S1030" s="48">
        <f>IF(Учет!$O1030=Справочники!$F$4,Учет!$H1030,0)</f>
        <v>0</v>
      </c>
      <c r="T1030" s="48">
        <f>IF(Учет!$O1030=Справочники!$F$5,Учет!$H1030,0)</f>
        <v>0</v>
      </c>
      <c r="U1030" s="48">
        <f>IF(Учет!$O1030=Справочники!$F$6,Учет!$H1030,0)</f>
        <v>0</v>
      </c>
      <c r="V1030" s="43">
        <f>V1029+Учет!Q1030-Q1030</f>
        <v>-488978.92000000004</v>
      </c>
      <c r="W1030" s="43">
        <f>W1029+Учет!R1030-R1030</f>
        <v>336855</v>
      </c>
      <c r="X1030" s="43">
        <f>X1029+Учет!S1030-S1030</f>
        <v>500</v>
      </c>
      <c r="Y1030" s="43">
        <f>Y1029+Учет!T1030-T1030</f>
        <v>1150</v>
      </c>
      <c r="Z1030" s="43">
        <f>Z1029+Учет!U1030-U1030</f>
        <v>500000</v>
      </c>
      <c r="AA1030" s="45">
        <f>Учет!X1030</f>
        <v>500</v>
      </c>
    </row>
    <row r="1031" spans="1:27" ht="15" customHeight="1" x14ac:dyDescent="0.25">
      <c r="A1031" s="1"/>
      <c r="B1031" s="17"/>
      <c r="C1031" s="17"/>
      <c r="D1031" s="17"/>
      <c r="E1031" s="17"/>
      <c r="F1031" s="17"/>
      <c r="G1031" s="4">
        <f t="shared" si="45"/>
        <v>0</v>
      </c>
      <c r="H1031" s="17"/>
      <c r="I1031" s="4">
        <f t="shared" si="47"/>
        <v>349526.07999999996</v>
      </c>
      <c r="J1031" s="32" t="str">
        <f t="shared" si="46"/>
        <v/>
      </c>
      <c r="K1031" s="72"/>
      <c r="L1031" s="72"/>
      <c r="M1031" s="2"/>
      <c r="N1031" s="5"/>
      <c r="O1031" s="3"/>
      <c r="P1031" s="6"/>
      <c r="Q1031" s="48">
        <f>IF(Учет!$O1031=Справочники!$F$2,Учет!$H1031,0)</f>
        <v>0</v>
      </c>
      <c r="R1031" s="48">
        <f>IF(Учет!$O1031=Справочники!$F$3,Учет!$H1031,0)</f>
        <v>0</v>
      </c>
      <c r="S1031" s="48">
        <f>IF(Учет!$O1031=Справочники!$F$4,Учет!$H1031,0)</f>
        <v>0</v>
      </c>
      <c r="T1031" s="48">
        <f>IF(Учет!$O1031=Справочники!$F$5,Учет!$H1031,0)</f>
        <v>0</v>
      </c>
      <c r="U1031" s="48">
        <f>IF(Учет!$O1031=Справочники!$F$6,Учет!$H1031,0)</f>
        <v>0</v>
      </c>
      <c r="V1031" s="43">
        <f>V1030+Учет!Q1031-Q1031</f>
        <v>-488978.92000000004</v>
      </c>
      <c r="W1031" s="43">
        <f>W1030+Учет!R1031-R1031</f>
        <v>336855</v>
      </c>
      <c r="X1031" s="43">
        <f>X1030+Учет!S1031-S1031</f>
        <v>500</v>
      </c>
      <c r="Y1031" s="43">
        <f>Y1030+Учет!T1031-T1031</f>
        <v>1150</v>
      </c>
      <c r="Z1031" s="43">
        <f>Z1030+Учет!U1031-U1031</f>
        <v>500000</v>
      </c>
      <c r="AA1031" s="45">
        <f>Учет!X1031</f>
        <v>500</v>
      </c>
    </row>
    <row r="1032" spans="1:27" ht="15" customHeight="1" x14ac:dyDescent="0.25">
      <c r="A1032" s="1"/>
      <c r="B1032" s="17"/>
      <c r="C1032" s="17"/>
      <c r="D1032" s="17"/>
      <c r="E1032" s="17"/>
      <c r="F1032" s="17"/>
      <c r="G1032" s="4">
        <f t="shared" si="45"/>
        <v>0</v>
      </c>
      <c r="H1032" s="17"/>
      <c r="I1032" s="4">
        <f t="shared" si="47"/>
        <v>349526.07999999996</v>
      </c>
      <c r="J1032" s="32" t="str">
        <f t="shared" si="46"/>
        <v/>
      </c>
      <c r="K1032" s="72"/>
      <c r="L1032" s="72"/>
      <c r="M1032" s="2"/>
      <c r="N1032" s="5"/>
      <c r="O1032" s="3"/>
      <c r="P1032" s="6"/>
      <c r="Q1032" s="48">
        <f>IF(Учет!$O1032=Справочники!$F$2,Учет!$H1032,0)</f>
        <v>0</v>
      </c>
      <c r="R1032" s="48">
        <f>IF(Учет!$O1032=Справочники!$F$3,Учет!$H1032,0)</f>
        <v>0</v>
      </c>
      <c r="S1032" s="48">
        <f>IF(Учет!$O1032=Справочники!$F$4,Учет!$H1032,0)</f>
        <v>0</v>
      </c>
      <c r="T1032" s="48">
        <f>IF(Учет!$O1032=Справочники!$F$5,Учет!$H1032,0)</f>
        <v>0</v>
      </c>
      <c r="U1032" s="48">
        <f>IF(Учет!$O1032=Справочники!$F$6,Учет!$H1032,0)</f>
        <v>0</v>
      </c>
      <c r="V1032" s="43">
        <f>V1031+Учет!Q1032-Q1032</f>
        <v>-488978.92000000004</v>
      </c>
      <c r="W1032" s="43">
        <f>W1031+Учет!R1032-R1032</f>
        <v>336855</v>
      </c>
      <c r="X1032" s="43">
        <f>X1031+Учет!S1032-S1032</f>
        <v>500</v>
      </c>
      <c r="Y1032" s="43">
        <f>Y1031+Учет!T1032-T1032</f>
        <v>1150</v>
      </c>
      <c r="Z1032" s="43">
        <f>Z1031+Учет!U1032-U1032</f>
        <v>500000</v>
      </c>
      <c r="AA1032" s="45">
        <f>Учет!X1032</f>
        <v>500</v>
      </c>
    </row>
    <row r="1033" spans="1:27" ht="15" customHeight="1" x14ac:dyDescent="0.25">
      <c r="A1033" s="1"/>
      <c r="B1033" s="17"/>
      <c r="C1033" s="17"/>
      <c r="D1033" s="17"/>
      <c r="E1033" s="17"/>
      <c r="F1033" s="17"/>
      <c r="G1033" s="4">
        <f t="shared" si="45"/>
        <v>0</v>
      </c>
      <c r="H1033" s="17"/>
      <c r="I1033" s="4">
        <f t="shared" si="47"/>
        <v>349526.07999999996</v>
      </c>
      <c r="J1033" s="32" t="str">
        <f t="shared" si="46"/>
        <v/>
      </c>
      <c r="K1033" s="72"/>
      <c r="L1033" s="72"/>
      <c r="M1033" s="2"/>
      <c r="N1033" s="5"/>
      <c r="O1033" s="3"/>
      <c r="P1033" s="6"/>
      <c r="Q1033" s="48">
        <f>IF(Учет!$O1033=Справочники!$F$2,Учет!$H1033,0)</f>
        <v>0</v>
      </c>
      <c r="R1033" s="48">
        <f>IF(Учет!$O1033=Справочники!$F$3,Учет!$H1033,0)</f>
        <v>0</v>
      </c>
      <c r="S1033" s="48">
        <f>IF(Учет!$O1033=Справочники!$F$4,Учет!$H1033,0)</f>
        <v>0</v>
      </c>
      <c r="T1033" s="48">
        <f>IF(Учет!$O1033=Справочники!$F$5,Учет!$H1033,0)</f>
        <v>0</v>
      </c>
      <c r="U1033" s="48">
        <f>IF(Учет!$O1033=Справочники!$F$6,Учет!$H1033,0)</f>
        <v>0</v>
      </c>
      <c r="V1033" s="43">
        <f>V1032+Учет!Q1033-Q1033</f>
        <v>-488978.92000000004</v>
      </c>
      <c r="W1033" s="43">
        <f>W1032+Учет!R1033-R1033</f>
        <v>336855</v>
      </c>
      <c r="X1033" s="43">
        <f>X1032+Учет!S1033-S1033</f>
        <v>500</v>
      </c>
      <c r="Y1033" s="43">
        <f>Y1032+Учет!T1033-T1033</f>
        <v>1150</v>
      </c>
      <c r="Z1033" s="43">
        <f>Z1032+Учет!U1033-U1033</f>
        <v>500000</v>
      </c>
      <c r="AA1033" s="45">
        <f>Учет!X1033</f>
        <v>500</v>
      </c>
    </row>
    <row r="1034" spans="1:27" ht="15" customHeight="1" x14ac:dyDescent="0.25">
      <c r="A1034" s="1"/>
      <c r="B1034" s="17"/>
      <c r="C1034" s="17"/>
      <c r="D1034" s="17"/>
      <c r="E1034" s="17"/>
      <c r="F1034" s="17"/>
      <c r="G1034" s="4">
        <f t="shared" si="45"/>
        <v>0</v>
      </c>
      <c r="H1034" s="17"/>
      <c r="I1034" s="4">
        <f t="shared" si="47"/>
        <v>349526.07999999996</v>
      </c>
      <c r="J1034" s="32" t="str">
        <f t="shared" si="46"/>
        <v/>
      </c>
      <c r="K1034" s="72"/>
      <c r="L1034" s="72"/>
      <c r="M1034" s="2"/>
      <c r="N1034" s="5"/>
      <c r="O1034" s="3"/>
      <c r="P1034" s="6"/>
      <c r="Q1034" s="48">
        <f>IF(Учет!$O1034=Справочники!$F$2,Учет!$H1034,0)</f>
        <v>0</v>
      </c>
      <c r="R1034" s="48">
        <f>IF(Учет!$O1034=Справочники!$F$3,Учет!$H1034,0)</f>
        <v>0</v>
      </c>
      <c r="S1034" s="48">
        <f>IF(Учет!$O1034=Справочники!$F$4,Учет!$H1034,0)</f>
        <v>0</v>
      </c>
      <c r="T1034" s="48">
        <f>IF(Учет!$O1034=Справочники!$F$5,Учет!$H1034,0)</f>
        <v>0</v>
      </c>
      <c r="U1034" s="48">
        <f>IF(Учет!$O1034=Справочники!$F$6,Учет!$H1034,0)</f>
        <v>0</v>
      </c>
      <c r="V1034" s="43">
        <f>V1033+Учет!Q1034-Q1034</f>
        <v>-488978.92000000004</v>
      </c>
      <c r="W1034" s="43">
        <f>W1033+Учет!R1034-R1034</f>
        <v>336855</v>
      </c>
      <c r="X1034" s="43">
        <f>X1033+Учет!S1034-S1034</f>
        <v>500</v>
      </c>
      <c r="Y1034" s="43">
        <f>Y1033+Учет!T1034-T1034</f>
        <v>1150</v>
      </c>
      <c r="Z1034" s="43">
        <f>Z1033+Учет!U1034-U1034</f>
        <v>500000</v>
      </c>
      <c r="AA1034" s="45">
        <f>Учет!X1034</f>
        <v>500</v>
      </c>
    </row>
    <row r="1035" spans="1:27" ht="15" customHeight="1" x14ac:dyDescent="0.25">
      <c r="A1035" s="1"/>
      <c r="B1035" s="17"/>
      <c r="C1035" s="17"/>
      <c r="D1035" s="17"/>
      <c r="E1035" s="17"/>
      <c r="F1035" s="17"/>
      <c r="G1035" s="4">
        <f t="shared" si="45"/>
        <v>0</v>
      </c>
      <c r="H1035" s="17"/>
      <c r="I1035" s="4">
        <f t="shared" si="47"/>
        <v>349526.07999999996</v>
      </c>
      <c r="J1035" s="32" t="str">
        <f t="shared" si="46"/>
        <v/>
      </c>
      <c r="K1035" s="72"/>
      <c r="L1035" s="72"/>
      <c r="M1035" s="2"/>
      <c r="N1035" s="5"/>
      <c r="O1035" s="3"/>
      <c r="P1035" s="6"/>
      <c r="Q1035" s="48">
        <f>IF(Учет!$O1035=Справочники!$F$2,Учет!$H1035,0)</f>
        <v>0</v>
      </c>
      <c r="R1035" s="48">
        <f>IF(Учет!$O1035=Справочники!$F$3,Учет!$H1035,0)</f>
        <v>0</v>
      </c>
      <c r="S1035" s="48">
        <f>IF(Учет!$O1035=Справочники!$F$4,Учет!$H1035,0)</f>
        <v>0</v>
      </c>
      <c r="T1035" s="48">
        <f>IF(Учет!$O1035=Справочники!$F$5,Учет!$H1035,0)</f>
        <v>0</v>
      </c>
      <c r="U1035" s="48">
        <f>IF(Учет!$O1035=Справочники!$F$6,Учет!$H1035,0)</f>
        <v>0</v>
      </c>
      <c r="V1035" s="43">
        <f>V1034+Учет!Q1035-Q1035</f>
        <v>-488978.92000000004</v>
      </c>
      <c r="W1035" s="43">
        <f>W1034+Учет!R1035-R1035</f>
        <v>336855</v>
      </c>
      <c r="X1035" s="43">
        <f>X1034+Учет!S1035-S1035</f>
        <v>500</v>
      </c>
      <c r="Y1035" s="43">
        <f>Y1034+Учет!T1035-T1035</f>
        <v>1150</v>
      </c>
      <c r="Z1035" s="43">
        <f>Z1034+Учет!U1035-U1035</f>
        <v>500000</v>
      </c>
      <c r="AA1035" s="45">
        <f>Учет!X1035</f>
        <v>500</v>
      </c>
    </row>
    <row r="1036" spans="1:27" ht="15" customHeight="1" x14ac:dyDescent="0.25">
      <c r="A1036" s="1"/>
      <c r="B1036" s="17"/>
      <c r="C1036" s="17"/>
      <c r="D1036" s="17"/>
      <c r="E1036" s="17"/>
      <c r="F1036" s="17"/>
      <c r="G1036" s="4">
        <f t="shared" si="45"/>
        <v>0</v>
      </c>
      <c r="H1036" s="17"/>
      <c r="I1036" s="4">
        <f t="shared" si="47"/>
        <v>349526.07999999996</v>
      </c>
      <c r="J1036" s="32" t="str">
        <f t="shared" si="46"/>
        <v/>
      </c>
      <c r="K1036" s="72"/>
      <c r="L1036" s="72"/>
      <c r="M1036" s="2"/>
      <c r="N1036" s="5"/>
      <c r="O1036" s="3"/>
      <c r="P1036" s="6"/>
      <c r="Q1036" s="48">
        <f>IF(Учет!$O1036=Справочники!$F$2,Учет!$H1036,0)</f>
        <v>0</v>
      </c>
      <c r="R1036" s="48">
        <f>IF(Учет!$O1036=Справочники!$F$3,Учет!$H1036,0)</f>
        <v>0</v>
      </c>
      <c r="S1036" s="48">
        <f>IF(Учет!$O1036=Справочники!$F$4,Учет!$H1036,0)</f>
        <v>0</v>
      </c>
      <c r="T1036" s="48">
        <f>IF(Учет!$O1036=Справочники!$F$5,Учет!$H1036,0)</f>
        <v>0</v>
      </c>
      <c r="U1036" s="48">
        <f>IF(Учет!$O1036=Справочники!$F$6,Учет!$H1036,0)</f>
        <v>0</v>
      </c>
      <c r="V1036" s="43">
        <f>V1035+Учет!Q1036-Q1036</f>
        <v>-488978.92000000004</v>
      </c>
      <c r="W1036" s="43">
        <f>W1035+Учет!R1036-R1036</f>
        <v>336855</v>
      </c>
      <c r="X1036" s="43">
        <f>X1035+Учет!S1036-S1036</f>
        <v>500</v>
      </c>
      <c r="Y1036" s="43">
        <f>Y1035+Учет!T1036-T1036</f>
        <v>1150</v>
      </c>
      <c r="Z1036" s="43">
        <f>Z1035+Учет!U1036-U1036</f>
        <v>500000</v>
      </c>
      <c r="AA1036" s="45">
        <f>Учет!X1036</f>
        <v>500</v>
      </c>
    </row>
    <row r="1037" spans="1:27" ht="15" customHeight="1" x14ac:dyDescent="0.25">
      <c r="A1037" s="1"/>
      <c r="B1037" s="17"/>
      <c r="C1037" s="17"/>
      <c r="D1037" s="17"/>
      <c r="E1037" s="17"/>
      <c r="F1037" s="17"/>
      <c r="G1037" s="4">
        <f t="shared" si="45"/>
        <v>0</v>
      </c>
      <c r="H1037" s="17"/>
      <c r="I1037" s="4">
        <f t="shared" si="47"/>
        <v>349526.07999999996</v>
      </c>
      <c r="J1037" s="32" t="str">
        <f t="shared" si="46"/>
        <v/>
      </c>
      <c r="K1037" s="72"/>
      <c r="L1037" s="72"/>
      <c r="M1037" s="2"/>
      <c r="N1037" s="5"/>
      <c r="O1037" s="3"/>
      <c r="P1037" s="6"/>
      <c r="Q1037" s="48">
        <f>IF(Учет!$O1037=Справочники!$F$2,Учет!$H1037,0)</f>
        <v>0</v>
      </c>
      <c r="R1037" s="48">
        <f>IF(Учет!$O1037=Справочники!$F$3,Учет!$H1037,0)</f>
        <v>0</v>
      </c>
      <c r="S1037" s="48">
        <f>IF(Учет!$O1037=Справочники!$F$4,Учет!$H1037,0)</f>
        <v>0</v>
      </c>
      <c r="T1037" s="48">
        <f>IF(Учет!$O1037=Справочники!$F$5,Учет!$H1037,0)</f>
        <v>0</v>
      </c>
      <c r="U1037" s="48">
        <f>IF(Учет!$O1037=Справочники!$F$6,Учет!$H1037,0)</f>
        <v>0</v>
      </c>
      <c r="V1037" s="43">
        <f>V1036+Учет!Q1037-Q1037</f>
        <v>-488978.92000000004</v>
      </c>
      <c r="W1037" s="43">
        <f>W1036+Учет!R1037-R1037</f>
        <v>336855</v>
      </c>
      <c r="X1037" s="43">
        <f>X1036+Учет!S1037-S1037</f>
        <v>500</v>
      </c>
      <c r="Y1037" s="43">
        <f>Y1036+Учет!T1037-T1037</f>
        <v>1150</v>
      </c>
      <c r="Z1037" s="43">
        <f>Z1036+Учет!U1037-U1037</f>
        <v>500000</v>
      </c>
      <c r="AA1037" s="45">
        <f>Учет!X1037</f>
        <v>500</v>
      </c>
    </row>
    <row r="1038" spans="1:27" ht="15" customHeight="1" x14ac:dyDescent="0.25">
      <c r="A1038" s="1"/>
      <c r="B1038" s="17"/>
      <c r="C1038" s="17"/>
      <c r="D1038" s="17"/>
      <c r="E1038" s="17"/>
      <c r="F1038" s="17"/>
      <c r="G1038" s="4">
        <f t="shared" si="45"/>
        <v>0</v>
      </c>
      <c r="H1038" s="17"/>
      <c r="I1038" s="4">
        <f t="shared" si="47"/>
        <v>349526.07999999996</v>
      </c>
      <c r="J1038" s="32" t="str">
        <f t="shared" si="46"/>
        <v/>
      </c>
      <c r="K1038" s="72"/>
      <c r="L1038" s="72"/>
      <c r="M1038" s="2"/>
      <c r="N1038" s="5"/>
      <c r="O1038" s="3"/>
      <c r="P1038" s="6"/>
      <c r="Q1038" s="48">
        <f>IF(Учет!$O1038=Справочники!$F$2,Учет!$H1038,0)</f>
        <v>0</v>
      </c>
      <c r="R1038" s="48">
        <f>IF(Учет!$O1038=Справочники!$F$3,Учет!$H1038,0)</f>
        <v>0</v>
      </c>
      <c r="S1038" s="48">
        <f>IF(Учет!$O1038=Справочники!$F$4,Учет!$H1038,0)</f>
        <v>0</v>
      </c>
      <c r="T1038" s="48">
        <f>IF(Учет!$O1038=Справочники!$F$5,Учет!$H1038,0)</f>
        <v>0</v>
      </c>
      <c r="U1038" s="48">
        <f>IF(Учет!$O1038=Справочники!$F$6,Учет!$H1038,0)</f>
        <v>0</v>
      </c>
      <c r="V1038" s="43">
        <f>V1037+Учет!Q1038-Q1038</f>
        <v>-488978.92000000004</v>
      </c>
      <c r="W1038" s="43">
        <f>W1037+Учет!R1038-R1038</f>
        <v>336855</v>
      </c>
      <c r="X1038" s="43">
        <f>X1037+Учет!S1038-S1038</f>
        <v>500</v>
      </c>
      <c r="Y1038" s="43">
        <f>Y1037+Учет!T1038-T1038</f>
        <v>1150</v>
      </c>
      <c r="Z1038" s="43">
        <f>Z1037+Учет!U1038-U1038</f>
        <v>500000</v>
      </c>
      <c r="AA1038" s="45">
        <f>Учет!X1038</f>
        <v>500</v>
      </c>
    </row>
    <row r="1039" spans="1:27" ht="15" customHeight="1" x14ac:dyDescent="0.25">
      <c r="A1039" s="1"/>
      <c r="B1039" s="17"/>
      <c r="C1039" s="17"/>
      <c r="D1039" s="17"/>
      <c r="E1039" s="17"/>
      <c r="F1039" s="17"/>
      <c r="G1039" s="4">
        <f t="shared" si="45"/>
        <v>0</v>
      </c>
      <c r="H1039" s="17"/>
      <c r="I1039" s="4">
        <f t="shared" si="47"/>
        <v>349526.07999999996</v>
      </c>
      <c r="J1039" s="32" t="str">
        <f t="shared" si="46"/>
        <v/>
      </c>
      <c r="K1039" s="72"/>
      <c r="L1039" s="72"/>
      <c r="M1039" s="2"/>
      <c r="N1039" s="5"/>
      <c r="O1039" s="3"/>
      <c r="P1039" s="6"/>
      <c r="Q1039" s="48">
        <f>IF(Учет!$O1039=Справочники!$F$2,Учет!$H1039,0)</f>
        <v>0</v>
      </c>
      <c r="R1039" s="48">
        <f>IF(Учет!$O1039=Справочники!$F$3,Учет!$H1039,0)</f>
        <v>0</v>
      </c>
      <c r="S1039" s="48">
        <f>IF(Учет!$O1039=Справочники!$F$4,Учет!$H1039,0)</f>
        <v>0</v>
      </c>
      <c r="T1039" s="48">
        <f>IF(Учет!$O1039=Справочники!$F$5,Учет!$H1039,0)</f>
        <v>0</v>
      </c>
      <c r="U1039" s="48">
        <f>IF(Учет!$O1039=Справочники!$F$6,Учет!$H1039,0)</f>
        <v>0</v>
      </c>
      <c r="V1039" s="43">
        <f>V1038+Учет!Q1039-Q1039</f>
        <v>-488978.92000000004</v>
      </c>
      <c r="W1039" s="43">
        <f>W1038+Учет!R1039-R1039</f>
        <v>336855</v>
      </c>
      <c r="X1039" s="43">
        <f>X1038+Учет!S1039-S1039</f>
        <v>500</v>
      </c>
      <c r="Y1039" s="43">
        <f>Y1038+Учет!T1039-T1039</f>
        <v>1150</v>
      </c>
      <c r="Z1039" s="43">
        <f>Z1038+Учет!U1039-U1039</f>
        <v>500000</v>
      </c>
      <c r="AA1039" s="45">
        <f>Учет!X1039</f>
        <v>500</v>
      </c>
    </row>
    <row r="1040" spans="1:27" ht="15" customHeight="1" x14ac:dyDescent="0.25">
      <c r="A1040" s="1"/>
      <c r="B1040" s="17"/>
      <c r="C1040" s="17"/>
      <c r="D1040" s="17"/>
      <c r="E1040" s="17"/>
      <c r="F1040" s="17"/>
      <c r="G1040" s="4">
        <f t="shared" si="45"/>
        <v>0</v>
      </c>
      <c r="H1040" s="17"/>
      <c r="I1040" s="4">
        <f t="shared" si="47"/>
        <v>349526.07999999996</v>
      </c>
      <c r="J1040" s="32" t="str">
        <f t="shared" si="46"/>
        <v/>
      </c>
      <c r="K1040" s="72"/>
      <c r="L1040" s="72"/>
      <c r="M1040" s="2"/>
      <c r="N1040" s="5"/>
      <c r="O1040" s="3"/>
      <c r="P1040" s="6"/>
      <c r="Q1040" s="48">
        <f>IF(Учет!$O1040=Справочники!$F$2,Учет!$H1040,0)</f>
        <v>0</v>
      </c>
      <c r="R1040" s="48">
        <f>IF(Учет!$O1040=Справочники!$F$3,Учет!$H1040,0)</f>
        <v>0</v>
      </c>
      <c r="S1040" s="48">
        <f>IF(Учет!$O1040=Справочники!$F$4,Учет!$H1040,0)</f>
        <v>0</v>
      </c>
      <c r="T1040" s="48">
        <f>IF(Учет!$O1040=Справочники!$F$5,Учет!$H1040,0)</f>
        <v>0</v>
      </c>
      <c r="U1040" s="48">
        <f>IF(Учет!$O1040=Справочники!$F$6,Учет!$H1040,0)</f>
        <v>0</v>
      </c>
      <c r="V1040" s="43">
        <f>V1039+Учет!Q1040-Q1040</f>
        <v>-488978.92000000004</v>
      </c>
      <c r="W1040" s="43">
        <f>W1039+Учет!R1040-R1040</f>
        <v>336855</v>
      </c>
      <c r="X1040" s="43">
        <f>X1039+Учет!S1040-S1040</f>
        <v>500</v>
      </c>
      <c r="Y1040" s="43">
        <f>Y1039+Учет!T1040-T1040</f>
        <v>1150</v>
      </c>
      <c r="Z1040" s="43">
        <f>Z1039+Учет!U1040-U1040</f>
        <v>500000</v>
      </c>
      <c r="AA1040" s="45">
        <f>Учет!X1040</f>
        <v>500</v>
      </c>
    </row>
    <row r="1041" spans="1:27" ht="15" customHeight="1" x14ac:dyDescent="0.25">
      <c r="A1041" s="1"/>
      <c r="B1041" s="17"/>
      <c r="C1041" s="17"/>
      <c r="D1041" s="17"/>
      <c r="E1041" s="17"/>
      <c r="F1041" s="17"/>
      <c r="G1041" s="4">
        <f t="shared" si="45"/>
        <v>0</v>
      </c>
      <c r="H1041" s="17"/>
      <c r="I1041" s="4">
        <f t="shared" si="47"/>
        <v>349526.07999999996</v>
      </c>
      <c r="J1041" s="32" t="str">
        <f t="shared" si="46"/>
        <v/>
      </c>
      <c r="K1041" s="72"/>
      <c r="L1041" s="72"/>
      <c r="M1041" s="2"/>
      <c r="N1041" s="5"/>
      <c r="O1041" s="3"/>
      <c r="P1041" s="6"/>
      <c r="Q1041" s="48">
        <f>IF(Учет!$O1041=Справочники!$F$2,Учет!$H1041,0)</f>
        <v>0</v>
      </c>
      <c r="R1041" s="48">
        <f>IF(Учет!$O1041=Справочники!$F$3,Учет!$H1041,0)</f>
        <v>0</v>
      </c>
      <c r="S1041" s="48">
        <f>IF(Учет!$O1041=Справочники!$F$4,Учет!$H1041,0)</f>
        <v>0</v>
      </c>
      <c r="T1041" s="48">
        <f>IF(Учет!$O1041=Справочники!$F$5,Учет!$H1041,0)</f>
        <v>0</v>
      </c>
      <c r="U1041" s="48">
        <f>IF(Учет!$O1041=Справочники!$F$6,Учет!$H1041,0)</f>
        <v>0</v>
      </c>
      <c r="V1041" s="43">
        <f>V1040+Учет!Q1041-Q1041</f>
        <v>-488978.92000000004</v>
      </c>
      <c r="W1041" s="43">
        <f>W1040+Учет!R1041-R1041</f>
        <v>336855</v>
      </c>
      <c r="X1041" s="43">
        <f>X1040+Учет!S1041-S1041</f>
        <v>500</v>
      </c>
      <c r="Y1041" s="43">
        <f>Y1040+Учет!T1041-T1041</f>
        <v>1150</v>
      </c>
      <c r="Z1041" s="43">
        <f>Z1040+Учет!U1041-U1041</f>
        <v>500000</v>
      </c>
      <c r="AA1041" s="45">
        <f>Учет!X1041</f>
        <v>500</v>
      </c>
    </row>
    <row r="1042" spans="1:27" ht="15" customHeight="1" x14ac:dyDescent="0.25">
      <c r="A1042" s="1"/>
      <c r="B1042" s="17"/>
      <c r="C1042" s="17"/>
      <c r="D1042" s="17"/>
      <c r="E1042" s="17"/>
      <c r="F1042" s="17"/>
      <c r="G1042" s="4">
        <f t="shared" si="45"/>
        <v>0</v>
      </c>
      <c r="H1042" s="17"/>
      <c r="I1042" s="4">
        <f t="shared" si="47"/>
        <v>349526.07999999996</v>
      </c>
      <c r="J1042" s="32" t="str">
        <f t="shared" si="46"/>
        <v/>
      </c>
      <c r="K1042" s="72"/>
      <c r="L1042" s="72"/>
      <c r="M1042" s="2"/>
      <c r="N1042" s="5"/>
      <c r="O1042" s="3"/>
      <c r="P1042" s="6"/>
      <c r="Q1042" s="48">
        <f>IF(Учет!$O1042=Справочники!$F$2,Учет!$H1042,0)</f>
        <v>0</v>
      </c>
      <c r="R1042" s="48">
        <f>IF(Учет!$O1042=Справочники!$F$3,Учет!$H1042,0)</f>
        <v>0</v>
      </c>
      <c r="S1042" s="48">
        <f>IF(Учет!$O1042=Справочники!$F$4,Учет!$H1042,0)</f>
        <v>0</v>
      </c>
      <c r="T1042" s="48">
        <f>IF(Учет!$O1042=Справочники!$F$5,Учет!$H1042,0)</f>
        <v>0</v>
      </c>
      <c r="U1042" s="48">
        <f>IF(Учет!$O1042=Справочники!$F$6,Учет!$H1042,0)</f>
        <v>0</v>
      </c>
      <c r="V1042" s="43">
        <f>V1041+Учет!Q1042-Q1042</f>
        <v>-488978.92000000004</v>
      </c>
      <c r="W1042" s="43">
        <f>W1041+Учет!R1042-R1042</f>
        <v>336855</v>
      </c>
      <c r="X1042" s="43">
        <f>X1041+Учет!S1042-S1042</f>
        <v>500</v>
      </c>
      <c r="Y1042" s="43">
        <f>Y1041+Учет!T1042-T1042</f>
        <v>1150</v>
      </c>
      <c r="Z1042" s="43">
        <f>Z1041+Учет!U1042-U1042</f>
        <v>500000</v>
      </c>
      <c r="AA1042" s="45">
        <f>Учет!X1042</f>
        <v>500</v>
      </c>
    </row>
    <row r="1043" spans="1:27" ht="15" customHeight="1" x14ac:dyDescent="0.25">
      <c r="A1043" s="1"/>
      <c r="B1043" s="17"/>
      <c r="C1043" s="17"/>
      <c r="D1043" s="17"/>
      <c r="E1043" s="17"/>
      <c r="F1043" s="17"/>
      <c r="G1043" s="4">
        <f t="shared" si="45"/>
        <v>0</v>
      </c>
      <c r="H1043" s="17"/>
      <c r="I1043" s="4">
        <f t="shared" si="47"/>
        <v>349526.07999999996</v>
      </c>
      <c r="J1043" s="32" t="str">
        <f t="shared" si="46"/>
        <v/>
      </c>
      <c r="K1043" s="72"/>
      <c r="L1043" s="72"/>
      <c r="M1043" s="2"/>
      <c r="N1043" s="5"/>
      <c r="O1043" s="3"/>
      <c r="P1043" s="6"/>
      <c r="Q1043" s="48">
        <f>IF(Учет!$O1043=Справочники!$F$2,Учет!$H1043,0)</f>
        <v>0</v>
      </c>
      <c r="R1043" s="48">
        <f>IF(Учет!$O1043=Справочники!$F$3,Учет!$H1043,0)</f>
        <v>0</v>
      </c>
      <c r="S1043" s="48">
        <f>IF(Учет!$O1043=Справочники!$F$4,Учет!$H1043,0)</f>
        <v>0</v>
      </c>
      <c r="T1043" s="48">
        <f>IF(Учет!$O1043=Справочники!$F$5,Учет!$H1043,0)</f>
        <v>0</v>
      </c>
      <c r="U1043" s="48">
        <f>IF(Учет!$O1043=Справочники!$F$6,Учет!$H1043,0)</f>
        <v>0</v>
      </c>
      <c r="V1043" s="43">
        <f>V1042+Учет!Q1043-Q1043</f>
        <v>-488978.92000000004</v>
      </c>
      <c r="W1043" s="43">
        <f>W1042+Учет!R1043-R1043</f>
        <v>336855</v>
      </c>
      <c r="X1043" s="43">
        <f>X1042+Учет!S1043-S1043</f>
        <v>500</v>
      </c>
      <c r="Y1043" s="43">
        <f>Y1042+Учет!T1043-T1043</f>
        <v>1150</v>
      </c>
      <c r="Z1043" s="43">
        <f>Z1042+Учет!U1043-U1043</f>
        <v>500000</v>
      </c>
      <c r="AA1043" s="45">
        <f>Учет!X1043</f>
        <v>500</v>
      </c>
    </row>
    <row r="1044" spans="1:27" ht="15" customHeight="1" x14ac:dyDescent="0.25">
      <c r="A1044" s="1"/>
      <c r="B1044" s="17"/>
      <c r="C1044" s="17"/>
      <c r="D1044" s="17"/>
      <c r="E1044" s="17"/>
      <c r="F1044" s="17"/>
      <c r="G1044" s="4">
        <f t="shared" si="45"/>
        <v>0</v>
      </c>
      <c r="H1044" s="17"/>
      <c r="I1044" s="4">
        <f t="shared" si="47"/>
        <v>349526.07999999996</v>
      </c>
      <c r="J1044" s="32" t="str">
        <f t="shared" si="46"/>
        <v/>
      </c>
      <c r="K1044" s="72"/>
      <c r="L1044" s="72"/>
      <c r="M1044" s="2"/>
      <c r="N1044" s="5"/>
      <c r="O1044" s="3"/>
      <c r="P1044" s="6"/>
      <c r="Q1044" s="48">
        <f>IF(Учет!$O1044=Справочники!$F$2,Учет!$H1044,0)</f>
        <v>0</v>
      </c>
      <c r="R1044" s="48">
        <f>IF(Учет!$O1044=Справочники!$F$3,Учет!$H1044,0)</f>
        <v>0</v>
      </c>
      <c r="S1044" s="48">
        <f>IF(Учет!$O1044=Справочники!$F$4,Учет!$H1044,0)</f>
        <v>0</v>
      </c>
      <c r="T1044" s="48">
        <f>IF(Учет!$O1044=Справочники!$F$5,Учет!$H1044,0)</f>
        <v>0</v>
      </c>
      <c r="U1044" s="48">
        <f>IF(Учет!$O1044=Справочники!$F$6,Учет!$H1044,0)</f>
        <v>0</v>
      </c>
      <c r="V1044" s="43">
        <f>V1043+Учет!Q1044-Q1044</f>
        <v>-488978.92000000004</v>
      </c>
      <c r="W1044" s="43">
        <f>W1043+Учет!R1044-R1044</f>
        <v>336855</v>
      </c>
      <c r="X1044" s="43">
        <f>X1043+Учет!S1044-S1044</f>
        <v>500</v>
      </c>
      <c r="Y1044" s="43">
        <f>Y1043+Учет!T1044-T1044</f>
        <v>1150</v>
      </c>
      <c r="Z1044" s="43">
        <f>Z1043+Учет!U1044-U1044</f>
        <v>500000</v>
      </c>
      <c r="AA1044" s="45">
        <f>Учет!X1044</f>
        <v>500</v>
      </c>
    </row>
    <row r="1045" spans="1:27" ht="15" customHeight="1" x14ac:dyDescent="0.25">
      <c r="A1045" s="1"/>
      <c r="B1045" s="17"/>
      <c r="C1045" s="17"/>
      <c r="D1045" s="17"/>
      <c r="E1045" s="17"/>
      <c r="F1045" s="17"/>
      <c r="G1045" s="4">
        <f t="shared" si="45"/>
        <v>0</v>
      </c>
      <c r="H1045" s="17"/>
      <c r="I1045" s="4">
        <f t="shared" si="47"/>
        <v>349526.07999999996</v>
      </c>
      <c r="J1045" s="32" t="str">
        <f t="shared" si="46"/>
        <v/>
      </c>
      <c r="K1045" s="72"/>
      <c r="L1045" s="72"/>
      <c r="M1045" s="2"/>
      <c r="N1045" s="5"/>
      <c r="O1045" s="3"/>
      <c r="P1045" s="6"/>
      <c r="Q1045" s="48">
        <f>IF(Учет!$O1045=Справочники!$F$2,Учет!$H1045,0)</f>
        <v>0</v>
      </c>
      <c r="R1045" s="48">
        <f>IF(Учет!$O1045=Справочники!$F$3,Учет!$H1045,0)</f>
        <v>0</v>
      </c>
      <c r="S1045" s="48">
        <f>IF(Учет!$O1045=Справочники!$F$4,Учет!$H1045,0)</f>
        <v>0</v>
      </c>
      <c r="T1045" s="48">
        <f>IF(Учет!$O1045=Справочники!$F$5,Учет!$H1045,0)</f>
        <v>0</v>
      </c>
      <c r="U1045" s="48">
        <f>IF(Учет!$O1045=Справочники!$F$6,Учет!$H1045,0)</f>
        <v>0</v>
      </c>
      <c r="V1045" s="43">
        <f>V1044+Учет!Q1045-Q1045</f>
        <v>-488978.92000000004</v>
      </c>
      <c r="W1045" s="43">
        <f>W1044+Учет!R1045-R1045</f>
        <v>336855</v>
      </c>
      <c r="X1045" s="43">
        <f>X1044+Учет!S1045-S1045</f>
        <v>500</v>
      </c>
      <c r="Y1045" s="43">
        <f>Y1044+Учет!T1045-T1045</f>
        <v>1150</v>
      </c>
      <c r="Z1045" s="43">
        <f>Z1044+Учет!U1045-U1045</f>
        <v>500000</v>
      </c>
      <c r="AA1045" s="45">
        <f>Учет!X1045</f>
        <v>500</v>
      </c>
    </row>
    <row r="1046" spans="1:27" ht="15" customHeight="1" x14ac:dyDescent="0.25">
      <c r="A1046" s="1"/>
      <c r="B1046" s="17"/>
      <c r="C1046" s="17"/>
      <c r="D1046" s="17"/>
      <c r="E1046" s="17"/>
      <c r="F1046" s="17"/>
      <c r="G1046" s="4">
        <f t="shared" si="45"/>
        <v>0</v>
      </c>
      <c r="H1046" s="17"/>
      <c r="I1046" s="4">
        <f t="shared" si="47"/>
        <v>349526.07999999996</v>
      </c>
      <c r="J1046" s="32" t="str">
        <f t="shared" si="46"/>
        <v/>
      </c>
      <c r="K1046" s="72"/>
      <c r="L1046" s="72"/>
      <c r="M1046" s="2"/>
      <c r="N1046" s="5"/>
      <c r="O1046" s="3"/>
      <c r="P1046" s="6"/>
      <c r="Q1046" s="48">
        <f>IF(Учет!$O1046=Справочники!$F$2,Учет!$H1046,0)</f>
        <v>0</v>
      </c>
      <c r="R1046" s="48">
        <f>IF(Учет!$O1046=Справочники!$F$3,Учет!$H1046,0)</f>
        <v>0</v>
      </c>
      <c r="S1046" s="48">
        <f>IF(Учет!$O1046=Справочники!$F$4,Учет!$H1046,0)</f>
        <v>0</v>
      </c>
      <c r="T1046" s="48">
        <f>IF(Учет!$O1046=Справочники!$F$5,Учет!$H1046,0)</f>
        <v>0</v>
      </c>
      <c r="U1046" s="48">
        <f>IF(Учет!$O1046=Справочники!$F$6,Учет!$H1046,0)</f>
        <v>0</v>
      </c>
      <c r="V1046" s="43">
        <f>V1045+Учет!Q1046-Q1046</f>
        <v>-488978.92000000004</v>
      </c>
      <c r="W1046" s="43">
        <f>W1045+Учет!R1046-R1046</f>
        <v>336855</v>
      </c>
      <c r="X1046" s="43">
        <f>X1045+Учет!S1046-S1046</f>
        <v>500</v>
      </c>
      <c r="Y1046" s="43">
        <f>Y1045+Учет!T1046-T1046</f>
        <v>1150</v>
      </c>
      <c r="Z1046" s="43">
        <f>Z1045+Учет!U1046-U1046</f>
        <v>500000</v>
      </c>
      <c r="AA1046" s="45">
        <f>Учет!X1046</f>
        <v>500</v>
      </c>
    </row>
    <row r="1047" spans="1:27" ht="15" customHeight="1" x14ac:dyDescent="0.25">
      <c r="A1047" s="1"/>
      <c r="B1047" s="17"/>
      <c r="C1047" s="17"/>
      <c r="D1047" s="17"/>
      <c r="E1047" s="17"/>
      <c r="F1047" s="17"/>
      <c r="G1047" s="4">
        <f t="shared" si="45"/>
        <v>0</v>
      </c>
      <c r="H1047" s="17"/>
      <c r="I1047" s="4">
        <f t="shared" si="47"/>
        <v>349526.07999999996</v>
      </c>
      <c r="J1047" s="32" t="str">
        <f t="shared" si="46"/>
        <v/>
      </c>
      <c r="K1047" s="72"/>
      <c r="L1047" s="72"/>
      <c r="M1047" s="2"/>
      <c r="N1047" s="5"/>
      <c r="O1047" s="3"/>
      <c r="P1047" s="6"/>
      <c r="Q1047" s="48">
        <f>IF(Учет!$O1047=Справочники!$F$2,Учет!$H1047,0)</f>
        <v>0</v>
      </c>
      <c r="R1047" s="48">
        <f>IF(Учет!$O1047=Справочники!$F$3,Учет!$H1047,0)</f>
        <v>0</v>
      </c>
      <c r="S1047" s="48">
        <f>IF(Учет!$O1047=Справочники!$F$4,Учет!$H1047,0)</f>
        <v>0</v>
      </c>
      <c r="T1047" s="48">
        <f>IF(Учет!$O1047=Справочники!$F$5,Учет!$H1047,0)</f>
        <v>0</v>
      </c>
      <c r="U1047" s="48">
        <f>IF(Учет!$O1047=Справочники!$F$6,Учет!$H1047,0)</f>
        <v>0</v>
      </c>
      <c r="V1047" s="43">
        <f>V1046+Учет!Q1047-Q1047</f>
        <v>-488978.92000000004</v>
      </c>
      <c r="W1047" s="43">
        <f>W1046+Учет!R1047-R1047</f>
        <v>336855</v>
      </c>
      <c r="X1047" s="43">
        <f>X1046+Учет!S1047-S1047</f>
        <v>500</v>
      </c>
      <c r="Y1047" s="43">
        <f>Y1046+Учет!T1047-T1047</f>
        <v>1150</v>
      </c>
      <c r="Z1047" s="43">
        <f>Z1046+Учет!U1047-U1047</f>
        <v>500000</v>
      </c>
      <c r="AA1047" s="45">
        <f>Учет!X1047</f>
        <v>500</v>
      </c>
    </row>
    <row r="1048" spans="1:27" ht="15" customHeight="1" x14ac:dyDescent="0.25">
      <c r="A1048" s="1"/>
      <c r="B1048" s="17"/>
      <c r="C1048" s="17"/>
      <c r="D1048" s="17"/>
      <c r="E1048" s="17"/>
      <c r="F1048" s="17"/>
      <c r="G1048" s="4">
        <f t="shared" si="45"/>
        <v>0</v>
      </c>
      <c r="H1048" s="17"/>
      <c r="I1048" s="4">
        <f t="shared" si="47"/>
        <v>349526.07999999996</v>
      </c>
      <c r="J1048" s="32" t="str">
        <f t="shared" si="46"/>
        <v/>
      </c>
      <c r="K1048" s="72"/>
      <c r="L1048" s="72"/>
      <c r="M1048" s="2"/>
      <c r="N1048" s="5"/>
      <c r="O1048" s="3"/>
      <c r="P1048" s="6"/>
      <c r="Q1048" s="48">
        <f>IF(Учет!$O1048=Справочники!$F$2,Учет!$H1048,0)</f>
        <v>0</v>
      </c>
      <c r="R1048" s="48">
        <f>IF(Учет!$O1048=Справочники!$F$3,Учет!$H1048,0)</f>
        <v>0</v>
      </c>
      <c r="S1048" s="48">
        <f>IF(Учет!$O1048=Справочники!$F$4,Учет!$H1048,0)</f>
        <v>0</v>
      </c>
      <c r="T1048" s="48">
        <f>IF(Учет!$O1048=Справочники!$F$5,Учет!$H1048,0)</f>
        <v>0</v>
      </c>
      <c r="U1048" s="48">
        <f>IF(Учет!$O1048=Справочники!$F$6,Учет!$H1048,0)</f>
        <v>0</v>
      </c>
      <c r="V1048" s="43">
        <f>V1047+Учет!Q1048-Q1048</f>
        <v>-488978.92000000004</v>
      </c>
      <c r="W1048" s="43">
        <f>W1047+Учет!R1048-R1048</f>
        <v>336855</v>
      </c>
      <c r="X1048" s="43">
        <f>X1047+Учет!S1048-S1048</f>
        <v>500</v>
      </c>
      <c r="Y1048" s="43">
        <f>Y1047+Учет!T1048-T1048</f>
        <v>1150</v>
      </c>
      <c r="Z1048" s="43">
        <f>Z1047+Учет!U1048-U1048</f>
        <v>500000</v>
      </c>
      <c r="AA1048" s="45">
        <f>Учет!X1048</f>
        <v>500</v>
      </c>
    </row>
    <row r="1049" spans="1:27" ht="15" customHeight="1" x14ac:dyDescent="0.25">
      <c r="A1049" s="1"/>
      <c r="B1049" s="17"/>
      <c r="C1049" s="17"/>
      <c r="D1049" s="17"/>
      <c r="E1049" s="17"/>
      <c r="F1049" s="17"/>
      <c r="G1049" s="4">
        <f t="shared" si="45"/>
        <v>0</v>
      </c>
      <c r="H1049" s="17"/>
      <c r="I1049" s="4">
        <f t="shared" si="47"/>
        <v>349526.07999999996</v>
      </c>
      <c r="J1049" s="32" t="str">
        <f t="shared" si="46"/>
        <v/>
      </c>
      <c r="K1049" s="72"/>
      <c r="L1049" s="72"/>
      <c r="M1049" s="2"/>
      <c r="N1049" s="5"/>
      <c r="O1049" s="3"/>
      <c r="P1049" s="6"/>
      <c r="Q1049" s="48">
        <f>IF(Учет!$O1049=Справочники!$F$2,Учет!$H1049,0)</f>
        <v>0</v>
      </c>
      <c r="R1049" s="48">
        <f>IF(Учет!$O1049=Справочники!$F$3,Учет!$H1049,0)</f>
        <v>0</v>
      </c>
      <c r="S1049" s="48">
        <f>IF(Учет!$O1049=Справочники!$F$4,Учет!$H1049,0)</f>
        <v>0</v>
      </c>
      <c r="T1049" s="48">
        <f>IF(Учет!$O1049=Справочники!$F$5,Учет!$H1049,0)</f>
        <v>0</v>
      </c>
      <c r="U1049" s="48">
        <f>IF(Учет!$O1049=Справочники!$F$6,Учет!$H1049,0)</f>
        <v>0</v>
      </c>
      <c r="V1049" s="43">
        <f>V1048+Учет!Q1049-Q1049</f>
        <v>-488978.92000000004</v>
      </c>
      <c r="W1049" s="43">
        <f>W1048+Учет!R1049-R1049</f>
        <v>336855</v>
      </c>
      <c r="X1049" s="43">
        <f>X1048+Учет!S1049-S1049</f>
        <v>500</v>
      </c>
      <c r="Y1049" s="43">
        <f>Y1048+Учет!T1049-T1049</f>
        <v>1150</v>
      </c>
      <c r="Z1049" s="43">
        <f>Z1048+Учет!U1049-U1049</f>
        <v>500000</v>
      </c>
      <c r="AA1049" s="45">
        <f>Учет!X1049</f>
        <v>500</v>
      </c>
    </row>
    <row r="1050" spans="1:27" ht="15" customHeight="1" x14ac:dyDescent="0.25">
      <c r="A1050" s="1"/>
      <c r="B1050" s="17"/>
      <c r="C1050" s="17"/>
      <c r="D1050" s="17"/>
      <c r="E1050" s="17"/>
      <c r="F1050" s="17"/>
      <c r="G1050" s="4">
        <f t="shared" si="45"/>
        <v>0</v>
      </c>
      <c r="H1050" s="17"/>
      <c r="I1050" s="4">
        <f t="shared" si="47"/>
        <v>349526.07999999996</v>
      </c>
      <c r="J1050" s="32" t="str">
        <f t="shared" si="46"/>
        <v/>
      </c>
      <c r="K1050" s="72"/>
      <c r="L1050" s="72"/>
      <c r="M1050" s="2"/>
      <c r="N1050" s="5"/>
      <c r="O1050" s="3"/>
      <c r="P1050" s="6"/>
      <c r="Q1050" s="48">
        <f>IF(Учет!$O1050=Справочники!$F$2,Учет!$H1050,0)</f>
        <v>0</v>
      </c>
      <c r="R1050" s="48">
        <f>IF(Учет!$O1050=Справочники!$F$3,Учет!$H1050,0)</f>
        <v>0</v>
      </c>
      <c r="S1050" s="48">
        <f>IF(Учет!$O1050=Справочники!$F$4,Учет!$H1050,0)</f>
        <v>0</v>
      </c>
      <c r="T1050" s="48">
        <f>IF(Учет!$O1050=Справочники!$F$5,Учет!$H1050,0)</f>
        <v>0</v>
      </c>
      <c r="U1050" s="48">
        <f>IF(Учет!$O1050=Справочники!$F$6,Учет!$H1050,0)</f>
        <v>0</v>
      </c>
      <c r="V1050" s="43">
        <f>V1049+Учет!Q1050-Q1050</f>
        <v>-488978.92000000004</v>
      </c>
      <c r="W1050" s="43">
        <f>W1049+Учет!R1050-R1050</f>
        <v>336855</v>
      </c>
      <c r="X1050" s="43">
        <f>X1049+Учет!S1050-S1050</f>
        <v>500</v>
      </c>
      <c r="Y1050" s="43">
        <f>Y1049+Учет!T1050-T1050</f>
        <v>1150</v>
      </c>
      <c r="Z1050" s="43">
        <f>Z1049+Учет!U1050-U1050</f>
        <v>500000</v>
      </c>
      <c r="AA1050" s="45">
        <f>Учет!X1050</f>
        <v>500</v>
      </c>
    </row>
    <row r="1051" spans="1:27" ht="15" customHeight="1" x14ac:dyDescent="0.25">
      <c r="A1051" s="1"/>
      <c r="B1051" s="17"/>
      <c r="C1051" s="17"/>
      <c r="D1051" s="17"/>
      <c r="E1051" s="17"/>
      <c r="F1051" s="17"/>
      <c r="G1051" s="4">
        <f t="shared" si="45"/>
        <v>0</v>
      </c>
      <c r="H1051" s="17"/>
      <c r="I1051" s="4">
        <f t="shared" si="47"/>
        <v>349526.07999999996</v>
      </c>
      <c r="J1051" s="32" t="str">
        <f t="shared" si="46"/>
        <v/>
      </c>
      <c r="K1051" s="72"/>
      <c r="L1051" s="72"/>
      <c r="M1051" s="2"/>
      <c r="N1051" s="5"/>
      <c r="O1051" s="3"/>
      <c r="P1051" s="6"/>
      <c r="Q1051" s="48">
        <f>IF(Учет!$O1051=Справочники!$F$2,Учет!$H1051,0)</f>
        <v>0</v>
      </c>
      <c r="R1051" s="48">
        <f>IF(Учет!$O1051=Справочники!$F$3,Учет!$H1051,0)</f>
        <v>0</v>
      </c>
      <c r="S1051" s="48">
        <f>IF(Учет!$O1051=Справочники!$F$4,Учет!$H1051,0)</f>
        <v>0</v>
      </c>
      <c r="T1051" s="48">
        <f>IF(Учет!$O1051=Справочники!$F$5,Учет!$H1051,0)</f>
        <v>0</v>
      </c>
      <c r="U1051" s="48">
        <f>IF(Учет!$O1051=Справочники!$F$6,Учет!$H1051,0)</f>
        <v>0</v>
      </c>
      <c r="V1051" s="43">
        <f>V1050+Учет!Q1051-Q1051</f>
        <v>-488978.92000000004</v>
      </c>
      <c r="W1051" s="43">
        <f>W1050+Учет!R1051-R1051</f>
        <v>336855</v>
      </c>
      <c r="X1051" s="43">
        <f>X1050+Учет!S1051-S1051</f>
        <v>500</v>
      </c>
      <c r="Y1051" s="43">
        <f>Y1050+Учет!T1051-T1051</f>
        <v>1150</v>
      </c>
      <c r="Z1051" s="43">
        <f>Z1050+Учет!U1051-U1051</f>
        <v>500000</v>
      </c>
      <c r="AA1051" s="45">
        <f>Учет!X1051</f>
        <v>500</v>
      </c>
    </row>
    <row r="1052" spans="1:27" ht="15" customHeight="1" x14ac:dyDescent="0.25">
      <c r="A1052" s="1"/>
      <c r="B1052" s="17"/>
      <c r="C1052" s="17"/>
      <c r="D1052" s="17"/>
      <c r="E1052" s="17"/>
      <c r="F1052" s="17"/>
      <c r="G1052" s="4">
        <f t="shared" si="45"/>
        <v>0</v>
      </c>
      <c r="H1052" s="17"/>
      <c r="I1052" s="4">
        <f t="shared" si="47"/>
        <v>349526.07999999996</v>
      </c>
      <c r="J1052" s="32" t="str">
        <f t="shared" si="46"/>
        <v/>
      </c>
      <c r="K1052" s="72"/>
      <c r="L1052" s="72"/>
      <c r="M1052" s="2"/>
      <c r="N1052" s="5"/>
      <c r="O1052" s="3"/>
      <c r="P1052" s="6"/>
      <c r="Q1052" s="48">
        <f>IF(Учет!$O1052=Справочники!$F$2,Учет!$H1052,0)</f>
        <v>0</v>
      </c>
      <c r="R1052" s="48">
        <f>IF(Учет!$O1052=Справочники!$F$3,Учет!$H1052,0)</f>
        <v>0</v>
      </c>
      <c r="S1052" s="48">
        <f>IF(Учет!$O1052=Справочники!$F$4,Учет!$H1052,0)</f>
        <v>0</v>
      </c>
      <c r="T1052" s="48">
        <f>IF(Учет!$O1052=Справочники!$F$5,Учет!$H1052,0)</f>
        <v>0</v>
      </c>
      <c r="U1052" s="48">
        <f>IF(Учет!$O1052=Справочники!$F$6,Учет!$H1052,0)</f>
        <v>0</v>
      </c>
      <c r="V1052" s="43">
        <f>V1051+Учет!Q1052-Q1052</f>
        <v>-488978.92000000004</v>
      </c>
      <c r="W1052" s="43">
        <f>W1051+Учет!R1052-R1052</f>
        <v>336855</v>
      </c>
      <c r="X1052" s="43">
        <f>X1051+Учет!S1052-S1052</f>
        <v>500</v>
      </c>
      <c r="Y1052" s="43">
        <f>Y1051+Учет!T1052-T1052</f>
        <v>1150</v>
      </c>
      <c r="Z1052" s="43">
        <f>Z1051+Учет!U1052-U1052</f>
        <v>500000</v>
      </c>
      <c r="AA1052" s="45">
        <f>Учет!X1052</f>
        <v>500</v>
      </c>
    </row>
    <row r="1053" spans="1:27" ht="15" customHeight="1" x14ac:dyDescent="0.25">
      <c r="A1053" s="1"/>
      <c r="B1053" s="17"/>
      <c r="C1053" s="17"/>
      <c r="D1053" s="17"/>
      <c r="E1053" s="17"/>
      <c r="F1053" s="17"/>
      <c r="G1053" s="4">
        <f t="shared" si="45"/>
        <v>0</v>
      </c>
      <c r="H1053" s="17"/>
      <c r="I1053" s="4">
        <f t="shared" si="47"/>
        <v>349526.07999999996</v>
      </c>
      <c r="J1053" s="32" t="str">
        <f t="shared" si="46"/>
        <v/>
      </c>
      <c r="K1053" s="72"/>
      <c r="L1053" s="72"/>
      <c r="M1053" s="2"/>
      <c r="N1053" s="5"/>
      <c r="O1053" s="3"/>
      <c r="P1053" s="6"/>
      <c r="Q1053" s="48">
        <f>IF(Учет!$O1053=Справочники!$F$2,Учет!$H1053,0)</f>
        <v>0</v>
      </c>
      <c r="R1053" s="48">
        <f>IF(Учет!$O1053=Справочники!$F$3,Учет!$H1053,0)</f>
        <v>0</v>
      </c>
      <c r="S1053" s="48">
        <f>IF(Учет!$O1053=Справочники!$F$4,Учет!$H1053,0)</f>
        <v>0</v>
      </c>
      <c r="T1053" s="48">
        <f>IF(Учет!$O1053=Справочники!$F$5,Учет!$H1053,0)</f>
        <v>0</v>
      </c>
      <c r="U1053" s="48">
        <f>IF(Учет!$O1053=Справочники!$F$6,Учет!$H1053,0)</f>
        <v>0</v>
      </c>
      <c r="V1053" s="43">
        <f>V1052+Учет!Q1053-Q1053</f>
        <v>-488978.92000000004</v>
      </c>
      <c r="W1053" s="43">
        <f>W1052+Учет!R1053-R1053</f>
        <v>336855</v>
      </c>
      <c r="X1053" s="43">
        <f>X1052+Учет!S1053-S1053</f>
        <v>500</v>
      </c>
      <c r="Y1053" s="43">
        <f>Y1052+Учет!T1053-T1053</f>
        <v>1150</v>
      </c>
      <c r="Z1053" s="43">
        <f>Z1052+Учет!U1053-U1053</f>
        <v>500000</v>
      </c>
      <c r="AA1053" s="45">
        <f>Учет!X1053</f>
        <v>500</v>
      </c>
    </row>
    <row r="1054" spans="1:27" ht="15" customHeight="1" x14ac:dyDescent="0.25">
      <c r="A1054" s="1"/>
      <c r="B1054" s="17"/>
      <c r="C1054" s="17"/>
      <c r="D1054" s="17"/>
      <c r="E1054" s="17"/>
      <c r="F1054" s="17"/>
      <c r="G1054" s="4">
        <f t="shared" si="45"/>
        <v>0</v>
      </c>
      <c r="H1054" s="17"/>
      <c r="I1054" s="4">
        <f t="shared" si="47"/>
        <v>349526.07999999996</v>
      </c>
      <c r="J1054" s="32" t="str">
        <f t="shared" si="46"/>
        <v/>
      </c>
      <c r="K1054" s="72"/>
      <c r="L1054" s="72"/>
      <c r="M1054" s="2"/>
      <c r="N1054" s="5"/>
      <c r="O1054" s="3"/>
      <c r="P1054" s="6"/>
      <c r="Q1054" s="48">
        <f>IF(Учет!$O1054=Справочники!$F$2,Учет!$H1054,0)</f>
        <v>0</v>
      </c>
      <c r="R1054" s="48">
        <f>IF(Учет!$O1054=Справочники!$F$3,Учет!$H1054,0)</f>
        <v>0</v>
      </c>
      <c r="S1054" s="48">
        <f>IF(Учет!$O1054=Справочники!$F$4,Учет!$H1054,0)</f>
        <v>0</v>
      </c>
      <c r="T1054" s="48">
        <f>IF(Учет!$O1054=Справочники!$F$5,Учет!$H1054,0)</f>
        <v>0</v>
      </c>
      <c r="U1054" s="48">
        <f>IF(Учет!$O1054=Справочники!$F$6,Учет!$H1054,0)</f>
        <v>0</v>
      </c>
      <c r="V1054" s="43">
        <f>V1053+Учет!Q1054-Q1054</f>
        <v>-488978.92000000004</v>
      </c>
      <c r="W1054" s="43">
        <f>W1053+Учет!R1054-R1054</f>
        <v>336855</v>
      </c>
      <c r="X1054" s="43">
        <f>X1053+Учет!S1054-S1054</f>
        <v>500</v>
      </c>
      <c r="Y1054" s="43">
        <f>Y1053+Учет!T1054-T1054</f>
        <v>1150</v>
      </c>
      <c r="Z1054" s="43">
        <f>Z1053+Учет!U1054-U1054</f>
        <v>500000</v>
      </c>
      <c r="AA1054" s="45">
        <f>Учет!X1054</f>
        <v>500</v>
      </c>
    </row>
    <row r="1055" spans="1:27" ht="15" customHeight="1" x14ac:dyDescent="0.25">
      <c r="A1055" s="1"/>
      <c r="B1055" s="17"/>
      <c r="C1055" s="17"/>
      <c r="D1055" s="17"/>
      <c r="E1055" s="17"/>
      <c r="F1055" s="17"/>
      <c r="G1055" s="4">
        <f t="shared" si="45"/>
        <v>0</v>
      </c>
      <c r="H1055" s="17"/>
      <c r="I1055" s="4">
        <f t="shared" si="47"/>
        <v>349526.07999999996</v>
      </c>
      <c r="J1055" s="32" t="str">
        <f t="shared" si="46"/>
        <v/>
      </c>
      <c r="K1055" s="72"/>
      <c r="L1055" s="72"/>
      <c r="M1055" s="2"/>
      <c r="N1055" s="5"/>
      <c r="O1055" s="3"/>
      <c r="P1055" s="6"/>
      <c r="Q1055" s="48">
        <f>IF(Учет!$O1055=Справочники!$F$2,Учет!$H1055,0)</f>
        <v>0</v>
      </c>
      <c r="R1055" s="48">
        <f>IF(Учет!$O1055=Справочники!$F$3,Учет!$H1055,0)</f>
        <v>0</v>
      </c>
      <c r="S1055" s="48">
        <f>IF(Учет!$O1055=Справочники!$F$4,Учет!$H1055,0)</f>
        <v>0</v>
      </c>
      <c r="T1055" s="48">
        <f>IF(Учет!$O1055=Справочники!$F$5,Учет!$H1055,0)</f>
        <v>0</v>
      </c>
      <c r="U1055" s="48">
        <f>IF(Учет!$O1055=Справочники!$F$6,Учет!$H1055,0)</f>
        <v>0</v>
      </c>
      <c r="V1055" s="43">
        <f>V1054+Учет!Q1055-Q1055</f>
        <v>-488978.92000000004</v>
      </c>
      <c r="W1055" s="43">
        <f>W1054+Учет!R1055-R1055</f>
        <v>336855</v>
      </c>
      <c r="X1055" s="43">
        <f>X1054+Учет!S1055-S1055</f>
        <v>500</v>
      </c>
      <c r="Y1055" s="43">
        <f>Y1054+Учет!T1055-T1055</f>
        <v>1150</v>
      </c>
      <c r="Z1055" s="43">
        <f>Z1054+Учет!U1055-U1055</f>
        <v>500000</v>
      </c>
      <c r="AA1055" s="45">
        <f>Учет!X1055</f>
        <v>500</v>
      </c>
    </row>
    <row r="1056" spans="1:27" ht="15" customHeight="1" x14ac:dyDescent="0.25">
      <c r="A1056" s="1"/>
      <c r="B1056" s="17"/>
      <c r="C1056" s="17"/>
      <c r="D1056" s="17"/>
      <c r="E1056" s="17"/>
      <c r="F1056" s="17"/>
      <c r="G1056" s="4">
        <f t="shared" si="45"/>
        <v>0</v>
      </c>
      <c r="H1056" s="17"/>
      <c r="I1056" s="4">
        <f t="shared" si="47"/>
        <v>349526.07999999996</v>
      </c>
      <c r="J1056" s="32" t="str">
        <f t="shared" si="46"/>
        <v/>
      </c>
      <c r="K1056" s="72"/>
      <c r="L1056" s="72"/>
      <c r="M1056" s="2"/>
      <c r="N1056" s="5"/>
      <c r="O1056" s="3"/>
      <c r="P1056" s="6"/>
      <c r="Q1056" s="48">
        <f>IF(Учет!$O1056=Справочники!$F$2,Учет!$H1056,0)</f>
        <v>0</v>
      </c>
      <c r="R1056" s="48">
        <f>IF(Учет!$O1056=Справочники!$F$3,Учет!$H1056,0)</f>
        <v>0</v>
      </c>
      <c r="S1056" s="48">
        <f>IF(Учет!$O1056=Справочники!$F$4,Учет!$H1056,0)</f>
        <v>0</v>
      </c>
      <c r="T1056" s="48">
        <f>IF(Учет!$O1056=Справочники!$F$5,Учет!$H1056,0)</f>
        <v>0</v>
      </c>
      <c r="U1056" s="48">
        <f>IF(Учет!$O1056=Справочники!$F$6,Учет!$H1056,0)</f>
        <v>0</v>
      </c>
      <c r="V1056" s="43">
        <f>V1055+Учет!Q1056-Q1056</f>
        <v>-488978.92000000004</v>
      </c>
      <c r="W1056" s="43">
        <f>W1055+Учет!R1056-R1056</f>
        <v>336855</v>
      </c>
      <c r="X1056" s="43">
        <f>X1055+Учет!S1056-S1056</f>
        <v>500</v>
      </c>
      <c r="Y1056" s="43">
        <f>Y1055+Учет!T1056-T1056</f>
        <v>1150</v>
      </c>
      <c r="Z1056" s="43">
        <f>Z1055+Учет!U1056-U1056</f>
        <v>500000</v>
      </c>
      <c r="AA1056" s="45">
        <f>Учет!X1056</f>
        <v>500</v>
      </c>
    </row>
    <row r="1057" spans="1:27" ht="15" customHeight="1" x14ac:dyDescent="0.25">
      <c r="A1057" s="1"/>
      <c r="B1057" s="17"/>
      <c r="C1057" s="17"/>
      <c r="D1057" s="17"/>
      <c r="E1057" s="17"/>
      <c r="F1057" s="17"/>
      <c r="G1057" s="4">
        <f t="shared" si="45"/>
        <v>0</v>
      </c>
      <c r="H1057" s="17"/>
      <c r="I1057" s="4">
        <f t="shared" si="47"/>
        <v>349526.07999999996</v>
      </c>
      <c r="J1057" s="32" t="str">
        <f t="shared" si="46"/>
        <v/>
      </c>
      <c r="K1057" s="72"/>
      <c r="L1057" s="72"/>
      <c r="M1057" s="2"/>
      <c r="N1057" s="5"/>
      <c r="O1057" s="3"/>
      <c r="P1057" s="6"/>
      <c r="Q1057" s="48">
        <f>IF(Учет!$O1057=Справочники!$F$2,Учет!$H1057,0)</f>
        <v>0</v>
      </c>
      <c r="R1057" s="48">
        <f>IF(Учет!$O1057=Справочники!$F$3,Учет!$H1057,0)</f>
        <v>0</v>
      </c>
      <c r="S1057" s="48">
        <f>IF(Учет!$O1057=Справочники!$F$4,Учет!$H1057,0)</f>
        <v>0</v>
      </c>
      <c r="T1057" s="48">
        <f>IF(Учет!$O1057=Справочники!$F$5,Учет!$H1057,0)</f>
        <v>0</v>
      </c>
      <c r="U1057" s="48">
        <f>IF(Учет!$O1057=Справочники!$F$6,Учет!$H1057,0)</f>
        <v>0</v>
      </c>
      <c r="V1057" s="43">
        <f>V1056+Учет!Q1057-Q1057</f>
        <v>-488978.92000000004</v>
      </c>
      <c r="W1057" s="43">
        <f>W1056+Учет!R1057-R1057</f>
        <v>336855</v>
      </c>
      <c r="X1057" s="43">
        <f>X1056+Учет!S1057-S1057</f>
        <v>500</v>
      </c>
      <c r="Y1057" s="43">
        <f>Y1056+Учет!T1057-T1057</f>
        <v>1150</v>
      </c>
      <c r="Z1057" s="43">
        <f>Z1056+Учет!U1057-U1057</f>
        <v>500000</v>
      </c>
      <c r="AA1057" s="45">
        <f>Учет!X1057</f>
        <v>500</v>
      </c>
    </row>
    <row r="1058" spans="1:27" ht="15" customHeight="1" x14ac:dyDescent="0.25">
      <c r="A1058" s="1"/>
      <c r="B1058" s="17"/>
      <c r="C1058" s="17"/>
      <c r="D1058" s="17"/>
      <c r="E1058" s="17"/>
      <c r="F1058" s="17"/>
      <c r="G1058" s="4">
        <f t="shared" si="45"/>
        <v>0</v>
      </c>
      <c r="H1058" s="17"/>
      <c r="I1058" s="4">
        <f t="shared" si="47"/>
        <v>349526.07999999996</v>
      </c>
      <c r="J1058" s="32" t="str">
        <f t="shared" si="46"/>
        <v/>
      </c>
      <c r="K1058" s="72"/>
      <c r="L1058" s="72"/>
      <c r="M1058" s="2"/>
      <c r="N1058" s="5"/>
      <c r="O1058" s="3"/>
      <c r="P1058" s="6"/>
      <c r="Q1058" s="48">
        <f>IF(Учет!$O1058=Справочники!$F$2,Учет!$H1058,0)</f>
        <v>0</v>
      </c>
      <c r="R1058" s="48">
        <f>IF(Учет!$O1058=Справочники!$F$3,Учет!$H1058,0)</f>
        <v>0</v>
      </c>
      <c r="S1058" s="48">
        <f>IF(Учет!$O1058=Справочники!$F$4,Учет!$H1058,0)</f>
        <v>0</v>
      </c>
      <c r="T1058" s="48">
        <f>IF(Учет!$O1058=Справочники!$F$5,Учет!$H1058,0)</f>
        <v>0</v>
      </c>
      <c r="U1058" s="48">
        <f>IF(Учет!$O1058=Справочники!$F$6,Учет!$H1058,0)</f>
        <v>0</v>
      </c>
      <c r="V1058" s="43">
        <f>V1057+Учет!Q1058-Q1058</f>
        <v>-488978.92000000004</v>
      </c>
      <c r="W1058" s="43">
        <f>W1057+Учет!R1058-R1058</f>
        <v>336855</v>
      </c>
      <c r="X1058" s="43">
        <f>X1057+Учет!S1058-S1058</f>
        <v>500</v>
      </c>
      <c r="Y1058" s="43">
        <f>Y1057+Учет!T1058-T1058</f>
        <v>1150</v>
      </c>
      <c r="Z1058" s="43">
        <f>Z1057+Учет!U1058-U1058</f>
        <v>500000</v>
      </c>
      <c r="AA1058" s="45">
        <f>Учет!X1058</f>
        <v>500</v>
      </c>
    </row>
    <row r="1059" spans="1:27" ht="15" customHeight="1" x14ac:dyDescent="0.25">
      <c r="A1059" s="1"/>
      <c r="B1059" s="17"/>
      <c r="C1059" s="17"/>
      <c r="D1059" s="17"/>
      <c r="E1059" s="17"/>
      <c r="F1059" s="17"/>
      <c r="G1059" s="4">
        <f t="shared" si="45"/>
        <v>0</v>
      </c>
      <c r="H1059" s="17"/>
      <c r="I1059" s="4">
        <f t="shared" si="47"/>
        <v>349526.07999999996</v>
      </c>
      <c r="J1059" s="32" t="str">
        <f t="shared" si="46"/>
        <v/>
      </c>
      <c r="K1059" s="72"/>
      <c r="L1059" s="72"/>
      <c r="M1059" s="2"/>
      <c r="N1059" s="5"/>
      <c r="O1059" s="3"/>
      <c r="P1059" s="6"/>
      <c r="Q1059" s="48">
        <f>IF(Учет!$O1059=Справочники!$F$2,Учет!$H1059,0)</f>
        <v>0</v>
      </c>
      <c r="R1059" s="48">
        <f>IF(Учет!$O1059=Справочники!$F$3,Учет!$H1059,0)</f>
        <v>0</v>
      </c>
      <c r="S1059" s="48">
        <f>IF(Учет!$O1059=Справочники!$F$4,Учет!$H1059,0)</f>
        <v>0</v>
      </c>
      <c r="T1059" s="48">
        <f>IF(Учет!$O1059=Справочники!$F$5,Учет!$H1059,0)</f>
        <v>0</v>
      </c>
      <c r="U1059" s="48">
        <f>IF(Учет!$O1059=Справочники!$F$6,Учет!$H1059,0)</f>
        <v>0</v>
      </c>
      <c r="V1059" s="43">
        <f>V1058+Учет!Q1059-Q1059</f>
        <v>-488978.92000000004</v>
      </c>
      <c r="W1059" s="43">
        <f>W1058+Учет!R1059-R1059</f>
        <v>336855</v>
      </c>
      <c r="X1059" s="43">
        <f>X1058+Учет!S1059-S1059</f>
        <v>500</v>
      </c>
      <c r="Y1059" s="43">
        <f>Y1058+Учет!T1059-T1059</f>
        <v>1150</v>
      </c>
      <c r="Z1059" s="43">
        <f>Z1058+Учет!U1059-U1059</f>
        <v>500000</v>
      </c>
      <c r="AA1059" s="45">
        <f>Учет!X1059</f>
        <v>500</v>
      </c>
    </row>
    <row r="1060" spans="1:27" ht="15" customHeight="1" x14ac:dyDescent="0.25">
      <c r="A1060" s="1"/>
      <c r="B1060" s="17"/>
      <c r="C1060" s="17"/>
      <c r="D1060" s="17"/>
      <c r="E1060" s="17"/>
      <c r="F1060" s="17"/>
      <c r="G1060" s="4">
        <f t="shared" si="45"/>
        <v>0</v>
      </c>
      <c r="H1060" s="17"/>
      <c r="I1060" s="4">
        <f t="shared" si="47"/>
        <v>349526.07999999996</v>
      </c>
      <c r="J1060" s="32" t="str">
        <f t="shared" si="46"/>
        <v/>
      </c>
      <c r="K1060" s="72"/>
      <c r="L1060" s="72"/>
      <c r="M1060" s="2"/>
      <c r="N1060" s="5"/>
      <c r="O1060" s="3"/>
      <c r="P1060" s="6"/>
      <c r="Q1060" s="48">
        <f>IF(Учет!$O1060=Справочники!$F$2,Учет!$H1060,0)</f>
        <v>0</v>
      </c>
      <c r="R1060" s="48">
        <f>IF(Учет!$O1060=Справочники!$F$3,Учет!$H1060,0)</f>
        <v>0</v>
      </c>
      <c r="S1060" s="48">
        <f>IF(Учет!$O1060=Справочники!$F$4,Учет!$H1060,0)</f>
        <v>0</v>
      </c>
      <c r="T1060" s="48">
        <f>IF(Учет!$O1060=Справочники!$F$5,Учет!$H1060,0)</f>
        <v>0</v>
      </c>
      <c r="U1060" s="48">
        <f>IF(Учет!$O1060=Справочники!$F$6,Учет!$H1060,0)</f>
        <v>0</v>
      </c>
      <c r="V1060" s="43">
        <f>V1059+Учет!Q1060-Q1060</f>
        <v>-488978.92000000004</v>
      </c>
      <c r="W1060" s="43">
        <f>W1059+Учет!R1060-R1060</f>
        <v>336855</v>
      </c>
      <c r="X1060" s="43">
        <f>X1059+Учет!S1060-S1060</f>
        <v>500</v>
      </c>
      <c r="Y1060" s="43">
        <f>Y1059+Учет!T1060-T1060</f>
        <v>1150</v>
      </c>
      <c r="Z1060" s="43">
        <f>Z1059+Учет!U1060-U1060</f>
        <v>500000</v>
      </c>
      <c r="AA1060" s="45">
        <f>Учет!X1060</f>
        <v>500</v>
      </c>
    </row>
    <row r="1061" spans="1:27" ht="15" customHeight="1" x14ac:dyDescent="0.25">
      <c r="A1061" s="1"/>
      <c r="B1061" s="17"/>
      <c r="C1061" s="17"/>
      <c r="D1061" s="17"/>
      <c r="E1061" s="17"/>
      <c r="F1061" s="17"/>
      <c r="G1061" s="4">
        <f t="shared" si="45"/>
        <v>0</v>
      </c>
      <c r="H1061" s="17"/>
      <c r="I1061" s="4">
        <f t="shared" si="47"/>
        <v>349526.07999999996</v>
      </c>
      <c r="J1061" s="32" t="str">
        <f t="shared" si="46"/>
        <v/>
      </c>
      <c r="K1061" s="72"/>
      <c r="L1061" s="72"/>
      <c r="M1061" s="2"/>
      <c r="N1061" s="5"/>
      <c r="O1061" s="3"/>
      <c r="P1061" s="6"/>
      <c r="Q1061" s="48">
        <f>IF(Учет!$O1061=Справочники!$F$2,Учет!$H1061,0)</f>
        <v>0</v>
      </c>
      <c r="R1061" s="48">
        <f>IF(Учет!$O1061=Справочники!$F$3,Учет!$H1061,0)</f>
        <v>0</v>
      </c>
      <c r="S1061" s="48">
        <f>IF(Учет!$O1061=Справочники!$F$4,Учет!$H1061,0)</f>
        <v>0</v>
      </c>
      <c r="T1061" s="48">
        <f>IF(Учет!$O1061=Справочники!$F$5,Учет!$H1061,0)</f>
        <v>0</v>
      </c>
      <c r="U1061" s="48">
        <f>IF(Учет!$O1061=Справочники!$F$6,Учет!$H1061,0)</f>
        <v>0</v>
      </c>
      <c r="V1061" s="43">
        <f>V1060+Учет!Q1061-Q1061</f>
        <v>-488978.92000000004</v>
      </c>
      <c r="W1061" s="43">
        <f>W1060+Учет!R1061-R1061</f>
        <v>336855</v>
      </c>
      <c r="X1061" s="43">
        <f>X1060+Учет!S1061-S1061</f>
        <v>500</v>
      </c>
      <c r="Y1061" s="43">
        <f>Y1060+Учет!T1061-T1061</f>
        <v>1150</v>
      </c>
      <c r="Z1061" s="43">
        <f>Z1060+Учет!U1061-U1061</f>
        <v>500000</v>
      </c>
      <c r="AA1061" s="45">
        <f>Учет!X1061</f>
        <v>500</v>
      </c>
    </row>
    <row r="1062" spans="1:27" ht="15" customHeight="1" x14ac:dyDescent="0.25">
      <c r="A1062" s="1"/>
      <c r="B1062" s="17"/>
      <c r="C1062" s="17"/>
      <c r="D1062" s="17"/>
      <c r="E1062" s="17"/>
      <c r="F1062" s="17"/>
      <c r="G1062" s="4">
        <f t="shared" si="45"/>
        <v>0</v>
      </c>
      <c r="H1062" s="17"/>
      <c r="I1062" s="4">
        <f t="shared" si="47"/>
        <v>349526.07999999996</v>
      </c>
      <c r="J1062" s="32" t="str">
        <f t="shared" si="46"/>
        <v/>
      </c>
      <c r="K1062" s="72"/>
      <c r="L1062" s="72"/>
      <c r="M1062" s="2"/>
      <c r="N1062" s="5"/>
      <c r="O1062" s="3"/>
      <c r="P1062" s="6"/>
      <c r="Q1062" s="48">
        <f>IF(Учет!$O1062=Справочники!$F$2,Учет!$H1062,0)</f>
        <v>0</v>
      </c>
      <c r="R1062" s="48">
        <f>IF(Учет!$O1062=Справочники!$F$3,Учет!$H1062,0)</f>
        <v>0</v>
      </c>
      <c r="S1062" s="48">
        <f>IF(Учет!$O1062=Справочники!$F$4,Учет!$H1062,0)</f>
        <v>0</v>
      </c>
      <c r="T1062" s="48">
        <f>IF(Учет!$O1062=Справочники!$F$5,Учет!$H1062,0)</f>
        <v>0</v>
      </c>
      <c r="U1062" s="48">
        <f>IF(Учет!$O1062=Справочники!$F$6,Учет!$H1062,0)</f>
        <v>0</v>
      </c>
      <c r="V1062" s="43">
        <f>V1061+Учет!Q1062-Q1062</f>
        <v>-488978.92000000004</v>
      </c>
      <c r="W1062" s="43">
        <f>W1061+Учет!R1062-R1062</f>
        <v>336855</v>
      </c>
      <c r="X1062" s="43">
        <f>X1061+Учет!S1062-S1062</f>
        <v>500</v>
      </c>
      <c r="Y1062" s="43">
        <f>Y1061+Учет!T1062-T1062</f>
        <v>1150</v>
      </c>
      <c r="Z1062" s="43">
        <f>Z1061+Учет!U1062-U1062</f>
        <v>500000</v>
      </c>
      <c r="AA1062" s="45">
        <f>Учет!X1062</f>
        <v>500</v>
      </c>
    </row>
    <row r="1063" spans="1:27" ht="15" customHeight="1" x14ac:dyDescent="0.25">
      <c r="A1063" s="1"/>
      <c r="B1063" s="17"/>
      <c r="C1063" s="17"/>
      <c r="D1063" s="17"/>
      <c r="E1063" s="17"/>
      <c r="F1063" s="17"/>
      <c r="G1063" s="4">
        <f t="shared" si="45"/>
        <v>0</v>
      </c>
      <c r="H1063" s="17"/>
      <c r="I1063" s="4">
        <f t="shared" si="47"/>
        <v>349526.07999999996</v>
      </c>
      <c r="J1063" s="32" t="str">
        <f t="shared" si="46"/>
        <v/>
      </c>
      <c r="K1063" s="72"/>
      <c r="L1063" s="72"/>
      <c r="M1063" s="2"/>
      <c r="N1063" s="5"/>
      <c r="O1063" s="3"/>
      <c r="P1063" s="6"/>
      <c r="Q1063" s="48">
        <f>IF(Учет!$O1063=Справочники!$F$2,Учет!$H1063,0)</f>
        <v>0</v>
      </c>
      <c r="R1063" s="48">
        <f>IF(Учет!$O1063=Справочники!$F$3,Учет!$H1063,0)</f>
        <v>0</v>
      </c>
      <c r="S1063" s="48">
        <f>IF(Учет!$O1063=Справочники!$F$4,Учет!$H1063,0)</f>
        <v>0</v>
      </c>
      <c r="T1063" s="48">
        <f>IF(Учет!$O1063=Справочники!$F$5,Учет!$H1063,0)</f>
        <v>0</v>
      </c>
      <c r="U1063" s="48">
        <f>IF(Учет!$O1063=Справочники!$F$6,Учет!$H1063,0)</f>
        <v>0</v>
      </c>
      <c r="V1063" s="43">
        <f>V1062+Учет!Q1063-Q1063</f>
        <v>-488978.92000000004</v>
      </c>
      <c r="W1063" s="43">
        <f>W1062+Учет!R1063-R1063</f>
        <v>336855</v>
      </c>
      <c r="X1063" s="43">
        <f>X1062+Учет!S1063-S1063</f>
        <v>500</v>
      </c>
      <c r="Y1063" s="43">
        <f>Y1062+Учет!T1063-T1063</f>
        <v>1150</v>
      </c>
      <c r="Z1063" s="43">
        <f>Z1062+Учет!U1063-U1063</f>
        <v>500000</v>
      </c>
      <c r="AA1063" s="45">
        <f>Учет!X1063</f>
        <v>500</v>
      </c>
    </row>
    <row r="1064" spans="1:27" ht="15" customHeight="1" x14ac:dyDescent="0.25">
      <c r="A1064" s="1"/>
      <c r="B1064" s="17"/>
      <c r="C1064" s="17"/>
      <c r="D1064" s="17"/>
      <c r="E1064" s="17"/>
      <c r="F1064" s="17"/>
      <c r="G1064" s="4">
        <f t="shared" si="45"/>
        <v>0</v>
      </c>
      <c r="H1064" s="17"/>
      <c r="I1064" s="4">
        <f t="shared" si="47"/>
        <v>349526.07999999996</v>
      </c>
      <c r="J1064" s="32" t="str">
        <f t="shared" si="46"/>
        <v/>
      </c>
      <c r="K1064" s="72"/>
      <c r="L1064" s="72"/>
      <c r="M1064" s="2"/>
      <c r="N1064" s="5"/>
      <c r="O1064" s="3"/>
      <c r="P1064" s="6"/>
      <c r="Q1064" s="48">
        <f>IF(Учет!$O1064=Справочники!$F$2,Учет!$H1064,0)</f>
        <v>0</v>
      </c>
      <c r="R1064" s="48">
        <f>IF(Учет!$O1064=Справочники!$F$3,Учет!$H1064,0)</f>
        <v>0</v>
      </c>
      <c r="S1064" s="48">
        <f>IF(Учет!$O1064=Справочники!$F$4,Учет!$H1064,0)</f>
        <v>0</v>
      </c>
      <c r="T1064" s="48">
        <f>IF(Учет!$O1064=Справочники!$F$5,Учет!$H1064,0)</f>
        <v>0</v>
      </c>
      <c r="U1064" s="48">
        <f>IF(Учет!$O1064=Справочники!$F$6,Учет!$H1064,0)</f>
        <v>0</v>
      </c>
      <c r="V1064" s="43">
        <f>V1063+Учет!Q1064-Q1064</f>
        <v>-488978.92000000004</v>
      </c>
      <c r="W1064" s="43">
        <f>W1063+Учет!R1064-R1064</f>
        <v>336855</v>
      </c>
      <c r="X1064" s="43">
        <f>X1063+Учет!S1064-S1064</f>
        <v>500</v>
      </c>
      <c r="Y1064" s="43">
        <f>Y1063+Учет!T1064-T1064</f>
        <v>1150</v>
      </c>
      <c r="Z1064" s="43">
        <f>Z1063+Учет!U1064-U1064</f>
        <v>500000</v>
      </c>
      <c r="AA1064" s="45">
        <f>Учет!X1064</f>
        <v>500</v>
      </c>
    </row>
    <row r="1065" spans="1:27" ht="15" customHeight="1" x14ac:dyDescent="0.25">
      <c r="A1065" s="1"/>
      <c r="B1065" s="17"/>
      <c r="C1065" s="17"/>
      <c r="D1065" s="17"/>
      <c r="E1065" s="17"/>
      <c r="F1065" s="17"/>
      <c r="G1065" s="4">
        <f t="shared" si="45"/>
        <v>0</v>
      </c>
      <c r="H1065" s="17"/>
      <c r="I1065" s="4">
        <f t="shared" si="47"/>
        <v>349526.07999999996</v>
      </c>
      <c r="J1065" s="32" t="str">
        <f t="shared" si="46"/>
        <v/>
      </c>
      <c r="K1065" s="72"/>
      <c r="L1065" s="72"/>
      <c r="M1065" s="2"/>
      <c r="N1065" s="5"/>
      <c r="O1065" s="3"/>
      <c r="P1065" s="6"/>
      <c r="Q1065" s="48">
        <f>IF(Учет!$O1065=Справочники!$F$2,Учет!$H1065,0)</f>
        <v>0</v>
      </c>
      <c r="R1065" s="48">
        <f>IF(Учет!$O1065=Справочники!$F$3,Учет!$H1065,0)</f>
        <v>0</v>
      </c>
      <c r="S1065" s="48">
        <f>IF(Учет!$O1065=Справочники!$F$4,Учет!$H1065,0)</f>
        <v>0</v>
      </c>
      <c r="T1065" s="48">
        <f>IF(Учет!$O1065=Справочники!$F$5,Учет!$H1065,0)</f>
        <v>0</v>
      </c>
      <c r="U1065" s="48">
        <f>IF(Учет!$O1065=Справочники!$F$6,Учет!$H1065,0)</f>
        <v>0</v>
      </c>
      <c r="V1065" s="43">
        <f>V1064+Учет!Q1065-Q1065</f>
        <v>-488978.92000000004</v>
      </c>
      <c r="W1065" s="43">
        <f>W1064+Учет!R1065-R1065</f>
        <v>336855</v>
      </c>
      <c r="X1065" s="43">
        <f>X1064+Учет!S1065-S1065</f>
        <v>500</v>
      </c>
      <c r="Y1065" s="43">
        <f>Y1064+Учет!T1065-T1065</f>
        <v>1150</v>
      </c>
      <c r="Z1065" s="43">
        <f>Z1064+Учет!U1065-U1065</f>
        <v>500000</v>
      </c>
      <c r="AA1065" s="45">
        <f>Учет!X1065</f>
        <v>500</v>
      </c>
    </row>
    <row r="1066" spans="1:27" ht="15" customHeight="1" x14ac:dyDescent="0.25">
      <c r="A1066" s="1"/>
      <c r="B1066" s="17"/>
      <c r="C1066" s="17"/>
      <c r="D1066" s="17"/>
      <c r="E1066" s="17"/>
      <c r="F1066" s="17"/>
      <c r="G1066" s="4">
        <f t="shared" si="45"/>
        <v>0</v>
      </c>
      <c r="H1066" s="17"/>
      <c r="I1066" s="4">
        <f t="shared" si="47"/>
        <v>349526.07999999996</v>
      </c>
      <c r="J1066" s="32" t="str">
        <f t="shared" si="46"/>
        <v/>
      </c>
      <c r="K1066" s="72"/>
      <c r="L1066" s="72"/>
      <c r="M1066" s="2"/>
      <c r="N1066" s="5"/>
      <c r="O1066" s="3"/>
      <c r="P1066" s="6"/>
      <c r="Q1066" s="48">
        <f>IF(Учет!$O1066=Справочники!$F$2,Учет!$H1066,0)</f>
        <v>0</v>
      </c>
      <c r="R1066" s="48">
        <f>IF(Учет!$O1066=Справочники!$F$3,Учет!$H1066,0)</f>
        <v>0</v>
      </c>
      <c r="S1066" s="48">
        <f>IF(Учет!$O1066=Справочники!$F$4,Учет!$H1066,0)</f>
        <v>0</v>
      </c>
      <c r="T1066" s="48">
        <f>IF(Учет!$O1066=Справочники!$F$5,Учет!$H1066,0)</f>
        <v>0</v>
      </c>
      <c r="U1066" s="48">
        <f>IF(Учет!$O1066=Справочники!$F$6,Учет!$H1066,0)</f>
        <v>0</v>
      </c>
      <c r="V1066" s="43">
        <f>V1065+Учет!Q1066-Q1066</f>
        <v>-488978.92000000004</v>
      </c>
      <c r="W1066" s="43">
        <f>W1065+Учет!R1066-R1066</f>
        <v>336855</v>
      </c>
      <c r="X1066" s="43">
        <f>X1065+Учет!S1066-S1066</f>
        <v>500</v>
      </c>
      <c r="Y1066" s="43">
        <f>Y1065+Учет!T1066-T1066</f>
        <v>1150</v>
      </c>
      <c r="Z1066" s="43">
        <f>Z1065+Учет!U1066-U1066</f>
        <v>500000</v>
      </c>
      <c r="AA1066" s="45">
        <f>Учет!X1066</f>
        <v>500</v>
      </c>
    </row>
    <row r="1067" spans="1:27" ht="15" customHeight="1" x14ac:dyDescent="0.25">
      <c r="A1067" s="1"/>
      <c r="B1067" s="17"/>
      <c r="C1067" s="17"/>
      <c r="D1067" s="17"/>
      <c r="E1067" s="17"/>
      <c r="F1067" s="17"/>
      <c r="G1067" s="4">
        <f t="shared" si="45"/>
        <v>0</v>
      </c>
      <c r="H1067" s="17"/>
      <c r="I1067" s="4">
        <f t="shared" si="47"/>
        <v>349526.07999999996</v>
      </c>
      <c r="J1067" s="32" t="str">
        <f t="shared" si="46"/>
        <v/>
      </c>
      <c r="K1067" s="72"/>
      <c r="L1067" s="72"/>
      <c r="M1067" s="2"/>
      <c r="N1067" s="5"/>
      <c r="O1067" s="3"/>
      <c r="P1067" s="6"/>
      <c r="Q1067" s="48">
        <f>IF(Учет!$O1067=Справочники!$F$2,Учет!$H1067,0)</f>
        <v>0</v>
      </c>
      <c r="R1067" s="48">
        <f>IF(Учет!$O1067=Справочники!$F$3,Учет!$H1067,0)</f>
        <v>0</v>
      </c>
      <c r="S1067" s="48">
        <f>IF(Учет!$O1067=Справочники!$F$4,Учет!$H1067,0)</f>
        <v>0</v>
      </c>
      <c r="T1067" s="48">
        <f>IF(Учет!$O1067=Справочники!$F$5,Учет!$H1067,0)</f>
        <v>0</v>
      </c>
      <c r="U1067" s="48">
        <f>IF(Учет!$O1067=Справочники!$F$6,Учет!$H1067,0)</f>
        <v>0</v>
      </c>
      <c r="V1067" s="43">
        <f>V1066+Учет!Q1067-Q1067</f>
        <v>-488978.92000000004</v>
      </c>
      <c r="W1067" s="43">
        <f>W1066+Учет!R1067-R1067</f>
        <v>336855</v>
      </c>
      <c r="X1067" s="43">
        <f>X1066+Учет!S1067-S1067</f>
        <v>500</v>
      </c>
      <c r="Y1067" s="43">
        <f>Y1066+Учет!T1067-T1067</f>
        <v>1150</v>
      </c>
      <c r="Z1067" s="43">
        <f>Z1066+Учет!U1067-U1067</f>
        <v>500000</v>
      </c>
      <c r="AA1067" s="45">
        <f>Учет!X1067</f>
        <v>500</v>
      </c>
    </row>
    <row r="1068" spans="1:27" ht="15" customHeight="1" x14ac:dyDescent="0.25">
      <c r="A1068" s="1"/>
      <c r="B1068" s="17"/>
      <c r="C1068" s="17"/>
      <c r="D1068" s="17"/>
      <c r="E1068" s="17"/>
      <c r="F1068" s="17"/>
      <c r="G1068" s="4">
        <f t="shared" si="45"/>
        <v>0</v>
      </c>
      <c r="H1068" s="17"/>
      <c r="I1068" s="4">
        <f t="shared" si="47"/>
        <v>349526.07999999996</v>
      </c>
      <c r="J1068" s="32" t="str">
        <f t="shared" si="46"/>
        <v/>
      </c>
      <c r="K1068" s="72"/>
      <c r="L1068" s="72"/>
      <c r="M1068" s="2"/>
      <c r="N1068" s="5"/>
      <c r="O1068" s="3"/>
      <c r="P1068" s="6"/>
      <c r="Q1068" s="48">
        <f>IF(Учет!$O1068=Справочники!$F$2,Учет!$H1068,0)</f>
        <v>0</v>
      </c>
      <c r="R1068" s="48">
        <f>IF(Учет!$O1068=Справочники!$F$3,Учет!$H1068,0)</f>
        <v>0</v>
      </c>
      <c r="S1068" s="48">
        <f>IF(Учет!$O1068=Справочники!$F$4,Учет!$H1068,0)</f>
        <v>0</v>
      </c>
      <c r="T1068" s="48">
        <f>IF(Учет!$O1068=Справочники!$F$5,Учет!$H1068,0)</f>
        <v>0</v>
      </c>
      <c r="U1068" s="48">
        <f>IF(Учет!$O1068=Справочники!$F$6,Учет!$H1068,0)</f>
        <v>0</v>
      </c>
      <c r="V1068" s="43">
        <f>V1067+Учет!Q1068-Q1068</f>
        <v>-488978.92000000004</v>
      </c>
      <c r="W1068" s="43">
        <f>W1067+Учет!R1068-R1068</f>
        <v>336855</v>
      </c>
      <c r="X1068" s="43">
        <f>X1067+Учет!S1068-S1068</f>
        <v>500</v>
      </c>
      <c r="Y1068" s="43">
        <f>Y1067+Учет!T1068-T1068</f>
        <v>1150</v>
      </c>
      <c r="Z1068" s="43">
        <f>Z1067+Учет!U1068-U1068</f>
        <v>500000</v>
      </c>
      <c r="AA1068" s="45">
        <f>Учет!X1068</f>
        <v>500</v>
      </c>
    </row>
    <row r="1069" spans="1:27" ht="15" customHeight="1" x14ac:dyDescent="0.25">
      <c r="A1069" s="1"/>
      <c r="B1069" s="17"/>
      <c r="C1069" s="17"/>
      <c r="D1069" s="17"/>
      <c r="E1069" s="17"/>
      <c r="F1069" s="17"/>
      <c r="G1069" s="4">
        <f t="shared" si="45"/>
        <v>0</v>
      </c>
      <c r="H1069" s="17"/>
      <c r="I1069" s="4">
        <f t="shared" si="47"/>
        <v>349526.07999999996</v>
      </c>
      <c r="J1069" s="32" t="str">
        <f t="shared" si="46"/>
        <v/>
      </c>
      <c r="K1069" s="72"/>
      <c r="L1069" s="72"/>
      <c r="M1069" s="2"/>
      <c r="N1069" s="5"/>
      <c r="O1069" s="3"/>
      <c r="P1069" s="6"/>
      <c r="Q1069" s="48">
        <f>IF(Учет!$O1069=Справочники!$F$2,Учет!$H1069,0)</f>
        <v>0</v>
      </c>
      <c r="R1069" s="48">
        <f>IF(Учет!$O1069=Справочники!$F$3,Учет!$H1069,0)</f>
        <v>0</v>
      </c>
      <c r="S1069" s="48">
        <f>IF(Учет!$O1069=Справочники!$F$4,Учет!$H1069,0)</f>
        <v>0</v>
      </c>
      <c r="T1069" s="48">
        <f>IF(Учет!$O1069=Справочники!$F$5,Учет!$H1069,0)</f>
        <v>0</v>
      </c>
      <c r="U1069" s="48">
        <f>IF(Учет!$O1069=Справочники!$F$6,Учет!$H1069,0)</f>
        <v>0</v>
      </c>
      <c r="V1069" s="43">
        <f>V1068+Учет!Q1069-Q1069</f>
        <v>-488978.92000000004</v>
      </c>
      <c r="W1069" s="43">
        <f>W1068+Учет!R1069-R1069</f>
        <v>336855</v>
      </c>
      <c r="X1069" s="43">
        <f>X1068+Учет!S1069-S1069</f>
        <v>500</v>
      </c>
      <c r="Y1069" s="43">
        <f>Y1068+Учет!T1069-T1069</f>
        <v>1150</v>
      </c>
      <c r="Z1069" s="43">
        <f>Z1068+Учет!U1069-U1069</f>
        <v>500000</v>
      </c>
      <c r="AA1069" s="45">
        <f>Учет!X1069</f>
        <v>500</v>
      </c>
    </row>
    <row r="1070" spans="1:27" ht="15" customHeight="1" x14ac:dyDescent="0.25">
      <c r="A1070" s="1"/>
      <c r="B1070" s="17"/>
      <c r="C1070" s="17"/>
      <c r="D1070" s="17"/>
      <c r="E1070" s="17"/>
      <c r="F1070" s="17"/>
      <c r="G1070" s="4">
        <f t="shared" si="45"/>
        <v>0</v>
      </c>
      <c r="H1070" s="17"/>
      <c r="I1070" s="4">
        <f t="shared" si="47"/>
        <v>349526.07999999996</v>
      </c>
      <c r="J1070" s="32" t="str">
        <f t="shared" si="46"/>
        <v/>
      </c>
      <c r="K1070" s="72"/>
      <c r="L1070" s="72"/>
      <c r="M1070" s="2"/>
      <c r="N1070" s="5"/>
      <c r="O1070" s="3"/>
      <c r="P1070" s="6"/>
      <c r="Q1070" s="48">
        <f>IF(Учет!$O1070=Справочники!$F$2,Учет!$H1070,0)</f>
        <v>0</v>
      </c>
      <c r="R1070" s="48">
        <f>IF(Учет!$O1070=Справочники!$F$3,Учет!$H1070,0)</f>
        <v>0</v>
      </c>
      <c r="S1070" s="48">
        <f>IF(Учет!$O1070=Справочники!$F$4,Учет!$H1070,0)</f>
        <v>0</v>
      </c>
      <c r="T1070" s="48">
        <f>IF(Учет!$O1070=Справочники!$F$5,Учет!$H1070,0)</f>
        <v>0</v>
      </c>
      <c r="U1070" s="48">
        <f>IF(Учет!$O1070=Справочники!$F$6,Учет!$H1070,0)</f>
        <v>0</v>
      </c>
      <c r="V1070" s="43">
        <f>V1069+Учет!Q1070-Q1070</f>
        <v>-488978.92000000004</v>
      </c>
      <c r="W1070" s="43">
        <f>W1069+Учет!R1070-R1070</f>
        <v>336855</v>
      </c>
      <c r="X1070" s="43">
        <f>X1069+Учет!S1070-S1070</f>
        <v>500</v>
      </c>
      <c r="Y1070" s="43">
        <f>Y1069+Учет!T1070-T1070</f>
        <v>1150</v>
      </c>
      <c r="Z1070" s="43">
        <f>Z1069+Учет!U1070-U1070</f>
        <v>500000</v>
      </c>
      <c r="AA1070" s="45">
        <f>Учет!X1070</f>
        <v>500</v>
      </c>
    </row>
    <row r="1071" spans="1:27" ht="15" customHeight="1" x14ac:dyDescent="0.25">
      <c r="A1071" s="1"/>
      <c r="B1071" s="17"/>
      <c r="C1071" s="17"/>
      <c r="D1071" s="17"/>
      <c r="E1071" s="17"/>
      <c r="F1071" s="17"/>
      <c r="G1071" s="4">
        <f t="shared" si="45"/>
        <v>0</v>
      </c>
      <c r="H1071" s="17"/>
      <c r="I1071" s="4">
        <f t="shared" si="47"/>
        <v>349526.07999999996</v>
      </c>
      <c r="J1071" s="32" t="str">
        <f t="shared" si="46"/>
        <v/>
      </c>
      <c r="K1071" s="72"/>
      <c r="L1071" s="72"/>
      <c r="M1071" s="2"/>
      <c r="N1071" s="5"/>
      <c r="O1071" s="3"/>
      <c r="P1071" s="6"/>
      <c r="Q1071" s="48">
        <f>IF(Учет!$O1071=Справочники!$F$2,Учет!$H1071,0)</f>
        <v>0</v>
      </c>
      <c r="R1071" s="48">
        <f>IF(Учет!$O1071=Справочники!$F$3,Учет!$H1071,0)</f>
        <v>0</v>
      </c>
      <c r="S1071" s="48">
        <f>IF(Учет!$O1071=Справочники!$F$4,Учет!$H1071,0)</f>
        <v>0</v>
      </c>
      <c r="T1071" s="48">
        <f>IF(Учет!$O1071=Справочники!$F$5,Учет!$H1071,0)</f>
        <v>0</v>
      </c>
      <c r="U1071" s="48">
        <f>IF(Учет!$O1071=Справочники!$F$6,Учет!$H1071,0)</f>
        <v>0</v>
      </c>
      <c r="V1071" s="43">
        <f>V1070+Учет!Q1071-Q1071</f>
        <v>-488978.92000000004</v>
      </c>
      <c r="W1071" s="43">
        <f>W1070+Учет!R1071-R1071</f>
        <v>336855</v>
      </c>
      <c r="X1071" s="43">
        <f>X1070+Учет!S1071-S1071</f>
        <v>500</v>
      </c>
      <c r="Y1071" s="43">
        <f>Y1070+Учет!T1071-T1071</f>
        <v>1150</v>
      </c>
      <c r="Z1071" s="43">
        <f>Z1070+Учет!U1071-U1071</f>
        <v>500000</v>
      </c>
      <c r="AA1071" s="45">
        <f>Учет!X1071</f>
        <v>500</v>
      </c>
    </row>
    <row r="1072" spans="1:27" ht="15" customHeight="1" x14ac:dyDescent="0.25">
      <c r="A1072" s="1"/>
      <c r="B1072" s="17"/>
      <c r="C1072" s="17"/>
      <c r="D1072" s="17"/>
      <c r="E1072" s="17"/>
      <c r="F1072" s="17"/>
      <c r="G1072" s="4">
        <f t="shared" si="45"/>
        <v>0</v>
      </c>
      <c r="H1072" s="17"/>
      <c r="I1072" s="4">
        <f t="shared" si="47"/>
        <v>349526.07999999996</v>
      </c>
      <c r="J1072" s="32" t="str">
        <f t="shared" si="46"/>
        <v/>
      </c>
      <c r="K1072" s="72"/>
      <c r="L1072" s="72"/>
      <c r="M1072" s="2"/>
      <c r="N1072" s="5"/>
      <c r="O1072" s="3"/>
      <c r="P1072" s="6"/>
      <c r="Q1072" s="48">
        <f>IF(Учет!$O1072=Справочники!$F$2,Учет!$H1072,0)</f>
        <v>0</v>
      </c>
      <c r="R1072" s="48">
        <f>IF(Учет!$O1072=Справочники!$F$3,Учет!$H1072,0)</f>
        <v>0</v>
      </c>
      <c r="S1072" s="48">
        <f>IF(Учет!$O1072=Справочники!$F$4,Учет!$H1072,0)</f>
        <v>0</v>
      </c>
      <c r="T1072" s="48">
        <f>IF(Учет!$O1072=Справочники!$F$5,Учет!$H1072,0)</f>
        <v>0</v>
      </c>
      <c r="U1072" s="48">
        <f>IF(Учет!$O1072=Справочники!$F$6,Учет!$H1072,0)</f>
        <v>0</v>
      </c>
      <c r="V1072" s="43">
        <f>V1071+Учет!Q1072-Q1072</f>
        <v>-488978.92000000004</v>
      </c>
      <c r="W1072" s="43">
        <f>W1071+Учет!R1072-R1072</f>
        <v>336855</v>
      </c>
      <c r="X1072" s="43">
        <f>X1071+Учет!S1072-S1072</f>
        <v>500</v>
      </c>
      <c r="Y1072" s="43">
        <f>Y1071+Учет!T1072-T1072</f>
        <v>1150</v>
      </c>
      <c r="Z1072" s="43">
        <f>Z1071+Учет!U1072-U1072</f>
        <v>500000</v>
      </c>
      <c r="AA1072" s="45">
        <f>Учет!X1072</f>
        <v>500</v>
      </c>
    </row>
    <row r="1073" spans="1:27" ht="15" customHeight="1" x14ac:dyDescent="0.25">
      <c r="A1073" s="1"/>
      <c r="B1073" s="17"/>
      <c r="C1073" s="17"/>
      <c r="D1073" s="17"/>
      <c r="E1073" s="17"/>
      <c r="F1073" s="17"/>
      <c r="G1073" s="4">
        <f t="shared" si="45"/>
        <v>0</v>
      </c>
      <c r="H1073" s="17"/>
      <c r="I1073" s="4">
        <f t="shared" si="47"/>
        <v>349526.07999999996</v>
      </c>
      <c r="J1073" s="32" t="str">
        <f t="shared" si="46"/>
        <v/>
      </c>
      <c r="K1073" s="72"/>
      <c r="L1073" s="72"/>
      <c r="M1073" s="2"/>
      <c r="N1073" s="5"/>
      <c r="O1073" s="3"/>
      <c r="P1073" s="6"/>
      <c r="Q1073" s="48">
        <f>IF(Учет!$O1073=Справочники!$F$2,Учет!$H1073,0)</f>
        <v>0</v>
      </c>
      <c r="R1073" s="48">
        <f>IF(Учет!$O1073=Справочники!$F$3,Учет!$H1073,0)</f>
        <v>0</v>
      </c>
      <c r="S1073" s="48">
        <f>IF(Учет!$O1073=Справочники!$F$4,Учет!$H1073,0)</f>
        <v>0</v>
      </c>
      <c r="T1073" s="48">
        <f>IF(Учет!$O1073=Справочники!$F$5,Учет!$H1073,0)</f>
        <v>0</v>
      </c>
      <c r="U1073" s="48">
        <f>IF(Учет!$O1073=Справочники!$F$6,Учет!$H1073,0)</f>
        <v>0</v>
      </c>
      <c r="V1073" s="43">
        <f>V1072+Учет!Q1073-Q1073</f>
        <v>-488978.92000000004</v>
      </c>
      <c r="W1073" s="43">
        <f>W1072+Учет!R1073-R1073</f>
        <v>336855</v>
      </c>
      <c r="X1073" s="43">
        <f>X1072+Учет!S1073-S1073</f>
        <v>500</v>
      </c>
      <c r="Y1073" s="43">
        <f>Y1072+Учет!T1073-T1073</f>
        <v>1150</v>
      </c>
      <c r="Z1073" s="43">
        <f>Z1072+Учет!U1073-U1073</f>
        <v>500000</v>
      </c>
      <c r="AA1073" s="45">
        <f>Учет!X1073</f>
        <v>500</v>
      </c>
    </row>
    <row r="1074" spans="1:27" ht="15" customHeight="1" x14ac:dyDescent="0.25">
      <c r="A1074" s="1"/>
      <c r="B1074" s="17"/>
      <c r="C1074" s="17"/>
      <c r="D1074" s="17"/>
      <c r="E1074" s="17"/>
      <c r="F1074" s="17"/>
      <c r="G1074" s="4">
        <f t="shared" si="45"/>
        <v>0</v>
      </c>
      <c r="H1074" s="17"/>
      <c r="I1074" s="4">
        <f t="shared" si="47"/>
        <v>349526.07999999996</v>
      </c>
      <c r="J1074" s="32" t="str">
        <f t="shared" si="46"/>
        <v/>
      </c>
      <c r="K1074" s="72"/>
      <c r="L1074" s="72"/>
      <c r="M1074" s="2"/>
      <c r="N1074" s="5"/>
      <c r="O1074" s="3"/>
      <c r="P1074" s="6"/>
      <c r="Q1074" s="48">
        <f>IF(Учет!$O1074=Справочники!$F$2,Учет!$H1074,0)</f>
        <v>0</v>
      </c>
      <c r="R1074" s="48">
        <f>IF(Учет!$O1074=Справочники!$F$3,Учет!$H1074,0)</f>
        <v>0</v>
      </c>
      <c r="S1074" s="48">
        <f>IF(Учет!$O1074=Справочники!$F$4,Учет!$H1074,0)</f>
        <v>0</v>
      </c>
      <c r="T1074" s="48">
        <f>IF(Учет!$O1074=Справочники!$F$5,Учет!$H1074,0)</f>
        <v>0</v>
      </c>
      <c r="U1074" s="48">
        <f>IF(Учет!$O1074=Справочники!$F$6,Учет!$H1074,0)</f>
        <v>0</v>
      </c>
      <c r="V1074" s="43">
        <f>V1073+Учет!Q1074-Q1074</f>
        <v>-488978.92000000004</v>
      </c>
      <c r="W1074" s="43">
        <f>W1073+Учет!R1074-R1074</f>
        <v>336855</v>
      </c>
      <c r="X1074" s="43">
        <f>X1073+Учет!S1074-S1074</f>
        <v>500</v>
      </c>
      <c r="Y1074" s="43">
        <f>Y1073+Учет!T1074-T1074</f>
        <v>1150</v>
      </c>
      <c r="Z1074" s="43">
        <f>Z1073+Учет!U1074-U1074</f>
        <v>500000</v>
      </c>
      <c r="AA1074" s="45">
        <f>Учет!X1074</f>
        <v>500</v>
      </c>
    </row>
    <row r="1075" spans="1:27" ht="15" customHeight="1" x14ac:dyDescent="0.25">
      <c r="A1075" s="1"/>
      <c r="B1075" s="17"/>
      <c r="C1075" s="17"/>
      <c r="D1075" s="17"/>
      <c r="E1075" s="17"/>
      <c r="F1075" s="17"/>
      <c r="G1075" s="4">
        <f t="shared" si="45"/>
        <v>0</v>
      </c>
      <c r="H1075" s="17"/>
      <c r="I1075" s="4">
        <f t="shared" si="47"/>
        <v>349526.07999999996</v>
      </c>
      <c r="J1075" s="32" t="str">
        <f t="shared" si="46"/>
        <v/>
      </c>
      <c r="K1075" s="72"/>
      <c r="L1075" s="72"/>
      <c r="M1075" s="2"/>
      <c r="N1075" s="5"/>
      <c r="O1075" s="3"/>
      <c r="P1075" s="6"/>
      <c r="Q1075" s="48">
        <f>IF(Учет!$O1075=Справочники!$F$2,Учет!$H1075,0)</f>
        <v>0</v>
      </c>
      <c r="R1075" s="48">
        <f>IF(Учет!$O1075=Справочники!$F$3,Учет!$H1075,0)</f>
        <v>0</v>
      </c>
      <c r="S1075" s="48">
        <f>IF(Учет!$O1075=Справочники!$F$4,Учет!$H1075,0)</f>
        <v>0</v>
      </c>
      <c r="T1075" s="48">
        <f>IF(Учет!$O1075=Справочники!$F$5,Учет!$H1075,0)</f>
        <v>0</v>
      </c>
      <c r="U1075" s="48">
        <f>IF(Учет!$O1075=Справочники!$F$6,Учет!$H1075,0)</f>
        <v>0</v>
      </c>
      <c r="V1075" s="43">
        <f>V1074+Учет!Q1075-Q1075</f>
        <v>-488978.92000000004</v>
      </c>
      <c r="W1075" s="43">
        <f>W1074+Учет!R1075-R1075</f>
        <v>336855</v>
      </c>
      <c r="X1075" s="43">
        <f>X1074+Учет!S1075-S1075</f>
        <v>500</v>
      </c>
      <c r="Y1075" s="43">
        <f>Y1074+Учет!T1075-T1075</f>
        <v>1150</v>
      </c>
      <c r="Z1075" s="43">
        <f>Z1074+Учет!U1075-U1075</f>
        <v>500000</v>
      </c>
      <c r="AA1075" s="45">
        <f>Учет!X1075</f>
        <v>500</v>
      </c>
    </row>
    <row r="1076" spans="1:27" ht="15" customHeight="1" x14ac:dyDescent="0.25">
      <c r="A1076" s="1"/>
      <c r="B1076" s="17"/>
      <c r="C1076" s="17"/>
      <c r="D1076" s="17"/>
      <c r="E1076" s="17"/>
      <c r="F1076" s="17"/>
      <c r="G1076" s="4">
        <f t="shared" si="45"/>
        <v>0</v>
      </c>
      <c r="H1076" s="17"/>
      <c r="I1076" s="4">
        <f t="shared" si="47"/>
        <v>349526.07999999996</v>
      </c>
      <c r="J1076" s="32" t="str">
        <f t="shared" si="46"/>
        <v/>
      </c>
      <c r="K1076" s="72"/>
      <c r="L1076" s="72"/>
      <c r="M1076" s="2"/>
      <c r="N1076" s="5"/>
      <c r="O1076" s="3"/>
      <c r="P1076" s="6"/>
      <c r="Q1076" s="48">
        <f>IF(Учет!$O1076=Справочники!$F$2,Учет!$H1076,0)</f>
        <v>0</v>
      </c>
      <c r="R1076" s="48">
        <f>IF(Учет!$O1076=Справочники!$F$3,Учет!$H1076,0)</f>
        <v>0</v>
      </c>
      <c r="S1076" s="48">
        <f>IF(Учет!$O1076=Справочники!$F$4,Учет!$H1076,0)</f>
        <v>0</v>
      </c>
      <c r="T1076" s="48">
        <f>IF(Учет!$O1076=Справочники!$F$5,Учет!$H1076,0)</f>
        <v>0</v>
      </c>
      <c r="U1076" s="48">
        <f>IF(Учет!$O1076=Справочники!$F$6,Учет!$H1076,0)</f>
        <v>0</v>
      </c>
      <c r="V1076" s="43">
        <f>V1075+Учет!Q1076-Q1076</f>
        <v>-488978.92000000004</v>
      </c>
      <c r="W1076" s="43">
        <f>W1075+Учет!R1076-R1076</f>
        <v>336855</v>
      </c>
      <c r="X1076" s="43">
        <f>X1075+Учет!S1076-S1076</f>
        <v>500</v>
      </c>
      <c r="Y1076" s="43">
        <f>Y1075+Учет!T1076-T1076</f>
        <v>1150</v>
      </c>
      <c r="Z1076" s="43">
        <f>Z1075+Учет!U1076-U1076</f>
        <v>500000</v>
      </c>
      <c r="AA1076" s="45">
        <f>Учет!X1076</f>
        <v>500</v>
      </c>
    </row>
    <row r="1077" spans="1:27" ht="15" customHeight="1" x14ac:dyDescent="0.25">
      <c r="A1077" s="1"/>
      <c r="B1077" s="17"/>
      <c r="C1077" s="17"/>
      <c r="D1077" s="17"/>
      <c r="E1077" s="17"/>
      <c r="F1077" s="17"/>
      <c r="G1077" s="4">
        <f t="shared" si="45"/>
        <v>0</v>
      </c>
      <c r="H1077" s="17"/>
      <c r="I1077" s="4">
        <f t="shared" si="47"/>
        <v>349526.07999999996</v>
      </c>
      <c r="J1077" s="32" t="str">
        <f t="shared" si="46"/>
        <v/>
      </c>
      <c r="K1077" s="72"/>
      <c r="L1077" s="72"/>
      <c r="M1077" s="2"/>
      <c r="N1077" s="5"/>
      <c r="O1077" s="3"/>
      <c r="P1077" s="6"/>
      <c r="Q1077" s="48">
        <f>IF(Учет!$O1077=Справочники!$F$2,Учет!$H1077,0)</f>
        <v>0</v>
      </c>
      <c r="R1077" s="48">
        <f>IF(Учет!$O1077=Справочники!$F$3,Учет!$H1077,0)</f>
        <v>0</v>
      </c>
      <c r="S1077" s="48">
        <f>IF(Учет!$O1077=Справочники!$F$4,Учет!$H1077,0)</f>
        <v>0</v>
      </c>
      <c r="T1077" s="48">
        <f>IF(Учет!$O1077=Справочники!$F$5,Учет!$H1077,0)</f>
        <v>0</v>
      </c>
      <c r="U1077" s="48">
        <f>IF(Учет!$O1077=Справочники!$F$6,Учет!$H1077,0)</f>
        <v>0</v>
      </c>
      <c r="V1077" s="43">
        <f>V1076+Учет!Q1077-Q1077</f>
        <v>-488978.92000000004</v>
      </c>
      <c r="W1077" s="43">
        <f>W1076+Учет!R1077-R1077</f>
        <v>336855</v>
      </c>
      <c r="X1077" s="43">
        <f>X1076+Учет!S1077-S1077</f>
        <v>500</v>
      </c>
      <c r="Y1077" s="43">
        <f>Y1076+Учет!T1077-T1077</f>
        <v>1150</v>
      </c>
      <c r="Z1077" s="43">
        <f>Z1076+Учет!U1077-U1077</f>
        <v>500000</v>
      </c>
      <c r="AA1077" s="45">
        <f>Учет!X1077</f>
        <v>500</v>
      </c>
    </row>
    <row r="1078" spans="1:27" ht="15" customHeight="1" x14ac:dyDescent="0.25">
      <c r="A1078" s="1"/>
      <c r="B1078" s="17"/>
      <c r="C1078" s="17"/>
      <c r="D1078" s="17"/>
      <c r="E1078" s="17"/>
      <c r="F1078" s="17"/>
      <c r="G1078" s="4">
        <f t="shared" si="45"/>
        <v>0</v>
      </c>
      <c r="H1078" s="17"/>
      <c r="I1078" s="4">
        <f t="shared" si="47"/>
        <v>349526.07999999996</v>
      </c>
      <c r="J1078" s="32" t="str">
        <f t="shared" si="46"/>
        <v/>
      </c>
      <c r="K1078" s="72"/>
      <c r="L1078" s="72"/>
      <c r="M1078" s="2"/>
      <c r="N1078" s="5"/>
      <c r="O1078" s="3"/>
      <c r="P1078" s="6"/>
      <c r="Q1078" s="48">
        <f>IF(Учет!$O1078=Справочники!$F$2,Учет!$H1078,0)</f>
        <v>0</v>
      </c>
      <c r="R1078" s="48">
        <f>IF(Учет!$O1078=Справочники!$F$3,Учет!$H1078,0)</f>
        <v>0</v>
      </c>
      <c r="S1078" s="48">
        <f>IF(Учет!$O1078=Справочники!$F$4,Учет!$H1078,0)</f>
        <v>0</v>
      </c>
      <c r="T1078" s="48">
        <f>IF(Учет!$O1078=Справочники!$F$5,Учет!$H1078,0)</f>
        <v>0</v>
      </c>
      <c r="U1078" s="48">
        <f>IF(Учет!$O1078=Справочники!$F$6,Учет!$H1078,0)</f>
        <v>0</v>
      </c>
      <c r="V1078" s="43">
        <f>V1077+Учет!Q1078-Q1078</f>
        <v>-488978.92000000004</v>
      </c>
      <c r="W1078" s="43">
        <f>W1077+Учет!R1078-R1078</f>
        <v>336855</v>
      </c>
      <c r="X1078" s="43">
        <f>X1077+Учет!S1078-S1078</f>
        <v>500</v>
      </c>
      <c r="Y1078" s="43">
        <f>Y1077+Учет!T1078-T1078</f>
        <v>1150</v>
      </c>
      <c r="Z1078" s="43">
        <f>Z1077+Учет!U1078-U1078</f>
        <v>500000</v>
      </c>
      <c r="AA1078" s="45">
        <f>Учет!X1078</f>
        <v>500</v>
      </c>
    </row>
    <row r="1079" spans="1:27" ht="15" customHeight="1" x14ac:dyDescent="0.25">
      <c r="A1079" s="1"/>
      <c r="B1079" s="17"/>
      <c r="C1079" s="17"/>
      <c r="D1079" s="17"/>
      <c r="E1079" s="17"/>
      <c r="F1079" s="17"/>
      <c r="G1079" s="4">
        <f t="shared" si="45"/>
        <v>0</v>
      </c>
      <c r="H1079" s="17"/>
      <c r="I1079" s="4">
        <f t="shared" si="47"/>
        <v>349526.07999999996</v>
      </c>
      <c r="J1079" s="32" t="str">
        <f t="shared" si="46"/>
        <v/>
      </c>
      <c r="K1079" s="72"/>
      <c r="L1079" s="72"/>
      <c r="M1079" s="2"/>
      <c r="N1079" s="5"/>
      <c r="O1079" s="3"/>
      <c r="P1079" s="6"/>
      <c r="Q1079" s="48">
        <f>IF(Учет!$O1079=Справочники!$F$2,Учет!$H1079,0)</f>
        <v>0</v>
      </c>
      <c r="R1079" s="48">
        <f>IF(Учет!$O1079=Справочники!$F$3,Учет!$H1079,0)</f>
        <v>0</v>
      </c>
      <c r="S1079" s="48">
        <f>IF(Учет!$O1079=Справочники!$F$4,Учет!$H1079,0)</f>
        <v>0</v>
      </c>
      <c r="T1079" s="48">
        <f>IF(Учет!$O1079=Справочники!$F$5,Учет!$H1079,0)</f>
        <v>0</v>
      </c>
      <c r="U1079" s="48">
        <f>IF(Учет!$O1079=Справочники!$F$6,Учет!$H1079,0)</f>
        <v>0</v>
      </c>
      <c r="V1079" s="43">
        <f>V1078+Учет!Q1079-Q1079</f>
        <v>-488978.92000000004</v>
      </c>
      <c r="W1079" s="43">
        <f>W1078+Учет!R1079-R1079</f>
        <v>336855</v>
      </c>
      <c r="X1079" s="43">
        <f>X1078+Учет!S1079-S1079</f>
        <v>500</v>
      </c>
      <c r="Y1079" s="43">
        <f>Y1078+Учет!T1079-T1079</f>
        <v>1150</v>
      </c>
      <c r="Z1079" s="43">
        <f>Z1078+Учет!U1079-U1079</f>
        <v>500000</v>
      </c>
      <c r="AA1079" s="45">
        <f>Учет!X1079</f>
        <v>500</v>
      </c>
    </row>
    <row r="1080" spans="1:27" ht="15" customHeight="1" x14ac:dyDescent="0.25">
      <c r="A1080" s="1"/>
      <c r="B1080" s="17"/>
      <c r="C1080" s="17"/>
      <c r="D1080" s="17"/>
      <c r="E1080" s="17"/>
      <c r="F1080" s="17"/>
      <c r="G1080" s="4">
        <f t="shared" si="45"/>
        <v>0</v>
      </c>
      <c r="H1080" s="17"/>
      <c r="I1080" s="4">
        <f t="shared" si="47"/>
        <v>349526.07999999996</v>
      </c>
      <c r="J1080" s="32" t="str">
        <f t="shared" si="46"/>
        <v/>
      </c>
      <c r="K1080" s="72"/>
      <c r="L1080" s="72"/>
      <c r="M1080" s="2"/>
      <c r="N1080" s="5"/>
      <c r="O1080" s="3"/>
      <c r="P1080" s="6"/>
      <c r="Q1080" s="48">
        <f>IF(Учет!$O1080=Справочники!$F$2,Учет!$H1080,0)</f>
        <v>0</v>
      </c>
      <c r="R1080" s="48">
        <f>IF(Учет!$O1080=Справочники!$F$3,Учет!$H1080,0)</f>
        <v>0</v>
      </c>
      <c r="S1080" s="48">
        <f>IF(Учет!$O1080=Справочники!$F$4,Учет!$H1080,0)</f>
        <v>0</v>
      </c>
      <c r="T1080" s="48">
        <f>IF(Учет!$O1080=Справочники!$F$5,Учет!$H1080,0)</f>
        <v>0</v>
      </c>
      <c r="U1080" s="48">
        <f>IF(Учет!$O1080=Справочники!$F$6,Учет!$H1080,0)</f>
        <v>0</v>
      </c>
      <c r="V1080" s="43">
        <f>V1079+Учет!Q1080-Q1080</f>
        <v>-488978.92000000004</v>
      </c>
      <c r="W1080" s="43">
        <f>W1079+Учет!R1080-R1080</f>
        <v>336855</v>
      </c>
      <c r="X1080" s="43">
        <f>X1079+Учет!S1080-S1080</f>
        <v>500</v>
      </c>
      <c r="Y1080" s="43">
        <f>Y1079+Учет!T1080-T1080</f>
        <v>1150</v>
      </c>
      <c r="Z1080" s="43">
        <f>Z1079+Учет!U1080-U1080</f>
        <v>500000</v>
      </c>
      <c r="AA1080" s="45">
        <f>Учет!X1080</f>
        <v>500</v>
      </c>
    </row>
    <row r="1081" spans="1:27" ht="15" customHeight="1" x14ac:dyDescent="0.25">
      <c r="A1081" s="1"/>
      <c r="B1081" s="17"/>
      <c r="C1081" s="17"/>
      <c r="D1081" s="17"/>
      <c r="E1081" s="17"/>
      <c r="F1081" s="17"/>
      <c r="G1081" s="4">
        <f t="shared" si="45"/>
        <v>0</v>
      </c>
      <c r="H1081" s="17"/>
      <c r="I1081" s="4">
        <f t="shared" si="47"/>
        <v>349526.07999999996</v>
      </c>
      <c r="J1081" s="32" t="str">
        <f t="shared" si="46"/>
        <v/>
      </c>
      <c r="K1081" s="72"/>
      <c r="L1081" s="72"/>
      <c r="M1081" s="2"/>
      <c r="N1081" s="5"/>
      <c r="O1081" s="3"/>
      <c r="P1081" s="6"/>
      <c r="Q1081" s="48">
        <f>IF(Учет!$O1081=Справочники!$F$2,Учет!$H1081,0)</f>
        <v>0</v>
      </c>
      <c r="R1081" s="48">
        <f>IF(Учет!$O1081=Справочники!$F$3,Учет!$H1081,0)</f>
        <v>0</v>
      </c>
      <c r="S1081" s="48">
        <f>IF(Учет!$O1081=Справочники!$F$4,Учет!$H1081,0)</f>
        <v>0</v>
      </c>
      <c r="T1081" s="48">
        <f>IF(Учет!$O1081=Справочники!$F$5,Учет!$H1081,0)</f>
        <v>0</v>
      </c>
      <c r="U1081" s="48">
        <f>IF(Учет!$O1081=Справочники!$F$6,Учет!$H1081,0)</f>
        <v>0</v>
      </c>
      <c r="V1081" s="43">
        <f>V1080+Учет!Q1081-Q1081</f>
        <v>-488978.92000000004</v>
      </c>
      <c r="W1081" s="43">
        <f>W1080+Учет!R1081-R1081</f>
        <v>336855</v>
      </c>
      <c r="X1081" s="43">
        <f>X1080+Учет!S1081-S1081</f>
        <v>500</v>
      </c>
      <c r="Y1081" s="43">
        <f>Y1080+Учет!T1081-T1081</f>
        <v>1150</v>
      </c>
      <c r="Z1081" s="43">
        <f>Z1080+Учет!U1081-U1081</f>
        <v>500000</v>
      </c>
      <c r="AA1081" s="45">
        <f>Учет!X1081</f>
        <v>500</v>
      </c>
    </row>
    <row r="1082" spans="1:27" ht="15" customHeight="1" x14ac:dyDescent="0.25">
      <c r="A1082" s="1"/>
      <c r="B1082" s="17"/>
      <c r="C1082" s="17"/>
      <c r="D1082" s="17"/>
      <c r="E1082" s="17"/>
      <c r="F1082" s="17"/>
      <c r="G1082" s="4">
        <f t="shared" si="45"/>
        <v>0</v>
      </c>
      <c r="H1082" s="17"/>
      <c r="I1082" s="4">
        <f t="shared" si="47"/>
        <v>349526.07999999996</v>
      </c>
      <c r="J1082" s="32" t="str">
        <f t="shared" si="46"/>
        <v/>
      </c>
      <c r="K1082" s="72"/>
      <c r="L1082" s="72"/>
      <c r="M1082" s="2"/>
      <c r="N1082" s="5"/>
      <c r="O1082" s="3"/>
      <c r="P1082" s="6"/>
      <c r="Q1082" s="48">
        <f>IF(Учет!$O1082=Справочники!$F$2,Учет!$H1082,0)</f>
        <v>0</v>
      </c>
      <c r="R1082" s="48">
        <f>IF(Учет!$O1082=Справочники!$F$3,Учет!$H1082,0)</f>
        <v>0</v>
      </c>
      <c r="S1082" s="48">
        <f>IF(Учет!$O1082=Справочники!$F$4,Учет!$H1082,0)</f>
        <v>0</v>
      </c>
      <c r="T1082" s="48">
        <f>IF(Учет!$O1082=Справочники!$F$5,Учет!$H1082,0)</f>
        <v>0</v>
      </c>
      <c r="U1082" s="48">
        <f>IF(Учет!$O1082=Справочники!$F$6,Учет!$H1082,0)</f>
        <v>0</v>
      </c>
      <c r="V1082" s="43">
        <f>V1081+Учет!Q1082-Q1082</f>
        <v>-488978.92000000004</v>
      </c>
      <c r="W1082" s="43">
        <f>W1081+Учет!R1082-R1082</f>
        <v>336855</v>
      </c>
      <c r="X1082" s="43">
        <f>X1081+Учет!S1082-S1082</f>
        <v>500</v>
      </c>
      <c r="Y1082" s="43">
        <f>Y1081+Учет!T1082-T1082</f>
        <v>1150</v>
      </c>
      <c r="Z1082" s="43">
        <f>Z1081+Учет!U1082-U1082</f>
        <v>500000</v>
      </c>
      <c r="AA1082" s="45">
        <f>Учет!X1082</f>
        <v>500</v>
      </c>
    </row>
    <row r="1083" spans="1:27" ht="15" customHeight="1" x14ac:dyDescent="0.25">
      <c r="A1083" s="1"/>
      <c r="B1083" s="17"/>
      <c r="C1083" s="17"/>
      <c r="D1083" s="17"/>
      <c r="E1083" s="17"/>
      <c r="F1083" s="17"/>
      <c r="G1083" s="4">
        <f t="shared" si="45"/>
        <v>0</v>
      </c>
      <c r="H1083" s="17"/>
      <c r="I1083" s="4">
        <f t="shared" si="47"/>
        <v>349526.07999999996</v>
      </c>
      <c r="J1083" s="32" t="str">
        <f t="shared" si="46"/>
        <v/>
      </c>
      <c r="K1083" s="72"/>
      <c r="L1083" s="72"/>
      <c r="M1083" s="2"/>
      <c r="N1083" s="5"/>
      <c r="O1083" s="3"/>
      <c r="P1083" s="6"/>
      <c r="Q1083" s="48">
        <f>IF(Учет!$O1083=Справочники!$F$2,Учет!$H1083,0)</f>
        <v>0</v>
      </c>
      <c r="R1083" s="48">
        <f>IF(Учет!$O1083=Справочники!$F$3,Учет!$H1083,0)</f>
        <v>0</v>
      </c>
      <c r="S1083" s="48">
        <f>IF(Учет!$O1083=Справочники!$F$4,Учет!$H1083,0)</f>
        <v>0</v>
      </c>
      <c r="T1083" s="48">
        <f>IF(Учет!$O1083=Справочники!$F$5,Учет!$H1083,0)</f>
        <v>0</v>
      </c>
      <c r="U1083" s="48">
        <f>IF(Учет!$O1083=Справочники!$F$6,Учет!$H1083,0)</f>
        <v>0</v>
      </c>
      <c r="V1083" s="43">
        <f>V1082+Учет!Q1083-Q1083</f>
        <v>-488978.92000000004</v>
      </c>
      <c r="W1083" s="43">
        <f>W1082+Учет!R1083-R1083</f>
        <v>336855</v>
      </c>
      <c r="X1083" s="43">
        <f>X1082+Учет!S1083-S1083</f>
        <v>500</v>
      </c>
      <c r="Y1083" s="43">
        <f>Y1082+Учет!T1083-T1083</f>
        <v>1150</v>
      </c>
      <c r="Z1083" s="43">
        <f>Z1082+Учет!U1083-U1083</f>
        <v>500000</v>
      </c>
      <c r="AA1083" s="45">
        <f>Учет!X1083</f>
        <v>500</v>
      </c>
    </row>
    <row r="1084" spans="1:27" ht="15" customHeight="1" x14ac:dyDescent="0.25">
      <c r="A1084" s="1"/>
      <c r="B1084" s="17"/>
      <c r="C1084" s="17"/>
      <c r="D1084" s="17"/>
      <c r="E1084" s="17"/>
      <c r="F1084" s="17"/>
      <c r="G1084" s="4">
        <f t="shared" si="45"/>
        <v>0</v>
      </c>
      <c r="H1084" s="17"/>
      <c r="I1084" s="4">
        <f t="shared" si="47"/>
        <v>349526.07999999996</v>
      </c>
      <c r="J1084" s="32" t="str">
        <f t="shared" si="46"/>
        <v/>
      </c>
      <c r="K1084" s="72"/>
      <c r="L1084" s="72"/>
      <c r="M1084" s="2"/>
      <c r="N1084" s="5"/>
      <c r="O1084" s="3"/>
      <c r="P1084" s="6"/>
      <c r="Q1084" s="48">
        <f>IF(Учет!$O1084=Справочники!$F$2,Учет!$H1084,0)</f>
        <v>0</v>
      </c>
      <c r="R1084" s="48">
        <f>IF(Учет!$O1084=Справочники!$F$3,Учет!$H1084,0)</f>
        <v>0</v>
      </c>
      <c r="S1084" s="48">
        <f>IF(Учет!$O1084=Справочники!$F$4,Учет!$H1084,0)</f>
        <v>0</v>
      </c>
      <c r="T1084" s="48">
        <f>IF(Учет!$O1084=Справочники!$F$5,Учет!$H1084,0)</f>
        <v>0</v>
      </c>
      <c r="U1084" s="48">
        <f>IF(Учет!$O1084=Справочники!$F$6,Учет!$H1084,0)</f>
        <v>0</v>
      </c>
      <c r="V1084" s="43">
        <f>V1083+Учет!Q1084-Q1084</f>
        <v>-488978.92000000004</v>
      </c>
      <c r="W1084" s="43">
        <f>W1083+Учет!R1084-R1084</f>
        <v>336855</v>
      </c>
      <c r="X1084" s="43">
        <f>X1083+Учет!S1084-S1084</f>
        <v>500</v>
      </c>
      <c r="Y1084" s="43">
        <f>Y1083+Учет!T1084-T1084</f>
        <v>1150</v>
      </c>
      <c r="Z1084" s="43">
        <f>Z1083+Учет!U1084-U1084</f>
        <v>500000</v>
      </c>
      <c r="AA1084" s="45">
        <f>Учет!X1084</f>
        <v>500</v>
      </c>
    </row>
    <row r="1085" spans="1:27" ht="15" customHeight="1" x14ac:dyDescent="0.25">
      <c r="A1085" s="1"/>
      <c r="B1085" s="17"/>
      <c r="C1085" s="17"/>
      <c r="D1085" s="17"/>
      <c r="E1085" s="17"/>
      <c r="F1085" s="17"/>
      <c r="G1085" s="4">
        <f t="shared" si="45"/>
        <v>0</v>
      </c>
      <c r="H1085" s="17"/>
      <c r="I1085" s="4">
        <f t="shared" si="47"/>
        <v>349526.07999999996</v>
      </c>
      <c r="J1085" s="32" t="str">
        <f t="shared" si="46"/>
        <v/>
      </c>
      <c r="K1085" s="72"/>
      <c r="L1085" s="72"/>
      <c r="M1085" s="2"/>
      <c r="N1085" s="5"/>
      <c r="O1085" s="3"/>
      <c r="P1085" s="6"/>
      <c r="Q1085" s="48">
        <f>IF(Учет!$O1085=Справочники!$F$2,Учет!$H1085,0)</f>
        <v>0</v>
      </c>
      <c r="R1085" s="48">
        <f>IF(Учет!$O1085=Справочники!$F$3,Учет!$H1085,0)</f>
        <v>0</v>
      </c>
      <c r="S1085" s="48">
        <f>IF(Учет!$O1085=Справочники!$F$4,Учет!$H1085,0)</f>
        <v>0</v>
      </c>
      <c r="T1085" s="48">
        <f>IF(Учет!$O1085=Справочники!$F$5,Учет!$H1085,0)</f>
        <v>0</v>
      </c>
      <c r="U1085" s="48">
        <f>IF(Учет!$O1085=Справочники!$F$6,Учет!$H1085,0)</f>
        <v>0</v>
      </c>
      <c r="V1085" s="43">
        <f>V1084+Учет!Q1085-Q1085</f>
        <v>-488978.92000000004</v>
      </c>
      <c r="W1085" s="43">
        <f>W1084+Учет!R1085-R1085</f>
        <v>336855</v>
      </c>
      <c r="X1085" s="43">
        <f>X1084+Учет!S1085-S1085</f>
        <v>500</v>
      </c>
      <c r="Y1085" s="43">
        <f>Y1084+Учет!T1085-T1085</f>
        <v>1150</v>
      </c>
      <c r="Z1085" s="43">
        <f>Z1084+Учет!U1085-U1085</f>
        <v>500000</v>
      </c>
      <c r="AA1085" s="45">
        <f>Учет!X1085</f>
        <v>500</v>
      </c>
    </row>
    <row r="1086" spans="1:27" ht="15" customHeight="1" x14ac:dyDescent="0.25">
      <c r="A1086" s="1"/>
      <c r="B1086" s="17"/>
      <c r="C1086" s="17"/>
      <c r="D1086" s="17"/>
      <c r="E1086" s="17"/>
      <c r="F1086" s="17"/>
      <c r="G1086" s="4">
        <f t="shared" si="45"/>
        <v>0</v>
      </c>
      <c r="H1086" s="17"/>
      <c r="I1086" s="4">
        <f t="shared" si="47"/>
        <v>349526.07999999996</v>
      </c>
      <c r="J1086" s="32" t="str">
        <f t="shared" si="46"/>
        <v/>
      </c>
      <c r="K1086" s="72"/>
      <c r="L1086" s="72"/>
      <c r="M1086" s="2"/>
      <c r="N1086" s="5"/>
      <c r="O1086" s="3"/>
      <c r="P1086" s="6"/>
      <c r="Q1086" s="48">
        <f>IF(Учет!$O1086=Справочники!$F$2,Учет!$H1086,0)</f>
        <v>0</v>
      </c>
      <c r="R1086" s="48">
        <f>IF(Учет!$O1086=Справочники!$F$3,Учет!$H1086,0)</f>
        <v>0</v>
      </c>
      <c r="S1086" s="48">
        <f>IF(Учет!$O1086=Справочники!$F$4,Учет!$H1086,0)</f>
        <v>0</v>
      </c>
      <c r="T1086" s="48">
        <f>IF(Учет!$O1086=Справочники!$F$5,Учет!$H1086,0)</f>
        <v>0</v>
      </c>
      <c r="U1086" s="48">
        <f>IF(Учет!$O1086=Справочники!$F$6,Учет!$H1086,0)</f>
        <v>0</v>
      </c>
      <c r="V1086" s="43">
        <f>V1085+Учет!Q1086-Q1086</f>
        <v>-488978.92000000004</v>
      </c>
      <c r="W1086" s="43">
        <f>W1085+Учет!R1086-R1086</f>
        <v>336855</v>
      </c>
      <c r="X1086" s="43">
        <f>X1085+Учет!S1086-S1086</f>
        <v>500</v>
      </c>
      <c r="Y1086" s="43">
        <f>Y1085+Учет!T1086-T1086</f>
        <v>1150</v>
      </c>
      <c r="Z1086" s="43">
        <f>Z1085+Учет!U1086-U1086</f>
        <v>500000</v>
      </c>
      <c r="AA1086" s="45">
        <f>Учет!X1086</f>
        <v>500</v>
      </c>
    </row>
    <row r="1087" spans="1:27" ht="15" customHeight="1" x14ac:dyDescent="0.25">
      <c r="A1087" s="1"/>
      <c r="B1087" s="17"/>
      <c r="C1087" s="17"/>
      <c r="D1087" s="17"/>
      <c r="E1087" s="17"/>
      <c r="F1087" s="17"/>
      <c r="G1087" s="4">
        <f t="shared" si="45"/>
        <v>0</v>
      </c>
      <c r="H1087" s="17"/>
      <c r="I1087" s="4">
        <f t="shared" si="47"/>
        <v>349526.07999999996</v>
      </c>
      <c r="J1087" s="32" t="str">
        <f t="shared" si="46"/>
        <v/>
      </c>
      <c r="K1087" s="72"/>
      <c r="L1087" s="72"/>
      <c r="M1087" s="2"/>
      <c r="N1087" s="5"/>
      <c r="O1087" s="3"/>
      <c r="P1087" s="6"/>
      <c r="Q1087" s="48">
        <f>IF(Учет!$O1087=Справочники!$F$2,Учет!$H1087,0)</f>
        <v>0</v>
      </c>
      <c r="R1087" s="48">
        <f>IF(Учет!$O1087=Справочники!$F$3,Учет!$H1087,0)</f>
        <v>0</v>
      </c>
      <c r="S1087" s="48">
        <f>IF(Учет!$O1087=Справочники!$F$4,Учет!$H1087,0)</f>
        <v>0</v>
      </c>
      <c r="T1087" s="48">
        <f>IF(Учет!$O1087=Справочники!$F$5,Учет!$H1087,0)</f>
        <v>0</v>
      </c>
      <c r="U1087" s="48">
        <f>IF(Учет!$O1087=Справочники!$F$6,Учет!$H1087,0)</f>
        <v>0</v>
      </c>
      <c r="V1087" s="43">
        <f>V1086+Учет!Q1087-Q1087</f>
        <v>-488978.92000000004</v>
      </c>
      <c r="W1087" s="43">
        <f>W1086+Учет!R1087-R1087</f>
        <v>336855</v>
      </c>
      <c r="X1087" s="43">
        <f>X1086+Учет!S1087-S1087</f>
        <v>500</v>
      </c>
      <c r="Y1087" s="43">
        <f>Y1086+Учет!T1087-T1087</f>
        <v>1150</v>
      </c>
      <c r="Z1087" s="43">
        <f>Z1086+Учет!U1087-U1087</f>
        <v>500000</v>
      </c>
      <c r="AA1087" s="45">
        <f>Учет!X1087</f>
        <v>500</v>
      </c>
    </row>
    <row r="1088" spans="1:27" ht="15" customHeight="1" x14ac:dyDescent="0.25">
      <c r="A1088" s="1"/>
      <c r="B1088" s="17"/>
      <c r="C1088" s="17"/>
      <c r="D1088" s="17"/>
      <c r="E1088" s="17"/>
      <c r="F1088" s="17"/>
      <c r="G1088" s="4">
        <f t="shared" si="45"/>
        <v>0</v>
      </c>
      <c r="H1088" s="17"/>
      <c r="I1088" s="4">
        <f t="shared" si="47"/>
        <v>349526.07999999996</v>
      </c>
      <c r="J1088" s="32" t="str">
        <f t="shared" si="46"/>
        <v/>
      </c>
      <c r="K1088" s="72"/>
      <c r="L1088" s="72"/>
      <c r="M1088" s="2"/>
      <c r="N1088" s="5"/>
      <c r="O1088" s="3"/>
      <c r="P1088" s="6"/>
      <c r="Q1088" s="48">
        <f>IF(Учет!$O1088=Справочники!$F$2,Учет!$H1088,0)</f>
        <v>0</v>
      </c>
      <c r="R1088" s="48">
        <f>IF(Учет!$O1088=Справочники!$F$3,Учет!$H1088,0)</f>
        <v>0</v>
      </c>
      <c r="S1088" s="48">
        <f>IF(Учет!$O1088=Справочники!$F$4,Учет!$H1088,0)</f>
        <v>0</v>
      </c>
      <c r="T1088" s="48">
        <f>IF(Учет!$O1088=Справочники!$F$5,Учет!$H1088,0)</f>
        <v>0</v>
      </c>
      <c r="U1088" s="48">
        <f>IF(Учет!$O1088=Справочники!$F$6,Учет!$H1088,0)</f>
        <v>0</v>
      </c>
      <c r="V1088" s="43">
        <f>V1087+Учет!Q1088-Q1088</f>
        <v>-488978.92000000004</v>
      </c>
      <c r="W1088" s="43">
        <f>W1087+Учет!R1088-R1088</f>
        <v>336855</v>
      </c>
      <c r="X1088" s="43">
        <f>X1087+Учет!S1088-S1088</f>
        <v>500</v>
      </c>
      <c r="Y1088" s="43">
        <f>Y1087+Учет!T1088-T1088</f>
        <v>1150</v>
      </c>
      <c r="Z1088" s="43">
        <f>Z1087+Учет!U1088-U1088</f>
        <v>500000</v>
      </c>
      <c r="AA1088" s="45">
        <f>Учет!X1088</f>
        <v>500</v>
      </c>
    </row>
    <row r="1089" spans="1:27" ht="15" customHeight="1" x14ac:dyDescent="0.25">
      <c r="A1089" s="1"/>
      <c r="B1089" s="17"/>
      <c r="C1089" s="17"/>
      <c r="D1089" s="17"/>
      <c r="E1089" s="17"/>
      <c r="F1089" s="17"/>
      <c r="G1089" s="4">
        <f t="shared" si="45"/>
        <v>0</v>
      </c>
      <c r="H1089" s="17"/>
      <c r="I1089" s="4">
        <f t="shared" si="47"/>
        <v>349526.07999999996</v>
      </c>
      <c r="J1089" s="32" t="str">
        <f t="shared" si="46"/>
        <v/>
      </c>
      <c r="K1089" s="72"/>
      <c r="L1089" s="72"/>
      <c r="M1089" s="2"/>
      <c r="N1089" s="5"/>
      <c r="O1089" s="3"/>
      <c r="P1089" s="6"/>
      <c r="Q1089" s="48">
        <f>IF(Учет!$O1089=Справочники!$F$2,Учет!$H1089,0)</f>
        <v>0</v>
      </c>
      <c r="R1089" s="48">
        <f>IF(Учет!$O1089=Справочники!$F$3,Учет!$H1089,0)</f>
        <v>0</v>
      </c>
      <c r="S1089" s="48">
        <f>IF(Учет!$O1089=Справочники!$F$4,Учет!$H1089,0)</f>
        <v>0</v>
      </c>
      <c r="T1089" s="48">
        <f>IF(Учет!$O1089=Справочники!$F$5,Учет!$H1089,0)</f>
        <v>0</v>
      </c>
      <c r="U1089" s="48">
        <f>IF(Учет!$O1089=Справочники!$F$6,Учет!$H1089,0)</f>
        <v>0</v>
      </c>
      <c r="V1089" s="43">
        <f>V1088+Учет!Q1089-Q1089</f>
        <v>-488978.92000000004</v>
      </c>
      <c r="W1089" s="43">
        <f>W1088+Учет!R1089-R1089</f>
        <v>336855</v>
      </c>
      <c r="X1089" s="43">
        <f>X1088+Учет!S1089-S1089</f>
        <v>500</v>
      </c>
      <c r="Y1089" s="43">
        <f>Y1088+Учет!T1089-T1089</f>
        <v>1150</v>
      </c>
      <c r="Z1089" s="43">
        <f>Z1088+Учет!U1089-U1089</f>
        <v>500000</v>
      </c>
      <c r="AA1089" s="45">
        <f>Учет!X1089</f>
        <v>500</v>
      </c>
    </row>
    <row r="1090" spans="1:27" ht="15" customHeight="1" x14ac:dyDescent="0.25">
      <c r="A1090" s="1"/>
      <c r="B1090" s="17"/>
      <c r="C1090" s="17"/>
      <c r="D1090" s="17"/>
      <c r="E1090" s="17"/>
      <c r="F1090" s="17"/>
      <c r="G1090" s="4">
        <f t="shared" ref="G1090:G1153" si="48">SUM($B1090:$F1090)</f>
        <v>0</v>
      </c>
      <c r="H1090" s="17"/>
      <c r="I1090" s="4">
        <f t="shared" si="47"/>
        <v>349526.07999999996</v>
      </c>
      <c r="J1090" s="32" t="str">
        <f t="shared" ref="J1090:J1153" si="49">IF($A1091&lt;&gt;$A1090,$I1090,"")</f>
        <v/>
      </c>
      <c r="K1090" s="72"/>
      <c r="L1090" s="72"/>
      <c r="M1090" s="2"/>
      <c r="N1090" s="5"/>
      <c r="O1090" s="3"/>
      <c r="P1090" s="6"/>
      <c r="Q1090" s="48">
        <f>IF(Учет!$O1090=Справочники!$F$2,Учет!$H1090,0)</f>
        <v>0</v>
      </c>
      <c r="R1090" s="48">
        <f>IF(Учет!$O1090=Справочники!$F$3,Учет!$H1090,0)</f>
        <v>0</v>
      </c>
      <c r="S1090" s="48">
        <f>IF(Учет!$O1090=Справочники!$F$4,Учет!$H1090,0)</f>
        <v>0</v>
      </c>
      <c r="T1090" s="48">
        <f>IF(Учет!$O1090=Справочники!$F$5,Учет!$H1090,0)</f>
        <v>0</v>
      </c>
      <c r="U1090" s="48">
        <f>IF(Учет!$O1090=Справочники!$F$6,Учет!$H1090,0)</f>
        <v>0</v>
      </c>
      <c r="V1090" s="43">
        <f>V1089+Учет!Q1090-Q1090</f>
        <v>-488978.92000000004</v>
      </c>
      <c r="W1090" s="43">
        <f>W1089+Учет!R1090-R1090</f>
        <v>336855</v>
      </c>
      <c r="X1090" s="43">
        <f>X1089+Учет!S1090-S1090</f>
        <v>500</v>
      </c>
      <c r="Y1090" s="43">
        <f>Y1089+Учет!T1090-T1090</f>
        <v>1150</v>
      </c>
      <c r="Z1090" s="43">
        <f>Z1089+Учет!U1090-U1090</f>
        <v>500000</v>
      </c>
      <c r="AA1090" s="45">
        <f>Учет!X1090</f>
        <v>500</v>
      </c>
    </row>
    <row r="1091" spans="1:27" ht="15" customHeight="1" x14ac:dyDescent="0.25">
      <c r="A1091" s="1"/>
      <c r="B1091" s="17"/>
      <c r="C1091" s="17"/>
      <c r="D1091" s="17"/>
      <c r="E1091" s="17"/>
      <c r="F1091" s="17"/>
      <c r="G1091" s="4">
        <f t="shared" si="48"/>
        <v>0</v>
      </c>
      <c r="H1091" s="17"/>
      <c r="I1091" s="4">
        <f t="shared" ref="I1091:I1154" si="50">$I1090+$G1091-$H1091</f>
        <v>349526.07999999996</v>
      </c>
      <c r="J1091" s="32" t="str">
        <f t="shared" si="49"/>
        <v/>
      </c>
      <c r="K1091" s="72"/>
      <c r="L1091" s="72"/>
      <c r="M1091" s="2"/>
      <c r="N1091" s="5"/>
      <c r="O1091" s="3"/>
      <c r="P1091" s="6"/>
      <c r="Q1091" s="48">
        <f>IF(Учет!$O1091=Справочники!$F$2,Учет!$H1091,0)</f>
        <v>0</v>
      </c>
      <c r="R1091" s="48">
        <f>IF(Учет!$O1091=Справочники!$F$3,Учет!$H1091,0)</f>
        <v>0</v>
      </c>
      <c r="S1091" s="48">
        <f>IF(Учет!$O1091=Справочники!$F$4,Учет!$H1091,0)</f>
        <v>0</v>
      </c>
      <c r="T1091" s="48">
        <f>IF(Учет!$O1091=Справочники!$F$5,Учет!$H1091,0)</f>
        <v>0</v>
      </c>
      <c r="U1091" s="48">
        <f>IF(Учет!$O1091=Справочники!$F$6,Учет!$H1091,0)</f>
        <v>0</v>
      </c>
      <c r="V1091" s="43">
        <f>V1090+Учет!Q1091-Q1091</f>
        <v>-488978.92000000004</v>
      </c>
      <c r="W1091" s="43">
        <f>W1090+Учет!R1091-R1091</f>
        <v>336855</v>
      </c>
      <c r="X1091" s="43">
        <f>X1090+Учет!S1091-S1091</f>
        <v>500</v>
      </c>
      <c r="Y1091" s="43">
        <f>Y1090+Учет!T1091-T1091</f>
        <v>1150</v>
      </c>
      <c r="Z1091" s="43">
        <f>Z1090+Учет!U1091-U1091</f>
        <v>500000</v>
      </c>
      <c r="AA1091" s="45">
        <f>Учет!X1091</f>
        <v>500</v>
      </c>
    </row>
    <row r="1092" spans="1:27" ht="15" customHeight="1" x14ac:dyDescent="0.25">
      <c r="A1092" s="1"/>
      <c r="B1092" s="17"/>
      <c r="C1092" s="17"/>
      <c r="D1092" s="17"/>
      <c r="E1092" s="17"/>
      <c r="F1092" s="17"/>
      <c r="G1092" s="4">
        <f t="shared" si="48"/>
        <v>0</v>
      </c>
      <c r="H1092" s="17"/>
      <c r="I1092" s="4">
        <f t="shared" si="50"/>
        <v>349526.07999999996</v>
      </c>
      <c r="J1092" s="32" t="str">
        <f t="shared" si="49"/>
        <v/>
      </c>
      <c r="K1092" s="72"/>
      <c r="L1092" s="72"/>
      <c r="M1092" s="2"/>
      <c r="N1092" s="5"/>
      <c r="O1092" s="3"/>
      <c r="P1092" s="6"/>
      <c r="Q1092" s="48">
        <f>IF(Учет!$O1092=Справочники!$F$2,Учет!$H1092,0)</f>
        <v>0</v>
      </c>
      <c r="R1092" s="48">
        <f>IF(Учет!$O1092=Справочники!$F$3,Учет!$H1092,0)</f>
        <v>0</v>
      </c>
      <c r="S1092" s="48">
        <f>IF(Учет!$O1092=Справочники!$F$4,Учет!$H1092,0)</f>
        <v>0</v>
      </c>
      <c r="T1092" s="48">
        <f>IF(Учет!$O1092=Справочники!$F$5,Учет!$H1092,0)</f>
        <v>0</v>
      </c>
      <c r="U1092" s="48">
        <f>IF(Учет!$O1092=Справочники!$F$6,Учет!$H1092,0)</f>
        <v>0</v>
      </c>
      <c r="V1092" s="43">
        <f>V1091+Учет!Q1092-Q1092</f>
        <v>-488978.92000000004</v>
      </c>
      <c r="W1092" s="43">
        <f>W1091+Учет!R1092-R1092</f>
        <v>336855</v>
      </c>
      <c r="X1092" s="43">
        <f>X1091+Учет!S1092-S1092</f>
        <v>500</v>
      </c>
      <c r="Y1092" s="43">
        <f>Y1091+Учет!T1092-T1092</f>
        <v>1150</v>
      </c>
      <c r="Z1092" s="43">
        <f>Z1091+Учет!U1092-U1092</f>
        <v>500000</v>
      </c>
      <c r="AA1092" s="45">
        <f>Учет!X1092</f>
        <v>500</v>
      </c>
    </row>
    <row r="1093" spans="1:27" ht="15" customHeight="1" x14ac:dyDescent="0.25">
      <c r="A1093" s="1"/>
      <c r="B1093" s="17"/>
      <c r="C1093" s="17"/>
      <c r="D1093" s="17"/>
      <c r="E1093" s="17"/>
      <c r="F1093" s="17"/>
      <c r="G1093" s="4">
        <f t="shared" si="48"/>
        <v>0</v>
      </c>
      <c r="H1093" s="17"/>
      <c r="I1093" s="4">
        <f t="shared" si="50"/>
        <v>349526.07999999996</v>
      </c>
      <c r="J1093" s="32" t="str">
        <f t="shared" si="49"/>
        <v/>
      </c>
      <c r="K1093" s="72"/>
      <c r="L1093" s="72"/>
      <c r="M1093" s="2"/>
      <c r="N1093" s="5"/>
      <c r="O1093" s="3"/>
      <c r="P1093" s="6"/>
      <c r="Q1093" s="48">
        <f>IF(Учет!$O1093=Справочники!$F$2,Учет!$H1093,0)</f>
        <v>0</v>
      </c>
      <c r="R1093" s="48">
        <f>IF(Учет!$O1093=Справочники!$F$3,Учет!$H1093,0)</f>
        <v>0</v>
      </c>
      <c r="S1093" s="48">
        <f>IF(Учет!$O1093=Справочники!$F$4,Учет!$H1093,0)</f>
        <v>0</v>
      </c>
      <c r="T1093" s="48">
        <f>IF(Учет!$O1093=Справочники!$F$5,Учет!$H1093,0)</f>
        <v>0</v>
      </c>
      <c r="U1093" s="48">
        <f>IF(Учет!$O1093=Справочники!$F$6,Учет!$H1093,0)</f>
        <v>0</v>
      </c>
      <c r="V1093" s="43">
        <f>V1092+Учет!Q1093-Q1093</f>
        <v>-488978.92000000004</v>
      </c>
      <c r="W1093" s="43">
        <f>W1092+Учет!R1093-R1093</f>
        <v>336855</v>
      </c>
      <c r="X1093" s="43">
        <f>X1092+Учет!S1093-S1093</f>
        <v>500</v>
      </c>
      <c r="Y1093" s="43">
        <f>Y1092+Учет!T1093-T1093</f>
        <v>1150</v>
      </c>
      <c r="Z1093" s="43">
        <f>Z1092+Учет!U1093-U1093</f>
        <v>500000</v>
      </c>
      <c r="AA1093" s="45">
        <f>Учет!X1093</f>
        <v>500</v>
      </c>
    </row>
    <row r="1094" spans="1:27" ht="15" customHeight="1" x14ac:dyDescent="0.25">
      <c r="A1094" s="1"/>
      <c r="B1094" s="17"/>
      <c r="C1094" s="17"/>
      <c r="D1094" s="17"/>
      <c r="E1094" s="17"/>
      <c r="F1094" s="17"/>
      <c r="G1094" s="4">
        <f t="shared" si="48"/>
        <v>0</v>
      </c>
      <c r="H1094" s="17"/>
      <c r="I1094" s="4">
        <f t="shared" si="50"/>
        <v>349526.07999999996</v>
      </c>
      <c r="J1094" s="32" t="str">
        <f t="shared" si="49"/>
        <v/>
      </c>
      <c r="K1094" s="72"/>
      <c r="L1094" s="72"/>
      <c r="M1094" s="2"/>
      <c r="N1094" s="5"/>
      <c r="O1094" s="3"/>
      <c r="P1094" s="6"/>
      <c r="Q1094" s="48">
        <f>IF(Учет!$O1094=Справочники!$F$2,Учет!$H1094,0)</f>
        <v>0</v>
      </c>
      <c r="R1094" s="48">
        <f>IF(Учет!$O1094=Справочники!$F$3,Учет!$H1094,0)</f>
        <v>0</v>
      </c>
      <c r="S1094" s="48">
        <f>IF(Учет!$O1094=Справочники!$F$4,Учет!$H1094,0)</f>
        <v>0</v>
      </c>
      <c r="T1094" s="48">
        <f>IF(Учет!$O1094=Справочники!$F$5,Учет!$H1094,0)</f>
        <v>0</v>
      </c>
      <c r="U1094" s="48">
        <f>IF(Учет!$O1094=Справочники!$F$6,Учет!$H1094,0)</f>
        <v>0</v>
      </c>
      <c r="V1094" s="43">
        <f>V1093+Учет!Q1094-Q1094</f>
        <v>-488978.92000000004</v>
      </c>
      <c r="W1094" s="43">
        <f>W1093+Учет!R1094-R1094</f>
        <v>336855</v>
      </c>
      <c r="X1094" s="43">
        <f>X1093+Учет!S1094-S1094</f>
        <v>500</v>
      </c>
      <c r="Y1094" s="43">
        <f>Y1093+Учет!T1094-T1094</f>
        <v>1150</v>
      </c>
      <c r="Z1094" s="43">
        <f>Z1093+Учет!U1094-U1094</f>
        <v>500000</v>
      </c>
      <c r="AA1094" s="45">
        <f>Учет!X1094</f>
        <v>500</v>
      </c>
    </row>
    <row r="1095" spans="1:27" ht="15" customHeight="1" x14ac:dyDescent="0.25">
      <c r="A1095" s="1"/>
      <c r="B1095" s="17"/>
      <c r="C1095" s="17"/>
      <c r="D1095" s="17"/>
      <c r="E1095" s="17"/>
      <c r="F1095" s="17"/>
      <c r="G1095" s="4">
        <f t="shared" si="48"/>
        <v>0</v>
      </c>
      <c r="H1095" s="17"/>
      <c r="I1095" s="4">
        <f t="shared" si="50"/>
        <v>349526.07999999996</v>
      </c>
      <c r="J1095" s="32" t="str">
        <f t="shared" si="49"/>
        <v/>
      </c>
      <c r="K1095" s="72"/>
      <c r="L1095" s="72"/>
      <c r="M1095" s="2"/>
      <c r="N1095" s="5"/>
      <c r="O1095" s="3"/>
      <c r="P1095" s="6"/>
      <c r="Q1095" s="48">
        <f>IF(Учет!$O1095=Справочники!$F$2,Учет!$H1095,0)</f>
        <v>0</v>
      </c>
      <c r="R1095" s="48">
        <f>IF(Учет!$O1095=Справочники!$F$3,Учет!$H1095,0)</f>
        <v>0</v>
      </c>
      <c r="S1095" s="48">
        <f>IF(Учет!$O1095=Справочники!$F$4,Учет!$H1095,0)</f>
        <v>0</v>
      </c>
      <c r="T1095" s="48">
        <f>IF(Учет!$O1095=Справочники!$F$5,Учет!$H1095,0)</f>
        <v>0</v>
      </c>
      <c r="U1095" s="48">
        <f>IF(Учет!$O1095=Справочники!$F$6,Учет!$H1095,0)</f>
        <v>0</v>
      </c>
      <c r="V1095" s="43">
        <f>V1094+Учет!Q1095-Q1095</f>
        <v>-488978.92000000004</v>
      </c>
      <c r="W1095" s="43">
        <f>W1094+Учет!R1095-R1095</f>
        <v>336855</v>
      </c>
      <c r="X1095" s="43">
        <f>X1094+Учет!S1095-S1095</f>
        <v>500</v>
      </c>
      <c r="Y1095" s="43">
        <f>Y1094+Учет!T1095-T1095</f>
        <v>1150</v>
      </c>
      <c r="Z1095" s="43">
        <f>Z1094+Учет!U1095-U1095</f>
        <v>500000</v>
      </c>
      <c r="AA1095" s="45">
        <f>Учет!X1095</f>
        <v>500</v>
      </c>
    </row>
    <row r="1096" spans="1:27" ht="15" customHeight="1" x14ac:dyDescent="0.25">
      <c r="A1096" s="1"/>
      <c r="B1096" s="17"/>
      <c r="C1096" s="17"/>
      <c r="D1096" s="17"/>
      <c r="E1096" s="17"/>
      <c r="F1096" s="17"/>
      <c r="G1096" s="4">
        <f t="shared" si="48"/>
        <v>0</v>
      </c>
      <c r="H1096" s="17"/>
      <c r="I1096" s="4">
        <f t="shared" si="50"/>
        <v>349526.07999999996</v>
      </c>
      <c r="J1096" s="32" t="str">
        <f t="shared" si="49"/>
        <v/>
      </c>
      <c r="K1096" s="72"/>
      <c r="L1096" s="72"/>
      <c r="M1096" s="2"/>
      <c r="N1096" s="5"/>
      <c r="O1096" s="3"/>
      <c r="P1096" s="6"/>
      <c r="Q1096" s="48">
        <f>IF(Учет!$O1096=Справочники!$F$2,Учет!$H1096,0)</f>
        <v>0</v>
      </c>
      <c r="R1096" s="48">
        <f>IF(Учет!$O1096=Справочники!$F$3,Учет!$H1096,0)</f>
        <v>0</v>
      </c>
      <c r="S1096" s="48">
        <f>IF(Учет!$O1096=Справочники!$F$4,Учет!$H1096,0)</f>
        <v>0</v>
      </c>
      <c r="T1096" s="48">
        <f>IF(Учет!$O1096=Справочники!$F$5,Учет!$H1096,0)</f>
        <v>0</v>
      </c>
      <c r="U1096" s="48">
        <f>IF(Учет!$O1096=Справочники!$F$6,Учет!$H1096,0)</f>
        <v>0</v>
      </c>
      <c r="V1096" s="43">
        <f>V1095+Учет!Q1096-Q1096</f>
        <v>-488978.92000000004</v>
      </c>
      <c r="W1096" s="43">
        <f>W1095+Учет!R1096-R1096</f>
        <v>336855</v>
      </c>
      <c r="X1096" s="43">
        <f>X1095+Учет!S1096-S1096</f>
        <v>500</v>
      </c>
      <c r="Y1096" s="43">
        <f>Y1095+Учет!T1096-T1096</f>
        <v>1150</v>
      </c>
      <c r="Z1096" s="43">
        <f>Z1095+Учет!U1096-U1096</f>
        <v>500000</v>
      </c>
      <c r="AA1096" s="45">
        <f>Учет!X1096</f>
        <v>500</v>
      </c>
    </row>
    <row r="1097" spans="1:27" ht="15" customHeight="1" x14ac:dyDescent="0.25">
      <c r="A1097" s="1"/>
      <c r="B1097" s="17"/>
      <c r="C1097" s="17"/>
      <c r="D1097" s="17"/>
      <c r="E1097" s="17"/>
      <c r="F1097" s="17"/>
      <c r="G1097" s="4">
        <f t="shared" si="48"/>
        <v>0</v>
      </c>
      <c r="H1097" s="17"/>
      <c r="I1097" s="4">
        <f t="shared" si="50"/>
        <v>349526.07999999996</v>
      </c>
      <c r="J1097" s="32" t="str">
        <f t="shared" si="49"/>
        <v/>
      </c>
      <c r="K1097" s="72"/>
      <c r="L1097" s="72"/>
      <c r="M1097" s="2"/>
      <c r="N1097" s="5"/>
      <c r="O1097" s="3"/>
      <c r="P1097" s="6"/>
      <c r="Q1097" s="48">
        <f>IF(Учет!$O1097=Справочники!$F$2,Учет!$H1097,0)</f>
        <v>0</v>
      </c>
      <c r="R1097" s="48">
        <f>IF(Учет!$O1097=Справочники!$F$3,Учет!$H1097,0)</f>
        <v>0</v>
      </c>
      <c r="S1097" s="48">
        <f>IF(Учет!$O1097=Справочники!$F$4,Учет!$H1097,0)</f>
        <v>0</v>
      </c>
      <c r="T1097" s="48">
        <f>IF(Учет!$O1097=Справочники!$F$5,Учет!$H1097,0)</f>
        <v>0</v>
      </c>
      <c r="U1097" s="48">
        <f>IF(Учет!$O1097=Справочники!$F$6,Учет!$H1097,0)</f>
        <v>0</v>
      </c>
      <c r="V1097" s="43">
        <f>V1096+Учет!Q1097-Q1097</f>
        <v>-488978.92000000004</v>
      </c>
      <c r="W1097" s="43">
        <f>W1096+Учет!R1097-R1097</f>
        <v>336855</v>
      </c>
      <c r="X1097" s="43">
        <f>X1096+Учет!S1097-S1097</f>
        <v>500</v>
      </c>
      <c r="Y1097" s="43">
        <f>Y1096+Учет!T1097-T1097</f>
        <v>1150</v>
      </c>
      <c r="Z1097" s="43">
        <f>Z1096+Учет!U1097-U1097</f>
        <v>500000</v>
      </c>
      <c r="AA1097" s="45">
        <f>Учет!X1097</f>
        <v>500</v>
      </c>
    </row>
    <row r="1098" spans="1:27" ht="15" customHeight="1" x14ac:dyDescent="0.25">
      <c r="A1098" s="1"/>
      <c r="B1098" s="17"/>
      <c r="C1098" s="17"/>
      <c r="D1098" s="17"/>
      <c r="E1098" s="17"/>
      <c r="F1098" s="17"/>
      <c r="G1098" s="4">
        <f t="shared" si="48"/>
        <v>0</v>
      </c>
      <c r="H1098" s="17"/>
      <c r="I1098" s="4">
        <f t="shared" si="50"/>
        <v>349526.07999999996</v>
      </c>
      <c r="J1098" s="32" t="str">
        <f t="shared" si="49"/>
        <v/>
      </c>
      <c r="K1098" s="72"/>
      <c r="L1098" s="72"/>
      <c r="M1098" s="2"/>
      <c r="N1098" s="5"/>
      <c r="O1098" s="3"/>
      <c r="P1098" s="6"/>
      <c r="Q1098" s="48">
        <f>IF(Учет!$O1098=Справочники!$F$2,Учет!$H1098,0)</f>
        <v>0</v>
      </c>
      <c r="R1098" s="48">
        <f>IF(Учет!$O1098=Справочники!$F$3,Учет!$H1098,0)</f>
        <v>0</v>
      </c>
      <c r="S1098" s="48">
        <f>IF(Учет!$O1098=Справочники!$F$4,Учет!$H1098,0)</f>
        <v>0</v>
      </c>
      <c r="T1098" s="48">
        <f>IF(Учет!$O1098=Справочники!$F$5,Учет!$H1098,0)</f>
        <v>0</v>
      </c>
      <c r="U1098" s="48">
        <f>IF(Учет!$O1098=Справочники!$F$6,Учет!$H1098,0)</f>
        <v>0</v>
      </c>
      <c r="V1098" s="43">
        <f>V1097+Учет!Q1098-Q1098</f>
        <v>-488978.92000000004</v>
      </c>
      <c r="W1098" s="43">
        <f>W1097+Учет!R1098-R1098</f>
        <v>336855</v>
      </c>
      <c r="X1098" s="43">
        <f>X1097+Учет!S1098-S1098</f>
        <v>500</v>
      </c>
      <c r="Y1098" s="43">
        <f>Y1097+Учет!T1098-T1098</f>
        <v>1150</v>
      </c>
      <c r="Z1098" s="43">
        <f>Z1097+Учет!U1098-U1098</f>
        <v>500000</v>
      </c>
      <c r="AA1098" s="45">
        <f>Учет!X1098</f>
        <v>500</v>
      </c>
    </row>
    <row r="1099" spans="1:27" ht="15" customHeight="1" x14ac:dyDescent="0.25">
      <c r="A1099" s="1"/>
      <c r="B1099" s="17"/>
      <c r="C1099" s="17"/>
      <c r="D1099" s="17"/>
      <c r="E1099" s="17"/>
      <c r="F1099" s="17"/>
      <c r="G1099" s="4">
        <f t="shared" si="48"/>
        <v>0</v>
      </c>
      <c r="H1099" s="17"/>
      <c r="I1099" s="4">
        <f t="shared" si="50"/>
        <v>349526.07999999996</v>
      </c>
      <c r="J1099" s="32" t="str">
        <f t="shared" si="49"/>
        <v/>
      </c>
      <c r="K1099" s="72"/>
      <c r="L1099" s="72"/>
      <c r="M1099" s="2"/>
      <c r="N1099" s="5"/>
      <c r="O1099" s="3"/>
      <c r="P1099" s="6"/>
      <c r="Q1099" s="48">
        <f>IF(Учет!$O1099=Справочники!$F$2,Учет!$H1099,0)</f>
        <v>0</v>
      </c>
      <c r="R1099" s="48">
        <f>IF(Учет!$O1099=Справочники!$F$3,Учет!$H1099,0)</f>
        <v>0</v>
      </c>
      <c r="S1099" s="48">
        <f>IF(Учет!$O1099=Справочники!$F$4,Учет!$H1099,0)</f>
        <v>0</v>
      </c>
      <c r="T1099" s="48">
        <f>IF(Учет!$O1099=Справочники!$F$5,Учет!$H1099,0)</f>
        <v>0</v>
      </c>
      <c r="U1099" s="48">
        <f>IF(Учет!$O1099=Справочники!$F$6,Учет!$H1099,0)</f>
        <v>0</v>
      </c>
      <c r="V1099" s="43">
        <f>V1098+Учет!Q1099-Q1099</f>
        <v>-488978.92000000004</v>
      </c>
      <c r="W1099" s="43">
        <f>W1098+Учет!R1099-R1099</f>
        <v>336855</v>
      </c>
      <c r="X1099" s="43">
        <f>X1098+Учет!S1099-S1099</f>
        <v>500</v>
      </c>
      <c r="Y1099" s="43">
        <f>Y1098+Учет!T1099-T1099</f>
        <v>1150</v>
      </c>
      <c r="Z1099" s="43">
        <f>Z1098+Учет!U1099-U1099</f>
        <v>500000</v>
      </c>
      <c r="AA1099" s="45">
        <f>Учет!X1099</f>
        <v>500</v>
      </c>
    </row>
    <row r="1100" spans="1:27" ht="15" customHeight="1" x14ac:dyDescent="0.25">
      <c r="A1100" s="1"/>
      <c r="B1100" s="17"/>
      <c r="C1100" s="17"/>
      <c r="D1100" s="17"/>
      <c r="E1100" s="17"/>
      <c r="F1100" s="17"/>
      <c r="G1100" s="4">
        <f t="shared" si="48"/>
        <v>0</v>
      </c>
      <c r="H1100" s="17"/>
      <c r="I1100" s="4">
        <f t="shared" si="50"/>
        <v>349526.07999999996</v>
      </c>
      <c r="J1100" s="32" t="str">
        <f t="shared" si="49"/>
        <v/>
      </c>
      <c r="K1100" s="72"/>
      <c r="L1100" s="72"/>
      <c r="M1100" s="2"/>
      <c r="N1100" s="5"/>
      <c r="O1100" s="3"/>
      <c r="P1100" s="6"/>
      <c r="Q1100" s="48">
        <f>IF(Учет!$O1100=Справочники!$F$2,Учет!$H1100,0)</f>
        <v>0</v>
      </c>
      <c r="R1100" s="48">
        <f>IF(Учет!$O1100=Справочники!$F$3,Учет!$H1100,0)</f>
        <v>0</v>
      </c>
      <c r="S1100" s="48">
        <f>IF(Учет!$O1100=Справочники!$F$4,Учет!$H1100,0)</f>
        <v>0</v>
      </c>
      <c r="T1100" s="48">
        <f>IF(Учет!$O1100=Справочники!$F$5,Учет!$H1100,0)</f>
        <v>0</v>
      </c>
      <c r="U1100" s="48">
        <f>IF(Учет!$O1100=Справочники!$F$6,Учет!$H1100,0)</f>
        <v>0</v>
      </c>
      <c r="V1100" s="43">
        <f>V1099+Учет!Q1100-Q1100</f>
        <v>-488978.92000000004</v>
      </c>
      <c r="W1100" s="43">
        <f>W1099+Учет!R1100-R1100</f>
        <v>336855</v>
      </c>
      <c r="X1100" s="43">
        <f>X1099+Учет!S1100-S1100</f>
        <v>500</v>
      </c>
      <c r="Y1100" s="43">
        <f>Y1099+Учет!T1100-T1100</f>
        <v>1150</v>
      </c>
      <c r="Z1100" s="43">
        <f>Z1099+Учет!U1100-U1100</f>
        <v>500000</v>
      </c>
      <c r="AA1100" s="45">
        <f>Учет!X1100</f>
        <v>500</v>
      </c>
    </row>
    <row r="1101" spans="1:27" ht="15" customHeight="1" x14ac:dyDescent="0.25">
      <c r="A1101" s="1"/>
      <c r="B1101" s="17"/>
      <c r="C1101" s="17"/>
      <c r="D1101" s="17"/>
      <c r="E1101" s="17"/>
      <c r="F1101" s="17"/>
      <c r="G1101" s="4">
        <f t="shared" si="48"/>
        <v>0</v>
      </c>
      <c r="H1101" s="17"/>
      <c r="I1101" s="4">
        <f t="shared" si="50"/>
        <v>349526.07999999996</v>
      </c>
      <c r="J1101" s="32" t="str">
        <f t="shared" si="49"/>
        <v/>
      </c>
      <c r="K1101" s="72"/>
      <c r="L1101" s="72"/>
      <c r="M1101" s="2"/>
      <c r="N1101" s="5"/>
      <c r="O1101" s="3"/>
      <c r="P1101" s="6"/>
      <c r="Q1101" s="48">
        <f>IF(Учет!$O1101=Справочники!$F$2,Учет!$H1101,0)</f>
        <v>0</v>
      </c>
      <c r="R1101" s="48">
        <f>IF(Учет!$O1101=Справочники!$F$3,Учет!$H1101,0)</f>
        <v>0</v>
      </c>
      <c r="S1101" s="48">
        <f>IF(Учет!$O1101=Справочники!$F$4,Учет!$H1101,0)</f>
        <v>0</v>
      </c>
      <c r="T1101" s="48">
        <f>IF(Учет!$O1101=Справочники!$F$5,Учет!$H1101,0)</f>
        <v>0</v>
      </c>
      <c r="U1101" s="48">
        <f>IF(Учет!$O1101=Справочники!$F$6,Учет!$H1101,0)</f>
        <v>0</v>
      </c>
      <c r="V1101" s="43">
        <f>V1100+Учет!Q1101-Q1101</f>
        <v>-488978.92000000004</v>
      </c>
      <c r="W1101" s="43">
        <f>W1100+Учет!R1101-R1101</f>
        <v>336855</v>
      </c>
      <c r="X1101" s="43">
        <f>X1100+Учет!S1101-S1101</f>
        <v>500</v>
      </c>
      <c r="Y1101" s="43">
        <f>Y1100+Учет!T1101-T1101</f>
        <v>1150</v>
      </c>
      <c r="Z1101" s="43">
        <f>Z1100+Учет!U1101-U1101</f>
        <v>500000</v>
      </c>
      <c r="AA1101" s="45">
        <f>Учет!X1101</f>
        <v>500</v>
      </c>
    </row>
    <row r="1102" spans="1:27" ht="15" customHeight="1" x14ac:dyDescent="0.25">
      <c r="A1102" s="1"/>
      <c r="B1102" s="17"/>
      <c r="C1102" s="17"/>
      <c r="D1102" s="17"/>
      <c r="E1102" s="17"/>
      <c r="F1102" s="17"/>
      <c r="G1102" s="4">
        <f t="shared" si="48"/>
        <v>0</v>
      </c>
      <c r="H1102" s="17"/>
      <c r="I1102" s="4">
        <f t="shared" si="50"/>
        <v>349526.07999999996</v>
      </c>
      <c r="J1102" s="32" t="str">
        <f t="shared" si="49"/>
        <v/>
      </c>
      <c r="K1102" s="72"/>
      <c r="L1102" s="72"/>
      <c r="M1102" s="2"/>
      <c r="N1102" s="5"/>
      <c r="O1102" s="3"/>
      <c r="P1102" s="6"/>
      <c r="Q1102" s="48">
        <f>IF(Учет!$O1102=Справочники!$F$2,Учет!$H1102,0)</f>
        <v>0</v>
      </c>
      <c r="R1102" s="48">
        <f>IF(Учет!$O1102=Справочники!$F$3,Учет!$H1102,0)</f>
        <v>0</v>
      </c>
      <c r="S1102" s="48">
        <f>IF(Учет!$O1102=Справочники!$F$4,Учет!$H1102,0)</f>
        <v>0</v>
      </c>
      <c r="T1102" s="48">
        <f>IF(Учет!$O1102=Справочники!$F$5,Учет!$H1102,0)</f>
        <v>0</v>
      </c>
      <c r="U1102" s="48">
        <f>IF(Учет!$O1102=Справочники!$F$6,Учет!$H1102,0)</f>
        <v>0</v>
      </c>
      <c r="V1102" s="43">
        <f>V1101+Учет!Q1102-Q1102</f>
        <v>-488978.92000000004</v>
      </c>
      <c r="W1102" s="43">
        <f>W1101+Учет!R1102-R1102</f>
        <v>336855</v>
      </c>
      <c r="X1102" s="43">
        <f>X1101+Учет!S1102-S1102</f>
        <v>500</v>
      </c>
      <c r="Y1102" s="43">
        <f>Y1101+Учет!T1102-T1102</f>
        <v>1150</v>
      </c>
      <c r="Z1102" s="43">
        <f>Z1101+Учет!U1102-U1102</f>
        <v>500000</v>
      </c>
      <c r="AA1102" s="45">
        <f>Учет!X1102</f>
        <v>500</v>
      </c>
    </row>
    <row r="1103" spans="1:27" ht="15" customHeight="1" x14ac:dyDescent="0.25">
      <c r="A1103" s="1"/>
      <c r="B1103" s="17"/>
      <c r="C1103" s="17"/>
      <c r="D1103" s="17"/>
      <c r="E1103" s="17"/>
      <c r="F1103" s="17"/>
      <c r="G1103" s="4">
        <f t="shared" si="48"/>
        <v>0</v>
      </c>
      <c r="H1103" s="17"/>
      <c r="I1103" s="4">
        <f t="shared" si="50"/>
        <v>349526.07999999996</v>
      </c>
      <c r="J1103" s="32" t="str">
        <f t="shared" si="49"/>
        <v/>
      </c>
      <c r="K1103" s="72"/>
      <c r="L1103" s="72"/>
      <c r="M1103" s="2"/>
      <c r="N1103" s="5"/>
      <c r="O1103" s="3"/>
      <c r="P1103" s="6"/>
      <c r="Q1103" s="48">
        <f>IF(Учет!$O1103=Справочники!$F$2,Учет!$H1103,0)</f>
        <v>0</v>
      </c>
      <c r="R1103" s="48">
        <f>IF(Учет!$O1103=Справочники!$F$3,Учет!$H1103,0)</f>
        <v>0</v>
      </c>
      <c r="S1103" s="48">
        <f>IF(Учет!$O1103=Справочники!$F$4,Учет!$H1103,0)</f>
        <v>0</v>
      </c>
      <c r="T1103" s="48">
        <f>IF(Учет!$O1103=Справочники!$F$5,Учет!$H1103,0)</f>
        <v>0</v>
      </c>
      <c r="U1103" s="48">
        <f>IF(Учет!$O1103=Справочники!$F$6,Учет!$H1103,0)</f>
        <v>0</v>
      </c>
      <c r="V1103" s="43">
        <f>V1102+Учет!Q1103-Q1103</f>
        <v>-488978.92000000004</v>
      </c>
      <c r="W1103" s="43">
        <f>W1102+Учет!R1103-R1103</f>
        <v>336855</v>
      </c>
      <c r="X1103" s="43">
        <f>X1102+Учет!S1103-S1103</f>
        <v>500</v>
      </c>
      <c r="Y1103" s="43">
        <f>Y1102+Учет!T1103-T1103</f>
        <v>1150</v>
      </c>
      <c r="Z1103" s="43">
        <f>Z1102+Учет!U1103-U1103</f>
        <v>500000</v>
      </c>
      <c r="AA1103" s="45">
        <f>Учет!X1103</f>
        <v>500</v>
      </c>
    </row>
    <row r="1104" spans="1:27" ht="15" customHeight="1" x14ac:dyDescent="0.25">
      <c r="A1104" s="1"/>
      <c r="B1104" s="17"/>
      <c r="C1104" s="17"/>
      <c r="D1104" s="17"/>
      <c r="E1104" s="17"/>
      <c r="F1104" s="17"/>
      <c r="G1104" s="4">
        <f t="shared" si="48"/>
        <v>0</v>
      </c>
      <c r="H1104" s="17"/>
      <c r="I1104" s="4">
        <f t="shared" si="50"/>
        <v>349526.07999999996</v>
      </c>
      <c r="J1104" s="32" t="str">
        <f t="shared" si="49"/>
        <v/>
      </c>
      <c r="K1104" s="72"/>
      <c r="L1104" s="72"/>
      <c r="M1104" s="2"/>
      <c r="N1104" s="5"/>
      <c r="O1104" s="3"/>
      <c r="P1104" s="6"/>
      <c r="Q1104" s="48">
        <f>IF(Учет!$O1104=Справочники!$F$2,Учет!$H1104,0)</f>
        <v>0</v>
      </c>
      <c r="R1104" s="48">
        <f>IF(Учет!$O1104=Справочники!$F$3,Учет!$H1104,0)</f>
        <v>0</v>
      </c>
      <c r="S1104" s="48">
        <f>IF(Учет!$O1104=Справочники!$F$4,Учет!$H1104,0)</f>
        <v>0</v>
      </c>
      <c r="T1104" s="48">
        <f>IF(Учет!$O1104=Справочники!$F$5,Учет!$H1104,0)</f>
        <v>0</v>
      </c>
      <c r="U1104" s="48">
        <f>IF(Учет!$O1104=Справочники!$F$6,Учет!$H1104,0)</f>
        <v>0</v>
      </c>
      <c r="V1104" s="43">
        <f>V1103+Учет!Q1104-Q1104</f>
        <v>-488978.92000000004</v>
      </c>
      <c r="W1104" s="43">
        <f>W1103+Учет!R1104-R1104</f>
        <v>336855</v>
      </c>
      <c r="X1104" s="43">
        <f>X1103+Учет!S1104-S1104</f>
        <v>500</v>
      </c>
      <c r="Y1104" s="43">
        <f>Y1103+Учет!T1104-T1104</f>
        <v>1150</v>
      </c>
      <c r="Z1104" s="43">
        <f>Z1103+Учет!U1104-U1104</f>
        <v>500000</v>
      </c>
      <c r="AA1104" s="45">
        <f>Учет!X1104</f>
        <v>500</v>
      </c>
    </row>
    <row r="1105" spans="1:27" ht="15" customHeight="1" x14ac:dyDescent="0.25">
      <c r="A1105" s="1"/>
      <c r="B1105" s="17"/>
      <c r="C1105" s="17"/>
      <c r="D1105" s="17"/>
      <c r="E1105" s="17"/>
      <c r="F1105" s="17"/>
      <c r="G1105" s="4">
        <f t="shared" si="48"/>
        <v>0</v>
      </c>
      <c r="H1105" s="17"/>
      <c r="I1105" s="4">
        <f t="shared" si="50"/>
        <v>349526.07999999996</v>
      </c>
      <c r="J1105" s="32" t="str">
        <f t="shared" si="49"/>
        <v/>
      </c>
      <c r="K1105" s="72"/>
      <c r="L1105" s="72"/>
      <c r="M1105" s="2"/>
      <c r="N1105" s="5"/>
      <c r="O1105" s="3"/>
      <c r="P1105" s="6"/>
      <c r="Q1105" s="48">
        <f>IF(Учет!$O1105=Справочники!$F$2,Учет!$H1105,0)</f>
        <v>0</v>
      </c>
      <c r="R1105" s="48">
        <f>IF(Учет!$O1105=Справочники!$F$3,Учет!$H1105,0)</f>
        <v>0</v>
      </c>
      <c r="S1105" s="48">
        <f>IF(Учет!$O1105=Справочники!$F$4,Учет!$H1105,0)</f>
        <v>0</v>
      </c>
      <c r="T1105" s="48">
        <f>IF(Учет!$O1105=Справочники!$F$5,Учет!$H1105,0)</f>
        <v>0</v>
      </c>
      <c r="U1105" s="48">
        <f>IF(Учет!$O1105=Справочники!$F$6,Учет!$H1105,0)</f>
        <v>0</v>
      </c>
      <c r="V1105" s="43">
        <f>V1104+Учет!Q1105-Q1105</f>
        <v>-488978.92000000004</v>
      </c>
      <c r="W1105" s="43">
        <f>W1104+Учет!R1105-R1105</f>
        <v>336855</v>
      </c>
      <c r="X1105" s="43">
        <f>X1104+Учет!S1105-S1105</f>
        <v>500</v>
      </c>
      <c r="Y1105" s="43">
        <f>Y1104+Учет!T1105-T1105</f>
        <v>1150</v>
      </c>
      <c r="Z1105" s="43">
        <f>Z1104+Учет!U1105-U1105</f>
        <v>500000</v>
      </c>
      <c r="AA1105" s="45">
        <f>Учет!X1105</f>
        <v>500</v>
      </c>
    </row>
    <row r="1106" spans="1:27" ht="15" customHeight="1" x14ac:dyDescent="0.25">
      <c r="A1106" s="1"/>
      <c r="B1106" s="17"/>
      <c r="C1106" s="17"/>
      <c r="D1106" s="17"/>
      <c r="E1106" s="17"/>
      <c r="F1106" s="17"/>
      <c r="G1106" s="4">
        <f t="shared" si="48"/>
        <v>0</v>
      </c>
      <c r="H1106" s="17"/>
      <c r="I1106" s="4">
        <f t="shared" si="50"/>
        <v>349526.07999999996</v>
      </c>
      <c r="J1106" s="32" t="str">
        <f t="shared" si="49"/>
        <v/>
      </c>
      <c r="K1106" s="72"/>
      <c r="L1106" s="72"/>
      <c r="M1106" s="2"/>
      <c r="N1106" s="5"/>
      <c r="O1106" s="3"/>
      <c r="P1106" s="6"/>
      <c r="Q1106" s="48">
        <f>IF(Учет!$O1106=Справочники!$F$2,Учет!$H1106,0)</f>
        <v>0</v>
      </c>
      <c r="R1106" s="48">
        <f>IF(Учет!$O1106=Справочники!$F$3,Учет!$H1106,0)</f>
        <v>0</v>
      </c>
      <c r="S1106" s="48">
        <f>IF(Учет!$O1106=Справочники!$F$4,Учет!$H1106,0)</f>
        <v>0</v>
      </c>
      <c r="T1106" s="48">
        <f>IF(Учет!$O1106=Справочники!$F$5,Учет!$H1106,0)</f>
        <v>0</v>
      </c>
      <c r="U1106" s="48">
        <f>IF(Учет!$O1106=Справочники!$F$6,Учет!$H1106,0)</f>
        <v>0</v>
      </c>
      <c r="V1106" s="43">
        <f>V1105+Учет!Q1106-Q1106</f>
        <v>-488978.92000000004</v>
      </c>
      <c r="W1106" s="43">
        <f>W1105+Учет!R1106-R1106</f>
        <v>336855</v>
      </c>
      <c r="X1106" s="43">
        <f>X1105+Учет!S1106-S1106</f>
        <v>500</v>
      </c>
      <c r="Y1106" s="43">
        <f>Y1105+Учет!T1106-T1106</f>
        <v>1150</v>
      </c>
      <c r="Z1106" s="43">
        <f>Z1105+Учет!U1106-U1106</f>
        <v>500000</v>
      </c>
      <c r="AA1106" s="45">
        <f>Учет!X1106</f>
        <v>500</v>
      </c>
    </row>
    <row r="1107" spans="1:27" ht="15" customHeight="1" x14ac:dyDescent="0.25">
      <c r="A1107" s="1"/>
      <c r="B1107" s="17"/>
      <c r="C1107" s="17"/>
      <c r="D1107" s="17"/>
      <c r="E1107" s="17"/>
      <c r="F1107" s="17"/>
      <c r="G1107" s="4">
        <f t="shared" si="48"/>
        <v>0</v>
      </c>
      <c r="H1107" s="17"/>
      <c r="I1107" s="4">
        <f t="shared" si="50"/>
        <v>349526.07999999996</v>
      </c>
      <c r="J1107" s="32" t="str">
        <f t="shared" si="49"/>
        <v/>
      </c>
      <c r="K1107" s="72"/>
      <c r="L1107" s="72"/>
      <c r="M1107" s="2"/>
      <c r="N1107" s="5"/>
      <c r="O1107" s="3"/>
      <c r="P1107" s="6"/>
      <c r="Q1107" s="48">
        <f>IF(Учет!$O1107=Справочники!$F$2,Учет!$H1107,0)</f>
        <v>0</v>
      </c>
      <c r="R1107" s="48">
        <f>IF(Учет!$O1107=Справочники!$F$3,Учет!$H1107,0)</f>
        <v>0</v>
      </c>
      <c r="S1107" s="48">
        <f>IF(Учет!$O1107=Справочники!$F$4,Учет!$H1107,0)</f>
        <v>0</v>
      </c>
      <c r="T1107" s="48">
        <f>IF(Учет!$O1107=Справочники!$F$5,Учет!$H1107,0)</f>
        <v>0</v>
      </c>
      <c r="U1107" s="48">
        <f>IF(Учет!$O1107=Справочники!$F$6,Учет!$H1107,0)</f>
        <v>0</v>
      </c>
      <c r="V1107" s="43">
        <f>V1106+Учет!Q1107-Q1107</f>
        <v>-488978.92000000004</v>
      </c>
      <c r="W1107" s="43">
        <f>W1106+Учет!R1107-R1107</f>
        <v>336855</v>
      </c>
      <c r="X1107" s="43">
        <f>X1106+Учет!S1107-S1107</f>
        <v>500</v>
      </c>
      <c r="Y1107" s="43">
        <f>Y1106+Учет!T1107-T1107</f>
        <v>1150</v>
      </c>
      <c r="Z1107" s="43">
        <f>Z1106+Учет!U1107-U1107</f>
        <v>500000</v>
      </c>
      <c r="AA1107" s="45">
        <f>Учет!X1107</f>
        <v>500</v>
      </c>
    </row>
    <row r="1108" spans="1:27" ht="15" customHeight="1" x14ac:dyDescent="0.25">
      <c r="A1108" s="1"/>
      <c r="B1108" s="17"/>
      <c r="C1108" s="17"/>
      <c r="D1108" s="17"/>
      <c r="E1108" s="17"/>
      <c r="F1108" s="17"/>
      <c r="G1108" s="4">
        <f t="shared" si="48"/>
        <v>0</v>
      </c>
      <c r="H1108" s="17"/>
      <c r="I1108" s="4">
        <f t="shared" si="50"/>
        <v>349526.07999999996</v>
      </c>
      <c r="J1108" s="32" t="str">
        <f t="shared" si="49"/>
        <v/>
      </c>
      <c r="K1108" s="72"/>
      <c r="L1108" s="72"/>
      <c r="M1108" s="2"/>
      <c r="N1108" s="5"/>
      <c r="O1108" s="3"/>
      <c r="P1108" s="6"/>
      <c r="Q1108" s="48">
        <f>IF(Учет!$O1108=Справочники!$F$2,Учет!$H1108,0)</f>
        <v>0</v>
      </c>
      <c r="R1108" s="48">
        <f>IF(Учет!$O1108=Справочники!$F$3,Учет!$H1108,0)</f>
        <v>0</v>
      </c>
      <c r="S1108" s="48">
        <f>IF(Учет!$O1108=Справочники!$F$4,Учет!$H1108,0)</f>
        <v>0</v>
      </c>
      <c r="T1108" s="48">
        <f>IF(Учет!$O1108=Справочники!$F$5,Учет!$H1108,0)</f>
        <v>0</v>
      </c>
      <c r="U1108" s="48">
        <f>IF(Учет!$O1108=Справочники!$F$6,Учет!$H1108,0)</f>
        <v>0</v>
      </c>
      <c r="V1108" s="43">
        <f>V1107+Учет!Q1108-Q1108</f>
        <v>-488978.92000000004</v>
      </c>
      <c r="W1108" s="43">
        <f>W1107+Учет!R1108-R1108</f>
        <v>336855</v>
      </c>
      <c r="X1108" s="43">
        <f>X1107+Учет!S1108-S1108</f>
        <v>500</v>
      </c>
      <c r="Y1108" s="43">
        <f>Y1107+Учет!T1108-T1108</f>
        <v>1150</v>
      </c>
      <c r="Z1108" s="43">
        <f>Z1107+Учет!U1108-U1108</f>
        <v>500000</v>
      </c>
      <c r="AA1108" s="45">
        <f>Учет!X1108</f>
        <v>500</v>
      </c>
    </row>
    <row r="1109" spans="1:27" ht="15" customHeight="1" x14ac:dyDescent="0.25">
      <c r="A1109" s="1"/>
      <c r="B1109" s="17"/>
      <c r="C1109" s="17"/>
      <c r="D1109" s="17"/>
      <c r="E1109" s="17"/>
      <c r="F1109" s="17"/>
      <c r="G1109" s="4">
        <f t="shared" si="48"/>
        <v>0</v>
      </c>
      <c r="H1109" s="17"/>
      <c r="I1109" s="4">
        <f t="shared" si="50"/>
        <v>349526.07999999996</v>
      </c>
      <c r="J1109" s="32" t="str">
        <f t="shared" si="49"/>
        <v/>
      </c>
      <c r="K1109" s="72"/>
      <c r="L1109" s="72"/>
      <c r="M1109" s="2"/>
      <c r="N1109" s="5"/>
      <c r="O1109" s="3"/>
      <c r="P1109" s="6"/>
      <c r="Q1109" s="48">
        <f>IF(Учет!$O1109=Справочники!$F$2,Учет!$H1109,0)</f>
        <v>0</v>
      </c>
      <c r="R1109" s="48">
        <f>IF(Учет!$O1109=Справочники!$F$3,Учет!$H1109,0)</f>
        <v>0</v>
      </c>
      <c r="S1109" s="48">
        <f>IF(Учет!$O1109=Справочники!$F$4,Учет!$H1109,0)</f>
        <v>0</v>
      </c>
      <c r="T1109" s="48">
        <f>IF(Учет!$O1109=Справочники!$F$5,Учет!$H1109,0)</f>
        <v>0</v>
      </c>
      <c r="U1109" s="48">
        <f>IF(Учет!$O1109=Справочники!$F$6,Учет!$H1109,0)</f>
        <v>0</v>
      </c>
      <c r="V1109" s="43">
        <f>V1108+Учет!Q1109-Q1109</f>
        <v>-488978.92000000004</v>
      </c>
      <c r="W1109" s="43">
        <f>W1108+Учет!R1109-R1109</f>
        <v>336855</v>
      </c>
      <c r="X1109" s="43">
        <f>X1108+Учет!S1109-S1109</f>
        <v>500</v>
      </c>
      <c r="Y1109" s="43">
        <f>Y1108+Учет!T1109-T1109</f>
        <v>1150</v>
      </c>
      <c r="Z1109" s="43">
        <f>Z1108+Учет!U1109-U1109</f>
        <v>500000</v>
      </c>
      <c r="AA1109" s="45">
        <f>Учет!X1109</f>
        <v>500</v>
      </c>
    </row>
    <row r="1110" spans="1:27" ht="15" customHeight="1" x14ac:dyDescent="0.25">
      <c r="A1110" s="1"/>
      <c r="B1110" s="17"/>
      <c r="C1110" s="17"/>
      <c r="D1110" s="17"/>
      <c r="E1110" s="17"/>
      <c r="F1110" s="17"/>
      <c r="G1110" s="4">
        <f t="shared" si="48"/>
        <v>0</v>
      </c>
      <c r="H1110" s="17"/>
      <c r="I1110" s="4">
        <f t="shared" si="50"/>
        <v>349526.07999999996</v>
      </c>
      <c r="J1110" s="32" t="str">
        <f t="shared" si="49"/>
        <v/>
      </c>
      <c r="K1110" s="72"/>
      <c r="L1110" s="72"/>
      <c r="M1110" s="2"/>
      <c r="N1110" s="5"/>
      <c r="O1110" s="3"/>
      <c r="P1110" s="6"/>
      <c r="Q1110" s="48">
        <f>IF(Учет!$O1110=Справочники!$F$2,Учет!$H1110,0)</f>
        <v>0</v>
      </c>
      <c r="R1110" s="48">
        <f>IF(Учет!$O1110=Справочники!$F$3,Учет!$H1110,0)</f>
        <v>0</v>
      </c>
      <c r="S1110" s="48">
        <f>IF(Учет!$O1110=Справочники!$F$4,Учет!$H1110,0)</f>
        <v>0</v>
      </c>
      <c r="T1110" s="48">
        <f>IF(Учет!$O1110=Справочники!$F$5,Учет!$H1110,0)</f>
        <v>0</v>
      </c>
      <c r="U1110" s="48">
        <f>IF(Учет!$O1110=Справочники!$F$6,Учет!$H1110,0)</f>
        <v>0</v>
      </c>
      <c r="V1110" s="43">
        <f>V1109+Учет!Q1110-Q1110</f>
        <v>-488978.92000000004</v>
      </c>
      <c r="W1110" s="43">
        <f>W1109+Учет!R1110-R1110</f>
        <v>336855</v>
      </c>
      <c r="X1110" s="43">
        <f>X1109+Учет!S1110-S1110</f>
        <v>500</v>
      </c>
      <c r="Y1110" s="43">
        <f>Y1109+Учет!T1110-T1110</f>
        <v>1150</v>
      </c>
      <c r="Z1110" s="43">
        <f>Z1109+Учет!U1110-U1110</f>
        <v>500000</v>
      </c>
      <c r="AA1110" s="45">
        <f>Учет!X1110</f>
        <v>500</v>
      </c>
    </row>
    <row r="1111" spans="1:27" ht="15" customHeight="1" x14ac:dyDescent="0.25">
      <c r="A1111" s="1"/>
      <c r="B1111" s="17"/>
      <c r="C1111" s="17"/>
      <c r="D1111" s="17"/>
      <c r="E1111" s="17"/>
      <c r="F1111" s="17"/>
      <c r="G1111" s="4">
        <f t="shared" si="48"/>
        <v>0</v>
      </c>
      <c r="H1111" s="17"/>
      <c r="I1111" s="4">
        <f t="shared" si="50"/>
        <v>349526.07999999996</v>
      </c>
      <c r="J1111" s="32" t="str">
        <f t="shared" si="49"/>
        <v/>
      </c>
      <c r="K1111" s="72"/>
      <c r="L1111" s="72"/>
      <c r="M1111" s="2"/>
      <c r="N1111" s="5"/>
      <c r="O1111" s="3"/>
      <c r="P1111" s="6"/>
      <c r="Q1111" s="48">
        <f>IF(Учет!$O1111=Справочники!$F$2,Учет!$H1111,0)</f>
        <v>0</v>
      </c>
      <c r="R1111" s="48">
        <f>IF(Учет!$O1111=Справочники!$F$3,Учет!$H1111,0)</f>
        <v>0</v>
      </c>
      <c r="S1111" s="48">
        <f>IF(Учет!$O1111=Справочники!$F$4,Учет!$H1111,0)</f>
        <v>0</v>
      </c>
      <c r="T1111" s="48">
        <f>IF(Учет!$O1111=Справочники!$F$5,Учет!$H1111,0)</f>
        <v>0</v>
      </c>
      <c r="U1111" s="48">
        <f>IF(Учет!$O1111=Справочники!$F$6,Учет!$H1111,0)</f>
        <v>0</v>
      </c>
      <c r="V1111" s="43">
        <f>V1110+Учет!Q1111-Q1111</f>
        <v>-488978.92000000004</v>
      </c>
      <c r="W1111" s="43">
        <f>W1110+Учет!R1111-R1111</f>
        <v>336855</v>
      </c>
      <c r="X1111" s="43">
        <f>X1110+Учет!S1111-S1111</f>
        <v>500</v>
      </c>
      <c r="Y1111" s="43">
        <f>Y1110+Учет!T1111-T1111</f>
        <v>1150</v>
      </c>
      <c r="Z1111" s="43">
        <f>Z1110+Учет!U1111-U1111</f>
        <v>500000</v>
      </c>
      <c r="AA1111" s="45">
        <f>Учет!X1111</f>
        <v>500</v>
      </c>
    </row>
    <row r="1112" spans="1:27" ht="15" customHeight="1" x14ac:dyDescent="0.25">
      <c r="A1112" s="1"/>
      <c r="B1112" s="17"/>
      <c r="C1112" s="17"/>
      <c r="D1112" s="17"/>
      <c r="E1112" s="17"/>
      <c r="F1112" s="17"/>
      <c r="G1112" s="4">
        <f t="shared" si="48"/>
        <v>0</v>
      </c>
      <c r="H1112" s="17"/>
      <c r="I1112" s="4">
        <f t="shared" si="50"/>
        <v>349526.07999999996</v>
      </c>
      <c r="J1112" s="32" t="str">
        <f t="shared" si="49"/>
        <v/>
      </c>
      <c r="K1112" s="72"/>
      <c r="L1112" s="72"/>
      <c r="M1112" s="2"/>
      <c r="N1112" s="5"/>
      <c r="O1112" s="3"/>
      <c r="P1112" s="6"/>
      <c r="Q1112" s="48">
        <f>IF(Учет!$O1112=Справочники!$F$2,Учет!$H1112,0)</f>
        <v>0</v>
      </c>
      <c r="R1112" s="48">
        <f>IF(Учет!$O1112=Справочники!$F$3,Учет!$H1112,0)</f>
        <v>0</v>
      </c>
      <c r="S1112" s="48">
        <f>IF(Учет!$O1112=Справочники!$F$4,Учет!$H1112,0)</f>
        <v>0</v>
      </c>
      <c r="T1112" s="48">
        <f>IF(Учет!$O1112=Справочники!$F$5,Учет!$H1112,0)</f>
        <v>0</v>
      </c>
      <c r="U1112" s="48">
        <f>IF(Учет!$O1112=Справочники!$F$6,Учет!$H1112,0)</f>
        <v>0</v>
      </c>
      <c r="V1112" s="43">
        <f>V1111+Учет!Q1112-Q1112</f>
        <v>-488978.92000000004</v>
      </c>
      <c r="W1112" s="43">
        <f>W1111+Учет!R1112-R1112</f>
        <v>336855</v>
      </c>
      <c r="X1112" s="43">
        <f>X1111+Учет!S1112-S1112</f>
        <v>500</v>
      </c>
      <c r="Y1112" s="43">
        <f>Y1111+Учет!T1112-T1112</f>
        <v>1150</v>
      </c>
      <c r="Z1112" s="43">
        <f>Z1111+Учет!U1112-U1112</f>
        <v>500000</v>
      </c>
      <c r="AA1112" s="45">
        <f>Учет!X1112</f>
        <v>500</v>
      </c>
    </row>
    <row r="1113" spans="1:27" ht="15" customHeight="1" x14ac:dyDescent="0.25">
      <c r="A1113" s="1"/>
      <c r="B1113" s="17"/>
      <c r="C1113" s="17"/>
      <c r="D1113" s="17"/>
      <c r="E1113" s="17"/>
      <c r="F1113" s="17"/>
      <c r="G1113" s="4">
        <f t="shared" si="48"/>
        <v>0</v>
      </c>
      <c r="H1113" s="17"/>
      <c r="I1113" s="4">
        <f t="shared" si="50"/>
        <v>349526.07999999996</v>
      </c>
      <c r="J1113" s="32" t="str">
        <f t="shared" si="49"/>
        <v/>
      </c>
      <c r="K1113" s="72"/>
      <c r="L1113" s="72"/>
      <c r="M1113" s="2"/>
      <c r="N1113" s="5"/>
      <c r="O1113" s="3"/>
      <c r="P1113" s="6"/>
      <c r="Q1113" s="48">
        <f>IF(Учет!$O1113=Справочники!$F$2,Учет!$H1113,0)</f>
        <v>0</v>
      </c>
      <c r="R1113" s="48">
        <f>IF(Учет!$O1113=Справочники!$F$3,Учет!$H1113,0)</f>
        <v>0</v>
      </c>
      <c r="S1113" s="48">
        <f>IF(Учет!$O1113=Справочники!$F$4,Учет!$H1113,0)</f>
        <v>0</v>
      </c>
      <c r="T1113" s="48">
        <f>IF(Учет!$O1113=Справочники!$F$5,Учет!$H1113,0)</f>
        <v>0</v>
      </c>
      <c r="U1113" s="48">
        <f>IF(Учет!$O1113=Справочники!$F$6,Учет!$H1113,0)</f>
        <v>0</v>
      </c>
      <c r="V1113" s="43">
        <f>V1112+Учет!Q1113-Q1113</f>
        <v>-488978.92000000004</v>
      </c>
      <c r="W1113" s="43">
        <f>W1112+Учет!R1113-R1113</f>
        <v>336855</v>
      </c>
      <c r="X1113" s="43">
        <f>X1112+Учет!S1113-S1113</f>
        <v>500</v>
      </c>
      <c r="Y1113" s="43">
        <f>Y1112+Учет!T1113-T1113</f>
        <v>1150</v>
      </c>
      <c r="Z1113" s="43">
        <f>Z1112+Учет!U1113-U1113</f>
        <v>500000</v>
      </c>
      <c r="AA1113" s="45">
        <f>Учет!X1113</f>
        <v>500</v>
      </c>
    </row>
    <row r="1114" spans="1:27" ht="15" customHeight="1" x14ac:dyDescent="0.25">
      <c r="A1114" s="1"/>
      <c r="B1114" s="17"/>
      <c r="C1114" s="17"/>
      <c r="D1114" s="17"/>
      <c r="E1114" s="17"/>
      <c r="F1114" s="17"/>
      <c r="G1114" s="4">
        <f t="shared" si="48"/>
        <v>0</v>
      </c>
      <c r="H1114" s="17"/>
      <c r="I1114" s="4">
        <f t="shared" si="50"/>
        <v>349526.07999999996</v>
      </c>
      <c r="J1114" s="32" t="str">
        <f t="shared" si="49"/>
        <v/>
      </c>
      <c r="K1114" s="72"/>
      <c r="L1114" s="72"/>
      <c r="M1114" s="2"/>
      <c r="N1114" s="5"/>
      <c r="O1114" s="3"/>
      <c r="P1114" s="6"/>
      <c r="Q1114" s="48">
        <f>IF(Учет!$O1114=Справочники!$F$2,Учет!$H1114,0)</f>
        <v>0</v>
      </c>
      <c r="R1114" s="48">
        <f>IF(Учет!$O1114=Справочники!$F$3,Учет!$H1114,0)</f>
        <v>0</v>
      </c>
      <c r="S1114" s="48">
        <f>IF(Учет!$O1114=Справочники!$F$4,Учет!$H1114,0)</f>
        <v>0</v>
      </c>
      <c r="T1114" s="48">
        <f>IF(Учет!$O1114=Справочники!$F$5,Учет!$H1114,0)</f>
        <v>0</v>
      </c>
      <c r="U1114" s="48">
        <f>IF(Учет!$O1114=Справочники!$F$6,Учет!$H1114,0)</f>
        <v>0</v>
      </c>
      <c r="V1114" s="43">
        <f>V1113+Учет!Q1114-Q1114</f>
        <v>-488978.92000000004</v>
      </c>
      <c r="W1114" s="43">
        <f>W1113+Учет!R1114-R1114</f>
        <v>336855</v>
      </c>
      <c r="X1114" s="43">
        <f>X1113+Учет!S1114-S1114</f>
        <v>500</v>
      </c>
      <c r="Y1114" s="43">
        <f>Y1113+Учет!T1114-T1114</f>
        <v>1150</v>
      </c>
      <c r="Z1114" s="43">
        <f>Z1113+Учет!U1114-U1114</f>
        <v>500000</v>
      </c>
      <c r="AA1114" s="45">
        <f>Учет!X1114</f>
        <v>500</v>
      </c>
    </row>
    <row r="1115" spans="1:27" ht="15" customHeight="1" x14ac:dyDescent="0.25">
      <c r="A1115" s="1"/>
      <c r="B1115" s="17"/>
      <c r="C1115" s="17"/>
      <c r="D1115" s="17"/>
      <c r="E1115" s="17"/>
      <c r="F1115" s="17"/>
      <c r="G1115" s="4">
        <f t="shared" si="48"/>
        <v>0</v>
      </c>
      <c r="H1115" s="17"/>
      <c r="I1115" s="4">
        <f t="shared" si="50"/>
        <v>349526.07999999996</v>
      </c>
      <c r="J1115" s="32" t="str">
        <f t="shared" si="49"/>
        <v/>
      </c>
      <c r="K1115" s="72"/>
      <c r="L1115" s="72"/>
      <c r="M1115" s="2"/>
      <c r="N1115" s="5"/>
      <c r="O1115" s="3"/>
      <c r="P1115" s="6"/>
      <c r="Q1115" s="48">
        <f>IF(Учет!$O1115=Справочники!$F$2,Учет!$H1115,0)</f>
        <v>0</v>
      </c>
      <c r="R1115" s="48">
        <f>IF(Учет!$O1115=Справочники!$F$3,Учет!$H1115,0)</f>
        <v>0</v>
      </c>
      <c r="S1115" s="48">
        <f>IF(Учет!$O1115=Справочники!$F$4,Учет!$H1115,0)</f>
        <v>0</v>
      </c>
      <c r="T1115" s="48">
        <f>IF(Учет!$O1115=Справочники!$F$5,Учет!$H1115,0)</f>
        <v>0</v>
      </c>
      <c r="U1115" s="48">
        <f>IF(Учет!$O1115=Справочники!$F$6,Учет!$H1115,0)</f>
        <v>0</v>
      </c>
      <c r="V1115" s="43">
        <f>V1114+Учет!Q1115-Q1115</f>
        <v>-488978.92000000004</v>
      </c>
      <c r="W1115" s="43">
        <f>W1114+Учет!R1115-R1115</f>
        <v>336855</v>
      </c>
      <c r="X1115" s="43">
        <f>X1114+Учет!S1115-S1115</f>
        <v>500</v>
      </c>
      <c r="Y1115" s="43">
        <f>Y1114+Учет!T1115-T1115</f>
        <v>1150</v>
      </c>
      <c r="Z1115" s="43">
        <f>Z1114+Учет!U1115-U1115</f>
        <v>500000</v>
      </c>
      <c r="AA1115" s="45">
        <f>Учет!X1115</f>
        <v>500</v>
      </c>
    </row>
    <row r="1116" spans="1:27" ht="15" customHeight="1" x14ac:dyDescent="0.25">
      <c r="A1116" s="1"/>
      <c r="B1116" s="17"/>
      <c r="C1116" s="17"/>
      <c r="D1116" s="17"/>
      <c r="E1116" s="17"/>
      <c r="F1116" s="17"/>
      <c r="G1116" s="4">
        <f t="shared" si="48"/>
        <v>0</v>
      </c>
      <c r="H1116" s="17"/>
      <c r="I1116" s="4">
        <f t="shared" si="50"/>
        <v>349526.07999999996</v>
      </c>
      <c r="J1116" s="32" t="str">
        <f t="shared" si="49"/>
        <v/>
      </c>
      <c r="K1116" s="72"/>
      <c r="L1116" s="72"/>
      <c r="M1116" s="2"/>
      <c r="N1116" s="5"/>
      <c r="O1116" s="3"/>
      <c r="P1116" s="6"/>
      <c r="Q1116" s="48">
        <f>IF(Учет!$O1116=Справочники!$F$2,Учет!$H1116,0)</f>
        <v>0</v>
      </c>
      <c r="R1116" s="48">
        <f>IF(Учет!$O1116=Справочники!$F$3,Учет!$H1116,0)</f>
        <v>0</v>
      </c>
      <c r="S1116" s="48">
        <f>IF(Учет!$O1116=Справочники!$F$4,Учет!$H1116,0)</f>
        <v>0</v>
      </c>
      <c r="T1116" s="48">
        <f>IF(Учет!$O1116=Справочники!$F$5,Учет!$H1116,0)</f>
        <v>0</v>
      </c>
      <c r="U1116" s="48">
        <f>IF(Учет!$O1116=Справочники!$F$6,Учет!$H1116,0)</f>
        <v>0</v>
      </c>
      <c r="V1116" s="43">
        <f>V1115+Учет!Q1116-Q1116</f>
        <v>-488978.92000000004</v>
      </c>
      <c r="W1116" s="43">
        <f>W1115+Учет!R1116-R1116</f>
        <v>336855</v>
      </c>
      <c r="X1116" s="43">
        <f>X1115+Учет!S1116-S1116</f>
        <v>500</v>
      </c>
      <c r="Y1116" s="43">
        <f>Y1115+Учет!T1116-T1116</f>
        <v>1150</v>
      </c>
      <c r="Z1116" s="43">
        <f>Z1115+Учет!U1116-U1116</f>
        <v>500000</v>
      </c>
      <c r="AA1116" s="45">
        <f>Учет!X1116</f>
        <v>500</v>
      </c>
    </row>
    <row r="1117" spans="1:27" ht="15" customHeight="1" x14ac:dyDescent="0.25">
      <c r="A1117" s="1"/>
      <c r="B1117" s="17"/>
      <c r="C1117" s="17"/>
      <c r="D1117" s="17"/>
      <c r="E1117" s="17"/>
      <c r="F1117" s="17"/>
      <c r="G1117" s="4">
        <f t="shared" si="48"/>
        <v>0</v>
      </c>
      <c r="H1117" s="17"/>
      <c r="I1117" s="4">
        <f t="shared" si="50"/>
        <v>349526.07999999996</v>
      </c>
      <c r="J1117" s="32" t="str">
        <f t="shared" si="49"/>
        <v/>
      </c>
      <c r="K1117" s="72"/>
      <c r="L1117" s="72"/>
      <c r="M1117" s="2"/>
      <c r="N1117" s="5"/>
      <c r="O1117" s="3"/>
      <c r="P1117" s="6"/>
      <c r="Q1117" s="48">
        <f>IF(Учет!$O1117=Справочники!$F$2,Учет!$H1117,0)</f>
        <v>0</v>
      </c>
      <c r="R1117" s="48">
        <f>IF(Учет!$O1117=Справочники!$F$3,Учет!$H1117,0)</f>
        <v>0</v>
      </c>
      <c r="S1117" s="48">
        <f>IF(Учет!$O1117=Справочники!$F$4,Учет!$H1117,0)</f>
        <v>0</v>
      </c>
      <c r="T1117" s="48">
        <f>IF(Учет!$O1117=Справочники!$F$5,Учет!$H1117,0)</f>
        <v>0</v>
      </c>
      <c r="U1117" s="48">
        <f>IF(Учет!$O1117=Справочники!$F$6,Учет!$H1117,0)</f>
        <v>0</v>
      </c>
      <c r="V1117" s="43">
        <f>V1116+Учет!Q1117-Q1117</f>
        <v>-488978.92000000004</v>
      </c>
      <c r="W1117" s="43">
        <f>W1116+Учет!R1117-R1117</f>
        <v>336855</v>
      </c>
      <c r="X1117" s="43">
        <f>X1116+Учет!S1117-S1117</f>
        <v>500</v>
      </c>
      <c r="Y1117" s="43">
        <f>Y1116+Учет!T1117-T1117</f>
        <v>1150</v>
      </c>
      <c r="Z1117" s="43">
        <f>Z1116+Учет!U1117-U1117</f>
        <v>500000</v>
      </c>
      <c r="AA1117" s="45">
        <f>Учет!X1117</f>
        <v>500</v>
      </c>
    </row>
    <row r="1118" spans="1:27" ht="15" customHeight="1" x14ac:dyDescent="0.25">
      <c r="A1118" s="1"/>
      <c r="B1118" s="17"/>
      <c r="C1118" s="17"/>
      <c r="D1118" s="17"/>
      <c r="E1118" s="17"/>
      <c r="F1118" s="17"/>
      <c r="G1118" s="4">
        <f t="shared" si="48"/>
        <v>0</v>
      </c>
      <c r="H1118" s="17"/>
      <c r="I1118" s="4">
        <f t="shared" si="50"/>
        <v>349526.07999999996</v>
      </c>
      <c r="J1118" s="32" t="str">
        <f t="shared" si="49"/>
        <v/>
      </c>
      <c r="K1118" s="72"/>
      <c r="L1118" s="72"/>
      <c r="M1118" s="2"/>
      <c r="N1118" s="5"/>
      <c r="O1118" s="3"/>
      <c r="P1118" s="6"/>
      <c r="Q1118" s="48">
        <f>IF(Учет!$O1118=Справочники!$F$2,Учет!$H1118,0)</f>
        <v>0</v>
      </c>
      <c r="R1118" s="48">
        <f>IF(Учет!$O1118=Справочники!$F$3,Учет!$H1118,0)</f>
        <v>0</v>
      </c>
      <c r="S1118" s="48">
        <f>IF(Учет!$O1118=Справочники!$F$4,Учет!$H1118,0)</f>
        <v>0</v>
      </c>
      <c r="T1118" s="48">
        <f>IF(Учет!$O1118=Справочники!$F$5,Учет!$H1118,0)</f>
        <v>0</v>
      </c>
      <c r="U1118" s="48">
        <f>IF(Учет!$O1118=Справочники!$F$6,Учет!$H1118,0)</f>
        <v>0</v>
      </c>
      <c r="V1118" s="43">
        <f>V1117+Учет!Q1118-Q1118</f>
        <v>-488978.92000000004</v>
      </c>
      <c r="W1118" s="43">
        <f>W1117+Учет!R1118-R1118</f>
        <v>336855</v>
      </c>
      <c r="X1118" s="43">
        <f>X1117+Учет!S1118-S1118</f>
        <v>500</v>
      </c>
      <c r="Y1118" s="43">
        <f>Y1117+Учет!T1118-T1118</f>
        <v>1150</v>
      </c>
      <c r="Z1118" s="43">
        <f>Z1117+Учет!U1118-U1118</f>
        <v>500000</v>
      </c>
      <c r="AA1118" s="45">
        <f>Учет!X1118</f>
        <v>500</v>
      </c>
    </row>
    <row r="1119" spans="1:27" ht="15" customHeight="1" x14ac:dyDescent="0.25">
      <c r="A1119" s="1"/>
      <c r="B1119" s="17"/>
      <c r="C1119" s="17"/>
      <c r="D1119" s="17"/>
      <c r="E1119" s="17"/>
      <c r="F1119" s="17"/>
      <c r="G1119" s="4">
        <f t="shared" si="48"/>
        <v>0</v>
      </c>
      <c r="H1119" s="17"/>
      <c r="I1119" s="4">
        <f t="shared" si="50"/>
        <v>349526.07999999996</v>
      </c>
      <c r="J1119" s="32" t="str">
        <f t="shared" si="49"/>
        <v/>
      </c>
      <c r="K1119" s="72"/>
      <c r="L1119" s="72"/>
      <c r="M1119" s="2"/>
      <c r="N1119" s="5"/>
      <c r="O1119" s="3"/>
      <c r="P1119" s="6"/>
      <c r="Q1119" s="48">
        <f>IF(Учет!$O1119=Справочники!$F$2,Учет!$H1119,0)</f>
        <v>0</v>
      </c>
      <c r="R1119" s="48">
        <f>IF(Учет!$O1119=Справочники!$F$3,Учет!$H1119,0)</f>
        <v>0</v>
      </c>
      <c r="S1119" s="48">
        <f>IF(Учет!$O1119=Справочники!$F$4,Учет!$H1119,0)</f>
        <v>0</v>
      </c>
      <c r="T1119" s="48">
        <f>IF(Учет!$O1119=Справочники!$F$5,Учет!$H1119,0)</f>
        <v>0</v>
      </c>
      <c r="U1119" s="48">
        <f>IF(Учет!$O1119=Справочники!$F$6,Учет!$H1119,0)</f>
        <v>0</v>
      </c>
      <c r="V1119" s="43">
        <f>V1118+Учет!Q1119-Q1119</f>
        <v>-488978.92000000004</v>
      </c>
      <c r="W1119" s="43">
        <f>W1118+Учет!R1119-R1119</f>
        <v>336855</v>
      </c>
      <c r="X1119" s="43">
        <f>X1118+Учет!S1119-S1119</f>
        <v>500</v>
      </c>
      <c r="Y1119" s="43">
        <f>Y1118+Учет!T1119-T1119</f>
        <v>1150</v>
      </c>
      <c r="Z1119" s="43">
        <f>Z1118+Учет!U1119-U1119</f>
        <v>500000</v>
      </c>
      <c r="AA1119" s="45">
        <f>Учет!X1119</f>
        <v>500</v>
      </c>
    </row>
    <row r="1120" spans="1:27" ht="15" customHeight="1" x14ac:dyDescent="0.25">
      <c r="A1120" s="1"/>
      <c r="B1120" s="17"/>
      <c r="C1120" s="17"/>
      <c r="D1120" s="17"/>
      <c r="E1120" s="17"/>
      <c r="F1120" s="17"/>
      <c r="G1120" s="4">
        <f t="shared" si="48"/>
        <v>0</v>
      </c>
      <c r="H1120" s="17"/>
      <c r="I1120" s="4">
        <f t="shared" si="50"/>
        <v>349526.07999999996</v>
      </c>
      <c r="J1120" s="32" t="str">
        <f t="shared" si="49"/>
        <v/>
      </c>
      <c r="K1120" s="72"/>
      <c r="L1120" s="72"/>
      <c r="M1120" s="2"/>
      <c r="N1120" s="5"/>
      <c r="O1120" s="3"/>
      <c r="P1120" s="6"/>
      <c r="Q1120" s="48">
        <f>IF(Учет!$O1120=Справочники!$F$2,Учет!$H1120,0)</f>
        <v>0</v>
      </c>
      <c r="R1120" s="48">
        <f>IF(Учет!$O1120=Справочники!$F$3,Учет!$H1120,0)</f>
        <v>0</v>
      </c>
      <c r="S1120" s="48">
        <f>IF(Учет!$O1120=Справочники!$F$4,Учет!$H1120,0)</f>
        <v>0</v>
      </c>
      <c r="T1120" s="48">
        <f>IF(Учет!$O1120=Справочники!$F$5,Учет!$H1120,0)</f>
        <v>0</v>
      </c>
      <c r="U1120" s="48">
        <f>IF(Учет!$O1120=Справочники!$F$6,Учет!$H1120,0)</f>
        <v>0</v>
      </c>
      <c r="V1120" s="43">
        <f>V1119+Учет!Q1120-Q1120</f>
        <v>-488978.92000000004</v>
      </c>
      <c r="W1120" s="43">
        <f>W1119+Учет!R1120-R1120</f>
        <v>336855</v>
      </c>
      <c r="X1120" s="43">
        <f>X1119+Учет!S1120-S1120</f>
        <v>500</v>
      </c>
      <c r="Y1120" s="43">
        <f>Y1119+Учет!T1120-T1120</f>
        <v>1150</v>
      </c>
      <c r="Z1120" s="43">
        <f>Z1119+Учет!U1120-U1120</f>
        <v>500000</v>
      </c>
      <c r="AA1120" s="45">
        <f>Учет!X1120</f>
        <v>500</v>
      </c>
    </row>
    <row r="1121" spans="1:27" ht="15" customHeight="1" x14ac:dyDescent="0.25">
      <c r="A1121" s="1"/>
      <c r="B1121" s="17"/>
      <c r="C1121" s="17"/>
      <c r="D1121" s="17"/>
      <c r="E1121" s="17"/>
      <c r="F1121" s="17"/>
      <c r="G1121" s="4">
        <f t="shared" si="48"/>
        <v>0</v>
      </c>
      <c r="H1121" s="17"/>
      <c r="I1121" s="4">
        <f t="shared" si="50"/>
        <v>349526.07999999996</v>
      </c>
      <c r="J1121" s="32" t="str">
        <f t="shared" si="49"/>
        <v/>
      </c>
      <c r="K1121" s="72"/>
      <c r="L1121" s="72"/>
      <c r="M1121" s="2"/>
      <c r="N1121" s="5"/>
      <c r="O1121" s="3"/>
      <c r="P1121" s="6"/>
      <c r="Q1121" s="48">
        <f>IF(Учет!$O1121=Справочники!$F$2,Учет!$H1121,0)</f>
        <v>0</v>
      </c>
      <c r="R1121" s="48">
        <f>IF(Учет!$O1121=Справочники!$F$3,Учет!$H1121,0)</f>
        <v>0</v>
      </c>
      <c r="S1121" s="48">
        <f>IF(Учет!$O1121=Справочники!$F$4,Учет!$H1121,0)</f>
        <v>0</v>
      </c>
      <c r="T1121" s="48">
        <f>IF(Учет!$O1121=Справочники!$F$5,Учет!$H1121,0)</f>
        <v>0</v>
      </c>
      <c r="U1121" s="48">
        <f>IF(Учет!$O1121=Справочники!$F$6,Учет!$H1121,0)</f>
        <v>0</v>
      </c>
      <c r="V1121" s="43">
        <f>V1120+Учет!Q1121-Q1121</f>
        <v>-488978.92000000004</v>
      </c>
      <c r="W1121" s="43">
        <f>W1120+Учет!R1121-R1121</f>
        <v>336855</v>
      </c>
      <c r="X1121" s="43">
        <f>X1120+Учет!S1121-S1121</f>
        <v>500</v>
      </c>
      <c r="Y1121" s="43">
        <f>Y1120+Учет!T1121-T1121</f>
        <v>1150</v>
      </c>
      <c r="Z1121" s="43">
        <f>Z1120+Учет!U1121-U1121</f>
        <v>500000</v>
      </c>
      <c r="AA1121" s="45">
        <f>Учет!X1121</f>
        <v>500</v>
      </c>
    </row>
    <row r="1122" spans="1:27" ht="15" customHeight="1" x14ac:dyDescent="0.25">
      <c r="A1122" s="1"/>
      <c r="B1122" s="17"/>
      <c r="C1122" s="17"/>
      <c r="D1122" s="17"/>
      <c r="E1122" s="17"/>
      <c r="F1122" s="17"/>
      <c r="G1122" s="4">
        <f t="shared" si="48"/>
        <v>0</v>
      </c>
      <c r="H1122" s="17"/>
      <c r="I1122" s="4">
        <f t="shared" si="50"/>
        <v>349526.07999999996</v>
      </c>
      <c r="J1122" s="32" t="str">
        <f t="shared" si="49"/>
        <v/>
      </c>
      <c r="K1122" s="72"/>
      <c r="L1122" s="72"/>
      <c r="M1122" s="2"/>
      <c r="N1122" s="5"/>
      <c r="O1122" s="3"/>
      <c r="P1122" s="6"/>
      <c r="Q1122" s="48">
        <f>IF(Учет!$O1122=Справочники!$F$2,Учет!$H1122,0)</f>
        <v>0</v>
      </c>
      <c r="R1122" s="48">
        <f>IF(Учет!$O1122=Справочники!$F$3,Учет!$H1122,0)</f>
        <v>0</v>
      </c>
      <c r="S1122" s="48">
        <f>IF(Учет!$O1122=Справочники!$F$4,Учет!$H1122,0)</f>
        <v>0</v>
      </c>
      <c r="T1122" s="48">
        <f>IF(Учет!$O1122=Справочники!$F$5,Учет!$H1122,0)</f>
        <v>0</v>
      </c>
      <c r="U1122" s="48">
        <f>IF(Учет!$O1122=Справочники!$F$6,Учет!$H1122,0)</f>
        <v>0</v>
      </c>
      <c r="V1122" s="43">
        <f>V1121+Учет!Q1122-Q1122</f>
        <v>-488978.92000000004</v>
      </c>
      <c r="W1122" s="43">
        <f>W1121+Учет!R1122-R1122</f>
        <v>336855</v>
      </c>
      <c r="X1122" s="43">
        <f>X1121+Учет!S1122-S1122</f>
        <v>500</v>
      </c>
      <c r="Y1122" s="43">
        <f>Y1121+Учет!T1122-T1122</f>
        <v>1150</v>
      </c>
      <c r="Z1122" s="43">
        <f>Z1121+Учет!U1122-U1122</f>
        <v>500000</v>
      </c>
      <c r="AA1122" s="45">
        <f>Учет!X1122</f>
        <v>500</v>
      </c>
    </row>
    <row r="1123" spans="1:27" ht="15" customHeight="1" x14ac:dyDescent="0.25">
      <c r="A1123" s="1"/>
      <c r="B1123" s="17"/>
      <c r="C1123" s="17"/>
      <c r="D1123" s="17"/>
      <c r="E1123" s="17"/>
      <c r="F1123" s="17"/>
      <c r="G1123" s="4">
        <f t="shared" si="48"/>
        <v>0</v>
      </c>
      <c r="H1123" s="17"/>
      <c r="I1123" s="4">
        <f t="shared" si="50"/>
        <v>349526.07999999996</v>
      </c>
      <c r="J1123" s="32" t="str">
        <f t="shared" si="49"/>
        <v/>
      </c>
      <c r="K1123" s="72"/>
      <c r="L1123" s="72"/>
      <c r="M1123" s="2"/>
      <c r="N1123" s="5"/>
      <c r="O1123" s="3"/>
      <c r="P1123" s="6"/>
      <c r="Q1123" s="48">
        <f>IF(Учет!$O1123=Справочники!$F$2,Учет!$H1123,0)</f>
        <v>0</v>
      </c>
      <c r="R1123" s="48">
        <f>IF(Учет!$O1123=Справочники!$F$3,Учет!$H1123,0)</f>
        <v>0</v>
      </c>
      <c r="S1123" s="48">
        <f>IF(Учет!$O1123=Справочники!$F$4,Учет!$H1123,0)</f>
        <v>0</v>
      </c>
      <c r="T1123" s="48">
        <f>IF(Учет!$O1123=Справочники!$F$5,Учет!$H1123,0)</f>
        <v>0</v>
      </c>
      <c r="U1123" s="48">
        <f>IF(Учет!$O1123=Справочники!$F$6,Учет!$H1123,0)</f>
        <v>0</v>
      </c>
      <c r="V1123" s="43">
        <f>V1122+Учет!Q1123-Q1123</f>
        <v>-488978.92000000004</v>
      </c>
      <c r="W1123" s="43">
        <f>W1122+Учет!R1123-R1123</f>
        <v>336855</v>
      </c>
      <c r="X1123" s="43">
        <f>X1122+Учет!S1123-S1123</f>
        <v>500</v>
      </c>
      <c r="Y1123" s="43">
        <f>Y1122+Учет!T1123-T1123</f>
        <v>1150</v>
      </c>
      <c r="Z1123" s="43">
        <f>Z1122+Учет!U1123-U1123</f>
        <v>500000</v>
      </c>
      <c r="AA1123" s="45">
        <f>Учет!X1123</f>
        <v>500</v>
      </c>
    </row>
    <row r="1124" spans="1:27" ht="15" customHeight="1" x14ac:dyDescent="0.25">
      <c r="A1124" s="1"/>
      <c r="B1124" s="17"/>
      <c r="C1124" s="17"/>
      <c r="D1124" s="17"/>
      <c r="E1124" s="17"/>
      <c r="F1124" s="17"/>
      <c r="G1124" s="4">
        <f t="shared" si="48"/>
        <v>0</v>
      </c>
      <c r="H1124" s="17"/>
      <c r="I1124" s="4">
        <f t="shared" si="50"/>
        <v>349526.07999999996</v>
      </c>
      <c r="J1124" s="32" t="str">
        <f t="shared" si="49"/>
        <v/>
      </c>
      <c r="K1124" s="72"/>
      <c r="L1124" s="72"/>
      <c r="M1124" s="2"/>
      <c r="N1124" s="5"/>
      <c r="O1124" s="3"/>
      <c r="P1124" s="6"/>
      <c r="Q1124" s="48">
        <f>IF(Учет!$O1124=Справочники!$F$2,Учет!$H1124,0)</f>
        <v>0</v>
      </c>
      <c r="R1124" s="48">
        <f>IF(Учет!$O1124=Справочники!$F$3,Учет!$H1124,0)</f>
        <v>0</v>
      </c>
      <c r="S1124" s="48">
        <f>IF(Учет!$O1124=Справочники!$F$4,Учет!$H1124,0)</f>
        <v>0</v>
      </c>
      <c r="T1124" s="48">
        <f>IF(Учет!$O1124=Справочники!$F$5,Учет!$H1124,0)</f>
        <v>0</v>
      </c>
      <c r="U1124" s="48">
        <f>IF(Учет!$O1124=Справочники!$F$6,Учет!$H1124,0)</f>
        <v>0</v>
      </c>
      <c r="V1124" s="43">
        <f>V1123+Учет!Q1124-Q1124</f>
        <v>-488978.92000000004</v>
      </c>
      <c r="W1124" s="43">
        <f>W1123+Учет!R1124-R1124</f>
        <v>336855</v>
      </c>
      <c r="X1124" s="43">
        <f>X1123+Учет!S1124-S1124</f>
        <v>500</v>
      </c>
      <c r="Y1124" s="43">
        <f>Y1123+Учет!T1124-T1124</f>
        <v>1150</v>
      </c>
      <c r="Z1124" s="43">
        <f>Z1123+Учет!U1124-U1124</f>
        <v>500000</v>
      </c>
      <c r="AA1124" s="45">
        <f>Учет!X1124</f>
        <v>500</v>
      </c>
    </row>
    <row r="1125" spans="1:27" ht="15" customHeight="1" x14ac:dyDescent="0.25">
      <c r="A1125" s="1"/>
      <c r="B1125" s="17"/>
      <c r="C1125" s="17"/>
      <c r="D1125" s="17"/>
      <c r="E1125" s="17"/>
      <c r="F1125" s="17"/>
      <c r="G1125" s="4">
        <f t="shared" si="48"/>
        <v>0</v>
      </c>
      <c r="H1125" s="17"/>
      <c r="I1125" s="4">
        <f t="shared" si="50"/>
        <v>349526.07999999996</v>
      </c>
      <c r="J1125" s="32" t="str">
        <f t="shared" si="49"/>
        <v/>
      </c>
      <c r="K1125" s="72"/>
      <c r="L1125" s="72"/>
      <c r="M1125" s="2"/>
      <c r="N1125" s="5"/>
      <c r="O1125" s="3"/>
      <c r="P1125" s="6"/>
      <c r="Q1125" s="48">
        <f>IF(Учет!$O1125=Справочники!$F$2,Учет!$H1125,0)</f>
        <v>0</v>
      </c>
      <c r="R1125" s="48">
        <f>IF(Учет!$O1125=Справочники!$F$3,Учет!$H1125,0)</f>
        <v>0</v>
      </c>
      <c r="S1125" s="48">
        <f>IF(Учет!$O1125=Справочники!$F$4,Учет!$H1125,0)</f>
        <v>0</v>
      </c>
      <c r="T1125" s="48">
        <f>IF(Учет!$O1125=Справочники!$F$5,Учет!$H1125,0)</f>
        <v>0</v>
      </c>
      <c r="U1125" s="48">
        <f>IF(Учет!$O1125=Справочники!$F$6,Учет!$H1125,0)</f>
        <v>0</v>
      </c>
      <c r="V1125" s="43">
        <f>V1124+Учет!Q1125-Q1125</f>
        <v>-488978.92000000004</v>
      </c>
      <c r="W1125" s="43">
        <f>W1124+Учет!R1125-R1125</f>
        <v>336855</v>
      </c>
      <c r="X1125" s="43">
        <f>X1124+Учет!S1125-S1125</f>
        <v>500</v>
      </c>
      <c r="Y1125" s="43">
        <f>Y1124+Учет!T1125-T1125</f>
        <v>1150</v>
      </c>
      <c r="Z1125" s="43">
        <f>Z1124+Учет!U1125-U1125</f>
        <v>500000</v>
      </c>
      <c r="AA1125" s="45">
        <f>Учет!X1125</f>
        <v>500</v>
      </c>
    </row>
    <row r="1126" spans="1:27" ht="15" customHeight="1" x14ac:dyDescent="0.25">
      <c r="A1126" s="1"/>
      <c r="B1126" s="17"/>
      <c r="C1126" s="17"/>
      <c r="D1126" s="17"/>
      <c r="E1126" s="17"/>
      <c r="F1126" s="17"/>
      <c r="G1126" s="4">
        <f t="shared" si="48"/>
        <v>0</v>
      </c>
      <c r="H1126" s="17"/>
      <c r="I1126" s="4">
        <f t="shared" si="50"/>
        <v>349526.07999999996</v>
      </c>
      <c r="J1126" s="32" t="str">
        <f t="shared" si="49"/>
        <v/>
      </c>
      <c r="K1126" s="72"/>
      <c r="L1126" s="72"/>
      <c r="M1126" s="2"/>
      <c r="N1126" s="5"/>
      <c r="O1126" s="3"/>
      <c r="P1126" s="6"/>
      <c r="Q1126" s="48">
        <f>IF(Учет!$O1126=Справочники!$F$2,Учет!$H1126,0)</f>
        <v>0</v>
      </c>
      <c r="R1126" s="48">
        <f>IF(Учет!$O1126=Справочники!$F$3,Учет!$H1126,0)</f>
        <v>0</v>
      </c>
      <c r="S1126" s="48">
        <f>IF(Учет!$O1126=Справочники!$F$4,Учет!$H1126,0)</f>
        <v>0</v>
      </c>
      <c r="T1126" s="48">
        <f>IF(Учет!$O1126=Справочники!$F$5,Учет!$H1126,0)</f>
        <v>0</v>
      </c>
      <c r="U1126" s="48">
        <f>IF(Учет!$O1126=Справочники!$F$6,Учет!$H1126,0)</f>
        <v>0</v>
      </c>
      <c r="V1126" s="43">
        <f>V1125+Учет!Q1126-Q1126</f>
        <v>-488978.92000000004</v>
      </c>
      <c r="W1126" s="43">
        <f>W1125+Учет!R1126-R1126</f>
        <v>336855</v>
      </c>
      <c r="X1126" s="43">
        <f>X1125+Учет!S1126-S1126</f>
        <v>500</v>
      </c>
      <c r="Y1126" s="43">
        <f>Y1125+Учет!T1126-T1126</f>
        <v>1150</v>
      </c>
      <c r="Z1126" s="43">
        <f>Z1125+Учет!U1126-U1126</f>
        <v>500000</v>
      </c>
      <c r="AA1126" s="45">
        <f>Учет!X1126</f>
        <v>500</v>
      </c>
    </row>
    <row r="1127" spans="1:27" ht="15" customHeight="1" x14ac:dyDescent="0.25">
      <c r="A1127" s="1"/>
      <c r="B1127" s="17"/>
      <c r="C1127" s="17"/>
      <c r="D1127" s="17"/>
      <c r="E1127" s="17"/>
      <c r="F1127" s="17"/>
      <c r="G1127" s="4">
        <f t="shared" si="48"/>
        <v>0</v>
      </c>
      <c r="H1127" s="17"/>
      <c r="I1127" s="4">
        <f t="shared" si="50"/>
        <v>349526.07999999996</v>
      </c>
      <c r="J1127" s="32" t="str">
        <f t="shared" si="49"/>
        <v/>
      </c>
      <c r="K1127" s="72"/>
      <c r="L1127" s="72"/>
      <c r="M1127" s="2"/>
      <c r="N1127" s="5"/>
      <c r="O1127" s="3"/>
      <c r="P1127" s="6"/>
      <c r="Q1127" s="48">
        <f>IF(Учет!$O1127=Справочники!$F$2,Учет!$H1127,0)</f>
        <v>0</v>
      </c>
      <c r="R1127" s="48">
        <f>IF(Учет!$O1127=Справочники!$F$3,Учет!$H1127,0)</f>
        <v>0</v>
      </c>
      <c r="S1127" s="48">
        <f>IF(Учет!$O1127=Справочники!$F$4,Учет!$H1127,0)</f>
        <v>0</v>
      </c>
      <c r="T1127" s="48">
        <f>IF(Учет!$O1127=Справочники!$F$5,Учет!$H1127,0)</f>
        <v>0</v>
      </c>
      <c r="U1127" s="48">
        <f>IF(Учет!$O1127=Справочники!$F$6,Учет!$H1127,0)</f>
        <v>0</v>
      </c>
      <c r="V1127" s="43">
        <f>V1126+Учет!Q1127-Q1127</f>
        <v>-488978.92000000004</v>
      </c>
      <c r="W1127" s="43">
        <f>W1126+Учет!R1127-R1127</f>
        <v>336855</v>
      </c>
      <c r="X1127" s="43">
        <f>X1126+Учет!S1127-S1127</f>
        <v>500</v>
      </c>
      <c r="Y1127" s="43">
        <f>Y1126+Учет!T1127-T1127</f>
        <v>1150</v>
      </c>
      <c r="Z1127" s="43">
        <f>Z1126+Учет!U1127-U1127</f>
        <v>500000</v>
      </c>
      <c r="AA1127" s="45">
        <f>Учет!X1127</f>
        <v>500</v>
      </c>
    </row>
    <row r="1128" spans="1:27" ht="15" customHeight="1" x14ac:dyDescent="0.25">
      <c r="A1128" s="1"/>
      <c r="B1128" s="17"/>
      <c r="C1128" s="17"/>
      <c r="D1128" s="17"/>
      <c r="E1128" s="17"/>
      <c r="F1128" s="17"/>
      <c r="G1128" s="4">
        <f t="shared" si="48"/>
        <v>0</v>
      </c>
      <c r="H1128" s="17"/>
      <c r="I1128" s="4">
        <f t="shared" si="50"/>
        <v>349526.07999999996</v>
      </c>
      <c r="J1128" s="32" t="str">
        <f t="shared" si="49"/>
        <v/>
      </c>
      <c r="K1128" s="72"/>
      <c r="L1128" s="72"/>
      <c r="M1128" s="2"/>
      <c r="N1128" s="5"/>
      <c r="O1128" s="3"/>
      <c r="P1128" s="6"/>
      <c r="Q1128" s="48">
        <f>IF(Учет!$O1128=Справочники!$F$2,Учет!$H1128,0)</f>
        <v>0</v>
      </c>
      <c r="R1128" s="48">
        <f>IF(Учет!$O1128=Справочники!$F$3,Учет!$H1128,0)</f>
        <v>0</v>
      </c>
      <c r="S1128" s="48">
        <f>IF(Учет!$O1128=Справочники!$F$4,Учет!$H1128,0)</f>
        <v>0</v>
      </c>
      <c r="T1128" s="48">
        <f>IF(Учет!$O1128=Справочники!$F$5,Учет!$H1128,0)</f>
        <v>0</v>
      </c>
      <c r="U1128" s="48">
        <f>IF(Учет!$O1128=Справочники!$F$6,Учет!$H1128,0)</f>
        <v>0</v>
      </c>
      <c r="V1128" s="43">
        <f>V1127+Учет!Q1128-Q1128</f>
        <v>-488978.92000000004</v>
      </c>
      <c r="W1128" s="43">
        <f>W1127+Учет!R1128-R1128</f>
        <v>336855</v>
      </c>
      <c r="X1128" s="43">
        <f>X1127+Учет!S1128-S1128</f>
        <v>500</v>
      </c>
      <c r="Y1128" s="43">
        <f>Y1127+Учет!T1128-T1128</f>
        <v>1150</v>
      </c>
      <c r="Z1128" s="43">
        <f>Z1127+Учет!U1128-U1128</f>
        <v>500000</v>
      </c>
      <c r="AA1128" s="45">
        <f>Учет!X1128</f>
        <v>500</v>
      </c>
    </row>
    <row r="1129" spans="1:27" ht="15" customHeight="1" x14ac:dyDescent="0.25">
      <c r="A1129" s="1"/>
      <c r="B1129" s="17"/>
      <c r="C1129" s="17"/>
      <c r="D1129" s="17"/>
      <c r="E1129" s="17"/>
      <c r="F1129" s="17"/>
      <c r="G1129" s="4">
        <f t="shared" si="48"/>
        <v>0</v>
      </c>
      <c r="H1129" s="17"/>
      <c r="I1129" s="4">
        <f t="shared" si="50"/>
        <v>349526.07999999996</v>
      </c>
      <c r="J1129" s="32" t="str">
        <f t="shared" si="49"/>
        <v/>
      </c>
      <c r="K1129" s="72"/>
      <c r="L1129" s="72"/>
      <c r="M1129" s="2"/>
      <c r="N1129" s="5"/>
      <c r="O1129" s="3"/>
      <c r="P1129" s="6"/>
      <c r="Q1129" s="48">
        <f>IF(Учет!$O1129=Справочники!$F$2,Учет!$H1129,0)</f>
        <v>0</v>
      </c>
      <c r="R1129" s="48">
        <f>IF(Учет!$O1129=Справочники!$F$3,Учет!$H1129,0)</f>
        <v>0</v>
      </c>
      <c r="S1129" s="48">
        <f>IF(Учет!$O1129=Справочники!$F$4,Учет!$H1129,0)</f>
        <v>0</v>
      </c>
      <c r="T1129" s="48">
        <f>IF(Учет!$O1129=Справочники!$F$5,Учет!$H1129,0)</f>
        <v>0</v>
      </c>
      <c r="U1129" s="48">
        <f>IF(Учет!$O1129=Справочники!$F$6,Учет!$H1129,0)</f>
        <v>0</v>
      </c>
      <c r="V1129" s="43">
        <f>V1128+Учет!Q1129-Q1129</f>
        <v>-488978.92000000004</v>
      </c>
      <c r="W1129" s="43">
        <f>W1128+Учет!R1129-R1129</f>
        <v>336855</v>
      </c>
      <c r="X1129" s="43">
        <f>X1128+Учет!S1129-S1129</f>
        <v>500</v>
      </c>
      <c r="Y1129" s="43">
        <f>Y1128+Учет!T1129-T1129</f>
        <v>1150</v>
      </c>
      <c r="Z1129" s="43">
        <f>Z1128+Учет!U1129-U1129</f>
        <v>500000</v>
      </c>
      <c r="AA1129" s="45">
        <f>Учет!X1129</f>
        <v>500</v>
      </c>
    </row>
    <row r="1130" spans="1:27" ht="15" customHeight="1" x14ac:dyDescent="0.25">
      <c r="A1130" s="1"/>
      <c r="B1130" s="17"/>
      <c r="C1130" s="17"/>
      <c r="D1130" s="17"/>
      <c r="E1130" s="17"/>
      <c r="F1130" s="17"/>
      <c r="G1130" s="4">
        <f t="shared" si="48"/>
        <v>0</v>
      </c>
      <c r="H1130" s="17"/>
      <c r="I1130" s="4">
        <f t="shared" si="50"/>
        <v>349526.07999999996</v>
      </c>
      <c r="J1130" s="32" t="str">
        <f t="shared" si="49"/>
        <v/>
      </c>
      <c r="K1130" s="72"/>
      <c r="L1130" s="72"/>
      <c r="M1130" s="2"/>
      <c r="N1130" s="5"/>
      <c r="O1130" s="3"/>
      <c r="P1130" s="6"/>
      <c r="Q1130" s="48">
        <f>IF(Учет!$O1130=Справочники!$F$2,Учет!$H1130,0)</f>
        <v>0</v>
      </c>
      <c r="R1130" s="48">
        <f>IF(Учет!$O1130=Справочники!$F$3,Учет!$H1130,0)</f>
        <v>0</v>
      </c>
      <c r="S1130" s="48">
        <f>IF(Учет!$O1130=Справочники!$F$4,Учет!$H1130,0)</f>
        <v>0</v>
      </c>
      <c r="T1130" s="48">
        <f>IF(Учет!$O1130=Справочники!$F$5,Учет!$H1130,0)</f>
        <v>0</v>
      </c>
      <c r="U1130" s="48">
        <f>IF(Учет!$O1130=Справочники!$F$6,Учет!$H1130,0)</f>
        <v>0</v>
      </c>
      <c r="V1130" s="43">
        <f>V1129+Учет!Q1130-Q1130</f>
        <v>-488978.92000000004</v>
      </c>
      <c r="W1130" s="43">
        <f>W1129+Учет!R1130-R1130</f>
        <v>336855</v>
      </c>
      <c r="X1130" s="43">
        <f>X1129+Учет!S1130-S1130</f>
        <v>500</v>
      </c>
      <c r="Y1130" s="43">
        <f>Y1129+Учет!T1130-T1130</f>
        <v>1150</v>
      </c>
      <c r="Z1130" s="43">
        <f>Z1129+Учет!U1130-U1130</f>
        <v>500000</v>
      </c>
      <c r="AA1130" s="45">
        <f>Учет!X1130</f>
        <v>500</v>
      </c>
    </row>
    <row r="1131" spans="1:27" ht="15" customHeight="1" x14ac:dyDescent="0.25">
      <c r="A1131" s="1"/>
      <c r="B1131" s="17"/>
      <c r="C1131" s="17"/>
      <c r="D1131" s="17"/>
      <c r="E1131" s="17"/>
      <c r="F1131" s="17"/>
      <c r="G1131" s="4">
        <f t="shared" si="48"/>
        <v>0</v>
      </c>
      <c r="H1131" s="17"/>
      <c r="I1131" s="4">
        <f t="shared" si="50"/>
        <v>349526.07999999996</v>
      </c>
      <c r="J1131" s="32" t="str">
        <f t="shared" si="49"/>
        <v/>
      </c>
      <c r="K1131" s="72"/>
      <c r="L1131" s="72"/>
      <c r="M1131" s="2"/>
      <c r="N1131" s="5"/>
      <c r="O1131" s="3"/>
      <c r="P1131" s="6"/>
      <c r="Q1131" s="48">
        <f>IF(Учет!$O1131=Справочники!$F$2,Учет!$H1131,0)</f>
        <v>0</v>
      </c>
      <c r="R1131" s="48">
        <f>IF(Учет!$O1131=Справочники!$F$3,Учет!$H1131,0)</f>
        <v>0</v>
      </c>
      <c r="S1131" s="48">
        <f>IF(Учет!$O1131=Справочники!$F$4,Учет!$H1131,0)</f>
        <v>0</v>
      </c>
      <c r="T1131" s="48">
        <f>IF(Учет!$O1131=Справочники!$F$5,Учет!$H1131,0)</f>
        <v>0</v>
      </c>
      <c r="U1131" s="48">
        <f>IF(Учет!$O1131=Справочники!$F$6,Учет!$H1131,0)</f>
        <v>0</v>
      </c>
      <c r="V1131" s="43">
        <f>V1130+Учет!Q1131-Q1131</f>
        <v>-488978.92000000004</v>
      </c>
      <c r="W1131" s="43">
        <f>W1130+Учет!R1131-R1131</f>
        <v>336855</v>
      </c>
      <c r="X1131" s="43">
        <f>X1130+Учет!S1131-S1131</f>
        <v>500</v>
      </c>
      <c r="Y1131" s="43">
        <f>Y1130+Учет!T1131-T1131</f>
        <v>1150</v>
      </c>
      <c r="Z1131" s="43">
        <f>Z1130+Учет!U1131-U1131</f>
        <v>500000</v>
      </c>
      <c r="AA1131" s="45">
        <f>Учет!X1131</f>
        <v>500</v>
      </c>
    </row>
    <row r="1132" spans="1:27" ht="15" customHeight="1" x14ac:dyDescent="0.25">
      <c r="A1132" s="1"/>
      <c r="B1132" s="17"/>
      <c r="C1132" s="17"/>
      <c r="D1132" s="17"/>
      <c r="E1132" s="17"/>
      <c r="F1132" s="17"/>
      <c r="G1132" s="4">
        <f t="shared" si="48"/>
        <v>0</v>
      </c>
      <c r="H1132" s="17"/>
      <c r="I1132" s="4">
        <f t="shared" si="50"/>
        <v>349526.07999999996</v>
      </c>
      <c r="J1132" s="32" t="str">
        <f t="shared" si="49"/>
        <v/>
      </c>
      <c r="K1132" s="72"/>
      <c r="L1132" s="72"/>
      <c r="M1132" s="2"/>
      <c r="N1132" s="5"/>
      <c r="O1132" s="3"/>
      <c r="P1132" s="6"/>
      <c r="Q1132" s="48">
        <f>IF(Учет!$O1132=Справочники!$F$2,Учет!$H1132,0)</f>
        <v>0</v>
      </c>
      <c r="R1132" s="48">
        <f>IF(Учет!$O1132=Справочники!$F$3,Учет!$H1132,0)</f>
        <v>0</v>
      </c>
      <c r="S1132" s="48">
        <f>IF(Учет!$O1132=Справочники!$F$4,Учет!$H1132,0)</f>
        <v>0</v>
      </c>
      <c r="T1132" s="48">
        <f>IF(Учет!$O1132=Справочники!$F$5,Учет!$H1132,0)</f>
        <v>0</v>
      </c>
      <c r="U1132" s="48">
        <f>IF(Учет!$O1132=Справочники!$F$6,Учет!$H1132,0)</f>
        <v>0</v>
      </c>
      <c r="V1132" s="43">
        <f>V1131+Учет!Q1132-Q1132</f>
        <v>-488978.92000000004</v>
      </c>
      <c r="W1132" s="43">
        <f>W1131+Учет!R1132-R1132</f>
        <v>336855</v>
      </c>
      <c r="X1132" s="43">
        <f>X1131+Учет!S1132-S1132</f>
        <v>500</v>
      </c>
      <c r="Y1132" s="43">
        <f>Y1131+Учет!T1132-T1132</f>
        <v>1150</v>
      </c>
      <c r="Z1132" s="43">
        <f>Z1131+Учет!U1132-U1132</f>
        <v>500000</v>
      </c>
      <c r="AA1132" s="45">
        <f>Учет!X1132</f>
        <v>500</v>
      </c>
    </row>
    <row r="1133" spans="1:27" ht="15" customHeight="1" x14ac:dyDescent="0.25">
      <c r="A1133" s="1"/>
      <c r="B1133" s="17"/>
      <c r="C1133" s="17"/>
      <c r="D1133" s="17"/>
      <c r="E1133" s="17"/>
      <c r="F1133" s="17"/>
      <c r="G1133" s="4">
        <f t="shared" si="48"/>
        <v>0</v>
      </c>
      <c r="H1133" s="17"/>
      <c r="I1133" s="4">
        <f t="shared" si="50"/>
        <v>349526.07999999996</v>
      </c>
      <c r="J1133" s="32" t="str">
        <f t="shared" si="49"/>
        <v/>
      </c>
      <c r="K1133" s="72"/>
      <c r="L1133" s="72"/>
      <c r="M1133" s="2"/>
      <c r="N1133" s="5"/>
      <c r="O1133" s="3"/>
      <c r="P1133" s="6"/>
      <c r="Q1133" s="48">
        <f>IF(Учет!$O1133=Справочники!$F$2,Учет!$H1133,0)</f>
        <v>0</v>
      </c>
      <c r="R1133" s="48">
        <f>IF(Учет!$O1133=Справочники!$F$3,Учет!$H1133,0)</f>
        <v>0</v>
      </c>
      <c r="S1133" s="48">
        <f>IF(Учет!$O1133=Справочники!$F$4,Учет!$H1133,0)</f>
        <v>0</v>
      </c>
      <c r="T1133" s="48">
        <f>IF(Учет!$O1133=Справочники!$F$5,Учет!$H1133,0)</f>
        <v>0</v>
      </c>
      <c r="U1133" s="48">
        <f>IF(Учет!$O1133=Справочники!$F$6,Учет!$H1133,0)</f>
        <v>0</v>
      </c>
      <c r="V1133" s="43">
        <f>V1132+Учет!Q1133-Q1133</f>
        <v>-488978.92000000004</v>
      </c>
      <c r="W1133" s="43">
        <f>W1132+Учет!R1133-R1133</f>
        <v>336855</v>
      </c>
      <c r="X1133" s="43">
        <f>X1132+Учет!S1133-S1133</f>
        <v>500</v>
      </c>
      <c r="Y1133" s="43">
        <f>Y1132+Учет!T1133-T1133</f>
        <v>1150</v>
      </c>
      <c r="Z1133" s="43">
        <f>Z1132+Учет!U1133-U1133</f>
        <v>500000</v>
      </c>
      <c r="AA1133" s="45">
        <f>Учет!X1133</f>
        <v>500</v>
      </c>
    </row>
    <row r="1134" spans="1:27" ht="15" customHeight="1" x14ac:dyDescent="0.25">
      <c r="A1134" s="1"/>
      <c r="B1134" s="17"/>
      <c r="C1134" s="17"/>
      <c r="D1134" s="17"/>
      <c r="E1134" s="17"/>
      <c r="F1134" s="17"/>
      <c r="G1134" s="4">
        <f t="shared" si="48"/>
        <v>0</v>
      </c>
      <c r="H1134" s="17"/>
      <c r="I1134" s="4">
        <f t="shared" si="50"/>
        <v>349526.07999999996</v>
      </c>
      <c r="J1134" s="32" t="str">
        <f t="shared" si="49"/>
        <v/>
      </c>
      <c r="K1134" s="72"/>
      <c r="L1134" s="72"/>
      <c r="M1134" s="2"/>
      <c r="N1134" s="5"/>
      <c r="O1134" s="3"/>
      <c r="P1134" s="6"/>
      <c r="Q1134" s="48">
        <f>IF(Учет!$O1134=Справочники!$F$2,Учет!$H1134,0)</f>
        <v>0</v>
      </c>
      <c r="R1134" s="48">
        <f>IF(Учет!$O1134=Справочники!$F$3,Учет!$H1134,0)</f>
        <v>0</v>
      </c>
      <c r="S1134" s="48">
        <f>IF(Учет!$O1134=Справочники!$F$4,Учет!$H1134,0)</f>
        <v>0</v>
      </c>
      <c r="T1134" s="48">
        <f>IF(Учет!$O1134=Справочники!$F$5,Учет!$H1134,0)</f>
        <v>0</v>
      </c>
      <c r="U1134" s="48">
        <f>IF(Учет!$O1134=Справочники!$F$6,Учет!$H1134,0)</f>
        <v>0</v>
      </c>
      <c r="V1134" s="43">
        <f>V1133+Учет!Q1134-Q1134</f>
        <v>-488978.92000000004</v>
      </c>
      <c r="W1134" s="43">
        <f>W1133+Учет!R1134-R1134</f>
        <v>336855</v>
      </c>
      <c r="X1134" s="43">
        <f>X1133+Учет!S1134-S1134</f>
        <v>500</v>
      </c>
      <c r="Y1134" s="43">
        <f>Y1133+Учет!T1134-T1134</f>
        <v>1150</v>
      </c>
      <c r="Z1134" s="43">
        <f>Z1133+Учет!U1134-U1134</f>
        <v>500000</v>
      </c>
      <c r="AA1134" s="45">
        <f>Учет!X1134</f>
        <v>500</v>
      </c>
    </row>
    <row r="1135" spans="1:27" ht="15" customHeight="1" x14ac:dyDescent="0.25">
      <c r="A1135" s="1"/>
      <c r="B1135" s="17"/>
      <c r="C1135" s="17"/>
      <c r="D1135" s="17"/>
      <c r="E1135" s="17"/>
      <c r="F1135" s="17"/>
      <c r="G1135" s="4">
        <f t="shared" si="48"/>
        <v>0</v>
      </c>
      <c r="H1135" s="17"/>
      <c r="I1135" s="4">
        <f t="shared" si="50"/>
        <v>349526.07999999996</v>
      </c>
      <c r="J1135" s="32" t="str">
        <f t="shared" si="49"/>
        <v/>
      </c>
      <c r="K1135" s="72"/>
      <c r="L1135" s="72"/>
      <c r="M1135" s="2"/>
      <c r="N1135" s="5"/>
      <c r="O1135" s="3"/>
      <c r="P1135" s="6"/>
      <c r="Q1135" s="48">
        <f>IF(Учет!$O1135=Справочники!$F$2,Учет!$H1135,0)</f>
        <v>0</v>
      </c>
      <c r="R1135" s="48">
        <f>IF(Учет!$O1135=Справочники!$F$3,Учет!$H1135,0)</f>
        <v>0</v>
      </c>
      <c r="S1135" s="48">
        <f>IF(Учет!$O1135=Справочники!$F$4,Учет!$H1135,0)</f>
        <v>0</v>
      </c>
      <c r="T1135" s="48">
        <f>IF(Учет!$O1135=Справочники!$F$5,Учет!$H1135,0)</f>
        <v>0</v>
      </c>
      <c r="U1135" s="48">
        <f>IF(Учет!$O1135=Справочники!$F$6,Учет!$H1135,0)</f>
        <v>0</v>
      </c>
      <c r="V1135" s="43">
        <f>V1134+Учет!Q1135-Q1135</f>
        <v>-488978.92000000004</v>
      </c>
      <c r="W1135" s="43">
        <f>W1134+Учет!R1135-R1135</f>
        <v>336855</v>
      </c>
      <c r="X1135" s="43">
        <f>X1134+Учет!S1135-S1135</f>
        <v>500</v>
      </c>
      <c r="Y1135" s="43">
        <f>Y1134+Учет!T1135-T1135</f>
        <v>1150</v>
      </c>
      <c r="Z1135" s="43">
        <f>Z1134+Учет!U1135-U1135</f>
        <v>500000</v>
      </c>
      <c r="AA1135" s="45">
        <f>Учет!X1135</f>
        <v>500</v>
      </c>
    </row>
    <row r="1136" spans="1:27" ht="15" customHeight="1" x14ac:dyDescent="0.25">
      <c r="A1136" s="1"/>
      <c r="B1136" s="17"/>
      <c r="C1136" s="17"/>
      <c r="D1136" s="17"/>
      <c r="E1136" s="17"/>
      <c r="F1136" s="17"/>
      <c r="G1136" s="4">
        <f t="shared" si="48"/>
        <v>0</v>
      </c>
      <c r="H1136" s="17"/>
      <c r="I1136" s="4">
        <f t="shared" si="50"/>
        <v>349526.07999999996</v>
      </c>
      <c r="J1136" s="32" t="str">
        <f t="shared" si="49"/>
        <v/>
      </c>
      <c r="K1136" s="72"/>
      <c r="L1136" s="72"/>
      <c r="M1136" s="2"/>
      <c r="N1136" s="5"/>
      <c r="O1136" s="3"/>
      <c r="P1136" s="6"/>
      <c r="Q1136" s="48">
        <f>IF(Учет!$O1136=Справочники!$F$2,Учет!$H1136,0)</f>
        <v>0</v>
      </c>
      <c r="R1136" s="48">
        <f>IF(Учет!$O1136=Справочники!$F$3,Учет!$H1136,0)</f>
        <v>0</v>
      </c>
      <c r="S1136" s="48">
        <f>IF(Учет!$O1136=Справочники!$F$4,Учет!$H1136,0)</f>
        <v>0</v>
      </c>
      <c r="T1136" s="48">
        <f>IF(Учет!$O1136=Справочники!$F$5,Учет!$H1136,0)</f>
        <v>0</v>
      </c>
      <c r="U1136" s="48">
        <f>IF(Учет!$O1136=Справочники!$F$6,Учет!$H1136,0)</f>
        <v>0</v>
      </c>
      <c r="V1136" s="43">
        <f>V1135+Учет!Q1136-Q1136</f>
        <v>-488978.92000000004</v>
      </c>
      <c r="W1136" s="43">
        <f>W1135+Учет!R1136-R1136</f>
        <v>336855</v>
      </c>
      <c r="X1136" s="43">
        <f>X1135+Учет!S1136-S1136</f>
        <v>500</v>
      </c>
      <c r="Y1136" s="43">
        <f>Y1135+Учет!T1136-T1136</f>
        <v>1150</v>
      </c>
      <c r="Z1136" s="43">
        <f>Z1135+Учет!U1136-U1136</f>
        <v>500000</v>
      </c>
      <c r="AA1136" s="45">
        <f>Учет!X1136</f>
        <v>500</v>
      </c>
    </row>
    <row r="1137" spans="1:27" ht="15" customHeight="1" x14ac:dyDescent="0.25">
      <c r="A1137" s="1"/>
      <c r="B1137" s="17"/>
      <c r="C1137" s="17"/>
      <c r="D1137" s="17"/>
      <c r="E1137" s="17"/>
      <c r="F1137" s="17"/>
      <c r="G1137" s="4">
        <f t="shared" si="48"/>
        <v>0</v>
      </c>
      <c r="H1137" s="17"/>
      <c r="I1137" s="4">
        <f t="shared" si="50"/>
        <v>349526.07999999996</v>
      </c>
      <c r="J1137" s="32" t="str">
        <f t="shared" si="49"/>
        <v/>
      </c>
      <c r="K1137" s="72"/>
      <c r="L1137" s="72"/>
      <c r="M1137" s="2"/>
      <c r="N1137" s="5"/>
      <c r="O1137" s="3"/>
      <c r="P1137" s="6"/>
      <c r="Q1137" s="48">
        <f>IF(Учет!$O1137=Справочники!$F$2,Учет!$H1137,0)</f>
        <v>0</v>
      </c>
      <c r="R1137" s="48">
        <f>IF(Учет!$O1137=Справочники!$F$3,Учет!$H1137,0)</f>
        <v>0</v>
      </c>
      <c r="S1137" s="48">
        <f>IF(Учет!$O1137=Справочники!$F$4,Учет!$H1137,0)</f>
        <v>0</v>
      </c>
      <c r="T1137" s="48">
        <f>IF(Учет!$O1137=Справочники!$F$5,Учет!$H1137,0)</f>
        <v>0</v>
      </c>
      <c r="U1137" s="48">
        <f>IF(Учет!$O1137=Справочники!$F$6,Учет!$H1137,0)</f>
        <v>0</v>
      </c>
      <c r="V1137" s="43">
        <f>V1136+Учет!Q1137-Q1137</f>
        <v>-488978.92000000004</v>
      </c>
      <c r="W1137" s="43">
        <f>W1136+Учет!R1137-R1137</f>
        <v>336855</v>
      </c>
      <c r="X1137" s="43">
        <f>X1136+Учет!S1137-S1137</f>
        <v>500</v>
      </c>
      <c r="Y1137" s="43">
        <f>Y1136+Учет!T1137-T1137</f>
        <v>1150</v>
      </c>
      <c r="Z1137" s="43">
        <f>Z1136+Учет!U1137-U1137</f>
        <v>500000</v>
      </c>
      <c r="AA1137" s="45">
        <f>Учет!X1137</f>
        <v>500</v>
      </c>
    </row>
    <row r="1138" spans="1:27" ht="15" customHeight="1" x14ac:dyDescent="0.25">
      <c r="A1138" s="1"/>
      <c r="B1138" s="17"/>
      <c r="C1138" s="17"/>
      <c r="D1138" s="17"/>
      <c r="E1138" s="17"/>
      <c r="F1138" s="17"/>
      <c r="G1138" s="4">
        <f t="shared" si="48"/>
        <v>0</v>
      </c>
      <c r="H1138" s="17"/>
      <c r="I1138" s="4">
        <f t="shared" si="50"/>
        <v>349526.07999999996</v>
      </c>
      <c r="J1138" s="32" t="str">
        <f t="shared" si="49"/>
        <v/>
      </c>
      <c r="K1138" s="72"/>
      <c r="L1138" s="72"/>
      <c r="M1138" s="2"/>
      <c r="N1138" s="5"/>
      <c r="O1138" s="3"/>
      <c r="P1138" s="6"/>
      <c r="Q1138" s="48">
        <f>IF(Учет!$O1138=Справочники!$F$2,Учет!$H1138,0)</f>
        <v>0</v>
      </c>
      <c r="R1138" s="48">
        <f>IF(Учет!$O1138=Справочники!$F$3,Учет!$H1138,0)</f>
        <v>0</v>
      </c>
      <c r="S1138" s="48">
        <f>IF(Учет!$O1138=Справочники!$F$4,Учет!$H1138,0)</f>
        <v>0</v>
      </c>
      <c r="T1138" s="48">
        <f>IF(Учет!$O1138=Справочники!$F$5,Учет!$H1138,0)</f>
        <v>0</v>
      </c>
      <c r="U1138" s="48">
        <f>IF(Учет!$O1138=Справочники!$F$6,Учет!$H1138,0)</f>
        <v>0</v>
      </c>
      <c r="V1138" s="43">
        <f>V1137+Учет!Q1138-Q1138</f>
        <v>-488978.92000000004</v>
      </c>
      <c r="W1138" s="43">
        <f>W1137+Учет!R1138-R1138</f>
        <v>336855</v>
      </c>
      <c r="X1138" s="43">
        <f>X1137+Учет!S1138-S1138</f>
        <v>500</v>
      </c>
      <c r="Y1138" s="43">
        <f>Y1137+Учет!T1138-T1138</f>
        <v>1150</v>
      </c>
      <c r="Z1138" s="43">
        <f>Z1137+Учет!U1138-U1138</f>
        <v>500000</v>
      </c>
      <c r="AA1138" s="45">
        <f>Учет!X1138</f>
        <v>500</v>
      </c>
    </row>
    <row r="1139" spans="1:27" ht="15" customHeight="1" x14ac:dyDescent="0.25">
      <c r="A1139" s="1"/>
      <c r="B1139" s="17"/>
      <c r="C1139" s="17"/>
      <c r="D1139" s="17"/>
      <c r="E1139" s="17"/>
      <c r="F1139" s="17"/>
      <c r="G1139" s="4">
        <f t="shared" si="48"/>
        <v>0</v>
      </c>
      <c r="H1139" s="17"/>
      <c r="I1139" s="4">
        <f t="shared" si="50"/>
        <v>349526.07999999996</v>
      </c>
      <c r="J1139" s="32" t="str">
        <f t="shared" si="49"/>
        <v/>
      </c>
      <c r="K1139" s="72"/>
      <c r="L1139" s="72"/>
      <c r="M1139" s="2"/>
      <c r="N1139" s="5"/>
      <c r="O1139" s="3"/>
      <c r="P1139" s="6"/>
      <c r="Q1139" s="48">
        <f>IF(Учет!$O1139=Справочники!$F$2,Учет!$H1139,0)</f>
        <v>0</v>
      </c>
      <c r="R1139" s="48">
        <f>IF(Учет!$O1139=Справочники!$F$3,Учет!$H1139,0)</f>
        <v>0</v>
      </c>
      <c r="S1139" s="48">
        <f>IF(Учет!$O1139=Справочники!$F$4,Учет!$H1139,0)</f>
        <v>0</v>
      </c>
      <c r="T1139" s="48">
        <f>IF(Учет!$O1139=Справочники!$F$5,Учет!$H1139,0)</f>
        <v>0</v>
      </c>
      <c r="U1139" s="48">
        <f>IF(Учет!$O1139=Справочники!$F$6,Учет!$H1139,0)</f>
        <v>0</v>
      </c>
      <c r="V1139" s="43">
        <f>V1138+Учет!Q1139-Q1139</f>
        <v>-488978.92000000004</v>
      </c>
      <c r="W1139" s="43">
        <f>W1138+Учет!R1139-R1139</f>
        <v>336855</v>
      </c>
      <c r="X1139" s="43">
        <f>X1138+Учет!S1139-S1139</f>
        <v>500</v>
      </c>
      <c r="Y1139" s="43">
        <f>Y1138+Учет!T1139-T1139</f>
        <v>1150</v>
      </c>
      <c r="Z1139" s="43">
        <f>Z1138+Учет!U1139-U1139</f>
        <v>500000</v>
      </c>
      <c r="AA1139" s="45">
        <f>Учет!X1139</f>
        <v>500</v>
      </c>
    </row>
    <row r="1140" spans="1:27" ht="15" customHeight="1" x14ac:dyDescent="0.25">
      <c r="A1140" s="1"/>
      <c r="B1140" s="17"/>
      <c r="C1140" s="17"/>
      <c r="D1140" s="17"/>
      <c r="E1140" s="17"/>
      <c r="F1140" s="17"/>
      <c r="G1140" s="4">
        <f t="shared" si="48"/>
        <v>0</v>
      </c>
      <c r="H1140" s="17"/>
      <c r="I1140" s="4">
        <f t="shared" si="50"/>
        <v>349526.07999999996</v>
      </c>
      <c r="J1140" s="32" t="str">
        <f t="shared" si="49"/>
        <v/>
      </c>
      <c r="K1140" s="72"/>
      <c r="L1140" s="72"/>
      <c r="M1140" s="2"/>
      <c r="N1140" s="5"/>
      <c r="O1140" s="3"/>
      <c r="P1140" s="6"/>
      <c r="Q1140" s="48">
        <f>IF(Учет!$O1140=Справочники!$F$2,Учет!$H1140,0)</f>
        <v>0</v>
      </c>
      <c r="R1140" s="48">
        <f>IF(Учет!$O1140=Справочники!$F$3,Учет!$H1140,0)</f>
        <v>0</v>
      </c>
      <c r="S1140" s="48">
        <f>IF(Учет!$O1140=Справочники!$F$4,Учет!$H1140,0)</f>
        <v>0</v>
      </c>
      <c r="T1140" s="48">
        <f>IF(Учет!$O1140=Справочники!$F$5,Учет!$H1140,0)</f>
        <v>0</v>
      </c>
      <c r="U1140" s="48">
        <f>IF(Учет!$O1140=Справочники!$F$6,Учет!$H1140,0)</f>
        <v>0</v>
      </c>
      <c r="V1140" s="43">
        <f>V1139+Учет!Q1140-Q1140</f>
        <v>-488978.92000000004</v>
      </c>
      <c r="W1140" s="43">
        <f>W1139+Учет!R1140-R1140</f>
        <v>336855</v>
      </c>
      <c r="X1140" s="43">
        <f>X1139+Учет!S1140-S1140</f>
        <v>500</v>
      </c>
      <c r="Y1140" s="43">
        <f>Y1139+Учет!T1140-T1140</f>
        <v>1150</v>
      </c>
      <c r="Z1140" s="43">
        <f>Z1139+Учет!U1140-U1140</f>
        <v>500000</v>
      </c>
      <c r="AA1140" s="45">
        <f>Учет!X1140</f>
        <v>500</v>
      </c>
    </row>
    <row r="1141" spans="1:27" ht="15" customHeight="1" x14ac:dyDescent="0.25">
      <c r="A1141" s="1"/>
      <c r="B1141" s="17"/>
      <c r="C1141" s="17"/>
      <c r="D1141" s="17"/>
      <c r="E1141" s="17"/>
      <c r="F1141" s="17"/>
      <c r="G1141" s="4">
        <f t="shared" si="48"/>
        <v>0</v>
      </c>
      <c r="H1141" s="17"/>
      <c r="I1141" s="4">
        <f t="shared" si="50"/>
        <v>349526.07999999996</v>
      </c>
      <c r="J1141" s="32" t="str">
        <f t="shared" si="49"/>
        <v/>
      </c>
      <c r="K1141" s="72"/>
      <c r="L1141" s="72"/>
      <c r="M1141" s="2"/>
      <c r="N1141" s="5"/>
      <c r="O1141" s="3"/>
      <c r="P1141" s="6"/>
      <c r="Q1141" s="48">
        <f>IF(Учет!$O1141=Справочники!$F$2,Учет!$H1141,0)</f>
        <v>0</v>
      </c>
      <c r="R1141" s="48">
        <f>IF(Учет!$O1141=Справочники!$F$3,Учет!$H1141,0)</f>
        <v>0</v>
      </c>
      <c r="S1141" s="48">
        <f>IF(Учет!$O1141=Справочники!$F$4,Учет!$H1141,0)</f>
        <v>0</v>
      </c>
      <c r="T1141" s="48">
        <f>IF(Учет!$O1141=Справочники!$F$5,Учет!$H1141,0)</f>
        <v>0</v>
      </c>
      <c r="U1141" s="48">
        <f>IF(Учет!$O1141=Справочники!$F$6,Учет!$H1141,0)</f>
        <v>0</v>
      </c>
      <c r="V1141" s="43">
        <f>V1140+Учет!Q1141-Q1141</f>
        <v>-488978.92000000004</v>
      </c>
      <c r="W1141" s="43">
        <f>W1140+Учет!R1141-R1141</f>
        <v>336855</v>
      </c>
      <c r="X1141" s="43">
        <f>X1140+Учет!S1141-S1141</f>
        <v>500</v>
      </c>
      <c r="Y1141" s="43">
        <f>Y1140+Учет!T1141-T1141</f>
        <v>1150</v>
      </c>
      <c r="Z1141" s="43">
        <f>Z1140+Учет!U1141-U1141</f>
        <v>500000</v>
      </c>
      <c r="AA1141" s="45">
        <f>Учет!X1141</f>
        <v>500</v>
      </c>
    </row>
    <row r="1142" spans="1:27" ht="15" customHeight="1" x14ac:dyDescent="0.25">
      <c r="A1142" s="1"/>
      <c r="B1142" s="17"/>
      <c r="C1142" s="17"/>
      <c r="D1142" s="17"/>
      <c r="E1142" s="17"/>
      <c r="F1142" s="17"/>
      <c r="G1142" s="4">
        <f t="shared" si="48"/>
        <v>0</v>
      </c>
      <c r="H1142" s="17"/>
      <c r="I1142" s="4">
        <f t="shared" si="50"/>
        <v>349526.07999999996</v>
      </c>
      <c r="J1142" s="32" t="str">
        <f t="shared" si="49"/>
        <v/>
      </c>
      <c r="K1142" s="72"/>
      <c r="L1142" s="72"/>
      <c r="M1142" s="2"/>
      <c r="N1142" s="5"/>
      <c r="O1142" s="3"/>
      <c r="P1142" s="6"/>
      <c r="Q1142" s="48">
        <f>IF(Учет!$O1142=Справочники!$F$2,Учет!$H1142,0)</f>
        <v>0</v>
      </c>
      <c r="R1142" s="48">
        <f>IF(Учет!$O1142=Справочники!$F$3,Учет!$H1142,0)</f>
        <v>0</v>
      </c>
      <c r="S1142" s="48">
        <f>IF(Учет!$O1142=Справочники!$F$4,Учет!$H1142,0)</f>
        <v>0</v>
      </c>
      <c r="T1142" s="48">
        <f>IF(Учет!$O1142=Справочники!$F$5,Учет!$H1142,0)</f>
        <v>0</v>
      </c>
      <c r="U1142" s="48">
        <f>IF(Учет!$O1142=Справочники!$F$6,Учет!$H1142,0)</f>
        <v>0</v>
      </c>
      <c r="V1142" s="43">
        <f>V1141+Учет!Q1142-Q1142</f>
        <v>-488978.92000000004</v>
      </c>
      <c r="W1142" s="43">
        <f>W1141+Учет!R1142-R1142</f>
        <v>336855</v>
      </c>
      <c r="X1142" s="43">
        <f>X1141+Учет!S1142-S1142</f>
        <v>500</v>
      </c>
      <c r="Y1142" s="43">
        <f>Y1141+Учет!T1142-T1142</f>
        <v>1150</v>
      </c>
      <c r="Z1142" s="43">
        <f>Z1141+Учет!U1142-U1142</f>
        <v>500000</v>
      </c>
      <c r="AA1142" s="45">
        <f>Учет!X1142</f>
        <v>500</v>
      </c>
    </row>
    <row r="1143" spans="1:27" ht="15" customHeight="1" x14ac:dyDescent="0.25">
      <c r="A1143" s="1"/>
      <c r="B1143" s="17"/>
      <c r="C1143" s="17"/>
      <c r="D1143" s="17"/>
      <c r="E1143" s="17"/>
      <c r="F1143" s="17"/>
      <c r="G1143" s="4">
        <f t="shared" si="48"/>
        <v>0</v>
      </c>
      <c r="H1143" s="17"/>
      <c r="I1143" s="4">
        <f t="shared" si="50"/>
        <v>349526.07999999996</v>
      </c>
      <c r="J1143" s="32" t="str">
        <f t="shared" si="49"/>
        <v/>
      </c>
      <c r="K1143" s="72"/>
      <c r="L1143" s="72"/>
      <c r="M1143" s="2"/>
      <c r="N1143" s="5"/>
      <c r="O1143" s="3"/>
      <c r="P1143" s="6"/>
      <c r="Q1143" s="48">
        <f>IF(Учет!$O1143=Справочники!$F$2,Учет!$H1143,0)</f>
        <v>0</v>
      </c>
      <c r="R1143" s="48">
        <f>IF(Учет!$O1143=Справочники!$F$3,Учет!$H1143,0)</f>
        <v>0</v>
      </c>
      <c r="S1143" s="48">
        <f>IF(Учет!$O1143=Справочники!$F$4,Учет!$H1143,0)</f>
        <v>0</v>
      </c>
      <c r="T1143" s="48">
        <f>IF(Учет!$O1143=Справочники!$F$5,Учет!$H1143,0)</f>
        <v>0</v>
      </c>
      <c r="U1143" s="48">
        <f>IF(Учет!$O1143=Справочники!$F$6,Учет!$H1143,0)</f>
        <v>0</v>
      </c>
      <c r="V1143" s="43">
        <f>V1142+Учет!Q1143-Q1143</f>
        <v>-488978.92000000004</v>
      </c>
      <c r="W1143" s="43">
        <f>W1142+Учет!R1143-R1143</f>
        <v>336855</v>
      </c>
      <c r="X1143" s="43">
        <f>X1142+Учет!S1143-S1143</f>
        <v>500</v>
      </c>
      <c r="Y1143" s="43">
        <f>Y1142+Учет!T1143-T1143</f>
        <v>1150</v>
      </c>
      <c r="Z1143" s="43">
        <f>Z1142+Учет!U1143-U1143</f>
        <v>500000</v>
      </c>
      <c r="AA1143" s="45">
        <f>Учет!X1143</f>
        <v>500</v>
      </c>
    </row>
    <row r="1144" spans="1:27" ht="15" customHeight="1" x14ac:dyDescent="0.25">
      <c r="A1144" s="1"/>
      <c r="B1144" s="17"/>
      <c r="C1144" s="17"/>
      <c r="D1144" s="17"/>
      <c r="E1144" s="17"/>
      <c r="F1144" s="17"/>
      <c r="G1144" s="4">
        <f t="shared" si="48"/>
        <v>0</v>
      </c>
      <c r="H1144" s="17"/>
      <c r="I1144" s="4">
        <f t="shared" si="50"/>
        <v>349526.07999999996</v>
      </c>
      <c r="J1144" s="32" t="str">
        <f t="shared" si="49"/>
        <v/>
      </c>
      <c r="K1144" s="72"/>
      <c r="L1144" s="72"/>
      <c r="M1144" s="2"/>
      <c r="N1144" s="5"/>
      <c r="O1144" s="3"/>
      <c r="P1144" s="6"/>
      <c r="Q1144" s="48">
        <f>IF(Учет!$O1144=Справочники!$F$2,Учет!$H1144,0)</f>
        <v>0</v>
      </c>
      <c r="R1144" s="48">
        <f>IF(Учет!$O1144=Справочники!$F$3,Учет!$H1144,0)</f>
        <v>0</v>
      </c>
      <c r="S1144" s="48">
        <f>IF(Учет!$O1144=Справочники!$F$4,Учет!$H1144,0)</f>
        <v>0</v>
      </c>
      <c r="T1144" s="48">
        <f>IF(Учет!$O1144=Справочники!$F$5,Учет!$H1144,0)</f>
        <v>0</v>
      </c>
      <c r="U1144" s="48">
        <f>IF(Учет!$O1144=Справочники!$F$6,Учет!$H1144,0)</f>
        <v>0</v>
      </c>
      <c r="V1144" s="43">
        <f>V1143+Учет!Q1144-Q1144</f>
        <v>-488978.92000000004</v>
      </c>
      <c r="W1144" s="43">
        <f>W1143+Учет!R1144-R1144</f>
        <v>336855</v>
      </c>
      <c r="X1144" s="43">
        <f>X1143+Учет!S1144-S1144</f>
        <v>500</v>
      </c>
      <c r="Y1144" s="43">
        <f>Y1143+Учет!T1144-T1144</f>
        <v>1150</v>
      </c>
      <c r="Z1144" s="43">
        <f>Z1143+Учет!U1144-U1144</f>
        <v>500000</v>
      </c>
      <c r="AA1144" s="45">
        <f>Учет!X1144</f>
        <v>500</v>
      </c>
    </row>
    <row r="1145" spans="1:27" ht="15" customHeight="1" x14ac:dyDescent="0.25">
      <c r="A1145" s="1"/>
      <c r="B1145" s="17"/>
      <c r="C1145" s="17"/>
      <c r="D1145" s="17"/>
      <c r="E1145" s="17"/>
      <c r="F1145" s="17"/>
      <c r="G1145" s="4">
        <f t="shared" si="48"/>
        <v>0</v>
      </c>
      <c r="H1145" s="17"/>
      <c r="I1145" s="4">
        <f t="shared" si="50"/>
        <v>349526.07999999996</v>
      </c>
      <c r="J1145" s="32" t="str">
        <f t="shared" si="49"/>
        <v/>
      </c>
      <c r="K1145" s="72"/>
      <c r="L1145" s="72"/>
      <c r="M1145" s="2"/>
      <c r="N1145" s="5"/>
      <c r="O1145" s="3"/>
      <c r="P1145" s="6"/>
      <c r="Q1145" s="48">
        <f>IF(Учет!$O1145=Справочники!$F$2,Учет!$H1145,0)</f>
        <v>0</v>
      </c>
      <c r="R1145" s="48">
        <f>IF(Учет!$O1145=Справочники!$F$3,Учет!$H1145,0)</f>
        <v>0</v>
      </c>
      <c r="S1145" s="48">
        <f>IF(Учет!$O1145=Справочники!$F$4,Учет!$H1145,0)</f>
        <v>0</v>
      </c>
      <c r="T1145" s="48">
        <f>IF(Учет!$O1145=Справочники!$F$5,Учет!$H1145,0)</f>
        <v>0</v>
      </c>
      <c r="U1145" s="48">
        <f>IF(Учет!$O1145=Справочники!$F$6,Учет!$H1145,0)</f>
        <v>0</v>
      </c>
      <c r="V1145" s="43">
        <f>V1144+Учет!Q1145-Q1145</f>
        <v>-488978.92000000004</v>
      </c>
      <c r="W1145" s="43">
        <f>W1144+Учет!R1145-R1145</f>
        <v>336855</v>
      </c>
      <c r="X1145" s="43">
        <f>X1144+Учет!S1145-S1145</f>
        <v>500</v>
      </c>
      <c r="Y1145" s="43">
        <f>Y1144+Учет!T1145-T1145</f>
        <v>1150</v>
      </c>
      <c r="Z1145" s="43">
        <f>Z1144+Учет!U1145-U1145</f>
        <v>500000</v>
      </c>
      <c r="AA1145" s="45">
        <f>Учет!X1145</f>
        <v>500</v>
      </c>
    </row>
    <row r="1146" spans="1:27" ht="15" customHeight="1" x14ac:dyDescent="0.25">
      <c r="A1146" s="1"/>
      <c r="B1146" s="17"/>
      <c r="C1146" s="17"/>
      <c r="D1146" s="17"/>
      <c r="E1146" s="17"/>
      <c r="F1146" s="17"/>
      <c r="G1146" s="4">
        <f t="shared" si="48"/>
        <v>0</v>
      </c>
      <c r="H1146" s="17"/>
      <c r="I1146" s="4">
        <f t="shared" si="50"/>
        <v>349526.07999999996</v>
      </c>
      <c r="J1146" s="32" t="str">
        <f t="shared" si="49"/>
        <v/>
      </c>
      <c r="K1146" s="72"/>
      <c r="L1146" s="72"/>
      <c r="M1146" s="2"/>
      <c r="N1146" s="5"/>
      <c r="O1146" s="3"/>
      <c r="P1146" s="6"/>
      <c r="Q1146" s="48">
        <f>IF(Учет!$O1146=Справочники!$F$2,Учет!$H1146,0)</f>
        <v>0</v>
      </c>
      <c r="R1146" s="48">
        <f>IF(Учет!$O1146=Справочники!$F$3,Учет!$H1146,0)</f>
        <v>0</v>
      </c>
      <c r="S1146" s="48">
        <f>IF(Учет!$O1146=Справочники!$F$4,Учет!$H1146,0)</f>
        <v>0</v>
      </c>
      <c r="T1146" s="48">
        <f>IF(Учет!$O1146=Справочники!$F$5,Учет!$H1146,0)</f>
        <v>0</v>
      </c>
      <c r="U1146" s="48">
        <f>IF(Учет!$O1146=Справочники!$F$6,Учет!$H1146,0)</f>
        <v>0</v>
      </c>
      <c r="V1146" s="43">
        <f>V1145+Учет!Q1146-Q1146</f>
        <v>-488978.92000000004</v>
      </c>
      <c r="W1146" s="43">
        <f>W1145+Учет!R1146-R1146</f>
        <v>336855</v>
      </c>
      <c r="X1146" s="43">
        <f>X1145+Учет!S1146-S1146</f>
        <v>500</v>
      </c>
      <c r="Y1146" s="43">
        <f>Y1145+Учет!T1146-T1146</f>
        <v>1150</v>
      </c>
      <c r="Z1146" s="43">
        <f>Z1145+Учет!U1146-U1146</f>
        <v>500000</v>
      </c>
      <c r="AA1146" s="45">
        <f>Учет!X1146</f>
        <v>500</v>
      </c>
    </row>
    <row r="1147" spans="1:27" ht="15" customHeight="1" x14ac:dyDescent="0.25">
      <c r="A1147" s="1"/>
      <c r="B1147" s="17"/>
      <c r="C1147" s="17"/>
      <c r="D1147" s="17"/>
      <c r="E1147" s="17"/>
      <c r="F1147" s="17"/>
      <c r="G1147" s="4">
        <f t="shared" si="48"/>
        <v>0</v>
      </c>
      <c r="H1147" s="17"/>
      <c r="I1147" s="4">
        <f t="shared" si="50"/>
        <v>349526.07999999996</v>
      </c>
      <c r="J1147" s="32" t="str">
        <f t="shared" si="49"/>
        <v/>
      </c>
      <c r="K1147" s="72"/>
      <c r="L1147" s="72"/>
      <c r="M1147" s="2"/>
      <c r="N1147" s="5"/>
      <c r="O1147" s="3"/>
      <c r="P1147" s="6"/>
      <c r="Q1147" s="48">
        <f>IF(Учет!$O1147=Справочники!$F$2,Учет!$H1147,0)</f>
        <v>0</v>
      </c>
      <c r="R1147" s="48">
        <f>IF(Учет!$O1147=Справочники!$F$3,Учет!$H1147,0)</f>
        <v>0</v>
      </c>
      <c r="S1147" s="48">
        <f>IF(Учет!$O1147=Справочники!$F$4,Учет!$H1147,0)</f>
        <v>0</v>
      </c>
      <c r="T1147" s="48">
        <f>IF(Учет!$O1147=Справочники!$F$5,Учет!$H1147,0)</f>
        <v>0</v>
      </c>
      <c r="U1147" s="48">
        <f>IF(Учет!$O1147=Справочники!$F$6,Учет!$H1147,0)</f>
        <v>0</v>
      </c>
      <c r="V1147" s="43">
        <f>V1146+Учет!Q1147-Q1147</f>
        <v>-488978.92000000004</v>
      </c>
      <c r="W1147" s="43">
        <f>W1146+Учет!R1147-R1147</f>
        <v>336855</v>
      </c>
      <c r="X1147" s="43">
        <f>X1146+Учет!S1147-S1147</f>
        <v>500</v>
      </c>
      <c r="Y1147" s="43">
        <f>Y1146+Учет!T1147-T1147</f>
        <v>1150</v>
      </c>
      <c r="Z1147" s="43">
        <f>Z1146+Учет!U1147-U1147</f>
        <v>500000</v>
      </c>
      <c r="AA1147" s="45">
        <f>Учет!X1147</f>
        <v>500</v>
      </c>
    </row>
    <row r="1148" spans="1:27" ht="15" customHeight="1" x14ac:dyDescent="0.25">
      <c r="A1148" s="1"/>
      <c r="B1148" s="17"/>
      <c r="C1148" s="17"/>
      <c r="D1148" s="17"/>
      <c r="E1148" s="17"/>
      <c r="F1148" s="17"/>
      <c r="G1148" s="4">
        <f t="shared" si="48"/>
        <v>0</v>
      </c>
      <c r="H1148" s="17"/>
      <c r="I1148" s="4">
        <f t="shared" si="50"/>
        <v>349526.07999999996</v>
      </c>
      <c r="J1148" s="32" t="str">
        <f t="shared" si="49"/>
        <v/>
      </c>
      <c r="K1148" s="72"/>
      <c r="L1148" s="72"/>
      <c r="M1148" s="2"/>
      <c r="N1148" s="5"/>
      <c r="O1148" s="3"/>
      <c r="P1148" s="6"/>
      <c r="Q1148" s="48">
        <f>IF(Учет!$O1148=Справочники!$F$2,Учет!$H1148,0)</f>
        <v>0</v>
      </c>
      <c r="R1148" s="48">
        <f>IF(Учет!$O1148=Справочники!$F$3,Учет!$H1148,0)</f>
        <v>0</v>
      </c>
      <c r="S1148" s="48">
        <f>IF(Учет!$O1148=Справочники!$F$4,Учет!$H1148,0)</f>
        <v>0</v>
      </c>
      <c r="T1148" s="48">
        <f>IF(Учет!$O1148=Справочники!$F$5,Учет!$H1148,0)</f>
        <v>0</v>
      </c>
      <c r="U1148" s="48">
        <f>IF(Учет!$O1148=Справочники!$F$6,Учет!$H1148,0)</f>
        <v>0</v>
      </c>
      <c r="V1148" s="43">
        <f>V1147+Учет!Q1148-Q1148</f>
        <v>-488978.92000000004</v>
      </c>
      <c r="W1148" s="43">
        <f>W1147+Учет!R1148-R1148</f>
        <v>336855</v>
      </c>
      <c r="X1148" s="43">
        <f>X1147+Учет!S1148-S1148</f>
        <v>500</v>
      </c>
      <c r="Y1148" s="43">
        <f>Y1147+Учет!T1148-T1148</f>
        <v>1150</v>
      </c>
      <c r="Z1148" s="43">
        <f>Z1147+Учет!U1148-U1148</f>
        <v>500000</v>
      </c>
      <c r="AA1148" s="45">
        <f>Учет!X1148</f>
        <v>500</v>
      </c>
    </row>
    <row r="1149" spans="1:27" ht="15" customHeight="1" x14ac:dyDescent="0.25">
      <c r="A1149" s="1"/>
      <c r="B1149" s="17"/>
      <c r="C1149" s="17"/>
      <c r="D1149" s="17"/>
      <c r="E1149" s="17"/>
      <c r="F1149" s="17"/>
      <c r="G1149" s="4">
        <f t="shared" si="48"/>
        <v>0</v>
      </c>
      <c r="H1149" s="17"/>
      <c r="I1149" s="4">
        <f t="shared" si="50"/>
        <v>349526.07999999996</v>
      </c>
      <c r="J1149" s="32" t="str">
        <f t="shared" si="49"/>
        <v/>
      </c>
      <c r="K1149" s="72"/>
      <c r="L1149" s="72"/>
      <c r="M1149" s="2"/>
      <c r="N1149" s="5"/>
      <c r="O1149" s="3"/>
      <c r="P1149" s="6"/>
      <c r="Q1149" s="48">
        <f>IF(Учет!$O1149=Справочники!$F$2,Учет!$H1149,0)</f>
        <v>0</v>
      </c>
      <c r="R1149" s="48">
        <f>IF(Учет!$O1149=Справочники!$F$3,Учет!$H1149,0)</f>
        <v>0</v>
      </c>
      <c r="S1149" s="48">
        <f>IF(Учет!$O1149=Справочники!$F$4,Учет!$H1149,0)</f>
        <v>0</v>
      </c>
      <c r="T1149" s="48">
        <f>IF(Учет!$O1149=Справочники!$F$5,Учет!$H1149,0)</f>
        <v>0</v>
      </c>
      <c r="U1149" s="48">
        <f>IF(Учет!$O1149=Справочники!$F$6,Учет!$H1149,0)</f>
        <v>0</v>
      </c>
      <c r="V1149" s="43">
        <f>V1148+Учет!Q1149-Q1149</f>
        <v>-488978.92000000004</v>
      </c>
      <c r="W1149" s="43">
        <f>W1148+Учет!R1149-R1149</f>
        <v>336855</v>
      </c>
      <c r="X1149" s="43">
        <f>X1148+Учет!S1149-S1149</f>
        <v>500</v>
      </c>
      <c r="Y1149" s="43">
        <f>Y1148+Учет!T1149-T1149</f>
        <v>1150</v>
      </c>
      <c r="Z1149" s="43">
        <f>Z1148+Учет!U1149-U1149</f>
        <v>500000</v>
      </c>
      <c r="AA1149" s="45">
        <f>Учет!X1149</f>
        <v>500</v>
      </c>
    </row>
    <row r="1150" spans="1:27" ht="15" customHeight="1" x14ac:dyDescent="0.25">
      <c r="A1150" s="1"/>
      <c r="B1150" s="17"/>
      <c r="C1150" s="17"/>
      <c r="D1150" s="17"/>
      <c r="E1150" s="17"/>
      <c r="F1150" s="17"/>
      <c r="G1150" s="4">
        <f t="shared" si="48"/>
        <v>0</v>
      </c>
      <c r="H1150" s="17"/>
      <c r="I1150" s="4">
        <f t="shared" si="50"/>
        <v>349526.07999999996</v>
      </c>
      <c r="J1150" s="32" t="str">
        <f t="shared" si="49"/>
        <v/>
      </c>
      <c r="K1150" s="72"/>
      <c r="L1150" s="72"/>
      <c r="M1150" s="2"/>
      <c r="N1150" s="5"/>
      <c r="O1150" s="3"/>
      <c r="P1150" s="6"/>
      <c r="Q1150" s="48">
        <f>IF(Учет!$O1150=Справочники!$F$2,Учет!$H1150,0)</f>
        <v>0</v>
      </c>
      <c r="R1150" s="48">
        <f>IF(Учет!$O1150=Справочники!$F$3,Учет!$H1150,0)</f>
        <v>0</v>
      </c>
      <c r="S1150" s="48">
        <f>IF(Учет!$O1150=Справочники!$F$4,Учет!$H1150,0)</f>
        <v>0</v>
      </c>
      <c r="T1150" s="48">
        <f>IF(Учет!$O1150=Справочники!$F$5,Учет!$H1150,0)</f>
        <v>0</v>
      </c>
      <c r="U1150" s="48">
        <f>IF(Учет!$O1150=Справочники!$F$6,Учет!$H1150,0)</f>
        <v>0</v>
      </c>
      <c r="V1150" s="43">
        <f>V1149+Учет!Q1150-Q1150</f>
        <v>-488978.92000000004</v>
      </c>
      <c r="W1150" s="43">
        <f>W1149+Учет!R1150-R1150</f>
        <v>336855</v>
      </c>
      <c r="X1150" s="43">
        <f>X1149+Учет!S1150-S1150</f>
        <v>500</v>
      </c>
      <c r="Y1150" s="43">
        <f>Y1149+Учет!T1150-T1150</f>
        <v>1150</v>
      </c>
      <c r="Z1150" s="43">
        <f>Z1149+Учет!U1150-U1150</f>
        <v>500000</v>
      </c>
      <c r="AA1150" s="45">
        <f>Учет!X1150</f>
        <v>500</v>
      </c>
    </row>
    <row r="1151" spans="1:27" ht="15" customHeight="1" x14ac:dyDescent="0.25">
      <c r="A1151" s="1"/>
      <c r="B1151" s="17"/>
      <c r="C1151" s="17"/>
      <c r="D1151" s="17"/>
      <c r="E1151" s="17"/>
      <c r="F1151" s="17"/>
      <c r="G1151" s="4">
        <f t="shared" si="48"/>
        <v>0</v>
      </c>
      <c r="H1151" s="17"/>
      <c r="I1151" s="4">
        <f t="shared" si="50"/>
        <v>349526.07999999996</v>
      </c>
      <c r="J1151" s="32" t="str">
        <f t="shared" si="49"/>
        <v/>
      </c>
      <c r="K1151" s="72"/>
      <c r="L1151" s="72"/>
      <c r="M1151" s="2"/>
      <c r="N1151" s="5"/>
      <c r="O1151" s="3"/>
      <c r="P1151" s="6"/>
      <c r="Q1151" s="48">
        <f>IF(Учет!$O1151=Справочники!$F$2,Учет!$H1151,0)</f>
        <v>0</v>
      </c>
      <c r="R1151" s="48">
        <f>IF(Учет!$O1151=Справочники!$F$3,Учет!$H1151,0)</f>
        <v>0</v>
      </c>
      <c r="S1151" s="48">
        <f>IF(Учет!$O1151=Справочники!$F$4,Учет!$H1151,0)</f>
        <v>0</v>
      </c>
      <c r="T1151" s="48">
        <f>IF(Учет!$O1151=Справочники!$F$5,Учет!$H1151,0)</f>
        <v>0</v>
      </c>
      <c r="U1151" s="48">
        <f>IF(Учет!$O1151=Справочники!$F$6,Учет!$H1151,0)</f>
        <v>0</v>
      </c>
      <c r="V1151" s="43">
        <f>V1150+Учет!Q1151-Q1151</f>
        <v>-488978.92000000004</v>
      </c>
      <c r="W1151" s="43">
        <f>W1150+Учет!R1151-R1151</f>
        <v>336855</v>
      </c>
      <c r="X1151" s="43">
        <f>X1150+Учет!S1151-S1151</f>
        <v>500</v>
      </c>
      <c r="Y1151" s="43">
        <f>Y1150+Учет!T1151-T1151</f>
        <v>1150</v>
      </c>
      <c r="Z1151" s="43">
        <f>Z1150+Учет!U1151-U1151</f>
        <v>500000</v>
      </c>
      <c r="AA1151" s="45">
        <f>Учет!X1151</f>
        <v>500</v>
      </c>
    </row>
    <row r="1152" spans="1:27" ht="15" customHeight="1" x14ac:dyDescent="0.25">
      <c r="A1152" s="1"/>
      <c r="B1152" s="17"/>
      <c r="C1152" s="17"/>
      <c r="D1152" s="17"/>
      <c r="E1152" s="17"/>
      <c r="F1152" s="17"/>
      <c r="G1152" s="4">
        <f t="shared" si="48"/>
        <v>0</v>
      </c>
      <c r="H1152" s="17"/>
      <c r="I1152" s="4">
        <f t="shared" si="50"/>
        <v>349526.07999999996</v>
      </c>
      <c r="J1152" s="32" t="str">
        <f t="shared" si="49"/>
        <v/>
      </c>
      <c r="K1152" s="72"/>
      <c r="L1152" s="72"/>
      <c r="M1152" s="2"/>
      <c r="N1152" s="5"/>
      <c r="O1152" s="3"/>
      <c r="P1152" s="6"/>
      <c r="Q1152" s="48">
        <f>IF(Учет!$O1152=Справочники!$F$2,Учет!$H1152,0)</f>
        <v>0</v>
      </c>
      <c r="R1152" s="48">
        <f>IF(Учет!$O1152=Справочники!$F$3,Учет!$H1152,0)</f>
        <v>0</v>
      </c>
      <c r="S1152" s="48">
        <f>IF(Учет!$O1152=Справочники!$F$4,Учет!$H1152,0)</f>
        <v>0</v>
      </c>
      <c r="T1152" s="48">
        <f>IF(Учет!$O1152=Справочники!$F$5,Учет!$H1152,0)</f>
        <v>0</v>
      </c>
      <c r="U1152" s="48">
        <f>IF(Учет!$O1152=Справочники!$F$6,Учет!$H1152,0)</f>
        <v>0</v>
      </c>
      <c r="V1152" s="43">
        <f>V1151+Учет!Q1152-Q1152</f>
        <v>-488978.92000000004</v>
      </c>
      <c r="W1152" s="43">
        <f>W1151+Учет!R1152-R1152</f>
        <v>336855</v>
      </c>
      <c r="X1152" s="43">
        <f>X1151+Учет!S1152-S1152</f>
        <v>500</v>
      </c>
      <c r="Y1152" s="43">
        <f>Y1151+Учет!T1152-T1152</f>
        <v>1150</v>
      </c>
      <c r="Z1152" s="43">
        <f>Z1151+Учет!U1152-U1152</f>
        <v>500000</v>
      </c>
      <c r="AA1152" s="45">
        <f>Учет!X1152</f>
        <v>500</v>
      </c>
    </row>
    <row r="1153" spans="1:27" ht="15" customHeight="1" x14ac:dyDescent="0.25">
      <c r="A1153" s="1"/>
      <c r="B1153" s="17"/>
      <c r="C1153" s="17"/>
      <c r="D1153" s="17"/>
      <c r="E1153" s="17"/>
      <c r="F1153" s="17"/>
      <c r="G1153" s="4">
        <f t="shared" si="48"/>
        <v>0</v>
      </c>
      <c r="H1153" s="17"/>
      <c r="I1153" s="4">
        <f t="shared" si="50"/>
        <v>349526.07999999996</v>
      </c>
      <c r="J1153" s="32" t="str">
        <f t="shared" si="49"/>
        <v/>
      </c>
      <c r="K1153" s="72"/>
      <c r="L1153" s="72"/>
      <c r="M1153" s="2"/>
      <c r="N1153" s="5"/>
      <c r="O1153" s="3"/>
      <c r="P1153" s="6"/>
      <c r="Q1153" s="48">
        <f>IF(Учет!$O1153=Справочники!$F$2,Учет!$H1153,0)</f>
        <v>0</v>
      </c>
      <c r="R1153" s="48">
        <f>IF(Учет!$O1153=Справочники!$F$3,Учет!$H1153,0)</f>
        <v>0</v>
      </c>
      <c r="S1153" s="48">
        <f>IF(Учет!$O1153=Справочники!$F$4,Учет!$H1153,0)</f>
        <v>0</v>
      </c>
      <c r="T1153" s="48">
        <f>IF(Учет!$O1153=Справочники!$F$5,Учет!$H1153,0)</f>
        <v>0</v>
      </c>
      <c r="U1153" s="48">
        <f>IF(Учет!$O1153=Справочники!$F$6,Учет!$H1153,0)</f>
        <v>0</v>
      </c>
      <c r="V1153" s="43">
        <f>V1152+Учет!Q1153-Q1153</f>
        <v>-488978.92000000004</v>
      </c>
      <c r="W1153" s="43">
        <f>W1152+Учет!R1153-R1153</f>
        <v>336855</v>
      </c>
      <c r="X1153" s="43">
        <f>X1152+Учет!S1153-S1153</f>
        <v>500</v>
      </c>
      <c r="Y1153" s="43">
        <f>Y1152+Учет!T1153-T1153</f>
        <v>1150</v>
      </c>
      <c r="Z1153" s="43">
        <f>Z1152+Учет!U1153-U1153</f>
        <v>500000</v>
      </c>
      <c r="AA1153" s="45">
        <f>Учет!X1153</f>
        <v>500</v>
      </c>
    </row>
    <row r="1154" spans="1:27" ht="15" customHeight="1" x14ac:dyDescent="0.25">
      <c r="A1154" s="1"/>
      <c r="B1154" s="17"/>
      <c r="C1154" s="17"/>
      <c r="D1154" s="17"/>
      <c r="E1154" s="17"/>
      <c r="F1154" s="17"/>
      <c r="G1154" s="4">
        <f t="shared" ref="G1154:G1217" si="51">SUM($B1154:$F1154)</f>
        <v>0</v>
      </c>
      <c r="H1154" s="17"/>
      <c r="I1154" s="4">
        <f t="shared" si="50"/>
        <v>349526.07999999996</v>
      </c>
      <c r="J1154" s="32" t="str">
        <f t="shared" ref="J1154:J1217" si="52">IF($A1155&lt;&gt;$A1154,$I1154,"")</f>
        <v/>
      </c>
      <c r="K1154" s="72"/>
      <c r="L1154" s="72"/>
      <c r="M1154" s="2"/>
      <c r="N1154" s="5"/>
      <c r="O1154" s="3"/>
      <c r="P1154" s="6"/>
      <c r="Q1154" s="48">
        <f>IF(Учет!$O1154=Справочники!$F$2,Учет!$H1154,0)</f>
        <v>0</v>
      </c>
      <c r="R1154" s="48">
        <f>IF(Учет!$O1154=Справочники!$F$3,Учет!$H1154,0)</f>
        <v>0</v>
      </c>
      <c r="S1154" s="48">
        <f>IF(Учет!$O1154=Справочники!$F$4,Учет!$H1154,0)</f>
        <v>0</v>
      </c>
      <c r="T1154" s="48">
        <f>IF(Учет!$O1154=Справочники!$F$5,Учет!$H1154,0)</f>
        <v>0</v>
      </c>
      <c r="U1154" s="48">
        <f>IF(Учет!$O1154=Справочники!$F$6,Учет!$H1154,0)</f>
        <v>0</v>
      </c>
      <c r="V1154" s="43">
        <f>V1153+Учет!Q1154-Q1154</f>
        <v>-488978.92000000004</v>
      </c>
      <c r="W1154" s="43">
        <f>W1153+Учет!R1154-R1154</f>
        <v>336855</v>
      </c>
      <c r="X1154" s="43">
        <f>X1153+Учет!S1154-S1154</f>
        <v>500</v>
      </c>
      <c r="Y1154" s="43">
        <f>Y1153+Учет!T1154-T1154</f>
        <v>1150</v>
      </c>
      <c r="Z1154" s="43">
        <f>Z1153+Учет!U1154-U1154</f>
        <v>500000</v>
      </c>
      <c r="AA1154" s="45">
        <f>Учет!X1154</f>
        <v>500</v>
      </c>
    </row>
    <row r="1155" spans="1:27" ht="15" customHeight="1" x14ac:dyDescent="0.25">
      <c r="A1155" s="1"/>
      <c r="B1155" s="17"/>
      <c r="C1155" s="17"/>
      <c r="D1155" s="17"/>
      <c r="E1155" s="17"/>
      <c r="F1155" s="17"/>
      <c r="G1155" s="4">
        <f t="shared" si="51"/>
        <v>0</v>
      </c>
      <c r="H1155" s="17"/>
      <c r="I1155" s="4">
        <f t="shared" ref="I1155:I1218" si="53">$I1154+$G1155-$H1155</f>
        <v>349526.07999999996</v>
      </c>
      <c r="J1155" s="32" t="str">
        <f t="shared" si="52"/>
        <v/>
      </c>
      <c r="K1155" s="72"/>
      <c r="L1155" s="72"/>
      <c r="M1155" s="2"/>
      <c r="N1155" s="5"/>
      <c r="O1155" s="3"/>
      <c r="P1155" s="6"/>
      <c r="Q1155" s="48">
        <f>IF(Учет!$O1155=Справочники!$F$2,Учет!$H1155,0)</f>
        <v>0</v>
      </c>
      <c r="R1155" s="48">
        <f>IF(Учет!$O1155=Справочники!$F$3,Учет!$H1155,0)</f>
        <v>0</v>
      </c>
      <c r="S1155" s="48">
        <f>IF(Учет!$O1155=Справочники!$F$4,Учет!$H1155,0)</f>
        <v>0</v>
      </c>
      <c r="T1155" s="48">
        <f>IF(Учет!$O1155=Справочники!$F$5,Учет!$H1155,0)</f>
        <v>0</v>
      </c>
      <c r="U1155" s="48">
        <f>IF(Учет!$O1155=Справочники!$F$6,Учет!$H1155,0)</f>
        <v>0</v>
      </c>
      <c r="V1155" s="43">
        <f>V1154+Учет!Q1155-Q1155</f>
        <v>-488978.92000000004</v>
      </c>
      <c r="W1155" s="43">
        <f>W1154+Учет!R1155-R1155</f>
        <v>336855</v>
      </c>
      <c r="X1155" s="43">
        <f>X1154+Учет!S1155-S1155</f>
        <v>500</v>
      </c>
      <c r="Y1155" s="43">
        <f>Y1154+Учет!T1155-T1155</f>
        <v>1150</v>
      </c>
      <c r="Z1155" s="43">
        <f>Z1154+Учет!U1155-U1155</f>
        <v>500000</v>
      </c>
      <c r="AA1155" s="45">
        <f>Учет!X1155</f>
        <v>500</v>
      </c>
    </row>
    <row r="1156" spans="1:27" ht="15" customHeight="1" x14ac:dyDescent="0.25">
      <c r="A1156" s="1"/>
      <c r="B1156" s="17"/>
      <c r="C1156" s="17"/>
      <c r="D1156" s="17"/>
      <c r="E1156" s="17"/>
      <c r="F1156" s="17"/>
      <c r="G1156" s="4">
        <f t="shared" si="51"/>
        <v>0</v>
      </c>
      <c r="H1156" s="17"/>
      <c r="I1156" s="4">
        <f t="shared" si="53"/>
        <v>349526.07999999996</v>
      </c>
      <c r="J1156" s="32" t="str">
        <f t="shared" si="52"/>
        <v/>
      </c>
      <c r="K1156" s="72"/>
      <c r="L1156" s="72"/>
      <c r="M1156" s="2"/>
      <c r="N1156" s="5"/>
      <c r="O1156" s="3"/>
      <c r="P1156" s="6"/>
      <c r="Q1156" s="48">
        <f>IF(Учет!$O1156=Справочники!$F$2,Учет!$H1156,0)</f>
        <v>0</v>
      </c>
      <c r="R1156" s="48">
        <f>IF(Учет!$O1156=Справочники!$F$3,Учет!$H1156,0)</f>
        <v>0</v>
      </c>
      <c r="S1156" s="48">
        <f>IF(Учет!$O1156=Справочники!$F$4,Учет!$H1156,0)</f>
        <v>0</v>
      </c>
      <c r="T1156" s="48">
        <f>IF(Учет!$O1156=Справочники!$F$5,Учет!$H1156,0)</f>
        <v>0</v>
      </c>
      <c r="U1156" s="48">
        <f>IF(Учет!$O1156=Справочники!$F$6,Учет!$H1156,0)</f>
        <v>0</v>
      </c>
      <c r="V1156" s="43">
        <f>V1155+Учет!Q1156-Q1156</f>
        <v>-488978.92000000004</v>
      </c>
      <c r="W1156" s="43">
        <f>W1155+Учет!R1156-R1156</f>
        <v>336855</v>
      </c>
      <c r="X1156" s="43">
        <f>X1155+Учет!S1156-S1156</f>
        <v>500</v>
      </c>
      <c r="Y1156" s="43">
        <f>Y1155+Учет!T1156-T1156</f>
        <v>1150</v>
      </c>
      <c r="Z1156" s="43">
        <f>Z1155+Учет!U1156-U1156</f>
        <v>500000</v>
      </c>
      <c r="AA1156" s="45">
        <f>Учет!X1156</f>
        <v>500</v>
      </c>
    </row>
    <row r="1157" spans="1:27" ht="15" customHeight="1" x14ac:dyDescent="0.25">
      <c r="A1157" s="1"/>
      <c r="B1157" s="17"/>
      <c r="C1157" s="17"/>
      <c r="D1157" s="17"/>
      <c r="E1157" s="17"/>
      <c r="F1157" s="17"/>
      <c r="G1157" s="4">
        <f t="shared" si="51"/>
        <v>0</v>
      </c>
      <c r="H1157" s="17"/>
      <c r="I1157" s="4">
        <f t="shared" si="53"/>
        <v>349526.07999999996</v>
      </c>
      <c r="J1157" s="32" t="str">
        <f t="shared" si="52"/>
        <v/>
      </c>
      <c r="K1157" s="72"/>
      <c r="L1157" s="72"/>
      <c r="M1157" s="2"/>
      <c r="N1157" s="5"/>
      <c r="O1157" s="3"/>
      <c r="P1157" s="6"/>
      <c r="Q1157" s="48">
        <f>IF(Учет!$O1157=Справочники!$F$2,Учет!$H1157,0)</f>
        <v>0</v>
      </c>
      <c r="R1157" s="48">
        <f>IF(Учет!$O1157=Справочники!$F$3,Учет!$H1157,0)</f>
        <v>0</v>
      </c>
      <c r="S1157" s="48">
        <f>IF(Учет!$O1157=Справочники!$F$4,Учет!$H1157,0)</f>
        <v>0</v>
      </c>
      <c r="T1157" s="48">
        <f>IF(Учет!$O1157=Справочники!$F$5,Учет!$H1157,0)</f>
        <v>0</v>
      </c>
      <c r="U1157" s="48">
        <f>IF(Учет!$O1157=Справочники!$F$6,Учет!$H1157,0)</f>
        <v>0</v>
      </c>
      <c r="V1157" s="43">
        <f>V1156+Учет!Q1157-Q1157</f>
        <v>-488978.92000000004</v>
      </c>
      <c r="W1157" s="43">
        <f>W1156+Учет!R1157-R1157</f>
        <v>336855</v>
      </c>
      <c r="X1157" s="43">
        <f>X1156+Учет!S1157-S1157</f>
        <v>500</v>
      </c>
      <c r="Y1157" s="43">
        <f>Y1156+Учет!T1157-T1157</f>
        <v>1150</v>
      </c>
      <c r="Z1157" s="43">
        <f>Z1156+Учет!U1157-U1157</f>
        <v>500000</v>
      </c>
      <c r="AA1157" s="45">
        <f>Учет!X1157</f>
        <v>500</v>
      </c>
    </row>
    <row r="1158" spans="1:27" ht="15" customHeight="1" x14ac:dyDescent="0.25">
      <c r="A1158" s="1"/>
      <c r="B1158" s="17"/>
      <c r="C1158" s="17"/>
      <c r="D1158" s="17"/>
      <c r="E1158" s="17"/>
      <c r="F1158" s="17"/>
      <c r="G1158" s="4">
        <f t="shared" si="51"/>
        <v>0</v>
      </c>
      <c r="H1158" s="17"/>
      <c r="I1158" s="4">
        <f t="shared" si="53"/>
        <v>349526.07999999996</v>
      </c>
      <c r="J1158" s="32" t="str">
        <f t="shared" si="52"/>
        <v/>
      </c>
      <c r="K1158" s="72"/>
      <c r="L1158" s="72"/>
      <c r="M1158" s="2"/>
      <c r="N1158" s="5"/>
      <c r="O1158" s="3"/>
      <c r="P1158" s="6"/>
      <c r="Q1158" s="48">
        <f>IF(Учет!$O1158=Справочники!$F$2,Учет!$H1158,0)</f>
        <v>0</v>
      </c>
      <c r="R1158" s="48">
        <f>IF(Учет!$O1158=Справочники!$F$3,Учет!$H1158,0)</f>
        <v>0</v>
      </c>
      <c r="S1158" s="48">
        <f>IF(Учет!$O1158=Справочники!$F$4,Учет!$H1158,0)</f>
        <v>0</v>
      </c>
      <c r="T1158" s="48">
        <f>IF(Учет!$O1158=Справочники!$F$5,Учет!$H1158,0)</f>
        <v>0</v>
      </c>
      <c r="U1158" s="48">
        <f>IF(Учет!$O1158=Справочники!$F$6,Учет!$H1158,0)</f>
        <v>0</v>
      </c>
      <c r="V1158" s="43">
        <f>V1157+Учет!Q1158-Q1158</f>
        <v>-488978.92000000004</v>
      </c>
      <c r="W1158" s="43">
        <f>W1157+Учет!R1158-R1158</f>
        <v>336855</v>
      </c>
      <c r="X1158" s="43">
        <f>X1157+Учет!S1158-S1158</f>
        <v>500</v>
      </c>
      <c r="Y1158" s="43">
        <f>Y1157+Учет!T1158-T1158</f>
        <v>1150</v>
      </c>
      <c r="Z1158" s="43">
        <f>Z1157+Учет!U1158-U1158</f>
        <v>500000</v>
      </c>
      <c r="AA1158" s="45">
        <f>Учет!X1158</f>
        <v>500</v>
      </c>
    </row>
    <row r="1159" spans="1:27" ht="15" customHeight="1" x14ac:dyDescent="0.25">
      <c r="A1159" s="1"/>
      <c r="B1159" s="17"/>
      <c r="C1159" s="17"/>
      <c r="D1159" s="17"/>
      <c r="E1159" s="17"/>
      <c r="F1159" s="17"/>
      <c r="G1159" s="4">
        <f t="shared" si="51"/>
        <v>0</v>
      </c>
      <c r="H1159" s="17"/>
      <c r="I1159" s="4">
        <f t="shared" si="53"/>
        <v>349526.07999999996</v>
      </c>
      <c r="J1159" s="32" t="str">
        <f t="shared" si="52"/>
        <v/>
      </c>
      <c r="K1159" s="72"/>
      <c r="L1159" s="72"/>
      <c r="M1159" s="2"/>
      <c r="N1159" s="5"/>
      <c r="O1159" s="3"/>
      <c r="P1159" s="6"/>
      <c r="Q1159" s="48">
        <f>IF(Учет!$O1159=Справочники!$F$2,Учет!$H1159,0)</f>
        <v>0</v>
      </c>
      <c r="R1159" s="48">
        <f>IF(Учет!$O1159=Справочники!$F$3,Учет!$H1159,0)</f>
        <v>0</v>
      </c>
      <c r="S1159" s="48">
        <f>IF(Учет!$O1159=Справочники!$F$4,Учет!$H1159,0)</f>
        <v>0</v>
      </c>
      <c r="T1159" s="48">
        <f>IF(Учет!$O1159=Справочники!$F$5,Учет!$H1159,0)</f>
        <v>0</v>
      </c>
      <c r="U1159" s="48">
        <f>IF(Учет!$O1159=Справочники!$F$6,Учет!$H1159,0)</f>
        <v>0</v>
      </c>
      <c r="V1159" s="43">
        <f>V1158+Учет!Q1159-Q1159</f>
        <v>-488978.92000000004</v>
      </c>
      <c r="W1159" s="43">
        <f>W1158+Учет!R1159-R1159</f>
        <v>336855</v>
      </c>
      <c r="X1159" s="43">
        <f>X1158+Учет!S1159-S1159</f>
        <v>500</v>
      </c>
      <c r="Y1159" s="43">
        <f>Y1158+Учет!T1159-T1159</f>
        <v>1150</v>
      </c>
      <c r="Z1159" s="43">
        <f>Z1158+Учет!U1159-U1159</f>
        <v>500000</v>
      </c>
      <c r="AA1159" s="45">
        <f>Учет!X1159</f>
        <v>500</v>
      </c>
    </row>
    <row r="1160" spans="1:27" ht="15" customHeight="1" x14ac:dyDescent="0.25">
      <c r="A1160" s="1"/>
      <c r="B1160" s="17"/>
      <c r="C1160" s="17"/>
      <c r="D1160" s="17"/>
      <c r="E1160" s="17"/>
      <c r="F1160" s="17"/>
      <c r="G1160" s="4">
        <f t="shared" si="51"/>
        <v>0</v>
      </c>
      <c r="H1160" s="17"/>
      <c r="I1160" s="4">
        <f t="shared" si="53"/>
        <v>349526.07999999996</v>
      </c>
      <c r="J1160" s="32" t="str">
        <f t="shared" si="52"/>
        <v/>
      </c>
      <c r="K1160" s="72"/>
      <c r="L1160" s="72"/>
      <c r="M1160" s="2"/>
      <c r="N1160" s="5"/>
      <c r="O1160" s="3"/>
      <c r="P1160" s="6"/>
      <c r="Q1160" s="48">
        <f>IF(Учет!$O1160=Справочники!$F$2,Учет!$H1160,0)</f>
        <v>0</v>
      </c>
      <c r="R1160" s="48">
        <f>IF(Учет!$O1160=Справочники!$F$3,Учет!$H1160,0)</f>
        <v>0</v>
      </c>
      <c r="S1160" s="48">
        <f>IF(Учет!$O1160=Справочники!$F$4,Учет!$H1160,0)</f>
        <v>0</v>
      </c>
      <c r="T1160" s="48">
        <f>IF(Учет!$O1160=Справочники!$F$5,Учет!$H1160,0)</f>
        <v>0</v>
      </c>
      <c r="U1160" s="48">
        <f>IF(Учет!$O1160=Справочники!$F$6,Учет!$H1160,0)</f>
        <v>0</v>
      </c>
      <c r="V1160" s="43">
        <f>V1159+Учет!Q1160-Q1160</f>
        <v>-488978.92000000004</v>
      </c>
      <c r="W1160" s="43">
        <f>W1159+Учет!R1160-R1160</f>
        <v>336855</v>
      </c>
      <c r="X1160" s="43">
        <f>X1159+Учет!S1160-S1160</f>
        <v>500</v>
      </c>
      <c r="Y1160" s="43">
        <f>Y1159+Учет!T1160-T1160</f>
        <v>1150</v>
      </c>
      <c r="Z1160" s="43">
        <f>Z1159+Учет!U1160-U1160</f>
        <v>500000</v>
      </c>
      <c r="AA1160" s="45">
        <f>Учет!X1160</f>
        <v>500</v>
      </c>
    </row>
    <row r="1161" spans="1:27" ht="15" customHeight="1" x14ac:dyDescent="0.25">
      <c r="A1161" s="1"/>
      <c r="B1161" s="17"/>
      <c r="C1161" s="17"/>
      <c r="D1161" s="17"/>
      <c r="E1161" s="17"/>
      <c r="F1161" s="17"/>
      <c r="G1161" s="4">
        <f t="shared" si="51"/>
        <v>0</v>
      </c>
      <c r="H1161" s="17"/>
      <c r="I1161" s="4">
        <f t="shared" si="53"/>
        <v>349526.07999999996</v>
      </c>
      <c r="J1161" s="32" t="str">
        <f t="shared" si="52"/>
        <v/>
      </c>
      <c r="K1161" s="72"/>
      <c r="L1161" s="72"/>
      <c r="M1161" s="2"/>
      <c r="N1161" s="5"/>
      <c r="O1161" s="3"/>
      <c r="P1161" s="6"/>
      <c r="Q1161" s="48">
        <f>IF(Учет!$O1161=Справочники!$F$2,Учет!$H1161,0)</f>
        <v>0</v>
      </c>
      <c r="R1161" s="48">
        <f>IF(Учет!$O1161=Справочники!$F$3,Учет!$H1161,0)</f>
        <v>0</v>
      </c>
      <c r="S1161" s="48">
        <f>IF(Учет!$O1161=Справочники!$F$4,Учет!$H1161,0)</f>
        <v>0</v>
      </c>
      <c r="T1161" s="48">
        <f>IF(Учет!$O1161=Справочники!$F$5,Учет!$H1161,0)</f>
        <v>0</v>
      </c>
      <c r="U1161" s="48">
        <f>IF(Учет!$O1161=Справочники!$F$6,Учет!$H1161,0)</f>
        <v>0</v>
      </c>
      <c r="V1161" s="43">
        <f>V1160+Учет!Q1161-Q1161</f>
        <v>-488978.92000000004</v>
      </c>
      <c r="W1161" s="43">
        <f>W1160+Учет!R1161-R1161</f>
        <v>336855</v>
      </c>
      <c r="X1161" s="43">
        <f>X1160+Учет!S1161-S1161</f>
        <v>500</v>
      </c>
      <c r="Y1161" s="43">
        <f>Y1160+Учет!T1161-T1161</f>
        <v>1150</v>
      </c>
      <c r="Z1161" s="43">
        <f>Z1160+Учет!U1161-U1161</f>
        <v>500000</v>
      </c>
      <c r="AA1161" s="45">
        <f>Учет!X1161</f>
        <v>500</v>
      </c>
    </row>
    <row r="1162" spans="1:27" ht="15" customHeight="1" x14ac:dyDescent="0.25">
      <c r="A1162" s="1"/>
      <c r="B1162" s="17"/>
      <c r="C1162" s="17"/>
      <c r="D1162" s="17"/>
      <c r="E1162" s="17"/>
      <c r="F1162" s="17"/>
      <c r="G1162" s="4">
        <f t="shared" si="51"/>
        <v>0</v>
      </c>
      <c r="H1162" s="17"/>
      <c r="I1162" s="4">
        <f t="shared" si="53"/>
        <v>349526.07999999996</v>
      </c>
      <c r="J1162" s="32" t="str">
        <f t="shared" si="52"/>
        <v/>
      </c>
      <c r="K1162" s="72"/>
      <c r="L1162" s="72"/>
      <c r="M1162" s="2"/>
      <c r="N1162" s="5"/>
      <c r="O1162" s="3"/>
      <c r="P1162" s="6"/>
      <c r="Q1162" s="48">
        <f>IF(Учет!$O1162=Справочники!$F$2,Учет!$H1162,0)</f>
        <v>0</v>
      </c>
      <c r="R1162" s="48">
        <f>IF(Учет!$O1162=Справочники!$F$3,Учет!$H1162,0)</f>
        <v>0</v>
      </c>
      <c r="S1162" s="48">
        <f>IF(Учет!$O1162=Справочники!$F$4,Учет!$H1162,0)</f>
        <v>0</v>
      </c>
      <c r="T1162" s="48">
        <f>IF(Учет!$O1162=Справочники!$F$5,Учет!$H1162,0)</f>
        <v>0</v>
      </c>
      <c r="U1162" s="48">
        <f>IF(Учет!$O1162=Справочники!$F$6,Учет!$H1162,0)</f>
        <v>0</v>
      </c>
      <c r="V1162" s="43">
        <f>V1161+Учет!Q1162-Q1162</f>
        <v>-488978.92000000004</v>
      </c>
      <c r="W1162" s="43">
        <f>W1161+Учет!R1162-R1162</f>
        <v>336855</v>
      </c>
      <c r="X1162" s="43">
        <f>X1161+Учет!S1162-S1162</f>
        <v>500</v>
      </c>
      <c r="Y1162" s="43">
        <f>Y1161+Учет!T1162-T1162</f>
        <v>1150</v>
      </c>
      <c r="Z1162" s="43">
        <f>Z1161+Учет!U1162-U1162</f>
        <v>500000</v>
      </c>
      <c r="AA1162" s="45">
        <f>Учет!X1162</f>
        <v>500</v>
      </c>
    </row>
    <row r="1163" spans="1:27" ht="15" customHeight="1" x14ac:dyDescent="0.25">
      <c r="A1163" s="1"/>
      <c r="B1163" s="17"/>
      <c r="C1163" s="17"/>
      <c r="D1163" s="17"/>
      <c r="E1163" s="17"/>
      <c r="F1163" s="17"/>
      <c r="G1163" s="4">
        <f t="shared" si="51"/>
        <v>0</v>
      </c>
      <c r="H1163" s="17"/>
      <c r="I1163" s="4">
        <f t="shared" si="53"/>
        <v>349526.07999999996</v>
      </c>
      <c r="J1163" s="32" t="str">
        <f t="shared" si="52"/>
        <v/>
      </c>
      <c r="K1163" s="72"/>
      <c r="L1163" s="72"/>
      <c r="M1163" s="2"/>
      <c r="N1163" s="5"/>
      <c r="O1163" s="3"/>
      <c r="P1163" s="6"/>
      <c r="Q1163" s="48">
        <f>IF(Учет!$O1163=Справочники!$F$2,Учет!$H1163,0)</f>
        <v>0</v>
      </c>
      <c r="R1163" s="48">
        <f>IF(Учет!$O1163=Справочники!$F$3,Учет!$H1163,0)</f>
        <v>0</v>
      </c>
      <c r="S1163" s="48">
        <f>IF(Учет!$O1163=Справочники!$F$4,Учет!$H1163,0)</f>
        <v>0</v>
      </c>
      <c r="T1163" s="48">
        <f>IF(Учет!$O1163=Справочники!$F$5,Учет!$H1163,0)</f>
        <v>0</v>
      </c>
      <c r="U1163" s="48">
        <f>IF(Учет!$O1163=Справочники!$F$6,Учет!$H1163,0)</f>
        <v>0</v>
      </c>
      <c r="V1163" s="43">
        <f>V1162+Учет!Q1163-Q1163</f>
        <v>-488978.92000000004</v>
      </c>
      <c r="W1163" s="43">
        <f>W1162+Учет!R1163-R1163</f>
        <v>336855</v>
      </c>
      <c r="X1163" s="43">
        <f>X1162+Учет!S1163-S1163</f>
        <v>500</v>
      </c>
      <c r="Y1163" s="43">
        <f>Y1162+Учет!T1163-T1163</f>
        <v>1150</v>
      </c>
      <c r="Z1163" s="43">
        <f>Z1162+Учет!U1163-U1163</f>
        <v>500000</v>
      </c>
      <c r="AA1163" s="45">
        <f>Учет!X1163</f>
        <v>500</v>
      </c>
    </row>
    <row r="1164" spans="1:27" ht="15" customHeight="1" x14ac:dyDescent="0.25">
      <c r="A1164" s="1"/>
      <c r="B1164" s="17"/>
      <c r="C1164" s="17"/>
      <c r="D1164" s="17"/>
      <c r="E1164" s="17"/>
      <c r="F1164" s="17"/>
      <c r="G1164" s="4">
        <f t="shared" si="51"/>
        <v>0</v>
      </c>
      <c r="H1164" s="17"/>
      <c r="I1164" s="4">
        <f t="shared" si="53"/>
        <v>349526.07999999996</v>
      </c>
      <c r="J1164" s="32" t="str">
        <f t="shared" si="52"/>
        <v/>
      </c>
      <c r="K1164" s="72"/>
      <c r="L1164" s="72"/>
      <c r="M1164" s="2"/>
      <c r="N1164" s="5"/>
      <c r="O1164" s="3"/>
      <c r="P1164" s="6"/>
      <c r="Q1164" s="48">
        <f>IF(Учет!$O1164=Справочники!$F$2,Учет!$H1164,0)</f>
        <v>0</v>
      </c>
      <c r="R1164" s="48">
        <f>IF(Учет!$O1164=Справочники!$F$3,Учет!$H1164,0)</f>
        <v>0</v>
      </c>
      <c r="S1164" s="48">
        <f>IF(Учет!$O1164=Справочники!$F$4,Учет!$H1164,0)</f>
        <v>0</v>
      </c>
      <c r="T1164" s="48">
        <f>IF(Учет!$O1164=Справочники!$F$5,Учет!$H1164,0)</f>
        <v>0</v>
      </c>
      <c r="U1164" s="48">
        <f>IF(Учет!$O1164=Справочники!$F$6,Учет!$H1164,0)</f>
        <v>0</v>
      </c>
      <c r="V1164" s="43">
        <f>V1163+Учет!Q1164-Q1164</f>
        <v>-488978.92000000004</v>
      </c>
      <c r="W1164" s="43">
        <f>W1163+Учет!R1164-R1164</f>
        <v>336855</v>
      </c>
      <c r="X1164" s="43">
        <f>X1163+Учет!S1164-S1164</f>
        <v>500</v>
      </c>
      <c r="Y1164" s="43">
        <f>Y1163+Учет!T1164-T1164</f>
        <v>1150</v>
      </c>
      <c r="Z1164" s="43">
        <f>Z1163+Учет!U1164-U1164</f>
        <v>500000</v>
      </c>
      <c r="AA1164" s="45">
        <f>Учет!X1164</f>
        <v>500</v>
      </c>
    </row>
    <row r="1165" spans="1:27" ht="15" customHeight="1" x14ac:dyDescent="0.25">
      <c r="A1165" s="1"/>
      <c r="B1165" s="17"/>
      <c r="C1165" s="17"/>
      <c r="D1165" s="17"/>
      <c r="E1165" s="17"/>
      <c r="F1165" s="17"/>
      <c r="G1165" s="4">
        <f t="shared" si="51"/>
        <v>0</v>
      </c>
      <c r="H1165" s="17"/>
      <c r="I1165" s="4">
        <f t="shared" si="53"/>
        <v>349526.07999999996</v>
      </c>
      <c r="J1165" s="32" t="str">
        <f t="shared" si="52"/>
        <v/>
      </c>
      <c r="K1165" s="72"/>
      <c r="L1165" s="72"/>
      <c r="M1165" s="2"/>
      <c r="N1165" s="5"/>
      <c r="O1165" s="3"/>
      <c r="P1165" s="6"/>
      <c r="Q1165" s="48">
        <f>IF(Учет!$O1165=Справочники!$F$2,Учет!$H1165,0)</f>
        <v>0</v>
      </c>
      <c r="R1165" s="48">
        <f>IF(Учет!$O1165=Справочники!$F$3,Учет!$H1165,0)</f>
        <v>0</v>
      </c>
      <c r="S1165" s="48">
        <f>IF(Учет!$O1165=Справочники!$F$4,Учет!$H1165,0)</f>
        <v>0</v>
      </c>
      <c r="T1165" s="48">
        <f>IF(Учет!$O1165=Справочники!$F$5,Учет!$H1165,0)</f>
        <v>0</v>
      </c>
      <c r="U1165" s="48">
        <f>IF(Учет!$O1165=Справочники!$F$6,Учет!$H1165,0)</f>
        <v>0</v>
      </c>
      <c r="V1165" s="43">
        <f>V1164+Учет!Q1165-Q1165</f>
        <v>-488978.92000000004</v>
      </c>
      <c r="W1165" s="43">
        <f>W1164+Учет!R1165-R1165</f>
        <v>336855</v>
      </c>
      <c r="X1165" s="43">
        <f>X1164+Учет!S1165-S1165</f>
        <v>500</v>
      </c>
      <c r="Y1165" s="43">
        <f>Y1164+Учет!T1165-T1165</f>
        <v>1150</v>
      </c>
      <c r="Z1165" s="43">
        <f>Z1164+Учет!U1165-U1165</f>
        <v>500000</v>
      </c>
      <c r="AA1165" s="45">
        <f>Учет!X1165</f>
        <v>500</v>
      </c>
    </row>
    <row r="1166" spans="1:27" ht="15" customHeight="1" x14ac:dyDescent="0.25">
      <c r="A1166" s="1"/>
      <c r="B1166" s="17"/>
      <c r="C1166" s="17"/>
      <c r="D1166" s="17"/>
      <c r="E1166" s="17"/>
      <c r="F1166" s="17"/>
      <c r="G1166" s="4">
        <f t="shared" si="51"/>
        <v>0</v>
      </c>
      <c r="H1166" s="17"/>
      <c r="I1166" s="4">
        <f t="shared" si="53"/>
        <v>349526.07999999996</v>
      </c>
      <c r="J1166" s="32" t="str">
        <f t="shared" si="52"/>
        <v/>
      </c>
      <c r="K1166" s="72"/>
      <c r="L1166" s="72"/>
      <c r="M1166" s="2"/>
      <c r="N1166" s="5"/>
      <c r="O1166" s="3"/>
      <c r="P1166" s="6"/>
      <c r="Q1166" s="48">
        <f>IF(Учет!$O1166=Справочники!$F$2,Учет!$H1166,0)</f>
        <v>0</v>
      </c>
      <c r="R1166" s="48">
        <f>IF(Учет!$O1166=Справочники!$F$3,Учет!$H1166,0)</f>
        <v>0</v>
      </c>
      <c r="S1166" s="48">
        <f>IF(Учет!$O1166=Справочники!$F$4,Учет!$H1166,0)</f>
        <v>0</v>
      </c>
      <c r="T1166" s="48">
        <f>IF(Учет!$O1166=Справочники!$F$5,Учет!$H1166,0)</f>
        <v>0</v>
      </c>
      <c r="U1166" s="48">
        <f>IF(Учет!$O1166=Справочники!$F$6,Учет!$H1166,0)</f>
        <v>0</v>
      </c>
      <c r="V1166" s="43">
        <f>V1165+Учет!Q1166-Q1166</f>
        <v>-488978.92000000004</v>
      </c>
      <c r="W1166" s="43">
        <f>W1165+Учет!R1166-R1166</f>
        <v>336855</v>
      </c>
      <c r="X1166" s="43">
        <f>X1165+Учет!S1166-S1166</f>
        <v>500</v>
      </c>
      <c r="Y1166" s="43">
        <f>Y1165+Учет!T1166-T1166</f>
        <v>1150</v>
      </c>
      <c r="Z1166" s="43">
        <f>Z1165+Учет!U1166-U1166</f>
        <v>500000</v>
      </c>
      <c r="AA1166" s="45">
        <f>Учет!X1166</f>
        <v>500</v>
      </c>
    </row>
    <row r="1167" spans="1:27" ht="15" customHeight="1" x14ac:dyDescent="0.25">
      <c r="A1167" s="1"/>
      <c r="B1167" s="17"/>
      <c r="C1167" s="17"/>
      <c r="D1167" s="17"/>
      <c r="E1167" s="17"/>
      <c r="F1167" s="17"/>
      <c r="G1167" s="4">
        <f t="shared" si="51"/>
        <v>0</v>
      </c>
      <c r="H1167" s="17"/>
      <c r="I1167" s="4">
        <f t="shared" si="53"/>
        <v>349526.07999999996</v>
      </c>
      <c r="J1167" s="32" t="str">
        <f t="shared" si="52"/>
        <v/>
      </c>
      <c r="K1167" s="72"/>
      <c r="L1167" s="72"/>
      <c r="M1167" s="2"/>
      <c r="N1167" s="5"/>
      <c r="O1167" s="3"/>
      <c r="P1167" s="6"/>
      <c r="Q1167" s="48">
        <f>IF(Учет!$O1167=Справочники!$F$2,Учет!$H1167,0)</f>
        <v>0</v>
      </c>
      <c r="R1167" s="48">
        <f>IF(Учет!$O1167=Справочники!$F$3,Учет!$H1167,0)</f>
        <v>0</v>
      </c>
      <c r="S1167" s="48">
        <f>IF(Учет!$O1167=Справочники!$F$4,Учет!$H1167,0)</f>
        <v>0</v>
      </c>
      <c r="T1167" s="48">
        <f>IF(Учет!$O1167=Справочники!$F$5,Учет!$H1167,0)</f>
        <v>0</v>
      </c>
      <c r="U1167" s="48">
        <f>IF(Учет!$O1167=Справочники!$F$6,Учет!$H1167,0)</f>
        <v>0</v>
      </c>
      <c r="V1167" s="43">
        <f>V1166+Учет!Q1167-Q1167</f>
        <v>-488978.92000000004</v>
      </c>
      <c r="W1167" s="43">
        <f>W1166+Учет!R1167-R1167</f>
        <v>336855</v>
      </c>
      <c r="X1167" s="43">
        <f>X1166+Учет!S1167-S1167</f>
        <v>500</v>
      </c>
      <c r="Y1167" s="43">
        <f>Y1166+Учет!T1167-T1167</f>
        <v>1150</v>
      </c>
      <c r="Z1167" s="43">
        <f>Z1166+Учет!U1167-U1167</f>
        <v>500000</v>
      </c>
      <c r="AA1167" s="45">
        <f>Учет!X1167</f>
        <v>500</v>
      </c>
    </row>
    <row r="1168" spans="1:27" ht="15" customHeight="1" x14ac:dyDescent="0.25">
      <c r="A1168" s="1"/>
      <c r="B1168" s="17"/>
      <c r="C1168" s="17"/>
      <c r="D1168" s="17"/>
      <c r="E1168" s="17"/>
      <c r="F1168" s="17"/>
      <c r="G1168" s="4">
        <f t="shared" si="51"/>
        <v>0</v>
      </c>
      <c r="H1168" s="17"/>
      <c r="I1168" s="4">
        <f t="shared" si="53"/>
        <v>349526.07999999996</v>
      </c>
      <c r="J1168" s="32" t="str">
        <f t="shared" si="52"/>
        <v/>
      </c>
      <c r="K1168" s="72"/>
      <c r="L1168" s="72"/>
      <c r="M1168" s="2"/>
      <c r="N1168" s="5"/>
      <c r="O1168" s="3"/>
      <c r="P1168" s="6"/>
      <c r="Q1168" s="48">
        <f>IF(Учет!$O1168=Справочники!$F$2,Учет!$H1168,0)</f>
        <v>0</v>
      </c>
      <c r="R1168" s="48">
        <f>IF(Учет!$O1168=Справочники!$F$3,Учет!$H1168,0)</f>
        <v>0</v>
      </c>
      <c r="S1168" s="48">
        <f>IF(Учет!$O1168=Справочники!$F$4,Учет!$H1168,0)</f>
        <v>0</v>
      </c>
      <c r="T1168" s="48">
        <f>IF(Учет!$O1168=Справочники!$F$5,Учет!$H1168,0)</f>
        <v>0</v>
      </c>
      <c r="U1168" s="48">
        <f>IF(Учет!$O1168=Справочники!$F$6,Учет!$H1168,0)</f>
        <v>0</v>
      </c>
      <c r="V1168" s="43">
        <f>V1167+Учет!Q1168-Q1168</f>
        <v>-488978.92000000004</v>
      </c>
      <c r="W1168" s="43">
        <f>W1167+Учет!R1168-R1168</f>
        <v>336855</v>
      </c>
      <c r="X1168" s="43">
        <f>X1167+Учет!S1168-S1168</f>
        <v>500</v>
      </c>
      <c r="Y1168" s="43">
        <f>Y1167+Учет!T1168-T1168</f>
        <v>1150</v>
      </c>
      <c r="Z1168" s="43">
        <f>Z1167+Учет!U1168-U1168</f>
        <v>500000</v>
      </c>
      <c r="AA1168" s="45">
        <f>Учет!X1168</f>
        <v>500</v>
      </c>
    </row>
    <row r="1169" spans="1:27" ht="15" customHeight="1" x14ac:dyDescent="0.25">
      <c r="A1169" s="1"/>
      <c r="B1169" s="17"/>
      <c r="C1169" s="17"/>
      <c r="D1169" s="17"/>
      <c r="E1169" s="17"/>
      <c r="F1169" s="17"/>
      <c r="G1169" s="4">
        <f t="shared" si="51"/>
        <v>0</v>
      </c>
      <c r="H1169" s="17"/>
      <c r="I1169" s="4">
        <f t="shared" si="53"/>
        <v>349526.07999999996</v>
      </c>
      <c r="J1169" s="32" t="str">
        <f t="shared" si="52"/>
        <v/>
      </c>
      <c r="K1169" s="72"/>
      <c r="L1169" s="72"/>
      <c r="M1169" s="2"/>
      <c r="N1169" s="5"/>
      <c r="O1169" s="3"/>
      <c r="P1169" s="6"/>
      <c r="Q1169" s="48">
        <f>IF(Учет!$O1169=Справочники!$F$2,Учет!$H1169,0)</f>
        <v>0</v>
      </c>
      <c r="R1169" s="48">
        <f>IF(Учет!$O1169=Справочники!$F$3,Учет!$H1169,0)</f>
        <v>0</v>
      </c>
      <c r="S1169" s="48">
        <f>IF(Учет!$O1169=Справочники!$F$4,Учет!$H1169,0)</f>
        <v>0</v>
      </c>
      <c r="T1169" s="48">
        <f>IF(Учет!$O1169=Справочники!$F$5,Учет!$H1169,0)</f>
        <v>0</v>
      </c>
      <c r="U1169" s="48">
        <f>IF(Учет!$O1169=Справочники!$F$6,Учет!$H1169,0)</f>
        <v>0</v>
      </c>
      <c r="V1169" s="43">
        <f>V1168+Учет!Q1169-Q1169</f>
        <v>-488978.92000000004</v>
      </c>
      <c r="W1169" s="43">
        <f>W1168+Учет!R1169-R1169</f>
        <v>336855</v>
      </c>
      <c r="X1169" s="43">
        <f>X1168+Учет!S1169-S1169</f>
        <v>500</v>
      </c>
      <c r="Y1169" s="43">
        <f>Y1168+Учет!T1169-T1169</f>
        <v>1150</v>
      </c>
      <c r="Z1169" s="43">
        <f>Z1168+Учет!U1169-U1169</f>
        <v>500000</v>
      </c>
      <c r="AA1169" s="45">
        <f>Учет!X1169</f>
        <v>500</v>
      </c>
    </row>
    <row r="1170" spans="1:27" ht="15" customHeight="1" x14ac:dyDescent="0.25">
      <c r="A1170" s="1"/>
      <c r="B1170" s="17"/>
      <c r="C1170" s="17"/>
      <c r="D1170" s="17"/>
      <c r="E1170" s="17"/>
      <c r="F1170" s="17"/>
      <c r="G1170" s="4">
        <f t="shared" si="51"/>
        <v>0</v>
      </c>
      <c r="H1170" s="17"/>
      <c r="I1170" s="4">
        <f t="shared" si="53"/>
        <v>349526.07999999996</v>
      </c>
      <c r="J1170" s="32" t="str">
        <f t="shared" si="52"/>
        <v/>
      </c>
      <c r="K1170" s="72"/>
      <c r="L1170" s="72"/>
      <c r="M1170" s="2"/>
      <c r="N1170" s="5"/>
      <c r="O1170" s="3"/>
      <c r="P1170" s="6"/>
      <c r="Q1170" s="48">
        <f>IF(Учет!$O1170=Справочники!$F$2,Учет!$H1170,0)</f>
        <v>0</v>
      </c>
      <c r="R1170" s="48">
        <f>IF(Учет!$O1170=Справочники!$F$3,Учет!$H1170,0)</f>
        <v>0</v>
      </c>
      <c r="S1170" s="48">
        <f>IF(Учет!$O1170=Справочники!$F$4,Учет!$H1170,0)</f>
        <v>0</v>
      </c>
      <c r="T1170" s="48">
        <f>IF(Учет!$O1170=Справочники!$F$5,Учет!$H1170,0)</f>
        <v>0</v>
      </c>
      <c r="U1170" s="48">
        <f>IF(Учет!$O1170=Справочники!$F$6,Учет!$H1170,0)</f>
        <v>0</v>
      </c>
      <c r="V1170" s="43">
        <f>V1169+Учет!Q1170-Q1170</f>
        <v>-488978.92000000004</v>
      </c>
      <c r="W1170" s="43">
        <f>W1169+Учет!R1170-R1170</f>
        <v>336855</v>
      </c>
      <c r="X1170" s="43">
        <f>X1169+Учет!S1170-S1170</f>
        <v>500</v>
      </c>
      <c r="Y1170" s="43">
        <f>Y1169+Учет!T1170-T1170</f>
        <v>1150</v>
      </c>
      <c r="Z1170" s="43">
        <f>Z1169+Учет!U1170-U1170</f>
        <v>500000</v>
      </c>
      <c r="AA1170" s="45">
        <f>Учет!X1170</f>
        <v>500</v>
      </c>
    </row>
    <row r="1171" spans="1:27" ht="15" customHeight="1" x14ac:dyDescent="0.25">
      <c r="A1171" s="1"/>
      <c r="B1171" s="17"/>
      <c r="C1171" s="17"/>
      <c r="D1171" s="17"/>
      <c r="E1171" s="17"/>
      <c r="F1171" s="17"/>
      <c r="G1171" s="4">
        <f t="shared" si="51"/>
        <v>0</v>
      </c>
      <c r="H1171" s="17"/>
      <c r="I1171" s="4">
        <f t="shared" si="53"/>
        <v>349526.07999999996</v>
      </c>
      <c r="J1171" s="32" t="str">
        <f t="shared" si="52"/>
        <v/>
      </c>
      <c r="K1171" s="72"/>
      <c r="L1171" s="72"/>
      <c r="M1171" s="2"/>
      <c r="N1171" s="5"/>
      <c r="O1171" s="3"/>
      <c r="P1171" s="6"/>
      <c r="Q1171" s="48">
        <f>IF(Учет!$O1171=Справочники!$F$2,Учет!$H1171,0)</f>
        <v>0</v>
      </c>
      <c r="R1171" s="48">
        <f>IF(Учет!$O1171=Справочники!$F$3,Учет!$H1171,0)</f>
        <v>0</v>
      </c>
      <c r="S1171" s="48">
        <f>IF(Учет!$O1171=Справочники!$F$4,Учет!$H1171,0)</f>
        <v>0</v>
      </c>
      <c r="T1171" s="48">
        <f>IF(Учет!$O1171=Справочники!$F$5,Учет!$H1171,0)</f>
        <v>0</v>
      </c>
      <c r="U1171" s="48">
        <f>IF(Учет!$O1171=Справочники!$F$6,Учет!$H1171,0)</f>
        <v>0</v>
      </c>
      <c r="V1171" s="43">
        <f>V1170+Учет!Q1171-Q1171</f>
        <v>-488978.92000000004</v>
      </c>
      <c r="W1171" s="43">
        <f>W1170+Учет!R1171-R1171</f>
        <v>336855</v>
      </c>
      <c r="X1171" s="43">
        <f>X1170+Учет!S1171-S1171</f>
        <v>500</v>
      </c>
      <c r="Y1171" s="43">
        <f>Y1170+Учет!T1171-T1171</f>
        <v>1150</v>
      </c>
      <c r="Z1171" s="43">
        <f>Z1170+Учет!U1171-U1171</f>
        <v>500000</v>
      </c>
      <c r="AA1171" s="45">
        <f>Учет!X1171</f>
        <v>500</v>
      </c>
    </row>
    <row r="1172" spans="1:27" ht="15" customHeight="1" x14ac:dyDescent="0.25">
      <c r="A1172" s="1"/>
      <c r="B1172" s="17"/>
      <c r="C1172" s="17"/>
      <c r="D1172" s="17"/>
      <c r="E1172" s="17"/>
      <c r="F1172" s="17"/>
      <c r="G1172" s="4">
        <f t="shared" si="51"/>
        <v>0</v>
      </c>
      <c r="H1172" s="17"/>
      <c r="I1172" s="4">
        <f t="shared" si="53"/>
        <v>349526.07999999996</v>
      </c>
      <c r="J1172" s="32" t="str">
        <f t="shared" si="52"/>
        <v/>
      </c>
      <c r="K1172" s="72"/>
      <c r="L1172" s="72"/>
      <c r="M1172" s="2"/>
      <c r="N1172" s="5"/>
      <c r="O1172" s="3"/>
      <c r="P1172" s="6"/>
      <c r="Q1172" s="48">
        <f>IF(Учет!$O1172=Справочники!$F$2,Учет!$H1172,0)</f>
        <v>0</v>
      </c>
      <c r="R1172" s="48">
        <f>IF(Учет!$O1172=Справочники!$F$3,Учет!$H1172,0)</f>
        <v>0</v>
      </c>
      <c r="S1172" s="48">
        <f>IF(Учет!$O1172=Справочники!$F$4,Учет!$H1172,0)</f>
        <v>0</v>
      </c>
      <c r="T1172" s="48">
        <f>IF(Учет!$O1172=Справочники!$F$5,Учет!$H1172,0)</f>
        <v>0</v>
      </c>
      <c r="U1172" s="48">
        <f>IF(Учет!$O1172=Справочники!$F$6,Учет!$H1172,0)</f>
        <v>0</v>
      </c>
      <c r="V1172" s="43">
        <f>V1171+Учет!Q1172-Q1172</f>
        <v>-488978.92000000004</v>
      </c>
      <c r="W1172" s="43">
        <f>W1171+Учет!R1172-R1172</f>
        <v>336855</v>
      </c>
      <c r="X1172" s="43">
        <f>X1171+Учет!S1172-S1172</f>
        <v>500</v>
      </c>
      <c r="Y1172" s="43">
        <f>Y1171+Учет!T1172-T1172</f>
        <v>1150</v>
      </c>
      <c r="Z1172" s="43">
        <f>Z1171+Учет!U1172-U1172</f>
        <v>500000</v>
      </c>
      <c r="AA1172" s="45">
        <f>Учет!X1172</f>
        <v>500</v>
      </c>
    </row>
    <row r="1173" spans="1:27" ht="15" customHeight="1" x14ac:dyDescent="0.25">
      <c r="A1173" s="1"/>
      <c r="B1173" s="17"/>
      <c r="C1173" s="17"/>
      <c r="D1173" s="17"/>
      <c r="E1173" s="17"/>
      <c r="F1173" s="17"/>
      <c r="G1173" s="4">
        <f t="shared" si="51"/>
        <v>0</v>
      </c>
      <c r="H1173" s="17"/>
      <c r="I1173" s="4">
        <f t="shared" si="53"/>
        <v>349526.07999999996</v>
      </c>
      <c r="J1173" s="32" t="str">
        <f t="shared" si="52"/>
        <v/>
      </c>
      <c r="K1173" s="72"/>
      <c r="L1173" s="72"/>
      <c r="M1173" s="2"/>
      <c r="N1173" s="5"/>
      <c r="O1173" s="3"/>
      <c r="P1173" s="6"/>
      <c r="Q1173" s="48">
        <f>IF(Учет!$O1173=Справочники!$F$2,Учет!$H1173,0)</f>
        <v>0</v>
      </c>
      <c r="R1173" s="48">
        <f>IF(Учет!$O1173=Справочники!$F$3,Учет!$H1173,0)</f>
        <v>0</v>
      </c>
      <c r="S1173" s="48">
        <f>IF(Учет!$O1173=Справочники!$F$4,Учет!$H1173,0)</f>
        <v>0</v>
      </c>
      <c r="T1173" s="48">
        <f>IF(Учет!$O1173=Справочники!$F$5,Учет!$H1173,0)</f>
        <v>0</v>
      </c>
      <c r="U1173" s="48">
        <f>IF(Учет!$O1173=Справочники!$F$6,Учет!$H1173,0)</f>
        <v>0</v>
      </c>
      <c r="V1173" s="43">
        <f>V1172+Учет!Q1173-Q1173</f>
        <v>-488978.92000000004</v>
      </c>
      <c r="W1173" s="43">
        <f>W1172+Учет!R1173-R1173</f>
        <v>336855</v>
      </c>
      <c r="X1173" s="43">
        <f>X1172+Учет!S1173-S1173</f>
        <v>500</v>
      </c>
      <c r="Y1173" s="43">
        <f>Y1172+Учет!T1173-T1173</f>
        <v>1150</v>
      </c>
      <c r="Z1173" s="43">
        <f>Z1172+Учет!U1173-U1173</f>
        <v>500000</v>
      </c>
      <c r="AA1173" s="45">
        <f>Учет!X1173</f>
        <v>500</v>
      </c>
    </row>
    <row r="1174" spans="1:27" ht="15" customHeight="1" x14ac:dyDescent="0.25">
      <c r="A1174" s="1"/>
      <c r="B1174" s="17"/>
      <c r="C1174" s="17"/>
      <c r="D1174" s="17"/>
      <c r="E1174" s="17"/>
      <c r="F1174" s="17"/>
      <c r="G1174" s="4">
        <f t="shared" si="51"/>
        <v>0</v>
      </c>
      <c r="H1174" s="17"/>
      <c r="I1174" s="4">
        <f t="shared" si="53"/>
        <v>349526.07999999996</v>
      </c>
      <c r="J1174" s="32" t="str">
        <f t="shared" si="52"/>
        <v/>
      </c>
      <c r="K1174" s="72"/>
      <c r="L1174" s="72"/>
      <c r="M1174" s="2"/>
      <c r="N1174" s="5"/>
      <c r="O1174" s="3"/>
      <c r="P1174" s="6"/>
      <c r="Q1174" s="48">
        <f>IF(Учет!$O1174=Справочники!$F$2,Учет!$H1174,0)</f>
        <v>0</v>
      </c>
      <c r="R1174" s="48">
        <f>IF(Учет!$O1174=Справочники!$F$3,Учет!$H1174,0)</f>
        <v>0</v>
      </c>
      <c r="S1174" s="48">
        <f>IF(Учет!$O1174=Справочники!$F$4,Учет!$H1174,0)</f>
        <v>0</v>
      </c>
      <c r="T1174" s="48">
        <f>IF(Учет!$O1174=Справочники!$F$5,Учет!$H1174,0)</f>
        <v>0</v>
      </c>
      <c r="U1174" s="48">
        <f>IF(Учет!$O1174=Справочники!$F$6,Учет!$H1174,0)</f>
        <v>0</v>
      </c>
      <c r="V1174" s="43">
        <f>V1173+Учет!Q1174-Q1174</f>
        <v>-488978.92000000004</v>
      </c>
      <c r="W1174" s="43">
        <f>W1173+Учет!R1174-R1174</f>
        <v>336855</v>
      </c>
      <c r="X1174" s="43">
        <f>X1173+Учет!S1174-S1174</f>
        <v>500</v>
      </c>
      <c r="Y1174" s="43">
        <f>Y1173+Учет!T1174-T1174</f>
        <v>1150</v>
      </c>
      <c r="Z1174" s="43">
        <f>Z1173+Учет!U1174-U1174</f>
        <v>500000</v>
      </c>
      <c r="AA1174" s="45">
        <f>Учет!X1174</f>
        <v>500</v>
      </c>
    </row>
    <row r="1175" spans="1:27" ht="15" customHeight="1" x14ac:dyDescent="0.25">
      <c r="A1175" s="1"/>
      <c r="B1175" s="17"/>
      <c r="C1175" s="17"/>
      <c r="D1175" s="17"/>
      <c r="E1175" s="17"/>
      <c r="F1175" s="17"/>
      <c r="G1175" s="4">
        <f t="shared" si="51"/>
        <v>0</v>
      </c>
      <c r="H1175" s="17"/>
      <c r="I1175" s="4">
        <f t="shared" si="53"/>
        <v>349526.07999999996</v>
      </c>
      <c r="J1175" s="32" t="str">
        <f t="shared" si="52"/>
        <v/>
      </c>
      <c r="K1175" s="72"/>
      <c r="L1175" s="72"/>
      <c r="M1175" s="2"/>
      <c r="N1175" s="5"/>
      <c r="O1175" s="3"/>
      <c r="P1175" s="6"/>
      <c r="Q1175" s="48">
        <f>IF(Учет!$O1175=Справочники!$F$2,Учет!$H1175,0)</f>
        <v>0</v>
      </c>
      <c r="R1175" s="48">
        <f>IF(Учет!$O1175=Справочники!$F$3,Учет!$H1175,0)</f>
        <v>0</v>
      </c>
      <c r="S1175" s="48">
        <f>IF(Учет!$O1175=Справочники!$F$4,Учет!$H1175,0)</f>
        <v>0</v>
      </c>
      <c r="T1175" s="48">
        <f>IF(Учет!$O1175=Справочники!$F$5,Учет!$H1175,0)</f>
        <v>0</v>
      </c>
      <c r="U1175" s="48">
        <f>IF(Учет!$O1175=Справочники!$F$6,Учет!$H1175,0)</f>
        <v>0</v>
      </c>
      <c r="V1175" s="43">
        <f>V1174+Учет!Q1175-Q1175</f>
        <v>-488978.92000000004</v>
      </c>
      <c r="W1175" s="43">
        <f>W1174+Учет!R1175-R1175</f>
        <v>336855</v>
      </c>
      <c r="X1175" s="43">
        <f>X1174+Учет!S1175-S1175</f>
        <v>500</v>
      </c>
      <c r="Y1175" s="43">
        <f>Y1174+Учет!T1175-T1175</f>
        <v>1150</v>
      </c>
      <c r="Z1175" s="43">
        <f>Z1174+Учет!U1175-U1175</f>
        <v>500000</v>
      </c>
      <c r="AA1175" s="45">
        <f>Учет!X1175</f>
        <v>500</v>
      </c>
    </row>
    <row r="1176" spans="1:27" ht="15" customHeight="1" x14ac:dyDescent="0.25">
      <c r="A1176" s="1"/>
      <c r="B1176" s="17"/>
      <c r="C1176" s="17"/>
      <c r="D1176" s="17"/>
      <c r="E1176" s="17"/>
      <c r="F1176" s="17"/>
      <c r="G1176" s="4">
        <f t="shared" si="51"/>
        <v>0</v>
      </c>
      <c r="H1176" s="17"/>
      <c r="I1176" s="4">
        <f t="shared" si="53"/>
        <v>349526.07999999996</v>
      </c>
      <c r="J1176" s="32" t="str">
        <f t="shared" si="52"/>
        <v/>
      </c>
      <c r="K1176" s="72"/>
      <c r="L1176" s="72"/>
      <c r="M1176" s="2"/>
      <c r="N1176" s="5"/>
      <c r="O1176" s="3"/>
      <c r="P1176" s="6"/>
      <c r="Q1176" s="48">
        <f>IF(Учет!$O1176=Справочники!$F$2,Учет!$H1176,0)</f>
        <v>0</v>
      </c>
      <c r="R1176" s="48">
        <f>IF(Учет!$O1176=Справочники!$F$3,Учет!$H1176,0)</f>
        <v>0</v>
      </c>
      <c r="S1176" s="48">
        <f>IF(Учет!$O1176=Справочники!$F$4,Учет!$H1176,0)</f>
        <v>0</v>
      </c>
      <c r="T1176" s="48">
        <f>IF(Учет!$O1176=Справочники!$F$5,Учет!$H1176,0)</f>
        <v>0</v>
      </c>
      <c r="U1176" s="48">
        <f>IF(Учет!$O1176=Справочники!$F$6,Учет!$H1176,0)</f>
        <v>0</v>
      </c>
      <c r="V1176" s="43">
        <f>V1175+Учет!Q1176-Q1176</f>
        <v>-488978.92000000004</v>
      </c>
      <c r="W1176" s="43">
        <f>W1175+Учет!R1176-R1176</f>
        <v>336855</v>
      </c>
      <c r="X1176" s="43">
        <f>X1175+Учет!S1176-S1176</f>
        <v>500</v>
      </c>
      <c r="Y1176" s="43">
        <f>Y1175+Учет!T1176-T1176</f>
        <v>1150</v>
      </c>
      <c r="Z1176" s="43">
        <f>Z1175+Учет!U1176-U1176</f>
        <v>500000</v>
      </c>
      <c r="AA1176" s="45">
        <f>Учет!X1176</f>
        <v>500</v>
      </c>
    </row>
    <row r="1177" spans="1:27" ht="15" customHeight="1" x14ac:dyDescent="0.25">
      <c r="A1177" s="1"/>
      <c r="B1177" s="17"/>
      <c r="C1177" s="17"/>
      <c r="D1177" s="17"/>
      <c r="E1177" s="17"/>
      <c r="F1177" s="17"/>
      <c r="G1177" s="4">
        <f t="shared" si="51"/>
        <v>0</v>
      </c>
      <c r="H1177" s="17"/>
      <c r="I1177" s="4">
        <f t="shared" si="53"/>
        <v>349526.07999999996</v>
      </c>
      <c r="J1177" s="32" t="str">
        <f t="shared" si="52"/>
        <v/>
      </c>
      <c r="K1177" s="72"/>
      <c r="L1177" s="72"/>
      <c r="M1177" s="2"/>
      <c r="N1177" s="5"/>
      <c r="O1177" s="3"/>
      <c r="P1177" s="6"/>
      <c r="Q1177" s="48">
        <f>IF(Учет!$O1177=Справочники!$F$2,Учет!$H1177,0)</f>
        <v>0</v>
      </c>
      <c r="R1177" s="48">
        <f>IF(Учет!$O1177=Справочники!$F$3,Учет!$H1177,0)</f>
        <v>0</v>
      </c>
      <c r="S1177" s="48">
        <f>IF(Учет!$O1177=Справочники!$F$4,Учет!$H1177,0)</f>
        <v>0</v>
      </c>
      <c r="T1177" s="48">
        <f>IF(Учет!$O1177=Справочники!$F$5,Учет!$H1177,0)</f>
        <v>0</v>
      </c>
      <c r="U1177" s="48">
        <f>IF(Учет!$O1177=Справочники!$F$6,Учет!$H1177,0)</f>
        <v>0</v>
      </c>
      <c r="V1177" s="43">
        <f>V1176+Учет!Q1177-Q1177</f>
        <v>-488978.92000000004</v>
      </c>
      <c r="W1177" s="43">
        <f>W1176+Учет!R1177-R1177</f>
        <v>336855</v>
      </c>
      <c r="X1177" s="43">
        <f>X1176+Учет!S1177-S1177</f>
        <v>500</v>
      </c>
      <c r="Y1177" s="43">
        <f>Y1176+Учет!T1177-T1177</f>
        <v>1150</v>
      </c>
      <c r="Z1177" s="43">
        <f>Z1176+Учет!U1177-U1177</f>
        <v>500000</v>
      </c>
      <c r="AA1177" s="45">
        <f>Учет!X1177</f>
        <v>500</v>
      </c>
    </row>
    <row r="1178" spans="1:27" ht="15" customHeight="1" x14ac:dyDescent="0.25">
      <c r="A1178" s="1"/>
      <c r="B1178" s="17"/>
      <c r="C1178" s="17"/>
      <c r="D1178" s="17"/>
      <c r="E1178" s="17"/>
      <c r="F1178" s="17"/>
      <c r="G1178" s="4">
        <f t="shared" si="51"/>
        <v>0</v>
      </c>
      <c r="H1178" s="17"/>
      <c r="I1178" s="4">
        <f t="shared" si="53"/>
        <v>349526.07999999996</v>
      </c>
      <c r="J1178" s="32" t="str">
        <f t="shared" si="52"/>
        <v/>
      </c>
      <c r="K1178" s="72"/>
      <c r="L1178" s="72"/>
      <c r="M1178" s="2"/>
      <c r="N1178" s="5"/>
      <c r="O1178" s="3"/>
      <c r="P1178" s="6"/>
      <c r="Q1178" s="48">
        <f>IF(Учет!$O1178=Справочники!$F$2,Учет!$H1178,0)</f>
        <v>0</v>
      </c>
      <c r="R1178" s="48">
        <f>IF(Учет!$O1178=Справочники!$F$3,Учет!$H1178,0)</f>
        <v>0</v>
      </c>
      <c r="S1178" s="48">
        <f>IF(Учет!$O1178=Справочники!$F$4,Учет!$H1178,0)</f>
        <v>0</v>
      </c>
      <c r="T1178" s="48">
        <f>IF(Учет!$O1178=Справочники!$F$5,Учет!$H1178,0)</f>
        <v>0</v>
      </c>
      <c r="U1178" s="48">
        <f>IF(Учет!$O1178=Справочники!$F$6,Учет!$H1178,0)</f>
        <v>0</v>
      </c>
      <c r="V1178" s="43">
        <f>V1177+Учет!Q1178-Q1178</f>
        <v>-488978.92000000004</v>
      </c>
      <c r="W1178" s="43">
        <f>W1177+Учет!R1178-R1178</f>
        <v>336855</v>
      </c>
      <c r="X1178" s="43">
        <f>X1177+Учет!S1178-S1178</f>
        <v>500</v>
      </c>
      <c r="Y1178" s="43">
        <f>Y1177+Учет!T1178-T1178</f>
        <v>1150</v>
      </c>
      <c r="Z1178" s="43">
        <f>Z1177+Учет!U1178-U1178</f>
        <v>500000</v>
      </c>
      <c r="AA1178" s="45">
        <f>Учет!X1178</f>
        <v>500</v>
      </c>
    </row>
    <row r="1179" spans="1:27" ht="15" customHeight="1" x14ac:dyDescent="0.25">
      <c r="A1179" s="1"/>
      <c r="B1179" s="17"/>
      <c r="C1179" s="17"/>
      <c r="D1179" s="17"/>
      <c r="E1179" s="17"/>
      <c r="F1179" s="17"/>
      <c r="G1179" s="4">
        <f t="shared" si="51"/>
        <v>0</v>
      </c>
      <c r="H1179" s="17"/>
      <c r="I1179" s="4">
        <f t="shared" si="53"/>
        <v>349526.07999999996</v>
      </c>
      <c r="J1179" s="32" t="str">
        <f t="shared" si="52"/>
        <v/>
      </c>
      <c r="K1179" s="72"/>
      <c r="L1179" s="72"/>
      <c r="M1179" s="2"/>
      <c r="N1179" s="5"/>
      <c r="O1179" s="3"/>
      <c r="P1179" s="6"/>
      <c r="Q1179" s="48">
        <f>IF(Учет!$O1179=Справочники!$F$2,Учет!$H1179,0)</f>
        <v>0</v>
      </c>
      <c r="R1179" s="48">
        <f>IF(Учет!$O1179=Справочники!$F$3,Учет!$H1179,0)</f>
        <v>0</v>
      </c>
      <c r="S1179" s="48">
        <f>IF(Учет!$O1179=Справочники!$F$4,Учет!$H1179,0)</f>
        <v>0</v>
      </c>
      <c r="T1179" s="48">
        <f>IF(Учет!$O1179=Справочники!$F$5,Учет!$H1179,0)</f>
        <v>0</v>
      </c>
      <c r="U1179" s="48">
        <f>IF(Учет!$O1179=Справочники!$F$6,Учет!$H1179,0)</f>
        <v>0</v>
      </c>
      <c r="V1179" s="43">
        <f>V1178+Учет!Q1179-Q1179</f>
        <v>-488978.92000000004</v>
      </c>
      <c r="W1179" s="43">
        <f>W1178+Учет!R1179-R1179</f>
        <v>336855</v>
      </c>
      <c r="X1179" s="43">
        <f>X1178+Учет!S1179-S1179</f>
        <v>500</v>
      </c>
      <c r="Y1179" s="43">
        <f>Y1178+Учет!T1179-T1179</f>
        <v>1150</v>
      </c>
      <c r="Z1179" s="43">
        <f>Z1178+Учет!U1179-U1179</f>
        <v>500000</v>
      </c>
      <c r="AA1179" s="45">
        <f>Учет!X1179</f>
        <v>500</v>
      </c>
    </row>
    <row r="1180" spans="1:27" ht="15" customHeight="1" x14ac:dyDescent="0.25">
      <c r="A1180" s="1"/>
      <c r="B1180" s="17"/>
      <c r="C1180" s="17"/>
      <c r="D1180" s="17"/>
      <c r="E1180" s="17"/>
      <c r="F1180" s="17"/>
      <c r="G1180" s="4">
        <f t="shared" si="51"/>
        <v>0</v>
      </c>
      <c r="H1180" s="17"/>
      <c r="I1180" s="4">
        <f t="shared" si="53"/>
        <v>349526.07999999996</v>
      </c>
      <c r="J1180" s="32" t="str">
        <f t="shared" si="52"/>
        <v/>
      </c>
      <c r="K1180" s="72"/>
      <c r="L1180" s="72"/>
      <c r="M1180" s="2"/>
      <c r="N1180" s="5"/>
      <c r="O1180" s="3"/>
      <c r="P1180" s="6"/>
      <c r="Q1180" s="48">
        <f>IF(Учет!$O1180=Справочники!$F$2,Учет!$H1180,0)</f>
        <v>0</v>
      </c>
      <c r="R1180" s="48">
        <f>IF(Учет!$O1180=Справочники!$F$3,Учет!$H1180,0)</f>
        <v>0</v>
      </c>
      <c r="S1180" s="48">
        <f>IF(Учет!$O1180=Справочники!$F$4,Учет!$H1180,0)</f>
        <v>0</v>
      </c>
      <c r="T1180" s="48">
        <f>IF(Учет!$O1180=Справочники!$F$5,Учет!$H1180,0)</f>
        <v>0</v>
      </c>
      <c r="U1180" s="48">
        <f>IF(Учет!$O1180=Справочники!$F$6,Учет!$H1180,0)</f>
        <v>0</v>
      </c>
      <c r="V1180" s="43">
        <f>V1179+Учет!Q1180-Q1180</f>
        <v>-488978.92000000004</v>
      </c>
      <c r="W1180" s="43">
        <f>W1179+Учет!R1180-R1180</f>
        <v>336855</v>
      </c>
      <c r="X1180" s="43">
        <f>X1179+Учет!S1180-S1180</f>
        <v>500</v>
      </c>
      <c r="Y1180" s="43">
        <f>Y1179+Учет!T1180-T1180</f>
        <v>1150</v>
      </c>
      <c r="Z1180" s="43">
        <f>Z1179+Учет!U1180-U1180</f>
        <v>500000</v>
      </c>
      <c r="AA1180" s="45">
        <f>Учет!X1180</f>
        <v>500</v>
      </c>
    </row>
    <row r="1181" spans="1:27" ht="15" customHeight="1" x14ac:dyDescent="0.25">
      <c r="A1181" s="1"/>
      <c r="B1181" s="17"/>
      <c r="C1181" s="17"/>
      <c r="D1181" s="17"/>
      <c r="E1181" s="17"/>
      <c r="F1181" s="17"/>
      <c r="G1181" s="4">
        <f t="shared" si="51"/>
        <v>0</v>
      </c>
      <c r="H1181" s="17"/>
      <c r="I1181" s="4">
        <f t="shared" si="53"/>
        <v>349526.07999999996</v>
      </c>
      <c r="J1181" s="32" t="str">
        <f t="shared" si="52"/>
        <v/>
      </c>
      <c r="K1181" s="72"/>
      <c r="L1181" s="72"/>
      <c r="M1181" s="2"/>
      <c r="N1181" s="5"/>
      <c r="O1181" s="3"/>
      <c r="P1181" s="6"/>
      <c r="Q1181" s="48">
        <f>IF(Учет!$O1181=Справочники!$F$2,Учет!$H1181,0)</f>
        <v>0</v>
      </c>
      <c r="R1181" s="48">
        <f>IF(Учет!$O1181=Справочники!$F$3,Учет!$H1181,0)</f>
        <v>0</v>
      </c>
      <c r="S1181" s="48">
        <f>IF(Учет!$O1181=Справочники!$F$4,Учет!$H1181,0)</f>
        <v>0</v>
      </c>
      <c r="T1181" s="48">
        <f>IF(Учет!$O1181=Справочники!$F$5,Учет!$H1181,0)</f>
        <v>0</v>
      </c>
      <c r="U1181" s="48">
        <f>IF(Учет!$O1181=Справочники!$F$6,Учет!$H1181,0)</f>
        <v>0</v>
      </c>
      <c r="V1181" s="43">
        <f>V1180+Учет!Q1181-Q1181</f>
        <v>-488978.92000000004</v>
      </c>
      <c r="W1181" s="43">
        <f>W1180+Учет!R1181-R1181</f>
        <v>336855</v>
      </c>
      <c r="X1181" s="43">
        <f>X1180+Учет!S1181-S1181</f>
        <v>500</v>
      </c>
      <c r="Y1181" s="43">
        <f>Y1180+Учет!T1181-T1181</f>
        <v>1150</v>
      </c>
      <c r="Z1181" s="43">
        <f>Z1180+Учет!U1181-U1181</f>
        <v>500000</v>
      </c>
      <c r="AA1181" s="45">
        <f>Учет!X1181</f>
        <v>500</v>
      </c>
    </row>
    <row r="1182" spans="1:27" ht="15" customHeight="1" x14ac:dyDescent="0.25">
      <c r="A1182" s="1"/>
      <c r="B1182" s="17"/>
      <c r="C1182" s="17"/>
      <c r="D1182" s="17"/>
      <c r="E1182" s="17"/>
      <c r="F1182" s="17"/>
      <c r="G1182" s="4">
        <f t="shared" si="51"/>
        <v>0</v>
      </c>
      <c r="H1182" s="17"/>
      <c r="I1182" s="4">
        <f t="shared" si="53"/>
        <v>349526.07999999996</v>
      </c>
      <c r="J1182" s="32" t="str">
        <f t="shared" si="52"/>
        <v/>
      </c>
      <c r="K1182" s="72"/>
      <c r="L1182" s="72"/>
      <c r="M1182" s="2"/>
      <c r="N1182" s="5"/>
      <c r="O1182" s="3"/>
      <c r="P1182" s="6"/>
      <c r="Q1182" s="48">
        <f>IF(Учет!$O1182=Справочники!$F$2,Учет!$H1182,0)</f>
        <v>0</v>
      </c>
      <c r="R1182" s="48">
        <f>IF(Учет!$O1182=Справочники!$F$3,Учет!$H1182,0)</f>
        <v>0</v>
      </c>
      <c r="S1182" s="48">
        <f>IF(Учет!$O1182=Справочники!$F$4,Учет!$H1182,0)</f>
        <v>0</v>
      </c>
      <c r="T1182" s="48">
        <f>IF(Учет!$O1182=Справочники!$F$5,Учет!$H1182,0)</f>
        <v>0</v>
      </c>
      <c r="U1182" s="48">
        <f>IF(Учет!$O1182=Справочники!$F$6,Учет!$H1182,0)</f>
        <v>0</v>
      </c>
      <c r="V1182" s="43">
        <f>V1181+Учет!Q1182-Q1182</f>
        <v>-488978.92000000004</v>
      </c>
      <c r="W1182" s="43">
        <f>W1181+Учет!R1182-R1182</f>
        <v>336855</v>
      </c>
      <c r="X1182" s="43">
        <f>X1181+Учет!S1182-S1182</f>
        <v>500</v>
      </c>
      <c r="Y1182" s="43">
        <f>Y1181+Учет!T1182-T1182</f>
        <v>1150</v>
      </c>
      <c r="Z1182" s="43">
        <f>Z1181+Учет!U1182-U1182</f>
        <v>500000</v>
      </c>
      <c r="AA1182" s="45">
        <f>Учет!X1182</f>
        <v>500</v>
      </c>
    </row>
    <row r="1183" spans="1:27" ht="15" customHeight="1" x14ac:dyDescent="0.25">
      <c r="A1183" s="1"/>
      <c r="B1183" s="17"/>
      <c r="C1183" s="17"/>
      <c r="D1183" s="17"/>
      <c r="E1183" s="17"/>
      <c r="F1183" s="17"/>
      <c r="G1183" s="4">
        <f t="shared" si="51"/>
        <v>0</v>
      </c>
      <c r="H1183" s="17"/>
      <c r="I1183" s="4">
        <f t="shared" si="53"/>
        <v>349526.07999999996</v>
      </c>
      <c r="J1183" s="32" t="str">
        <f t="shared" si="52"/>
        <v/>
      </c>
      <c r="K1183" s="72"/>
      <c r="L1183" s="72"/>
      <c r="M1183" s="2"/>
      <c r="N1183" s="5"/>
      <c r="O1183" s="3"/>
      <c r="P1183" s="6"/>
      <c r="Q1183" s="48">
        <f>IF(Учет!$O1183=Справочники!$F$2,Учет!$H1183,0)</f>
        <v>0</v>
      </c>
      <c r="R1183" s="48">
        <f>IF(Учет!$O1183=Справочники!$F$3,Учет!$H1183,0)</f>
        <v>0</v>
      </c>
      <c r="S1183" s="48">
        <f>IF(Учет!$O1183=Справочники!$F$4,Учет!$H1183,0)</f>
        <v>0</v>
      </c>
      <c r="T1183" s="48">
        <f>IF(Учет!$O1183=Справочники!$F$5,Учет!$H1183,0)</f>
        <v>0</v>
      </c>
      <c r="U1183" s="48">
        <f>IF(Учет!$O1183=Справочники!$F$6,Учет!$H1183,0)</f>
        <v>0</v>
      </c>
      <c r="V1183" s="43">
        <f>V1182+Учет!Q1183-Q1183</f>
        <v>-488978.92000000004</v>
      </c>
      <c r="W1183" s="43">
        <f>W1182+Учет!R1183-R1183</f>
        <v>336855</v>
      </c>
      <c r="X1183" s="43">
        <f>X1182+Учет!S1183-S1183</f>
        <v>500</v>
      </c>
      <c r="Y1183" s="43">
        <f>Y1182+Учет!T1183-T1183</f>
        <v>1150</v>
      </c>
      <c r="Z1183" s="43">
        <f>Z1182+Учет!U1183-U1183</f>
        <v>500000</v>
      </c>
      <c r="AA1183" s="45">
        <f>Учет!X1183</f>
        <v>500</v>
      </c>
    </row>
    <row r="1184" spans="1:27" ht="15" customHeight="1" x14ac:dyDescent="0.25">
      <c r="A1184" s="1"/>
      <c r="B1184" s="17"/>
      <c r="C1184" s="17"/>
      <c r="D1184" s="17"/>
      <c r="E1184" s="17"/>
      <c r="F1184" s="17"/>
      <c r="G1184" s="4">
        <f t="shared" si="51"/>
        <v>0</v>
      </c>
      <c r="H1184" s="17"/>
      <c r="I1184" s="4">
        <f t="shared" si="53"/>
        <v>349526.07999999996</v>
      </c>
      <c r="J1184" s="32" t="str">
        <f t="shared" si="52"/>
        <v/>
      </c>
      <c r="K1184" s="72"/>
      <c r="L1184" s="72"/>
      <c r="M1184" s="2"/>
      <c r="N1184" s="5"/>
      <c r="O1184" s="3"/>
      <c r="P1184" s="6"/>
      <c r="Q1184" s="48">
        <f>IF(Учет!$O1184=Справочники!$F$2,Учет!$H1184,0)</f>
        <v>0</v>
      </c>
      <c r="R1184" s="48">
        <f>IF(Учет!$O1184=Справочники!$F$3,Учет!$H1184,0)</f>
        <v>0</v>
      </c>
      <c r="S1184" s="48">
        <f>IF(Учет!$O1184=Справочники!$F$4,Учет!$H1184,0)</f>
        <v>0</v>
      </c>
      <c r="T1184" s="48">
        <f>IF(Учет!$O1184=Справочники!$F$5,Учет!$H1184,0)</f>
        <v>0</v>
      </c>
      <c r="U1184" s="48">
        <f>IF(Учет!$O1184=Справочники!$F$6,Учет!$H1184,0)</f>
        <v>0</v>
      </c>
      <c r="V1184" s="43">
        <f>V1183+Учет!Q1184-Q1184</f>
        <v>-488978.92000000004</v>
      </c>
      <c r="W1184" s="43">
        <f>W1183+Учет!R1184-R1184</f>
        <v>336855</v>
      </c>
      <c r="X1184" s="43">
        <f>X1183+Учет!S1184-S1184</f>
        <v>500</v>
      </c>
      <c r="Y1184" s="43">
        <f>Y1183+Учет!T1184-T1184</f>
        <v>1150</v>
      </c>
      <c r="Z1184" s="43">
        <f>Z1183+Учет!U1184-U1184</f>
        <v>500000</v>
      </c>
      <c r="AA1184" s="45">
        <f>Учет!X1184</f>
        <v>500</v>
      </c>
    </row>
    <row r="1185" spans="1:27" ht="15" customHeight="1" x14ac:dyDescent="0.25">
      <c r="A1185" s="1"/>
      <c r="B1185" s="17"/>
      <c r="C1185" s="17"/>
      <c r="D1185" s="17"/>
      <c r="E1185" s="17"/>
      <c r="F1185" s="17"/>
      <c r="G1185" s="4">
        <f t="shared" si="51"/>
        <v>0</v>
      </c>
      <c r="H1185" s="17"/>
      <c r="I1185" s="4">
        <f t="shared" si="53"/>
        <v>349526.07999999996</v>
      </c>
      <c r="J1185" s="32" t="str">
        <f t="shared" si="52"/>
        <v/>
      </c>
      <c r="K1185" s="72"/>
      <c r="L1185" s="72"/>
      <c r="M1185" s="2"/>
      <c r="N1185" s="5"/>
      <c r="O1185" s="3"/>
      <c r="P1185" s="6"/>
      <c r="Q1185" s="48">
        <f>IF(Учет!$O1185=Справочники!$F$2,Учет!$H1185,0)</f>
        <v>0</v>
      </c>
      <c r="R1185" s="48">
        <f>IF(Учет!$O1185=Справочники!$F$3,Учет!$H1185,0)</f>
        <v>0</v>
      </c>
      <c r="S1185" s="48">
        <f>IF(Учет!$O1185=Справочники!$F$4,Учет!$H1185,0)</f>
        <v>0</v>
      </c>
      <c r="T1185" s="48">
        <f>IF(Учет!$O1185=Справочники!$F$5,Учет!$H1185,0)</f>
        <v>0</v>
      </c>
      <c r="U1185" s="48">
        <f>IF(Учет!$O1185=Справочники!$F$6,Учет!$H1185,0)</f>
        <v>0</v>
      </c>
      <c r="V1185" s="43">
        <f>V1184+Учет!Q1185-Q1185</f>
        <v>-488978.92000000004</v>
      </c>
      <c r="W1185" s="43">
        <f>W1184+Учет!R1185-R1185</f>
        <v>336855</v>
      </c>
      <c r="X1185" s="43">
        <f>X1184+Учет!S1185-S1185</f>
        <v>500</v>
      </c>
      <c r="Y1185" s="43">
        <f>Y1184+Учет!T1185-T1185</f>
        <v>1150</v>
      </c>
      <c r="Z1185" s="43">
        <f>Z1184+Учет!U1185-U1185</f>
        <v>500000</v>
      </c>
      <c r="AA1185" s="45">
        <f>Учет!X1185</f>
        <v>500</v>
      </c>
    </row>
    <row r="1186" spans="1:27" ht="15" customHeight="1" x14ac:dyDescent="0.25">
      <c r="A1186" s="1"/>
      <c r="B1186" s="17"/>
      <c r="C1186" s="17"/>
      <c r="D1186" s="17"/>
      <c r="E1186" s="17"/>
      <c r="F1186" s="17"/>
      <c r="G1186" s="4">
        <f t="shared" si="51"/>
        <v>0</v>
      </c>
      <c r="H1186" s="17"/>
      <c r="I1186" s="4">
        <f t="shared" si="53"/>
        <v>349526.07999999996</v>
      </c>
      <c r="J1186" s="32" t="str">
        <f t="shared" si="52"/>
        <v/>
      </c>
      <c r="K1186" s="72"/>
      <c r="L1186" s="72"/>
      <c r="M1186" s="2"/>
      <c r="N1186" s="5"/>
      <c r="O1186" s="3"/>
      <c r="P1186" s="6"/>
      <c r="Q1186" s="48">
        <f>IF(Учет!$O1186=Справочники!$F$2,Учет!$H1186,0)</f>
        <v>0</v>
      </c>
      <c r="R1186" s="48">
        <f>IF(Учет!$O1186=Справочники!$F$3,Учет!$H1186,0)</f>
        <v>0</v>
      </c>
      <c r="S1186" s="48">
        <f>IF(Учет!$O1186=Справочники!$F$4,Учет!$H1186,0)</f>
        <v>0</v>
      </c>
      <c r="T1186" s="48">
        <f>IF(Учет!$O1186=Справочники!$F$5,Учет!$H1186,0)</f>
        <v>0</v>
      </c>
      <c r="U1186" s="48">
        <f>IF(Учет!$O1186=Справочники!$F$6,Учет!$H1186,0)</f>
        <v>0</v>
      </c>
      <c r="V1186" s="43">
        <f>V1185+Учет!Q1186-Q1186</f>
        <v>-488978.92000000004</v>
      </c>
      <c r="W1186" s="43">
        <f>W1185+Учет!R1186-R1186</f>
        <v>336855</v>
      </c>
      <c r="X1186" s="43">
        <f>X1185+Учет!S1186-S1186</f>
        <v>500</v>
      </c>
      <c r="Y1186" s="43">
        <f>Y1185+Учет!T1186-T1186</f>
        <v>1150</v>
      </c>
      <c r="Z1186" s="43">
        <f>Z1185+Учет!U1186-U1186</f>
        <v>500000</v>
      </c>
      <c r="AA1186" s="45">
        <f>Учет!X1186</f>
        <v>500</v>
      </c>
    </row>
    <row r="1187" spans="1:27" ht="15" customHeight="1" x14ac:dyDescent="0.25">
      <c r="A1187" s="1"/>
      <c r="B1187" s="17"/>
      <c r="C1187" s="17"/>
      <c r="D1187" s="17"/>
      <c r="E1187" s="17"/>
      <c r="F1187" s="17"/>
      <c r="G1187" s="4">
        <f t="shared" si="51"/>
        <v>0</v>
      </c>
      <c r="H1187" s="17"/>
      <c r="I1187" s="4">
        <f t="shared" si="53"/>
        <v>349526.07999999996</v>
      </c>
      <c r="J1187" s="32" t="str">
        <f t="shared" si="52"/>
        <v/>
      </c>
      <c r="K1187" s="72"/>
      <c r="L1187" s="72"/>
      <c r="M1187" s="2"/>
      <c r="N1187" s="5"/>
      <c r="O1187" s="3"/>
      <c r="P1187" s="6"/>
      <c r="Q1187" s="48">
        <f>IF(Учет!$O1187=Справочники!$F$2,Учет!$H1187,0)</f>
        <v>0</v>
      </c>
      <c r="R1187" s="48">
        <f>IF(Учет!$O1187=Справочники!$F$3,Учет!$H1187,0)</f>
        <v>0</v>
      </c>
      <c r="S1187" s="48">
        <f>IF(Учет!$O1187=Справочники!$F$4,Учет!$H1187,0)</f>
        <v>0</v>
      </c>
      <c r="T1187" s="48">
        <f>IF(Учет!$O1187=Справочники!$F$5,Учет!$H1187,0)</f>
        <v>0</v>
      </c>
      <c r="U1187" s="48">
        <f>IF(Учет!$O1187=Справочники!$F$6,Учет!$H1187,0)</f>
        <v>0</v>
      </c>
      <c r="V1187" s="43">
        <f>V1186+Учет!Q1187-Q1187</f>
        <v>-488978.92000000004</v>
      </c>
      <c r="W1187" s="43">
        <f>W1186+Учет!R1187-R1187</f>
        <v>336855</v>
      </c>
      <c r="X1187" s="43">
        <f>X1186+Учет!S1187-S1187</f>
        <v>500</v>
      </c>
      <c r="Y1187" s="43">
        <f>Y1186+Учет!T1187-T1187</f>
        <v>1150</v>
      </c>
      <c r="Z1187" s="43">
        <f>Z1186+Учет!U1187-U1187</f>
        <v>500000</v>
      </c>
      <c r="AA1187" s="45">
        <f>Учет!X1187</f>
        <v>500</v>
      </c>
    </row>
    <row r="1188" spans="1:27" ht="15" customHeight="1" x14ac:dyDescent="0.25">
      <c r="A1188" s="1"/>
      <c r="B1188" s="17"/>
      <c r="C1188" s="17"/>
      <c r="D1188" s="17"/>
      <c r="E1188" s="17"/>
      <c r="F1188" s="17"/>
      <c r="G1188" s="4">
        <f t="shared" si="51"/>
        <v>0</v>
      </c>
      <c r="H1188" s="17"/>
      <c r="I1188" s="4">
        <f t="shared" si="53"/>
        <v>349526.07999999996</v>
      </c>
      <c r="J1188" s="32" t="str">
        <f t="shared" si="52"/>
        <v/>
      </c>
      <c r="K1188" s="72"/>
      <c r="L1188" s="72"/>
      <c r="M1188" s="2"/>
      <c r="N1188" s="5"/>
      <c r="O1188" s="3"/>
      <c r="P1188" s="6"/>
      <c r="Q1188" s="48">
        <f>IF(Учет!$O1188=Справочники!$F$2,Учет!$H1188,0)</f>
        <v>0</v>
      </c>
      <c r="R1188" s="48">
        <f>IF(Учет!$O1188=Справочники!$F$3,Учет!$H1188,0)</f>
        <v>0</v>
      </c>
      <c r="S1188" s="48">
        <f>IF(Учет!$O1188=Справочники!$F$4,Учет!$H1188,0)</f>
        <v>0</v>
      </c>
      <c r="T1188" s="48">
        <f>IF(Учет!$O1188=Справочники!$F$5,Учет!$H1188,0)</f>
        <v>0</v>
      </c>
      <c r="U1188" s="48">
        <f>IF(Учет!$O1188=Справочники!$F$6,Учет!$H1188,0)</f>
        <v>0</v>
      </c>
      <c r="V1188" s="43">
        <f>V1187+Учет!Q1188-Q1188</f>
        <v>-488978.92000000004</v>
      </c>
      <c r="W1188" s="43">
        <f>W1187+Учет!R1188-R1188</f>
        <v>336855</v>
      </c>
      <c r="X1188" s="43">
        <f>X1187+Учет!S1188-S1188</f>
        <v>500</v>
      </c>
      <c r="Y1188" s="43">
        <f>Y1187+Учет!T1188-T1188</f>
        <v>1150</v>
      </c>
      <c r="Z1188" s="43">
        <f>Z1187+Учет!U1188-U1188</f>
        <v>500000</v>
      </c>
      <c r="AA1188" s="45">
        <f>Учет!X1188</f>
        <v>500</v>
      </c>
    </row>
    <row r="1189" spans="1:27" ht="15" customHeight="1" x14ac:dyDescent="0.25">
      <c r="A1189" s="1"/>
      <c r="B1189" s="17"/>
      <c r="C1189" s="17"/>
      <c r="D1189" s="17"/>
      <c r="E1189" s="17"/>
      <c r="F1189" s="17"/>
      <c r="G1189" s="4">
        <f t="shared" si="51"/>
        <v>0</v>
      </c>
      <c r="H1189" s="17"/>
      <c r="I1189" s="4">
        <f t="shared" si="53"/>
        <v>349526.07999999996</v>
      </c>
      <c r="J1189" s="32" t="str">
        <f t="shared" si="52"/>
        <v/>
      </c>
      <c r="K1189" s="72"/>
      <c r="L1189" s="72"/>
      <c r="M1189" s="2"/>
      <c r="N1189" s="5"/>
      <c r="O1189" s="3"/>
      <c r="P1189" s="6"/>
      <c r="Q1189" s="48">
        <f>IF(Учет!$O1189=Справочники!$F$2,Учет!$H1189,0)</f>
        <v>0</v>
      </c>
      <c r="R1189" s="48">
        <f>IF(Учет!$O1189=Справочники!$F$3,Учет!$H1189,0)</f>
        <v>0</v>
      </c>
      <c r="S1189" s="48">
        <f>IF(Учет!$O1189=Справочники!$F$4,Учет!$H1189,0)</f>
        <v>0</v>
      </c>
      <c r="T1189" s="48">
        <f>IF(Учет!$O1189=Справочники!$F$5,Учет!$H1189,0)</f>
        <v>0</v>
      </c>
      <c r="U1189" s="48">
        <f>IF(Учет!$O1189=Справочники!$F$6,Учет!$H1189,0)</f>
        <v>0</v>
      </c>
      <c r="V1189" s="43">
        <f>V1188+Учет!Q1189-Q1189</f>
        <v>-488978.92000000004</v>
      </c>
      <c r="W1189" s="43">
        <f>W1188+Учет!R1189-R1189</f>
        <v>336855</v>
      </c>
      <c r="X1189" s="43">
        <f>X1188+Учет!S1189-S1189</f>
        <v>500</v>
      </c>
      <c r="Y1189" s="43">
        <f>Y1188+Учет!T1189-T1189</f>
        <v>1150</v>
      </c>
      <c r="Z1189" s="43">
        <f>Z1188+Учет!U1189-U1189</f>
        <v>500000</v>
      </c>
      <c r="AA1189" s="45">
        <f>Учет!X1189</f>
        <v>500</v>
      </c>
    </row>
    <row r="1190" spans="1:27" ht="15" customHeight="1" x14ac:dyDescent="0.25">
      <c r="A1190" s="1"/>
      <c r="B1190" s="17"/>
      <c r="C1190" s="17"/>
      <c r="D1190" s="17"/>
      <c r="E1190" s="17"/>
      <c r="F1190" s="17"/>
      <c r="G1190" s="4">
        <f t="shared" si="51"/>
        <v>0</v>
      </c>
      <c r="H1190" s="17"/>
      <c r="I1190" s="4">
        <f t="shared" si="53"/>
        <v>349526.07999999996</v>
      </c>
      <c r="J1190" s="32" t="str">
        <f t="shared" si="52"/>
        <v/>
      </c>
      <c r="K1190" s="72"/>
      <c r="L1190" s="72"/>
      <c r="M1190" s="2"/>
      <c r="N1190" s="5"/>
      <c r="O1190" s="3"/>
      <c r="P1190" s="6"/>
      <c r="Q1190" s="48">
        <f>IF(Учет!$O1190=Справочники!$F$2,Учет!$H1190,0)</f>
        <v>0</v>
      </c>
      <c r="R1190" s="48">
        <f>IF(Учет!$O1190=Справочники!$F$3,Учет!$H1190,0)</f>
        <v>0</v>
      </c>
      <c r="S1190" s="48">
        <f>IF(Учет!$O1190=Справочники!$F$4,Учет!$H1190,0)</f>
        <v>0</v>
      </c>
      <c r="T1190" s="48">
        <f>IF(Учет!$O1190=Справочники!$F$5,Учет!$H1190,0)</f>
        <v>0</v>
      </c>
      <c r="U1190" s="48">
        <f>IF(Учет!$O1190=Справочники!$F$6,Учет!$H1190,0)</f>
        <v>0</v>
      </c>
      <c r="V1190" s="43">
        <f>V1189+Учет!Q1190-Q1190</f>
        <v>-488978.92000000004</v>
      </c>
      <c r="W1190" s="43">
        <f>W1189+Учет!R1190-R1190</f>
        <v>336855</v>
      </c>
      <c r="X1190" s="43">
        <f>X1189+Учет!S1190-S1190</f>
        <v>500</v>
      </c>
      <c r="Y1190" s="43">
        <f>Y1189+Учет!T1190-T1190</f>
        <v>1150</v>
      </c>
      <c r="Z1190" s="43">
        <f>Z1189+Учет!U1190-U1190</f>
        <v>500000</v>
      </c>
      <c r="AA1190" s="45">
        <f>Учет!X1190</f>
        <v>500</v>
      </c>
    </row>
    <row r="1191" spans="1:27" ht="15" customHeight="1" x14ac:dyDescent="0.25">
      <c r="A1191" s="1"/>
      <c r="B1191" s="17"/>
      <c r="C1191" s="17"/>
      <c r="D1191" s="17"/>
      <c r="E1191" s="17"/>
      <c r="F1191" s="17"/>
      <c r="G1191" s="4">
        <f t="shared" si="51"/>
        <v>0</v>
      </c>
      <c r="H1191" s="17"/>
      <c r="I1191" s="4">
        <f t="shared" si="53"/>
        <v>349526.07999999996</v>
      </c>
      <c r="J1191" s="32" t="str">
        <f t="shared" si="52"/>
        <v/>
      </c>
      <c r="K1191" s="72"/>
      <c r="L1191" s="72"/>
      <c r="M1191" s="2"/>
      <c r="N1191" s="5"/>
      <c r="O1191" s="3"/>
      <c r="P1191" s="6"/>
      <c r="Q1191" s="48">
        <f>IF(Учет!$O1191=Справочники!$F$2,Учет!$H1191,0)</f>
        <v>0</v>
      </c>
      <c r="R1191" s="48">
        <f>IF(Учет!$O1191=Справочники!$F$3,Учет!$H1191,0)</f>
        <v>0</v>
      </c>
      <c r="S1191" s="48">
        <f>IF(Учет!$O1191=Справочники!$F$4,Учет!$H1191,0)</f>
        <v>0</v>
      </c>
      <c r="T1191" s="48">
        <f>IF(Учет!$O1191=Справочники!$F$5,Учет!$H1191,0)</f>
        <v>0</v>
      </c>
      <c r="U1191" s="48">
        <f>IF(Учет!$O1191=Справочники!$F$6,Учет!$H1191,0)</f>
        <v>0</v>
      </c>
      <c r="V1191" s="43">
        <f>V1190+Учет!Q1191-Q1191</f>
        <v>-488978.92000000004</v>
      </c>
      <c r="W1191" s="43">
        <f>W1190+Учет!R1191-R1191</f>
        <v>336855</v>
      </c>
      <c r="X1191" s="43">
        <f>X1190+Учет!S1191-S1191</f>
        <v>500</v>
      </c>
      <c r="Y1191" s="43">
        <f>Y1190+Учет!T1191-T1191</f>
        <v>1150</v>
      </c>
      <c r="Z1191" s="43">
        <f>Z1190+Учет!U1191-U1191</f>
        <v>500000</v>
      </c>
      <c r="AA1191" s="45">
        <f>Учет!X1191</f>
        <v>500</v>
      </c>
    </row>
    <row r="1192" spans="1:27" ht="15" customHeight="1" x14ac:dyDescent="0.25">
      <c r="A1192" s="1"/>
      <c r="B1192" s="17"/>
      <c r="C1192" s="17"/>
      <c r="D1192" s="17"/>
      <c r="E1192" s="17"/>
      <c r="F1192" s="17"/>
      <c r="G1192" s="4">
        <f t="shared" si="51"/>
        <v>0</v>
      </c>
      <c r="H1192" s="17"/>
      <c r="I1192" s="4">
        <f t="shared" si="53"/>
        <v>349526.07999999996</v>
      </c>
      <c r="J1192" s="32" t="str">
        <f t="shared" si="52"/>
        <v/>
      </c>
      <c r="K1192" s="72"/>
      <c r="L1192" s="72"/>
      <c r="M1192" s="2"/>
      <c r="N1192" s="5"/>
      <c r="O1192" s="3"/>
      <c r="P1192" s="6"/>
      <c r="Q1192" s="48">
        <f>IF(Учет!$O1192=Справочники!$F$2,Учет!$H1192,0)</f>
        <v>0</v>
      </c>
      <c r="R1192" s="48">
        <f>IF(Учет!$O1192=Справочники!$F$3,Учет!$H1192,0)</f>
        <v>0</v>
      </c>
      <c r="S1192" s="48">
        <f>IF(Учет!$O1192=Справочники!$F$4,Учет!$H1192,0)</f>
        <v>0</v>
      </c>
      <c r="T1192" s="48">
        <f>IF(Учет!$O1192=Справочники!$F$5,Учет!$H1192,0)</f>
        <v>0</v>
      </c>
      <c r="U1192" s="48">
        <f>IF(Учет!$O1192=Справочники!$F$6,Учет!$H1192,0)</f>
        <v>0</v>
      </c>
      <c r="V1192" s="43">
        <f>V1191+Учет!Q1192-Q1192</f>
        <v>-488978.92000000004</v>
      </c>
      <c r="W1192" s="43">
        <f>W1191+Учет!R1192-R1192</f>
        <v>336855</v>
      </c>
      <c r="X1192" s="43">
        <f>X1191+Учет!S1192-S1192</f>
        <v>500</v>
      </c>
      <c r="Y1192" s="43">
        <f>Y1191+Учет!T1192-T1192</f>
        <v>1150</v>
      </c>
      <c r="Z1192" s="43">
        <f>Z1191+Учет!U1192-U1192</f>
        <v>500000</v>
      </c>
      <c r="AA1192" s="45">
        <f>Учет!X1192</f>
        <v>500</v>
      </c>
    </row>
    <row r="1193" spans="1:27" ht="15" customHeight="1" x14ac:dyDescent="0.25">
      <c r="A1193" s="1"/>
      <c r="B1193" s="17"/>
      <c r="C1193" s="17"/>
      <c r="D1193" s="17"/>
      <c r="E1193" s="17"/>
      <c r="F1193" s="17"/>
      <c r="G1193" s="4">
        <f t="shared" si="51"/>
        <v>0</v>
      </c>
      <c r="H1193" s="17"/>
      <c r="I1193" s="4">
        <f t="shared" si="53"/>
        <v>349526.07999999996</v>
      </c>
      <c r="J1193" s="32" t="str">
        <f t="shared" si="52"/>
        <v/>
      </c>
      <c r="K1193" s="72"/>
      <c r="L1193" s="72"/>
      <c r="M1193" s="2"/>
      <c r="N1193" s="5"/>
      <c r="O1193" s="3"/>
      <c r="P1193" s="6"/>
      <c r="Q1193" s="48">
        <f>IF(Учет!$O1193=Справочники!$F$2,Учет!$H1193,0)</f>
        <v>0</v>
      </c>
      <c r="R1193" s="48">
        <f>IF(Учет!$O1193=Справочники!$F$3,Учет!$H1193,0)</f>
        <v>0</v>
      </c>
      <c r="S1193" s="48">
        <f>IF(Учет!$O1193=Справочники!$F$4,Учет!$H1193,0)</f>
        <v>0</v>
      </c>
      <c r="T1193" s="48">
        <f>IF(Учет!$O1193=Справочники!$F$5,Учет!$H1193,0)</f>
        <v>0</v>
      </c>
      <c r="U1193" s="48">
        <f>IF(Учет!$O1193=Справочники!$F$6,Учет!$H1193,0)</f>
        <v>0</v>
      </c>
      <c r="V1193" s="43">
        <f>V1192+Учет!Q1193-Q1193</f>
        <v>-488978.92000000004</v>
      </c>
      <c r="W1193" s="43">
        <f>W1192+Учет!R1193-R1193</f>
        <v>336855</v>
      </c>
      <c r="X1193" s="43">
        <f>X1192+Учет!S1193-S1193</f>
        <v>500</v>
      </c>
      <c r="Y1193" s="43">
        <f>Y1192+Учет!T1193-T1193</f>
        <v>1150</v>
      </c>
      <c r="Z1193" s="43">
        <f>Z1192+Учет!U1193-U1193</f>
        <v>500000</v>
      </c>
      <c r="AA1193" s="45">
        <f>Учет!X1193</f>
        <v>500</v>
      </c>
    </row>
    <row r="1194" spans="1:27" ht="15" customHeight="1" x14ac:dyDescent="0.25">
      <c r="A1194" s="1"/>
      <c r="B1194" s="17"/>
      <c r="C1194" s="17"/>
      <c r="D1194" s="17"/>
      <c r="E1194" s="17"/>
      <c r="F1194" s="17"/>
      <c r="G1194" s="4">
        <f t="shared" si="51"/>
        <v>0</v>
      </c>
      <c r="H1194" s="17"/>
      <c r="I1194" s="4">
        <f t="shared" si="53"/>
        <v>349526.07999999996</v>
      </c>
      <c r="J1194" s="32" t="str">
        <f t="shared" si="52"/>
        <v/>
      </c>
      <c r="K1194" s="72"/>
      <c r="L1194" s="72"/>
      <c r="M1194" s="2"/>
      <c r="N1194" s="5"/>
      <c r="O1194" s="3"/>
      <c r="P1194" s="6"/>
      <c r="Q1194" s="48">
        <f>IF(Учет!$O1194=Справочники!$F$2,Учет!$H1194,0)</f>
        <v>0</v>
      </c>
      <c r="R1194" s="48">
        <f>IF(Учет!$O1194=Справочники!$F$3,Учет!$H1194,0)</f>
        <v>0</v>
      </c>
      <c r="S1194" s="48">
        <f>IF(Учет!$O1194=Справочники!$F$4,Учет!$H1194,0)</f>
        <v>0</v>
      </c>
      <c r="T1194" s="48">
        <f>IF(Учет!$O1194=Справочники!$F$5,Учет!$H1194,0)</f>
        <v>0</v>
      </c>
      <c r="U1194" s="48">
        <f>IF(Учет!$O1194=Справочники!$F$6,Учет!$H1194,0)</f>
        <v>0</v>
      </c>
      <c r="V1194" s="43">
        <f>V1193+Учет!Q1194-Q1194</f>
        <v>-488978.92000000004</v>
      </c>
      <c r="W1194" s="43">
        <f>W1193+Учет!R1194-R1194</f>
        <v>336855</v>
      </c>
      <c r="X1194" s="43">
        <f>X1193+Учет!S1194-S1194</f>
        <v>500</v>
      </c>
      <c r="Y1194" s="43">
        <f>Y1193+Учет!T1194-T1194</f>
        <v>1150</v>
      </c>
      <c r="Z1194" s="43">
        <f>Z1193+Учет!U1194-U1194</f>
        <v>500000</v>
      </c>
      <c r="AA1194" s="45">
        <f>Учет!X1194</f>
        <v>500</v>
      </c>
    </row>
    <row r="1195" spans="1:27" ht="15" customHeight="1" x14ac:dyDescent="0.25">
      <c r="A1195" s="1"/>
      <c r="B1195" s="17"/>
      <c r="C1195" s="17"/>
      <c r="D1195" s="17"/>
      <c r="E1195" s="17"/>
      <c r="F1195" s="17"/>
      <c r="G1195" s="4">
        <f t="shared" si="51"/>
        <v>0</v>
      </c>
      <c r="H1195" s="17"/>
      <c r="I1195" s="4">
        <f t="shared" si="53"/>
        <v>349526.07999999996</v>
      </c>
      <c r="J1195" s="32" t="str">
        <f t="shared" si="52"/>
        <v/>
      </c>
      <c r="K1195" s="72"/>
      <c r="L1195" s="72"/>
      <c r="M1195" s="2"/>
      <c r="N1195" s="5"/>
      <c r="O1195" s="3"/>
      <c r="P1195" s="6"/>
      <c r="Q1195" s="48">
        <f>IF(Учет!$O1195=Справочники!$F$2,Учет!$H1195,0)</f>
        <v>0</v>
      </c>
      <c r="R1195" s="48">
        <f>IF(Учет!$O1195=Справочники!$F$3,Учет!$H1195,0)</f>
        <v>0</v>
      </c>
      <c r="S1195" s="48">
        <f>IF(Учет!$O1195=Справочники!$F$4,Учет!$H1195,0)</f>
        <v>0</v>
      </c>
      <c r="T1195" s="48">
        <f>IF(Учет!$O1195=Справочники!$F$5,Учет!$H1195,0)</f>
        <v>0</v>
      </c>
      <c r="U1195" s="48">
        <f>IF(Учет!$O1195=Справочники!$F$6,Учет!$H1195,0)</f>
        <v>0</v>
      </c>
      <c r="V1195" s="43">
        <f>V1194+Учет!Q1195-Q1195</f>
        <v>-488978.92000000004</v>
      </c>
      <c r="W1195" s="43">
        <f>W1194+Учет!R1195-R1195</f>
        <v>336855</v>
      </c>
      <c r="X1195" s="43">
        <f>X1194+Учет!S1195-S1195</f>
        <v>500</v>
      </c>
      <c r="Y1195" s="43">
        <f>Y1194+Учет!T1195-T1195</f>
        <v>1150</v>
      </c>
      <c r="Z1195" s="43">
        <f>Z1194+Учет!U1195-U1195</f>
        <v>500000</v>
      </c>
      <c r="AA1195" s="45">
        <f>Учет!X1195</f>
        <v>500</v>
      </c>
    </row>
    <row r="1196" spans="1:27" ht="15" customHeight="1" x14ac:dyDescent="0.25">
      <c r="A1196" s="1"/>
      <c r="B1196" s="17"/>
      <c r="C1196" s="17"/>
      <c r="D1196" s="17"/>
      <c r="E1196" s="17"/>
      <c r="F1196" s="17"/>
      <c r="G1196" s="4">
        <f t="shared" si="51"/>
        <v>0</v>
      </c>
      <c r="H1196" s="17"/>
      <c r="I1196" s="4">
        <f t="shared" si="53"/>
        <v>349526.07999999996</v>
      </c>
      <c r="J1196" s="32" t="str">
        <f t="shared" si="52"/>
        <v/>
      </c>
      <c r="K1196" s="72"/>
      <c r="L1196" s="72"/>
      <c r="M1196" s="2"/>
      <c r="N1196" s="5"/>
      <c r="O1196" s="3"/>
      <c r="P1196" s="6"/>
      <c r="Q1196" s="48">
        <f>IF(Учет!$O1196=Справочники!$F$2,Учет!$H1196,0)</f>
        <v>0</v>
      </c>
      <c r="R1196" s="48">
        <f>IF(Учет!$O1196=Справочники!$F$3,Учет!$H1196,0)</f>
        <v>0</v>
      </c>
      <c r="S1196" s="48">
        <f>IF(Учет!$O1196=Справочники!$F$4,Учет!$H1196,0)</f>
        <v>0</v>
      </c>
      <c r="T1196" s="48">
        <f>IF(Учет!$O1196=Справочники!$F$5,Учет!$H1196,0)</f>
        <v>0</v>
      </c>
      <c r="U1196" s="48">
        <f>IF(Учет!$O1196=Справочники!$F$6,Учет!$H1196,0)</f>
        <v>0</v>
      </c>
      <c r="V1196" s="43">
        <f>V1195+Учет!Q1196-Q1196</f>
        <v>-488978.92000000004</v>
      </c>
      <c r="W1196" s="43">
        <f>W1195+Учет!R1196-R1196</f>
        <v>336855</v>
      </c>
      <c r="X1196" s="43">
        <f>X1195+Учет!S1196-S1196</f>
        <v>500</v>
      </c>
      <c r="Y1196" s="43">
        <f>Y1195+Учет!T1196-T1196</f>
        <v>1150</v>
      </c>
      <c r="Z1196" s="43">
        <f>Z1195+Учет!U1196-U1196</f>
        <v>500000</v>
      </c>
      <c r="AA1196" s="45">
        <f>Учет!X1196</f>
        <v>500</v>
      </c>
    </row>
    <row r="1197" spans="1:27" ht="15" customHeight="1" x14ac:dyDescent="0.25">
      <c r="A1197" s="1"/>
      <c r="B1197" s="17"/>
      <c r="C1197" s="17"/>
      <c r="D1197" s="17"/>
      <c r="E1197" s="17"/>
      <c r="F1197" s="17"/>
      <c r="G1197" s="4">
        <f t="shared" si="51"/>
        <v>0</v>
      </c>
      <c r="H1197" s="17"/>
      <c r="I1197" s="4">
        <f t="shared" si="53"/>
        <v>349526.07999999996</v>
      </c>
      <c r="J1197" s="32" t="str">
        <f t="shared" si="52"/>
        <v/>
      </c>
      <c r="K1197" s="72"/>
      <c r="L1197" s="72"/>
      <c r="M1197" s="2"/>
      <c r="N1197" s="5"/>
      <c r="O1197" s="3"/>
      <c r="P1197" s="6"/>
      <c r="Q1197" s="48">
        <f>IF(Учет!$O1197=Справочники!$F$2,Учет!$H1197,0)</f>
        <v>0</v>
      </c>
      <c r="R1197" s="48">
        <f>IF(Учет!$O1197=Справочники!$F$3,Учет!$H1197,0)</f>
        <v>0</v>
      </c>
      <c r="S1197" s="48">
        <f>IF(Учет!$O1197=Справочники!$F$4,Учет!$H1197,0)</f>
        <v>0</v>
      </c>
      <c r="T1197" s="48">
        <f>IF(Учет!$O1197=Справочники!$F$5,Учет!$H1197,0)</f>
        <v>0</v>
      </c>
      <c r="U1197" s="48">
        <f>IF(Учет!$O1197=Справочники!$F$6,Учет!$H1197,0)</f>
        <v>0</v>
      </c>
      <c r="V1197" s="43">
        <f>V1196+Учет!Q1197-Q1197</f>
        <v>-488978.92000000004</v>
      </c>
      <c r="W1197" s="43">
        <f>W1196+Учет!R1197-R1197</f>
        <v>336855</v>
      </c>
      <c r="X1197" s="43">
        <f>X1196+Учет!S1197-S1197</f>
        <v>500</v>
      </c>
      <c r="Y1197" s="43">
        <f>Y1196+Учет!T1197-T1197</f>
        <v>1150</v>
      </c>
      <c r="Z1197" s="43">
        <f>Z1196+Учет!U1197-U1197</f>
        <v>500000</v>
      </c>
      <c r="AA1197" s="45">
        <f>Учет!X1197</f>
        <v>500</v>
      </c>
    </row>
    <row r="1198" spans="1:27" ht="15" customHeight="1" x14ac:dyDescent="0.25">
      <c r="A1198" s="1"/>
      <c r="B1198" s="17"/>
      <c r="C1198" s="17"/>
      <c r="D1198" s="17"/>
      <c r="E1198" s="17"/>
      <c r="F1198" s="17"/>
      <c r="G1198" s="4">
        <f t="shared" si="51"/>
        <v>0</v>
      </c>
      <c r="H1198" s="17"/>
      <c r="I1198" s="4">
        <f t="shared" si="53"/>
        <v>349526.07999999996</v>
      </c>
      <c r="J1198" s="32" t="str">
        <f t="shared" si="52"/>
        <v/>
      </c>
      <c r="K1198" s="72"/>
      <c r="L1198" s="72"/>
      <c r="M1198" s="2"/>
      <c r="N1198" s="5"/>
      <c r="O1198" s="3"/>
      <c r="P1198" s="6"/>
      <c r="Q1198" s="48">
        <f>IF(Учет!$O1198=Справочники!$F$2,Учет!$H1198,0)</f>
        <v>0</v>
      </c>
      <c r="R1198" s="48">
        <f>IF(Учет!$O1198=Справочники!$F$3,Учет!$H1198,0)</f>
        <v>0</v>
      </c>
      <c r="S1198" s="48">
        <f>IF(Учет!$O1198=Справочники!$F$4,Учет!$H1198,0)</f>
        <v>0</v>
      </c>
      <c r="T1198" s="48">
        <f>IF(Учет!$O1198=Справочники!$F$5,Учет!$H1198,0)</f>
        <v>0</v>
      </c>
      <c r="U1198" s="48">
        <f>IF(Учет!$O1198=Справочники!$F$6,Учет!$H1198,0)</f>
        <v>0</v>
      </c>
      <c r="V1198" s="43">
        <f>V1197+Учет!Q1198-Q1198</f>
        <v>-488978.92000000004</v>
      </c>
      <c r="W1198" s="43">
        <f>W1197+Учет!R1198-R1198</f>
        <v>336855</v>
      </c>
      <c r="X1198" s="43">
        <f>X1197+Учет!S1198-S1198</f>
        <v>500</v>
      </c>
      <c r="Y1198" s="43">
        <f>Y1197+Учет!T1198-T1198</f>
        <v>1150</v>
      </c>
      <c r="Z1198" s="43">
        <f>Z1197+Учет!U1198-U1198</f>
        <v>500000</v>
      </c>
      <c r="AA1198" s="45">
        <f>Учет!X1198</f>
        <v>500</v>
      </c>
    </row>
    <row r="1199" spans="1:27" ht="15" customHeight="1" x14ac:dyDescent="0.25">
      <c r="A1199" s="1"/>
      <c r="B1199" s="17"/>
      <c r="C1199" s="17"/>
      <c r="D1199" s="17"/>
      <c r="E1199" s="17"/>
      <c r="F1199" s="17"/>
      <c r="G1199" s="4">
        <f t="shared" si="51"/>
        <v>0</v>
      </c>
      <c r="H1199" s="17"/>
      <c r="I1199" s="4">
        <f t="shared" si="53"/>
        <v>349526.07999999996</v>
      </c>
      <c r="J1199" s="32" t="str">
        <f t="shared" si="52"/>
        <v/>
      </c>
      <c r="K1199" s="72"/>
      <c r="L1199" s="72"/>
      <c r="M1199" s="2"/>
      <c r="N1199" s="5"/>
      <c r="O1199" s="3"/>
      <c r="P1199" s="6"/>
      <c r="Q1199" s="48">
        <f>IF(Учет!$O1199=Справочники!$F$2,Учет!$H1199,0)</f>
        <v>0</v>
      </c>
      <c r="R1199" s="48">
        <f>IF(Учет!$O1199=Справочники!$F$3,Учет!$H1199,0)</f>
        <v>0</v>
      </c>
      <c r="S1199" s="48">
        <f>IF(Учет!$O1199=Справочники!$F$4,Учет!$H1199,0)</f>
        <v>0</v>
      </c>
      <c r="T1199" s="48">
        <f>IF(Учет!$O1199=Справочники!$F$5,Учет!$H1199,0)</f>
        <v>0</v>
      </c>
      <c r="U1199" s="48">
        <f>IF(Учет!$O1199=Справочники!$F$6,Учет!$H1199,0)</f>
        <v>0</v>
      </c>
      <c r="V1199" s="43">
        <f>V1198+Учет!Q1199-Q1199</f>
        <v>-488978.92000000004</v>
      </c>
      <c r="W1199" s="43">
        <f>W1198+Учет!R1199-R1199</f>
        <v>336855</v>
      </c>
      <c r="X1199" s="43">
        <f>X1198+Учет!S1199-S1199</f>
        <v>500</v>
      </c>
      <c r="Y1199" s="43">
        <f>Y1198+Учет!T1199-T1199</f>
        <v>1150</v>
      </c>
      <c r="Z1199" s="43">
        <f>Z1198+Учет!U1199-U1199</f>
        <v>500000</v>
      </c>
      <c r="AA1199" s="45">
        <f>Учет!X1199</f>
        <v>500</v>
      </c>
    </row>
    <row r="1200" spans="1:27" ht="15" customHeight="1" x14ac:dyDescent="0.25">
      <c r="A1200" s="1"/>
      <c r="B1200" s="17"/>
      <c r="C1200" s="17"/>
      <c r="D1200" s="17"/>
      <c r="E1200" s="17"/>
      <c r="F1200" s="17"/>
      <c r="G1200" s="4">
        <f t="shared" si="51"/>
        <v>0</v>
      </c>
      <c r="H1200" s="17"/>
      <c r="I1200" s="4">
        <f t="shared" si="53"/>
        <v>349526.07999999996</v>
      </c>
      <c r="J1200" s="32" t="str">
        <f t="shared" si="52"/>
        <v/>
      </c>
      <c r="K1200" s="72"/>
      <c r="L1200" s="72"/>
      <c r="M1200" s="2"/>
      <c r="N1200" s="5"/>
      <c r="O1200" s="3"/>
      <c r="P1200" s="6"/>
      <c r="Q1200" s="48">
        <f>IF(Учет!$O1200=Справочники!$F$2,Учет!$H1200,0)</f>
        <v>0</v>
      </c>
      <c r="R1200" s="48">
        <f>IF(Учет!$O1200=Справочники!$F$3,Учет!$H1200,0)</f>
        <v>0</v>
      </c>
      <c r="S1200" s="48">
        <f>IF(Учет!$O1200=Справочники!$F$4,Учет!$H1200,0)</f>
        <v>0</v>
      </c>
      <c r="T1200" s="48">
        <f>IF(Учет!$O1200=Справочники!$F$5,Учет!$H1200,0)</f>
        <v>0</v>
      </c>
      <c r="U1200" s="48">
        <f>IF(Учет!$O1200=Справочники!$F$6,Учет!$H1200,0)</f>
        <v>0</v>
      </c>
      <c r="V1200" s="43">
        <f>V1199+Учет!Q1200-Q1200</f>
        <v>-488978.92000000004</v>
      </c>
      <c r="W1200" s="43">
        <f>W1199+Учет!R1200-R1200</f>
        <v>336855</v>
      </c>
      <c r="X1200" s="43">
        <f>X1199+Учет!S1200-S1200</f>
        <v>500</v>
      </c>
      <c r="Y1200" s="43">
        <f>Y1199+Учет!T1200-T1200</f>
        <v>1150</v>
      </c>
      <c r="Z1200" s="43">
        <f>Z1199+Учет!U1200-U1200</f>
        <v>500000</v>
      </c>
      <c r="AA1200" s="45">
        <f>Учет!X1200</f>
        <v>500</v>
      </c>
    </row>
    <row r="1201" spans="1:27" ht="15" customHeight="1" x14ac:dyDescent="0.25">
      <c r="A1201" s="1"/>
      <c r="B1201" s="17"/>
      <c r="C1201" s="17"/>
      <c r="D1201" s="17"/>
      <c r="E1201" s="17"/>
      <c r="F1201" s="17"/>
      <c r="G1201" s="4">
        <f t="shared" si="51"/>
        <v>0</v>
      </c>
      <c r="H1201" s="17"/>
      <c r="I1201" s="4">
        <f t="shared" si="53"/>
        <v>349526.07999999996</v>
      </c>
      <c r="J1201" s="32" t="str">
        <f t="shared" si="52"/>
        <v/>
      </c>
      <c r="K1201" s="72"/>
      <c r="L1201" s="72"/>
      <c r="M1201" s="2"/>
      <c r="N1201" s="5"/>
      <c r="O1201" s="3"/>
      <c r="P1201" s="6"/>
      <c r="Q1201" s="48">
        <f>IF(Учет!$O1201=Справочники!$F$2,Учет!$H1201,0)</f>
        <v>0</v>
      </c>
      <c r="R1201" s="48">
        <f>IF(Учет!$O1201=Справочники!$F$3,Учет!$H1201,0)</f>
        <v>0</v>
      </c>
      <c r="S1201" s="48">
        <f>IF(Учет!$O1201=Справочники!$F$4,Учет!$H1201,0)</f>
        <v>0</v>
      </c>
      <c r="T1201" s="48">
        <f>IF(Учет!$O1201=Справочники!$F$5,Учет!$H1201,0)</f>
        <v>0</v>
      </c>
      <c r="U1201" s="48">
        <f>IF(Учет!$O1201=Справочники!$F$6,Учет!$H1201,0)</f>
        <v>0</v>
      </c>
      <c r="V1201" s="43">
        <f>V1200+Учет!Q1201-Q1201</f>
        <v>-488978.92000000004</v>
      </c>
      <c r="W1201" s="43">
        <f>W1200+Учет!R1201-R1201</f>
        <v>336855</v>
      </c>
      <c r="X1201" s="43">
        <f>X1200+Учет!S1201-S1201</f>
        <v>500</v>
      </c>
      <c r="Y1201" s="43">
        <f>Y1200+Учет!T1201-T1201</f>
        <v>1150</v>
      </c>
      <c r="Z1201" s="43">
        <f>Z1200+Учет!U1201-U1201</f>
        <v>500000</v>
      </c>
      <c r="AA1201" s="45">
        <f>Учет!X1201</f>
        <v>500</v>
      </c>
    </row>
    <row r="1202" spans="1:27" ht="15" customHeight="1" x14ac:dyDescent="0.25">
      <c r="A1202" s="1"/>
      <c r="B1202" s="17"/>
      <c r="C1202" s="17"/>
      <c r="D1202" s="17"/>
      <c r="E1202" s="17"/>
      <c r="F1202" s="17"/>
      <c r="G1202" s="4">
        <f t="shared" si="51"/>
        <v>0</v>
      </c>
      <c r="H1202" s="17"/>
      <c r="I1202" s="4">
        <f t="shared" si="53"/>
        <v>349526.07999999996</v>
      </c>
      <c r="J1202" s="32" t="str">
        <f t="shared" si="52"/>
        <v/>
      </c>
      <c r="K1202" s="72"/>
      <c r="L1202" s="72"/>
      <c r="M1202" s="2"/>
      <c r="N1202" s="5"/>
      <c r="O1202" s="3"/>
      <c r="P1202" s="6"/>
      <c r="Q1202" s="48">
        <f>IF(Учет!$O1202=Справочники!$F$2,Учет!$H1202,0)</f>
        <v>0</v>
      </c>
      <c r="R1202" s="48">
        <f>IF(Учет!$O1202=Справочники!$F$3,Учет!$H1202,0)</f>
        <v>0</v>
      </c>
      <c r="S1202" s="48">
        <f>IF(Учет!$O1202=Справочники!$F$4,Учет!$H1202,0)</f>
        <v>0</v>
      </c>
      <c r="T1202" s="48">
        <f>IF(Учет!$O1202=Справочники!$F$5,Учет!$H1202,0)</f>
        <v>0</v>
      </c>
      <c r="U1202" s="48">
        <f>IF(Учет!$O1202=Справочники!$F$6,Учет!$H1202,0)</f>
        <v>0</v>
      </c>
      <c r="V1202" s="43">
        <f>V1201+Учет!Q1202-Q1202</f>
        <v>-488978.92000000004</v>
      </c>
      <c r="W1202" s="43">
        <f>W1201+Учет!R1202-R1202</f>
        <v>336855</v>
      </c>
      <c r="X1202" s="43">
        <f>X1201+Учет!S1202-S1202</f>
        <v>500</v>
      </c>
      <c r="Y1202" s="43">
        <f>Y1201+Учет!T1202-T1202</f>
        <v>1150</v>
      </c>
      <c r="Z1202" s="43">
        <f>Z1201+Учет!U1202-U1202</f>
        <v>500000</v>
      </c>
      <c r="AA1202" s="45">
        <f>Учет!X1202</f>
        <v>500</v>
      </c>
    </row>
    <row r="1203" spans="1:27" ht="15" customHeight="1" x14ac:dyDescent="0.25">
      <c r="A1203" s="1"/>
      <c r="B1203" s="17"/>
      <c r="C1203" s="17"/>
      <c r="D1203" s="17"/>
      <c r="E1203" s="17"/>
      <c r="F1203" s="17"/>
      <c r="G1203" s="4">
        <f t="shared" si="51"/>
        <v>0</v>
      </c>
      <c r="H1203" s="17"/>
      <c r="I1203" s="4">
        <f t="shared" si="53"/>
        <v>349526.07999999996</v>
      </c>
      <c r="J1203" s="32" t="str">
        <f t="shared" si="52"/>
        <v/>
      </c>
      <c r="K1203" s="72"/>
      <c r="L1203" s="72"/>
      <c r="M1203" s="2"/>
      <c r="N1203" s="5"/>
      <c r="O1203" s="3"/>
      <c r="P1203" s="6"/>
      <c r="Q1203" s="48">
        <f>IF(Учет!$O1203=Справочники!$F$2,Учет!$H1203,0)</f>
        <v>0</v>
      </c>
      <c r="R1203" s="48">
        <f>IF(Учет!$O1203=Справочники!$F$3,Учет!$H1203,0)</f>
        <v>0</v>
      </c>
      <c r="S1203" s="48">
        <f>IF(Учет!$O1203=Справочники!$F$4,Учет!$H1203,0)</f>
        <v>0</v>
      </c>
      <c r="T1203" s="48">
        <f>IF(Учет!$O1203=Справочники!$F$5,Учет!$H1203,0)</f>
        <v>0</v>
      </c>
      <c r="U1203" s="48">
        <f>IF(Учет!$O1203=Справочники!$F$6,Учет!$H1203,0)</f>
        <v>0</v>
      </c>
      <c r="V1203" s="43">
        <f>V1202+Учет!Q1203-Q1203</f>
        <v>-488978.92000000004</v>
      </c>
      <c r="W1203" s="43">
        <f>W1202+Учет!R1203-R1203</f>
        <v>336855</v>
      </c>
      <c r="X1203" s="43">
        <f>X1202+Учет!S1203-S1203</f>
        <v>500</v>
      </c>
      <c r="Y1203" s="43">
        <f>Y1202+Учет!T1203-T1203</f>
        <v>1150</v>
      </c>
      <c r="Z1203" s="43">
        <f>Z1202+Учет!U1203-U1203</f>
        <v>500000</v>
      </c>
      <c r="AA1203" s="45">
        <f>Учет!X1203</f>
        <v>500</v>
      </c>
    </row>
    <row r="1204" spans="1:27" ht="15" customHeight="1" x14ac:dyDescent="0.25">
      <c r="A1204" s="1"/>
      <c r="B1204" s="17"/>
      <c r="C1204" s="17"/>
      <c r="D1204" s="17"/>
      <c r="E1204" s="17"/>
      <c r="F1204" s="17"/>
      <c r="G1204" s="4">
        <f t="shared" si="51"/>
        <v>0</v>
      </c>
      <c r="H1204" s="17"/>
      <c r="I1204" s="4">
        <f t="shared" si="53"/>
        <v>349526.07999999996</v>
      </c>
      <c r="J1204" s="32" t="str">
        <f t="shared" si="52"/>
        <v/>
      </c>
      <c r="K1204" s="72"/>
      <c r="L1204" s="72"/>
      <c r="M1204" s="2"/>
      <c r="N1204" s="5"/>
      <c r="O1204" s="3"/>
      <c r="P1204" s="6"/>
      <c r="Q1204" s="48">
        <f>IF(Учет!$O1204=Справочники!$F$2,Учет!$H1204,0)</f>
        <v>0</v>
      </c>
      <c r="R1204" s="48">
        <f>IF(Учет!$O1204=Справочники!$F$3,Учет!$H1204,0)</f>
        <v>0</v>
      </c>
      <c r="S1204" s="48">
        <f>IF(Учет!$O1204=Справочники!$F$4,Учет!$H1204,0)</f>
        <v>0</v>
      </c>
      <c r="T1204" s="48">
        <f>IF(Учет!$O1204=Справочники!$F$5,Учет!$H1204,0)</f>
        <v>0</v>
      </c>
      <c r="U1204" s="48">
        <f>IF(Учет!$O1204=Справочники!$F$6,Учет!$H1204,0)</f>
        <v>0</v>
      </c>
      <c r="V1204" s="43">
        <f>V1203+Учет!Q1204-Q1204</f>
        <v>-488978.92000000004</v>
      </c>
      <c r="W1204" s="43">
        <f>W1203+Учет!R1204-R1204</f>
        <v>336855</v>
      </c>
      <c r="X1204" s="43">
        <f>X1203+Учет!S1204-S1204</f>
        <v>500</v>
      </c>
      <c r="Y1204" s="43">
        <f>Y1203+Учет!T1204-T1204</f>
        <v>1150</v>
      </c>
      <c r="Z1204" s="43">
        <f>Z1203+Учет!U1204-U1204</f>
        <v>500000</v>
      </c>
      <c r="AA1204" s="45">
        <f>Учет!X1204</f>
        <v>500</v>
      </c>
    </row>
    <row r="1205" spans="1:27" ht="15" customHeight="1" x14ac:dyDescent="0.25">
      <c r="A1205" s="1"/>
      <c r="B1205" s="17"/>
      <c r="C1205" s="17"/>
      <c r="D1205" s="17"/>
      <c r="E1205" s="17"/>
      <c r="F1205" s="17"/>
      <c r="G1205" s="4">
        <f t="shared" si="51"/>
        <v>0</v>
      </c>
      <c r="H1205" s="17"/>
      <c r="I1205" s="4">
        <f t="shared" si="53"/>
        <v>349526.07999999996</v>
      </c>
      <c r="J1205" s="32" t="str">
        <f t="shared" si="52"/>
        <v/>
      </c>
      <c r="K1205" s="72"/>
      <c r="L1205" s="72"/>
      <c r="M1205" s="2"/>
      <c r="N1205" s="5"/>
      <c r="O1205" s="3"/>
      <c r="P1205" s="6"/>
      <c r="Q1205" s="48">
        <f>IF(Учет!$O1205=Справочники!$F$2,Учет!$H1205,0)</f>
        <v>0</v>
      </c>
      <c r="R1205" s="48">
        <f>IF(Учет!$O1205=Справочники!$F$3,Учет!$H1205,0)</f>
        <v>0</v>
      </c>
      <c r="S1205" s="48">
        <f>IF(Учет!$O1205=Справочники!$F$4,Учет!$H1205,0)</f>
        <v>0</v>
      </c>
      <c r="T1205" s="48">
        <f>IF(Учет!$O1205=Справочники!$F$5,Учет!$H1205,0)</f>
        <v>0</v>
      </c>
      <c r="U1205" s="48">
        <f>IF(Учет!$O1205=Справочники!$F$6,Учет!$H1205,0)</f>
        <v>0</v>
      </c>
      <c r="V1205" s="43">
        <f>V1204+Учет!Q1205-Q1205</f>
        <v>-488978.92000000004</v>
      </c>
      <c r="W1205" s="43">
        <f>W1204+Учет!R1205-R1205</f>
        <v>336855</v>
      </c>
      <c r="X1205" s="43">
        <f>X1204+Учет!S1205-S1205</f>
        <v>500</v>
      </c>
      <c r="Y1205" s="43">
        <f>Y1204+Учет!T1205-T1205</f>
        <v>1150</v>
      </c>
      <c r="Z1205" s="43">
        <f>Z1204+Учет!U1205-U1205</f>
        <v>500000</v>
      </c>
      <c r="AA1205" s="45">
        <f>Учет!X1205</f>
        <v>500</v>
      </c>
    </row>
    <row r="1206" spans="1:27" ht="15" customHeight="1" x14ac:dyDescent="0.25">
      <c r="A1206" s="1"/>
      <c r="B1206" s="17"/>
      <c r="C1206" s="17"/>
      <c r="D1206" s="17"/>
      <c r="E1206" s="17"/>
      <c r="F1206" s="17"/>
      <c r="G1206" s="4">
        <f t="shared" si="51"/>
        <v>0</v>
      </c>
      <c r="H1206" s="17"/>
      <c r="I1206" s="4">
        <f t="shared" si="53"/>
        <v>349526.07999999996</v>
      </c>
      <c r="J1206" s="32" t="str">
        <f t="shared" si="52"/>
        <v/>
      </c>
      <c r="K1206" s="72"/>
      <c r="L1206" s="72"/>
      <c r="M1206" s="2"/>
      <c r="N1206" s="5"/>
      <c r="O1206" s="3"/>
      <c r="P1206" s="6"/>
      <c r="Q1206" s="48">
        <f>IF(Учет!$O1206=Справочники!$F$2,Учет!$H1206,0)</f>
        <v>0</v>
      </c>
      <c r="R1206" s="48">
        <f>IF(Учет!$O1206=Справочники!$F$3,Учет!$H1206,0)</f>
        <v>0</v>
      </c>
      <c r="S1206" s="48">
        <f>IF(Учет!$O1206=Справочники!$F$4,Учет!$H1206,0)</f>
        <v>0</v>
      </c>
      <c r="T1206" s="48">
        <f>IF(Учет!$O1206=Справочники!$F$5,Учет!$H1206,0)</f>
        <v>0</v>
      </c>
      <c r="U1206" s="48">
        <f>IF(Учет!$O1206=Справочники!$F$6,Учет!$H1206,0)</f>
        <v>0</v>
      </c>
      <c r="V1206" s="43">
        <f>V1205+Учет!Q1206-Q1206</f>
        <v>-488978.92000000004</v>
      </c>
      <c r="W1206" s="43">
        <f>W1205+Учет!R1206-R1206</f>
        <v>336855</v>
      </c>
      <c r="X1206" s="43">
        <f>X1205+Учет!S1206-S1206</f>
        <v>500</v>
      </c>
      <c r="Y1206" s="43">
        <f>Y1205+Учет!T1206-T1206</f>
        <v>1150</v>
      </c>
      <c r="Z1206" s="43">
        <f>Z1205+Учет!U1206-U1206</f>
        <v>500000</v>
      </c>
      <c r="AA1206" s="45">
        <f>Учет!X1206</f>
        <v>500</v>
      </c>
    </row>
    <row r="1207" spans="1:27" ht="15" customHeight="1" x14ac:dyDescent="0.25">
      <c r="A1207" s="1"/>
      <c r="B1207" s="17"/>
      <c r="C1207" s="17"/>
      <c r="D1207" s="17"/>
      <c r="E1207" s="17"/>
      <c r="F1207" s="17"/>
      <c r="G1207" s="4">
        <f t="shared" si="51"/>
        <v>0</v>
      </c>
      <c r="H1207" s="17"/>
      <c r="I1207" s="4">
        <f t="shared" si="53"/>
        <v>349526.07999999996</v>
      </c>
      <c r="J1207" s="32" t="str">
        <f t="shared" si="52"/>
        <v/>
      </c>
      <c r="K1207" s="72"/>
      <c r="L1207" s="72"/>
      <c r="M1207" s="2"/>
      <c r="N1207" s="5"/>
      <c r="O1207" s="3"/>
      <c r="P1207" s="6"/>
      <c r="Q1207" s="48">
        <f>IF(Учет!$O1207=Справочники!$F$2,Учет!$H1207,0)</f>
        <v>0</v>
      </c>
      <c r="R1207" s="48">
        <f>IF(Учет!$O1207=Справочники!$F$3,Учет!$H1207,0)</f>
        <v>0</v>
      </c>
      <c r="S1207" s="48">
        <f>IF(Учет!$O1207=Справочники!$F$4,Учет!$H1207,0)</f>
        <v>0</v>
      </c>
      <c r="T1207" s="48">
        <f>IF(Учет!$O1207=Справочники!$F$5,Учет!$H1207,0)</f>
        <v>0</v>
      </c>
      <c r="U1207" s="48">
        <f>IF(Учет!$O1207=Справочники!$F$6,Учет!$H1207,0)</f>
        <v>0</v>
      </c>
      <c r="V1207" s="43">
        <f>V1206+Учет!Q1207-Q1207</f>
        <v>-488978.92000000004</v>
      </c>
      <c r="W1207" s="43">
        <f>W1206+Учет!R1207-R1207</f>
        <v>336855</v>
      </c>
      <c r="X1207" s="43">
        <f>X1206+Учет!S1207-S1207</f>
        <v>500</v>
      </c>
      <c r="Y1207" s="43">
        <f>Y1206+Учет!T1207-T1207</f>
        <v>1150</v>
      </c>
      <c r="Z1207" s="43">
        <f>Z1206+Учет!U1207-U1207</f>
        <v>500000</v>
      </c>
      <c r="AA1207" s="45">
        <f>Учет!X1207</f>
        <v>500</v>
      </c>
    </row>
    <row r="1208" spans="1:27" ht="15" customHeight="1" x14ac:dyDescent="0.25">
      <c r="A1208" s="1"/>
      <c r="B1208" s="17"/>
      <c r="C1208" s="17"/>
      <c r="D1208" s="17"/>
      <c r="E1208" s="17"/>
      <c r="F1208" s="17"/>
      <c r="G1208" s="4">
        <f t="shared" si="51"/>
        <v>0</v>
      </c>
      <c r="H1208" s="17"/>
      <c r="I1208" s="4">
        <f t="shared" si="53"/>
        <v>349526.07999999996</v>
      </c>
      <c r="J1208" s="32" t="str">
        <f t="shared" si="52"/>
        <v/>
      </c>
      <c r="K1208" s="72"/>
      <c r="L1208" s="72"/>
      <c r="M1208" s="2"/>
      <c r="N1208" s="5"/>
      <c r="O1208" s="3"/>
      <c r="P1208" s="6"/>
      <c r="Q1208" s="48">
        <f>IF(Учет!$O1208=Справочники!$F$2,Учет!$H1208,0)</f>
        <v>0</v>
      </c>
      <c r="R1208" s="48">
        <f>IF(Учет!$O1208=Справочники!$F$3,Учет!$H1208,0)</f>
        <v>0</v>
      </c>
      <c r="S1208" s="48">
        <f>IF(Учет!$O1208=Справочники!$F$4,Учет!$H1208,0)</f>
        <v>0</v>
      </c>
      <c r="T1208" s="48">
        <f>IF(Учет!$O1208=Справочники!$F$5,Учет!$H1208,0)</f>
        <v>0</v>
      </c>
      <c r="U1208" s="48">
        <f>IF(Учет!$O1208=Справочники!$F$6,Учет!$H1208,0)</f>
        <v>0</v>
      </c>
      <c r="V1208" s="43">
        <f>V1207+Учет!Q1208-Q1208</f>
        <v>-488978.92000000004</v>
      </c>
      <c r="W1208" s="43">
        <f>W1207+Учет!R1208-R1208</f>
        <v>336855</v>
      </c>
      <c r="X1208" s="43">
        <f>X1207+Учет!S1208-S1208</f>
        <v>500</v>
      </c>
      <c r="Y1208" s="43">
        <f>Y1207+Учет!T1208-T1208</f>
        <v>1150</v>
      </c>
      <c r="Z1208" s="43">
        <f>Z1207+Учет!U1208-U1208</f>
        <v>500000</v>
      </c>
      <c r="AA1208" s="45">
        <f>Учет!X1208</f>
        <v>500</v>
      </c>
    </row>
    <row r="1209" spans="1:27" ht="15" customHeight="1" x14ac:dyDescent="0.25">
      <c r="A1209" s="1"/>
      <c r="B1209" s="17"/>
      <c r="C1209" s="17"/>
      <c r="D1209" s="17"/>
      <c r="E1209" s="17"/>
      <c r="F1209" s="17"/>
      <c r="G1209" s="4">
        <f t="shared" si="51"/>
        <v>0</v>
      </c>
      <c r="H1209" s="17"/>
      <c r="I1209" s="4">
        <f t="shared" si="53"/>
        <v>349526.07999999996</v>
      </c>
      <c r="J1209" s="32" t="str">
        <f t="shared" si="52"/>
        <v/>
      </c>
      <c r="K1209" s="72"/>
      <c r="L1209" s="72"/>
      <c r="M1209" s="2"/>
      <c r="N1209" s="5"/>
      <c r="O1209" s="3"/>
      <c r="P1209" s="6"/>
      <c r="Q1209" s="48">
        <f>IF(Учет!$O1209=Справочники!$F$2,Учет!$H1209,0)</f>
        <v>0</v>
      </c>
      <c r="R1209" s="48">
        <f>IF(Учет!$O1209=Справочники!$F$3,Учет!$H1209,0)</f>
        <v>0</v>
      </c>
      <c r="S1209" s="48">
        <f>IF(Учет!$O1209=Справочники!$F$4,Учет!$H1209,0)</f>
        <v>0</v>
      </c>
      <c r="T1209" s="48">
        <f>IF(Учет!$O1209=Справочники!$F$5,Учет!$H1209,0)</f>
        <v>0</v>
      </c>
      <c r="U1209" s="48">
        <f>IF(Учет!$O1209=Справочники!$F$6,Учет!$H1209,0)</f>
        <v>0</v>
      </c>
      <c r="V1209" s="43">
        <f>V1208+Учет!Q1209-Q1209</f>
        <v>-488978.92000000004</v>
      </c>
      <c r="W1209" s="43">
        <f>W1208+Учет!R1209-R1209</f>
        <v>336855</v>
      </c>
      <c r="X1209" s="43">
        <f>X1208+Учет!S1209-S1209</f>
        <v>500</v>
      </c>
      <c r="Y1209" s="43">
        <f>Y1208+Учет!T1209-T1209</f>
        <v>1150</v>
      </c>
      <c r="Z1209" s="43">
        <f>Z1208+Учет!U1209-U1209</f>
        <v>500000</v>
      </c>
      <c r="AA1209" s="45">
        <f>Учет!X1209</f>
        <v>500</v>
      </c>
    </row>
    <row r="1210" spans="1:27" ht="15" customHeight="1" x14ac:dyDescent="0.25">
      <c r="A1210" s="1"/>
      <c r="B1210" s="17"/>
      <c r="C1210" s="17"/>
      <c r="D1210" s="17"/>
      <c r="E1210" s="17"/>
      <c r="F1210" s="17"/>
      <c r="G1210" s="4">
        <f t="shared" si="51"/>
        <v>0</v>
      </c>
      <c r="H1210" s="17"/>
      <c r="I1210" s="4">
        <f t="shared" si="53"/>
        <v>349526.07999999996</v>
      </c>
      <c r="J1210" s="32" t="str">
        <f t="shared" si="52"/>
        <v/>
      </c>
      <c r="K1210" s="72"/>
      <c r="L1210" s="72"/>
      <c r="M1210" s="2"/>
      <c r="N1210" s="5"/>
      <c r="O1210" s="3"/>
      <c r="P1210" s="6"/>
      <c r="Q1210" s="48">
        <f>IF(Учет!$O1210=Справочники!$F$2,Учет!$H1210,0)</f>
        <v>0</v>
      </c>
      <c r="R1210" s="48">
        <f>IF(Учет!$O1210=Справочники!$F$3,Учет!$H1210,0)</f>
        <v>0</v>
      </c>
      <c r="S1210" s="48">
        <f>IF(Учет!$O1210=Справочники!$F$4,Учет!$H1210,0)</f>
        <v>0</v>
      </c>
      <c r="T1210" s="48">
        <f>IF(Учет!$O1210=Справочники!$F$5,Учет!$H1210,0)</f>
        <v>0</v>
      </c>
      <c r="U1210" s="48">
        <f>IF(Учет!$O1210=Справочники!$F$6,Учет!$H1210,0)</f>
        <v>0</v>
      </c>
      <c r="V1210" s="43">
        <f>V1209+Учет!Q1210-Q1210</f>
        <v>-488978.92000000004</v>
      </c>
      <c r="W1210" s="43">
        <f>W1209+Учет!R1210-R1210</f>
        <v>336855</v>
      </c>
      <c r="X1210" s="43">
        <f>X1209+Учет!S1210-S1210</f>
        <v>500</v>
      </c>
      <c r="Y1210" s="43">
        <f>Y1209+Учет!T1210-T1210</f>
        <v>1150</v>
      </c>
      <c r="Z1210" s="43">
        <f>Z1209+Учет!U1210-U1210</f>
        <v>500000</v>
      </c>
      <c r="AA1210" s="45">
        <f>Учет!X1210</f>
        <v>500</v>
      </c>
    </row>
    <row r="1211" spans="1:27" ht="15" customHeight="1" x14ac:dyDescent="0.25">
      <c r="A1211" s="1"/>
      <c r="B1211" s="17"/>
      <c r="C1211" s="17"/>
      <c r="D1211" s="17"/>
      <c r="E1211" s="17"/>
      <c r="F1211" s="17"/>
      <c r="G1211" s="4">
        <f t="shared" si="51"/>
        <v>0</v>
      </c>
      <c r="H1211" s="17"/>
      <c r="I1211" s="4">
        <f t="shared" si="53"/>
        <v>349526.07999999996</v>
      </c>
      <c r="J1211" s="32" t="str">
        <f t="shared" si="52"/>
        <v/>
      </c>
      <c r="K1211" s="72"/>
      <c r="L1211" s="72"/>
      <c r="M1211" s="2"/>
      <c r="N1211" s="5"/>
      <c r="O1211" s="3"/>
      <c r="P1211" s="6"/>
      <c r="Q1211" s="48">
        <f>IF(Учет!$O1211=Справочники!$F$2,Учет!$H1211,0)</f>
        <v>0</v>
      </c>
      <c r="R1211" s="48">
        <f>IF(Учет!$O1211=Справочники!$F$3,Учет!$H1211,0)</f>
        <v>0</v>
      </c>
      <c r="S1211" s="48">
        <f>IF(Учет!$O1211=Справочники!$F$4,Учет!$H1211,0)</f>
        <v>0</v>
      </c>
      <c r="T1211" s="48">
        <f>IF(Учет!$O1211=Справочники!$F$5,Учет!$H1211,0)</f>
        <v>0</v>
      </c>
      <c r="U1211" s="48">
        <f>IF(Учет!$O1211=Справочники!$F$6,Учет!$H1211,0)</f>
        <v>0</v>
      </c>
      <c r="V1211" s="43">
        <f>V1210+Учет!Q1211-Q1211</f>
        <v>-488978.92000000004</v>
      </c>
      <c r="W1211" s="43">
        <f>W1210+Учет!R1211-R1211</f>
        <v>336855</v>
      </c>
      <c r="X1211" s="43">
        <f>X1210+Учет!S1211-S1211</f>
        <v>500</v>
      </c>
      <c r="Y1211" s="43">
        <f>Y1210+Учет!T1211-T1211</f>
        <v>1150</v>
      </c>
      <c r="Z1211" s="43">
        <f>Z1210+Учет!U1211-U1211</f>
        <v>500000</v>
      </c>
      <c r="AA1211" s="45">
        <f>Учет!X1211</f>
        <v>500</v>
      </c>
    </row>
    <row r="1212" spans="1:27" ht="15" customHeight="1" x14ac:dyDescent="0.25">
      <c r="A1212" s="1"/>
      <c r="B1212" s="17"/>
      <c r="C1212" s="17"/>
      <c r="D1212" s="17"/>
      <c r="E1212" s="17"/>
      <c r="F1212" s="17"/>
      <c r="G1212" s="4">
        <f t="shared" si="51"/>
        <v>0</v>
      </c>
      <c r="H1212" s="17"/>
      <c r="I1212" s="4">
        <f t="shared" si="53"/>
        <v>349526.07999999996</v>
      </c>
      <c r="J1212" s="32" t="str">
        <f t="shared" si="52"/>
        <v/>
      </c>
      <c r="K1212" s="72"/>
      <c r="L1212" s="72"/>
      <c r="M1212" s="2"/>
      <c r="N1212" s="5"/>
      <c r="O1212" s="3"/>
      <c r="P1212" s="6"/>
      <c r="Q1212" s="48">
        <f>IF(Учет!$O1212=Справочники!$F$2,Учет!$H1212,0)</f>
        <v>0</v>
      </c>
      <c r="R1212" s="48">
        <f>IF(Учет!$O1212=Справочники!$F$3,Учет!$H1212,0)</f>
        <v>0</v>
      </c>
      <c r="S1212" s="48">
        <f>IF(Учет!$O1212=Справочники!$F$4,Учет!$H1212,0)</f>
        <v>0</v>
      </c>
      <c r="T1212" s="48">
        <f>IF(Учет!$O1212=Справочники!$F$5,Учет!$H1212,0)</f>
        <v>0</v>
      </c>
      <c r="U1212" s="48">
        <f>IF(Учет!$O1212=Справочники!$F$6,Учет!$H1212,0)</f>
        <v>0</v>
      </c>
      <c r="V1212" s="43">
        <f>V1211+Учет!Q1212-Q1212</f>
        <v>-488978.92000000004</v>
      </c>
      <c r="W1212" s="43">
        <f>W1211+Учет!R1212-R1212</f>
        <v>336855</v>
      </c>
      <c r="X1212" s="43">
        <f>X1211+Учет!S1212-S1212</f>
        <v>500</v>
      </c>
      <c r="Y1212" s="43">
        <f>Y1211+Учет!T1212-T1212</f>
        <v>1150</v>
      </c>
      <c r="Z1212" s="43">
        <f>Z1211+Учет!U1212-U1212</f>
        <v>500000</v>
      </c>
      <c r="AA1212" s="45">
        <f>Учет!X1212</f>
        <v>500</v>
      </c>
    </row>
    <row r="1213" spans="1:27" ht="15" customHeight="1" x14ac:dyDescent="0.25">
      <c r="A1213" s="1"/>
      <c r="B1213" s="17"/>
      <c r="C1213" s="17"/>
      <c r="D1213" s="17"/>
      <c r="E1213" s="17"/>
      <c r="F1213" s="17"/>
      <c r="G1213" s="4">
        <f t="shared" si="51"/>
        <v>0</v>
      </c>
      <c r="H1213" s="17"/>
      <c r="I1213" s="4">
        <f t="shared" si="53"/>
        <v>349526.07999999996</v>
      </c>
      <c r="J1213" s="32" t="str">
        <f t="shared" si="52"/>
        <v/>
      </c>
      <c r="K1213" s="72"/>
      <c r="L1213" s="72"/>
      <c r="M1213" s="2"/>
      <c r="N1213" s="5"/>
      <c r="O1213" s="3"/>
      <c r="P1213" s="6"/>
      <c r="Q1213" s="48">
        <f>IF(Учет!$O1213=Справочники!$F$2,Учет!$H1213,0)</f>
        <v>0</v>
      </c>
      <c r="R1213" s="48">
        <f>IF(Учет!$O1213=Справочники!$F$3,Учет!$H1213,0)</f>
        <v>0</v>
      </c>
      <c r="S1213" s="48">
        <f>IF(Учет!$O1213=Справочники!$F$4,Учет!$H1213,0)</f>
        <v>0</v>
      </c>
      <c r="T1213" s="48">
        <f>IF(Учет!$O1213=Справочники!$F$5,Учет!$H1213,0)</f>
        <v>0</v>
      </c>
      <c r="U1213" s="48">
        <f>IF(Учет!$O1213=Справочники!$F$6,Учет!$H1213,0)</f>
        <v>0</v>
      </c>
      <c r="V1213" s="43">
        <f>V1212+Учет!Q1213-Q1213</f>
        <v>-488978.92000000004</v>
      </c>
      <c r="W1213" s="43">
        <f>W1212+Учет!R1213-R1213</f>
        <v>336855</v>
      </c>
      <c r="X1213" s="43">
        <f>X1212+Учет!S1213-S1213</f>
        <v>500</v>
      </c>
      <c r="Y1213" s="43">
        <f>Y1212+Учет!T1213-T1213</f>
        <v>1150</v>
      </c>
      <c r="Z1213" s="43">
        <f>Z1212+Учет!U1213-U1213</f>
        <v>500000</v>
      </c>
      <c r="AA1213" s="45">
        <f>Учет!X1213</f>
        <v>500</v>
      </c>
    </row>
    <row r="1214" spans="1:27" ht="15" customHeight="1" x14ac:dyDescent="0.25">
      <c r="A1214" s="1"/>
      <c r="B1214" s="17"/>
      <c r="C1214" s="17"/>
      <c r="D1214" s="17"/>
      <c r="E1214" s="17"/>
      <c r="F1214" s="17"/>
      <c r="G1214" s="4">
        <f t="shared" si="51"/>
        <v>0</v>
      </c>
      <c r="H1214" s="17"/>
      <c r="I1214" s="4">
        <f t="shared" si="53"/>
        <v>349526.07999999996</v>
      </c>
      <c r="J1214" s="32" t="str">
        <f t="shared" si="52"/>
        <v/>
      </c>
      <c r="K1214" s="72"/>
      <c r="L1214" s="72"/>
      <c r="M1214" s="2"/>
      <c r="N1214" s="5"/>
      <c r="O1214" s="3"/>
      <c r="P1214" s="6"/>
      <c r="Q1214" s="48">
        <f>IF(Учет!$O1214=Справочники!$F$2,Учет!$H1214,0)</f>
        <v>0</v>
      </c>
      <c r="R1214" s="48">
        <f>IF(Учет!$O1214=Справочники!$F$3,Учет!$H1214,0)</f>
        <v>0</v>
      </c>
      <c r="S1214" s="48">
        <f>IF(Учет!$O1214=Справочники!$F$4,Учет!$H1214,0)</f>
        <v>0</v>
      </c>
      <c r="T1214" s="48">
        <f>IF(Учет!$O1214=Справочники!$F$5,Учет!$H1214,0)</f>
        <v>0</v>
      </c>
      <c r="U1214" s="48">
        <f>IF(Учет!$O1214=Справочники!$F$6,Учет!$H1214,0)</f>
        <v>0</v>
      </c>
      <c r="V1214" s="43">
        <f>V1213+Учет!Q1214-Q1214</f>
        <v>-488978.92000000004</v>
      </c>
      <c r="W1214" s="43">
        <f>W1213+Учет!R1214-R1214</f>
        <v>336855</v>
      </c>
      <c r="X1214" s="43">
        <f>X1213+Учет!S1214-S1214</f>
        <v>500</v>
      </c>
      <c r="Y1214" s="43">
        <f>Y1213+Учет!T1214-T1214</f>
        <v>1150</v>
      </c>
      <c r="Z1214" s="43">
        <f>Z1213+Учет!U1214-U1214</f>
        <v>500000</v>
      </c>
      <c r="AA1214" s="45">
        <f>Учет!X1214</f>
        <v>500</v>
      </c>
    </row>
    <row r="1215" spans="1:27" ht="15" customHeight="1" x14ac:dyDescent="0.25">
      <c r="A1215" s="1"/>
      <c r="B1215" s="17"/>
      <c r="C1215" s="17"/>
      <c r="D1215" s="17"/>
      <c r="E1215" s="17"/>
      <c r="F1215" s="17"/>
      <c r="G1215" s="4">
        <f t="shared" si="51"/>
        <v>0</v>
      </c>
      <c r="H1215" s="17"/>
      <c r="I1215" s="4">
        <f t="shared" si="53"/>
        <v>349526.07999999996</v>
      </c>
      <c r="J1215" s="32" t="str">
        <f t="shared" si="52"/>
        <v/>
      </c>
      <c r="K1215" s="72"/>
      <c r="L1215" s="72"/>
      <c r="M1215" s="2"/>
      <c r="N1215" s="5"/>
      <c r="O1215" s="3"/>
      <c r="P1215" s="6"/>
      <c r="Q1215" s="48">
        <f>IF(Учет!$O1215=Справочники!$F$2,Учет!$H1215,0)</f>
        <v>0</v>
      </c>
      <c r="R1215" s="48">
        <f>IF(Учет!$O1215=Справочники!$F$3,Учет!$H1215,0)</f>
        <v>0</v>
      </c>
      <c r="S1215" s="48">
        <f>IF(Учет!$O1215=Справочники!$F$4,Учет!$H1215,0)</f>
        <v>0</v>
      </c>
      <c r="T1215" s="48">
        <f>IF(Учет!$O1215=Справочники!$F$5,Учет!$H1215,0)</f>
        <v>0</v>
      </c>
      <c r="U1215" s="48">
        <f>IF(Учет!$O1215=Справочники!$F$6,Учет!$H1215,0)</f>
        <v>0</v>
      </c>
      <c r="V1215" s="43">
        <f>V1214+Учет!Q1215-Q1215</f>
        <v>-488978.92000000004</v>
      </c>
      <c r="W1215" s="43">
        <f>W1214+Учет!R1215-R1215</f>
        <v>336855</v>
      </c>
      <c r="X1215" s="43">
        <f>X1214+Учет!S1215-S1215</f>
        <v>500</v>
      </c>
      <c r="Y1215" s="43">
        <f>Y1214+Учет!T1215-T1215</f>
        <v>1150</v>
      </c>
      <c r="Z1215" s="43">
        <f>Z1214+Учет!U1215-U1215</f>
        <v>500000</v>
      </c>
      <c r="AA1215" s="45">
        <f>Учет!X1215</f>
        <v>500</v>
      </c>
    </row>
    <row r="1216" spans="1:27" ht="15" customHeight="1" x14ac:dyDescent="0.25">
      <c r="A1216" s="1"/>
      <c r="B1216" s="17"/>
      <c r="C1216" s="17"/>
      <c r="D1216" s="17"/>
      <c r="E1216" s="17"/>
      <c r="F1216" s="17"/>
      <c r="G1216" s="4">
        <f t="shared" si="51"/>
        <v>0</v>
      </c>
      <c r="H1216" s="17"/>
      <c r="I1216" s="4">
        <f t="shared" si="53"/>
        <v>349526.07999999996</v>
      </c>
      <c r="J1216" s="32" t="str">
        <f t="shared" si="52"/>
        <v/>
      </c>
      <c r="K1216" s="72"/>
      <c r="L1216" s="72"/>
      <c r="M1216" s="2"/>
      <c r="N1216" s="5"/>
      <c r="O1216" s="3"/>
      <c r="P1216" s="6"/>
      <c r="Q1216" s="48">
        <f>IF(Учет!$O1216=Справочники!$F$2,Учет!$H1216,0)</f>
        <v>0</v>
      </c>
      <c r="R1216" s="48">
        <f>IF(Учет!$O1216=Справочники!$F$3,Учет!$H1216,0)</f>
        <v>0</v>
      </c>
      <c r="S1216" s="48">
        <f>IF(Учет!$O1216=Справочники!$F$4,Учет!$H1216,0)</f>
        <v>0</v>
      </c>
      <c r="T1216" s="48">
        <f>IF(Учет!$O1216=Справочники!$F$5,Учет!$H1216,0)</f>
        <v>0</v>
      </c>
      <c r="U1216" s="48">
        <f>IF(Учет!$O1216=Справочники!$F$6,Учет!$H1216,0)</f>
        <v>0</v>
      </c>
      <c r="V1216" s="43">
        <f>V1215+Учет!Q1216-Q1216</f>
        <v>-488978.92000000004</v>
      </c>
      <c r="W1216" s="43">
        <f>W1215+Учет!R1216-R1216</f>
        <v>336855</v>
      </c>
      <c r="X1216" s="43">
        <f>X1215+Учет!S1216-S1216</f>
        <v>500</v>
      </c>
      <c r="Y1216" s="43">
        <f>Y1215+Учет!T1216-T1216</f>
        <v>1150</v>
      </c>
      <c r="Z1216" s="43">
        <f>Z1215+Учет!U1216-U1216</f>
        <v>500000</v>
      </c>
      <c r="AA1216" s="45">
        <f>Учет!X1216</f>
        <v>500</v>
      </c>
    </row>
    <row r="1217" spans="1:27" ht="15" customHeight="1" x14ac:dyDescent="0.25">
      <c r="A1217" s="1"/>
      <c r="B1217" s="17"/>
      <c r="C1217" s="17"/>
      <c r="D1217" s="17"/>
      <c r="E1217" s="17"/>
      <c r="F1217" s="17"/>
      <c r="G1217" s="4">
        <f t="shared" si="51"/>
        <v>0</v>
      </c>
      <c r="H1217" s="17"/>
      <c r="I1217" s="4">
        <f t="shared" si="53"/>
        <v>349526.07999999996</v>
      </c>
      <c r="J1217" s="32" t="str">
        <f t="shared" si="52"/>
        <v/>
      </c>
      <c r="K1217" s="72"/>
      <c r="L1217" s="72"/>
      <c r="M1217" s="2"/>
      <c r="N1217" s="5"/>
      <c r="O1217" s="3"/>
      <c r="P1217" s="6"/>
      <c r="Q1217" s="48">
        <f>IF(Учет!$O1217=Справочники!$F$2,Учет!$H1217,0)</f>
        <v>0</v>
      </c>
      <c r="R1217" s="48">
        <f>IF(Учет!$O1217=Справочники!$F$3,Учет!$H1217,0)</f>
        <v>0</v>
      </c>
      <c r="S1217" s="48">
        <f>IF(Учет!$O1217=Справочники!$F$4,Учет!$H1217,0)</f>
        <v>0</v>
      </c>
      <c r="T1217" s="48">
        <f>IF(Учет!$O1217=Справочники!$F$5,Учет!$H1217,0)</f>
        <v>0</v>
      </c>
      <c r="U1217" s="48">
        <f>IF(Учет!$O1217=Справочники!$F$6,Учет!$H1217,0)</f>
        <v>0</v>
      </c>
      <c r="V1217" s="43">
        <f>V1216+Учет!Q1217-Q1217</f>
        <v>-488978.92000000004</v>
      </c>
      <c r="W1217" s="43">
        <f>W1216+Учет!R1217-R1217</f>
        <v>336855</v>
      </c>
      <c r="X1217" s="43">
        <f>X1216+Учет!S1217-S1217</f>
        <v>500</v>
      </c>
      <c r="Y1217" s="43">
        <f>Y1216+Учет!T1217-T1217</f>
        <v>1150</v>
      </c>
      <c r="Z1217" s="43">
        <f>Z1216+Учет!U1217-U1217</f>
        <v>500000</v>
      </c>
      <c r="AA1217" s="45">
        <f>Учет!X1217</f>
        <v>500</v>
      </c>
    </row>
    <row r="1218" spans="1:27" ht="15" customHeight="1" x14ac:dyDescent="0.25">
      <c r="A1218" s="1"/>
      <c r="B1218" s="17"/>
      <c r="C1218" s="17"/>
      <c r="D1218" s="17"/>
      <c r="E1218" s="17"/>
      <c r="F1218" s="17"/>
      <c r="G1218" s="4">
        <f t="shared" ref="G1218:G1281" si="54">SUM($B1218:$F1218)</f>
        <v>0</v>
      </c>
      <c r="H1218" s="17"/>
      <c r="I1218" s="4">
        <f t="shared" si="53"/>
        <v>349526.07999999996</v>
      </c>
      <c r="J1218" s="32" t="str">
        <f t="shared" ref="J1218:J1281" si="55">IF($A1219&lt;&gt;$A1218,$I1218,"")</f>
        <v/>
      </c>
      <c r="K1218" s="72"/>
      <c r="L1218" s="72"/>
      <c r="M1218" s="2"/>
      <c r="N1218" s="5"/>
      <c r="O1218" s="3"/>
      <c r="P1218" s="6"/>
      <c r="Q1218" s="48">
        <f>IF(Учет!$O1218=Справочники!$F$2,Учет!$H1218,0)</f>
        <v>0</v>
      </c>
      <c r="R1218" s="48">
        <f>IF(Учет!$O1218=Справочники!$F$3,Учет!$H1218,0)</f>
        <v>0</v>
      </c>
      <c r="S1218" s="48">
        <f>IF(Учет!$O1218=Справочники!$F$4,Учет!$H1218,0)</f>
        <v>0</v>
      </c>
      <c r="T1218" s="48">
        <f>IF(Учет!$O1218=Справочники!$F$5,Учет!$H1218,0)</f>
        <v>0</v>
      </c>
      <c r="U1218" s="48">
        <f>IF(Учет!$O1218=Справочники!$F$6,Учет!$H1218,0)</f>
        <v>0</v>
      </c>
      <c r="V1218" s="43">
        <f>V1217+Учет!Q1218-Q1218</f>
        <v>-488978.92000000004</v>
      </c>
      <c r="W1218" s="43">
        <f>W1217+Учет!R1218-R1218</f>
        <v>336855</v>
      </c>
      <c r="X1218" s="43">
        <f>X1217+Учет!S1218-S1218</f>
        <v>500</v>
      </c>
      <c r="Y1218" s="43">
        <f>Y1217+Учет!T1218-T1218</f>
        <v>1150</v>
      </c>
      <c r="Z1218" s="43">
        <f>Z1217+Учет!U1218-U1218</f>
        <v>500000</v>
      </c>
      <c r="AA1218" s="45">
        <f>Учет!X1218</f>
        <v>500</v>
      </c>
    </row>
    <row r="1219" spans="1:27" ht="15" customHeight="1" x14ac:dyDescent="0.25">
      <c r="A1219" s="1"/>
      <c r="B1219" s="17"/>
      <c r="C1219" s="17"/>
      <c r="D1219" s="17"/>
      <c r="E1219" s="17"/>
      <c r="F1219" s="17"/>
      <c r="G1219" s="4">
        <f t="shared" si="54"/>
        <v>0</v>
      </c>
      <c r="H1219" s="17"/>
      <c r="I1219" s="4">
        <f t="shared" ref="I1219:I1282" si="56">$I1218+$G1219-$H1219</f>
        <v>349526.07999999996</v>
      </c>
      <c r="J1219" s="32" t="str">
        <f t="shared" si="55"/>
        <v/>
      </c>
      <c r="K1219" s="72"/>
      <c r="L1219" s="72"/>
      <c r="M1219" s="2"/>
      <c r="N1219" s="5"/>
      <c r="O1219" s="3"/>
      <c r="P1219" s="6"/>
      <c r="Q1219" s="48">
        <f>IF(Учет!$O1219=Справочники!$F$2,Учет!$H1219,0)</f>
        <v>0</v>
      </c>
      <c r="R1219" s="48">
        <f>IF(Учет!$O1219=Справочники!$F$3,Учет!$H1219,0)</f>
        <v>0</v>
      </c>
      <c r="S1219" s="48">
        <f>IF(Учет!$O1219=Справочники!$F$4,Учет!$H1219,0)</f>
        <v>0</v>
      </c>
      <c r="T1219" s="48">
        <f>IF(Учет!$O1219=Справочники!$F$5,Учет!$H1219,0)</f>
        <v>0</v>
      </c>
      <c r="U1219" s="48">
        <f>IF(Учет!$O1219=Справочники!$F$6,Учет!$H1219,0)</f>
        <v>0</v>
      </c>
      <c r="V1219" s="43">
        <f>V1218+Учет!Q1219-Q1219</f>
        <v>-488978.92000000004</v>
      </c>
      <c r="W1219" s="43">
        <f>W1218+Учет!R1219-R1219</f>
        <v>336855</v>
      </c>
      <c r="X1219" s="43">
        <f>X1218+Учет!S1219-S1219</f>
        <v>500</v>
      </c>
      <c r="Y1219" s="43">
        <f>Y1218+Учет!T1219-T1219</f>
        <v>1150</v>
      </c>
      <c r="Z1219" s="43">
        <f>Z1218+Учет!U1219-U1219</f>
        <v>500000</v>
      </c>
      <c r="AA1219" s="45">
        <f>Учет!X1219</f>
        <v>500</v>
      </c>
    </row>
    <row r="1220" spans="1:27" ht="15" customHeight="1" x14ac:dyDescent="0.25">
      <c r="A1220" s="1"/>
      <c r="B1220" s="17"/>
      <c r="C1220" s="17"/>
      <c r="D1220" s="17"/>
      <c r="E1220" s="17"/>
      <c r="F1220" s="17"/>
      <c r="G1220" s="4">
        <f t="shared" si="54"/>
        <v>0</v>
      </c>
      <c r="H1220" s="17"/>
      <c r="I1220" s="4">
        <f t="shared" si="56"/>
        <v>349526.07999999996</v>
      </c>
      <c r="J1220" s="32" t="str">
        <f t="shared" si="55"/>
        <v/>
      </c>
      <c r="K1220" s="72"/>
      <c r="L1220" s="72"/>
      <c r="M1220" s="2"/>
      <c r="N1220" s="5"/>
      <c r="O1220" s="3"/>
      <c r="P1220" s="6"/>
      <c r="Q1220" s="48">
        <f>IF(Учет!$O1220=Справочники!$F$2,Учет!$H1220,0)</f>
        <v>0</v>
      </c>
      <c r="R1220" s="48">
        <f>IF(Учет!$O1220=Справочники!$F$3,Учет!$H1220,0)</f>
        <v>0</v>
      </c>
      <c r="S1220" s="48">
        <f>IF(Учет!$O1220=Справочники!$F$4,Учет!$H1220,0)</f>
        <v>0</v>
      </c>
      <c r="T1220" s="48">
        <f>IF(Учет!$O1220=Справочники!$F$5,Учет!$H1220,0)</f>
        <v>0</v>
      </c>
      <c r="U1220" s="48">
        <f>IF(Учет!$O1220=Справочники!$F$6,Учет!$H1220,0)</f>
        <v>0</v>
      </c>
      <c r="V1220" s="43">
        <f>V1219+Учет!Q1220-Q1220</f>
        <v>-488978.92000000004</v>
      </c>
      <c r="W1220" s="43">
        <f>W1219+Учет!R1220-R1220</f>
        <v>336855</v>
      </c>
      <c r="X1220" s="43">
        <f>X1219+Учет!S1220-S1220</f>
        <v>500</v>
      </c>
      <c r="Y1220" s="43">
        <f>Y1219+Учет!T1220-T1220</f>
        <v>1150</v>
      </c>
      <c r="Z1220" s="43">
        <f>Z1219+Учет!U1220-U1220</f>
        <v>500000</v>
      </c>
      <c r="AA1220" s="45">
        <f>Учет!X1220</f>
        <v>500</v>
      </c>
    </row>
    <row r="1221" spans="1:27" ht="15" customHeight="1" x14ac:dyDescent="0.25">
      <c r="A1221" s="1"/>
      <c r="B1221" s="17"/>
      <c r="C1221" s="17"/>
      <c r="D1221" s="17"/>
      <c r="E1221" s="17"/>
      <c r="F1221" s="17"/>
      <c r="G1221" s="4">
        <f t="shared" si="54"/>
        <v>0</v>
      </c>
      <c r="H1221" s="17"/>
      <c r="I1221" s="4">
        <f t="shared" si="56"/>
        <v>349526.07999999996</v>
      </c>
      <c r="J1221" s="32" t="str">
        <f t="shared" si="55"/>
        <v/>
      </c>
      <c r="K1221" s="72"/>
      <c r="L1221" s="72"/>
      <c r="M1221" s="2"/>
      <c r="N1221" s="5"/>
      <c r="O1221" s="3"/>
      <c r="P1221" s="6"/>
      <c r="Q1221" s="48">
        <f>IF(Учет!$O1221=Справочники!$F$2,Учет!$H1221,0)</f>
        <v>0</v>
      </c>
      <c r="R1221" s="48">
        <f>IF(Учет!$O1221=Справочники!$F$3,Учет!$H1221,0)</f>
        <v>0</v>
      </c>
      <c r="S1221" s="48">
        <f>IF(Учет!$O1221=Справочники!$F$4,Учет!$H1221,0)</f>
        <v>0</v>
      </c>
      <c r="T1221" s="48">
        <f>IF(Учет!$O1221=Справочники!$F$5,Учет!$H1221,0)</f>
        <v>0</v>
      </c>
      <c r="U1221" s="48">
        <f>IF(Учет!$O1221=Справочники!$F$6,Учет!$H1221,0)</f>
        <v>0</v>
      </c>
      <c r="V1221" s="43">
        <f>V1220+Учет!Q1221-Q1221</f>
        <v>-488978.92000000004</v>
      </c>
      <c r="W1221" s="43">
        <f>W1220+Учет!R1221-R1221</f>
        <v>336855</v>
      </c>
      <c r="X1221" s="43">
        <f>X1220+Учет!S1221-S1221</f>
        <v>500</v>
      </c>
      <c r="Y1221" s="43">
        <f>Y1220+Учет!T1221-T1221</f>
        <v>1150</v>
      </c>
      <c r="Z1221" s="43">
        <f>Z1220+Учет!U1221-U1221</f>
        <v>500000</v>
      </c>
      <c r="AA1221" s="45">
        <f>Учет!X1221</f>
        <v>500</v>
      </c>
    </row>
    <row r="1222" spans="1:27" ht="15" customHeight="1" x14ac:dyDescent="0.25">
      <c r="A1222" s="1"/>
      <c r="B1222" s="17"/>
      <c r="C1222" s="17"/>
      <c r="D1222" s="17"/>
      <c r="E1222" s="17"/>
      <c r="F1222" s="17"/>
      <c r="G1222" s="4">
        <f t="shared" si="54"/>
        <v>0</v>
      </c>
      <c r="H1222" s="17"/>
      <c r="I1222" s="4">
        <f t="shared" si="56"/>
        <v>349526.07999999996</v>
      </c>
      <c r="J1222" s="32" t="str">
        <f t="shared" si="55"/>
        <v/>
      </c>
      <c r="K1222" s="72"/>
      <c r="L1222" s="72"/>
      <c r="M1222" s="2"/>
      <c r="N1222" s="5"/>
      <c r="O1222" s="3"/>
      <c r="P1222" s="6"/>
      <c r="Q1222" s="48">
        <f>IF(Учет!$O1222=Справочники!$F$2,Учет!$H1222,0)</f>
        <v>0</v>
      </c>
      <c r="R1222" s="48">
        <f>IF(Учет!$O1222=Справочники!$F$3,Учет!$H1222,0)</f>
        <v>0</v>
      </c>
      <c r="S1222" s="48">
        <f>IF(Учет!$O1222=Справочники!$F$4,Учет!$H1222,0)</f>
        <v>0</v>
      </c>
      <c r="T1222" s="48">
        <f>IF(Учет!$O1222=Справочники!$F$5,Учет!$H1222,0)</f>
        <v>0</v>
      </c>
      <c r="U1222" s="48">
        <f>IF(Учет!$O1222=Справочники!$F$6,Учет!$H1222,0)</f>
        <v>0</v>
      </c>
      <c r="V1222" s="43">
        <f>V1221+Учет!Q1222-Q1222</f>
        <v>-488978.92000000004</v>
      </c>
      <c r="W1222" s="43">
        <f>W1221+Учет!R1222-R1222</f>
        <v>336855</v>
      </c>
      <c r="X1222" s="43">
        <f>X1221+Учет!S1222-S1222</f>
        <v>500</v>
      </c>
      <c r="Y1222" s="43">
        <f>Y1221+Учет!T1222-T1222</f>
        <v>1150</v>
      </c>
      <c r="Z1222" s="43">
        <f>Z1221+Учет!U1222-U1222</f>
        <v>500000</v>
      </c>
      <c r="AA1222" s="45">
        <f>Учет!X1222</f>
        <v>500</v>
      </c>
    </row>
    <row r="1223" spans="1:27" ht="15" customHeight="1" x14ac:dyDescent="0.25">
      <c r="A1223" s="1"/>
      <c r="B1223" s="17"/>
      <c r="C1223" s="17"/>
      <c r="D1223" s="17"/>
      <c r="E1223" s="17"/>
      <c r="F1223" s="17"/>
      <c r="G1223" s="4">
        <f t="shared" si="54"/>
        <v>0</v>
      </c>
      <c r="H1223" s="17"/>
      <c r="I1223" s="4">
        <f t="shared" si="56"/>
        <v>349526.07999999996</v>
      </c>
      <c r="J1223" s="32" t="str">
        <f t="shared" si="55"/>
        <v/>
      </c>
      <c r="K1223" s="72"/>
      <c r="L1223" s="72"/>
      <c r="M1223" s="2"/>
      <c r="N1223" s="5"/>
      <c r="O1223" s="3"/>
      <c r="P1223" s="6"/>
      <c r="Q1223" s="48">
        <f>IF(Учет!$O1223=Справочники!$F$2,Учет!$H1223,0)</f>
        <v>0</v>
      </c>
      <c r="R1223" s="48">
        <f>IF(Учет!$O1223=Справочники!$F$3,Учет!$H1223,0)</f>
        <v>0</v>
      </c>
      <c r="S1223" s="48">
        <f>IF(Учет!$O1223=Справочники!$F$4,Учет!$H1223,0)</f>
        <v>0</v>
      </c>
      <c r="T1223" s="48">
        <f>IF(Учет!$O1223=Справочники!$F$5,Учет!$H1223,0)</f>
        <v>0</v>
      </c>
      <c r="U1223" s="48">
        <f>IF(Учет!$O1223=Справочники!$F$6,Учет!$H1223,0)</f>
        <v>0</v>
      </c>
      <c r="V1223" s="43">
        <f>V1222+Учет!Q1223-Q1223</f>
        <v>-488978.92000000004</v>
      </c>
      <c r="W1223" s="43">
        <f>W1222+Учет!R1223-R1223</f>
        <v>336855</v>
      </c>
      <c r="X1223" s="43">
        <f>X1222+Учет!S1223-S1223</f>
        <v>500</v>
      </c>
      <c r="Y1223" s="43">
        <f>Y1222+Учет!T1223-T1223</f>
        <v>1150</v>
      </c>
      <c r="Z1223" s="43">
        <f>Z1222+Учет!U1223-U1223</f>
        <v>500000</v>
      </c>
      <c r="AA1223" s="45">
        <f>Учет!X1223</f>
        <v>500</v>
      </c>
    </row>
    <row r="1224" spans="1:27" ht="15" customHeight="1" x14ac:dyDescent="0.25">
      <c r="A1224" s="1"/>
      <c r="B1224" s="17"/>
      <c r="C1224" s="17"/>
      <c r="D1224" s="17"/>
      <c r="E1224" s="17"/>
      <c r="F1224" s="17"/>
      <c r="G1224" s="4">
        <f t="shared" si="54"/>
        <v>0</v>
      </c>
      <c r="H1224" s="17"/>
      <c r="I1224" s="4">
        <f t="shared" si="56"/>
        <v>349526.07999999996</v>
      </c>
      <c r="J1224" s="32" t="str">
        <f t="shared" si="55"/>
        <v/>
      </c>
      <c r="K1224" s="72"/>
      <c r="L1224" s="72"/>
      <c r="M1224" s="2"/>
      <c r="N1224" s="5"/>
      <c r="O1224" s="3"/>
      <c r="P1224" s="6"/>
      <c r="Q1224" s="48">
        <f>IF(Учет!$O1224=Справочники!$F$2,Учет!$H1224,0)</f>
        <v>0</v>
      </c>
      <c r="R1224" s="48">
        <f>IF(Учет!$O1224=Справочники!$F$3,Учет!$H1224,0)</f>
        <v>0</v>
      </c>
      <c r="S1224" s="48">
        <f>IF(Учет!$O1224=Справочники!$F$4,Учет!$H1224,0)</f>
        <v>0</v>
      </c>
      <c r="T1224" s="48">
        <f>IF(Учет!$O1224=Справочники!$F$5,Учет!$H1224,0)</f>
        <v>0</v>
      </c>
      <c r="U1224" s="48">
        <f>IF(Учет!$O1224=Справочники!$F$6,Учет!$H1224,0)</f>
        <v>0</v>
      </c>
      <c r="V1224" s="43">
        <f>V1223+Учет!Q1224-Q1224</f>
        <v>-488978.92000000004</v>
      </c>
      <c r="W1224" s="43">
        <f>W1223+Учет!R1224-R1224</f>
        <v>336855</v>
      </c>
      <c r="X1224" s="43">
        <f>X1223+Учет!S1224-S1224</f>
        <v>500</v>
      </c>
      <c r="Y1224" s="43">
        <f>Y1223+Учет!T1224-T1224</f>
        <v>1150</v>
      </c>
      <c r="Z1224" s="43">
        <f>Z1223+Учет!U1224-U1224</f>
        <v>500000</v>
      </c>
      <c r="AA1224" s="45">
        <f>Учет!X1224</f>
        <v>500</v>
      </c>
    </row>
    <row r="1225" spans="1:27" ht="15" customHeight="1" x14ac:dyDescent="0.25">
      <c r="A1225" s="1"/>
      <c r="B1225" s="17"/>
      <c r="C1225" s="17"/>
      <c r="D1225" s="17"/>
      <c r="E1225" s="17"/>
      <c r="F1225" s="17"/>
      <c r="G1225" s="4">
        <f t="shared" si="54"/>
        <v>0</v>
      </c>
      <c r="H1225" s="17"/>
      <c r="I1225" s="4">
        <f t="shared" si="56"/>
        <v>349526.07999999996</v>
      </c>
      <c r="J1225" s="32" t="str">
        <f t="shared" si="55"/>
        <v/>
      </c>
      <c r="K1225" s="72"/>
      <c r="L1225" s="72"/>
      <c r="M1225" s="2"/>
      <c r="N1225" s="5"/>
      <c r="O1225" s="3"/>
      <c r="P1225" s="6"/>
      <c r="Q1225" s="48">
        <f>IF(Учет!$O1225=Справочники!$F$2,Учет!$H1225,0)</f>
        <v>0</v>
      </c>
      <c r="R1225" s="48">
        <f>IF(Учет!$O1225=Справочники!$F$3,Учет!$H1225,0)</f>
        <v>0</v>
      </c>
      <c r="S1225" s="48">
        <f>IF(Учет!$O1225=Справочники!$F$4,Учет!$H1225,0)</f>
        <v>0</v>
      </c>
      <c r="T1225" s="48">
        <f>IF(Учет!$O1225=Справочники!$F$5,Учет!$H1225,0)</f>
        <v>0</v>
      </c>
      <c r="U1225" s="48">
        <f>IF(Учет!$O1225=Справочники!$F$6,Учет!$H1225,0)</f>
        <v>0</v>
      </c>
      <c r="V1225" s="43">
        <f>V1224+Учет!Q1225-Q1225</f>
        <v>-488978.92000000004</v>
      </c>
      <c r="W1225" s="43">
        <f>W1224+Учет!R1225-R1225</f>
        <v>336855</v>
      </c>
      <c r="X1225" s="43">
        <f>X1224+Учет!S1225-S1225</f>
        <v>500</v>
      </c>
      <c r="Y1225" s="43">
        <f>Y1224+Учет!T1225-T1225</f>
        <v>1150</v>
      </c>
      <c r="Z1225" s="43">
        <f>Z1224+Учет!U1225-U1225</f>
        <v>500000</v>
      </c>
      <c r="AA1225" s="45">
        <f>Учет!X1225</f>
        <v>500</v>
      </c>
    </row>
    <row r="1226" spans="1:27" ht="15" customHeight="1" x14ac:dyDescent="0.25">
      <c r="A1226" s="1"/>
      <c r="B1226" s="17"/>
      <c r="C1226" s="17"/>
      <c r="D1226" s="17"/>
      <c r="E1226" s="17"/>
      <c r="F1226" s="17"/>
      <c r="G1226" s="4">
        <f t="shared" si="54"/>
        <v>0</v>
      </c>
      <c r="H1226" s="17"/>
      <c r="I1226" s="4">
        <f t="shared" si="56"/>
        <v>349526.07999999996</v>
      </c>
      <c r="J1226" s="32" t="str">
        <f t="shared" si="55"/>
        <v/>
      </c>
      <c r="K1226" s="72"/>
      <c r="L1226" s="72"/>
      <c r="M1226" s="2"/>
      <c r="N1226" s="5"/>
      <c r="O1226" s="3"/>
      <c r="P1226" s="6"/>
      <c r="Q1226" s="48">
        <f>IF(Учет!$O1226=Справочники!$F$2,Учет!$H1226,0)</f>
        <v>0</v>
      </c>
      <c r="R1226" s="48">
        <f>IF(Учет!$O1226=Справочники!$F$3,Учет!$H1226,0)</f>
        <v>0</v>
      </c>
      <c r="S1226" s="48">
        <f>IF(Учет!$O1226=Справочники!$F$4,Учет!$H1226,0)</f>
        <v>0</v>
      </c>
      <c r="T1226" s="48">
        <f>IF(Учет!$O1226=Справочники!$F$5,Учет!$H1226,0)</f>
        <v>0</v>
      </c>
      <c r="U1226" s="48">
        <f>IF(Учет!$O1226=Справочники!$F$6,Учет!$H1226,0)</f>
        <v>0</v>
      </c>
      <c r="V1226" s="43">
        <f>V1225+Учет!Q1226-Q1226</f>
        <v>-488978.92000000004</v>
      </c>
      <c r="W1226" s="43">
        <f>W1225+Учет!R1226-R1226</f>
        <v>336855</v>
      </c>
      <c r="X1226" s="43">
        <f>X1225+Учет!S1226-S1226</f>
        <v>500</v>
      </c>
      <c r="Y1226" s="43">
        <f>Y1225+Учет!T1226-T1226</f>
        <v>1150</v>
      </c>
      <c r="Z1226" s="43">
        <f>Z1225+Учет!U1226-U1226</f>
        <v>500000</v>
      </c>
      <c r="AA1226" s="45">
        <f>Учет!X1226</f>
        <v>500</v>
      </c>
    </row>
    <row r="1227" spans="1:27" ht="15" customHeight="1" x14ac:dyDescent="0.25">
      <c r="A1227" s="1"/>
      <c r="B1227" s="17"/>
      <c r="C1227" s="17"/>
      <c r="D1227" s="17"/>
      <c r="E1227" s="17"/>
      <c r="F1227" s="17"/>
      <c r="G1227" s="4">
        <f t="shared" si="54"/>
        <v>0</v>
      </c>
      <c r="H1227" s="17"/>
      <c r="I1227" s="4">
        <f t="shared" si="56"/>
        <v>349526.07999999996</v>
      </c>
      <c r="J1227" s="32" t="str">
        <f t="shared" si="55"/>
        <v/>
      </c>
      <c r="K1227" s="72"/>
      <c r="L1227" s="72"/>
      <c r="M1227" s="2"/>
      <c r="N1227" s="5"/>
      <c r="O1227" s="3"/>
      <c r="P1227" s="6"/>
      <c r="Q1227" s="48">
        <f>IF(Учет!$O1227=Справочники!$F$2,Учет!$H1227,0)</f>
        <v>0</v>
      </c>
      <c r="R1227" s="48">
        <f>IF(Учет!$O1227=Справочники!$F$3,Учет!$H1227,0)</f>
        <v>0</v>
      </c>
      <c r="S1227" s="48">
        <f>IF(Учет!$O1227=Справочники!$F$4,Учет!$H1227,0)</f>
        <v>0</v>
      </c>
      <c r="T1227" s="48">
        <f>IF(Учет!$O1227=Справочники!$F$5,Учет!$H1227,0)</f>
        <v>0</v>
      </c>
      <c r="U1227" s="48">
        <f>IF(Учет!$O1227=Справочники!$F$6,Учет!$H1227,0)</f>
        <v>0</v>
      </c>
      <c r="V1227" s="43">
        <f>V1226+Учет!Q1227-Q1227</f>
        <v>-488978.92000000004</v>
      </c>
      <c r="W1227" s="43">
        <f>W1226+Учет!R1227-R1227</f>
        <v>336855</v>
      </c>
      <c r="X1227" s="43">
        <f>X1226+Учет!S1227-S1227</f>
        <v>500</v>
      </c>
      <c r="Y1227" s="43">
        <f>Y1226+Учет!T1227-T1227</f>
        <v>1150</v>
      </c>
      <c r="Z1227" s="43">
        <f>Z1226+Учет!U1227-U1227</f>
        <v>500000</v>
      </c>
      <c r="AA1227" s="45">
        <f>Учет!X1227</f>
        <v>500</v>
      </c>
    </row>
    <row r="1228" spans="1:27" ht="15" customHeight="1" x14ac:dyDescent="0.25">
      <c r="A1228" s="1"/>
      <c r="B1228" s="17"/>
      <c r="C1228" s="17"/>
      <c r="D1228" s="17"/>
      <c r="E1228" s="17"/>
      <c r="F1228" s="17"/>
      <c r="G1228" s="4">
        <f t="shared" si="54"/>
        <v>0</v>
      </c>
      <c r="H1228" s="17"/>
      <c r="I1228" s="4">
        <f t="shared" si="56"/>
        <v>349526.07999999996</v>
      </c>
      <c r="J1228" s="32" t="str">
        <f t="shared" si="55"/>
        <v/>
      </c>
      <c r="K1228" s="72"/>
      <c r="L1228" s="72"/>
      <c r="M1228" s="2"/>
      <c r="N1228" s="5"/>
      <c r="O1228" s="3"/>
      <c r="P1228" s="6"/>
      <c r="Q1228" s="48">
        <f>IF(Учет!$O1228=Справочники!$F$2,Учет!$H1228,0)</f>
        <v>0</v>
      </c>
      <c r="R1228" s="48">
        <f>IF(Учет!$O1228=Справочники!$F$3,Учет!$H1228,0)</f>
        <v>0</v>
      </c>
      <c r="S1228" s="48">
        <f>IF(Учет!$O1228=Справочники!$F$4,Учет!$H1228,0)</f>
        <v>0</v>
      </c>
      <c r="T1228" s="48">
        <f>IF(Учет!$O1228=Справочники!$F$5,Учет!$H1228,0)</f>
        <v>0</v>
      </c>
      <c r="U1228" s="48">
        <f>IF(Учет!$O1228=Справочники!$F$6,Учет!$H1228,0)</f>
        <v>0</v>
      </c>
      <c r="V1228" s="43">
        <f>V1227+Учет!Q1228-Q1228</f>
        <v>-488978.92000000004</v>
      </c>
      <c r="W1228" s="43">
        <f>W1227+Учет!R1228-R1228</f>
        <v>336855</v>
      </c>
      <c r="X1228" s="43">
        <f>X1227+Учет!S1228-S1228</f>
        <v>500</v>
      </c>
      <c r="Y1228" s="43">
        <f>Y1227+Учет!T1228-T1228</f>
        <v>1150</v>
      </c>
      <c r="Z1228" s="43">
        <f>Z1227+Учет!U1228-U1228</f>
        <v>500000</v>
      </c>
      <c r="AA1228" s="45">
        <f>Учет!X1228</f>
        <v>500</v>
      </c>
    </row>
    <row r="1229" spans="1:27" ht="15" customHeight="1" x14ac:dyDescent="0.25">
      <c r="A1229" s="1"/>
      <c r="B1229" s="17"/>
      <c r="C1229" s="17"/>
      <c r="D1229" s="17"/>
      <c r="E1229" s="17"/>
      <c r="F1229" s="17"/>
      <c r="G1229" s="4">
        <f t="shared" si="54"/>
        <v>0</v>
      </c>
      <c r="H1229" s="17"/>
      <c r="I1229" s="4">
        <f t="shared" si="56"/>
        <v>349526.07999999996</v>
      </c>
      <c r="J1229" s="32" t="str">
        <f t="shared" si="55"/>
        <v/>
      </c>
      <c r="K1229" s="72"/>
      <c r="L1229" s="72"/>
      <c r="M1229" s="2"/>
      <c r="N1229" s="5"/>
      <c r="O1229" s="3"/>
      <c r="P1229" s="6"/>
      <c r="Q1229" s="48">
        <f>IF(Учет!$O1229=Справочники!$F$2,Учет!$H1229,0)</f>
        <v>0</v>
      </c>
      <c r="R1229" s="48">
        <f>IF(Учет!$O1229=Справочники!$F$3,Учет!$H1229,0)</f>
        <v>0</v>
      </c>
      <c r="S1229" s="48">
        <f>IF(Учет!$O1229=Справочники!$F$4,Учет!$H1229,0)</f>
        <v>0</v>
      </c>
      <c r="T1229" s="48">
        <f>IF(Учет!$O1229=Справочники!$F$5,Учет!$H1229,0)</f>
        <v>0</v>
      </c>
      <c r="U1229" s="48">
        <f>IF(Учет!$O1229=Справочники!$F$6,Учет!$H1229,0)</f>
        <v>0</v>
      </c>
      <c r="V1229" s="43">
        <f>V1228+Учет!Q1229-Q1229</f>
        <v>-488978.92000000004</v>
      </c>
      <c r="W1229" s="43">
        <f>W1228+Учет!R1229-R1229</f>
        <v>336855</v>
      </c>
      <c r="X1229" s="43">
        <f>X1228+Учет!S1229-S1229</f>
        <v>500</v>
      </c>
      <c r="Y1229" s="43">
        <f>Y1228+Учет!T1229-T1229</f>
        <v>1150</v>
      </c>
      <c r="Z1229" s="43">
        <f>Z1228+Учет!U1229-U1229</f>
        <v>500000</v>
      </c>
      <c r="AA1229" s="45">
        <f>Учет!X1229</f>
        <v>500</v>
      </c>
    </row>
    <row r="1230" spans="1:27" ht="15" customHeight="1" x14ac:dyDescent="0.25">
      <c r="A1230" s="1"/>
      <c r="B1230" s="17"/>
      <c r="C1230" s="17"/>
      <c r="D1230" s="17"/>
      <c r="E1230" s="17"/>
      <c r="F1230" s="17"/>
      <c r="G1230" s="4">
        <f t="shared" si="54"/>
        <v>0</v>
      </c>
      <c r="H1230" s="17"/>
      <c r="I1230" s="4">
        <f t="shared" si="56"/>
        <v>349526.07999999996</v>
      </c>
      <c r="J1230" s="32" t="str">
        <f t="shared" si="55"/>
        <v/>
      </c>
      <c r="K1230" s="72"/>
      <c r="L1230" s="72"/>
      <c r="M1230" s="2"/>
      <c r="N1230" s="5"/>
      <c r="O1230" s="3"/>
      <c r="P1230" s="6"/>
      <c r="Q1230" s="48">
        <f>IF(Учет!$O1230=Справочники!$F$2,Учет!$H1230,0)</f>
        <v>0</v>
      </c>
      <c r="R1230" s="48">
        <f>IF(Учет!$O1230=Справочники!$F$3,Учет!$H1230,0)</f>
        <v>0</v>
      </c>
      <c r="S1230" s="48">
        <f>IF(Учет!$O1230=Справочники!$F$4,Учет!$H1230,0)</f>
        <v>0</v>
      </c>
      <c r="T1230" s="48">
        <f>IF(Учет!$O1230=Справочники!$F$5,Учет!$H1230,0)</f>
        <v>0</v>
      </c>
      <c r="U1230" s="48">
        <f>IF(Учет!$O1230=Справочники!$F$6,Учет!$H1230,0)</f>
        <v>0</v>
      </c>
      <c r="V1230" s="43">
        <f>V1229+Учет!Q1230-Q1230</f>
        <v>-488978.92000000004</v>
      </c>
      <c r="W1230" s="43">
        <f>W1229+Учет!R1230-R1230</f>
        <v>336855</v>
      </c>
      <c r="X1230" s="43">
        <f>X1229+Учет!S1230-S1230</f>
        <v>500</v>
      </c>
      <c r="Y1230" s="43">
        <f>Y1229+Учет!T1230-T1230</f>
        <v>1150</v>
      </c>
      <c r="Z1230" s="43">
        <f>Z1229+Учет!U1230-U1230</f>
        <v>500000</v>
      </c>
      <c r="AA1230" s="45">
        <f>Учет!X1230</f>
        <v>500</v>
      </c>
    </row>
    <row r="1231" spans="1:27" ht="15" customHeight="1" x14ac:dyDescent="0.25">
      <c r="A1231" s="1"/>
      <c r="B1231" s="17"/>
      <c r="C1231" s="17"/>
      <c r="D1231" s="17"/>
      <c r="E1231" s="17"/>
      <c r="F1231" s="17"/>
      <c r="G1231" s="4">
        <f t="shared" si="54"/>
        <v>0</v>
      </c>
      <c r="H1231" s="17"/>
      <c r="I1231" s="4">
        <f t="shared" si="56"/>
        <v>349526.07999999996</v>
      </c>
      <c r="J1231" s="32" t="str">
        <f t="shared" si="55"/>
        <v/>
      </c>
      <c r="K1231" s="72"/>
      <c r="L1231" s="72"/>
      <c r="M1231" s="2"/>
      <c r="N1231" s="5"/>
      <c r="O1231" s="3"/>
      <c r="P1231" s="6"/>
      <c r="Q1231" s="48">
        <f>IF(Учет!$O1231=Справочники!$F$2,Учет!$H1231,0)</f>
        <v>0</v>
      </c>
      <c r="R1231" s="48">
        <f>IF(Учет!$O1231=Справочники!$F$3,Учет!$H1231,0)</f>
        <v>0</v>
      </c>
      <c r="S1231" s="48">
        <f>IF(Учет!$O1231=Справочники!$F$4,Учет!$H1231,0)</f>
        <v>0</v>
      </c>
      <c r="T1231" s="48">
        <f>IF(Учет!$O1231=Справочники!$F$5,Учет!$H1231,0)</f>
        <v>0</v>
      </c>
      <c r="U1231" s="48">
        <f>IF(Учет!$O1231=Справочники!$F$6,Учет!$H1231,0)</f>
        <v>0</v>
      </c>
      <c r="V1231" s="43">
        <f>V1230+Учет!Q1231-Q1231</f>
        <v>-488978.92000000004</v>
      </c>
      <c r="W1231" s="43">
        <f>W1230+Учет!R1231-R1231</f>
        <v>336855</v>
      </c>
      <c r="X1231" s="43">
        <f>X1230+Учет!S1231-S1231</f>
        <v>500</v>
      </c>
      <c r="Y1231" s="43">
        <f>Y1230+Учет!T1231-T1231</f>
        <v>1150</v>
      </c>
      <c r="Z1231" s="43">
        <f>Z1230+Учет!U1231-U1231</f>
        <v>500000</v>
      </c>
      <c r="AA1231" s="45">
        <f>Учет!X1231</f>
        <v>500</v>
      </c>
    </row>
    <row r="1232" spans="1:27" ht="15" customHeight="1" x14ac:dyDescent="0.25">
      <c r="A1232" s="1"/>
      <c r="B1232" s="17"/>
      <c r="C1232" s="17"/>
      <c r="D1232" s="17"/>
      <c r="E1232" s="17"/>
      <c r="F1232" s="17"/>
      <c r="G1232" s="4">
        <f t="shared" si="54"/>
        <v>0</v>
      </c>
      <c r="H1232" s="17"/>
      <c r="I1232" s="4">
        <f t="shared" si="56"/>
        <v>349526.07999999996</v>
      </c>
      <c r="J1232" s="32" t="str">
        <f t="shared" si="55"/>
        <v/>
      </c>
      <c r="K1232" s="72"/>
      <c r="L1232" s="72"/>
      <c r="M1232" s="2"/>
      <c r="N1232" s="5"/>
      <c r="O1232" s="3"/>
      <c r="P1232" s="6"/>
      <c r="Q1232" s="48">
        <f>IF(Учет!$O1232=Справочники!$F$2,Учет!$H1232,0)</f>
        <v>0</v>
      </c>
      <c r="R1232" s="48">
        <f>IF(Учет!$O1232=Справочники!$F$3,Учет!$H1232,0)</f>
        <v>0</v>
      </c>
      <c r="S1232" s="48">
        <f>IF(Учет!$O1232=Справочники!$F$4,Учет!$H1232,0)</f>
        <v>0</v>
      </c>
      <c r="T1232" s="48">
        <f>IF(Учет!$O1232=Справочники!$F$5,Учет!$H1232,0)</f>
        <v>0</v>
      </c>
      <c r="U1232" s="48">
        <f>IF(Учет!$O1232=Справочники!$F$6,Учет!$H1232,0)</f>
        <v>0</v>
      </c>
      <c r="V1232" s="43">
        <f>V1231+Учет!Q1232-Q1232</f>
        <v>-488978.92000000004</v>
      </c>
      <c r="W1232" s="43">
        <f>W1231+Учет!R1232-R1232</f>
        <v>336855</v>
      </c>
      <c r="X1232" s="43">
        <f>X1231+Учет!S1232-S1232</f>
        <v>500</v>
      </c>
      <c r="Y1232" s="43">
        <f>Y1231+Учет!T1232-T1232</f>
        <v>1150</v>
      </c>
      <c r="Z1232" s="43">
        <f>Z1231+Учет!U1232-U1232</f>
        <v>500000</v>
      </c>
      <c r="AA1232" s="45">
        <f>Учет!X1232</f>
        <v>500</v>
      </c>
    </row>
    <row r="1233" spans="1:27" ht="15" customHeight="1" x14ac:dyDescent="0.25">
      <c r="A1233" s="1"/>
      <c r="B1233" s="17"/>
      <c r="C1233" s="17"/>
      <c r="D1233" s="17"/>
      <c r="E1233" s="17"/>
      <c r="F1233" s="17"/>
      <c r="G1233" s="4">
        <f t="shared" si="54"/>
        <v>0</v>
      </c>
      <c r="H1233" s="17"/>
      <c r="I1233" s="4">
        <f t="shared" si="56"/>
        <v>349526.07999999996</v>
      </c>
      <c r="J1233" s="32" t="str">
        <f t="shared" si="55"/>
        <v/>
      </c>
      <c r="K1233" s="72"/>
      <c r="L1233" s="72"/>
      <c r="M1233" s="2"/>
      <c r="N1233" s="5"/>
      <c r="O1233" s="3"/>
      <c r="P1233" s="6"/>
      <c r="Q1233" s="48">
        <f>IF(Учет!$O1233=Справочники!$F$2,Учет!$H1233,0)</f>
        <v>0</v>
      </c>
      <c r="R1233" s="48">
        <f>IF(Учет!$O1233=Справочники!$F$3,Учет!$H1233,0)</f>
        <v>0</v>
      </c>
      <c r="S1233" s="48">
        <f>IF(Учет!$O1233=Справочники!$F$4,Учет!$H1233,0)</f>
        <v>0</v>
      </c>
      <c r="T1233" s="48">
        <f>IF(Учет!$O1233=Справочники!$F$5,Учет!$H1233,0)</f>
        <v>0</v>
      </c>
      <c r="U1233" s="48">
        <f>IF(Учет!$O1233=Справочники!$F$6,Учет!$H1233,0)</f>
        <v>0</v>
      </c>
      <c r="V1233" s="43">
        <f>V1232+Учет!Q1233-Q1233</f>
        <v>-488978.92000000004</v>
      </c>
      <c r="W1233" s="43">
        <f>W1232+Учет!R1233-R1233</f>
        <v>336855</v>
      </c>
      <c r="X1233" s="43">
        <f>X1232+Учет!S1233-S1233</f>
        <v>500</v>
      </c>
      <c r="Y1233" s="43">
        <f>Y1232+Учет!T1233-T1233</f>
        <v>1150</v>
      </c>
      <c r="Z1233" s="43">
        <f>Z1232+Учет!U1233-U1233</f>
        <v>500000</v>
      </c>
      <c r="AA1233" s="45">
        <f>Учет!X1233</f>
        <v>500</v>
      </c>
    </row>
    <row r="1234" spans="1:27" ht="15" customHeight="1" x14ac:dyDescent="0.25">
      <c r="A1234" s="1"/>
      <c r="B1234" s="17"/>
      <c r="C1234" s="17"/>
      <c r="D1234" s="17"/>
      <c r="E1234" s="17"/>
      <c r="F1234" s="17"/>
      <c r="G1234" s="4">
        <f t="shared" si="54"/>
        <v>0</v>
      </c>
      <c r="H1234" s="17"/>
      <c r="I1234" s="4">
        <f t="shared" si="56"/>
        <v>349526.07999999996</v>
      </c>
      <c r="J1234" s="32" t="str">
        <f t="shared" si="55"/>
        <v/>
      </c>
      <c r="K1234" s="72"/>
      <c r="L1234" s="72"/>
      <c r="M1234" s="2"/>
      <c r="N1234" s="5"/>
      <c r="O1234" s="3"/>
      <c r="P1234" s="6"/>
      <c r="Q1234" s="48">
        <f>IF(Учет!$O1234=Справочники!$F$2,Учет!$H1234,0)</f>
        <v>0</v>
      </c>
      <c r="R1234" s="48">
        <f>IF(Учет!$O1234=Справочники!$F$3,Учет!$H1234,0)</f>
        <v>0</v>
      </c>
      <c r="S1234" s="48">
        <f>IF(Учет!$O1234=Справочники!$F$4,Учет!$H1234,0)</f>
        <v>0</v>
      </c>
      <c r="T1234" s="48">
        <f>IF(Учет!$O1234=Справочники!$F$5,Учет!$H1234,0)</f>
        <v>0</v>
      </c>
      <c r="U1234" s="48">
        <f>IF(Учет!$O1234=Справочники!$F$6,Учет!$H1234,0)</f>
        <v>0</v>
      </c>
      <c r="V1234" s="43">
        <f>V1233+Учет!Q1234-Q1234</f>
        <v>-488978.92000000004</v>
      </c>
      <c r="W1234" s="43">
        <f>W1233+Учет!R1234-R1234</f>
        <v>336855</v>
      </c>
      <c r="X1234" s="43">
        <f>X1233+Учет!S1234-S1234</f>
        <v>500</v>
      </c>
      <c r="Y1234" s="43">
        <f>Y1233+Учет!T1234-T1234</f>
        <v>1150</v>
      </c>
      <c r="Z1234" s="43">
        <f>Z1233+Учет!U1234-U1234</f>
        <v>500000</v>
      </c>
      <c r="AA1234" s="45">
        <f>Учет!X1234</f>
        <v>500</v>
      </c>
    </row>
    <row r="1235" spans="1:27" ht="15" customHeight="1" x14ac:dyDescent="0.25">
      <c r="A1235" s="1"/>
      <c r="B1235" s="17"/>
      <c r="C1235" s="17"/>
      <c r="D1235" s="17"/>
      <c r="E1235" s="17"/>
      <c r="F1235" s="17"/>
      <c r="G1235" s="4">
        <f t="shared" si="54"/>
        <v>0</v>
      </c>
      <c r="H1235" s="17"/>
      <c r="I1235" s="4">
        <f t="shared" si="56"/>
        <v>349526.07999999996</v>
      </c>
      <c r="J1235" s="32" t="str">
        <f t="shared" si="55"/>
        <v/>
      </c>
      <c r="K1235" s="72"/>
      <c r="L1235" s="72"/>
      <c r="M1235" s="2"/>
      <c r="N1235" s="5"/>
      <c r="O1235" s="3"/>
      <c r="P1235" s="6"/>
      <c r="Q1235" s="48">
        <f>IF(Учет!$O1235=Справочники!$F$2,Учет!$H1235,0)</f>
        <v>0</v>
      </c>
      <c r="R1235" s="48">
        <f>IF(Учет!$O1235=Справочники!$F$3,Учет!$H1235,0)</f>
        <v>0</v>
      </c>
      <c r="S1235" s="48">
        <f>IF(Учет!$O1235=Справочники!$F$4,Учет!$H1235,0)</f>
        <v>0</v>
      </c>
      <c r="T1235" s="48">
        <f>IF(Учет!$O1235=Справочники!$F$5,Учет!$H1235,0)</f>
        <v>0</v>
      </c>
      <c r="U1235" s="48">
        <f>IF(Учет!$O1235=Справочники!$F$6,Учет!$H1235,0)</f>
        <v>0</v>
      </c>
      <c r="V1235" s="43">
        <f>V1234+Учет!Q1235-Q1235</f>
        <v>-488978.92000000004</v>
      </c>
      <c r="W1235" s="43">
        <f>W1234+Учет!R1235-R1235</f>
        <v>336855</v>
      </c>
      <c r="X1235" s="43">
        <f>X1234+Учет!S1235-S1235</f>
        <v>500</v>
      </c>
      <c r="Y1235" s="43">
        <f>Y1234+Учет!T1235-T1235</f>
        <v>1150</v>
      </c>
      <c r="Z1235" s="43">
        <f>Z1234+Учет!U1235-U1235</f>
        <v>500000</v>
      </c>
      <c r="AA1235" s="45">
        <f>Учет!X1235</f>
        <v>500</v>
      </c>
    </row>
    <row r="1236" spans="1:27" ht="15" customHeight="1" x14ac:dyDescent="0.25">
      <c r="A1236" s="1"/>
      <c r="B1236" s="17"/>
      <c r="C1236" s="17"/>
      <c r="D1236" s="17"/>
      <c r="E1236" s="17"/>
      <c r="F1236" s="17"/>
      <c r="G1236" s="4">
        <f t="shared" si="54"/>
        <v>0</v>
      </c>
      <c r="H1236" s="17"/>
      <c r="I1236" s="4">
        <f t="shared" si="56"/>
        <v>349526.07999999996</v>
      </c>
      <c r="J1236" s="32" t="str">
        <f t="shared" si="55"/>
        <v/>
      </c>
      <c r="K1236" s="72"/>
      <c r="L1236" s="72"/>
      <c r="M1236" s="2"/>
      <c r="N1236" s="5"/>
      <c r="O1236" s="3"/>
      <c r="P1236" s="6"/>
      <c r="Q1236" s="48">
        <f>IF(Учет!$O1236=Справочники!$F$2,Учет!$H1236,0)</f>
        <v>0</v>
      </c>
      <c r="R1236" s="48">
        <f>IF(Учет!$O1236=Справочники!$F$3,Учет!$H1236,0)</f>
        <v>0</v>
      </c>
      <c r="S1236" s="48">
        <f>IF(Учет!$O1236=Справочники!$F$4,Учет!$H1236,0)</f>
        <v>0</v>
      </c>
      <c r="T1236" s="48">
        <f>IF(Учет!$O1236=Справочники!$F$5,Учет!$H1236,0)</f>
        <v>0</v>
      </c>
      <c r="U1236" s="48">
        <f>IF(Учет!$O1236=Справочники!$F$6,Учет!$H1236,0)</f>
        <v>0</v>
      </c>
      <c r="V1236" s="43">
        <f>V1235+Учет!Q1236-Q1236</f>
        <v>-488978.92000000004</v>
      </c>
      <c r="W1236" s="43">
        <f>W1235+Учет!R1236-R1236</f>
        <v>336855</v>
      </c>
      <c r="X1236" s="43">
        <f>X1235+Учет!S1236-S1236</f>
        <v>500</v>
      </c>
      <c r="Y1236" s="43">
        <f>Y1235+Учет!T1236-T1236</f>
        <v>1150</v>
      </c>
      <c r="Z1236" s="43">
        <f>Z1235+Учет!U1236-U1236</f>
        <v>500000</v>
      </c>
      <c r="AA1236" s="45">
        <f>Учет!X1236</f>
        <v>500</v>
      </c>
    </row>
    <row r="1237" spans="1:27" ht="15" customHeight="1" x14ac:dyDescent="0.25">
      <c r="A1237" s="1"/>
      <c r="B1237" s="17"/>
      <c r="C1237" s="17"/>
      <c r="D1237" s="17"/>
      <c r="E1237" s="17"/>
      <c r="F1237" s="17"/>
      <c r="G1237" s="4">
        <f t="shared" si="54"/>
        <v>0</v>
      </c>
      <c r="H1237" s="17"/>
      <c r="I1237" s="4">
        <f t="shared" si="56"/>
        <v>349526.07999999996</v>
      </c>
      <c r="J1237" s="32" t="str">
        <f t="shared" si="55"/>
        <v/>
      </c>
      <c r="K1237" s="72"/>
      <c r="L1237" s="72"/>
      <c r="M1237" s="2"/>
      <c r="N1237" s="5"/>
      <c r="O1237" s="3"/>
      <c r="P1237" s="6"/>
      <c r="Q1237" s="48">
        <f>IF(Учет!$O1237=Справочники!$F$2,Учет!$H1237,0)</f>
        <v>0</v>
      </c>
      <c r="R1237" s="48">
        <f>IF(Учет!$O1237=Справочники!$F$3,Учет!$H1237,0)</f>
        <v>0</v>
      </c>
      <c r="S1237" s="48">
        <f>IF(Учет!$O1237=Справочники!$F$4,Учет!$H1237,0)</f>
        <v>0</v>
      </c>
      <c r="T1237" s="48">
        <f>IF(Учет!$O1237=Справочники!$F$5,Учет!$H1237,0)</f>
        <v>0</v>
      </c>
      <c r="U1237" s="48">
        <f>IF(Учет!$O1237=Справочники!$F$6,Учет!$H1237,0)</f>
        <v>0</v>
      </c>
      <c r="V1237" s="43">
        <f>V1236+Учет!Q1237-Q1237</f>
        <v>-488978.92000000004</v>
      </c>
      <c r="W1237" s="43">
        <f>W1236+Учет!R1237-R1237</f>
        <v>336855</v>
      </c>
      <c r="X1237" s="43">
        <f>X1236+Учет!S1237-S1237</f>
        <v>500</v>
      </c>
      <c r="Y1237" s="43">
        <f>Y1236+Учет!T1237-T1237</f>
        <v>1150</v>
      </c>
      <c r="Z1237" s="43">
        <f>Z1236+Учет!U1237-U1237</f>
        <v>500000</v>
      </c>
      <c r="AA1237" s="45">
        <f>Учет!X1237</f>
        <v>500</v>
      </c>
    </row>
    <row r="1238" spans="1:27" ht="15" customHeight="1" x14ac:dyDescent="0.25">
      <c r="A1238" s="1"/>
      <c r="B1238" s="17"/>
      <c r="C1238" s="17"/>
      <c r="D1238" s="17"/>
      <c r="E1238" s="17"/>
      <c r="F1238" s="17"/>
      <c r="G1238" s="4">
        <f t="shared" si="54"/>
        <v>0</v>
      </c>
      <c r="H1238" s="17"/>
      <c r="I1238" s="4">
        <f t="shared" si="56"/>
        <v>349526.07999999996</v>
      </c>
      <c r="J1238" s="32" t="str">
        <f t="shared" si="55"/>
        <v/>
      </c>
      <c r="K1238" s="72"/>
      <c r="L1238" s="72"/>
      <c r="M1238" s="2"/>
      <c r="N1238" s="5"/>
      <c r="O1238" s="3"/>
      <c r="P1238" s="6"/>
      <c r="Q1238" s="48">
        <f>IF(Учет!$O1238=Справочники!$F$2,Учет!$H1238,0)</f>
        <v>0</v>
      </c>
      <c r="R1238" s="48">
        <f>IF(Учет!$O1238=Справочники!$F$3,Учет!$H1238,0)</f>
        <v>0</v>
      </c>
      <c r="S1238" s="48">
        <f>IF(Учет!$O1238=Справочники!$F$4,Учет!$H1238,0)</f>
        <v>0</v>
      </c>
      <c r="T1238" s="48">
        <f>IF(Учет!$O1238=Справочники!$F$5,Учет!$H1238,0)</f>
        <v>0</v>
      </c>
      <c r="U1238" s="48">
        <f>IF(Учет!$O1238=Справочники!$F$6,Учет!$H1238,0)</f>
        <v>0</v>
      </c>
      <c r="V1238" s="43">
        <f>V1237+Учет!Q1238-Q1238</f>
        <v>-488978.92000000004</v>
      </c>
      <c r="W1238" s="43">
        <f>W1237+Учет!R1238-R1238</f>
        <v>336855</v>
      </c>
      <c r="X1238" s="43">
        <f>X1237+Учет!S1238-S1238</f>
        <v>500</v>
      </c>
      <c r="Y1238" s="43">
        <f>Y1237+Учет!T1238-T1238</f>
        <v>1150</v>
      </c>
      <c r="Z1238" s="43">
        <f>Z1237+Учет!U1238-U1238</f>
        <v>500000</v>
      </c>
      <c r="AA1238" s="45">
        <f>Учет!X1238</f>
        <v>500</v>
      </c>
    </row>
    <row r="1239" spans="1:27" ht="15" customHeight="1" x14ac:dyDescent="0.25">
      <c r="A1239" s="1"/>
      <c r="B1239" s="17"/>
      <c r="C1239" s="17"/>
      <c r="D1239" s="17"/>
      <c r="E1239" s="17"/>
      <c r="F1239" s="17"/>
      <c r="G1239" s="4">
        <f t="shared" si="54"/>
        <v>0</v>
      </c>
      <c r="H1239" s="17"/>
      <c r="I1239" s="4">
        <f t="shared" si="56"/>
        <v>349526.07999999996</v>
      </c>
      <c r="J1239" s="32" t="str">
        <f t="shared" si="55"/>
        <v/>
      </c>
      <c r="K1239" s="72"/>
      <c r="L1239" s="72"/>
      <c r="M1239" s="2"/>
      <c r="N1239" s="5"/>
      <c r="O1239" s="3"/>
      <c r="P1239" s="6"/>
      <c r="Q1239" s="48">
        <f>IF(Учет!$O1239=Справочники!$F$2,Учет!$H1239,0)</f>
        <v>0</v>
      </c>
      <c r="R1239" s="48">
        <f>IF(Учет!$O1239=Справочники!$F$3,Учет!$H1239,0)</f>
        <v>0</v>
      </c>
      <c r="S1239" s="48">
        <f>IF(Учет!$O1239=Справочники!$F$4,Учет!$H1239,0)</f>
        <v>0</v>
      </c>
      <c r="T1239" s="48">
        <f>IF(Учет!$O1239=Справочники!$F$5,Учет!$H1239,0)</f>
        <v>0</v>
      </c>
      <c r="U1239" s="48">
        <f>IF(Учет!$O1239=Справочники!$F$6,Учет!$H1239,0)</f>
        <v>0</v>
      </c>
      <c r="V1239" s="43">
        <f>V1238+Учет!Q1239-Q1239</f>
        <v>-488978.92000000004</v>
      </c>
      <c r="W1239" s="43">
        <f>W1238+Учет!R1239-R1239</f>
        <v>336855</v>
      </c>
      <c r="X1239" s="43">
        <f>X1238+Учет!S1239-S1239</f>
        <v>500</v>
      </c>
      <c r="Y1239" s="43">
        <f>Y1238+Учет!T1239-T1239</f>
        <v>1150</v>
      </c>
      <c r="Z1239" s="43">
        <f>Z1238+Учет!U1239-U1239</f>
        <v>500000</v>
      </c>
      <c r="AA1239" s="45">
        <f>Учет!X1239</f>
        <v>500</v>
      </c>
    </row>
    <row r="1240" spans="1:27" ht="15" customHeight="1" x14ac:dyDescent="0.25">
      <c r="A1240" s="1"/>
      <c r="B1240" s="17"/>
      <c r="C1240" s="17"/>
      <c r="D1240" s="17"/>
      <c r="E1240" s="17"/>
      <c r="F1240" s="17"/>
      <c r="G1240" s="4">
        <f t="shared" si="54"/>
        <v>0</v>
      </c>
      <c r="H1240" s="17"/>
      <c r="I1240" s="4">
        <f t="shared" si="56"/>
        <v>349526.07999999996</v>
      </c>
      <c r="J1240" s="32" t="str">
        <f t="shared" si="55"/>
        <v/>
      </c>
      <c r="K1240" s="72"/>
      <c r="L1240" s="72"/>
      <c r="M1240" s="2"/>
      <c r="N1240" s="5"/>
      <c r="O1240" s="3"/>
      <c r="P1240" s="6"/>
      <c r="Q1240" s="48">
        <f>IF(Учет!$O1240=Справочники!$F$2,Учет!$H1240,0)</f>
        <v>0</v>
      </c>
      <c r="R1240" s="48">
        <f>IF(Учет!$O1240=Справочники!$F$3,Учет!$H1240,0)</f>
        <v>0</v>
      </c>
      <c r="S1240" s="48">
        <f>IF(Учет!$O1240=Справочники!$F$4,Учет!$H1240,0)</f>
        <v>0</v>
      </c>
      <c r="T1240" s="48">
        <f>IF(Учет!$O1240=Справочники!$F$5,Учет!$H1240,0)</f>
        <v>0</v>
      </c>
      <c r="U1240" s="48">
        <f>IF(Учет!$O1240=Справочники!$F$6,Учет!$H1240,0)</f>
        <v>0</v>
      </c>
      <c r="V1240" s="43">
        <f>V1239+Учет!Q1240-Q1240</f>
        <v>-488978.92000000004</v>
      </c>
      <c r="W1240" s="43">
        <f>W1239+Учет!R1240-R1240</f>
        <v>336855</v>
      </c>
      <c r="X1240" s="43">
        <f>X1239+Учет!S1240-S1240</f>
        <v>500</v>
      </c>
      <c r="Y1240" s="43">
        <f>Y1239+Учет!T1240-T1240</f>
        <v>1150</v>
      </c>
      <c r="Z1240" s="43">
        <f>Z1239+Учет!U1240-U1240</f>
        <v>500000</v>
      </c>
      <c r="AA1240" s="45">
        <f>Учет!X1240</f>
        <v>500</v>
      </c>
    </row>
    <row r="1241" spans="1:27" ht="15" customHeight="1" x14ac:dyDescent="0.25">
      <c r="A1241" s="1"/>
      <c r="B1241" s="17"/>
      <c r="C1241" s="17"/>
      <c r="D1241" s="17"/>
      <c r="E1241" s="17"/>
      <c r="F1241" s="17"/>
      <c r="G1241" s="4">
        <f t="shared" si="54"/>
        <v>0</v>
      </c>
      <c r="H1241" s="17"/>
      <c r="I1241" s="4">
        <f t="shared" si="56"/>
        <v>349526.07999999996</v>
      </c>
      <c r="J1241" s="32" t="str">
        <f t="shared" si="55"/>
        <v/>
      </c>
      <c r="K1241" s="72"/>
      <c r="L1241" s="72"/>
      <c r="M1241" s="2"/>
      <c r="N1241" s="5"/>
      <c r="O1241" s="3"/>
      <c r="P1241" s="6"/>
      <c r="Q1241" s="48">
        <f>IF(Учет!$O1241=Справочники!$F$2,Учет!$H1241,0)</f>
        <v>0</v>
      </c>
      <c r="R1241" s="48">
        <f>IF(Учет!$O1241=Справочники!$F$3,Учет!$H1241,0)</f>
        <v>0</v>
      </c>
      <c r="S1241" s="48">
        <f>IF(Учет!$O1241=Справочники!$F$4,Учет!$H1241,0)</f>
        <v>0</v>
      </c>
      <c r="T1241" s="48">
        <f>IF(Учет!$O1241=Справочники!$F$5,Учет!$H1241,0)</f>
        <v>0</v>
      </c>
      <c r="U1241" s="48">
        <f>IF(Учет!$O1241=Справочники!$F$6,Учет!$H1241,0)</f>
        <v>0</v>
      </c>
      <c r="V1241" s="43">
        <f>V1240+Учет!Q1241-Q1241</f>
        <v>-488978.92000000004</v>
      </c>
      <c r="W1241" s="43">
        <f>W1240+Учет!R1241-R1241</f>
        <v>336855</v>
      </c>
      <c r="X1241" s="43">
        <f>X1240+Учет!S1241-S1241</f>
        <v>500</v>
      </c>
      <c r="Y1241" s="43">
        <f>Y1240+Учет!T1241-T1241</f>
        <v>1150</v>
      </c>
      <c r="Z1241" s="43">
        <f>Z1240+Учет!U1241-U1241</f>
        <v>500000</v>
      </c>
      <c r="AA1241" s="45">
        <f>Учет!X1241</f>
        <v>500</v>
      </c>
    </row>
    <row r="1242" spans="1:27" ht="15" customHeight="1" x14ac:dyDescent="0.25">
      <c r="A1242" s="1"/>
      <c r="B1242" s="17"/>
      <c r="C1242" s="17"/>
      <c r="D1242" s="17"/>
      <c r="E1242" s="17"/>
      <c r="F1242" s="17"/>
      <c r="G1242" s="4">
        <f t="shared" si="54"/>
        <v>0</v>
      </c>
      <c r="H1242" s="17"/>
      <c r="I1242" s="4">
        <f t="shared" si="56"/>
        <v>349526.07999999996</v>
      </c>
      <c r="J1242" s="32" t="str">
        <f t="shared" si="55"/>
        <v/>
      </c>
      <c r="K1242" s="72"/>
      <c r="L1242" s="72"/>
      <c r="M1242" s="2"/>
      <c r="N1242" s="5"/>
      <c r="O1242" s="3"/>
      <c r="P1242" s="6"/>
      <c r="Q1242" s="48">
        <f>IF(Учет!$O1242=Справочники!$F$2,Учет!$H1242,0)</f>
        <v>0</v>
      </c>
      <c r="R1242" s="48">
        <f>IF(Учет!$O1242=Справочники!$F$3,Учет!$H1242,0)</f>
        <v>0</v>
      </c>
      <c r="S1242" s="48">
        <f>IF(Учет!$O1242=Справочники!$F$4,Учет!$H1242,0)</f>
        <v>0</v>
      </c>
      <c r="T1242" s="48">
        <f>IF(Учет!$O1242=Справочники!$F$5,Учет!$H1242,0)</f>
        <v>0</v>
      </c>
      <c r="U1242" s="48">
        <f>IF(Учет!$O1242=Справочники!$F$6,Учет!$H1242,0)</f>
        <v>0</v>
      </c>
      <c r="V1242" s="43">
        <f>V1241+Учет!Q1242-Q1242</f>
        <v>-488978.92000000004</v>
      </c>
      <c r="W1242" s="43">
        <f>W1241+Учет!R1242-R1242</f>
        <v>336855</v>
      </c>
      <c r="X1242" s="43">
        <f>X1241+Учет!S1242-S1242</f>
        <v>500</v>
      </c>
      <c r="Y1242" s="43">
        <f>Y1241+Учет!T1242-T1242</f>
        <v>1150</v>
      </c>
      <c r="Z1242" s="43">
        <f>Z1241+Учет!U1242-U1242</f>
        <v>500000</v>
      </c>
      <c r="AA1242" s="45">
        <f>Учет!X1242</f>
        <v>500</v>
      </c>
    </row>
    <row r="1243" spans="1:27" ht="15" customHeight="1" x14ac:dyDescent="0.25">
      <c r="A1243" s="1"/>
      <c r="B1243" s="17"/>
      <c r="C1243" s="17"/>
      <c r="D1243" s="17"/>
      <c r="E1243" s="17"/>
      <c r="F1243" s="17"/>
      <c r="G1243" s="4">
        <f t="shared" si="54"/>
        <v>0</v>
      </c>
      <c r="H1243" s="17"/>
      <c r="I1243" s="4">
        <f t="shared" si="56"/>
        <v>349526.07999999996</v>
      </c>
      <c r="J1243" s="32" t="str">
        <f t="shared" si="55"/>
        <v/>
      </c>
      <c r="K1243" s="72"/>
      <c r="L1243" s="72"/>
      <c r="M1243" s="2"/>
      <c r="N1243" s="5"/>
      <c r="O1243" s="3"/>
      <c r="P1243" s="6"/>
      <c r="Q1243" s="48">
        <f>IF(Учет!$O1243=Справочники!$F$2,Учет!$H1243,0)</f>
        <v>0</v>
      </c>
      <c r="R1243" s="48">
        <f>IF(Учет!$O1243=Справочники!$F$3,Учет!$H1243,0)</f>
        <v>0</v>
      </c>
      <c r="S1243" s="48">
        <f>IF(Учет!$O1243=Справочники!$F$4,Учет!$H1243,0)</f>
        <v>0</v>
      </c>
      <c r="T1243" s="48">
        <f>IF(Учет!$O1243=Справочники!$F$5,Учет!$H1243,0)</f>
        <v>0</v>
      </c>
      <c r="U1243" s="48">
        <f>IF(Учет!$O1243=Справочники!$F$6,Учет!$H1243,0)</f>
        <v>0</v>
      </c>
      <c r="V1243" s="43">
        <f>V1242+Учет!Q1243-Q1243</f>
        <v>-488978.92000000004</v>
      </c>
      <c r="W1243" s="43">
        <f>W1242+Учет!R1243-R1243</f>
        <v>336855</v>
      </c>
      <c r="X1243" s="43">
        <f>X1242+Учет!S1243-S1243</f>
        <v>500</v>
      </c>
      <c r="Y1243" s="43">
        <f>Y1242+Учет!T1243-T1243</f>
        <v>1150</v>
      </c>
      <c r="Z1243" s="43">
        <f>Z1242+Учет!U1243-U1243</f>
        <v>500000</v>
      </c>
      <c r="AA1243" s="45">
        <f>Учет!X1243</f>
        <v>500</v>
      </c>
    </row>
    <row r="1244" spans="1:27" ht="15" customHeight="1" x14ac:dyDescent="0.25">
      <c r="A1244" s="1"/>
      <c r="B1244" s="17"/>
      <c r="C1244" s="17"/>
      <c r="D1244" s="17"/>
      <c r="E1244" s="17"/>
      <c r="F1244" s="17"/>
      <c r="G1244" s="4">
        <f t="shared" si="54"/>
        <v>0</v>
      </c>
      <c r="H1244" s="17"/>
      <c r="I1244" s="4">
        <f t="shared" si="56"/>
        <v>349526.07999999996</v>
      </c>
      <c r="J1244" s="32" t="str">
        <f t="shared" si="55"/>
        <v/>
      </c>
      <c r="K1244" s="72"/>
      <c r="L1244" s="72"/>
      <c r="M1244" s="2"/>
      <c r="N1244" s="5"/>
      <c r="O1244" s="3"/>
      <c r="P1244" s="6"/>
      <c r="Q1244" s="48">
        <f>IF(Учет!$O1244=Справочники!$F$2,Учет!$H1244,0)</f>
        <v>0</v>
      </c>
      <c r="R1244" s="48">
        <f>IF(Учет!$O1244=Справочники!$F$3,Учет!$H1244,0)</f>
        <v>0</v>
      </c>
      <c r="S1244" s="48">
        <f>IF(Учет!$O1244=Справочники!$F$4,Учет!$H1244,0)</f>
        <v>0</v>
      </c>
      <c r="T1244" s="48">
        <f>IF(Учет!$O1244=Справочники!$F$5,Учет!$H1244,0)</f>
        <v>0</v>
      </c>
      <c r="U1244" s="48">
        <f>IF(Учет!$O1244=Справочники!$F$6,Учет!$H1244,0)</f>
        <v>0</v>
      </c>
      <c r="V1244" s="43">
        <f>V1243+Учет!Q1244-Q1244</f>
        <v>-488978.92000000004</v>
      </c>
      <c r="W1244" s="43">
        <f>W1243+Учет!R1244-R1244</f>
        <v>336855</v>
      </c>
      <c r="X1244" s="43">
        <f>X1243+Учет!S1244-S1244</f>
        <v>500</v>
      </c>
      <c r="Y1244" s="43">
        <f>Y1243+Учет!T1244-T1244</f>
        <v>1150</v>
      </c>
      <c r="Z1244" s="43">
        <f>Z1243+Учет!U1244-U1244</f>
        <v>500000</v>
      </c>
      <c r="AA1244" s="45">
        <f>Учет!X1244</f>
        <v>500</v>
      </c>
    </row>
    <row r="1245" spans="1:27" ht="15" customHeight="1" x14ac:dyDescent="0.25">
      <c r="A1245" s="1"/>
      <c r="B1245" s="17"/>
      <c r="C1245" s="17"/>
      <c r="D1245" s="17"/>
      <c r="E1245" s="17"/>
      <c r="F1245" s="17"/>
      <c r="G1245" s="4">
        <f t="shared" si="54"/>
        <v>0</v>
      </c>
      <c r="H1245" s="17"/>
      <c r="I1245" s="4">
        <f t="shared" si="56"/>
        <v>349526.07999999996</v>
      </c>
      <c r="J1245" s="32" t="str">
        <f t="shared" si="55"/>
        <v/>
      </c>
      <c r="K1245" s="72"/>
      <c r="L1245" s="72"/>
      <c r="M1245" s="2"/>
      <c r="N1245" s="5"/>
      <c r="O1245" s="3"/>
      <c r="P1245" s="6"/>
      <c r="Q1245" s="48">
        <f>IF(Учет!$O1245=Справочники!$F$2,Учет!$H1245,0)</f>
        <v>0</v>
      </c>
      <c r="R1245" s="48">
        <f>IF(Учет!$O1245=Справочники!$F$3,Учет!$H1245,0)</f>
        <v>0</v>
      </c>
      <c r="S1245" s="48">
        <f>IF(Учет!$O1245=Справочники!$F$4,Учет!$H1245,0)</f>
        <v>0</v>
      </c>
      <c r="T1245" s="48">
        <f>IF(Учет!$O1245=Справочники!$F$5,Учет!$H1245,0)</f>
        <v>0</v>
      </c>
      <c r="U1245" s="48">
        <f>IF(Учет!$O1245=Справочники!$F$6,Учет!$H1245,0)</f>
        <v>0</v>
      </c>
      <c r="V1245" s="43">
        <f>V1244+Учет!Q1245-Q1245</f>
        <v>-488978.92000000004</v>
      </c>
      <c r="W1245" s="43">
        <f>W1244+Учет!R1245-R1245</f>
        <v>336855</v>
      </c>
      <c r="X1245" s="43">
        <f>X1244+Учет!S1245-S1245</f>
        <v>500</v>
      </c>
      <c r="Y1245" s="43">
        <f>Y1244+Учет!T1245-T1245</f>
        <v>1150</v>
      </c>
      <c r="Z1245" s="43">
        <f>Z1244+Учет!U1245-U1245</f>
        <v>500000</v>
      </c>
      <c r="AA1245" s="45">
        <f>Учет!X1245</f>
        <v>500</v>
      </c>
    </row>
    <row r="1246" spans="1:27" ht="15" customHeight="1" x14ac:dyDescent="0.25">
      <c r="A1246" s="1"/>
      <c r="B1246" s="17"/>
      <c r="C1246" s="17"/>
      <c r="D1246" s="17"/>
      <c r="E1246" s="17"/>
      <c r="F1246" s="17"/>
      <c r="G1246" s="4">
        <f t="shared" si="54"/>
        <v>0</v>
      </c>
      <c r="H1246" s="17"/>
      <c r="I1246" s="4">
        <f t="shared" si="56"/>
        <v>349526.07999999996</v>
      </c>
      <c r="J1246" s="32" t="str">
        <f t="shared" si="55"/>
        <v/>
      </c>
      <c r="K1246" s="72"/>
      <c r="L1246" s="72"/>
      <c r="M1246" s="2"/>
      <c r="N1246" s="5"/>
      <c r="O1246" s="3"/>
      <c r="P1246" s="6"/>
      <c r="Q1246" s="48">
        <f>IF(Учет!$O1246=Справочники!$F$2,Учет!$H1246,0)</f>
        <v>0</v>
      </c>
      <c r="R1246" s="48">
        <f>IF(Учет!$O1246=Справочники!$F$3,Учет!$H1246,0)</f>
        <v>0</v>
      </c>
      <c r="S1246" s="48">
        <f>IF(Учет!$O1246=Справочники!$F$4,Учет!$H1246,0)</f>
        <v>0</v>
      </c>
      <c r="T1246" s="48">
        <f>IF(Учет!$O1246=Справочники!$F$5,Учет!$H1246,0)</f>
        <v>0</v>
      </c>
      <c r="U1246" s="48">
        <f>IF(Учет!$O1246=Справочники!$F$6,Учет!$H1246,0)</f>
        <v>0</v>
      </c>
      <c r="V1246" s="43">
        <f>V1245+Учет!Q1246-Q1246</f>
        <v>-488978.92000000004</v>
      </c>
      <c r="W1246" s="43">
        <f>W1245+Учет!R1246-R1246</f>
        <v>336855</v>
      </c>
      <c r="X1246" s="43">
        <f>X1245+Учет!S1246-S1246</f>
        <v>500</v>
      </c>
      <c r="Y1246" s="43">
        <f>Y1245+Учет!T1246-T1246</f>
        <v>1150</v>
      </c>
      <c r="Z1246" s="43">
        <f>Z1245+Учет!U1246-U1246</f>
        <v>500000</v>
      </c>
      <c r="AA1246" s="45">
        <f>Учет!X1246</f>
        <v>500</v>
      </c>
    </row>
    <row r="1247" spans="1:27" ht="15" customHeight="1" x14ac:dyDescent="0.25">
      <c r="A1247" s="1"/>
      <c r="B1247" s="17"/>
      <c r="C1247" s="17"/>
      <c r="D1247" s="17"/>
      <c r="E1247" s="17"/>
      <c r="F1247" s="17"/>
      <c r="G1247" s="4">
        <f t="shared" si="54"/>
        <v>0</v>
      </c>
      <c r="H1247" s="17"/>
      <c r="I1247" s="4">
        <f t="shared" si="56"/>
        <v>349526.07999999996</v>
      </c>
      <c r="J1247" s="32" t="str">
        <f t="shared" si="55"/>
        <v/>
      </c>
      <c r="K1247" s="72"/>
      <c r="L1247" s="72"/>
      <c r="M1247" s="2"/>
      <c r="N1247" s="5"/>
      <c r="O1247" s="3"/>
      <c r="P1247" s="6"/>
      <c r="Q1247" s="48">
        <f>IF(Учет!$O1247=Справочники!$F$2,Учет!$H1247,0)</f>
        <v>0</v>
      </c>
      <c r="R1247" s="48">
        <f>IF(Учет!$O1247=Справочники!$F$3,Учет!$H1247,0)</f>
        <v>0</v>
      </c>
      <c r="S1247" s="48">
        <f>IF(Учет!$O1247=Справочники!$F$4,Учет!$H1247,0)</f>
        <v>0</v>
      </c>
      <c r="T1247" s="48">
        <f>IF(Учет!$O1247=Справочники!$F$5,Учет!$H1247,0)</f>
        <v>0</v>
      </c>
      <c r="U1247" s="48">
        <f>IF(Учет!$O1247=Справочники!$F$6,Учет!$H1247,0)</f>
        <v>0</v>
      </c>
      <c r="V1247" s="43">
        <f>V1246+Учет!Q1247-Q1247</f>
        <v>-488978.92000000004</v>
      </c>
      <c r="W1247" s="43">
        <f>W1246+Учет!R1247-R1247</f>
        <v>336855</v>
      </c>
      <c r="X1247" s="43">
        <f>X1246+Учет!S1247-S1247</f>
        <v>500</v>
      </c>
      <c r="Y1247" s="43">
        <f>Y1246+Учет!T1247-T1247</f>
        <v>1150</v>
      </c>
      <c r="Z1247" s="43">
        <f>Z1246+Учет!U1247-U1247</f>
        <v>500000</v>
      </c>
      <c r="AA1247" s="45">
        <f>Учет!X1247</f>
        <v>500</v>
      </c>
    </row>
    <row r="1248" spans="1:27" ht="15" customHeight="1" x14ac:dyDescent="0.25">
      <c r="A1248" s="1"/>
      <c r="B1248" s="17"/>
      <c r="C1248" s="17"/>
      <c r="D1248" s="17"/>
      <c r="E1248" s="17"/>
      <c r="F1248" s="17"/>
      <c r="G1248" s="4">
        <f t="shared" si="54"/>
        <v>0</v>
      </c>
      <c r="H1248" s="17"/>
      <c r="I1248" s="4">
        <f t="shared" si="56"/>
        <v>349526.07999999996</v>
      </c>
      <c r="J1248" s="32" t="str">
        <f t="shared" si="55"/>
        <v/>
      </c>
      <c r="K1248" s="72"/>
      <c r="L1248" s="72"/>
      <c r="M1248" s="2"/>
      <c r="N1248" s="5"/>
      <c r="O1248" s="3"/>
      <c r="P1248" s="6"/>
      <c r="Q1248" s="48">
        <f>IF(Учет!$O1248=Справочники!$F$2,Учет!$H1248,0)</f>
        <v>0</v>
      </c>
      <c r="R1248" s="48">
        <f>IF(Учет!$O1248=Справочники!$F$3,Учет!$H1248,0)</f>
        <v>0</v>
      </c>
      <c r="S1248" s="48">
        <f>IF(Учет!$O1248=Справочники!$F$4,Учет!$H1248,0)</f>
        <v>0</v>
      </c>
      <c r="T1248" s="48">
        <f>IF(Учет!$O1248=Справочники!$F$5,Учет!$H1248,0)</f>
        <v>0</v>
      </c>
      <c r="U1248" s="48">
        <f>IF(Учет!$O1248=Справочники!$F$6,Учет!$H1248,0)</f>
        <v>0</v>
      </c>
      <c r="V1248" s="43">
        <f>V1247+Учет!Q1248-Q1248</f>
        <v>-488978.92000000004</v>
      </c>
      <c r="W1248" s="43">
        <f>W1247+Учет!R1248-R1248</f>
        <v>336855</v>
      </c>
      <c r="X1248" s="43">
        <f>X1247+Учет!S1248-S1248</f>
        <v>500</v>
      </c>
      <c r="Y1248" s="43">
        <f>Y1247+Учет!T1248-T1248</f>
        <v>1150</v>
      </c>
      <c r="Z1248" s="43">
        <f>Z1247+Учет!U1248-U1248</f>
        <v>500000</v>
      </c>
      <c r="AA1248" s="45">
        <f>Учет!X1248</f>
        <v>500</v>
      </c>
    </row>
    <row r="1249" spans="1:27" ht="15" customHeight="1" x14ac:dyDescent="0.25">
      <c r="A1249" s="1"/>
      <c r="B1249" s="17"/>
      <c r="C1249" s="17"/>
      <c r="D1249" s="17"/>
      <c r="E1249" s="17"/>
      <c r="F1249" s="17"/>
      <c r="G1249" s="4">
        <f t="shared" si="54"/>
        <v>0</v>
      </c>
      <c r="H1249" s="17"/>
      <c r="I1249" s="4">
        <f t="shared" si="56"/>
        <v>349526.07999999996</v>
      </c>
      <c r="J1249" s="32" t="str">
        <f t="shared" si="55"/>
        <v/>
      </c>
      <c r="K1249" s="72"/>
      <c r="L1249" s="72"/>
      <c r="M1249" s="2"/>
      <c r="N1249" s="5"/>
      <c r="O1249" s="3"/>
      <c r="P1249" s="6"/>
      <c r="Q1249" s="48">
        <f>IF(Учет!$O1249=Справочники!$F$2,Учет!$H1249,0)</f>
        <v>0</v>
      </c>
      <c r="R1249" s="48">
        <f>IF(Учет!$O1249=Справочники!$F$3,Учет!$H1249,0)</f>
        <v>0</v>
      </c>
      <c r="S1249" s="48">
        <f>IF(Учет!$O1249=Справочники!$F$4,Учет!$H1249,0)</f>
        <v>0</v>
      </c>
      <c r="T1249" s="48">
        <f>IF(Учет!$O1249=Справочники!$F$5,Учет!$H1249,0)</f>
        <v>0</v>
      </c>
      <c r="U1249" s="48">
        <f>IF(Учет!$O1249=Справочники!$F$6,Учет!$H1249,0)</f>
        <v>0</v>
      </c>
      <c r="V1249" s="43">
        <f>V1248+Учет!Q1249-Q1249</f>
        <v>-488978.92000000004</v>
      </c>
      <c r="W1249" s="43">
        <f>W1248+Учет!R1249-R1249</f>
        <v>336855</v>
      </c>
      <c r="X1249" s="43">
        <f>X1248+Учет!S1249-S1249</f>
        <v>500</v>
      </c>
      <c r="Y1249" s="43">
        <f>Y1248+Учет!T1249-T1249</f>
        <v>1150</v>
      </c>
      <c r="Z1249" s="43">
        <f>Z1248+Учет!U1249-U1249</f>
        <v>500000</v>
      </c>
      <c r="AA1249" s="45">
        <f>Учет!X1249</f>
        <v>500</v>
      </c>
    </row>
    <row r="1250" spans="1:27" ht="15" customHeight="1" x14ac:dyDescent="0.25">
      <c r="A1250" s="1"/>
      <c r="B1250" s="17"/>
      <c r="C1250" s="17"/>
      <c r="D1250" s="17"/>
      <c r="E1250" s="17"/>
      <c r="F1250" s="17"/>
      <c r="G1250" s="4">
        <f t="shared" si="54"/>
        <v>0</v>
      </c>
      <c r="H1250" s="17"/>
      <c r="I1250" s="4">
        <f t="shared" si="56"/>
        <v>349526.07999999996</v>
      </c>
      <c r="J1250" s="32" t="str">
        <f t="shared" si="55"/>
        <v/>
      </c>
      <c r="K1250" s="72"/>
      <c r="L1250" s="72"/>
      <c r="M1250" s="2"/>
      <c r="N1250" s="5"/>
      <c r="O1250" s="3"/>
      <c r="P1250" s="6"/>
      <c r="Q1250" s="48">
        <f>IF(Учет!$O1250=Справочники!$F$2,Учет!$H1250,0)</f>
        <v>0</v>
      </c>
      <c r="R1250" s="48">
        <f>IF(Учет!$O1250=Справочники!$F$3,Учет!$H1250,0)</f>
        <v>0</v>
      </c>
      <c r="S1250" s="48">
        <f>IF(Учет!$O1250=Справочники!$F$4,Учет!$H1250,0)</f>
        <v>0</v>
      </c>
      <c r="T1250" s="48">
        <f>IF(Учет!$O1250=Справочники!$F$5,Учет!$H1250,0)</f>
        <v>0</v>
      </c>
      <c r="U1250" s="48">
        <f>IF(Учет!$O1250=Справочники!$F$6,Учет!$H1250,0)</f>
        <v>0</v>
      </c>
      <c r="V1250" s="43">
        <f>V1249+Учет!Q1250-Q1250</f>
        <v>-488978.92000000004</v>
      </c>
      <c r="W1250" s="43">
        <f>W1249+Учет!R1250-R1250</f>
        <v>336855</v>
      </c>
      <c r="X1250" s="43">
        <f>X1249+Учет!S1250-S1250</f>
        <v>500</v>
      </c>
      <c r="Y1250" s="43">
        <f>Y1249+Учет!T1250-T1250</f>
        <v>1150</v>
      </c>
      <c r="Z1250" s="43">
        <f>Z1249+Учет!U1250-U1250</f>
        <v>500000</v>
      </c>
      <c r="AA1250" s="45">
        <f>Учет!X1250</f>
        <v>500</v>
      </c>
    </row>
    <row r="1251" spans="1:27" ht="15" customHeight="1" x14ac:dyDescent="0.25">
      <c r="A1251" s="1"/>
      <c r="B1251" s="17"/>
      <c r="C1251" s="17"/>
      <c r="D1251" s="17"/>
      <c r="E1251" s="17"/>
      <c r="F1251" s="17"/>
      <c r="G1251" s="4">
        <f t="shared" si="54"/>
        <v>0</v>
      </c>
      <c r="H1251" s="17"/>
      <c r="I1251" s="4">
        <f t="shared" si="56"/>
        <v>349526.07999999996</v>
      </c>
      <c r="J1251" s="32" t="str">
        <f t="shared" si="55"/>
        <v/>
      </c>
      <c r="K1251" s="72"/>
      <c r="L1251" s="72"/>
      <c r="M1251" s="2"/>
      <c r="N1251" s="5"/>
      <c r="O1251" s="3"/>
      <c r="P1251" s="6"/>
      <c r="Q1251" s="48">
        <f>IF(Учет!$O1251=Справочники!$F$2,Учет!$H1251,0)</f>
        <v>0</v>
      </c>
      <c r="R1251" s="48">
        <f>IF(Учет!$O1251=Справочники!$F$3,Учет!$H1251,0)</f>
        <v>0</v>
      </c>
      <c r="S1251" s="48">
        <f>IF(Учет!$O1251=Справочники!$F$4,Учет!$H1251,0)</f>
        <v>0</v>
      </c>
      <c r="T1251" s="48">
        <f>IF(Учет!$O1251=Справочники!$F$5,Учет!$H1251,0)</f>
        <v>0</v>
      </c>
      <c r="U1251" s="48">
        <f>IF(Учет!$O1251=Справочники!$F$6,Учет!$H1251,0)</f>
        <v>0</v>
      </c>
      <c r="V1251" s="43">
        <f>V1250+Учет!Q1251-Q1251</f>
        <v>-488978.92000000004</v>
      </c>
      <c r="W1251" s="43">
        <f>W1250+Учет!R1251-R1251</f>
        <v>336855</v>
      </c>
      <c r="X1251" s="43">
        <f>X1250+Учет!S1251-S1251</f>
        <v>500</v>
      </c>
      <c r="Y1251" s="43">
        <f>Y1250+Учет!T1251-T1251</f>
        <v>1150</v>
      </c>
      <c r="Z1251" s="43">
        <f>Z1250+Учет!U1251-U1251</f>
        <v>500000</v>
      </c>
      <c r="AA1251" s="45">
        <f>Учет!X1251</f>
        <v>500</v>
      </c>
    </row>
    <row r="1252" spans="1:27" ht="15" customHeight="1" x14ac:dyDescent="0.25">
      <c r="A1252" s="1"/>
      <c r="B1252" s="17"/>
      <c r="C1252" s="17"/>
      <c r="D1252" s="17"/>
      <c r="E1252" s="17"/>
      <c r="F1252" s="17"/>
      <c r="G1252" s="4">
        <f t="shared" si="54"/>
        <v>0</v>
      </c>
      <c r="H1252" s="17"/>
      <c r="I1252" s="4">
        <f t="shared" si="56"/>
        <v>349526.07999999996</v>
      </c>
      <c r="J1252" s="32" t="str">
        <f t="shared" si="55"/>
        <v/>
      </c>
      <c r="K1252" s="72"/>
      <c r="L1252" s="72"/>
      <c r="M1252" s="2"/>
      <c r="N1252" s="5"/>
      <c r="O1252" s="3"/>
      <c r="P1252" s="6"/>
      <c r="Q1252" s="48">
        <f>IF(Учет!$O1252=Справочники!$F$2,Учет!$H1252,0)</f>
        <v>0</v>
      </c>
      <c r="R1252" s="48">
        <f>IF(Учет!$O1252=Справочники!$F$3,Учет!$H1252,0)</f>
        <v>0</v>
      </c>
      <c r="S1252" s="48">
        <f>IF(Учет!$O1252=Справочники!$F$4,Учет!$H1252,0)</f>
        <v>0</v>
      </c>
      <c r="T1252" s="48">
        <f>IF(Учет!$O1252=Справочники!$F$5,Учет!$H1252,0)</f>
        <v>0</v>
      </c>
      <c r="U1252" s="48">
        <f>IF(Учет!$O1252=Справочники!$F$6,Учет!$H1252,0)</f>
        <v>0</v>
      </c>
      <c r="V1252" s="43">
        <f>V1251+Учет!Q1252-Q1252</f>
        <v>-488978.92000000004</v>
      </c>
      <c r="W1252" s="43">
        <f>W1251+Учет!R1252-R1252</f>
        <v>336855</v>
      </c>
      <c r="X1252" s="43">
        <f>X1251+Учет!S1252-S1252</f>
        <v>500</v>
      </c>
      <c r="Y1252" s="43">
        <f>Y1251+Учет!T1252-T1252</f>
        <v>1150</v>
      </c>
      <c r="Z1252" s="43">
        <f>Z1251+Учет!U1252-U1252</f>
        <v>500000</v>
      </c>
      <c r="AA1252" s="45">
        <f>Учет!X1252</f>
        <v>500</v>
      </c>
    </row>
    <row r="1253" spans="1:27" ht="15" customHeight="1" x14ac:dyDescent="0.25">
      <c r="A1253" s="1"/>
      <c r="B1253" s="17"/>
      <c r="C1253" s="17"/>
      <c r="D1253" s="17"/>
      <c r="E1253" s="17"/>
      <c r="F1253" s="17"/>
      <c r="G1253" s="4">
        <f t="shared" si="54"/>
        <v>0</v>
      </c>
      <c r="H1253" s="17"/>
      <c r="I1253" s="4">
        <f t="shared" si="56"/>
        <v>349526.07999999996</v>
      </c>
      <c r="J1253" s="32" t="str">
        <f t="shared" si="55"/>
        <v/>
      </c>
      <c r="K1253" s="72"/>
      <c r="L1253" s="72"/>
      <c r="M1253" s="2"/>
      <c r="N1253" s="5"/>
      <c r="O1253" s="3"/>
      <c r="P1253" s="6"/>
      <c r="Q1253" s="48">
        <f>IF(Учет!$O1253=Справочники!$F$2,Учет!$H1253,0)</f>
        <v>0</v>
      </c>
      <c r="R1253" s="48">
        <f>IF(Учет!$O1253=Справочники!$F$3,Учет!$H1253,0)</f>
        <v>0</v>
      </c>
      <c r="S1253" s="48">
        <f>IF(Учет!$O1253=Справочники!$F$4,Учет!$H1253,0)</f>
        <v>0</v>
      </c>
      <c r="T1253" s="48">
        <f>IF(Учет!$O1253=Справочники!$F$5,Учет!$H1253,0)</f>
        <v>0</v>
      </c>
      <c r="U1253" s="48">
        <f>IF(Учет!$O1253=Справочники!$F$6,Учет!$H1253,0)</f>
        <v>0</v>
      </c>
      <c r="V1253" s="43">
        <f>V1252+Учет!Q1253-Q1253</f>
        <v>-488978.92000000004</v>
      </c>
      <c r="W1253" s="43">
        <f>W1252+Учет!R1253-R1253</f>
        <v>336855</v>
      </c>
      <c r="X1253" s="43">
        <f>X1252+Учет!S1253-S1253</f>
        <v>500</v>
      </c>
      <c r="Y1253" s="43">
        <f>Y1252+Учет!T1253-T1253</f>
        <v>1150</v>
      </c>
      <c r="Z1253" s="43">
        <f>Z1252+Учет!U1253-U1253</f>
        <v>500000</v>
      </c>
      <c r="AA1253" s="45">
        <f>Учет!X1253</f>
        <v>500</v>
      </c>
    </row>
    <row r="1254" spans="1:27" ht="15" customHeight="1" x14ac:dyDescent="0.25">
      <c r="A1254" s="1"/>
      <c r="B1254" s="17"/>
      <c r="C1254" s="17"/>
      <c r="D1254" s="17"/>
      <c r="E1254" s="17"/>
      <c r="F1254" s="17"/>
      <c r="G1254" s="4">
        <f t="shared" si="54"/>
        <v>0</v>
      </c>
      <c r="H1254" s="17"/>
      <c r="I1254" s="4">
        <f t="shared" si="56"/>
        <v>349526.07999999996</v>
      </c>
      <c r="J1254" s="32" t="str">
        <f t="shared" si="55"/>
        <v/>
      </c>
      <c r="K1254" s="72"/>
      <c r="L1254" s="72"/>
      <c r="M1254" s="2"/>
      <c r="N1254" s="5"/>
      <c r="O1254" s="3"/>
      <c r="P1254" s="6"/>
      <c r="Q1254" s="48">
        <f>IF(Учет!$O1254=Справочники!$F$2,Учет!$H1254,0)</f>
        <v>0</v>
      </c>
      <c r="R1254" s="48">
        <f>IF(Учет!$O1254=Справочники!$F$3,Учет!$H1254,0)</f>
        <v>0</v>
      </c>
      <c r="S1254" s="48">
        <f>IF(Учет!$O1254=Справочники!$F$4,Учет!$H1254,0)</f>
        <v>0</v>
      </c>
      <c r="T1254" s="48">
        <f>IF(Учет!$O1254=Справочники!$F$5,Учет!$H1254,0)</f>
        <v>0</v>
      </c>
      <c r="U1254" s="48">
        <f>IF(Учет!$O1254=Справочники!$F$6,Учет!$H1254,0)</f>
        <v>0</v>
      </c>
      <c r="V1254" s="43">
        <f>V1253+Учет!Q1254-Q1254</f>
        <v>-488978.92000000004</v>
      </c>
      <c r="W1254" s="43">
        <f>W1253+Учет!R1254-R1254</f>
        <v>336855</v>
      </c>
      <c r="X1254" s="43">
        <f>X1253+Учет!S1254-S1254</f>
        <v>500</v>
      </c>
      <c r="Y1254" s="43">
        <f>Y1253+Учет!T1254-T1254</f>
        <v>1150</v>
      </c>
      <c r="Z1254" s="43">
        <f>Z1253+Учет!U1254-U1254</f>
        <v>500000</v>
      </c>
      <c r="AA1254" s="45">
        <f>Учет!X1254</f>
        <v>500</v>
      </c>
    </row>
    <row r="1255" spans="1:27" ht="15" customHeight="1" x14ac:dyDescent="0.25">
      <c r="A1255" s="1"/>
      <c r="B1255" s="17"/>
      <c r="C1255" s="17"/>
      <c r="D1255" s="17"/>
      <c r="E1255" s="17"/>
      <c r="F1255" s="17"/>
      <c r="G1255" s="4">
        <f t="shared" si="54"/>
        <v>0</v>
      </c>
      <c r="H1255" s="17"/>
      <c r="I1255" s="4">
        <f t="shared" si="56"/>
        <v>349526.07999999996</v>
      </c>
      <c r="J1255" s="32" t="str">
        <f t="shared" si="55"/>
        <v/>
      </c>
      <c r="K1255" s="72"/>
      <c r="L1255" s="72"/>
      <c r="M1255" s="2"/>
      <c r="N1255" s="5"/>
      <c r="O1255" s="3"/>
      <c r="P1255" s="6"/>
      <c r="Q1255" s="48">
        <f>IF(Учет!$O1255=Справочники!$F$2,Учет!$H1255,0)</f>
        <v>0</v>
      </c>
      <c r="R1255" s="48">
        <f>IF(Учет!$O1255=Справочники!$F$3,Учет!$H1255,0)</f>
        <v>0</v>
      </c>
      <c r="S1255" s="48">
        <f>IF(Учет!$O1255=Справочники!$F$4,Учет!$H1255,0)</f>
        <v>0</v>
      </c>
      <c r="T1255" s="48">
        <f>IF(Учет!$O1255=Справочники!$F$5,Учет!$H1255,0)</f>
        <v>0</v>
      </c>
      <c r="U1255" s="48">
        <f>IF(Учет!$O1255=Справочники!$F$6,Учет!$H1255,0)</f>
        <v>0</v>
      </c>
      <c r="V1255" s="43">
        <f>V1254+Учет!Q1255-Q1255</f>
        <v>-488978.92000000004</v>
      </c>
      <c r="W1255" s="43">
        <f>W1254+Учет!R1255-R1255</f>
        <v>336855</v>
      </c>
      <c r="X1255" s="43">
        <f>X1254+Учет!S1255-S1255</f>
        <v>500</v>
      </c>
      <c r="Y1255" s="43">
        <f>Y1254+Учет!T1255-T1255</f>
        <v>1150</v>
      </c>
      <c r="Z1255" s="43">
        <f>Z1254+Учет!U1255-U1255</f>
        <v>500000</v>
      </c>
      <c r="AA1255" s="45">
        <f>Учет!X1255</f>
        <v>500</v>
      </c>
    </row>
    <row r="1256" spans="1:27" ht="15" customHeight="1" x14ac:dyDescent="0.25">
      <c r="A1256" s="1"/>
      <c r="B1256" s="17"/>
      <c r="C1256" s="17"/>
      <c r="D1256" s="17"/>
      <c r="E1256" s="17"/>
      <c r="F1256" s="17"/>
      <c r="G1256" s="4">
        <f t="shared" si="54"/>
        <v>0</v>
      </c>
      <c r="H1256" s="17"/>
      <c r="I1256" s="4">
        <f t="shared" si="56"/>
        <v>349526.07999999996</v>
      </c>
      <c r="J1256" s="32" t="str">
        <f t="shared" si="55"/>
        <v/>
      </c>
      <c r="K1256" s="72"/>
      <c r="L1256" s="72"/>
      <c r="M1256" s="2"/>
      <c r="N1256" s="5"/>
      <c r="O1256" s="3"/>
      <c r="P1256" s="6"/>
      <c r="Q1256" s="48">
        <f>IF(Учет!$O1256=Справочники!$F$2,Учет!$H1256,0)</f>
        <v>0</v>
      </c>
      <c r="R1256" s="48">
        <f>IF(Учет!$O1256=Справочники!$F$3,Учет!$H1256,0)</f>
        <v>0</v>
      </c>
      <c r="S1256" s="48">
        <f>IF(Учет!$O1256=Справочники!$F$4,Учет!$H1256,0)</f>
        <v>0</v>
      </c>
      <c r="T1256" s="48">
        <f>IF(Учет!$O1256=Справочники!$F$5,Учет!$H1256,0)</f>
        <v>0</v>
      </c>
      <c r="U1256" s="48">
        <f>IF(Учет!$O1256=Справочники!$F$6,Учет!$H1256,0)</f>
        <v>0</v>
      </c>
      <c r="V1256" s="43">
        <f>V1255+Учет!Q1256-Q1256</f>
        <v>-488978.92000000004</v>
      </c>
      <c r="W1256" s="43">
        <f>W1255+Учет!R1256-R1256</f>
        <v>336855</v>
      </c>
      <c r="X1256" s="43">
        <f>X1255+Учет!S1256-S1256</f>
        <v>500</v>
      </c>
      <c r="Y1256" s="43">
        <f>Y1255+Учет!T1256-T1256</f>
        <v>1150</v>
      </c>
      <c r="Z1256" s="43">
        <f>Z1255+Учет!U1256-U1256</f>
        <v>500000</v>
      </c>
      <c r="AA1256" s="45">
        <f>Учет!X1256</f>
        <v>500</v>
      </c>
    </row>
    <row r="1257" spans="1:27" ht="15" customHeight="1" x14ac:dyDescent="0.25">
      <c r="A1257" s="1"/>
      <c r="B1257" s="17"/>
      <c r="C1257" s="17"/>
      <c r="D1257" s="17"/>
      <c r="E1257" s="17"/>
      <c r="F1257" s="17"/>
      <c r="G1257" s="4">
        <f t="shared" si="54"/>
        <v>0</v>
      </c>
      <c r="H1257" s="17"/>
      <c r="I1257" s="4">
        <f t="shared" si="56"/>
        <v>349526.07999999996</v>
      </c>
      <c r="J1257" s="32" t="str">
        <f t="shared" si="55"/>
        <v/>
      </c>
      <c r="K1257" s="72"/>
      <c r="L1257" s="72"/>
      <c r="M1257" s="2"/>
      <c r="N1257" s="5"/>
      <c r="O1257" s="3"/>
      <c r="P1257" s="6"/>
      <c r="Q1257" s="48">
        <f>IF(Учет!$O1257=Справочники!$F$2,Учет!$H1257,0)</f>
        <v>0</v>
      </c>
      <c r="R1257" s="48">
        <f>IF(Учет!$O1257=Справочники!$F$3,Учет!$H1257,0)</f>
        <v>0</v>
      </c>
      <c r="S1257" s="48">
        <f>IF(Учет!$O1257=Справочники!$F$4,Учет!$H1257,0)</f>
        <v>0</v>
      </c>
      <c r="T1257" s="48">
        <f>IF(Учет!$O1257=Справочники!$F$5,Учет!$H1257,0)</f>
        <v>0</v>
      </c>
      <c r="U1257" s="48">
        <f>IF(Учет!$O1257=Справочники!$F$6,Учет!$H1257,0)</f>
        <v>0</v>
      </c>
      <c r="V1257" s="43">
        <f>V1256+Учет!Q1257-Q1257</f>
        <v>-488978.92000000004</v>
      </c>
      <c r="W1257" s="43">
        <f>W1256+Учет!R1257-R1257</f>
        <v>336855</v>
      </c>
      <c r="X1257" s="43">
        <f>X1256+Учет!S1257-S1257</f>
        <v>500</v>
      </c>
      <c r="Y1257" s="43">
        <f>Y1256+Учет!T1257-T1257</f>
        <v>1150</v>
      </c>
      <c r="Z1257" s="43">
        <f>Z1256+Учет!U1257-U1257</f>
        <v>500000</v>
      </c>
      <c r="AA1257" s="45">
        <f>Учет!X1257</f>
        <v>500</v>
      </c>
    </row>
    <row r="1258" spans="1:27" ht="15" customHeight="1" x14ac:dyDescent="0.25">
      <c r="A1258" s="1"/>
      <c r="B1258" s="17"/>
      <c r="C1258" s="17"/>
      <c r="D1258" s="17"/>
      <c r="E1258" s="17"/>
      <c r="F1258" s="17"/>
      <c r="G1258" s="4">
        <f t="shared" si="54"/>
        <v>0</v>
      </c>
      <c r="H1258" s="17"/>
      <c r="I1258" s="4">
        <f t="shared" si="56"/>
        <v>349526.07999999996</v>
      </c>
      <c r="J1258" s="32" t="str">
        <f t="shared" si="55"/>
        <v/>
      </c>
      <c r="K1258" s="72"/>
      <c r="L1258" s="72"/>
      <c r="M1258" s="2"/>
      <c r="N1258" s="5"/>
      <c r="O1258" s="3"/>
      <c r="P1258" s="6"/>
      <c r="Q1258" s="48">
        <f>IF(Учет!$O1258=Справочники!$F$2,Учет!$H1258,0)</f>
        <v>0</v>
      </c>
      <c r="R1258" s="48">
        <f>IF(Учет!$O1258=Справочники!$F$3,Учет!$H1258,0)</f>
        <v>0</v>
      </c>
      <c r="S1258" s="48">
        <f>IF(Учет!$O1258=Справочники!$F$4,Учет!$H1258,0)</f>
        <v>0</v>
      </c>
      <c r="T1258" s="48">
        <f>IF(Учет!$O1258=Справочники!$F$5,Учет!$H1258,0)</f>
        <v>0</v>
      </c>
      <c r="U1258" s="48">
        <f>IF(Учет!$O1258=Справочники!$F$6,Учет!$H1258,0)</f>
        <v>0</v>
      </c>
      <c r="V1258" s="43">
        <f>V1257+Учет!Q1258-Q1258</f>
        <v>-488978.92000000004</v>
      </c>
      <c r="W1258" s="43">
        <f>W1257+Учет!R1258-R1258</f>
        <v>336855</v>
      </c>
      <c r="X1258" s="43">
        <f>X1257+Учет!S1258-S1258</f>
        <v>500</v>
      </c>
      <c r="Y1258" s="43">
        <f>Y1257+Учет!T1258-T1258</f>
        <v>1150</v>
      </c>
      <c r="Z1258" s="43">
        <f>Z1257+Учет!U1258-U1258</f>
        <v>500000</v>
      </c>
      <c r="AA1258" s="45">
        <f>Учет!X1258</f>
        <v>500</v>
      </c>
    </row>
    <row r="1259" spans="1:27" ht="15" customHeight="1" x14ac:dyDescent="0.25">
      <c r="A1259" s="1"/>
      <c r="B1259" s="17"/>
      <c r="C1259" s="17"/>
      <c r="D1259" s="17"/>
      <c r="E1259" s="17"/>
      <c r="F1259" s="17"/>
      <c r="G1259" s="4">
        <f t="shared" si="54"/>
        <v>0</v>
      </c>
      <c r="H1259" s="17"/>
      <c r="I1259" s="4">
        <f t="shared" si="56"/>
        <v>349526.07999999996</v>
      </c>
      <c r="J1259" s="32" t="str">
        <f t="shared" si="55"/>
        <v/>
      </c>
      <c r="K1259" s="72"/>
      <c r="L1259" s="72"/>
      <c r="M1259" s="2"/>
      <c r="N1259" s="5"/>
      <c r="O1259" s="3"/>
      <c r="P1259" s="6"/>
      <c r="Q1259" s="48">
        <f>IF(Учет!$O1259=Справочники!$F$2,Учет!$H1259,0)</f>
        <v>0</v>
      </c>
      <c r="R1259" s="48">
        <f>IF(Учет!$O1259=Справочники!$F$3,Учет!$H1259,0)</f>
        <v>0</v>
      </c>
      <c r="S1259" s="48">
        <f>IF(Учет!$O1259=Справочники!$F$4,Учет!$H1259,0)</f>
        <v>0</v>
      </c>
      <c r="T1259" s="48">
        <f>IF(Учет!$O1259=Справочники!$F$5,Учет!$H1259,0)</f>
        <v>0</v>
      </c>
      <c r="U1259" s="48">
        <f>IF(Учет!$O1259=Справочники!$F$6,Учет!$H1259,0)</f>
        <v>0</v>
      </c>
      <c r="V1259" s="43">
        <f>V1258+Учет!Q1259-Q1259</f>
        <v>-488978.92000000004</v>
      </c>
      <c r="W1259" s="43">
        <f>W1258+Учет!R1259-R1259</f>
        <v>336855</v>
      </c>
      <c r="X1259" s="43">
        <f>X1258+Учет!S1259-S1259</f>
        <v>500</v>
      </c>
      <c r="Y1259" s="43">
        <f>Y1258+Учет!T1259-T1259</f>
        <v>1150</v>
      </c>
      <c r="Z1259" s="43">
        <f>Z1258+Учет!U1259-U1259</f>
        <v>500000</v>
      </c>
      <c r="AA1259" s="45">
        <f>Учет!X1259</f>
        <v>500</v>
      </c>
    </row>
    <row r="1260" spans="1:27" ht="15" customHeight="1" x14ac:dyDescent="0.25">
      <c r="A1260" s="1"/>
      <c r="B1260" s="17"/>
      <c r="C1260" s="17"/>
      <c r="D1260" s="17"/>
      <c r="E1260" s="17"/>
      <c r="F1260" s="17"/>
      <c r="G1260" s="4">
        <f t="shared" si="54"/>
        <v>0</v>
      </c>
      <c r="H1260" s="17"/>
      <c r="I1260" s="4">
        <f t="shared" si="56"/>
        <v>349526.07999999996</v>
      </c>
      <c r="J1260" s="32" t="str">
        <f t="shared" si="55"/>
        <v/>
      </c>
      <c r="K1260" s="72"/>
      <c r="L1260" s="72"/>
      <c r="M1260" s="2"/>
      <c r="N1260" s="5"/>
      <c r="O1260" s="3"/>
      <c r="P1260" s="6"/>
      <c r="Q1260" s="48">
        <f>IF(Учет!$O1260=Справочники!$F$2,Учет!$H1260,0)</f>
        <v>0</v>
      </c>
      <c r="R1260" s="48">
        <f>IF(Учет!$O1260=Справочники!$F$3,Учет!$H1260,0)</f>
        <v>0</v>
      </c>
      <c r="S1260" s="48">
        <f>IF(Учет!$O1260=Справочники!$F$4,Учет!$H1260,0)</f>
        <v>0</v>
      </c>
      <c r="T1260" s="48">
        <f>IF(Учет!$O1260=Справочники!$F$5,Учет!$H1260,0)</f>
        <v>0</v>
      </c>
      <c r="U1260" s="48">
        <f>IF(Учет!$O1260=Справочники!$F$6,Учет!$H1260,0)</f>
        <v>0</v>
      </c>
      <c r="V1260" s="43">
        <f>V1259+Учет!Q1260-Q1260</f>
        <v>-488978.92000000004</v>
      </c>
      <c r="W1260" s="43">
        <f>W1259+Учет!R1260-R1260</f>
        <v>336855</v>
      </c>
      <c r="X1260" s="43">
        <f>X1259+Учет!S1260-S1260</f>
        <v>500</v>
      </c>
      <c r="Y1260" s="43">
        <f>Y1259+Учет!T1260-T1260</f>
        <v>1150</v>
      </c>
      <c r="Z1260" s="43">
        <f>Z1259+Учет!U1260-U1260</f>
        <v>500000</v>
      </c>
      <c r="AA1260" s="45">
        <f>Учет!X1260</f>
        <v>500</v>
      </c>
    </row>
    <row r="1261" spans="1:27" ht="15" customHeight="1" x14ac:dyDescent="0.25">
      <c r="A1261" s="1"/>
      <c r="B1261" s="17"/>
      <c r="C1261" s="17"/>
      <c r="D1261" s="17"/>
      <c r="E1261" s="17"/>
      <c r="F1261" s="17"/>
      <c r="G1261" s="4">
        <f t="shared" si="54"/>
        <v>0</v>
      </c>
      <c r="H1261" s="17"/>
      <c r="I1261" s="4">
        <f t="shared" si="56"/>
        <v>349526.07999999996</v>
      </c>
      <c r="J1261" s="32" t="str">
        <f t="shared" si="55"/>
        <v/>
      </c>
      <c r="K1261" s="72"/>
      <c r="L1261" s="72"/>
      <c r="M1261" s="2"/>
      <c r="N1261" s="5"/>
      <c r="O1261" s="3"/>
      <c r="P1261" s="6"/>
      <c r="Q1261" s="48">
        <f>IF(Учет!$O1261=Справочники!$F$2,Учет!$H1261,0)</f>
        <v>0</v>
      </c>
      <c r="R1261" s="48">
        <f>IF(Учет!$O1261=Справочники!$F$3,Учет!$H1261,0)</f>
        <v>0</v>
      </c>
      <c r="S1261" s="48">
        <f>IF(Учет!$O1261=Справочники!$F$4,Учет!$H1261,0)</f>
        <v>0</v>
      </c>
      <c r="T1261" s="48">
        <f>IF(Учет!$O1261=Справочники!$F$5,Учет!$H1261,0)</f>
        <v>0</v>
      </c>
      <c r="U1261" s="48">
        <f>IF(Учет!$O1261=Справочники!$F$6,Учет!$H1261,0)</f>
        <v>0</v>
      </c>
      <c r="V1261" s="43">
        <f>V1260+Учет!Q1261-Q1261</f>
        <v>-488978.92000000004</v>
      </c>
      <c r="W1261" s="43">
        <f>W1260+Учет!R1261-R1261</f>
        <v>336855</v>
      </c>
      <c r="X1261" s="43">
        <f>X1260+Учет!S1261-S1261</f>
        <v>500</v>
      </c>
      <c r="Y1261" s="43">
        <f>Y1260+Учет!T1261-T1261</f>
        <v>1150</v>
      </c>
      <c r="Z1261" s="43">
        <f>Z1260+Учет!U1261-U1261</f>
        <v>500000</v>
      </c>
      <c r="AA1261" s="45">
        <f>Учет!X1261</f>
        <v>500</v>
      </c>
    </row>
    <row r="1262" spans="1:27" ht="15" customHeight="1" x14ac:dyDescent="0.25">
      <c r="A1262" s="1"/>
      <c r="B1262" s="17"/>
      <c r="C1262" s="17"/>
      <c r="D1262" s="17"/>
      <c r="E1262" s="17"/>
      <c r="F1262" s="17"/>
      <c r="G1262" s="4">
        <f t="shared" si="54"/>
        <v>0</v>
      </c>
      <c r="H1262" s="17"/>
      <c r="I1262" s="4">
        <f t="shared" si="56"/>
        <v>349526.07999999996</v>
      </c>
      <c r="J1262" s="32" t="str">
        <f t="shared" si="55"/>
        <v/>
      </c>
      <c r="K1262" s="72"/>
      <c r="L1262" s="72"/>
      <c r="M1262" s="2"/>
      <c r="N1262" s="5"/>
      <c r="O1262" s="3"/>
      <c r="P1262" s="6"/>
      <c r="Q1262" s="48">
        <f>IF(Учет!$O1262=Справочники!$F$2,Учет!$H1262,0)</f>
        <v>0</v>
      </c>
      <c r="R1262" s="48">
        <f>IF(Учет!$O1262=Справочники!$F$3,Учет!$H1262,0)</f>
        <v>0</v>
      </c>
      <c r="S1262" s="48">
        <f>IF(Учет!$O1262=Справочники!$F$4,Учет!$H1262,0)</f>
        <v>0</v>
      </c>
      <c r="T1262" s="48">
        <f>IF(Учет!$O1262=Справочники!$F$5,Учет!$H1262,0)</f>
        <v>0</v>
      </c>
      <c r="U1262" s="48">
        <f>IF(Учет!$O1262=Справочники!$F$6,Учет!$H1262,0)</f>
        <v>0</v>
      </c>
      <c r="V1262" s="43">
        <f>V1261+Учет!Q1262-Q1262</f>
        <v>-488978.92000000004</v>
      </c>
      <c r="W1262" s="43">
        <f>W1261+Учет!R1262-R1262</f>
        <v>336855</v>
      </c>
      <c r="X1262" s="43">
        <f>X1261+Учет!S1262-S1262</f>
        <v>500</v>
      </c>
      <c r="Y1262" s="43">
        <f>Y1261+Учет!T1262-T1262</f>
        <v>1150</v>
      </c>
      <c r="Z1262" s="43">
        <f>Z1261+Учет!U1262-U1262</f>
        <v>500000</v>
      </c>
      <c r="AA1262" s="45">
        <f>Учет!X1262</f>
        <v>500</v>
      </c>
    </row>
    <row r="1263" spans="1:27" ht="15" customHeight="1" x14ac:dyDescent="0.25">
      <c r="A1263" s="1"/>
      <c r="B1263" s="17"/>
      <c r="C1263" s="17"/>
      <c r="D1263" s="17"/>
      <c r="E1263" s="17"/>
      <c r="F1263" s="17"/>
      <c r="G1263" s="4">
        <f t="shared" si="54"/>
        <v>0</v>
      </c>
      <c r="H1263" s="17"/>
      <c r="I1263" s="4">
        <f t="shared" si="56"/>
        <v>349526.07999999996</v>
      </c>
      <c r="J1263" s="32" t="str">
        <f t="shared" si="55"/>
        <v/>
      </c>
      <c r="K1263" s="72"/>
      <c r="L1263" s="72"/>
      <c r="M1263" s="2"/>
      <c r="N1263" s="5"/>
      <c r="O1263" s="3"/>
      <c r="P1263" s="6"/>
      <c r="Q1263" s="48">
        <f>IF(Учет!$O1263=Справочники!$F$2,Учет!$H1263,0)</f>
        <v>0</v>
      </c>
      <c r="R1263" s="48">
        <f>IF(Учет!$O1263=Справочники!$F$3,Учет!$H1263,0)</f>
        <v>0</v>
      </c>
      <c r="S1263" s="48">
        <f>IF(Учет!$O1263=Справочники!$F$4,Учет!$H1263,0)</f>
        <v>0</v>
      </c>
      <c r="T1263" s="48">
        <f>IF(Учет!$O1263=Справочники!$F$5,Учет!$H1263,0)</f>
        <v>0</v>
      </c>
      <c r="U1263" s="48">
        <f>IF(Учет!$O1263=Справочники!$F$6,Учет!$H1263,0)</f>
        <v>0</v>
      </c>
      <c r="V1263" s="43">
        <f>V1262+Учет!Q1263-Q1263</f>
        <v>-488978.92000000004</v>
      </c>
      <c r="W1263" s="43">
        <f>W1262+Учет!R1263-R1263</f>
        <v>336855</v>
      </c>
      <c r="X1263" s="43">
        <f>X1262+Учет!S1263-S1263</f>
        <v>500</v>
      </c>
      <c r="Y1263" s="43">
        <f>Y1262+Учет!T1263-T1263</f>
        <v>1150</v>
      </c>
      <c r="Z1263" s="43">
        <f>Z1262+Учет!U1263-U1263</f>
        <v>500000</v>
      </c>
      <c r="AA1263" s="45">
        <f>Учет!X1263</f>
        <v>500</v>
      </c>
    </row>
    <row r="1264" spans="1:27" ht="15" customHeight="1" x14ac:dyDescent="0.25">
      <c r="A1264" s="1"/>
      <c r="B1264" s="17"/>
      <c r="C1264" s="17"/>
      <c r="D1264" s="17"/>
      <c r="E1264" s="17"/>
      <c r="F1264" s="17"/>
      <c r="G1264" s="4">
        <f t="shared" si="54"/>
        <v>0</v>
      </c>
      <c r="H1264" s="17"/>
      <c r="I1264" s="4">
        <f t="shared" si="56"/>
        <v>349526.07999999996</v>
      </c>
      <c r="J1264" s="32" t="str">
        <f t="shared" si="55"/>
        <v/>
      </c>
      <c r="K1264" s="72"/>
      <c r="L1264" s="72"/>
      <c r="M1264" s="2"/>
      <c r="N1264" s="5"/>
      <c r="O1264" s="3"/>
      <c r="P1264" s="6"/>
      <c r="Q1264" s="48">
        <f>IF(Учет!$O1264=Справочники!$F$2,Учет!$H1264,0)</f>
        <v>0</v>
      </c>
      <c r="R1264" s="48">
        <f>IF(Учет!$O1264=Справочники!$F$3,Учет!$H1264,0)</f>
        <v>0</v>
      </c>
      <c r="S1264" s="48">
        <f>IF(Учет!$O1264=Справочники!$F$4,Учет!$H1264,0)</f>
        <v>0</v>
      </c>
      <c r="T1264" s="48">
        <f>IF(Учет!$O1264=Справочники!$F$5,Учет!$H1264,0)</f>
        <v>0</v>
      </c>
      <c r="U1264" s="48">
        <f>IF(Учет!$O1264=Справочники!$F$6,Учет!$H1264,0)</f>
        <v>0</v>
      </c>
      <c r="V1264" s="43">
        <f>V1263+Учет!Q1264-Q1264</f>
        <v>-488978.92000000004</v>
      </c>
      <c r="W1264" s="43">
        <f>W1263+Учет!R1264-R1264</f>
        <v>336855</v>
      </c>
      <c r="X1264" s="43">
        <f>X1263+Учет!S1264-S1264</f>
        <v>500</v>
      </c>
      <c r="Y1264" s="43">
        <f>Y1263+Учет!T1264-T1264</f>
        <v>1150</v>
      </c>
      <c r="Z1264" s="43">
        <f>Z1263+Учет!U1264-U1264</f>
        <v>500000</v>
      </c>
      <c r="AA1264" s="45">
        <f>Учет!X1264</f>
        <v>500</v>
      </c>
    </row>
    <row r="1265" spans="1:27" ht="15" customHeight="1" x14ac:dyDescent="0.25">
      <c r="A1265" s="1"/>
      <c r="B1265" s="17"/>
      <c r="C1265" s="17"/>
      <c r="D1265" s="17"/>
      <c r="E1265" s="17"/>
      <c r="F1265" s="17"/>
      <c r="G1265" s="4">
        <f t="shared" si="54"/>
        <v>0</v>
      </c>
      <c r="H1265" s="17"/>
      <c r="I1265" s="4">
        <f t="shared" si="56"/>
        <v>349526.07999999996</v>
      </c>
      <c r="J1265" s="32" t="str">
        <f t="shared" si="55"/>
        <v/>
      </c>
      <c r="K1265" s="72"/>
      <c r="L1265" s="72"/>
      <c r="M1265" s="2"/>
      <c r="N1265" s="5"/>
      <c r="O1265" s="3"/>
      <c r="P1265" s="6"/>
      <c r="Q1265" s="48">
        <f>IF(Учет!$O1265=Справочники!$F$2,Учет!$H1265,0)</f>
        <v>0</v>
      </c>
      <c r="R1265" s="48">
        <f>IF(Учет!$O1265=Справочники!$F$3,Учет!$H1265,0)</f>
        <v>0</v>
      </c>
      <c r="S1265" s="48">
        <f>IF(Учет!$O1265=Справочники!$F$4,Учет!$H1265,0)</f>
        <v>0</v>
      </c>
      <c r="T1265" s="48">
        <f>IF(Учет!$O1265=Справочники!$F$5,Учет!$H1265,0)</f>
        <v>0</v>
      </c>
      <c r="U1265" s="48">
        <f>IF(Учет!$O1265=Справочники!$F$6,Учет!$H1265,0)</f>
        <v>0</v>
      </c>
      <c r="V1265" s="43">
        <f>V1264+Учет!Q1265-Q1265</f>
        <v>-488978.92000000004</v>
      </c>
      <c r="W1265" s="43">
        <f>W1264+Учет!R1265-R1265</f>
        <v>336855</v>
      </c>
      <c r="X1265" s="43">
        <f>X1264+Учет!S1265-S1265</f>
        <v>500</v>
      </c>
      <c r="Y1265" s="43">
        <f>Y1264+Учет!T1265-T1265</f>
        <v>1150</v>
      </c>
      <c r="Z1265" s="43">
        <f>Z1264+Учет!U1265-U1265</f>
        <v>500000</v>
      </c>
      <c r="AA1265" s="45">
        <f>Учет!X1265</f>
        <v>500</v>
      </c>
    </row>
    <row r="1266" spans="1:27" ht="15" customHeight="1" x14ac:dyDescent="0.25">
      <c r="A1266" s="1"/>
      <c r="B1266" s="17"/>
      <c r="C1266" s="17"/>
      <c r="D1266" s="17"/>
      <c r="E1266" s="17"/>
      <c r="F1266" s="17"/>
      <c r="G1266" s="4">
        <f t="shared" si="54"/>
        <v>0</v>
      </c>
      <c r="H1266" s="17"/>
      <c r="I1266" s="4">
        <f t="shared" si="56"/>
        <v>349526.07999999996</v>
      </c>
      <c r="J1266" s="32" t="str">
        <f t="shared" si="55"/>
        <v/>
      </c>
      <c r="K1266" s="72"/>
      <c r="L1266" s="72"/>
      <c r="M1266" s="2"/>
      <c r="N1266" s="5"/>
      <c r="O1266" s="3"/>
      <c r="P1266" s="6"/>
      <c r="Q1266" s="48">
        <f>IF(Учет!$O1266=Справочники!$F$2,Учет!$H1266,0)</f>
        <v>0</v>
      </c>
      <c r="R1266" s="48">
        <f>IF(Учет!$O1266=Справочники!$F$3,Учет!$H1266,0)</f>
        <v>0</v>
      </c>
      <c r="S1266" s="48">
        <f>IF(Учет!$O1266=Справочники!$F$4,Учет!$H1266,0)</f>
        <v>0</v>
      </c>
      <c r="T1266" s="48">
        <f>IF(Учет!$O1266=Справочники!$F$5,Учет!$H1266,0)</f>
        <v>0</v>
      </c>
      <c r="U1266" s="48">
        <f>IF(Учет!$O1266=Справочники!$F$6,Учет!$H1266,0)</f>
        <v>0</v>
      </c>
      <c r="V1266" s="43">
        <f>V1265+Учет!Q1266-Q1266</f>
        <v>-488978.92000000004</v>
      </c>
      <c r="W1266" s="43">
        <f>W1265+Учет!R1266-R1266</f>
        <v>336855</v>
      </c>
      <c r="X1266" s="43">
        <f>X1265+Учет!S1266-S1266</f>
        <v>500</v>
      </c>
      <c r="Y1266" s="43">
        <f>Y1265+Учет!T1266-T1266</f>
        <v>1150</v>
      </c>
      <c r="Z1266" s="43">
        <f>Z1265+Учет!U1266-U1266</f>
        <v>500000</v>
      </c>
      <c r="AA1266" s="45">
        <f>Учет!X1266</f>
        <v>500</v>
      </c>
    </row>
    <row r="1267" spans="1:27" ht="15" customHeight="1" x14ac:dyDescent="0.25">
      <c r="A1267" s="1"/>
      <c r="B1267" s="17"/>
      <c r="C1267" s="17"/>
      <c r="D1267" s="17"/>
      <c r="E1267" s="17"/>
      <c r="F1267" s="17"/>
      <c r="G1267" s="4">
        <f t="shared" si="54"/>
        <v>0</v>
      </c>
      <c r="H1267" s="17"/>
      <c r="I1267" s="4">
        <f t="shared" si="56"/>
        <v>349526.07999999996</v>
      </c>
      <c r="J1267" s="32" t="str">
        <f t="shared" si="55"/>
        <v/>
      </c>
      <c r="K1267" s="72"/>
      <c r="L1267" s="72"/>
      <c r="M1267" s="2"/>
      <c r="N1267" s="5"/>
      <c r="O1267" s="3"/>
      <c r="P1267" s="6"/>
      <c r="Q1267" s="48">
        <f>IF(Учет!$O1267=Справочники!$F$2,Учет!$H1267,0)</f>
        <v>0</v>
      </c>
      <c r="R1267" s="48">
        <f>IF(Учет!$O1267=Справочники!$F$3,Учет!$H1267,0)</f>
        <v>0</v>
      </c>
      <c r="S1267" s="48">
        <f>IF(Учет!$O1267=Справочники!$F$4,Учет!$H1267,0)</f>
        <v>0</v>
      </c>
      <c r="T1267" s="48">
        <f>IF(Учет!$O1267=Справочники!$F$5,Учет!$H1267,0)</f>
        <v>0</v>
      </c>
      <c r="U1267" s="48">
        <f>IF(Учет!$O1267=Справочники!$F$6,Учет!$H1267,0)</f>
        <v>0</v>
      </c>
      <c r="V1267" s="43">
        <f>V1266+Учет!Q1267-Q1267</f>
        <v>-488978.92000000004</v>
      </c>
      <c r="W1267" s="43">
        <f>W1266+Учет!R1267-R1267</f>
        <v>336855</v>
      </c>
      <c r="X1267" s="43">
        <f>X1266+Учет!S1267-S1267</f>
        <v>500</v>
      </c>
      <c r="Y1267" s="43">
        <f>Y1266+Учет!T1267-T1267</f>
        <v>1150</v>
      </c>
      <c r="Z1267" s="43">
        <f>Z1266+Учет!U1267-U1267</f>
        <v>500000</v>
      </c>
      <c r="AA1267" s="45">
        <f>Учет!X1267</f>
        <v>500</v>
      </c>
    </row>
    <row r="1268" spans="1:27" ht="15" customHeight="1" x14ac:dyDescent="0.25">
      <c r="A1268" s="1"/>
      <c r="B1268" s="17"/>
      <c r="C1268" s="17"/>
      <c r="D1268" s="17"/>
      <c r="E1268" s="17"/>
      <c r="F1268" s="17"/>
      <c r="G1268" s="4">
        <f t="shared" si="54"/>
        <v>0</v>
      </c>
      <c r="H1268" s="17"/>
      <c r="I1268" s="4">
        <f t="shared" si="56"/>
        <v>349526.07999999996</v>
      </c>
      <c r="J1268" s="32" t="str">
        <f t="shared" si="55"/>
        <v/>
      </c>
      <c r="K1268" s="72"/>
      <c r="L1268" s="72"/>
      <c r="M1268" s="2"/>
      <c r="N1268" s="5"/>
      <c r="O1268" s="3"/>
      <c r="P1268" s="6"/>
      <c r="Q1268" s="48">
        <f>IF(Учет!$O1268=Справочники!$F$2,Учет!$H1268,0)</f>
        <v>0</v>
      </c>
      <c r="R1268" s="48">
        <f>IF(Учет!$O1268=Справочники!$F$3,Учет!$H1268,0)</f>
        <v>0</v>
      </c>
      <c r="S1268" s="48">
        <f>IF(Учет!$O1268=Справочники!$F$4,Учет!$H1268,0)</f>
        <v>0</v>
      </c>
      <c r="T1268" s="48">
        <f>IF(Учет!$O1268=Справочники!$F$5,Учет!$H1268,0)</f>
        <v>0</v>
      </c>
      <c r="U1268" s="48">
        <f>IF(Учет!$O1268=Справочники!$F$6,Учет!$H1268,0)</f>
        <v>0</v>
      </c>
      <c r="V1268" s="43">
        <f>V1267+Учет!Q1268-Q1268</f>
        <v>-488978.92000000004</v>
      </c>
      <c r="W1268" s="43">
        <f>W1267+Учет!R1268-R1268</f>
        <v>336855</v>
      </c>
      <c r="X1268" s="43">
        <f>X1267+Учет!S1268-S1268</f>
        <v>500</v>
      </c>
      <c r="Y1268" s="43">
        <f>Y1267+Учет!T1268-T1268</f>
        <v>1150</v>
      </c>
      <c r="Z1268" s="43">
        <f>Z1267+Учет!U1268-U1268</f>
        <v>500000</v>
      </c>
      <c r="AA1268" s="45">
        <f>Учет!X1268</f>
        <v>500</v>
      </c>
    </row>
    <row r="1269" spans="1:27" ht="15" customHeight="1" x14ac:dyDescent="0.25">
      <c r="A1269" s="1"/>
      <c r="B1269" s="17"/>
      <c r="C1269" s="17"/>
      <c r="D1269" s="17"/>
      <c r="E1269" s="17"/>
      <c r="F1269" s="17"/>
      <c r="G1269" s="4">
        <f t="shared" si="54"/>
        <v>0</v>
      </c>
      <c r="H1269" s="17"/>
      <c r="I1269" s="4">
        <f t="shared" si="56"/>
        <v>349526.07999999996</v>
      </c>
      <c r="J1269" s="32" t="str">
        <f t="shared" si="55"/>
        <v/>
      </c>
      <c r="K1269" s="72"/>
      <c r="L1269" s="72"/>
      <c r="M1269" s="2"/>
      <c r="N1269" s="5"/>
      <c r="O1269" s="3"/>
      <c r="P1269" s="6"/>
      <c r="Q1269" s="48">
        <f>IF(Учет!$O1269=Справочники!$F$2,Учет!$H1269,0)</f>
        <v>0</v>
      </c>
      <c r="R1269" s="48">
        <f>IF(Учет!$O1269=Справочники!$F$3,Учет!$H1269,0)</f>
        <v>0</v>
      </c>
      <c r="S1269" s="48">
        <f>IF(Учет!$O1269=Справочники!$F$4,Учет!$H1269,0)</f>
        <v>0</v>
      </c>
      <c r="T1269" s="48">
        <f>IF(Учет!$O1269=Справочники!$F$5,Учет!$H1269,0)</f>
        <v>0</v>
      </c>
      <c r="U1269" s="48">
        <f>IF(Учет!$O1269=Справочники!$F$6,Учет!$H1269,0)</f>
        <v>0</v>
      </c>
      <c r="V1269" s="43">
        <f>V1268+Учет!Q1269-Q1269</f>
        <v>-488978.92000000004</v>
      </c>
      <c r="W1269" s="43">
        <f>W1268+Учет!R1269-R1269</f>
        <v>336855</v>
      </c>
      <c r="X1269" s="43">
        <f>X1268+Учет!S1269-S1269</f>
        <v>500</v>
      </c>
      <c r="Y1269" s="43">
        <f>Y1268+Учет!T1269-T1269</f>
        <v>1150</v>
      </c>
      <c r="Z1269" s="43">
        <f>Z1268+Учет!U1269-U1269</f>
        <v>500000</v>
      </c>
      <c r="AA1269" s="45">
        <f>Учет!X1269</f>
        <v>500</v>
      </c>
    </row>
    <row r="1270" spans="1:27" ht="15" customHeight="1" x14ac:dyDescent="0.25">
      <c r="A1270" s="1"/>
      <c r="B1270" s="17"/>
      <c r="C1270" s="17"/>
      <c r="D1270" s="17"/>
      <c r="E1270" s="17"/>
      <c r="F1270" s="17"/>
      <c r="G1270" s="4">
        <f t="shared" si="54"/>
        <v>0</v>
      </c>
      <c r="H1270" s="17"/>
      <c r="I1270" s="4">
        <f t="shared" si="56"/>
        <v>349526.07999999996</v>
      </c>
      <c r="J1270" s="32" t="str">
        <f t="shared" si="55"/>
        <v/>
      </c>
      <c r="K1270" s="72"/>
      <c r="L1270" s="72"/>
      <c r="M1270" s="2"/>
      <c r="N1270" s="5"/>
      <c r="O1270" s="3"/>
      <c r="P1270" s="6"/>
      <c r="Q1270" s="48">
        <f>IF(Учет!$O1270=Справочники!$F$2,Учет!$H1270,0)</f>
        <v>0</v>
      </c>
      <c r="R1270" s="48">
        <f>IF(Учет!$O1270=Справочники!$F$3,Учет!$H1270,0)</f>
        <v>0</v>
      </c>
      <c r="S1270" s="48">
        <f>IF(Учет!$O1270=Справочники!$F$4,Учет!$H1270,0)</f>
        <v>0</v>
      </c>
      <c r="T1270" s="48">
        <f>IF(Учет!$O1270=Справочники!$F$5,Учет!$H1270,0)</f>
        <v>0</v>
      </c>
      <c r="U1270" s="48">
        <f>IF(Учет!$O1270=Справочники!$F$6,Учет!$H1270,0)</f>
        <v>0</v>
      </c>
      <c r="V1270" s="43">
        <f>V1269+Учет!Q1270-Q1270</f>
        <v>-488978.92000000004</v>
      </c>
      <c r="W1270" s="43">
        <f>W1269+Учет!R1270-R1270</f>
        <v>336855</v>
      </c>
      <c r="X1270" s="43">
        <f>X1269+Учет!S1270-S1270</f>
        <v>500</v>
      </c>
      <c r="Y1270" s="43">
        <f>Y1269+Учет!T1270-T1270</f>
        <v>1150</v>
      </c>
      <c r="Z1270" s="43">
        <f>Z1269+Учет!U1270-U1270</f>
        <v>500000</v>
      </c>
      <c r="AA1270" s="45">
        <f>Учет!X1270</f>
        <v>500</v>
      </c>
    </row>
    <row r="1271" spans="1:27" ht="15" customHeight="1" x14ac:dyDescent="0.25">
      <c r="A1271" s="1"/>
      <c r="B1271" s="17"/>
      <c r="C1271" s="17"/>
      <c r="D1271" s="17"/>
      <c r="E1271" s="17"/>
      <c r="F1271" s="17"/>
      <c r="G1271" s="4">
        <f t="shared" si="54"/>
        <v>0</v>
      </c>
      <c r="H1271" s="17"/>
      <c r="I1271" s="4">
        <f t="shared" si="56"/>
        <v>349526.07999999996</v>
      </c>
      <c r="J1271" s="32" t="str">
        <f t="shared" si="55"/>
        <v/>
      </c>
      <c r="K1271" s="72"/>
      <c r="L1271" s="72"/>
      <c r="M1271" s="2"/>
      <c r="N1271" s="5"/>
      <c r="O1271" s="3"/>
      <c r="P1271" s="6"/>
      <c r="Q1271" s="48">
        <f>IF(Учет!$O1271=Справочники!$F$2,Учет!$H1271,0)</f>
        <v>0</v>
      </c>
      <c r="R1271" s="48">
        <f>IF(Учет!$O1271=Справочники!$F$3,Учет!$H1271,0)</f>
        <v>0</v>
      </c>
      <c r="S1271" s="48">
        <f>IF(Учет!$O1271=Справочники!$F$4,Учет!$H1271,0)</f>
        <v>0</v>
      </c>
      <c r="T1271" s="48">
        <f>IF(Учет!$O1271=Справочники!$F$5,Учет!$H1271,0)</f>
        <v>0</v>
      </c>
      <c r="U1271" s="48">
        <f>IF(Учет!$O1271=Справочники!$F$6,Учет!$H1271,0)</f>
        <v>0</v>
      </c>
      <c r="V1271" s="43">
        <f>V1270+Учет!Q1271-Q1271</f>
        <v>-488978.92000000004</v>
      </c>
      <c r="W1271" s="43">
        <f>W1270+Учет!R1271-R1271</f>
        <v>336855</v>
      </c>
      <c r="X1271" s="43">
        <f>X1270+Учет!S1271-S1271</f>
        <v>500</v>
      </c>
      <c r="Y1271" s="43">
        <f>Y1270+Учет!T1271-T1271</f>
        <v>1150</v>
      </c>
      <c r="Z1271" s="43">
        <f>Z1270+Учет!U1271-U1271</f>
        <v>500000</v>
      </c>
      <c r="AA1271" s="45">
        <f>Учет!X1271</f>
        <v>500</v>
      </c>
    </row>
    <row r="1272" spans="1:27" ht="15" customHeight="1" x14ac:dyDescent="0.25">
      <c r="A1272" s="1"/>
      <c r="B1272" s="17"/>
      <c r="C1272" s="17"/>
      <c r="D1272" s="17"/>
      <c r="E1272" s="17"/>
      <c r="F1272" s="17"/>
      <c r="G1272" s="4">
        <f t="shared" si="54"/>
        <v>0</v>
      </c>
      <c r="H1272" s="17"/>
      <c r="I1272" s="4">
        <f t="shared" si="56"/>
        <v>349526.07999999996</v>
      </c>
      <c r="J1272" s="32" t="str">
        <f t="shared" si="55"/>
        <v/>
      </c>
      <c r="K1272" s="72"/>
      <c r="L1272" s="72"/>
      <c r="M1272" s="2"/>
      <c r="N1272" s="5"/>
      <c r="O1272" s="3"/>
      <c r="P1272" s="6"/>
      <c r="Q1272" s="48">
        <f>IF(Учет!$O1272=Справочники!$F$2,Учет!$H1272,0)</f>
        <v>0</v>
      </c>
      <c r="R1272" s="48">
        <f>IF(Учет!$O1272=Справочники!$F$3,Учет!$H1272,0)</f>
        <v>0</v>
      </c>
      <c r="S1272" s="48">
        <f>IF(Учет!$O1272=Справочники!$F$4,Учет!$H1272,0)</f>
        <v>0</v>
      </c>
      <c r="T1272" s="48">
        <f>IF(Учет!$O1272=Справочники!$F$5,Учет!$H1272,0)</f>
        <v>0</v>
      </c>
      <c r="U1272" s="48">
        <f>IF(Учет!$O1272=Справочники!$F$6,Учет!$H1272,0)</f>
        <v>0</v>
      </c>
      <c r="V1272" s="43">
        <f>V1271+Учет!Q1272-Q1272</f>
        <v>-488978.92000000004</v>
      </c>
      <c r="W1272" s="43">
        <f>W1271+Учет!R1272-R1272</f>
        <v>336855</v>
      </c>
      <c r="X1272" s="43">
        <f>X1271+Учет!S1272-S1272</f>
        <v>500</v>
      </c>
      <c r="Y1272" s="43">
        <f>Y1271+Учет!T1272-T1272</f>
        <v>1150</v>
      </c>
      <c r="Z1272" s="43">
        <f>Z1271+Учет!U1272-U1272</f>
        <v>500000</v>
      </c>
      <c r="AA1272" s="45">
        <f>Учет!X1272</f>
        <v>500</v>
      </c>
    </row>
    <row r="1273" spans="1:27" ht="15" customHeight="1" x14ac:dyDescent="0.25">
      <c r="A1273" s="1"/>
      <c r="B1273" s="17"/>
      <c r="C1273" s="17"/>
      <c r="D1273" s="17"/>
      <c r="E1273" s="17"/>
      <c r="F1273" s="17"/>
      <c r="G1273" s="4">
        <f t="shared" si="54"/>
        <v>0</v>
      </c>
      <c r="H1273" s="17"/>
      <c r="I1273" s="4">
        <f t="shared" si="56"/>
        <v>349526.07999999996</v>
      </c>
      <c r="J1273" s="32" t="str">
        <f t="shared" si="55"/>
        <v/>
      </c>
      <c r="K1273" s="72"/>
      <c r="L1273" s="72"/>
      <c r="M1273" s="2"/>
      <c r="N1273" s="5"/>
      <c r="O1273" s="3"/>
      <c r="P1273" s="6"/>
      <c r="Q1273" s="48">
        <f>IF(Учет!$O1273=Справочники!$F$2,Учет!$H1273,0)</f>
        <v>0</v>
      </c>
      <c r="R1273" s="48">
        <f>IF(Учет!$O1273=Справочники!$F$3,Учет!$H1273,0)</f>
        <v>0</v>
      </c>
      <c r="S1273" s="48">
        <f>IF(Учет!$O1273=Справочники!$F$4,Учет!$H1273,0)</f>
        <v>0</v>
      </c>
      <c r="T1273" s="48">
        <f>IF(Учет!$O1273=Справочники!$F$5,Учет!$H1273,0)</f>
        <v>0</v>
      </c>
      <c r="U1273" s="48">
        <f>IF(Учет!$O1273=Справочники!$F$6,Учет!$H1273,0)</f>
        <v>0</v>
      </c>
      <c r="V1273" s="43">
        <f>V1272+Учет!Q1273-Q1273</f>
        <v>-488978.92000000004</v>
      </c>
      <c r="W1273" s="43">
        <f>W1272+Учет!R1273-R1273</f>
        <v>336855</v>
      </c>
      <c r="X1273" s="43">
        <f>X1272+Учет!S1273-S1273</f>
        <v>500</v>
      </c>
      <c r="Y1273" s="43">
        <f>Y1272+Учет!T1273-T1273</f>
        <v>1150</v>
      </c>
      <c r="Z1273" s="43">
        <f>Z1272+Учет!U1273-U1273</f>
        <v>500000</v>
      </c>
      <c r="AA1273" s="45">
        <f>Учет!X1273</f>
        <v>500</v>
      </c>
    </row>
    <row r="1274" spans="1:27" ht="15" customHeight="1" x14ac:dyDescent="0.25">
      <c r="A1274" s="1"/>
      <c r="B1274" s="17"/>
      <c r="C1274" s="17"/>
      <c r="D1274" s="17"/>
      <c r="E1274" s="17"/>
      <c r="F1274" s="17"/>
      <c r="G1274" s="4">
        <f t="shared" si="54"/>
        <v>0</v>
      </c>
      <c r="H1274" s="17"/>
      <c r="I1274" s="4">
        <f t="shared" si="56"/>
        <v>349526.07999999996</v>
      </c>
      <c r="J1274" s="32" t="str">
        <f t="shared" si="55"/>
        <v/>
      </c>
      <c r="K1274" s="72"/>
      <c r="L1274" s="72"/>
      <c r="M1274" s="2"/>
      <c r="N1274" s="5"/>
      <c r="O1274" s="3"/>
      <c r="P1274" s="6"/>
      <c r="Q1274" s="48">
        <f>IF(Учет!$O1274=Справочники!$F$2,Учет!$H1274,0)</f>
        <v>0</v>
      </c>
      <c r="R1274" s="48">
        <f>IF(Учет!$O1274=Справочники!$F$3,Учет!$H1274,0)</f>
        <v>0</v>
      </c>
      <c r="S1274" s="48">
        <f>IF(Учет!$O1274=Справочники!$F$4,Учет!$H1274,0)</f>
        <v>0</v>
      </c>
      <c r="T1274" s="48">
        <f>IF(Учет!$O1274=Справочники!$F$5,Учет!$H1274,0)</f>
        <v>0</v>
      </c>
      <c r="U1274" s="48">
        <f>IF(Учет!$O1274=Справочники!$F$6,Учет!$H1274,0)</f>
        <v>0</v>
      </c>
      <c r="V1274" s="43">
        <f>V1273+Учет!Q1274-Q1274</f>
        <v>-488978.92000000004</v>
      </c>
      <c r="W1274" s="43">
        <f>W1273+Учет!R1274-R1274</f>
        <v>336855</v>
      </c>
      <c r="X1274" s="43">
        <f>X1273+Учет!S1274-S1274</f>
        <v>500</v>
      </c>
      <c r="Y1274" s="43">
        <f>Y1273+Учет!T1274-T1274</f>
        <v>1150</v>
      </c>
      <c r="Z1274" s="43">
        <f>Z1273+Учет!U1274-U1274</f>
        <v>500000</v>
      </c>
      <c r="AA1274" s="45">
        <f>Учет!X1274</f>
        <v>500</v>
      </c>
    </row>
    <row r="1275" spans="1:27" ht="15" customHeight="1" x14ac:dyDescent="0.25">
      <c r="A1275" s="1"/>
      <c r="B1275" s="17"/>
      <c r="C1275" s="17"/>
      <c r="D1275" s="17"/>
      <c r="E1275" s="17"/>
      <c r="F1275" s="17"/>
      <c r="G1275" s="4">
        <f t="shared" si="54"/>
        <v>0</v>
      </c>
      <c r="H1275" s="17"/>
      <c r="I1275" s="4">
        <f t="shared" si="56"/>
        <v>349526.07999999996</v>
      </c>
      <c r="J1275" s="32" t="str">
        <f t="shared" si="55"/>
        <v/>
      </c>
      <c r="K1275" s="72"/>
      <c r="L1275" s="72"/>
      <c r="M1275" s="2"/>
      <c r="N1275" s="5"/>
      <c r="O1275" s="3"/>
      <c r="P1275" s="6"/>
      <c r="Q1275" s="48">
        <f>IF(Учет!$O1275=Справочники!$F$2,Учет!$H1275,0)</f>
        <v>0</v>
      </c>
      <c r="R1275" s="48">
        <f>IF(Учет!$O1275=Справочники!$F$3,Учет!$H1275,0)</f>
        <v>0</v>
      </c>
      <c r="S1275" s="48">
        <f>IF(Учет!$O1275=Справочники!$F$4,Учет!$H1275,0)</f>
        <v>0</v>
      </c>
      <c r="T1275" s="48">
        <f>IF(Учет!$O1275=Справочники!$F$5,Учет!$H1275,0)</f>
        <v>0</v>
      </c>
      <c r="U1275" s="48">
        <f>IF(Учет!$O1275=Справочники!$F$6,Учет!$H1275,0)</f>
        <v>0</v>
      </c>
      <c r="V1275" s="43">
        <f>V1274+Учет!Q1275-Q1275</f>
        <v>-488978.92000000004</v>
      </c>
      <c r="W1275" s="43">
        <f>W1274+Учет!R1275-R1275</f>
        <v>336855</v>
      </c>
      <c r="X1275" s="43">
        <f>X1274+Учет!S1275-S1275</f>
        <v>500</v>
      </c>
      <c r="Y1275" s="43">
        <f>Y1274+Учет!T1275-T1275</f>
        <v>1150</v>
      </c>
      <c r="Z1275" s="43">
        <f>Z1274+Учет!U1275-U1275</f>
        <v>500000</v>
      </c>
      <c r="AA1275" s="45">
        <f>Учет!X1275</f>
        <v>500</v>
      </c>
    </row>
    <row r="1276" spans="1:27" ht="15" customHeight="1" x14ac:dyDescent="0.25">
      <c r="A1276" s="1"/>
      <c r="B1276" s="17"/>
      <c r="C1276" s="17"/>
      <c r="D1276" s="17"/>
      <c r="E1276" s="17"/>
      <c r="F1276" s="17"/>
      <c r="G1276" s="4">
        <f t="shared" si="54"/>
        <v>0</v>
      </c>
      <c r="H1276" s="17"/>
      <c r="I1276" s="4">
        <f t="shared" si="56"/>
        <v>349526.07999999996</v>
      </c>
      <c r="J1276" s="32" t="str">
        <f t="shared" si="55"/>
        <v/>
      </c>
      <c r="K1276" s="72"/>
      <c r="L1276" s="72"/>
      <c r="M1276" s="2"/>
      <c r="N1276" s="5"/>
      <c r="O1276" s="3"/>
      <c r="P1276" s="6"/>
      <c r="Q1276" s="48">
        <f>IF(Учет!$O1276=Справочники!$F$2,Учет!$H1276,0)</f>
        <v>0</v>
      </c>
      <c r="R1276" s="48">
        <f>IF(Учет!$O1276=Справочники!$F$3,Учет!$H1276,0)</f>
        <v>0</v>
      </c>
      <c r="S1276" s="48">
        <f>IF(Учет!$O1276=Справочники!$F$4,Учет!$H1276,0)</f>
        <v>0</v>
      </c>
      <c r="T1276" s="48">
        <f>IF(Учет!$O1276=Справочники!$F$5,Учет!$H1276,0)</f>
        <v>0</v>
      </c>
      <c r="U1276" s="48">
        <f>IF(Учет!$O1276=Справочники!$F$6,Учет!$H1276,0)</f>
        <v>0</v>
      </c>
      <c r="V1276" s="43">
        <f>V1275+Учет!Q1276-Q1276</f>
        <v>-488978.92000000004</v>
      </c>
      <c r="W1276" s="43">
        <f>W1275+Учет!R1276-R1276</f>
        <v>336855</v>
      </c>
      <c r="X1276" s="43">
        <f>X1275+Учет!S1276-S1276</f>
        <v>500</v>
      </c>
      <c r="Y1276" s="43">
        <f>Y1275+Учет!T1276-T1276</f>
        <v>1150</v>
      </c>
      <c r="Z1276" s="43">
        <f>Z1275+Учет!U1276-U1276</f>
        <v>500000</v>
      </c>
      <c r="AA1276" s="45">
        <f>Учет!X1276</f>
        <v>500</v>
      </c>
    </row>
    <row r="1277" spans="1:27" ht="15" customHeight="1" x14ac:dyDescent="0.25">
      <c r="A1277" s="1"/>
      <c r="B1277" s="17"/>
      <c r="C1277" s="17"/>
      <c r="D1277" s="17"/>
      <c r="E1277" s="17"/>
      <c r="F1277" s="17"/>
      <c r="G1277" s="4">
        <f t="shared" si="54"/>
        <v>0</v>
      </c>
      <c r="H1277" s="17"/>
      <c r="I1277" s="4">
        <f t="shared" si="56"/>
        <v>349526.07999999996</v>
      </c>
      <c r="J1277" s="32" t="str">
        <f t="shared" si="55"/>
        <v/>
      </c>
      <c r="K1277" s="72"/>
      <c r="L1277" s="72"/>
      <c r="M1277" s="2"/>
      <c r="N1277" s="5"/>
      <c r="O1277" s="3"/>
      <c r="P1277" s="6"/>
      <c r="Q1277" s="48">
        <f>IF(Учет!$O1277=Справочники!$F$2,Учет!$H1277,0)</f>
        <v>0</v>
      </c>
      <c r="R1277" s="48">
        <f>IF(Учет!$O1277=Справочники!$F$3,Учет!$H1277,0)</f>
        <v>0</v>
      </c>
      <c r="S1277" s="48">
        <f>IF(Учет!$O1277=Справочники!$F$4,Учет!$H1277,0)</f>
        <v>0</v>
      </c>
      <c r="T1277" s="48">
        <f>IF(Учет!$O1277=Справочники!$F$5,Учет!$H1277,0)</f>
        <v>0</v>
      </c>
      <c r="U1277" s="48">
        <f>IF(Учет!$O1277=Справочники!$F$6,Учет!$H1277,0)</f>
        <v>0</v>
      </c>
      <c r="V1277" s="43">
        <f>V1276+Учет!Q1277-Q1277</f>
        <v>-488978.92000000004</v>
      </c>
      <c r="W1277" s="43">
        <f>W1276+Учет!R1277-R1277</f>
        <v>336855</v>
      </c>
      <c r="X1277" s="43">
        <f>X1276+Учет!S1277-S1277</f>
        <v>500</v>
      </c>
      <c r="Y1277" s="43">
        <f>Y1276+Учет!T1277-T1277</f>
        <v>1150</v>
      </c>
      <c r="Z1277" s="43">
        <f>Z1276+Учет!U1277-U1277</f>
        <v>500000</v>
      </c>
      <c r="AA1277" s="45">
        <f>Учет!X1277</f>
        <v>500</v>
      </c>
    </row>
    <row r="1278" spans="1:27" ht="15" customHeight="1" x14ac:dyDescent="0.25">
      <c r="A1278" s="1"/>
      <c r="B1278" s="17"/>
      <c r="C1278" s="17"/>
      <c r="D1278" s="17"/>
      <c r="E1278" s="17"/>
      <c r="F1278" s="17"/>
      <c r="G1278" s="4">
        <f t="shared" si="54"/>
        <v>0</v>
      </c>
      <c r="H1278" s="17"/>
      <c r="I1278" s="4">
        <f t="shared" si="56"/>
        <v>349526.07999999996</v>
      </c>
      <c r="J1278" s="32" t="str">
        <f t="shared" si="55"/>
        <v/>
      </c>
      <c r="K1278" s="72"/>
      <c r="L1278" s="72"/>
      <c r="M1278" s="2"/>
      <c r="N1278" s="5"/>
      <c r="O1278" s="3"/>
      <c r="P1278" s="6"/>
      <c r="Q1278" s="48">
        <f>IF(Учет!$O1278=Справочники!$F$2,Учет!$H1278,0)</f>
        <v>0</v>
      </c>
      <c r="R1278" s="48">
        <f>IF(Учет!$O1278=Справочники!$F$3,Учет!$H1278,0)</f>
        <v>0</v>
      </c>
      <c r="S1278" s="48">
        <f>IF(Учет!$O1278=Справочники!$F$4,Учет!$H1278,0)</f>
        <v>0</v>
      </c>
      <c r="T1278" s="48">
        <f>IF(Учет!$O1278=Справочники!$F$5,Учет!$H1278,0)</f>
        <v>0</v>
      </c>
      <c r="U1278" s="48">
        <f>IF(Учет!$O1278=Справочники!$F$6,Учет!$H1278,0)</f>
        <v>0</v>
      </c>
      <c r="V1278" s="43">
        <f>V1277+Учет!Q1278-Q1278</f>
        <v>-488978.92000000004</v>
      </c>
      <c r="W1278" s="43">
        <f>W1277+Учет!R1278-R1278</f>
        <v>336855</v>
      </c>
      <c r="X1278" s="43">
        <f>X1277+Учет!S1278-S1278</f>
        <v>500</v>
      </c>
      <c r="Y1278" s="43">
        <f>Y1277+Учет!T1278-T1278</f>
        <v>1150</v>
      </c>
      <c r="Z1278" s="43">
        <f>Z1277+Учет!U1278-U1278</f>
        <v>500000</v>
      </c>
      <c r="AA1278" s="45">
        <f>Учет!X1278</f>
        <v>500</v>
      </c>
    </row>
    <row r="1279" spans="1:27" ht="15" customHeight="1" x14ac:dyDescent="0.25">
      <c r="A1279" s="1"/>
      <c r="B1279" s="17"/>
      <c r="C1279" s="17"/>
      <c r="D1279" s="17"/>
      <c r="E1279" s="17"/>
      <c r="F1279" s="17"/>
      <c r="G1279" s="4">
        <f t="shared" si="54"/>
        <v>0</v>
      </c>
      <c r="H1279" s="17"/>
      <c r="I1279" s="4">
        <f t="shared" si="56"/>
        <v>349526.07999999996</v>
      </c>
      <c r="J1279" s="32" t="str">
        <f t="shared" si="55"/>
        <v/>
      </c>
      <c r="K1279" s="72"/>
      <c r="L1279" s="72"/>
      <c r="M1279" s="2"/>
      <c r="N1279" s="5"/>
      <c r="O1279" s="3"/>
      <c r="P1279" s="6"/>
      <c r="Q1279" s="48">
        <f>IF(Учет!$O1279=Справочники!$F$2,Учет!$H1279,0)</f>
        <v>0</v>
      </c>
      <c r="R1279" s="48">
        <f>IF(Учет!$O1279=Справочники!$F$3,Учет!$H1279,0)</f>
        <v>0</v>
      </c>
      <c r="S1279" s="48">
        <f>IF(Учет!$O1279=Справочники!$F$4,Учет!$H1279,0)</f>
        <v>0</v>
      </c>
      <c r="T1279" s="48">
        <f>IF(Учет!$O1279=Справочники!$F$5,Учет!$H1279,0)</f>
        <v>0</v>
      </c>
      <c r="U1279" s="48">
        <f>IF(Учет!$O1279=Справочники!$F$6,Учет!$H1279,0)</f>
        <v>0</v>
      </c>
      <c r="V1279" s="43">
        <f>V1278+Учет!Q1279-Q1279</f>
        <v>-488978.92000000004</v>
      </c>
      <c r="W1279" s="43">
        <f>W1278+Учет!R1279-R1279</f>
        <v>336855</v>
      </c>
      <c r="X1279" s="43">
        <f>X1278+Учет!S1279-S1279</f>
        <v>500</v>
      </c>
      <c r="Y1279" s="43">
        <f>Y1278+Учет!T1279-T1279</f>
        <v>1150</v>
      </c>
      <c r="Z1279" s="43">
        <f>Z1278+Учет!U1279-U1279</f>
        <v>500000</v>
      </c>
      <c r="AA1279" s="45">
        <f>Учет!X1279</f>
        <v>500</v>
      </c>
    </row>
    <row r="1280" spans="1:27" ht="15" customHeight="1" x14ac:dyDescent="0.25">
      <c r="A1280" s="1"/>
      <c r="B1280" s="17"/>
      <c r="C1280" s="17"/>
      <c r="D1280" s="17"/>
      <c r="E1280" s="17"/>
      <c r="F1280" s="17"/>
      <c r="G1280" s="4">
        <f t="shared" si="54"/>
        <v>0</v>
      </c>
      <c r="H1280" s="17"/>
      <c r="I1280" s="4">
        <f t="shared" si="56"/>
        <v>349526.07999999996</v>
      </c>
      <c r="J1280" s="32" t="str">
        <f t="shared" si="55"/>
        <v/>
      </c>
      <c r="K1280" s="72"/>
      <c r="L1280" s="72"/>
      <c r="M1280" s="2"/>
      <c r="N1280" s="5"/>
      <c r="O1280" s="3"/>
      <c r="P1280" s="6"/>
      <c r="Q1280" s="48">
        <f>IF(Учет!$O1280=Справочники!$F$2,Учет!$H1280,0)</f>
        <v>0</v>
      </c>
      <c r="R1280" s="48">
        <f>IF(Учет!$O1280=Справочники!$F$3,Учет!$H1280,0)</f>
        <v>0</v>
      </c>
      <c r="S1280" s="48">
        <f>IF(Учет!$O1280=Справочники!$F$4,Учет!$H1280,0)</f>
        <v>0</v>
      </c>
      <c r="T1280" s="48">
        <f>IF(Учет!$O1280=Справочники!$F$5,Учет!$H1280,0)</f>
        <v>0</v>
      </c>
      <c r="U1280" s="48">
        <f>IF(Учет!$O1280=Справочники!$F$6,Учет!$H1280,0)</f>
        <v>0</v>
      </c>
      <c r="V1280" s="43">
        <f>V1279+Учет!Q1280-Q1280</f>
        <v>-488978.92000000004</v>
      </c>
      <c r="W1280" s="43">
        <f>W1279+Учет!R1280-R1280</f>
        <v>336855</v>
      </c>
      <c r="X1280" s="43">
        <f>X1279+Учет!S1280-S1280</f>
        <v>500</v>
      </c>
      <c r="Y1280" s="43">
        <f>Y1279+Учет!T1280-T1280</f>
        <v>1150</v>
      </c>
      <c r="Z1280" s="43">
        <f>Z1279+Учет!U1280-U1280</f>
        <v>500000</v>
      </c>
      <c r="AA1280" s="45">
        <f>Учет!X1280</f>
        <v>500</v>
      </c>
    </row>
    <row r="1281" spans="1:27" ht="15" customHeight="1" x14ac:dyDescent="0.25">
      <c r="A1281" s="1"/>
      <c r="B1281" s="17"/>
      <c r="C1281" s="17"/>
      <c r="D1281" s="17"/>
      <c r="E1281" s="17"/>
      <c r="F1281" s="17"/>
      <c r="G1281" s="4">
        <f t="shared" si="54"/>
        <v>0</v>
      </c>
      <c r="H1281" s="17"/>
      <c r="I1281" s="4">
        <f t="shared" si="56"/>
        <v>349526.07999999996</v>
      </c>
      <c r="J1281" s="32" t="str">
        <f t="shared" si="55"/>
        <v/>
      </c>
      <c r="K1281" s="72"/>
      <c r="L1281" s="72"/>
      <c r="M1281" s="2"/>
      <c r="N1281" s="5"/>
      <c r="O1281" s="3"/>
      <c r="P1281" s="6"/>
      <c r="Q1281" s="48">
        <f>IF(Учет!$O1281=Справочники!$F$2,Учет!$H1281,0)</f>
        <v>0</v>
      </c>
      <c r="R1281" s="48">
        <f>IF(Учет!$O1281=Справочники!$F$3,Учет!$H1281,0)</f>
        <v>0</v>
      </c>
      <c r="S1281" s="48">
        <f>IF(Учет!$O1281=Справочники!$F$4,Учет!$H1281,0)</f>
        <v>0</v>
      </c>
      <c r="T1281" s="48">
        <f>IF(Учет!$O1281=Справочники!$F$5,Учет!$H1281,0)</f>
        <v>0</v>
      </c>
      <c r="U1281" s="48">
        <f>IF(Учет!$O1281=Справочники!$F$6,Учет!$H1281,0)</f>
        <v>0</v>
      </c>
      <c r="V1281" s="43">
        <f>V1280+Учет!Q1281-Q1281</f>
        <v>-488978.92000000004</v>
      </c>
      <c r="W1281" s="43">
        <f>W1280+Учет!R1281-R1281</f>
        <v>336855</v>
      </c>
      <c r="X1281" s="43">
        <f>X1280+Учет!S1281-S1281</f>
        <v>500</v>
      </c>
      <c r="Y1281" s="43">
        <f>Y1280+Учет!T1281-T1281</f>
        <v>1150</v>
      </c>
      <c r="Z1281" s="43">
        <f>Z1280+Учет!U1281-U1281</f>
        <v>500000</v>
      </c>
      <c r="AA1281" s="45">
        <f>Учет!X1281</f>
        <v>500</v>
      </c>
    </row>
    <row r="1282" spans="1:27" ht="15" customHeight="1" x14ac:dyDescent="0.25">
      <c r="A1282" s="1"/>
      <c r="B1282" s="17"/>
      <c r="C1282" s="17"/>
      <c r="D1282" s="17"/>
      <c r="E1282" s="17"/>
      <c r="F1282" s="17"/>
      <c r="G1282" s="4">
        <f t="shared" ref="G1282:G1345" si="57">SUM($B1282:$F1282)</f>
        <v>0</v>
      </c>
      <c r="H1282" s="17"/>
      <c r="I1282" s="4">
        <f t="shared" si="56"/>
        <v>349526.07999999996</v>
      </c>
      <c r="J1282" s="32" t="str">
        <f t="shared" ref="J1282:J1345" si="58">IF($A1283&lt;&gt;$A1282,$I1282,"")</f>
        <v/>
      </c>
      <c r="K1282" s="72"/>
      <c r="L1282" s="72"/>
      <c r="M1282" s="2"/>
      <c r="N1282" s="5"/>
      <c r="O1282" s="3"/>
      <c r="P1282" s="6"/>
      <c r="Q1282" s="48">
        <f>IF(Учет!$O1282=Справочники!$F$2,Учет!$H1282,0)</f>
        <v>0</v>
      </c>
      <c r="R1282" s="48">
        <f>IF(Учет!$O1282=Справочники!$F$3,Учет!$H1282,0)</f>
        <v>0</v>
      </c>
      <c r="S1282" s="48">
        <f>IF(Учет!$O1282=Справочники!$F$4,Учет!$H1282,0)</f>
        <v>0</v>
      </c>
      <c r="T1282" s="48">
        <f>IF(Учет!$O1282=Справочники!$F$5,Учет!$H1282,0)</f>
        <v>0</v>
      </c>
      <c r="U1282" s="48">
        <f>IF(Учет!$O1282=Справочники!$F$6,Учет!$H1282,0)</f>
        <v>0</v>
      </c>
      <c r="V1282" s="43">
        <f>V1281+Учет!Q1282-Q1282</f>
        <v>-488978.92000000004</v>
      </c>
      <c r="W1282" s="43">
        <f>W1281+Учет!R1282-R1282</f>
        <v>336855</v>
      </c>
      <c r="X1282" s="43">
        <f>X1281+Учет!S1282-S1282</f>
        <v>500</v>
      </c>
      <c r="Y1282" s="43">
        <f>Y1281+Учет!T1282-T1282</f>
        <v>1150</v>
      </c>
      <c r="Z1282" s="43">
        <f>Z1281+Учет!U1282-U1282</f>
        <v>500000</v>
      </c>
      <c r="AA1282" s="45">
        <f>Учет!X1282</f>
        <v>500</v>
      </c>
    </row>
    <row r="1283" spans="1:27" ht="15" customHeight="1" x14ac:dyDescent="0.25">
      <c r="A1283" s="1"/>
      <c r="B1283" s="17"/>
      <c r="C1283" s="17"/>
      <c r="D1283" s="17"/>
      <c r="E1283" s="17"/>
      <c r="F1283" s="17"/>
      <c r="G1283" s="4">
        <f t="shared" si="57"/>
        <v>0</v>
      </c>
      <c r="H1283" s="17"/>
      <c r="I1283" s="4">
        <f t="shared" ref="I1283:I1346" si="59">$I1282+$G1283-$H1283</f>
        <v>349526.07999999996</v>
      </c>
      <c r="J1283" s="32" t="str">
        <f t="shared" si="58"/>
        <v/>
      </c>
      <c r="K1283" s="72"/>
      <c r="L1283" s="72"/>
      <c r="M1283" s="2"/>
      <c r="N1283" s="5"/>
      <c r="O1283" s="3"/>
      <c r="P1283" s="6"/>
      <c r="Q1283" s="48">
        <f>IF(Учет!$O1283=Справочники!$F$2,Учет!$H1283,0)</f>
        <v>0</v>
      </c>
      <c r="R1283" s="48">
        <f>IF(Учет!$O1283=Справочники!$F$3,Учет!$H1283,0)</f>
        <v>0</v>
      </c>
      <c r="S1283" s="48">
        <f>IF(Учет!$O1283=Справочники!$F$4,Учет!$H1283,0)</f>
        <v>0</v>
      </c>
      <c r="T1283" s="48">
        <f>IF(Учет!$O1283=Справочники!$F$5,Учет!$H1283,0)</f>
        <v>0</v>
      </c>
      <c r="U1283" s="48">
        <f>IF(Учет!$O1283=Справочники!$F$6,Учет!$H1283,0)</f>
        <v>0</v>
      </c>
      <c r="V1283" s="43">
        <f>V1282+Учет!Q1283-Q1283</f>
        <v>-488978.92000000004</v>
      </c>
      <c r="W1283" s="43">
        <f>W1282+Учет!R1283-R1283</f>
        <v>336855</v>
      </c>
      <c r="X1283" s="43">
        <f>X1282+Учет!S1283-S1283</f>
        <v>500</v>
      </c>
      <c r="Y1283" s="43">
        <f>Y1282+Учет!T1283-T1283</f>
        <v>1150</v>
      </c>
      <c r="Z1283" s="43">
        <f>Z1282+Учет!U1283-U1283</f>
        <v>500000</v>
      </c>
      <c r="AA1283" s="45">
        <f>Учет!X1283</f>
        <v>500</v>
      </c>
    </row>
    <row r="1284" spans="1:27" ht="15" customHeight="1" x14ac:dyDescent="0.25">
      <c r="A1284" s="1"/>
      <c r="B1284" s="17"/>
      <c r="C1284" s="17"/>
      <c r="D1284" s="17"/>
      <c r="E1284" s="17"/>
      <c r="F1284" s="17"/>
      <c r="G1284" s="4">
        <f t="shared" si="57"/>
        <v>0</v>
      </c>
      <c r="H1284" s="17"/>
      <c r="I1284" s="4">
        <f t="shared" si="59"/>
        <v>349526.07999999996</v>
      </c>
      <c r="J1284" s="32" t="str">
        <f t="shared" si="58"/>
        <v/>
      </c>
      <c r="K1284" s="72"/>
      <c r="L1284" s="72"/>
      <c r="M1284" s="2"/>
      <c r="N1284" s="5"/>
      <c r="O1284" s="3"/>
      <c r="P1284" s="6"/>
      <c r="Q1284" s="48">
        <f>IF(Учет!$O1284=Справочники!$F$2,Учет!$H1284,0)</f>
        <v>0</v>
      </c>
      <c r="R1284" s="48">
        <f>IF(Учет!$O1284=Справочники!$F$3,Учет!$H1284,0)</f>
        <v>0</v>
      </c>
      <c r="S1284" s="48">
        <f>IF(Учет!$O1284=Справочники!$F$4,Учет!$H1284,0)</f>
        <v>0</v>
      </c>
      <c r="T1284" s="48">
        <f>IF(Учет!$O1284=Справочники!$F$5,Учет!$H1284,0)</f>
        <v>0</v>
      </c>
      <c r="U1284" s="48">
        <f>IF(Учет!$O1284=Справочники!$F$6,Учет!$H1284,0)</f>
        <v>0</v>
      </c>
      <c r="V1284" s="43">
        <f>V1283+Учет!Q1284-Q1284</f>
        <v>-488978.92000000004</v>
      </c>
      <c r="W1284" s="43">
        <f>W1283+Учет!R1284-R1284</f>
        <v>336855</v>
      </c>
      <c r="X1284" s="43">
        <f>X1283+Учет!S1284-S1284</f>
        <v>500</v>
      </c>
      <c r="Y1284" s="43">
        <f>Y1283+Учет!T1284-T1284</f>
        <v>1150</v>
      </c>
      <c r="Z1284" s="43">
        <f>Z1283+Учет!U1284-U1284</f>
        <v>500000</v>
      </c>
      <c r="AA1284" s="45">
        <f>Учет!X1284</f>
        <v>500</v>
      </c>
    </row>
    <row r="1285" spans="1:27" ht="15" customHeight="1" x14ac:dyDescent="0.25">
      <c r="A1285" s="1"/>
      <c r="B1285" s="17"/>
      <c r="C1285" s="17"/>
      <c r="D1285" s="17"/>
      <c r="E1285" s="17"/>
      <c r="F1285" s="17"/>
      <c r="G1285" s="4">
        <f t="shared" si="57"/>
        <v>0</v>
      </c>
      <c r="H1285" s="17"/>
      <c r="I1285" s="4">
        <f t="shared" si="59"/>
        <v>349526.07999999996</v>
      </c>
      <c r="J1285" s="32" t="str">
        <f t="shared" si="58"/>
        <v/>
      </c>
      <c r="K1285" s="72"/>
      <c r="L1285" s="72"/>
      <c r="M1285" s="2"/>
      <c r="N1285" s="5"/>
      <c r="O1285" s="3"/>
      <c r="P1285" s="6"/>
      <c r="Q1285" s="48">
        <f>IF(Учет!$O1285=Справочники!$F$2,Учет!$H1285,0)</f>
        <v>0</v>
      </c>
      <c r="R1285" s="48">
        <f>IF(Учет!$O1285=Справочники!$F$3,Учет!$H1285,0)</f>
        <v>0</v>
      </c>
      <c r="S1285" s="48">
        <f>IF(Учет!$O1285=Справочники!$F$4,Учет!$H1285,0)</f>
        <v>0</v>
      </c>
      <c r="T1285" s="48">
        <f>IF(Учет!$O1285=Справочники!$F$5,Учет!$H1285,0)</f>
        <v>0</v>
      </c>
      <c r="U1285" s="48">
        <f>IF(Учет!$O1285=Справочники!$F$6,Учет!$H1285,0)</f>
        <v>0</v>
      </c>
      <c r="V1285" s="43">
        <f>V1284+Учет!Q1285-Q1285</f>
        <v>-488978.92000000004</v>
      </c>
      <c r="W1285" s="43">
        <f>W1284+Учет!R1285-R1285</f>
        <v>336855</v>
      </c>
      <c r="X1285" s="43">
        <f>X1284+Учет!S1285-S1285</f>
        <v>500</v>
      </c>
      <c r="Y1285" s="43">
        <f>Y1284+Учет!T1285-T1285</f>
        <v>1150</v>
      </c>
      <c r="Z1285" s="43">
        <f>Z1284+Учет!U1285-U1285</f>
        <v>500000</v>
      </c>
      <c r="AA1285" s="45">
        <f>Учет!X1285</f>
        <v>500</v>
      </c>
    </row>
    <row r="1286" spans="1:27" ht="15" customHeight="1" x14ac:dyDescent="0.25">
      <c r="A1286" s="1"/>
      <c r="B1286" s="17"/>
      <c r="C1286" s="17"/>
      <c r="D1286" s="17"/>
      <c r="E1286" s="17"/>
      <c r="F1286" s="17"/>
      <c r="G1286" s="4">
        <f t="shared" si="57"/>
        <v>0</v>
      </c>
      <c r="H1286" s="17"/>
      <c r="I1286" s="4">
        <f t="shared" si="59"/>
        <v>349526.07999999996</v>
      </c>
      <c r="J1286" s="32" t="str">
        <f t="shared" si="58"/>
        <v/>
      </c>
      <c r="K1286" s="72"/>
      <c r="L1286" s="72"/>
      <c r="M1286" s="2"/>
      <c r="N1286" s="5"/>
      <c r="O1286" s="3"/>
      <c r="P1286" s="6"/>
      <c r="Q1286" s="48">
        <f>IF(Учет!$O1286=Справочники!$F$2,Учет!$H1286,0)</f>
        <v>0</v>
      </c>
      <c r="R1286" s="48">
        <f>IF(Учет!$O1286=Справочники!$F$3,Учет!$H1286,0)</f>
        <v>0</v>
      </c>
      <c r="S1286" s="48">
        <f>IF(Учет!$O1286=Справочники!$F$4,Учет!$H1286,0)</f>
        <v>0</v>
      </c>
      <c r="T1286" s="48">
        <f>IF(Учет!$O1286=Справочники!$F$5,Учет!$H1286,0)</f>
        <v>0</v>
      </c>
      <c r="U1286" s="48">
        <f>IF(Учет!$O1286=Справочники!$F$6,Учет!$H1286,0)</f>
        <v>0</v>
      </c>
      <c r="V1286" s="43">
        <f>V1285+Учет!Q1286-Q1286</f>
        <v>-488978.92000000004</v>
      </c>
      <c r="W1286" s="43">
        <f>W1285+Учет!R1286-R1286</f>
        <v>336855</v>
      </c>
      <c r="X1286" s="43">
        <f>X1285+Учет!S1286-S1286</f>
        <v>500</v>
      </c>
      <c r="Y1286" s="43">
        <f>Y1285+Учет!T1286-T1286</f>
        <v>1150</v>
      </c>
      <c r="Z1286" s="43">
        <f>Z1285+Учет!U1286-U1286</f>
        <v>500000</v>
      </c>
      <c r="AA1286" s="45">
        <f>Учет!X1286</f>
        <v>500</v>
      </c>
    </row>
    <row r="1287" spans="1:27" ht="15" customHeight="1" x14ac:dyDescent="0.25">
      <c r="A1287" s="1"/>
      <c r="B1287" s="17"/>
      <c r="C1287" s="17"/>
      <c r="D1287" s="17"/>
      <c r="E1287" s="17"/>
      <c r="F1287" s="17"/>
      <c r="G1287" s="4">
        <f t="shared" si="57"/>
        <v>0</v>
      </c>
      <c r="H1287" s="17"/>
      <c r="I1287" s="4">
        <f t="shared" si="59"/>
        <v>349526.07999999996</v>
      </c>
      <c r="J1287" s="32" t="str">
        <f t="shared" si="58"/>
        <v/>
      </c>
      <c r="K1287" s="72"/>
      <c r="L1287" s="72"/>
      <c r="M1287" s="2"/>
      <c r="N1287" s="5"/>
      <c r="O1287" s="3"/>
      <c r="P1287" s="6"/>
      <c r="Q1287" s="48">
        <f>IF(Учет!$O1287=Справочники!$F$2,Учет!$H1287,0)</f>
        <v>0</v>
      </c>
      <c r="R1287" s="48">
        <f>IF(Учет!$O1287=Справочники!$F$3,Учет!$H1287,0)</f>
        <v>0</v>
      </c>
      <c r="S1287" s="48">
        <f>IF(Учет!$O1287=Справочники!$F$4,Учет!$H1287,0)</f>
        <v>0</v>
      </c>
      <c r="T1287" s="48">
        <f>IF(Учет!$O1287=Справочники!$F$5,Учет!$H1287,0)</f>
        <v>0</v>
      </c>
      <c r="U1287" s="48">
        <f>IF(Учет!$O1287=Справочники!$F$6,Учет!$H1287,0)</f>
        <v>0</v>
      </c>
      <c r="V1287" s="43">
        <f>V1286+Учет!Q1287-Q1287</f>
        <v>-488978.92000000004</v>
      </c>
      <c r="W1287" s="43">
        <f>W1286+Учет!R1287-R1287</f>
        <v>336855</v>
      </c>
      <c r="X1287" s="43">
        <f>X1286+Учет!S1287-S1287</f>
        <v>500</v>
      </c>
      <c r="Y1287" s="43">
        <f>Y1286+Учет!T1287-T1287</f>
        <v>1150</v>
      </c>
      <c r="Z1287" s="43">
        <f>Z1286+Учет!U1287-U1287</f>
        <v>500000</v>
      </c>
      <c r="AA1287" s="45">
        <f>Учет!X1287</f>
        <v>500</v>
      </c>
    </row>
    <row r="1288" spans="1:27" ht="15" customHeight="1" x14ac:dyDescent="0.25">
      <c r="A1288" s="1"/>
      <c r="B1288" s="17"/>
      <c r="C1288" s="17"/>
      <c r="D1288" s="17"/>
      <c r="E1288" s="17"/>
      <c r="F1288" s="17"/>
      <c r="G1288" s="4">
        <f t="shared" si="57"/>
        <v>0</v>
      </c>
      <c r="H1288" s="17"/>
      <c r="I1288" s="4">
        <f t="shared" si="59"/>
        <v>349526.07999999996</v>
      </c>
      <c r="J1288" s="32" t="str">
        <f t="shared" si="58"/>
        <v/>
      </c>
      <c r="K1288" s="72"/>
      <c r="L1288" s="72"/>
      <c r="M1288" s="2"/>
      <c r="N1288" s="5"/>
      <c r="O1288" s="3"/>
      <c r="P1288" s="6"/>
      <c r="Q1288" s="48">
        <f>IF(Учет!$O1288=Справочники!$F$2,Учет!$H1288,0)</f>
        <v>0</v>
      </c>
      <c r="R1288" s="48">
        <f>IF(Учет!$O1288=Справочники!$F$3,Учет!$H1288,0)</f>
        <v>0</v>
      </c>
      <c r="S1288" s="48">
        <f>IF(Учет!$O1288=Справочники!$F$4,Учет!$H1288,0)</f>
        <v>0</v>
      </c>
      <c r="T1288" s="48">
        <f>IF(Учет!$O1288=Справочники!$F$5,Учет!$H1288,0)</f>
        <v>0</v>
      </c>
      <c r="U1288" s="48">
        <f>IF(Учет!$O1288=Справочники!$F$6,Учет!$H1288,0)</f>
        <v>0</v>
      </c>
      <c r="V1288" s="43">
        <f>V1287+Учет!Q1288-Q1288</f>
        <v>-488978.92000000004</v>
      </c>
      <c r="W1288" s="43">
        <f>W1287+Учет!R1288-R1288</f>
        <v>336855</v>
      </c>
      <c r="X1288" s="43">
        <f>X1287+Учет!S1288-S1288</f>
        <v>500</v>
      </c>
      <c r="Y1288" s="43">
        <f>Y1287+Учет!T1288-T1288</f>
        <v>1150</v>
      </c>
      <c r="Z1288" s="43">
        <f>Z1287+Учет!U1288-U1288</f>
        <v>500000</v>
      </c>
      <c r="AA1288" s="45">
        <f>Учет!X1288</f>
        <v>500</v>
      </c>
    </row>
    <row r="1289" spans="1:27" ht="15" customHeight="1" x14ac:dyDescent="0.25">
      <c r="A1289" s="1"/>
      <c r="B1289" s="17"/>
      <c r="C1289" s="17"/>
      <c r="D1289" s="17"/>
      <c r="E1289" s="17"/>
      <c r="F1289" s="17"/>
      <c r="G1289" s="4">
        <f t="shared" si="57"/>
        <v>0</v>
      </c>
      <c r="H1289" s="17"/>
      <c r="I1289" s="4">
        <f t="shared" si="59"/>
        <v>349526.07999999996</v>
      </c>
      <c r="J1289" s="32" t="str">
        <f t="shared" si="58"/>
        <v/>
      </c>
      <c r="K1289" s="72"/>
      <c r="L1289" s="72"/>
      <c r="M1289" s="2"/>
      <c r="N1289" s="5"/>
      <c r="O1289" s="3"/>
      <c r="P1289" s="6"/>
      <c r="Q1289" s="48">
        <f>IF(Учет!$O1289=Справочники!$F$2,Учет!$H1289,0)</f>
        <v>0</v>
      </c>
      <c r="R1289" s="48">
        <f>IF(Учет!$O1289=Справочники!$F$3,Учет!$H1289,0)</f>
        <v>0</v>
      </c>
      <c r="S1289" s="48">
        <f>IF(Учет!$O1289=Справочники!$F$4,Учет!$H1289,0)</f>
        <v>0</v>
      </c>
      <c r="T1289" s="48">
        <f>IF(Учет!$O1289=Справочники!$F$5,Учет!$H1289,0)</f>
        <v>0</v>
      </c>
      <c r="U1289" s="48">
        <f>IF(Учет!$O1289=Справочники!$F$6,Учет!$H1289,0)</f>
        <v>0</v>
      </c>
      <c r="V1289" s="43">
        <f>V1288+Учет!Q1289-Q1289</f>
        <v>-488978.92000000004</v>
      </c>
      <c r="W1289" s="43">
        <f>W1288+Учет!R1289-R1289</f>
        <v>336855</v>
      </c>
      <c r="X1289" s="43">
        <f>X1288+Учет!S1289-S1289</f>
        <v>500</v>
      </c>
      <c r="Y1289" s="43">
        <f>Y1288+Учет!T1289-T1289</f>
        <v>1150</v>
      </c>
      <c r="Z1289" s="43">
        <f>Z1288+Учет!U1289-U1289</f>
        <v>500000</v>
      </c>
      <c r="AA1289" s="45">
        <f>Учет!X1289</f>
        <v>500</v>
      </c>
    </row>
    <row r="1290" spans="1:27" ht="15" customHeight="1" x14ac:dyDescent="0.25">
      <c r="A1290" s="1"/>
      <c r="B1290" s="17"/>
      <c r="C1290" s="17"/>
      <c r="D1290" s="17"/>
      <c r="E1290" s="17"/>
      <c r="F1290" s="17"/>
      <c r="G1290" s="4">
        <f t="shared" si="57"/>
        <v>0</v>
      </c>
      <c r="H1290" s="17"/>
      <c r="I1290" s="4">
        <f t="shared" si="59"/>
        <v>349526.07999999996</v>
      </c>
      <c r="J1290" s="32" t="str">
        <f t="shared" si="58"/>
        <v/>
      </c>
      <c r="K1290" s="72"/>
      <c r="L1290" s="72"/>
      <c r="M1290" s="2"/>
      <c r="N1290" s="5"/>
      <c r="O1290" s="3"/>
      <c r="P1290" s="6"/>
      <c r="Q1290" s="48">
        <f>IF(Учет!$O1290=Справочники!$F$2,Учет!$H1290,0)</f>
        <v>0</v>
      </c>
      <c r="R1290" s="48">
        <f>IF(Учет!$O1290=Справочники!$F$3,Учет!$H1290,0)</f>
        <v>0</v>
      </c>
      <c r="S1290" s="48">
        <f>IF(Учет!$O1290=Справочники!$F$4,Учет!$H1290,0)</f>
        <v>0</v>
      </c>
      <c r="T1290" s="48">
        <f>IF(Учет!$O1290=Справочники!$F$5,Учет!$H1290,0)</f>
        <v>0</v>
      </c>
      <c r="U1290" s="48">
        <f>IF(Учет!$O1290=Справочники!$F$6,Учет!$H1290,0)</f>
        <v>0</v>
      </c>
      <c r="V1290" s="43">
        <f>V1289+Учет!Q1290-Q1290</f>
        <v>-488978.92000000004</v>
      </c>
      <c r="W1290" s="43">
        <f>W1289+Учет!R1290-R1290</f>
        <v>336855</v>
      </c>
      <c r="X1290" s="43">
        <f>X1289+Учет!S1290-S1290</f>
        <v>500</v>
      </c>
      <c r="Y1290" s="43">
        <f>Y1289+Учет!T1290-T1290</f>
        <v>1150</v>
      </c>
      <c r="Z1290" s="43">
        <f>Z1289+Учет!U1290-U1290</f>
        <v>500000</v>
      </c>
      <c r="AA1290" s="45">
        <f>Учет!X1290</f>
        <v>500</v>
      </c>
    </row>
    <row r="1291" spans="1:27" ht="15" customHeight="1" x14ac:dyDescent="0.25">
      <c r="A1291" s="1"/>
      <c r="B1291" s="17"/>
      <c r="C1291" s="17"/>
      <c r="D1291" s="17"/>
      <c r="E1291" s="17"/>
      <c r="F1291" s="17"/>
      <c r="G1291" s="4">
        <f t="shared" si="57"/>
        <v>0</v>
      </c>
      <c r="H1291" s="17"/>
      <c r="I1291" s="4">
        <f t="shared" si="59"/>
        <v>349526.07999999996</v>
      </c>
      <c r="J1291" s="32" t="str">
        <f t="shared" si="58"/>
        <v/>
      </c>
      <c r="K1291" s="72"/>
      <c r="L1291" s="72"/>
      <c r="M1291" s="2"/>
      <c r="N1291" s="5"/>
      <c r="O1291" s="3"/>
      <c r="P1291" s="6"/>
      <c r="Q1291" s="48">
        <f>IF(Учет!$O1291=Справочники!$F$2,Учет!$H1291,0)</f>
        <v>0</v>
      </c>
      <c r="R1291" s="48">
        <f>IF(Учет!$O1291=Справочники!$F$3,Учет!$H1291,0)</f>
        <v>0</v>
      </c>
      <c r="S1291" s="48">
        <f>IF(Учет!$O1291=Справочники!$F$4,Учет!$H1291,0)</f>
        <v>0</v>
      </c>
      <c r="T1291" s="48">
        <f>IF(Учет!$O1291=Справочники!$F$5,Учет!$H1291,0)</f>
        <v>0</v>
      </c>
      <c r="U1291" s="48">
        <f>IF(Учет!$O1291=Справочники!$F$6,Учет!$H1291,0)</f>
        <v>0</v>
      </c>
      <c r="V1291" s="43">
        <f>V1290+Учет!Q1291-Q1291</f>
        <v>-488978.92000000004</v>
      </c>
      <c r="W1291" s="43">
        <f>W1290+Учет!R1291-R1291</f>
        <v>336855</v>
      </c>
      <c r="X1291" s="43">
        <f>X1290+Учет!S1291-S1291</f>
        <v>500</v>
      </c>
      <c r="Y1291" s="43">
        <f>Y1290+Учет!T1291-T1291</f>
        <v>1150</v>
      </c>
      <c r="Z1291" s="43">
        <f>Z1290+Учет!U1291-U1291</f>
        <v>500000</v>
      </c>
      <c r="AA1291" s="45">
        <f>Учет!X1291</f>
        <v>500</v>
      </c>
    </row>
    <row r="1292" spans="1:27" ht="15" customHeight="1" x14ac:dyDescent="0.25">
      <c r="A1292" s="1"/>
      <c r="B1292" s="17"/>
      <c r="C1292" s="17"/>
      <c r="D1292" s="17"/>
      <c r="E1292" s="17"/>
      <c r="F1292" s="17"/>
      <c r="G1292" s="4">
        <f t="shared" si="57"/>
        <v>0</v>
      </c>
      <c r="H1292" s="17"/>
      <c r="I1292" s="4">
        <f t="shared" si="59"/>
        <v>349526.07999999996</v>
      </c>
      <c r="J1292" s="32" t="str">
        <f t="shared" si="58"/>
        <v/>
      </c>
      <c r="K1292" s="72"/>
      <c r="L1292" s="72"/>
      <c r="M1292" s="2"/>
      <c r="N1292" s="5"/>
      <c r="O1292" s="3"/>
      <c r="P1292" s="6"/>
      <c r="Q1292" s="48">
        <f>IF(Учет!$O1292=Справочники!$F$2,Учет!$H1292,0)</f>
        <v>0</v>
      </c>
      <c r="R1292" s="48">
        <f>IF(Учет!$O1292=Справочники!$F$3,Учет!$H1292,0)</f>
        <v>0</v>
      </c>
      <c r="S1292" s="48">
        <f>IF(Учет!$O1292=Справочники!$F$4,Учет!$H1292,0)</f>
        <v>0</v>
      </c>
      <c r="T1292" s="48">
        <f>IF(Учет!$O1292=Справочники!$F$5,Учет!$H1292,0)</f>
        <v>0</v>
      </c>
      <c r="U1292" s="48">
        <f>IF(Учет!$O1292=Справочники!$F$6,Учет!$H1292,0)</f>
        <v>0</v>
      </c>
      <c r="V1292" s="43">
        <f>V1291+Учет!Q1292-Q1292</f>
        <v>-488978.92000000004</v>
      </c>
      <c r="W1292" s="43">
        <f>W1291+Учет!R1292-R1292</f>
        <v>336855</v>
      </c>
      <c r="X1292" s="43">
        <f>X1291+Учет!S1292-S1292</f>
        <v>500</v>
      </c>
      <c r="Y1292" s="43">
        <f>Y1291+Учет!T1292-T1292</f>
        <v>1150</v>
      </c>
      <c r="Z1292" s="43">
        <f>Z1291+Учет!U1292-U1292</f>
        <v>500000</v>
      </c>
      <c r="AA1292" s="45">
        <f>Учет!X1292</f>
        <v>500</v>
      </c>
    </row>
    <row r="1293" spans="1:27" ht="15" customHeight="1" x14ac:dyDescent="0.25">
      <c r="A1293" s="1"/>
      <c r="B1293" s="17"/>
      <c r="C1293" s="17"/>
      <c r="D1293" s="17"/>
      <c r="E1293" s="17"/>
      <c r="F1293" s="17"/>
      <c r="G1293" s="4">
        <f t="shared" si="57"/>
        <v>0</v>
      </c>
      <c r="H1293" s="17"/>
      <c r="I1293" s="4">
        <f t="shared" si="59"/>
        <v>349526.07999999996</v>
      </c>
      <c r="J1293" s="32" t="str">
        <f t="shared" si="58"/>
        <v/>
      </c>
      <c r="K1293" s="72"/>
      <c r="L1293" s="72"/>
      <c r="M1293" s="2"/>
      <c r="N1293" s="5"/>
      <c r="O1293" s="3"/>
      <c r="P1293" s="6"/>
      <c r="Q1293" s="48">
        <f>IF(Учет!$O1293=Справочники!$F$2,Учет!$H1293,0)</f>
        <v>0</v>
      </c>
      <c r="R1293" s="48">
        <f>IF(Учет!$O1293=Справочники!$F$3,Учет!$H1293,0)</f>
        <v>0</v>
      </c>
      <c r="S1293" s="48">
        <f>IF(Учет!$O1293=Справочники!$F$4,Учет!$H1293,0)</f>
        <v>0</v>
      </c>
      <c r="T1293" s="48">
        <f>IF(Учет!$O1293=Справочники!$F$5,Учет!$H1293,0)</f>
        <v>0</v>
      </c>
      <c r="U1293" s="48">
        <f>IF(Учет!$O1293=Справочники!$F$6,Учет!$H1293,0)</f>
        <v>0</v>
      </c>
      <c r="V1293" s="43">
        <f>V1292+Учет!Q1293-Q1293</f>
        <v>-488978.92000000004</v>
      </c>
      <c r="W1293" s="43">
        <f>W1292+Учет!R1293-R1293</f>
        <v>336855</v>
      </c>
      <c r="X1293" s="43">
        <f>X1292+Учет!S1293-S1293</f>
        <v>500</v>
      </c>
      <c r="Y1293" s="43">
        <f>Y1292+Учет!T1293-T1293</f>
        <v>1150</v>
      </c>
      <c r="Z1293" s="43">
        <f>Z1292+Учет!U1293-U1293</f>
        <v>500000</v>
      </c>
      <c r="AA1293" s="45">
        <f>Учет!X1293</f>
        <v>500</v>
      </c>
    </row>
    <row r="1294" spans="1:27" ht="15" customHeight="1" x14ac:dyDescent="0.25">
      <c r="A1294" s="1"/>
      <c r="B1294" s="17"/>
      <c r="C1294" s="17"/>
      <c r="D1294" s="17"/>
      <c r="E1294" s="17"/>
      <c r="F1294" s="17"/>
      <c r="G1294" s="4">
        <f t="shared" si="57"/>
        <v>0</v>
      </c>
      <c r="H1294" s="17"/>
      <c r="I1294" s="4">
        <f t="shared" si="59"/>
        <v>349526.07999999996</v>
      </c>
      <c r="J1294" s="32" t="str">
        <f t="shared" si="58"/>
        <v/>
      </c>
      <c r="K1294" s="72"/>
      <c r="L1294" s="72"/>
      <c r="M1294" s="2"/>
      <c r="N1294" s="5"/>
      <c r="O1294" s="3"/>
      <c r="P1294" s="6"/>
      <c r="Q1294" s="48">
        <f>IF(Учет!$O1294=Справочники!$F$2,Учет!$H1294,0)</f>
        <v>0</v>
      </c>
      <c r="R1294" s="48">
        <f>IF(Учет!$O1294=Справочники!$F$3,Учет!$H1294,0)</f>
        <v>0</v>
      </c>
      <c r="S1294" s="48">
        <f>IF(Учет!$O1294=Справочники!$F$4,Учет!$H1294,0)</f>
        <v>0</v>
      </c>
      <c r="T1294" s="48">
        <f>IF(Учет!$O1294=Справочники!$F$5,Учет!$H1294,0)</f>
        <v>0</v>
      </c>
      <c r="U1294" s="48">
        <f>IF(Учет!$O1294=Справочники!$F$6,Учет!$H1294,0)</f>
        <v>0</v>
      </c>
      <c r="V1294" s="43">
        <f>V1293+Учет!Q1294-Q1294</f>
        <v>-488978.92000000004</v>
      </c>
      <c r="W1294" s="43">
        <f>W1293+Учет!R1294-R1294</f>
        <v>336855</v>
      </c>
      <c r="X1294" s="43">
        <f>X1293+Учет!S1294-S1294</f>
        <v>500</v>
      </c>
      <c r="Y1294" s="43">
        <f>Y1293+Учет!T1294-T1294</f>
        <v>1150</v>
      </c>
      <c r="Z1294" s="43">
        <f>Z1293+Учет!U1294-U1294</f>
        <v>500000</v>
      </c>
      <c r="AA1294" s="45">
        <f>Учет!X1294</f>
        <v>500</v>
      </c>
    </row>
    <row r="1295" spans="1:27" ht="15" customHeight="1" x14ac:dyDescent="0.25">
      <c r="A1295" s="1"/>
      <c r="B1295" s="17"/>
      <c r="C1295" s="17"/>
      <c r="D1295" s="17"/>
      <c r="E1295" s="17"/>
      <c r="F1295" s="17"/>
      <c r="G1295" s="4">
        <f t="shared" si="57"/>
        <v>0</v>
      </c>
      <c r="H1295" s="17"/>
      <c r="I1295" s="4">
        <f t="shared" si="59"/>
        <v>349526.07999999996</v>
      </c>
      <c r="J1295" s="32" t="str">
        <f t="shared" si="58"/>
        <v/>
      </c>
      <c r="K1295" s="72"/>
      <c r="L1295" s="72"/>
      <c r="M1295" s="2"/>
      <c r="N1295" s="5"/>
      <c r="O1295" s="3"/>
      <c r="P1295" s="6"/>
      <c r="Q1295" s="48">
        <f>IF(Учет!$O1295=Справочники!$F$2,Учет!$H1295,0)</f>
        <v>0</v>
      </c>
      <c r="R1295" s="48">
        <f>IF(Учет!$O1295=Справочники!$F$3,Учет!$H1295,0)</f>
        <v>0</v>
      </c>
      <c r="S1295" s="48">
        <f>IF(Учет!$O1295=Справочники!$F$4,Учет!$H1295,0)</f>
        <v>0</v>
      </c>
      <c r="T1295" s="48">
        <f>IF(Учет!$O1295=Справочники!$F$5,Учет!$H1295,0)</f>
        <v>0</v>
      </c>
      <c r="U1295" s="48">
        <f>IF(Учет!$O1295=Справочники!$F$6,Учет!$H1295,0)</f>
        <v>0</v>
      </c>
      <c r="V1295" s="43">
        <f>V1294+Учет!Q1295-Q1295</f>
        <v>-488978.92000000004</v>
      </c>
      <c r="W1295" s="43">
        <f>W1294+Учет!R1295-R1295</f>
        <v>336855</v>
      </c>
      <c r="X1295" s="43">
        <f>X1294+Учет!S1295-S1295</f>
        <v>500</v>
      </c>
      <c r="Y1295" s="43">
        <f>Y1294+Учет!T1295-T1295</f>
        <v>1150</v>
      </c>
      <c r="Z1295" s="43">
        <f>Z1294+Учет!U1295-U1295</f>
        <v>500000</v>
      </c>
      <c r="AA1295" s="45">
        <f>Учет!X1295</f>
        <v>500</v>
      </c>
    </row>
    <row r="1296" spans="1:27" ht="15" customHeight="1" x14ac:dyDescent="0.25">
      <c r="A1296" s="1"/>
      <c r="B1296" s="17"/>
      <c r="C1296" s="17"/>
      <c r="D1296" s="17"/>
      <c r="E1296" s="17"/>
      <c r="F1296" s="17"/>
      <c r="G1296" s="4">
        <f t="shared" si="57"/>
        <v>0</v>
      </c>
      <c r="H1296" s="17"/>
      <c r="I1296" s="4">
        <f t="shared" si="59"/>
        <v>349526.07999999996</v>
      </c>
      <c r="J1296" s="32" t="str">
        <f t="shared" si="58"/>
        <v/>
      </c>
      <c r="K1296" s="72"/>
      <c r="L1296" s="72"/>
      <c r="M1296" s="2"/>
      <c r="N1296" s="5"/>
      <c r="O1296" s="3"/>
      <c r="P1296" s="6"/>
      <c r="Q1296" s="48">
        <f>IF(Учет!$O1296=Справочники!$F$2,Учет!$H1296,0)</f>
        <v>0</v>
      </c>
      <c r="R1296" s="48">
        <f>IF(Учет!$O1296=Справочники!$F$3,Учет!$H1296,0)</f>
        <v>0</v>
      </c>
      <c r="S1296" s="48">
        <f>IF(Учет!$O1296=Справочники!$F$4,Учет!$H1296,0)</f>
        <v>0</v>
      </c>
      <c r="T1296" s="48">
        <f>IF(Учет!$O1296=Справочники!$F$5,Учет!$H1296,0)</f>
        <v>0</v>
      </c>
      <c r="U1296" s="48">
        <f>IF(Учет!$O1296=Справочники!$F$6,Учет!$H1296,0)</f>
        <v>0</v>
      </c>
      <c r="V1296" s="43">
        <f>V1295+Учет!Q1296-Q1296</f>
        <v>-488978.92000000004</v>
      </c>
      <c r="W1296" s="43">
        <f>W1295+Учет!R1296-R1296</f>
        <v>336855</v>
      </c>
      <c r="X1296" s="43">
        <f>X1295+Учет!S1296-S1296</f>
        <v>500</v>
      </c>
      <c r="Y1296" s="43">
        <f>Y1295+Учет!T1296-T1296</f>
        <v>1150</v>
      </c>
      <c r="Z1296" s="43">
        <f>Z1295+Учет!U1296-U1296</f>
        <v>500000</v>
      </c>
      <c r="AA1296" s="45">
        <f>Учет!X1296</f>
        <v>500</v>
      </c>
    </row>
    <row r="1297" spans="1:27" ht="15" customHeight="1" x14ac:dyDescent="0.25">
      <c r="A1297" s="1"/>
      <c r="B1297" s="17"/>
      <c r="C1297" s="17"/>
      <c r="D1297" s="17"/>
      <c r="E1297" s="17"/>
      <c r="F1297" s="17"/>
      <c r="G1297" s="4">
        <f t="shared" si="57"/>
        <v>0</v>
      </c>
      <c r="H1297" s="17"/>
      <c r="I1297" s="4">
        <f t="shared" si="59"/>
        <v>349526.07999999996</v>
      </c>
      <c r="J1297" s="32" t="str">
        <f t="shared" si="58"/>
        <v/>
      </c>
      <c r="K1297" s="72"/>
      <c r="L1297" s="72"/>
      <c r="M1297" s="2"/>
      <c r="N1297" s="5"/>
      <c r="O1297" s="3"/>
      <c r="P1297" s="6"/>
      <c r="Q1297" s="48">
        <f>IF(Учет!$O1297=Справочники!$F$2,Учет!$H1297,0)</f>
        <v>0</v>
      </c>
      <c r="R1297" s="48">
        <f>IF(Учет!$O1297=Справочники!$F$3,Учет!$H1297,0)</f>
        <v>0</v>
      </c>
      <c r="S1297" s="48">
        <f>IF(Учет!$O1297=Справочники!$F$4,Учет!$H1297,0)</f>
        <v>0</v>
      </c>
      <c r="T1297" s="48">
        <f>IF(Учет!$O1297=Справочники!$F$5,Учет!$H1297,0)</f>
        <v>0</v>
      </c>
      <c r="U1297" s="48">
        <f>IF(Учет!$O1297=Справочники!$F$6,Учет!$H1297,0)</f>
        <v>0</v>
      </c>
      <c r="V1297" s="43">
        <f>V1296+Учет!Q1297-Q1297</f>
        <v>-488978.92000000004</v>
      </c>
      <c r="W1297" s="43">
        <f>W1296+Учет!R1297-R1297</f>
        <v>336855</v>
      </c>
      <c r="X1297" s="43">
        <f>X1296+Учет!S1297-S1297</f>
        <v>500</v>
      </c>
      <c r="Y1297" s="43">
        <f>Y1296+Учет!T1297-T1297</f>
        <v>1150</v>
      </c>
      <c r="Z1297" s="43">
        <f>Z1296+Учет!U1297-U1297</f>
        <v>500000</v>
      </c>
      <c r="AA1297" s="45">
        <f>Учет!X1297</f>
        <v>500</v>
      </c>
    </row>
    <row r="1298" spans="1:27" ht="15" customHeight="1" x14ac:dyDescent="0.25">
      <c r="A1298" s="1"/>
      <c r="B1298" s="17"/>
      <c r="C1298" s="17"/>
      <c r="D1298" s="17"/>
      <c r="E1298" s="17"/>
      <c r="F1298" s="17"/>
      <c r="G1298" s="4">
        <f t="shared" si="57"/>
        <v>0</v>
      </c>
      <c r="H1298" s="17"/>
      <c r="I1298" s="4">
        <f t="shared" si="59"/>
        <v>349526.07999999996</v>
      </c>
      <c r="J1298" s="32" t="str">
        <f t="shared" si="58"/>
        <v/>
      </c>
      <c r="K1298" s="72"/>
      <c r="L1298" s="72"/>
      <c r="M1298" s="2"/>
      <c r="N1298" s="5"/>
      <c r="O1298" s="3"/>
      <c r="P1298" s="6"/>
      <c r="Q1298" s="48">
        <f>IF(Учет!$O1298=Справочники!$F$2,Учет!$H1298,0)</f>
        <v>0</v>
      </c>
      <c r="R1298" s="48">
        <f>IF(Учет!$O1298=Справочники!$F$3,Учет!$H1298,0)</f>
        <v>0</v>
      </c>
      <c r="S1298" s="48">
        <f>IF(Учет!$O1298=Справочники!$F$4,Учет!$H1298,0)</f>
        <v>0</v>
      </c>
      <c r="T1298" s="48">
        <f>IF(Учет!$O1298=Справочники!$F$5,Учет!$H1298,0)</f>
        <v>0</v>
      </c>
      <c r="U1298" s="48">
        <f>IF(Учет!$O1298=Справочники!$F$6,Учет!$H1298,0)</f>
        <v>0</v>
      </c>
      <c r="V1298" s="43">
        <f>V1297+Учет!Q1298-Q1298</f>
        <v>-488978.92000000004</v>
      </c>
      <c r="W1298" s="43">
        <f>W1297+Учет!R1298-R1298</f>
        <v>336855</v>
      </c>
      <c r="X1298" s="43">
        <f>X1297+Учет!S1298-S1298</f>
        <v>500</v>
      </c>
      <c r="Y1298" s="43">
        <f>Y1297+Учет!T1298-T1298</f>
        <v>1150</v>
      </c>
      <c r="Z1298" s="43">
        <f>Z1297+Учет!U1298-U1298</f>
        <v>500000</v>
      </c>
      <c r="AA1298" s="45">
        <f>Учет!X1298</f>
        <v>500</v>
      </c>
    </row>
    <row r="1299" spans="1:27" ht="15" customHeight="1" x14ac:dyDescent="0.25">
      <c r="A1299" s="1"/>
      <c r="B1299" s="17"/>
      <c r="C1299" s="17"/>
      <c r="D1299" s="17"/>
      <c r="E1299" s="17"/>
      <c r="F1299" s="17"/>
      <c r="G1299" s="4">
        <f t="shared" si="57"/>
        <v>0</v>
      </c>
      <c r="H1299" s="17"/>
      <c r="I1299" s="4">
        <f t="shared" si="59"/>
        <v>349526.07999999996</v>
      </c>
      <c r="J1299" s="32" t="str">
        <f t="shared" si="58"/>
        <v/>
      </c>
      <c r="K1299" s="72"/>
      <c r="L1299" s="72"/>
      <c r="M1299" s="2"/>
      <c r="N1299" s="5"/>
      <c r="O1299" s="3"/>
      <c r="P1299" s="6"/>
      <c r="Q1299" s="48">
        <f>IF(Учет!$O1299=Справочники!$F$2,Учет!$H1299,0)</f>
        <v>0</v>
      </c>
      <c r="R1299" s="48">
        <f>IF(Учет!$O1299=Справочники!$F$3,Учет!$H1299,0)</f>
        <v>0</v>
      </c>
      <c r="S1299" s="48">
        <f>IF(Учет!$O1299=Справочники!$F$4,Учет!$H1299,0)</f>
        <v>0</v>
      </c>
      <c r="T1299" s="48">
        <f>IF(Учет!$O1299=Справочники!$F$5,Учет!$H1299,0)</f>
        <v>0</v>
      </c>
      <c r="U1299" s="48">
        <f>IF(Учет!$O1299=Справочники!$F$6,Учет!$H1299,0)</f>
        <v>0</v>
      </c>
      <c r="V1299" s="43">
        <f>V1298+Учет!Q1299-Q1299</f>
        <v>-488978.92000000004</v>
      </c>
      <c r="W1299" s="43">
        <f>W1298+Учет!R1299-R1299</f>
        <v>336855</v>
      </c>
      <c r="X1299" s="43">
        <f>X1298+Учет!S1299-S1299</f>
        <v>500</v>
      </c>
      <c r="Y1299" s="43">
        <f>Y1298+Учет!T1299-T1299</f>
        <v>1150</v>
      </c>
      <c r="Z1299" s="43">
        <f>Z1298+Учет!U1299-U1299</f>
        <v>500000</v>
      </c>
      <c r="AA1299" s="45">
        <f>Учет!X1299</f>
        <v>500</v>
      </c>
    </row>
    <row r="1300" spans="1:27" ht="15" customHeight="1" x14ac:dyDescent="0.25">
      <c r="A1300" s="1"/>
      <c r="B1300" s="17"/>
      <c r="C1300" s="17"/>
      <c r="D1300" s="17"/>
      <c r="E1300" s="17"/>
      <c r="F1300" s="17"/>
      <c r="G1300" s="4">
        <f t="shared" si="57"/>
        <v>0</v>
      </c>
      <c r="H1300" s="17"/>
      <c r="I1300" s="4">
        <f t="shared" si="59"/>
        <v>349526.07999999996</v>
      </c>
      <c r="J1300" s="32" t="str">
        <f t="shared" si="58"/>
        <v/>
      </c>
      <c r="K1300" s="72"/>
      <c r="L1300" s="72"/>
      <c r="M1300" s="2"/>
      <c r="N1300" s="5"/>
      <c r="O1300" s="3"/>
      <c r="P1300" s="6"/>
      <c r="Q1300" s="48">
        <f>IF(Учет!$O1300=Справочники!$F$2,Учет!$H1300,0)</f>
        <v>0</v>
      </c>
      <c r="R1300" s="48">
        <f>IF(Учет!$O1300=Справочники!$F$3,Учет!$H1300,0)</f>
        <v>0</v>
      </c>
      <c r="S1300" s="48">
        <f>IF(Учет!$O1300=Справочники!$F$4,Учет!$H1300,0)</f>
        <v>0</v>
      </c>
      <c r="T1300" s="48">
        <f>IF(Учет!$O1300=Справочники!$F$5,Учет!$H1300,0)</f>
        <v>0</v>
      </c>
      <c r="U1300" s="48">
        <f>IF(Учет!$O1300=Справочники!$F$6,Учет!$H1300,0)</f>
        <v>0</v>
      </c>
      <c r="V1300" s="43">
        <f>V1299+Учет!Q1300-Q1300</f>
        <v>-488978.92000000004</v>
      </c>
      <c r="W1300" s="43">
        <f>W1299+Учет!R1300-R1300</f>
        <v>336855</v>
      </c>
      <c r="X1300" s="43">
        <f>X1299+Учет!S1300-S1300</f>
        <v>500</v>
      </c>
      <c r="Y1300" s="43">
        <f>Y1299+Учет!T1300-T1300</f>
        <v>1150</v>
      </c>
      <c r="Z1300" s="43">
        <f>Z1299+Учет!U1300-U1300</f>
        <v>500000</v>
      </c>
      <c r="AA1300" s="45">
        <f>Учет!X1300</f>
        <v>500</v>
      </c>
    </row>
    <row r="1301" spans="1:27" ht="15" customHeight="1" x14ac:dyDescent="0.25">
      <c r="A1301" s="1"/>
      <c r="B1301" s="17"/>
      <c r="C1301" s="17"/>
      <c r="D1301" s="17"/>
      <c r="E1301" s="17"/>
      <c r="F1301" s="17"/>
      <c r="G1301" s="4">
        <f t="shared" si="57"/>
        <v>0</v>
      </c>
      <c r="H1301" s="17"/>
      <c r="I1301" s="4">
        <f t="shared" si="59"/>
        <v>349526.07999999996</v>
      </c>
      <c r="J1301" s="32" t="str">
        <f t="shared" si="58"/>
        <v/>
      </c>
      <c r="K1301" s="72"/>
      <c r="L1301" s="72"/>
      <c r="M1301" s="2"/>
      <c r="N1301" s="5"/>
      <c r="O1301" s="3"/>
      <c r="P1301" s="6"/>
      <c r="Q1301" s="48">
        <f>IF(Учет!$O1301=Справочники!$F$2,Учет!$H1301,0)</f>
        <v>0</v>
      </c>
      <c r="R1301" s="48">
        <f>IF(Учет!$O1301=Справочники!$F$3,Учет!$H1301,0)</f>
        <v>0</v>
      </c>
      <c r="S1301" s="48">
        <f>IF(Учет!$O1301=Справочники!$F$4,Учет!$H1301,0)</f>
        <v>0</v>
      </c>
      <c r="T1301" s="48">
        <f>IF(Учет!$O1301=Справочники!$F$5,Учет!$H1301,0)</f>
        <v>0</v>
      </c>
      <c r="U1301" s="48">
        <f>IF(Учет!$O1301=Справочники!$F$6,Учет!$H1301,0)</f>
        <v>0</v>
      </c>
      <c r="V1301" s="43">
        <f>V1300+Учет!Q1301-Q1301</f>
        <v>-488978.92000000004</v>
      </c>
      <c r="W1301" s="43">
        <f>W1300+Учет!R1301-R1301</f>
        <v>336855</v>
      </c>
      <c r="X1301" s="43">
        <f>X1300+Учет!S1301-S1301</f>
        <v>500</v>
      </c>
      <c r="Y1301" s="43">
        <f>Y1300+Учет!T1301-T1301</f>
        <v>1150</v>
      </c>
      <c r="Z1301" s="43">
        <f>Z1300+Учет!U1301-U1301</f>
        <v>500000</v>
      </c>
      <c r="AA1301" s="45">
        <f>Учет!X1301</f>
        <v>500</v>
      </c>
    </row>
    <row r="1302" spans="1:27" ht="15" customHeight="1" x14ac:dyDescent="0.25">
      <c r="A1302" s="1"/>
      <c r="B1302" s="17"/>
      <c r="C1302" s="17"/>
      <c r="D1302" s="17"/>
      <c r="E1302" s="17"/>
      <c r="F1302" s="17"/>
      <c r="G1302" s="4">
        <f t="shared" si="57"/>
        <v>0</v>
      </c>
      <c r="H1302" s="17"/>
      <c r="I1302" s="4">
        <f t="shared" si="59"/>
        <v>349526.07999999996</v>
      </c>
      <c r="J1302" s="32" t="str">
        <f t="shared" si="58"/>
        <v/>
      </c>
      <c r="K1302" s="72"/>
      <c r="L1302" s="72"/>
      <c r="M1302" s="2"/>
      <c r="N1302" s="5"/>
      <c r="O1302" s="3"/>
      <c r="P1302" s="6"/>
      <c r="Q1302" s="48">
        <f>IF(Учет!$O1302=Справочники!$F$2,Учет!$H1302,0)</f>
        <v>0</v>
      </c>
      <c r="R1302" s="48">
        <f>IF(Учет!$O1302=Справочники!$F$3,Учет!$H1302,0)</f>
        <v>0</v>
      </c>
      <c r="S1302" s="48">
        <f>IF(Учет!$O1302=Справочники!$F$4,Учет!$H1302,0)</f>
        <v>0</v>
      </c>
      <c r="T1302" s="48">
        <f>IF(Учет!$O1302=Справочники!$F$5,Учет!$H1302,0)</f>
        <v>0</v>
      </c>
      <c r="U1302" s="48">
        <f>IF(Учет!$O1302=Справочники!$F$6,Учет!$H1302,0)</f>
        <v>0</v>
      </c>
      <c r="V1302" s="43">
        <f>V1301+Учет!Q1302-Q1302</f>
        <v>-488978.92000000004</v>
      </c>
      <c r="W1302" s="43">
        <f>W1301+Учет!R1302-R1302</f>
        <v>336855</v>
      </c>
      <c r="X1302" s="43">
        <f>X1301+Учет!S1302-S1302</f>
        <v>500</v>
      </c>
      <c r="Y1302" s="43">
        <f>Y1301+Учет!T1302-T1302</f>
        <v>1150</v>
      </c>
      <c r="Z1302" s="43">
        <f>Z1301+Учет!U1302-U1302</f>
        <v>500000</v>
      </c>
      <c r="AA1302" s="45">
        <f>Учет!X1302</f>
        <v>500</v>
      </c>
    </row>
    <row r="1303" spans="1:27" ht="15" customHeight="1" x14ac:dyDescent="0.25">
      <c r="A1303" s="1"/>
      <c r="B1303" s="17"/>
      <c r="C1303" s="17"/>
      <c r="D1303" s="17"/>
      <c r="E1303" s="17"/>
      <c r="F1303" s="17"/>
      <c r="G1303" s="4">
        <f t="shared" si="57"/>
        <v>0</v>
      </c>
      <c r="H1303" s="17"/>
      <c r="I1303" s="4">
        <f t="shared" si="59"/>
        <v>349526.07999999996</v>
      </c>
      <c r="J1303" s="32" t="str">
        <f t="shared" si="58"/>
        <v/>
      </c>
      <c r="K1303" s="72"/>
      <c r="L1303" s="72"/>
      <c r="M1303" s="2"/>
      <c r="N1303" s="5"/>
      <c r="O1303" s="3"/>
      <c r="P1303" s="6"/>
      <c r="Q1303" s="48">
        <f>IF(Учет!$O1303=Справочники!$F$2,Учет!$H1303,0)</f>
        <v>0</v>
      </c>
      <c r="R1303" s="48">
        <f>IF(Учет!$O1303=Справочники!$F$3,Учет!$H1303,0)</f>
        <v>0</v>
      </c>
      <c r="S1303" s="48">
        <f>IF(Учет!$O1303=Справочники!$F$4,Учет!$H1303,0)</f>
        <v>0</v>
      </c>
      <c r="T1303" s="48">
        <f>IF(Учет!$O1303=Справочники!$F$5,Учет!$H1303,0)</f>
        <v>0</v>
      </c>
      <c r="U1303" s="48">
        <f>IF(Учет!$O1303=Справочники!$F$6,Учет!$H1303,0)</f>
        <v>0</v>
      </c>
      <c r="V1303" s="43">
        <f>V1302+Учет!Q1303-Q1303</f>
        <v>-488978.92000000004</v>
      </c>
      <c r="W1303" s="43">
        <f>W1302+Учет!R1303-R1303</f>
        <v>336855</v>
      </c>
      <c r="X1303" s="43">
        <f>X1302+Учет!S1303-S1303</f>
        <v>500</v>
      </c>
      <c r="Y1303" s="43">
        <f>Y1302+Учет!T1303-T1303</f>
        <v>1150</v>
      </c>
      <c r="Z1303" s="43">
        <f>Z1302+Учет!U1303-U1303</f>
        <v>500000</v>
      </c>
      <c r="AA1303" s="45">
        <f>Учет!X1303</f>
        <v>500</v>
      </c>
    </row>
    <row r="1304" spans="1:27" ht="15" customHeight="1" x14ac:dyDescent="0.25">
      <c r="A1304" s="1"/>
      <c r="B1304" s="17"/>
      <c r="C1304" s="17"/>
      <c r="D1304" s="17"/>
      <c r="E1304" s="17"/>
      <c r="F1304" s="17"/>
      <c r="G1304" s="4">
        <f t="shared" si="57"/>
        <v>0</v>
      </c>
      <c r="H1304" s="17"/>
      <c r="I1304" s="4">
        <f t="shared" si="59"/>
        <v>349526.07999999996</v>
      </c>
      <c r="J1304" s="32" t="str">
        <f t="shared" si="58"/>
        <v/>
      </c>
      <c r="K1304" s="72"/>
      <c r="L1304" s="72"/>
      <c r="M1304" s="2"/>
      <c r="N1304" s="5"/>
      <c r="O1304" s="3"/>
      <c r="P1304" s="6"/>
      <c r="Q1304" s="48">
        <f>IF(Учет!$O1304=Справочники!$F$2,Учет!$H1304,0)</f>
        <v>0</v>
      </c>
      <c r="R1304" s="48">
        <f>IF(Учет!$O1304=Справочники!$F$3,Учет!$H1304,0)</f>
        <v>0</v>
      </c>
      <c r="S1304" s="48">
        <f>IF(Учет!$O1304=Справочники!$F$4,Учет!$H1304,0)</f>
        <v>0</v>
      </c>
      <c r="T1304" s="48">
        <f>IF(Учет!$O1304=Справочники!$F$5,Учет!$H1304,0)</f>
        <v>0</v>
      </c>
      <c r="U1304" s="48">
        <f>IF(Учет!$O1304=Справочники!$F$6,Учет!$H1304,0)</f>
        <v>0</v>
      </c>
      <c r="V1304" s="43">
        <f>V1303+Учет!Q1304-Q1304</f>
        <v>-488978.92000000004</v>
      </c>
      <c r="W1304" s="43">
        <f>W1303+Учет!R1304-R1304</f>
        <v>336855</v>
      </c>
      <c r="X1304" s="43">
        <f>X1303+Учет!S1304-S1304</f>
        <v>500</v>
      </c>
      <c r="Y1304" s="43">
        <f>Y1303+Учет!T1304-T1304</f>
        <v>1150</v>
      </c>
      <c r="Z1304" s="43">
        <f>Z1303+Учет!U1304-U1304</f>
        <v>500000</v>
      </c>
      <c r="AA1304" s="45">
        <f>Учет!X1304</f>
        <v>500</v>
      </c>
    </row>
    <row r="1305" spans="1:27" ht="15" customHeight="1" x14ac:dyDescent="0.25">
      <c r="A1305" s="1"/>
      <c r="B1305" s="17"/>
      <c r="C1305" s="17"/>
      <c r="D1305" s="17"/>
      <c r="E1305" s="17"/>
      <c r="F1305" s="17"/>
      <c r="G1305" s="4">
        <f t="shared" si="57"/>
        <v>0</v>
      </c>
      <c r="H1305" s="17"/>
      <c r="I1305" s="4">
        <f t="shared" si="59"/>
        <v>349526.07999999996</v>
      </c>
      <c r="J1305" s="32" t="str">
        <f t="shared" si="58"/>
        <v/>
      </c>
      <c r="K1305" s="72"/>
      <c r="L1305" s="72"/>
      <c r="M1305" s="2"/>
      <c r="N1305" s="5"/>
      <c r="O1305" s="3"/>
      <c r="P1305" s="6"/>
      <c r="Q1305" s="48">
        <f>IF(Учет!$O1305=Справочники!$F$2,Учет!$H1305,0)</f>
        <v>0</v>
      </c>
      <c r="R1305" s="48">
        <f>IF(Учет!$O1305=Справочники!$F$3,Учет!$H1305,0)</f>
        <v>0</v>
      </c>
      <c r="S1305" s="48">
        <f>IF(Учет!$O1305=Справочники!$F$4,Учет!$H1305,0)</f>
        <v>0</v>
      </c>
      <c r="T1305" s="48">
        <f>IF(Учет!$O1305=Справочники!$F$5,Учет!$H1305,0)</f>
        <v>0</v>
      </c>
      <c r="U1305" s="48">
        <f>IF(Учет!$O1305=Справочники!$F$6,Учет!$H1305,0)</f>
        <v>0</v>
      </c>
      <c r="V1305" s="43">
        <f>V1304+Учет!Q1305-Q1305</f>
        <v>-488978.92000000004</v>
      </c>
      <c r="W1305" s="43">
        <f>W1304+Учет!R1305-R1305</f>
        <v>336855</v>
      </c>
      <c r="X1305" s="43">
        <f>X1304+Учет!S1305-S1305</f>
        <v>500</v>
      </c>
      <c r="Y1305" s="43">
        <f>Y1304+Учет!T1305-T1305</f>
        <v>1150</v>
      </c>
      <c r="Z1305" s="43">
        <f>Z1304+Учет!U1305-U1305</f>
        <v>500000</v>
      </c>
      <c r="AA1305" s="45">
        <f>Учет!X1305</f>
        <v>500</v>
      </c>
    </row>
    <row r="1306" spans="1:27" ht="15" customHeight="1" x14ac:dyDescent="0.25">
      <c r="A1306" s="1"/>
      <c r="B1306" s="17"/>
      <c r="C1306" s="17"/>
      <c r="D1306" s="17"/>
      <c r="E1306" s="17"/>
      <c r="F1306" s="17"/>
      <c r="G1306" s="4">
        <f t="shared" si="57"/>
        <v>0</v>
      </c>
      <c r="H1306" s="17"/>
      <c r="I1306" s="4">
        <f t="shared" si="59"/>
        <v>349526.07999999996</v>
      </c>
      <c r="J1306" s="32" t="str">
        <f t="shared" si="58"/>
        <v/>
      </c>
      <c r="K1306" s="72"/>
      <c r="L1306" s="72"/>
      <c r="M1306" s="2"/>
      <c r="N1306" s="5"/>
      <c r="O1306" s="3"/>
      <c r="P1306" s="6"/>
      <c r="Q1306" s="48">
        <f>IF(Учет!$O1306=Справочники!$F$2,Учет!$H1306,0)</f>
        <v>0</v>
      </c>
      <c r="R1306" s="48">
        <f>IF(Учет!$O1306=Справочники!$F$3,Учет!$H1306,0)</f>
        <v>0</v>
      </c>
      <c r="S1306" s="48">
        <f>IF(Учет!$O1306=Справочники!$F$4,Учет!$H1306,0)</f>
        <v>0</v>
      </c>
      <c r="T1306" s="48">
        <f>IF(Учет!$O1306=Справочники!$F$5,Учет!$H1306,0)</f>
        <v>0</v>
      </c>
      <c r="U1306" s="48">
        <f>IF(Учет!$O1306=Справочники!$F$6,Учет!$H1306,0)</f>
        <v>0</v>
      </c>
      <c r="V1306" s="43">
        <f>V1305+Учет!Q1306-Q1306</f>
        <v>-488978.92000000004</v>
      </c>
      <c r="W1306" s="43">
        <f>W1305+Учет!R1306-R1306</f>
        <v>336855</v>
      </c>
      <c r="X1306" s="43">
        <f>X1305+Учет!S1306-S1306</f>
        <v>500</v>
      </c>
      <c r="Y1306" s="43">
        <f>Y1305+Учет!T1306-T1306</f>
        <v>1150</v>
      </c>
      <c r="Z1306" s="43">
        <f>Z1305+Учет!U1306-U1306</f>
        <v>500000</v>
      </c>
      <c r="AA1306" s="45">
        <f>Учет!X1306</f>
        <v>500</v>
      </c>
    </row>
    <row r="1307" spans="1:27" ht="15" customHeight="1" x14ac:dyDescent="0.25">
      <c r="A1307" s="1"/>
      <c r="B1307" s="17"/>
      <c r="C1307" s="17"/>
      <c r="D1307" s="17"/>
      <c r="E1307" s="17"/>
      <c r="F1307" s="17"/>
      <c r="G1307" s="4">
        <f t="shared" si="57"/>
        <v>0</v>
      </c>
      <c r="H1307" s="17"/>
      <c r="I1307" s="4">
        <f t="shared" si="59"/>
        <v>349526.07999999996</v>
      </c>
      <c r="J1307" s="32" t="str">
        <f t="shared" si="58"/>
        <v/>
      </c>
      <c r="K1307" s="72"/>
      <c r="L1307" s="72"/>
      <c r="M1307" s="2"/>
      <c r="N1307" s="5"/>
      <c r="O1307" s="3"/>
      <c r="P1307" s="6"/>
      <c r="Q1307" s="48">
        <f>IF(Учет!$O1307=Справочники!$F$2,Учет!$H1307,0)</f>
        <v>0</v>
      </c>
      <c r="R1307" s="48">
        <f>IF(Учет!$O1307=Справочники!$F$3,Учет!$H1307,0)</f>
        <v>0</v>
      </c>
      <c r="S1307" s="48">
        <f>IF(Учет!$O1307=Справочники!$F$4,Учет!$H1307,0)</f>
        <v>0</v>
      </c>
      <c r="T1307" s="48">
        <f>IF(Учет!$O1307=Справочники!$F$5,Учет!$H1307,0)</f>
        <v>0</v>
      </c>
      <c r="U1307" s="48">
        <f>IF(Учет!$O1307=Справочники!$F$6,Учет!$H1307,0)</f>
        <v>0</v>
      </c>
      <c r="V1307" s="43">
        <f>V1306+Учет!Q1307-Q1307</f>
        <v>-488978.92000000004</v>
      </c>
      <c r="W1307" s="43">
        <f>W1306+Учет!R1307-R1307</f>
        <v>336855</v>
      </c>
      <c r="X1307" s="43">
        <f>X1306+Учет!S1307-S1307</f>
        <v>500</v>
      </c>
      <c r="Y1307" s="43">
        <f>Y1306+Учет!T1307-T1307</f>
        <v>1150</v>
      </c>
      <c r="Z1307" s="43">
        <f>Z1306+Учет!U1307-U1307</f>
        <v>500000</v>
      </c>
      <c r="AA1307" s="45">
        <f>Учет!X1307</f>
        <v>500</v>
      </c>
    </row>
    <row r="1308" spans="1:27" ht="15" customHeight="1" x14ac:dyDescent="0.25">
      <c r="A1308" s="1"/>
      <c r="B1308" s="17"/>
      <c r="C1308" s="17"/>
      <c r="D1308" s="17"/>
      <c r="E1308" s="17"/>
      <c r="F1308" s="17"/>
      <c r="G1308" s="4">
        <f t="shared" si="57"/>
        <v>0</v>
      </c>
      <c r="H1308" s="17"/>
      <c r="I1308" s="4">
        <f t="shared" si="59"/>
        <v>349526.07999999996</v>
      </c>
      <c r="J1308" s="32" t="str">
        <f t="shared" si="58"/>
        <v/>
      </c>
      <c r="K1308" s="72"/>
      <c r="L1308" s="72"/>
      <c r="M1308" s="2"/>
      <c r="N1308" s="5"/>
      <c r="O1308" s="3"/>
      <c r="P1308" s="6"/>
      <c r="Q1308" s="48">
        <f>IF(Учет!$O1308=Справочники!$F$2,Учет!$H1308,0)</f>
        <v>0</v>
      </c>
      <c r="R1308" s="48">
        <f>IF(Учет!$O1308=Справочники!$F$3,Учет!$H1308,0)</f>
        <v>0</v>
      </c>
      <c r="S1308" s="48">
        <f>IF(Учет!$O1308=Справочники!$F$4,Учет!$H1308,0)</f>
        <v>0</v>
      </c>
      <c r="T1308" s="48">
        <f>IF(Учет!$O1308=Справочники!$F$5,Учет!$H1308,0)</f>
        <v>0</v>
      </c>
      <c r="U1308" s="48">
        <f>IF(Учет!$O1308=Справочники!$F$6,Учет!$H1308,0)</f>
        <v>0</v>
      </c>
      <c r="V1308" s="43">
        <f>V1307+Учет!Q1308-Q1308</f>
        <v>-488978.92000000004</v>
      </c>
      <c r="W1308" s="43">
        <f>W1307+Учет!R1308-R1308</f>
        <v>336855</v>
      </c>
      <c r="X1308" s="43">
        <f>X1307+Учет!S1308-S1308</f>
        <v>500</v>
      </c>
      <c r="Y1308" s="43">
        <f>Y1307+Учет!T1308-T1308</f>
        <v>1150</v>
      </c>
      <c r="Z1308" s="43">
        <f>Z1307+Учет!U1308-U1308</f>
        <v>500000</v>
      </c>
      <c r="AA1308" s="45">
        <f>Учет!X1308</f>
        <v>500</v>
      </c>
    </row>
    <row r="1309" spans="1:27" ht="15" customHeight="1" x14ac:dyDescent="0.25">
      <c r="A1309" s="1"/>
      <c r="B1309" s="17"/>
      <c r="C1309" s="17"/>
      <c r="D1309" s="17"/>
      <c r="E1309" s="17"/>
      <c r="F1309" s="17"/>
      <c r="G1309" s="4">
        <f t="shared" si="57"/>
        <v>0</v>
      </c>
      <c r="H1309" s="17"/>
      <c r="I1309" s="4">
        <f t="shared" si="59"/>
        <v>349526.07999999996</v>
      </c>
      <c r="J1309" s="32" t="str">
        <f t="shared" si="58"/>
        <v/>
      </c>
      <c r="K1309" s="72"/>
      <c r="L1309" s="72"/>
      <c r="M1309" s="2"/>
      <c r="N1309" s="5"/>
      <c r="O1309" s="3"/>
      <c r="P1309" s="6"/>
      <c r="Q1309" s="48">
        <f>IF(Учет!$O1309=Справочники!$F$2,Учет!$H1309,0)</f>
        <v>0</v>
      </c>
      <c r="R1309" s="48">
        <f>IF(Учет!$O1309=Справочники!$F$3,Учет!$H1309,0)</f>
        <v>0</v>
      </c>
      <c r="S1309" s="48">
        <f>IF(Учет!$O1309=Справочники!$F$4,Учет!$H1309,0)</f>
        <v>0</v>
      </c>
      <c r="T1309" s="48">
        <f>IF(Учет!$O1309=Справочники!$F$5,Учет!$H1309,0)</f>
        <v>0</v>
      </c>
      <c r="U1309" s="48">
        <f>IF(Учет!$O1309=Справочники!$F$6,Учет!$H1309,0)</f>
        <v>0</v>
      </c>
      <c r="V1309" s="43">
        <f>V1308+Учет!Q1309-Q1309</f>
        <v>-488978.92000000004</v>
      </c>
      <c r="W1309" s="43">
        <f>W1308+Учет!R1309-R1309</f>
        <v>336855</v>
      </c>
      <c r="X1309" s="43">
        <f>X1308+Учет!S1309-S1309</f>
        <v>500</v>
      </c>
      <c r="Y1309" s="43">
        <f>Y1308+Учет!T1309-T1309</f>
        <v>1150</v>
      </c>
      <c r="Z1309" s="43">
        <f>Z1308+Учет!U1309-U1309</f>
        <v>500000</v>
      </c>
      <c r="AA1309" s="45">
        <f>Учет!X1309</f>
        <v>500</v>
      </c>
    </row>
    <row r="1310" spans="1:27" ht="15" customHeight="1" x14ac:dyDescent="0.25">
      <c r="A1310" s="1"/>
      <c r="B1310" s="17"/>
      <c r="C1310" s="17"/>
      <c r="D1310" s="17"/>
      <c r="E1310" s="17"/>
      <c r="F1310" s="17"/>
      <c r="G1310" s="4">
        <f t="shared" si="57"/>
        <v>0</v>
      </c>
      <c r="H1310" s="17"/>
      <c r="I1310" s="4">
        <f t="shared" si="59"/>
        <v>349526.07999999996</v>
      </c>
      <c r="J1310" s="32" t="str">
        <f t="shared" si="58"/>
        <v/>
      </c>
      <c r="K1310" s="72"/>
      <c r="L1310" s="72"/>
      <c r="M1310" s="2"/>
      <c r="N1310" s="5"/>
      <c r="O1310" s="3"/>
      <c r="P1310" s="6"/>
      <c r="Q1310" s="48">
        <f>IF(Учет!$O1310=Справочники!$F$2,Учет!$H1310,0)</f>
        <v>0</v>
      </c>
      <c r="R1310" s="48">
        <f>IF(Учет!$O1310=Справочники!$F$3,Учет!$H1310,0)</f>
        <v>0</v>
      </c>
      <c r="S1310" s="48">
        <f>IF(Учет!$O1310=Справочники!$F$4,Учет!$H1310,0)</f>
        <v>0</v>
      </c>
      <c r="T1310" s="48">
        <f>IF(Учет!$O1310=Справочники!$F$5,Учет!$H1310,0)</f>
        <v>0</v>
      </c>
      <c r="U1310" s="48">
        <f>IF(Учет!$O1310=Справочники!$F$6,Учет!$H1310,0)</f>
        <v>0</v>
      </c>
      <c r="V1310" s="43">
        <f>V1309+Учет!Q1310-Q1310</f>
        <v>-488978.92000000004</v>
      </c>
      <c r="W1310" s="43">
        <f>W1309+Учет!R1310-R1310</f>
        <v>336855</v>
      </c>
      <c r="X1310" s="43">
        <f>X1309+Учет!S1310-S1310</f>
        <v>500</v>
      </c>
      <c r="Y1310" s="43">
        <f>Y1309+Учет!T1310-T1310</f>
        <v>1150</v>
      </c>
      <c r="Z1310" s="43">
        <f>Z1309+Учет!U1310-U1310</f>
        <v>500000</v>
      </c>
      <c r="AA1310" s="45">
        <f>Учет!X1310</f>
        <v>500</v>
      </c>
    </row>
    <row r="1311" spans="1:27" ht="15" customHeight="1" x14ac:dyDescent="0.25">
      <c r="A1311" s="1"/>
      <c r="B1311" s="17"/>
      <c r="C1311" s="17"/>
      <c r="D1311" s="17"/>
      <c r="E1311" s="17"/>
      <c r="F1311" s="17"/>
      <c r="G1311" s="4">
        <f t="shared" si="57"/>
        <v>0</v>
      </c>
      <c r="H1311" s="17"/>
      <c r="I1311" s="4">
        <f t="shared" si="59"/>
        <v>349526.07999999996</v>
      </c>
      <c r="J1311" s="32" t="str">
        <f t="shared" si="58"/>
        <v/>
      </c>
      <c r="K1311" s="72"/>
      <c r="L1311" s="72"/>
      <c r="M1311" s="2"/>
      <c r="N1311" s="5"/>
      <c r="O1311" s="3"/>
      <c r="P1311" s="6"/>
      <c r="Q1311" s="48">
        <f>IF(Учет!$O1311=Справочники!$F$2,Учет!$H1311,0)</f>
        <v>0</v>
      </c>
      <c r="R1311" s="48">
        <f>IF(Учет!$O1311=Справочники!$F$3,Учет!$H1311,0)</f>
        <v>0</v>
      </c>
      <c r="S1311" s="48">
        <f>IF(Учет!$O1311=Справочники!$F$4,Учет!$H1311,0)</f>
        <v>0</v>
      </c>
      <c r="T1311" s="48">
        <f>IF(Учет!$O1311=Справочники!$F$5,Учет!$H1311,0)</f>
        <v>0</v>
      </c>
      <c r="U1311" s="48">
        <f>IF(Учет!$O1311=Справочники!$F$6,Учет!$H1311,0)</f>
        <v>0</v>
      </c>
      <c r="V1311" s="43">
        <f>V1310+Учет!Q1311-Q1311</f>
        <v>-488978.92000000004</v>
      </c>
      <c r="W1311" s="43">
        <f>W1310+Учет!R1311-R1311</f>
        <v>336855</v>
      </c>
      <c r="X1311" s="43">
        <f>X1310+Учет!S1311-S1311</f>
        <v>500</v>
      </c>
      <c r="Y1311" s="43">
        <f>Y1310+Учет!T1311-T1311</f>
        <v>1150</v>
      </c>
      <c r="Z1311" s="43">
        <f>Z1310+Учет!U1311-U1311</f>
        <v>500000</v>
      </c>
      <c r="AA1311" s="45">
        <f>Учет!X1311</f>
        <v>500</v>
      </c>
    </row>
    <row r="1312" spans="1:27" ht="15" customHeight="1" x14ac:dyDescent="0.25">
      <c r="A1312" s="1"/>
      <c r="B1312" s="17"/>
      <c r="C1312" s="17"/>
      <c r="D1312" s="17"/>
      <c r="E1312" s="17"/>
      <c r="F1312" s="17"/>
      <c r="G1312" s="4">
        <f t="shared" si="57"/>
        <v>0</v>
      </c>
      <c r="H1312" s="17"/>
      <c r="I1312" s="4">
        <f t="shared" si="59"/>
        <v>349526.07999999996</v>
      </c>
      <c r="J1312" s="32" t="str">
        <f t="shared" si="58"/>
        <v/>
      </c>
      <c r="K1312" s="72"/>
      <c r="L1312" s="72"/>
      <c r="M1312" s="2"/>
      <c r="N1312" s="5"/>
      <c r="O1312" s="3"/>
      <c r="P1312" s="6"/>
      <c r="Q1312" s="48">
        <f>IF(Учет!$O1312=Справочники!$F$2,Учет!$H1312,0)</f>
        <v>0</v>
      </c>
      <c r="R1312" s="48">
        <f>IF(Учет!$O1312=Справочники!$F$3,Учет!$H1312,0)</f>
        <v>0</v>
      </c>
      <c r="S1312" s="48">
        <f>IF(Учет!$O1312=Справочники!$F$4,Учет!$H1312,0)</f>
        <v>0</v>
      </c>
      <c r="T1312" s="48">
        <f>IF(Учет!$O1312=Справочники!$F$5,Учет!$H1312,0)</f>
        <v>0</v>
      </c>
      <c r="U1312" s="48">
        <f>IF(Учет!$O1312=Справочники!$F$6,Учет!$H1312,0)</f>
        <v>0</v>
      </c>
      <c r="V1312" s="43">
        <f>V1311+Учет!Q1312-Q1312</f>
        <v>-488978.92000000004</v>
      </c>
      <c r="W1312" s="43">
        <f>W1311+Учет!R1312-R1312</f>
        <v>336855</v>
      </c>
      <c r="X1312" s="43">
        <f>X1311+Учет!S1312-S1312</f>
        <v>500</v>
      </c>
      <c r="Y1312" s="43">
        <f>Y1311+Учет!T1312-T1312</f>
        <v>1150</v>
      </c>
      <c r="Z1312" s="43">
        <f>Z1311+Учет!U1312-U1312</f>
        <v>500000</v>
      </c>
      <c r="AA1312" s="45">
        <f>Учет!X1312</f>
        <v>500</v>
      </c>
    </row>
    <row r="1313" spans="1:27" ht="15" customHeight="1" x14ac:dyDescent="0.25">
      <c r="A1313" s="1"/>
      <c r="B1313" s="17"/>
      <c r="C1313" s="17"/>
      <c r="D1313" s="17"/>
      <c r="E1313" s="17"/>
      <c r="F1313" s="17"/>
      <c r="G1313" s="4">
        <f t="shared" si="57"/>
        <v>0</v>
      </c>
      <c r="H1313" s="17"/>
      <c r="I1313" s="4">
        <f t="shared" si="59"/>
        <v>349526.07999999996</v>
      </c>
      <c r="J1313" s="32" t="str">
        <f t="shared" si="58"/>
        <v/>
      </c>
      <c r="K1313" s="72"/>
      <c r="L1313" s="72"/>
      <c r="M1313" s="2"/>
      <c r="N1313" s="5"/>
      <c r="O1313" s="3"/>
      <c r="P1313" s="6"/>
      <c r="Q1313" s="48">
        <f>IF(Учет!$O1313=Справочники!$F$2,Учет!$H1313,0)</f>
        <v>0</v>
      </c>
      <c r="R1313" s="48">
        <f>IF(Учет!$O1313=Справочники!$F$3,Учет!$H1313,0)</f>
        <v>0</v>
      </c>
      <c r="S1313" s="48">
        <f>IF(Учет!$O1313=Справочники!$F$4,Учет!$H1313,0)</f>
        <v>0</v>
      </c>
      <c r="T1313" s="48">
        <f>IF(Учет!$O1313=Справочники!$F$5,Учет!$H1313,0)</f>
        <v>0</v>
      </c>
      <c r="U1313" s="48">
        <f>IF(Учет!$O1313=Справочники!$F$6,Учет!$H1313,0)</f>
        <v>0</v>
      </c>
      <c r="V1313" s="43">
        <f>V1312+Учет!Q1313-Q1313</f>
        <v>-488978.92000000004</v>
      </c>
      <c r="W1313" s="43">
        <f>W1312+Учет!R1313-R1313</f>
        <v>336855</v>
      </c>
      <c r="X1313" s="43">
        <f>X1312+Учет!S1313-S1313</f>
        <v>500</v>
      </c>
      <c r="Y1313" s="43">
        <f>Y1312+Учет!T1313-T1313</f>
        <v>1150</v>
      </c>
      <c r="Z1313" s="43">
        <f>Z1312+Учет!U1313-U1313</f>
        <v>500000</v>
      </c>
      <c r="AA1313" s="45">
        <f>Учет!X1313</f>
        <v>500</v>
      </c>
    </row>
    <row r="1314" spans="1:27" ht="15" customHeight="1" x14ac:dyDescent="0.25">
      <c r="A1314" s="1"/>
      <c r="B1314" s="17"/>
      <c r="C1314" s="17"/>
      <c r="D1314" s="17"/>
      <c r="E1314" s="17"/>
      <c r="F1314" s="17"/>
      <c r="G1314" s="4">
        <f t="shared" si="57"/>
        <v>0</v>
      </c>
      <c r="H1314" s="17"/>
      <c r="I1314" s="4">
        <f t="shared" si="59"/>
        <v>349526.07999999996</v>
      </c>
      <c r="J1314" s="32" t="str">
        <f t="shared" si="58"/>
        <v/>
      </c>
      <c r="K1314" s="72"/>
      <c r="L1314" s="72"/>
      <c r="M1314" s="2"/>
      <c r="N1314" s="5"/>
      <c r="O1314" s="3"/>
      <c r="P1314" s="6"/>
      <c r="Q1314" s="48">
        <f>IF(Учет!$O1314=Справочники!$F$2,Учет!$H1314,0)</f>
        <v>0</v>
      </c>
      <c r="R1314" s="48">
        <f>IF(Учет!$O1314=Справочники!$F$3,Учет!$H1314,0)</f>
        <v>0</v>
      </c>
      <c r="S1314" s="48">
        <f>IF(Учет!$O1314=Справочники!$F$4,Учет!$H1314,0)</f>
        <v>0</v>
      </c>
      <c r="T1314" s="48">
        <f>IF(Учет!$O1314=Справочники!$F$5,Учет!$H1314,0)</f>
        <v>0</v>
      </c>
      <c r="U1314" s="48">
        <f>IF(Учет!$O1314=Справочники!$F$6,Учет!$H1314,0)</f>
        <v>0</v>
      </c>
      <c r="V1314" s="43">
        <f>V1313+Учет!Q1314-Q1314</f>
        <v>-488978.92000000004</v>
      </c>
      <c r="W1314" s="43">
        <f>W1313+Учет!R1314-R1314</f>
        <v>336855</v>
      </c>
      <c r="X1314" s="43">
        <f>X1313+Учет!S1314-S1314</f>
        <v>500</v>
      </c>
      <c r="Y1314" s="43">
        <f>Y1313+Учет!T1314-T1314</f>
        <v>1150</v>
      </c>
      <c r="Z1314" s="43">
        <f>Z1313+Учет!U1314-U1314</f>
        <v>500000</v>
      </c>
      <c r="AA1314" s="45">
        <f>Учет!X1314</f>
        <v>500</v>
      </c>
    </row>
    <row r="1315" spans="1:27" ht="15" customHeight="1" x14ac:dyDescent="0.25">
      <c r="A1315" s="1"/>
      <c r="B1315" s="17"/>
      <c r="C1315" s="17"/>
      <c r="D1315" s="17"/>
      <c r="E1315" s="17"/>
      <c r="F1315" s="17"/>
      <c r="G1315" s="4">
        <f t="shared" si="57"/>
        <v>0</v>
      </c>
      <c r="H1315" s="17"/>
      <c r="I1315" s="4">
        <f t="shared" si="59"/>
        <v>349526.07999999996</v>
      </c>
      <c r="J1315" s="32" t="str">
        <f t="shared" si="58"/>
        <v/>
      </c>
      <c r="K1315" s="72"/>
      <c r="L1315" s="72"/>
      <c r="M1315" s="2"/>
      <c r="N1315" s="5"/>
      <c r="O1315" s="3"/>
      <c r="P1315" s="6"/>
      <c r="Q1315" s="48">
        <f>IF(Учет!$O1315=Справочники!$F$2,Учет!$H1315,0)</f>
        <v>0</v>
      </c>
      <c r="R1315" s="48">
        <f>IF(Учет!$O1315=Справочники!$F$3,Учет!$H1315,0)</f>
        <v>0</v>
      </c>
      <c r="S1315" s="48">
        <f>IF(Учет!$O1315=Справочники!$F$4,Учет!$H1315,0)</f>
        <v>0</v>
      </c>
      <c r="T1315" s="48">
        <f>IF(Учет!$O1315=Справочники!$F$5,Учет!$H1315,0)</f>
        <v>0</v>
      </c>
      <c r="U1315" s="48">
        <f>IF(Учет!$O1315=Справочники!$F$6,Учет!$H1315,0)</f>
        <v>0</v>
      </c>
      <c r="V1315" s="43">
        <f>V1314+Учет!Q1315-Q1315</f>
        <v>-488978.92000000004</v>
      </c>
      <c r="W1315" s="43">
        <f>W1314+Учет!R1315-R1315</f>
        <v>336855</v>
      </c>
      <c r="X1315" s="43">
        <f>X1314+Учет!S1315-S1315</f>
        <v>500</v>
      </c>
      <c r="Y1315" s="43">
        <f>Y1314+Учет!T1315-T1315</f>
        <v>1150</v>
      </c>
      <c r="Z1315" s="43">
        <f>Z1314+Учет!U1315-U1315</f>
        <v>500000</v>
      </c>
      <c r="AA1315" s="45">
        <f>Учет!X1315</f>
        <v>500</v>
      </c>
    </row>
    <row r="1316" spans="1:27" ht="15" customHeight="1" x14ac:dyDescent="0.25">
      <c r="A1316" s="1"/>
      <c r="B1316" s="17"/>
      <c r="C1316" s="17"/>
      <c r="D1316" s="17"/>
      <c r="E1316" s="17"/>
      <c r="F1316" s="17"/>
      <c r="G1316" s="4">
        <f t="shared" si="57"/>
        <v>0</v>
      </c>
      <c r="H1316" s="17"/>
      <c r="I1316" s="4">
        <f t="shared" si="59"/>
        <v>349526.07999999996</v>
      </c>
      <c r="J1316" s="32" t="str">
        <f t="shared" si="58"/>
        <v/>
      </c>
      <c r="K1316" s="72"/>
      <c r="L1316" s="72"/>
      <c r="M1316" s="2"/>
      <c r="N1316" s="5"/>
      <c r="O1316" s="3"/>
      <c r="P1316" s="6"/>
      <c r="Q1316" s="48">
        <f>IF(Учет!$O1316=Справочники!$F$2,Учет!$H1316,0)</f>
        <v>0</v>
      </c>
      <c r="R1316" s="48">
        <f>IF(Учет!$O1316=Справочники!$F$3,Учет!$H1316,0)</f>
        <v>0</v>
      </c>
      <c r="S1316" s="48">
        <f>IF(Учет!$O1316=Справочники!$F$4,Учет!$H1316,0)</f>
        <v>0</v>
      </c>
      <c r="T1316" s="48">
        <f>IF(Учет!$O1316=Справочники!$F$5,Учет!$H1316,0)</f>
        <v>0</v>
      </c>
      <c r="U1316" s="48">
        <f>IF(Учет!$O1316=Справочники!$F$6,Учет!$H1316,0)</f>
        <v>0</v>
      </c>
      <c r="V1316" s="43">
        <f>V1315+Учет!Q1316-Q1316</f>
        <v>-488978.92000000004</v>
      </c>
      <c r="W1316" s="43">
        <f>W1315+Учет!R1316-R1316</f>
        <v>336855</v>
      </c>
      <c r="X1316" s="43">
        <f>X1315+Учет!S1316-S1316</f>
        <v>500</v>
      </c>
      <c r="Y1316" s="43">
        <f>Y1315+Учет!T1316-T1316</f>
        <v>1150</v>
      </c>
      <c r="Z1316" s="43">
        <f>Z1315+Учет!U1316-U1316</f>
        <v>500000</v>
      </c>
      <c r="AA1316" s="45">
        <f>Учет!X1316</f>
        <v>500</v>
      </c>
    </row>
    <row r="1317" spans="1:27" ht="15" customHeight="1" x14ac:dyDescent="0.25">
      <c r="A1317" s="1"/>
      <c r="B1317" s="17"/>
      <c r="C1317" s="17"/>
      <c r="D1317" s="17"/>
      <c r="E1317" s="17"/>
      <c r="F1317" s="17"/>
      <c r="G1317" s="4">
        <f t="shared" si="57"/>
        <v>0</v>
      </c>
      <c r="H1317" s="17"/>
      <c r="I1317" s="4">
        <f t="shared" si="59"/>
        <v>349526.07999999996</v>
      </c>
      <c r="J1317" s="32" t="str">
        <f t="shared" si="58"/>
        <v/>
      </c>
      <c r="K1317" s="72"/>
      <c r="L1317" s="72"/>
      <c r="M1317" s="2"/>
      <c r="N1317" s="5"/>
      <c r="O1317" s="3"/>
      <c r="P1317" s="6"/>
      <c r="Q1317" s="48">
        <f>IF(Учет!$O1317=Справочники!$F$2,Учет!$H1317,0)</f>
        <v>0</v>
      </c>
      <c r="R1317" s="48">
        <f>IF(Учет!$O1317=Справочники!$F$3,Учет!$H1317,0)</f>
        <v>0</v>
      </c>
      <c r="S1317" s="48">
        <f>IF(Учет!$O1317=Справочники!$F$4,Учет!$H1317,0)</f>
        <v>0</v>
      </c>
      <c r="T1317" s="48">
        <f>IF(Учет!$O1317=Справочники!$F$5,Учет!$H1317,0)</f>
        <v>0</v>
      </c>
      <c r="U1317" s="48">
        <f>IF(Учет!$O1317=Справочники!$F$6,Учет!$H1317,0)</f>
        <v>0</v>
      </c>
      <c r="V1317" s="43">
        <f>V1316+Учет!Q1317-Q1317</f>
        <v>-488978.92000000004</v>
      </c>
      <c r="W1317" s="43">
        <f>W1316+Учет!R1317-R1317</f>
        <v>336855</v>
      </c>
      <c r="X1317" s="43">
        <f>X1316+Учет!S1317-S1317</f>
        <v>500</v>
      </c>
      <c r="Y1317" s="43">
        <f>Y1316+Учет!T1317-T1317</f>
        <v>1150</v>
      </c>
      <c r="Z1317" s="43">
        <f>Z1316+Учет!U1317-U1317</f>
        <v>500000</v>
      </c>
      <c r="AA1317" s="45">
        <f>Учет!X1317</f>
        <v>500</v>
      </c>
    </row>
    <row r="1318" spans="1:27" ht="15" customHeight="1" x14ac:dyDescent="0.25">
      <c r="A1318" s="1"/>
      <c r="B1318" s="17"/>
      <c r="C1318" s="17"/>
      <c r="D1318" s="17"/>
      <c r="E1318" s="17"/>
      <c r="F1318" s="17"/>
      <c r="G1318" s="4">
        <f t="shared" si="57"/>
        <v>0</v>
      </c>
      <c r="H1318" s="17"/>
      <c r="I1318" s="4">
        <f t="shared" si="59"/>
        <v>349526.07999999996</v>
      </c>
      <c r="J1318" s="32" t="str">
        <f t="shared" si="58"/>
        <v/>
      </c>
      <c r="K1318" s="72"/>
      <c r="L1318" s="72"/>
      <c r="M1318" s="2"/>
      <c r="N1318" s="5"/>
      <c r="O1318" s="3"/>
      <c r="P1318" s="6"/>
      <c r="Q1318" s="48">
        <f>IF(Учет!$O1318=Справочники!$F$2,Учет!$H1318,0)</f>
        <v>0</v>
      </c>
      <c r="R1318" s="48">
        <f>IF(Учет!$O1318=Справочники!$F$3,Учет!$H1318,0)</f>
        <v>0</v>
      </c>
      <c r="S1318" s="48">
        <f>IF(Учет!$O1318=Справочники!$F$4,Учет!$H1318,0)</f>
        <v>0</v>
      </c>
      <c r="T1318" s="48">
        <f>IF(Учет!$O1318=Справочники!$F$5,Учет!$H1318,0)</f>
        <v>0</v>
      </c>
      <c r="U1318" s="48">
        <f>IF(Учет!$O1318=Справочники!$F$6,Учет!$H1318,0)</f>
        <v>0</v>
      </c>
      <c r="V1318" s="43">
        <f>V1317+Учет!Q1318-Q1318</f>
        <v>-488978.92000000004</v>
      </c>
      <c r="W1318" s="43">
        <f>W1317+Учет!R1318-R1318</f>
        <v>336855</v>
      </c>
      <c r="X1318" s="43">
        <f>X1317+Учет!S1318-S1318</f>
        <v>500</v>
      </c>
      <c r="Y1318" s="43">
        <f>Y1317+Учет!T1318-T1318</f>
        <v>1150</v>
      </c>
      <c r="Z1318" s="43">
        <f>Z1317+Учет!U1318-U1318</f>
        <v>500000</v>
      </c>
      <c r="AA1318" s="45">
        <f>Учет!X1318</f>
        <v>500</v>
      </c>
    </row>
    <row r="1319" spans="1:27" ht="15" customHeight="1" x14ac:dyDescent="0.25">
      <c r="A1319" s="1"/>
      <c r="B1319" s="17"/>
      <c r="C1319" s="17"/>
      <c r="D1319" s="17"/>
      <c r="E1319" s="17"/>
      <c r="F1319" s="17"/>
      <c r="G1319" s="4">
        <f t="shared" si="57"/>
        <v>0</v>
      </c>
      <c r="H1319" s="17"/>
      <c r="I1319" s="4">
        <f t="shared" si="59"/>
        <v>349526.07999999996</v>
      </c>
      <c r="J1319" s="32" t="str">
        <f t="shared" si="58"/>
        <v/>
      </c>
      <c r="K1319" s="72"/>
      <c r="L1319" s="72"/>
      <c r="M1319" s="2"/>
      <c r="N1319" s="5"/>
      <c r="O1319" s="3"/>
      <c r="P1319" s="6"/>
      <c r="Q1319" s="48">
        <f>IF(Учет!$O1319=Справочники!$F$2,Учет!$H1319,0)</f>
        <v>0</v>
      </c>
      <c r="R1319" s="48">
        <f>IF(Учет!$O1319=Справочники!$F$3,Учет!$H1319,0)</f>
        <v>0</v>
      </c>
      <c r="S1319" s="48">
        <f>IF(Учет!$O1319=Справочники!$F$4,Учет!$H1319,0)</f>
        <v>0</v>
      </c>
      <c r="T1319" s="48">
        <f>IF(Учет!$O1319=Справочники!$F$5,Учет!$H1319,0)</f>
        <v>0</v>
      </c>
      <c r="U1319" s="48">
        <f>IF(Учет!$O1319=Справочники!$F$6,Учет!$H1319,0)</f>
        <v>0</v>
      </c>
      <c r="V1319" s="43">
        <f>V1318+Учет!Q1319-Q1319</f>
        <v>-488978.92000000004</v>
      </c>
      <c r="W1319" s="43">
        <f>W1318+Учет!R1319-R1319</f>
        <v>336855</v>
      </c>
      <c r="X1319" s="43">
        <f>X1318+Учет!S1319-S1319</f>
        <v>500</v>
      </c>
      <c r="Y1319" s="43">
        <f>Y1318+Учет!T1319-T1319</f>
        <v>1150</v>
      </c>
      <c r="Z1319" s="43">
        <f>Z1318+Учет!U1319-U1319</f>
        <v>500000</v>
      </c>
      <c r="AA1319" s="45">
        <f>Учет!X1319</f>
        <v>500</v>
      </c>
    </row>
    <row r="1320" spans="1:27" ht="15" customHeight="1" x14ac:dyDescent="0.25">
      <c r="A1320" s="1"/>
      <c r="B1320" s="17"/>
      <c r="C1320" s="17"/>
      <c r="D1320" s="17"/>
      <c r="E1320" s="17"/>
      <c r="F1320" s="17"/>
      <c r="G1320" s="4">
        <f t="shared" si="57"/>
        <v>0</v>
      </c>
      <c r="H1320" s="17"/>
      <c r="I1320" s="4">
        <f t="shared" si="59"/>
        <v>349526.07999999996</v>
      </c>
      <c r="J1320" s="32" t="str">
        <f t="shared" si="58"/>
        <v/>
      </c>
      <c r="K1320" s="72"/>
      <c r="L1320" s="72"/>
      <c r="M1320" s="2"/>
      <c r="N1320" s="5"/>
      <c r="O1320" s="3"/>
      <c r="P1320" s="6"/>
      <c r="Q1320" s="48">
        <f>IF(Учет!$O1320=Справочники!$F$2,Учет!$H1320,0)</f>
        <v>0</v>
      </c>
      <c r="R1320" s="48">
        <f>IF(Учет!$O1320=Справочники!$F$3,Учет!$H1320,0)</f>
        <v>0</v>
      </c>
      <c r="S1320" s="48">
        <f>IF(Учет!$O1320=Справочники!$F$4,Учет!$H1320,0)</f>
        <v>0</v>
      </c>
      <c r="T1320" s="48">
        <f>IF(Учет!$O1320=Справочники!$F$5,Учет!$H1320,0)</f>
        <v>0</v>
      </c>
      <c r="U1320" s="48">
        <f>IF(Учет!$O1320=Справочники!$F$6,Учет!$H1320,0)</f>
        <v>0</v>
      </c>
      <c r="V1320" s="43">
        <f>V1319+Учет!Q1320-Q1320</f>
        <v>-488978.92000000004</v>
      </c>
      <c r="W1320" s="43">
        <f>W1319+Учет!R1320-R1320</f>
        <v>336855</v>
      </c>
      <c r="X1320" s="43">
        <f>X1319+Учет!S1320-S1320</f>
        <v>500</v>
      </c>
      <c r="Y1320" s="43">
        <f>Y1319+Учет!T1320-T1320</f>
        <v>1150</v>
      </c>
      <c r="Z1320" s="43">
        <f>Z1319+Учет!U1320-U1320</f>
        <v>500000</v>
      </c>
      <c r="AA1320" s="45">
        <f>Учет!X1320</f>
        <v>500</v>
      </c>
    </row>
    <row r="1321" spans="1:27" ht="15" customHeight="1" x14ac:dyDescent="0.25">
      <c r="A1321" s="1"/>
      <c r="B1321" s="17"/>
      <c r="C1321" s="17"/>
      <c r="D1321" s="17"/>
      <c r="E1321" s="17"/>
      <c r="F1321" s="17"/>
      <c r="G1321" s="4">
        <f t="shared" si="57"/>
        <v>0</v>
      </c>
      <c r="H1321" s="17"/>
      <c r="I1321" s="4">
        <f t="shared" si="59"/>
        <v>349526.07999999996</v>
      </c>
      <c r="J1321" s="32" t="str">
        <f t="shared" si="58"/>
        <v/>
      </c>
      <c r="K1321" s="72"/>
      <c r="L1321" s="72"/>
      <c r="M1321" s="2"/>
      <c r="N1321" s="5"/>
      <c r="O1321" s="3"/>
      <c r="P1321" s="6"/>
      <c r="Q1321" s="48">
        <f>IF(Учет!$O1321=Справочники!$F$2,Учет!$H1321,0)</f>
        <v>0</v>
      </c>
      <c r="R1321" s="48">
        <f>IF(Учет!$O1321=Справочники!$F$3,Учет!$H1321,0)</f>
        <v>0</v>
      </c>
      <c r="S1321" s="48">
        <f>IF(Учет!$O1321=Справочники!$F$4,Учет!$H1321,0)</f>
        <v>0</v>
      </c>
      <c r="T1321" s="48">
        <f>IF(Учет!$O1321=Справочники!$F$5,Учет!$H1321,0)</f>
        <v>0</v>
      </c>
      <c r="U1321" s="48">
        <f>IF(Учет!$O1321=Справочники!$F$6,Учет!$H1321,0)</f>
        <v>0</v>
      </c>
      <c r="V1321" s="43">
        <f>V1320+Учет!Q1321-Q1321</f>
        <v>-488978.92000000004</v>
      </c>
      <c r="W1321" s="43">
        <f>W1320+Учет!R1321-R1321</f>
        <v>336855</v>
      </c>
      <c r="X1321" s="43">
        <f>X1320+Учет!S1321-S1321</f>
        <v>500</v>
      </c>
      <c r="Y1321" s="43">
        <f>Y1320+Учет!T1321-T1321</f>
        <v>1150</v>
      </c>
      <c r="Z1321" s="43">
        <f>Z1320+Учет!U1321-U1321</f>
        <v>500000</v>
      </c>
      <c r="AA1321" s="45">
        <f>Учет!X1321</f>
        <v>500</v>
      </c>
    </row>
    <row r="1322" spans="1:27" ht="15" customHeight="1" x14ac:dyDescent="0.25">
      <c r="A1322" s="1"/>
      <c r="B1322" s="17"/>
      <c r="C1322" s="17"/>
      <c r="D1322" s="17"/>
      <c r="E1322" s="17"/>
      <c r="F1322" s="17"/>
      <c r="G1322" s="4">
        <f t="shared" si="57"/>
        <v>0</v>
      </c>
      <c r="H1322" s="17"/>
      <c r="I1322" s="4">
        <f t="shared" si="59"/>
        <v>349526.07999999996</v>
      </c>
      <c r="J1322" s="32" t="str">
        <f t="shared" si="58"/>
        <v/>
      </c>
      <c r="K1322" s="72"/>
      <c r="L1322" s="72"/>
      <c r="M1322" s="2"/>
      <c r="N1322" s="5"/>
      <c r="O1322" s="3"/>
      <c r="P1322" s="6"/>
      <c r="Q1322" s="48">
        <f>IF(Учет!$O1322=Справочники!$F$2,Учет!$H1322,0)</f>
        <v>0</v>
      </c>
      <c r="R1322" s="48">
        <f>IF(Учет!$O1322=Справочники!$F$3,Учет!$H1322,0)</f>
        <v>0</v>
      </c>
      <c r="S1322" s="48">
        <f>IF(Учет!$O1322=Справочники!$F$4,Учет!$H1322,0)</f>
        <v>0</v>
      </c>
      <c r="T1322" s="48">
        <f>IF(Учет!$O1322=Справочники!$F$5,Учет!$H1322,0)</f>
        <v>0</v>
      </c>
      <c r="U1322" s="48">
        <f>IF(Учет!$O1322=Справочники!$F$6,Учет!$H1322,0)</f>
        <v>0</v>
      </c>
      <c r="V1322" s="43">
        <f>V1321+Учет!Q1322-Q1322</f>
        <v>-488978.92000000004</v>
      </c>
      <c r="W1322" s="43">
        <f>W1321+Учет!R1322-R1322</f>
        <v>336855</v>
      </c>
      <c r="X1322" s="43">
        <f>X1321+Учет!S1322-S1322</f>
        <v>500</v>
      </c>
      <c r="Y1322" s="43">
        <f>Y1321+Учет!T1322-T1322</f>
        <v>1150</v>
      </c>
      <c r="Z1322" s="43">
        <f>Z1321+Учет!U1322-U1322</f>
        <v>500000</v>
      </c>
      <c r="AA1322" s="45">
        <f>Учет!X1322</f>
        <v>500</v>
      </c>
    </row>
    <row r="1323" spans="1:27" ht="15" customHeight="1" x14ac:dyDescent="0.25">
      <c r="A1323" s="1"/>
      <c r="B1323" s="17"/>
      <c r="C1323" s="17"/>
      <c r="D1323" s="17"/>
      <c r="E1323" s="17"/>
      <c r="F1323" s="17"/>
      <c r="G1323" s="4">
        <f t="shared" si="57"/>
        <v>0</v>
      </c>
      <c r="H1323" s="17"/>
      <c r="I1323" s="4">
        <f t="shared" si="59"/>
        <v>349526.07999999996</v>
      </c>
      <c r="J1323" s="32" t="str">
        <f t="shared" si="58"/>
        <v/>
      </c>
      <c r="K1323" s="72"/>
      <c r="L1323" s="72"/>
      <c r="M1323" s="2"/>
      <c r="N1323" s="5"/>
      <c r="O1323" s="3"/>
      <c r="P1323" s="6"/>
      <c r="Q1323" s="48">
        <f>IF(Учет!$O1323=Справочники!$F$2,Учет!$H1323,0)</f>
        <v>0</v>
      </c>
      <c r="R1323" s="48">
        <f>IF(Учет!$O1323=Справочники!$F$3,Учет!$H1323,0)</f>
        <v>0</v>
      </c>
      <c r="S1323" s="48">
        <f>IF(Учет!$O1323=Справочники!$F$4,Учет!$H1323,0)</f>
        <v>0</v>
      </c>
      <c r="T1323" s="48">
        <f>IF(Учет!$O1323=Справочники!$F$5,Учет!$H1323,0)</f>
        <v>0</v>
      </c>
      <c r="U1323" s="48">
        <f>IF(Учет!$O1323=Справочники!$F$6,Учет!$H1323,0)</f>
        <v>0</v>
      </c>
      <c r="V1323" s="43">
        <f>V1322+Учет!Q1323-Q1323</f>
        <v>-488978.92000000004</v>
      </c>
      <c r="W1323" s="43">
        <f>W1322+Учет!R1323-R1323</f>
        <v>336855</v>
      </c>
      <c r="X1323" s="43">
        <f>X1322+Учет!S1323-S1323</f>
        <v>500</v>
      </c>
      <c r="Y1323" s="43">
        <f>Y1322+Учет!T1323-T1323</f>
        <v>1150</v>
      </c>
      <c r="Z1323" s="43">
        <f>Z1322+Учет!U1323-U1323</f>
        <v>500000</v>
      </c>
      <c r="AA1323" s="45">
        <f>Учет!X1323</f>
        <v>500</v>
      </c>
    </row>
    <row r="1324" spans="1:27" ht="15" customHeight="1" x14ac:dyDescent="0.25">
      <c r="A1324" s="1"/>
      <c r="B1324" s="17"/>
      <c r="C1324" s="17"/>
      <c r="D1324" s="17"/>
      <c r="E1324" s="17"/>
      <c r="F1324" s="17"/>
      <c r="G1324" s="4">
        <f t="shared" si="57"/>
        <v>0</v>
      </c>
      <c r="H1324" s="17"/>
      <c r="I1324" s="4">
        <f t="shared" si="59"/>
        <v>349526.07999999996</v>
      </c>
      <c r="J1324" s="32" t="str">
        <f t="shared" si="58"/>
        <v/>
      </c>
      <c r="K1324" s="72"/>
      <c r="L1324" s="72"/>
      <c r="M1324" s="2"/>
      <c r="N1324" s="5"/>
      <c r="O1324" s="3"/>
      <c r="P1324" s="6"/>
      <c r="Q1324" s="48">
        <f>IF(Учет!$O1324=Справочники!$F$2,Учет!$H1324,0)</f>
        <v>0</v>
      </c>
      <c r="R1324" s="48">
        <f>IF(Учет!$O1324=Справочники!$F$3,Учет!$H1324,0)</f>
        <v>0</v>
      </c>
      <c r="S1324" s="48">
        <f>IF(Учет!$O1324=Справочники!$F$4,Учет!$H1324,0)</f>
        <v>0</v>
      </c>
      <c r="T1324" s="48">
        <f>IF(Учет!$O1324=Справочники!$F$5,Учет!$H1324,0)</f>
        <v>0</v>
      </c>
      <c r="U1324" s="48">
        <f>IF(Учет!$O1324=Справочники!$F$6,Учет!$H1324,0)</f>
        <v>0</v>
      </c>
      <c r="V1324" s="43">
        <f>V1323+Учет!Q1324-Q1324</f>
        <v>-488978.92000000004</v>
      </c>
      <c r="W1324" s="43">
        <f>W1323+Учет!R1324-R1324</f>
        <v>336855</v>
      </c>
      <c r="X1324" s="43">
        <f>X1323+Учет!S1324-S1324</f>
        <v>500</v>
      </c>
      <c r="Y1324" s="43">
        <f>Y1323+Учет!T1324-T1324</f>
        <v>1150</v>
      </c>
      <c r="Z1324" s="43">
        <f>Z1323+Учет!U1324-U1324</f>
        <v>500000</v>
      </c>
      <c r="AA1324" s="45">
        <f>Учет!X1324</f>
        <v>500</v>
      </c>
    </row>
    <row r="1325" spans="1:27" ht="15" customHeight="1" x14ac:dyDescent="0.25">
      <c r="A1325" s="1"/>
      <c r="B1325" s="17"/>
      <c r="C1325" s="17"/>
      <c r="D1325" s="17"/>
      <c r="E1325" s="17"/>
      <c r="F1325" s="17"/>
      <c r="G1325" s="4">
        <f t="shared" si="57"/>
        <v>0</v>
      </c>
      <c r="H1325" s="17"/>
      <c r="I1325" s="4">
        <f t="shared" si="59"/>
        <v>349526.07999999996</v>
      </c>
      <c r="J1325" s="32" t="str">
        <f t="shared" si="58"/>
        <v/>
      </c>
      <c r="K1325" s="72"/>
      <c r="L1325" s="72"/>
      <c r="M1325" s="2"/>
      <c r="N1325" s="5"/>
      <c r="O1325" s="3"/>
      <c r="P1325" s="6"/>
      <c r="Q1325" s="48">
        <f>IF(Учет!$O1325=Справочники!$F$2,Учет!$H1325,0)</f>
        <v>0</v>
      </c>
      <c r="R1325" s="48">
        <f>IF(Учет!$O1325=Справочники!$F$3,Учет!$H1325,0)</f>
        <v>0</v>
      </c>
      <c r="S1325" s="48">
        <f>IF(Учет!$O1325=Справочники!$F$4,Учет!$H1325,0)</f>
        <v>0</v>
      </c>
      <c r="T1325" s="48">
        <f>IF(Учет!$O1325=Справочники!$F$5,Учет!$H1325,0)</f>
        <v>0</v>
      </c>
      <c r="U1325" s="48">
        <f>IF(Учет!$O1325=Справочники!$F$6,Учет!$H1325,0)</f>
        <v>0</v>
      </c>
      <c r="V1325" s="43">
        <f>V1324+Учет!Q1325-Q1325</f>
        <v>-488978.92000000004</v>
      </c>
      <c r="W1325" s="43">
        <f>W1324+Учет!R1325-R1325</f>
        <v>336855</v>
      </c>
      <c r="X1325" s="43">
        <f>X1324+Учет!S1325-S1325</f>
        <v>500</v>
      </c>
      <c r="Y1325" s="43">
        <f>Y1324+Учет!T1325-T1325</f>
        <v>1150</v>
      </c>
      <c r="Z1325" s="43">
        <f>Z1324+Учет!U1325-U1325</f>
        <v>500000</v>
      </c>
      <c r="AA1325" s="45">
        <f>Учет!X1325</f>
        <v>500</v>
      </c>
    </row>
    <row r="1326" spans="1:27" ht="15" customHeight="1" x14ac:dyDescent="0.25">
      <c r="A1326" s="1"/>
      <c r="B1326" s="17"/>
      <c r="C1326" s="17"/>
      <c r="D1326" s="17"/>
      <c r="E1326" s="17"/>
      <c r="F1326" s="17"/>
      <c r="G1326" s="4">
        <f t="shared" si="57"/>
        <v>0</v>
      </c>
      <c r="H1326" s="17"/>
      <c r="I1326" s="4">
        <f t="shared" si="59"/>
        <v>349526.07999999996</v>
      </c>
      <c r="J1326" s="32" t="str">
        <f t="shared" si="58"/>
        <v/>
      </c>
      <c r="K1326" s="72"/>
      <c r="L1326" s="72"/>
      <c r="M1326" s="2"/>
      <c r="N1326" s="5"/>
      <c r="O1326" s="3"/>
      <c r="P1326" s="6"/>
      <c r="Q1326" s="48">
        <f>IF(Учет!$O1326=Справочники!$F$2,Учет!$H1326,0)</f>
        <v>0</v>
      </c>
      <c r="R1326" s="48">
        <f>IF(Учет!$O1326=Справочники!$F$3,Учет!$H1326,0)</f>
        <v>0</v>
      </c>
      <c r="S1326" s="48">
        <f>IF(Учет!$O1326=Справочники!$F$4,Учет!$H1326,0)</f>
        <v>0</v>
      </c>
      <c r="T1326" s="48">
        <f>IF(Учет!$O1326=Справочники!$F$5,Учет!$H1326,0)</f>
        <v>0</v>
      </c>
      <c r="U1326" s="48">
        <f>IF(Учет!$O1326=Справочники!$F$6,Учет!$H1326,0)</f>
        <v>0</v>
      </c>
      <c r="V1326" s="43">
        <f>V1325+Учет!Q1326-Q1326</f>
        <v>-488978.92000000004</v>
      </c>
      <c r="W1326" s="43">
        <f>W1325+Учет!R1326-R1326</f>
        <v>336855</v>
      </c>
      <c r="X1326" s="43">
        <f>X1325+Учет!S1326-S1326</f>
        <v>500</v>
      </c>
      <c r="Y1326" s="43">
        <f>Y1325+Учет!T1326-T1326</f>
        <v>1150</v>
      </c>
      <c r="Z1326" s="43">
        <f>Z1325+Учет!U1326-U1326</f>
        <v>500000</v>
      </c>
      <c r="AA1326" s="45">
        <f>Учет!X1326</f>
        <v>500</v>
      </c>
    </row>
    <row r="1327" spans="1:27" ht="15" customHeight="1" x14ac:dyDescent="0.25">
      <c r="A1327" s="1"/>
      <c r="B1327" s="17"/>
      <c r="C1327" s="17"/>
      <c r="D1327" s="17"/>
      <c r="E1327" s="17"/>
      <c r="F1327" s="17"/>
      <c r="G1327" s="4">
        <f t="shared" si="57"/>
        <v>0</v>
      </c>
      <c r="H1327" s="17"/>
      <c r="I1327" s="4">
        <f t="shared" si="59"/>
        <v>349526.07999999996</v>
      </c>
      <c r="J1327" s="32" t="str">
        <f t="shared" si="58"/>
        <v/>
      </c>
      <c r="K1327" s="72"/>
      <c r="L1327" s="72"/>
      <c r="M1327" s="2"/>
      <c r="N1327" s="5"/>
      <c r="O1327" s="3"/>
      <c r="P1327" s="6"/>
      <c r="Q1327" s="48">
        <f>IF(Учет!$O1327=Справочники!$F$2,Учет!$H1327,0)</f>
        <v>0</v>
      </c>
      <c r="R1327" s="48">
        <f>IF(Учет!$O1327=Справочники!$F$3,Учет!$H1327,0)</f>
        <v>0</v>
      </c>
      <c r="S1327" s="48">
        <f>IF(Учет!$O1327=Справочники!$F$4,Учет!$H1327,0)</f>
        <v>0</v>
      </c>
      <c r="T1327" s="48">
        <f>IF(Учет!$O1327=Справочники!$F$5,Учет!$H1327,0)</f>
        <v>0</v>
      </c>
      <c r="U1327" s="48">
        <f>IF(Учет!$O1327=Справочники!$F$6,Учет!$H1327,0)</f>
        <v>0</v>
      </c>
      <c r="V1327" s="43">
        <f>V1326+Учет!Q1327-Q1327</f>
        <v>-488978.92000000004</v>
      </c>
      <c r="W1327" s="43">
        <f>W1326+Учет!R1327-R1327</f>
        <v>336855</v>
      </c>
      <c r="X1327" s="43">
        <f>X1326+Учет!S1327-S1327</f>
        <v>500</v>
      </c>
      <c r="Y1327" s="43">
        <f>Y1326+Учет!T1327-T1327</f>
        <v>1150</v>
      </c>
      <c r="Z1327" s="43">
        <f>Z1326+Учет!U1327-U1327</f>
        <v>500000</v>
      </c>
      <c r="AA1327" s="45">
        <f>Учет!X1327</f>
        <v>500</v>
      </c>
    </row>
    <row r="1328" spans="1:27" ht="15" customHeight="1" x14ac:dyDescent="0.25">
      <c r="A1328" s="1"/>
      <c r="B1328" s="17"/>
      <c r="C1328" s="17"/>
      <c r="D1328" s="17"/>
      <c r="E1328" s="17"/>
      <c r="F1328" s="17"/>
      <c r="G1328" s="4">
        <f t="shared" si="57"/>
        <v>0</v>
      </c>
      <c r="H1328" s="17"/>
      <c r="I1328" s="4">
        <f t="shared" si="59"/>
        <v>349526.07999999996</v>
      </c>
      <c r="J1328" s="32" t="str">
        <f t="shared" si="58"/>
        <v/>
      </c>
      <c r="K1328" s="72"/>
      <c r="L1328" s="72"/>
      <c r="M1328" s="2"/>
      <c r="N1328" s="5"/>
      <c r="O1328" s="3"/>
      <c r="P1328" s="6"/>
      <c r="Q1328" s="48">
        <f>IF(Учет!$O1328=Справочники!$F$2,Учет!$H1328,0)</f>
        <v>0</v>
      </c>
      <c r="R1328" s="48">
        <f>IF(Учет!$O1328=Справочники!$F$3,Учет!$H1328,0)</f>
        <v>0</v>
      </c>
      <c r="S1328" s="48">
        <f>IF(Учет!$O1328=Справочники!$F$4,Учет!$H1328,0)</f>
        <v>0</v>
      </c>
      <c r="T1328" s="48">
        <f>IF(Учет!$O1328=Справочники!$F$5,Учет!$H1328,0)</f>
        <v>0</v>
      </c>
      <c r="U1328" s="48">
        <f>IF(Учет!$O1328=Справочники!$F$6,Учет!$H1328,0)</f>
        <v>0</v>
      </c>
      <c r="V1328" s="43">
        <f>V1327+Учет!Q1328-Q1328</f>
        <v>-488978.92000000004</v>
      </c>
      <c r="W1328" s="43">
        <f>W1327+Учет!R1328-R1328</f>
        <v>336855</v>
      </c>
      <c r="X1328" s="43">
        <f>X1327+Учет!S1328-S1328</f>
        <v>500</v>
      </c>
      <c r="Y1328" s="43">
        <f>Y1327+Учет!T1328-T1328</f>
        <v>1150</v>
      </c>
      <c r="Z1328" s="43">
        <f>Z1327+Учет!U1328-U1328</f>
        <v>500000</v>
      </c>
      <c r="AA1328" s="45">
        <f>Учет!X1328</f>
        <v>500</v>
      </c>
    </row>
    <row r="1329" spans="1:27" ht="15" customHeight="1" x14ac:dyDescent="0.25">
      <c r="A1329" s="1"/>
      <c r="B1329" s="17"/>
      <c r="C1329" s="17"/>
      <c r="D1329" s="17"/>
      <c r="E1329" s="17"/>
      <c r="F1329" s="17"/>
      <c r="G1329" s="4">
        <f t="shared" si="57"/>
        <v>0</v>
      </c>
      <c r="H1329" s="17"/>
      <c r="I1329" s="4">
        <f t="shared" si="59"/>
        <v>349526.07999999996</v>
      </c>
      <c r="J1329" s="32" t="str">
        <f t="shared" si="58"/>
        <v/>
      </c>
      <c r="K1329" s="72"/>
      <c r="L1329" s="72"/>
      <c r="M1329" s="2"/>
      <c r="N1329" s="5"/>
      <c r="O1329" s="3"/>
      <c r="P1329" s="6"/>
      <c r="Q1329" s="48">
        <f>IF(Учет!$O1329=Справочники!$F$2,Учет!$H1329,0)</f>
        <v>0</v>
      </c>
      <c r="R1329" s="48">
        <f>IF(Учет!$O1329=Справочники!$F$3,Учет!$H1329,0)</f>
        <v>0</v>
      </c>
      <c r="S1329" s="48">
        <f>IF(Учет!$O1329=Справочники!$F$4,Учет!$H1329,0)</f>
        <v>0</v>
      </c>
      <c r="T1329" s="48">
        <f>IF(Учет!$O1329=Справочники!$F$5,Учет!$H1329,0)</f>
        <v>0</v>
      </c>
      <c r="U1329" s="48">
        <f>IF(Учет!$O1329=Справочники!$F$6,Учет!$H1329,0)</f>
        <v>0</v>
      </c>
      <c r="V1329" s="43">
        <f>V1328+Учет!Q1329-Q1329</f>
        <v>-488978.92000000004</v>
      </c>
      <c r="W1329" s="43">
        <f>W1328+Учет!R1329-R1329</f>
        <v>336855</v>
      </c>
      <c r="X1329" s="43">
        <f>X1328+Учет!S1329-S1329</f>
        <v>500</v>
      </c>
      <c r="Y1329" s="43">
        <f>Y1328+Учет!T1329-T1329</f>
        <v>1150</v>
      </c>
      <c r="Z1329" s="43">
        <f>Z1328+Учет!U1329-U1329</f>
        <v>500000</v>
      </c>
      <c r="AA1329" s="45">
        <f>Учет!X1329</f>
        <v>500</v>
      </c>
    </row>
    <row r="1330" spans="1:27" ht="15" customHeight="1" x14ac:dyDescent="0.25">
      <c r="A1330" s="1"/>
      <c r="B1330" s="17"/>
      <c r="C1330" s="17"/>
      <c r="D1330" s="17"/>
      <c r="E1330" s="17"/>
      <c r="F1330" s="17"/>
      <c r="G1330" s="4">
        <f t="shared" si="57"/>
        <v>0</v>
      </c>
      <c r="H1330" s="17"/>
      <c r="I1330" s="4">
        <f t="shared" si="59"/>
        <v>349526.07999999996</v>
      </c>
      <c r="J1330" s="32" t="str">
        <f t="shared" si="58"/>
        <v/>
      </c>
      <c r="K1330" s="72"/>
      <c r="L1330" s="72"/>
      <c r="M1330" s="2"/>
      <c r="N1330" s="5"/>
      <c r="O1330" s="3"/>
      <c r="P1330" s="6"/>
      <c r="Q1330" s="48">
        <f>IF(Учет!$O1330=Справочники!$F$2,Учет!$H1330,0)</f>
        <v>0</v>
      </c>
      <c r="R1330" s="48">
        <f>IF(Учет!$O1330=Справочники!$F$3,Учет!$H1330,0)</f>
        <v>0</v>
      </c>
      <c r="S1330" s="48">
        <f>IF(Учет!$O1330=Справочники!$F$4,Учет!$H1330,0)</f>
        <v>0</v>
      </c>
      <c r="T1330" s="48">
        <f>IF(Учет!$O1330=Справочники!$F$5,Учет!$H1330,0)</f>
        <v>0</v>
      </c>
      <c r="U1330" s="48">
        <f>IF(Учет!$O1330=Справочники!$F$6,Учет!$H1330,0)</f>
        <v>0</v>
      </c>
      <c r="V1330" s="43">
        <f>V1329+Учет!Q1330-Q1330</f>
        <v>-488978.92000000004</v>
      </c>
      <c r="W1330" s="43">
        <f>W1329+Учет!R1330-R1330</f>
        <v>336855</v>
      </c>
      <c r="X1330" s="43">
        <f>X1329+Учет!S1330-S1330</f>
        <v>500</v>
      </c>
      <c r="Y1330" s="43">
        <f>Y1329+Учет!T1330-T1330</f>
        <v>1150</v>
      </c>
      <c r="Z1330" s="43">
        <f>Z1329+Учет!U1330-U1330</f>
        <v>500000</v>
      </c>
      <c r="AA1330" s="45">
        <f>Учет!X1330</f>
        <v>500</v>
      </c>
    </row>
    <row r="1331" spans="1:27" ht="15" customHeight="1" x14ac:dyDescent="0.25">
      <c r="A1331" s="1"/>
      <c r="B1331" s="17"/>
      <c r="C1331" s="17"/>
      <c r="D1331" s="17"/>
      <c r="E1331" s="17"/>
      <c r="F1331" s="17"/>
      <c r="G1331" s="4">
        <f t="shared" si="57"/>
        <v>0</v>
      </c>
      <c r="H1331" s="17"/>
      <c r="I1331" s="4">
        <f t="shared" si="59"/>
        <v>349526.07999999996</v>
      </c>
      <c r="J1331" s="32" t="str">
        <f t="shared" si="58"/>
        <v/>
      </c>
      <c r="K1331" s="72"/>
      <c r="L1331" s="72"/>
      <c r="M1331" s="2"/>
      <c r="N1331" s="5"/>
      <c r="O1331" s="3"/>
      <c r="P1331" s="6"/>
      <c r="Q1331" s="48">
        <f>IF(Учет!$O1331=Справочники!$F$2,Учет!$H1331,0)</f>
        <v>0</v>
      </c>
      <c r="R1331" s="48">
        <f>IF(Учет!$O1331=Справочники!$F$3,Учет!$H1331,0)</f>
        <v>0</v>
      </c>
      <c r="S1331" s="48">
        <f>IF(Учет!$O1331=Справочники!$F$4,Учет!$H1331,0)</f>
        <v>0</v>
      </c>
      <c r="T1331" s="48">
        <f>IF(Учет!$O1331=Справочники!$F$5,Учет!$H1331,0)</f>
        <v>0</v>
      </c>
      <c r="U1331" s="48">
        <f>IF(Учет!$O1331=Справочники!$F$6,Учет!$H1331,0)</f>
        <v>0</v>
      </c>
      <c r="V1331" s="43">
        <f>V1330+Учет!Q1331-Q1331</f>
        <v>-488978.92000000004</v>
      </c>
      <c r="W1331" s="43">
        <f>W1330+Учет!R1331-R1331</f>
        <v>336855</v>
      </c>
      <c r="X1331" s="43">
        <f>X1330+Учет!S1331-S1331</f>
        <v>500</v>
      </c>
      <c r="Y1331" s="43">
        <f>Y1330+Учет!T1331-T1331</f>
        <v>1150</v>
      </c>
      <c r="Z1331" s="43">
        <f>Z1330+Учет!U1331-U1331</f>
        <v>500000</v>
      </c>
      <c r="AA1331" s="45">
        <f>Учет!X1331</f>
        <v>500</v>
      </c>
    </row>
    <row r="1332" spans="1:27" ht="15" customHeight="1" x14ac:dyDescent="0.25">
      <c r="A1332" s="1"/>
      <c r="B1332" s="17"/>
      <c r="C1332" s="17"/>
      <c r="D1332" s="17"/>
      <c r="E1332" s="17"/>
      <c r="F1332" s="17"/>
      <c r="G1332" s="4">
        <f t="shared" si="57"/>
        <v>0</v>
      </c>
      <c r="H1332" s="17"/>
      <c r="I1332" s="4">
        <f t="shared" si="59"/>
        <v>349526.07999999996</v>
      </c>
      <c r="J1332" s="32" t="str">
        <f t="shared" si="58"/>
        <v/>
      </c>
      <c r="K1332" s="72"/>
      <c r="L1332" s="72"/>
      <c r="M1332" s="2"/>
      <c r="N1332" s="5"/>
      <c r="O1332" s="3"/>
      <c r="P1332" s="6"/>
      <c r="Q1332" s="48">
        <f>IF(Учет!$O1332=Справочники!$F$2,Учет!$H1332,0)</f>
        <v>0</v>
      </c>
      <c r="R1332" s="48">
        <f>IF(Учет!$O1332=Справочники!$F$3,Учет!$H1332,0)</f>
        <v>0</v>
      </c>
      <c r="S1332" s="48">
        <f>IF(Учет!$O1332=Справочники!$F$4,Учет!$H1332,0)</f>
        <v>0</v>
      </c>
      <c r="T1332" s="48">
        <f>IF(Учет!$O1332=Справочники!$F$5,Учет!$H1332,0)</f>
        <v>0</v>
      </c>
      <c r="U1332" s="48">
        <f>IF(Учет!$O1332=Справочники!$F$6,Учет!$H1332,0)</f>
        <v>0</v>
      </c>
      <c r="V1332" s="43">
        <f>V1331+Учет!Q1332-Q1332</f>
        <v>-488978.92000000004</v>
      </c>
      <c r="W1332" s="43">
        <f>W1331+Учет!R1332-R1332</f>
        <v>336855</v>
      </c>
      <c r="X1332" s="43">
        <f>X1331+Учет!S1332-S1332</f>
        <v>500</v>
      </c>
      <c r="Y1332" s="43">
        <f>Y1331+Учет!T1332-T1332</f>
        <v>1150</v>
      </c>
      <c r="Z1332" s="43">
        <f>Z1331+Учет!U1332-U1332</f>
        <v>500000</v>
      </c>
      <c r="AA1332" s="45">
        <f>Учет!X1332</f>
        <v>500</v>
      </c>
    </row>
    <row r="1333" spans="1:27" ht="15" customHeight="1" x14ac:dyDescent="0.25">
      <c r="A1333" s="1"/>
      <c r="B1333" s="17"/>
      <c r="C1333" s="17"/>
      <c r="D1333" s="17"/>
      <c r="E1333" s="17"/>
      <c r="F1333" s="17"/>
      <c r="G1333" s="4">
        <f t="shared" si="57"/>
        <v>0</v>
      </c>
      <c r="H1333" s="17"/>
      <c r="I1333" s="4">
        <f t="shared" si="59"/>
        <v>349526.07999999996</v>
      </c>
      <c r="J1333" s="32" t="str">
        <f t="shared" si="58"/>
        <v/>
      </c>
      <c r="K1333" s="72"/>
      <c r="L1333" s="72"/>
      <c r="M1333" s="2"/>
      <c r="N1333" s="5"/>
      <c r="O1333" s="3"/>
      <c r="P1333" s="6"/>
      <c r="Q1333" s="48">
        <f>IF(Учет!$O1333=Справочники!$F$2,Учет!$H1333,0)</f>
        <v>0</v>
      </c>
      <c r="R1333" s="48">
        <f>IF(Учет!$O1333=Справочники!$F$3,Учет!$H1333,0)</f>
        <v>0</v>
      </c>
      <c r="S1333" s="48">
        <f>IF(Учет!$O1333=Справочники!$F$4,Учет!$H1333,0)</f>
        <v>0</v>
      </c>
      <c r="T1333" s="48">
        <f>IF(Учет!$O1333=Справочники!$F$5,Учет!$H1333,0)</f>
        <v>0</v>
      </c>
      <c r="U1333" s="48">
        <f>IF(Учет!$O1333=Справочники!$F$6,Учет!$H1333,0)</f>
        <v>0</v>
      </c>
      <c r="V1333" s="43">
        <f>V1332+Учет!Q1333-Q1333</f>
        <v>-488978.92000000004</v>
      </c>
      <c r="W1333" s="43">
        <f>W1332+Учет!R1333-R1333</f>
        <v>336855</v>
      </c>
      <c r="X1333" s="43">
        <f>X1332+Учет!S1333-S1333</f>
        <v>500</v>
      </c>
      <c r="Y1333" s="43">
        <f>Y1332+Учет!T1333-T1333</f>
        <v>1150</v>
      </c>
      <c r="Z1333" s="43">
        <f>Z1332+Учет!U1333-U1333</f>
        <v>500000</v>
      </c>
      <c r="AA1333" s="45">
        <f>Учет!X1333</f>
        <v>500</v>
      </c>
    </row>
    <row r="1334" spans="1:27" ht="15" customHeight="1" x14ac:dyDescent="0.25">
      <c r="A1334" s="1"/>
      <c r="B1334" s="17"/>
      <c r="C1334" s="17"/>
      <c r="D1334" s="17"/>
      <c r="E1334" s="17"/>
      <c r="F1334" s="17"/>
      <c r="G1334" s="4">
        <f t="shared" si="57"/>
        <v>0</v>
      </c>
      <c r="H1334" s="17"/>
      <c r="I1334" s="4">
        <f t="shared" si="59"/>
        <v>349526.07999999996</v>
      </c>
      <c r="J1334" s="32" t="str">
        <f t="shared" si="58"/>
        <v/>
      </c>
      <c r="K1334" s="72"/>
      <c r="L1334" s="72"/>
      <c r="M1334" s="2"/>
      <c r="N1334" s="5"/>
      <c r="O1334" s="3"/>
      <c r="P1334" s="6"/>
      <c r="Q1334" s="48">
        <f>IF(Учет!$O1334=Справочники!$F$2,Учет!$H1334,0)</f>
        <v>0</v>
      </c>
      <c r="R1334" s="48">
        <f>IF(Учет!$O1334=Справочники!$F$3,Учет!$H1334,0)</f>
        <v>0</v>
      </c>
      <c r="S1334" s="48">
        <f>IF(Учет!$O1334=Справочники!$F$4,Учет!$H1334,0)</f>
        <v>0</v>
      </c>
      <c r="T1334" s="48">
        <f>IF(Учет!$O1334=Справочники!$F$5,Учет!$H1334,0)</f>
        <v>0</v>
      </c>
      <c r="U1334" s="48">
        <f>IF(Учет!$O1334=Справочники!$F$6,Учет!$H1334,0)</f>
        <v>0</v>
      </c>
      <c r="V1334" s="43">
        <f>V1333+Учет!Q1334-Q1334</f>
        <v>-488978.92000000004</v>
      </c>
      <c r="W1334" s="43">
        <f>W1333+Учет!R1334-R1334</f>
        <v>336855</v>
      </c>
      <c r="X1334" s="43">
        <f>X1333+Учет!S1334-S1334</f>
        <v>500</v>
      </c>
      <c r="Y1334" s="43">
        <f>Y1333+Учет!T1334-T1334</f>
        <v>1150</v>
      </c>
      <c r="Z1334" s="43">
        <f>Z1333+Учет!U1334-U1334</f>
        <v>500000</v>
      </c>
      <c r="AA1334" s="45">
        <f>Учет!X1334</f>
        <v>500</v>
      </c>
    </row>
    <row r="1335" spans="1:27" ht="15" customHeight="1" x14ac:dyDescent="0.25">
      <c r="A1335" s="1"/>
      <c r="B1335" s="17"/>
      <c r="C1335" s="17"/>
      <c r="D1335" s="17"/>
      <c r="E1335" s="17"/>
      <c r="F1335" s="17"/>
      <c r="G1335" s="4">
        <f t="shared" si="57"/>
        <v>0</v>
      </c>
      <c r="H1335" s="17"/>
      <c r="I1335" s="4">
        <f t="shared" si="59"/>
        <v>349526.07999999996</v>
      </c>
      <c r="J1335" s="32" t="str">
        <f t="shared" si="58"/>
        <v/>
      </c>
      <c r="K1335" s="72"/>
      <c r="L1335" s="72"/>
      <c r="M1335" s="2"/>
      <c r="N1335" s="5"/>
      <c r="O1335" s="3"/>
      <c r="P1335" s="6"/>
      <c r="Q1335" s="48">
        <f>IF(Учет!$O1335=Справочники!$F$2,Учет!$H1335,0)</f>
        <v>0</v>
      </c>
      <c r="R1335" s="48">
        <f>IF(Учет!$O1335=Справочники!$F$3,Учет!$H1335,0)</f>
        <v>0</v>
      </c>
      <c r="S1335" s="48">
        <f>IF(Учет!$O1335=Справочники!$F$4,Учет!$H1335,0)</f>
        <v>0</v>
      </c>
      <c r="T1335" s="48">
        <f>IF(Учет!$O1335=Справочники!$F$5,Учет!$H1335,0)</f>
        <v>0</v>
      </c>
      <c r="U1335" s="48">
        <f>IF(Учет!$O1335=Справочники!$F$6,Учет!$H1335,0)</f>
        <v>0</v>
      </c>
      <c r="V1335" s="43">
        <f>V1334+Учет!Q1335-Q1335</f>
        <v>-488978.92000000004</v>
      </c>
      <c r="W1335" s="43">
        <f>W1334+Учет!R1335-R1335</f>
        <v>336855</v>
      </c>
      <c r="X1335" s="43">
        <f>X1334+Учет!S1335-S1335</f>
        <v>500</v>
      </c>
      <c r="Y1335" s="43">
        <f>Y1334+Учет!T1335-T1335</f>
        <v>1150</v>
      </c>
      <c r="Z1335" s="43">
        <f>Z1334+Учет!U1335-U1335</f>
        <v>500000</v>
      </c>
      <c r="AA1335" s="45">
        <f>Учет!X1335</f>
        <v>500</v>
      </c>
    </row>
    <row r="1336" spans="1:27" ht="15" customHeight="1" x14ac:dyDescent="0.25">
      <c r="A1336" s="1"/>
      <c r="B1336" s="17"/>
      <c r="C1336" s="17"/>
      <c r="D1336" s="17"/>
      <c r="E1336" s="17"/>
      <c r="F1336" s="17"/>
      <c r="G1336" s="4">
        <f t="shared" si="57"/>
        <v>0</v>
      </c>
      <c r="H1336" s="17"/>
      <c r="I1336" s="4">
        <f t="shared" si="59"/>
        <v>349526.07999999996</v>
      </c>
      <c r="J1336" s="32" t="str">
        <f t="shared" si="58"/>
        <v/>
      </c>
      <c r="K1336" s="72"/>
      <c r="L1336" s="72"/>
      <c r="M1336" s="2"/>
      <c r="N1336" s="5"/>
      <c r="O1336" s="3"/>
      <c r="P1336" s="6"/>
      <c r="Q1336" s="48">
        <f>IF(Учет!$O1336=Справочники!$F$2,Учет!$H1336,0)</f>
        <v>0</v>
      </c>
      <c r="R1336" s="48">
        <f>IF(Учет!$O1336=Справочники!$F$3,Учет!$H1336,0)</f>
        <v>0</v>
      </c>
      <c r="S1336" s="48">
        <f>IF(Учет!$O1336=Справочники!$F$4,Учет!$H1336,0)</f>
        <v>0</v>
      </c>
      <c r="T1336" s="48">
        <f>IF(Учет!$O1336=Справочники!$F$5,Учет!$H1336,0)</f>
        <v>0</v>
      </c>
      <c r="U1336" s="48">
        <f>IF(Учет!$O1336=Справочники!$F$6,Учет!$H1336,0)</f>
        <v>0</v>
      </c>
      <c r="V1336" s="43">
        <f>V1335+Учет!Q1336-Q1336</f>
        <v>-488978.92000000004</v>
      </c>
      <c r="W1336" s="43">
        <f>W1335+Учет!R1336-R1336</f>
        <v>336855</v>
      </c>
      <c r="X1336" s="43">
        <f>X1335+Учет!S1336-S1336</f>
        <v>500</v>
      </c>
      <c r="Y1336" s="43">
        <f>Y1335+Учет!T1336-T1336</f>
        <v>1150</v>
      </c>
      <c r="Z1336" s="43">
        <f>Z1335+Учет!U1336-U1336</f>
        <v>500000</v>
      </c>
      <c r="AA1336" s="45">
        <f>Учет!X1336</f>
        <v>500</v>
      </c>
    </row>
    <row r="1337" spans="1:27" ht="15" customHeight="1" x14ac:dyDescent="0.25">
      <c r="A1337" s="1"/>
      <c r="B1337" s="17"/>
      <c r="C1337" s="17"/>
      <c r="D1337" s="17"/>
      <c r="E1337" s="17"/>
      <c r="F1337" s="17"/>
      <c r="G1337" s="4">
        <f t="shared" si="57"/>
        <v>0</v>
      </c>
      <c r="H1337" s="17"/>
      <c r="I1337" s="4">
        <f t="shared" si="59"/>
        <v>349526.07999999996</v>
      </c>
      <c r="J1337" s="32" t="str">
        <f t="shared" si="58"/>
        <v/>
      </c>
      <c r="K1337" s="72"/>
      <c r="L1337" s="72"/>
      <c r="M1337" s="2"/>
      <c r="N1337" s="5"/>
      <c r="O1337" s="3"/>
      <c r="P1337" s="6"/>
      <c r="Q1337" s="48">
        <f>IF(Учет!$O1337=Справочники!$F$2,Учет!$H1337,0)</f>
        <v>0</v>
      </c>
      <c r="R1337" s="48">
        <f>IF(Учет!$O1337=Справочники!$F$3,Учет!$H1337,0)</f>
        <v>0</v>
      </c>
      <c r="S1337" s="48">
        <f>IF(Учет!$O1337=Справочники!$F$4,Учет!$H1337,0)</f>
        <v>0</v>
      </c>
      <c r="T1337" s="48">
        <f>IF(Учет!$O1337=Справочники!$F$5,Учет!$H1337,0)</f>
        <v>0</v>
      </c>
      <c r="U1337" s="48">
        <f>IF(Учет!$O1337=Справочники!$F$6,Учет!$H1337,0)</f>
        <v>0</v>
      </c>
      <c r="V1337" s="43">
        <f>V1336+Учет!Q1337-Q1337</f>
        <v>-488978.92000000004</v>
      </c>
      <c r="W1337" s="43">
        <f>W1336+Учет!R1337-R1337</f>
        <v>336855</v>
      </c>
      <c r="X1337" s="43">
        <f>X1336+Учет!S1337-S1337</f>
        <v>500</v>
      </c>
      <c r="Y1337" s="43">
        <f>Y1336+Учет!T1337-T1337</f>
        <v>1150</v>
      </c>
      <c r="Z1337" s="43">
        <f>Z1336+Учет!U1337-U1337</f>
        <v>500000</v>
      </c>
      <c r="AA1337" s="45">
        <f>Учет!X1337</f>
        <v>500</v>
      </c>
    </row>
    <row r="1338" spans="1:27" ht="15" customHeight="1" x14ac:dyDescent="0.25">
      <c r="A1338" s="1"/>
      <c r="B1338" s="17"/>
      <c r="C1338" s="17"/>
      <c r="D1338" s="17"/>
      <c r="E1338" s="17"/>
      <c r="F1338" s="17"/>
      <c r="G1338" s="4">
        <f t="shared" si="57"/>
        <v>0</v>
      </c>
      <c r="H1338" s="17"/>
      <c r="I1338" s="4">
        <f t="shared" si="59"/>
        <v>349526.07999999996</v>
      </c>
      <c r="J1338" s="32" t="str">
        <f t="shared" si="58"/>
        <v/>
      </c>
      <c r="K1338" s="72"/>
      <c r="L1338" s="72"/>
      <c r="M1338" s="2"/>
      <c r="N1338" s="5"/>
      <c r="O1338" s="3"/>
      <c r="P1338" s="6"/>
      <c r="Q1338" s="48">
        <f>IF(Учет!$O1338=Справочники!$F$2,Учет!$H1338,0)</f>
        <v>0</v>
      </c>
      <c r="R1338" s="48">
        <f>IF(Учет!$O1338=Справочники!$F$3,Учет!$H1338,0)</f>
        <v>0</v>
      </c>
      <c r="S1338" s="48">
        <f>IF(Учет!$O1338=Справочники!$F$4,Учет!$H1338,0)</f>
        <v>0</v>
      </c>
      <c r="T1338" s="48">
        <f>IF(Учет!$O1338=Справочники!$F$5,Учет!$H1338,0)</f>
        <v>0</v>
      </c>
      <c r="U1338" s="48">
        <f>IF(Учет!$O1338=Справочники!$F$6,Учет!$H1338,0)</f>
        <v>0</v>
      </c>
      <c r="V1338" s="43">
        <f>V1337+Учет!Q1338-Q1338</f>
        <v>-488978.92000000004</v>
      </c>
      <c r="W1338" s="43">
        <f>W1337+Учет!R1338-R1338</f>
        <v>336855</v>
      </c>
      <c r="X1338" s="43">
        <f>X1337+Учет!S1338-S1338</f>
        <v>500</v>
      </c>
      <c r="Y1338" s="43">
        <f>Y1337+Учет!T1338-T1338</f>
        <v>1150</v>
      </c>
      <c r="Z1338" s="43">
        <f>Z1337+Учет!U1338-U1338</f>
        <v>500000</v>
      </c>
      <c r="AA1338" s="45">
        <f>Учет!X1338</f>
        <v>500</v>
      </c>
    </row>
    <row r="1339" spans="1:27" ht="15" customHeight="1" x14ac:dyDescent="0.25">
      <c r="A1339" s="1"/>
      <c r="B1339" s="17"/>
      <c r="C1339" s="17"/>
      <c r="D1339" s="17"/>
      <c r="E1339" s="17"/>
      <c r="F1339" s="17"/>
      <c r="G1339" s="4">
        <f t="shared" si="57"/>
        <v>0</v>
      </c>
      <c r="H1339" s="17"/>
      <c r="I1339" s="4">
        <f t="shared" si="59"/>
        <v>349526.07999999996</v>
      </c>
      <c r="J1339" s="32" t="str">
        <f t="shared" si="58"/>
        <v/>
      </c>
      <c r="K1339" s="72"/>
      <c r="L1339" s="72"/>
      <c r="M1339" s="2"/>
      <c r="N1339" s="5"/>
      <c r="O1339" s="3"/>
      <c r="P1339" s="6"/>
      <c r="Q1339" s="48">
        <f>IF(Учет!$O1339=Справочники!$F$2,Учет!$H1339,0)</f>
        <v>0</v>
      </c>
      <c r="R1339" s="48">
        <f>IF(Учет!$O1339=Справочники!$F$3,Учет!$H1339,0)</f>
        <v>0</v>
      </c>
      <c r="S1339" s="48">
        <f>IF(Учет!$O1339=Справочники!$F$4,Учет!$H1339,0)</f>
        <v>0</v>
      </c>
      <c r="T1339" s="48">
        <f>IF(Учет!$O1339=Справочники!$F$5,Учет!$H1339,0)</f>
        <v>0</v>
      </c>
      <c r="U1339" s="48">
        <f>IF(Учет!$O1339=Справочники!$F$6,Учет!$H1339,0)</f>
        <v>0</v>
      </c>
      <c r="V1339" s="43">
        <f>V1338+Учет!Q1339-Q1339</f>
        <v>-488978.92000000004</v>
      </c>
      <c r="W1339" s="43">
        <f>W1338+Учет!R1339-R1339</f>
        <v>336855</v>
      </c>
      <c r="X1339" s="43">
        <f>X1338+Учет!S1339-S1339</f>
        <v>500</v>
      </c>
      <c r="Y1339" s="43">
        <f>Y1338+Учет!T1339-T1339</f>
        <v>1150</v>
      </c>
      <c r="Z1339" s="43">
        <f>Z1338+Учет!U1339-U1339</f>
        <v>500000</v>
      </c>
      <c r="AA1339" s="45">
        <f>Учет!X1339</f>
        <v>500</v>
      </c>
    </row>
    <row r="1340" spans="1:27" ht="15" customHeight="1" x14ac:dyDescent="0.25">
      <c r="A1340" s="1"/>
      <c r="B1340" s="17"/>
      <c r="C1340" s="17"/>
      <c r="D1340" s="17"/>
      <c r="E1340" s="17"/>
      <c r="F1340" s="17"/>
      <c r="G1340" s="4">
        <f t="shared" si="57"/>
        <v>0</v>
      </c>
      <c r="H1340" s="17"/>
      <c r="I1340" s="4">
        <f t="shared" si="59"/>
        <v>349526.07999999996</v>
      </c>
      <c r="J1340" s="32" t="str">
        <f t="shared" si="58"/>
        <v/>
      </c>
      <c r="K1340" s="72"/>
      <c r="L1340" s="72"/>
      <c r="M1340" s="2"/>
      <c r="N1340" s="5"/>
      <c r="O1340" s="3"/>
      <c r="P1340" s="6"/>
      <c r="Q1340" s="48">
        <f>IF(Учет!$O1340=Справочники!$F$2,Учет!$H1340,0)</f>
        <v>0</v>
      </c>
      <c r="R1340" s="48">
        <f>IF(Учет!$O1340=Справочники!$F$3,Учет!$H1340,0)</f>
        <v>0</v>
      </c>
      <c r="S1340" s="48">
        <f>IF(Учет!$O1340=Справочники!$F$4,Учет!$H1340,0)</f>
        <v>0</v>
      </c>
      <c r="T1340" s="48">
        <f>IF(Учет!$O1340=Справочники!$F$5,Учет!$H1340,0)</f>
        <v>0</v>
      </c>
      <c r="U1340" s="48">
        <f>IF(Учет!$O1340=Справочники!$F$6,Учет!$H1340,0)</f>
        <v>0</v>
      </c>
      <c r="V1340" s="43">
        <f>V1339+Учет!Q1340-Q1340</f>
        <v>-488978.92000000004</v>
      </c>
      <c r="W1340" s="43">
        <f>W1339+Учет!R1340-R1340</f>
        <v>336855</v>
      </c>
      <c r="X1340" s="43">
        <f>X1339+Учет!S1340-S1340</f>
        <v>500</v>
      </c>
      <c r="Y1340" s="43">
        <f>Y1339+Учет!T1340-T1340</f>
        <v>1150</v>
      </c>
      <c r="Z1340" s="43">
        <f>Z1339+Учет!U1340-U1340</f>
        <v>500000</v>
      </c>
      <c r="AA1340" s="45">
        <f>Учет!X1340</f>
        <v>500</v>
      </c>
    </row>
    <row r="1341" spans="1:27" ht="15" customHeight="1" x14ac:dyDescent="0.25">
      <c r="A1341" s="1"/>
      <c r="B1341" s="17"/>
      <c r="C1341" s="17"/>
      <c r="D1341" s="17"/>
      <c r="E1341" s="17"/>
      <c r="F1341" s="17"/>
      <c r="G1341" s="4">
        <f t="shared" si="57"/>
        <v>0</v>
      </c>
      <c r="H1341" s="17"/>
      <c r="I1341" s="4">
        <f t="shared" si="59"/>
        <v>349526.07999999996</v>
      </c>
      <c r="J1341" s="32" t="str">
        <f t="shared" si="58"/>
        <v/>
      </c>
      <c r="K1341" s="72"/>
      <c r="L1341" s="72"/>
      <c r="M1341" s="2"/>
      <c r="N1341" s="5"/>
      <c r="O1341" s="3"/>
      <c r="P1341" s="6"/>
      <c r="Q1341" s="48">
        <f>IF(Учет!$O1341=Справочники!$F$2,Учет!$H1341,0)</f>
        <v>0</v>
      </c>
      <c r="R1341" s="48">
        <f>IF(Учет!$O1341=Справочники!$F$3,Учет!$H1341,0)</f>
        <v>0</v>
      </c>
      <c r="S1341" s="48">
        <f>IF(Учет!$O1341=Справочники!$F$4,Учет!$H1341,0)</f>
        <v>0</v>
      </c>
      <c r="T1341" s="48">
        <f>IF(Учет!$O1341=Справочники!$F$5,Учет!$H1341,0)</f>
        <v>0</v>
      </c>
      <c r="U1341" s="48">
        <f>IF(Учет!$O1341=Справочники!$F$6,Учет!$H1341,0)</f>
        <v>0</v>
      </c>
      <c r="V1341" s="43">
        <f>V1340+Учет!Q1341-Q1341</f>
        <v>-488978.92000000004</v>
      </c>
      <c r="W1341" s="43">
        <f>W1340+Учет!R1341-R1341</f>
        <v>336855</v>
      </c>
      <c r="X1341" s="43">
        <f>X1340+Учет!S1341-S1341</f>
        <v>500</v>
      </c>
      <c r="Y1341" s="43">
        <f>Y1340+Учет!T1341-T1341</f>
        <v>1150</v>
      </c>
      <c r="Z1341" s="43">
        <f>Z1340+Учет!U1341-U1341</f>
        <v>500000</v>
      </c>
      <c r="AA1341" s="45">
        <f>Учет!X1341</f>
        <v>500</v>
      </c>
    </row>
    <row r="1342" spans="1:27" ht="15" customHeight="1" x14ac:dyDescent="0.25">
      <c r="A1342" s="1"/>
      <c r="B1342" s="17"/>
      <c r="C1342" s="17"/>
      <c r="D1342" s="17"/>
      <c r="E1342" s="17"/>
      <c r="F1342" s="17"/>
      <c r="G1342" s="4">
        <f t="shared" si="57"/>
        <v>0</v>
      </c>
      <c r="H1342" s="17"/>
      <c r="I1342" s="4">
        <f t="shared" si="59"/>
        <v>349526.07999999996</v>
      </c>
      <c r="J1342" s="32" t="str">
        <f t="shared" si="58"/>
        <v/>
      </c>
      <c r="K1342" s="72"/>
      <c r="L1342" s="72"/>
      <c r="M1342" s="2"/>
      <c r="N1342" s="5"/>
      <c r="O1342" s="3"/>
      <c r="P1342" s="6"/>
      <c r="Q1342" s="48">
        <f>IF(Учет!$O1342=Справочники!$F$2,Учет!$H1342,0)</f>
        <v>0</v>
      </c>
      <c r="R1342" s="48">
        <f>IF(Учет!$O1342=Справочники!$F$3,Учет!$H1342,0)</f>
        <v>0</v>
      </c>
      <c r="S1342" s="48">
        <f>IF(Учет!$O1342=Справочники!$F$4,Учет!$H1342,0)</f>
        <v>0</v>
      </c>
      <c r="T1342" s="48">
        <f>IF(Учет!$O1342=Справочники!$F$5,Учет!$H1342,0)</f>
        <v>0</v>
      </c>
      <c r="U1342" s="48">
        <f>IF(Учет!$O1342=Справочники!$F$6,Учет!$H1342,0)</f>
        <v>0</v>
      </c>
      <c r="V1342" s="43">
        <f>V1341+Учет!Q1342-Q1342</f>
        <v>-488978.92000000004</v>
      </c>
      <c r="W1342" s="43">
        <f>W1341+Учет!R1342-R1342</f>
        <v>336855</v>
      </c>
      <c r="X1342" s="43">
        <f>X1341+Учет!S1342-S1342</f>
        <v>500</v>
      </c>
      <c r="Y1342" s="43">
        <f>Y1341+Учет!T1342-T1342</f>
        <v>1150</v>
      </c>
      <c r="Z1342" s="43">
        <f>Z1341+Учет!U1342-U1342</f>
        <v>500000</v>
      </c>
      <c r="AA1342" s="45">
        <f>Учет!X1342</f>
        <v>500</v>
      </c>
    </row>
    <row r="1343" spans="1:27" ht="15" customHeight="1" x14ac:dyDescent="0.25">
      <c r="A1343" s="1"/>
      <c r="B1343" s="17"/>
      <c r="C1343" s="17"/>
      <c r="D1343" s="17"/>
      <c r="E1343" s="17"/>
      <c r="F1343" s="17"/>
      <c r="G1343" s="4">
        <f t="shared" si="57"/>
        <v>0</v>
      </c>
      <c r="H1343" s="17"/>
      <c r="I1343" s="4">
        <f t="shared" si="59"/>
        <v>349526.07999999996</v>
      </c>
      <c r="J1343" s="32" t="str">
        <f t="shared" si="58"/>
        <v/>
      </c>
      <c r="K1343" s="72"/>
      <c r="L1343" s="72"/>
      <c r="M1343" s="2"/>
      <c r="N1343" s="5"/>
      <c r="O1343" s="3"/>
      <c r="P1343" s="6"/>
      <c r="Q1343" s="48">
        <f>IF(Учет!$O1343=Справочники!$F$2,Учет!$H1343,0)</f>
        <v>0</v>
      </c>
      <c r="R1343" s="48">
        <f>IF(Учет!$O1343=Справочники!$F$3,Учет!$H1343,0)</f>
        <v>0</v>
      </c>
      <c r="S1343" s="48">
        <f>IF(Учет!$O1343=Справочники!$F$4,Учет!$H1343,0)</f>
        <v>0</v>
      </c>
      <c r="T1343" s="48">
        <f>IF(Учет!$O1343=Справочники!$F$5,Учет!$H1343,0)</f>
        <v>0</v>
      </c>
      <c r="U1343" s="48">
        <f>IF(Учет!$O1343=Справочники!$F$6,Учет!$H1343,0)</f>
        <v>0</v>
      </c>
      <c r="V1343" s="43">
        <f>V1342+Учет!Q1343-Q1343</f>
        <v>-488978.92000000004</v>
      </c>
      <c r="W1343" s="43">
        <f>W1342+Учет!R1343-R1343</f>
        <v>336855</v>
      </c>
      <c r="X1343" s="43">
        <f>X1342+Учет!S1343-S1343</f>
        <v>500</v>
      </c>
      <c r="Y1343" s="43">
        <f>Y1342+Учет!T1343-T1343</f>
        <v>1150</v>
      </c>
      <c r="Z1343" s="43">
        <f>Z1342+Учет!U1343-U1343</f>
        <v>500000</v>
      </c>
      <c r="AA1343" s="45">
        <f>Учет!X1343</f>
        <v>500</v>
      </c>
    </row>
    <row r="1344" spans="1:27" ht="15" customHeight="1" x14ac:dyDescent="0.25">
      <c r="A1344" s="1"/>
      <c r="B1344" s="17"/>
      <c r="C1344" s="17"/>
      <c r="D1344" s="17"/>
      <c r="E1344" s="17"/>
      <c r="F1344" s="17"/>
      <c r="G1344" s="4">
        <f t="shared" si="57"/>
        <v>0</v>
      </c>
      <c r="H1344" s="17"/>
      <c r="I1344" s="4">
        <f t="shared" si="59"/>
        <v>349526.07999999996</v>
      </c>
      <c r="J1344" s="32" t="str">
        <f t="shared" si="58"/>
        <v/>
      </c>
      <c r="K1344" s="72"/>
      <c r="L1344" s="72"/>
      <c r="M1344" s="2"/>
      <c r="N1344" s="5"/>
      <c r="O1344" s="3"/>
      <c r="P1344" s="6"/>
      <c r="Q1344" s="48">
        <f>IF(Учет!$O1344=Справочники!$F$2,Учет!$H1344,0)</f>
        <v>0</v>
      </c>
      <c r="R1344" s="48">
        <f>IF(Учет!$O1344=Справочники!$F$3,Учет!$H1344,0)</f>
        <v>0</v>
      </c>
      <c r="S1344" s="48">
        <f>IF(Учет!$O1344=Справочники!$F$4,Учет!$H1344,0)</f>
        <v>0</v>
      </c>
      <c r="T1344" s="48">
        <f>IF(Учет!$O1344=Справочники!$F$5,Учет!$H1344,0)</f>
        <v>0</v>
      </c>
      <c r="U1344" s="48">
        <f>IF(Учет!$O1344=Справочники!$F$6,Учет!$H1344,0)</f>
        <v>0</v>
      </c>
      <c r="V1344" s="43">
        <f>V1343+Учет!Q1344-Q1344</f>
        <v>-488978.92000000004</v>
      </c>
      <c r="W1344" s="43">
        <f>W1343+Учет!R1344-R1344</f>
        <v>336855</v>
      </c>
      <c r="X1344" s="43">
        <f>X1343+Учет!S1344-S1344</f>
        <v>500</v>
      </c>
      <c r="Y1344" s="43">
        <f>Y1343+Учет!T1344-T1344</f>
        <v>1150</v>
      </c>
      <c r="Z1344" s="43">
        <f>Z1343+Учет!U1344-U1344</f>
        <v>500000</v>
      </c>
      <c r="AA1344" s="45">
        <f>Учет!X1344</f>
        <v>500</v>
      </c>
    </row>
    <row r="1345" spans="1:27" ht="15" customHeight="1" x14ac:dyDescent="0.25">
      <c r="A1345" s="1"/>
      <c r="B1345" s="17"/>
      <c r="C1345" s="17"/>
      <c r="D1345" s="17"/>
      <c r="E1345" s="17"/>
      <c r="F1345" s="17"/>
      <c r="G1345" s="4">
        <f t="shared" si="57"/>
        <v>0</v>
      </c>
      <c r="H1345" s="17"/>
      <c r="I1345" s="4">
        <f t="shared" si="59"/>
        <v>349526.07999999996</v>
      </c>
      <c r="J1345" s="32" t="str">
        <f t="shared" si="58"/>
        <v/>
      </c>
      <c r="K1345" s="72"/>
      <c r="L1345" s="72"/>
      <c r="M1345" s="2"/>
      <c r="N1345" s="5"/>
      <c r="O1345" s="3"/>
      <c r="P1345" s="6"/>
      <c r="Q1345" s="48">
        <f>IF(Учет!$O1345=Справочники!$F$2,Учет!$H1345,0)</f>
        <v>0</v>
      </c>
      <c r="R1345" s="48">
        <f>IF(Учет!$O1345=Справочники!$F$3,Учет!$H1345,0)</f>
        <v>0</v>
      </c>
      <c r="S1345" s="48">
        <f>IF(Учет!$O1345=Справочники!$F$4,Учет!$H1345,0)</f>
        <v>0</v>
      </c>
      <c r="T1345" s="48">
        <f>IF(Учет!$O1345=Справочники!$F$5,Учет!$H1345,0)</f>
        <v>0</v>
      </c>
      <c r="U1345" s="48">
        <f>IF(Учет!$O1345=Справочники!$F$6,Учет!$H1345,0)</f>
        <v>0</v>
      </c>
      <c r="V1345" s="43">
        <f>V1344+Учет!Q1345-Q1345</f>
        <v>-488978.92000000004</v>
      </c>
      <c r="W1345" s="43">
        <f>W1344+Учет!R1345-R1345</f>
        <v>336855</v>
      </c>
      <c r="X1345" s="43">
        <f>X1344+Учет!S1345-S1345</f>
        <v>500</v>
      </c>
      <c r="Y1345" s="43">
        <f>Y1344+Учет!T1345-T1345</f>
        <v>1150</v>
      </c>
      <c r="Z1345" s="43">
        <f>Z1344+Учет!U1345-U1345</f>
        <v>500000</v>
      </c>
      <c r="AA1345" s="45">
        <f>Учет!X1345</f>
        <v>500</v>
      </c>
    </row>
    <row r="1346" spans="1:27" ht="15" customHeight="1" x14ac:dyDescent="0.25">
      <c r="A1346" s="1"/>
      <c r="B1346" s="17"/>
      <c r="C1346" s="17"/>
      <c r="D1346" s="17"/>
      <c r="E1346" s="17"/>
      <c r="F1346" s="17"/>
      <c r="G1346" s="4">
        <f t="shared" ref="G1346:G1409" si="60">SUM($B1346:$F1346)</f>
        <v>0</v>
      </c>
      <c r="H1346" s="17"/>
      <c r="I1346" s="4">
        <f t="shared" si="59"/>
        <v>349526.07999999996</v>
      </c>
      <c r="J1346" s="32" t="str">
        <f t="shared" ref="J1346:J1409" si="61">IF($A1347&lt;&gt;$A1346,$I1346,"")</f>
        <v/>
      </c>
      <c r="K1346" s="72"/>
      <c r="L1346" s="72"/>
      <c r="M1346" s="2"/>
      <c r="N1346" s="5"/>
      <c r="O1346" s="3"/>
      <c r="P1346" s="6"/>
      <c r="Q1346" s="48">
        <f>IF(Учет!$O1346=Справочники!$F$2,Учет!$H1346,0)</f>
        <v>0</v>
      </c>
      <c r="R1346" s="48">
        <f>IF(Учет!$O1346=Справочники!$F$3,Учет!$H1346,0)</f>
        <v>0</v>
      </c>
      <c r="S1346" s="48">
        <f>IF(Учет!$O1346=Справочники!$F$4,Учет!$H1346,0)</f>
        <v>0</v>
      </c>
      <c r="T1346" s="48">
        <f>IF(Учет!$O1346=Справочники!$F$5,Учет!$H1346,0)</f>
        <v>0</v>
      </c>
      <c r="U1346" s="48">
        <f>IF(Учет!$O1346=Справочники!$F$6,Учет!$H1346,0)</f>
        <v>0</v>
      </c>
      <c r="V1346" s="43">
        <f>V1345+Учет!Q1346-Q1346</f>
        <v>-488978.92000000004</v>
      </c>
      <c r="W1346" s="43">
        <f>W1345+Учет!R1346-R1346</f>
        <v>336855</v>
      </c>
      <c r="X1346" s="43">
        <f>X1345+Учет!S1346-S1346</f>
        <v>500</v>
      </c>
      <c r="Y1346" s="43">
        <f>Y1345+Учет!T1346-T1346</f>
        <v>1150</v>
      </c>
      <c r="Z1346" s="43">
        <f>Z1345+Учет!U1346-U1346</f>
        <v>500000</v>
      </c>
      <c r="AA1346" s="45">
        <f>Учет!X1346</f>
        <v>500</v>
      </c>
    </row>
    <row r="1347" spans="1:27" ht="15" customHeight="1" x14ac:dyDescent="0.25">
      <c r="A1347" s="1"/>
      <c r="B1347" s="17"/>
      <c r="C1347" s="17"/>
      <c r="D1347" s="17"/>
      <c r="E1347" s="17"/>
      <c r="F1347" s="17"/>
      <c r="G1347" s="4">
        <f t="shared" si="60"/>
        <v>0</v>
      </c>
      <c r="H1347" s="17"/>
      <c r="I1347" s="4">
        <f t="shared" ref="I1347:I1410" si="62">$I1346+$G1347-$H1347</f>
        <v>349526.07999999996</v>
      </c>
      <c r="J1347" s="32" t="str">
        <f t="shared" si="61"/>
        <v/>
      </c>
      <c r="K1347" s="72"/>
      <c r="L1347" s="72"/>
      <c r="M1347" s="2"/>
      <c r="N1347" s="5"/>
      <c r="O1347" s="3"/>
      <c r="P1347" s="6"/>
      <c r="Q1347" s="48">
        <f>IF(Учет!$O1347=Справочники!$F$2,Учет!$H1347,0)</f>
        <v>0</v>
      </c>
      <c r="R1347" s="48">
        <f>IF(Учет!$O1347=Справочники!$F$3,Учет!$H1347,0)</f>
        <v>0</v>
      </c>
      <c r="S1347" s="48">
        <f>IF(Учет!$O1347=Справочники!$F$4,Учет!$H1347,0)</f>
        <v>0</v>
      </c>
      <c r="T1347" s="48">
        <f>IF(Учет!$O1347=Справочники!$F$5,Учет!$H1347,0)</f>
        <v>0</v>
      </c>
      <c r="U1347" s="48">
        <f>IF(Учет!$O1347=Справочники!$F$6,Учет!$H1347,0)</f>
        <v>0</v>
      </c>
      <c r="V1347" s="43">
        <f>V1346+Учет!Q1347-Q1347</f>
        <v>-488978.92000000004</v>
      </c>
      <c r="W1347" s="43">
        <f>W1346+Учет!R1347-R1347</f>
        <v>336855</v>
      </c>
      <c r="X1347" s="43">
        <f>X1346+Учет!S1347-S1347</f>
        <v>500</v>
      </c>
      <c r="Y1347" s="43">
        <f>Y1346+Учет!T1347-T1347</f>
        <v>1150</v>
      </c>
      <c r="Z1347" s="43">
        <f>Z1346+Учет!U1347-U1347</f>
        <v>500000</v>
      </c>
      <c r="AA1347" s="45">
        <f>Учет!X1347</f>
        <v>500</v>
      </c>
    </row>
    <row r="1348" spans="1:27" ht="15" customHeight="1" x14ac:dyDescent="0.25">
      <c r="A1348" s="1"/>
      <c r="B1348" s="17"/>
      <c r="C1348" s="17"/>
      <c r="D1348" s="17"/>
      <c r="E1348" s="17"/>
      <c r="F1348" s="17"/>
      <c r="G1348" s="4">
        <f t="shared" si="60"/>
        <v>0</v>
      </c>
      <c r="H1348" s="17"/>
      <c r="I1348" s="4">
        <f t="shared" si="62"/>
        <v>349526.07999999996</v>
      </c>
      <c r="J1348" s="32" t="str">
        <f t="shared" si="61"/>
        <v/>
      </c>
      <c r="K1348" s="72"/>
      <c r="L1348" s="72"/>
      <c r="M1348" s="2"/>
      <c r="N1348" s="5"/>
      <c r="O1348" s="3"/>
      <c r="P1348" s="6"/>
      <c r="Q1348" s="48">
        <f>IF(Учет!$O1348=Справочники!$F$2,Учет!$H1348,0)</f>
        <v>0</v>
      </c>
      <c r="R1348" s="48">
        <f>IF(Учет!$O1348=Справочники!$F$3,Учет!$H1348,0)</f>
        <v>0</v>
      </c>
      <c r="S1348" s="48">
        <f>IF(Учет!$O1348=Справочники!$F$4,Учет!$H1348,0)</f>
        <v>0</v>
      </c>
      <c r="T1348" s="48">
        <f>IF(Учет!$O1348=Справочники!$F$5,Учет!$H1348,0)</f>
        <v>0</v>
      </c>
      <c r="U1348" s="48">
        <f>IF(Учет!$O1348=Справочники!$F$6,Учет!$H1348,0)</f>
        <v>0</v>
      </c>
      <c r="V1348" s="43">
        <f>V1347+Учет!Q1348-Q1348</f>
        <v>-488978.92000000004</v>
      </c>
      <c r="W1348" s="43">
        <f>W1347+Учет!R1348-R1348</f>
        <v>336855</v>
      </c>
      <c r="X1348" s="43">
        <f>X1347+Учет!S1348-S1348</f>
        <v>500</v>
      </c>
      <c r="Y1348" s="43">
        <f>Y1347+Учет!T1348-T1348</f>
        <v>1150</v>
      </c>
      <c r="Z1348" s="43">
        <f>Z1347+Учет!U1348-U1348</f>
        <v>500000</v>
      </c>
      <c r="AA1348" s="45">
        <f>Учет!X1348</f>
        <v>500</v>
      </c>
    </row>
    <row r="1349" spans="1:27" ht="15" customHeight="1" x14ac:dyDescent="0.25">
      <c r="A1349" s="1"/>
      <c r="B1349" s="17"/>
      <c r="C1349" s="17"/>
      <c r="D1349" s="17"/>
      <c r="E1349" s="17"/>
      <c r="F1349" s="17"/>
      <c r="G1349" s="4">
        <f t="shared" si="60"/>
        <v>0</v>
      </c>
      <c r="H1349" s="17"/>
      <c r="I1349" s="4">
        <f t="shared" si="62"/>
        <v>349526.07999999996</v>
      </c>
      <c r="J1349" s="32" t="str">
        <f t="shared" si="61"/>
        <v/>
      </c>
      <c r="K1349" s="72"/>
      <c r="L1349" s="72"/>
      <c r="M1349" s="2"/>
      <c r="N1349" s="5"/>
      <c r="O1349" s="3"/>
      <c r="P1349" s="6"/>
      <c r="Q1349" s="48">
        <f>IF(Учет!$O1349=Справочники!$F$2,Учет!$H1349,0)</f>
        <v>0</v>
      </c>
      <c r="R1349" s="48">
        <f>IF(Учет!$O1349=Справочники!$F$3,Учет!$H1349,0)</f>
        <v>0</v>
      </c>
      <c r="S1349" s="48">
        <f>IF(Учет!$O1349=Справочники!$F$4,Учет!$H1349,0)</f>
        <v>0</v>
      </c>
      <c r="T1349" s="48">
        <f>IF(Учет!$O1349=Справочники!$F$5,Учет!$H1349,0)</f>
        <v>0</v>
      </c>
      <c r="U1349" s="48">
        <f>IF(Учет!$O1349=Справочники!$F$6,Учет!$H1349,0)</f>
        <v>0</v>
      </c>
      <c r="V1349" s="43">
        <f>V1348+Учет!Q1349-Q1349</f>
        <v>-488978.92000000004</v>
      </c>
      <c r="W1349" s="43">
        <f>W1348+Учет!R1349-R1349</f>
        <v>336855</v>
      </c>
      <c r="X1349" s="43">
        <f>X1348+Учет!S1349-S1349</f>
        <v>500</v>
      </c>
      <c r="Y1349" s="43">
        <f>Y1348+Учет!T1349-T1349</f>
        <v>1150</v>
      </c>
      <c r="Z1349" s="43">
        <f>Z1348+Учет!U1349-U1349</f>
        <v>500000</v>
      </c>
      <c r="AA1349" s="45">
        <f>Учет!X1349</f>
        <v>500</v>
      </c>
    </row>
    <row r="1350" spans="1:27" ht="15" customHeight="1" x14ac:dyDescent="0.25">
      <c r="A1350" s="1"/>
      <c r="B1350" s="17"/>
      <c r="C1350" s="17"/>
      <c r="D1350" s="17"/>
      <c r="E1350" s="17"/>
      <c r="F1350" s="17"/>
      <c r="G1350" s="4">
        <f t="shared" si="60"/>
        <v>0</v>
      </c>
      <c r="H1350" s="17"/>
      <c r="I1350" s="4">
        <f t="shared" si="62"/>
        <v>349526.07999999996</v>
      </c>
      <c r="J1350" s="32" t="str">
        <f t="shared" si="61"/>
        <v/>
      </c>
      <c r="K1350" s="72"/>
      <c r="L1350" s="72"/>
      <c r="M1350" s="2"/>
      <c r="N1350" s="5"/>
      <c r="O1350" s="3"/>
      <c r="P1350" s="6"/>
      <c r="Q1350" s="48">
        <f>IF(Учет!$O1350=Справочники!$F$2,Учет!$H1350,0)</f>
        <v>0</v>
      </c>
      <c r="R1350" s="48">
        <f>IF(Учет!$O1350=Справочники!$F$3,Учет!$H1350,0)</f>
        <v>0</v>
      </c>
      <c r="S1350" s="48">
        <f>IF(Учет!$O1350=Справочники!$F$4,Учет!$H1350,0)</f>
        <v>0</v>
      </c>
      <c r="T1350" s="48">
        <f>IF(Учет!$O1350=Справочники!$F$5,Учет!$H1350,0)</f>
        <v>0</v>
      </c>
      <c r="U1350" s="48">
        <f>IF(Учет!$O1350=Справочники!$F$6,Учет!$H1350,0)</f>
        <v>0</v>
      </c>
      <c r="V1350" s="43">
        <f>V1349+Учет!Q1350-Q1350</f>
        <v>-488978.92000000004</v>
      </c>
      <c r="W1350" s="43">
        <f>W1349+Учет!R1350-R1350</f>
        <v>336855</v>
      </c>
      <c r="X1350" s="43">
        <f>X1349+Учет!S1350-S1350</f>
        <v>500</v>
      </c>
      <c r="Y1350" s="43">
        <f>Y1349+Учет!T1350-T1350</f>
        <v>1150</v>
      </c>
      <c r="Z1350" s="43">
        <f>Z1349+Учет!U1350-U1350</f>
        <v>500000</v>
      </c>
      <c r="AA1350" s="45">
        <f>Учет!X1350</f>
        <v>500</v>
      </c>
    </row>
    <row r="1351" spans="1:27" ht="15" customHeight="1" x14ac:dyDescent="0.25">
      <c r="A1351" s="1"/>
      <c r="B1351" s="17"/>
      <c r="C1351" s="17"/>
      <c r="D1351" s="17"/>
      <c r="E1351" s="17"/>
      <c r="F1351" s="17"/>
      <c r="G1351" s="4">
        <f t="shared" si="60"/>
        <v>0</v>
      </c>
      <c r="H1351" s="17"/>
      <c r="I1351" s="4">
        <f t="shared" si="62"/>
        <v>349526.07999999996</v>
      </c>
      <c r="J1351" s="32" t="str">
        <f t="shared" si="61"/>
        <v/>
      </c>
      <c r="K1351" s="72"/>
      <c r="L1351" s="72"/>
      <c r="M1351" s="2"/>
      <c r="N1351" s="5"/>
      <c r="O1351" s="3"/>
      <c r="P1351" s="6"/>
      <c r="Q1351" s="48">
        <f>IF(Учет!$O1351=Справочники!$F$2,Учет!$H1351,0)</f>
        <v>0</v>
      </c>
      <c r="R1351" s="48">
        <f>IF(Учет!$O1351=Справочники!$F$3,Учет!$H1351,0)</f>
        <v>0</v>
      </c>
      <c r="S1351" s="48">
        <f>IF(Учет!$O1351=Справочники!$F$4,Учет!$H1351,0)</f>
        <v>0</v>
      </c>
      <c r="T1351" s="48">
        <f>IF(Учет!$O1351=Справочники!$F$5,Учет!$H1351,0)</f>
        <v>0</v>
      </c>
      <c r="U1351" s="48">
        <f>IF(Учет!$O1351=Справочники!$F$6,Учет!$H1351,0)</f>
        <v>0</v>
      </c>
      <c r="V1351" s="43">
        <f>V1350+Учет!Q1351-Q1351</f>
        <v>-488978.92000000004</v>
      </c>
      <c r="W1351" s="43">
        <f>W1350+Учет!R1351-R1351</f>
        <v>336855</v>
      </c>
      <c r="X1351" s="43">
        <f>X1350+Учет!S1351-S1351</f>
        <v>500</v>
      </c>
      <c r="Y1351" s="43">
        <f>Y1350+Учет!T1351-T1351</f>
        <v>1150</v>
      </c>
      <c r="Z1351" s="43">
        <f>Z1350+Учет!U1351-U1351</f>
        <v>500000</v>
      </c>
      <c r="AA1351" s="45">
        <f>Учет!X1351</f>
        <v>500</v>
      </c>
    </row>
    <row r="1352" spans="1:27" ht="15" customHeight="1" x14ac:dyDescent="0.25">
      <c r="A1352" s="1"/>
      <c r="B1352" s="17"/>
      <c r="C1352" s="17"/>
      <c r="D1352" s="17"/>
      <c r="E1352" s="17"/>
      <c r="F1352" s="17"/>
      <c r="G1352" s="4">
        <f t="shared" si="60"/>
        <v>0</v>
      </c>
      <c r="H1352" s="17"/>
      <c r="I1352" s="4">
        <f t="shared" si="62"/>
        <v>349526.07999999996</v>
      </c>
      <c r="J1352" s="32" t="str">
        <f t="shared" si="61"/>
        <v/>
      </c>
      <c r="K1352" s="72"/>
      <c r="L1352" s="72"/>
      <c r="M1352" s="2"/>
      <c r="N1352" s="5"/>
      <c r="O1352" s="3"/>
      <c r="P1352" s="6"/>
      <c r="Q1352" s="48">
        <f>IF(Учет!$O1352=Справочники!$F$2,Учет!$H1352,0)</f>
        <v>0</v>
      </c>
      <c r="R1352" s="48">
        <f>IF(Учет!$O1352=Справочники!$F$3,Учет!$H1352,0)</f>
        <v>0</v>
      </c>
      <c r="S1352" s="48">
        <f>IF(Учет!$O1352=Справочники!$F$4,Учет!$H1352,0)</f>
        <v>0</v>
      </c>
      <c r="T1352" s="48">
        <f>IF(Учет!$O1352=Справочники!$F$5,Учет!$H1352,0)</f>
        <v>0</v>
      </c>
      <c r="U1352" s="48">
        <f>IF(Учет!$O1352=Справочники!$F$6,Учет!$H1352,0)</f>
        <v>0</v>
      </c>
      <c r="V1352" s="43">
        <f>V1351+Учет!Q1352-Q1352</f>
        <v>-488978.92000000004</v>
      </c>
      <c r="W1352" s="43">
        <f>W1351+Учет!R1352-R1352</f>
        <v>336855</v>
      </c>
      <c r="X1352" s="43">
        <f>X1351+Учет!S1352-S1352</f>
        <v>500</v>
      </c>
      <c r="Y1352" s="43">
        <f>Y1351+Учет!T1352-T1352</f>
        <v>1150</v>
      </c>
      <c r="Z1352" s="43">
        <f>Z1351+Учет!U1352-U1352</f>
        <v>500000</v>
      </c>
      <c r="AA1352" s="45">
        <f>Учет!X1352</f>
        <v>500</v>
      </c>
    </row>
    <row r="1353" spans="1:27" ht="15" customHeight="1" x14ac:dyDescent="0.25">
      <c r="A1353" s="1"/>
      <c r="B1353" s="17"/>
      <c r="C1353" s="17"/>
      <c r="D1353" s="17"/>
      <c r="E1353" s="17"/>
      <c r="F1353" s="17"/>
      <c r="G1353" s="4">
        <f t="shared" si="60"/>
        <v>0</v>
      </c>
      <c r="H1353" s="17"/>
      <c r="I1353" s="4">
        <f t="shared" si="62"/>
        <v>349526.07999999996</v>
      </c>
      <c r="J1353" s="32" t="str">
        <f t="shared" si="61"/>
        <v/>
      </c>
      <c r="K1353" s="72"/>
      <c r="L1353" s="72"/>
      <c r="M1353" s="2"/>
      <c r="N1353" s="5"/>
      <c r="O1353" s="3"/>
      <c r="P1353" s="6"/>
      <c r="Q1353" s="48">
        <f>IF(Учет!$O1353=Справочники!$F$2,Учет!$H1353,0)</f>
        <v>0</v>
      </c>
      <c r="R1353" s="48">
        <f>IF(Учет!$O1353=Справочники!$F$3,Учет!$H1353,0)</f>
        <v>0</v>
      </c>
      <c r="S1353" s="48">
        <f>IF(Учет!$O1353=Справочники!$F$4,Учет!$H1353,0)</f>
        <v>0</v>
      </c>
      <c r="T1353" s="48">
        <f>IF(Учет!$O1353=Справочники!$F$5,Учет!$H1353,0)</f>
        <v>0</v>
      </c>
      <c r="U1353" s="48">
        <f>IF(Учет!$O1353=Справочники!$F$6,Учет!$H1353,0)</f>
        <v>0</v>
      </c>
      <c r="V1353" s="43">
        <f>V1352+Учет!Q1353-Q1353</f>
        <v>-488978.92000000004</v>
      </c>
      <c r="W1353" s="43">
        <f>W1352+Учет!R1353-R1353</f>
        <v>336855</v>
      </c>
      <c r="X1353" s="43">
        <f>X1352+Учет!S1353-S1353</f>
        <v>500</v>
      </c>
      <c r="Y1353" s="43">
        <f>Y1352+Учет!T1353-T1353</f>
        <v>1150</v>
      </c>
      <c r="Z1353" s="43">
        <f>Z1352+Учет!U1353-U1353</f>
        <v>500000</v>
      </c>
      <c r="AA1353" s="45">
        <f>Учет!X1353</f>
        <v>500</v>
      </c>
    </row>
    <row r="1354" spans="1:27" ht="15" customHeight="1" x14ac:dyDescent="0.25">
      <c r="A1354" s="1"/>
      <c r="B1354" s="17"/>
      <c r="C1354" s="17"/>
      <c r="D1354" s="17"/>
      <c r="E1354" s="17"/>
      <c r="F1354" s="17"/>
      <c r="G1354" s="4">
        <f t="shared" si="60"/>
        <v>0</v>
      </c>
      <c r="H1354" s="17"/>
      <c r="I1354" s="4">
        <f t="shared" si="62"/>
        <v>349526.07999999996</v>
      </c>
      <c r="J1354" s="32" t="str">
        <f t="shared" si="61"/>
        <v/>
      </c>
      <c r="K1354" s="72"/>
      <c r="L1354" s="72"/>
      <c r="M1354" s="2"/>
      <c r="N1354" s="5"/>
      <c r="O1354" s="3"/>
      <c r="P1354" s="6"/>
      <c r="Q1354" s="48">
        <f>IF(Учет!$O1354=Справочники!$F$2,Учет!$H1354,0)</f>
        <v>0</v>
      </c>
      <c r="R1354" s="48">
        <f>IF(Учет!$O1354=Справочники!$F$3,Учет!$H1354,0)</f>
        <v>0</v>
      </c>
      <c r="S1354" s="48">
        <f>IF(Учет!$O1354=Справочники!$F$4,Учет!$H1354,0)</f>
        <v>0</v>
      </c>
      <c r="T1354" s="48">
        <f>IF(Учет!$O1354=Справочники!$F$5,Учет!$H1354,0)</f>
        <v>0</v>
      </c>
      <c r="U1354" s="48">
        <f>IF(Учет!$O1354=Справочники!$F$6,Учет!$H1354,0)</f>
        <v>0</v>
      </c>
      <c r="V1354" s="43">
        <f>V1353+Учет!Q1354-Q1354</f>
        <v>-488978.92000000004</v>
      </c>
      <c r="W1354" s="43">
        <f>W1353+Учет!R1354-R1354</f>
        <v>336855</v>
      </c>
      <c r="X1354" s="43">
        <f>X1353+Учет!S1354-S1354</f>
        <v>500</v>
      </c>
      <c r="Y1354" s="43">
        <f>Y1353+Учет!T1354-T1354</f>
        <v>1150</v>
      </c>
      <c r="Z1354" s="43">
        <f>Z1353+Учет!U1354-U1354</f>
        <v>500000</v>
      </c>
      <c r="AA1354" s="45">
        <f>Учет!X1354</f>
        <v>500</v>
      </c>
    </row>
    <row r="1355" spans="1:27" ht="15" customHeight="1" x14ac:dyDescent="0.25">
      <c r="A1355" s="1"/>
      <c r="B1355" s="17"/>
      <c r="C1355" s="17"/>
      <c r="D1355" s="17"/>
      <c r="E1355" s="17"/>
      <c r="F1355" s="17"/>
      <c r="G1355" s="4">
        <f t="shared" si="60"/>
        <v>0</v>
      </c>
      <c r="H1355" s="17"/>
      <c r="I1355" s="4">
        <f t="shared" si="62"/>
        <v>349526.07999999996</v>
      </c>
      <c r="J1355" s="32" t="str">
        <f t="shared" si="61"/>
        <v/>
      </c>
      <c r="K1355" s="72"/>
      <c r="L1355" s="72"/>
      <c r="M1355" s="2"/>
      <c r="N1355" s="5"/>
      <c r="O1355" s="3"/>
      <c r="P1355" s="6"/>
      <c r="Q1355" s="48">
        <f>IF(Учет!$O1355=Справочники!$F$2,Учет!$H1355,0)</f>
        <v>0</v>
      </c>
      <c r="R1355" s="48">
        <f>IF(Учет!$O1355=Справочники!$F$3,Учет!$H1355,0)</f>
        <v>0</v>
      </c>
      <c r="S1355" s="48">
        <f>IF(Учет!$O1355=Справочники!$F$4,Учет!$H1355,0)</f>
        <v>0</v>
      </c>
      <c r="T1355" s="48">
        <f>IF(Учет!$O1355=Справочники!$F$5,Учет!$H1355,0)</f>
        <v>0</v>
      </c>
      <c r="U1355" s="48">
        <f>IF(Учет!$O1355=Справочники!$F$6,Учет!$H1355,0)</f>
        <v>0</v>
      </c>
      <c r="V1355" s="43">
        <f>V1354+Учет!Q1355-Q1355</f>
        <v>-488978.92000000004</v>
      </c>
      <c r="W1355" s="43">
        <f>W1354+Учет!R1355-R1355</f>
        <v>336855</v>
      </c>
      <c r="X1355" s="43">
        <f>X1354+Учет!S1355-S1355</f>
        <v>500</v>
      </c>
      <c r="Y1355" s="43">
        <f>Y1354+Учет!T1355-T1355</f>
        <v>1150</v>
      </c>
      <c r="Z1355" s="43">
        <f>Z1354+Учет!U1355-U1355</f>
        <v>500000</v>
      </c>
      <c r="AA1355" s="45">
        <f>Учет!X1355</f>
        <v>500</v>
      </c>
    </row>
    <row r="1356" spans="1:27" ht="15" customHeight="1" x14ac:dyDescent="0.25">
      <c r="A1356" s="1"/>
      <c r="B1356" s="17"/>
      <c r="C1356" s="17"/>
      <c r="D1356" s="17"/>
      <c r="E1356" s="17"/>
      <c r="F1356" s="17"/>
      <c r="G1356" s="4">
        <f t="shared" si="60"/>
        <v>0</v>
      </c>
      <c r="H1356" s="17"/>
      <c r="I1356" s="4">
        <f t="shared" si="62"/>
        <v>349526.07999999996</v>
      </c>
      <c r="J1356" s="32" t="str">
        <f t="shared" si="61"/>
        <v/>
      </c>
      <c r="K1356" s="72"/>
      <c r="L1356" s="72"/>
      <c r="M1356" s="2"/>
      <c r="N1356" s="5"/>
      <c r="O1356" s="3"/>
      <c r="P1356" s="6"/>
      <c r="Q1356" s="48">
        <f>IF(Учет!$O1356=Справочники!$F$2,Учет!$H1356,0)</f>
        <v>0</v>
      </c>
      <c r="R1356" s="48">
        <f>IF(Учет!$O1356=Справочники!$F$3,Учет!$H1356,0)</f>
        <v>0</v>
      </c>
      <c r="S1356" s="48">
        <f>IF(Учет!$O1356=Справочники!$F$4,Учет!$H1356,0)</f>
        <v>0</v>
      </c>
      <c r="T1356" s="48">
        <f>IF(Учет!$O1356=Справочники!$F$5,Учет!$H1356,0)</f>
        <v>0</v>
      </c>
      <c r="U1356" s="48">
        <f>IF(Учет!$O1356=Справочники!$F$6,Учет!$H1356,0)</f>
        <v>0</v>
      </c>
      <c r="V1356" s="43">
        <f>V1355+Учет!Q1356-Q1356</f>
        <v>-488978.92000000004</v>
      </c>
      <c r="W1356" s="43">
        <f>W1355+Учет!R1356-R1356</f>
        <v>336855</v>
      </c>
      <c r="X1356" s="43">
        <f>X1355+Учет!S1356-S1356</f>
        <v>500</v>
      </c>
      <c r="Y1356" s="43">
        <f>Y1355+Учет!T1356-T1356</f>
        <v>1150</v>
      </c>
      <c r="Z1356" s="43">
        <f>Z1355+Учет!U1356-U1356</f>
        <v>500000</v>
      </c>
      <c r="AA1356" s="45">
        <f>Учет!X1356</f>
        <v>500</v>
      </c>
    </row>
    <row r="1357" spans="1:27" ht="15" customHeight="1" x14ac:dyDescent="0.25">
      <c r="A1357" s="1"/>
      <c r="B1357" s="17"/>
      <c r="C1357" s="17"/>
      <c r="D1357" s="17"/>
      <c r="E1357" s="17"/>
      <c r="F1357" s="17"/>
      <c r="G1357" s="4">
        <f t="shared" si="60"/>
        <v>0</v>
      </c>
      <c r="H1357" s="17"/>
      <c r="I1357" s="4">
        <f t="shared" si="62"/>
        <v>349526.07999999996</v>
      </c>
      <c r="J1357" s="32" t="str">
        <f t="shared" si="61"/>
        <v/>
      </c>
      <c r="K1357" s="72"/>
      <c r="L1357" s="72"/>
      <c r="M1357" s="2"/>
      <c r="N1357" s="5"/>
      <c r="O1357" s="3"/>
      <c r="P1357" s="6"/>
      <c r="Q1357" s="48">
        <f>IF(Учет!$O1357=Справочники!$F$2,Учет!$H1357,0)</f>
        <v>0</v>
      </c>
      <c r="R1357" s="48">
        <f>IF(Учет!$O1357=Справочники!$F$3,Учет!$H1357,0)</f>
        <v>0</v>
      </c>
      <c r="S1357" s="48">
        <f>IF(Учет!$O1357=Справочники!$F$4,Учет!$H1357,0)</f>
        <v>0</v>
      </c>
      <c r="T1357" s="48">
        <f>IF(Учет!$O1357=Справочники!$F$5,Учет!$H1357,0)</f>
        <v>0</v>
      </c>
      <c r="U1357" s="48">
        <f>IF(Учет!$O1357=Справочники!$F$6,Учет!$H1357,0)</f>
        <v>0</v>
      </c>
      <c r="V1357" s="43">
        <f>V1356+Учет!Q1357-Q1357</f>
        <v>-488978.92000000004</v>
      </c>
      <c r="W1357" s="43">
        <f>W1356+Учет!R1357-R1357</f>
        <v>336855</v>
      </c>
      <c r="X1357" s="43">
        <f>X1356+Учет!S1357-S1357</f>
        <v>500</v>
      </c>
      <c r="Y1357" s="43">
        <f>Y1356+Учет!T1357-T1357</f>
        <v>1150</v>
      </c>
      <c r="Z1357" s="43">
        <f>Z1356+Учет!U1357-U1357</f>
        <v>500000</v>
      </c>
      <c r="AA1357" s="45">
        <f>Учет!X1357</f>
        <v>500</v>
      </c>
    </row>
    <row r="1358" spans="1:27" ht="15" customHeight="1" x14ac:dyDescent="0.25">
      <c r="A1358" s="1"/>
      <c r="B1358" s="17"/>
      <c r="C1358" s="17"/>
      <c r="D1358" s="17"/>
      <c r="E1358" s="17"/>
      <c r="F1358" s="17"/>
      <c r="G1358" s="4">
        <f t="shared" si="60"/>
        <v>0</v>
      </c>
      <c r="H1358" s="17"/>
      <c r="I1358" s="4">
        <f t="shared" si="62"/>
        <v>349526.07999999996</v>
      </c>
      <c r="J1358" s="32" t="str">
        <f t="shared" si="61"/>
        <v/>
      </c>
      <c r="K1358" s="72"/>
      <c r="L1358" s="72"/>
      <c r="M1358" s="2"/>
      <c r="N1358" s="5"/>
      <c r="O1358" s="3"/>
      <c r="P1358" s="6"/>
      <c r="Q1358" s="48">
        <f>IF(Учет!$O1358=Справочники!$F$2,Учет!$H1358,0)</f>
        <v>0</v>
      </c>
      <c r="R1358" s="48">
        <f>IF(Учет!$O1358=Справочники!$F$3,Учет!$H1358,0)</f>
        <v>0</v>
      </c>
      <c r="S1358" s="48">
        <f>IF(Учет!$O1358=Справочники!$F$4,Учет!$H1358,0)</f>
        <v>0</v>
      </c>
      <c r="T1358" s="48">
        <f>IF(Учет!$O1358=Справочники!$F$5,Учет!$H1358,0)</f>
        <v>0</v>
      </c>
      <c r="U1358" s="48">
        <f>IF(Учет!$O1358=Справочники!$F$6,Учет!$H1358,0)</f>
        <v>0</v>
      </c>
      <c r="V1358" s="43">
        <f>V1357+Учет!Q1358-Q1358</f>
        <v>-488978.92000000004</v>
      </c>
      <c r="W1358" s="43">
        <f>W1357+Учет!R1358-R1358</f>
        <v>336855</v>
      </c>
      <c r="X1358" s="43">
        <f>X1357+Учет!S1358-S1358</f>
        <v>500</v>
      </c>
      <c r="Y1358" s="43">
        <f>Y1357+Учет!T1358-T1358</f>
        <v>1150</v>
      </c>
      <c r="Z1358" s="43">
        <f>Z1357+Учет!U1358-U1358</f>
        <v>500000</v>
      </c>
      <c r="AA1358" s="45">
        <f>Учет!X1358</f>
        <v>500</v>
      </c>
    </row>
    <row r="1359" spans="1:27" ht="15" customHeight="1" x14ac:dyDescent="0.25">
      <c r="A1359" s="1"/>
      <c r="B1359" s="17"/>
      <c r="C1359" s="17"/>
      <c r="D1359" s="17"/>
      <c r="E1359" s="17"/>
      <c r="F1359" s="17"/>
      <c r="G1359" s="4">
        <f t="shared" si="60"/>
        <v>0</v>
      </c>
      <c r="H1359" s="17"/>
      <c r="I1359" s="4">
        <f t="shared" si="62"/>
        <v>349526.07999999996</v>
      </c>
      <c r="J1359" s="32" t="str">
        <f t="shared" si="61"/>
        <v/>
      </c>
      <c r="K1359" s="72"/>
      <c r="L1359" s="72"/>
      <c r="M1359" s="2"/>
      <c r="N1359" s="5"/>
      <c r="O1359" s="3"/>
      <c r="P1359" s="6"/>
      <c r="Q1359" s="48">
        <f>IF(Учет!$O1359=Справочники!$F$2,Учет!$H1359,0)</f>
        <v>0</v>
      </c>
      <c r="R1359" s="48">
        <f>IF(Учет!$O1359=Справочники!$F$3,Учет!$H1359,0)</f>
        <v>0</v>
      </c>
      <c r="S1359" s="48">
        <f>IF(Учет!$O1359=Справочники!$F$4,Учет!$H1359,0)</f>
        <v>0</v>
      </c>
      <c r="T1359" s="48">
        <f>IF(Учет!$O1359=Справочники!$F$5,Учет!$H1359,0)</f>
        <v>0</v>
      </c>
      <c r="U1359" s="48">
        <f>IF(Учет!$O1359=Справочники!$F$6,Учет!$H1359,0)</f>
        <v>0</v>
      </c>
      <c r="V1359" s="43">
        <f>V1358+Учет!Q1359-Q1359</f>
        <v>-488978.92000000004</v>
      </c>
      <c r="W1359" s="43">
        <f>W1358+Учет!R1359-R1359</f>
        <v>336855</v>
      </c>
      <c r="X1359" s="43">
        <f>X1358+Учет!S1359-S1359</f>
        <v>500</v>
      </c>
      <c r="Y1359" s="43">
        <f>Y1358+Учет!T1359-T1359</f>
        <v>1150</v>
      </c>
      <c r="Z1359" s="43">
        <f>Z1358+Учет!U1359-U1359</f>
        <v>500000</v>
      </c>
      <c r="AA1359" s="45">
        <f>Учет!X1359</f>
        <v>500</v>
      </c>
    </row>
    <row r="1360" spans="1:27" ht="15" customHeight="1" x14ac:dyDescent="0.25">
      <c r="A1360" s="1"/>
      <c r="B1360" s="17"/>
      <c r="C1360" s="17"/>
      <c r="D1360" s="17"/>
      <c r="E1360" s="17"/>
      <c r="F1360" s="17"/>
      <c r="G1360" s="4">
        <f t="shared" si="60"/>
        <v>0</v>
      </c>
      <c r="H1360" s="17"/>
      <c r="I1360" s="4">
        <f t="shared" si="62"/>
        <v>349526.07999999996</v>
      </c>
      <c r="J1360" s="32" t="str">
        <f t="shared" si="61"/>
        <v/>
      </c>
      <c r="K1360" s="72"/>
      <c r="L1360" s="72"/>
      <c r="M1360" s="2"/>
      <c r="N1360" s="5"/>
      <c r="O1360" s="3"/>
      <c r="P1360" s="6"/>
      <c r="Q1360" s="48">
        <f>IF(Учет!$O1360=Справочники!$F$2,Учет!$H1360,0)</f>
        <v>0</v>
      </c>
      <c r="R1360" s="48">
        <f>IF(Учет!$O1360=Справочники!$F$3,Учет!$H1360,0)</f>
        <v>0</v>
      </c>
      <c r="S1360" s="48">
        <f>IF(Учет!$O1360=Справочники!$F$4,Учет!$H1360,0)</f>
        <v>0</v>
      </c>
      <c r="T1360" s="48">
        <f>IF(Учет!$O1360=Справочники!$F$5,Учет!$H1360,0)</f>
        <v>0</v>
      </c>
      <c r="U1360" s="48">
        <f>IF(Учет!$O1360=Справочники!$F$6,Учет!$H1360,0)</f>
        <v>0</v>
      </c>
      <c r="V1360" s="43">
        <f>V1359+Учет!Q1360-Q1360</f>
        <v>-488978.92000000004</v>
      </c>
      <c r="W1360" s="43">
        <f>W1359+Учет!R1360-R1360</f>
        <v>336855</v>
      </c>
      <c r="X1360" s="43">
        <f>X1359+Учет!S1360-S1360</f>
        <v>500</v>
      </c>
      <c r="Y1360" s="43">
        <f>Y1359+Учет!T1360-T1360</f>
        <v>1150</v>
      </c>
      <c r="Z1360" s="43">
        <f>Z1359+Учет!U1360-U1360</f>
        <v>500000</v>
      </c>
      <c r="AA1360" s="45">
        <f>Учет!X1360</f>
        <v>500</v>
      </c>
    </row>
    <row r="1361" spans="1:27" ht="15" customHeight="1" x14ac:dyDescent="0.25">
      <c r="A1361" s="1"/>
      <c r="B1361" s="17"/>
      <c r="C1361" s="17"/>
      <c r="D1361" s="17"/>
      <c r="E1361" s="17"/>
      <c r="F1361" s="17"/>
      <c r="G1361" s="4">
        <f t="shared" si="60"/>
        <v>0</v>
      </c>
      <c r="H1361" s="17"/>
      <c r="I1361" s="4">
        <f t="shared" si="62"/>
        <v>349526.07999999996</v>
      </c>
      <c r="J1361" s="32" t="str">
        <f t="shared" si="61"/>
        <v/>
      </c>
      <c r="K1361" s="72"/>
      <c r="L1361" s="72"/>
      <c r="M1361" s="2"/>
      <c r="N1361" s="5"/>
      <c r="O1361" s="3"/>
      <c r="P1361" s="6"/>
      <c r="Q1361" s="48">
        <f>IF(Учет!$O1361=Справочники!$F$2,Учет!$H1361,0)</f>
        <v>0</v>
      </c>
      <c r="R1361" s="48">
        <f>IF(Учет!$O1361=Справочники!$F$3,Учет!$H1361,0)</f>
        <v>0</v>
      </c>
      <c r="S1361" s="48">
        <f>IF(Учет!$O1361=Справочники!$F$4,Учет!$H1361,0)</f>
        <v>0</v>
      </c>
      <c r="T1361" s="48">
        <f>IF(Учет!$O1361=Справочники!$F$5,Учет!$H1361,0)</f>
        <v>0</v>
      </c>
      <c r="U1361" s="48">
        <f>IF(Учет!$O1361=Справочники!$F$6,Учет!$H1361,0)</f>
        <v>0</v>
      </c>
      <c r="V1361" s="43">
        <f>V1360+Учет!Q1361-Q1361</f>
        <v>-488978.92000000004</v>
      </c>
      <c r="W1361" s="43">
        <f>W1360+Учет!R1361-R1361</f>
        <v>336855</v>
      </c>
      <c r="X1361" s="43">
        <f>X1360+Учет!S1361-S1361</f>
        <v>500</v>
      </c>
      <c r="Y1361" s="43">
        <f>Y1360+Учет!T1361-T1361</f>
        <v>1150</v>
      </c>
      <c r="Z1361" s="43">
        <f>Z1360+Учет!U1361-U1361</f>
        <v>500000</v>
      </c>
      <c r="AA1361" s="45">
        <f>Учет!X1361</f>
        <v>500</v>
      </c>
    </row>
    <row r="1362" spans="1:27" ht="15" customHeight="1" x14ac:dyDescent="0.25">
      <c r="A1362" s="1"/>
      <c r="B1362" s="17"/>
      <c r="C1362" s="17"/>
      <c r="D1362" s="17"/>
      <c r="E1362" s="17"/>
      <c r="F1362" s="17"/>
      <c r="G1362" s="4">
        <f t="shared" si="60"/>
        <v>0</v>
      </c>
      <c r="H1362" s="17"/>
      <c r="I1362" s="4">
        <f t="shared" si="62"/>
        <v>349526.07999999996</v>
      </c>
      <c r="J1362" s="32" t="str">
        <f t="shared" si="61"/>
        <v/>
      </c>
      <c r="K1362" s="72"/>
      <c r="L1362" s="72"/>
      <c r="M1362" s="2"/>
      <c r="N1362" s="5"/>
      <c r="O1362" s="3"/>
      <c r="P1362" s="6"/>
      <c r="Q1362" s="48">
        <f>IF(Учет!$O1362=Справочники!$F$2,Учет!$H1362,0)</f>
        <v>0</v>
      </c>
      <c r="R1362" s="48">
        <f>IF(Учет!$O1362=Справочники!$F$3,Учет!$H1362,0)</f>
        <v>0</v>
      </c>
      <c r="S1362" s="48">
        <f>IF(Учет!$O1362=Справочники!$F$4,Учет!$H1362,0)</f>
        <v>0</v>
      </c>
      <c r="T1362" s="48">
        <f>IF(Учет!$O1362=Справочники!$F$5,Учет!$H1362,0)</f>
        <v>0</v>
      </c>
      <c r="U1362" s="48">
        <f>IF(Учет!$O1362=Справочники!$F$6,Учет!$H1362,0)</f>
        <v>0</v>
      </c>
      <c r="V1362" s="43">
        <f>V1361+Учет!Q1362-Q1362</f>
        <v>-488978.92000000004</v>
      </c>
      <c r="W1362" s="43">
        <f>W1361+Учет!R1362-R1362</f>
        <v>336855</v>
      </c>
      <c r="X1362" s="43">
        <f>X1361+Учет!S1362-S1362</f>
        <v>500</v>
      </c>
      <c r="Y1362" s="43">
        <f>Y1361+Учет!T1362-T1362</f>
        <v>1150</v>
      </c>
      <c r="Z1362" s="43">
        <f>Z1361+Учет!U1362-U1362</f>
        <v>500000</v>
      </c>
      <c r="AA1362" s="45">
        <f>Учет!X1362</f>
        <v>500</v>
      </c>
    </row>
    <row r="1363" spans="1:27" ht="15" customHeight="1" x14ac:dyDescent="0.25">
      <c r="A1363" s="1"/>
      <c r="B1363" s="17"/>
      <c r="C1363" s="17"/>
      <c r="D1363" s="17"/>
      <c r="E1363" s="17"/>
      <c r="F1363" s="17"/>
      <c r="G1363" s="4">
        <f t="shared" si="60"/>
        <v>0</v>
      </c>
      <c r="H1363" s="17"/>
      <c r="I1363" s="4">
        <f t="shared" si="62"/>
        <v>349526.07999999996</v>
      </c>
      <c r="J1363" s="32" t="str">
        <f t="shared" si="61"/>
        <v/>
      </c>
      <c r="K1363" s="72"/>
      <c r="L1363" s="72"/>
      <c r="M1363" s="2"/>
      <c r="N1363" s="5"/>
      <c r="O1363" s="3"/>
      <c r="P1363" s="6"/>
      <c r="Q1363" s="48">
        <f>IF(Учет!$O1363=Справочники!$F$2,Учет!$H1363,0)</f>
        <v>0</v>
      </c>
      <c r="R1363" s="48">
        <f>IF(Учет!$O1363=Справочники!$F$3,Учет!$H1363,0)</f>
        <v>0</v>
      </c>
      <c r="S1363" s="48">
        <f>IF(Учет!$O1363=Справочники!$F$4,Учет!$H1363,0)</f>
        <v>0</v>
      </c>
      <c r="T1363" s="48">
        <f>IF(Учет!$O1363=Справочники!$F$5,Учет!$H1363,0)</f>
        <v>0</v>
      </c>
      <c r="U1363" s="48">
        <f>IF(Учет!$O1363=Справочники!$F$6,Учет!$H1363,0)</f>
        <v>0</v>
      </c>
      <c r="V1363" s="43">
        <f>V1362+Учет!Q1363-Q1363</f>
        <v>-488978.92000000004</v>
      </c>
      <c r="W1363" s="43">
        <f>W1362+Учет!R1363-R1363</f>
        <v>336855</v>
      </c>
      <c r="X1363" s="43">
        <f>X1362+Учет!S1363-S1363</f>
        <v>500</v>
      </c>
      <c r="Y1363" s="43">
        <f>Y1362+Учет!T1363-T1363</f>
        <v>1150</v>
      </c>
      <c r="Z1363" s="43">
        <f>Z1362+Учет!U1363-U1363</f>
        <v>500000</v>
      </c>
      <c r="AA1363" s="45">
        <f>Учет!X1363</f>
        <v>500</v>
      </c>
    </row>
    <row r="1364" spans="1:27" ht="15" customHeight="1" x14ac:dyDescent="0.25">
      <c r="A1364" s="1"/>
      <c r="B1364" s="17"/>
      <c r="C1364" s="17"/>
      <c r="D1364" s="17"/>
      <c r="E1364" s="17"/>
      <c r="F1364" s="17"/>
      <c r="G1364" s="4">
        <f t="shared" si="60"/>
        <v>0</v>
      </c>
      <c r="H1364" s="17"/>
      <c r="I1364" s="4">
        <f t="shared" si="62"/>
        <v>349526.07999999996</v>
      </c>
      <c r="J1364" s="32" t="str">
        <f t="shared" si="61"/>
        <v/>
      </c>
      <c r="K1364" s="72"/>
      <c r="L1364" s="72"/>
      <c r="M1364" s="2"/>
      <c r="N1364" s="5"/>
      <c r="O1364" s="3"/>
      <c r="P1364" s="6"/>
      <c r="Q1364" s="48">
        <f>IF(Учет!$O1364=Справочники!$F$2,Учет!$H1364,0)</f>
        <v>0</v>
      </c>
      <c r="R1364" s="48">
        <f>IF(Учет!$O1364=Справочники!$F$3,Учет!$H1364,0)</f>
        <v>0</v>
      </c>
      <c r="S1364" s="48">
        <f>IF(Учет!$O1364=Справочники!$F$4,Учет!$H1364,0)</f>
        <v>0</v>
      </c>
      <c r="T1364" s="48">
        <f>IF(Учет!$O1364=Справочники!$F$5,Учет!$H1364,0)</f>
        <v>0</v>
      </c>
      <c r="U1364" s="48">
        <f>IF(Учет!$O1364=Справочники!$F$6,Учет!$H1364,0)</f>
        <v>0</v>
      </c>
      <c r="V1364" s="43">
        <f>V1363+Учет!Q1364-Q1364</f>
        <v>-488978.92000000004</v>
      </c>
      <c r="W1364" s="43">
        <f>W1363+Учет!R1364-R1364</f>
        <v>336855</v>
      </c>
      <c r="X1364" s="43">
        <f>X1363+Учет!S1364-S1364</f>
        <v>500</v>
      </c>
      <c r="Y1364" s="43">
        <f>Y1363+Учет!T1364-T1364</f>
        <v>1150</v>
      </c>
      <c r="Z1364" s="43">
        <f>Z1363+Учет!U1364-U1364</f>
        <v>500000</v>
      </c>
      <c r="AA1364" s="45">
        <f>Учет!X1364</f>
        <v>500</v>
      </c>
    </row>
    <row r="1365" spans="1:27" ht="15" customHeight="1" x14ac:dyDescent="0.25">
      <c r="A1365" s="1"/>
      <c r="B1365" s="17"/>
      <c r="C1365" s="17"/>
      <c r="D1365" s="17"/>
      <c r="E1365" s="17"/>
      <c r="F1365" s="17"/>
      <c r="G1365" s="4">
        <f t="shared" si="60"/>
        <v>0</v>
      </c>
      <c r="H1365" s="17"/>
      <c r="I1365" s="4">
        <f t="shared" si="62"/>
        <v>349526.07999999996</v>
      </c>
      <c r="J1365" s="32" t="str">
        <f t="shared" si="61"/>
        <v/>
      </c>
      <c r="K1365" s="72"/>
      <c r="L1365" s="72"/>
      <c r="M1365" s="2"/>
      <c r="N1365" s="5"/>
      <c r="O1365" s="3"/>
      <c r="P1365" s="6"/>
      <c r="Q1365" s="48">
        <f>IF(Учет!$O1365=Справочники!$F$2,Учет!$H1365,0)</f>
        <v>0</v>
      </c>
      <c r="R1365" s="48">
        <f>IF(Учет!$O1365=Справочники!$F$3,Учет!$H1365,0)</f>
        <v>0</v>
      </c>
      <c r="S1365" s="48">
        <f>IF(Учет!$O1365=Справочники!$F$4,Учет!$H1365,0)</f>
        <v>0</v>
      </c>
      <c r="T1365" s="48">
        <f>IF(Учет!$O1365=Справочники!$F$5,Учет!$H1365,0)</f>
        <v>0</v>
      </c>
      <c r="U1365" s="48">
        <f>IF(Учет!$O1365=Справочники!$F$6,Учет!$H1365,0)</f>
        <v>0</v>
      </c>
      <c r="V1365" s="43">
        <f>V1364+Учет!Q1365-Q1365</f>
        <v>-488978.92000000004</v>
      </c>
      <c r="W1365" s="43">
        <f>W1364+Учет!R1365-R1365</f>
        <v>336855</v>
      </c>
      <c r="X1365" s="43">
        <f>X1364+Учет!S1365-S1365</f>
        <v>500</v>
      </c>
      <c r="Y1365" s="43">
        <f>Y1364+Учет!T1365-T1365</f>
        <v>1150</v>
      </c>
      <c r="Z1365" s="43">
        <f>Z1364+Учет!U1365-U1365</f>
        <v>500000</v>
      </c>
      <c r="AA1365" s="45">
        <f>Учет!X1365</f>
        <v>500</v>
      </c>
    </row>
    <row r="1366" spans="1:27" ht="15" customHeight="1" x14ac:dyDescent="0.25">
      <c r="A1366" s="1"/>
      <c r="B1366" s="17"/>
      <c r="C1366" s="17"/>
      <c r="D1366" s="17"/>
      <c r="E1366" s="17"/>
      <c r="F1366" s="17"/>
      <c r="G1366" s="4">
        <f t="shared" si="60"/>
        <v>0</v>
      </c>
      <c r="H1366" s="17"/>
      <c r="I1366" s="4">
        <f t="shared" si="62"/>
        <v>349526.07999999996</v>
      </c>
      <c r="J1366" s="32" t="str">
        <f t="shared" si="61"/>
        <v/>
      </c>
      <c r="K1366" s="72"/>
      <c r="L1366" s="72"/>
      <c r="M1366" s="2"/>
      <c r="N1366" s="5"/>
      <c r="O1366" s="3"/>
      <c r="P1366" s="6"/>
      <c r="Q1366" s="48">
        <f>IF(Учет!$O1366=Справочники!$F$2,Учет!$H1366,0)</f>
        <v>0</v>
      </c>
      <c r="R1366" s="48">
        <f>IF(Учет!$O1366=Справочники!$F$3,Учет!$H1366,0)</f>
        <v>0</v>
      </c>
      <c r="S1366" s="48">
        <f>IF(Учет!$O1366=Справочники!$F$4,Учет!$H1366,0)</f>
        <v>0</v>
      </c>
      <c r="T1366" s="48">
        <f>IF(Учет!$O1366=Справочники!$F$5,Учет!$H1366,0)</f>
        <v>0</v>
      </c>
      <c r="U1366" s="48">
        <f>IF(Учет!$O1366=Справочники!$F$6,Учет!$H1366,0)</f>
        <v>0</v>
      </c>
      <c r="V1366" s="43">
        <f>V1365+Учет!Q1366-Q1366</f>
        <v>-488978.92000000004</v>
      </c>
      <c r="W1366" s="43">
        <f>W1365+Учет!R1366-R1366</f>
        <v>336855</v>
      </c>
      <c r="X1366" s="43">
        <f>X1365+Учет!S1366-S1366</f>
        <v>500</v>
      </c>
      <c r="Y1366" s="43">
        <f>Y1365+Учет!T1366-T1366</f>
        <v>1150</v>
      </c>
      <c r="Z1366" s="43">
        <f>Z1365+Учет!U1366-U1366</f>
        <v>500000</v>
      </c>
      <c r="AA1366" s="45">
        <f>Учет!X1366</f>
        <v>500</v>
      </c>
    </row>
    <row r="1367" spans="1:27" ht="15" customHeight="1" x14ac:dyDescent="0.25">
      <c r="A1367" s="1"/>
      <c r="B1367" s="17"/>
      <c r="C1367" s="17"/>
      <c r="D1367" s="17"/>
      <c r="E1367" s="17"/>
      <c r="F1367" s="17"/>
      <c r="G1367" s="4">
        <f t="shared" si="60"/>
        <v>0</v>
      </c>
      <c r="H1367" s="17"/>
      <c r="I1367" s="4">
        <f t="shared" si="62"/>
        <v>349526.07999999996</v>
      </c>
      <c r="J1367" s="32" t="str">
        <f t="shared" si="61"/>
        <v/>
      </c>
      <c r="K1367" s="72"/>
      <c r="L1367" s="72"/>
      <c r="M1367" s="2"/>
      <c r="N1367" s="5"/>
      <c r="O1367" s="3"/>
      <c r="P1367" s="6"/>
      <c r="Q1367" s="48">
        <f>IF(Учет!$O1367=Справочники!$F$2,Учет!$H1367,0)</f>
        <v>0</v>
      </c>
      <c r="R1367" s="48">
        <f>IF(Учет!$O1367=Справочники!$F$3,Учет!$H1367,0)</f>
        <v>0</v>
      </c>
      <c r="S1367" s="48">
        <f>IF(Учет!$O1367=Справочники!$F$4,Учет!$H1367,0)</f>
        <v>0</v>
      </c>
      <c r="T1367" s="48">
        <f>IF(Учет!$O1367=Справочники!$F$5,Учет!$H1367,0)</f>
        <v>0</v>
      </c>
      <c r="U1367" s="48">
        <f>IF(Учет!$O1367=Справочники!$F$6,Учет!$H1367,0)</f>
        <v>0</v>
      </c>
      <c r="V1367" s="43">
        <f>V1366+Учет!Q1367-Q1367</f>
        <v>-488978.92000000004</v>
      </c>
      <c r="W1367" s="43">
        <f>W1366+Учет!R1367-R1367</f>
        <v>336855</v>
      </c>
      <c r="X1367" s="43">
        <f>X1366+Учет!S1367-S1367</f>
        <v>500</v>
      </c>
      <c r="Y1367" s="43">
        <f>Y1366+Учет!T1367-T1367</f>
        <v>1150</v>
      </c>
      <c r="Z1367" s="43">
        <f>Z1366+Учет!U1367-U1367</f>
        <v>500000</v>
      </c>
      <c r="AA1367" s="45">
        <f>Учет!X1367</f>
        <v>500</v>
      </c>
    </row>
    <row r="1368" spans="1:27" ht="15" customHeight="1" x14ac:dyDescent="0.25">
      <c r="A1368" s="1"/>
      <c r="B1368" s="17"/>
      <c r="C1368" s="17"/>
      <c r="D1368" s="17"/>
      <c r="E1368" s="17"/>
      <c r="F1368" s="17"/>
      <c r="G1368" s="4">
        <f t="shared" si="60"/>
        <v>0</v>
      </c>
      <c r="H1368" s="17"/>
      <c r="I1368" s="4">
        <f t="shared" si="62"/>
        <v>349526.07999999996</v>
      </c>
      <c r="J1368" s="32" t="str">
        <f t="shared" si="61"/>
        <v/>
      </c>
      <c r="K1368" s="72"/>
      <c r="L1368" s="72"/>
      <c r="M1368" s="2"/>
      <c r="N1368" s="5"/>
      <c r="O1368" s="3"/>
      <c r="P1368" s="6"/>
      <c r="Q1368" s="48">
        <f>IF(Учет!$O1368=Справочники!$F$2,Учет!$H1368,0)</f>
        <v>0</v>
      </c>
      <c r="R1368" s="48">
        <f>IF(Учет!$O1368=Справочники!$F$3,Учет!$H1368,0)</f>
        <v>0</v>
      </c>
      <c r="S1368" s="48">
        <f>IF(Учет!$O1368=Справочники!$F$4,Учет!$H1368,0)</f>
        <v>0</v>
      </c>
      <c r="T1368" s="48">
        <f>IF(Учет!$O1368=Справочники!$F$5,Учет!$H1368,0)</f>
        <v>0</v>
      </c>
      <c r="U1368" s="48">
        <f>IF(Учет!$O1368=Справочники!$F$6,Учет!$H1368,0)</f>
        <v>0</v>
      </c>
      <c r="V1368" s="43">
        <f>V1367+Учет!Q1368-Q1368</f>
        <v>-488978.92000000004</v>
      </c>
      <c r="W1368" s="43">
        <f>W1367+Учет!R1368-R1368</f>
        <v>336855</v>
      </c>
      <c r="X1368" s="43">
        <f>X1367+Учет!S1368-S1368</f>
        <v>500</v>
      </c>
      <c r="Y1368" s="43">
        <f>Y1367+Учет!T1368-T1368</f>
        <v>1150</v>
      </c>
      <c r="Z1368" s="43">
        <f>Z1367+Учет!U1368-U1368</f>
        <v>500000</v>
      </c>
      <c r="AA1368" s="45">
        <f>Учет!X1368</f>
        <v>500</v>
      </c>
    </row>
    <row r="1369" spans="1:27" ht="15" customHeight="1" x14ac:dyDescent="0.25">
      <c r="A1369" s="1"/>
      <c r="B1369" s="17"/>
      <c r="C1369" s="17"/>
      <c r="D1369" s="17"/>
      <c r="E1369" s="17"/>
      <c r="F1369" s="17"/>
      <c r="G1369" s="4">
        <f t="shared" si="60"/>
        <v>0</v>
      </c>
      <c r="H1369" s="17"/>
      <c r="I1369" s="4">
        <f t="shared" si="62"/>
        <v>349526.07999999996</v>
      </c>
      <c r="J1369" s="32" t="str">
        <f t="shared" si="61"/>
        <v/>
      </c>
      <c r="K1369" s="72"/>
      <c r="L1369" s="72"/>
      <c r="M1369" s="2"/>
      <c r="N1369" s="5"/>
      <c r="O1369" s="3"/>
      <c r="P1369" s="6"/>
      <c r="Q1369" s="48">
        <f>IF(Учет!$O1369=Справочники!$F$2,Учет!$H1369,0)</f>
        <v>0</v>
      </c>
      <c r="R1369" s="48">
        <f>IF(Учет!$O1369=Справочники!$F$3,Учет!$H1369,0)</f>
        <v>0</v>
      </c>
      <c r="S1369" s="48">
        <f>IF(Учет!$O1369=Справочники!$F$4,Учет!$H1369,0)</f>
        <v>0</v>
      </c>
      <c r="T1369" s="48">
        <f>IF(Учет!$O1369=Справочники!$F$5,Учет!$H1369,0)</f>
        <v>0</v>
      </c>
      <c r="U1369" s="48">
        <f>IF(Учет!$O1369=Справочники!$F$6,Учет!$H1369,0)</f>
        <v>0</v>
      </c>
      <c r="V1369" s="43">
        <f>V1368+Учет!Q1369-Q1369</f>
        <v>-488978.92000000004</v>
      </c>
      <c r="W1369" s="43">
        <f>W1368+Учет!R1369-R1369</f>
        <v>336855</v>
      </c>
      <c r="X1369" s="43">
        <f>X1368+Учет!S1369-S1369</f>
        <v>500</v>
      </c>
      <c r="Y1369" s="43">
        <f>Y1368+Учет!T1369-T1369</f>
        <v>1150</v>
      </c>
      <c r="Z1369" s="43">
        <f>Z1368+Учет!U1369-U1369</f>
        <v>500000</v>
      </c>
      <c r="AA1369" s="45">
        <f>Учет!X1369</f>
        <v>500</v>
      </c>
    </row>
    <row r="1370" spans="1:27" ht="15" customHeight="1" x14ac:dyDescent="0.25">
      <c r="A1370" s="1"/>
      <c r="B1370" s="17"/>
      <c r="C1370" s="17"/>
      <c r="D1370" s="17"/>
      <c r="E1370" s="17"/>
      <c r="F1370" s="17"/>
      <c r="G1370" s="4">
        <f t="shared" si="60"/>
        <v>0</v>
      </c>
      <c r="H1370" s="17"/>
      <c r="I1370" s="4">
        <f t="shared" si="62"/>
        <v>349526.07999999996</v>
      </c>
      <c r="J1370" s="32" t="str">
        <f t="shared" si="61"/>
        <v/>
      </c>
      <c r="K1370" s="72"/>
      <c r="L1370" s="72"/>
      <c r="M1370" s="2"/>
      <c r="N1370" s="5"/>
      <c r="O1370" s="3"/>
      <c r="P1370" s="6"/>
      <c r="Q1370" s="48">
        <f>IF(Учет!$O1370=Справочники!$F$2,Учет!$H1370,0)</f>
        <v>0</v>
      </c>
      <c r="R1370" s="48">
        <f>IF(Учет!$O1370=Справочники!$F$3,Учет!$H1370,0)</f>
        <v>0</v>
      </c>
      <c r="S1370" s="48">
        <f>IF(Учет!$O1370=Справочники!$F$4,Учет!$H1370,0)</f>
        <v>0</v>
      </c>
      <c r="T1370" s="48">
        <f>IF(Учет!$O1370=Справочники!$F$5,Учет!$H1370,0)</f>
        <v>0</v>
      </c>
      <c r="U1370" s="48">
        <f>IF(Учет!$O1370=Справочники!$F$6,Учет!$H1370,0)</f>
        <v>0</v>
      </c>
      <c r="V1370" s="43">
        <f>V1369+Учет!Q1370-Q1370</f>
        <v>-488978.92000000004</v>
      </c>
      <c r="W1370" s="43">
        <f>W1369+Учет!R1370-R1370</f>
        <v>336855</v>
      </c>
      <c r="X1370" s="43">
        <f>X1369+Учет!S1370-S1370</f>
        <v>500</v>
      </c>
      <c r="Y1370" s="43">
        <f>Y1369+Учет!T1370-T1370</f>
        <v>1150</v>
      </c>
      <c r="Z1370" s="43">
        <f>Z1369+Учет!U1370-U1370</f>
        <v>500000</v>
      </c>
      <c r="AA1370" s="45">
        <f>Учет!X1370</f>
        <v>500</v>
      </c>
    </row>
    <row r="1371" spans="1:27" ht="15" customHeight="1" x14ac:dyDescent="0.25">
      <c r="A1371" s="1"/>
      <c r="B1371" s="17"/>
      <c r="C1371" s="17"/>
      <c r="D1371" s="17"/>
      <c r="E1371" s="17"/>
      <c r="F1371" s="17"/>
      <c r="G1371" s="4">
        <f t="shared" si="60"/>
        <v>0</v>
      </c>
      <c r="H1371" s="17"/>
      <c r="I1371" s="4">
        <f t="shared" si="62"/>
        <v>349526.07999999996</v>
      </c>
      <c r="J1371" s="32" t="str">
        <f t="shared" si="61"/>
        <v/>
      </c>
      <c r="K1371" s="72"/>
      <c r="L1371" s="72"/>
      <c r="M1371" s="2"/>
      <c r="N1371" s="5"/>
      <c r="O1371" s="3"/>
      <c r="P1371" s="6"/>
      <c r="Q1371" s="48">
        <f>IF(Учет!$O1371=Справочники!$F$2,Учет!$H1371,0)</f>
        <v>0</v>
      </c>
      <c r="R1371" s="48">
        <f>IF(Учет!$O1371=Справочники!$F$3,Учет!$H1371,0)</f>
        <v>0</v>
      </c>
      <c r="S1371" s="48">
        <f>IF(Учет!$O1371=Справочники!$F$4,Учет!$H1371,0)</f>
        <v>0</v>
      </c>
      <c r="T1371" s="48">
        <f>IF(Учет!$O1371=Справочники!$F$5,Учет!$H1371,0)</f>
        <v>0</v>
      </c>
      <c r="U1371" s="48">
        <f>IF(Учет!$O1371=Справочники!$F$6,Учет!$H1371,0)</f>
        <v>0</v>
      </c>
      <c r="V1371" s="43">
        <f>V1370+Учет!Q1371-Q1371</f>
        <v>-488978.92000000004</v>
      </c>
      <c r="W1371" s="43">
        <f>W1370+Учет!R1371-R1371</f>
        <v>336855</v>
      </c>
      <c r="X1371" s="43">
        <f>X1370+Учет!S1371-S1371</f>
        <v>500</v>
      </c>
      <c r="Y1371" s="43">
        <f>Y1370+Учет!T1371-T1371</f>
        <v>1150</v>
      </c>
      <c r="Z1371" s="43">
        <f>Z1370+Учет!U1371-U1371</f>
        <v>500000</v>
      </c>
      <c r="AA1371" s="45">
        <f>Учет!X1371</f>
        <v>500</v>
      </c>
    </row>
    <row r="1372" spans="1:27" ht="15" customHeight="1" x14ac:dyDescent="0.25">
      <c r="A1372" s="1"/>
      <c r="B1372" s="17"/>
      <c r="C1372" s="17"/>
      <c r="D1372" s="17"/>
      <c r="E1372" s="17"/>
      <c r="F1372" s="17"/>
      <c r="G1372" s="4">
        <f t="shared" si="60"/>
        <v>0</v>
      </c>
      <c r="H1372" s="17"/>
      <c r="I1372" s="4">
        <f t="shared" si="62"/>
        <v>349526.07999999996</v>
      </c>
      <c r="J1372" s="32" t="str">
        <f t="shared" si="61"/>
        <v/>
      </c>
      <c r="K1372" s="72"/>
      <c r="L1372" s="72"/>
      <c r="M1372" s="2"/>
      <c r="N1372" s="5"/>
      <c r="O1372" s="3"/>
      <c r="P1372" s="6"/>
      <c r="Q1372" s="48">
        <f>IF(Учет!$O1372=Справочники!$F$2,Учет!$H1372,0)</f>
        <v>0</v>
      </c>
      <c r="R1372" s="48">
        <f>IF(Учет!$O1372=Справочники!$F$3,Учет!$H1372,0)</f>
        <v>0</v>
      </c>
      <c r="S1372" s="48">
        <f>IF(Учет!$O1372=Справочники!$F$4,Учет!$H1372,0)</f>
        <v>0</v>
      </c>
      <c r="T1372" s="48">
        <f>IF(Учет!$O1372=Справочники!$F$5,Учет!$H1372,0)</f>
        <v>0</v>
      </c>
      <c r="U1372" s="48">
        <f>IF(Учет!$O1372=Справочники!$F$6,Учет!$H1372,0)</f>
        <v>0</v>
      </c>
      <c r="V1372" s="43">
        <f>V1371+Учет!Q1372-Q1372</f>
        <v>-488978.92000000004</v>
      </c>
      <c r="W1372" s="43">
        <f>W1371+Учет!R1372-R1372</f>
        <v>336855</v>
      </c>
      <c r="X1372" s="43">
        <f>X1371+Учет!S1372-S1372</f>
        <v>500</v>
      </c>
      <c r="Y1372" s="43">
        <f>Y1371+Учет!T1372-T1372</f>
        <v>1150</v>
      </c>
      <c r="Z1372" s="43">
        <f>Z1371+Учет!U1372-U1372</f>
        <v>500000</v>
      </c>
      <c r="AA1372" s="45">
        <f>Учет!X1372</f>
        <v>500</v>
      </c>
    </row>
    <row r="1373" spans="1:27" ht="15" customHeight="1" x14ac:dyDescent="0.25">
      <c r="A1373" s="1"/>
      <c r="B1373" s="17"/>
      <c r="C1373" s="17"/>
      <c r="D1373" s="17"/>
      <c r="E1373" s="17"/>
      <c r="F1373" s="17"/>
      <c r="G1373" s="4">
        <f t="shared" si="60"/>
        <v>0</v>
      </c>
      <c r="H1373" s="17"/>
      <c r="I1373" s="4">
        <f t="shared" si="62"/>
        <v>349526.07999999996</v>
      </c>
      <c r="J1373" s="32" t="str">
        <f t="shared" si="61"/>
        <v/>
      </c>
      <c r="K1373" s="72"/>
      <c r="L1373" s="72"/>
      <c r="M1373" s="2"/>
      <c r="N1373" s="5"/>
      <c r="O1373" s="3"/>
      <c r="P1373" s="6"/>
      <c r="Q1373" s="48">
        <f>IF(Учет!$O1373=Справочники!$F$2,Учет!$H1373,0)</f>
        <v>0</v>
      </c>
      <c r="R1373" s="48">
        <f>IF(Учет!$O1373=Справочники!$F$3,Учет!$H1373,0)</f>
        <v>0</v>
      </c>
      <c r="S1373" s="48">
        <f>IF(Учет!$O1373=Справочники!$F$4,Учет!$H1373,0)</f>
        <v>0</v>
      </c>
      <c r="T1373" s="48">
        <f>IF(Учет!$O1373=Справочники!$F$5,Учет!$H1373,0)</f>
        <v>0</v>
      </c>
      <c r="U1373" s="48">
        <f>IF(Учет!$O1373=Справочники!$F$6,Учет!$H1373,0)</f>
        <v>0</v>
      </c>
      <c r="V1373" s="43">
        <f>V1372+Учет!Q1373-Q1373</f>
        <v>-488978.92000000004</v>
      </c>
      <c r="W1373" s="43">
        <f>W1372+Учет!R1373-R1373</f>
        <v>336855</v>
      </c>
      <c r="X1373" s="43">
        <f>X1372+Учет!S1373-S1373</f>
        <v>500</v>
      </c>
      <c r="Y1373" s="43">
        <f>Y1372+Учет!T1373-T1373</f>
        <v>1150</v>
      </c>
      <c r="Z1373" s="43">
        <f>Z1372+Учет!U1373-U1373</f>
        <v>500000</v>
      </c>
      <c r="AA1373" s="45">
        <f>Учет!X1373</f>
        <v>500</v>
      </c>
    </row>
    <row r="1374" spans="1:27" ht="15" customHeight="1" x14ac:dyDescent="0.25">
      <c r="A1374" s="1"/>
      <c r="B1374" s="17"/>
      <c r="C1374" s="17"/>
      <c r="D1374" s="17"/>
      <c r="E1374" s="17"/>
      <c r="F1374" s="17"/>
      <c r="G1374" s="4">
        <f t="shared" si="60"/>
        <v>0</v>
      </c>
      <c r="H1374" s="17"/>
      <c r="I1374" s="4">
        <f t="shared" si="62"/>
        <v>349526.07999999996</v>
      </c>
      <c r="J1374" s="32" t="str">
        <f t="shared" si="61"/>
        <v/>
      </c>
      <c r="K1374" s="72"/>
      <c r="L1374" s="72"/>
      <c r="M1374" s="2"/>
      <c r="N1374" s="5"/>
      <c r="O1374" s="3"/>
      <c r="P1374" s="6"/>
      <c r="Q1374" s="48">
        <f>IF(Учет!$O1374=Справочники!$F$2,Учет!$H1374,0)</f>
        <v>0</v>
      </c>
      <c r="R1374" s="48">
        <f>IF(Учет!$O1374=Справочники!$F$3,Учет!$H1374,0)</f>
        <v>0</v>
      </c>
      <c r="S1374" s="48">
        <f>IF(Учет!$O1374=Справочники!$F$4,Учет!$H1374,0)</f>
        <v>0</v>
      </c>
      <c r="T1374" s="48">
        <f>IF(Учет!$O1374=Справочники!$F$5,Учет!$H1374,0)</f>
        <v>0</v>
      </c>
      <c r="U1374" s="48">
        <f>IF(Учет!$O1374=Справочники!$F$6,Учет!$H1374,0)</f>
        <v>0</v>
      </c>
      <c r="V1374" s="43">
        <f>V1373+Учет!Q1374-Q1374</f>
        <v>-488978.92000000004</v>
      </c>
      <c r="W1374" s="43">
        <f>W1373+Учет!R1374-R1374</f>
        <v>336855</v>
      </c>
      <c r="X1374" s="43">
        <f>X1373+Учет!S1374-S1374</f>
        <v>500</v>
      </c>
      <c r="Y1374" s="43">
        <f>Y1373+Учет!T1374-T1374</f>
        <v>1150</v>
      </c>
      <c r="Z1374" s="43">
        <f>Z1373+Учет!U1374-U1374</f>
        <v>500000</v>
      </c>
      <c r="AA1374" s="45">
        <f>Учет!X1374</f>
        <v>500</v>
      </c>
    </row>
    <row r="1375" spans="1:27" ht="15" customHeight="1" x14ac:dyDescent="0.25">
      <c r="A1375" s="1"/>
      <c r="B1375" s="17"/>
      <c r="C1375" s="17"/>
      <c r="D1375" s="17"/>
      <c r="E1375" s="17"/>
      <c r="F1375" s="17"/>
      <c r="G1375" s="4">
        <f t="shared" si="60"/>
        <v>0</v>
      </c>
      <c r="H1375" s="17"/>
      <c r="I1375" s="4">
        <f t="shared" si="62"/>
        <v>349526.07999999996</v>
      </c>
      <c r="J1375" s="32" t="str">
        <f t="shared" si="61"/>
        <v/>
      </c>
      <c r="K1375" s="72"/>
      <c r="L1375" s="72"/>
      <c r="M1375" s="2"/>
      <c r="N1375" s="5"/>
      <c r="O1375" s="3"/>
      <c r="P1375" s="6"/>
      <c r="Q1375" s="48">
        <f>IF(Учет!$O1375=Справочники!$F$2,Учет!$H1375,0)</f>
        <v>0</v>
      </c>
      <c r="R1375" s="48">
        <f>IF(Учет!$O1375=Справочники!$F$3,Учет!$H1375,0)</f>
        <v>0</v>
      </c>
      <c r="S1375" s="48">
        <f>IF(Учет!$O1375=Справочники!$F$4,Учет!$H1375,0)</f>
        <v>0</v>
      </c>
      <c r="T1375" s="48">
        <f>IF(Учет!$O1375=Справочники!$F$5,Учет!$H1375,0)</f>
        <v>0</v>
      </c>
      <c r="U1375" s="48">
        <f>IF(Учет!$O1375=Справочники!$F$6,Учет!$H1375,0)</f>
        <v>0</v>
      </c>
      <c r="V1375" s="43">
        <f>V1374+Учет!Q1375-Q1375</f>
        <v>-488978.92000000004</v>
      </c>
      <c r="W1375" s="43">
        <f>W1374+Учет!R1375-R1375</f>
        <v>336855</v>
      </c>
      <c r="X1375" s="43">
        <f>X1374+Учет!S1375-S1375</f>
        <v>500</v>
      </c>
      <c r="Y1375" s="43">
        <f>Y1374+Учет!T1375-T1375</f>
        <v>1150</v>
      </c>
      <c r="Z1375" s="43">
        <f>Z1374+Учет!U1375-U1375</f>
        <v>500000</v>
      </c>
      <c r="AA1375" s="45">
        <f>Учет!X1375</f>
        <v>500</v>
      </c>
    </row>
    <row r="1376" spans="1:27" ht="15" customHeight="1" x14ac:dyDescent="0.25">
      <c r="A1376" s="1"/>
      <c r="B1376" s="17"/>
      <c r="C1376" s="17"/>
      <c r="D1376" s="17"/>
      <c r="E1376" s="17"/>
      <c r="F1376" s="17"/>
      <c r="G1376" s="4">
        <f t="shared" si="60"/>
        <v>0</v>
      </c>
      <c r="H1376" s="17"/>
      <c r="I1376" s="4">
        <f t="shared" si="62"/>
        <v>349526.07999999996</v>
      </c>
      <c r="J1376" s="32" t="str">
        <f t="shared" si="61"/>
        <v/>
      </c>
      <c r="K1376" s="72"/>
      <c r="L1376" s="72"/>
      <c r="M1376" s="2"/>
      <c r="N1376" s="5"/>
      <c r="O1376" s="3"/>
      <c r="P1376" s="6"/>
      <c r="Q1376" s="48">
        <f>IF(Учет!$O1376=Справочники!$F$2,Учет!$H1376,0)</f>
        <v>0</v>
      </c>
      <c r="R1376" s="48">
        <f>IF(Учет!$O1376=Справочники!$F$3,Учет!$H1376,0)</f>
        <v>0</v>
      </c>
      <c r="S1376" s="48">
        <f>IF(Учет!$O1376=Справочники!$F$4,Учет!$H1376,0)</f>
        <v>0</v>
      </c>
      <c r="T1376" s="48">
        <f>IF(Учет!$O1376=Справочники!$F$5,Учет!$H1376,0)</f>
        <v>0</v>
      </c>
      <c r="U1376" s="48">
        <f>IF(Учет!$O1376=Справочники!$F$6,Учет!$H1376,0)</f>
        <v>0</v>
      </c>
      <c r="V1376" s="43">
        <f>V1375+Учет!Q1376-Q1376</f>
        <v>-488978.92000000004</v>
      </c>
      <c r="W1376" s="43">
        <f>W1375+Учет!R1376-R1376</f>
        <v>336855</v>
      </c>
      <c r="X1376" s="43">
        <f>X1375+Учет!S1376-S1376</f>
        <v>500</v>
      </c>
      <c r="Y1376" s="43">
        <f>Y1375+Учет!T1376-T1376</f>
        <v>1150</v>
      </c>
      <c r="Z1376" s="43">
        <f>Z1375+Учет!U1376-U1376</f>
        <v>500000</v>
      </c>
      <c r="AA1376" s="45">
        <f>Учет!X1376</f>
        <v>500</v>
      </c>
    </row>
    <row r="1377" spans="1:27" ht="15" customHeight="1" x14ac:dyDescent="0.25">
      <c r="A1377" s="1"/>
      <c r="B1377" s="17"/>
      <c r="C1377" s="17"/>
      <c r="D1377" s="17"/>
      <c r="E1377" s="17"/>
      <c r="F1377" s="17"/>
      <c r="G1377" s="4">
        <f t="shared" si="60"/>
        <v>0</v>
      </c>
      <c r="H1377" s="17"/>
      <c r="I1377" s="4">
        <f t="shared" si="62"/>
        <v>349526.07999999996</v>
      </c>
      <c r="J1377" s="32" t="str">
        <f t="shared" si="61"/>
        <v/>
      </c>
      <c r="K1377" s="72"/>
      <c r="L1377" s="72"/>
      <c r="M1377" s="2"/>
      <c r="N1377" s="5"/>
      <c r="O1377" s="3"/>
      <c r="P1377" s="6"/>
      <c r="Q1377" s="48">
        <f>IF(Учет!$O1377=Справочники!$F$2,Учет!$H1377,0)</f>
        <v>0</v>
      </c>
      <c r="R1377" s="48">
        <f>IF(Учет!$O1377=Справочники!$F$3,Учет!$H1377,0)</f>
        <v>0</v>
      </c>
      <c r="S1377" s="48">
        <f>IF(Учет!$O1377=Справочники!$F$4,Учет!$H1377,0)</f>
        <v>0</v>
      </c>
      <c r="T1377" s="48">
        <f>IF(Учет!$O1377=Справочники!$F$5,Учет!$H1377,0)</f>
        <v>0</v>
      </c>
      <c r="U1377" s="48">
        <f>IF(Учет!$O1377=Справочники!$F$6,Учет!$H1377,0)</f>
        <v>0</v>
      </c>
      <c r="V1377" s="43">
        <f>V1376+Учет!Q1377-Q1377</f>
        <v>-488978.92000000004</v>
      </c>
      <c r="W1377" s="43">
        <f>W1376+Учет!R1377-R1377</f>
        <v>336855</v>
      </c>
      <c r="X1377" s="43">
        <f>X1376+Учет!S1377-S1377</f>
        <v>500</v>
      </c>
      <c r="Y1377" s="43">
        <f>Y1376+Учет!T1377-T1377</f>
        <v>1150</v>
      </c>
      <c r="Z1377" s="43">
        <f>Z1376+Учет!U1377-U1377</f>
        <v>500000</v>
      </c>
      <c r="AA1377" s="45">
        <f>Учет!X1377</f>
        <v>500</v>
      </c>
    </row>
    <row r="1378" spans="1:27" ht="15" customHeight="1" x14ac:dyDescent="0.25">
      <c r="A1378" s="1"/>
      <c r="B1378" s="17"/>
      <c r="C1378" s="17"/>
      <c r="D1378" s="17"/>
      <c r="E1378" s="17"/>
      <c r="F1378" s="17"/>
      <c r="G1378" s="4">
        <f t="shared" si="60"/>
        <v>0</v>
      </c>
      <c r="H1378" s="17"/>
      <c r="I1378" s="4">
        <f t="shared" si="62"/>
        <v>349526.07999999996</v>
      </c>
      <c r="J1378" s="32" t="str">
        <f t="shared" si="61"/>
        <v/>
      </c>
      <c r="K1378" s="72"/>
      <c r="L1378" s="72"/>
      <c r="M1378" s="2"/>
      <c r="N1378" s="5"/>
      <c r="O1378" s="3"/>
      <c r="P1378" s="6"/>
      <c r="Q1378" s="48">
        <f>IF(Учет!$O1378=Справочники!$F$2,Учет!$H1378,0)</f>
        <v>0</v>
      </c>
      <c r="R1378" s="48">
        <f>IF(Учет!$O1378=Справочники!$F$3,Учет!$H1378,0)</f>
        <v>0</v>
      </c>
      <c r="S1378" s="48">
        <f>IF(Учет!$O1378=Справочники!$F$4,Учет!$H1378,0)</f>
        <v>0</v>
      </c>
      <c r="T1378" s="48">
        <f>IF(Учет!$O1378=Справочники!$F$5,Учет!$H1378,0)</f>
        <v>0</v>
      </c>
      <c r="U1378" s="48">
        <f>IF(Учет!$O1378=Справочники!$F$6,Учет!$H1378,0)</f>
        <v>0</v>
      </c>
      <c r="V1378" s="43">
        <f>V1377+Учет!Q1378-Q1378</f>
        <v>-488978.92000000004</v>
      </c>
      <c r="W1378" s="43">
        <f>W1377+Учет!R1378-R1378</f>
        <v>336855</v>
      </c>
      <c r="X1378" s="43">
        <f>X1377+Учет!S1378-S1378</f>
        <v>500</v>
      </c>
      <c r="Y1378" s="43">
        <f>Y1377+Учет!T1378-T1378</f>
        <v>1150</v>
      </c>
      <c r="Z1378" s="43">
        <f>Z1377+Учет!U1378-U1378</f>
        <v>500000</v>
      </c>
      <c r="AA1378" s="45">
        <f>Учет!X1378</f>
        <v>500</v>
      </c>
    </row>
    <row r="1379" spans="1:27" ht="15" customHeight="1" x14ac:dyDescent="0.25">
      <c r="A1379" s="1"/>
      <c r="B1379" s="17"/>
      <c r="C1379" s="17"/>
      <c r="D1379" s="17"/>
      <c r="E1379" s="17"/>
      <c r="F1379" s="17"/>
      <c r="G1379" s="4">
        <f t="shared" si="60"/>
        <v>0</v>
      </c>
      <c r="H1379" s="17"/>
      <c r="I1379" s="4">
        <f t="shared" si="62"/>
        <v>349526.07999999996</v>
      </c>
      <c r="J1379" s="32" t="str">
        <f t="shared" si="61"/>
        <v/>
      </c>
      <c r="K1379" s="72"/>
      <c r="L1379" s="72"/>
      <c r="M1379" s="2"/>
      <c r="N1379" s="5"/>
      <c r="O1379" s="3"/>
      <c r="P1379" s="6"/>
      <c r="Q1379" s="48">
        <f>IF(Учет!$O1379=Справочники!$F$2,Учет!$H1379,0)</f>
        <v>0</v>
      </c>
      <c r="R1379" s="48">
        <f>IF(Учет!$O1379=Справочники!$F$3,Учет!$H1379,0)</f>
        <v>0</v>
      </c>
      <c r="S1379" s="48">
        <f>IF(Учет!$O1379=Справочники!$F$4,Учет!$H1379,0)</f>
        <v>0</v>
      </c>
      <c r="T1379" s="48">
        <f>IF(Учет!$O1379=Справочники!$F$5,Учет!$H1379,0)</f>
        <v>0</v>
      </c>
      <c r="U1379" s="48">
        <f>IF(Учет!$O1379=Справочники!$F$6,Учет!$H1379,0)</f>
        <v>0</v>
      </c>
      <c r="V1379" s="43">
        <f>V1378+Учет!Q1379-Q1379</f>
        <v>-488978.92000000004</v>
      </c>
      <c r="W1379" s="43">
        <f>W1378+Учет!R1379-R1379</f>
        <v>336855</v>
      </c>
      <c r="X1379" s="43">
        <f>X1378+Учет!S1379-S1379</f>
        <v>500</v>
      </c>
      <c r="Y1379" s="43">
        <f>Y1378+Учет!T1379-T1379</f>
        <v>1150</v>
      </c>
      <c r="Z1379" s="43">
        <f>Z1378+Учет!U1379-U1379</f>
        <v>500000</v>
      </c>
      <c r="AA1379" s="45">
        <f>Учет!X1379</f>
        <v>500</v>
      </c>
    </row>
    <row r="1380" spans="1:27" ht="15" customHeight="1" x14ac:dyDescent="0.25">
      <c r="A1380" s="1"/>
      <c r="B1380" s="17"/>
      <c r="C1380" s="17"/>
      <c r="D1380" s="17"/>
      <c r="E1380" s="17"/>
      <c r="F1380" s="17"/>
      <c r="G1380" s="4">
        <f t="shared" si="60"/>
        <v>0</v>
      </c>
      <c r="H1380" s="17"/>
      <c r="I1380" s="4">
        <f t="shared" si="62"/>
        <v>349526.07999999996</v>
      </c>
      <c r="J1380" s="32" t="str">
        <f t="shared" si="61"/>
        <v/>
      </c>
      <c r="K1380" s="72"/>
      <c r="L1380" s="72"/>
      <c r="M1380" s="2"/>
      <c r="N1380" s="5"/>
      <c r="O1380" s="3"/>
      <c r="P1380" s="6"/>
      <c r="Q1380" s="48">
        <f>IF(Учет!$O1380=Справочники!$F$2,Учет!$H1380,0)</f>
        <v>0</v>
      </c>
      <c r="R1380" s="48">
        <f>IF(Учет!$O1380=Справочники!$F$3,Учет!$H1380,0)</f>
        <v>0</v>
      </c>
      <c r="S1380" s="48">
        <f>IF(Учет!$O1380=Справочники!$F$4,Учет!$H1380,0)</f>
        <v>0</v>
      </c>
      <c r="T1380" s="48">
        <f>IF(Учет!$O1380=Справочники!$F$5,Учет!$H1380,0)</f>
        <v>0</v>
      </c>
      <c r="U1380" s="48">
        <f>IF(Учет!$O1380=Справочники!$F$6,Учет!$H1380,0)</f>
        <v>0</v>
      </c>
      <c r="V1380" s="43">
        <f>V1379+Учет!Q1380-Q1380</f>
        <v>-488978.92000000004</v>
      </c>
      <c r="W1380" s="43">
        <f>W1379+Учет!R1380-R1380</f>
        <v>336855</v>
      </c>
      <c r="X1380" s="43">
        <f>X1379+Учет!S1380-S1380</f>
        <v>500</v>
      </c>
      <c r="Y1380" s="43">
        <f>Y1379+Учет!T1380-T1380</f>
        <v>1150</v>
      </c>
      <c r="Z1380" s="43">
        <f>Z1379+Учет!U1380-U1380</f>
        <v>500000</v>
      </c>
      <c r="AA1380" s="45">
        <f>Учет!X1380</f>
        <v>500</v>
      </c>
    </row>
    <row r="1381" spans="1:27" ht="15" customHeight="1" x14ac:dyDescent="0.25">
      <c r="A1381" s="1"/>
      <c r="B1381" s="17"/>
      <c r="C1381" s="17"/>
      <c r="D1381" s="17"/>
      <c r="E1381" s="17"/>
      <c r="F1381" s="17"/>
      <c r="G1381" s="4">
        <f t="shared" si="60"/>
        <v>0</v>
      </c>
      <c r="H1381" s="17"/>
      <c r="I1381" s="4">
        <f t="shared" si="62"/>
        <v>349526.07999999996</v>
      </c>
      <c r="J1381" s="32" t="str">
        <f t="shared" si="61"/>
        <v/>
      </c>
      <c r="K1381" s="72"/>
      <c r="L1381" s="72"/>
      <c r="M1381" s="2"/>
      <c r="N1381" s="5"/>
      <c r="O1381" s="3"/>
      <c r="P1381" s="6"/>
      <c r="Q1381" s="48">
        <f>IF(Учет!$O1381=Справочники!$F$2,Учет!$H1381,0)</f>
        <v>0</v>
      </c>
      <c r="R1381" s="48">
        <f>IF(Учет!$O1381=Справочники!$F$3,Учет!$H1381,0)</f>
        <v>0</v>
      </c>
      <c r="S1381" s="48">
        <f>IF(Учет!$O1381=Справочники!$F$4,Учет!$H1381,0)</f>
        <v>0</v>
      </c>
      <c r="T1381" s="48">
        <f>IF(Учет!$O1381=Справочники!$F$5,Учет!$H1381,0)</f>
        <v>0</v>
      </c>
      <c r="U1381" s="48">
        <f>IF(Учет!$O1381=Справочники!$F$6,Учет!$H1381,0)</f>
        <v>0</v>
      </c>
      <c r="V1381" s="43">
        <f>V1380+Учет!Q1381-Q1381</f>
        <v>-488978.92000000004</v>
      </c>
      <c r="W1381" s="43">
        <f>W1380+Учет!R1381-R1381</f>
        <v>336855</v>
      </c>
      <c r="X1381" s="43">
        <f>X1380+Учет!S1381-S1381</f>
        <v>500</v>
      </c>
      <c r="Y1381" s="43">
        <f>Y1380+Учет!T1381-T1381</f>
        <v>1150</v>
      </c>
      <c r="Z1381" s="43">
        <f>Z1380+Учет!U1381-U1381</f>
        <v>500000</v>
      </c>
      <c r="AA1381" s="45">
        <f>Учет!X1381</f>
        <v>500</v>
      </c>
    </row>
    <row r="1382" spans="1:27" ht="15" customHeight="1" x14ac:dyDescent="0.25">
      <c r="A1382" s="1"/>
      <c r="B1382" s="17"/>
      <c r="C1382" s="17"/>
      <c r="D1382" s="17"/>
      <c r="E1382" s="17"/>
      <c r="F1382" s="17"/>
      <c r="G1382" s="4">
        <f t="shared" si="60"/>
        <v>0</v>
      </c>
      <c r="H1382" s="17"/>
      <c r="I1382" s="4">
        <f t="shared" si="62"/>
        <v>349526.07999999996</v>
      </c>
      <c r="J1382" s="32" t="str">
        <f t="shared" si="61"/>
        <v/>
      </c>
      <c r="K1382" s="72"/>
      <c r="L1382" s="72"/>
      <c r="M1382" s="2"/>
      <c r="N1382" s="5"/>
      <c r="O1382" s="3"/>
      <c r="P1382" s="6"/>
      <c r="Q1382" s="48">
        <f>IF(Учет!$O1382=Справочники!$F$2,Учет!$H1382,0)</f>
        <v>0</v>
      </c>
      <c r="R1382" s="48">
        <f>IF(Учет!$O1382=Справочники!$F$3,Учет!$H1382,0)</f>
        <v>0</v>
      </c>
      <c r="S1382" s="48">
        <f>IF(Учет!$O1382=Справочники!$F$4,Учет!$H1382,0)</f>
        <v>0</v>
      </c>
      <c r="T1382" s="48">
        <f>IF(Учет!$O1382=Справочники!$F$5,Учет!$H1382,0)</f>
        <v>0</v>
      </c>
      <c r="U1382" s="48">
        <f>IF(Учет!$O1382=Справочники!$F$6,Учет!$H1382,0)</f>
        <v>0</v>
      </c>
      <c r="V1382" s="43">
        <f>V1381+Учет!Q1382-Q1382</f>
        <v>-488978.92000000004</v>
      </c>
      <c r="W1382" s="43">
        <f>W1381+Учет!R1382-R1382</f>
        <v>336855</v>
      </c>
      <c r="X1382" s="43">
        <f>X1381+Учет!S1382-S1382</f>
        <v>500</v>
      </c>
      <c r="Y1382" s="43">
        <f>Y1381+Учет!T1382-T1382</f>
        <v>1150</v>
      </c>
      <c r="Z1382" s="43">
        <f>Z1381+Учет!U1382-U1382</f>
        <v>500000</v>
      </c>
      <c r="AA1382" s="45">
        <f>Учет!X1382</f>
        <v>500</v>
      </c>
    </row>
    <row r="1383" spans="1:27" ht="15" customHeight="1" x14ac:dyDescent="0.25">
      <c r="A1383" s="1"/>
      <c r="B1383" s="17"/>
      <c r="C1383" s="17"/>
      <c r="D1383" s="17"/>
      <c r="E1383" s="17"/>
      <c r="F1383" s="17"/>
      <c r="G1383" s="4">
        <f t="shared" si="60"/>
        <v>0</v>
      </c>
      <c r="H1383" s="17"/>
      <c r="I1383" s="4">
        <f t="shared" si="62"/>
        <v>349526.07999999996</v>
      </c>
      <c r="J1383" s="32" t="str">
        <f t="shared" si="61"/>
        <v/>
      </c>
      <c r="K1383" s="72"/>
      <c r="L1383" s="72"/>
      <c r="M1383" s="2"/>
      <c r="N1383" s="5"/>
      <c r="O1383" s="3"/>
      <c r="P1383" s="6"/>
      <c r="Q1383" s="48">
        <f>IF(Учет!$O1383=Справочники!$F$2,Учет!$H1383,0)</f>
        <v>0</v>
      </c>
      <c r="R1383" s="48">
        <f>IF(Учет!$O1383=Справочники!$F$3,Учет!$H1383,0)</f>
        <v>0</v>
      </c>
      <c r="S1383" s="48">
        <f>IF(Учет!$O1383=Справочники!$F$4,Учет!$H1383,0)</f>
        <v>0</v>
      </c>
      <c r="T1383" s="48">
        <f>IF(Учет!$O1383=Справочники!$F$5,Учет!$H1383,0)</f>
        <v>0</v>
      </c>
      <c r="U1383" s="48">
        <f>IF(Учет!$O1383=Справочники!$F$6,Учет!$H1383,0)</f>
        <v>0</v>
      </c>
      <c r="V1383" s="43">
        <f>V1382+Учет!Q1383-Q1383</f>
        <v>-488978.92000000004</v>
      </c>
      <c r="W1383" s="43">
        <f>W1382+Учет!R1383-R1383</f>
        <v>336855</v>
      </c>
      <c r="X1383" s="43">
        <f>X1382+Учет!S1383-S1383</f>
        <v>500</v>
      </c>
      <c r="Y1383" s="43">
        <f>Y1382+Учет!T1383-T1383</f>
        <v>1150</v>
      </c>
      <c r="Z1383" s="43">
        <f>Z1382+Учет!U1383-U1383</f>
        <v>500000</v>
      </c>
      <c r="AA1383" s="45">
        <f>Учет!X1383</f>
        <v>500</v>
      </c>
    </row>
    <row r="1384" spans="1:27" ht="15" customHeight="1" x14ac:dyDescent="0.25">
      <c r="A1384" s="1"/>
      <c r="B1384" s="17"/>
      <c r="C1384" s="17"/>
      <c r="D1384" s="17"/>
      <c r="E1384" s="17"/>
      <c r="F1384" s="17"/>
      <c r="G1384" s="4">
        <f t="shared" si="60"/>
        <v>0</v>
      </c>
      <c r="H1384" s="17"/>
      <c r="I1384" s="4">
        <f t="shared" si="62"/>
        <v>349526.07999999996</v>
      </c>
      <c r="J1384" s="32" t="str">
        <f t="shared" si="61"/>
        <v/>
      </c>
      <c r="K1384" s="72"/>
      <c r="L1384" s="72"/>
      <c r="M1384" s="2"/>
      <c r="N1384" s="5"/>
      <c r="O1384" s="3"/>
      <c r="P1384" s="6"/>
      <c r="Q1384" s="48">
        <f>IF(Учет!$O1384=Справочники!$F$2,Учет!$H1384,0)</f>
        <v>0</v>
      </c>
      <c r="R1384" s="48">
        <f>IF(Учет!$O1384=Справочники!$F$3,Учет!$H1384,0)</f>
        <v>0</v>
      </c>
      <c r="S1384" s="48">
        <f>IF(Учет!$O1384=Справочники!$F$4,Учет!$H1384,0)</f>
        <v>0</v>
      </c>
      <c r="T1384" s="48">
        <f>IF(Учет!$O1384=Справочники!$F$5,Учет!$H1384,0)</f>
        <v>0</v>
      </c>
      <c r="U1384" s="48">
        <f>IF(Учет!$O1384=Справочники!$F$6,Учет!$H1384,0)</f>
        <v>0</v>
      </c>
      <c r="V1384" s="43">
        <f>V1383+Учет!Q1384-Q1384</f>
        <v>-488978.92000000004</v>
      </c>
      <c r="W1384" s="43">
        <f>W1383+Учет!R1384-R1384</f>
        <v>336855</v>
      </c>
      <c r="X1384" s="43">
        <f>X1383+Учет!S1384-S1384</f>
        <v>500</v>
      </c>
      <c r="Y1384" s="43">
        <f>Y1383+Учет!T1384-T1384</f>
        <v>1150</v>
      </c>
      <c r="Z1384" s="43">
        <f>Z1383+Учет!U1384-U1384</f>
        <v>500000</v>
      </c>
      <c r="AA1384" s="45">
        <f>Учет!X1384</f>
        <v>500</v>
      </c>
    </row>
    <row r="1385" spans="1:27" ht="15" customHeight="1" x14ac:dyDescent="0.25">
      <c r="A1385" s="1"/>
      <c r="B1385" s="17"/>
      <c r="C1385" s="17"/>
      <c r="D1385" s="17"/>
      <c r="E1385" s="17"/>
      <c r="F1385" s="17"/>
      <c r="G1385" s="4">
        <f t="shared" si="60"/>
        <v>0</v>
      </c>
      <c r="H1385" s="17"/>
      <c r="I1385" s="4">
        <f t="shared" si="62"/>
        <v>349526.07999999996</v>
      </c>
      <c r="J1385" s="32" t="str">
        <f t="shared" si="61"/>
        <v/>
      </c>
      <c r="K1385" s="72"/>
      <c r="L1385" s="72"/>
      <c r="M1385" s="2"/>
      <c r="N1385" s="5"/>
      <c r="O1385" s="3"/>
      <c r="P1385" s="6"/>
      <c r="Q1385" s="48">
        <f>IF(Учет!$O1385=Справочники!$F$2,Учет!$H1385,0)</f>
        <v>0</v>
      </c>
      <c r="R1385" s="48">
        <f>IF(Учет!$O1385=Справочники!$F$3,Учет!$H1385,0)</f>
        <v>0</v>
      </c>
      <c r="S1385" s="48">
        <f>IF(Учет!$O1385=Справочники!$F$4,Учет!$H1385,0)</f>
        <v>0</v>
      </c>
      <c r="T1385" s="48">
        <f>IF(Учет!$O1385=Справочники!$F$5,Учет!$H1385,0)</f>
        <v>0</v>
      </c>
      <c r="U1385" s="48">
        <f>IF(Учет!$O1385=Справочники!$F$6,Учет!$H1385,0)</f>
        <v>0</v>
      </c>
      <c r="V1385" s="43">
        <f>V1384+Учет!Q1385-Q1385</f>
        <v>-488978.92000000004</v>
      </c>
      <c r="W1385" s="43">
        <f>W1384+Учет!R1385-R1385</f>
        <v>336855</v>
      </c>
      <c r="X1385" s="43">
        <f>X1384+Учет!S1385-S1385</f>
        <v>500</v>
      </c>
      <c r="Y1385" s="43">
        <f>Y1384+Учет!T1385-T1385</f>
        <v>1150</v>
      </c>
      <c r="Z1385" s="43">
        <f>Z1384+Учет!U1385-U1385</f>
        <v>500000</v>
      </c>
      <c r="AA1385" s="45">
        <f>Учет!X1385</f>
        <v>500</v>
      </c>
    </row>
    <row r="1386" spans="1:27" ht="15" customHeight="1" x14ac:dyDescent="0.25">
      <c r="A1386" s="1"/>
      <c r="B1386" s="17"/>
      <c r="C1386" s="17"/>
      <c r="D1386" s="17"/>
      <c r="E1386" s="17"/>
      <c r="F1386" s="17"/>
      <c r="G1386" s="4">
        <f t="shared" si="60"/>
        <v>0</v>
      </c>
      <c r="H1386" s="17"/>
      <c r="I1386" s="4">
        <f t="shared" si="62"/>
        <v>349526.07999999996</v>
      </c>
      <c r="J1386" s="32" t="str">
        <f t="shared" si="61"/>
        <v/>
      </c>
      <c r="K1386" s="72"/>
      <c r="L1386" s="72"/>
      <c r="M1386" s="2"/>
      <c r="N1386" s="5"/>
      <c r="O1386" s="3"/>
      <c r="P1386" s="6"/>
      <c r="Q1386" s="48">
        <f>IF(Учет!$O1386=Справочники!$F$2,Учет!$H1386,0)</f>
        <v>0</v>
      </c>
      <c r="R1386" s="48">
        <f>IF(Учет!$O1386=Справочники!$F$3,Учет!$H1386,0)</f>
        <v>0</v>
      </c>
      <c r="S1386" s="48">
        <f>IF(Учет!$O1386=Справочники!$F$4,Учет!$H1386,0)</f>
        <v>0</v>
      </c>
      <c r="T1386" s="48">
        <f>IF(Учет!$O1386=Справочники!$F$5,Учет!$H1386,0)</f>
        <v>0</v>
      </c>
      <c r="U1386" s="48">
        <f>IF(Учет!$O1386=Справочники!$F$6,Учет!$H1386,0)</f>
        <v>0</v>
      </c>
      <c r="V1386" s="43">
        <f>V1385+Учет!Q1386-Q1386</f>
        <v>-488978.92000000004</v>
      </c>
      <c r="W1386" s="43">
        <f>W1385+Учет!R1386-R1386</f>
        <v>336855</v>
      </c>
      <c r="X1386" s="43">
        <f>X1385+Учет!S1386-S1386</f>
        <v>500</v>
      </c>
      <c r="Y1386" s="43">
        <f>Y1385+Учет!T1386-T1386</f>
        <v>1150</v>
      </c>
      <c r="Z1386" s="43">
        <f>Z1385+Учет!U1386-U1386</f>
        <v>500000</v>
      </c>
      <c r="AA1386" s="45">
        <f>Учет!X1386</f>
        <v>500</v>
      </c>
    </row>
    <row r="1387" spans="1:27" ht="15" customHeight="1" x14ac:dyDescent="0.25">
      <c r="A1387" s="1"/>
      <c r="B1387" s="17"/>
      <c r="C1387" s="17"/>
      <c r="D1387" s="17"/>
      <c r="E1387" s="17"/>
      <c r="F1387" s="17"/>
      <c r="G1387" s="4">
        <f t="shared" si="60"/>
        <v>0</v>
      </c>
      <c r="H1387" s="17"/>
      <c r="I1387" s="4">
        <f t="shared" si="62"/>
        <v>349526.07999999996</v>
      </c>
      <c r="J1387" s="32" t="str">
        <f t="shared" si="61"/>
        <v/>
      </c>
      <c r="K1387" s="72"/>
      <c r="L1387" s="72"/>
      <c r="M1387" s="2"/>
      <c r="N1387" s="5"/>
      <c r="O1387" s="3"/>
      <c r="P1387" s="6"/>
      <c r="Q1387" s="48">
        <f>IF(Учет!$O1387=Справочники!$F$2,Учет!$H1387,0)</f>
        <v>0</v>
      </c>
      <c r="R1387" s="48">
        <f>IF(Учет!$O1387=Справочники!$F$3,Учет!$H1387,0)</f>
        <v>0</v>
      </c>
      <c r="S1387" s="48">
        <f>IF(Учет!$O1387=Справочники!$F$4,Учет!$H1387,0)</f>
        <v>0</v>
      </c>
      <c r="T1387" s="48">
        <f>IF(Учет!$O1387=Справочники!$F$5,Учет!$H1387,0)</f>
        <v>0</v>
      </c>
      <c r="U1387" s="48">
        <f>IF(Учет!$O1387=Справочники!$F$6,Учет!$H1387,0)</f>
        <v>0</v>
      </c>
      <c r="V1387" s="43">
        <f>V1386+Учет!Q1387-Q1387</f>
        <v>-488978.92000000004</v>
      </c>
      <c r="W1387" s="43">
        <f>W1386+Учет!R1387-R1387</f>
        <v>336855</v>
      </c>
      <c r="X1387" s="43">
        <f>X1386+Учет!S1387-S1387</f>
        <v>500</v>
      </c>
      <c r="Y1387" s="43">
        <f>Y1386+Учет!T1387-T1387</f>
        <v>1150</v>
      </c>
      <c r="Z1387" s="43">
        <f>Z1386+Учет!U1387-U1387</f>
        <v>500000</v>
      </c>
      <c r="AA1387" s="45">
        <f>Учет!X1387</f>
        <v>500</v>
      </c>
    </row>
    <row r="1388" spans="1:27" ht="15" customHeight="1" x14ac:dyDescent="0.25">
      <c r="A1388" s="1"/>
      <c r="B1388" s="17"/>
      <c r="C1388" s="17"/>
      <c r="D1388" s="17"/>
      <c r="E1388" s="17"/>
      <c r="F1388" s="17"/>
      <c r="G1388" s="4">
        <f t="shared" si="60"/>
        <v>0</v>
      </c>
      <c r="H1388" s="17"/>
      <c r="I1388" s="4">
        <f t="shared" si="62"/>
        <v>349526.07999999996</v>
      </c>
      <c r="J1388" s="32" t="str">
        <f t="shared" si="61"/>
        <v/>
      </c>
      <c r="K1388" s="72"/>
      <c r="L1388" s="72"/>
      <c r="M1388" s="2"/>
      <c r="N1388" s="5"/>
      <c r="O1388" s="3"/>
      <c r="P1388" s="6"/>
      <c r="Q1388" s="48">
        <f>IF(Учет!$O1388=Справочники!$F$2,Учет!$H1388,0)</f>
        <v>0</v>
      </c>
      <c r="R1388" s="48">
        <f>IF(Учет!$O1388=Справочники!$F$3,Учет!$H1388,0)</f>
        <v>0</v>
      </c>
      <c r="S1388" s="48">
        <f>IF(Учет!$O1388=Справочники!$F$4,Учет!$H1388,0)</f>
        <v>0</v>
      </c>
      <c r="T1388" s="48">
        <f>IF(Учет!$O1388=Справочники!$F$5,Учет!$H1388,0)</f>
        <v>0</v>
      </c>
      <c r="U1388" s="48">
        <f>IF(Учет!$O1388=Справочники!$F$6,Учет!$H1388,0)</f>
        <v>0</v>
      </c>
      <c r="V1388" s="43">
        <f>V1387+Учет!Q1388-Q1388</f>
        <v>-488978.92000000004</v>
      </c>
      <c r="W1388" s="43">
        <f>W1387+Учет!R1388-R1388</f>
        <v>336855</v>
      </c>
      <c r="X1388" s="43">
        <f>X1387+Учет!S1388-S1388</f>
        <v>500</v>
      </c>
      <c r="Y1388" s="43">
        <f>Y1387+Учет!T1388-T1388</f>
        <v>1150</v>
      </c>
      <c r="Z1388" s="43">
        <f>Z1387+Учет!U1388-U1388</f>
        <v>500000</v>
      </c>
      <c r="AA1388" s="45">
        <f>Учет!X1388</f>
        <v>500</v>
      </c>
    </row>
    <row r="1389" spans="1:27" ht="15" customHeight="1" x14ac:dyDescent="0.25">
      <c r="A1389" s="1"/>
      <c r="B1389" s="17"/>
      <c r="C1389" s="17"/>
      <c r="D1389" s="17"/>
      <c r="E1389" s="17"/>
      <c r="F1389" s="17"/>
      <c r="G1389" s="4">
        <f t="shared" si="60"/>
        <v>0</v>
      </c>
      <c r="H1389" s="17"/>
      <c r="I1389" s="4">
        <f t="shared" si="62"/>
        <v>349526.07999999996</v>
      </c>
      <c r="J1389" s="32" t="str">
        <f t="shared" si="61"/>
        <v/>
      </c>
      <c r="K1389" s="72"/>
      <c r="L1389" s="72"/>
      <c r="M1389" s="2"/>
      <c r="N1389" s="5"/>
      <c r="O1389" s="3"/>
      <c r="P1389" s="6"/>
      <c r="Q1389" s="48">
        <f>IF(Учет!$O1389=Справочники!$F$2,Учет!$H1389,0)</f>
        <v>0</v>
      </c>
      <c r="R1389" s="48">
        <f>IF(Учет!$O1389=Справочники!$F$3,Учет!$H1389,0)</f>
        <v>0</v>
      </c>
      <c r="S1389" s="48">
        <f>IF(Учет!$O1389=Справочники!$F$4,Учет!$H1389,0)</f>
        <v>0</v>
      </c>
      <c r="T1389" s="48">
        <f>IF(Учет!$O1389=Справочники!$F$5,Учет!$H1389,0)</f>
        <v>0</v>
      </c>
      <c r="U1389" s="48">
        <f>IF(Учет!$O1389=Справочники!$F$6,Учет!$H1389,0)</f>
        <v>0</v>
      </c>
      <c r="V1389" s="43">
        <f>V1388+Учет!Q1389-Q1389</f>
        <v>-488978.92000000004</v>
      </c>
      <c r="W1389" s="43">
        <f>W1388+Учет!R1389-R1389</f>
        <v>336855</v>
      </c>
      <c r="X1389" s="43">
        <f>X1388+Учет!S1389-S1389</f>
        <v>500</v>
      </c>
      <c r="Y1389" s="43">
        <f>Y1388+Учет!T1389-T1389</f>
        <v>1150</v>
      </c>
      <c r="Z1389" s="43">
        <f>Z1388+Учет!U1389-U1389</f>
        <v>500000</v>
      </c>
      <c r="AA1389" s="45">
        <f>Учет!X1389</f>
        <v>500</v>
      </c>
    </row>
    <row r="1390" spans="1:27" ht="15" customHeight="1" x14ac:dyDescent="0.25">
      <c r="A1390" s="1"/>
      <c r="B1390" s="17"/>
      <c r="C1390" s="17"/>
      <c r="D1390" s="17"/>
      <c r="E1390" s="17"/>
      <c r="F1390" s="17"/>
      <c r="G1390" s="4">
        <f t="shared" si="60"/>
        <v>0</v>
      </c>
      <c r="H1390" s="17"/>
      <c r="I1390" s="4">
        <f t="shared" si="62"/>
        <v>349526.07999999996</v>
      </c>
      <c r="J1390" s="32" t="str">
        <f t="shared" si="61"/>
        <v/>
      </c>
      <c r="K1390" s="72"/>
      <c r="L1390" s="72"/>
      <c r="M1390" s="2"/>
      <c r="N1390" s="5"/>
      <c r="O1390" s="3"/>
      <c r="P1390" s="6"/>
      <c r="Q1390" s="48">
        <f>IF(Учет!$O1390=Справочники!$F$2,Учет!$H1390,0)</f>
        <v>0</v>
      </c>
      <c r="R1390" s="48">
        <f>IF(Учет!$O1390=Справочники!$F$3,Учет!$H1390,0)</f>
        <v>0</v>
      </c>
      <c r="S1390" s="48">
        <f>IF(Учет!$O1390=Справочники!$F$4,Учет!$H1390,0)</f>
        <v>0</v>
      </c>
      <c r="T1390" s="48">
        <f>IF(Учет!$O1390=Справочники!$F$5,Учет!$H1390,0)</f>
        <v>0</v>
      </c>
      <c r="U1390" s="48">
        <f>IF(Учет!$O1390=Справочники!$F$6,Учет!$H1390,0)</f>
        <v>0</v>
      </c>
      <c r="V1390" s="43">
        <f>V1389+Учет!Q1390-Q1390</f>
        <v>-488978.92000000004</v>
      </c>
      <c r="W1390" s="43">
        <f>W1389+Учет!R1390-R1390</f>
        <v>336855</v>
      </c>
      <c r="X1390" s="43">
        <f>X1389+Учет!S1390-S1390</f>
        <v>500</v>
      </c>
      <c r="Y1390" s="43">
        <f>Y1389+Учет!T1390-T1390</f>
        <v>1150</v>
      </c>
      <c r="Z1390" s="43">
        <f>Z1389+Учет!U1390-U1390</f>
        <v>500000</v>
      </c>
      <c r="AA1390" s="45">
        <f>Учет!X1390</f>
        <v>500</v>
      </c>
    </row>
    <row r="1391" spans="1:27" ht="15" customHeight="1" x14ac:dyDescent="0.25">
      <c r="A1391" s="1"/>
      <c r="B1391" s="17"/>
      <c r="C1391" s="17"/>
      <c r="D1391" s="17"/>
      <c r="E1391" s="17"/>
      <c r="F1391" s="17"/>
      <c r="G1391" s="4">
        <f t="shared" si="60"/>
        <v>0</v>
      </c>
      <c r="H1391" s="17"/>
      <c r="I1391" s="4">
        <f t="shared" si="62"/>
        <v>349526.07999999996</v>
      </c>
      <c r="J1391" s="32" t="str">
        <f t="shared" si="61"/>
        <v/>
      </c>
      <c r="K1391" s="72"/>
      <c r="L1391" s="72"/>
      <c r="M1391" s="2"/>
      <c r="N1391" s="5"/>
      <c r="O1391" s="3"/>
      <c r="P1391" s="6"/>
      <c r="Q1391" s="48">
        <f>IF(Учет!$O1391=Справочники!$F$2,Учет!$H1391,0)</f>
        <v>0</v>
      </c>
      <c r="R1391" s="48">
        <f>IF(Учет!$O1391=Справочники!$F$3,Учет!$H1391,0)</f>
        <v>0</v>
      </c>
      <c r="S1391" s="48">
        <f>IF(Учет!$O1391=Справочники!$F$4,Учет!$H1391,0)</f>
        <v>0</v>
      </c>
      <c r="T1391" s="48">
        <f>IF(Учет!$O1391=Справочники!$F$5,Учет!$H1391,0)</f>
        <v>0</v>
      </c>
      <c r="U1391" s="48">
        <f>IF(Учет!$O1391=Справочники!$F$6,Учет!$H1391,0)</f>
        <v>0</v>
      </c>
      <c r="V1391" s="43">
        <f>V1390+Учет!Q1391-Q1391</f>
        <v>-488978.92000000004</v>
      </c>
      <c r="W1391" s="43">
        <f>W1390+Учет!R1391-R1391</f>
        <v>336855</v>
      </c>
      <c r="X1391" s="43">
        <f>X1390+Учет!S1391-S1391</f>
        <v>500</v>
      </c>
      <c r="Y1391" s="43">
        <f>Y1390+Учет!T1391-T1391</f>
        <v>1150</v>
      </c>
      <c r="Z1391" s="43">
        <f>Z1390+Учет!U1391-U1391</f>
        <v>500000</v>
      </c>
      <c r="AA1391" s="45">
        <f>Учет!X1391</f>
        <v>500</v>
      </c>
    </row>
    <row r="1392" spans="1:27" ht="15" customHeight="1" x14ac:dyDescent="0.25">
      <c r="A1392" s="1"/>
      <c r="B1392" s="17"/>
      <c r="C1392" s="17"/>
      <c r="D1392" s="17"/>
      <c r="E1392" s="17"/>
      <c r="F1392" s="17"/>
      <c r="G1392" s="4">
        <f t="shared" si="60"/>
        <v>0</v>
      </c>
      <c r="H1392" s="17"/>
      <c r="I1392" s="4">
        <f t="shared" si="62"/>
        <v>349526.07999999996</v>
      </c>
      <c r="J1392" s="32" t="str">
        <f t="shared" si="61"/>
        <v/>
      </c>
      <c r="K1392" s="72"/>
      <c r="L1392" s="72"/>
      <c r="M1392" s="2"/>
      <c r="N1392" s="5"/>
      <c r="O1392" s="3"/>
      <c r="P1392" s="6"/>
      <c r="Q1392" s="48">
        <f>IF(Учет!$O1392=Справочники!$F$2,Учет!$H1392,0)</f>
        <v>0</v>
      </c>
      <c r="R1392" s="48">
        <f>IF(Учет!$O1392=Справочники!$F$3,Учет!$H1392,0)</f>
        <v>0</v>
      </c>
      <c r="S1392" s="48">
        <f>IF(Учет!$O1392=Справочники!$F$4,Учет!$H1392,0)</f>
        <v>0</v>
      </c>
      <c r="T1392" s="48">
        <f>IF(Учет!$O1392=Справочники!$F$5,Учет!$H1392,0)</f>
        <v>0</v>
      </c>
      <c r="U1392" s="48">
        <f>IF(Учет!$O1392=Справочники!$F$6,Учет!$H1392,0)</f>
        <v>0</v>
      </c>
      <c r="V1392" s="43">
        <f>V1391+Учет!Q1392-Q1392</f>
        <v>-488978.92000000004</v>
      </c>
      <c r="W1392" s="43">
        <f>W1391+Учет!R1392-R1392</f>
        <v>336855</v>
      </c>
      <c r="X1392" s="43">
        <f>X1391+Учет!S1392-S1392</f>
        <v>500</v>
      </c>
      <c r="Y1392" s="43">
        <f>Y1391+Учет!T1392-T1392</f>
        <v>1150</v>
      </c>
      <c r="Z1392" s="43">
        <f>Z1391+Учет!U1392-U1392</f>
        <v>500000</v>
      </c>
      <c r="AA1392" s="45">
        <f>Учет!X1392</f>
        <v>500</v>
      </c>
    </row>
    <row r="1393" spans="1:27" ht="15" customHeight="1" x14ac:dyDescent="0.25">
      <c r="A1393" s="1"/>
      <c r="B1393" s="17"/>
      <c r="C1393" s="17"/>
      <c r="D1393" s="17"/>
      <c r="E1393" s="17"/>
      <c r="F1393" s="17"/>
      <c r="G1393" s="4">
        <f t="shared" si="60"/>
        <v>0</v>
      </c>
      <c r="H1393" s="17"/>
      <c r="I1393" s="4">
        <f t="shared" si="62"/>
        <v>349526.07999999996</v>
      </c>
      <c r="J1393" s="32" t="str">
        <f t="shared" si="61"/>
        <v/>
      </c>
      <c r="K1393" s="72"/>
      <c r="L1393" s="72"/>
      <c r="M1393" s="2"/>
      <c r="N1393" s="5"/>
      <c r="O1393" s="3"/>
      <c r="P1393" s="6"/>
      <c r="Q1393" s="48">
        <f>IF(Учет!$O1393=Справочники!$F$2,Учет!$H1393,0)</f>
        <v>0</v>
      </c>
      <c r="R1393" s="48">
        <f>IF(Учет!$O1393=Справочники!$F$3,Учет!$H1393,0)</f>
        <v>0</v>
      </c>
      <c r="S1393" s="48">
        <f>IF(Учет!$O1393=Справочники!$F$4,Учет!$H1393,0)</f>
        <v>0</v>
      </c>
      <c r="T1393" s="48">
        <f>IF(Учет!$O1393=Справочники!$F$5,Учет!$H1393,0)</f>
        <v>0</v>
      </c>
      <c r="U1393" s="48">
        <f>IF(Учет!$O1393=Справочники!$F$6,Учет!$H1393,0)</f>
        <v>0</v>
      </c>
      <c r="V1393" s="43">
        <f>V1392+Учет!Q1393-Q1393</f>
        <v>-488978.92000000004</v>
      </c>
      <c r="W1393" s="43">
        <f>W1392+Учет!R1393-R1393</f>
        <v>336855</v>
      </c>
      <c r="X1393" s="43">
        <f>X1392+Учет!S1393-S1393</f>
        <v>500</v>
      </c>
      <c r="Y1393" s="43">
        <f>Y1392+Учет!T1393-T1393</f>
        <v>1150</v>
      </c>
      <c r="Z1393" s="43">
        <f>Z1392+Учет!U1393-U1393</f>
        <v>500000</v>
      </c>
      <c r="AA1393" s="45">
        <f>Учет!X1393</f>
        <v>500</v>
      </c>
    </row>
    <row r="1394" spans="1:27" ht="15" customHeight="1" x14ac:dyDescent="0.25">
      <c r="A1394" s="1"/>
      <c r="B1394" s="17"/>
      <c r="C1394" s="17"/>
      <c r="D1394" s="17"/>
      <c r="E1394" s="17"/>
      <c r="F1394" s="17"/>
      <c r="G1394" s="4">
        <f t="shared" si="60"/>
        <v>0</v>
      </c>
      <c r="H1394" s="17"/>
      <c r="I1394" s="4">
        <f t="shared" si="62"/>
        <v>349526.07999999996</v>
      </c>
      <c r="J1394" s="32" t="str">
        <f t="shared" si="61"/>
        <v/>
      </c>
      <c r="K1394" s="72"/>
      <c r="L1394" s="72"/>
      <c r="M1394" s="2"/>
      <c r="N1394" s="5"/>
      <c r="O1394" s="3"/>
      <c r="P1394" s="6"/>
      <c r="Q1394" s="48">
        <f>IF(Учет!$O1394=Справочники!$F$2,Учет!$H1394,0)</f>
        <v>0</v>
      </c>
      <c r="R1394" s="48">
        <f>IF(Учет!$O1394=Справочники!$F$3,Учет!$H1394,0)</f>
        <v>0</v>
      </c>
      <c r="S1394" s="48">
        <f>IF(Учет!$O1394=Справочники!$F$4,Учет!$H1394,0)</f>
        <v>0</v>
      </c>
      <c r="T1394" s="48">
        <f>IF(Учет!$O1394=Справочники!$F$5,Учет!$H1394,0)</f>
        <v>0</v>
      </c>
      <c r="U1394" s="48">
        <f>IF(Учет!$O1394=Справочники!$F$6,Учет!$H1394,0)</f>
        <v>0</v>
      </c>
      <c r="V1394" s="43">
        <f>V1393+Учет!Q1394-Q1394</f>
        <v>-488978.92000000004</v>
      </c>
      <c r="W1394" s="43">
        <f>W1393+Учет!R1394-R1394</f>
        <v>336855</v>
      </c>
      <c r="X1394" s="43">
        <f>X1393+Учет!S1394-S1394</f>
        <v>500</v>
      </c>
      <c r="Y1394" s="43">
        <f>Y1393+Учет!T1394-T1394</f>
        <v>1150</v>
      </c>
      <c r="Z1394" s="43">
        <f>Z1393+Учет!U1394-U1394</f>
        <v>500000</v>
      </c>
      <c r="AA1394" s="45">
        <f>Учет!X1394</f>
        <v>500</v>
      </c>
    </row>
    <row r="1395" spans="1:27" ht="15" customHeight="1" x14ac:dyDescent="0.25">
      <c r="A1395" s="1"/>
      <c r="B1395" s="17"/>
      <c r="C1395" s="17"/>
      <c r="D1395" s="17"/>
      <c r="E1395" s="17"/>
      <c r="F1395" s="17"/>
      <c r="G1395" s="4">
        <f t="shared" si="60"/>
        <v>0</v>
      </c>
      <c r="H1395" s="17"/>
      <c r="I1395" s="4">
        <f t="shared" si="62"/>
        <v>349526.07999999996</v>
      </c>
      <c r="J1395" s="32" t="str">
        <f t="shared" si="61"/>
        <v/>
      </c>
      <c r="K1395" s="72"/>
      <c r="L1395" s="72"/>
      <c r="M1395" s="2"/>
      <c r="N1395" s="5"/>
      <c r="O1395" s="3"/>
      <c r="P1395" s="6"/>
      <c r="Q1395" s="48">
        <f>IF(Учет!$O1395=Справочники!$F$2,Учет!$H1395,0)</f>
        <v>0</v>
      </c>
      <c r="R1395" s="48">
        <f>IF(Учет!$O1395=Справочники!$F$3,Учет!$H1395,0)</f>
        <v>0</v>
      </c>
      <c r="S1395" s="48">
        <f>IF(Учет!$O1395=Справочники!$F$4,Учет!$H1395,0)</f>
        <v>0</v>
      </c>
      <c r="T1395" s="48">
        <f>IF(Учет!$O1395=Справочники!$F$5,Учет!$H1395,0)</f>
        <v>0</v>
      </c>
      <c r="U1395" s="48">
        <f>IF(Учет!$O1395=Справочники!$F$6,Учет!$H1395,0)</f>
        <v>0</v>
      </c>
      <c r="V1395" s="43">
        <f>V1394+Учет!Q1395-Q1395</f>
        <v>-488978.92000000004</v>
      </c>
      <c r="W1395" s="43">
        <f>W1394+Учет!R1395-R1395</f>
        <v>336855</v>
      </c>
      <c r="X1395" s="43">
        <f>X1394+Учет!S1395-S1395</f>
        <v>500</v>
      </c>
      <c r="Y1395" s="43">
        <f>Y1394+Учет!T1395-T1395</f>
        <v>1150</v>
      </c>
      <c r="Z1395" s="43">
        <f>Z1394+Учет!U1395-U1395</f>
        <v>500000</v>
      </c>
      <c r="AA1395" s="45">
        <f>Учет!X1395</f>
        <v>500</v>
      </c>
    </row>
    <row r="1396" spans="1:27" ht="15" customHeight="1" x14ac:dyDescent="0.25">
      <c r="A1396" s="1"/>
      <c r="B1396" s="17"/>
      <c r="C1396" s="17"/>
      <c r="D1396" s="17"/>
      <c r="E1396" s="17"/>
      <c r="F1396" s="17"/>
      <c r="G1396" s="4">
        <f t="shared" si="60"/>
        <v>0</v>
      </c>
      <c r="H1396" s="17"/>
      <c r="I1396" s="4">
        <f t="shared" si="62"/>
        <v>349526.07999999996</v>
      </c>
      <c r="J1396" s="32" t="str">
        <f t="shared" si="61"/>
        <v/>
      </c>
      <c r="K1396" s="72"/>
      <c r="L1396" s="72"/>
      <c r="M1396" s="2"/>
      <c r="N1396" s="5"/>
      <c r="O1396" s="3"/>
      <c r="P1396" s="6"/>
      <c r="Q1396" s="48">
        <f>IF(Учет!$O1396=Справочники!$F$2,Учет!$H1396,0)</f>
        <v>0</v>
      </c>
      <c r="R1396" s="48">
        <f>IF(Учет!$O1396=Справочники!$F$3,Учет!$H1396,0)</f>
        <v>0</v>
      </c>
      <c r="S1396" s="48">
        <f>IF(Учет!$O1396=Справочники!$F$4,Учет!$H1396,0)</f>
        <v>0</v>
      </c>
      <c r="T1396" s="48">
        <f>IF(Учет!$O1396=Справочники!$F$5,Учет!$H1396,0)</f>
        <v>0</v>
      </c>
      <c r="U1396" s="48">
        <f>IF(Учет!$O1396=Справочники!$F$6,Учет!$H1396,0)</f>
        <v>0</v>
      </c>
      <c r="V1396" s="43">
        <f>V1395+Учет!Q1396-Q1396</f>
        <v>-488978.92000000004</v>
      </c>
      <c r="W1396" s="43">
        <f>W1395+Учет!R1396-R1396</f>
        <v>336855</v>
      </c>
      <c r="X1396" s="43">
        <f>X1395+Учет!S1396-S1396</f>
        <v>500</v>
      </c>
      <c r="Y1396" s="43">
        <f>Y1395+Учет!T1396-T1396</f>
        <v>1150</v>
      </c>
      <c r="Z1396" s="43">
        <f>Z1395+Учет!U1396-U1396</f>
        <v>500000</v>
      </c>
      <c r="AA1396" s="45">
        <f>Учет!X1396</f>
        <v>500</v>
      </c>
    </row>
    <row r="1397" spans="1:27" ht="15" customHeight="1" x14ac:dyDescent="0.25">
      <c r="A1397" s="1"/>
      <c r="B1397" s="17"/>
      <c r="C1397" s="17"/>
      <c r="D1397" s="17"/>
      <c r="E1397" s="17"/>
      <c r="F1397" s="17"/>
      <c r="G1397" s="4">
        <f t="shared" si="60"/>
        <v>0</v>
      </c>
      <c r="H1397" s="17"/>
      <c r="I1397" s="4">
        <f t="shared" si="62"/>
        <v>349526.07999999996</v>
      </c>
      <c r="J1397" s="32" t="str">
        <f t="shared" si="61"/>
        <v/>
      </c>
      <c r="K1397" s="72"/>
      <c r="L1397" s="72"/>
      <c r="M1397" s="2"/>
      <c r="N1397" s="5"/>
      <c r="O1397" s="3"/>
      <c r="P1397" s="6"/>
      <c r="Q1397" s="48">
        <f>IF(Учет!$O1397=Справочники!$F$2,Учет!$H1397,0)</f>
        <v>0</v>
      </c>
      <c r="R1397" s="48">
        <f>IF(Учет!$O1397=Справочники!$F$3,Учет!$H1397,0)</f>
        <v>0</v>
      </c>
      <c r="S1397" s="48">
        <f>IF(Учет!$O1397=Справочники!$F$4,Учет!$H1397,0)</f>
        <v>0</v>
      </c>
      <c r="T1397" s="48">
        <f>IF(Учет!$O1397=Справочники!$F$5,Учет!$H1397,0)</f>
        <v>0</v>
      </c>
      <c r="U1397" s="48">
        <f>IF(Учет!$O1397=Справочники!$F$6,Учет!$H1397,0)</f>
        <v>0</v>
      </c>
      <c r="V1397" s="43">
        <f>V1396+Учет!Q1397-Q1397</f>
        <v>-488978.92000000004</v>
      </c>
      <c r="W1397" s="43">
        <f>W1396+Учет!R1397-R1397</f>
        <v>336855</v>
      </c>
      <c r="X1397" s="43">
        <f>X1396+Учет!S1397-S1397</f>
        <v>500</v>
      </c>
      <c r="Y1397" s="43">
        <f>Y1396+Учет!T1397-T1397</f>
        <v>1150</v>
      </c>
      <c r="Z1397" s="43">
        <f>Z1396+Учет!U1397-U1397</f>
        <v>500000</v>
      </c>
      <c r="AA1397" s="45">
        <f>Учет!X1397</f>
        <v>500</v>
      </c>
    </row>
    <row r="1398" spans="1:27" ht="15" customHeight="1" x14ac:dyDescent="0.25">
      <c r="A1398" s="1"/>
      <c r="B1398" s="17"/>
      <c r="C1398" s="17"/>
      <c r="D1398" s="17"/>
      <c r="E1398" s="17"/>
      <c r="F1398" s="17"/>
      <c r="G1398" s="4">
        <f t="shared" si="60"/>
        <v>0</v>
      </c>
      <c r="H1398" s="17"/>
      <c r="I1398" s="4">
        <f t="shared" si="62"/>
        <v>349526.07999999996</v>
      </c>
      <c r="J1398" s="32" t="str">
        <f t="shared" si="61"/>
        <v/>
      </c>
      <c r="K1398" s="72"/>
      <c r="L1398" s="72"/>
      <c r="M1398" s="2"/>
      <c r="N1398" s="5"/>
      <c r="O1398" s="3"/>
      <c r="P1398" s="6"/>
      <c r="Q1398" s="48">
        <f>IF(Учет!$O1398=Справочники!$F$2,Учет!$H1398,0)</f>
        <v>0</v>
      </c>
      <c r="R1398" s="48">
        <f>IF(Учет!$O1398=Справочники!$F$3,Учет!$H1398,0)</f>
        <v>0</v>
      </c>
      <c r="S1398" s="48">
        <f>IF(Учет!$O1398=Справочники!$F$4,Учет!$H1398,0)</f>
        <v>0</v>
      </c>
      <c r="T1398" s="48">
        <f>IF(Учет!$O1398=Справочники!$F$5,Учет!$H1398,0)</f>
        <v>0</v>
      </c>
      <c r="U1398" s="48">
        <f>IF(Учет!$O1398=Справочники!$F$6,Учет!$H1398,0)</f>
        <v>0</v>
      </c>
      <c r="V1398" s="43">
        <f>V1397+Учет!Q1398-Q1398</f>
        <v>-488978.92000000004</v>
      </c>
      <c r="W1398" s="43">
        <f>W1397+Учет!R1398-R1398</f>
        <v>336855</v>
      </c>
      <c r="X1398" s="43">
        <f>X1397+Учет!S1398-S1398</f>
        <v>500</v>
      </c>
      <c r="Y1398" s="43">
        <f>Y1397+Учет!T1398-T1398</f>
        <v>1150</v>
      </c>
      <c r="Z1398" s="43">
        <f>Z1397+Учет!U1398-U1398</f>
        <v>500000</v>
      </c>
      <c r="AA1398" s="45">
        <f>Учет!X1398</f>
        <v>500</v>
      </c>
    </row>
    <row r="1399" spans="1:27" ht="15" customHeight="1" x14ac:dyDescent="0.25">
      <c r="A1399" s="1"/>
      <c r="B1399" s="17"/>
      <c r="C1399" s="17"/>
      <c r="D1399" s="17"/>
      <c r="E1399" s="17"/>
      <c r="F1399" s="17"/>
      <c r="G1399" s="4">
        <f t="shared" si="60"/>
        <v>0</v>
      </c>
      <c r="H1399" s="17"/>
      <c r="I1399" s="4">
        <f t="shared" si="62"/>
        <v>349526.07999999996</v>
      </c>
      <c r="J1399" s="32" t="str">
        <f t="shared" si="61"/>
        <v/>
      </c>
      <c r="K1399" s="72"/>
      <c r="L1399" s="72"/>
      <c r="M1399" s="2"/>
      <c r="N1399" s="5"/>
      <c r="O1399" s="3"/>
      <c r="P1399" s="6"/>
      <c r="Q1399" s="48">
        <f>IF(Учет!$O1399=Справочники!$F$2,Учет!$H1399,0)</f>
        <v>0</v>
      </c>
      <c r="R1399" s="48">
        <f>IF(Учет!$O1399=Справочники!$F$3,Учет!$H1399,0)</f>
        <v>0</v>
      </c>
      <c r="S1399" s="48">
        <f>IF(Учет!$O1399=Справочники!$F$4,Учет!$H1399,0)</f>
        <v>0</v>
      </c>
      <c r="T1399" s="48">
        <f>IF(Учет!$O1399=Справочники!$F$5,Учет!$H1399,0)</f>
        <v>0</v>
      </c>
      <c r="U1399" s="48">
        <f>IF(Учет!$O1399=Справочники!$F$6,Учет!$H1399,0)</f>
        <v>0</v>
      </c>
      <c r="V1399" s="43">
        <f>V1398+Учет!Q1399-Q1399</f>
        <v>-488978.92000000004</v>
      </c>
      <c r="W1399" s="43">
        <f>W1398+Учет!R1399-R1399</f>
        <v>336855</v>
      </c>
      <c r="X1399" s="43">
        <f>X1398+Учет!S1399-S1399</f>
        <v>500</v>
      </c>
      <c r="Y1399" s="43">
        <f>Y1398+Учет!T1399-T1399</f>
        <v>1150</v>
      </c>
      <c r="Z1399" s="43">
        <f>Z1398+Учет!U1399-U1399</f>
        <v>500000</v>
      </c>
      <c r="AA1399" s="45">
        <f>Учет!X1399</f>
        <v>500</v>
      </c>
    </row>
    <row r="1400" spans="1:27" ht="15" customHeight="1" x14ac:dyDescent="0.25">
      <c r="A1400" s="1"/>
      <c r="B1400" s="17"/>
      <c r="C1400" s="17"/>
      <c r="D1400" s="17"/>
      <c r="E1400" s="17"/>
      <c r="F1400" s="17"/>
      <c r="G1400" s="4">
        <f t="shared" si="60"/>
        <v>0</v>
      </c>
      <c r="H1400" s="17"/>
      <c r="I1400" s="4">
        <f t="shared" si="62"/>
        <v>349526.07999999996</v>
      </c>
      <c r="J1400" s="32" t="str">
        <f t="shared" si="61"/>
        <v/>
      </c>
      <c r="K1400" s="72"/>
      <c r="L1400" s="72"/>
      <c r="M1400" s="2"/>
      <c r="N1400" s="5"/>
      <c r="O1400" s="3"/>
      <c r="P1400" s="6"/>
      <c r="Q1400" s="48">
        <f>IF(Учет!$O1400=Справочники!$F$2,Учет!$H1400,0)</f>
        <v>0</v>
      </c>
      <c r="R1400" s="48">
        <f>IF(Учет!$O1400=Справочники!$F$3,Учет!$H1400,0)</f>
        <v>0</v>
      </c>
      <c r="S1400" s="48">
        <f>IF(Учет!$O1400=Справочники!$F$4,Учет!$H1400,0)</f>
        <v>0</v>
      </c>
      <c r="T1400" s="48">
        <f>IF(Учет!$O1400=Справочники!$F$5,Учет!$H1400,0)</f>
        <v>0</v>
      </c>
      <c r="U1400" s="48">
        <f>IF(Учет!$O1400=Справочники!$F$6,Учет!$H1400,0)</f>
        <v>0</v>
      </c>
      <c r="V1400" s="43">
        <f>V1399+Учет!Q1400-Q1400</f>
        <v>-488978.92000000004</v>
      </c>
      <c r="W1400" s="43">
        <f>W1399+Учет!R1400-R1400</f>
        <v>336855</v>
      </c>
      <c r="X1400" s="43">
        <f>X1399+Учет!S1400-S1400</f>
        <v>500</v>
      </c>
      <c r="Y1400" s="43">
        <f>Y1399+Учет!T1400-T1400</f>
        <v>1150</v>
      </c>
      <c r="Z1400" s="43">
        <f>Z1399+Учет!U1400-U1400</f>
        <v>500000</v>
      </c>
      <c r="AA1400" s="45">
        <f>Учет!X1400</f>
        <v>500</v>
      </c>
    </row>
    <row r="1401" spans="1:27" ht="15" customHeight="1" x14ac:dyDescent="0.25">
      <c r="A1401" s="1"/>
      <c r="B1401" s="17"/>
      <c r="C1401" s="17"/>
      <c r="D1401" s="17"/>
      <c r="E1401" s="17"/>
      <c r="F1401" s="17"/>
      <c r="G1401" s="4">
        <f t="shared" si="60"/>
        <v>0</v>
      </c>
      <c r="H1401" s="17"/>
      <c r="I1401" s="4">
        <f t="shared" si="62"/>
        <v>349526.07999999996</v>
      </c>
      <c r="J1401" s="32" t="str">
        <f t="shared" si="61"/>
        <v/>
      </c>
      <c r="K1401" s="72"/>
      <c r="L1401" s="72"/>
      <c r="M1401" s="2"/>
      <c r="N1401" s="5"/>
      <c r="O1401" s="3"/>
      <c r="P1401" s="6"/>
      <c r="Q1401" s="48">
        <f>IF(Учет!$O1401=Справочники!$F$2,Учет!$H1401,0)</f>
        <v>0</v>
      </c>
      <c r="R1401" s="48">
        <f>IF(Учет!$O1401=Справочники!$F$3,Учет!$H1401,0)</f>
        <v>0</v>
      </c>
      <c r="S1401" s="48">
        <f>IF(Учет!$O1401=Справочники!$F$4,Учет!$H1401,0)</f>
        <v>0</v>
      </c>
      <c r="T1401" s="48">
        <f>IF(Учет!$O1401=Справочники!$F$5,Учет!$H1401,0)</f>
        <v>0</v>
      </c>
      <c r="U1401" s="48">
        <f>IF(Учет!$O1401=Справочники!$F$6,Учет!$H1401,0)</f>
        <v>0</v>
      </c>
      <c r="V1401" s="43">
        <f>V1400+Учет!Q1401-Q1401</f>
        <v>-488978.92000000004</v>
      </c>
      <c r="W1401" s="43">
        <f>W1400+Учет!R1401-R1401</f>
        <v>336855</v>
      </c>
      <c r="X1401" s="43">
        <f>X1400+Учет!S1401-S1401</f>
        <v>500</v>
      </c>
      <c r="Y1401" s="43">
        <f>Y1400+Учет!T1401-T1401</f>
        <v>1150</v>
      </c>
      <c r="Z1401" s="43">
        <f>Z1400+Учет!U1401-U1401</f>
        <v>500000</v>
      </c>
      <c r="AA1401" s="45">
        <f>Учет!X1401</f>
        <v>500</v>
      </c>
    </row>
    <row r="1402" spans="1:27" ht="15" customHeight="1" x14ac:dyDescent="0.25">
      <c r="A1402" s="1"/>
      <c r="B1402" s="17"/>
      <c r="C1402" s="17"/>
      <c r="D1402" s="17"/>
      <c r="E1402" s="17"/>
      <c r="F1402" s="17"/>
      <c r="G1402" s="4">
        <f t="shared" si="60"/>
        <v>0</v>
      </c>
      <c r="H1402" s="17"/>
      <c r="I1402" s="4">
        <f t="shared" si="62"/>
        <v>349526.07999999996</v>
      </c>
      <c r="J1402" s="32" t="str">
        <f t="shared" si="61"/>
        <v/>
      </c>
      <c r="K1402" s="72"/>
      <c r="L1402" s="72"/>
      <c r="M1402" s="2"/>
      <c r="N1402" s="5"/>
      <c r="O1402" s="3"/>
      <c r="P1402" s="6"/>
      <c r="Q1402" s="48">
        <f>IF(Учет!$O1402=Справочники!$F$2,Учет!$H1402,0)</f>
        <v>0</v>
      </c>
      <c r="R1402" s="48">
        <f>IF(Учет!$O1402=Справочники!$F$3,Учет!$H1402,0)</f>
        <v>0</v>
      </c>
      <c r="S1402" s="48">
        <f>IF(Учет!$O1402=Справочники!$F$4,Учет!$H1402,0)</f>
        <v>0</v>
      </c>
      <c r="T1402" s="48">
        <f>IF(Учет!$O1402=Справочники!$F$5,Учет!$H1402,0)</f>
        <v>0</v>
      </c>
      <c r="U1402" s="48">
        <f>IF(Учет!$O1402=Справочники!$F$6,Учет!$H1402,0)</f>
        <v>0</v>
      </c>
      <c r="V1402" s="43">
        <f>V1401+Учет!Q1402-Q1402</f>
        <v>-488978.92000000004</v>
      </c>
      <c r="W1402" s="43">
        <f>W1401+Учет!R1402-R1402</f>
        <v>336855</v>
      </c>
      <c r="X1402" s="43">
        <f>X1401+Учет!S1402-S1402</f>
        <v>500</v>
      </c>
      <c r="Y1402" s="43">
        <f>Y1401+Учет!T1402-T1402</f>
        <v>1150</v>
      </c>
      <c r="Z1402" s="43">
        <f>Z1401+Учет!U1402-U1402</f>
        <v>500000</v>
      </c>
      <c r="AA1402" s="45">
        <f>Учет!X1402</f>
        <v>500</v>
      </c>
    </row>
    <row r="1403" spans="1:27" ht="15" customHeight="1" x14ac:dyDescent="0.25">
      <c r="A1403" s="1"/>
      <c r="B1403" s="17"/>
      <c r="C1403" s="17"/>
      <c r="D1403" s="17"/>
      <c r="E1403" s="17"/>
      <c r="F1403" s="17"/>
      <c r="G1403" s="4">
        <f t="shared" si="60"/>
        <v>0</v>
      </c>
      <c r="H1403" s="17"/>
      <c r="I1403" s="4">
        <f t="shared" si="62"/>
        <v>349526.07999999996</v>
      </c>
      <c r="J1403" s="32" t="str">
        <f t="shared" si="61"/>
        <v/>
      </c>
      <c r="K1403" s="72"/>
      <c r="L1403" s="72"/>
      <c r="M1403" s="2"/>
      <c r="N1403" s="5"/>
      <c r="O1403" s="3"/>
      <c r="P1403" s="6"/>
      <c r="Q1403" s="48">
        <f>IF(Учет!$O1403=Справочники!$F$2,Учет!$H1403,0)</f>
        <v>0</v>
      </c>
      <c r="R1403" s="48">
        <f>IF(Учет!$O1403=Справочники!$F$3,Учет!$H1403,0)</f>
        <v>0</v>
      </c>
      <c r="S1403" s="48">
        <f>IF(Учет!$O1403=Справочники!$F$4,Учет!$H1403,0)</f>
        <v>0</v>
      </c>
      <c r="T1403" s="48">
        <f>IF(Учет!$O1403=Справочники!$F$5,Учет!$H1403,0)</f>
        <v>0</v>
      </c>
      <c r="U1403" s="48">
        <f>IF(Учет!$O1403=Справочники!$F$6,Учет!$H1403,0)</f>
        <v>0</v>
      </c>
      <c r="V1403" s="43">
        <f>V1402+Учет!Q1403-Q1403</f>
        <v>-488978.92000000004</v>
      </c>
      <c r="W1403" s="43">
        <f>W1402+Учет!R1403-R1403</f>
        <v>336855</v>
      </c>
      <c r="X1403" s="43">
        <f>X1402+Учет!S1403-S1403</f>
        <v>500</v>
      </c>
      <c r="Y1403" s="43">
        <f>Y1402+Учет!T1403-T1403</f>
        <v>1150</v>
      </c>
      <c r="Z1403" s="43">
        <f>Z1402+Учет!U1403-U1403</f>
        <v>500000</v>
      </c>
      <c r="AA1403" s="45">
        <f>Учет!X1403</f>
        <v>500</v>
      </c>
    </row>
    <row r="1404" spans="1:27" ht="15" customHeight="1" x14ac:dyDescent="0.25">
      <c r="A1404" s="1"/>
      <c r="B1404" s="17"/>
      <c r="C1404" s="17"/>
      <c r="D1404" s="17"/>
      <c r="E1404" s="17"/>
      <c r="F1404" s="17"/>
      <c r="G1404" s="4">
        <f t="shared" si="60"/>
        <v>0</v>
      </c>
      <c r="H1404" s="17"/>
      <c r="I1404" s="4">
        <f t="shared" si="62"/>
        <v>349526.07999999996</v>
      </c>
      <c r="J1404" s="32" t="str">
        <f t="shared" si="61"/>
        <v/>
      </c>
      <c r="K1404" s="72"/>
      <c r="L1404" s="72"/>
      <c r="M1404" s="2"/>
      <c r="N1404" s="5"/>
      <c r="O1404" s="3"/>
      <c r="P1404" s="6"/>
      <c r="Q1404" s="48">
        <f>IF(Учет!$O1404=Справочники!$F$2,Учет!$H1404,0)</f>
        <v>0</v>
      </c>
      <c r="R1404" s="48">
        <f>IF(Учет!$O1404=Справочники!$F$3,Учет!$H1404,0)</f>
        <v>0</v>
      </c>
      <c r="S1404" s="48">
        <f>IF(Учет!$O1404=Справочники!$F$4,Учет!$H1404,0)</f>
        <v>0</v>
      </c>
      <c r="T1404" s="48">
        <f>IF(Учет!$O1404=Справочники!$F$5,Учет!$H1404,0)</f>
        <v>0</v>
      </c>
      <c r="U1404" s="48">
        <f>IF(Учет!$O1404=Справочники!$F$6,Учет!$H1404,0)</f>
        <v>0</v>
      </c>
      <c r="V1404" s="43">
        <f>V1403+Учет!Q1404-Q1404</f>
        <v>-488978.92000000004</v>
      </c>
      <c r="W1404" s="43">
        <f>W1403+Учет!R1404-R1404</f>
        <v>336855</v>
      </c>
      <c r="X1404" s="43">
        <f>X1403+Учет!S1404-S1404</f>
        <v>500</v>
      </c>
      <c r="Y1404" s="43">
        <f>Y1403+Учет!T1404-T1404</f>
        <v>1150</v>
      </c>
      <c r="Z1404" s="43">
        <f>Z1403+Учет!U1404-U1404</f>
        <v>500000</v>
      </c>
      <c r="AA1404" s="45">
        <f>Учет!X1404</f>
        <v>500</v>
      </c>
    </row>
    <row r="1405" spans="1:27" ht="15" customHeight="1" x14ac:dyDescent="0.25">
      <c r="A1405" s="1"/>
      <c r="B1405" s="17"/>
      <c r="C1405" s="17"/>
      <c r="D1405" s="17"/>
      <c r="E1405" s="17"/>
      <c r="F1405" s="17"/>
      <c r="G1405" s="4">
        <f t="shared" si="60"/>
        <v>0</v>
      </c>
      <c r="H1405" s="17"/>
      <c r="I1405" s="4">
        <f t="shared" si="62"/>
        <v>349526.07999999996</v>
      </c>
      <c r="J1405" s="32" t="str">
        <f t="shared" si="61"/>
        <v/>
      </c>
      <c r="K1405" s="72"/>
      <c r="L1405" s="72"/>
      <c r="M1405" s="2"/>
      <c r="N1405" s="5"/>
      <c r="O1405" s="3"/>
      <c r="P1405" s="6"/>
      <c r="Q1405" s="48">
        <f>IF(Учет!$O1405=Справочники!$F$2,Учет!$H1405,0)</f>
        <v>0</v>
      </c>
      <c r="R1405" s="48">
        <f>IF(Учет!$O1405=Справочники!$F$3,Учет!$H1405,0)</f>
        <v>0</v>
      </c>
      <c r="S1405" s="48">
        <f>IF(Учет!$O1405=Справочники!$F$4,Учет!$H1405,0)</f>
        <v>0</v>
      </c>
      <c r="T1405" s="48">
        <f>IF(Учет!$O1405=Справочники!$F$5,Учет!$H1405,0)</f>
        <v>0</v>
      </c>
      <c r="U1405" s="48">
        <f>IF(Учет!$O1405=Справочники!$F$6,Учет!$H1405,0)</f>
        <v>0</v>
      </c>
      <c r="V1405" s="43">
        <f>V1404+Учет!Q1405-Q1405</f>
        <v>-488978.92000000004</v>
      </c>
      <c r="W1405" s="43">
        <f>W1404+Учет!R1405-R1405</f>
        <v>336855</v>
      </c>
      <c r="X1405" s="43">
        <f>X1404+Учет!S1405-S1405</f>
        <v>500</v>
      </c>
      <c r="Y1405" s="43">
        <f>Y1404+Учет!T1405-T1405</f>
        <v>1150</v>
      </c>
      <c r="Z1405" s="43">
        <f>Z1404+Учет!U1405-U1405</f>
        <v>500000</v>
      </c>
      <c r="AA1405" s="45">
        <f>Учет!X1405</f>
        <v>500</v>
      </c>
    </row>
    <row r="1406" spans="1:27" ht="15" customHeight="1" x14ac:dyDescent="0.25">
      <c r="A1406" s="1"/>
      <c r="B1406" s="17"/>
      <c r="C1406" s="17"/>
      <c r="D1406" s="17"/>
      <c r="E1406" s="17"/>
      <c r="F1406" s="17"/>
      <c r="G1406" s="4">
        <f t="shared" si="60"/>
        <v>0</v>
      </c>
      <c r="H1406" s="17"/>
      <c r="I1406" s="4">
        <f t="shared" si="62"/>
        <v>349526.07999999996</v>
      </c>
      <c r="J1406" s="32" t="str">
        <f t="shared" si="61"/>
        <v/>
      </c>
      <c r="K1406" s="72"/>
      <c r="L1406" s="72"/>
      <c r="M1406" s="2"/>
      <c r="N1406" s="5"/>
      <c r="O1406" s="3"/>
      <c r="P1406" s="6"/>
      <c r="Q1406" s="48">
        <f>IF(Учет!$O1406=Справочники!$F$2,Учет!$H1406,0)</f>
        <v>0</v>
      </c>
      <c r="R1406" s="48">
        <f>IF(Учет!$O1406=Справочники!$F$3,Учет!$H1406,0)</f>
        <v>0</v>
      </c>
      <c r="S1406" s="48">
        <f>IF(Учет!$O1406=Справочники!$F$4,Учет!$H1406,0)</f>
        <v>0</v>
      </c>
      <c r="T1406" s="48">
        <f>IF(Учет!$O1406=Справочники!$F$5,Учет!$H1406,0)</f>
        <v>0</v>
      </c>
      <c r="U1406" s="48">
        <f>IF(Учет!$O1406=Справочники!$F$6,Учет!$H1406,0)</f>
        <v>0</v>
      </c>
      <c r="V1406" s="43">
        <f>V1405+Учет!Q1406-Q1406</f>
        <v>-488978.92000000004</v>
      </c>
      <c r="W1406" s="43">
        <f>W1405+Учет!R1406-R1406</f>
        <v>336855</v>
      </c>
      <c r="X1406" s="43">
        <f>X1405+Учет!S1406-S1406</f>
        <v>500</v>
      </c>
      <c r="Y1406" s="43">
        <f>Y1405+Учет!T1406-T1406</f>
        <v>1150</v>
      </c>
      <c r="Z1406" s="43">
        <f>Z1405+Учет!U1406-U1406</f>
        <v>500000</v>
      </c>
      <c r="AA1406" s="45">
        <f>Учет!X1406</f>
        <v>500</v>
      </c>
    </row>
    <row r="1407" spans="1:27" ht="15" customHeight="1" x14ac:dyDescent="0.25">
      <c r="A1407" s="1"/>
      <c r="B1407" s="17"/>
      <c r="C1407" s="17"/>
      <c r="D1407" s="17"/>
      <c r="E1407" s="17"/>
      <c r="F1407" s="17"/>
      <c r="G1407" s="4">
        <f t="shared" si="60"/>
        <v>0</v>
      </c>
      <c r="H1407" s="17"/>
      <c r="I1407" s="4">
        <f t="shared" si="62"/>
        <v>349526.07999999996</v>
      </c>
      <c r="J1407" s="32" t="str">
        <f t="shared" si="61"/>
        <v/>
      </c>
      <c r="K1407" s="72"/>
      <c r="L1407" s="72"/>
      <c r="M1407" s="2"/>
      <c r="N1407" s="5"/>
      <c r="O1407" s="3"/>
      <c r="P1407" s="6"/>
      <c r="Q1407" s="48">
        <f>IF(Учет!$O1407=Справочники!$F$2,Учет!$H1407,0)</f>
        <v>0</v>
      </c>
      <c r="R1407" s="48">
        <f>IF(Учет!$O1407=Справочники!$F$3,Учет!$H1407,0)</f>
        <v>0</v>
      </c>
      <c r="S1407" s="48">
        <f>IF(Учет!$O1407=Справочники!$F$4,Учет!$H1407,0)</f>
        <v>0</v>
      </c>
      <c r="T1407" s="48">
        <f>IF(Учет!$O1407=Справочники!$F$5,Учет!$H1407,0)</f>
        <v>0</v>
      </c>
      <c r="U1407" s="48">
        <f>IF(Учет!$O1407=Справочники!$F$6,Учет!$H1407,0)</f>
        <v>0</v>
      </c>
      <c r="V1407" s="43">
        <f>V1406+Учет!Q1407-Q1407</f>
        <v>-488978.92000000004</v>
      </c>
      <c r="W1407" s="43">
        <f>W1406+Учет!R1407-R1407</f>
        <v>336855</v>
      </c>
      <c r="X1407" s="43">
        <f>X1406+Учет!S1407-S1407</f>
        <v>500</v>
      </c>
      <c r="Y1407" s="43">
        <f>Y1406+Учет!T1407-T1407</f>
        <v>1150</v>
      </c>
      <c r="Z1407" s="43">
        <f>Z1406+Учет!U1407-U1407</f>
        <v>500000</v>
      </c>
      <c r="AA1407" s="45">
        <f>Учет!X1407</f>
        <v>500</v>
      </c>
    </row>
    <row r="1408" spans="1:27" ht="15" customHeight="1" x14ac:dyDescent="0.25">
      <c r="A1408" s="1"/>
      <c r="B1408" s="17"/>
      <c r="C1408" s="17"/>
      <c r="D1408" s="17"/>
      <c r="E1408" s="17"/>
      <c r="F1408" s="17"/>
      <c r="G1408" s="4">
        <f t="shared" si="60"/>
        <v>0</v>
      </c>
      <c r="H1408" s="17"/>
      <c r="I1408" s="4">
        <f t="shared" si="62"/>
        <v>349526.07999999996</v>
      </c>
      <c r="J1408" s="32" t="str">
        <f t="shared" si="61"/>
        <v/>
      </c>
      <c r="K1408" s="72"/>
      <c r="L1408" s="72"/>
      <c r="M1408" s="2"/>
      <c r="N1408" s="5"/>
      <c r="O1408" s="3"/>
      <c r="P1408" s="6"/>
      <c r="Q1408" s="48">
        <f>IF(Учет!$O1408=Справочники!$F$2,Учет!$H1408,0)</f>
        <v>0</v>
      </c>
      <c r="R1408" s="48">
        <f>IF(Учет!$O1408=Справочники!$F$3,Учет!$H1408,0)</f>
        <v>0</v>
      </c>
      <c r="S1408" s="48">
        <f>IF(Учет!$O1408=Справочники!$F$4,Учет!$H1408,0)</f>
        <v>0</v>
      </c>
      <c r="T1408" s="48">
        <f>IF(Учет!$O1408=Справочники!$F$5,Учет!$H1408,0)</f>
        <v>0</v>
      </c>
      <c r="U1408" s="48">
        <f>IF(Учет!$O1408=Справочники!$F$6,Учет!$H1408,0)</f>
        <v>0</v>
      </c>
      <c r="V1408" s="43">
        <f>V1407+Учет!Q1408-Q1408</f>
        <v>-488978.92000000004</v>
      </c>
      <c r="W1408" s="43">
        <f>W1407+Учет!R1408-R1408</f>
        <v>336855</v>
      </c>
      <c r="X1408" s="43">
        <f>X1407+Учет!S1408-S1408</f>
        <v>500</v>
      </c>
      <c r="Y1408" s="43">
        <f>Y1407+Учет!T1408-T1408</f>
        <v>1150</v>
      </c>
      <c r="Z1408" s="43">
        <f>Z1407+Учет!U1408-U1408</f>
        <v>500000</v>
      </c>
      <c r="AA1408" s="45">
        <f>Учет!X1408</f>
        <v>500</v>
      </c>
    </row>
    <row r="1409" spans="1:27" ht="15" customHeight="1" x14ac:dyDescent="0.25">
      <c r="A1409" s="1"/>
      <c r="B1409" s="17"/>
      <c r="C1409" s="17"/>
      <c r="D1409" s="17"/>
      <c r="E1409" s="17"/>
      <c r="F1409" s="17"/>
      <c r="G1409" s="4">
        <f t="shared" si="60"/>
        <v>0</v>
      </c>
      <c r="H1409" s="17"/>
      <c r="I1409" s="4">
        <f t="shared" si="62"/>
        <v>349526.07999999996</v>
      </c>
      <c r="J1409" s="32" t="str">
        <f t="shared" si="61"/>
        <v/>
      </c>
      <c r="K1409" s="72"/>
      <c r="L1409" s="72"/>
      <c r="M1409" s="2"/>
      <c r="N1409" s="5"/>
      <c r="O1409" s="3"/>
      <c r="P1409" s="6"/>
      <c r="Q1409" s="48">
        <f>IF(Учет!$O1409=Справочники!$F$2,Учет!$H1409,0)</f>
        <v>0</v>
      </c>
      <c r="R1409" s="48">
        <f>IF(Учет!$O1409=Справочники!$F$3,Учет!$H1409,0)</f>
        <v>0</v>
      </c>
      <c r="S1409" s="48">
        <f>IF(Учет!$O1409=Справочники!$F$4,Учет!$H1409,0)</f>
        <v>0</v>
      </c>
      <c r="T1409" s="48">
        <f>IF(Учет!$O1409=Справочники!$F$5,Учет!$H1409,0)</f>
        <v>0</v>
      </c>
      <c r="U1409" s="48">
        <f>IF(Учет!$O1409=Справочники!$F$6,Учет!$H1409,0)</f>
        <v>0</v>
      </c>
      <c r="V1409" s="43">
        <f>V1408+Учет!Q1409-Q1409</f>
        <v>-488978.92000000004</v>
      </c>
      <c r="W1409" s="43">
        <f>W1408+Учет!R1409-R1409</f>
        <v>336855</v>
      </c>
      <c r="X1409" s="43">
        <f>X1408+Учет!S1409-S1409</f>
        <v>500</v>
      </c>
      <c r="Y1409" s="43">
        <f>Y1408+Учет!T1409-T1409</f>
        <v>1150</v>
      </c>
      <c r="Z1409" s="43">
        <f>Z1408+Учет!U1409-U1409</f>
        <v>500000</v>
      </c>
      <c r="AA1409" s="45">
        <f>Учет!X1409</f>
        <v>500</v>
      </c>
    </row>
    <row r="1410" spans="1:27" ht="15" customHeight="1" x14ac:dyDescent="0.25">
      <c r="A1410" s="1"/>
      <c r="B1410" s="17"/>
      <c r="C1410" s="17"/>
      <c r="D1410" s="17"/>
      <c r="E1410" s="17"/>
      <c r="F1410" s="17"/>
      <c r="G1410" s="4">
        <f t="shared" ref="G1410:G1473" si="63">SUM($B1410:$F1410)</f>
        <v>0</v>
      </c>
      <c r="H1410" s="17"/>
      <c r="I1410" s="4">
        <f t="shared" si="62"/>
        <v>349526.07999999996</v>
      </c>
      <c r="J1410" s="32" t="str">
        <f t="shared" ref="J1410:J1473" si="64">IF($A1411&lt;&gt;$A1410,$I1410,"")</f>
        <v/>
      </c>
      <c r="K1410" s="72"/>
      <c r="L1410" s="72"/>
      <c r="M1410" s="2"/>
      <c r="N1410" s="5"/>
      <c r="O1410" s="3"/>
      <c r="P1410" s="6"/>
      <c r="Q1410" s="48">
        <f>IF(Учет!$O1410=Справочники!$F$2,Учет!$H1410,0)</f>
        <v>0</v>
      </c>
      <c r="R1410" s="48">
        <f>IF(Учет!$O1410=Справочники!$F$3,Учет!$H1410,0)</f>
        <v>0</v>
      </c>
      <c r="S1410" s="48">
        <f>IF(Учет!$O1410=Справочники!$F$4,Учет!$H1410,0)</f>
        <v>0</v>
      </c>
      <c r="T1410" s="48">
        <f>IF(Учет!$O1410=Справочники!$F$5,Учет!$H1410,0)</f>
        <v>0</v>
      </c>
      <c r="U1410" s="48">
        <f>IF(Учет!$O1410=Справочники!$F$6,Учет!$H1410,0)</f>
        <v>0</v>
      </c>
      <c r="V1410" s="43">
        <f>V1409+Учет!Q1410-Q1410</f>
        <v>-488978.92000000004</v>
      </c>
      <c r="W1410" s="43">
        <f>W1409+Учет!R1410-R1410</f>
        <v>336855</v>
      </c>
      <c r="X1410" s="43">
        <f>X1409+Учет!S1410-S1410</f>
        <v>500</v>
      </c>
      <c r="Y1410" s="43">
        <f>Y1409+Учет!T1410-T1410</f>
        <v>1150</v>
      </c>
      <c r="Z1410" s="43">
        <f>Z1409+Учет!U1410-U1410</f>
        <v>500000</v>
      </c>
      <c r="AA1410" s="45">
        <f>Учет!X1410</f>
        <v>500</v>
      </c>
    </row>
    <row r="1411" spans="1:27" ht="15" customHeight="1" x14ac:dyDescent="0.25">
      <c r="A1411" s="1"/>
      <c r="B1411" s="17"/>
      <c r="C1411" s="17"/>
      <c r="D1411" s="17"/>
      <c r="E1411" s="17"/>
      <c r="F1411" s="17"/>
      <c r="G1411" s="4">
        <f t="shared" si="63"/>
        <v>0</v>
      </c>
      <c r="H1411" s="17"/>
      <c r="I1411" s="4">
        <f t="shared" ref="I1411:I1474" si="65">$I1410+$G1411-$H1411</f>
        <v>349526.07999999996</v>
      </c>
      <c r="J1411" s="32" t="str">
        <f t="shared" si="64"/>
        <v/>
      </c>
      <c r="K1411" s="72"/>
      <c r="L1411" s="72"/>
      <c r="M1411" s="2"/>
      <c r="N1411" s="5"/>
      <c r="O1411" s="3"/>
      <c r="P1411" s="6"/>
      <c r="Q1411" s="48">
        <f>IF(Учет!$O1411=Справочники!$F$2,Учет!$H1411,0)</f>
        <v>0</v>
      </c>
      <c r="R1411" s="48">
        <f>IF(Учет!$O1411=Справочники!$F$3,Учет!$H1411,0)</f>
        <v>0</v>
      </c>
      <c r="S1411" s="48">
        <f>IF(Учет!$O1411=Справочники!$F$4,Учет!$H1411,0)</f>
        <v>0</v>
      </c>
      <c r="T1411" s="48">
        <f>IF(Учет!$O1411=Справочники!$F$5,Учет!$H1411,0)</f>
        <v>0</v>
      </c>
      <c r="U1411" s="48">
        <f>IF(Учет!$O1411=Справочники!$F$6,Учет!$H1411,0)</f>
        <v>0</v>
      </c>
      <c r="V1411" s="43">
        <f>V1410+Учет!Q1411-Q1411</f>
        <v>-488978.92000000004</v>
      </c>
      <c r="W1411" s="43">
        <f>W1410+Учет!R1411-R1411</f>
        <v>336855</v>
      </c>
      <c r="X1411" s="43">
        <f>X1410+Учет!S1411-S1411</f>
        <v>500</v>
      </c>
      <c r="Y1411" s="43">
        <f>Y1410+Учет!T1411-T1411</f>
        <v>1150</v>
      </c>
      <c r="Z1411" s="43">
        <f>Z1410+Учет!U1411-U1411</f>
        <v>500000</v>
      </c>
      <c r="AA1411" s="45">
        <f>Учет!X1411</f>
        <v>500</v>
      </c>
    </row>
    <row r="1412" spans="1:27" ht="15" customHeight="1" x14ac:dyDescent="0.25">
      <c r="A1412" s="1"/>
      <c r="B1412" s="17"/>
      <c r="C1412" s="17"/>
      <c r="D1412" s="17"/>
      <c r="E1412" s="17"/>
      <c r="F1412" s="17"/>
      <c r="G1412" s="4">
        <f t="shared" si="63"/>
        <v>0</v>
      </c>
      <c r="H1412" s="17"/>
      <c r="I1412" s="4">
        <f t="shared" si="65"/>
        <v>349526.07999999996</v>
      </c>
      <c r="J1412" s="32" t="str">
        <f t="shared" si="64"/>
        <v/>
      </c>
      <c r="K1412" s="72"/>
      <c r="L1412" s="72"/>
      <c r="M1412" s="2"/>
      <c r="N1412" s="5"/>
      <c r="O1412" s="3"/>
      <c r="P1412" s="6"/>
      <c r="Q1412" s="48">
        <f>IF(Учет!$O1412=Справочники!$F$2,Учет!$H1412,0)</f>
        <v>0</v>
      </c>
      <c r="R1412" s="48">
        <f>IF(Учет!$O1412=Справочники!$F$3,Учет!$H1412,0)</f>
        <v>0</v>
      </c>
      <c r="S1412" s="48">
        <f>IF(Учет!$O1412=Справочники!$F$4,Учет!$H1412,0)</f>
        <v>0</v>
      </c>
      <c r="T1412" s="48">
        <f>IF(Учет!$O1412=Справочники!$F$5,Учет!$H1412,0)</f>
        <v>0</v>
      </c>
      <c r="U1412" s="48">
        <f>IF(Учет!$O1412=Справочники!$F$6,Учет!$H1412,0)</f>
        <v>0</v>
      </c>
      <c r="V1412" s="43">
        <f>V1411+Учет!Q1412-Q1412</f>
        <v>-488978.92000000004</v>
      </c>
      <c r="W1412" s="43">
        <f>W1411+Учет!R1412-R1412</f>
        <v>336855</v>
      </c>
      <c r="X1412" s="43">
        <f>X1411+Учет!S1412-S1412</f>
        <v>500</v>
      </c>
      <c r="Y1412" s="43">
        <f>Y1411+Учет!T1412-T1412</f>
        <v>1150</v>
      </c>
      <c r="Z1412" s="43">
        <f>Z1411+Учет!U1412-U1412</f>
        <v>500000</v>
      </c>
      <c r="AA1412" s="45">
        <f>Учет!X1412</f>
        <v>500</v>
      </c>
    </row>
    <row r="1413" spans="1:27" ht="15" customHeight="1" x14ac:dyDescent="0.25">
      <c r="A1413" s="1"/>
      <c r="B1413" s="17"/>
      <c r="C1413" s="17"/>
      <c r="D1413" s="17"/>
      <c r="E1413" s="17"/>
      <c r="F1413" s="17"/>
      <c r="G1413" s="4">
        <f t="shared" si="63"/>
        <v>0</v>
      </c>
      <c r="H1413" s="17"/>
      <c r="I1413" s="4">
        <f t="shared" si="65"/>
        <v>349526.07999999996</v>
      </c>
      <c r="J1413" s="32" t="str">
        <f t="shared" si="64"/>
        <v/>
      </c>
      <c r="K1413" s="72"/>
      <c r="L1413" s="72"/>
      <c r="M1413" s="2"/>
      <c r="N1413" s="5"/>
      <c r="O1413" s="3"/>
      <c r="P1413" s="6"/>
      <c r="Q1413" s="48">
        <f>IF(Учет!$O1413=Справочники!$F$2,Учет!$H1413,0)</f>
        <v>0</v>
      </c>
      <c r="R1413" s="48">
        <f>IF(Учет!$O1413=Справочники!$F$3,Учет!$H1413,0)</f>
        <v>0</v>
      </c>
      <c r="S1413" s="48">
        <f>IF(Учет!$O1413=Справочники!$F$4,Учет!$H1413,0)</f>
        <v>0</v>
      </c>
      <c r="T1413" s="48">
        <f>IF(Учет!$O1413=Справочники!$F$5,Учет!$H1413,0)</f>
        <v>0</v>
      </c>
      <c r="U1413" s="48">
        <f>IF(Учет!$O1413=Справочники!$F$6,Учет!$H1413,0)</f>
        <v>0</v>
      </c>
      <c r="V1413" s="43">
        <f>V1412+Учет!Q1413-Q1413</f>
        <v>-488978.92000000004</v>
      </c>
      <c r="W1413" s="43">
        <f>W1412+Учет!R1413-R1413</f>
        <v>336855</v>
      </c>
      <c r="X1413" s="43">
        <f>X1412+Учет!S1413-S1413</f>
        <v>500</v>
      </c>
      <c r="Y1413" s="43">
        <f>Y1412+Учет!T1413-T1413</f>
        <v>1150</v>
      </c>
      <c r="Z1413" s="43">
        <f>Z1412+Учет!U1413-U1413</f>
        <v>500000</v>
      </c>
      <c r="AA1413" s="45">
        <f>Учет!X1413</f>
        <v>500</v>
      </c>
    </row>
    <row r="1414" spans="1:27" ht="15" customHeight="1" x14ac:dyDescent="0.25">
      <c r="A1414" s="1"/>
      <c r="B1414" s="17"/>
      <c r="C1414" s="17"/>
      <c r="D1414" s="17"/>
      <c r="E1414" s="17"/>
      <c r="F1414" s="17"/>
      <c r="G1414" s="4">
        <f t="shared" si="63"/>
        <v>0</v>
      </c>
      <c r="H1414" s="17"/>
      <c r="I1414" s="4">
        <f t="shared" si="65"/>
        <v>349526.07999999996</v>
      </c>
      <c r="J1414" s="32" t="str">
        <f t="shared" si="64"/>
        <v/>
      </c>
      <c r="K1414" s="72"/>
      <c r="L1414" s="72"/>
      <c r="M1414" s="2"/>
      <c r="N1414" s="5"/>
      <c r="O1414" s="3"/>
      <c r="P1414" s="6"/>
      <c r="Q1414" s="48">
        <f>IF(Учет!$O1414=Справочники!$F$2,Учет!$H1414,0)</f>
        <v>0</v>
      </c>
      <c r="R1414" s="48">
        <f>IF(Учет!$O1414=Справочники!$F$3,Учет!$H1414,0)</f>
        <v>0</v>
      </c>
      <c r="S1414" s="48">
        <f>IF(Учет!$O1414=Справочники!$F$4,Учет!$H1414,0)</f>
        <v>0</v>
      </c>
      <c r="T1414" s="48">
        <f>IF(Учет!$O1414=Справочники!$F$5,Учет!$H1414,0)</f>
        <v>0</v>
      </c>
      <c r="U1414" s="48">
        <f>IF(Учет!$O1414=Справочники!$F$6,Учет!$H1414,0)</f>
        <v>0</v>
      </c>
      <c r="V1414" s="43">
        <f>V1413+Учет!Q1414-Q1414</f>
        <v>-488978.92000000004</v>
      </c>
      <c r="W1414" s="43">
        <f>W1413+Учет!R1414-R1414</f>
        <v>336855</v>
      </c>
      <c r="X1414" s="43">
        <f>X1413+Учет!S1414-S1414</f>
        <v>500</v>
      </c>
      <c r="Y1414" s="43">
        <f>Y1413+Учет!T1414-T1414</f>
        <v>1150</v>
      </c>
      <c r="Z1414" s="43">
        <f>Z1413+Учет!U1414-U1414</f>
        <v>500000</v>
      </c>
      <c r="AA1414" s="45">
        <f>Учет!X1414</f>
        <v>500</v>
      </c>
    </row>
    <row r="1415" spans="1:27" ht="15" customHeight="1" x14ac:dyDescent="0.25">
      <c r="A1415" s="1"/>
      <c r="B1415" s="17"/>
      <c r="C1415" s="17"/>
      <c r="D1415" s="17"/>
      <c r="E1415" s="17"/>
      <c r="F1415" s="17"/>
      <c r="G1415" s="4">
        <f t="shared" si="63"/>
        <v>0</v>
      </c>
      <c r="H1415" s="17"/>
      <c r="I1415" s="4">
        <f t="shared" si="65"/>
        <v>349526.07999999996</v>
      </c>
      <c r="J1415" s="32" t="str">
        <f t="shared" si="64"/>
        <v/>
      </c>
      <c r="K1415" s="72"/>
      <c r="L1415" s="72"/>
      <c r="M1415" s="2"/>
      <c r="N1415" s="5"/>
      <c r="O1415" s="3"/>
      <c r="P1415" s="6"/>
      <c r="Q1415" s="48">
        <f>IF(Учет!$O1415=Справочники!$F$2,Учет!$H1415,0)</f>
        <v>0</v>
      </c>
      <c r="R1415" s="48">
        <f>IF(Учет!$O1415=Справочники!$F$3,Учет!$H1415,0)</f>
        <v>0</v>
      </c>
      <c r="S1415" s="48">
        <f>IF(Учет!$O1415=Справочники!$F$4,Учет!$H1415,0)</f>
        <v>0</v>
      </c>
      <c r="T1415" s="48">
        <f>IF(Учет!$O1415=Справочники!$F$5,Учет!$H1415,0)</f>
        <v>0</v>
      </c>
      <c r="U1415" s="48">
        <f>IF(Учет!$O1415=Справочники!$F$6,Учет!$H1415,0)</f>
        <v>0</v>
      </c>
      <c r="V1415" s="43">
        <f>V1414+Учет!Q1415-Q1415</f>
        <v>-488978.92000000004</v>
      </c>
      <c r="W1415" s="43">
        <f>W1414+Учет!R1415-R1415</f>
        <v>336855</v>
      </c>
      <c r="X1415" s="43">
        <f>X1414+Учет!S1415-S1415</f>
        <v>500</v>
      </c>
      <c r="Y1415" s="43">
        <f>Y1414+Учет!T1415-T1415</f>
        <v>1150</v>
      </c>
      <c r="Z1415" s="43">
        <f>Z1414+Учет!U1415-U1415</f>
        <v>500000</v>
      </c>
      <c r="AA1415" s="45">
        <f>Учет!X1415</f>
        <v>500</v>
      </c>
    </row>
    <row r="1416" spans="1:27" ht="15" customHeight="1" x14ac:dyDescent="0.25">
      <c r="A1416" s="1"/>
      <c r="B1416" s="17"/>
      <c r="C1416" s="17"/>
      <c r="D1416" s="17"/>
      <c r="E1416" s="17"/>
      <c r="F1416" s="17"/>
      <c r="G1416" s="4">
        <f t="shared" si="63"/>
        <v>0</v>
      </c>
      <c r="H1416" s="17"/>
      <c r="I1416" s="4">
        <f t="shared" si="65"/>
        <v>349526.07999999996</v>
      </c>
      <c r="J1416" s="32" t="str">
        <f t="shared" si="64"/>
        <v/>
      </c>
      <c r="K1416" s="72"/>
      <c r="L1416" s="72"/>
      <c r="M1416" s="2"/>
      <c r="N1416" s="5"/>
      <c r="O1416" s="3"/>
      <c r="P1416" s="6"/>
      <c r="Q1416" s="48">
        <f>IF(Учет!$O1416=Справочники!$F$2,Учет!$H1416,0)</f>
        <v>0</v>
      </c>
      <c r="R1416" s="48">
        <f>IF(Учет!$O1416=Справочники!$F$3,Учет!$H1416,0)</f>
        <v>0</v>
      </c>
      <c r="S1416" s="48">
        <f>IF(Учет!$O1416=Справочники!$F$4,Учет!$H1416,0)</f>
        <v>0</v>
      </c>
      <c r="T1416" s="48">
        <f>IF(Учет!$O1416=Справочники!$F$5,Учет!$H1416,0)</f>
        <v>0</v>
      </c>
      <c r="U1416" s="48">
        <f>IF(Учет!$O1416=Справочники!$F$6,Учет!$H1416,0)</f>
        <v>0</v>
      </c>
      <c r="V1416" s="43">
        <f>V1415+Учет!Q1416-Q1416</f>
        <v>-488978.92000000004</v>
      </c>
      <c r="W1416" s="43">
        <f>W1415+Учет!R1416-R1416</f>
        <v>336855</v>
      </c>
      <c r="X1416" s="43">
        <f>X1415+Учет!S1416-S1416</f>
        <v>500</v>
      </c>
      <c r="Y1416" s="43">
        <f>Y1415+Учет!T1416-T1416</f>
        <v>1150</v>
      </c>
      <c r="Z1416" s="43">
        <f>Z1415+Учет!U1416-U1416</f>
        <v>500000</v>
      </c>
      <c r="AA1416" s="45">
        <f>Учет!X1416</f>
        <v>500</v>
      </c>
    </row>
    <row r="1417" spans="1:27" ht="15" customHeight="1" x14ac:dyDescent="0.25">
      <c r="A1417" s="1"/>
      <c r="B1417" s="17"/>
      <c r="C1417" s="17"/>
      <c r="D1417" s="17"/>
      <c r="E1417" s="17"/>
      <c r="F1417" s="17"/>
      <c r="G1417" s="4">
        <f t="shared" si="63"/>
        <v>0</v>
      </c>
      <c r="H1417" s="17"/>
      <c r="I1417" s="4">
        <f t="shared" si="65"/>
        <v>349526.07999999996</v>
      </c>
      <c r="J1417" s="32" t="str">
        <f t="shared" si="64"/>
        <v/>
      </c>
      <c r="K1417" s="72"/>
      <c r="L1417" s="72"/>
      <c r="M1417" s="2"/>
      <c r="N1417" s="5"/>
      <c r="O1417" s="3"/>
      <c r="P1417" s="6"/>
      <c r="Q1417" s="48">
        <f>IF(Учет!$O1417=Справочники!$F$2,Учет!$H1417,0)</f>
        <v>0</v>
      </c>
      <c r="R1417" s="48">
        <f>IF(Учет!$O1417=Справочники!$F$3,Учет!$H1417,0)</f>
        <v>0</v>
      </c>
      <c r="S1417" s="48">
        <f>IF(Учет!$O1417=Справочники!$F$4,Учет!$H1417,0)</f>
        <v>0</v>
      </c>
      <c r="T1417" s="48">
        <f>IF(Учет!$O1417=Справочники!$F$5,Учет!$H1417,0)</f>
        <v>0</v>
      </c>
      <c r="U1417" s="48">
        <f>IF(Учет!$O1417=Справочники!$F$6,Учет!$H1417,0)</f>
        <v>0</v>
      </c>
      <c r="V1417" s="43">
        <f>V1416+Учет!Q1417-Q1417</f>
        <v>-488978.92000000004</v>
      </c>
      <c r="W1417" s="43">
        <f>W1416+Учет!R1417-R1417</f>
        <v>336855</v>
      </c>
      <c r="X1417" s="43">
        <f>X1416+Учет!S1417-S1417</f>
        <v>500</v>
      </c>
      <c r="Y1417" s="43">
        <f>Y1416+Учет!T1417-T1417</f>
        <v>1150</v>
      </c>
      <c r="Z1417" s="43">
        <f>Z1416+Учет!U1417-U1417</f>
        <v>500000</v>
      </c>
      <c r="AA1417" s="45">
        <f>Учет!X1417</f>
        <v>500</v>
      </c>
    </row>
    <row r="1418" spans="1:27" ht="15" customHeight="1" x14ac:dyDescent="0.25">
      <c r="A1418" s="1"/>
      <c r="B1418" s="17"/>
      <c r="C1418" s="17"/>
      <c r="D1418" s="17"/>
      <c r="E1418" s="17"/>
      <c r="F1418" s="17"/>
      <c r="G1418" s="4">
        <f t="shared" si="63"/>
        <v>0</v>
      </c>
      <c r="H1418" s="17"/>
      <c r="I1418" s="4">
        <f t="shared" si="65"/>
        <v>349526.07999999996</v>
      </c>
      <c r="J1418" s="32" t="str">
        <f t="shared" si="64"/>
        <v/>
      </c>
      <c r="K1418" s="72"/>
      <c r="L1418" s="72"/>
      <c r="M1418" s="2"/>
      <c r="N1418" s="5"/>
      <c r="O1418" s="3"/>
      <c r="P1418" s="6"/>
      <c r="Q1418" s="48">
        <f>IF(Учет!$O1418=Справочники!$F$2,Учет!$H1418,0)</f>
        <v>0</v>
      </c>
      <c r="R1418" s="48">
        <f>IF(Учет!$O1418=Справочники!$F$3,Учет!$H1418,0)</f>
        <v>0</v>
      </c>
      <c r="S1418" s="48">
        <f>IF(Учет!$O1418=Справочники!$F$4,Учет!$H1418,0)</f>
        <v>0</v>
      </c>
      <c r="T1418" s="48">
        <f>IF(Учет!$O1418=Справочники!$F$5,Учет!$H1418,0)</f>
        <v>0</v>
      </c>
      <c r="U1418" s="48">
        <f>IF(Учет!$O1418=Справочники!$F$6,Учет!$H1418,0)</f>
        <v>0</v>
      </c>
      <c r="V1418" s="43">
        <f>V1417+Учет!Q1418-Q1418</f>
        <v>-488978.92000000004</v>
      </c>
      <c r="W1418" s="43">
        <f>W1417+Учет!R1418-R1418</f>
        <v>336855</v>
      </c>
      <c r="X1418" s="43">
        <f>X1417+Учет!S1418-S1418</f>
        <v>500</v>
      </c>
      <c r="Y1418" s="43">
        <f>Y1417+Учет!T1418-T1418</f>
        <v>1150</v>
      </c>
      <c r="Z1418" s="43">
        <f>Z1417+Учет!U1418-U1418</f>
        <v>500000</v>
      </c>
      <c r="AA1418" s="45">
        <f>Учет!X1418</f>
        <v>500</v>
      </c>
    </row>
    <row r="1419" spans="1:27" ht="15" customHeight="1" x14ac:dyDescent="0.25">
      <c r="A1419" s="1"/>
      <c r="B1419" s="17"/>
      <c r="C1419" s="17"/>
      <c r="D1419" s="17"/>
      <c r="E1419" s="17"/>
      <c r="F1419" s="17"/>
      <c r="G1419" s="4">
        <f t="shared" si="63"/>
        <v>0</v>
      </c>
      <c r="H1419" s="17"/>
      <c r="I1419" s="4">
        <f t="shared" si="65"/>
        <v>349526.07999999996</v>
      </c>
      <c r="J1419" s="32" t="str">
        <f t="shared" si="64"/>
        <v/>
      </c>
      <c r="K1419" s="72"/>
      <c r="L1419" s="72"/>
      <c r="M1419" s="2"/>
      <c r="N1419" s="5"/>
      <c r="O1419" s="3"/>
      <c r="P1419" s="6"/>
      <c r="Q1419" s="48">
        <f>IF(Учет!$O1419=Справочники!$F$2,Учет!$H1419,0)</f>
        <v>0</v>
      </c>
      <c r="R1419" s="48">
        <f>IF(Учет!$O1419=Справочники!$F$3,Учет!$H1419,0)</f>
        <v>0</v>
      </c>
      <c r="S1419" s="48">
        <f>IF(Учет!$O1419=Справочники!$F$4,Учет!$H1419,0)</f>
        <v>0</v>
      </c>
      <c r="T1419" s="48">
        <f>IF(Учет!$O1419=Справочники!$F$5,Учет!$H1419,0)</f>
        <v>0</v>
      </c>
      <c r="U1419" s="48">
        <f>IF(Учет!$O1419=Справочники!$F$6,Учет!$H1419,0)</f>
        <v>0</v>
      </c>
      <c r="V1419" s="43">
        <f>V1418+Учет!Q1419-Q1419</f>
        <v>-488978.92000000004</v>
      </c>
      <c r="W1419" s="43">
        <f>W1418+Учет!R1419-R1419</f>
        <v>336855</v>
      </c>
      <c r="X1419" s="43">
        <f>X1418+Учет!S1419-S1419</f>
        <v>500</v>
      </c>
      <c r="Y1419" s="43">
        <f>Y1418+Учет!T1419-T1419</f>
        <v>1150</v>
      </c>
      <c r="Z1419" s="43">
        <f>Z1418+Учет!U1419-U1419</f>
        <v>500000</v>
      </c>
      <c r="AA1419" s="45">
        <f>Учет!X1419</f>
        <v>500</v>
      </c>
    </row>
    <row r="1420" spans="1:27" ht="15" customHeight="1" x14ac:dyDescent="0.25">
      <c r="A1420" s="1"/>
      <c r="B1420" s="17"/>
      <c r="C1420" s="17"/>
      <c r="D1420" s="17"/>
      <c r="E1420" s="17"/>
      <c r="F1420" s="17"/>
      <c r="G1420" s="4">
        <f t="shared" si="63"/>
        <v>0</v>
      </c>
      <c r="H1420" s="17"/>
      <c r="I1420" s="4">
        <f t="shared" si="65"/>
        <v>349526.07999999996</v>
      </c>
      <c r="J1420" s="32" t="str">
        <f t="shared" si="64"/>
        <v/>
      </c>
      <c r="K1420" s="72"/>
      <c r="L1420" s="72"/>
      <c r="M1420" s="2"/>
      <c r="N1420" s="5"/>
      <c r="O1420" s="3"/>
      <c r="P1420" s="6"/>
      <c r="Q1420" s="48">
        <f>IF(Учет!$O1420=Справочники!$F$2,Учет!$H1420,0)</f>
        <v>0</v>
      </c>
      <c r="R1420" s="48">
        <f>IF(Учет!$O1420=Справочники!$F$3,Учет!$H1420,0)</f>
        <v>0</v>
      </c>
      <c r="S1420" s="48">
        <f>IF(Учет!$O1420=Справочники!$F$4,Учет!$H1420,0)</f>
        <v>0</v>
      </c>
      <c r="T1420" s="48">
        <f>IF(Учет!$O1420=Справочники!$F$5,Учет!$H1420,0)</f>
        <v>0</v>
      </c>
      <c r="U1420" s="48">
        <f>IF(Учет!$O1420=Справочники!$F$6,Учет!$H1420,0)</f>
        <v>0</v>
      </c>
      <c r="V1420" s="43">
        <f>V1419+Учет!Q1420-Q1420</f>
        <v>-488978.92000000004</v>
      </c>
      <c r="W1420" s="43">
        <f>W1419+Учет!R1420-R1420</f>
        <v>336855</v>
      </c>
      <c r="X1420" s="43">
        <f>X1419+Учет!S1420-S1420</f>
        <v>500</v>
      </c>
      <c r="Y1420" s="43">
        <f>Y1419+Учет!T1420-T1420</f>
        <v>1150</v>
      </c>
      <c r="Z1420" s="43">
        <f>Z1419+Учет!U1420-U1420</f>
        <v>500000</v>
      </c>
      <c r="AA1420" s="45">
        <f>Учет!X1420</f>
        <v>500</v>
      </c>
    </row>
    <row r="1421" spans="1:27" ht="15" customHeight="1" x14ac:dyDescent="0.25">
      <c r="A1421" s="1"/>
      <c r="B1421" s="17"/>
      <c r="C1421" s="17"/>
      <c r="D1421" s="17"/>
      <c r="E1421" s="17"/>
      <c r="F1421" s="17"/>
      <c r="G1421" s="4">
        <f t="shared" si="63"/>
        <v>0</v>
      </c>
      <c r="H1421" s="17"/>
      <c r="I1421" s="4">
        <f t="shared" si="65"/>
        <v>349526.07999999996</v>
      </c>
      <c r="J1421" s="32" t="str">
        <f t="shared" si="64"/>
        <v/>
      </c>
      <c r="K1421" s="72"/>
      <c r="L1421" s="72"/>
      <c r="M1421" s="2"/>
      <c r="N1421" s="5"/>
      <c r="O1421" s="3"/>
      <c r="P1421" s="6"/>
      <c r="Q1421" s="48">
        <f>IF(Учет!$O1421=Справочники!$F$2,Учет!$H1421,0)</f>
        <v>0</v>
      </c>
      <c r="R1421" s="48">
        <f>IF(Учет!$O1421=Справочники!$F$3,Учет!$H1421,0)</f>
        <v>0</v>
      </c>
      <c r="S1421" s="48">
        <f>IF(Учет!$O1421=Справочники!$F$4,Учет!$H1421,0)</f>
        <v>0</v>
      </c>
      <c r="T1421" s="48">
        <f>IF(Учет!$O1421=Справочники!$F$5,Учет!$H1421,0)</f>
        <v>0</v>
      </c>
      <c r="U1421" s="48">
        <f>IF(Учет!$O1421=Справочники!$F$6,Учет!$H1421,0)</f>
        <v>0</v>
      </c>
      <c r="V1421" s="43">
        <f>V1420+Учет!Q1421-Q1421</f>
        <v>-488978.92000000004</v>
      </c>
      <c r="W1421" s="43">
        <f>W1420+Учет!R1421-R1421</f>
        <v>336855</v>
      </c>
      <c r="X1421" s="43">
        <f>X1420+Учет!S1421-S1421</f>
        <v>500</v>
      </c>
      <c r="Y1421" s="43">
        <f>Y1420+Учет!T1421-T1421</f>
        <v>1150</v>
      </c>
      <c r="Z1421" s="43">
        <f>Z1420+Учет!U1421-U1421</f>
        <v>500000</v>
      </c>
      <c r="AA1421" s="45">
        <f>Учет!X1421</f>
        <v>500</v>
      </c>
    </row>
    <row r="1422" spans="1:27" ht="15" customHeight="1" x14ac:dyDescent="0.25">
      <c r="A1422" s="1"/>
      <c r="B1422" s="17"/>
      <c r="C1422" s="17"/>
      <c r="D1422" s="17"/>
      <c r="E1422" s="17"/>
      <c r="F1422" s="17"/>
      <c r="G1422" s="4">
        <f t="shared" si="63"/>
        <v>0</v>
      </c>
      <c r="H1422" s="17"/>
      <c r="I1422" s="4">
        <f t="shared" si="65"/>
        <v>349526.07999999996</v>
      </c>
      <c r="J1422" s="32" t="str">
        <f t="shared" si="64"/>
        <v/>
      </c>
      <c r="K1422" s="72"/>
      <c r="L1422" s="72"/>
      <c r="M1422" s="2"/>
      <c r="N1422" s="5"/>
      <c r="O1422" s="3"/>
      <c r="P1422" s="6"/>
      <c r="Q1422" s="48">
        <f>IF(Учет!$O1422=Справочники!$F$2,Учет!$H1422,0)</f>
        <v>0</v>
      </c>
      <c r="R1422" s="48">
        <f>IF(Учет!$O1422=Справочники!$F$3,Учет!$H1422,0)</f>
        <v>0</v>
      </c>
      <c r="S1422" s="48">
        <f>IF(Учет!$O1422=Справочники!$F$4,Учет!$H1422,0)</f>
        <v>0</v>
      </c>
      <c r="T1422" s="48">
        <f>IF(Учет!$O1422=Справочники!$F$5,Учет!$H1422,0)</f>
        <v>0</v>
      </c>
      <c r="U1422" s="48">
        <f>IF(Учет!$O1422=Справочники!$F$6,Учет!$H1422,0)</f>
        <v>0</v>
      </c>
      <c r="V1422" s="43">
        <f>V1421+Учет!Q1422-Q1422</f>
        <v>-488978.92000000004</v>
      </c>
      <c r="W1422" s="43">
        <f>W1421+Учет!R1422-R1422</f>
        <v>336855</v>
      </c>
      <c r="X1422" s="43">
        <f>X1421+Учет!S1422-S1422</f>
        <v>500</v>
      </c>
      <c r="Y1422" s="43">
        <f>Y1421+Учет!T1422-T1422</f>
        <v>1150</v>
      </c>
      <c r="Z1422" s="43">
        <f>Z1421+Учет!U1422-U1422</f>
        <v>500000</v>
      </c>
      <c r="AA1422" s="45">
        <f>Учет!X1422</f>
        <v>500</v>
      </c>
    </row>
    <row r="1423" spans="1:27" ht="15" customHeight="1" x14ac:dyDescent="0.25">
      <c r="A1423" s="1"/>
      <c r="B1423" s="17"/>
      <c r="C1423" s="17"/>
      <c r="D1423" s="17"/>
      <c r="E1423" s="17"/>
      <c r="F1423" s="17"/>
      <c r="G1423" s="4">
        <f t="shared" si="63"/>
        <v>0</v>
      </c>
      <c r="H1423" s="17"/>
      <c r="I1423" s="4">
        <f t="shared" si="65"/>
        <v>349526.07999999996</v>
      </c>
      <c r="J1423" s="32" t="str">
        <f t="shared" si="64"/>
        <v/>
      </c>
      <c r="K1423" s="72"/>
      <c r="L1423" s="72"/>
      <c r="M1423" s="2"/>
      <c r="N1423" s="5"/>
      <c r="O1423" s="3"/>
      <c r="P1423" s="6"/>
      <c r="Q1423" s="48">
        <f>IF(Учет!$O1423=Справочники!$F$2,Учет!$H1423,0)</f>
        <v>0</v>
      </c>
      <c r="R1423" s="48">
        <f>IF(Учет!$O1423=Справочники!$F$3,Учет!$H1423,0)</f>
        <v>0</v>
      </c>
      <c r="S1423" s="48">
        <f>IF(Учет!$O1423=Справочники!$F$4,Учет!$H1423,0)</f>
        <v>0</v>
      </c>
      <c r="T1423" s="48">
        <f>IF(Учет!$O1423=Справочники!$F$5,Учет!$H1423,0)</f>
        <v>0</v>
      </c>
      <c r="U1423" s="48">
        <f>IF(Учет!$O1423=Справочники!$F$6,Учет!$H1423,0)</f>
        <v>0</v>
      </c>
      <c r="V1423" s="43">
        <f>V1422+Учет!Q1423-Q1423</f>
        <v>-488978.92000000004</v>
      </c>
      <c r="W1423" s="43">
        <f>W1422+Учет!R1423-R1423</f>
        <v>336855</v>
      </c>
      <c r="X1423" s="43">
        <f>X1422+Учет!S1423-S1423</f>
        <v>500</v>
      </c>
      <c r="Y1423" s="43">
        <f>Y1422+Учет!T1423-T1423</f>
        <v>1150</v>
      </c>
      <c r="Z1423" s="43">
        <f>Z1422+Учет!U1423-U1423</f>
        <v>500000</v>
      </c>
      <c r="AA1423" s="45">
        <f>Учет!X1423</f>
        <v>500</v>
      </c>
    </row>
    <row r="1424" spans="1:27" ht="15" customHeight="1" x14ac:dyDescent="0.25">
      <c r="A1424" s="1"/>
      <c r="B1424" s="17"/>
      <c r="C1424" s="17"/>
      <c r="D1424" s="17"/>
      <c r="E1424" s="17"/>
      <c r="F1424" s="17"/>
      <c r="G1424" s="4">
        <f t="shared" si="63"/>
        <v>0</v>
      </c>
      <c r="H1424" s="17"/>
      <c r="I1424" s="4">
        <f t="shared" si="65"/>
        <v>349526.07999999996</v>
      </c>
      <c r="J1424" s="32" t="str">
        <f t="shared" si="64"/>
        <v/>
      </c>
      <c r="K1424" s="72"/>
      <c r="L1424" s="72"/>
      <c r="M1424" s="2"/>
      <c r="N1424" s="5"/>
      <c r="O1424" s="3"/>
      <c r="P1424" s="6"/>
      <c r="Q1424" s="48">
        <f>IF(Учет!$O1424=Справочники!$F$2,Учет!$H1424,0)</f>
        <v>0</v>
      </c>
      <c r="R1424" s="48">
        <f>IF(Учет!$O1424=Справочники!$F$3,Учет!$H1424,0)</f>
        <v>0</v>
      </c>
      <c r="S1424" s="48">
        <f>IF(Учет!$O1424=Справочники!$F$4,Учет!$H1424,0)</f>
        <v>0</v>
      </c>
      <c r="T1424" s="48">
        <f>IF(Учет!$O1424=Справочники!$F$5,Учет!$H1424,0)</f>
        <v>0</v>
      </c>
      <c r="U1424" s="48">
        <f>IF(Учет!$O1424=Справочники!$F$6,Учет!$H1424,0)</f>
        <v>0</v>
      </c>
      <c r="V1424" s="43">
        <f>V1423+Учет!Q1424-Q1424</f>
        <v>-488978.92000000004</v>
      </c>
      <c r="W1424" s="43">
        <f>W1423+Учет!R1424-R1424</f>
        <v>336855</v>
      </c>
      <c r="X1424" s="43">
        <f>X1423+Учет!S1424-S1424</f>
        <v>500</v>
      </c>
      <c r="Y1424" s="43">
        <f>Y1423+Учет!T1424-T1424</f>
        <v>1150</v>
      </c>
      <c r="Z1424" s="43">
        <f>Z1423+Учет!U1424-U1424</f>
        <v>500000</v>
      </c>
      <c r="AA1424" s="45">
        <f>Учет!X1424</f>
        <v>500</v>
      </c>
    </row>
    <row r="1425" spans="1:27" ht="15" customHeight="1" x14ac:dyDescent="0.25">
      <c r="A1425" s="1"/>
      <c r="B1425" s="17"/>
      <c r="C1425" s="17"/>
      <c r="D1425" s="17"/>
      <c r="E1425" s="17"/>
      <c r="F1425" s="17"/>
      <c r="G1425" s="4">
        <f t="shared" si="63"/>
        <v>0</v>
      </c>
      <c r="H1425" s="17"/>
      <c r="I1425" s="4">
        <f t="shared" si="65"/>
        <v>349526.07999999996</v>
      </c>
      <c r="J1425" s="32" t="str">
        <f t="shared" si="64"/>
        <v/>
      </c>
      <c r="K1425" s="72"/>
      <c r="L1425" s="72"/>
      <c r="M1425" s="2"/>
      <c r="N1425" s="5"/>
      <c r="O1425" s="3"/>
      <c r="P1425" s="6"/>
      <c r="Q1425" s="48">
        <f>IF(Учет!$O1425=Справочники!$F$2,Учет!$H1425,0)</f>
        <v>0</v>
      </c>
      <c r="R1425" s="48">
        <f>IF(Учет!$O1425=Справочники!$F$3,Учет!$H1425,0)</f>
        <v>0</v>
      </c>
      <c r="S1425" s="48">
        <f>IF(Учет!$O1425=Справочники!$F$4,Учет!$H1425,0)</f>
        <v>0</v>
      </c>
      <c r="T1425" s="48">
        <f>IF(Учет!$O1425=Справочники!$F$5,Учет!$H1425,0)</f>
        <v>0</v>
      </c>
      <c r="U1425" s="48">
        <f>IF(Учет!$O1425=Справочники!$F$6,Учет!$H1425,0)</f>
        <v>0</v>
      </c>
      <c r="V1425" s="43">
        <f>V1424+Учет!Q1425-Q1425</f>
        <v>-488978.92000000004</v>
      </c>
      <c r="W1425" s="43">
        <f>W1424+Учет!R1425-R1425</f>
        <v>336855</v>
      </c>
      <c r="X1425" s="43">
        <f>X1424+Учет!S1425-S1425</f>
        <v>500</v>
      </c>
      <c r="Y1425" s="43">
        <f>Y1424+Учет!T1425-T1425</f>
        <v>1150</v>
      </c>
      <c r="Z1425" s="43">
        <f>Z1424+Учет!U1425-U1425</f>
        <v>500000</v>
      </c>
      <c r="AA1425" s="45">
        <f>Учет!X1425</f>
        <v>500</v>
      </c>
    </row>
    <row r="1426" spans="1:27" ht="15" customHeight="1" x14ac:dyDescent="0.25">
      <c r="A1426" s="1"/>
      <c r="B1426" s="17"/>
      <c r="C1426" s="17"/>
      <c r="D1426" s="17"/>
      <c r="E1426" s="17"/>
      <c r="F1426" s="17"/>
      <c r="G1426" s="4">
        <f t="shared" si="63"/>
        <v>0</v>
      </c>
      <c r="H1426" s="17"/>
      <c r="I1426" s="4">
        <f t="shared" si="65"/>
        <v>349526.07999999996</v>
      </c>
      <c r="J1426" s="32" t="str">
        <f t="shared" si="64"/>
        <v/>
      </c>
      <c r="K1426" s="72"/>
      <c r="L1426" s="72"/>
      <c r="M1426" s="2"/>
      <c r="N1426" s="5"/>
      <c r="O1426" s="3"/>
      <c r="P1426" s="6"/>
      <c r="Q1426" s="48">
        <f>IF(Учет!$O1426=Справочники!$F$2,Учет!$H1426,0)</f>
        <v>0</v>
      </c>
      <c r="R1426" s="48">
        <f>IF(Учет!$O1426=Справочники!$F$3,Учет!$H1426,0)</f>
        <v>0</v>
      </c>
      <c r="S1426" s="48">
        <f>IF(Учет!$O1426=Справочники!$F$4,Учет!$H1426,0)</f>
        <v>0</v>
      </c>
      <c r="T1426" s="48">
        <f>IF(Учет!$O1426=Справочники!$F$5,Учет!$H1426,0)</f>
        <v>0</v>
      </c>
      <c r="U1426" s="48">
        <f>IF(Учет!$O1426=Справочники!$F$6,Учет!$H1426,0)</f>
        <v>0</v>
      </c>
      <c r="V1426" s="43">
        <f>V1425+Учет!Q1426-Q1426</f>
        <v>-488978.92000000004</v>
      </c>
      <c r="W1426" s="43">
        <f>W1425+Учет!R1426-R1426</f>
        <v>336855</v>
      </c>
      <c r="X1426" s="43">
        <f>X1425+Учет!S1426-S1426</f>
        <v>500</v>
      </c>
      <c r="Y1426" s="43">
        <f>Y1425+Учет!T1426-T1426</f>
        <v>1150</v>
      </c>
      <c r="Z1426" s="43">
        <f>Z1425+Учет!U1426-U1426</f>
        <v>500000</v>
      </c>
      <c r="AA1426" s="45">
        <f>Учет!X1426</f>
        <v>500</v>
      </c>
    </row>
    <row r="1427" spans="1:27" ht="15" customHeight="1" x14ac:dyDescent="0.25">
      <c r="A1427" s="1"/>
      <c r="B1427" s="17"/>
      <c r="C1427" s="17"/>
      <c r="D1427" s="17"/>
      <c r="E1427" s="17"/>
      <c r="F1427" s="17"/>
      <c r="G1427" s="4">
        <f t="shared" si="63"/>
        <v>0</v>
      </c>
      <c r="H1427" s="17"/>
      <c r="I1427" s="4">
        <f t="shared" si="65"/>
        <v>349526.07999999996</v>
      </c>
      <c r="J1427" s="32" t="str">
        <f t="shared" si="64"/>
        <v/>
      </c>
      <c r="K1427" s="72"/>
      <c r="L1427" s="72"/>
      <c r="M1427" s="2"/>
      <c r="N1427" s="5"/>
      <c r="O1427" s="3"/>
      <c r="P1427" s="6"/>
      <c r="Q1427" s="48">
        <f>IF(Учет!$O1427=Справочники!$F$2,Учет!$H1427,0)</f>
        <v>0</v>
      </c>
      <c r="R1427" s="48">
        <f>IF(Учет!$O1427=Справочники!$F$3,Учет!$H1427,0)</f>
        <v>0</v>
      </c>
      <c r="S1427" s="48">
        <f>IF(Учет!$O1427=Справочники!$F$4,Учет!$H1427,0)</f>
        <v>0</v>
      </c>
      <c r="T1427" s="48">
        <f>IF(Учет!$O1427=Справочники!$F$5,Учет!$H1427,0)</f>
        <v>0</v>
      </c>
      <c r="U1427" s="48">
        <f>IF(Учет!$O1427=Справочники!$F$6,Учет!$H1427,0)</f>
        <v>0</v>
      </c>
      <c r="V1427" s="43">
        <f>V1426+Учет!Q1427-Q1427</f>
        <v>-488978.92000000004</v>
      </c>
      <c r="W1427" s="43">
        <f>W1426+Учет!R1427-R1427</f>
        <v>336855</v>
      </c>
      <c r="X1427" s="43">
        <f>X1426+Учет!S1427-S1427</f>
        <v>500</v>
      </c>
      <c r="Y1427" s="43">
        <f>Y1426+Учет!T1427-T1427</f>
        <v>1150</v>
      </c>
      <c r="Z1427" s="43">
        <f>Z1426+Учет!U1427-U1427</f>
        <v>500000</v>
      </c>
      <c r="AA1427" s="45">
        <f>Учет!X1427</f>
        <v>500</v>
      </c>
    </row>
    <row r="1428" spans="1:27" ht="15" customHeight="1" x14ac:dyDescent="0.25">
      <c r="A1428" s="1"/>
      <c r="B1428" s="17"/>
      <c r="C1428" s="17"/>
      <c r="D1428" s="17"/>
      <c r="E1428" s="17"/>
      <c r="F1428" s="17"/>
      <c r="G1428" s="4">
        <f t="shared" si="63"/>
        <v>0</v>
      </c>
      <c r="H1428" s="17"/>
      <c r="I1428" s="4">
        <f t="shared" si="65"/>
        <v>349526.07999999996</v>
      </c>
      <c r="J1428" s="32" t="str">
        <f t="shared" si="64"/>
        <v/>
      </c>
      <c r="K1428" s="72"/>
      <c r="L1428" s="72"/>
      <c r="M1428" s="2"/>
      <c r="N1428" s="5"/>
      <c r="O1428" s="3"/>
      <c r="P1428" s="6"/>
      <c r="Q1428" s="48">
        <f>IF(Учет!$O1428=Справочники!$F$2,Учет!$H1428,0)</f>
        <v>0</v>
      </c>
      <c r="R1428" s="48">
        <f>IF(Учет!$O1428=Справочники!$F$3,Учет!$H1428,0)</f>
        <v>0</v>
      </c>
      <c r="S1428" s="48">
        <f>IF(Учет!$O1428=Справочники!$F$4,Учет!$H1428,0)</f>
        <v>0</v>
      </c>
      <c r="T1428" s="48">
        <f>IF(Учет!$O1428=Справочники!$F$5,Учет!$H1428,0)</f>
        <v>0</v>
      </c>
      <c r="U1428" s="48">
        <f>IF(Учет!$O1428=Справочники!$F$6,Учет!$H1428,0)</f>
        <v>0</v>
      </c>
      <c r="V1428" s="43">
        <f>V1427+Учет!Q1428-Q1428</f>
        <v>-488978.92000000004</v>
      </c>
      <c r="W1428" s="43">
        <f>W1427+Учет!R1428-R1428</f>
        <v>336855</v>
      </c>
      <c r="X1428" s="43">
        <f>X1427+Учет!S1428-S1428</f>
        <v>500</v>
      </c>
      <c r="Y1428" s="43">
        <f>Y1427+Учет!T1428-T1428</f>
        <v>1150</v>
      </c>
      <c r="Z1428" s="43">
        <f>Z1427+Учет!U1428-U1428</f>
        <v>500000</v>
      </c>
      <c r="AA1428" s="45">
        <f>Учет!X1428</f>
        <v>500</v>
      </c>
    </row>
    <row r="1429" spans="1:27" ht="15" customHeight="1" x14ac:dyDescent="0.25">
      <c r="A1429" s="1"/>
      <c r="B1429" s="17"/>
      <c r="C1429" s="17"/>
      <c r="D1429" s="17"/>
      <c r="E1429" s="17"/>
      <c r="F1429" s="17"/>
      <c r="G1429" s="4">
        <f t="shared" si="63"/>
        <v>0</v>
      </c>
      <c r="H1429" s="17"/>
      <c r="I1429" s="4">
        <f t="shared" si="65"/>
        <v>349526.07999999996</v>
      </c>
      <c r="J1429" s="32" t="str">
        <f t="shared" si="64"/>
        <v/>
      </c>
      <c r="K1429" s="72"/>
      <c r="L1429" s="72"/>
      <c r="M1429" s="2"/>
      <c r="N1429" s="5"/>
      <c r="O1429" s="3"/>
      <c r="P1429" s="6"/>
      <c r="Q1429" s="48">
        <f>IF(Учет!$O1429=Справочники!$F$2,Учет!$H1429,0)</f>
        <v>0</v>
      </c>
      <c r="R1429" s="48">
        <f>IF(Учет!$O1429=Справочники!$F$3,Учет!$H1429,0)</f>
        <v>0</v>
      </c>
      <c r="S1429" s="48">
        <f>IF(Учет!$O1429=Справочники!$F$4,Учет!$H1429,0)</f>
        <v>0</v>
      </c>
      <c r="T1429" s="48">
        <f>IF(Учет!$O1429=Справочники!$F$5,Учет!$H1429,0)</f>
        <v>0</v>
      </c>
      <c r="U1429" s="48">
        <f>IF(Учет!$O1429=Справочники!$F$6,Учет!$H1429,0)</f>
        <v>0</v>
      </c>
      <c r="V1429" s="43">
        <f>V1428+Учет!Q1429-Q1429</f>
        <v>-488978.92000000004</v>
      </c>
      <c r="W1429" s="43">
        <f>W1428+Учет!R1429-R1429</f>
        <v>336855</v>
      </c>
      <c r="X1429" s="43">
        <f>X1428+Учет!S1429-S1429</f>
        <v>500</v>
      </c>
      <c r="Y1429" s="43">
        <f>Y1428+Учет!T1429-T1429</f>
        <v>1150</v>
      </c>
      <c r="Z1429" s="43">
        <f>Z1428+Учет!U1429-U1429</f>
        <v>500000</v>
      </c>
      <c r="AA1429" s="45">
        <f>Учет!X1429</f>
        <v>500</v>
      </c>
    </row>
    <row r="1430" spans="1:27" ht="15" customHeight="1" x14ac:dyDescent="0.25">
      <c r="A1430" s="1"/>
      <c r="B1430" s="17"/>
      <c r="C1430" s="17"/>
      <c r="D1430" s="17"/>
      <c r="E1430" s="17"/>
      <c r="F1430" s="17"/>
      <c r="G1430" s="4">
        <f t="shared" si="63"/>
        <v>0</v>
      </c>
      <c r="H1430" s="17"/>
      <c r="I1430" s="4">
        <f t="shared" si="65"/>
        <v>349526.07999999996</v>
      </c>
      <c r="J1430" s="32" t="str">
        <f t="shared" si="64"/>
        <v/>
      </c>
      <c r="K1430" s="72"/>
      <c r="L1430" s="72"/>
      <c r="M1430" s="2"/>
      <c r="N1430" s="5"/>
      <c r="O1430" s="3"/>
      <c r="P1430" s="6"/>
      <c r="Q1430" s="48">
        <f>IF(Учет!$O1430=Справочники!$F$2,Учет!$H1430,0)</f>
        <v>0</v>
      </c>
      <c r="R1430" s="48">
        <f>IF(Учет!$O1430=Справочники!$F$3,Учет!$H1430,0)</f>
        <v>0</v>
      </c>
      <c r="S1430" s="48">
        <f>IF(Учет!$O1430=Справочники!$F$4,Учет!$H1430,0)</f>
        <v>0</v>
      </c>
      <c r="T1430" s="48">
        <f>IF(Учет!$O1430=Справочники!$F$5,Учет!$H1430,0)</f>
        <v>0</v>
      </c>
      <c r="U1430" s="48">
        <f>IF(Учет!$O1430=Справочники!$F$6,Учет!$H1430,0)</f>
        <v>0</v>
      </c>
      <c r="V1430" s="43">
        <f>V1429+Учет!Q1430-Q1430</f>
        <v>-488978.92000000004</v>
      </c>
      <c r="W1430" s="43">
        <f>W1429+Учет!R1430-R1430</f>
        <v>336855</v>
      </c>
      <c r="X1430" s="43">
        <f>X1429+Учет!S1430-S1430</f>
        <v>500</v>
      </c>
      <c r="Y1430" s="43">
        <f>Y1429+Учет!T1430-T1430</f>
        <v>1150</v>
      </c>
      <c r="Z1430" s="43">
        <f>Z1429+Учет!U1430-U1430</f>
        <v>500000</v>
      </c>
      <c r="AA1430" s="45">
        <f>Учет!X1430</f>
        <v>500</v>
      </c>
    </row>
    <row r="1431" spans="1:27" ht="15" customHeight="1" x14ac:dyDescent="0.25">
      <c r="A1431" s="1"/>
      <c r="B1431" s="17"/>
      <c r="C1431" s="17"/>
      <c r="D1431" s="17"/>
      <c r="E1431" s="17"/>
      <c r="F1431" s="17"/>
      <c r="G1431" s="4">
        <f t="shared" si="63"/>
        <v>0</v>
      </c>
      <c r="H1431" s="17"/>
      <c r="I1431" s="4">
        <f t="shared" si="65"/>
        <v>349526.07999999996</v>
      </c>
      <c r="J1431" s="32" t="str">
        <f t="shared" si="64"/>
        <v/>
      </c>
      <c r="K1431" s="72"/>
      <c r="L1431" s="72"/>
      <c r="M1431" s="2"/>
      <c r="N1431" s="5"/>
      <c r="O1431" s="3"/>
      <c r="P1431" s="6"/>
      <c r="Q1431" s="48">
        <f>IF(Учет!$O1431=Справочники!$F$2,Учет!$H1431,0)</f>
        <v>0</v>
      </c>
      <c r="R1431" s="48">
        <f>IF(Учет!$O1431=Справочники!$F$3,Учет!$H1431,0)</f>
        <v>0</v>
      </c>
      <c r="S1431" s="48">
        <f>IF(Учет!$O1431=Справочники!$F$4,Учет!$H1431,0)</f>
        <v>0</v>
      </c>
      <c r="T1431" s="48">
        <f>IF(Учет!$O1431=Справочники!$F$5,Учет!$H1431,0)</f>
        <v>0</v>
      </c>
      <c r="U1431" s="48">
        <f>IF(Учет!$O1431=Справочники!$F$6,Учет!$H1431,0)</f>
        <v>0</v>
      </c>
      <c r="V1431" s="43">
        <f>V1430+Учет!Q1431-Q1431</f>
        <v>-488978.92000000004</v>
      </c>
      <c r="W1431" s="43">
        <f>W1430+Учет!R1431-R1431</f>
        <v>336855</v>
      </c>
      <c r="X1431" s="43">
        <f>X1430+Учет!S1431-S1431</f>
        <v>500</v>
      </c>
      <c r="Y1431" s="43">
        <f>Y1430+Учет!T1431-T1431</f>
        <v>1150</v>
      </c>
      <c r="Z1431" s="43">
        <f>Z1430+Учет!U1431-U1431</f>
        <v>500000</v>
      </c>
      <c r="AA1431" s="45">
        <f>Учет!X1431</f>
        <v>500</v>
      </c>
    </row>
    <row r="1432" spans="1:27" ht="15" customHeight="1" x14ac:dyDescent="0.25">
      <c r="A1432" s="1"/>
      <c r="B1432" s="17"/>
      <c r="C1432" s="17"/>
      <c r="D1432" s="17"/>
      <c r="E1432" s="17"/>
      <c r="F1432" s="17"/>
      <c r="G1432" s="4">
        <f t="shared" si="63"/>
        <v>0</v>
      </c>
      <c r="H1432" s="17"/>
      <c r="I1432" s="4">
        <f t="shared" si="65"/>
        <v>349526.07999999996</v>
      </c>
      <c r="J1432" s="32" t="str">
        <f t="shared" si="64"/>
        <v/>
      </c>
      <c r="K1432" s="72"/>
      <c r="L1432" s="72"/>
      <c r="M1432" s="2"/>
      <c r="N1432" s="5"/>
      <c r="O1432" s="3"/>
      <c r="P1432" s="6"/>
      <c r="Q1432" s="48">
        <f>IF(Учет!$O1432=Справочники!$F$2,Учет!$H1432,0)</f>
        <v>0</v>
      </c>
      <c r="R1432" s="48">
        <f>IF(Учет!$O1432=Справочники!$F$3,Учет!$H1432,0)</f>
        <v>0</v>
      </c>
      <c r="S1432" s="48">
        <f>IF(Учет!$O1432=Справочники!$F$4,Учет!$H1432,0)</f>
        <v>0</v>
      </c>
      <c r="T1432" s="48">
        <f>IF(Учет!$O1432=Справочники!$F$5,Учет!$H1432,0)</f>
        <v>0</v>
      </c>
      <c r="U1432" s="48">
        <f>IF(Учет!$O1432=Справочники!$F$6,Учет!$H1432,0)</f>
        <v>0</v>
      </c>
      <c r="V1432" s="43">
        <f>V1431+Учет!Q1432-Q1432</f>
        <v>-488978.92000000004</v>
      </c>
      <c r="W1432" s="43">
        <f>W1431+Учет!R1432-R1432</f>
        <v>336855</v>
      </c>
      <c r="X1432" s="43">
        <f>X1431+Учет!S1432-S1432</f>
        <v>500</v>
      </c>
      <c r="Y1432" s="43">
        <f>Y1431+Учет!T1432-T1432</f>
        <v>1150</v>
      </c>
      <c r="Z1432" s="43">
        <f>Z1431+Учет!U1432-U1432</f>
        <v>500000</v>
      </c>
      <c r="AA1432" s="45">
        <f>Учет!X1432</f>
        <v>500</v>
      </c>
    </row>
    <row r="1433" spans="1:27" ht="15" customHeight="1" x14ac:dyDescent="0.25">
      <c r="A1433" s="1"/>
      <c r="B1433" s="17"/>
      <c r="C1433" s="17"/>
      <c r="D1433" s="17"/>
      <c r="E1433" s="17"/>
      <c r="F1433" s="17"/>
      <c r="G1433" s="4">
        <f t="shared" si="63"/>
        <v>0</v>
      </c>
      <c r="H1433" s="17"/>
      <c r="I1433" s="4">
        <f t="shared" si="65"/>
        <v>349526.07999999996</v>
      </c>
      <c r="J1433" s="32" t="str">
        <f t="shared" si="64"/>
        <v/>
      </c>
      <c r="K1433" s="72"/>
      <c r="L1433" s="72"/>
      <c r="M1433" s="2"/>
      <c r="N1433" s="5"/>
      <c r="O1433" s="3"/>
      <c r="P1433" s="6"/>
      <c r="Q1433" s="48">
        <f>IF(Учет!$O1433=Справочники!$F$2,Учет!$H1433,0)</f>
        <v>0</v>
      </c>
      <c r="R1433" s="48">
        <f>IF(Учет!$O1433=Справочники!$F$3,Учет!$H1433,0)</f>
        <v>0</v>
      </c>
      <c r="S1433" s="48">
        <f>IF(Учет!$O1433=Справочники!$F$4,Учет!$H1433,0)</f>
        <v>0</v>
      </c>
      <c r="T1433" s="48">
        <f>IF(Учет!$O1433=Справочники!$F$5,Учет!$H1433,0)</f>
        <v>0</v>
      </c>
      <c r="U1433" s="48">
        <f>IF(Учет!$O1433=Справочники!$F$6,Учет!$H1433,0)</f>
        <v>0</v>
      </c>
      <c r="V1433" s="43">
        <f>V1432+Учет!Q1433-Q1433</f>
        <v>-488978.92000000004</v>
      </c>
      <c r="W1433" s="43">
        <f>W1432+Учет!R1433-R1433</f>
        <v>336855</v>
      </c>
      <c r="X1433" s="43">
        <f>X1432+Учет!S1433-S1433</f>
        <v>500</v>
      </c>
      <c r="Y1433" s="43">
        <f>Y1432+Учет!T1433-T1433</f>
        <v>1150</v>
      </c>
      <c r="Z1433" s="43">
        <f>Z1432+Учет!U1433-U1433</f>
        <v>500000</v>
      </c>
      <c r="AA1433" s="45">
        <f>Учет!X1433</f>
        <v>500</v>
      </c>
    </row>
    <row r="1434" spans="1:27" ht="15" customHeight="1" x14ac:dyDescent="0.25">
      <c r="A1434" s="1"/>
      <c r="B1434" s="17"/>
      <c r="C1434" s="17"/>
      <c r="D1434" s="17"/>
      <c r="E1434" s="17"/>
      <c r="F1434" s="17"/>
      <c r="G1434" s="4">
        <f t="shared" si="63"/>
        <v>0</v>
      </c>
      <c r="H1434" s="17"/>
      <c r="I1434" s="4">
        <f t="shared" si="65"/>
        <v>349526.07999999996</v>
      </c>
      <c r="J1434" s="32" t="str">
        <f t="shared" si="64"/>
        <v/>
      </c>
      <c r="K1434" s="72"/>
      <c r="L1434" s="72"/>
      <c r="M1434" s="2"/>
      <c r="N1434" s="5"/>
      <c r="O1434" s="3"/>
      <c r="P1434" s="6"/>
      <c r="Q1434" s="48">
        <f>IF(Учет!$O1434=Справочники!$F$2,Учет!$H1434,0)</f>
        <v>0</v>
      </c>
      <c r="R1434" s="48">
        <f>IF(Учет!$O1434=Справочники!$F$3,Учет!$H1434,0)</f>
        <v>0</v>
      </c>
      <c r="S1434" s="48">
        <f>IF(Учет!$O1434=Справочники!$F$4,Учет!$H1434,0)</f>
        <v>0</v>
      </c>
      <c r="T1434" s="48">
        <f>IF(Учет!$O1434=Справочники!$F$5,Учет!$H1434,0)</f>
        <v>0</v>
      </c>
      <c r="U1434" s="48">
        <f>IF(Учет!$O1434=Справочники!$F$6,Учет!$H1434,0)</f>
        <v>0</v>
      </c>
      <c r="V1434" s="43">
        <f>V1433+Учет!Q1434-Q1434</f>
        <v>-488978.92000000004</v>
      </c>
      <c r="W1434" s="43">
        <f>W1433+Учет!R1434-R1434</f>
        <v>336855</v>
      </c>
      <c r="X1434" s="43">
        <f>X1433+Учет!S1434-S1434</f>
        <v>500</v>
      </c>
      <c r="Y1434" s="43">
        <f>Y1433+Учет!T1434-T1434</f>
        <v>1150</v>
      </c>
      <c r="Z1434" s="43">
        <f>Z1433+Учет!U1434-U1434</f>
        <v>500000</v>
      </c>
      <c r="AA1434" s="45">
        <f>Учет!X1434</f>
        <v>500</v>
      </c>
    </row>
    <row r="1435" spans="1:27" ht="15" customHeight="1" x14ac:dyDescent="0.25">
      <c r="A1435" s="1"/>
      <c r="B1435" s="17"/>
      <c r="C1435" s="17"/>
      <c r="D1435" s="17"/>
      <c r="E1435" s="17"/>
      <c r="F1435" s="17"/>
      <c r="G1435" s="4">
        <f t="shared" si="63"/>
        <v>0</v>
      </c>
      <c r="H1435" s="17"/>
      <c r="I1435" s="4">
        <f t="shared" si="65"/>
        <v>349526.07999999996</v>
      </c>
      <c r="J1435" s="32" t="str">
        <f t="shared" si="64"/>
        <v/>
      </c>
      <c r="K1435" s="72"/>
      <c r="L1435" s="72"/>
      <c r="M1435" s="2"/>
      <c r="N1435" s="5"/>
      <c r="O1435" s="3"/>
      <c r="P1435" s="6"/>
      <c r="Q1435" s="48">
        <f>IF(Учет!$O1435=Справочники!$F$2,Учет!$H1435,0)</f>
        <v>0</v>
      </c>
      <c r="R1435" s="48">
        <f>IF(Учет!$O1435=Справочники!$F$3,Учет!$H1435,0)</f>
        <v>0</v>
      </c>
      <c r="S1435" s="48">
        <f>IF(Учет!$O1435=Справочники!$F$4,Учет!$H1435,0)</f>
        <v>0</v>
      </c>
      <c r="T1435" s="48">
        <f>IF(Учет!$O1435=Справочники!$F$5,Учет!$H1435,0)</f>
        <v>0</v>
      </c>
      <c r="U1435" s="48">
        <f>IF(Учет!$O1435=Справочники!$F$6,Учет!$H1435,0)</f>
        <v>0</v>
      </c>
      <c r="V1435" s="43">
        <f>V1434+Учет!Q1435-Q1435</f>
        <v>-488978.92000000004</v>
      </c>
      <c r="W1435" s="43">
        <f>W1434+Учет!R1435-R1435</f>
        <v>336855</v>
      </c>
      <c r="X1435" s="43">
        <f>X1434+Учет!S1435-S1435</f>
        <v>500</v>
      </c>
      <c r="Y1435" s="43">
        <f>Y1434+Учет!T1435-T1435</f>
        <v>1150</v>
      </c>
      <c r="Z1435" s="43">
        <f>Z1434+Учет!U1435-U1435</f>
        <v>500000</v>
      </c>
      <c r="AA1435" s="45">
        <f>Учет!X1435</f>
        <v>500</v>
      </c>
    </row>
    <row r="1436" spans="1:27" ht="15" customHeight="1" x14ac:dyDescent="0.25">
      <c r="A1436" s="1"/>
      <c r="B1436" s="17"/>
      <c r="C1436" s="17"/>
      <c r="D1436" s="17"/>
      <c r="E1436" s="17"/>
      <c r="F1436" s="17"/>
      <c r="G1436" s="4">
        <f t="shared" si="63"/>
        <v>0</v>
      </c>
      <c r="H1436" s="17"/>
      <c r="I1436" s="4">
        <f t="shared" si="65"/>
        <v>349526.07999999996</v>
      </c>
      <c r="J1436" s="32" t="str">
        <f t="shared" si="64"/>
        <v/>
      </c>
      <c r="K1436" s="72"/>
      <c r="L1436" s="72"/>
      <c r="M1436" s="2"/>
      <c r="N1436" s="5"/>
      <c r="O1436" s="3"/>
      <c r="P1436" s="6"/>
      <c r="Q1436" s="48">
        <f>IF(Учет!$O1436=Справочники!$F$2,Учет!$H1436,0)</f>
        <v>0</v>
      </c>
      <c r="R1436" s="48">
        <f>IF(Учет!$O1436=Справочники!$F$3,Учет!$H1436,0)</f>
        <v>0</v>
      </c>
      <c r="S1436" s="48">
        <f>IF(Учет!$O1436=Справочники!$F$4,Учет!$H1436,0)</f>
        <v>0</v>
      </c>
      <c r="T1436" s="48">
        <f>IF(Учет!$O1436=Справочники!$F$5,Учет!$H1436,0)</f>
        <v>0</v>
      </c>
      <c r="U1436" s="48">
        <f>IF(Учет!$O1436=Справочники!$F$6,Учет!$H1436,0)</f>
        <v>0</v>
      </c>
      <c r="V1436" s="43">
        <f>V1435+Учет!Q1436-Q1436</f>
        <v>-488978.92000000004</v>
      </c>
      <c r="W1436" s="43">
        <f>W1435+Учет!R1436-R1436</f>
        <v>336855</v>
      </c>
      <c r="X1436" s="43">
        <f>X1435+Учет!S1436-S1436</f>
        <v>500</v>
      </c>
      <c r="Y1436" s="43">
        <f>Y1435+Учет!T1436-T1436</f>
        <v>1150</v>
      </c>
      <c r="Z1436" s="43">
        <f>Z1435+Учет!U1436-U1436</f>
        <v>500000</v>
      </c>
      <c r="AA1436" s="45">
        <f>Учет!X1436</f>
        <v>500</v>
      </c>
    </row>
    <row r="1437" spans="1:27" ht="15" customHeight="1" x14ac:dyDescent="0.25">
      <c r="A1437" s="1"/>
      <c r="B1437" s="17"/>
      <c r="C1437" s="17"/>
      <c r="D1437" s="17"/>
      <c r="E1437" s="17"/>
      <c r="F1437" s="17"/>
      <c r="G1437" s="4">
        <f t="shared" si="63"/>
        <v>0</v>
      </c>
      <c r="H1437" s="17"/>
      <c r="I1437" s="4">
        <f t="shared" si="65"/>
        <v>349526.07999999996</v>
      </c>
      <c r="J1437" s="32" t="str">
        <f t="shared" si="64"/>
        <v/>
      </c>
      <c r="K1437" s="72"/>
      <c r="L1437" s="72"/>
      <c r="M1437" s="2"/>
      <c r="N1437" s="5"/>
      <c r="O1437" s="3"/>
      <c r="P1437" s="6"/>
      <c r="Q1437" s="48">
        <f>IF(Учет!$O1437=Справочники!$F$2,Учет!$H1437,0)</f>
        <v>0</v>
      </c>
      <c r="R1437" s="48">
        <f>IF(Учет!$O1437=Справочники!$F$3,Учет!$H1437,0)</f>
        <v>0</v>
      </c>
      <c r="S1437" s="48">
        <f>IF(Учет!$O1437=Справочники!$F$4,Учет!$H1437,0)</f>
        <v>0</v>
      </c>
      <c r="T1437" s="48">
        <f>IF(Учет!$O1437=Справочники!$F$5,Учет!$H1437,0)</f>
        <v>0</v>
      </c>
      <c r="U1437" s="48">
        <f>IF(Учет!$O1437=Справочники!$F$6,Учет!$H1437,0)</f>
        <v>0</v>
      </c>
      <c r="V1437" s="43">
        <f>V1436+Учет!Q1437-Q1437</f>
        <v>-488978.92000000004</v>
      </c>
      <c r="W1437" s="43">
        <f>W1436+Учет!R1437-R1437</f>
        <v>336855</v>
      </c>
      <c r="X1437" s="43">
        <f>X1436+Учет!S1437-S1437</f>
        <v>500</v>
      </c>
      <c r="Y1437" s="43">
        <f>Y1436+Учет!T1437-T1437</f>
        <v>1150</v>
      </c>
      <c r="Z1437" s="43">
        <f>Z1436+Учет!U1437-U1437</f>
        <v>500000</v>
      </c>
      <c r="AA1437" s="45">
        <f>Учет!X1437</f>
        <v>500</v>
      </c>
    </row>
    <row r="1438" spans="1:27" ht="15" customHeight="1" x14ac:dyDescent="0.25">
      <c r="A1438" s="1"/>
      <c r="B1438" s="17"/>
      <c r="C1438" s="17"/>
      <c r="D1438" s="17"/>
      <c r="E1438" s="17"/>
      <c r="F1438" s="17"/>
      <c r="G1438" s="4">
        <f t="shared" si="63"/>
        <v>0</v>
      </c>
      <c r="H1438" s="17"/>
      <c r="I1438" s="4">
        <f t="shared" si="65"/>
        <v>349526.07999999996</v>
      </c>
      <c r="J1438" s="32" t="str">
        <f t="shared" si="64"/>
        <v/>
      </c>
      <c r="K1438" s="72"/>
      <c r="L1438" s="72"/>
      <c r="M1438" s="2"/>
      <c r="N1438" s="5"/>
      <c r="O1438" s="3"/>
      <c r="P1438" s="6"/>
      <c r="Q1438" s="48">
        <f>IF(Учет!$O1438=Справочники!$F$2,Учет!$H1438,0)</f>
        <v>0</v>
      </c>
      <c r="R1438" s="48">
        <f>IF(Учет!$O1438=Справочники!$F$3,Учет!$H1438,0)</f>
        <v>0</v>
      </c>
      <c r="S1438" s="48">
        <f>IF(Учет!$O1438=Справочники!$F$4,Учет!$H1438,0)</f>
        <v>0</v>
      </c>
      <c r="T1438" s="48">
        <f>IF(Учет!$O1438=Справочники!$F$5,Учет!$H1438,0)</f>
        <v>0</v>
      </c>
      <c r="U1438" s="48">
        <f>IF(Учет!$O1438=Справочники!$F$6,Учет!$H1438,0)</f>
        <v>0</v>
      </c>
      <c r="V1438" s="43">
        <f>V1437+Учет!Q1438-Q1438</f>
        <v>-488978.92000000004</v>
      </c>
      <c r="W1438" s="43">
        <f>W1437+Учет!R1438-R1438</f>
        <v>336855</v>
      </c>
      <c r="X1438" s="43">
        <f>X1437+Учет!S1438-S1438</f>
        <v>500</v>
      </c>
      <c r="Y1438" s="43">
        <f>Y1437+Учет!T1438-T1438</f>
        <v>1150</v>
      </c>
      <c r="Z1438" s="43">
        <f>Z1437+Учет!U1438-U1438</f>
        <v>500000</v>
      </c>
      <c r="AA1438" s="45">
        <f>Учет!X1438</f>
        <v>500</v>
      </c>
    </row>
    <row r="1439" spans="1:27" ht="15" customHeight="1" x14ac:dyDescent="0.25">
      <c r="A1439" s="1"/>
      <c r="B1439" s="17"/>
      <c r="C1439" s="17"/>
      <c r="D1439" s="17"/>
      <c r="E1439" s="17"/>
      <c r="F1439" s="17"/>
      <c r="G1439" s="4">
        <f t="shared" si="63"/>
        <v>0</v>
      </c>
      <c r="H1439" s="17"/>
      <c r="I1439" s="4">
        <f t="shared" si="65"/>
        <v>349526.07999999996</v>
      </c>
      <c r="J1439" s="32" t="str">
        <f t="shared" si="64"/>
        <v/>
      </c>
      <c r="K1439" s="72"/>
      <c r="L1439" s="72"/>
      <c r="M1439" s="2"/>
      <c r="N1439" s="5"/>
      <c r="O1439" s="3"/>
      <c r="P1439" s="6"/>
      <c r="Q1439" s="48">
        <f>IF(Учет!$O1439=Справочники!$F$2,Учет!$H1439,0)</f>
        <v>0</v>
      </c>
      <c r="R1439" s="48">
        <f>IF(Учет!$O1439=Справочники!$F$3,Учет!$H1439,0)</f>
        <v>0</v>
      </c>
      <c r="S1439" s="48">
        <f>IF(Учет!$O1439=Справочники!$F$4,Учет!$H1439,0)</f>
        <v>0</v>
      </c>
      <c r="T1439" s="48">
        <f>IF(Учет!$O1439=Справочники!$F$5,Учет!$H1439,0)</f>
        <v>0</v>
      </c>
      <c r="U1439" s="48">
        <f>IF(Учет!$O1439=Справочники!$F$6,Учет!$H1439,0)</f>
        <v>0</v>
      </c>
      <c r="V1439" s="43">
        <f>V1438+Учет!Q1439-Q1439</f>
        <v>-488978.92000000004</v>
      </c>
      <c r="W1439" s="43">
        <f>W1438+Учет!R1439-R1439</f>
        <v>336855</v>
      </c>
      <c r="X1439" s="43">
        <f>X1438+Учет!S1439-S1439</f>
        <v>500</v>
      </c>
      <c r="Y1439" s="43">
        <f>Y1438+Учет!T1439-T1439</f>
        <v>1150</v>
      </c>
      <c r="Z1439" s="43">
        <f>Z1438+Учет!U1439-U1439</f>
        <v>500000</v>
      </c>
      <c r="AA1439" s="45">
        <f>Учет!X1439</f>
        <v>500</v>
      </c>
    </row>
    <row r="1440" spans="1:27" ht="15" customHeight="1" x14ac:dyDescent="0.25">
      <c r="A1440" s="1"/>
      <c r="B1440" s="17"/>
      <c r="C1440" s="17"/>
      <c r="D1440" s="17"/>
      <c r="E1440" s="17"/>
      <c r="F1440" s="17"/>
      <c r="G1440" s="4">
        <f t="shared" si="63"/>
        <v>0</v>
      </c>
      <c r="H1440" s="17"/>
      <c r="I1440" s="4">
        <f t="shared" si="65"/>
        <v>349526.07999999996</v>
      </c>
      <c r="J1440" s="32" t="str">
        <f t="shared" si="64"/>
        <v/>
      </c>
      <c r="K1440" s="72"/>
      <c r="L1440" s="72"/>
      <c r="M1440" s="2"/>
      <c r="N1440" s="5"/>
      <c r="O1440" s="3"/>
      <c r="P1440" s="6"/>
      <c r="Q1440" s="48">
        <f>IF(Учет!$O1440=Справочники!$F$2,Учет!$H1440,0)</f>
        <v>0</v>
      </c>
      <c r="R1440" s="48">
        <f>IF(Учет!$O1440=Справочники!$F$3,Учет!$H1440,0)</f>
        <v>0</v>
      </c>
      <c r="S1440" s="48">
        <f>IF(Учет!$O1440=Справочники!$F$4,Учет!$H1440,0)</f>
        <v>0</v>
      </c>
      <c r="T1440" s="48">
        <f>IF(Учет!$O1440=Справочники!$F$5,Учет!$H1440,0)</f>
        <v>0</v>
      </c>
      <c r="U1440" s="48">
        <f>IF(Учет!$O1440=Справочники!$F$6,Учет!$H1440,0)</f>
        <v>0</v>
      </c>
      <c r="V1440" s="43">
        <f>V1439+Учет!Q1440-Q1440</f>
        <v>-488978.92000000004</v>
      </c>
      <c r="W1440" s="43">
        <f>W1439+Учет!R1440-R1440</f>
        <v>336855</v>
      </c>
      <c r="X1440" s="43">
        <f>X1439+Учет!S1440-S1440</f>
        <v>500</v>
      </c>
      <c r="Y1440" s="43">
        <f>Y1439+Учет!T1440-T1440</f>
        <v>1150</v>
      </c>
      <c r="Z1440" s="43">
        <f>Z1439+Учет!U1440-U1440</f>
        <v>500000</v>
      </c>
      <c r="AA1440" s="45">
        <f>Учет!X1440</f>
        <v>500</v>
      </c>
    </row>
    <row r="1441" spans="1:27" ht="15" customHeight="1" x14ac:dyDescent="0.25">
      <c r="A1441" s="1"/>
      <c r="B1441" s="17"/>
      <c r="C1441" s="17"/>
      <c r="D1441" s="17"/>
      <c r="E1441" s="17"/>
      <c r="F1441" s="17"/>
      <c r="G1441" s="4">
        <f t="shared" si="63"/>
        <v>0</v>
      </c>
      <c r="H1441" s="17"/>
      <c r="I1441" s="4">
        <f t="shared" si="65"/>
        <v>349526.07999999996</v>
      </c>
      <c r="J1441" s="32" t="str">
        <f t="shared" si="64"/>
        <v/>
      </c>
      <c r="K1441" s="72"/>
      <c r="L1441" s="72"/>
      <c r="M1441" s="2"/>
      <c r="N1441" s="5"/>
      <c r="O1441" s="3"/>
      <c r="P1441" s="6"/>
      <c r="Q1441" s="48">
        <f>IF(Учет!$O1441=Справочники!$F$2,Учет!$H1441,0)</f>
        <v>0</v>
      </c>
      <c r="R1441" s="48">
        <f>IF(Учет!$O1441=Справочники!$F$3,Учет!$H1441,0)</f>
        <v>0</v>
      </c>
      <c r="S1441" s="48">
        <f>IF(Учет!$O1441=Справочники!$F$4,Учет!$H1441,0)</f>
        <v>0</v>
      </c>
      <c r="T1441" s="48">
        <f>IF(Учет!$O1441=Справочники!$F$5,Учет!$H1441,0)</f>
        <v>0</v>
      </c>
      <c r="U1441" s="48">
        <f>IF(Учет!$O1441=Справочники!$F$6,Учет!$H1441,0)</f>
        <v>0</v>
      </c>
      <c r="V1441" s="43">
        <f>V1440+Учет!Q1441-Q1441</f>
        <v>-488978.92000000004</v>
      </c>
      <c r="W1441" s="43">
        <f>W1440+Учет!R1441-R1441</f>
        <v>336855</v>
      </c>
      <c r="X1441" s="43">
        <f>X1440+Учет!S1441-S1441</f>
        <v>500</v>
      </c>
      <c r="Y1441" s="43">
        <f>Y1440+Учет!T1441-T1441</f>
        <v>1150</v>
      </c>
      <c r="Z1441" s="43">
        <f>Z1440+Учет!U1441-U1441</f>
        <v>500000</v>
      </c>
      <c r="AA1441" s="45">
        <f>Учет!X1441</f>
        <v>500</v>
      </c>
    </row>
    <row r="1442" spans="1:27" ht="15" customHeight="1" x14ac:dyDescent="0.25">
      <c r="A1442" s="1"/>
      <c r="B1442" s="17"/>
      <c r="C1442" s="17"/>
      <c r="D1442" s="17"/>
      <c r="E1442" s="17"/>
      <c r="F1442" s="17"/>
      <c r="G1442" s="4">
        <f t="shared" si="63"/>
        <v>0</v>
      </c>
      <c r="H1442" s="17"/>
      <c r="I1442" s="4">
        <f t="shared" si="65"/>
        <v>349526.07999999996</v>
      </c>
      <c r="J1442" s="32" t="str">
        <f t="shared" si="64"/>
        <v/>
      </c>
      <c r="K1442" s="72"/>
      <c r="L1442" s="72"/>
      <c r="M1442" s="2"/>
      <c r="N1442" s="5"/>
      <c r="O1442" s="3"/>
      <c r="P1442" s="6"/>
      <c r="Q1442" s="48">
        <f>IF(Учет!$O1442=Справочники!$F$2,Учет!$H1442,0)</f>
        <v>0</v>
      </c>
      <c r="R1442" s="48">
        <f>IF(Учет!$O1442=Справочники!$F$3,Учет!$H1442,0)</f>
        <v>0</v>
      </c>
      <c r="S1442" s="48">
        <f>IF(Учет!$O1442=Справочники!$F$4,Учет!$H1442,0)</f>
        <v>0</v>
      </c>
      <c r="T1442" s="48">
        <f>IF(Учет!$O1442=Справочники!$F$5,Учет!$H1442,0)</f>
        <v>0</v>
      </c>
      <c r="U1442" s="48">
        <f>IF(Учет!$O1442=Справочники!$F$6,Учет!$H1442,0)</f>
        <v>0</v>
      </c>
      <c r="V1442" s="43">
        <f>V1441+Учет!Q1442-Q1442</f>
        <v>-488978.92000000004</v>
      </c>
      <c r="W1442" s="43">
        <f>W1441+Учет!R1442-R1442</f>
        <v>336855</v>
      </c>
      <c r="X1442" s="43">
        <f>X1441+Учет!S1442-S1442</f>
        <v>500</v>
      </c>
      <c r="Y1442" s="43">
        <f>Y1441+Учет!T1442-T1442</f>
        <v>1150</v>
      </c>
      <c r="Z1442" s="43">
        <f>Z1441+Учет!U1442-U1442</f>
        <v>500000</v>
      </c>
      <c r="AA1442" s="45">
        <f>Учет!X1442</f>
        <v>500</v>
      </c>
    </row>
    <row r="1443" spans="1:27" ht="15" customHeight="1" x14ac:dyDescent="0.25">
      <c r="A1443" s="1"/>
      <c r="B1443" s="17"/>
      <c r="C1443" s="17"/>
      <c r="D1443" s="17"/>
      <c r="E1443" s="17"/>
      <c r="F1443" s="17"/>
      <c r="G1443" s="4">
        <f t="shared" si="63"/>
        <v>0</v>
      </c>
      <c r="H1443" s="17"/>
      <c r="I1443" s="4">
        <f t="shared" si="65"/>
        <v>349526.07999999996</v>
      </c>
      <c r="J1443" s="32" t="str">
        <f t="shared" si="64"/>
        <v/>
      </c>
      <c r="K1443" s="72"/>
      <c r="L1443" s="72"/>
      <c r="M1443" s="2"/>
      <c r="N1443" s="5"/>
      <c r="O1443" s="3"/>
      <c r="P1443" s="6"/>
      <c r="Q1443" s="48">
        <f>IF(Учет!$O1443=Справочники!$F$2,Учет!$H1443,0)</f>
        <v>0</v>
      </c>
      <c r="R1443" s="48">
        <f>IF(Учет!$O1443=Справочники!$F$3,Учет!$H1443,0)</f>
        <v>0</v>
      </c>
      <c r="S1443" s="48">
        <f>IF(Учет!$O1443=Справочники!$F$4,Учет!$H1443,0)</f>
        <v>0</v>
      </c>
      <c r="T1443" s="48">
        <f>IF(Учет!$O1443=Справочники!$F$5,Учет!$H1443,0)</f>
        <v>0</v>
      </c>
      <c r="U1443" s="48">
        <f>IF(Учет!$O1443=Справочники!$F$6,Учет!$H1443,0)</f>
        <v>0</v>
      </c>
      <c r="V1443" s="43">
        <f>V1442+Учет!Q1443-Q1443</f>
        <v>-488978.92000000004</v>
      </c>
      <c r="W1443" s="43">
        <f>W1442+Учет!R1443-R1443</f>
        <v>336855</v>
      </c>
      <c r="X1443" s="43">
        <f>X1442+Учет!S1443-S1443</f>
        <v>500</v>
      </c>
      <c r="Y1443" s="43">
        <f>Y1442+Учет!T1443-T1443</f>
        <v>1150</v>
      </c>
      <c r="Z1443" s="43">
        <f>Z1442+Учет!U1443-U1443</f>
        <v>500000</v>
      </c>
      <c r="AA1443" s="45">
        <f>Учет!X1443</f>
        <v>500</v>
      </c>
    </row>
    <row r="1444" spans="1:27" ht="15" customHeight="1" x14ac:dyDescent="0.25">
      <c r="A1444" s="1"/>
      <c r="B1444" s="17"/>
      <c r="C1444" s="17"/>
      <c r="D1444" s="17"/>
      <c r="E1444" s="17"/>
      <c r="F1444" s="17"/>
      <c r="G1444" s="4">
        <f t="shared" si="63"/>
        <v>0</v>
      </c>
      <c r="H1444" s="17"/>
      <c r="I1444" s="4">
        <f t="shared" si="65"/>
        <v>349526.07999999996</v>
      </c>
      <c r="J1444" s="32" t="str">
        <f t="shared" si="64"/>
        <v/>
      </c>
      <c r="K1444" s="72"/>
      <c r="L1444" s="72"/>
      <c r="M1444" s="2"/>
      <c r="N1444" s="5"/>
      <c r="O1444" s="3"/>
      <c r="P1444" s="6"/>
      <c r="Q1444" s="48">
        <f>IF(Учет!$O1444=Справочники!$F$2,Учет!$H1444,0)</f>
        <v>0</v>
      </c>
      <c r="R1444" s="48">
        <f>IF(Учет!$O1444=Справочники!$F$3,Учет!$H1444,0)</f>
        <v>0</v>
      </c>
      <c r="S1444" s="48">
        <f>IF(Учет!$O1444=Справочники!$F$4,Учет!$H1444,0)</f>
        <v>0</v>
      </c>
      <c r="T1444" s="48">
        <f>IF(Учет!$O1444=Справочники!$F$5,Учет!$H1444,0)</f>
        <v>0</v>
      </c>
      <c r="U1444" s="48">
        <f>IF(Учет!$O1444=Справочники!$F$6,Учет!$H1444,0)</f>
        <v>0</v>
      </c>
      <c r="V1444" s="43">
        <f>V1443+Учет!Q1444-Q1444</f>
        <v>-488978.92000000004</v>
      </c>
      <c r="W1444" s="43">
        <f>W1443+Учет!R1444-R1444</f>
        <v>336855</v>
      </c>
      <c r="X1444" s="43">
        <f>X1443+Учет!S1444-S1444</f>
        <v>500</v>
      </c>
      <c r="Y1444" s="43">
        <f>Y1443+Учет!T1444-T1444</f>
        <v>1150</v>
      </c>
      <c r="Z1444" s="43">
        <f>Z1443+Учет!U1444-U1444</f>
        <v>500000</v>
      </c>
      <c r="AA1444" s="45">
        <f>Учет!X1444</f>
        <v>500</v>
      </c>
    </row>
    <row r="1445" spans="1:27" ht="15" customHeight="1" x14ac:dyDescent="0.25">
      <c r="A1445" s="1"/>
      <c r="B1445" s="17"/>
      <c r="C1445" s="17"/>
      <c r="D1445" s="17"/>
      <c r="E1445" s="17"/>
      <c r="F1445" s="17"/>
      <c r="G1445" s="4">
        <f t="shared" si="63"/>
        <v>0</v>
      </c>
      <c r="H1445" s="17"/>
      <c r="I1445" s="4">
        <f t="shared" si="65"/>
        <v>349526.07999999996</v>
      </c>
      <c r="J1445" s="32" t="str">
        <f t="shared" si="64"/>
        <v/>
      </c>
      <c r="K1445" s="72"/>
      <c r="L1445" s="72"/>
      <c r="M1445" s="2"/>
      <c r="N1445" s="5"/>
      <c r="O1445" s="3"/>
      <c r="P1445" s="6"/>
      <c r="Q1445" s="48">
        <f>IF(Учет!$O1445=Справочники!$F$2,Учет!$H1445,0)</f>
        <v>0</v>
      </c>
      <c r="R1445" s="48">
        <f>IF(Учет!$O1445=Справочники!$F$3,Учет!$H1445,0)</f>
        <v>0</v>
      </c>
      <c r="S1445" s="48">
        <f>IF(Учет!$O1445=Справочники!$F$4,Учет!$H1445,0)</f>
        <v>0</v>
      </c>
      <c r="T1445" s="48">
        <f>IF(Учет!$O1445=Справочники!$F$5,Учет!$H1445,0)</f>
        <v>0</v>
      </c>
      <c r="U1445" s="48">
        <f>IF(Учет!$O1445=Справочники!$F$6,Учет!$H1445,0)</f>
        <v>0</v>
      </c>
      <c r="V1445" s="43">
        <f>V1444+Учет!Q1445-Q1445</f>
        <v>-488978.92000000004</v>
      </c>
      <c r="W1445" s="43">
        <f>W1444+Учет!R1445-R1445</f>
        <v>336855</v>
      </c>
      <c r="X1445" s="43">
        <f>X1444+Учет!S1445-S1445</f>
        <v>500</v>
      </c>
      <c r="Y1445" s="43">
        <f>Y1444+Учет!T1445-T1445</f>
        <v>1150</v>
      </c>
      <c r="Z1445" s="43">
        <f>Z1444+Учет!U1445-U1445</f>
        <v>500000</v>
      </c>
      <c r="AA1445" s="45">
        <f>Учет!X1445</f>
        <v>500</v>
      </c>
    </row>
    <row r="1446" spans="1:27" ht="15" customHeight="1" x14ac:dyDescent="0.25">
      <c r="A1446" s="1"/>
      <c r="B1446" s="17"/>
      <c r="C1446" s="17"/>
      <c r="D1446" s="17"/>
      <c r="E1446" s="17"/>
      <c r="F1446" s="17"/>
      <c r="G1446" s="4">
        <f t="shared" si="63"/>
        <v>0</v>
      </c>
      <c r="H1446" s="17"/>
      <c r="I1446" s="4">
        <f t="shared" si="65"/>
        <v>349526.07999999996</v>
      </c>
      <c r="J1446" s="32" t="str">
        <f t="shared" si="64"/>
        <v/>
      </c>
      <c r="K1446" s="72"/>
      <c r="L1446" s="72"/>
      <c r="M1446" s="2"/>
      <c r="N1446" s="5"/>
      <c r="O1446" s="3"/>
      <c r="P1446" s="6"/>
      <c r="Q1446" s="48">
        <f>IF(Учет!$O1446=Справочники!$F$2,Учет!$H1446,0)</f>
        <v>0</v>
      </c>
      <c r="R1446" s="48">
        <f>IF(Учет!$O1446=Справочники!$F$3,Учет!$H1446,0)</f>
        <v>0</v>
      </c>
      <c r="S1446" s="48">
        <f>IF(Учет!$O1446=Справочники!$F$4,Учет!$H1446,0)</f>
        <v>0</v>
      </c>
      <c r="T1446" s="48">
        <f>IF(Учет!$O1446=Справочники!$F$5,Учет!$H1446,0)</f>
        <v>0</v>
      </c>
      <c r="U1446" s="48">
        <f>IF(Учет!$O1446=Справочники!$F$6,Учет!$H1446,0)</f>
        <v>0</v>
      </c>
      <c r="V1446" s="43">
        <f>V1445+Учет!Q1446-Q1446</f>
        <v>-488978.92000000004</v>
      </c>
      <c r="W1446" s="43">
        <f>W1445+Учет!R1446-R1446</f>
        <v>336855</v>
      </c>
      <c r="X1446" s="43">
        <f>X1445+Учет!S1446-S1446</f>
        <v>500</v>
      </c>
      <c r="Y1446" s="43">
        <f>Y1445+Учет!T1446-T1446</f>
        <v>1150</v>
      </c>
      <c r="Z1446" s="43">
        <f>Z1445+Учет!U1446-U1446</f>
        <v>500000</v>
      </c>
      <c r="AA1446" s="45">
        <f>Учет!X1446</f>
        <v>500</v>
      </c>
    </row>
    <row r="1447" spans="1:27" ht="15" customHeight="1" x14ac:dyDescent="0.25">
      <c r="A1447" s="1"/>
      <c r="B1447" s="17"/>
      <c r="C1447" s="17"/>
      <c r="D1447" s="17"/>
      <c r="E1447" s="17"/>
      <c r="F1447" s="17"/>
      <c r="G1447" s="4">
        <f t="shared" si="63"/>
        <v>0</v>
      </c>
      <c r="H1447" s="17"/>
      <c r="I1447" s="4">
        <f t="shared" si="65"/>
        <v>349526.07999999996</v>
      </c>
      <c r="J1447" s="32" t="str">
        <f t="shared" si="64"/>
        <v/>
      </c>
      <c r="K1447" s="72"/>
      <c r="L1447" s="72"/>
      <c r="M1447" s="2"/>
      <c r="N1447" s="5"/>
      <c r="O1447" s="3"/>
      <c r="P1447" s="6"/>
      <c r="Q1447" s="48">
        <f>IF(Учет!$O1447=Справочники!$F$2,Учет!$H1447,0)</f>
        <v>0</v>
      </c>
      <c r="R1447" s="48">
        <f>IF(Учет!$O1447=Справочники!$F$3,Учет!$H1447,0)</f>
        <v>0</v>
      </c>
      <c r="S1447" s="48">
        <f>IF(Учет!$O1447=Справочники!$F$4,Учет!$H1447,0)</f>
        <v>0</v>
      </c>
      <c r="T1447" s="48">
        <f>IF(Учет!$O1447=Справочники!$F$5,Учет!$H1447,0)</f>
        <v>0</v>
      </c>
      <c r="U1447" s="48">
        <f>IF(Учет!$O1447=Справочники!$F$6,Учет!$H1447,0)</f>
        <v>0</v>
      </c>
      <c r="V1447" s="43">
        <f>V1446+Учет!Q1447-Q1447</f>
        <v>-488978.92000000004</v>
      </c>
      <c r="W1447" s="43">
        <f>W1446+Учет!R1447-R1447</f>
        <v>336855</v>
      </c>
      <c r="X1447" s="43">
        <f>X1446+Учет!S1447-S1447</f>
        <v>500</v>
      </c>
      <c r="Y1447" s="43">
        <f>Y1446+Учет!T1447-T1447</f>
        <v>1150</v>
      </c>
      <c r="Z1447" s="43">
        <f>Z1446+Учет!U1447-U1447</f>
        <v>500000</v>
      </c>
      <c r="AA1447" s="45">
        <f>Учет!X1447</f>
        <v>500</v>
      </c>
    </row>
    <row r="1448" spans="1:27" ht="15" customHeight="1" x14ac:dyDescent="0.25">
      <c r="A1448" s="1"/>
      <c r="B1448" s="17"/>
      <c r="C1448" s="17"/>
      <c r="D1448" s="17"/>
      <c r="E1448" s="17"/>
      <c r="F1448" s="17"/>
      <c r="G1448" s="4">
        <f t="shared" si="63"/>
        <v>0</v>
      </c>
      <c r="H1448" s="17"/>
      <c r="I1448" s="4">
        <f t="shared" si="65"/>
        <v>349526.07999999996</v>
      </c>
      <c r="J1448" s="32" t="str">
        <f t="shared" si="64"/>
        <v/>
      </c>
      <c r="K1448" s="72"/>
      <c r="L1448" s="72"/>
      <c r="M1448" s="2"/>
      <c r="N1448" s="5"/>
      <c r="O1448" s="3"/>
      <c r="P1448" s="6"/>
      <c r="Q1448" s="48">
        <f>IF(Учет!$O1448=Справочники!$F$2,Учет!$H1448,0)</f>
        <v>0</v>
      </c>
      <c r="R1448" s="48">
        <f>IF(Учет!$O1448=Справочники!$F$3,Учет!$H1448,0)</f>
        <v>0</v>
      </c>
      <c r="S1448" s="48">
        <f>IF(Учет!$O1448=Справочники!$F$4,Учет!$H1448,0)</f>
        <v>0</v>
      </c>
      <c r="T1448" s="48">
        <f>IF(Учет!$O1448=Справочники!$F$5,Учет!$H1448,0)</f>
        <v>0</v>
      </c>
      <c r="U1448" s="48">
        <f>IF(Учет!$O1448=Справочники!$F$6,Учет!$H1448,0)</f>
        <v>0</v>
      </c>
      <c r="V1448" s="43">
        <f>V1447+Учет!Q1448-Q1448</f>
        <v>-488978.92000000004</v>
      </c>
      <c r="W1448" s="43">
        <f>W1447+Учет!R1448-R1448</f>
        <v>336855</v>
      </c>
      <c r="X1448" s="43">
        <f>X1447+Учет!S1448-S1448</f>
        <v>500</v>
      </c>
      <c r="Y1448" s="43">
        <f>Y1447+Учет!T1448-T1448</f>
        <v>1150</v>
      </c>
      <c r="Z1448" s="43">
        <f>Z1447+Учет!U1448-U1448</f>
        <v>500000</v>
      </c>
      <c r="AA1448" s="45">
        <f>Учет!X1448</f>
        <v>500</v>
      </c>
    </row>
    <row r="1449" spans="1:27" ht="15" customHeight="1" x14ac:dyDescent="0.25">
      <c r="A1449" s="1"/>
      <c r="B1449" s="17"/>
      <c r="C1449" s="17"/>
      <c r="D1449" s="17"/>
      <c r="E1449" s="17"/>
      <c r="F1449" s="17"/>
      <c r="G1449" s="4">
        <f t="shared" si="63"/>
        <v>0</v>
      </c>
      <c r="H1449" s="17"/>
      <c r="I1449" s="4">
        <f t="shared" si="65"/>
        <v>349526.07999999996</v>
      </c>
      <c r="J1449" s="32" t="str">
        <f t="shared" si="64"/>
        <v/>
      </c>
      <c r="K1449" s="72"/>
      <c r="L1449" s="72"/>
      <c r="M1449" s="2"/>
      <c r="N1449" s="5"/>
      <c r="O1449" s="3"/>
      <c r="P1449" s="6"/>
      <c r="Q1449" s="48">
        <f>IF(Учет!$O1449=Справочники!$F$2,Учет!$H1449,0)</f>
        <v>0</v>
      </c>
      <c r="R1449" s="48">
        <f>IF(Учет!$O1449=Справочники!$F$3,Учет!$H1449,0)</f>
        <v>0</v>
      </c>
      <c r="S1449" s="48">
        <f>IF(Учет!$O1449=Справочники!$F$4,Учет!$H1449,0)</f>
        <v>0</v>
      </c>
      <c r="T1449" s="48">
        <f>IF(Учет!$O1449=Справочники!$F$5,Учет!$H1449,0)</f>
        <v>0</v>
      </c>
      <c r="U1449" s="48">
        <f>IF(Учет!$O1449=Справочники!$F$6,Учет!$H1449,0)</f>
        <v>0</v>
      </c>
      <c r="V1449" s="43">
        <f>V1448+Учет!Q1449-Q1449</f>
        <v>-488978.92000000004</v>
      </c>
      <c r="W1449" s="43">
        <f>W1448+Учет!R1449-R1449</f>
        <v>336855</v>
      </c>
      <c r="X1449" s="43">
        <f>X1448+Учет!S1449-S1449</f>
        <v>500</v>
      </c>
      <c r="Y1449" s="43">
        <f>Y1448+Учет!T1449-T1449</f>
        <v>1150</v>
      </c>
      <c r="Z1449" s="43">
        <f>Z1448+Учет!U1449-U1449</f>
        <v>500000</v>
      </c>
      <c r="AA1449" s="45">
        <f>Учет!X1449</f>
        <v>500</v>
      </c>
    </row>
    <row r="1450" spans="1:27" ht="15" customHeight="1" x14ac:dyDescent="0.25">
      <c r="A1450" s="1"/>
      <c r="B1450" s="17"/>
      <c r="C1450" s="17"/>
      <c r="D1450" s="17"/>
      <c r="E1450" s="17"/>
      <c r="F1450" s="17"/>
      <c r="G1450" s="4">
        <f t="shared" si="63"/>
        <v>0</v>
      </c>
      <c r="H1450" s="17"/>
      <c r="I1450" s="4">
        <f t="shared" si="65"/>
        <v>349526.07999999996</v>
      </c>
      <c r="J1450" s="32" t="str">
        <f t="shared" si="64"/>
        <v/>
      </c>
      <c r="K1450" s="72"/>
      <c r="L1450" s="72"/>
      <c r="M1450" s="2"/>
      <c r="N1450" s="5"/>
      <c r="O1450" s="3"/>
      <c r="P1450" s="6"/>
      <c r="Q1450" s="48">
        <f>IF(Учет!$O1450=Справочники!$F$2,Учет!$H1450,0)</f>
        <v>0</v>
      </c>
      <c r="R1450" s="48">
        <f>IF(Учет!$O1450=Справочники!$F$3,Учет!$H1450,0)</f>
        <v>0</v>
      </c>
      <c r="S1450" s="48">
        <f>IF(Учет!$O1450=Справочники!$F$4,Учет!$H1450,0)</f>
        <v>0</v>
      </c>
      <c r="T1450" s="48">
        <f>IF(Учет!$O1450=Справочники!$F$5,Учет!$H1450,0)</f>
        <v>0</v>
      </c>
      <c r="U1450" s="48">
        <f>IF(Учет!$O1450=Справочники!$F$6,Учет!$H1450,0)</f>
        <v>0</v>
      </c>
      <c r="V1450" s="43">
        <f>V1449+Учет!Q1450-Q1450</f>
        <v>-488978.92000000004</v>
      </c>
      <c r="W1450" s="43">
        <f>W1449+Учет!R1450-R1450</f>
        <v>336855</v>
      </c>
      <c r="X1450" s="43">
        <f>X1449+Учет!S1450-S1450</f>
        <v>500</v>
      </c>
      <c r="Y1450" s="43">
        <f>Y1449+Учет!T1450-T1450</f>
        <v>1150</v>
      </c>
      <c r="Z1450" s="43">
        <f>Z1449+Учет!U1450-U1450</f>
        <v>500000</v>
      </c>
      <c r="AA1450" s="45">
        <f>Учет!X1450</f>
        <v>500</v>
      </c>
    </row>
    <row r="1451" spans="1:27" ht="15" customHeight="1" x14ac:dyDescent="0.25">
      <c r="A1451" s="1"/>
      <c r="B1451" s="17"/>
      <c r="C1451" s="17"/>
      <c r="D1451" s="17"/>
      <c r="E1451" s="17"/>
      <c r="F1451" s="17"/>
      <c r="G1451" s="4">
        <f t="shared" si="63"/>
        <v>0</v>
      </c>
      <c r="H1451" s="17"/>
      <c r="I1451" s="4">
        <f t="shared" si="65"/>
        <v>349526.07999999996</v>
      </c>
      <c r="J1451" s="32" t="str">
        <f t="shared" si="64"/>
        <v/>
      </c>
      <c r="K1451" s="72"/>
      <c r="L1451" s="72"/>
      <c r="M1451" s="2"/>
      <c r="N1451" s="5"/>
      <c r="O1451" s="3"/>
      <c r="P1451" s="6"/>
      <c r="Q1451" s="48">
        <f>IF(Учет!$O1451=Справочники!$F$2,Учет!$H1451,0)</f>
        <v>0</v>
      </c>
      <c r="R1451" s="48">
        <f>IF(Учет!$O1451=Справочники!$F$3,Учет!$H1451,0)</f>
        <v>0</v>
      </c>
      <c r="S1451" s="48">
        <f>IF(Учет!$O1451=Справочники!$F$4,Учет!$H1451,0)</f>
        <v>0</v>
      </c>
      <c r="T1451" s="48">
        <f>IF(Учет!$O1451=Справочники!$F$5,Учет!$H1451,0)</f>
        <v>0</v>
      </c>
      <c r="U1451" s="48">
        <f>IF(Учет!$O1451=Справочники!$F$6,Учет!$H1451,0)</f>
        <v>0</v>
      </c>
      <c r="V1451" s="43">
        <f>V1450+Учет!Q1451-Q1451</f>
        <v>-488978.92000000004</v>
      </c>
      <c r="W1451" s="43">
        <f>W1450+Учет!R1451-R1451</f>
        <v>336855</v>
      </c>
      <c r="X1451" s="43">
        <f>X1450+Учет!S1451-S1451</f>
        <v>500</v>
      </c>
      <c r="Y1451" s="43">
        <f>Y1450+Учет!T1451-T1451</f>
        <v>1150</v>
      </c>
      <c r="Z1451" s="43">
        <f>Z1450+Учет!U1451-U1451</f>
        <v>500000</v>
      </c>
      <c r="AA1451" s="45">
        <f>Учет!X1451</f>
        <v>500</v>
      </c>
    </row>
    <row r="1452" spans="1:27" ht="15" customHeight="1" x14ac:dyDescent="0.25">
      <c r="A1452" s="1"/>
      <c r="B1452" s="17"/>
      <c r="C1452" s="17"/>
      <c r="D1452" s="17"/>
      <c r="E1452" s="17"/>
      <c r="F1452" s="17"/>
      <c r="G1452" s="4">
        <f t="shared" si="63"/>
        <v>0</v>
      </c>
      <c r="H1452" s="17"/>
      <c r="I1452" s="4">
        <f t="shared" si="65"/>
        <v>349526.07999999996</v>
      </c>
      <c r="J1452" s="32" t="str">
        <f t="shared" si="64"/>
        <v/>
      </c>
      <c r="K1452" s="72"/>
      <c r="L1452" s="72"/>
      <c r="M1452" s="2"/>
      <c r="N1452" s="5"/>
      <c r="O1452" s="3"/>
      <c r="P1452" s="6"/>
      <c r="Q1452" s="48">
        <f>IF(Учет!$O1452=Справочники!$F$2,Учет!$H1452,0)</f>
        <v>0</v>
      </c>
      <c r="R1452" s="48">
        <f>IF(Учет!$O1452=Справочники!$F$3,Учет!$H1452,0)</f>
        <v>0</v>
      </c>
      <c r="S1452" s="48">
        <f>IF(Учет!$O1452=Справочники!$F$4,Учет!$H1452,0)</f>
        <v>0</v>
      </c>
      <c r="T1452" s="48">
        <f>IF(Учет!$O1452=Справочники!$F$5,Учет!$H1452,0)</f>
        <v>0</v>
      </c>
      <c r="U1452" s="48">
        <f>IF(Учет!$O1452=Справочники!$F$6,Учет!$H1452,0)</f>
        <v>0</v>
      </c>
      <c r="V1452" s="43">
        <f>V1451+Учет!Q1452-Q1452</f>
        <v>-488978.92000000004</v>
      </c>
      <c r="W1452" s="43">
        <f>W1451+Учет!R1452-R1452</f>
        <v>336855</v>
      </c>
      <c r="X1452" s="43">
        <f>X1451+Учет!S1452-S1452</f>
        <v>500</v>
      </c>
      <c r="Y1452" s="43">
        <f>Y1451+Учет!T1452-T1452</f>
        <v>1150</v>
      </c>
      <c r="Z1452" s="43">
        <f>Z1451+Учет!U1452-U1452</f>
        <v>500000</v>
      </c>
      <c r="AA1452" s="45">
        <f>Учет!X1452</f>
        <v>500</v>
      </c>
    </row>
    <row r="1453" spans="1:27" ht="15" customHeight="1" x14ac:dyDescent="0.25">
      <c r="A1453" s="1"/>
      <c r="B1453" s="17"/>
      <c r="C1453" s="17"/>
      <c r="D1453" s="17"/>
      <c r="E1453" s="17"/>
      <c r="F1453" s="17"/>
      <c r="G1453" s="4">
        <f t="shared" si="63"/>
        <v>0</v>
      </c>
      <c r="H1453" s="17"/>
      <c r="I1453" s="4">
        <f t="shared" si="65"/>
        <v>349526.07999999996</v>
      </c>
      <c r="J1453" s="32" t="str">
        <f t="shared" si="64"/>
        <v/>
      </c>
      <c r="K1453" s="72"/>
      <c r="L1453" s="72"/>
      <c r="M1453" s="2"/>
      <c r="N1453" s="5"/>
      <c r="O1453" s="3"/>
      <c r="P1453" s="6"/>
      <c r="Q1453" s="48">
        <f>IF(Учет!$O1453=Справочники!$F$2,Учет!$H1453,0)</f>
        <v>0</v>
      </c>
      <c r="R1453" s="48">
        <f>IF(Учет!$O1453=Справочники!$F$3,Учет!$H1453,0)</f>
        <v>0</v>
      </c>
      <c r="S1453" s="48">
        <f>IF(Учет!$O1453=Справочники!$F$4,Учет!$H1453,0)</f>
        <v>0</v>
      </c>
      <c r="T1453" s="48">
        <f>IF(Учет!$O1453=Справочники!$F$5,Учет!$H1453,0)</f>
        <v>0</v>
      </c>
      <c r="U1453" s="48">
        <f>IF(Учет!$O1453=Справочники!$F$6,Учет!$H1453,0)</f>
        <v>0</v>
      </c>
      <c r="V1453" s="43">
        <f>V1452+Учет!Q1453-Q1453</f>
        <v>-488978.92000000004</v>
      </c>
      <c r="W1453" s="43">
        <f>W1452+Учет!R1453-R1453</f>
        <v>336855</v>
      </c>
      <c r="X1453" s="43">
        <f>X1452+Учет!S1453-S1453</f>
        <v>500</v>
      </c>
      <c r="Y1453" s="43">
        <f>Y1452+Учет!T1453-T1453</f>
        <v>1150</v>
      </c>
      <c r="Z1453" s="43">
        <f>Z1452+Учет!U1453-U1453</f>
        <v>500000</v>
      </c>
      <c r="AA1453" s="45">
        <f>Учет!X1453</f>
        <v>500</v>
      </c>
    </row>
    <row r="1454" spans="1:27" ht="15" customHeight="1" x14ac:dyDescent="0.25">
      <c r="A1454" s="1"/>
      <c r="B1454" s="17"/>
      <c r="C1454" s="17"/>
      <c r="D1454" s="17"/>
      <c r="E1454" s="17"/>
      <c r="F1454" s="17"/>
      <c r="G1454" s="4">
        <f t="shared" si="63"/>
        <v>0</v>
      </c>
      <c r="H1454" s="17"/>
      <c r="I1454" s="4">
        <f t="shared" si="65"/>
        <v>349526.07999999996</v>
      </c>
      <c r="J1454" s="32" t="str">
        <f t="shared" si="64"/>
        <v/>
      </c>
      <c r="K1454" s="72"/>
      <c r="L1454" s="72"/>
      <c r="M1454" s="2"/>
      <c r="N1454" s="5"/>
      <c r="O1454" s="3"/>
      <c r="P1454" s="6"/>
      <c r="Q1454" s="48">
        <f>IF(Учет!$O1454=Справочники!$F$2,Учет!$H1454,0)</f>
        <v>0</v>
      </c>
      <c r="R1454" s="48">
        <f>IF(Учет!$O1454=Справочники!$F$3,Учет!$H1454,0)</f>
        <v>0</v>
      </c>
      <c r="S1454" s="48">
        <f>IF(Учет!$O1454=Справочники!$F$4,Учет!$H1454,0)</f>
        <v>0</v>
      </c>
      <c r="T1454" s="48">
        <f>IF(Учет!$O1454=Справочники!$F$5,Учет!$H1454,0)</f>
        <v>0</v>
      </c>
      <c r="U1454" s="48">
        <f>IF(Учет!$O1454=Справочники!$F$6,Учет!$H1454,0)</f>
        <v>0</v>
      </c>
      <c r="V1454" s="43">
        <f>V1453+Учет!Q1454-Q1454</f>
        <v>-488978.92000000004</v>
      </c>
      <c r="W1454" s="43">
        <f>W1453+Учет!R1454-R1454</f>
        <v>336855</v>
      </c>
      <c r="X1454" s="43">
        <f>X1453+Учет!S1454-S1454</f>
        <v>500</v>
      </c>
      <c r="Y1454" s="43">
        <f>Y1453+Учет!T1454-T1454</f>
        <v>1150</v>
      </c>
      <c r="Z1454" s="43">
        <f>Z1453+Учет!U1454-U1454</f>
        <v>500000</v>
      </c>
      <c r="AA1454" s="45">
        <f>Учет!X1454</f>
        <v>500</v>
      </c>
    </row>
    <row r="1455" spans="1:27" ht="15" customHeight="1" x14ac:dyDescent="0.25">
      <c r="A1455" s="1"/>
      <c r="B1455" s="17"/>
      <c r="C1455" s="17"/>
      <c r="D1455" s="17"/>
      <c r="E1455" s="17"/>
      <c r="F1455" s="17"/>
      <c r="G1455" s="4">
        <f t="shared" si="63"/>
        <v>0</v>
      </c>
      <c r="H1455" s="17"/>
      <c r="I1455" s="4">
        <f t="shared" si="65"/>
        <v>349526.07999999996</v>
      </c>
      <c r="J1455" s="32" t="str">
        <f t="shared" si="64"/>
        <v/>
      </c>
      <c r="K1455" s="72"/>
      <c r="L1455" s="72"/>
      <c r="M1455" s="2"/>
      <c r="N1455" s="5"/>
      <c r="O1455" s="3"/>
      <c r="P1455" s="6"/>
      <c r="Q1455" s="48">
        <f>IF(Учет!$O1455=Справочники!$F$2,Учет!$H1455,0)</f>
        <v>0</v>
      </c>
      <c r="R1455" s="48">
        <f>IF(Учет!$O1455=Справочники!$F$3,Учет!$H1455,0)</f>
        <v>0</v>
      </c>
      <c r="S1455" s="48">
        <f>IF(Учет!$O1455=Справочники!$F$4,Учет!$H1455,0)</f>
        <v>0</v>
      </c>
      <c r="T1455" s="48">
        <f>IF(Учет!$O1455=Справочники!$F$5,Учет!$H1455,0)</f>
        <v>0</v>
      </c>
      <c r="U1455" s="48">
        <f>IF(Учет!$O1455=Справочники!$F$6,Учет!$H1455,0)</f>
        <v>0</v>
      </c>
      <c r="V1455" s="43">
        <f>V1454+Учет!Q1455-Q1455</f>
        <v>-488978.92000000004</v>
      </c>
      <c r="W1455" s="43">
        <f>W1454+Учет!R1455-R1455</f>
        <v>336855</v>
      </c>
      <c r="X1455" s="43">
        <f>X1454+Учет!S1455-S1455</f>
        <v>500</v>
      </c>
      <c r="Y1455" s="43">
        <f>Y1454+Учет!T1455-T1455</f>
        <v>1150</v>
      </c>
      <c r="Z1455" s="43">
        <f>Z1454+Учет!U1455-U1455</f>
        <v>500000</v>
      </c>
      <c r="AA1455" s="45">
        <f>Учет!X1455</f>
        <v>500</v>
      </c>
    </row>
    <row r="1456" spans="1:27" ht="15" customHeight="1" x14ac:dyDescent="0.25">
      <c r="A1456" s="1"/>
      <c r="B1456" s="17"/>
      <c r="C1456" s="17"/>
      <c r="D1456" s="17"/>
      <c r="E1456" s="17"/>
      <c r="F1456" s="17"/>
      <c r="G1456" s="4">
        <f t="shared" si="63"/>
        <v>0</v>
      </c>
      <c r="H1456" s="17"/>
      <c r="I1456" s="4">
        <f t="shared" si="65"/>
        <v>349526.07999999996</v>
      </c>
      <c r="J1456" s="32" t="str">
        <f t="shared" si="64"/>
        <v/>
      </c>
      <c r="K1456" s="72"/>
      <c r="L1456" s="72"/>
      <c r="M1456" s="2"/>
      <c r="N1456" s="5"/>
      <c r="O1456" s="3"/>
      <c r="P1456" s="6"/>
      <c r="Q1456" s="48">
        <f>IF(Учет!$O1456=Справочники!$F$2,Учет!$H1456,0)</f>
        <v>0</v>
      </c>
      <c r="R1456" s="48">
        <f>IF(Учет!$O1456=Справочники!$F$3,Учет!$H1456,0)</f>
        <v>0</v>
      </c>
      <c r="S1456" s="48">
        <f>IF(Учет!$O1456=Справочники!$F$4,Учет!$H1456,0)</f>
        <v>0</v>
      </c>
      <c r="T1456" s="48">
        <f>IF(Учет!$O1456=Справочники!$F$5,Учет!$H1456,0)</f>
        <v>0</v>
      </c>
      <c r="U1456" s="48">
        <f>IF(Учет!$O1456=Справочники!$F$6,Учет!$H1456,0)</f>
        <v>0</v>
      </c>
      <c r="V1456" s="43">
        <f>V1455+Учет!Q1456-Q1456</f>
        <v>-488978.92000000004</v>
      </c>
      <c r="W1456" s="43">
        <f>W1455+Учет!R1456-R1456</f>
        <v>336855</v>
      </c>
      <c r="X1456" s="43">
        <f>X1455+Учет!S1456-S1456</f>
        <v>500</v>
      </c>
      <c r="Y1456" s="43">
        <f>Y1455+Учет!T1456-T1456</f>
        <v>1150</v>
      </c>
      <c r="Z1456" s="43">
        <f>Z1455+Учет!U1456-U1456</f>
        <v>500000</v>
      </c>
      <c r="AA1456" s="45">
        <f>Учет!X1456</f>
        <v>500</v>
      </c>
    </row>
    <row r="1457" spans="1:27" ht="15" customHeight="1" x14ac:dyDescent="0.25">
      <c r="A1457" s="1"/>
      <c r="B1457" s="17"/>
      <c r="C1457" s="17"/>
      <c r="D1457" s="17"/>
      <c r="E1457" s="17"/>
      <c r="F1457" s="17"/>
      <c r="G1457" s="4">
        <f t="shared" si="63"/>
        <v>0</v>
      </c>
      <c r="H1457" s="17"/>
      <c r="I1457" s="4">
        <f t="shared" si="65"/>
        <v>349526.07999999996</v>
      </c>
      <c r="J1457" s="32" t="str">
        <f t="shared" si="64"/>
        <v/>
      </c>
      <c r="K1457" s="72"/>
      <c r="L1457" s="72"/>
      <c r="M1457" s="2"/>
      <c r="N1457" s="5"/>
      <c r="O1457" s="3"/>
      <c r="P1457" s="6"/>
      <c r="Q1457" s="48">
        <f>IF(Учет!$O1457=Справочники!$F$2,Учет!$H1457,0)</f>
        <v>0</v>
      </c>
      <c r="R1457" s="48">
        <f>IF(Учет!$O1457=Справочники!$F$3,Учет!$H1457,0)</f>
        <v>0</v>
      </c>
      <c r="S1457" s="48">
        <f>IF(Учет!$O1457=Справочники!$F$4,Учет!$H1457,0)</f>
        <v>0</v>
      </c>
      <c r="T1457" s="48">
        <f>IF(Учет!$O1457=Справочники!$F$5,Учет!$H1457,0)</f>
        <v>0</v>
      </c>
      <c r="U1457" s="48">
        <f>IF(Учет!$O1457=Справочники!$F$6,Учет!$H1457,0)</f>
        <v>0</v>
      </c>
      <c r="V1457" s="43">
        <f>V1456+Учет!Q1457-Q1457</f>
        <v>-488978.92000000004</v>
      </c>
      <c r="W1457" s="43">
        <f>W1456+Учет!R1457-R1457</f>
        <v>336855</v>
      </c>
      <c r="X1457" s="43">
        <f>X1456+Учет!S1457-S1457</f>
        <v>500</v>
      </c>
      <c r="Y1457" s="43">
        <f>Y1456+Учет!T1457-T1457</f>
        <v>1150</v>
      </c>
      <c r="Z1457" s="43">
        <f>Z1456+Учет!U1457-U1457</f>
        <v>500000</v>
      </c>
      <c r="AA1457" s="45">
        <f>Учет!X1457</f>
        <v>500</v>
      </c>
    </row>
    <row r="1458" spans="1:27" ht="15" customHeight="1" x14ac:dyDescent="0.25">
      <c r="A1458" s="1"/>
      <c r="B1458" s="17"/>
      <c r="C1458" s="17"/>
      <c r="D1458" s="17"/>
      <c r="E1458" s="17"/>
      <c r="F1458" s="17"/>
      <c r="G1458" s="4">
        <f t="shared" si="63"/>
        <v>0</v>
      </c>
      <c r="H1458" s="17"/>
      <c r="I1458" s="4">
        <f t="shared" si="65"/>
        <v>349526.07999999996</v>
      </c>
      <c r="J1458" s="32" t="str">
        <f t="shared" si="64"/>
        <v/>
      </c>
      <c r="K1458" s="72"/>
      <c r="L1458" s="72"/>
      <c r="M1458" s="2"/>
      <c r="N1458" s="5"/>
      <c r="O1458" s="3"/>
      <c r="P1458" s="6"/>
      <c r="Q1458" s="48">
        <f>IF(Учет!$O1458=Справочники!$F$2,Учет!$H1458,0)</f>
        <v>0</v>
      </c>
      <c r="R1458" s="48">
        <f>IF(Учет!$O1458=Справочники!$F$3,Учет!$H1458,0)</f>
        <v>0</v>
      </c>
      <c r="S1458" s="48">
        <f>IF(Учет!$O1458=Справочники!$F$4,Учет!$H1458,0)</f>
        <v>0</v>
      </c>
      <c r="T1458" s="48">
        <f>IF(Учет!$O1458=Справочники!$F$5,Учет!$H1458,0)</f>
        <v>0</v>
      </c>
      <c r="U1458" s="48">
        <f>IF(Учет!$O1458=Справочники!$F$6,Учет!$H1458,0)</f>
        <v>0</v>
      </c>
      <c r="V1458" s="43">
        <f>V1457+Учет!Q1458-Q1458</f>
        <v>-488978.92000000004</v>
      </c>
      <c r="W1458" s="43">
        <f>W1457+Учет!R1458-R1458</f>
        <v>336855</v>
      </c>
      <c r="X1458" s="43">
        <f>X1457+Учет!S1458-S1458</f>
        <v>500</v>
      </c>
      <c r="Y1458" s="43">
        <f>Y1457+Учет!T1458-T1458</f>
        <v>1150</v>
      </c>
      <c r="Z1458" s="43">
        <f>Z1457+Учет!U1458-U1458</f>
        <v>500000</v>
      </c>
      <c r="AA1458" s="45">
        <f>Учет!X1458</f>
        <v>500</v>
      </c>
    </row>
    <row r="1459" spans="1:27" ht="15" customHeight="1" x14ac:dyDescent="0.25">
      <c r="A1459" s="1"/>
      <c r="B1459" s="17"/>
      <c r="C1459" s="17"/>
      <c r="D1459" s="17"/>
      <c r="E1459" s="17"/>
      <c r="F1459" s="17"/>
      <c r="G1459" s="4">
        <f t="shared" si="63"/>
        <v>0</v>
      </c>
      <c r="H1459" s="17"/>
      <c r="I1459" s="4">
        <f t="shared" si="65"/>
        <v>349526.07999999996</v>
      </c>
      <c r="J1459" s="32" t="str">
        <f t="shared" si="64"/>
        <v/>
      </c>
      <c r="K1459" s="72"/>
      <c r="L1459" s="72"/>
      <c r="M1459" s="2"/>
      <c r="N1459" s="5"/>
      <c r="O1459" s="3"/>
      <c r="P1459" s="6"/>
      <c r="Q1459" s="48">
        <f>IF(Учет!$O1459=Справочники!$F$2,Учет!$H1459,0)</f>
        <v>0</v>
      </c>
      <c r="R1459" s="48">
        <f>IF(Учет!$O1459=Справочники!$F$3,Учет!$H1459,0)</f>
        <v>0</v>
      </c>
      <c r="S1459" s="48">
        <f>IF(Учет!$O1459=Справочники!$F$4,Учет!$H1459,0)</f>
        <v>0</v>
      </c>
      <c r="T1459" s="48">
        <f>IF(Учет!$O1459=Справочники!$F$5,Учет!$H1459,0)</f>
        <v>0</v>
      </c>
      <c r="U1459" s="48">
        <f>IF(Учет!$O1459=Справочники!$F$6,Учет!$H1459,0)</f>
        <v>0</v>
      </c>
      <c r="V1459" s="43">
        <f>V1458+Учет!Q1459-Q1459</f>
        <v>-488978.92000000004</v>
      </c>
      <c r="W1459" s="43">
        <f>W1458+Учет!R1459-R1459</f>
        <v>336855</v>
      </c>
      <c r="X1459" s="43">
        <f>X1458+Учет!S1459-S1459</f>
        <v>500</v>
      </c>
      <c r="Y1459" s="43">
        <f>Y1458+Учет!T1459-T1459</f>
        <v>1150</v>
      </c>
      <c r="Z1459" s="43">
        <f>Z1458+Учет!U1459-U1459</f>
        <v>500000</v>
      </c>
      <c r="AA1459" s="45">
        <f>Учет!X1459</f>
        <v>500</v>
      </c>
    </row>
    <row r="1460" spans="1:27" ht="15" customHeight="1" x14ac:dyDescent="0.25">
      <c r="A1460" s="1"/>
      <c r="B1460" s="17"/>
      <c r="C1460" s="17"/>
      <c r="D1460" s="17"/>
      <c r="E1460" s="17"/>
      <c r="F1460" s="17"/>
      <c r="G1460" s="4">
        <f t="shared" si="63"/>
        <v>0</v>
      </c>
      <c r="H1460" s="17"/>
      <c r="I1460" s="4">
        <f t="shared" si="65"/>
        <v>349526.07999999996</v>
      </c>
      <c r="J1460" s="32" t="str">
        <f t="shared" si="64"/>
        <v/>
      </c>
      <c r="K1460" s="72"/>
      <c r="L1460" s="72"/>
      <c r="M1460" s="2"/>
      <c r="N1460" s="5"/>
      <c r="O1460" s="3"/>
      <c r="P1460" s="6"/>
      <c r="Q1460" s="48">
        <f>IF(Учет!$O1460=Справочники!$F$2,Учет!$H1460,0)</f>
        <v>0</v>
      </c>
      <c r="R1460" s="48">
        <f>IF(Учет!$O1460=Справочники!$F$3,Учет!$H1460,0)</f>
        <v>0</v>
      </c>
      <c r="S1460" s="48">
        <f>IF(Учет!$O1460=Справочники!$F$4,Учет!$H1460,0)</f>
        <v>0</v>
      </c>
      <c r="T1460" s="48">
        <f>IF(Учет!$O1460=Справочники!$F$5,Учет!$H1460,0)</f>
        <v>0</v>
      </c>
      <c r="U1460" s="48">
        <f>IF(Учет!$O1460=Справочники!$F$6,Учет!$H1460,0)</f>
        <v>0</v>
      </c>
      <c r="V1460" s="43">
        <f>V1459+Учет!Q1460-Q1460</f>
        <v>-488978.92000000004</v>
      </c>
      <c r="W1460" s="43">
        <f>W1459+Учет!R1460-R1460</f>
        <v>336855</v>
      </c>
      <c r="X1460" s="43">
        <f>X1459+Учет!S1460-S1460</f>
        <v>500</v>
      </c>
      <c r="Y1460" s="43">
        <f>Y1459+Учет!T1460-T1460</f>
        <v>1150</v>
      </c>
      <c r="Z1460" s="43">
        <f>Z1459+Учет!U1460-U1460</f>
        <v>500000</v>
      </c>
      <c r="AA1460" s="45">
        <f>Учет!X1460</f>
        <v>500</v>
      </c>
    </row>
    <row r="1461" spans="1:27" ht="15" customHeight="1" x14ac:dyDescent="0.25">
      <c r="A1461" s="1"/>
      <c r="B1461" s="17"/>
      <c r="C1461" s="17"/>
      <c r="D1461" s="17"/>
      <c r="E1461" s="17"/>
      <c r="F1461" s="17"/>
      <c r="G1461" s="4">
        <f t="shared" si="63"/>
        <v>0</v>
      </c>
      <c r="H1461" s="17"/>
      <c r="I1461" s="4">
        <f t="shared" si="65"/>
        <v>349526.07999999996</v>
      </c>
      <c r="J1461" s="32" t="str">
        <f t="shared" si="64"/>
        <v/>
      </c>
      <c r="K1461" s="72"/>
      <c r="L1461" s="72"/>
      <c r="M1461" s="2"/>
      <c r="N1461" s="5"/>
      <c r="O1461" s="3"/>
      <c r="P1461" s="6"/>
      <c r="Q1461" s="48">
        <f>IF(Учет!$O1461=Справочники!$F$2,Учет!$H1461,0)</f>
        <v>0</v>
      </c>
      <c r="R1461" s="48">
        <f>IF(Учет!$O1461=Справочники!$F$3,Учет!$H1461,0)</f>
        <v>0</v>
      </c>
      <c r="S1461" s="48">
        <f>IF(Учет!$O1461=Справочники!$F$4,Учет!$H1461,0)</f>
        <v>0</v>
      </c>
      <c r="T1461" s="48">
        <f>IF(Учет!$O1461=Справочники!$F$5,Учет!$H1461,0)</f>
        <v>0</v>
      </c>
      <c r="U1461" s="48">
        <f>IF(Учет!$O1461=Справочники!$F$6,Учет!$H1461,0)</f>
        <v>0</v>
      </c>
      <c r="V1461" s="43">
        <f>V1460+Учет!Q1461-Q1461</f>
        <v>-488978.92000000004</v>
      </c>
      <c r="W1461" s="43">
        <f>W1460+Учет!R1461-R1461</f>
        <v>336855</v>
      </c>
      <c r="X1461" s="43">
        <f>X1460+Учет!S1461-S1461</f>
        <v>500</v>
      </c>
      <c r="Y1461" s="43">
        <f>Y1460+Учет!T1461-T1461</f>
        <v>1150</v>
      </c>
      <c r="Z1461" s="43">
        <f>Z1460+Учет!U1461-U1461</f>
        <v>500000</v>
      </c>
      <c r="AA1461" s="45">
        <f>Учет!X1461</f>
        <v>500</v>
      </c>
    </row>
    <row r="1462" spans="1:27" ht="15" customHeight="1" x14ac:dyDescent="0.25">
      <c r="A1462" s="1"/>
      <c r="B1462" s="17"/>
      <c r="C1462" s="17"/>
      <c r="D1462" s="17"/>
      <c r="E1462" s="17"/>
      <c r="F1462" s="17"/>
      <c r="G1462" s="4">
        <f t="shared" si="63"/>
        <v>0</v>
      </c>
      <c r="H1462" s="17"/>
      <c r="I1462" s="4">
        <f t="shared" si="65"/>
        <v>349526.07999999996</v>
      </c>
      <c r="J1462" s="32" t="str">
        <f t="shared" si="64"/>
        <v/>
      </c>
      <c r="K1462" s="72"/>
      <c r="L1462" s="72"/>
      <c r="M1462" s="2"/>
      <c r="N1462" s="5"/>
      <c r="O1462" s="3"/>
      <c r="P1462" s="6"/>
      <c r="Q1462" s="48">
        <f>IF(Учет!$O1462=Справочники!$F$2,Учет!$H1462,0)</f>
        <v>0</v>
      </c>
      <c r="R1462" s="48">
        <f>IF(Учет!$O1462=Справочники!$F$3,Учет!$H1462,0)</f>
        <v>0</v>
      </c>
      <c r="S1462" s="48">
        <f>IF(Учет!$O1462=Справочники!$F$4,Учет!$H1462,0)</f>
        <v>0</v>
      </c>
      <c r="T1462" s="48">
        <f>IF(Учет!$O1462=Справочники!$F$5,Учет!$H1462,0)</f>
        <v>0</v>
      </c>
      <c r="U1462" s="48">
        <f>IF(Учет!$O1462=Справочники!$F$6,Учет!$H1462,0)</f>
        <v>0</v>
      </c>
      <c r="V1462" s="43">
        <f>V1461+Учет!Q1462-Q1462</f>
        <v>-488978.92000000004</v>
      </c>
      <c r="W1462" s="43">
        <f>W1461+Учет!R1462-R1462</f>
        <v>336855</v>
      </c>
      <c r="X1462" s="43">
        <f>X1461+Учет!S1462-S1462</f>
        <v>500</v>
      </c>
      <c r="Y1462" s="43">
        <f>Y1461+Учет!T1462-T1462</f>
        <v>1150</v>
      </c>
      <c r="Z1462" s="43">
        <f>Z1461+Учет!U1462-U1462</f>
        <v>500000</v>
      </c>
      <c r="AA1462" s="45">
        <f>Учет!X1462</f>
        <v>500</v>
      </c>
    </row>
    <row r="1463" spans="1:27" ht="15" customHeight="1" x14ac:dyDescent="0.25">
      <c r="A1463" s="1"/>
      <c r="B1463" s="17"/>
      <c r="C1463" s="17"/>
      <c r="D1463" s="17"/>
      <c r="E1463" s="17"/>
      <c r="F1463" s="17"/>
      <c r="G1463" s="4">
        <f t="shared" si="63"/>
        <v>0</v>
      </c>
      <c r="H1463" s="17"/>
      <c r="I1463" s="4">
        <f t="shared" si="65"/>
        <v>349526.07999999996</v>
      </c>
      <c r="J1463" s="32" t="str">
        <f t="shared" si="64"/>
        <v/>
      </c>
      <c r="K1463" s="72"/>
      <c r="L1463" s="72"/>
      <c r="M1463" s="2"/>
      <c r="N1463" s="5"/>
      <c r="O1463" s="3"/>
      <c r="P1463" s="6"/>
      <c r="Q1463" s="48">
        <f>IF(Учет!$O1463=Справочники!$F$2,Учет!$H1463,0)</f>
        <v>0</v>
      </c>
      <c r="R1463" s="48">
        <f>IF(Учет!$O1463=Справочники!$F$3,Учет!$H1463,0)</f>
        <v>0</v>
      </c>
      <c r="S1463" s="48">
        <f>IF(Учет!$O1463=Справочники!$F$4,Учет!$H1463,0)</f>
        <v>0</v>
      </c>
      <c r="T1463" s="48">
        <f>IF(Учет!$O1463=Справочники!$F$5,Учет!$H1463,0)</f>
        <v>0</v>
      </c>
      <c r="U1463" s="48">
        <f>IF(Учет!$O1463=Справочники!$F$6,Учет!$H1463,0)</f>
        <v>0</v>
      </c>
      <c r="V1463" s="43">
        <f>V1462+Учет!Q1463-Q1463</f>
        <v>-488978.92000000004</v>
      </c>
      <c r="W1463" s="43">
        <f>W1462+Учет!R1463-R1463</f>
        <v>336855</v>
      </c>
      <c r="X1463" s="43">
        <f>X1462+Учет!S1463-S1463</f>
        <v>500</v>
      </c>
      <c r="Y1463" s="43">
        <f>Y1462+Учет!T1463-T1463</f>
        <v>1150</v>
      </c>
      <c r="Z1463" s="43">
        <f>Z1462+Учет!U1463-U1463</f>
        <v>500000</v>
      </c>
      <c r="AA1463" s="45">
        <f>Учет!X1463</f>
        <v>500</v>
      </c>
    </row>
    <row r="1464" spans="1:27" ht="15" customHeight="1" x14ac:dyDescent="0.25">
      <c r="A1464" s="1"/>
      <c r="B1464" s="17"/>
      <c r="C1464" s="17"/>
      <c r="D1464" s="17"/>
      <c r="E1464" s="17"/>
      <c r="F1464" s="17"/>
      <c r="G1464" s="4">
        <f t="shared" si="63"/>
        <v>0</v>
      </c>
      <c r="H1464" s="17"/>
      <c r="I1464" s="4">
        <f t="shared" si="65"/>
        <v>349526.07999999996</v>
      </c>
      <c r="J1464" s="32" t="str">
        <f t="shared" si="64"/>
        <v/>
      </c>
      <c r="K1464" s="72"/>
      <c r="L1464" s="72"/>
      <c r="M1464" s="2"/>
      <c r="N1464" s="5"/>
      <c r="O1464" s="3"/>
      <c r="P1464" s="6"/>
      <c r="Q1464" s="48">
        <f>IF(Учет!$O1464=Справочники!$F$2,Учет!$H1464,0)</f>
        <v>0</v>
      </c>
      <c r="R1464" s="48">
        <f>IF(Учет!$O1464=Справочники!$F$3,Учет!$H1464,0)</f>
        <v>0</v>
      </c>
      <c r="S1464" s="48">
        <f>IF(Учет!$O1464=Справочники!$F$4,Учет!$H1464,0)</f>
        <v>0</v>
      </c>
      <c r="T1464" s="48">
        <f>IF(Учет!$O1464=Справочники!$F$5,Учет!$H1464,0)</f>
        <v>0</v>
      </c>
      <c r="U1464" s="48">
        <f>IF(Учет!$O1464=Справочники!$F$6,Учет!$H1464,0)</f>
        <v>0</v>
      </c>
      <c r="V1464" s="43">
        <f>V1463+Учет!Q1464-Q1464</f>
        <v>-488978.92000000004</v>
      </c>
      <c r="W1464" s="43">
        <f>W1463+Учет!R1464-R1464</f>
        <v>336855</v>
      </c>
      <c r="X1464" s="43">
        <f>X1463+Учет!S1464-S1464</f>
        <v>500</v>
      </c>
      <c r="Y1464" s="43">
        <f>Y1463+Учет!T1464-T1464</f>
        <v>1150</v>
      </c>
      <c r="Z1464" s="43">
        <f>Z1463+Учет!U1464-U1464</f>
        <v>500000</v>
      </c>
      <c r="AA1464" s="45">
        <f>Учет!X1464</f>
        <v>500</v>
      </c>
    </row>
    <row r="1465" spans="1:27" ht="15" customHeight="1" x14ac:dyDescent="0.25">
      <c r="A1465" s="1"/>
      <c r="B1465" s="17"/>
      <c r="C1465" s="17"/>
      <c r="D1465" s="17"/>
      <c r="E1465" s="17"/>
      <c r="F1465" s="17"/>
      <c r="G1465" s="4">
        <f t="shared" si="63"/>
        <v>0</v>
      </c>
      <c r="H1465" s="17"/>
      <c r="I1465" s="4">
        <f t="shared" si="65"/>
        <v>349526.07999999996</v>
      </c>
      <c r="J1465" s="32" t="str">
        <f t="shared" si="64"/>
        <v/>
      </c>
      <c r="K1465" s="72"/>
      <c r="L1465" s="72"/>
      <c r="M1465" s="2"/>
      <c r="N1465" s="5"/>
      <c r="O1465" s="3"/>
      <c r="P1465" s="6"/>
      <c r="Q1465" s="48">
        <f>IF(Учет!$O1465=Справочники!$F$2,Учет!$H1465,0)</f>
        <v>0</v>
      </c>
      <c r="R1465" s="48">
        <f>IF(Учет!$O1465=Справочники!$F$3,Учет!$H1465,0)</f>
        <v>0</v>
      </c>
      <c r="S1465" s="48">
        <f>IF(Учет!$O1465=Справочники!$F$4,Учет!$H1465,0)</f>
        <v>0</v>
      </c>
      <c r="T1465" s="48">
        <f>IF(Учет!$O1465=Справочники!$F$5,Учет!$H1465,0)</f>
        <v>0</v>
      </c>
      <c r="U1465" s="48">
        <f>IF(Учет!$O1465=Справочники!$F$6,Учет!$H1465,0)</f>
        <v>0</v>
      </c>
      <c r="V1465" s="43">
        <f>V1464+Учет!Q1465-Q1465</f>
        <v>-488978.92000000004</v>
      </c>
      <c r="W1465" s="43">
        <f>W1464+Учет!R1465-R1465</f>
        <v>336855</v>
      </c>
      <c r="X1465" s="43">
        <f>X1464+Учет!S1465-S1465</f>
        <v>500</v>
      </c>
      <c r="Y1465" s="43">
        <f>Y1464+Учет!T1465-T1465</f>
        <v>1150</v>
      </c>
      <c r="Z1465" s="43">
        <f>Z1464+Учет!U1465-U1465</f>
        <v>500000</v>
      </c>
      <c r="AA1465" s="45">
        <f>Учет!X1465</f>
        <v>500</v>
      </c>
    </row>
    <row r="1466" spans="1:27" ht="15" customHeight="1" x14ac:dyDescent="0.25">
      <c r="A1466" s="1"/>
      <c r="B1466" s="17"/>
      <c r="C1466" s="17"/>
      <c r="D1466" s="17"/>
      <c r="E1466" s="17"/>
      <c r="F1466" s="17"/>
      <c r="G1466" s="4">
        <f t="shared" si="63"/>
        <v>0</v>
      </c>
      <c r="H1466" s="17"/>
      <c r="I1466" s="4">
        <f t="shared" si="65"/>
        <v>349526.07999999996</v>
      </c>
      <c r="J1466" s="32" t="str">
        <f t="shared" si="64"/>
        <v/>
      </c>
      <c r="K1466" s="72"/>
      <c r="L1466" s="72"/>
      <c r="M1466" s="2"/>
      <c r="N1466" s="5"/>
      <c r="O1466" s="3"/>
      <c r="P1466" s="6"/>
      <c r="Q1466" s="48">
        <f>IF(Учет!$O1466=Справочники!$F$2,Учет!$H1466,0)</f>
        <v>0</v>
      </c>
      <c r="R1466" s="48">
        <f>IF(Учет!$O1466=Справочники!$F$3,Учет!$H1466,0)</f>
        <v>0</v>
      </c>
      <c r="S1466" s="48">
        <f>IF(Учет!$O1466=Справочники!$F$4,Учет!$H1466,0)</f>
        <v>0</v>
      </c>
      <c r="T1466" s="48">
        <f>IF(Учет!$O1466=Справочники!$F$5,Учет!$H1466,0)</f>
        <v>0</v>
      </c>
      <c r="U1466" s="48">
        <f>IF(Учет!$O1466=Справочники!$F$6,Учет!$H1466,0)</f>
        <v>0</v>
      </c>
      <c r="V1466" s="43">
        <f>V1465+Учет!Q1466-Q1466</f>
        <v>-488978.92000000004</v>
      </c>
      <c r="W1466" s="43">
        <f>W1465+Учет!R1466-R1466</f>
        <v>336855</v>
      </c>
      <c r="X1466" s="43">
        <f>X1465+Учет!S1466-S1466</f>
        <v>500</v>
      </c>
      <c r="Y1466" s="43">
        <f>Y1465+Учет!T1466-T1466</f>
        <v>1150</v>
      </c>
      <c r="Z1466" s="43">
        <f>Z1465+Учет!U1466-U1466</f>
        <v>500000</v>
      </c>
      <c r="AA1466" s="45">
        <f>Учет!X1466</f>
        <v>500</v>
      </c>
    </row>
    <row r="1467" spans="1:27" ht="15" customHeight="1" x14ac:dyDescent="0.25">
      <c r="A1467" s="1"/>
      <c r="B1467" s="17"/>
      <c r="C1467" s="17"/>
      <c r="D1467" s="17"/>
      <c r="E1467" s="17"/>
      <c r="F1467" s="17"/>
      <c r="G1467" s="4">
        <f t="shared" si="63"/>
        <v>0</v>
      </c>
      <c r="H1467" s="17"/>
      <c r="I1467" s="4">
        <f t="shared" si="65"/>
        <v>349526.07999999996</v>
      </c>
      <c r="J1467" s="32" t="str">
        <f t="shared" si="64"/>
        <v/>
      </c>
      <c r="K1467" s="72"/>
      <c r="L1467" s="72"/>
      <c r="M1467" s="2"/>
      <c r="N1467" s="5"/>
      <c r="O1467" s="3"/>
      <c r="P1467" s="6"/>
      <c r="Q1467" s="48">
        <f>IF(Учет!$O1467=Справочники!$F$2,Учет!$H1467,0)</f>
        <v>0</v>
      </c>
      <c r="R1467" s="48">
        <f>IF(Учет!$O1467=Справочники!$F$3,Учет!$H1467,0)</f>
        <v>0</v>
      </c>
      <c r="S1467" s="48">
        <f>IF(Учет!$O1467=Справочники!$F$4,Учет!$H1467,0)</f>
        <v>0</v>
      </c>
      <c r="T1467" s="48">
        <f>IF(Учет!$O1467=Справочники!$F$5,Учет!$H1467,0)</f>
        <v>0</v>
      </c>
      <c r="U1467" s="48">
        <f>IF(Учет!$O1467=Справочники!$F$6,Учет!$H1467,0)</f>
        <v>0</v>
      </c>
      <c r="V1467" s="43">
        <f>V1466+Учет!Q1467-Q1467</f>
        <v>-488978.92000000004</v>
      </c>
      <c r="W1467" s="43">
        <f>W1466+Учет!R1467-R1467</f>
        <v>336855</v>
      </c>
      <c r="X1467" s="43">
        <f>X1466+Учет!S1467-S1467</f>
        <v>500</v>
      </c>
      <c r="Y1467" s="43">
        <f>Y1466+Учет!T1467-T1467</f>
        <v>1150</v>
      </c>
      <c r="Z1467" s="43">
        <f>Z1466+Учет!U1467-U1467</f>
        <v>500000</v>
      </c>
      <c r="AA1467" s="45">
        <f>Учет!X1467</f>
        <v>500</v>
      </c>
    </row>
    <row r="1468" spans="1:27" ht="15" customHeight="1" x14ac:dyDescent="0.25">
      <c r="A1468" s="1"/>
      <c r="B1468" s="17"/>
      <c r="C1468" s="17"/>
      <c r="D1468" s="17"/>
      <c r="E1468" s="17"/>
      <c r="F1468" s="17"/>
      <c r="G1468" s="4">
        <f t="shared" si="63"/>
        <v>0</v>
      </c>
      <c r="H1468" s="17"/>
      <c r="I1468" s="4">
        <f t="shared" si="65"/>
        <v>349526.07999999996</v>
      </c>
      <c r="J1468" s="32" t="str">
        <f t="shared" si="64"/>
        <v/>
      </c>
      <c r="K1468" s="72"/>
      <c r="L1468" s="72"/>
      <c r="M1468" s="2"/>
      <c r="N1468" s="5"/>
      <c r="O1468" s="3"/>
      <c r="P1468" s="6"/>
      <c r="Q1468" s="48">
        <f>IF(Учет!$O1468=Справочники!$F$2,Учет!$H1468,0)</f>
        <v>0</v>
      </c>
      <c r="R1468" s="48">
        <f>IF(Учет!$O1468=Справочники!$F$3,Учет!$H1468,0)</f>
        <v>0</v>
      </c>
      <c r="S1468" s="48">
        <f>IF(Учет!$O1468=Справочники!$F$4,Учет!$H1468,0)</f>
        <v>0</v>
      </c>
      <c r="T1468" s="48">
        <f>IF(Учет!$O1468=Справочники!$F$5,Учет!$H1468,0)</f>
        <v>0</v>
      </c>
      <c r="U1468" s="48">
        <f>IF(Учет!$O1468=Справочники!$F$6,Учет!$H1468,0)</f>
        <v>0</v>
      </c>
      <c r="V1468" s="43">
        <f>V1467+Учет!Q1468-Q1468</f>
        <v>-488978.92000000004</v>
      </c>
      <c r="W1468" s="43">
        <f>W1467+Учет!R1468-R1468</f>
        <v>336855</v>
      </c>
      <c r="X1468" s="43">
        <f>X1467+Учет!S1468-S1468</f>
        <v>500</v>
      </c>
      <c r="Y1468" s="43">
        <f>Y1467+Учет!T1468-T1468</f>
        <v>1150</v>
      </c>
      <c r="Z1468" s="43">
        <f>Z1467+Учет!U1468-U1468</f>
        <v>500000</v>
      </c>
      <c r="AA1468" s="45">
        <f>Учет!X1468</f>
        <v>500</v>
      </c>
    </row>
    <row r="1469" spans="1:27" ht="15" customHeight="1" x14ac:dyDescent="0.25">
      <c r="A1469" s="1"/>
      <c r="B1469" s="17"/>
      <c r="C1469" s="17"/>
      <c r="D1469" s="17"/>
      <c r="E1469" s="17"/>
      <c r="F1469" s="17"/>
      <c r="G1469" s="4">
        <f t="shared" si="63"/>
        <v>0</v>
      </c>
      <c r="H1469" s="17"/>
      <c r="I1469" s="4">
        <f t="shared" si="65"/>
        <v>349526.07999999996</v>
      </c>
      <c r="J1469" s="32" t="str">
        <f t="shared" si="64"/>
        <v/>
      </c>
      <c r="K1469" s="72"/>
      <c r="L1469" s="72"/>
      <c r="M1469" s="2"/>
      <c r="N1469" s="5"/>
      <c r="O1469" s="3"/>
      <c r="P1469" s="6"/>
      <c r="Q1469" s="48">
        <f>IF(Учет!$O1469=Справочники!$F$2,Учет!$H1469,0)</f>
        <v>0</v>
      </c>
      <c r="R1469" s="48">
        <f>IF(Учет!$O1469=Справочники!$F$3,Учет!$H1469,0)</f>
        <v>0</v>
      </c>
      <c r="S1469" s="48">
        <f>IF(Учет!$O1469=Справочники!$F$4,Учет!$H1469,0)</f>
        <v>0</v>
      </c>
      <c r="T1469" s="48">
        <f>IF(Учет!$O1469=Справочники!$F$5,Учет!$H1469,0)</f>
        <v>0</v>
      </c>
      <c r="U1469" s="48">
        <f>IF(Учет!$O1469=Справочники!$F$6,Учет!$H1469,0)</f>
        <v>0</v>
      </c>
      <c r="V1469" s="43">
        <f>V1468+Учет!Q1469-Q1469</f>
        <v>-488978.92000000004</v>
      </c>
      <c r="W1469" s="43">
        <f>W1468+Учет!R1469-R1469</f>
        <v>336855</v>
      </c>
      <c r="X1469" s="43">
        <f>X1468+Учет!S1469-S1469</f>
        <v>500</v>
      </c>
      <c r="Y1469" s="43">
        <f>Y1468+Учет!T1469-T1469</f>
        <v>1150</v>
      </c>
      <c r="Z1469" s="43">
        <f>Z1468+Учет!U1469-U1469</f>
        <v>500000</v>
      </c>
      <c r="AA1469" s="45">
        <f>Учет!X1469</f>
        <v>500</v>
      </c>
    </row>
    <row r="1470" spans="1:27" ht="15" customHeight="1" x14ac:dyDescent="0.25">
      <c r="A1470" s="1"/>
      <c r="B1470" s="17"/>
      <c r="C1470" s="17"/>
      <c r="D1470" s="17"/>
      <c r="E1470" s="17"/>
      <c r="F1470" s="17"/>
      <c r="G1470" s="4">
        <f t="shared" si="63"/>
        <v>0</v>
      </c>
      <c r="H1470" s="17"/>
      <c r="I1470" s="4">
        <f t="shared" si="65"/>
        <v>349526.07999999996</v>
      </c>
      <c r="J1470" s="32" t="str">
        <f t="shared" si="64"/>
        <v/>
      </c>
      <c r="K1470" s="72"/>
      <c r="L1470" s="72"/>
      <c r="M1470" s="2"/>
      <c r="N1470" s="5"/>
      <c r="O1470" s="3"/>
      <c r="P1470" s="6"/>
      <c r="Q1470" s="48">
        <f>IF(Учет!$O1470=Справочники!$F$2,Учет!$H1470,0)</f>
        <v>0</v>
      </c>
      <c r="R1470" s="48">
        <f>IF(Учет!$O1470=Справочники!$F$3,Учет!$H1470,0)</f>
        <v>0</v>
      </c>
      <c r="S1470" s="48">
        <f>IF(Учет!$O1470=Справочники!$F$4,Учет!$H1470,0)</f>
        <v>0</v>
      </c>
      <c r="T1470" s="48">
        <f>IF(Учет!$O1470=Справочники!$F$5,Учет!$H1470,0)</f>
        <v>0</v>
      </c>
      <c r="U1470" s="48">
        <f>IF(Учет!$O1470=Справочники!$F$6,Учет!$H1470,0)</f>
        <v>0</v>
      </c>
      <c r="V1470" s="43">
        <f>V1469+Учет!Q1470-Q1470</f>
        <v>-488978.92000000004</v>
      </c>
      <c r="W1470" s="43">
        <f>W1469+Учет!R1470-R1470</f>
        <v>336855</v>
      </c>
      <c r="X1470" s="43">
        <f>X1469+Учет!S1470-S1470</f>
        <v>500</v>
      </c>
      <c r="Y1470" s="43">
        <f>Y1469+Учет!T1470-T1470</f>
        <v>1150</v>
      </c>
      <c r="Z1470" s="43">
        <f>Z1469+Учет!U1470-U1470</f>
        <v>500000</v>
      </c>
      <c r="AA1470" s="45">
        <f>Учет!X1470</f>
        <v>500</v>
      </c>
    </row>
    <row r="1471" spans="1:27" ht="15" customHeight="1" x14ac:dyDescent="0.25">
      <c r="A1471" s="1"/>
      <c r="B1471" s="17"/>
      <c r="C1471" s="17"/>
      <c r="D1471" s="17"/>
      <c r="E1471" s="17"/>
      <c r="F1471" s="17"/>
      <c r="G1471" s="4">
        <f t="shared" si="63"/>
        <v>0</v>
      </c>
      <c r="H1471" s="17"/>
      <c r="I1471" s="4">
        <f t="shared" si="65"/>
        <v>349526.07999999996</v>
      </c>
      <c r="J1471" s="32" t="str">
        <f t="shared" si="64"/>
        <v/>
      </c>
      <c r="K1471" s="72"/>
      <c r="L1471" s="72"/>
      <c r="M1471" s="2"/>
      <c r="N1471" s="5"/>
      <c r="O1471" s="3"/>
      <c r="P1471" s="6"/>
      <c r="Q1471" s="48">
        <f>IF(Учет!$O1471=Справочники!$F$2,Учет!$H1471,0)</f>
        <v>0</v>
      </c>
      <c r="R1471" s="48">
        <f>IF(Учет!$O1471=Справочники!$F$3,Учет!$H1471,0)</f>
        <v>0</v>
      </c>
      <c r="S1471" s="48">
        <f>IF(Учет!$O1471=Справочники!$F$4,Учет!$H1471,0)</f>
        <v>0</v>
      </c>
      <c r="T1471" s="48">
        <f>IF(Учет!$O1471=Справочники!$F$5,Учет!$H1471,0)</f>
        <v>0</v>
      </c>
      <c r="U1471" s="48">
        <f>IF(Учет!$O1471=Справочники!$F$6,Учет!$H1471,0)</f>
        <v>0</v>
      </c>
      <c r="V1471" s="43">
        <f>V1470+Учет!Q1471-Q1471</f>
        <v>-488978.92000000004</v>
      </c>
      <c r="W1471" s="43">
        <f>W1470+Учет!R1471-R1471</f>
        <v>336855</v>
      </c>
      <c r="X1471" s="43">
        <f>X1470+Учет!S1471-S1471</f>
        <v>500</v>
      </c>
      <c r="Y1471" s="43">
        <f>Y1470+Учет!T1471-T1471</f>
        <v>1150</v>
      </c>
      <c r="Z1471" s="43">
        <f>Z1470+Учет!U1471-U1471</f>
        <v>500000</v>
      </c>
      <c r="AA1471" s="45">
        <f>Учет!X1471</f>
        <v>500</v>
      </c>
    </row>
    <row r="1472" spans="1:27" ht="15" customHeight="1" x14ac:dyDescent="0.25">
      <c r="A1472" s="1"/>
      <c r="B1472" s="17"/>
      <c r="C1472" s="17"/>
      <c r="D1472" s="17"/>
      <c r="E1472" s="17"/>
      <c r="F1472" s="17"/>
      <c r="G1472" s="4">
        <f t="shared" si="63"/>
        <v>0</v>
      </c>
      <c r="H1472" s="17"/>
      <c r="I1472" s="4">
        <f t="shared" si="65"/>
        <v>349526.07999999996</v>
      </c>
      <c r="J1472" s="32" t="str">
        <f t="shared" si="64"/>
        <v/>
      </c>
      <c r="K1472" s="72"/>
      <c r="L1472" s="72"/>
      <c r="M1472" s="2"/>
      <c r="N1472" s="5"/>
      <c r="O1472" s="3"/>
      <c r="P1472" s="6"/>
      <c r="Q1472" s="48">
        <f>IF(Учет!$O1472=Справочники!$F$2,Учет!$H1472,0)</f>
        <v>0</v>
      </c>
      <c r="R1472" s="48">
        <f>IF(Учет!$O1472=Справочники!$F$3,Учет!$H1472,0)</f>
        <v>0</v>
      </c>
      <c r="S1472" s="48">
        <f>IF(Учет!$O1472=Справочники!$F$4,Учет!$H1472,0)</f>
        <v>0</v>
      </c>
      <c r="T1472" s="48">
        <f>IF(Учет!$O1472=Справочники!$F$5,Учет!$H1472,0)</f>
        <v>0</v>
      </c>
      <c r="U1472" s="48">
        <f>IF(Учет!$O1472=Справочники!$F$6,Учет!$H1472,0)</f>
        <v>0</v>
      </c>
      <c r="V1472" s="43">
        <f>V1471+Учет!Q1472-Q1472</f>
        <v>-488978.92000000004</v>
      </c>
      <c r="W1472" s="43">
        <f>W1471+Учет!R1472-R1472</f>
        <v>336855</v>
      </c>
      <c r="X1472" s="43">
        <f>X1471+Учет!S1472-S1472</f>
        <v>500</v>
      </c>
      <c r="Y1472" s="43">
        <f>Y1471+Учет!T1472-T1472</f>
        <v>1150</v>
      </c>
      <c r="Z1472" s="43">
        <f>Z1471+Учет!U1472-U1472</f>
        <v>500000</v>
      </c>
      <c r="AA1472" s="45">
        <f>Учет!X1472</f>
        <v>500</v>
      </c>
    </row>
    <row r="1473" spans="1:27" ht="15" customHeight="1" x14ac:dyDescent="0.25">
      <c r="A1473" s="1"/>
      <c r="B1473" s="17"/>
      <c r="C1473" s="17"/>
      <c r="D1473" s="17"/>
      <c r="E1473" s="17"/>
      <c r="F1473" s="17"/>
      <c r="G1473" s="4">
        <f t="shared" si="63"/>
        <v>0</v>
      </c>
      <c r="H1473" s="17"/>
      <c r="I1473" s="4">
        <f t="shared" si="65"/>
        <v>349526.07999999996</v>
      </c>
      <c r="J1473" s="32" t="str">
        <f t="shared" si="64"/>
        <v/>
      </c>
      <c r="K1473" s="72"/>
      <c r="L1473" s="72"/>
      <c r="M1473" s="2"/>
      <c r="N1473" s="5"/>
      <c r="O1473" s="3"/>
      <c r="P1473" s="6"/>
      <c r="Q1473" s="48">
        <f>IF(Учет!$O1473=Справочники!$F$2,Учет!$H1473,0)</f>
        <v>0</v>
      </c>
      <c r="R1473" s="48">
        <f>IF(Учет!$O1473=Справочники!$F$3,Учет!$H1473,0)</f>
        <v>0</v>
      </c>
      <c r="S1473" s="48">
        <f>IF(Учет!$O1473=Справочники!$F$4,Учет!$H1473,0)</f>
        <v>0</v>
      </c>
      <c r="T1473" s="48">
        <f>IF(Учет!$O1473=Справочники!$F$5,Учет!$H1473,0)</f>
        <v>0</v>
      </c>
      <c r="U1473" s="48">
        <f>IF(Учет!$O1473=Справочники!$F$6,Учет!$H1473,0)</f>
        <v>0</v>
      </c>
      <c r="V1473" s="43">
        <f>V1472+Учет!Q1473-Q1473</f>
        <v>-488978.92000000004</v>
      </c>
      <c r="W1473" s="43">
        <f>W1472+Учет!R1473-R1473</f>
        <v>336855</v>
      </c>
      <c r="X1473" s="43">
        <f>X1472+Учет!S1473-S1473</f>
        <v>500</v>
      </c>
      <c r="Y1473" s="43">
        <f>Y1472+Учет!T1473-T1473</f>
        <v>1150</v>
      </c>
      <c r="Z1473" s="43">
        <f>Z1472+Учет!U1473-U1473</f>
        <v>500000</v>
      </c>
      <c r="AA1473" s="45">
        <f>Учет!X1473</f>
        <v>500</v>
      </c>
    </row>
    <row r="1474" spans="1:27" ht="15" customHeight="1" x14ac:dyDescent="0.25">
      <c r="A1474" s="1"/>
      <c r="B1474" s="17"/>
      <c r="C1474" s="17"/>
      <c r="D1474" s="17"/>
      <c r="E1474" s="17"/>
      <c r="F1474" s="17"/>
      <c r="G1474" s="4">
        <f t="shared" ref="G1474:G1537" si="66">SUM($B1474:$F1474)</f>
        <v>0</v>
      </c>
      <c r="H1474" s="17"/>
      <c r="I1474" s="4">
        <f t="shared" si="65"/>
        <v>349526.07999999996</v>
      </c>
      <c r="J1474" s="32" t="str">
        <f t="shared" ref="J1474:J1537" si="67">IF($A1475&lt;&gt;$A1474,$I1474,"")</f>
        <v/>
      </c>
      <c r="K1474" s="72"/>
      <c r="L1474" s="72"/>
      <c r="M1474" s="2"/>
      <c r="N1474" s="5"/>
      <c r="O1474" s="3"/>
      <c r="P1474" s="6"/>
      <c r="Q1474" s="48">
        <f>IF(Учет!$O1474=Справочники!$F$2,Учет!$H1474,0)</f>
        <v>0</v>
      </c>
      <c r="R1474" s="48">
        <f>IF(Учет!$O1474=Справочники!$F$3,Учет!$H1474,0)</f>
        <v>0</v>
      </c>
      <c r="S1474" s="48">
        <f>IF(Учет!$O1474=Справочники!$F$4,Учет!$H1474,0)</f>
        <v>0</v>
      </c>
      <c r="T1474" s="48">
        <f>IF(Учет!$O1474=Справочники!$F$5,Учет!$H1474,0)</f>
        <v>0</v>
      </c>
      <c r="U1474" s="48">
        <f>IF(Учет!$O1474=Справочники!$F$6,Учет!$H1474,0)</f>
        <v>0</v>
      </c>
      <c r="V1474" s="43">
        <f>V1473+Учет!Q1474-Q1474</f>
        <v>-488978.92000000004</v>
      </c>
      <c r="W1474" s="43">
        <f>W1473+Учет!R1474-R1474</f>
        <v>336855</v>
      </c>
      <c r="X1474" s="43">
        <f>X1473+Учет!S1474-S1474</f>
        <v>500</v>
      </c>
      <c r="Y1474" s="43">
        <f>Y1473+Учет!T1474-T1474</f>
        <v>1150</v>
      </c>
      <c r="Z1474" s="43">
        <f>Z1473+Учет!U1474-U1474</f>
        <v>500000</v>
      </c>
      <c r="AA1474" s="45">
        <f>Учет!X1474</f>
        <v>500</v>
      </c>
    </row>
    <row r="1475" spans="1:27" ht="15" customHeight="1" x14ac:dyDescent="0.25">
      <c r="A1475" s="1"/>
      <c r="B1475" s="17"/>
      <c r="C1475" s="17"/>
      <c r="D1475" s="17"/>
      <c r="E1475" s="17"/>
      <c r="F1475" s="17"/>
      <c r="G1475" s="4">
        <f t="shared" si="66"/>
        <v>0</v>
      </c>
      <c r="H1475" s="17"/>
      <c r="I1475" s="4">
        <f t="shared" ref="I1475:I1538" si="68">$I1474+$G1475-$H1475</f>
        <v>349526.07999999996</v>
      </c>
      <c r="J1475" s="32" t="str">
        <f t="shared" si="67"/>
        <v/>
      </c>
      <c r="K1475" s="72"/>
      <c r="L1475" s="72"/>
      <c r="M1475" s="2"/>
      <c r="N1475" s="5"/>
      <c r="O1475" s="3"/>
      <c r="P1475" s="6"/>
      <c r="Q1475" s="48">
        <f>IF(Учет!$O1475=Справочники!$F$2,Учет!$H1475,0)</f>
        <v>0</v>
      </c>
      <c r="R1475" s="48">
        <f>IF(Учет!$O1475=Справочники!$F$3,Учет!$H1475,0)</f>
        <v>0</v>
      </c>
      <c r="S1475" s="48">
        <f>IF(Учет!$O1475=Справочники!$F$4,Учет!$H1475,0)</f>
        <v>0</v>
      </c>
      <c r="T1475" s="48">
        <f>IF(Учет!$O1475=Справочники!$F$5,Учет!$H1475,0)</f>
        <v>0</v>
      </c>
      <c r="U1475" s="48">
        <f>IF(Учет!$O1475=Справочники!$F$6,Учет!$H1475,0)</f>
        <v>0</v>
      </c>
      <c r="V1475" s="43">
        <f>V1474+Учет!Q1475-Q1475</f>
        <v>-488978.92000000004</v>
      </c>
      <c r="W1475" s="43">
        <f>W1474+Учет!R1475-R1475</f>
        <v>336855</v>
      </c>
      <c r="X1475" s="43">
        <f>X1474+Учет!S1475-S1475</f>
        <v>500</v>
      </c>
      <c r="Y1475" s="43">
        <f>Y1474+Учет!T1475-T1475</f>
        <v>1150</v>
      </c>
      <c r="Z1475" s="43">
        <f>Z1474+Учет!U1475-U1475</f>
        <v>500000</v>
      </c>
      <c r="AA1475" s="45">
        <f>Учет!X1475</f>
        <v>500</v>
      </c>
    </row>
    <row r="1476" spans="1:27" ht="15" customHeight="1" x14ac:dyDescent="0.25">
      <c r="A1476" s="1"/>
      <c r="B1476" s="17"/>
      <c r="C1476" s="17"/>
      <c r="D1476" s="17"/>
      <c r="E1476" s="17"/>
      <c r="F1476" s="17"/>
      <c r="G1476" s="4">
        <f t="shared" si="66"/>
        <v>0</v>
      </c>
      <c r="H1476" s="17"/>
      <c r="I1476" s="4">
        <f t="shared" si="68"/>
        <v>349526.07999999996</v>
      </c>
      <c r="J1476" s="32" t="str">
        <f t="shared" si="67"/>
        <v/>
      </c>
      <c r="K1476" s="72"/>
      <c r="L1476" s="72"/>
      <c r="M1476" s="2"/>
      <c r="N1476" s="5"/>
      <c r="O1476" s="3"/>
      <c r="P1476" s="6"/>
      <c r="Q1476" s="48">
        <f>IF(Учет!$O1476=Справочники!$F$2,Учет!$H1476,0)</f>
        <v>0</v>
      </c>
      <c r="R1476" s="48">
        <f>IF(Учет!$O1476=Справочники!$F$3,Учет!$H1476,0)</f>
        <v>0</v>
      </c>
      <c r="S1476" s="48">
        <f>IF(Учет!$O1476=Справочники!$F$4,Учет!$H1476,0)</f>
        <v>0</v>
      </c>
      <c r="T1476" s="48">
        <f>IF(Учет!$O1476=Справочники!$F$5,Учет!$H1476,0)</f>
        <v>0</v>
      </c>
      <c r="U1476" s="48">
        <f>IF(Учет!$O1476=Справочники!$F$6,Учет!$H1476,0)</f>
        <v>0</v>
      </c>
      <c r="V1476" s="43">
        <f>V1475+Учет!Q1476-Q1476</f>
        <v>-488978.92000000004</v>
      </c>
      <c r="W1476" s="43">
        <f>W1475+Учет!R1476-R1476</f>
        <v>336855</v>
      </c>
      <c r="X1476" s="43">
        <f>X1475+Учет!S1476-S1476</f>
        <v>500</v>
      </c>
      <c r="Y1476" s="43">
        <f>Y1475+Учет!T1476-T1476</f>
        <v>1150</v>
      </c>
      <c r="Z1476" s="43">
        <f>Z1475+Учет!U1476-U1476</f>
        <v>500000</v>
      </c>
      <c r="AA1476" s="45">
        <f>Учет!X1476</f>
        <v>500</v>
      </c>
    </row>
    <row r="1477" spans="1:27" ht="15" customHeight="1" x14ac:dyDescent="0.25">
      <c r="A1477" s="1"/>
      <c r="B1477" s="17"/>
      <c r="C1477" s="17"/>
      <c r="D1477" s="17"/>
      <c r="E1477" s="17"/>
      <c r="F1477" s="17"/>
      <c r="G1477" s="4">
        <f t="shared" si="66"/>
        <v>0</v>
      </c>
      <c r="H1477" s="17"/>
      <c r="I1477" s="4">
        <f t="shared" si="68"/>
        <v>349526.07999999996</v>
      </c>
      <c r="J1477" s="32" t="str">
        <f t="shared" si="67"/>
        <v/>
      </c>
      <c r="K1477" s="72"/>
      <c r="L1477" s="72"/>
      <c r="M1477" s="2"/>
      <c r="N1477" s="5"/>
      <c r="O1477" s="3"/>
      <c r="P1477" s="6"/>
      <c r="Q1477" s="48">
        <f>IF(Учет!$O1477=Справочники!$F$2,Учет!$H1477,0)</f>
        <v>0</v>
      </c>
      <c r="R1477" s="48">
        <f>IF(Учет!$O1477=Справочники!$F$3,Учет!$H1477,0)</f>
        <v>0</v>
      </c>
      <c r="S1477" s="48">
        <f>IF(Учет!$O1477=Справочники!$F$4,Учет!$H1477,0)</f>
        <v>0</v>
      </c>
      <c r="T1477" s="48">
        <f>IF(Учет!$O1477=Справочники!$F$5,Учет!$H1477,0)</f>
        <v>0</v>
      </c>
      <c r="U1477" s="48">
        <f>IF(Учет!$O1477=Справочники!$F$6,Учет!$H1477,0)</f>
        <v>0</v>
      </c>
      <c r="V1477" s="43">
        <f>V1476+Учет!Q1477-Q1477</f>
        <v>-488978.92000000004</v>
      </c>
      <c r="W1477" s="43">
        <f>W1476+Учет!R1477-R1477</f>
        <v>336855</v>
      </c>
      <c r="X1477" s="43">
        <f>X1476+Учет!S1477-S1477</f>
        <v>500</v>
      </c>
      <c r="Y1477" s="43">
        <f>Y1476+Учет!T1477-T1477</f>
        <v>1150</v>
      </c>
      <c r="Z1477" s="43">
        <f>Z1476+Учет!U1477-U1477</f>
        <v>500000</v>
      </c>
      <c r="AA1477" s="45">
        <f>Учет!X1477</f>
        <v>500</v>
      </c>
    </row>
    <row r="1478" spans="1:27" ht="15" customHeight="1" x14ac:dyDescent="0.25">
      <c r="A1478" s="1"/>
      <c r="B1478" s="17"/>
      <c r="C1478" s="17"/>
      <c r="D1478" s="17"/>
      <c r="E1478" s="17"/>
      <c r="F1478" s="17"/>
      <c r="G1478" s="4">
        <f t="shared" si="66"/>
        <v>0</v>
      </c>
      <c r="H1478" s="17"/>
      <c r="I1478" s="4">
        <f t="shared" si="68"/>
        <v>349526.07999999996</v>
      </c>
      <c r="J1478" s="32" t="str">
        <f t="shared" si="67"/>
        <v/>
      </c>
      <c r="K1478" s="72"/>
      <c r="L1478" s="72"/>
      <c r="M1478" s="2"/>
      <c r="N1478" s="5"/>
      <c r="O1478" s="3"/>
      <c r="P1478" s="6"/>
      <c r="Q1478" s="48">
        <f>IF(Учет!$O1478=Справочники!$F$2,Учет!$H1478,0)</f>
        <v>0</v>
      </c>
      <c r="R1478" s="48">
        <f>IF(Учет!$O1478=Справочники!$F$3,Учет!$H1478,0)</f>
        <v>0</v>
      </c>
      <c r="S1478" s="48">
        <f>IF(Учет!$O1478=Справочники!$F$4,Учет!$H1478,0)</f>
        <v>0</v>
      </c>
      <c r="T1478" s="48">
        <f>IF(Учет!$O1478=Справочники!$F$5,Учет!$H1478,0)</f>
        <v>0</v>
      </c>
      <c r="U1478" s="48">
        <f>IF(Учет!$O1478=Справочники!$F$6,Учет!$H1478,0)</f>
        <v>0</v>
      </c>
      <c r="V1478" s="43">
        <f>V1477+Учет!Q1478-Q1478</f>
        <v>-488978.92000000004</v>
      </c>
      <c r="W1478" s="43">
        <f>W1477+Учет!R1478-R1478</f>
        <v>336855</v>
      </c>
      <c r="X1478" s="43">
        <f>X1477+Учет!S1478-S1478</f>
        <v>500</v>
      </c>
      <c r="Y1478" s="43">
        <f>Y1477+Учет!T1478-T1478</f>
        <v>1150</v>
      </c>
      <c r="Z1478" s="43">
        <f>Z1477+Учет!U1478-U1478</f>
        <v>500000</v>
      </c>
      <c r="AA1478" s="45">
        <f>Учет!X1478</f>
        <v>500</v>
      </c>
    </row>
    <row r="1479" spans="1:27" ht="15" customHeight="1" x14ac:dyDescent="0.25">
      <c r="A1479" s="1"/>
      <c r="B1479" s="17"/>
      <c r="C1479" s="17"/>
      <c r="D1479" s="17"/>
      <c r="E1479" s="17"/>
      <c r="F1479" s="17"/>
      <c r="G1479" s="4">
        <f t="shared" si="66"/>
        <v>0</v>
      </c>
      <c r="H1479" s="17"/>
      <c r="I1479" s="4">
        <f t="shared" si="68"/>
        <v>349526.07999999996</v>
      </c>
      <c r="J1479" s="32" t="str">
        <f t="shared" si="67"/>
        <v/>
      </c>
      <c r="K1479" s="72"/>
      <c r="L1479" s="72"/>
      <c r="M1479" s="2"/>
      <c r="N1479" s="5"/>
      <c r="O1479" s="3"/>
      <c r="P1479" s="6"/>
      <c r="Q1479" s="48">
        <f>IF(Учет!$O1479=Справочники!$F$2,Учет!$H1479,0)</f>
        <v>0</v>
      </c>
      <c r="R1479" s="48">
        <f>IF(Учет!$O1479=Справочники!$F$3,Учет!$H1479,0)</f>
        <v>0</v>
      </c>
      <c r="S1479" s="48">
        <f>IF(Учет!$O1479=Справочники!$F$4,Учет!$H1479,0)</f>
        <v>0</v>
      </c>
      <c r="T1479" s="48">
        <f>IF(Учет!$O1479=Справочники!$F$5,Учет!$H1479,0)</f>
        <v>0</v>
      </c>
      <c r="U1479" s="48">
        <f>IF(Учет!$O1479=Справочники!$F$6,Учет!$H1479,0)</f>
        <v>0</v>
      </c>
      <c r="V1479" s="43">
        <f>V1478+Учет!Q1479-Q1479</f>
        <v>-488978.92000000004</v>
      </c>
      <c r="W1479" s="43">
        <f>W1478+Учет!R1479-R1479</f>
        <v>336855</v>
      </c>
      <c r="X1479" s="43">
        <f>X1478+Учет!S1479-S1479</f>
        <v>500</v>
      </c>
      <c r="Y1479" s="43">
        <f>Y1478+Учет!T1479-T1479</f>
        <v>1150</v>
      </c>
      <c r="Z1479" s="43">
        <f>Z1478+Учет!U1479-U1479</f>
        <v>500000</v>
      </c>
      <c r="AA1479" s="45">
        <f>Учет!X1479</f>
        <v>500</v>
      </c>
    </row>
    <row r="1480" spans="1:27" ht="15" customHeight="1" x14ac:dyDescent="0.25">
      <c r="A1480" s="1"/>
      <c r="B1480" s="17"/>
      <c r="C1480" s="17"/>
      <c r="D1480" s="17"/>
      <c r="E1480" s="17"/>
      <c r="F1480" s="17"/>
      <c r="G1480" s="4">
        <f t="shared" si="66"/>
        <v>0</v>
      </c>
      <c r="H1480" s="17"/>
      <c r="I1480" s="4">
        <f t="shared" si="68"/>
        <v>349526.07999999996</v>
      </c>
      <c r="J1480" s="32" t="str">
        <f t="shared" si="67"/>
        <v/>
      </c>
      <c r="K1480" s="72"/>
      <c r="L1480" s="72"/>
      <c r="M1480" s="2"/>
      <c r="N1480" s="5"/>
      <c r="O1480" s="3"/>
      <c r="P1480" s="6"/>
      <c r="Q1480" s="48">
        <f>IF(Учет!$O1480=Справочники!$F$2,Учет!$H1480,0)</f>
        <v>0</v>
      </c>
      <c r="R1480" s="48">
        <f>IF(Учет!$O1480=Справочники!$F$3,Учет!$H1480,0)</f>
        <v>0</v>
      </c>
      <c r="S1480" s="48">
        <f>IF(Учет!$O1480=Справочники!$F$4,Учет!$H1480,0)</f>
        <v>0</v>
      </c>
      <c r="T1480" s="48">
        <f>IF(Учет!$O1480=Справочники!$F$5,Учет!$H1480,0)</f>
        <v>0</v>
      </c>
      <c r="U1480" s="48">
        <f>IF(Учет!$O1480=Справочники!$F$6,Учет!$H1480,0)</f>
        <v>0</v>
      </c>
      <c r="V1480" s="43">
        <f>V1479+Учет!Q1480-Q1480</f>
        <v>-488978.92000000004</v>
      </c>
      <c r="W1480" s="43">
        <f>W1479+Учет!R1480-R1480</f>
        <v>336855</v>
      </c>
      <c r="X1480" s="43">
        <f>X1479+Учет!S1480-S1480</f>
        <v>500</v>
      </c>
      <c r="Y1480" s="43">
        <f>Y1479+Учет!T1480-T1480</f>
        <v>1150</v>
      </c>
      <c r="Z1480" s="43">
        <f>Z1479+Учет!U1480-U1480</f>
        <v>500000</v>
      </c>
      <c r="AA1480" s="45">
        <f>Учет!X1480</f>
        <v>500</v>
      </c>
    </row>
    <row r="1481" spans="1:27" ht="15" customHeight="1" x14ac:dyDescent="0.25">
      <c r="A1481" s="1"/>
      <c r="B1481" s="17"/>
      <c r="C1481" s="17"/>
      <c r="D1481" s="17"/>
      <c r="E1481" s="17"/>
      <c r="F1481" s="17"/>
      <c r="G1481" s="4">
        <f t="shared" si="66"/>
        <v>0</v>
      </c>
      <c r="H1481" s="17"/>
      <c r="I1481" s="4">
        <f t="shared" si="68"/>
        <v>349526.07999999996</v>
      </c>
      <c r="J1481" s="32" t="str">
        <f t="shared" si="67"/>
        <v/>
      </c>
      <c r="K1481" s="72"/>
      <c r="L1481" s="72"/>
      <c r="M1481" s="2"/>
      <c r="N1481" s="5"/>
      <c r="O1481" s="3"/>
      <c r="P1481" s="6"/>
      <c r="Q1481" s="48">
        <f>IF(Учет!$O1481=Справочники!$F$2,Учет!$H1481,0)</f>
        <v>0</v>
      </c>
      <c r="R1481" s="48">
        <f>IF(Учет!$O1481=Справочники!$F$3,Учет!$H1481,0)</f>
        <v>0</v>
      </c>
      <c r="S1481" s="48">
        <f>IF(Учет!$O1481=Справочники!$F$4,Учет!$H1481,0)</f>
        <v>0</v>
      </c>
      <c r="T1481" s="48">
        <f>IF(Учет!$O1481=Справочники!$F$5,Учет!$H1481,0)</f>
        <v>0</v>
      </c>
      <c r="U1481" s="48">
        <f>IF(Учет!$O1481=Справочники!$F$6,Учет!$H1481,0)</f>
        <v>0</v>
      </c>
      <c r="V1481" s="43">
        <f>V1480+Учет!Q1481-Q1481</f>
        <v>-488978.92000000004</v>
      </c>
      <c r="W1481" s="43">
        <f>W1480+Учет!R1481-R1481</f>
        <v>336855</v>
      </c>
      <c r="X1481" s="43">
        <f>X1480+Учет!S1481-S1481</f>
        <v>500</v>
      </c>
      <c r="Y1481" s="43">
        <f>Y1480+Учет!T1481-T1481</f>
        <v>1150</v>
      </c>
      <c r="Z1481" s="43">
        <f>Z1480+Учет!U1481-U1481</f>
        <v>500000</v>
      </c>
      <c r="AA1481" s="45">
        <f>Учет!X1481</f>
        <v>500</v>
      </c>
    </row>
    <row r="1482" spans="1:27" ht="15" customHeight="1" x14ac:dyDescent="0.25">
      <c r="A1482" s="1"/>
      <c r="B1482" s="17"/>
      <c r="C1482" s="17"/>
      <c r="D1482" s="17"/>
      <c r="E1482" s="17"/>
      <c r="F1482" s="17"/>
      <c r="G1482" s="4">
        <f t="shared" si="66"/>
        <v>0</v>
      </c>
      <c r="H1482" s="17"/>
      <c r="I1482" s="4">
        <f t="shared" si="68"/>
        <v>349526.07999999996</v>
      </c>
      <c r="J1482" s="32" t="str">
        <f t="shared" si="67"/>
        <v/>
      </c>
      <c r="K1482" s="72"/>
      <c r="L1482" s="72"/>
      <c r="M1482" s="2"/>
      <c r="N1482" s="5"/>
      <c r="O1482" s="3"/>
      <c r="P1482" s="6"/>
      <c r="Q1482" s="48">
        <f>IF(Учет!$O1482=Справочники!$F$2,Учет!$H1482,0)</f>
        <v>0</v>
      </c>
      <c r="R1482" s="48">
        <f>IF(Учет!$O1482=Справочники!$F$3,Учет!$H1482,0)</f>
        <v>0</v>
      </c>
      <c r="S1482" s="48">
        <f>IF(Учет!$O1482=Справочники!$F$4,Учет!$H1482,0)</f>
        <v>0</v>
      </c>
      <c r="T1482" s="48">
        <f>IF(Учет!$O1482=Справочники!$F$5,Учет!$H1482,0)</f>
        <v>0</v>
      </c>
      <c r="U1482" s="48">
        <f>IF(Учет!$O1482=Справочники!$F$6,Учет!$H1482,0)</f>
        <v>0</v>
      </c>
      <c r="V1482" s="43">
        <f>V1481+Учет!Q1482-Q1482</f>
        <v>-488978.92000000004</v>
      </c>
      <c r="W1482" s="43">
        <f>W1481+Учет!R1482-R1482</f>
        <v>336855</v>
      </c>
      <c r="X1482" s="43">
        <f>X1481+Учет!S1482-S1482</f>
        <v>500</v>
      </c>
      <c r="Y1482" s="43">
        <f>Y1481+Учет!T1482-T1482</f>
        <v>1150</v>
      </c>
      <c r="Z1482" s="43">
        <f>Z1481+Учет!U1482-U1482</f>
        <v>500000</v>
      </c>
      <c r="AA1482" s="45">
        <f>Учет!X1482</f>
        <v>500</v>
      </c>
    </row>
    <row r="1483" spans="1:27" ht="15" customHeight="1" x14ac:dyDescent="0.25">
      <c r="A1483" s="1"/>
      <c r="B1483" s="17"/>
      <c r="C1483" s="17"/>
      <c r="D1483" s="17"/>
      <c r="E1483" s="17"/>
      <c r="F1483" s="17"/>
      <c r="G1483" s="4">
        <f t="shared" si="66"/>
        <v>0</v>
      </c>
      <c r="H1483" s="17"/>
      <c r="I1483" s="4">
        <f t="shared" si="68"/>
        <v>349526.07999999996</v>
      </c>
      <c r="J1483" s="32" t="str">
        <f t="shared" si="67"/>
        <v/>
      </c>
      <c r="K1483" s="72"/>
      <c r="L1483" s="72"/>
      <c r="M1483" s="2"/>
      <c r="N1483" s="5"/>
      <c r="O1483" s="3"/>
      <c r="P1483" s="6"/>
      <c r="Q1483" s="48">
        <f>IF(Учет!$O1483=Справочники!$F$2,Учет!$H1483,0)</f>
        <v>0</v>
      </c>
      <c r="R1483" s="48">
        <f>IF(Учет!$O1483=Справочники!$F$3,Учет!$H1483,0)</f>
        <v>0</v>
      </c>
      <c r="S1483" s="48">
        <f>IF(Учет!$O1483=Справочники!$F$4,Учет!$H1483,0)</f>
        <v>0</v>
      </c>
      <c r="T1483" s="48">
        <f>IF(Учет!$O1483=Справочники!$F$5,Учет!$H1483,0)</f>
        <v>0</v>
      </c>
      <c r="U1483" s="48">
        <f>IF(Учет!$O1483=Справочники!$F$6,Учет!$H1483,0)</f>
        <v>0</v>
      </c>
      <c r="V1483" s="43">
        <f>V1482+Учет!Q1483-Q1483</f>
        <v>-488978.92000000004</v>
      </c>
      <c r="W1483" s="43">
        <f>W1482+Учет!R1483-R1483</f>
        <v>336855</v>
      </c>
      <c r="X1483" s="43">
        <f>X1482+Учет!S1483-S1483</f>
        <v>500</v>
      </c>
      <c r="Y1483" s="43">
        <f>Y1482+Учет!T1483-T1483</f>
        <v>1150</v>
      </c>
      <c r="Z1483" s="43">
        <f>Z1482+Учет!U1483-U1483</f>
        <v>500000</v>
      </c>
      <c r="AA1483" s="45">
        <f>Учет!X1483</f>
        <v>500</v>
      </c>
    </row>
    <row r="1484" spans="1:27" ht="15" customHeight="1" x14ac:dyDescent="0.25">
      <c r="A1484" s="1"/>
      <c r="B1484" s="17"/>
      <c r="C1484" s="17"/>
      <c r="D1484" s="17"/>
      <c r="E1484" s="17"/>
      <c r="F1484" s="17"/>
      <c r="G1484" s="4">
        <f t="shared" si="66"/>
        <v>0</v>
      </c>
      <c r="H1484" s="17"/>
      <c r="I1484" s="4">
        <f t="shared" si="68"/>
        <v>349526.07999999996</v>
      </c>
      <c r="J1484" s="32" t="str">
        <f t="shared" si="67"/>
        <v/>
      </c>
      <c r="K1484" s="72"/>
      <c r="L1484" s="72"/>
      <c r="M1484" s="2"/>
      <c r="N1484" s="5"/>
      <c r="O1484" s="3"/>
      <c r="P1484" s="6"/>
      <c r="Q1484" s="48">
        <f>IF(Учет!$O1484=Справочники!$F$2,Учет!$H1484,0)</f>
        <v>0</v>
      </c>
      <c r="R1484" s="48">
        <f>IF(Учет!$O1484=Справочники!$F$3,Учет!$H1484,0)</f>
        <v>0</v>
      </c>
      <c r="S1484" s="48">
        <f>IF(Учет!$O1484=Справочники!$F$4,Учет!$H1484,0)</f>
        <v>0</v>
      </c>
      <c r="T1484" s="48">
        <f>IF(Учет!$O1484=Справочники!$F$5,Учет!$H1484,0)</f>
        <v>0</v>
      </c>
      <c r="U1484" s="48">
        <f>IF(Учет!$O1484=Справочники!$F$6,Учет!$H1484,0)</f>
        <v>0</v>
      </c>
      <c r="V1484" s="43">
        <f>V1483+Учет!Q1484-Q1484</f>
        <v>-488978.92000000004</v>
      </c>
      <c r="W1484" s="43">
        <f>W1483+Учет!R1484-R1484</f>
        <v>336855</v>
      </c>
      <c r="X1484" s="43">
        <f>X1483+Учет!S1484-S1484</f>
        <v>500</v>
      </c>
      <c r="Y1484" s="43">
        <f>Y1483+Учет!T1484-T1484</f>
        <v>1150</v>
      </c>
      <c r="Z1484" s="43">
        <f>Z1483+Учет!U1484-U1484</f>
        <v>500000</v>
      </c>
      <c r="AA1484" s="45">
        <f>Учет!X1484</f>
        <v>500</v>
      </c>
    </row>
    <row r="1485" spans="1:27" ht="15" customHeight="1" x14ac:dyDescent="0.25">
      <c r="A1485" s="1"/>
      <c r="B1485" s="17"/>
      <c r="C1485" s="17"/>
      <c r="D1485" s="17"/>
      <c r="E1485" s="17"/>
      <c r="F1485" s="17"/>
      <c r="G1485" s="4">
        <f t="shared" si="66"/>
        <v>0</v>
      </c>
      <c r="H1485" s="17"/>
      <c r="I1485" s="4">
        <f t="shared" si="68"/>
        <v>349526.07999999996</v>
      </c>
      <c r="J1485" s="32" t="str">
        <f t="shared" si="67"/>
        <v/>
      </c>
      <c r="K1485" s="72"/>
      <c r="L1485" s="72"/>
      <c r="M1485" s="2"/>
      <c r="N1485" s="5"/>
      <c r="O1485" s="3"/>
      <c r="P1485" s="6"/>
      <c r="Q1485" s="48">
        <f>IF(Учет!$O1485=Справочники!$F$2,Учет!$H1485,0)</f>
        <v>0</v>
      </c>
      <c r="R1485" s="48">
        <f>IF(Учет!$O1485=Справочники!$F$3,Учет!$H1485,0)</f>
        <v>0</v>
      </c>
      <c r="S1485" s="48">
        <f>IF(Учет!$O1485=Справочники!$F$4,Учет!$H1485,0)</f>
        <v>0</v>
      </c>
      <c r="T1485" s="48">
        <f>IF(Учет!$O1485=Справочники!$F$5,Учет!$H1485,0)</f>
        <v>0</v>
      </c>
      <c r="U1485" s="48">
        <f>IF(Учет!$O1485=Справочники!$F$6,Учет!$H1485,0)</f>
        <v>0</v>
      </c>
      <c r="V1485" s="43">
        <f>V1484+Учет!Q1485-Q1485</f>
        <v>-488978.92000000004</v>
      </c>
      <c r="W1485" s="43">
        <f>W1484+Учет!R1485-R1485</f>
        <v>336855</v>
      </c>
      <c r="X1485" s="43">
        <f>X1484+Учет!S1485-S1485</f>
        <v>500</v>
      </c>
      <c r="Y1485" s="43">
        <f>Y1484+Учет!T1485-T1485</f>
        <v>1150</v>
      </c>
      <c r="Z1485" s="43">
        <f>Z1484+Учет!U1485-U1485</f>
        <v>500000</v>
      </c>
      <c r="AA1485" s="45">
        <f>Учет!X1485</f>
        <v>500</v>
      </c>
    </row>
    <row r="1486" spans="1:27" ht="15" customHeight="1" x14ac:dyDescent="0.25">
      <c r="A1486" s="1"/>
      <c r="B1486" s="17"/>
      <c r="C1486" s="17"/>
      <c r="D1486" s="17"/>
      <c r="E1486" s="17"/>
      <c r="F1486" s="17"/>
      <c r="G1486" s="4">
        <f t="shared" si="66"/>
        <v>0</v>
      </c>
      <c r="H1486" s="17"/>
      <c r="I1486" s="4">
        <f t="shared" si="68"/>
        <v>349526.07999999996</v>
      </c>
      <c r="J1486" s="32" t="str">
        <f t="shared" si="67"/>
        <v/>
      </c>
      <c r="K1486" s="72"/>
      <c r="L1486" s="72"/>
      <c r="M1486" s="2"/>
      <c r="N1486" s="5"/>
      <c r="O1486" s="3"/>
      <c r="P1486" s="6"/>
      <c r="Q1486" s="48">
        <f>IF(Учет!$O1486=Справочники!$F$2,Учет!$H1486,0)</f>
        <v>0</v>
      </c>
      <c r="R1486" s="48">
        <f>IF(Учет!$O1486=Справочники!$F$3,Учет!$H1486,0)</f>
        <v>0</v>
      </c>
      <c r="S1486" s="48">
        <f>IF(Учет!$O1486=Справочники!$F$4,Учет!$H1486,0)</f>
        <v>0</v>
      </c>
      <c r="T1486" s="48">
        <f>IF(Учет!$O1486=Справочники!$F$5,Учет!$H1486,0)</f>
        <v>0</v>
      </c>
      <c r="U1486" s="48">
        <f>IF(Учет!$O1486=Справочники!$F$6,Учет!$H1486,0)</f>
        <v>0</v>
      </c>
      <c r="V1486" s="43">
        <f>V1485+Учет!Q1486-Q1486</f>
        <v>-488978.92000000004</v>
      </c>
      <c r="W1486" s="43">
        <f>W1485+Учет!R1486-R1486</f>
        <v>336855</v>
      </c>
      <c r="X1486" s="43">
        <f>X1485+Учет!S1486-S1486</f>
        <v>500</v>
      </c>
      <c r="Y1486" s="43">
        <f>Y1485+Учет!T1486-T1486</f>
        <v>1150</v>
      </c>
      <c r="Z1486" s="43">
        <f>Z1485+Учет!U1486-U1486</f>
        <v>500000</v>
      </c>
      <c r="AA1486" s="45">
        <f>Учет!X1486</f>
        <v>500</v>
      </c>
    </row>
    <row r="1487" spans="1:27" ht="15" customHeight="1" x14ac:dyDescent="0.25">
      <c r="A1487" s="1"/>
      <c r="B1487" s="17"/>
      <c r="C1487" s="17"/>
      <c r="D1487" s="17"/>
      <c r="E1487" s="17"/>
      <c r="F1487" s="17"/>
      <c r="G1487" s="4">
        <f t="shared" si="66"/>
        <v>0</v>
      </c>
      <c r="H1487" s="17"/>
      <c r="I1487" s="4">
        <f t="shared" si="68"/>
        <v>349526.07999999996</v>
      </c>
      <c r="J1487" s="32" t="str">
        <f t="shared" si="67"/>
        <v/>
      </c>
      <c r="K1487" s="72"/>
      <c r="L1487" s="72"/>
      <c r="M1487" s="2"/>
      <c r="N1487" s="5"/>
      <c r="O1487" s="3"/>
      <c r="P1487" s="6"/>
      <c r="Q1487" s="48">
        <f>IF(Учет!$O1487=Справочники!$F$2,Учет!$H1487,0)</f>
        <v>0</v>
      </c>
      <c r="R1487" s="48">
        <f>IF(Учет!$O1487=Справочники!$F$3,Учет!$H1487,0)</f>
        <v>0</v>
      </c>
      <c r="S1487" s="48">
        <f>IF(Учет!$O1487=Справочники!$F$4,Учет!$H1487,0)</f>
        <v>0</v>
      </c>
      <c r="T1487" s="48">
        <f>IF(Учет!$O1487=Справочники!$F$5,Учет!$H1487,0)</f>
        <v>0</v>
      </c>
      <c r="U1487" s="48">
        <f>IF(Учет!$O1487=Справочники!$F$6,Учет!$H1487,0)</f>
        <v>0</v>
      </c>
      <c r="V1487" s="43">
        <f>V1486+Учет!Q1487-Q1487</f>
        <v>-488978.92000000004</v>
      </c>
      <c r="W1487" s="43">
        <f>W1486+Учет!R1487-R1487</f>
        <v>336855</v>
      </c>
      <c r="X1487" s="43">
        <f>X1486+Учет!S1487-S1487</f>
        <v>500</v>
      </c>
      <c r="Y1487" s="43">
        <f>Y1486+Учет!T1487-T1487</f>
        <v>1150</v>
      </c>
      <c r="Z1487" s="43">
        <f>Z1486+Учет!U1487-U1487</f>
        <v>500000</v>
      </c>
      <c r="AA1487" s="45">
        <f>Учет!X1487</f>
        <v>500</v>
      </c>
    </row>
    <row r="1488" spans="1:27" ht="15" customHeight="1" x14ac:dyDescent="0.25">
      <c r="A1488" s="1"/>
      <c r="B1488" s="17"/>
      <c r="C1488" s="17"/>
      <c r="D1488" s="17"/>
      <c r="E1488" s="17"/>
      <c r="F1488" s="17"/>
      <c r="G1488" s="4">
        <f t="shared" si="66"/>
        <v>0</v>
      </c>
      <c r="H1488" s="17"/>
      <c r="I1488" s="4">
        <f t="shared" si="68"/>
        <v>349526.07999999996</v>
      </c>
      <c r="J1488" s="32" t="str">
        <f t="shared" si="67"/>
        <v/>
      </c>
      <c r="K1488" s="72"/>
      <c r="L1488" s="72"/>
      <c r="M1488" s="2"/>
      <c r="N1488" s="5"/>
      <c r="O1488" s="3"/>
      <c r="P1488" s="6"/>
      <c r="Q1488" s="48">
        <f>IF(Учет!$O1488=Справочники!$F$2,Учет!$H1488,0)</f>
        <v>0</v>
      </c>
      <c r="R1488" s="48">
        <f>IF(Учет!$O1488=Справочники!$F$3,Учет!$H1488,0)</f>
        <v>0</v>
      </c>
      <c r="S1488" s="48">
        <f>IF(Учет!$O1488=Справочники!$F$4,Учет!$H1488,0)</f>
        <v>0</v>
      </c>
      <c r="T1488" s="48">
        <f>IF(Учет!$O1488=Справочники!$F$5,Учет!$H1488,0)</f>
        <v>0</v>
      </c>
      <c r="U1488" s="48">
        <f>IF(Учет!$O1488=Справочники!$F$6,Учет!$H1488,0)</f>
        <v>0</v>
      </c>
      <c r="V1488" s="43">
        <f>V1487+Учет!Q1488-Q1488</f>
        <v>-488978.92000000004</v>
      </c>
      <c r="W1488" s="43">
        <f>W1487+Учет!R1488-R1488</f>
        <v>336855</v>
      </c>
      <c r="X1488" s="43">
        <f>X1487+Учет!S1488-S1488</f>
        <v>500</v>
      </c>
      <c r="Y1488" s="43">
        <f>Y1487+Учет!T1488-T1488</f>
        <v>1150</v>
      </c>
      <c r="Z1488" s="43">
        <f>Z1487+Учет!U1488-U1488</f>
        <v>500000</v>
      </c>
      <c r="AA1488" s="45">
        <f>Учет!X1488</f>
        <v>500</v>
      </c>
    </row>
    <row r="1489" spans="1:27" ht="15" customHeight="1" x14ac:dyDescent="0.25">
      <c r="A1489" s="1"/>
      <c r="B1489" s="17"/>
      <c r="C1489" s="17"/>
      <c r="D1489" s="17"/>
      <c r="E1489" s="17"/>
      <c r="F1489" s="17"/>
      <c r="G1489" s="4">
        <f t="shared" si="66"/>
        <v>0</v>
      </c>
      <c r="H1489" s="17"/>
      <c r="I1489" s="4">
        <f t="shared" si="68"/>
        <v>349526.07999999996</v>
      </c>
      <c r="J1489" s="32" t="str">
        <f t="shared" si="67"/>
        <v/>
      </c>
      <c r="K1489" s="72"/>
      <c r="L1489" s="72"/>
      <c r="M1489" s="2"/>
      <c r="N1489" s="5"/>
      <c r="O1489" s="3"/>
      <c r="P1489" s="6"/>
      <c r="Q1489" s="48">
        <f>IF(Учет!$O1489=Справочники!$F$2,Учет!$H1489,0)</f>
        <v>0</v>
      </c>
      <c r="R1489" s="48">
        <f>IF(Учет!$O1489=Справочники!$F$3,Учет!$H1489,0)</f>
        <v>0</v>
      </c>
      <c r="S1489" s="48">
        <f>IF(Учет!$O1489=Справочники!$F$4,Учет!$H1489,0)</f>
        <v>0</v>
      </c>
      <c r="T1489" s="48">
        <f>IF(Учет!$O1489=Справочники!$F$5,Учет!$H1489,0)</f>
        <v>0</v>
      </c>
      <c r="U1489" s="48">
        <f>IF(Учет!$O1489=Справочники!$F$6,Учет!$H1489,0)</f>
        <v>0</v>
      </c>
      <c r="V1489" s="43">
        <f>V1488+Учет!Q1489-Q1489</f>
        <v>-488978.92000000004</v>
      </c>
      <c r="W1489" s="43">
        <f>W1488+Учет!R1489-R1489</f>
        <v>336855</v>
      </c>
      <c r="X1489" s="43">
        <f>X1488+Учет!S1489-S1489</f>
        <v>500</v>
      </c>
      <c r="Y1489" s="43">
        <f>Y1488+Учет!T1489-T1489</f>
        <v>1150</v>
      </c>
      <c r="Z1489" s="43">
        <f>Z1488+Учет!U1489-U1489</f>
        <v>500000</v>
      </c>
      <c r="AA1489" s="45">
        <f>Учет!X1489</f>
        <v>500</v>
      </c>
    </row>
    <row r="1490" spans="1:27" ht="15" customHeight="1" x14ac:dyDescent="0.25">
      <c r="A1490" s="1"/>
      <c r="B1490" s="17"/>
      <c r="C1490" s="17"/>
      <c r="D1490" s="17"/>
      <c r="E1490" s="17"/>
      <c r="F1490" s="17"/>
      <c r="G1490" s="4">
        <f t="shared" si="66"/>
        <v>0</v>
      </c>
      <c r="H1490" s="17"/>
      <c r="I1490" s="4">
        <f t="shared" si="68"/>
        <v>349526.07999999996</v>
      </c>
      <c r="J1490" s="32" t="str">
        <f t="shared" si="67"/>
        <v/>
      </c>
      <c r="K1490" s="72"/>
      <c r="L1490" s="72"/>
      <c r="M1490" s="2"/>
      <c r="N1490" s="5"/>
      <c r="O1490" s="3"/>
      <c r="P1490" s="6"/>
      <c r="Q1490" s="48">
        <f>IF(Учет!$O1490=Справочники!$F$2,Учет!$H1490,0)</f>
        <v>0</v>
      </c>
      <c r="R1490" s="48">
        <f>IF(Учет!$O1490=Справочники!$F$3,Учет!$H1490,0)</f>
        <v>0</v>
      </c>
      <c r="S1490" s="48">
        <f>IF(Учет!$O1490=Справочники!$F$4,Учет!$H1490,0)</f>
        <v>0</v>
      </c>
      <c r="T1490" s="48">
        <f>IF(Учет!$O1490=Справочники!$F$5,Учет!$H1490,0)</f>
        <v>0</v>
      </c>
      <c r="U1490" s="48">
        <f>IF(Учет!$O1490=Справочники!$F$6,Учет!$H1490,0)</f>
        <v>0</v>
      </c>
      <c r="V1490" s="43">
        <f>V1489+Учет!Q1490-Q1490</f>
        <v>-488978.92000000004</v>
      </c>
      <c r="W1490" s="43">
        <f>W1489+Учет!R1490-R1490</f>
        <v>336855</v>
      </c>
      <c r="X1490" s="43">
        <f>X1489+Учет!S1490-S1490</f>
        <v>500</v>
      </c>
      <c r="Y1490" s="43">
        <f>Y1489+Учет!T1490-T1490</f>
        <v>1150</v>
      </c>
      <c r="Z1490" s="43">
        <f>Z1489+Учет!U1490-U1490</f>
        <v>500000</v>
      </c>
      <c r="AA1490" s="45">
        <f>Учет!X1490</f>
        <v>500</v>
      </c>
    </row>
    <row r="1491" spans="1:27" ht="15" customHeight="1" x14ac:dyDescent="0.25">
      <c r="A1491" s="1"/>
      <c r="B1491" s="17"/>
      <c r="C1491" s="17"/>
      <c r="D1491" s="17"/>
      <c r="E1491" s="17"/>
      <c r="F1491" s="17"/>
      <c r="G1491" s="4">
        <f t="shared" si="66"/>
        <v>0</v>
      </c>
      <c r="H1491" s="17"/>
      <c r="I1491" s="4">
        <f t="shared" si="68"/>
        <v>349526.07999999996</v>
      </c>
      <c r="J1491" s="32" t="str">
        <f t="shared" si="67"/>
        <v/>
      </c>
      <c r="K1491" s="72"/>
      <c r="L1491" s="72"/>
      <c r="M1491" s="2"/>
      <c r="N1491" s="5"/>
      <c r="O1491" s="3"/>
      <c r="P1491" s="6"/>
      <c r="Q1491" s="48">
        <f>IF(Учет!$O1491=Справочники!$F$2,Учет!$H1491,0)</f>
        <v>0</v>
      </c>
      <c r="R1491" s="48">
        <f>IF(Учет!$O1491=Справочники!$F$3,Учет!$H1491,0)</f>
        <v>0</v>
      </c>
      <c r="S1491" s="48">
        <f>IF(Учет!$O1491=Справочники!$F$4,Учет!$H1491,0)</f>
        <v>0</v>
      </c>
      <c r="T1491" s="48">
        <f>IF(Учет!$O1491=Справочники!$F$5,Учет!$H1491,0)</f>
        <v>0</v>
      </c>
      <c r="U1491" s="48">
        <f>IF(Учет!$O1491=Справочники!$F$6,Учет!$H1491,0)</f>
        <v>0</v>
      </c>
      <c r="V1491" s="43">
        <f>V1490+Учет!Q1491-Q1491</f>
        <v>-488978.92000000004</v>
      </c>
      <c r="W1491" s="43">
        <f>W1490+Учет!R1491-R1491</f>
        <v>336855</v>
      </c>
      <c r="X1491" s="43">
        <f>X1490+Учет!S1491-S1491</f>
        <v>500</v>
      </c>
      <c r="Y1491" s="43">
        <f>Y1490+Учет!T1491-T1491</f>
        <v>1150</v>
      </c>
      <c r="Z1491" s="43">
        <f>Z1490+Учет!U1491-U1491</f>
        <v>500000</v>
      </c>
      <c r="AA1491" s="45">
        <f>Учет!X1491</f>
        <v>500</v>
      </c>
    </row>
    <row r="1492" spans="1:27" ht="15" customHeight="1" x14ac:dyDescent="0.25">
      <c r="A1492" s="1"/>
      <c r="B1492" s="17"/>
      <c r="C1492" s="17"/>
      <c r="D1492" s="17"/>
      <c r="E1492" s="17"/>
      <c r="F1492" s="17"/>
      <c r="G1492" s="4">
        <f t="shared" si="66"/>
        <v>0</v>
      </c>
      <c r="H1492" s="17"/>
      <c r="I1492" s="4">
        <f t="shared" si="68"/>
        <v>349526.07999999996</v>
      </c>
      <c r="J1492" s="32" t="str">
        <f t="shared" si="67"/>
        <v/>
      </c>
      <c r="K1492" s="72"/>
      <c r="L1492" s="72"/>
      <c r="M1492" s="2"/>
      <c r="N1492" s="5"/>
      <c r="O1492" s="3"/>
      <c r="P1492" s="6"/>
      <c r="Q1492" s="48">
        <f>IF(Учет!$O1492=Справочники!$F$2,Учет!$H1492,0)</f>
        <v>0</v>
      </c>
      <c r="R1492" s="48">
        <f>IF(Учет!$O1492=Справочники!$F$3,Учет!$H1492,0)</f>
        <v>0</v>
      </c>
      <c r="S1492" s="48">
        <f>IF(Учет!$O1492=Справочники!$F$4,Учет!$H1492,0)</f>
        <v>0</v>
      </c>
      <c r="T1492" s="48">
        <f>IF(Учет!$O1492=Справочники!$F$5,Учет!$H1492,0)</f>
        <v>0</v>
      </c>
      <c r="U1492" s="48">
        <f>IF(Учет!$O1492=Справочники!$F$6,Учет!$H1492,0)</f>
        <v>0</v>
      </c>
      <c r="V1492" s="43">
        <f>V1491+Учет!Q1492-Q1492</f>
        <v>-488978.92000000004</v>
      </c>
      <c r="W1492" s="43">
        <f>W1491+Учет!R1492-R1492</f>
        <v>336855</v>
      </c>
      <c r="X1492" s="43">
        <f>X1491+Учет!S1492-S1492</f>
        <v>500</v>
      </c>
      <c r="Y1492" s="43">
        <f>Y1491+Учет!T1492-T1492</f>
        <v>1150</v>
      </c>
      <c r="Z1492" s="43">
        <f>Z1491+Учет!U1492-U1492</f>
        <v>500000</v>
      </c>
      <c r="AA1492" s="45">
        <f>Учет!X1492</f>
        <v>500</v>
      </c>
    </row>
    <row r="1493" spans="1:27" ht="15" customHeight="1" x14ac:dyDescent="0.25">
      <c r="A1493" s="1"/>
      <c r="B1493" s="17"/>
      <c r="C1493" s="17"/>
      <c r="D1493" s="17"/>
      <c r="E1493" s="17"/>
      <c r="F1493" s="17"/>
      <c r="G1493" s="4">
        <f t="shared" si="66"/>
        <v>0</v>
      </c>
      <c r="H1493" s="17"/>
      <c r="I1493" s="4">
        <f t="shared" si="68"/>
        <v>349526.07999999996</v>
      </c>
      <c r="J1493" s="32" t="str">
        <f t="shared" si="67"/>
        <v/>
      </c>
      <c r="K1493" s="72"/>
      <c r="L1493" s="72"/>
      <c r="M1493" s="2"/>
      <c r="N1493" s="5"/>
      <c r="O1493" s="3"/>
      <c r="P1493" s="6"/>
      <c r="Q1493" s="48">
        <f>IF(Учет!$O1493=Справочники!$F$2,Учет!$H1493,0)</f>
        <v>0</v>
      </c>
      <c r="R1493" s="48">
        <f>IF(Учет!$O1493=Справочники!$F$3,Учет!$H1493,0)</f>
        <v>0</v>
      </c>
      <c r="S1493" s="48">
        <f>IF(Учет!$O1493=Справочники!$F$4,Учет!$H1493,0)</f>
        <v>0</v>
      </c>
      <c r="T1493" s="48">
        <f>IF(Учет!$O1493=Справочники!$F$5,Учет!$H1493,0)</f>
        <v>0</v>
      </c>
      <c r="U1493" s="48">
        <f>IF(Учет!$O1493=Справочники!$F$6,Учет!$H1493,0)</f>
        <v>0</v>
      </c>
      <c r="V1493" s="43">
        <f>V1492+Учет!Q1493-Q1493</f>
        <v>-488978.92000000004</v>
      </c>
      <c r="W1493" s="43">
        <f>W1492+Учет!R1493-R1493</f>
        <v>336855</v>
      </c>
      <c r="X1493" s="43">
        <f>X1492+Учет!S1493-S1493</f>
        <v>500</v>
      </c>
      <c r="Y1493" s="43">
        <f>Y1492+Учет!T1493-T1493</f>
        <v>1150</v>
      </c>
      <c r="Z1493" s="43">
        <f>Z1492+Учет!U1493-U1493</f>
        <v>500000</v>
      </c>
      <c r="AA1493" s="45">
        <f>Учет!X1493</f>
        <v>500</v>
      </c>
    </row>
    <row r="1494" spans="1:27" ht="15" customHeight="1" x14ac:dyDescent="0.25">
      <c r="A1494" s="1"/>
      <c r="B1494" s="17"/>
      <c r="C1494" s="17"/>
      <c r="D1494" s="17"/>
      <c r="E1494" s="17"/>
      <c r="F1494" s="17"/>
      <c r="G1494" s="4">
        <f t="shared" si="66"/>
        <v>0</v>
      </c>
      <c r="H1494" s="17"/>
      <c r="I1494" s="4">
        <f t="shared" si="68"/>
        <v>349526.07999999996</v>
      </c>
      <c r="J1494" s="32" t="str">
        <f t="shared" si="67"/>
        <v/>
      </c>
      <c r="K1494" s="72"/>
      <c r="L1494" s="72"/>
      <c r="M1494" s="2"/>
      <c r="N1494" s="5"/>
      <c r="O1494" s="3"/>
      <c r="P1494" s="6"/>
      <c r="Q1494" s="48">
        <f>IF(Учет!$O1494=Справочники!$F$2,Учет!$H1494,0)</f>
        <v>0</v>
      </c>
      <c r="R1494" s="48">
        <f>IF(Учет!$O1494=Справочники!$F$3,Учет!$H1494,0)</f>
        <v>0</v>
      </c>
      <c r="S1494" s="48">
        <f>IF(Учет!$O1494=Справочники!$F$4,Учет!$H1494,0)</f>
        <v>0</v>
      </c>
      <c r="T1494" s="48">
        <f>IF(Учет!$O1494=Справочники!$F$5,Учет!$H1494,0)</f>
        <v>0</v>
      </c>
      <c r="U1494" s="48">
        <f>IF(Учет!$O1494=Справочники!$F$6,Учет!$H1494,0)</f>
        <v>0</v>
      </c>
      <c r="V1494" s="43">
        <f>V1493+Учет!Q1494-Q1494</f>
        <v>-488978.92000000004</v>
      </c>
      <c r="W1494" s="43">
        <f>W1493+Учет!R1494-R1494</f>
        <v>336855</v>
      </c>
      <c r="X1494" s="43">
        <f>X1493+Учет!S1494-S1494</f>
        <v>500</v>
      </c>
      <c r="Y1494" s="43">
        <f>Y1493+Учет!T1494-T1494</f>
        <v>1150</v>
      </c>
      <c r="Z1494" s="43">
        <f>Z1493+Учет!U1494-U1494</f>
        <v>500000</v>
      </c>
      <c r="AA1494" s="45">
        <f>Учет!X1494</f>
        <v>500</v>
      </c>
    </row>
    <row r="1495" spans="1:27" ht="15" customHeight="1" x14ac:dyDescent="0.25">
      <c r="A1495" s="1"/>
      <c r="B1495" s="17"/>
      <c r="C1495" s="17"/>
      <c r="D1495" s="17"/>
      <c r="E1495" s="17"/>
      <c r="F1495" s="17"/>
      <c r="G1495" s="4">
        <f t="shared" si="66"/>
        <v>0</v>
      </c>
      <c r="H1495" s="17"/>
      <c r="I1495" s="4">
        <f t="shared" si="68"/>
        <v>349526.07999999996</v>
      </c>
      <c r="J1495" s="32" t="str">
        <f t="shared" si="67"/>
        <v/>
      </c>
      <c r="K1495" s="72"/>
      <c r="L1495" s="72"/>
      <c r="M1495" s="2"/>
      <c r="N1495" s="5"/>
      <c r="O1495" s="3"/>
      <c r="P1495" s="6"/>
      <c r="Q1495" s="48">
        <f>IF(Учет!$O1495=Справочники!$F$2,Учет!$H1495,0)</f>
        <v>0</v>
      </c>
      <c r="R1495" s="48">
        <f>IF(Учет!$O1495=Справочники!$F$3,Учет!$H1495,0)</f>
        <v>0</v>
      </c>
      <c r="S1495" s="48">
        <f>IF(Учет!$O1495=Справочники!$F$4,Учет!$H1495,0)</f>
        <v>0</v>
      </c>
      <c r="T1495" s="48">
        <f>IF(Учет!$O1495=Справочники!$F$5,Учет!$H1495,0)</f>
        <v>0</v>
      </c>
      <c r="U1495" s="48">
        <f>IF(Учет!$O1495=Справочники!$F$6,Учет!$H1495,0)</f>
        <v>0</v>
      </c>
      <c r="V1495" s="43">
        <f>V1494+Учет!Q1495-Q1495</f>
        <v>-488978.92000000004</v>
      </c>
      <c r="W1495" s="43">
        <f>W1494+Учет!R1495-R1495</f>
        <v>336855</v>
      </c>
      <c r="X1495" s="43">
        <f>X1494+Учет!S1495-S1495</f>
        <v>500</v>
      </c>
      <c r="Y1495" s="43">
        <f>Y1494+Учет!T1495-T1495</f>
        <v>1150</v>
      </c>
      <c r="Z1495" s="43">
        <f>Z1494+Учет!U1495-U1495</f>
        <v>500000</v>
      </c>
      <c r="AA1495" s="45">
        <f>Учет!X1495</f>
        <v>500</v>
      </c>
    </row>
    <row r="1496" spans="1:27" ht="15" customHeight="1" x14ac:dyDescent="0.25">
      <c r="A1496" s="1"/>
      <c r="B1496" s="17"/>
      <c r="C1496" s="17"/>
      <c r="D1496" s="17"/>
      <c r="E1496" s="17"/>
      <c r="F1496" s="17"/>
      <c r="G1496" s="4">
        <f t="shared" si="66"/>
        <v>0</v>
      </c>
      <c r="H1496" s="17"/>
      <c r="I1496" s="4">
        <f t="shared" si="68"/>
        <v>349526.07999999996</v>
      </c>
      <c r="J1496" s="32" t="str">
        <f t="shared" si="67"/>
        <v/>
      </c>
      <c r="K1496" s="72"/>
      <c r="L1496" s="72"/>
      <c r="M1496" s="2"/>
      <c r="N1496" s="5"/>
      <c r="O1496" s="3"/>
      <c r="P1496" s="6"/>
      <c r="Q1496" s="48">
        <f>IF(Учет!$O1496=Справочники!$F$2,Учет!$H1496,0)</f>
        <v>0</v>
      </c>
      <c r="R1496" s="48">
        <f>IF(Учет!$O1496=Справочники!$F$3,Учет!$H1496,0)</f>
        <v>0</v>
      </c>
      <c r="S1496" s="48">
        <f>IF(Учет!$O1496=Справочники!$F$4,Учет!$H1496,0)</f>
        <v>0</v>
      </c>
      <c r="T1496" s="48">
        <f>IF(Учет!$O1496=Справочники!$F$5,Учет!$H1496,0)</f>
        <v>0</v>
      </c>
      <c r="U1496" s="48">
        <f>IF(Учет!$O1496=Справочники!$F$6,Учет!$H1496,0)</f>
        <v>0</v>
      </c>
      <c r="V1496" s="43">
        <f>V1495+Учет!Q1496-Q1496</f>
        <v>-488978.92000000004</v>
      </c>
      <c r="W1496" s="43">
        <f>W1495+Учет!R1496-R1496</f>
        <v>336855</v>
      </c>
      <c r="X1496" s="43">
        <f>X1495+Учет!S1496-S1496</f>
        <v>500</v>
      </c>
      <c r="Y1496" s="43">
        <f>Y1495+Учет!T1496-T1496</f>
        <v>1150</v>
      </c>
      <c r="Z1496" s="43">
        <f>Z1495+Учет!U1496-U1496</f>
        <v>500000</v>
      </c>
      <c r="AA1496" s="45">
        <f>Учет!X1496</f>
        <v>500</v>
      </c>
    </row>
    <row r="1497" spans="1:27" ht="15" customHeight="1" x14ac:dyDescent="0.25">
      <c r="A1497" s="1"/>
      <c r="B1497" s="17"/>
      <c r="C1497" s="17"/>
      <c r="D1497" s="17"/>
      <c r="E1497" s="17"/>
      <c r="F1497" s="17"/>
      <c r="G1497" s="4">
        <f t="shared" si="66"/>
        <v>0</v>
      </c>
      <c r="H1497" s="17"/>
      <c r="I1497" s="4">
        <f t="shared" si="68"/>
        <v>349526.07999999996</v>
      </c>
      <c r="J1497" s="32" t="str">
        <f t="shared" si="67"/>
        <v/>
      </c>
      <c r="K1497" s="72"/>
      <c r="L1497" s="72"/>
      <c r="M1497" s="2"/>
      <c r="N1497" s="5"/>
      <c r="O1497" s="3"/>
      <c r="P1497" s="6"/>
      <c r="Q1497" s="48">
        <f>IF(Учет!$O1497=Справочники!$F$2,Учет!$H1497,0)</f>
        <v>0</v>
      </c>
      <c r="R1497" s="48">
        <f>IF(Учет!$O1497=Справочники!$F$3,Учет!$H1497,0)</f>
        <v>0</v>
      </c>
      <c r="S1497" s="48">
        <f>IF(Учет!$O1497=Справочники!$F$4,Учет!$H1497,0)</f>
        <v>0</v>
      </c>
      <c r="T1497" s="48">
        <f>IF(Учет!$O1497=Справочники!$F$5,Учет!$H1497,0)</f>
        <v>0</v>
      </c>
      <c r="U1497" s="48">
        <f>IF(Учет!$O1497=Справочники!$F$6,Учет!$H1497,0)</f>
        <v>0</v>
      </c>
      <c r="V1497" s="43">
        <f>V1496+Учет!Q1497-Q1497</f>
        <v>-488978.92000000004</v>
      </c>
      <c r="W1497" s="43">
        <f>W1496+Учет!R1497-R1497</f>
        <v>336855</v>
      </c>
      <c r="X1497" s="43">
        <f>X1496+Учет!S1497-S1497</f>
        <v>500</v>
      </c>
      <c r="Y1497" s="43">
        <f>Y1496+Учет!T1497-T1497</f>
        <v>1150</v>
      </c>
      <c r="Z1497" s="43">
        <f>Z1496+Учет!U1497-U1497</f>
        <v>500000</v>
      </c>
      <c r="AA1497" s="45">
        <f>Учет!X1497</f>
        <v>500</v>
      </c>
    </row>
    <row r="1498" spans="1:27" ht="15" customHeight="1" x14ac:dyDescent="0.25">
      <c r="A1498" s="1"/>
      <c r="B1498" s="17"/>
      <c r="C1498" s="17"/>
      <c r="D1498" s="17"/>
      <c r="E1498" s="17"/>
      <c r="F1498" s="17"/>
      <c r="G1498" s="4">
        <f t="shared" si="66"/>
        <v>0</v>
      </c>
      <c r="H1498" s="17"/>
      <c r="I1498" s="4">
        <f t="shared" si="68"/>
        <v>349526.07999999996</v>
      </c>
      <c r="J1498" s="32" t="str">
        <f t="shared" si="67"/>
        <v/>
      </c>
      <c r="K1498" s="72"/>
      <c r="L1498" s="72"/>
      <c r="M1498" s="2"/>
      <c r="N1498" s="5"/>
      <c r="O1498" s="3"/>
      <c r="P1498" s="6"/>
      <c r="Q1498" s="48">
        <f>IF(Учет!$O1498=Справочники!$F$2,Учет!$H1498,0)</f>
        <v>0</v>
      </c>
      <c r="R1498" s="48">
        <f>IF(Учет!$O1498=Справочники!$F$3,Учет!$H1498,0)</f>
        <v>0</v>
      </c>
      <c r="S1498" s="48">
        <f>IF(Учет!$O1498=Справочники!$F$4,Учет!$H1498,0)</f>
        <v>0</v>
      </c>
      <c r="T1498" s="48">
        <f>IF(Учет!$O1498=Справочники!$F$5,Учет!$H1498,0)</f>
        <v>0</v>
      </c>
      <c r="U1498" s="48">
        <f>IF(Учет!$O1498=Справочники!$F$6,Учет!$H1498,0)</f>
        <v>0</v>
      </c>
      <c r="V1498" s="43">
        <f>V1497+Учет!Q1498-Q1498</f>
        <v>-488978.92000000004</v>
      </c>
      <c r="W1498" s="43">
        <f>W1497+Учет!R1498-R1498</f>
        <v>336855</v>
      </c>
      <c r="X1498" s="43">
        <f>X1497+Учет!S1498-S1498</f>
        <v>500</v>
      </c>
      <c r="Y1498" s="43">
        <f>Y1497+Учет!T1498-T1498</f>
        <v>1150</v>
      </c>
      <c r="Z1498" s="43">
        <f>Z1497+Учет!U1498-U1498</f>
        <v>500000</v>
      </c>
      <c r="AA1498" s="45">
        <f>Учет!X1498</f>
        <v>500</v>
      </c>
    </row>
    <row r="1499" spans="1:27" ht="15" customHeight="1" x14ac:dyDescent="0.25">
      <c r="A1499" s="1"/>
      <c r="B1499" s="17"/>
      <c r="C1499" s="17"/>
      <c r="D1499" s="17"/>
      <c r="E1499" s="17"/>
      <c r="F1499" s="17"/>
      <c r="G1499" s="4">
        <f t="shared" si="66"/>
        <v>0</v>
      </c>
      <c r="H1499" s="17"/>
      <c r="I1499" s="4">
        <f t="shared" si="68"/>
        <v>349526.07999999996</v>
      </c>
      <c r="J1499" s="32" t="str">
        <f t="shared" si="67"/>
        <v/>
      </c>
      <c r="K1499" s="72"/>
      <c r="L1499" s="72"/>
      <c r="M1499" s="2"/>
      <c r="N1499" s="5"/>
      <c r="O1499" s="3"/>
      <c r="P1499" s="6"/>
      <c r="Q1499" s="48">
        <f>IF(Учет!$O1499=Справочники!$F$2,Учет!$H1499,0)</f>
        <v>0</v>
      </c>
      <c r="R1499" s="48">
        <f>IF(Учет!$O1499=Справочники!$F$3,Учет!$H1499,0)</f>
        <v>0</v>
      </c>
      <c r="S1499" s="48">
        <f>IF(Учет!$O1499=Справочники!$F$4,Учет!$H1499,0)</f>
        <v>0</v>
      </c>
      <c r="T1499" s="48">
        <f>IF(Учет!$O1499=Справочники!$F$5,Учет!$H1499,0)</f>
        <v>0</v>
      </c>
      <c r="U1499" s="48">
        <f>IF(Учет!$O1499=Справочники!$F$6,Учет!$H1499,0)</f>
        <v>0</v>
      </c>
      <c r="V1499" s="43">
        <f>V1498+Учет!Q1499-Q1499</f>
        <v>-488978.92000000004</v>
      </c>
      <c r="W1499" s="43">
        <f>W1498+Учет!R1499-R1499</f>
        <v>336855</v>
      </c>
      <c r="X1499" s="43">
        <f>X1498+Учет!S1499-S1499</f>
        <v>500</v>
      </c>
      <c r="Y1499" s="43">
        <f>Y1498+Учет!T1499-T1499</f>
        <v>1150</v>
      </c>
      <c r="Z1499" s="43">
        <f>Z1498+Учет!U1499-U1499</f>
        <v>500000</v>
      </c>
      <c r="AA1499" s="45">
        <f>Учет!X1499</f>
        <v>500</v>
      </c>
    </row>
    <row r="1500" spans="1:27" ht="15" customHeight="1" x14ac:dyDescent="0.25">
      <c r="A1500" s="1"/>
      <c r="B1500" s="17"/>
      <c r="C1500" s="17"/>
      <c r="D1500" s="17"/>
      <c r="E1500" s="17"/>
      <c r="F1500" s="17"/>
      <c r="G1500" s="4">
        <f t="shared" si="66"/>
        <v>0</v>
      </c>
      <c r="H1500" s="17"/>
      <c r="I1500" s="4">
        <f t="shared" si="68"/>
        <v>349526.07999999996</v>
      </c>
      <c r="J1500" s="32" t="str">
        <f t="shared" si="67"/>
        <v/>
      </c>
      <c r="K1500" s="72"/>
      <c r="L1500" s="72"/>
      <c r="M1500" s="2"/>
      <c r="N1500" s="5"/>
      <c r="O1500" s="3"/>
      <c r="P1500" s="6"/>
      <c r="Q1500" s="48">
        <f>IF(Учет!$O1500=Справочники!$F$2,Учет!$H1500,0)</f>
        <v>0</v>
      </c>
      <c r="R1500" s="48">
        <f>IF(Учет!$O1500=Справочники!$F$3,Учет!$H1500,0)</f>
        <v>0</v>
      </c>
      <c r="S1500" s="48">
        <f>IF(Учет!$O1500=Справочники!$F$4,Учет!$H1500,0)</f>
        <v>0</v>
      </c>
      <c r="T1500" s="48">
        <f>IF(Учет!$O1500=Справочники!$F$5,Учет!$H1500,0)</f>
        <v>0</v>
      </c>
      <c r="U1500" s="48">
        <f>IF(Учет!$O1500=Справочники!$F$6,Учет!$H1500,0)</f>
        <v>0</v>
      </c>
      <c r="V1500" s="43">
        <f>V1499+Учет!Q1500-Q1500</f>
        <v>-488978.92000000004</v>
      </c>
      <c r="W1500" s="43">
        <f>W1499+Учет!R1500-R1500</f>
        <v>336855</v>
      </c>
      <c r="X1500" s="43">
        <f>X1499+Учет!S1500-S1500</f>
        <v>500</v>
      </c>
      <c r="Y1500" s="43">
        <f>Y1499+Учет!T1500-T1500</f>
        <v>1150</v>
      </c>
      <c r="Z1500" s="43">
        <f>Z1499+Учет!U1500-U1500</f>
        <v>500000</v>
      </c>
      <c r="AA1500" s="45">
        <f>Учет!X1500</f>
        <v>500</v>
      </c>
    </row>
    <row r="1501" spans="1:27" ht="15" customHeight="1" x14ac:dyDescent="0.25">
      <c r="A1501" s="1"/>
      <c r="B1501" s="17"/>
      <c r="C1501" s="17"/>
      <c r="D1501" s="17"/>
      <c r="E1501" s="17"/>
      <c r="F1501" s="17"/>
      <c r="G1501" s="4">
        <f t="shared" si="66"/>
        <v>0</v>
      </c>
      <c r="H1501" s="17"/>
      <c r="I1501" s="4">
        <f t="shared" si="68"/>
        <v>349526.07999999996</v>
      </c>
      <c r="J1501" s="32" t="str">
        <f t="shared" si="67"/>
        <v/>
      </c>
      <c r="K1501" s="72"/>
      <c r="L1501" s="72"/>
      <c r="M1501" s="2"/>
      <c r="N1501" s="5"/>
      <c r="O1501" s="3"/>
      <c r="P1501" s="6"/>
      <c r="Q1501" s="48">
        <f>IF(Учет!$O1501=Справочники!$F$2,Учет!$H1501,0)</f>
        <v>0</v>
      </c>
      <c r="R1501" s="48">
        <f>IF(Учет!$O1501=Справочники!$F$3,Учет!$H1501,0)</f>
        <v>0</v>
      </c>
      <c r="S1501" s="48">
        <f>IF(Учет!$O1501=Справочники!$F$4,Учет!$H1501,0)</f>
        <v>0</v>
      </c>
      <c r="T1501" s="48">
        <f>IF(Учет!$O1501=Справочники!$F$5,Учет!$H1501,0)</f>
        <v>0</v>
      </c>
      <c r="U1501" s="48">
        <f>IF(Учет!$O1501=Справочники!$F$6,Учет!$H1501,0)</f>
        <v>0</v>
      </c>
      <c r="V1501" s="43">
        <f>V1500+Учет!Q1501-Q1501</f>
        <v>-488978.92000000004</v>
      </c>
      <c r="W1501" s="43">
        <f>W1500+Учет!R1501-R1501</f>
        <v>336855</v>
      </c>
      <c r="X1501" s="43">
        <f>X1500+Учет!S1501-S1501</f>
        <v>500</v>
      </c>
      <c r="Y1501" s="43">
        <f>Y1500+Учет!T1501-T1501</f>
        <v>1150</v>
      </c>
      <c r="Z1501" s="43">
        <f>Z1500+Учет!U1501-U1501</f>
        <v>500000</v>
      </c>
      <c r="AA1501" s="45">
        <f>Учет!X1501</f>
        <v>500</v>
      </c>
    </row>
    <row r="1502" spans="1:27" ht="15" customHeight="1" x14ac:dyDescent="0.25">
      <c r="A1502" s="1"/>
      <c r="B1502" s="17"/>
      <c r="C1502" s="17"/>
      <c r="D1502" s="17"/>
      <c r="E1502" s="17"/>
      <c r="F1502" s="17"/>
      <c r="G1502" s="4">
        <f t="shared" si="66"/>
        <v>0</v>
      </c>
      <c r="H1502" s="17"/>
      <c r="I1502" s="4">
        <f t="shared" si="68"/>
        <v>349526.07999999996</v>
      </c>
      <c r="J1502" s="32" t="str">
        <f t="shared" si="67"/>
        <v/>
      </c>
      <c r="K1502" s="72"/>
      <c r="L1502" s="72"/>
      <c r="M1502" s="2"/>
      <c r="N1502" s="5"/>
      <c r="O1502" s="3"/>
      <c r="P1502" s="6"/>
      <c r="Q1502" s="48">
        <f>IF(Учет!$O1502=Справочники!$F$2,Учет!$H1502,0)</f>
        <v>0</v>
      </c>
      <c r="R1502" s="48">
        <f>IF(Учет!$O1502=Справочники!$F$3,Учет!$H1502,0)</f>
        <v>0</v>
      </c>
      <c r="S1502" s="48">
        <f>IF(Учет!$O1502=Справочники!$F$4,Учет!$H1502,0)</f>
        <v>0</v>
      </c>
      <c r="T1502" s="48">
        <f>IF(Учет!$O1502=Справочники!$F$5,Учет!$H1502,0)</f>
        <v>0</v>
      </c>
      <c r="U1502" s="48">
        <f>IF(Учет!$O1502=Справочники!$F$6,Учет!$H1502,0)</f>
        <v>0</v>
      </c>
      <c r="V1502" s="43">
        <f>V1501+Учет!Q1502-Q1502</f>
        <v>-488978.92000000004</v>
      </c>
      <c r="W1502" s="43">
        <f>W1501+Учет!R1502-R1502</f>
        <v>336855</v>
      </c>
      <c r="X1502" s="43">
        <f>X1501+Учет!S1502-S1502</f>
        <v>500</v>
      </c>
      <c r="Y1502" s="43">
        <f>Y1501+Учет!T1502-T1502</f>
        <v>1150</v>
      </c>
      <c r="Z1502" s="43">
        <f>Z1501+Учет!U1502-U1502</f>
        <v>500000</v>
      </c>
      <c r="AA1502" s="45">
        <f>Учет!X1502</f>
        <v>500</v>
      </c>
    </row>
    <row r="1503" spans="1:27" ht="15" customHeight="1" x14ac:dyDescent="0.25">
      <c r="A1503" s="1"/>
      <c r="B1503" s="17"/>
      <c r="C1503" s="17"/>
      <c r="D1503" s="17"/>
      <c r="E1503" s="17"/>
      <c r="F1503" s="17"/>
      <c r="G1503" s="4">
        <f t="shared" si="66"/>
        <v>0</v>
      </c>
      <c r="H1503" s="17"/>
      <c r="I1503" s="4">
        <f t="shared" si="68"/>
        <v>349526.07999999996</v>
      </c>
      <c r="J1503" s="32" t="str">
        <f t="shared" si="67"/>
        <v/>
      </c>
      <c r="K1503" s="72"/>
      <c r="L1503" s="72"/>
      <c r="M1503" s="2"/>
      <c r="N1503" s="5"/>
      <c r="O1503" s="3"/>
      <c r="P1503" s="6"/>
      <c r="Q1503" s="48">
        <f>IF(Учет!$O1503=Справочники!$F$2,Учет!$H1503,0)</f>
        <v>0</v>
      </c>
      <c r="R1503" s="48">
        <f>IF(Учет!$O1503=Справочники!$F$3,Учет!$H1503,0)</f>
        <v>0</v>
      </c>
      <c r="S1503" s="48">
        <f>IF(Учет!$O1503=Справочники!$F$4,Учет!$H1503,0)</f>
        <v>0</v>
      </c>
      <c r="T1503" s="48">
        <f>IF(Учет!$O1503=Справочники!$F$5,Учет!$H1503,0)</f>
        <v>0</v>
      </c>
      <c r="U1503" s="48">
        <f>IF(Учет!$O1503=Справочники!$F$6,Учет!$H1503,0)</f>
        <v>0</v>
      </c>
      <c r="V1503" s="43">
        <f>V1502+Учет!Q1503-Q1503</f>
        <v>-488978.92000000004</v>
      </c>
      <c r="W1503" s="43">
        <f>W1502+Учет!R1503-R1503</f>
        <v>336855</v>
      </c>
      <c r="X1503" s="43">
        <f>X1502+Учет!S1503-S1503</f>
        <v>500</v>
      </c>
      <c r="Y1503" s="43">
        <f>Y1502+Учет!T1503-T1503</f>
        <v>1150</v>
      </c>
      <c r="Z1503" s="43">
        <f>Z1502+Учет!U1503-U1503</f>
        <v>500000</v>
      </c>
      <c r="AA1503" s="45">
        <f>Учет!X1503</f>
        <v>500</v>
      </c>
    </row>
    <row r="1504" spans="1:27" ht="15" customHeight="1" x14ac:dyDescent="0.25">
      <c r="A1504" s="1"/>
      <c r="B1504" s="17"/>
      <c r="C1504" s="17"/>
      <c r="D1504" s="17"/>
      <c r="E1504" s="17"/>
      <c r="F1504" s="17"/>
      <c r="G1504" s="4">
        <f t="shared" si="66"/>
        <v>0</v>
      </c>
      <c r="H1504" s="17"/>
      <c r="I1504" s="4">
        <f t="shared" si="68"/>
        <v>349526.07999999996</v>
      </c>
      <c r="J1504" s="32" t="str">
        <f t="shared" si="67"/>
        <v/>
      </c>
      <c r="K1504" s="72"/>
      <c r="L1504" s="72"/>
      <c r="M1504" s="2"/>
      <c r="N1504" s="5"/>
      <c r="O1504" s="3"/>
      <c r="P1504" s="6"/>
      <c r="Q1504" s="48">
        <f>IF(Учет!$O1504=Справочники!$F$2,Учет!$H1504,0)</f>
        <v>0</v>
      </c>
      <c r="R1504" s="48">
        <f>IF(Учет!$O1504=Справочники!$F$3,Учет!$H1504,0)</f>
        <v>0</v>
      </c>
      <c r="S1504" s="48">
        <f>IF(Учет!$O1504=Справочники!$F$4,Учет!$H1504,0)</f>
        <v>0</v>
      </c>
      <c r="T1504" s="48">
        <f>IF(Учет!$O1504=Справочники!$F$5,Учет!$H1504,0)</f>
        <v>0</v>
      </c>
      <c r="U1504" s="48">
        <f>IF(Учет!$O1504=Справочники!$F$6,Учет!$H1504,0)</f>
        <v>0</v>
      </c>
      <c r="V1504" s="43">
        <f>V1503+Учет!Q1504-Q1504</f>
        <v>-488978.92000000004</v>
      </c>
      <c r="W1504" s="43">
        <f>W1503+Учет!R1504-R1504</f>
        <v>336855</v>
      </c>
      <c r="X1504" s="43">
        <f>X1503+Учет!S1504-S1504</f>
        <v>500</v>
      </c>
      <c r="Y1504" s="43">
        <f>Y1503+Учет!T1504-T1504</f>
        <v>1150</v>
      </c>
      <c r="Z1504" s="43">
        <f>Z1503+Учет!U1504-U1504</f>
        <v>500000</v>
      </c>
      <c r="AA1504" s="45">
        <f>Учет!X1504</f>
        <v>500</v>
      </c>
    </row>
    <row r="1505" spans="1:27" ht="15" customHeight="1" x14ac:dyDescent="0.25">
      <c r="A1505" s="1"/>
      <c r="B1505" s="17"/>
      <c r="C1505" s="17"/>
      <c r="D1505" s="17"/>
      <c r="E1505" s="17"/>
      <c r="F1505" s="17"/>
      <c r="G1505" s="4">
        <f t="shared" si="66"/>
        <v>0</v>
      </c>
      <c r="H1505" s="17"/>
      <c r="I1505" s="4">
        <f t="shared" si="68"/>
        <v>349526.07999999996</v>
      </c>
      <c r="J1505" s="32" t="str">
        <f t="shared" si="67"/>
        <v/>
      </c>
      <c r="K1505" s="72"/>
      <c r="L1505" s="72"/>
      <c r="M1505" s="2"/>
      <c r="N1505" s="5"/>
      <c r="O1505" s="3"/>
      <c r="P1505" s="6"/>
      <c r="Q1505" s="48">
        <f>IF(Учет!$O1505=Справочники!$F$2,Учет!$H1505,0)</f>
        <v>0</v>
      </c>
      <c r="R1505" s="48">
        <f>IF(Учет!$O1505=Справочники!$F$3,Учет!$H1505,0)</f>
        <v>0</v>
      </c>
      <c r="S1505" s="48">
        <f>IF(Учет!$O1505=Справочники!$F$4,Учет!$H1505,0)</f>
        <v>0</v>
      </c>
      <c r="T1505" s="48">
        <f>IF(Учет!$O1505=Справочники!$F$5,Учет!$H1505,0)</f>
        <v>0</v>
      </c>
      <c r="U1505" s="48">
        <f>IF(Учет!$O1505=Справочники!$F$6,Учет!$H1505,0)</f>
        <v>0</v>
      </c>
      <c r="V1505" s="43">
        <f>V1504+Учет!Q1505-Q1505</f>
        <v>-488978.92000000004</v>
      </c>
      <c r="W1505" s="43">
        <f>W1504+Учет!R1505-R1505</f>
        <v>336855</v>
      </c>
      <c r="X1505" s="43">
        <f>X1504+Учет!S1505-S1505</f>
        <v>500</v>
      </c>
      <c r="Y1505" s="43">
        <f>Y1504+Учет!T1505-T1505</f>
        <v>1150</v>
      </c>
      <c r="Z1505" s="43">
        <f>Z1504+Учет!U1505-U1505</f>
        <v>500000</v>
      </c>
      <c r="AA1505" s="45">
        <f>Учет!X1505</f>
        <v>500</v>
      </c>
    </row>
    <row r="1506" spans="1:27" ht="15" customHeight="1" x14ac:dyDescent="0.25">
      <c r="A1506" s="1"/>
      <c r="B1506" s="17"/>
      <c r="C1506" s="17"/>
      <c r="D1506" s="17"/>
      <c r="E1506" s="17"/>
      <c r="F1506" s="17"/>
      <c r="G1506" s="4">
        <f t="shared" si="66"/>
        <v>0</v>
      </c>
      <c r="H1506" s="17"/>
      <c r="I1506" s="4">
        <f t="shared" si="68"/>
        <v>349526.07999999996</v>
      </c>
      <c r="J1506" s="32" t="str">
        <f t="shared" si="67"/>
        <v/>
      </c>
      <c r="K1506" s="72"/>
      <c r="L1506" s="72"/>
      <c r="M1506" s="2"/>
      <c r="N1506" s="5"/>
      <c r="O1506" s="3"/>
      <c r="P1506" s="6"/>
      <c r="Q1506" s="48">
        <f>IF(Учет!$O1506=Справочники!$F$2,Учет!$H1506,0)</f>
        <v>0</v>
      </c>
      <c r="R1506" s="48">
        <f>IF(Учет!$O1506=Справочники!$F$3,Учет!$H1506,0)</f>
        <v>0</v>
      </c>
      <c r="S1506" s="48">
        <f>IF(Учет!$O1506=Справочники!$F$4,Учет!$H1506,0)</f>
        <v>0</v>
      </c>
      <c r="T1506" s="48">
        <f>IF(Учет!$O1506=Справочники!$F$5,Учет!$H1506,0)</f>
        <v>0</v>
      </c>
      <c r="U1506" s="48">
        <f>IF(Учет!$O1506=Справочники!$F$6,Учет!$H1506,0)</f>
        <v>0</v>
      </c>
      <c r="V1506" s="43">
        <f>V1505+Учет!Q1506-Q1506</f>
        <v>-488978.92000000004</v>
      </c>
      <c r="W1506" s="43">
        <f>W1505+Учет!R1506-R1506</f>
        <v>336855</v>
      </c>
      <c r="X1506" s="43">
        <f>X1505+Учет!S1506-S1506</f>
        <v>500</v>
      </c>
      <c r="Y1506" s="43">
        <f>Y1505+Учет!T1506-T1506</f>
        <v>1150</v>
      </c>
      <c r="Z1506" s="43">
        <f>Z1505+Учет!U1506-U1506</f>
        <v>500000</v>
      </c>
      <c r="AA1506" s="45">
        <f>Учет!X1506</f>
        <v>500</v>
      </c>
    </row>
    <row r="1507" spans="1:27" ht="15" customHeight="1" x14ac:dyDescent="0.25">
      <c r="A1507" s="1"/>
      <c r="B1507" s="17"/>
      <c r="C1507" s="17"/>
      <c r="D1507" s="17"/>
      <c r="E1507" s="17"/>
      <c r="F1507" s="17"/>
      <c r="G1507" s="4">
        <f t="shared" si="66"/>
        <v>0</v>
      </c>
      <c r="H1507" s="17"/>
      <c r="I1507" s="4">
        <f t="shared" si="68"/>
        <v>349526.07999999996</v>
      </c>
      <c r="J1507" s="32" t="str">
        <f t="shared" si="67"/>
        <v/>
      </c>
      <c r="K1507" s="72"/>
      <c r="L1507" s="72"/>
      <c r="M1507" s="2"/>
      <c r="N1507" s="5"/>
      <c r="O1507" s="3"/>
      <c r="P1507" s="6"/>
      <c r="Q1507" s="48">
        <f>IF(Учет!$O1507=Справочники!$F$2,Учет!$H1507,0)</f>
        <v>0</v>
      </c>
      <c r="R1507" s="48">
        <f>IF(Учет!$O1507=Справочники!$F$3,Учет!$H1507,0)</f>
        <v>0</v>
      </c>
      <c r="S1507" s="48">
        <f>IF(Учет!$O1507=Справочники!$F$4,Учет!$H1507,0)</f>
        <v>0</v>
      </c>
      <c r="T1507" s="48">
        <f>IF(Учет!$O1507=Справочники!$F$5,Учет!$H1507,0)</f>
        <v>0</v>
      </c>
      <c r="U1507" s="48">
        <f>IF(Учет!$O1507=Справочники!$F$6,Учет!$H1507,0)</f>
        <v>0</v>
      </c>
      <c r="V1507" s="43">
        <f>V1506+Учет!Q1507-Q1507</f>
        <v>-488978.92000000004</v>
      </c>
      <c r="W1507" s="43">
        <f>W1506+Учет!R1507-R1507</f>
        <v>336855</v>
      </c>
      <c r="X1507" s="43">
        <f>X1506+Учет!S1507-S1507</f>
        <v>500</v>
      </c>
      <c r="Y1507" s="43">
        <f>Y1506+Учет!T1507-T1507</f>
        <v>1150</v>
      </c>
      <c r="Z1507" s="43">
        <f>Z1506+Учет!U1507-U1507</f>
        <v>500000</v>
      </c>
      <c r="AA1507" s="45">
        <f>Учет!X1507</f>
        <v>500</v>
      </c>
    </row>
    <row r="1508" spans="1:27" ht="15" customHeight="1" x14ac:dyDescent="0.25">
      <c r="A1508" s="1"/>
      <c r="B1508" s="17"/>
      <c r="C1508" s="17"/>
      <c r="D1508" s="17"/>
      <c r="E1508" s="17"/>
      <c r="F1508" s="17"/>
      <c r="G1508" s="4">
        <f t="shared" si="66"/>
        <v>0</v>
      </c>
      <c r="H1508" s="17"/>
      <c r="I1508" s="4">
        <f t="shared" si="68"/>
        <v>349526.07999999996</v>
      </c>
      <c r="J1508" s="32" t="str">
        <f t="shared" si="67"/>
        <v/>
      </c>
      <c r="K1508" s="72"/>
      <c r="L1508" s="72"/>
      <c r="M1508" s="2"/>
      <c r="N1508" s="5"/>
      <c r="O1508" s="3"/>
      <c r="P1508" s="6"/>
      <c r="Q1508" s="48">
        <f>IF(Учет!$O1508=Справочники!$F$2,Учет!$H1508,0)</f>
        <v>0</v>
      </c>
      <c r="R1508" s="48">
        <f>IF(Учет!$O1508=Справочники!$F$3,Учет!$H1508,0)</f>
        <v>0</v>
      </c>
      <c r="S1508" s="48">
        <f>IF(Учет!$O1508=Справочники!$F$4,Учет!$H1508,0)</f>
        <v>0</v>
      </c>
      <c r="T1508" s="48">
        <f>IF(Учет!$O1508=Справочники!$F$5,Учет!$H1508,0)</f>
        <v>0</v>
      </c>
      <c r="U1508" s="48">
        <f>IF(Учет!$O1508=Справочники!$F$6,Учет!$H1508,0)</f>
        <v>0</v>
      </c>
      <c r="V1508" s="43">
        <f>V1507+Учет!Q1508-Q1508</f>
        <v>-488978.92000000004</v>
      </c>
      <c r="W1508" s="43">
        <f>W1507+Учет!R1508-R1508</f>
        <v>336855</v>
      </c>
      <c r="X1508" s="43">
        <f>X1507+Учет!S1508-S1508</f>
        <v>500</v>
      </c>
      <c r="Y1508" s="43">
        <f>Y1507+Учет!T1508-T1508</f>
        <v>1150</v>
      </c>
      <c r="Z1508" s="43">
        <f>Z1507+Учет!U1508-U1508</f>
        <v>500000</v>
      </c>
      <c r="AA1508" s="45">
        <f>Учет!X1508</f>
        <v>500</v>
      </c>
    </row>
    <row r="1509" spans="1:27" ht="15" customHeight="1" x14ac:dyDescent="0.25">
      <c r="A1509" s="1"/>
      <c r="B1509" s="17"/>
      <c r="C1509" s="17"/>
      <c r="D1509" s="17"/>
      <c r="E1509" s="17"/>
      <c r="F1509" s="17"/>
      <c r="G1509" s="4">
        <f t="shared" si="66"/>
        <v>0</v>
      </c>
      <c r="H1509" s="17"/>
      <c r="I1509" s="4">
        <f t="shared" si="68"/>
        <v>349526.07999999996</v>
      </c>
      <c r="J1509" s="32" t="str">
        <f t="shared" si="67"/>
        <v/>
      </c>
      <c r="K1509" s="72"/>
      <c r="L1509" s="72"/>
      <c r="M1509" s="2"/>
      <c r="N1509" s="5"/>
      <c r="O1509" s="3"/>
      <c r="P1509" s="6"/>
      <c r="Q1509" s="48">
        <f>IF(Учет!$O1509=Справочники!$F$2,Учет!$H1509,0)</f>
        <v>0</v>
      </c>
      <c r="R1509" s="48">
        <f>IF(Учет!$O1509=Справочники!$F$3,Учет!$H1509,0)</f>
        <v>0</v>
      </c>
      <c r="S1509" s="48">
        <f>IF(Учет!$O1509=Справочники!$F$4,Учет!$H1509,0)</f>
        <v>0</v>
      </c>
      <c r="T1509" s="48">
        <f>IF(Учет!$O1509=Справочники!$F$5,Учет!$H1509,0)</f>
        <v>0</v>
      </c>
      <c r="U1509" s="48">
        <f>IF(Учет!$O1509=Справочники!$F$6,Учет!$H1509,0)</f>
        <v>0</v>
      </c>
      <c r="V1509" s="43">
        <f>V1508+Учет!Q1509-Q1509</f>
        <v>-488978.92000000004</v>
      </c>
      <c r="W1509" s="43">
        <f>W1508+Учет!R1509-R1509</f>
        <v>336855</v>
      </c>
      <c r="X1509" s="43">
        <f>X1508+Учет!S1509-S1509</f>
        <v>500</v>
      </c>
      <c r="Y1509" s="43">
        <f>Y1508+Учет!T1509-T1509</f>
        <v>1150</v>
      </c>
      <c r="Z1509" s="43">
        <f>Z1508+Учет!U1509-U1509</f>
        <v>500000</v>
      </c>
      <c r="AA1509" s="45">
        <f>Учет!X1509</f>
        <v>500</v>
      </c>
    </row>
    <row r="1510" spans="1:27" ht="15" customHeight="1" x14ac:dyDescent="0.25">
      <c r="A1510" s="1"/>
      <c r="B1510" s="17"/>
      <c r="C1510" s="17"/>
      <c r="D1510" s="17"/>
      <c r="E1510" s="17"/>
      <c r="F1510" s="17"/>
      <c r="G1510" s="4">
        <f t="shared" si="66"/>
        <v>0</v>
      </c>
      <c r="H1510" s="17"/>
      <c r="I1510" s="4">
        <f t="shared" si="68"/>
        <v>349526.07999999996</v>
      </c>
      <c r="J1510" s="32" t="str">
        <f t="shared" si="67"/>
        <v/>
      </c>
      <c r="K1510" s="72"/>
      <c r="L1510" s="72"/>
      <c r="M1510" s="2"/>
      <c r="N1510" s="5"/>
      <c r="O1510" s="3"/>
      <c r="P1510" s="6"/>
      <c r="Q1510" s="48">
        <f>IF(Учет!$O1510=Справочники!$F$2,Учет!$H1510,0)</f>
        <v>0</v>
      </c>
      <c r="R1510" s="48">
        <f>IF(Учет!$O1510=Справочники!$F$3,Учет!$H1510,0)</f>
        <v>0</v>
      </c>
      <c r="S1510" s="48">
        <f>IF(Учет!$O1510=Справочники!$F$4,Учет!$H1510,0)</f>
        <v>0</v>
      </c>
      <c r="T1510" s="48">
        <f>IF(Учет!$O1510=Справочники!$F$5,Учет!$H1510,0)</f>
        <v>0</v>
      </c>
      <c r="U1510" s="48">
        <f>IF(Учет!$O1510=Справочники!$F$6,Учет!$H1510,0)</f>
        <v>0</v>
      </c>
      <c r="V1510" s="43">
        <f>V1509+Учет!Q1510-Q1510</f>
        <v>-488978.92000000004</v>
      </c>
      <c r="W1510" s="43">
        <f>W1509+Учет!R1510-R1510</f>
        <v>336855</v>
      </c>
      <c r="X1510" s="43">
        <f>X1509+Учет!S1510-S1510</f>
        <v>500</v>
      </c>
      <c r="Y1510" s="43">
        <f>Y1509+Учет!T1510-T1510</f>
        <v>1150</v>
      </c>
      <c r="Z1510" s="43">
        <f>Z1509+Учет!U1510-U1510</f>
        <v>500000</v>
      </c>
      <c r="AA1510" s="45">
        <f>Учет!X1510</f>
        <v>500</v>
      </c>
    </row>
    <row r="1511" spans="1:27" ht="15" customHeight="1" x14ac:dyDescent="0.25">
      <c r="A1511" s="1"/>
      <c r="B1511" s="17"/>
      <c r="C1511" s="17"/>
      <c r="D1511" s="17"/>
      <c r="E1511" s="17"/>
      <c r="F1511" s="17"/>
      <c r="G1511" s="4">
        <f t="shared" si="66"/>
        <v>0</v>
      </c>
      <c r="H1511" s="17"/>
      <c r="I1511" s="4">
        <f t="shared" si="68"/>
        <v>349526.07999999996</v>
      </c>
      <c r="J1511" s="32" t="str">
        <f t="shared" si="67"/>
        <v/>
      </c>
      <c r="K1511" s="72"/>
      <c r="L1511" s="72"/>
      <c r="M1511" s="2"/>
      <c r="N1511" s="5"/>
      <c r="O1511" s="3"/>
      <c r="P1511" s="6"/>
      <c r="Q1511" s="48">
        <f>IF(Учет!$O1511=Справочники!$F$2,Учет!$H1511,0)</f>
        <v>0</v>
      </c>
      <c r="R1511" s="48">
        <f>IF(Учет!$O1511=Справочники!$F$3,Учет!$H1511,0)</f>
        <v>0</v>
      </c>
      <c r="S1511" s="48">
        <f>IF(Учет!$O1511=Справочники!$F$4,Учет!$H1511,0)</f>
        <v>0</v>
      </c>
      <c r="T1511" s="48">
        <f>IF(Учет!$O1511=Справочники!$F$5,Учет!$H1511,0)</f>
        <v>0</v>
      </c>
      <c r="U1511" s="48">
        <f>IF(Учет!$O1511=Справочники!$F$6,Учет!$H1511,0)</f>
        <v>0</v>
      </c>
      <c r="V1511" s="43">
        <f>V1510+Учет!Q1511-Q1511</f>
        <v>-488978.92000000004</v>
      </c>
      <c r="W1511" s="43">
        <f>W1510+Учет!R1511-R1511</f>
        <v>336855</v>
      </c>
      <c r="X1511" s="43">
        <f>X1510+Учет!S1511-S1511</f>
        <v>500</v>
      </c>
      <c r="Y1511" s="43">
        <f>Y1510+Учет!T1511-T1511</f>
        <v>1150</v>
      </c>
      <c r="Z1511" s="43">
        <f>Z1510+Учет!U1511-U1511</f>
        <v>500000</v>
      </c>
      <c r="AA1511" s="45">
        <f>Учет!X1511</f>
        <v>500</v>
      </c>
    </row>
    <row r="1512" spans="1:27" ht="15" customHeight="1" x14ac:dyDescent="0.25">
      <c r="A1512" s="1"/>
      <c r="B1512" s="17"/>
      <c r="C1512" s="17"/>
      <c r="D1512" s="17"/>
      <c r="E1512" s="17"/>
      <c r="F1512" s="17"/>
      <c r="G1512" s="4">
        <f t="shared" si="66"/>
        <v>0</v>
      </c>
      <c r="H1512" s="17"/>
      <c r="I1512" s="4">
        <f t="shared" si="68"/>
        <v>349526.07999999996</v>
      </c>
      <c r="J1512" s="32" t="str">
        <f t="shared" si="67"/>
        <v/>
      </c>
      <c r="K1512" s="72"/>
      <c r="L1512" s="72"/>
      <c r="M1512" s="2"/>
      <c r="N1512" s="5"/>
      <c r="O1512" s="3"/>
      <c r="P1512" s="6"/>
      <c r="Q1512" s="48">
        <f>IF(Учет!$O1512=Справочники!$F$2,Учет!$H1512,0)</f>
        <v>0</v>
      </c>
      <c r="R1512" s="48">
        <f>IF(Учет!$O1512=Справочники!$F$3,Учет!$H1512,0)</f>
        <v>0</v>
      </c>
      <c r="S1512" s="48">
        <f>IF(Учет!$O1512=Справочники!$F$4,Учет!$H1512,0)</f>
        <v>0</v>
      </c>
      <c r="T1512" s="48">
        <f>IF(Учет!$O1512=Справочники!$F$5,Учет!$H1512,0)</f>
        <v>0</v>
      </c>
      <c r="U1512" s="48">
        <f>IF(Учет!$O1512=Справочники!$F$6,Учет!$H1512,0)</f>
        <v>0</v>
      </c>
      <c r="V1512" s="43">
        <f>V1511+Учет!Q1512-Q1512</f>
        <v>-488978.92000000004</v>
      </c>
      <c r="W1512" s="43">
        <f>W1511+Учет!R1512-R1512</f>
        <v>336855</v>
      </c>
      <c r="X1512" s="43">
        <f>X1511+Учет!S1512-S1512</f>
        <v>500</v>
      </c>
      <c r="Y1512" s="43">
        <f>Y1511+Учет!T1512-T1512</f>
        <v>1150</v>
      </c>
      <c r="Z1512" s="43">
        <f>Z1511+Учет!U1512-U1512</f>
        <v>500000</v>
      </c>
      <c r="AA1512" s="45">
        <f>Учет!X1512</f>
        <v>500</v>
      </c>
    </row>
    <row r="1513" spans="1:27" ht="15" customHeight="1" x14ac:dyDescent="0.25">
      <c r="A1513" s="1"/>
      <c r="B1513" s="17"/>
      <c r="C1513" s="17"/>
      <c r="D1513" s="17"/>
      <c r="E1513" s="17"/>
      <c r="F1513" s="17"/>
      <c r="G1513" s="4">
        <f t="shared" si="66"/>
        <v>0</v>
      </c>
      <c r="H1513" s="17"/>
      <c r="I1513" s="4">
        <f t="shared" si="68"/>
        <v>349526.07999999996</v>
      </c>
      <c r="J1513" s="32" t="str">
        <f t="shared" si="67"/>
        <v/>
      </c>
      <c r="K1513" s="72"/>
      <c r="L1513" s="72"/>
      <c r="M1513" s="2"/>
      <c r="N1513" s="5"/>
      <c r="O1513" s="3"/>
      <c r="P1513" s="6"/>
      <c r="Q1513" s="48">
        <f>IF(Учет!$O1513=Справочники!$F$2,Учет!$H1513,0)</f>
        <v>0</v>
      </c>
      <c r="R1513" s="48">
        <f>IF(Учет!$O1513=Справочники!$F$3,Учет!$H1513,0)</f>
        <v>0</v>
      </c>
      <c r="S1513" s="48">
        <f>IF(Учет!$O1513=Справочники!$F$4,Учет!$H1513,0)</f>
        <v>0</v>
      </c>
      <c r="T1513" s="48">
        <f>IF(Учет!$O1513=Справочники!$F$5,Учет!$H1513,0)</f>
        <v>0</v>
      </c>
      <c r="U1513" s="48">
        <f>IF(Учет!$O1513=Справочники!$F$6,Учет!$H1513,0)</f>
        <v>0</v>
      </c>
      <c r="V1513" s="43">
        <f>V1512+Учет!Q1513-Q1513</f>
        <v>-488978.92000000004</v>
      </c>
      <c r="W1513" s="43">
        <f>W1512+Учет!R1513-R1513</f>
        <v>336855</v>
      </c>
      <c r="X1513" s="43">
        <f>X1512+Учет!S1513-S1513</f>
        <v>500</v>
      </c>
      <c r="Y1513" s="43">
        <f>Y1512+Учет!T1513-T1513</f>
        <v>1150</v>
      </c>
      <c r="Z1513" s="43">
        <f>Z1512+Учет!U1513-U1513</f>
        <v>500000</v>
      </c>
      <c r="AA1513" s="45">
        <f>Учет!X1513</f>
        <v>500</v>
      </c>
    </row>
    <row r="1514" spans="1:27" ht="15" customHeight="1" x14ac:dyDescent="0.25">
      <c r="A1514" s="1"/>
      <c r="B1514" s="17"/>
      <c r="C1514" s="17"/>
      <c r="D1514" s="17"/>
      <c r="E1514" s="17"/>
      <c r="F1514" s="17"/>
      <c r="G1514" s="4">
        <f t="shared" si="66"/>
        <v>0</v>
      </c>
      <c r="H1514" s="17"/>
      <c r="I1514" s="4">
        <f t="shared" si="68"/>
        <v>349526.07999999996</v>
      </c>
      <c r="J1514" s="32" t="str">
        <f t="shared" si="67"/>
        <v/>
      </c>
      <c r="K1514" s="72"/>
      <c r="L1514" s="72"/>
      <c r="M1514" s="2"/>
      <c r="N1514" s="5"/>
      <c r="O1514" s="3"/>
      <c r="P1514" s="6"/>
      <c r="Q1514" s="48">
        <f>IF(Учет!$O1514=Справочники!$F$2,Учет!$H1514,0)</f>
        <v>0</v>
      </c>
      <c r="R1514" s="48">
        <f>IF(Учет!$O1514=Справочники!$F$3,Учет!$H1514,0)</f>
        <v>0</v>
      </c>
      <c r="S1514" s="48">
        <f>IF(Учет!$O1514=Справочники!$F$4,Учет!$H1514,0)</f>
        <v>0</v>
      </c>
      <c r="T1514" s="48">
        <f>IF(Учет!$O1514=Справочники!$F$5,Учет!$H1514,0)</f>
        <v>0</v>
      </c>
      <c r="U1514" s="48">
        <f>IF(Учет!$O1514=Справочники!$F$6,Учет!$H1514,0)</f>
        <v>0</v>
      </c>
      <c r="V1514" s="43">
        <f>V1513+Учет!Q1514-Q1514</f>
        <v>-488978.92000000004</v>
      </c>
      <c r="W1514" s="43">
        <f>W1513+Учет!R1514-R1514</f>
        <v>336855</v>
      </c>
      <c r="X1514" s="43">
        <f>X1513+Учет!S1514-S1514</f>
        <v>500</v>
      </c>
      <c r="Y1514" s="43">
        <f>Y1513+Учет!T1514-T1514</f>
        <v>1150</v>
      </c>
      <c r="Z1514" s="43">
        <f>Z1513+Учет!U1514-U1514</f>
        <v>500000</v>
      </c>
      <c r="AA1514" s="45">
        <f>Учет!X1514</f>
        <v>500</v>
      </c>
    </row>
    <row r="1515" spans="1:27" ht="15" customHeight="1" x14ac:dyDescent="0.25">
      <c r="A1515" s="1"/>
      <c r="B1515" s="17"/>
      <c r="C1515" s="17"/>
      <c r="D1515" s="17"/>
      <c r="E1515" s="17"/>
      <c r="F1515" s="17"/>
      <c r="G1515" s="4">
        <f t="shared" si="66"/>
        <v>0</v>
      </c>
      <c r="H1515" s="17"/>
      <c r="I1515" s="4">
        <f t="shared" si="68"/>
        <v>349526.07999999996</v>
      </c>
      <c r="J1515" s="32" t="str">
        <f t="shared" si="67"/>
        <v/>
      </c>
      <c r="K1515" s="72"/>
      <c r="L1515" s="72"/>
      <c r="M1515" s="2"/>
      <c r="N1515" s="5"/>
      <c r="O1515" s="3"/>
      <c r="P1515" s="6"/>
      <c r="Q1515" s="48">
        <f>IF(Учет!$O1515=Справочники!$F$2,Учет!$H1515,0)</f>
        <v>0</v>
      </c>
      <c r="R1515" s="48">
        <f>IF(Учет!$O1515=Справочники!$F$3,Учет!$H1515,0)</f>
        <v>0</v>
      </c>
      <c r="S1515" s="48">
        <f>IF(Учет!$O1515=Справочники!$F$4,Учет!$H1515,0)</f>
        <v>0</v>
      </c>
      <c r="T1515" s="48">
        <f>IF(Учет!$O1515=Справочники!$F$5,Учет!$H1515,0)</f>
        <v>0</v>
      </c>
      <c r="U1515" s="48">
        <f>IF(Учет!$O1515=Справочники!$F$6,Учет!$H1515,0)</f>
        <v>0</v>
      </c>
      <c r="V1515" s="43">
        <f>V1514+Учет!Q1515-Q1515</f>
        <v>-488978.92000000004</v>
      </c>
      <c r="W1515" s="43">
        <f>W1514+Учет!R1515-R1515</f>
        <v>336855</v>
      </c>
      <c r="X1515" s="43">
        <f>X1514+Учет!S1515-S1515</f>
        <v>500</v>
      </c>
      <c r="Y1515" s="43">
        <f>Y1514+Учет!T1515-T1515</f>
        <v>1150</v>
      </c>
      <c r="Z1515" s="43">
        <f>Z1514+Учет!U1515-U1515</f>
        <v>500000</v>
      </c>
      <c r="AA1515" s="45">
        <f>Учет!X1515</f>
        <v>500</v>
      </c>
    </row>
    <row r="1516" spans="1:27" ht="15" customHeight="1" x14ac:dyDescent="0.25">
      <c r="A1516" s="1"/>
      <c r="B1516" s="17"/>
      <c r="C1516" s="17"/>
      <c r="D1516" s="17"/>
      <c r="E1516" s="17"/>
      <c r="F1516" s="17"/>
      <c r="G1516" s="4">
        <f t="shared" si="66"/>
        <v>0</v>
      </c>
      <c r="H1516" s="17"/>
      <c r="I1516" s="4">
        <f t="shared" si="68"/>
        <v>349526.07999999996</v>
      </c>
      <c r="J1516" s="32" t="str">
        <f t="shared" si="67"/>
        <v/>
      </c>
      <c r="K1516" s="72"/>
      <c r="L1516" s="72"/>
      <c r="M1516" s="2"/>
      <c r="N1516" s="5"/>
      <c r="O1516" s="3"/>
      <c r="P1516" s="6"/>
      <c r="Q1516" s="48">
        <f>IF(Учет!$O1516=Справочники!$F$2,Учет!$H1516,0)</f>
        <v>0</v>
      </c>
      <c r="R1516" s="48">
        <f>IF(Учет!$O1516=Справочники!$F$3,Учет!$H1516,0)</f>
        <v>0</v>
      </c>
      <c r="S1516" s="48">
        <f>IF(Учет!$O1516=Справочники!$F$4,Учет!$H1516,0)</f>
        <v>0</v>
      </c>
      <c r="T1516" s="48">
        <f>IF(Учет!$O1516=Справочники!$F$5,Учет!$H1516,0)</f>
        <v>0</v>
      </c>
      <c r="U1516" s="48">
        <f>IF(Учет!$O1516=Справочники!$F$6,Учет!$H1516,0)</f>
        <v>0</v>
      </c>
      <c r="V1516" s="43">
        <f>V1515+Учет!Q1516-Q1516</f>
        <v>-488978.92000000004</v>
      </c>
      <c r="W1516" s="43">
        <f>W1515+Учет!R1516-R1516</f>
        <v>336855</v>
      </c>
      <c r="X1516" s="43">
        <f>X1515+Учет!S1516-S1516</f>
        <v>500</v>
      </c>
      <c r="Y1516" s="43">
        <f>Y1515+Учет!T1516-T1516</f>
        <v>1150</v>
      </c>
      <c r="Z1516" s="43">
        <f>Z1515+Учет!U1516-U1516</f>
        <v>500000</v>
      </c>
      <c r="AA1516" s="45">
        <f>Учет!X1516</f>
        <v>500</v>
      </c>
    </row>
    <row r="1517" spans="1:27" ht="15" customHeight="1" x14ac:dyDescent="0.25">
      <c r="A1517" s="1"/>
      <c r="B1517" s="17"/>
      <c r="C1517" s="17"/>
      <c r="D1517" s="17"/>
      <c r="E1517" s="17"/>
      <c r="F1517" s="17"/>
      <c r="G1517" s="4">
        <f t="shared" si="66"/>
        <v>0</v>
      </c>
      <c r="H1517" s="17"/>
      <c r="I1517" s="4">
        <f t="shared" si="68"/>
        <v>349526.07999999996</v>
      </c>
      <c r="J1517" s="32" t="str">
        <f t="shared" si="67"/>
        <v/>
      </c>
      <c r="K1517" s="72"/>
      <c r="L1517" s="72"/>
      <c r="M1517" s="2"/>
      <c r="N1517" s="5"/>
      <c r="O1517" s="3"/>
      <c r="P1517" s="6"/>
      <c r="Q1517" s="48">
        <f>IF(Учет!$O1517=Справочники!$F$2,Учет!$H1517,0)</f>
        <v>0</v>
      </c>
      <c r="R1517" s="48">
        <f>IF(Учет!$O1517=Справочники!$F$3,Учет!$H1517,0)</f>
        <v>0</v>
      </c>
      <c r="S1517" s="48">
        <f>IF(Учет!$O1517=Справочники!$F$4,Учет!$H1517,0)</f>
        <v>0</v>
      </c>
      <c r="T1517" s="48">
        <f>IF(Учет!$O1517=Справочники!$F$5,Учет!$H1517,0)</f>
        <v>0</v>
      </c>
      <c r="U1517" s="48">
        <f>IF(Учет!$O1517=Справочники!$F$6,Учет!$H1517,0)</f>
        <v>0</v>
      </c>
      <c r="V1517" s="43">
        <f>V1516+Учет!Q1517-Q1517</f>
        <v>-488978.92000000004</v>
      </c>
      <c r="W1517" s="43">
        <f>W1516+Учет!R1517-R1517</f>
        <v>336855</v>
      </c>
      <c r="X1517" s="43">
        <f>X1516+Учет!S1517-S1517</f>
        <v>500</v>
      </c>
      <c r="Y1517" s="43">
        <f>Y1516+Учет!T1517-T1517</f>
        <v>1150</v>
      </c>
      <c r="Z1517" s="43">
        <f>Z1516+Учет!U1517-U1517</f>
        <v>500000</v>
      </c>
      <c r="AA1517" s="45">
        <f>Учет!X1517</f>
        <v>500</v>
      </c>
    </row>
    <row r="1518" spans="1:27" ht="15" customHeight="1" x14ac:dyDescent="0.25">
      <c r="A1518" s="1"/>
      <c r="B1518" s="17"/>
      <c r="C1518" s="17"/>
      <c r="D1518" s="17"/>
      <c r="E1518" s="17"/>
      <c r="F1518" s="17"/>
      <c r="G1518" s="4">
        <f t="shared" si="66"/>
        <v>0</v>
      </c>
      <c r="H1518" s="17"/>
      <c r="I1518" s="4">
        <f t="shared" si="68"/>
        <v>349526.07999999996</v>
      </c>
      <c r="J1518" s="32" t="str">
        <f t="shared" si="67"/>
        <v/>
      </c>
      <c r="K1518" s="72"/>
      <c r="L1518" s="72"/>
      <c r="M1518" s="2"/>
      <c r="N1518" s="5"/>
      <c r="O1518" s="3"/>
      <c r="P1518" s="6"/>
      <c r="Q1518" s="48">
        <f>IF(Учет!$O1518=Справочники!$F$2,Учет!$H1518,0)</f>
        <v>0</v>
      </c>
      <c r="R1518" s="48">
        <f>IF(Учет!$O1518=Справочники!$F$3,Учет!$H1518,0)</f>
        <v>0</v>
      </c>
      <c r="S1518" s="48">
        <f>IF(Учет!$O1518=Справочники!$F$4,Учет!$H1518,0)</f>
        <v>0</v>
      </c>
      <c r="T1518" s="48">
        <f>IF(Учет!$O1518=Справочники!$F$5,Учет!$H1518,0)</f>
        <v>0</v>
      </c>
      <c r="U1518" s="48">
        <f>IF(Учет!$O1518=Справочники!$F$6,Учет!$H1518,0)</f>
        <v>0</v>
      </c>
      <c r="V1518" s="43">
        <f>V1517+Учет!Q1518-Q1518</f>
        <v>-488978.92000000004</v>
      </c>
      <c r="W1518" s="43">
        <f>W1517+Учет!R1518-R1518</f>
        <v>336855</v>
      </c>
      <c r="X1518" s="43">
        <f>X1517+Учет!S1518-S1518</f>
        <v>500</v>
      </c>
      <c r="Y1518" s="43">
        <f>Y1517+Учет!T1518-T1518</f>
        <v>1150</v>
      </c>
      <c r="Z1518" s="43">
        <f>Z1517+Учет!U1518-U1518</f>
        <v>500000</v>
      </c>
      <c r="AA1518" s="45">
        <f>Учет!X1518</f>
        <v>500</v>
      </c>
    </row>
    <row r="1519" spans="1:27" ht="15" customHeight="1" x14ac:dyDescent="0.25">
      <c r="A1519" s="1"/>
      <c r="B1519" s="17"/>
      <c r="C1519" s="17"/>
      <c r="D1519" s="17"/>
      <c r="E1519" s="17"/>
      <c r="F1519" s="17"/>
      <c r="G1519" s="4">
        <f t="shared" si="66"/>
        <v>0</v>
      </c>
      <c r="H1519" s="17"/>
      <c r="I1519" s="4">
        <f t="shared" si="68"/>
        <v>349526.07999999996</v>
      </c>
      <c r="J1519" s="32" t="str">
        <f t="shared" si="67"/>
        <v/>
      </c>
      <c r="K1519" s="72"/>
      <c r="L1519" s="72"/>
      <c r="M1519" s="2"/>
      <c r="N1519" s="5"/>
      <c r="O1519" s="3"/>
      <c r="P1519" s="6"/>
      <c r="Q1519" s="48">
        <f>IF(Учет!$O1519=Справочники!$F$2,Учет!$H1519,0)</f>
        <v>0</v>
      </c>
      <c r="R1519" s="48">
        <f>IF(Учет!$O1519=Справочники!$F$3,Учет!$H1519,0)</f>
        <v>0</v>
      </c>
      <c r="S1519" s="48">
        <f>IF(Учет!$O1519=Справочники!$F$4,Учет!$H1519,0)</f>
        <v>0</v>
      </c>
      <c r="T1519" s="48">
        <f>IF(Учет!$O1519=Справочники!$F$5,Учет!$H1519,0)</f>
        <v>0</v>
      </c>
      <c r="U1519" s="48">
        <f>IF(Учет!$O1519=Справочники!$F$6,Учет!$H1519,0)</f>
        <v>0</v>
      </c>
      <c r="V1519" s="43">
        <f>V1518+Учет!Q1519-Q1519</f>
        <v>-488978.92000000004</v>
      </c>
      <c r="W1519" s="43">
        <f>W1518+Учет!R1519-R1519</f>
        <v>336855</v>
      </c>
      <c r="X1519" s="43">
        <f>X1518+Учет!S1519-S1519</f>
        <v>500</v>
      </c>
      <c r="Y1519" s="43">
        <f>Y1518+Учет!T1519-T1519</f>
        <v>1150</v>
      </c>
      <c r="Z1519" s="43">
        <f>Z1518+Учет!U1519-U1519</f>
        <v>500000</v>
      </c>
      <c r="AA1519" s="45">
        <f>Учет!X1519</f>
        <v>500</v>
      </c>
    </row>
    <row r="1520" spans="1:27" ht="15" customHeight="1" x14ac:dyDescent="0.25">
      <c r="A1520" s="1"/>
      <c r="B1520" s="17"/>
      <c r="C1520" s="17"/>
      <c r="D1520" s="17"/>
      <c r="E1520" s="17"/>
      <c r="F1520" s="17"/>
      <c r="G1520" s="4">
        <f t="shared" si="66"/>
        <v>0</v>
      </c>
      <c r="H1520" s="17"/>
      <c r="I1520" s="4">
        <f t="shared" si="68"/>
        <v>349526.07999999996</v>
      </c>
      <c r="J1520" s="32" t="str">
        <f t="shared" si="67"/>
        <v/>
      </c>
      <c r="K1520" s="72"/>
      <c r="L1520" s="72"/>
      <c r="M1520" s="2"/>
      <c r="N1520" s="5"/>
      <c r="O1520" s="3"/>
      <c r="P1520" s="6"/>
      <c r="Q1520" s="48">
        <f>IF(Учет!$O1520=Справочники!$F$2,Учет!$H1520,0)</f>
        <v>0</v>
      </c>
      <c r="R1520" s="48">
        <f>IF(Учет!$O1520=Справочники!$F$3,Учет!$H1520,0)</f>
        <v>0</v>
      </c>
      <c r="S1520" s="48">
        <f>IF(Учет!$O1520=Справочники!$F$4,Учет!$H1520,0)</f>
        <v>0</v>
      </c>
      <c r="T1520" s="48">
        <f>IF(Учет!$O1520=Справочники!$F$5,Учет!$H1520,0)</f>
        <v>0</v>
      </c>
      <c r="U1520" s="48">
        <f>IF(Учет!$O1520=Справочники!$F$6,Учет!$H1520,0)</f>
        <v>0</v>
      </c>
      <c r="V1520" s="43">
        <f>V1519+Учет!Q1520-Q1520</f>
        <v>-488978.92000000004</v>
      </c>
      <c r="W1520" s="43">
        <f>W1519+Учет!R1520-R1520</f>
        <v>336855</v>
      </c>
      <c r="X1520" s="43">
        <f>X1519+Учет!S1520-S1520</f>
        <v>500</v>
      </c>
      <c r="Y1520" s="43">
        <f>Y1519+Учет!T1520-T1520</f>
        <v>1150</v>
      </c>
      <c r="Z1520" s="43">
        <f>Z1519+Учет!U1520-U1520</f>
        <v>500000</v>
      </c>
      <c r="AA1520" s="45">
        <f>Учет!X1520</f>
        <v>500</v>
      </c>
    </row>
    <row r="1521" spans="1:27" ht="15" customHeight="1" x14ac:dyDescent="0.25">
      <c r="A1521" s="1"/>
      <c r="B1521" s="17"/>
      <c r="C1521" s="17"/>
      <c r="D1521" s="17"/>
      <c r="E1521" s="17"/>
      <c r="F1521" s="17"/>
      <c r="G1521" s="4">
        <f t="shared" si="66"/>
        <v>0</v>
      </c>
      <c r="H1521" s="17"/>
      <c r="I1521" s="4">
        <f t="shared" si="68"/>
        <v>349526.07999999996</v>
      </c>
      <c r="J1521" s="32" t="str">
        <f t="shared" si="67"/>
        <v/>
      </c>
      <c r="K1521" s="72"/>
      <c r="L1521" s="72"/>
      <c r="M1521" s="2"/>
      <c r="N1521" s="5"/>
      <c r="O1521" s="3"/>
      <c r="P1521" s="6"/>
      <c r="Q1521" s="48">
        <f>IF(Учет!$O1521=Справочники!$F$2,Учет!$H1521,0)</f>
        <v>0</v>
      </c>
      <c r="R1521" s="48">
        <f>IF(Учет!$O1521=Справочники!$F$3,Учет!$H1521,0)</f>
        <v>0</v>
      </c>
      <c r="S1521" s="48">
        <f>IF(Учет!$O1521=Справочники!$F$4,Учет!$H1521,0)</f>
        <v>0</v>
      </c>
      <c r="T1521" s="48">
        <f>IF(Учет!$O1521=Справочники!$F$5,Учет!$H1521,0)</f>
        <v>0</v>
      </c>
      <c r="U1521" s="48">
        <f>IF(Учет!$O1521=Справочники!$F$6,Учет!$H1521,0)</f>
        <v>0</v>
      </c>
      <c r="V1521" s="43">
        <f>V1520+Учет!Q1521-Q1521</f>
        <v>-488978.92000000004</v>
      </c>
      <c r="W1521" s="43">
        <f>W1520+Учет!R1521-R1521</f>
        <v>336855</v>
      </c>
      <c r="X1521" s="43">
        <f>X1520+Учет!S1521-S1521</f>
        <v>500</v>
      </c>
      <c r="Y1521" s="43">
        <f>Y1520+Учет!T1521-T1521</f>
        <v>1150</v>
      </c>
      <c r="Z1521" s="43">
        <f>Z1520+Учет!U1521-U1521</f>
        <v>500000</v>
      </c>
      <c r="AA1521" s="45">
        <f>Учет!X1521</f>
        <v>500</v>
      </c>
    </row>
    <row r="1522" spans="1:27" ht="15" customHeight="1" x14ac:dyDescent="0.25">
      <c r="A1522" s="1"/>
      <c r="B1522" s="17"/>
      <c r="C1522" s="17"/>
      <c r="D1522" s="17"/>
      <c r="E1522" s="17"/>
      <c r="F1522" s="17"/>
      <c r="G1522" s="4">
        <f t="shared" si="66"/>
        <v>0</v>
      </c>
      <c r="H1522" s="17"/>
      <c r="I1522" s="4">
        <f t="shared" si="68"/>
        <v>349526.07999999996</v>
      </c>
      <c r="J1522" s="32" t="str">
        <f t="shared" si="67"/>
        <v/>
      </c>
      <c r="K1522" s="72"/>
      <c r="L1522" s="72"/>
      <c r="M1522" s="2"/>
      <c r="N1522" s="5"/>
      <c r="O1522" s="3"/>
      <c r="P1522" s="6"/>
      <c r="Q1522" s="48">
        <f>IF(Учет!$O1522=Справочники!$F$2,Учет!$H1522,0)</f>
        <v>0</v>
      </c>
      <c r="R1522" s="48">
        <f>IF(Учет!$O1522=Справочники!$F$3,Учет!$H1522,0)</f>
        <v>0</v>
      </c>
      <c r="S1522" s="48">
        <f>IF(Учет!$O1522=Справочники!$F$4,Учет!$H1522,0)</f>
        <v>0</v>
      </c>
      <c r="T1522" s="48">
        <f>IF(Учет!$O1522=Справочники!$F$5,Учет!$H1522,0)</f>
        <v>0</v>
      </c>
      <c r="U1522" s="48">
        <f>IF(Учет!$O1522=Справочники!$F$6,Учет!$H1522,0)</f>
        <v>0</v>
      </c>
      <c r="V1522" s="43">
        <f>V1521+Учет!Q1522-Q1522</f>
        <v>-488978.92000000004</v>
      </c>
      <c r="W1522" s="43">
        <f>W1521+Учет!R1522-R1522</f>
        <v>336855</v>
      </c>
      <c r="X1522" s="43">
        <f>X1521+Учет!S1522-S1522</f>
        <v>500</v>
      </c>
      <c r="Y1522" s="43">
        <f>Y1521+Учет!T1522-T1522</f>
        <v>1150</v>
      </c>
      <c r="Z1522" s="43">
        <f>Z1521+Учет!U1522-U1522</f>
        <v>500000</v>
      </c>
      <c r="AA1522" s="45">
        <f>Учет!X1522</f>
        <v>500</v>
      </c>
    </row>
    <row r="1523" spans="1:27" ht="15" customHeight="1" x14ac:dyDescent="0.25">
      <c r="A1523" s="1"/>
      <c r="B1523" s="17"/>
      <c r="C1523" s="17"/>
      <c r="D1523" s="17"/>
      <c r="E1523" s="17"/>
      <c r="F1523" s="17"/>
      <c r="G1523" s="4">
        <f t="shared" si="66"/>
        <v>0</v>
      </c>
      <c r="H1523" s="17"/>
      <c r="I1523" s="4">
        <f t="shared" si="68"/>
        <v>349526.07999999996</v>
      </c>
      <c r="J1523" s="32" t="str">
        <f t="shared" si="67"/>
        <v/>
      </c>
      <c r="K1523" s="72"/>
      <c r="L1523" s="72"/>
      <c r="M1523" s="2"/>
      <c r="N1523" s="5"/>
      <c r="O1523" s="3"/>
      <c r="P1523" s="6"/>
      <c r="Q1523" s="48">
        <f>IF(Учет!$O1523=Справочники!$F$2,Учет!$H1523,0)</f>
        <v>0</v>
      </c>
      <c r="R1523" s="48">
        <f>IF(Учет!$O1523=Справочники!$F$3,Учет!$H1523,0)</f>
        <v>0</v>
      </c>
      <c r="S1523" s="48">
        <f>IF(Учет!$O1523=Справочники!$F$4,Учет!$H1523,0)</f>
        <v>0</v>
      </c>
      <c r="T1523" s="48">
        <f>IF(Учет!$O1523=Справочники!$F$5,Учет!$H1523,0)</f>
        <v>0</v>
      </c>
      <c r="U1523" s="48">
        <f>IF(Учет!$O1523=Справочники!$F$6,Учет!$H1523,0)</f>
        <v>0</v>
      </c>
      <c r="V1523" s="43">
        <f>V1522+Учет!Q1523-Q1523</f>
        <v>-488978.92000000004</v>
      </c>
      <c r="W1523" s="43">
        <f>W1522+Учет!R1523-R1523</f>
        <v>336855</v>
      </c>
      <c r="X1523" s="43">
        <f>X1522+Учет!S1523-S1523</f>
        <v>500</v>
      </c>
      <c r="Y1523" s="43">
        <f>Y1522+Учет!T1523-T1523</f>
        <v>1150</v>
      </c>
      <c r="Z1523" s="43">
        <f>Z1522+Учет!U1523-U1523</f>
        <v>500000</v>
      </c>
      <c r="AA1523" s="45">
        <f>Учет!X1523</f>
        <v>500</v>
      </c>
    </row>
    <row r="1524" spans="1:27" ht="15" customHeight="1" x14ac:dyDescent="0.25">
      <c r="A1524" s="1"/>
      <c r="B1524" s="17"/>
      <c r="C1524" s="17"/>
      <c r="D1524" s="17"/>
      <c r="E1524" s="17"/>
      <c r="F1524" s="17"/>
      <c r="G1524" s="4">
        <f t="shared" si="66"/>
        <v>0</v>
      </c>
      <c r="H1524" s="17"/>
      <c r="I1524" s="4">
        <f t="shared" si="68"/>
        <v>349526.07999999996</v>
      </c>
      <c r="J1524" s="32" t="str">
        <f t="shared" si="67"/>
        <v/>
      </c>
      <c r="K1524" s="72"/>
      <c r="L1524" s="72"/>
      <c r="M1524" s="2"/>
      <c r="N1524" s="5"/>
      <c r="O1524" s="3"/>
      <c r="P1524" s="6"/>
      <c r="Q1524" s="48">
        <f>IF(Учет!$O1524=Справочники!$F$2,Учет!$H1524,0)</f>
        <v>0</v>
      </c>
      <c r="R1524" s="48">
        <f>IF(Учет!$O1524=Справочники!$F$3,Учет!$H1524,0)</f>
        <v>0</v>
      </c>
      <c r="S1524" s="48">
        <f>IF(Учет!$O1524=Справочники!$F$4,Учет!$H1524,0)</f>
        <v>0</v>
      </c>
      <c r="T1524" s="48">
        <f>IF(Учет!$O1524=Справочники!$F$5,Учет!$H1524,0)</f>
        <v>0</v>
      </c>
      <c r="U1524" s="48">
        <f>IF(Учет!$O1524=Справочники!$F$6,Учет!$H1524,0)</f>
        <v>0</v>
      </c>
      <c r="V1524" s="43">
        <f>V1523+Учет!Q1524-Q1524</f>
        <v>-488978.92000000004</v>
      </c>
      <c r="W1524" s="43">
        <f>W1523+Учет!R1524-R1524</f>
        <v>336855</v>
      </c>
      <c r="X1524" s="43">
        <f>X1523+Учет!S1524-S1524</f>
        <v>500</v>
      </c>
      <c r="Y1524" s="43">
        <f>Y1523+Учет!T1524-T1524</f>
        <v>1150</v>
      </c>
      <c r="Z1524" s="43">
        <f>Z1523+Учет!U1524-U1524</f>
        <v>500000</v>
      </c>
      <c r="AA1524" s="45">
        <f>Учет!X1524</f>
        <v>500</v>
      </c>
    </row>
    <row r="1525" spans="1:27" ht="15" customHeight="1" x14ac:dyDescent="0.25">
      <c r="A1525" s="1"/>
      <c r="B1525" s="17"/>
      <c r="C1525" s="17"/>
      <c r="D1525" s="17"/>
      <c r="E1525" s="17"/>
      <c r="F1525" s="17"/>
      <c r="G1525" s="4">
        <f t="shared" si="66"/>
        <v>0</v>
      </c>
      <c r="H1525" s="17"/>
      <c r="I1525" s="4">
        <f t="shared" si="68"/>
        <v>349526.07999999996</v>
      </c>
      <c r="J1525" s="32" t="str">
        <f t="shared" si="67"/>
        <v/>
      </c>
      <c r="K1525" s="72"/>
      <c r="L1525" s="72"/>
      <c r="M1525" s="2"/>
      <c r="N1525" s="5"/>
      <c r="O1525" s="3"/>
      <c r="P1525" s="6"/>
      <c r="Q1525" s="48">
        <f>IF(Учет!$O1525=Справочники!$F$2,Учет!$H1525,0)</f>
        <v>0</v>
      </c>
      <c r="R1525" s="48">
        <f>IF(Учет!$O1525=Справочники!$F$3,Учет!$H1525,0)</f>
        <v>0</v>
      </c>
      <c r="S1525" s="48">
        <f>IF(Учет!$O1525=Справочники!$F$4,Учет!$H1525,0)</f>
        <v>0</v>
      </c>
      <c r="T1525" s="48">
        <f>IF(Учет!$O1525=Справочники!$F$5,Учет!$H1525,0)</f>
        <v>0</v>
      </c>
      <c r="U1525" s="48">
        <f>IF(Учет!$O1525=Справочники!$F$6,Учет!$H1525,0)</f>
        <v>0</v>
      </c>
      <c r="V1525" s="43">
        <f>V1524+Учет!Q1525-Q1525</f>
        <v>-488978.92000000004</v>
      </c>
      <c r="W1525" s="43">
        <f>W1524+Учет!R1525-R1525</f>
        <v>336855</v>
      </c>
      <c r="X1525" s="43">
        <f>X1524+Учет!S1525-S1525</f>
        <v>500</v>
      </c>
      <c r="Y1525" s="43">
        <f>Y1524+Учет!T1525-T1525</f>
        <v>1150</v>
      </c>
      <c r="Z1525" s="43">
        <f>Z1524+Учет!U1525-U1525</f>
        <v>500000</v>
      </c>
      <c r="AA1525" s="45">
        <f>Учет!X1525</f>
        <v>500</v>
      </c>
    </row>
    <row r="1526" spans="1:27" ht="15" customHeight="1" x14ac:dyDescent="0.25">
      <c r="A1526" s="1"/>
      <c r="B1526" s="17"/>
      <c r="C1526" s="17"/>
      <c r="D1526" s="17"/>
      <c r="E1526" s="17"/>
      <c r="F1526" s="17"/>
      <c r="G1526" s="4">
        <f t="shared" si="66"/>
        <v>0</v>
      </c>
      <c r="H1526" s="17"/>
      <c r="I1526" s="4">
        <f t="shared" si="68"/>
        <v>349526.07999999996</v>
      </c>
      <c r="J1526" s="32" t="str">
        <f t="shared" si="67"/>
        <v/>
      </c>
      <c r="K1526" s="72"/>
      <c r="L1526" s="72"/>
      <c r="M1526" s="2"/>
      <c r="N1526" s="5"/>
      <c r="O1526" s="3"/>
      <c r="P1526" s="6"/>
      <c r="Q1526" s="48">
        <f>IF(Учет!$O1526=Справочники!$F$2,Учет!$H1526,0)</f>
        <v>0</v>
      </c>
      <c r="R1526" s="48">
        <f>IF(Учет!$O1526=Справочники!$F$3,Учет!$H1526,0)</f>
        <v>0</v>
      </c>
      <c r="S1526" s="48">
        <f>IF(Учет!$O1526=Справочники!$F$4,Учет!$H1526,0)</f>
        <v>0</v>
      </c>
      <c r="T1526" s="48">
        <f>IF(Учет!$O1526=Справочники!$F$5,Учет!$H1526,0)</f>
        <v>0</v>
      </c>
      <c r="U1526" s="48">
        <f>IF(Учет!$O1526=Справочники!$F$6,Учет!$H1526,0)</f>
        <v>0</v>
      </c>
      <c r="V1526" s="43">
        <f>V1525+Учет!Q1526-Q1526</f>
        <v>-488978.92000000004</v>
      </c>
      <c r="W1526" s="43">
        <f>W1525+Учет!R1526-R1526</f>
        <v>336855</v>
      </c>
      <c r="X1526" s="43">
        <f>X1525+Учет!S1526-S1526</f>
        <v>500</v>
      </c>
      <c r="Y1526" s="43">
        <f>Y1525+Учет!T1526-T1526</f>
        <v>1150</v>
      </c>
      <c r="Z1526" s="43">
        <f>Z1525+Учет!U1526-U1526</f>
        <v>500000</v>
      </c>
      <c r="AA1526" s="45">
        <f>Учет!X1526</f>
        <v>500</v>
      </c>
    </row>
    <row r="1527" spans="1:27" ht="15" customHeight="1" x14ac:dyDescent="0.25">
      <c r="A1527" s="1"/>
      <c r="B1527" s="17"/>
      <c r="C1527" s="17"/>
      <c r="D1527" s="17"/>
      <c r="E1527" s="17"/>
      <c r="F1527" s="17"/>
      <c r="G1527" s="4">
        <f t="shared" si="66"/>
        <v>0</v>
      </c>
      <c r="H1527" s="17"/>
      <c r="I1527" s="4">
        <f t="shared" si="68"/>
        <v>349526.07999999996</v>
      </c>
      <c r="J1527" s="32" t="str">
        <f t="shared" si="67"/>
        <v/>
      </c>
      <c r="K1527" s="72"/>
      <c r="L1527" s="72"/>
      <c r="M1527" s="2"/>
      <c r="N1527" s="5"/>
      <c r="O1527" s="3"/>
      <c r="P1527" s="6"/>
      <c r="Q1527" s="48">
        <f>IF(Учет!$O1527=Справочники!$F$2,Учет!$H1527,0)</f>
        <v>0</v>
      </c>
      <c r="R1527" s="48">
        <f>IF(Учет!$O1527=Справочники!$F$3,Учет!$H1527,0)</f>
        <v>0</v>
      </c>
      <c r="S1527" s="48">
        <f>IF(Учет!$O1527=Справочники!$F$4,Учет!$H1527,0)</f>
        <v>0</v>
      </c>
      <c r="T1527" s="48">
        <f>IF(Учет!$O1527=Справочники!$F$5,Учет!$H1527,0)</f>
        <v>0</v>
      </c>
      <c r="U1527" s="48">
        <f>IF(Учет!$O1527=Справочники!$F$6,Учет!$H1527,0)</f>
        <v>0</v>
      </c>
      <c r="V1527" s="43">
        <f>V1526+Учет!Q1527-Q1527</f>
        <v>-488978.92000000004</v>
      </c>
      <c r="W1527" s="43">
        <f>W1526+Учет!R1527-R1527</f>
        <v>336855</v>
      </c>
      <c r="X1527" s="43">
        <f>X1526+Учет!S1527-S1527</f>
        <v>500</v>
      </c>
      <c r="Y1527" s="43">
        <f>Y1526+Учет!T1527-T1527</f>
        <v>1150</v>
      </c>
      <c r="Z1527" s="43">
        <f>Z1526+Учет!U1527-U1527</f>
        <v>500000</v>
      </c>
      <c r="AA1527" s="45">
        <f>Учет!X1527</f>
        <v>500</v>
      </c>
    </row>
    <row r="1528" spans="1:27" ht="15" customHeight="1" x14ac:dyDescent="0.25">
      <c r="A1528" s="1"/>
      <c r="B1528" s="17"/>
      <c r="C1528" s="17"/>
      <c r="D1528" s="17"/>
      <c r="E1528" s="17"/>
      <c r="F1528" s="17"/>
      <c r="G1528" s="4">
        <f t="shared" si="66"/>
        <v>0</v>
      </c>
      <c r="H1528" s="17"/>
      <c r="I1528" s="4">
        <f t="shared" si="68"/>
        <v>349526.07999999996</v>
      </c>
      <c r="J1528" s="32" t="str">
        <f t="shared" si="67"/>
        <v/>
      </c>
      <c r="K1528" s="72"/>
      <c r="L1528" s="72"/>
      <c r="M1528" s="2"/>
      <c r="N1528" s="5"/>
      <c r="O1528" s="3"/>
      <c r="P1528" s="6"/>
      <c r="Q1528" s="48">
        <f>IF(Учет!$O1528=Справочники!$F$2,Учет!$H1528,0)</f>
        <v>0</v>
      </c>
      <c r="R1528" s="48">
        <f>IF(Учет!$O1528=Справочники!$F$3,Учет!$H1528,0)</f>
        <v>0</v>
      </c>
      <c r="S1528" s="48">
        <f>IF(Учет!$O1528=Справочники!$F$4,Учет!$H1528,0)</f>
        <v>0</v>
      </c>
      <c r="T1528" s="48">
        <f>IF(Учет!$O1528=Справочники!$F$5,Учет!$H1528,0)</f>
        <v>0</v>
      </c>
      <c r="U1528" s="48">
        <f>IF(Учет!$O1528=Справочники!$F$6,Учет!$H1528,0)</f>
        <v>0</v>
      </c>
      <c r="V1528" s="43">
        <f>V1527+Учет!Q1528-Q1528</f>
        <v>-488978.92000000004</v>
      </c>
      <c r="W1528" s="43">
        <f>W1527+Учет!R1528-R1528</f>
        <v>336855</v>
      </c>
      <c r="X1528" s="43">
        <f>X1527+Учет!S1528-S1528</f>
        <v>500</v>
      </c>
      <c r="Y1528" s="43">
        <f>Y1527+Учет!T1528-T1528</f>
        <v>1150</v>
      </c>
      <c r="Z1528" s="43">
        <f>Z1527+Учет!U1528-U1528</f>
        <v>500000</v>
      </c>
      <c r="AA1528" s="45">
        <f>Учет!X1528</f>
        <v>500</v>
      </c>
    </row>
    <row r="1529" spans="1:27" ht="15" customHeight="1" x14ac:dyDescent="0.25">
      <c r="A1529" s="1"/>
      <c r="B1529" s="17"/>
      <c r="C1529" s="17"/>
      <c r="D1529" s="17"/>
      <c r="E1529" s="17"/>
      <c r="F1529" s="17"/>
      <c r="G1529" s="4">
        <f t="shared" si="66"/>
        <v>0</v>
      </c>
      <c r="H1529" s="17"/>
      <c r="I1529" s="4">
        <f t="shared" si="68"/>
        <v>349526.07999999996</v>
      </c>
      <c r="J1529" s="32" t="str">
        <f t="shared" si="67"/>
        <v/>
      </c>
      <c r="K1529" s="72"/>
      <c r="L1529" s="72"/>
      <c r="M1529" s="2"/>
      <c r="N1529" s="5"/>
      <c r="O1529" s="3"/>
      <c r="P1529" s="6"/>
      <c r="Q1529" s="48">
        <f>IF(Учет!$O1529=Справочники!$F$2,Учет!$H1529,0)</f>
        <v>0</v>
      </c>
      <c r="R1529" s="48">
        <f>IF(Учет!$O1529=Справочники!$F$3,Учет!$H1529,0)</f>
        <v>0</v>
      </c>
      <c r="S1529" s="48">
        <f>IF(Учет!$O1529=Справочники!$F$4,Учет!$H1529,0)</f>
        <v>0</v>
      </c>
      <c r="T1529" s="48">
        <f>IF(Учет!$O1529=Справочники!$F$5,Учет!$H1529,0)</f>
        <v>0</v>
      </c>
      <c r="U1529" s="48">
        <f>IF(Учет!$O1529=Справочники!$F$6,Учет!$H1529,0)</f>
        <v>0</v>
      </c>
      <c r="V1529" s="43">
        <f>V1528+Учет!Q1529-Q1529</f>
        <v>-488978.92000000004</v>
      </c>
      <c r="W1529" s="43">
        <f>W1528+Учет!R1529-R1529</f>
        <v>336855</v>
      </c>
      <c r="X1529" s="43">
        <f>X1528+Учет!S1529-S1529</f>
        <v>500</v>
      </c>
      <c r="Y1529" s="43">
        <f>Y1528+Учет!T1529-T1529</f>
        <v>1150</v>
      </c>
      <c r="Z1529" s="43">
        <f>Z1528+Учет!U1529-U1529</f>
        <v>500000</v>
      </c>
      <c r="AA1529" s="45">
        <f>Учет!X1529</f>
        <v>500</v>
      </c>
    </row>
    <row r="1530" spans="1:27" ht="15" customHeight="1" x14ac:dyDescent="0.25">
      <c r="A1530" s="1"/>
      <c r="B1530" s="17"/>
      <c r="C1530" s="17"/>
      <c r="D1530" s="17"/>
      <c r="E1530" s="17"/>
      <c r="F1530" s="17"/>
      <c r="G1530" s="4">
        <f t="shared" si="66"/>
        <v>0</v>
      </c>
      <c r="H1530" s="17"/>
      <c r="I1530" s="4">
        <f t="shared" si="68"/>
        <v>349526.07999999996</v>
      </c>
      <c r="J1530" s="32" t="str">
        <f t="shared" si="67"/>
        <v/>
      </c>
      <c r="K1530" s="72"/>
      <c r="L1530" s="72"/>
      <c r="M1530" s="2"/>
      <c r="N1530" s="5"/>
      <c r="O1530" s="3"/>
      <c r="P1530" s="6"/>
      <c r="Q1530" s="48">
        <f>IF(Учет!$O1530=Справочники!$F$2,Учет!$H1530,0)</f>
        <v>0</v>
      </c>
      <c r="R1530" s="48">
        <f>IF(Учет!$O1530=Справочники!$F$3,Учет!$H1530,0)</f>
        <v>0</v>
      </c>
      <c r="S1530" s="48">
        <f>IF(Учет!$O1530=Справочники!$F$4,Учет!$H1530,0)</f>
        <v>0</v>
      </c>
      <c r="T1530" s="48">
        <f>IF(Учет!$O1530=Справочники!$F$5,Учет!$H1530,0)</f>
        <v>0</v>
      </c>
      <c r="U1530" s="48">
        <f>IF(Учет!$O1530=Справочники!$F$6,Учет!$H1530,0)</f>
        <v>0</v>
      </c>
      <c r="V1530" s="43">
        <f>V1529+Учет!Q1530-Q1530</f>
        <v>-488978.92000000004</v>
      </c>
      <c r="W1530" s="43">
        <f>W1529+Учет!R1530-R1530</f>
        <v>336855</v>
      </c>
      <c r="X1530" s="43">
        <f>X1529+Учет!S1530-S1530</f>
        <v>500</v>
      </c>
      <c r="Y1530" s="43">
        <f>Y1529+Учет!T1530-T1530</f>
        <v>1150</v>
      </c>
      <c r="Z1530" s="43">
        <f>Z1529+Учет!U1530-U1530</f>
        <v>500000</v>
      </c>
      <c r="AA1530" s="45">
        <f>Учет!X1530</f>
        <v>500</v>
      </c>
    </row>
    <row r="1531" spans="1:27" ht="15" customHeight="1" x14ac:dyDescent="0.25">
      <c r="A1531" s="1"/>
      <c r="B1531" s="17"/>
      <c r="C1531" s="17"/>
      <c r="D1531" s="17"/>
      <c r="E1531" s="17"/>
      <c r="F1531" s="17"/>
      <c r="G1531" s="4">
        <f t="shared" si="66"/>
        <v>0</v>
      </c>
      <c r="H1531" s="17"/>
      <c r="I1531" s="4">
        <f t="shared" si="68"/>
        <v>349526.07999999996</v>
      </c>
      <c r="J1531" s="32" t="str">
        <f t="shared" si="67"/>
        <v/>
      </c>
      <c r="K1531" s="72"/>
      <c r="L1531" s="72"/>
      <c r="M1531" s="2"/>
      <c r="N1531" s="5"/>
      <c r="O1531" s="3"/>
      <c r="P1531" s="6"/>
      <c r="Q1531" s="48">
        <f>IF(Учет!$O1531=Справочники!$F$2,Учет!$H1531,0)</f>
        <v>0</v>
      </c>
      <c r="R1531" s="48">
        <f>IF(Учет!$O1531=Справочники!$F$3,Учет!$H1531,0)</f>
        <v>0</v>
      </c>
      <c r="S1531" s="48">
        <f>IF(Учет!$O1531=Справочники!$F$4,Учет!$H1531,0)</f>
        <v>0</v>
      </c>
      <c r="T1531" s="48">
        <f>IF(Учет!$O1531=Справочники!$F$5,Учет!$H1531,0)</f>
        <v>0</v>
      </c>
      <c r="U1531" s="48">
        <f>IF(Учет!$O1531=Справочники!$F$6,Учет!$H1531,0)</f>
        <v>0</v>
      </c>
      <c r="V1531" s="43">
        <f>V1530+Учет!Q1531-Q1531</f>
        <v>-488978.92000000004</v>
      </c>
      <c r="W1531" s="43">
        <f>W1530+Учет!R1531-R1531</f>
        <v>336855</v>
      </c>
      <c r="X1531" s="43">
        <f>X1530+Учет!S1531-S1531</f>
        <v>500</v>
      </c>
      <c r="Y1531" s="43">
        <f>Y1530+Учет!T1531-T1531</f>
        <v>1150</v>
      </c>
      <c r="Z1531" s="43">
        <f>Z1530+Учет!U1531-U1531</f>
        <v>500000</v>
      </c>
      <c r="AA1531" s="45">
        <f>Учет!X1531</f>
        <v>500</v>
      </c>
    </row>
    <row r="1532" spans="1:27" ht="15" customHeight="1" x14ac:dyDescent="0.25">
      <c r="A1532" s="1"/>
      <c r="B1532" s="17"/>
      <c r="C1532" s="17"/>
      <c r="D1532" s="17"/>
      <c r="E1532" s="17"/>
      <c r="F1532" s="17"/>
      <c r="G1532" s="4">
        <f t="shared" si="66"/>
        <v>0</v>
      </c>
      <c r="H1532" s="17"/>
      <c r="I1532" s="4">
        <f t="shared" si="68"/>
        <v>349526.07999999996</v>
      </c>
      <c r="J1532" s="32" t="str">
        <f t="shared" si="67"/>
        <v/>
      </c>
      <c r="K1532" s="72"/>
      <c r="L1532" s="72"/>
      <c r="M1532" s="2"/>
      <c r="N1532" s="5"/>
      <c r="O1532" s="3"/>
      <c r="P1532" s="6"/>
      <c r="Q1532" s="48">
        <f>IF(Учет!$O1532=Справочники!$F$2,Учет!$H1532,0)</f>
        <v>0</v>
      </c>
      <c r="R1532" s="48">
        <f>IF(Учет!$O1532=Справочники!$F$3,Учет!$H1532,0)</f>
        <v>0</v>
      </c>
      <c r="S1532" s="48">
        <f>IF(Учет!$O1532=Справочники!$F$4,Учет!$H1532,0)</f>
        <v>0</v>
      </c>
      <c r="T1532" s="48">
        <f>IF(Учет!$O1532=Справочники!$F$5,Учет!$H1532,0)</f>
        <v>0</v>
      </c>
      <c r="U1532" s="48">
        <f>IF(Учет!$O1532=Справочники!$F$6,Учет!$H1532,0)</f>
        <v>0</v>
      </c>
      <c r="V1532" s="43">
        <f>V1531+Учет!Q1532-Q1532</f>
        <v>-488978.92000000004</v>
      </c>
      <c r="W1532" s="43">
        <f>W1531+Учет!R1532-R1532</f>
        <v>336855</v>
      </c>
      <c r="X1532" s="43">
        <f>X1531+Учет!S1532-S1532</f>
        <v>500</v>
      </c>
      <c r="Y1532" s="43">
        <f>Y1531+Учет!T1532-T1532</f>
        <v>1150</v>
      </c>
      <c r="Z1532" s="43">
        <f>Z1531+Учет!U1532-U1532</f>
        <v>500000</v>
      </c>
      <c r="AA1532" s="45">
        <f>Учет!X1532</f>
        <v>500</v>
      </c>
    </row>
    <row r="1533" spans="1:27" ht="15" customHeight="1" x14ac:dyDescent="0.25">
      <c r="A1533" s="1"/>
      <c r="B1533" s="17"/>
      <c r="C1533" s="17"/>
      <c r="D1533" s="17"/>
      <c r="E1533" s="17"/>
      <c r="F1533" s="17"/>
      <c r="G1533" s="4">
        <f t="shared" si="66"/>
        <v>0</v>
      </c>
      <c r="H1533" s="17"/>
      <c r="I1533" s="4">
        <f t="shared" si="68"/>
        <v>349526.07999999996</v>
      </c>
      <c r="J1533" s="32" t="str">
        <f t="shared" si="67"/>
        <v/>
      </c>
      <c r="K1533" s="72"/>
      <c r="L1533" s="72"/>
      <c r="M1533" s="2"/>
      <c r="N1533" s="5"/>
      <c r="O1533" s="3"/>
      <c r="P1533" s="6"/>
      <c r="Q1533" s="48">
        <f>IF(Учет!$O1533=Справочники!$F$2,Учет!$H1533,0)</f>
        <v>0</v>
      </c>
      <c r="R1533" s="48">
        <f>IF(Учет!$O1533=Справочники!$F$3,Учет!$H1533,0)</f>
        <v>0</v>
      </c>
      <c r="S1533" s="48">
        <f>IF(Учет!$O1533=Справочники!$F$4,Учет!$H1533,0)</f>
        <v>0</v>
      </c>
      <c r="T1533" s="48">
        <f>IF(Учет!$O1533=Справочники!$F$5,Учет!$H1533,0)</f>
        <v>0</v>
      </c>
      <c r="U1533" s="48">
        <f>IF(Учет!$O1533=Справочники!$F$6,Учет!$H1533,0)</f>
        <v>0</v>
      </c>
      <c r="V1533" s="43">
        <f>V1532+Учет!Q1533-Q1533</f>
        <v>-488978.92000000004</v>
      </c>
      <c r="W1533" s="43">
        <f>W1532+Учет!R1533-R1533</f>
        <v>336855</v>
      </c>
      <c r="X1533" s="43">
        <f>X1532+Учет!S1533-S1533</f>
        <v>500</v>
      </c>
      <c r="Y1533" s="43">
        <f>Y1532+Учет!T1533-T1533</f>
        <v>1150</v>
      </c>
      <c r="Z1533" s="43">
        <f>Z1532+Учет!U1533-U1533</f>
        <v>500000</v>
      </c>
      <c r="AA1533" s="45">
        <f>Учет!X1533</f>
        <v>500</v>
      </c>
    </row>
    <row r="1534" spans="1:27" ht="15" customHeight="1" x14ac:dyDescent="0.25">
      <c r="A1534" s="1"/>
      <c r="B1534" s="17"/>
      <c r="C1534" s="17"/>
      <c r="D1534" s="17"/>
      <c r="E1534" s="17"/>
      <c r="F1534" s="17"/>
      <c r="G1534" s="4">
        <f t="shared" si="66"/>
        <v>0</v>
      </c>
      <c r="H1534" s="17"/>
      <c r="I1534" s="4">
        <f t="shared" si="68"/>
        <v>349526.07999999996</v>
      </c>
      <c r="J1534" s="32" t="str">
        <f t="shared" si="67"/>
        <v/>
      </c>
      <c r="K1534" s="72"/>
      <c r="L1534" s="72"/>
      <c r="M1534" s="2"/>
      <c r="N1534" s="5"/>
      <c r="O1534" s="3"/>
      <c r="P1534" s="6"/>
      <c r="Q1534" s="48">
        <f>IF(Учет!$O1534=Справочники!$F$2,Учет!$H1534,0)</f>
        <v>0</v>
      </c>
      <c r="R1534" s="48">
        <f>IF(Учет!$O1534=Справочники!$F$3,Учет!$H1534,0)</f>
        <v>0</v>
      </c>
      <c r="S1534" s="48">
        <f>IF(Учет!$O1534=Справочники!$F$4,Учет!$H1534,0)</f>
        <v>0</v>
      </c>
      <c r="T1534" s="48">
        <f>IF(Учет!$O1534=Справочники!$F$5,Учет!$H1534,0)</f>
        <v>0</v>
      </c>
      <c r="U1534" s="48">
        <f>IF(Учет!$O1534=Справочники!$F$6,Учет!$H1534,0)</f>
        <v>0</v>
      </c>
      <c r="V1534" s="43">
        <f>V1533+Учет!Q1534-Q1534</f>
        <v>-488978.92000000004</v>
      </c>
      <c r="W1534" s="43">
        <f>W1533+Учет!R1534-R1534</f>
        <v>336855</v>
      </c>
      <c r="X1534" s="43">
        <f>X1533+Учет!S1534-S1534</f>
        <v>500</v>
      </c>
      <c r="Y1534" s="43">
        <f>Y1533+Учет!T1534-T1534</f>
        <v>1150</v>
      </c>
      <c r="Z1534" s="43">
        <f>Z1533+Учет!U1534-U1534</f>
        <v>500000</v>
      </c>
      <c r="AA1534" s="45">
        <f>Учет!X1534</f>
        <v>500</v>
      </c>
    </row>
    <row r="1535" spans="1:27" ht="15" customHeight="1" x14ac:dyDescent="0.25">
      <c r="A1535" s="1"/>
      <c r="B1535" s="17"/>
      <c r="C1535" s="17"/>
      <c r="D1535" s="17"/>
      <c r="E1535" s="17"/>
      <c r="F1535" s="17"/>
      <c r="G1535" s="4">
        <f t="shared" si="66"/>
        <v>0</v>
      </c>
      <c r="H1535" s="17"/>
      <c r="I1535" s="4">
        <f t="shared" si="68"/>
        <v>349526.07999999996</v>
      </c>
      <c r="J1535" s="32" t="str">
        <f t="shared" si="67"/>
        <v/>
      </c>
      <c r="K1535" s="72"/>
      <c r="L1535" s="72"/>
      <c r="M1535" s="2"/>
      <c r="N1535" s="5"/>
      <c r="O1535" s="3"/>
      <c r="P1535" s="6"/>
      <c r="Q1535" s="48">
        <f>IF(Учет!$O1535=Справочники!$F$2,Учет!$H1535,0)</f>
        <v>0</v>
      </c>
      <c r="R1535" s="48">
        <f>IF(Учет!$O1535=Справочники!$F$3,Учет!$H1535,0)</f>
        <v>0</v>
      </c>
      <c r="S1535" s="48">
        <f>IF(Учет!$O1535=Справочники!$F$4,Учет!$H1535,0)</f>
        <v>0</v>
      </c>
      <c r="T1535" s="48">
        <f>IF(Учет!$O1535=Справочники!$F$5,Учет!$H1535,0)</f>
        <v>0</v>
      </c>
      <c r="U1535" s="48">
        <f>IF(Учет!$O1535=Справочники!$F$6,Учет!$H1535,0)</f>
        <v>0</v>
      </c>
      <c r="V1535" s="43">
        <f>V1534+Учет!Q1535-Q1535</f>
        <v>-488978.92000000004</v>
      </c>
      <c r="W1535" s="43">
        <f>W1534+Учет!R1535-R1535</f>
        <v>336855</v>
      </c>
      <c r="X1535" s="43">
        <f>X1534+Учет!S1535-S1535</f>
        <v>500</v>
      </c>
      <c r="Y1535" s="43">
        <f>Y1534+Учет!T1535-T1535</f>
        <v>1150</v>
      </c>
      <c r="Z1535" s="43">
        <f>Z1534+Учет!U1535-U1535</f>
        <v>500000</v>
      </c>
      <c r="AA1535" s="45">
        <f>Учет!X1535</f>
        <v>500</v>
      </c>
    </row>
    <row r="1536" spans="1:27" ht="15" customHeight="1" x14ac:dyDescent="0.25">
      <c r="A1536" s="1"/>
      <c r="B1536" s="17"/>
      <c r="C1536" s="17"/>
      <c r="D1536" s="17"/>
      <c r="E1536" s="17"/>
      <c r="F1536" s="17"/>
      <c r="G1536" s="4">
        <f t="shared" si="66"/>
        <v>0</v>
      </c>
      <c r="H1536" s="17"/>
      <c r="I1536" s="4">
        <f t="shared" si="68"/>
        <v>349526.07999999996</v>
      </c>
      <c r="J1536" s="32" t="str">
        <f t="shared" si="67"/>
        <v/>
      </c>
      <c r="K1536" s="72"/>
      <c r="L1536" s="72"/>
      <c r="M1536" s="2"/>
      <c r="N1536" s="5"/>
      <c r="O1536" s="3"/>
      <c r="P1536" s="6"/>
      <c r="Q1536" s="48">
        <f>IF(Учет!$O1536=Справочники!$F$2,Учет!$H1536,0)</f>
        <v>0</v>
      </c>
      <c r="R1536" s="48">
        <f>IF(Учет!$O1536=Справочники!$F$3,Учет!$H1536,0)</f>
        <v>0</v>
      </c>
      <c r="S1536" s="48">
        <f>IF(Учет!$O1536=Справочники!$F$4,Учет!$H1536,0)</f>
        <v>0</v>
      </c>
      <c r="T1536" s="48">
        <f>IF(Учет!$O1536=Справочники!$F$5,Учет!$H1536,0)</f>
        <v>0</v>
      </c>
      <c r="U1536" s="48">
        <f>IF(Учет!$O1536=Справочники!$F$6,Учет!$H1536,0)</f>
        <v>0</v>
      </c>
      <c r="V1536" s="43">
        <f>V1535+Учет!Q1536-Q1536</f>
        <v>-488978.92000000004</v>
      </c>
      <c r="W1536" s="43">
        <f>W1535+Учет!R1536-R1536</f>
        <v>336855</v>
      </c>
      <c r="X1536" s="43">
        <f>X1535+Учет!S1536-S1536</f>
        <v>500</v>
      </c>
      <c r="Y1536" s="43">
        <f>Y1535+Учет!T1536-T1536</f>
        <v>1150</v>
      </c>
      <c r="Z1536" s="43">
        <f>Z1535+Учет!U1536-U1536</f>
        <v>500000</v>
      </c>
      <c r="AA1536" s="45">
        <f>Учет!X1536</f>
        <v>500</v>
      </c>
    </row>
    <row r="1537" spans="1:27" ht="15" customHeight="1" x14ac:dyDescent="0.25">
      <c r="A1537" s="1"/>
      <c r="B1537" s="17"/>
      <c r="C1537" s="17"/>
      <c r="D1537" s="17"/>
      <c r="E1537" s="17"/>
      <c r="F1537" s="17"/>
      <c r="G1537" s="4">
        <f t="shared" si="66"/>
        <v>0</v>
      </c>
      <c r="H1537" s="17"/>
      <c r="I1537" s="4">
        <f t="shared" si="68"/>
        <v>349526.07999999996</v>
      </c>
      <c r="J1537" s="32" t="str">
        <f t="shared" si="67"/>
        <v/>
      </c>
      <c r="K1537" s="72"/>
      <c r="L1537" s="72"/>
      <c r="M1537" s="2"/>
      <c r="N1537" s="5"/>
      <c r="O1537" s="3"/>
      <c r="P1537" s="6"/>
      <c r="Q1537" s="48">
        <f>IF(Учет!$O1537=Справочники!$F$2,Учет!$H1537,0)</f>
        <v>0</v>
      </c>
      <c r="R1537" s="48">
        <f>IF(Учет!$O1537=Справочники!$F$3,Учет!$H1537,0)</f>
        <v>0</v>
      </c>
      <c r="S1537" s="48">
        <f>IF(Учет!$O1537=Справочники!$F$4,Учет!$H1537,0)</f>
        <v>0</v>
      </c>
      <c r="T1537" s="48">
        <f>IF(Учет!$O1537=Справочники!$F$5,Учет!$H1537,0)</f>
        <v>0</v>
      </c>
      <c r="U1537" s="48">
        <f>IF(Учет!$O1537=Справочники!$F$6,Учет!$H1537,0)</f>
        <v>0</v>
      </c>
      <c r="V1537" s="43">
        <f>V1536+Учет!Q1537-Q1537</f>
        <v>-488978.92000000004</v>
      </c>
      <c r="W1537" s="43">
        <f>W1536+Учет!R1537-R1537</f>
        <v>336855</v>
      </c>
      <c r="X1537" s="43">
        <f>X1536+Учет!S1537-S1537</f>
        <v>500</v>
      </c>
      <c r="Y1537" s="43">
        <f>Y1536+Учет!T1537-T1537</f>
        <v>1150</v>
      </c>
      <c r="Z1537" s="43">
        <f>Z1536+Учет!U1537-U1537</f>
        <v>500000</v>
      </c>
      <c r="AA1537" s="45">
        <f>Учет!X1537</f>
        <v>500</v>
      </c>
    </row>
    <row r="1538" spans="1:27" ht="15" customHeight="1" x14ac:dyDescent="0.25">
      <c r="A1538" s="1"/>
      <c r="B1538" s="17"/>
      <c r="C1538" s="17"/>
      <c r="D1538" s="17"/>
      <c r="E1538" s="17"/>
      <c r="F1538" s="17"/>
      <c r="G1538" s="4">
        <f t="shared" ref="G1538:G1601" si="69">SUM($B1538:$F1538)</f>
        <v>0</v>
      </c>
      <c r="H1538" s="17"/>
      <c r="I1538" s="4">
        <f t="shared" si="68"/>
        <v>349526.07999999996</v>
      </c>
      <c r="J1538" s="32" t="str">
        <f t="shared" ref="J1538:J1601" si="70">IF($A1539&lt;&gt;$A1538,$I1538,"")</f>
        <v/>
      </c>
      <c r="K1538" s="72"/>
      <c r="L1538" s="72"/>
      <c r="M1538" s="2"/>
      <c r="N1538" s="5"/>
      <c r="O1538" s="3"/>
      <c r="P1538" s="6"/>
      <c r="Q1538" s="48">
        <f>IF(Учет!$O1538=Справочники!$F$2,Учет!$H1538,0)</f>
        <v>0</v>
      </c>
      <c r="R1538" s="48">
        <f>IF(Учет!$O1538=Справочники!$F$3,Учет!$H1538,0)</f>
        <v>0</v>
      </c>
      <c r="S1538" s="48">
        <f>IF(Учет!$O1538=Справочники!$F$4,Учет!$H1538,0)</f>
        <v>0</v>
      </c>
      <c r="T1538" s="48">
        <f>IF(Учет!$O1538=Справочники!$F$5,Учет!$H1538,0)</f>
        <v>0</v>
      </c>
      <c r="U1538" s="48">
        <f>IF(Учет!$O1538=Справочники!$F$6,Учет!$H1538,0)</f>
        <v>0</v>
      </c>
      <c r="V1538" s="43">
        <f>V1537+Учет!Q1538-Q1538</f>
        <v>-488978.92000000004</v>
      </c>
      <c r="W1538" s="43">
        <f>W1537+Учет!R1538-R1538</f>
        <v>336855</v>
      </c>
      <c r="X1538" s="43">
        <f>X1537+Учет!S1538-S1538</f>
        <v>500</v>
      </c>
      <c r="Y1538" s="43">
        <f>Y1537+Учет!T1538-T1538</f>
        <v>1150</v>
      </c>
      <c r="Z1538" s="43">
        <f>Z1537+Учет!U1538-U1538</f>
        <v>500000</v>
      </c>
      <c r="AA1538" s="45">
        <f>Учет!X1538</f>
        <v>500</v>
      </c>
    </row>
    <row r="1539" spans="1:27" ht="15" customHeight="1" x14ac:dyDescent="0.25">
      <c r="A1539" s="1"/>
      <c r="B1539" s="17"/>
      <c r="C1539" s="17"/>
      <c r="D1539" s="17"/>
      <c r="E1539" s="17"/>
      <c r="F1539" s="17"/>
      <c r="G1539" s="4">
        <f t="shared" si="69"/>
        <v>0</v>
      </c>
      <c r="H1539" s="17"/>
      <c r="I1539" s="4">
        <f t="shared" ref="I1539:I1602" si="71">$I1538+$G1539-$H1539</f>
        <v>349526.07999999996</v>
      </c>
      <c r="J1539" s="32" t="str">
        <f t="shared" si="70"/>
        <v/>
      </c>
      <c r="K1539" s="72"/>
      <c r="L1539" s="72"/>
      <c r="M1539" s="2"/>
      <c r="N1539" s="5"/>
      <c r="O1539" s="3"/>
      <c r="P1539" s="6"/>
      <c r="Q1539" s="48">
        <f>IF(Учет!$O1539=Справочники!$F$2,Учет!$H1539,0)</f>
        <v>0</v>
      </c>
      <c r="R1539" s="48">
        <f>IF(Учет!$O1539=Справочники!$F$3,Учет!$H1539,0)</f>
        <v>0</v>
      </c>
      <c r="S1539" s="48">
        <f>IF(Учет!$O1539=Справочники!$F$4,Учет!$H1539,0)</f>
        <v>0</v>
      </c>
      <c r="T1539" s="48">
        <f>IF(Учет!$O1539=Справочники!$F$5,Учет!$H1539,0)</f>
        <v>0</v>
      </c>
      <c r="U1539" s="48">
        <f>IF(Учет!$O1539=Справочники!$F$6,Учет!$H1539,0)</f>
        <v>0</v>
      </c>
      <c r="V1539" s="43">
        <f>V1538+Учет!Q1539-Q1539</f>
        <v>-488978.92000000004</v>
      </c>
      <c r="W1539" s="43">
        <f>W1538+Учет!R1539-R1539</f>
        <v>336855</v>
      </c>
      <c r="X1539" s="43">
        <f>X1538+Учет!S1539-S1539</f>
        <v>500</v>
      </c>
      <c r="Y1539" s="43">
        <f>Y1538+Учет!T1539-T1539</f>
        <v>1150</v>
      </c>
      <c r="Z1539" s="43">
        <f>Z1538+Учет!U1539-U1539</f>
        <v>500000</v>
      </c>
      <c r="AA1539" s="45">
        <f>Учет!X1539</f>
        <v>500</v>
      </c>
    </row>
    <row r="1540" spans="1:27" ht="15" customHeight="1" x14ac:dyDescent="0.25">
      <c r="A1540" s="1"/>
      <c r="B1540" s="17"/>
      <c r="C1540" s="17"/>
      <c r="D1540" s="17"/>
      <c r="E1540" s="17"/>
      <c r="F1540" s="17"/>
      <c r="G1540" s="4">
        <f t="shared" si="69"/>
        <v>0</v>
      </c>
      <c r="H1540" s="17"/>
      <c r="I1540" s="4">
        <f t="shared" si="71"/>
        <v>349526.07999999996</v>
      </c>
      <c r="J1540" s="32" t="str">
        <f t="shared" si="70"/>
        <v/>
      </c>
      <c r="K1540" s="72"/>
      <c r="L1540" s="72"/>
      <c r="M1540" s="2"/>
      <c r="N1540" s="5"/>
      <c r="O1540" s="3"/>
      <c r="P1540" s="6"/>
      <c r="Q1540" s="48">
        <f>IF(Учет!$O1540=Справочники!$F$2,Учет!$H1540,0)</f>
        <v>0</v>
      </c>
      <c r="R1540" s="48">
        <f>IF(Учет!$O1540=Справочники!$F$3,Учет!$H1540,0)</f>
        <v>0</v>
      </c>
      <c r="S1540" s="48">
        <f>IF(Учет!$O1540=Справочники!$F$4,Учет!$H1540,0)</f>
        <v>0</v>
      </c>
      <c r="T1540" s="48">
        <f>IF(Учет!$O1540=Справочники!$F$5,Учет!$H1540,0)</f>
        <v>0</v>
      </c>
      <c r="U1540" s="48">
        <f>IF(Учет!$O1540=Справочники!$F$6,Учет!$H1540,0)</f>
        <v>0</v>
      </c>
      <c r="V1540" s="43">
        <f>V1539+Учет!Q1540-Q1540</f>
        <v>-488978.92000000004</v>
      </c>
      <c r="W1540" s="43">
        <f>W1539+Учет!R1540-R1540</f>
        <v>336855</v>
      </c>
      <c r="X1540" s="43">
        <f>X1539+Учет!S1540-S1540</f>
        <v>500</v>
      </c>
      <c r="Y1540" s="43">
        <f>Y1539+Учет!T1540-T1540</f>
        <v>1150</v>
      </c>
      <c r="Z1540" s="43">
        <f>Z1539+Учет!U1540-U1540</f>
        <v>500000</v>
      </c>
      <c r="AA1540" s="45">
        <f>Учет!X1540</f>
        <v>500</v>
      </c>
    </row>
    <row r="1541" spans="1:27" ht="15" customHeight="1" x14ac:dyDescent="0.25">
      <c r="A1541" s="1"/>
      <c r="B1541" s="17"/>
      <c r="C1541" s="17"/>
      <c r="D1541" s="17"/>
      <c r="E1541" s="17"/>
      <c r="F1541" s="17"/>
      <c r="G1541" s="4">
        <f t="shared" si="69"/>
        <v>0</v>
      </c>
      <c r="H1541" s="17"/>
      <c r="I1541" s="4">
        <f t="shared" si="71"/>
        <v>349526.07999999996</v>
      </c>
      <c r="J1541" s="32" t="str">
        <f t="shared" si="70"/>
        <v/>
      </c>
      <c r="K1541" s="72"/>
      <c r="L1541" s="72"/>
      <c r="M1541" s="2"/>
      <c r="N1541" s="5"/>
      <c r="O1541" s="3"/>
      <c r="P1541" s="6"/>
      <c r="Q1541" s="48">
        <f>IF(Учет!$O1541=Справочники!$F$2,Учет!$H1541,0)</f>
        <v>0</v>
      </c>
      <c r="R1541" s="48">
        <f>IF(Учет!$O1541=Справочники!$F$3,Учет!$H1541,0)</f>
        <v>0</v>
      </c>
      <c r="S1541" s="48">
        <f>IF(Учет!$O1541=Справочники!$F$4,Учет!$H1541,0)</f>
        <v>0</v>
      </c>
      <c r="T1541" s="48">
        <f>IF(Учет!$O1541=Справочники!$F$5,Учет!$H1541,0)</f>
        <v>0</v>
      </c>
      <c r="U1541" s="48">
        <f>IF(Учет!$O1541=Справочники!$F$6,Учет!$H1541,0)</f>
        <v>0</v>
      </c>
      <c r="V1541" s="43">
        <f>V1540+Учет!Q1541-Q1541</f>
        <v>-488978.92000000004</v>
      </c>
      <c r="W1541" s="43">
        <f>W1540+Учет!R1541-R1541</f>
        <v>336855</v>
      </c>
      <c r="X1541" s="43">
        <f>X1540+Учет!S1541-S1541</f>
        <v>500</v>
      </c>
      <c r="Y1541" s="43">
        <f>Y1540+Учет!T1541-T1541</f>
        <v>1150</v>
      </c>
      <c r="Z1541" s="43">
        <f>Z1540+Учет!U1541-U1541</f>
        <v>500000</v>
      </c>
      <c r="AA1541" s="45">
        <f>Учет!X1541</f>
        <v>500</v>
      </c>
    </row>
    <row r="1542" spans="1:27" ht="15" customHeight="1" x14ac:dyDescent="0.25">
      <c r="A1542" s="1"/>
      <c r="B1542" s="17"/>
      <c r="C1542" s="17"/>
      <c r="D1542" s="17"/>
      <c r="E1542" s="17"/>
      <c r="F1542" s="17"/>
      <c r="G1542" s="4">
        <f t="shared" si="69"/>
        <v>0</v>
      </c>
      <c r="H1542" s="17"/>
      <c r="I1542" s="4">
        <f t="shared" si="71"/>
        <v>349526.07999999996</v>
      </c>
      <c r="J1542" s="32" t="str">
        <f t="shared" si="70"/>
        <v/>
      </c>
      <c r="K1542" s="72"/>
      <c r="L1542" s="72"/>
      <c r="M1542" s="2"/>
      <c r="N1542" s="5"/>
      <c r="O1542" s="3"/>
      <c r="P1542" s="6"/>
      <c r="Q1542" s="48">
        <f>IF(Учет!$O1542=Справочники!$F$2,Учет!$H1542,0)</f>
        <v>0</v>
      </c>
      <c r="R1542" s="48">
        <f>IF(Учет!$O1542=Справочники!$F$3,Учет!$H1542,0)</f>
        <v>0</v>
      </c>
      <c r="S1542" s="48">
        <f>IF(Учет!$O1542=Справочники!$F$4,Учет!$H1542,0)</f>
        <v>0</v>
      </c>
      <c r="T1542" s="48">
        <f>IF(Учет!$O1542=Справочники!$F$5,Учет!$H1542,0)</f>
        <v>0</v>
      </c>
      <c r="U1542" s="48">
        <f>IF(Учет!$O1542=Справочники!$F$6,Учет!$H1542,0)</f>
        <v>0</v>
      </c>
      <c r="V1542" s="43">
        <f>V1541+Учет!Q1542-Q1542</f>
        <v>-488978.92000000004</v>
      </c>
      <c r="W1542" s="43">
        <f>W1541+Учет!R1542-R1542</f>
        <v>336855</v>
      </c>
      <c r="X1542" s="43">
        <f>X1541+Учет!S1542-S1542</f>
        <v>500</v>
      </c>
      <c r="Y1542" s="43">
        <f>Y1541+Учет!T1542-T1542</f>
        <v>1150</v>
      </c>
      <c r="Z1542" s="43">
        <f>Z1541+Учет!U1542-U1542</f>
        <v>500000</v>
      </c>
      <c r="AA1542" s="45">
        <f>Учет!X1542</f>
        <v>500</v>
      </c>
    </row>
    <row r="1543" spans="1:27" ht="15" customHeight="1" x14ac:dyDescent="0.25">
      <c r="A1543" s="1"/>
      <c r="B1543" s="17"/>
      <c r="C1543" s="17"/>
      <c r="D1543" s="17"/>
      <c r="E1543" s="17"/>
      <c r="F1543" s="17"/>
      <c r="G1543" s="4">
        <f t="shared" si="69"/>
        <v>0</v>
      </c>
      <c r="H1543" s="17"/>
      <c r="I1543" s="4">
        <f t="shared" si="71"/>
        <v>349526.07999999996</v>
      </c>
      <c r="J1543" s="32" t="str">
        <f t="shared" si="70"/>
        <v/>
      </c>
      <c r="K1543" s="72"/>
      <c r="L1543" s="72"/>
      <c r="M1543" s="2"/>
      <c r="N1543" s="5"/>
      <c r="O1543" s="3"/>
      <c r="P1543" s="6"/>
      <c r="Q1543" s="48">
        <f>IF(Учет!$O1543=Справочники!$F$2,Учет!$H1543,0)</f>
        <v>0</v>
      </c>
      <c r="R1543" s="48">
        <f>IF(Учет!$O1543=Справочники!$F$3,Учет!$H1543,0)</f>
        <v>0</v>
      </c>
      <c r="S1543" s="48">
        <f>IF(Учет!$O1543=Справочники!$F$4,Учет!$H1543,0)</f>
        <v>0</v>
      </c>
      <c r="T1543" s="48">
        <f>IF(Учет!$O1543=Справочники!$F$5,Учет!$H1543,0)</f>
        <v>0</v>
      </c>
      <c r="U1543" s="48">
        <f>IF(Учет!$O1543=Справочники!$F$6,Учет!$H1543,0)</f>
        <v>0</v>
      </c>
      <c r="V1543" s="43">
        <f>V1542+Учет!Q1543-Q1543</f>
        <v>-488978.92000000004</v>
      </c>
      <c r="W1543" s="43">
        <f>W1542+Учет!R1543-R1543</f>
        <v>336855</v>
      </c>
      <c r="X1543" s="43">
        <f>X1542+Учет!S1543-S1543</f>
        <v>500</v>
      </c>
      <c r="Y1543" s="43">
        <f>Y1542+Учет!T1543-T1543</f>
        <v>1150</v>
      </c>
      <c r="Z1543" s="43">
        <f>Z1542+Учет!U1543-U1543</f>
        <v>500000</v>
      </c>
      <c r="AA1543" s="45">
        <f>Учет!X1543</f>
        <v>500</v>
      </c>
    </row>
    <row r="1544" spans="1:27" ht="15" customHeight="1" x14ac:dyDescent="0.25">
      <c r="A1544" s="1"/>
      <c r="B1544" s="17"/>
      <c r="C1544" s="17"/>
      <c r="D1544" s="17"/>
      <c r="E1544" s="17"/>
      <c r="F1544" s="17"/>
      <c r="G1544" s="4">
        <f t="shared" si="69"/>
        <v>0</v>
      </c>
      <c r="H1544" s="17"/>
      <c r="I1544" s="4">
        <f t="shared" si="71"/>
        <v>349526.07999999996</v>
      </c>
      <c r="J1544" s="32" t="str">
        <f t="shared" si="70"/>
        <v/>
      </c>
      <c r="K1544" s="72"/>
      <c r="L1544" s="72"/>
      <c r="M1544" s="2"/>
      <c r="N1544" s="5"/>
      <c r="O1544" s="3"/>
      <c r="P1544" s="6"/>
      <c r="Q1544" s="48">
        <f>IF(Учет!$O1544=Справочники!$F$2,Учет!$H1544,0)</f>
        <v>0</v>
      </c>
      <c r="R1544" s="48">
        <f>IF(Учет!$O1544=Справочники!$F$3,Учет!$H1544,0)</f>
        <v>0</v>
      </c>
      <c r="S1544" s="48">
        <f>IF(Учет!$O1544=Справочники!$F$4,Учет!$H1544,0)</f>
        <v>0</v>
      </c>
      <c r="T1544" s="48">
        <f>IF(Учет!$O1544=Справочники!$F$5,Учет!$H1544,0)</f>
        <v>0</v>
      </c>
      <c r="U1544" s="48">
        <f>IF(Учет!$O1544=Справочники!$F$6,Учет!$H1544,0)</f>
        <v>0</v>
      </c>
      <c r="V1544" s="43">
        <f>V1543+Учет!Q1544-Q1544</f>
        <v>-488978.92000000004</v>
      </c>
      <c r="W1544" s="43">
        <f>W1543+Учет!R1544-R1544</f>
        <v>336855</v>
      </c>
      <c r="X1544" s="43">
        <f>X1543+Учет!S1544-S1544</f>
        <v>500</v>
      </c>
      <c r="Y1544" s="43">
        <f>Y1543+Учет!T1544-T1544</f>
        <v>1150</v>
      </c>
      <c r="Z1544" s="43">
        <f>Z1543+Учет!U1544-U1544</f>
        <v>500000</v>
      </c>
      <c r="AA1544" s="45">
        <f>Учет!X1544</f>
        <v>500</v>
      </c>
    </row>
    <row r="1545" spans="1:27" ht="15" customHeight="1" x14ac:dyDescent="0.25">
      <c r="A1545" s="1"/>
      <c r="B1545" s="17"/>
      <c r="C1545" s="17"/>
      <c r="D1545" s="17"/>
      <c r="E1545" s="17"/>
      <c r="F1545" s="17"/>
      <c r="G1545" s="4">
        <f t="shared" si="69"/>
        <v>0</v>
      </c>
      <c r="H1545" s="17"/>
      <c r="I1545" s="4">
        <f t="shared" si="71"/>
        <v>349526.07999999996</v>
      </c>
      <c r="J1545" s="32" t="str">
        <f t="shared" si="70"/>
        <v/>
      </c>
      <c r="K1545" s="72"/>
      <c r="L1545" s="72"/>
      <c r="M1545" s="2"/>
      <c r="N1545" s="5"/>
      <c r="O1545" s="3"/>
      <c r="P1545" s="6"/>
      <c r="Q1545" s="48">
        <f>IF(Учет!$O1545=Справочники!$F$2,Учет!$H1545,0)</f>
        <v>0</v>
      </c>
      <c r="R1545" s="48">
        <f>IF(Учет!$O1545=Справочники!$F$3,Учет!$H1545,0)</f>
        <v>0</v>
      </c>
      <c r="S1545" s="48">
        <f>IF(Учет!$O1545=Справочники!$F$4,Учет!$H1545,0)</f>
        <v>0</v>
      </c>
      <c r="T1545" s="48">
        <f>IF(Учет!$O1545=Справочники!$F$5,Учет!$H1545,0)</f>
        <v>0</v>
      </c>
      <c r="U1545" s="48">
        <f>IF(Учет!$O1545=Справочники!$F$6,Учет!$H1545,0)</f>
        <v>0</v>
      </c>
      <c r="V1545" s="43">
        <f>V1544+Учет!Q1545-Q1545</f>
        <v>-488978.92000000004</v>
      </c>
      <c r="W1545" s="43">
        <f>W1544+Учет!R1545-R1545</f>
        <v>336855</v>
      </c>
      <c r="X1545" s="43">
        <f>X1544+Учет!S1545-S1545</f>
        <v>500</v>
      </c>
      <c r="Y1545" s="43">
        <f>Y1544+Учет!T1545-T1545</f>
        <v>1150</v>
      </c>
      <c r="Z1545" s="43">
        <f>Z1544+Учет!U1545-U1545</f>
        <v>500000</v>
      </c>
      <c r="AA1545" s="45">
        <f>Учет!X1545</f>
        <v>500</v>
      </c>
    </row>
    <row r="1546" spans="1:27" ht="15" customHeight="1" x14ac:dyDescent="0.25">
      <c r="A1546" s="1"/>
      <c r="B1546" s="17"/>
      <c r="C1546" s="17"/>
      <c r="D1546" s="17"/>
      <c r="E1546" s="17"/>
      <c r="F1546" s="17"/>
      <c r="G1546" s="4">
        <f t="shared" si="69"/>
        <v>0</v>
      </c>
      <c r="H1546" s="17"/>
      <c r="I1546" s="4">
        <f t="shared" si="71"/>
        <v>349526.07999999996</v>
      </c>
      <c r="J1546" s="32" t="str">
        <f t="shared" si="70"/>
        <v/>
      </c>
      <c r="K1546" s="72"/>
      <c r="L1546" s="72"/>
      <c r="M1546" s="2"/>
      <c r="N1546" s="5"/>
      <c r="O1546" s="3"/>
      <c r="P1546" s="6"/>
      <c r="Q1546" s="48">
        <f>IF(Учет!$O1546=Справочники!$F$2,Учет!$H1546,0)</f>
        <v>0</v>
      </c>
      <c r="R1546" s="48">
        <f>IF(Учет!$O1546=Справочники!$F$3,Учет!$H1546,0)</f>
        <v>0</v>
      </c>
      <c r="S1546" s="48">
        <f>IF(Учет!$O1546=Справочники!$F$4,Учет!$H1546,0)</f>
        <v>0</v>
      </c>
      <c r="T1546" s="48">
        <f>IF(Учет!$O1546=Справочники!$F$5,Учет!$H1546,0)</f>
        <v>0</v>
      </c>
      <c r="U1546" s="48">
        <f>IF(Учет!$O1546=Справочники!$F$6,Учет!$H1546,0)</f>
        <v>0</v>
      </c>
      <c r="V1546" s="43">
        <f>V1545+Учет!Q1546-Q1546</f>
        <v>-488978.92000000004</v>
      </c>
      <c r="W1546" s="43">
        <f>W1545+Учет!R1546-R1546</f>
        <v>336855</v>
      </c>
      <c r="X1546" s="43">
        <f>X1545+Учет!S1546-S1546</f>
        <v>500</v>
      </c>
      <c r="Y1546" s="43">
        <f>Y1545+Учет!T1546-T1546</f>
        <v>1150</v>
      </c>
      <c r="Z1546" s="43">
        <f>Z1545+Учет!U1546-U1546</f>
        <v>500000</v>
      </c>
      <c r="AA1546" s="45">
        <f>Учет!X1546</f>
        <v>500</v>
      </c>
    </row>
    <row r="1547" spans="1:27" ht="15" customHeight="1" x14ac:dyDescent="0.25">
      <c r="A1547" s="1"/>
      <c r="B1547" s="17"/>
      <c r="C1547" s="17"/>
      <c r="D1547" s="17"/>
      <c r="E1547" s="17"/>
      <c r="F1547" s="17"/>
      <c r="G1547" s="4">
        <f t="shared" si="69"/>
        <v>0</v>
      </c>
      <c r="H1547" s="17"/>
      <c r="I1547" s="4">
        <f t="shared" si="71"/>
        <v>349526.07999999996</v>
      </c>
      <c r="J1547" s="32" t="str">
        <f t="shared" si="70"/>
        <v/>
      </c>
      <c r="K1547" s="72"/>
      <c r="L1547" s="72"/>
      <c r="M1547" s="2"/>
      <c r="N1547" s="5"/>
      <c r="O1547" s="3"/>
      <c r="P1547" s="6"/>
      <c r="Q1547" s="48">
        <f>IF(Учет!$O1547=Справочники!$F$2,Учет!$H1547,0)</f>
        <v>0</v>
      </c>
      <c r="R1547" s="48">
        <f>IF(Учет!$O1547=Справочники!$F$3,Учет!$H1547,0)</f>
        <v>0</v>
      </c>
      <c r="S1547" s="48">
        <f>IF(Учет!$O1547=Справочники!$F$4,Учет!$H1547,0)</f>
        <v>0</v>
      </c>
      <c r="T1547" s="48">
        <f>IF(Учет!$O1547=Справочники!$F$5,Учет!$H1547,0)</f>
        <v>0</v>
      </c>
      <c r="U1547" s="48">
        <f>IF(Учет!$O1547=Справочники!$F$6,Учет!$H1547,0)</f>
        <v>0</v>
      </c>
      <c r="V1547" s="43">
        <f>V1546+Учет!Q1547-Q1547</f>
        <v>-488978.92000000004</v>
      </c>
      <c r="W1547" s="43">
        <f>W1546+Учет!R1547-R1547</f>
        <v>336855</v>
      </c>
      <c r="X1547" s="43">
        <f>X1546+Учет!S1547-S1547</f>
        <v>500</v>
      </c>
      <c r="Y1547" s="43">
        <f>Y1546+Учет!T1547-T1547</f>
        <v>1150</v>
      </c>
      <c r="Z1547" s="43">
        <f>Z1546+Учет!U1547-U1547</f>
        <v>500000</v>
      </c>
      <c r="AA1547" s="45">
        <f>Учет!X1547</f>
        <v>500</v>
      </c>
    </row>
    <row r="1548" spans="1:27" ht="15" customHeight="1" x14ac:dyDescent="0.25">
      <c r="A1548" s="1"/>
      <c r="B1548" s="17"/>
      <c r="C1548" s="17"/>
      <c r="D1548" s="17"/>
      <c r="E1548" s="17"/>
      <c r="F1548" s="17"/>
      <c r="G1548" s="4">
        <f t="shared" si="69"/>
        <v>0</v>
      </c>
      <c r="H1548" s="17"/>
      <c r="I1548" s="4">
        <f t="shared" si="71"/>
        <v>349526.07999999996</v>
      </c>
      <c r="J1548" s="32" t="str">
        <f t="shared" si="70"/>
        <v/>
      </c>
      <c r="K1548" s="72"/>
      <c r="L1548" s="72"/>
      <c r="M1548" s="2"/>
      <c r="N1548" s="5"/>
      <c r="O1548" s="3"/>
      <c r="P1548" s="6"/>
      <c r="Q1548" s="48">
        <f>IF(Учет!$O1548=Справочники!$F$2,Учет!$H1548,0)</f>
        <v>0</v>
      </c>
      <c r="R1548" s="48">
        <f>IF(Учет!$O1548=Справочники!$F$3,Учет!$H1548,0)</f>
        <v>0</v>
      </c>
      <c r="S1548" s="48">
        <f>IF(Учет!$O1548=Справочники!$F$4,Учет!$H1548,0)</f>
        <v>0</v>
      </c>
      <c r="T1548" s="48">
        <f>IF(Учет!$O1548=Справочники!$F$5,Учет!$H1548,0)</f>
        <v>0</v>
      </c>
      <c r="U1548" s="48">
        <f>IF(Учет!$O1548=Справочники!$F$6,Учет!$H1548,0)</f>
        <v>0</v>
      </c>
      <c r="V1548" s="43">
        <f>V1547+Учет!Q1548-Q1548</f>
        <v>-488978.92000000004</v>
      </c>
      <c r="W1548" s="43">
        <f>W1547+Учет!R1548-R1548</f>
        <v>336855</v>
      </c>
      <c r="X1548" s="43">
        <f>X1547+Учет!S1548-S1548</f>
        <v>500</v>
      </c>
      <c r="Y1548" s="43">
        <f>Y1547+Учет!T1548-T1548</f>
        <v>1150</v>
      </c>
      <c r="Z1548" s="43">
        <f>Z1547+Учет!U1548-U1548</f>
        <v>500000</v>
      </c>
      <c r="AA1548" s="45">
        <f>Учет!X1548</f>
        <v>500</v>
      </c>
    </row>
    <row r="1549" spans="1:27" ht="15" customHeight="1" x14ac:dyDescent="0.25">
      <c r="A1549" s="1"/>
      <c r="B1549" s="17"/>
      <c r="C1549" s="17"/>
      <c r="D1549" s="17"/>
      <c r="E1549" s="17"/>
      <c r="F1549" s="17"/>
      <c r="G1549" s="4">
        <f t="shared" si="69"/>
        <v>0</v>
      </c>
      <c r="H1549" s="17"/>
      <c r="I1549" s="4">
        <f t="shared" si="71"/>
        <v>349526.07999999996</v>
      </c>
      <c r="J1549" s="32" t="str">
        <f t="shared" si="70"/>
        <v/>
      </c>
      <c r="K1549" s="72"/>
      <c r="L1549" s="72"/>
      <c r="M1549" s="2"/>
      <c r="N1549" s="5"/>
      <c r="O1549" s="3"/>
      <c r="P1549" s="6"/>
      <c r="Q1549" s="48">
        <f>IF(Учет!$O1549=Справочники!$F$2,Учет!$H1549,0)</f>
        <v>0</v>
      </c>
      <c r="R1549" s="48">
        <f>IF(Учет!$O1549=Справочники!$F$3,Учет!$H1549,0)</f>
        <v>0</v>
      </c>
      <c r="S1549" s="48">
        <f>IF(Учет!$O1549=Справочники!$F$4,Учет!$H1549,0)</f>
        <v>0</v>
      </c>
      <c r="T1549" s="48">
        <f>IF(Учет!$O1549=Справочники!$F$5,Учет!$H1549,0)</f>
        <v>0</v>
      </c>
      <c r="U1549" s="48">
        <f>IF(Учет!$O1549=Справочники!$F$6,Учет!$H1549,0)</f>
        <v>0</v>
      </c>
      <c r="V1549" s="43">
        <f>V1548+Учет!Q1549-Q1549</f>
        <v>-488978.92000000004</v>
      </c>
      <c r="W1549" s="43">
        <f>W1548+Учет!R1549-R1549</f>
        <v>336855</v>
      </c>
      <c r="X1549" s="43">
        <f>X1548+Учет!S1549-S1549</f>
        <v>500</v>
      </c>
      <c r="Y1549" s="43">
        <f>Y1548+Учет!T1549-T1549</f>
        <v>1150</v>
      </c>
      <c r="Z1549" s="43">
        <f>Z1548+Учет!U1549-U1549</f>
        <v>500000</v>
      </c>
      <c r="AA1549" s="45">
        <f>Учет!X1549</f>
        <v>500</v>
      </c>
    </row>
    <row r="1550" spans="1:27" ht="15" customHeight="1" x14ac:dyDescent="0.25">
      <c r="A1550" s="1"/>
      <c r="B1550" s="17"/>
      <c r="C1550" s="17"/>
      <c r="D1550" s="17"/>
      <c r="E1550" s="17"/>
      <c r="F1550" s="17"/>
      <c r="G1550" s="4">
        <f t="shared" si="69"/>
        <v>0</v>
      </c>
      <c r="H1550" s="17"/>
      <c r="I1550" s="4">
        <f t="shared" si="71"/>
        <v>349526.07999999996</v>
      </c>
      <c r="J1550" s="32" t="str">
        <f t="shared" si="70"/>
        <v/>
      </c>
      <c r="K1550" s="72"/>
      <c r="L1550" s="72"/>
      <c r="M1550" s="2"/>
      <c r="N1550" s="5"/>
      <c r="O1550" s="3"/>
      <c r="P1550" s="6"/>
      <c r="Q1550" s="48">
        <f>IF(Учет!$O1550=Справочники!$F$2,Учет!$H1550,0)</f>
        <v>0</v>
      </c>
      <c r="R1550" s="48">
        <f>IF(Учет!$O1550=Справочники!$F$3,Учет!$H1550,0)</f>
        <v>0</v>
      </c>
      <c r="S1550" s="48">
        <f>IF(Учет!$O1550=Справочники!$F$4,Учет!$H1550,0)</f>
        <v>0</v>
      </c>
      <c r="T1550" s="48">
        <f>IF(Учет!$O1550=Справочники!$F$5,Учет!$H1550,0)</f>
        <v>0</v>
      </c>
      <c r="U1550" s="48">
        <f>IF(Учет!$O1550=Справочники!$F$6,Учет!$H1550,0)</f>
        <v>0</v>
      </c>
      <c r="V1550" s="43">
        <f>V1549+Учет!Q1550-Q1550</f>
        <v>-488978.92000000004</v>
      </c>
      <c r="W1550" s="43">
        <f>W1549+Учет!R1550-R1550</f>
        <v>336855</v>
      </c>
      <c r="X1550" s="43">
        <f>X1549+Учет!S1550-S1550</f>
        <v>500</v>
      </c>
      <c r="Y1550" s="43">
        <f>Y1549+Учет!T1550-T1550</f>
        <v>1150</v>
      </c>
      <c r="Z1550" s="43">
        <f>Z1549+Учет!U1550-U1550</f>
        <v>500000</v>
      </c>
      <c r="AA1550" s="45">
        <f>Учет!X1550</f>
        <v>500</v>
      </c>
    </row>
    <row r="1551" spans="1:27" ht="15" customHeight="1" x14ac:dyDescent="0.25">
      <c r="A1551" s="1"/>
      <c r="B1551" s="17"/>
      <c r="C1551" s="17"/>
      <c r="D1551" s="17"/>
      <c r="E1551" s="17"/>
      <c r="F1551" s="17"/>
      <c r="G1551" s="4">
        <f t="shared" si="69"/>
        <v>0</v>
      </c>
      <c r="H1551" s="17"/>
      <c r="I1551" s="4">
        <f t="shared" si="71"/>
        <v>349526.07999999996</v>
      </c>
      <c r="J1551" s="32" t="str">
        <f t="shared" si="70"/>
        <v/>
      </c>
      <c r="K1551" s="72"/>
      <c r="L1551" s="72"/>
      <c r="M1551" s="2"/>
      <c r="N1551" s="5"/>
      <c r="O1551" s="3"/>
      <c r="P1551" s="6"/>
      <c r="Q1551" s="48">
        <f>IF(Учет!$O1551=Справочники!$F$2,Учет!$H1551,0)</f>
        <v>0</v>
      </c>
      <c r="R1551" s="48">
        <f>IF(Учет!$O1551=Справочники!$F$3,Учет!$H1551,0)</f>
        <v>0</v>
      </c>
      <c r="S1551" s="48">
        <f>IF(Учет!$O1551=Справочники!$F$4,Учет!$H1551,0)</f>
        <v>0</v>
      </c>
      <c r="T1551" s="48">
        <f>IF(Учет!$O1551=Справочники!$F$5,Учет!$H1551,0)</f>
        <v>0</v>
      </c>
      <c r="U1551" s="48">
        <f>IF(Учет!$O1551=Справочники!$F$6,Учет!$H1551,0)</f>
        <v>0</v>
      </c>
      <c r="V1551" s="43">
        <f>V1550+Учет!Q1551-Q1551</f>
        <v>-488978.92000000004</v>
      </c>
      <c r="W1551" s="43">
        <f>W1550+Учет!R1551-R1551</f>
        <v>336855</v>
      </c>
      <c r="X1551" s="43">
        <f>X1550+Учет!S1551-S1551</f>
        <v>500</v>
      </c>
      <c r="Y1551" s="43">
        <f>Y1550+Учет!T1551-T1551</f>
        <v>1150</v>
      </c>
      <c r="Z1551" s="43">
        <f>Z1550+Учет!U1551-U1551</f>
        <v>500000</v>
      </c>
      <c r="AA1551" s="45">
        <f>Учет!X1551</f>
        <v>500</v>
      </c>
    </row>
    <row r="1552" spans="1:27" ht="15" customHeight="1" x14ac:dyDescent="0.25">
      <c r="A1552" s="1"/>
      <c r="B1552" s="17"/>
      <c r="C1552" s="17"/>
      <c r="D1552" s="17"/>
      <c r="E1552" s="17"/>
      <c r="F1552" s="17"/>
      <c r="G1552" s="4">
        <f t="shared" si="69"/>
        <v>0</v>
      </c>
      <c r="H1552" s="17"/>
      <c r="I1552" s="4">
        <f t="shared" si="71"/>
        <v>349526.07999999996</v>
      </c>
      <c r="J1552" s="32" t="str">
        <f t="shared" si="70"/>
        <v/>
      </c>
      <c r="K1552" s="72"/>
      <c r="L1552" s="72"/>
      <c r="M1552" s="2"/>
      <c r="N1552" s="5"/>
      <c r="O1552" s="3"/>
      <c r="P1552" s="6"/>
      <c r="Q1552" s="48">
        <f>IF(Учет!$O1552=Справочники!$F$2,Учет!$H1552,0)</f>
        <v>0</v>
      </c>
      <c r="R1552" s="48">
        <f>IF(Учет!$O1552=Справочники!$F$3,Учет!$H1552,0)</f>
        <v>0</v>
      </c>
      <c r="S1552" s="48">
        <f>IF(Учет!$O1552=Справочники!$F$4,Учет!$H1552,0)</f>
        <v>0</v>
      </c>
      <c r="T1552" s="48">
        <f>IF(Учет!$O1552=Справочники!$F$5,Учет!$H1552,0)</f>
        <v>0</v>
      </c>
      <c r="U1552" s="48">
        <f>IF(Учет!$O1552=Справочники!$F$6,Учет!$H1552,0)</f>
        <v>0</v>
      </c>
      <c r="V1552" s="43">
        <f>V1551+Учет!Q1552-Q1552</f>
        <v>-488978.92000000004</v>
      </c>
      <c r="W1552" s="43">
        <f>W1551+Учет!R1552-R1552</f>
        <v>336855</v>
      </c>
      <c r="X1552" s="43">
        <f>X1551+Учет!S1552-S1552</f>
        <v>500</v>
      </c>
      <c r="Y1552" s="43">
        <f>Y1551+Учет!T1552-T1552</f>
        <v>1150</v>
      </c>
      <c r="Z1552" s="43">
        <f>Z1551+Учет!U1552-U1552</f>
        <v>500000</v>
      </c>
      <c r="AA1552" s="45">
        <f>Учет!X1552</f>
        <v>500</v>
      </c>
    </row>
    <row r="1553" spans="1:27" ht="15" customHeight="1" x14ac:dyDescent="0.25">
      <c r="A1553" s="1"/>
      <c r="B1553" s="17"/>
      <c r="C1553" s="17"/>
      <c r="D1553" s="17"/>
      <c r="E1553" s="17"/>
      <c r="F1553" s="17"/>
      <c r="G1553" s="4">
        <f t="shared" si="69"/>
        <v>0</v>
      </c>
      <c r="H1553" s="17"/>
      <c r="I1553" s="4">
        <f t="shared" si="71"/>
        <v>349526.07999999996</v>
      </c>
      <c r="J1553" s="32" t="str">
        <f t="shared" si="70"/>
        <v/>
      </c>
      <c r="K1553" s="72"/>
      <c r="L1553" s="72"/>
      <c r="M1553" s="2"/>
      <c r="N1553" s="5"/>
      <c r="O1553" s="3"/>
      <c r="P1553" s="6"/>
      <c r="Q1553" s="48">
        <f>IF(Учет!$O1553=Справочники!$F$2,Учет!$H1553,0)</f>
        <v>0</v>
      </c>
      <c r="R1553" s="48">
        <f>IF(Учет!$O1553=Справочники!$F$3,Учет!$H1553,0)</f>
        <v>0</v>
      </c>
      <c r="S1553" s="48">
        <f>IF(Учет!$O1553=Справочники!$F$4,Учет!$H1553,0)</f>
        <v>0</v>
      </c>
      <c r="T1553" s="48">
        <f>IF(Учет!$O1553=Справочники!$F$5,Учет!$H1553,0)</f>
        <v>0</v>
      </c>
      <c r="U1553" s="48">
        <f>IF(Учет!$O1553=Справочники!$F$6,Учет!$H1553,0)</f>
        <v>0</v>
      </c>
      <c r="V1553" s="43">
        <f>V1552+Учет!Q1553-Q1553</f>
        <v>-488978.92000000004</v>
      </c>
      <c r="W1553" s="43">
        <f>W1552+Учет!R1553-R1553</f>
        <v>336855</v>
      </c>
      <c r="X1553" s="43">
        <f>X1552+Учет!S1553-S1553</f>
        <v>500</v>
      </c>
      <c r="Y1553" s="43">
        <f>Y1552+Учет!T1553-T1553</f>
        <v>1150</v>
      </c>
      <c r="Z1553" s="43">
        <f>Z1552+Учет!U1553-U1553</f>
        <v>500000</v>
      </c>
      <c r="AA1553" s="45">
        <f>Учет!X1553</f>
        <v>500</v>
      </c>
    </row>
    <row r="1554" spans="1:27" ht="15" customHeight="1" x14ac:dyDescent="0.25">
      <c r="A1554" s="1"/>
      <c r="B1554" s="17"/>
      <c r="C1554" s="17"/>
      <c r="D1554" s="17"/>
      <c r="E1554" s="17"/>
      <c r="F1554" s="17"/>
      <c r="G1554" s="4">
        <f t="shared" si="69"/>
        <v>0</v>
      </c>
      <c r="H1554" s="17"/>
      <c r="I1554" s="4">
        <f t="shared" si="71"/>
        <v>349526.07999999996</v>
      </c>
      <c r="J1554" s="32" t="str">
        <f t="shared" si="70"/>
        <v/>
      </c>
      <c r="K1554" s="72"/>
      <c r="L1554" s="72"/>
      <c r="M1554" s="2"/>
      <c r="N1554" s="5"/>
      <c r="O1554" s="3"/>
      <c r="P1554" s="6"/>
      <c r="Q1554" s="48">
        <f>IF(Учет!$O1554=Справочники!$F$2,Учет!$H1554,0)</f>
        <v>0</v>
      </c>
      <c r="R1554" s="48">
        <f>IF(Учет!$O1554=Справочники!$F$3,Учет!$H1554,0)</f>
        <v>0</v>
      </c>
      <c r="S1554" s="48">
        <f>IF(Учет!$O1554=Справочники!$F$4,Учет!$H1554,0)</f>
        <v>0</v>
      </c>
      <c r="T1554" s="48">
        <f>IF(Учет!$O1554=Справочники!$F$5,Учет!$H1554,0)</f>
        <v>0</v>
      </c>
      <c r="U1554" s="48">
        <f>IF(Учет!$O1554=Справочники!$F$6,Учет!$H1554,0)</f>
        <v>0</v>
      </c>
      <c r="V1554" s="43">
        <f>V1553+Учет!Q1554-Q1554</f>
        <v>-488978.92000000004</v>
      </c>
      <c r="W1554" s="43">
        <f>W1553+Учет!R1554-R1554</f>
        <v>336855</v>
      </c>
      <c r="X1554" s="43">
        <f>X1553+Учет!S1554-S1554</f>
        <v>500</v>
      </c>
      <c r="Y1554" s="43">
        <f>Y1553+Учет!T1554-T1554</f>
        <v>1150</v>
      </c>
      <c r="Z1554" s="43">
        <f>Z1553+Учет!U1554-U1554</f>
        <v>500000</v>
      </c>
      <c r="AA1554" s="45">
        <f>Учет!X1554</f>
        <v>500</v>
      </c>
    </row>
    <row r="1555" spans="1:27" ht="15" customHeight="1" x14ac:dyDescent="0.25">
      <c r="A1555" s="1"/>
      <c r="B1555" s="17"/>
      <c r="C1555" s="17"/>
      <c r="D1555" s="17"/>
      <c r="E1555" s="17"/>
      <c r="F1555" s="17"/>
      <c r="G1555" s="4">
        <f t="shared" si="69"/>
        <v>0</v>
      </c>
      <c r="H1555" s="17"/>
      <c r="I1555" s="4">
        <f t="shared" si="71"/>
        <v>349526.07999999996</v>
      </c>
      <c r="J1555" s="32" t="str">
        <f t="shared" si="70"/>
        <v/>
      </c>
      <c r="K1555" s="72"/>
      <c r="L1555" s="72"/>
      <c r="M1555" s="2"/>
      <c r="N1555" s="5"/>
      <c r="O1555" s="3"/>
      <c r="P1555" s="6"/>
      <c r="Q1555" s="48">
        <f>IF(Учет!$O1555=Справочники!$F$2,Учет!$H1555,0)</f>
        <v>0</v>
      </c>
      <c r="R1555" s="48">
        <f>IF(Учет!$O1555=Справочники!$F$3,Учет!$H1555,0)</f>
        <v>0</v>
      </c>
      <c r="S1555" s="48">
        <f>IF(Учет!$O1555=Справочники!$F$4,Учет!$H1555,0)</f>
        <v>0</v>
      </c>
      <c r="T1555" s="48">
        <f>IF(Учет!$O1555=Справочники!$F$5,Учет!$H1555,0)</f>
        <v>0</v>
      </c>
      <c r="U1555" s="48">
        <f>IF(Учет!$O1555=Справочники!$F$6,Учет!$H1555,0)</f>
        <v>0</v>
      </c>
      <c r="V1555" s="43">
        <f>V1554+Учет!Q1555-Q1555</f>
        <v>-488978.92000000004</v>
      </c>
      <c r="W1555" s="43">
        <f>W1554+Учет!R1555-R1555</f>
        <v>336855</v>
      </c>
      <c r="X1555" s="43">
        <f>X1554+Учет!S1555-S1555</f>
        <v>500</v>
      </c>
      <c r="Y1555" s="43">
        <f>Y1554+Учет!T1555-T1555</f>
        <v>1150</v>
      </c>
      <c r="Z1555" s="43">
        <f>Z1554+Учет!U1555-U1555</f>
        <v>500000</v>
      </c>
      <c r="AA1555" s="45">
        <f>Учет!X1555</f>
        <v>500</v>
      </c>
    </row>
    <row r="1556" spans="1:27" ht="15" customHeight="1" x14ac:dyDescent="0.25">
      <c r="A1556" s="1"/>
      <c r="B1556" s="17"/>
      <c r="C1556" s="17"/>
      <c r="D1556" s="17"/>
      <c r="E1556" s="17"/>
      <c r="F1556" s="17"/>
      <c r="G1556" s="4">
        <f t="shared" si="69"/>
        <v>0</v>
      </c>
      <c r="H1556" s="17"/>
      <c r="I1556" s="4">
        <f t="shared" si="71"/>
        <v>349526.07999999996</v>
      </c>
      <c r="J1556" s="32" t="str">
        <f t="shared" si="70"/>
        <v/>
      </c>
      <c r="K1556" s="72"/>
      <c r="L1556" s="72"/>
      <c r="M1556" s="2"/>
      <c r="N1556" s="5"/>
      <c r="O1556" s="3"/>
      <c r="P1556" s="6"/>
      <c r="Q1556" s="48">
        <f>IF(Учет!$O1556=Справочники!$F$2,Учет!$H1556,0)</f>
        <v>0</v>
      </c>
      <c r="R1556" s="48">
        <f>IF(Учет!$O1556=Справочники!$F$3,Учет!$H1556,0)</f>
        <v>0</v>
      </c>
      <c r="S1556" s="48">
        <f>IF(Учет!$O1556=Справочники!$F$4,Учет!$H1556,0)</f>
        <v>0</v>
      </c>
      <c r="T1556" s="48">
        <f>IF(Учет!$O1556=Справочники!$F$5,Учет!$H1556,0)</f>
        <v>0</v>
      </c>
      <c r="U1556" s="48">
        <f>IF(Учет!$O1556=Справочники!$F$6,Учет!$H1556,0)</f>
        <v>0</v>
      </c>
      <c r="V1556" s="43">
        <f>V1555+Учет!Q1556-Q1556</f>
        <v>-488978.92000000004</v>
      </c>
      <c r="W1556" s="43">
        <f>W1555+Учет!R1556-R1556</f>
        <v>336855</v>
      </c>
      <c r="X1556" s="43">
        <f>X1555+Учет!S1556-S1556</f>
        <v>500</v>
      </c>
      <c r="Y1556" s="43">
        <f>Y1555+Учет!T1556-T1556</f>
        <v>1150</v>
      </c>
      <c r="Z1556" s="43">
        <f>Z1555+Учет!U1556-U1556</f>
        <v>500000</v>
      </c>
      <c r="AA1556" s="45">
        <f>Учет!X1556</f>
        <v>500</v>
      </c>
    </row>
    <row r="1557" spans="1:27" ht="15" customHeight="1" x14ac:dyDescent="0.25">
      <c r="A1557" s="1"/>
      <c r="B1557" s="17"/>
      <c r="C1557" s="17"/>
      <c r="D1557" s="17"/>
      <c r="E1557" s="17"/>
      <c r="F1557" s="17"/>
      <c r="G1557" s="4">
        <f t="shared" si="69"/>
        <v>0</v>
      </c>
      <c r="H1557" s="17"/>
      <c r="I1557" s="4">
        <f t="shared" si="71"/>
        <v>349526.07999999996</v>
      </c>
      <c r="J1557" s="32" t="str">
        <f t="shared" si="70"/>
        <v/>
      </c>
      <c r="K1557" s="72"/>
      <c r="L1557" s="72"/>
      <c r="M1557" s="2"/>
      <c r="N1557" s="5"/>
      <c r="O1557" s="3"/>
      <c r="P1557" s="6"/>
      <c r="Q1557" s="48">
        <f>IF(Учет!$O1557=Справочники!$F$2,Учет!$H1557,0)</f>
        <v>0</v>
      </c>
      <c r="R1557" s="48">
        <f>IF(Учет!$O1557=Справочники!$F$3,Учет!$H1557,0)</f>
        <v>0</v>
      </c>
      <c r="S1557" s="48">
        <f>IF(Учет!$O1557=Справочники!$F$4,Учет!$H1557,0)</f>
        <v>0</v>
      </c>
      <c r="T1557" s="48">
        <f>IF(Учет!$O1557=Справочники!$F$5,Учет!$H1557,0)</f>
        <v>0</v>
      </c>
      <c r="U1557" s="48">
        <f>IF(Учет!$O1557=Справочники!$F$6,Учет!$H1557,0)</f>
        <v>0</v>
      </c>
      <c r="V1557" s="43">
        <f>V1556+Учет!Q1557-Q1557</f>
        <v>-488978.92000000004</v>
      </c>
      <c r="W1557" s="43">
        <f>W1556+Учет!R1557-R1557</f>
        <v>336855</v>
      </c>
      <c r="X1557" s="43">
        <f>X1556+Учет!S1557-S1557</f>
        <v>500</v>
      </c>
      <c r="Y1557" s="43">
        <f>Y1556+Учет!T1557-T1557</f>
        <v>1150</v>
      </c>
      <c r="Z1557" s="43">
        <f>Z1556+Учет!U1557-U1557</f>
        <v>500000</v>
      </c>
      <c r="AA1557" s="45">
        <f>Учет!X1557</f>
        <v>500</v>
      </c>
    </row>
    <row r="1558" spans="1:27" ht="15" customHeight="1" x14ac:dyDescent="0.25">
      <c r="A1558" s="1"/>
      <c r="B1558" s="17"/>
      <c r="C1558" s="17"/>
      <c r="D1558" s="17"/>
      <c r="E1558" s="17"/>
      <c r="F1558" s="17"/>
      <c r="G1558" s="4">
        <f t="shared" si="69"/>
        <v>0</v>
      </c>
      <c r="H1558" s="17"/>
      <c r="I1558" s="4">
        <f t="shared" si="71"/>
        <v>349526.07999999996</v>
      </c>
      <c r="J1558" s="32" t="str">
        <f t="shared" si="70"/>
        <v/>
      </c>
      <c r="K1558" s="72"/>
      <c r="L1558" s="72"/>
      <c r="M1558" s="2"/>
      <c r="N1558" s="5"/>
      <c r="O1558" s="3"/>
      <c r="P1558" s="6"/>
      <c r="Q1558" s="48">
        <f>IF(Учет!$O1558=Справочники!$F$2,Учет!$H1558,0)</f>
        <v>0</v>
      </c>
      <c r="R1558" s="48">
        <f>IF(Учет!$O1558=Справочники!$F$3,Учет!$H1558,0)</f>
        <v>0</v>
      </c>
      <c r="S1558" s="48">
        <f>IF(Учет!$O1558=Справочники!$F$4,Учет!$H1558,0)</f>
        <v>0</v>
      </c>
      <c r="T1558" s="48">
        <f>IF(Учет!$O1558=Справочники!$F$5,Учет!$H1558,0)</f>
        <v>0</v>
      </c>
      <c r="U1558" s="48">
        <f>IF(Учет!$O1558=Справочники!$F$6,Учет!$H1558,0)</f>
        <v>0</v>
      </c>
      <c r="V1558" s="43">
        <f>V1557+Учет!Q1558-Q1558</f>
        <v>-488978.92000000004</v>
      </c>
      <c r="W1558" s="43">
        <f>W1557+Учет!R1558-R1558</f>
        <v>336855</v>
      </c>
      <c r="X1558" s="43">
        <f>X1557+Учет!S1558-S1558</f>
        <v>500</v>
      </c>
      <c r="Y1558" s="43">
        <f>Y1557+Учет!T1558-T1558</f>
        <v>1150</v>
      </c>
      <c r="Z1558" s="43">
        <f>Z1557+Учет!U1558-U1558</f>
        <v>500000</v>
      </c>
      <c r="AA1558" s="45">
        <f>Учет!X1558</f>
        <v>500</v>
      </c>
    </row>
    <row r="1559" spans="1:27" ht="15" customHeight="1" x14ac:dyDescent="0.25">
      <c r="A1559" s="1"/>
      <c r="B1559" s="17"/>
      <c r="C1559" s="17"/>
      <c r="D1559" s="17"/>
      <c r="E1559" s="17"/>
      <c r="F1559" s="17"/>
      <c r="G1559" s="4">
        <f t="shared" si="69"/>
        <v>0</v>
      </c>
      <c r="H1559" s="17"/>
      <c r="I1559" s="4">
        <f t="shared" si="71"/>
        <v>349526.07999999996</v>
      </c>
      <c r="J1559" s="32" t="str">
        <f t="shared" si="70"/>
        <v/>
      </c>
      <c r="K1559" s="72"/>
      <c r="L1559" s="72"/>
      <c r="M1559" s="2"/>
      <c r="N1559" s="5"/>
      <c r="O1559" s="3"/>
      <c r="P1559" s="6"/>
      <c r="Q1559" s="48">
        <f>IF(Учет!$O1559=Справочники!$F$2,Учет!$H1559,0)</f>
        <v>0</v>
      </c>
      <c r="R1559" s="48">
        <f>IF(Учет!$O1559=Справочники!$F$3,Учет!$H1559,0)</f>
        <v>0</v>
      </c>
      <c r="S1559" s="48">
        <f>IF(Учет!$O1559=Справочники!$F$4,Учет!$H1559,0)</f>
        <v>0</v>
      </c>
      <c r="T1559" s="48">
        <f>IF(Учет!$O1559=Справочники!$F$5,Учет!$H1559,0)</f>
        <v>0</v>
      </c>
      <c r="U1559" s="48">
        <f>IF(Учет!$O1559=Справочники!$F$6,Учет!$H1559,0)</f>
        <v>0</v>
      </c>
      <c r="V1559" s="43">
        <f>V1558+Учет!Q1559-Q1559</f>
        <v>-488978.92000000004</v>
      </c>
      <c r="W1559" s="43">
        <f>W1558+Учет!R1559-R1559</f>
        <v>336855</v>
      </c>
      <c r="X1559" s="43">
        <f>X1558+Учет!S1559-S1559</f>
        <v>500</v>
      </c>
      <c r="Y1559" s="43">
        <f>Y1558+Учет!T1559-T1559</f>
        <v>1150</v>
      </c>
      <c r="Z1559" s="43">
        <f>Z1558+Учет!U1559-U1559</f>
        <v>500000</v>
      </c>
      <c r="AA1559" s="45">
        <f>Учет!X1559</f>
        <v>500</v>
      </c>
    </row>
    <row r="1560" spans="1:27" ht="15" customHeight="1" x14ac:dyDescent="0.25">
      <c r="A1560" s="1"/>
      <c r="B1560" s="17"/>
      <c r="C1560" s="17"/>
      <c r="D1560" s="17"/>
      <c r="E1560" s="17"/>
      <c r="F1560" s="17"/>
      <c r="G1560" s="4">
        <f t="shared" si="69"/>
        <v>0</v>
      </c>
      <c r="H1560" s="17"/>
      <c r="I1560" s="4">
        <f t="shared" si="71"/>
        <v>349526.07999999996</v>
      </c>
      <c r="J1560" s="32" t="str">
        <f t="shared" si="70"/>
        <v/>
      </c>
      <c r="K1560" s="72"/>
      <c r="L1560" s="72"/>
      <c r="M1560" s="2"/>
      <c r="N1560" s="5"/>
      <c r="O1560" s="3"/>
      <c r="P1560" s="6"/>
      <c r="Q1560" s="48">
        <f>IF(Учет!$O1560=Справочники!$F$2,Учет!$H1560,0)</f>
        <v>0</v>
      </c>
      <c r="R1560" s="48">
        <f>IF(Учет!$O1560=Справочники!$F$3,Учет!$H1560,0)</f>
        <v>0</v>
      </c>
      <c r="S1560" s="48">
        <f>IF(Учет!$O1560=Справочники!$F$4,Учет!$H1560,0)</f>
        <v>0</v>
      </c>
      <c r="T1560" s="48">
        <f>IF(Учет!$O1560=Справочники!$F$5,Учет!$H1560,0)</f>
        <v>0</v>
      </c>
      <c r="U1560" s="48">
        <f>IF(Учет!$O1560=Справочники!$F$6,Учет!$H1560,0)</f>
        <v>0</v>
      </c>
      <c r="V1560" s="43">
        <f>V1559+Учет!Q1560-Q1560</f>
        <v>-488978.92000000004</v>
      </c>
      <c r="W1560" s="43">
        <f>W1559+Учет!R1560-R1560</f>
        <v>336855</v>
      </c>
      <c r="X1560" s="43">
        <f>X1559+Учет!S1560-S1560</f>
        <v>500</v>
      </c>
      <c r="Y1560" s="43">
        <f>Y1559+Учет!T1560-T1560</f>
        <v>1150</v>
      </c>
      <c r="Z1560" s="43">
        <f>Z1559+Учет!U1560-U1560</f>
        <v>500000</v>
      </c>
      <c r="AA1560" s="45">
        <f>Учет!X1560</f>
        <v>500</v>
      </c>
    </row>
    <row r="1561" spans="1:27" ht="15" customHeight="1" x14ac:dyDescent="0.25">
      <c r="A1561" s="1"/>
      <c r="B1561" s="17"/>
      <c r="C1561" s="17"/>
      <c r="D1561" s="17"/>
      <c r="E1561" s="17"/>
      <c r="F1561" s="17"/>
      <c r="G1561" s="4">
        <f t="shared" si="69"/>
        <v>0</v>
      </c>
      <c r="H1561" s="17"/>
      <c r="I1561" s="4">
        <f t="shared" si="71"/>
        <v>349526.07999999996</v>
      </c>
      <c r="J1561" s="32" t="str">
        <f t="shared" si="70"/>
        <v/>
      </c>
      <c r="K1561" s="72"/>
      <c r="L1561" s="72"/>
      <c r="M1561" s="2"/>
      <c r="N1561" s="5"/>
      <c r="O1561" s="3"/>
      <c r="P1561" s="6"/>
      <c r="Q1561" s="48">
        <f>IF(Учет!$O1561=Справочники!$F$2,Учет!$H1561,0)</f>
        <v>0</v>
      </c>
      <c r="R1561" s="48">
        <f>IF(Учет!$O1561=Справочники!$F$3,Учет!$H1561,0)</f>
        <v>0</v>
      </c>
      <c r="S1561" s="48">
        <f>IF(Учет!$O1561=Справочники!$F$4,Учет!$H1561,0)</f>
        <v>0</v>
      </c>
      <c r="T1561" s="48">
        <f>IF(Учет!$O1561=Справочники!$F$5,Учет!$H1561,0)</f>
        <v>0</v>
      </c>
      <c r="U1561" s="48">
        <f>IF(Учет!$O1561=Справочники!$F$6,Учет!$H1561,0)</f>
        <v>0</v>
      </c>
      <c r="V1561" s="43">
        <f>V1560+Учет!Q1561-Q1561</f>
        <v>-488978.92000000004</v>
      </c>
      <c r="W1561" s="43">
        <f>W1560+Учет!R1561-R1561</f>
        <v>336855</v>
      </c>
      <c r="X1561" s="43">
        <f>X1560+Учет!S1561-S1561</f>
        <v>500</v>
      </c>
      <c r="Y1561" s="43">
        <f>Y1560+Учет!T1561-T1561</f>
        <v>1150</v>
      </c>
      <c r="Z1561" s="43">
        <f>Z1560+Учет!U1561-U1561</f>
        <v>500000</v>
      </c>
      <c r="AA1561" s="45">
        <f>Учет!X1561</f>
        <v>500</v>
      </c>
    </row>
    <row r="1562" spans="1:27" ht="15" customHeight="1" x14ac:dyDescent="0.25">
      <c r="A1562" s="1"/>
      <c r="B1562" s="17"/>
      <c r="C1562" s="17"/>
      <c r="D1562" s="17"/>
      <c r="E1562" s="17"/>
      <c r="F1562" s="17"/>
      <c r="G1562" s="4">
        <f t="shared" si="69"/>
        <v>0</v>
      </c>
      <c r="H1562" s="17"/>
      <c r="I1562" s="4">
        <f t="shared" si="71"/>
        <v>349526.07999999996</v>
      </c>
      <c r="J1562" s="32" t="str">
        <f t="shared" si="70"/>
        <v/>
      </c>
      <c r="K1562" s="72"/>
      <c r="L1562" s="72"/>
      <c r="M1562" s="2"/>
      <c r="N1562" s="5"/>
      <c r="O1562" s="3"/>
      <c r="P1562" s="6"/>
      <c r="Q1562" s="48">
        <f>IF(Учет!$O1562=Справочники!$F$2,Учет!$H1562,0)</f>
        <v>0</v>
      </c>
      <c r="R1562" s="48">
        <f>IF(Учет!$O1562=Справочники!$F$3,Учет!$H1562,0)</f>
        <v>0</v>
      </c>
      <c r="S1562" s="48">
        <f>IF(Учет!$O1562=Справочники!$F$4,Учет!$H1562,0)</f>
        <v>0</v>
      </c>
      <c r="T1562" s="48">
        <f>IF(Учет!$O1562=Справочники!$F$5,Учет!$H1562,0)</f>
        <v>0</v>
      </c>
      <c r="U1562" s="48">
        <f>IF(Учет!$O1562=Справочники!$F$6,Учет!$H1562,0)</f>
        <v>0</v>
      </c>
      <c r="V1562" s="43">
        <f>V1561+Учет!Q1562-Q1562</f>
        <v>-488978.92000000004</v>
      </c>
      <c r="W1562" s="43">
        <f>W1561+Учет!R1562-R1562</f>
        <v>336855</v>
      </c>
      <c r="X1562" s="43">
        <f>X1561+Учет!S1562-S1562</f>
        <v>500</v>
      </c>
      <c r="Y1562" s="43">
        <f>Y1561+Учет!T1562-T1562</f>
        <v>1150</v>
      </c>
      <c r="Z1562" s="43">
        <f>Z1561+Учет!U1562-U1562</f>
        <v>500000</v>
      </c>
      <c r="AA1562" s="45">
        <f>Учет!X1562</f>
        <v>500</v>
      </c>
    </row>
    <row r="1563" spans="1:27" ht="15" customHeight="1" x14ac:dyDescent="0.25">
      <c r="A1563" s="1"/>
      <c r="B1563" s="17"/>
      <c r="C1563" s="17"/>
      <c r="D1563" s="17"/>
      <c r="E1563" s="17"/>
      <c r="F1563" s="17"/>
      <c r="G1563" s="4">
        <f t="shared" si="69"/>
        <v>0</v>
      </c>
      <c r="H1563" s="17"/>
      <c r="I1563" s="4">
        <f t="shared" si="71"/>
        <v>349526.07999999996</v>
      </c>
      <c r="J1563" s="32" t="str">
        <f t="shared" si="70"/>
        <v/>
      </c>
      <c r="K1563" s="72"/>
      <c r="L1563" s="72"/>
      <c r="M1563" s="2"/>
      <c r="N1563" s="5"/>
      <c r="O1563" s="3"/>
      <c r="P1563" s="6"/>
      <c r="Q1563" s="48">
        <f>IF(Учет!$O1563=Справочники!$F$2,Учет!$H1563,0)</f>
        <v>0</v>
      </c>
      <c r="R1563" s="48">
        <f>IF(Учет!$O1563=Справочники!$F$3,Учет!$H1563,0)</f>
        <v>0</v>
      </c>
      <c r="S1563" s="48">
        <f>IF(Учет!$O1563=Справочники!$F$4,Учет!$H1563,0)</f>
        <v>0</v>
      </c>
      <c r="T1563" s="48">
        <f>IF(Учет!$O1563=Справочники!$F$5,Учет!$H1563,0)</f>
        <v>0</v>
      </c>
      <c r="U1563" s="48">
        <f>IF(Учет!$O1563=Справочники!$F$6,Учет!$H1563,0)</f>
        <v>0</v>
      </c>
      <c r="V1563" s="43">
        <f>V1562+Учет!Q1563-Q1563</f>
        <v>-488978.92000000004</v>
      </c>
      <c r="W1563" s="43">
        <f>W1562+Учет!R1563-R1563</f>
        <v>336855</v>
      </c>
      <c r="X1563" s="43">
        <f>X1562+Учет!S1563-S1563</f>
        <v>500</v>
      </c>
      <c r="Y1563" s="43">
        <f>Y1562+Учет!T1563-T1563</f>
        <v>1150</v>
      </c>
      <c r="Z1563" s="43">
        <f>Z1562+Учет!U1563-U1563</f>
        <v>500000</v>
      </c>
      <c r="AA1563" s="45">
        <f>Учет!X1563</f>
        <v>500</v>
      </c>
    </row>
    <row r="1564" spans="1:27" ht="15" customHeight="1" x14ac:dyDescent="0.25">
      <c r="A1564" s="1"/>
      <c r="B1564" s="17"/>
      <c r="C1564" s="17"/>
      <c r="D1564" s="17"/>
      <c r="E1564" s="17"/>
      <c r="F1564" s="17"/>
      <c r="G1564" s="4">
        <f t="shared" si="69"/>
        <v>0</v>
      </c>
      <c r="H1564" s="17"/>
      <c r="I1564" s="4">
        <f t="shared" si="71"/>
        <v>349526.07999999996</v>
      </c>
      <c r="J1564" s="32" t="str">
        <f t="shared" si="70"/>
        <v/>
      </c>
      <c r="K1564" s="72"/>
      <c r="L1564" s="72"/>
      <c r="M1564" s="2"/>
      <c r="N1564" s="5"/>
      <c r="O1564" s="3"/>
      <c r="P1564" s="6"/>
      <c r="Q1564" s="48">
        <f>IF(Учет!$O1564=Справочники!$F$2,Учет!$H1564,0)</f>
        <v>0</v>
      </c>
      <c r="R1564" s="48">
        <f>IF(Учет!$O1564=Справочники!$F$3,Учет!$H1564,0)</f>
        <v>0</v>
      </c>
      <c r="S1564" s="48">
        <f>IF(Учет!$O1564=Справочники!$F$4,Учет!$H1564,0)</f>
        <v>0</v>
      </c>
      <c r="T1564" s="48">
        <f>IF(Учет!$O1564=Справочники!$F$5,Учет!$H1564,0)</f>
        <v>0</v>
      </c>
      <c r="U1564" s="48">
        <f>IF(Учет!$O1564=Справочники!$F$6,Учет!$H1564,0)</f>
        <v>0</v>
      </c>
      <c r="V1564" s="43">
        <f>V1563+Учет!Q1564-Q1564</f>
        <v>-488978.92000000004</v>
      </c>
      <c r="W1564" s="43">
        <f>W1563+Учет!R1564-R1564</f>
        <v>336855</v>
      </c>
      <c r="X1564" s="43">
        <f>X1563+Учет!S1564-S1564</f>
        <v>500</v>
      </c>
      <c r="Y1564" s="43">
        <f>Y1563+Учет!T1564-T1564</f>
        <v>1150</v>
      </c>
      <c r="Z1564" s="43">
        <f>Z1563+Учет!U1564-U1564</f>
        <v>500000</v>
      </c>
      <c r="AA1564" s="45">
        <f>Учет!X1564</f>
        <v>500</v>
      </c>
    </row>
    <row r="1565" spans="1:27" ht="15" customHeight="1" x14ac:dyDescent="0.25">
      <c r="A1565" s="1"/>
      <c r="B1565" s="17"/>
      <c r="C1565" s="17"/>
      <c r="D1565" s="17"/>
      <c r="E1565" s="17"/>
      <c r="F1565" s="17"/>
      <c r="G1565" s="4">
        <f t="shared" si="69"/>
        <v>0</v>
      </c>
      <c r="H1565" s="17"/>
      <c r="I1565" s="4">
        <f t="shared" si="71"/>
        <v>349526.07999999996</v>
      </c>
      <c r="J1565" s="32" t="str">
        <f t="shared" si="70"/>
        <v/>
      </c>
      <c r="K1565" s="72"/>
      <c r="L1565" s="72"/>
      <c r="M1565" s="2"/>
      <c r="N1565" s="5"/>
      <c r="O1565" s="3"/>
      <c r="P1565" s="6"/>
      <c r="Q1565" s="48">
        <f>IF(Учет!$O1565=Справочники!$F$2,Учет!$H1565,0)</f>
        <v>0</v>
      </c>
      <c r="R1565" s="48">
        <f>IF(Учет!$O1565=Справочники!$F$3,Учет!$H1565,0)</f>
        <v>0</v>
      </c>
      <c r="S1565" s="48">
        <f>IF(Учет!$O1565=Справочники!$F$4,Учет!$H1565,0)</f>
        <v>0</v>
      </c>
      <c r="T1565" s="48">
        <f>IF(Учет!$O1565=Справочники!$F$5,Учет!$H1565,0)</f>
        <v>0</v>
      </c>
      <c r="U1565" s="48">
        <f>IF(Учет!$O1565=Справочники!$F$6,Учет!$H1565,0)</f>
        <v>0</v>
      </c>
      <c r="V1565" s="43">
        <f>V1564+Учет!Q1565-Q1565</f>
        <v>-488978.92000000004</v>
      </c>
      <c r="W1565" s="43">
        <f>W1564+Учет!R1565-R1565</f>
        <v>336855</v>
      </c>
      <c r="X1565" s="43">
        <f>X1564+Учет!S1565-S1565</f>
        <v>500</v>
      </c>
      <c r="Y1565" s="43">
        <f>Y1564+Учет!T1565-T1565</f>
        <v>1150</v>
      </c>
      <c r="Z1565" s="43">
        <f>Z1564+Учет!U1565-U1565</f>
        <v>500000</v>
      </c>
      <c r="AA1565" s="45">
        <f>Учет!X1565</f>
        <v>500</v>
      </c>
    </row>
    <row r="1566" spans="1:27" ht="15" customHeight="1" x14ac:dyDescent="0.25">
      <c r="A1566" s="1"/>
      <c r="B1566" s="17"/>
      <c r="C1566" s="17"/>
      <c r="D1566" s="17"/>
      <c r="E1566" s="17"/>
      <c r="F1566" s="17"/>
      <c r="G1566" s="4">
        <f t="shared" si="69"/>
        <v>0</v>
      </c>
      <c r="H1566" s="17"/>
      <c r="I1566" s="4">
        <f t="shared" si="71"/>
        <v>349526.07999999996</v>
      </c>
      <c r="J1566" s="32" t="str">
        <f t="shared" si="70"/>
        <v/>
      </c>
      <c r="K1566" s="72"/>
      <c r="L1566" s="72"/>
      <c r="M1566" s="2"/>
      <c r="N1566" s="5"/>
      <c r="O1566" s="3"/>
      <c r="P1566" s="6"/>
      <c r="Q1566" s="48">
        <f>IF(Учет!$O1566=Справочники!$F$2,Учет!$H1566,0)</f>
        <v>0</v>
      </c>
      <c r="R1566" s="48">
        <f>IF(Учет!$O1566=Справочники!$F$3,Учет!$H1566,0)</f>
        <v>0</v>
      </c>
      <c r="S1566" s="48">
        <f>IF(Учет!$O1566=Справочники!$F$4,Учет!$H1566,0)</f>
        <v>0</v>
      </c>
      <c r="T1566" s="48">
        <f>IF(Учет!$O1566=Справочники!$F$5,Учет!$H1566,0)</f>
        <v>0</v>
      </c>
      <c r="U1566" s="48">
        <f>IF(Учет!$O1566=Справочники!$F$6,Учет!$H1566,0)</f>
        <v>0</v>
      </c>
      <c r="V1566" s="43">
        <f>V1565+Учет!Q1566-Q1566</f>
        <v>-488978.92000000004</v>
      </c>
      <c r="W1566" s="43">
        <f>W1565+Учет!R1566-R1566</f>
        <v>336855</v>
      </c>
      <c r="X1566" s="43">
        <f>X1565+Учет!S1566-S1566</f>
        <v>500</v>
      </c>
      <c r="Y1566" s="43">
        <f>Y1565+Учет!T1566-T1566</f>
        <v>1150</v>
      </c>
      <c r="Z1566" s="43">
        <f>Z1565+Учет!U1566-U1566</f>
        <v>500000</v>
      </c>
      <c r="AA1566" s="45">
        <f>Учет!X1566</f>
        <v>500</v>
      </c>
    </row>
    <row r="1567" spans="1:27" ht="15" customHeight="1" x14ac:dyDescent="0.25">
      <c r="A1567" s="1"/>
      <c r="B1567" s="17"/>
      <c r="C1567" s="17"/>
      <c r="D1567" s="17"/>
      <c r="E1567" s="17"/>
      <c r="F1567" s="17"/>
      <c r="G1567" s="4">
        <f t="shared" si="69"/>
        <v>0</v>
      </c>
      <c r="H1567" s="17"/>
      <c r="I1567" s="4">
        <f t="shared" si="71"/>
        <v>349526.07999999996</v>
      </c>
      <c r="J1567" s="32" t="str">
        <f t="shared" si="70"/>
        <v/>
      </c>
      <c r="K1567" s="72"/>
      <c r="L1567" s="72"/>
      <c r="M1567" s="2"/>
      <c r="N1567" s="5"/>
      <c r="O1567" s="3"/>
      <c r="P1567" s="6"/>
      <c r="Q1567" s="48">
        <f>IF(Учет!$O1567=Справочники!$F$2,Учет!$H1567,0)</f>
        <v>0</v>
      </c>
      <c r="R1567" s="48">
        <f>IF(Учет!$O1567=Справочники!$F$3,Учет!$H1567,0)</f>
        <v>0</v>
      </c>
      <c r="S1567" s="48">
        <f>IF(Учет!$O1567=Справочники!$F$4,Учет!$H1567,0)</f>
        <v>0</v>
      </c>
      <c r="T1567" s="48">
        <f>IF(Учет!$O1567=Справочники!$F$5,Учет!$H1567,0)</f>
        <v>0</v>
      </c>
      <c r="U1567" s="48">
        <f>IF(Учет!$O1567=Справочники!$F$6,Учет!$H1567,0)</f>
        <v>0</v>
      </c>
      <c r="V1567" s="43">
        <f>V1566+Учет!Q1567-Q1567</f>
        <v>-488978.92000000004</v>
      </c>
      <c r="W1567" s="43">
        <f>W1566+Учет!R1567-R1567</f>
        <v>336855</v>
      </c>
      <c r="X1567" s="43">
        <f>X1566+Учет!S1567-S1567</f>
        <v>500</v>
      </c>
      <c r="Y1567" s="43">
        <f>Y1566+Учет!T1567-T1567</f>
        <v>1150</v>
      </c>
      <c r="Z1567" s="43">
        <f>Z1566+Учет!U1567-U1567</f>
        <v>500000</v>
      </c>
      <c r="AA1567" s="45">
        <f>Учет!X1567</f>
        <v>500</v>
      </c>
    </row>
    <row r="1568" spans="1:27" ht="15" customHeight="1" x14ac:dyDescent="0.25">
      <c r="A1568" s="1"/>
      <c r="B1568" s="17"/>
      <c r="C1568" s="17"/>
      <c r="D1568" s="17"/>
      <c r="E1568" s="17"/>
      <c r="F1568" s="17"/>
      <c r="G1568" s="4">
        <f t="shared" si="69"/>
        <v>0</v>
      </c>
      <c r="H1568" s="17"/>
      <c r="I1568" s="4">
        <f t="shared" si="71"/>
        <v>349526.07999999996</v>
      </c>
      <c r="J1568" s="32" t="str">
        <f t="shared" si="70"/>
        <v/>
      </c>
      <c r="K1568" s="72"/>
      <c r="L1568" s="72"/>
      <c r="M1568" s="2"/>
      <c r="N1568" s="5"/>
      <c r="O1568" s="3"/>
      <c r="P1568" s="6"/>
      <c r="Q1568" s="48">
        <f>IF(Учет!$O1568=Справочники!$F$2,Учет!$H1568,0)</f>
        <v>0</v>
      </c>
      <c r="R1568" s="48">
        <f>IF(Учет!$O1568=Справочники!$F$3,Учет!$H1568,0)</f>
        <v>0</v>
      </c>
      <c r="S1568" s="48">
        <f>IF(Учет!$O1568=Справочники!$F$4,Учет!$H1568,0)</f>
        <v>0</v>
      </c>
      <c r="T1568" s="48">
        <f>IF(Учет!$O1568=Справочники!$F$5,Учет!$H1568,0)</f>
        <v>0</v>
      </c>
      <c r="U1568" s="48">
        <f>IF(Учет!$O1568=Справочники!$F$6,Учет!$H1568,0)</f>
        <v>0</v>
      </c>
      <c r="V1568" s="43">
        <f>V1567+Учет!Q1568-Q1568</f>
        <v>-488978.92000000004</v>
      </c>
      <c r="W1568" s="43">
        <f>W1567+Учет!R1568-R1568</f>
        <v>336855</v>
      </c>
      <c r="X1568" s="43">
        <f>X1567+Учет!S1568-S1568</f>
        <v>500</v>
      </c>
      <c r="Y1568" s="43">
        <f>Y1567+Учет!T1568-T1568</f>
        <v>1150</v>
      </c>
      <c r="Z1568" s="43">
        <f>Z1567+Учет!U1568-U1568</f>
        <v>500000</v>
      </c>
      <c r="AA1568" s="45">
        <f>Учет!X1568</f>
        <v>500</v>
      </c>
    </row>
    <row r="1569" spans="1:27" ht="15" customHeight="1" x14ac:dyDescent="0.25">
      <c r="A1569" s="1"/>
      <c r="B1569" s="17"/>
      <c r="C1569" s="17"/>
      <c r="D1569" s="17"/>
      <c r="E1569" s="17"/>
      <c r="F1569" s="17"/>
      <c r="G1569" s="4">
        <f t="shared" si="69"/>
        <v>0</v>
      </c>
      <c r="H1569" s="17"/>
      <c r="I1569" s="4">
        <f t="shared" si="71"/>
        <v>349526.07999999996</v>
      </c>
      <c r="J1569" s="32" t="str">
        <f t="shared" si="70"/>
        <v/>
      </c>
      <c r="K1569" s="72"/>
      <c r="L1569" s="72"/>
      <c r="M1569" s="2"/>
      <c r="N1569" s="5"/>
      <c r="O1569" s="3"/>
      <c r="P1569" s="6"/>
      <c r="Q1569" s="48">
        <f>IF(Учет!$O1569=Справочники!$F$2,Учет!$H1569,0)</f>
        <v>0</v>
      </c>
      <c r="R1569" s="48">
        <f>IF(Учет!$O1569=Справочники!$F$3,Учет!$H1569,0)</f>
        <v>0</v>
      </c>
      <c r="S1569" s="48">
        <f>IF(Учет!$O1569=Справочники!$F$4,Учет!$H1569,0)</f>
        <v>0</v>
      </c>
      <c r="T1569" s="48">
        <f>IF(Учет!$O1569=Справочники!$F$5,Учет!$H1569,0)</f>
        <v>0</v>
      </c>
      <c r="U1569" s="48">
        <f>IF(Учет!$O1569=Справочники!$F$6,Учет!$H1569,0)</f>
        <v>0</v>
      </c>
      <c r="V1569" s="43">
        <f>V1568+Учет!Q1569-Q1569</f>
        <v>-488978.92000000004</v>
      </c>
      <c r="W1569" s="43">
        <f>W1568+Учет!R1569-R1569</f>
        <v>336855</v>
      </c>
      <c r="X1569" s="43">
        <f>X1568+Учет!S1569-S1569</f>
        <v>500</v>
      </c>
      <c r="Y1569" s="43">
        <f>Y1568+Учет!T1569-T1569</f>
        <v>1150</v>
      </c>
      <c r="Z1569" s="43">
        <f>Z1568+Учет!U1569-U1569</f>
        <v>500000</v>
      </c>
      <c r="AA1569" s="45">
        <f>Учет!X1569</f>
        <v>500</v>
      </c>
    </row>
    <row r="1570" spans="1:27" ht="15" customHeight="1" x14ac:dyDescent="0.25">
      <c r="A1570" s="1"/>
      <c r="B1570" s="17"/>
      <c r="C1570" s="17"/>
      <c r="D1570" s="17"/>
      <c r="E1570" s="17"/>
      <c r="F1570" s="17"/>
      <c r="G1570" s="4">
        <f t="shared" si="69"/>
        <v>0</v>
      </c>
      <c r="H1570" s="17"/>
      <c r="I1570" s="4">
        <f t="shared" si="71"/>
        <v>349526.07999999996</v>
      </c>
      <c r="J1570" s="32" t="str">
        <f t="shared" si="70"/>
        <v/>
      </c>
      <c r="K1570" s="72"/>
      <c r="L1570" s="72"/>
      <c r="M1570" s="2"/>
      <c r="N1570" s="5"/>
      <c r="O1570" s="3"/>
      <c r="P1570" s="6"/>
      <c r="Q1570" s="48">
        <f>IF(Учет!$O1570=Справочники!$F$2,Учет!$H1570,0)</f>
        <v>0</v>
      </c>
      <c r="R1570" s="48">
        <f>IF(Учет!$O1570=Справочники!$F$3,Учет!$H1570,0)</f>
        <v>0</v>
      </c>
      <c r="S1570" s="48">
        <f>IF(Учет!$O1570=Справочники!$F$4,Учет!$H1570,0)</f>
        <v>0</v>
      </c>
      <c r="T1570" s="48">
        <f>IF(Учет!$O1570=Справочники!$F$5,Учет!$H1570,0)</f>
        <v>0</v>
      </c>
      <c r="U1570" s="48">
        <f>IF(Учет!$O1570=Справочники!$F$6,Учет!$H1570,0)</f>
        <v>0</v>
      </c>
      <c r="V1570" s="43">
        <f>V1569+Учет!Q1570-Q1570</f>
        <v>-488978.92000000004</v>
      </c>
      <c r="W1570" s="43">
        <f>W1569+Учет!R1570-R1570</f>
        <v>336855</v>
      </c>
      <c r="X1570" s="43">
        <f>X1569+Учет!S1570-S1570</f>
        <v>500</v>
      </c>
      <c r="Y1570" s="43">
        <f>Y1569+Учет!T1570-T1570</f>
        <v>1150</v>
      </c>
      <c r="Z1570" s="43">
        <f>Z1569+Учет!U1570-U1570</f>
        <v>500000</v>
      </c>
      <c r="AA1570" s="45">
        <f>Учет!X1570</f>
        <v>500</v>
      </c>
    </row>
    <row r="1571" spans="1:27" ht="15" customHeight="1" x14ac:dyDescent="0.25">
      <c r="A1571" s="1"/>
      <c r="B1571" s="17"/>
      <c r="C1571" s="17"/>
      <c r="D1571" s="17"/>
      <c r="E1571" s="17"/>
      <c r="F1571" s="17"/>
      <c r="G1571" s="4">
        <f t="shared" si="69"/>
        <v>0</v>
      </c>
      <c r="H1571" s="17"/>
      <c r="I1571" s="4">
        <f t="shared" si="71"/>
        <v>349526.07999999996</v>
      </c>
      <c r="J1571" s="32" t="str">
        <f t="shared" si="70"/>
        <v/>
      </c>
      <c r="K1571" s="72"/>
      <c r="L1571" s="72"/>
      <c r="M1571" s="2"/>
      <c r="N1571" s="5"/>
      <c r="O1571" s="3"/>
      <c r="P1571" s="6"/>
      <c r="Q1571" s="48">
        <f>IF(Учет!$O1571=Справочники!$F$2,Учет!$H1571,0)</f>
        <v>0</v>
      </c>
      <c r="R1571" s="48">
        <f>IF(Учет!$O1571=Справочники!$F$3,Учет!$H1571,0)</f>
        <v>0</v>
      </c>
      <c r="S1571" s="48">
        <f>IF(Учет!$O1571=Справочники!$F$4,Учет!$H1571,0)</f>
        <v>0</v>
      </c>
      <c r="T1571" s="48">
        <f>IF(Учет!$O1571=Справочники!$F$5,Учет!$H1571,0)</f>
        <v>0</v>
      </c>
      <c r="U1571" s="48">
        <f>IF(Учет!$O1571=Справочники!$F$6,Учет!$H1571,0)</f>
        <v>0</v>
      </c>
      <c r="V1571" s="43">
        <f>V1570+Учет!Q1571-Q1571</f>
        <v>-488978.92000000004</v>
      </c>
      <c r="W1571" s="43">
        <f>W1570+Учет!R1571-R1571</f>
        <v>336855</v>
      </c>
      <c r="X1571" s="43">
        <f>X1570+Учет!S1571-S1571</f>
        <v>500</v>
      </c>
      <c r="Y1571" s="43">
        <f>Y1570+Учет!T1571-T1571</f>
        <v>1150</v>
      </c>
      <c r="Z1571" s="43">
        <f>Z1570+Учет!U1571-U1571</f>
        <v>500000</v>
      </c>
      <c r="AA1571" s="45">
        <f>Учет!X1571</f>
        <v>500</v>
      </c>
    </row>
    <row r="1572" spans="1:27" ht="15" customHeight="1" x14ac:dyDescent="0.25">
      <c r="A1572" s="1"/>
      <c r="B1572" s="17"/>
      <c r="C1572" s="17"/>
      <c r="D1572" s="17"/>
      <c r="E1572" s="17"/>
      <c r="F1572" s="17"/>
      <c r="G1572" s="4">
        <f t="shared" si="69"/>
        <v>0</v>
      </c>
      <c r="H1572" s="17"/>
      <c r="I1572" s="4">
        <f t="shared" si="71"/>
        <v>349526.07999999996</v>
      </c>
      <c r="J1572" s="32" t="str">
        <f t="shared" si="70"/>
        <v/>
      </c>
      <c r="K1572" s="72"/>
      <c r="L1572" s="72"/>
      <c r="M1572" s="2"/>
      <c r="N1572" s="5"/>
      <c r="O1572" s="3"/>
      <c r="P1572" s="6"/>
      <c r="Q1572" s="48">
        <f>IF(Учет!$O1572=Справочники!$F$2,Учет!$H1572,0)</f>
        <v>0</v>
      </c>
      <c r="R1572" s="48">
        <f>IF(Учет!$O1572=Справочники!$F$3,Учет!$H1572,0)</f>
        <v>0</v>
      </c>
      <c r="S1572" s="48">
        <f>IF(Учет!$O1572=Справочники!$F$4,Учет!$H1572,0)</f>
        <v>0</v>
      </c>
      <c r="T1572" s="48">
        <f>IF(Учет!$O1572=Справочники!$F$5,Учет!$H1572,0)</f>
        <v>0</v>
      </c>
      <c r="U1572" s="48">
        <f>IF(Учет!$O1572=Справочники!$F$6,Учет!$H1572,0)</f>
        <v>0</v>
      </c>
      <c r="V1572" s="43">
        <f>V1571+Учет!Q1572-Q1572</f>
        <v>-488978.92000000004</v>
      </c>
      <c r="W1572" s="43">
        <f>W1571+Учет!R1572-R1572</f>
        <v>336855</v>
      </c>
      <c r="X1572" s="43">
        <f>X1571+Учет!S1572-S1572</f>
        <v>500</v>
      </c>
      <c r="Y1572" s="43">
        <f>Y1571+Учет!T1572-T1572</f>
        <v>1150</v>
      </c>
      <c r="Z1572" s="43">
        <f>Z1571+Учет!U1572-U1572</f>
        <v>500000</v>
      </c>
      <c r="AA1572" s="45">
        <f>Учет!X1572</f>
        <v>500</v>
      </c>
    </row>
    <row r="1573" spans="1:27" ht="15" customHeight="1" x14ac:dyDescent="0.25">
      <c r="A1573" s="1"/>
      <c r="B1573" s="17"/>
      <c r="C1573" s="17"/>
      <c r="D1573" s="17"/>
      <c r="E1573" s="17"/>
      <c r="F1573" s="17"/>
      <c r="G1573" s="4">
        <f t="shared" si="69"/>
        <v>0</v>
      </c>
      <c r="H1573" s="17"/>
      <c r="I1573" s="4">
        <f t="shared" si="71"/>
        <v>349526.07999999996</v>
      </c>
      <c r="J1573" s="32" t="str">
        <f t="shared" si="70"/>
        <v/>
      </c>
      <c r="K1573" s="72"/>
      <c r="L1573" s="72"/>
      <c r="M1573" s="2"/>
      <c r="N1573" s="5"/>
      <c r="O1573" s="3"/>
      <c r="P1573" s="6"/>
      <c r="Q1573" s="48">
        <f>IF(Учет!$O1573=Справочники!$F$2,Учет!$H1573,0)</f>
        <v>0</v>
      </c>
      <c r="R1573" s="48">
        <f>IF(Учет!$O1573=Справочники!$F$3,Учет!$H1573,0)</f>
        <v>0</v>
      </c>
      <c r="S1573" s="48">
        <f>IF(Учет!$O1573=Справочники!$F$4,Учет!$H1573,0)</f>
        <v>0</v>
      </c>
      <c r="T1573" s="48">
        <f>IF(Учет!$O1573=Справочники!$F$5,Учет!$H1573,0)</f>
        <v>0</v>
      </c>
      <c r="U1573" s="48">
        <f>IF(Учет!$O1573=Справочники!$F$6,Учет!$H1573,0)</f>
        <v>0</v>
      </c>
      <c r="V1573" s="43">
        <f>V1572+Учет!Q1573-Q1573</f>
        <v>-488978.92000000004</v>
      </c>
      <c r="W1573" s="43">
        <f>W1572+Учет!R1573-R1573</f>
        <v>336855</v>
      </c>
      <c r="X1573" s="43">
        <f>X1572+Учет!S1573-S1573</f>
        <v>500</v>
      </c>
      <c r="Y1573" s="43">
        <f>Y1572+Учет!T1573-T1573</f>
        <v>1150</v>
      </c>
      <c r="Z1573" s="43">
        <f>Z1572+Учет!U1573-U1573</f>
        <v>500000</v>
      </c>
      <c r="AA1573" s="45">
        <f>Учет!X1573</f>
        <v>500</v>
      </c>
    </row>
    <row r="1574" spans="1:27" ht="15" customHeight="1" x14ac:dyDescent="0.25">
      <c r="A1574" s="1"/>
      <c r="B1574" s="17"/>
      <c r="C1574" s="17"/>
      <c r="D1574" s="17"/>
      <c r="E1574" s="17"/>
      <c r="F1574" s="17"/>
      <c r="G1574" s="4">
        <f t="shared" si="69"/>
        <v>0</v>
      </c>
      <c r="H1574" s="17"/>
      <c r="I1574" s="4">
        <f t="shared" si="71"/>
        <v>349526.07999999996</v>
      </c>
      <c r="J1574" s="32" t="str">
        <f t="shared" si="70"/>
        <v/>
      </c>
      <c r="K1574" s="72"/>
      <c r="L1574" s="72"/>
      <c r="M1574" s="2"/>
      <c r="N1574" s="5"/>
      <c r="O1574" s="3"/>
      <c r="P1574" s="6"/>
      <c r="Q1574" s="48">
        <f>IF(Учет!$O1574=Справочники!$F$2,Учет!$H1574,0)</f>
        <v>0</v>
      </c>
      <c r="R1574" s="48">
        <f>IF(Учет!$O1574=Справочники!$F$3,Учет!$H1574,0)</f>
        <v>0</v>
      </c>
      <c r="S1574" s="48">
        <f>IF(Учет!$O1574=Справочники!$F$4,Учет!$H1574,0)</f>
        <v>0</v>
      </c>
      <c r="T1574" s="48">
        <f>IF(Учет!$O1574=Справочники!$F$5,Учет!$H1574,0)</f>
        <v>0</v>
      </c>
      <c r="U1574" s="48">
        <f>IF(Учет!$O1574=Справочники!$F$6,Учет!$H1574,0)</f>
        <v>0</v>
      </c>
      <c r="V1574" s="43">
        <f>V1573+Учет!Q1574-Q1574</f>
        <v>-488978.92000000004</v>
      </c>
      <c r="W1574" s="43">
        <f>W1573+Учет!R1574-R1574</f>
        <v>336855</v>
      </c>
      <c r="X1574" s="43">
        <f>X1573+Учет!S1574-S1574</f>
        <v>500</v>
      </c>
      <c r="Y1574" s="43">
        <f>Y1573+Учет!T1574-T1574</f>
        <v>1150</v>
      </c>
      <c r="Z1574" s="43">
        <f>Z1573+Учет!U1574-U1574</f>
        <v>500000</v>
      </c>
      <c r="AA1574" s="45">
        <f>Учет!X1574</f>
        <v>500</v>
      </c>
    </row>
    <row r="1575" spans="1:27" ht="15" customHeight="1" x14ac:dyDescent="0.25">
      <c r="A1575" s="1"/>
      <c r="B1575" s="17"/>
      <c r="C1575" s="17"/>
      <c r="D1575" s="17"/>
      <c r="E1575" s="17"/>
      <c r="F1575" s="17"/>
      <c r="G1575" s="4">
        <f t="shared" si="69"/>
        <v>0</v>
      </c>
      <c r="H1575" s="17"/>
      <c r="I1575" s="4">
        <f t="shared" si="71"/>
        <v>349526.07999999996</v>
      </c>
      <c r="J1575" s="32" t="str">
        <f t="shared" si="70"/>
        <v/>
      </c>
      <c r="K1575" s="72"/>
      <c r="L1575" s="72"/>
      <c r="M1575" s="2"/>
      <c r="N1575" s="5"/>
      <c r="O1575" s="3"/>
      <c r="P1575" s="6"/>
      <c r="Q1575" s="48">
        <f>IF(Учет!$O1575=Справочники!$F$2,Учет!$H1575,0)</f>
        <v>0</v>
      </c>
      <c r="R1575" s="48">
        <f>IF(Учет!$O1575=Справочники!$F$3,Учет!$H1575,0)</f>
        <v>0</v>
      </c>
      <c r="S1575" s="48">
        <f>IF(Учет!$O1575=Справочники!$F$4,Учет!$H1575,0)</f>
        <v>0</v>
      </c>
      <c r="T1575" s="48">
        <f>IF(Учет!$O1575=Справочники!$F$5,Учет!$H1575,0)</f>
        <v>0</v>
      </c>
      <c r="U1575" s="48">
        <f>IF(Учет!$O1575=Справочники!$F$6,Учет!$H1575,0)</f>
        <v>0</v>
      </c>
      <c r="V1575" s="43">
        <f>V1574+Учет!Q1575-Q1575</f>
        <v>-488978.92000000004</v>
      </c>
      <c r="W1575" s="43">
        <f>W1574+Учет!R1575-R1575</f>
        <v>336855</v>
      </c>
      <c r="X1575" s="43">
        <f>X1574+Учет!S1575-S1575</f>
        <v>500</v>
      </c>
      <c r="Y1575" s="43">
        <f>Y1574+Учет!T1575-T1575</f>
        <v>1150</v>
      </c>
      <c r="Z1575" s="43">
        <f>Z1574+Учет!U1575-U1575</f>
        <v>500000</v>
      </c>
      <c r="AA1575" s="45">
        <f>Учет!X1575</f>
        <v>500</v>
      </c>
    </row>
    <row r="1576" spans="1:27" ht="15" customHeight="1" x14ac:dyDescent="0.25">
      <c r="A1576" s="1"/>
      <c r="B1576" s="17"/>
      <c r="C1576" s="17"/>
      <c r="D1576" s="17"/>
      <c r="E1576" s="17"/>
      <c r="F1576" s="17"/>
      <c r="G1576" s="4">
        <f t="shared" si="69"/>
        <v>0</v>
      </c>
      <c r="H1576" s="17"/>
      <c r="I1576" s="4">
        <f t="shared" si="71"/>
        <v>349526.07999999996</v>
      </c>
      <c r="J1576" s="32" t="str">
        <f t="shared" si="70"/>
        <v/>
      </c>
      <c r="K1576" s="72"/>
      <c r="L1576" s="72"/>
      <c r="M1576" s="2"/>
      <c r="N1576" s="5"/>
      <c r="O1576" s="3"/>
      <c r="P1576" s="6"/>
      <c r="Q1576" s="48">
        <f>IF(Учет!$O1576=Справочники!$F$2,Учет!$H1576,0)</f>
        <v>0</v>
      </c>
      <c r="R1576" s="48">
        <f>IF(Учет!$O1576=Справочники!$F$3,Учет!$H1576,0)</f>
        <v>0</v>
      </c>
      <c r="S1576" s="48">
        <f>IF(Учет!$O1576=Справочники!$F$4,Учет!$H1576,0)</f>
        <v>0</v>
      </c>
      <c r="T1576" s="48">
        <f>IF(Учет!$O1576=Справочники!$F$5,Учет!$H1576,0)</f>
        <v>0</v>
      </c>
      <c r="U1576" s="48">
        <f>IF(Учет!$O1576=Справочники!$F$6,Учет!$H1576,0)</f>
        <v>0</v>
      </c>
      <c r="V1576" s="43">
        <f>V1575+Учет!Q1576-Q1576</f>
        <v>-488978.92000000004</v>
      </c>
      <c r="W1576" s="43">
        <f>W1575+Учет!R1576-R1576</f>
        <v>336855</v>
      </c>
      <c r="X1576" s="43">
        <f>X1575+Учет!S1576-S1576</f>
        <v>500</v>
      </c>
      <c r="Y1576" s="43">
        <f>Y1575+Учет!T1576-T1576</f>
        <v>1150</v>
      </c>
      <c r="Z1576" s="43">
        <f>Z1575+Учет!U1576-U1576</f>
        <v>500000</v>
      </c>
      <c r="AA1576" s="45">
        <f>Учет!X1576</f>
        <v>500</v>
      </c>
    </row>
    <row r="1577" spans="1:27" ht="15" customHeight="1" x14ac:dyDescent="0.25">
      <c r="A1577" s="1"/>
      <c r="B1577" s="17"/>
      <c r="C1577" s="17"/>
      <c r="D1577" s="17"/>
      <c r="E1577" s="17"/>
      <c r="F1577" s="17"/>
      <c r="G1577" s="4">
        <f t="shared" si="69"/>
        <v>0</v>
      </c>
      <c r="H1577" s="17"/>
      <c r="I1577" s="4">
        <f t="shared" si="71"/>
        <v>349526.07999999996</v>
      </c>
      <c r="J1577" s="32" t="str">
        <f t="shared" si="70"/>
        <v/>
      </c>
      <c r="K1577" s="72"/>
      <c r="L1577" s="72"/>
      <c r="M1577" s="2"/>
      <c r="N1577" s="5"/>
      <c r="O1577" s="3"/>
      <c r="P1577" s="6"/>
      <c r="Q1577" s="48">
        <f>IF(Учет!$O1577=Справочники!$F$2,Учет!$H1577,0)</f>
        <v>0</v>
      </c>
      <c r="R1577" s="48">
        <f>IF(Учет!$O1577=Справочники!$F$3,Учет!$H1577,0)</f>
        <v>0</v>
      </c>
      <c r="S1577" s="48">
        <f>IF(Учет!$O1577=Справочники!$F$4,Учет!$H1577,0)</f>
        <v>0</v>
      </c>
      <c r="T1577" s="48">
        <f>IF(Учет!$O1577=Справочники!$F$5,Учет!$H1577,0)</f>
        <v>0</v>
      </c>
      <c r="U1577" s="48">
        <f>IF(Учет!$O1577=Справочники!$F$6,Учет!$H1577,0)</f>
        <v>0</v>
      </c>
      <c r="V1577" s="43">
        <f>V1576+Учет!Q1577-Q1577</f>
        <v>-488978.92000000004</v>
      </c>
      <c r="W1577" s="43">
        <f>W1576+Учет!R1577-R1577</f>
        <v>336855</v>
      </c>
      <c r="X1577" s="43">
        <f>X1576+Учет!S1577-S1577</f>
        <v>500</v>
      </c>
      <c r="Y1577" s="43">
        <f>Y1576+Учет!T1577-T1577</f>
        <v>1150</v>
      </c>
      <c r="Z1577" s="43">
        <f>Z1576+Учет!U1577-U1577</f>
        <v>500000</v>
      </c>
      <c r="AA1577" s="45">
        <f>Учет!X1577</f>
        <v>500</v>
      </c>
    </row>
    <row r="1578" spans="1:27" ht="15" customHeight="1" x14ac:dyDescent="0.25">
      <c r="A1578" s="1"/>
      <c r="B1578" s="17"/>
      <c r="C1578" s="17"/>
      <c r="D1578" s="17"/>
      <c r="E1578" s="17"/>
      <c r="F1578" s="17"/>
      <c r="G1578" s="4">
        <f t="shared" si="69"/>
        <v>0</v>
      </c>
      <c r="H1578" s="17"/>
      <c r="I1578" s="4">
        <f t="shared" si="71"/>
        <v>349526.07999999996</v>
      </c>
      <c r="J1578" s="32" t="str">
        <f t="shared" si="70"/>
        <v/>
      </c>
      <c r="K1578" s="72"/>
      <c r="L1578" s="72"/>
      <c r="M1578" s="2"/>
      <c r="N1578" s="5"/>
      <c r="O1578" s="3"/>
      <c r="P1578" s="6"/>
      <c r="Q1578" s="48">
        <f>IF(Учет!$O1578=Справочники!$F$2,Учет!$H1578,0)</f>
        <v>0</v>
      </c>
      <c r="R1578" s="48">
        <f>IF(Учет!$O1578=Справочники!$F$3,Учет!$H1578,0)</f>
        <v>0</v>
      </c>
      <c r="S1578" s="48">
        <f>IF(Учет!$O1578=Справочники!$F$4,Учет!$H1578,0)</f>
        <v>0</v>
      </c>
      <c r="T1578" s="48">
        <f>IF(Учет!$O1578=Справочники!$F$5,Учет!$H1578,0)</f>
        <v>0</v>
      </c>
      <c r="U1578" s="48">
        <f>IF(Учет!$O1578=Справочники!$F$6,Учет!$H1578,0)</f>
        <v>0</v>
      </c>
      <c r="V1578" s="43">
        <f>V1577+Учет!Q1578-Q1578</f>
        <v>-488978.92000000004</v>
      </c>
      <c r="W1578" s="43">
        <f>W1577+Учет!R1578-R1578</f>
        <v>336855</v>
      </c>
      <c r="X1578" s="43">
        <f>X1577+Учет!S1578-S1578</f>
        <v>500</v>
      </c>
      <c r="Y1578" s="43">
        <f>Y1577+Учет!T1578-T1578</f>
        <v>1150</v>
      </c>
      <c r="Z1578" s="43">
        <f>Z1577+Учет!U1578-U1578</f>
        <v>500000</v>
      </c>
      <c r="AA1578" s="45">
        <f>Учет!X1578</f>
        <v>500</v>
      </c>
    </row>
    <row r="1579" spans="1:27" ht="15" customHeight="1" x14ac:dyDescent="0.25">
      <c r="A1579" s="1"/>
      <c r="B1579" s="17"/>
      <c r="C1579" s="17"/>
      <c r="D1579" s="17"/>
      <c r="E1579" s="17"/>
      <c r="F1579" s="17"/>
      <c r="G1579" s="4">
        <f t="shared" si="69"/>
        <v>0</v>
      </c>
      <c r="H1579" s="17"/>
      <c r="I1579" s="4">
        <f t="shared" si="71"/>
        <v>349526.07999999996</v>
      </c>
      <c r="J1579" s="32" t="str">
        <f t="shared" si="70"/>
        <v/>
      </c>
      <c r="K1579" s="72"/>
      <c r="L1579" s="72"/>
      <c r="M1579" s="2"/>
      <c r="N1579" s="5"/>
      <c r="O1579" s="3"/>
      <c r="P1579" s="6"/>
      <c r="Q1579" s="48">
        <f>IF(Учет!$O1579=Справочники!$F$2,Учет!$H1579,0)</f>
        <v>0</v>
      </c>
      <c r="R1579" s="48">
        <f>IF(Учет!$O1579=Справочники!$F$3,Учет!$H1579,0)</f>
        <v>0</v>
      </c>
      <c r="S1579" s="48">
        <f>IF(Учет!$O1579=Справочники!$F$4,Учет!$H1579,0)</f>
        <v>0</v>
      </c>
      <c r="T1579" s="48">
        <f>IF(Учет!$O1579=Справочники!$F$5,Учет!$H1579,0)</f>
        <v>0</v>
      </c>
      <c r="U1579" s="48">
        <f>IF(Учет!$O1579=Справочники!$F$6,Учет!$H1579,0)</f>
        <v>0</v>
      </c>
      <c r="V1579" s="43">
        <f>V1578+Учет!Q1579-Q1579</f>
        <v>-488978.92000000004</v>
      </c>
      <c r="W1579" s="43">
        <f>W1578+Учет!R1579-R1579</f>
        <v>336855</v>
      </c>
      <c r="X1579" s="43">
        <f>X1578+Учет!S1579-S1579</f>
        <v>500</v>
      </c>
      <c r="Y1579" s="43">
        <f>Y1578+Учет!T1579-T1579</f>
        <v>1150</v>
      </c>
      <c r="Z1579" s="43">
        <f>Z1578+Учет!U1579-U1579</f>
        <v>500000</v>
      </c>
      <c r="AA1579" s="45">
        <f>Учет!X1579</f>
        <v>500</v>
      </c>
    </row>
    <row r="1580" spans="1:27" ht="15" customHeight="1" x14ac:dyDescent="0.25">
      <c r="A1580" s="1"/>
      <c r="B1580" s="17"/>
      <c r="C1580" s="17"/>
      <c r="D1580" s="17"/>
      <c r="E1580" s="17"/>
      <c r="F1580" s="17"/>
      <c r="G1580" s="4">
        <f t="shared" si="69"/>
        <v>0</v>
      </c>
      <c r="H1580" s="17"/>
      <c r="I1580" s="4">
        <f t="shared" si="71"/>
        <v>349526.07999999996</v>
      </c>
      <c r="J1580" s="32" t="str">
        <f t="shared" si="70"/>
        <v/>
      </c>
      <c r="K1580" s="72"/>
      <c r="L1580" s="72"/>
      <c r="M1580" s="2"/>
      <c r="N1580" s="5"/>
      <c r="O1580" s="3"/>
      <c r="P1580" s="6"/>
      <c r="Q1580" s="48">
        <f>IF(Учет!$O1580=Справочники!$F$2,Учет!$H1580,0)</f>
        <v>0</v>
      </c>
      <c r="R1580" s="48">
        <f>IF(Учет!$O1580=Справочники!$F$3,Учет!$H1580,0)</f>
        <v>0</v>
      </c>
      <c r="S1580" s="48">
        <f>IF(Учет!$O1580=Справочники!$F$4,Учет!$H1580,0)</f>
        <v>0</v>
      </c>
      <c r="T1580" s="48">
        <f>IF(Учет!$O1580=Справочники!$F$5,Учет!$H1580,0)</f>
        <v>0</v>
      </c>
      <c r="U1580" s="48">
        <f>IF(Учет!$O1580=Справочники!$F$6,Учет!$H1580,0)</f>
        <v>0</v>
      </c>
      <c r="V1580" s="43">
        <f>V1579+Учет!Q1580-Q1580</f>
        <v>-488978.92000000004</v>
      </c>
      <c r="W1580" s="43">
        <f>W1579+Учет!R1580-R1580</f>
        <v>336855</v>
      </c>
      <c r="X1580" s="43">
        <f>X1579+Учет!S1580-S1580</f>
        <v>500</v>
      </c>
      <c r="Y1580" s="43">
        <f>Y1579+Учет!T1580-T1580</f>
        <v>1150</v>
      </c>
      <c r="Z1580" s="43">
        <f>Z1579+Учет!U1580-U1580</f>
        <v>500000</v>
      </c>
      <c r="AA1580" s="45">
        <f>Учет!X1580</f>
        <v>500</v>
      </c>
    </row>
    <row r="1581" spans="1:27" ht="15" customHeight="1" x14ac:dyDescent="0.25">
      <c r="A1581" s="1"/>
      <c r="B1581" s="17"/>
      <c r="C1581" s="17"/>
      <c r="D1581" s="17"/>
      <c r="E1581" s="17"/>
      <c r="F1581" s="17"/>
      <c r="G1581" s="4">
        <f t="shared" si="69"/>
        <v>0</v>
      </c>
      <c r="H1581" s="17"/>
      <c r="I1581" s="4">
        <f t="shared" si="71"/>
        <v>349526.07999999996</v>
      </c>
      <c r="J1581" s="32" t="str">
        <f t="shared" si="70"/>
        <v/>
      </c>
      <c r="K1581" s="72"/>
      <c r="L1581" s="72"/>
      <c r="M1581" s="2"/>
      <c r="N1581" s="5"/>
      <c r="O1581" s="3"/>
      <c r="P1581" s="6"/>
      <c r="Q1581" s="48">
        <f>IF(Учет!$O1581=Справочники!$F$2,Учет!$H1581,0)</f>
        <v>0</v>
      </c>
      <c r="R1581" s="48">
        <f>IF(Учет!$O1581=Справочники!$F$3,Учет!$H1581,0)</f>
        <v>0</v>
      </c>
      <c r="S1581" s="48">
        <f>IF(Учет!$O1581=Справочники!$F$4,Учет!$H1581,0)</f>
        <v>0</v>
      </c>
      <c r="T1581" s="48">
        <f>IF(Учет!$O1581=Справочники!$F$5,Учет!$H1581,0)</f>
        <v>0</v>
      </c>
      <c r="U1581" s="48">
        <f>IF(Учет!$O1581=Справочники!$F$6,Учет!$H1581,0)</f>
        <v>0</v>
      </c>
      <c r="V1581" s="43">
        <f>V1580+Учет!Q1581-Q1581</f>
        <v>-488978.92000000004</v>
      </c>
      <c r="W1581" s="43">
        <f>W1580+Учет!R1581-R1581</f>
        <v>336855</v>
      </c>
      <c r="X1581" s="43">
        <f>X1580+Учет!S1581-S1581</f>
        <v>500</v>
      </c>
      <c r="Y1581" s="43">
        <f>Y1580+Учет!T1581-T1581</f>
        <v>1150</v>
      </c>
      <c r="Z1581" s="43">
        <f>Z1580+Учет!U1581-U1581</f>
        <v>500000</v>
      </c>
      <c r="AA1581" s="45">
        <f>Учет!X1581</f>
        <v>500</v>
      </c>
    </row>
    <row r="1582" spans="1:27" ht="15" customHeight="1" x14ac:dyDescent="0.25">
      <c r="A1582" s="1"/>
      <c r="B1582" s="17"/>
      <c r="C1582" s="17"/>
      <c r="D1582" s="17"/>
      <c r="E1582" s="17"/>
      <c r="F1582" s="17"/>
      <c r="G1582" s="4">
        <f t="shared" si="69"/>
        <v>0</v>
      </c>
      <c r="H1582" s="17"/>
      <c r="I1582" s="4">
        <f t="shared" si="71"/>
        <v>349526.07999999996</v>
      </c>
      <c r="J1582" s="32" t="str">
        <f t="shared" si="70"/>
        <v/>
      </c>
      <c r="K1582" s="72"/>
      <c r="L1582" s="72"/>
      <c r="M1582" s="2"/>
      <c r="N1582" s="5"/>
      <c r="O1582" s="3"/>
      <c r="P1582" s="6"/>
      <c r="Q1582" s="48">
        <f>IF(Учет!$O1582=Справочники!$F$2,Учет!$H1582,0)</f>
        <v>0</v>
      </c>
      <c r="R1582" s="48">
        <f>IF(Учет!$O1582=Справочники!$F$3,Учет!$H1582,0)</f>
        <v>0</v>
      </c>
      <c r="S1582" s="48">
        <f>IF(Учет!$O1582=Справочники!$F$4,Учет!$H1582,0)</f>
        <v>0</v>
      </c>
      <c r="T1582" s="48">
        <f>IF(Учет!$O1582=Справочники!$F$5,Учет!$H1582,0)</f>
        <v>0</v>
      </c>
      <c r="U1582" s="48">
        <f>IF(Учет!$O1582=Справочники!$F$6,Учет!$H1582,0)</f>
        <v>0</v>
      </c>
      <c r="V1582" s="43">
        <f>V1581+Учет!Q1582-Q1582</f>
        <v>-488978.92000000004</v>
      </c>
      <c r="W1582" s="43">
        <f>W1581+Учет!R1582-R1582</f>
        <v>336855</v>
      </c>
      <c r="X1582" s="43">
        <f>X1581+Учет!S1582-S1582</f>
        <v>500</v>
      </c>
      <c r="Y1582" s="43">
        <f>Y1581+Учет!T1582-T1582</f>
        <v>1150</v>
      </c>
      <c r="Z1582" s="43">
        <f>Z1581+Учет!U1582-U1582</f>
        <v>500000</v>
      </c>
      <c r="AA1582" s="45">
        <f>Учет!X1582</f>
        <v>500</v>
      </c>
    </row>
    <row r="1583" spans="1:27" ht="15" customHeight="1" x14ac:dyDescent="0.25">
      <c r="A1583" s="1"/>
      <c r="B1583" s="17"/>
      <c r="C1583" s="17"/>
      <c r="D1583" s="17"/>
      <c r="E1583" s="17"/>
      <c r="F1583" s="17"/>
      <c r="G1583" s="4">
        <f t="shared" si="69"/>
        <v>0</v>
      </c>
      <c r="H1583" s="17"/>
      <c r="I1583" s="4">
        <f t="shared" si="71"/>
        <v>349526.07999999996</v>
      </c>
      <c r="J1583" s="32" t="str">
        <f t="shared" si="70"/>
        <v/>
      </c>
      <c r="K1583" s="72"/>
      <c r="L1583" s="72"/>
      <c r="M1583" s="2"/>
      <c r="N1583" s="5"/>
      <c r="O1583" s="3"/>
      <c r="P1583" s="6"/>
      <c r="Q1583" s="48">
        <f>IF(Учет!$O1583=Справочники!$F$2,Учет!$H1583,0)</f>
        <v>0</v>
      </c>
      <c r="R1583" s="48">
        <f>IF(Учет!$O1583=Справочники!$F$3,Учет!$H1583,0)</f>
        <v>0</v>
      </c>
      <c r="S1583" s="48">
        <f>IF(Учет!$O1583=Справочники!$F$4,Учет!$H1583,0)</f>
        <v>0</v>
      </c>
      <c r="T1583" s="48">
        <f>IF(Учет!$O1583=Справочники!$F$5,Учет!$H1583,0)</f>
        <v>0</v>
      </c>
      <c r="U1583" s="48">
        <f>IF(Учет!$O1583=Справочники!$F$6,Учет!$H1583,0)</f>
        <v>0</v>
      </c>
      <c r="V1583" s="43">
        <f>V1582+Учет!Q1583-Q1583</f>
        <v>-488978.92000000004</v>
      </c>
      <c r="W1583" s="43">
        <f>W1582+Учет!R1583-R1583</f>
        <v>336855</v>
      </c>
      <c r="X1583" s="43">
        <f>X1582+Учет!S1583-S1583</f>
        <v>500</v>
      </c>
      <c r="Y1583" s="43">
        <f>Y1582+Учет!T1583-T1583</f>
        <v>1150</v>
      </c>
      <c r="Z1583" s="43">
        <f>Z1582+Учет!U1583-U1583</f>
        <v>500000</v>
      </c>
      <c r="AA1583" s="45">
        <f>Учет!X1583</f>
        <v>500</v>
      </c>
    </row>
    <row r="1584" spans="1:27" ht="15" customHeight="1" x14ac:dyDescent="0.25">
      <c r="A1584" s="1"/>
      <c r="B1584" s="17"/>
      <c r="C1584" s="17"/>
      <c r="D1584" s="17"/>
      <c r="E1584" s="17"/>
      <c r="F1584" s="17"/>
      <c r="G1584" s="4">
        <f t="shared" si="69"/>
        <v>0</v>
      </c>
      <c r="H1584" s="17"/>
      <c r="I1584" s="4">
        <f t="shared" si="71"/>
        <v>349526.07999999996</v>
      </c>
      <c r="J1584" s="32" t="str">
        <f t="shared" si="70"/>
        <v/>
      </c>
      <c r="K1584" s="72"/>
      <c r="L1584" s="72"/>
      <c r="M1584" s="2"/>
      <c r="N1584" s="5"/>
      <c r="O1584" s="3"/>
      <c r="P1584" s="6"/>
      <c r="Q1584" s="48">
        <f>IF(Учет!$O1584=Справочники!$F$2,Учет!$H1584,0)</f>
        <v>0</v>
      </c>
      <c r="R1584" s="48">
        <f>IF(Учет!$O1584=Справочники!$F$3,Учет!$H1584,0)</f>
        <v>0</v>
      </c>
      <c r="S1584" s="48">
        <f>IF(Учет!$O1584=Справочники!$F$4,Учет!$H1584,0)</f>
        <v>0</v>
      </c>
      <c r="T1584" s="48">
        <f>IF(Учет!$O1584=Справочники!$F$5,Учет!$H1584,0)</f>
        <v>0</v>
      </c>
      <c r="U1584" s="48">
        <f>IF(Учет!$O1584=Справочники!$F$6,Учет!$H1584,0)</f>
        <v>0</v>
      </c>
      <c r="V1584" s="43">
        <f>V1583+Учет!Q1584-Q1584</f>
        <v>-488978.92000000004</v>
      </c>
      <c r="W1584" s="43">
        <f>W1583+Учет!R1584-R1584</f>
        <v>336855</v>
      </c>
      <c r="X1584" s="43">
        <f>X1583+Учет!S1584-S1584</f>
        <v>500</v>
      </c>
      <c r="Y1584" s="43">
        <f>Y1583+Учет!T1584-T1584</f>
        <v>1150</v>
      </c>
      <c r="Z1584" s="43">
        <f>Z1583+Учет!U1584-U1584</f>
        <v>500000</v>
      </c>
      <c r="AA1584" s="45">
        <f>Учет!X1584</f>
        <v>500</v>
      </c>
    </row>
    <row r="1585" spans="1:27" ht="15" customHeight="1" x14ac:dyDescent="0.25">
      <c r="A1585" s="1"/>
      <c r="B1585" s="17"/>
      <c r="C1585" s="17"/>
      <c r="D1585" s="17"/>
      <c r="E1585" s="17"/>
      <c r="F1585" s="17"/>
      <c r="G1585" s="4">
        <f t="shared" si="69"/>
        <v>0</v>
      </c>
      <c r="H1585" s="17"/>
      <c r="I1585" s="4">
        <f t="shared" si="71"/>
        <v>349526.07999999996</v>
      </c>
      <c r="J1585" s="32" t="str">
        <f t="shared" si="70"/>
        <v/>
      </c>
      <c r="K1585" s="72"/>
      <c r="L1585" s="72"/>
      <c r="M1585" s="2"/>
      <c r="N1585" s="5"/>
      <c r="O1585" s="3"/>
      <c r="P1585" s="6"/>
      <c r="Q1585" s="48">
        <f>IF(Учет!$O1585=Справочники!$F$2,Учет!$H1585,0)</f>
        <v>0</v>
      </c>
      <c r="R1585" s="48">
        <f>IF(Учет!$O1585=Справочники!$F$3,Учет!$H1585,0)</f>
        <v>0</v>
      </c>
      <c r="S1585" s="48">
        <f>IF(Учет!$O1585=Справочники!$F$4,Учет!$H1585,0)</f>
        <v>0</v>
      </c>
      <c r="T1585" s="48">
        <f>IF(Учет!$O1585=Справочники!$F$5,Учет!$H1585,0)</f>
        <v>0</v>
      </c>
      <c r="U1585" s="48">
        <f>IF(Учет!$O1585=Справочники!$F$6,Учет!$H1585,0)</f>
        <v>0</v>
      </c>
      <c r="V1585" s="43">
        <f>V1584+Учет!Q1585-Q1585</f>
        <v>-488978.92000000004</v>
      </c>
      <c r="W1585" s="43">
        <f>W1584+Учет!R1585-R1585</f>
        <v>336855</v>
      </c>
      <c r="X1585" s="43">
        <f>X1584+Учет!S1585-S1585</f>
        <v>500</v>
      </c>
      <c r="Y1585" s="43">
        <f>Y1584+Учет!T1585-T1585</f>
        <v>1150</v>
      </c>
      <c r="Z1585" s="43">
        <f>Z1584+Учет!U1585-U1585</f>
        <v>500000</v>
      </c>
      <c r="AA1585" s="45">
        <f>Учет!X1585</f>
        <v>500</v>
      </c>
    </row>
    <row r="1586" spans="1:27" ht="15" customHeight="1" x14ac:dyDescent="0.25">
      <c r="A1586" s="1"/>
      <c r="B1586" s="17"/>
      <c r="C1586" s="17"/>
      <c r="D1586" s="17"/>
      <c r="E1586" s="17"/>
      <c r="F1586" s="17"/>
      <c r="G1586" s="4">
        <f t="shared" si="69"/>
        <v>0</v>
      </c>
      <c r="H1586" s="17"/>
      <c r="I1586" s="4">
        <f t="shared" si="71"/>
        <v>349526.07999999996</v>
      </c>
      <c r="J1586" s="32" t="str">
        <f t="shared" si="70"/>
        <v/>
      </c>
      <c r="K1586" s="72"/>
      <c r="L1586" s="72"/>
      <c r="M1586" s="2"/>
      <c r="N1586" s="5"/>
      <c r="O1586" s="3"/>
      <c r="P1586" s="6"/>
      <c r="Q1586" s="48">
        <f>IF(Учет!$O1586=Справочники!$F$2,Учет!$H1586,0)</f>
        <v>0</v>
      </c>
      <c r="R1586" s="48">
        <f>IF(Учет!$O1586=Справочники!$F$3,Учет!$H1586,0)</f>
        <v>0</v>
      </c>
      <c r="S1586" s="48">
        <f>IF(Учет!$O1586=Справочники!$F$4,Учет!$H1586,0)</f>
        <v>0</v>
      </c>
      <c r="T1586" s="48">
        <f>IF(Учет!$O1586=Справочники!$F$5,Учет!$H1586,0)</f>
        <v>0</v>
      </c>
      <c r="U1586" s="48">
        <f>IF(Учет!$O1586=Справочники!$F$6,Учет!$H1586,0)</f>
        <v>0</v>
      </c>
      <c r="V1586" s="43">
        <f>V1585+Учет!Q1586-Q1586</f>
        <v>-488978.92000000004</v>
      </c>
      <c r="W1586" s="43">
        <f>W1585+Учет!R1586-R1586</f>
        <v>336855</v>
      </c>
      <c r="X1586" s="43">
        <f>X1585+Учет!S1586-S1586</f>
        <v>500</v>
      </c>
      <c r="Y1586" s="43">
        <f>Y1585+Учет!T1586-T1586</f>
        <v>1150</v>
      </c>
      <c r="Z1586" s="43">
        <f>Z1585+Учет!U1586-U1586</f>
        <v>500000</v>
      </c>
      <c r="AA1586" s="45">
        <f>Учет!X1586</f>
        <v>500</v>
      </c>
    </row>
    <row r="1587" spans="1:27" ht="15" customHeight="1" x14ac:dyDescent="0.25">
      <c r="A1587" s="1"/>
      <c r="B1587" s="17"/>
      <c r="C1587" s="17"/>
      <c r="D1587" s="17"/>
      <c r="E1587" s="17"/>
      <c r="F1587" s="17"/>
      <c r="G1587" s="4">
        <f t="shared" si="69"/>
        <v>0</v>
      </c>
      <c r="H1587" s="17"/>
      <c r="I1587" s="4">
        <f t="shared" si="71"/>
        <v>349526.07999999996</v>
      </c>
      <c r="J1587" s="32" t="str">
        <f t="shared" si="70"/>
        <v/>
      </c>
      <c r="K1587" s="72"/>
      <c r="L1587" s="72"/>
      <c r="M1587" s="2"/>
      <c r="N1587" s="5"/>
      <c r="O1587" s="3"/>
      <c r="P1587" s="6"/>
      <c r="Q1587" s="48">
        <f>IF(Учет!$O1587=Справочники!$F$2,Учет!$H1587,0)</f>
        <v>0</v>
      </c>
      <c r="R1587" s="48">
        <f>IF(Учет!$O1587=Справочники!$F$3,Учет!$H1587,0)</f>
        <v>0</v>
      </c>
      <c r="S1587" s="48">
        <f>IF(Учет!$O1587=Справочники!$F$4,Учет!$H1587,0)</f>
        <v>0</v>
      </c>
      <c r="T1587" s="48">
        <f>IF(Учет!$O1587=Справочники!$F$5,Учет!$H1587,0)</f>
        <v>0</v>
      </c>
      <c r="U1587" s="48">
        <f>IF(Учет!$O1587=Справочники!$F$6,Учет!$H1587,0)</f>
        <v>0</v>
      </c>
      <c r="V1587" s="43">
        <f>V1586+Учет!Q1587-Q1587</f>
        <v>-488978.92000000004</v>
      </c>
      <c r="W1587" s="43">
        <f>W1586+Учет!R1587-R1587</f>
        <v>336855</v>
      </c>
      <c r="X1587" s="43">
        <f>X1586+Учет!S1587-S1587</f>
        <v>500</v>
      </c>
      <c r="Y1587" s="43">
        <f>Y1586+Учет!T1587-T1587</f>
        <v>1150</v>
      </c>
      <c r="Z1587" s="43">
        <f>Z1586+Учет!U1587-U1587</f>
        <v>500000</v>
      </c>
      <c r="AA1587" s="45">
        <f>Учет!X1587</f>
        <v>500</v>
      </c>
    </row>
    <row r="1588" spans="1:27" ht="15" customHeight="1" x14ac:dyDescent="0.25">
      <c r="A1588" s="1"/>
      <c r="B1588" s="17"/>
      <c r="C1588" s="17"/>
      <c r="D1588" s="17"/>
      <c r="E1588" s="17"/>
      <c r="F1588" s="17"/>
      <c r="G1588" s="4">
        <f t="shared" si="69"/>
        <v>0</v>
      </c>
      <c r="H1588" s="17"/>
      <c r="I1588" s="4">
        <f t="shared" si="71"/>
        <v>349526.07999999996</v>
      </c>
      <c r="J1588" s="32" t="str">
        <f t="shared" si="70"/>
        <v/>
      </c>
      <c r="K1588" s="72"/>
      <c r="L1588" s="72"/>
      <c r="M1588" s="2"/>
      <c r="N1588" s="5"/>
      <c r="O1588" s="3"/>
      <c r="P1588" s="6"/>
      <c r="Q1588" s="48">
        <f>IF(Учет!$O1588=Справочники!$F$2,Учет!$H1588,0)</f>
        <v>0</v>
      </c>
      <c r="R1588" s="48">
        <f>IF(Учет!$O1588=Справочники!$F$3,Учет!$H1588,0)</f>
        <v>0</v>
      </c>
      <c r="S1588" s="48">
        <f>IF(Учет!$O1588=Справочники!$F$4,Учет!$H1588,0)</f>
        <v>0</v>
      </c>
      <c r="T1588" s="48">
        <f>IF(Учет!$O1588=Справочники!$F$5,Учет!$H1588,0)</f>
        <v>0</v>
      </c>
      <c r="U1588" s="48">
        <f>IF(Учет!$O1588=Справочники!$F$6,Учет!$H1588,0)</f>
        <v>0</v>
      </c>
      <c r="V1588" s="43">
        <f>V1587+Учет!Q1588-Q1588</f>
        <v>-488978.92000000004</v>
      </c>
      <c r="W1588" s="43">
        <f>W1587+Учет!R1588-R1588</f>
        <v>336855</v>
      </c>
      <c r="X1588" s="43">
        <f>X1587+Учет!S1588-S1588</f>
        <v>500</v>
      </c>
      <c r="Y1588" s="43">
        <f>Y1587+Учет!T1588-T1588</f>
        <v>1150</v>
      </c>
      <c r="Z1588" s="43">
        <f>Z1587+Учет!U1588-U1588</f>
        <v>500000</v>
      </c>
      <c r="AA1588" s="45">
        <f>Учет!X1588</f>
        <v>500</v>
      </c>
    </row>
    <row r="1589" spans="1:27" ht="15" customHeight="1" x14ac:dyDescent="0.25">
      <c r="A1589" s="1"/>
      <c r="B1589" s="17"/>
      <c r="C1589" s="17"/>
      <c r="D1589" s="17"/>
      <c r="E1589" s="17"/>
      <c r="F1589" s="17"/>
      <c r="G1589" s="4">
        <f t="shared" si="69"/>
        <v>0</v>
      </c>
      <c r="H1589" s="17"/>
      <c r="I1589" s="4">
        <f t="shared" si="71"/>
        <v>349526.07999999996</v>
      </c>
      <c r="J1589" s="32" t="str">
        <f t="shared" si="70"/>
        <v/>
      </c>
      <c r="K1589" s="72"/>
      <c r="L1589" s="72"/>
      <c r="M1589" s="2"/>
      <c r="N1589" s="5"/>
      <c r="O1589" s="3"/>
      <c r="P1589" s="6"/>
      <c r="Q1589" s="48">
        <f>IF(Учет!$O1589=Справочники!$F$2,Учет!$H1589,0)</f>
        <v>0</v>
      </c>
      <c r="R1589" s="48">
        <f>IF(Учет!$O1589=Справочники!$F$3,Учет!$H1589,0)</f>
        <v>0</v>
      </c>
      <c r="S1589" s="48">
        <f>IF(Учет!$O1589=Справочники!$F$4,Учет!$H1589,0)</f>
        <v>0</v>
      </c>
      <c r="T1589" s="48">
        <f>IF(Учет!$O1589=Справочники!$F$5,Учет!$H1589,0)</f>
        <v>0</v>
      </c>
      <c r="U1589" s="48">
        <f>IF(Учет!$O1589=Справочники!$F$6,Учет!$H1589,0)</f>
        <v>0</v>
      </c>
      <c r="V1589" s="43">
        <f>V1588+Учет!Q1589-Q1589</f>
        <v>-488978.92000000004</v>
      </c>
      <c r="W1589" s="43">
        <f>W1588+Учет!R1589-R1589</f>
        <v>336855</v>
      </c>
      <c r="X1589" s="43">
        <f>X1588+Учет!S1589-S1589</f>
        <v>500</v>
      </c>
      <c r="Y1589" s="43">
        <f>Y1588+Учет!T1589-T1589</f>
        <v>1150</v>
      </c>
      <c r="Z1589" s="43">
        <f>Z1588+Учет!U1589-U1589</f>
        <v>500000</v>
      </c>
      <c r="AA1589" s="45">
        <f>Учет!X1589</f>
        <v>500</v>
      </c>
    </row>
    <row r="1590" spans="1:27" ht="15" customHeight="1" x14ac:dyDescent="0.25">
      <c r="A1590" s="1"/>
      <c r="B1590" s="17"/>
      <c r="C1590" s="17"/>
      <c r="D1590" s="17"/>
      <c r="E1590" s="17"/>
      <c r="F1590" s="17"/>
      <c r="G1590" s="4">
        <f t="shared" si="69"/>
        <v>0</v>
      </c>
      <c r="H1590" s="17"/>
      <c r="I1590" s="4">
        <f t="shared" si="71"/>
        <v>349526.07999999996</v>
      </c>
      <c r="J1590" s="32" t="str">
        <f t="shared" si="70"/>
        <v/>
      </c>
      <c r="K1590" s="72"/>
      <c r="L1590" s="72"/>
      <c r="M1590" s="2"/>
      <c r="N1590" s="5"/>
      <c r="O1590" s="3"/>
      <c r="P1590" s="6"/>
      <c r="Q1590" s="48">
        <f>IF(Учет!$O1590=Справочники!$F$2,Учет!$H1590,0)</f>
        <v>0</v>
      </c>
      <c r="R1590" s="48">
        <f>IF(Учет!$O1590=Справочники!$F$3,Учет!$H1590,0)</f>
        <v>0</v>
      </c>
      <c r="S1590" s="48">
        <f>IF(Учет!$O1590=Справочники!$F$4,Учет!$H1590,0)</f>
        <v>0</v>
      </c>
      <c r="T1590" s="48">
        <f>IF(Учет!$O1590=Справочники!$F$5,Учет!$H1590,0)</f>
        <v>0</v>
      </c>
      <c r="U1590" s="48">
        <f>IF(Учет!$O1590=Справочники!$F$6,Учет!$H1590,0)</f>
        <v>0</v>
      </c>
      <c r="V1590" s="43">
        <f>V1589+Учет!Q1590-Q1590</f>
        <v>-488978.92000000004</v>
      </c>
      <c r="W1590" s="43">
        <f>W1589+Учет!R1590-R1590</f>
        <v>336855</v>
      </c>
      <c r="X1590" s="43">
        <f>X1589+Учет!S1590-S1590</f>
        <v>500</v>
      </c>
      <c r="Y1590" s="43">
        <f>Y1589+Учет!T1590-T1590</f>
        <v>1150</v>
      </c>
      <c r="Z1590" s="43">
        <f>Z1589+Учет!U1590-U1590</f>
        <v>500000</v>
      </c>
      <c r="AA1590" s="45">
        <f>Учет!X1590</f>
        <v>500</v>
      </c>
    </row>
    <row r="1591" spans="1:27" ht="15" customHeight="1" x14ac:dyDescent="0.25">
      <c r="A1591" s="1"/>
      <c r="B1591" s="17"/>
      <c r="C1591" s="17"/>
      <c r="D1591" s="17"/>
      <c r="E1591" s="17"/>
      <c r="F1591" s="17"/>
      <c r="G1591" s="4">
        <f t="shared" si="69"/>
        <v>0</v>
      </c>
      <c r="H1591" s="17"/>
      <c r="I1591" s="4">
        <f t="shared" si="71"/>
        <v>349526.07999999996</v>
      </c>
      <c r="J1591" s="32" t="str">
        <f t="shared" si="70"/>
        <v/>
      </c>
      <c r="K1591" s="72"/>
      <c r="L1591" s="72"/>
      <c r="M1591" s="2"/>
      <c r="N1591" s="5"/>
      <c r="O1591" s="3"/>
      <c r="P1591" s="6"/>
      <c r="Q1591" s="48">
        <f>IF(Учет!$O1591=Справочники!$F$2,Учет!$H1591,0)</f>
        <v>0</v>
      </c>
      <c r="R1591" s="48">
        <f>IF(Учет!$O1591=Справочники!$F$3,Учет!$H1591,0)</f>
        <v>0</v>
      </c>
      <c r="S1591" s="48">
        <f>IF(Учет!$O1591=Справочники!$F$4,Учет!$H1591,0)</f>
        <v>0</v>
      </c>
      <c r="T1591" s="48">
        <f>IF(Учет!$O1591=Справочники!$F$5,Учет!$H1591,0)</f>
        <v>0</v>
      </c>
      <c r="U1591" s="48">
        <f>IF(Учет!$O1591=Справочники!$F$6,Учет!$H1591,0)</f>
        <v>0</v>
      </c>
      <c r="V1591" s="43">
        <f>V1590+Учет!Q1591-Q1591</f>
        <v>-488978.92000000004</v>
      </c>
      <c r="W1591" s="43">
        <f>W1590+Учет!R1591-R1591</f>
        <v>336855</v>
      </c>
      <c r="X1591" s="43">
        <f>X1590+Учет!S1591-S1591</f>
        <v>500</v>
      </c>
      <c r="Y1591" s="43">
        <f>Y1590+Учет!T1591-T1591</f>
        <v>1150</v>
      </c>
      <c r="Z1591" s="43">
        <f>Z1590+Учет!U1591-U1591</f>
        <v>500000</v>
      </c>
      <c r="AA1591" s="45">
        <f>Учет!X1591</f>
        <v>500</v>
      </c>
    </row>
    <row r="1592" spans="1:27" ht="15" customHeight="1" x14ac:dyDescent="0.25">
      <c r="A1592" s="1"/>
      <c r="B1592" s="17"/>
      <c r="C1592" s="17"/>
      <c r="D1592" s="17"/>
      <c r="E1592" s="17"/>
      <c r="F1592" s="17"/>
      <c r="G1592" s="4">
        <f t="shared" si="69"/>
        <v>0</v>
      </c>
      <c r="H1592" s="17"/>
      <c r="I1592" s="4">
        <f t="shared" si="71"/>
        <v>349526.07999999996</v>
      </c>
      <c r="J1592" s="32" t="str">
        <f t="shared" si="70"/>
        <v/>
      </c>
      <c r="K1592" s="72"/>
      <c r="L1592" s="72"/>
      <c r="M1592" s="2"/>
      <c r="N1592" s="5"/>
      <c r="O1592" s="3"/>
      <c r="P1592" s="6"/>
      <c r="Q1592" s="48">
        <f>IF(Учет!$O1592=Справочники!$F$2,Учет!$H1592,0)</f>
        <v>0</v>
      </c>
      <c r="R1592" s="48">
        <f>IF(Учет!$O1592=Справочники!$F$3,Учет!$H1592,0)</f>
        <v>0</v>
      </c>
      <c r="S1592" s="48">
        <f>IF(Учет!$O1592=Справочники!$F$4,Учет!$H1592,0)</f>
        <v>0</v>
      </c>
      <c r="T1592" s="48">
        <f>IF(Учет!$O1592=Справочники!$F$5,Учет!$H1592,0)</f>
        <v>0</v>
      </c>
      <c r="U1592" s="48">
        <f>IF(Учет!$O1592=Справочники!$F$6,Учет!$H1592,0)</f>
        <v>0</v>
      </c>
      <c r="V1592" s="43">
        <f>V1591+Учет!Q1592-Q1592</f>
        <v>-488978.92000000004</v>
      </c>
      <c r="W1592" s="43">
        <f>W1591+Учет!R1592-R1592</f>
        <v>336855</v>
      </c>
      <c r="X1592" s="43">
        <f>X1591+Учет!S1592-S1592</f>
        <v>500</v>
      </c>
      <c r="Y1592" s="43">
        <f>Y1591+Учет!T1592-T1592</f>
        <v>1150</v>
      </c>
      <c r="Z1592" s="43">
        <f>Z1591+Учет!U1592-U1592</f>
        <v>500000</v>
      </c>
      <c r="AA1592" s="45">
        <f>Учет!X1592</f>
        <v>500</v>
      </c>
    </row>
    <row r="1593" spans="1:27" ht="15" customHeight="1" x14ac:dyDescent="0.25">
      <c r="A1593" s="1"/>
      <c r="B1593" s="17"/>
      <c r="C1593" s="17"/>
      <c r="D1593" s="17"/>
      <c r="E1593" s="17"/>
      <c r="F1593" s="17"/>
      <c r="G1593" s="4">
        <f t="shared" si="69"/>
        <v>0</v>
      </c>
      <c r="H1593" s="17"/>
      <c r="I1593" s="4">
        <f t="shared" si="71"/>
        <v>349526.07999999996</v>
      </c>
      <c r="J1593" s="32" t="str">
        <f t="shared" si="70"/>
        <v/>
      </c>
      <c r="K1593" s="72"/>
      <c r="L1593" s="72"/>
      <c r="M1593" s="2"/>
      <c r="N1593" s="5"/>
      <c r="O1593" s="3"/>
      <c r="P1593" s="6"/>
      <c r="Q1593" s="48">
        <f>IF(Учет!$O1593=Справочники!$F$2,Учет!$H1593,0)</f>
        <v>0</v>
      </c>
      <c r="R1593" s="48">
        <f>IF(Учет!$O1593=Справочники!$F$3,Учет!$H1593,0)</f>
        <v>0</v>
      </c>
      <c r="S1593" s="48">
        <f>IF(Учет!$O1593=Справочники!$F$4,Учет!$H1593,0)</f>
        <v>0</v>
      </c>
      <c r="T1593" s="48">
        <f>IF(Учет!$O1593=Справочники!$F$5,Учет!$H1593,0)</f>
        <v>0</v>
      </c>
      <c r="U1593" s="48">
        <f>IF(Учет!$O1593=Справочники!$F$6,Учет!$H1593,0)</f>
        <v>0</v>
      </c>
      <c r="V1593" s="43">
        <f>V1592+Учет!Q1593-Q1593</f>
        <v>-488978.92000000004</v>
      </c>
      <c r="W1593" s="43">
        <f>W1592+Учет!R1593-R1593</f>
        <v>336855</v>
      </c>
      <c r="X1593" s="43">
        <f>X1592+Учет!S1593-S1593</f>
        <v>500</v>
      </c>
      <c r="Y1593" s="43">
        <f>Y1592+Учет!T1593-T1593</f>
        <v>1150</v>
      </c>
      <c r="Z1593" s="43">
        <f>Z1592+Учет!U1593-U1593</f>
        <v>500000</v>
      </c>
      <c r="AA1593" s="45">
        <f>Учет!X1593</f>
        <v>500</v>
      </c>
    </row>
    <row r="1594" spans="1:27" ht="15" customHeight="1" x14ac:dyDescent="0.25">
      <c r="A1594" s="1"/>
      <c r="B1594" s="17"/>
      <c r="C1594" s="17"/>
      <c r="D1594" s="17"/>
      <c r="E1594" s="17"/>
      <c r="F1594" s="17"/>
      <c r="G1594" s="4">
        <f t="shared" si="69"/>
        <v>0</v>
      </c>
      <c r="H1594" s="17"/>
      <c r="I1594" s="4">
        <f t="shared" si="71"/>
        <v>349526.07999999996</v>
      </c>
      <c r="J1594" s="32" t="str">
        <f t="shared" si="70"/>
        <v/>
      </c>
      <c r="K1594" s="72"/>
      <c r="L1594" s="72"/>
      <c r="M1594" s="2"/>
      <c r="N1594" s="5"/>
      <c r="O1594" s="3"/>
      <c r="P1594" s="6"/>
      <c r="Q1594" s="48">
        <f>IF(Учет!$O1594=Справочники!$F$2,Учет!$H1594,0)</f>
        <v>0</v>
      </c>
      <c r="R1594" s="48">
        <f>IF(Учет!$O1594=Справочники!$F$3,Учет!$H1594,0)</f>
        <v>0</v>
      </c>
      <c r="S1594" s="48">
        <f>IF(Учет!$O1594=Справочники!$F$4,Учет!$H1594,0)</f>
        <v>0</v>
      </c>
      <c r="T1594" s="48">
        <f>IF(Учет!$O1594=Справочники!$F$5,Учет!$H1594,0)</f>
        <v>0</v>
      </c>
      <c r="U1594" s="48">
        <f>IF(Учет!$O1594=Справочники!$F$6,Учет!$H1594,0)</f>
        <v>0</v>
      </c>
      <c r="V1594" s="43">
        <f>V1593+Учет!Q1594-Q1594</f>
        <v>-488978.92000000004</v>
      </c>
      <c r="W1594" s="43">
        <f>W1593+Учет!R1594-R1594</f>
        <v>336855</v>
      </c>
      <c r="X1594" s="43">
        <f>X1593+Учет!S1594-S1594</f>
        <v>500</v>
      </c>
      <c r="Y1594" s="43">
        <f>Y1593+Учет!T1594-T1594</f>
        <v>1150</v>
      </c>
      <c r="Z1594" s="43">
        <f>Z1593+Учет!U1594-U1594</f>
        <v>500000</v>
      </c>
      <c r="AA1594" s="45">
        <f>Учет!X1594</f>
        <v>500</v>
      </c>
    </row>
    <row r="1595" spans="1:27" ht="15" customHeight="1" x14ac:dyDescent="0.25">
      <c r="A1595" s="1"/>
      <c r="B1595" s="17"/>
      <c r="C1595" s="17"/>
      <c r="D1595" s="17"/>
      <c r="E1595" s="17"/>
      <c r="F1595" s="17"/>
      <c r="G1595" s="4">
        <f t="shared" si="69"/>
        <v>0</v>
      </c>
      <c r="H1595" s="17"/>
      <c r="I1595" s="4">
        <f t="shared" si="71"/>
        <v>349526.07999999996</v>
      </c>
      <c r="J1595" s="32" t="str">
        <f t="shared" si="70"/>
        <v/>
      </c>
      <c r="K1595" s="72"/>
      <c r="L1595" s="72"/>
      <c r="M1595" s="2"/>
      <c r="N1595" s="5"/>
      <c r="O1595" s="3"/>
      <c r="P1595" s="6"/>
      <c r="Q1595" s="48">
        <f>IF(Учет!$O1595=Справочники!$F$2,Учет!$H1595,0)</f>
        <v>0</v>
      </c>
      <c r="R1595" s="48">
        <f>IF(Учет!$O1595=Справочники!$F$3,Учет!$H1595,0)</f>
        <v>0</v>
      </c>
      <c r="S1595" s="48">
        <f>IF(Учет!$O1595=Справочники!$F$4,Учет!$H1595,0)</f>
        <v>0</v>
      </c>
      <c r="T1595" s="48">
        <f>IF(Учет!$O1595=Справочники!$F$5,Учет!$H1595,0)</f>
        <v>0</v>
      </c>
      <c r="U1595" s="48">
        <f>IF(Учет!$O1595=Справочники!$F$6,Учет!$H1595,0)</f>
        <v>0</v>
      </c>
      <c r="V1595" s="43">
        <f>V1594+Учет!Q1595-Q1595</f>
        <v>-488978.92000000004</v>
      </c>
      <c r="W1595" s="43">
        <f>W1594+Учет!R1595-R1595</f>
        <v>336855</v>
      </c>
      <c r="X1595" s="43">
        <f>X1594+Учет!S1595-S1595</f>
        <v>500</v>
      </c>
      <c r="Y1595" s="43">
        <f>Y1594+Учет!T1595-T1595</f>
        <v>1150</v>
      </c>
      <c r="Z1595" s="43">
        <f>Z1594+Учет!U1595-U1595</f>
        <v>500000</v>
      </c>
      <c r="AA1595" s="45">
        <f>Учет!X1595</f>
        <v>500</v>
      </c>
    </row>
    <row r="1596" spans="1:27" ht="15" customHeight="1" x14ac:dyDescent="0.25">
      <c r="A1596" s="1"/>
      <c r="B1596" s="17"/>
      <c r="C1596" s="17"/>
      <c r="D1596" s="17"/>
      <c r="E1596" s="17"/>
      <c r="F1596" s="17"/>
      <c r="G1596" s="4">
        <f t="shared" si="69"/>
        <v>0</v>
      </c>
      <c r="H1596" s="17"/>
      <c r="I1596" s="4">
        <f t="shared" si="71"/>
        <v>349526.07999999996</v>
      </c>
      <c r="J1596" s="32" t="str">
        <f t="shared" si="70"/>
        <v/>
      </c>
      <c r="K1596" s="72"/>
      <c r="L1596" s="72"/>
      <c r="M1596" s="2"/>
      <c r="N1596" s="5"/>
      <c r="O1596" s="3"/>
      <c r="P1596" s="6"/>
      <c r="Q1596" s="48">
        <f>IF(Учет!$O1596=Справочники!$F$2,Учет!$H1596,0)</f>
        <v>0</v>
      </c>
      <c r="R1596" s="48">
        <f>IF(Учет!$O1596=Справочники!$F$3,Учет!$H1596,0)</f>
        <v>0</v>
      </c>
      <c r="S1596" s="48">
        <f>IF(Учет!$O1596=Справочники!$F$4,Учет!$H1596,0)</f>
        <v>0</v>
      </c>
      <c r="T1596" s="48">
        <f>IF(Учет!$O1596=Справочники!$F$5,Учет!$H1596,0)</f>
        <v>0</v>
      </c>
      <c r="U1596" s="48">
        <f>IF(Учет!$O1596=Справочники!$F$6,Учет!$H1596,0)</f>
        <v>0</v>
      </c>
      <c r="V1596" s="43">
        <f>V1595+Учет!Q1596-Q1596</f>
        <v>-488978.92000000004</v>
      </c>
      <c r="W1596" s="43">
        <f>W1595+Учет!R1596-R1596</f>
        <v>336855</v>
      </c>
      <c r="X1596" s="43">
        <f>X1595+Учет!S1596-S1596</f>
        <v>500</v>
      </c>
      <c r="Y1596" s="43">
        <f>Y1595+Учет!T1596-T1596</f>
        <v>1150</v>
      </c>
      <c r="Z1596" s="43">
        <f>Z1595+Учет!U1596-U1596</f>
        <v>500000</v>
      </c>
      <c r="AA1596" s="45">
        <f>Учет!X1596</f>
        <v>500</v>
      </c>
    </row>
    <row r="1597" spans="1:27" ht="15" customHeight="1" x14ac:dyDescent="0.25">
      <c r="A1597" s="1"/>
      <c r="B1597" s="17"/>
      <c r="C1597" s="17"/>
      <c r="D1597" s="17"/>
      <c r="E1597" s="17"/>
      <c r="F1597" s="17"/>
      <c r="G1597" s="4">
        <f t="shared" si="69"/>
        <v>0</v>
      </c>
      <c r="H1597" s="17"/>
      <c r="I1597" s="4">
        <f t="shared" si="71"/>
        <v>349526.07999999996</v>
      </c>
      <c r="J1597" s="32" t="str">
        <f t="shared" si="70"/>
        <v/>
      </c>
      <c r="K1597" s="72"/>
      <c r="L1597" s="72"/>
      <c r="M1597" s="2"/>
      <c r="N1597" s="5"/>
      <c r="O1597" s="3"/>
      <c r="P1597" s="6"/>
      <c r="Q1597" s="48">
        <f>IF(Учет!$O1597=Справочники!$F$2,Учет!$H1597,0)</f>
        <v>0</v>
      </c>
      <c r="R1597" s="48">
        <f>IF(Учет!$O1597=Справочники!$F$3,Учет!$H1597,0)</f>
        <v>0</v>
      </c>
      <c r="S1597" s="48">
        <f>IF(Учет!$O1597=Справочники!$F$4,Учет!$H1597,0)</f>
        <v>0</v>
      </c>
      <c r="T1597" s="48">
        <f>IF(Учет!$O1597=Справочники!$F$5,Учет!$H1597,0)</f>
        <v>0</v>
      </c>
      <c r="U1597" s="48">
        <f>IF(Учет!$O1597=Справочники!$F$6,Учет!$H1597,0)</f>
        <v>0</v>
      </c>
      <c r="V1597" s="43">
        <f>V1596+Учет!Q1597-Q1597</f>
        <v>-488978.92000000004</v>
      </c>
      <c r="W1597" s="43">
        <f>W1596+Учет!R1597-R1597</f>
        <v>336855</v>
      </c>
      <c r="X1597" s="43">
        <f>X1596+Учет!S1597-S1597</f>
        <v>500</v>
      </c>
      <c r="Y1597" s="43">
        <f>Y1596+Учет!T1597-T1597</f>
        <v>1150</v>
      </c>
      <c r="Z1597" s="43">
        <f>Z1596+Учет!U1597-U1597</f>
        <v>500000</v>
      </c>
      <c r="AA1597" s="45">
        <f>Учет!X1597</f>
        <v>500</v>
      </c>
    </row>
    <row r="1598" spans="1:27" ht="15" customHeight="1" x14ac:dyDescent="0.25">
      <c r="A1598" s="1"/>
      <c r="B1598" s="17"/>
      <c r="C1598" s="17"/>
      <c r="D1598" s="17"/>
      <c r="E1598" s="17"/>
      <c r="F1598" s="17"/>
      <c r="G1598" s="4">
        <f t="shared" si="69"/>
        <v>0</v>
      </c>
      <c r="H1598" s="17"/>
      <c r="I1598" s="4">
        <f t="shared" si="71"/>
        <v>349526.07999999996</v>
      </c>
      <c r="J1598" s="32" t="str">
        <f t="shared" si="70"/>
        <v/>
      </c>
      <c r="K1598" s="72"/>
      <c r="L1598" s="72"/>
      <c r="M1598" s="2"/>
      <c r="N1598" s="5"/>
      <c r="O1598" s="3"/>
      <c r="P1598" s="6"/>
      <c r="Q1598" s="48">
        <f>IF(Учет!$O1598=Справочники!$F$2,Учет!$H1598,0)</f>
        <v>0</v>
      </c>
      <c r="R1598" s="48">
        <f>IF(Учет!$O1598=Справочники!$F$3,Учет!$H1598,0)</f>
        <v>0</v>
      </c>
      <c r="S1598" s="48">
        <f>IF(Учет!$O1598=Справочники!$F$4,Учет!$H1598,0)</f>
        <v>0</v>
      </c>
      <c r="T1598" s="48">
        <f>IF(Учет!$O1598=Справочники!$F$5,Учет!$H1598,0)</f>
        <v>0</v>
      </c>
      <c r="U1598" s="48">
        <f>IF(Учет!$O1598=Справочники!$F$6,Учет!$H1598,0)</f>
        <v>0</v>
      </c>
      <c r="V1598" s="43">
        <f>V1597+Учет!Q1598-Q1598</f>
        <v>-488978.92000000004</v>
      </c>
      <c r="W1598" s="43">
        <f>W1597+Учет!R1598-R1598</f>
        <v>336855</v>
      </c>
      <c r="X1598" s="43">
        <f>X1597+Учет!S1598-S1598</f>
        <v>500</v>
      </c>
      <c r="Y1598" s="43">
        <f>Y1597+Учет!T1598-T1598</f>
        <v>1150</v>
      </c>
      <c r="Z1598" s="43">
        <f>Z1597+Учет!U1598-U1598</f>
        <v>500000</v>
      </c>
      <c r="AA1598" s="45">
        <f>Учет!X1598</f>
        <v>500</v>
      </c>
    </row>
    <row r="1599" spans="1:27" ht="15" customHeight="1" x14ac:dyDescent="0.25">
      <c r="A1599" s="1"/>
      <c r="B1599" s="17"/>
      <c r="C1599" s="17"/>
      <c r="D1599" s="17"/>
      <c r="E1599" s="17"/>
      <c r="F1599" s="17"/>
      <c r="G1599" s="4">
        <f t="shared" si="69"/>
        <v>0</v>
      </c>
      <c r="H1599" s="17"/>
      <c r="I1599" s="4">
        <f t="shared" si="71"/>
        <v>349526.07999999996</v>
      </c>
      <c r="J1599" s="32" t="str">
        <f t="shared" si="70"/>
        <v/>
      </c>
      <c r="K1599" s="72"/>
      <c r="L1599" s="72"/>
      <c r="M1599" s="2"/>
      <c r="N1599" s="5"/>
      <c r="O1599" s="3"/>
      <c r="P1599" s="6"/>
      <c r="Q1599" s="48">
        <f>IF(Учет!$O1599=Справочники!$F$2,Учет!$H1599,0)</f>
        <v>0</v>
      </c>
      <c r="R1599" s="48">
        <f>IF(Учет!$O1599=Справочники!$F$3,Учет!$H1599,0)</f>
        <v>0</v>
      </c>
      <c r="S1599" s="48">
        <f>IF(Учет!$O1599=Справочники!$F$4,Учет!$H1599,0)</f>
        <v>0</v>
      </c>
      <c r="T1599" s="48">
        <f>IF(Учет!$O1599=Справочники!$F$5,Учет!$H1599,0)</f>
        <v>0</v>
      </c>
      <c r="U1599" s="48">
        <f>IF(Учет!$O1599=Справочники!$F$6,Учет!$H1599,0)</f>
        <v>0</v>
      </c>
      <c r="V1599" s="43">
        <f>V1598+Учет!Q1599-Q1599</f>
        <v>-488978.92000000004</v>
      </c>
      <c r="W1599" s="43">
        <f>W1598+Учет!R1599-R1599</f>
        <v>336855</v>
      </c>
      <c r="X1599" s="43">
        <f>X1598+Учет!S1599-S1599</f>
        <v>500</v>
      </c>
      <c r="Y1599" s="43">
        <f>Y1598+Учет!T1599-T1599</f>
        <v>1150</v>
      </c>
      <c r="Z1599" s="43">
        <f>Z1598+Учет!U1599-U1599</f>
        <v>500000</v>
      </c>
      <c r="AA1599" s="45">
        <f>Учет!X1599</f>
        <v>500</v>
      </c>
    </row>
    <row r="1600" spans="1:27" ht="15" customHeight="1" x14ac:dyDescent="0.25">
      <c r="A1600" s="1"/>
      <c r="B1600" s="17"/>
      <c r="C1600" s="17"/>
      <c r="D1600" s="17"/>
      <c r="E1600" s="17"/>
      <c r="F1600" s="17"/>
      <c r="G1600" s="4">
        <f t="shared" si="69"/>
        <v>0</v>
      </c>
      <c r="H1600" s="17"/>
      <c r="I1600" s="4">
        <f t="shared" si="71"/>
        <v>349526.07999999996</v>
      </c>
      <c r="J1600" s="32" t="str">
        <f t="shared" si="70"/>
        <v/>
      </c>
      <c r="K1600" s="72"/>
      <c r="L1600" s="72"/>
      <c r="M1600" s="2"/>
      <c r="N1600" s="5"/>
      <c r="O1600" s="3"/>
      <c r="P1600" s="6"/>
      <c r="Q1600" s="48">
        <f>IF(Учет!$O1600=Справочники!$F$2,Учет!$H1600,0)</f>
        <v>0</v>
      </c>
      <c r="R1600" s="48">
        <f>IF(Учет!$O1600=Справочники!$F$3,Учет!$H1600,0)</f>
        <v>0</v>
      </c>
      <c r="S1600" s="48">
        <f>IF(Учет!$O1600=Справочники!$F$4,Учет!$H1600,0)</f>
        <v>0</v>
      </c>
      <c r="T1600" s="48">
        <f>IF(Учет!$O1600=Справочники!$F$5,Учет!$H1600,0)</f>
        <v>0</v>
      </c>
      <c r="U1600" s="48">
        <f>IF(Учет!$O1600=Справочники!$F$6,Учет!$H1600,0)</f>
        <v>0</v>
      </c>
      <c r="V1600" s="43">
        <f>V1599+Учет!Q1600-Q1600</f>
        <v>-488978.92000000004</v>
      </c>
      <c r="W1600" s="43">
        <f>W1599+Учет!R1600-R1600</f>
        <v>336855</v>
      </c>
      <c r="X1600" s="43">
        <f>X1599+Учет!S1600-S1600</f>
        <v>500</v>
      </c>
      <c r="Y1600" s="43">
        <f>Y1599+Учет!T1600-T1600</f>
        <v>1150</v>
      </c>
      <c r="Z1600" s="43">
        <f>Z1599+Учет!U1600-U1600</f>
        <v>500000</v>
      </c>
      <c r="AA1600" s="45">
        <f>Учет!X1600</f>
        <v>500</v>
      </c>
    </row>
    <row r="1601" spans="1:27" ht="15" customHeight="1" x14ac:dyDescent="0.25">
      <c r="A1601" s="1"/>
      <c r="B1601" s="17"/>
      <c r="C1601" s="17"/>
      <c r="D1601" s="17"/>
      <c r="E1601" s="17"/>
      <c r="F1601" s="17"/>
      <c r="G1601" s="4">
        <f t="shared" si="69"/>
        <v>0</v>
      </c>
      <c r="H1601" s="17"/>
      <c r="I1601" s="4">
        <f t="shared" si="71"/>
        <v>349526.07999999996</v>
      </c>
      <c r="J1601" s="32" t="str">
        <f t="shared" si="70"/>
        <v/>
      </c>
      <c r="K1601" s="72"/>
      <c r="L1601" s="72"/>
      <c r="M1601" s="2"/>
      <c r="N1601" s="5"/>
      <c r="O1601" s="3"/>
      <c r="P1601" s="6"/>
      <c r="Q1601" s="48">
        <f>IF(Учет!$O1601=Справочники!$F$2,Учет!$H1601,0)</f>
        <v>0</v>
      </c>
      <c r="R1601" s="48">
        <f>IF(Учет!$O1601=Справочники!$F$3,Учет!$H1601,0)</f>
        <v>0</v>
      </c>
      <c r="S1601" s="48">
        <f>IF(Учет!$O1601=Справочники!$F$4,Учет!$H1601,0)</f>
        <v>0</v>
      </c>
      <c r="T1601" s="48">
        <f>IF(Учет!$O1601=Справочники!$F$5,Учет!$H1601,0)</f>
        <v>0</v>
      </c>
      <c r="U1601" s="48">
        <f>IF(Учет!$O1601=Справочники!$F$6,Учет!$H1601,0)</f>
        <v>0</v>
      </c>
      <c r="V1601" s="43">
        <f>V1600+Учет!Q1601-Q1601</f>
        <v>-488978.92000000004</v>
      </c>
      <c r="W1601" s="43">
        <f>W1600+Учет!R1601-R1601</f>
        <v>336855</v>
      </c>
      <c r="X1601" s="43">
        <f>X1600+Учет!S1601-S1601</f>
        <v>500</v>
      </c>
      <c r="Y1601" s="43">
        <f>Y1600+Учет!T1601-T1601</f>
        <v>1150</v>
      </c>
      <c r="Z1601" s="43">
        <f>Z1600+Учет!U1601-U1601</f>
        <v>500000</v>
      </c>
      <c r="AA1601" s="45">
        <f>Учет!X1601</f>
        <v>500</v>
      </c>
    </row>
    <row r="1602" spans="1:27" ht="15" customHeight="1" x14ac:dyDescent="0.25">
      <c r="A1602" s="1"/>
      <c r="B1602" s="17"/>
      <c r="C1602" s="17"/>
      <c r="D1602" s="17"/>
      <c r="E1602" s="17"/>
      <c r="F1602" s="17"/>
      <c r="G1602" s="4">
        <f t="shared" ref="G1602:G1665" si="72">SUM($B1602:$F1602)</f>
        <v>0</v>
      </c>
      <c r="H1602" s="17"/>
      <c r="I1602" s="4">
        <f t="shared" si="71"/>
        <v>349526.07999999996</v>
      </c>
      <c r="J1602" s="32" t="str">
        <f t="shared" ref="J1602:J1665" si="73">IF($A1603&lt;&gt;$A1602,$I1602,"")</f>
        <v/>
      </c>
      <c r="K1602" s="72"/>
      <c r="L1602" s="72"/>
      <c r="M1602" s="2"/>
      <c r="N1602" s="5"/>
      <c r="O1602" s="3"/>
      <c r="P1602" s="6"/>
      <c r="Q1602" s="48">
        <f>IF(Учет!$O1602=Справочники!$F$2,Учет!$H1602,0)</f>
        <v>0</v>
      </c>
      <c r="R1602" s="48">
        <f>IF(Учет!$O1602=Справочники!$F$3,Учет!$H1602,0)</f>
        <v>0</v>
      </c>
      <c r="S1602" s="48">
        <f>IF(Учет!$O1602=Справочники!$F$4,Учет!$H1602,0)</f>
        <v>0</v>
      </c>
      <c r="T1602" s="48">
        <f>IF(Учет!$O1602=Справочники!$F$5,Учет!$H1602,0)</f>
        <v>0</v>
      </c>
      <c r="U1602" s="48">
        <f>IF(Учет!$O1602=Справочники!$F$6,Учет!$H1602,0)</f>
        <v>0</v>
      </c>
      <c r="V1602" s="43">
        <f>V1601+Учет!Q1602-Q1602</f>
        <v>-488978.92000000004</v>
      </c>
      <c r="W1602" s="43">
        <f>W1601+Учет!R1602-R1602</f>
        <v>336855</v>
      </c>
      <c r="X1602" s="43">
        <f>X1601+Учет!S1602-S1602</f>
        <v>500</v>
      </c>
      <c r="Y1602" s="43">
        <f>Y1601+Учет!T1602-T1602</f>
        <v>1150</v>
      </c>
      <c r="Z1602" s="43">
        <f>Z1601+Учет!U1602-U1602</f>
        <v>500000</v>
      </c>
      <c r="AA1602" s="45">
        <f>Учет!X1602</f>
        <v>500</v>
      </c>
    </row>
    <row r="1603" spans="1:27" ht="15" customHeight="1" x14ac:dyDescent="0.25">
      <c r="A1603" s="1"/>
      <c r="B1603" s="17"/>
      <c r="C1603" s="17"/>
      <c r="D1603" s="17"/>
      <c r="E1603" s="17"/>
      <c r="F1603" s="17"/>
      <c r="G1603" s="4">
        <f t="shared" si="72"/>
        <v>0</v>
      </c>
      <c r="H1603" s="17"/>
      <c r="I1603" s="4">
        <f t="shared" ref="I1603:I1666" si="74">$I1602+$G1603-$H1603</f>
        <v>349526.07999999996</v>
      </c>
      <c r="J1603" s="32" t="str">
        <f t="shared" si="73"/>
        <v/>
      </c>
      <c r="K1603" s="72"/>
      <c r="L1603" s="72"/>
      <c r="M1603" s="2"/>
      <c r="N1603" s="5"/>
      <c r="O1603" s="3"/>
      <c r="P1603" s="6"/>
      <c r="Q1603" s="48">
        <f>IF(Учет!$O1603=Справочники!$F$2,Учет!$H1603,0)</f>
        <v>0</v>
      </c>
      <c r="R1603" s="48">
        <f>IF(Учет!$O1603=Справочники!$F$3,Учет!$H1603,0)</f>
        <v>0</v>
      </c>
      <c r="S1603" s="48">
        <f>IF(Учет!$O1603=Справочники!$F$4,Учет!$H1603,0)</f>
        <v>0</v>
      </c>
      <c r="T1603" s="48">
        <f>IF(Учет!$O1603=Справочники!$F$5,Учет!$H1603,0)</f>
        <v>0</v>
      </c>
      <c r="U1603" s="48">
        <f>IF(Учет!$O1603=Справочники!$F$6,Учет!$H1603,0)</f>
        <v>0</v>
      </c>
      <c r="V1603" s="43">
        <f>V1602+Учет!Q1603-Q1603</f>
        <v>-488978.92000000004</v>
      </c>
      <c r="W1603" s="43">
        <f>W1602+Учет!R1603-R1603</f>
        <v>336855</v>
      </c>
      <c r="X1603" s="43">
        <f>X1602+Учет!S1603-S1603</f>
        <v>500</v>
      </c>
      <c r="Y1603" s="43">
        <f>Y1602+Учет!T1603-T1603</f>
        <v>1150</v>
      </c>
      <c r="Z1603" s="43">
        <f>Z1602+Учет!U1603-U1603</f>
        <v>500000</v>
      </c>
      <c r="AA1603" s="45">
        <f>Учет!X1603</f>
        <v>500</v>
      </c>
    </row>
    <row r="1604" spans="1:27" ht="15" customHeight="1" x14ac:dyDescent="0.25">
      <c r="A1604" s="1"/>
      <c r="B1604" s="17"/>
      <c r="C1604" s="17"/>
      <c r="D1604" s="17"/>
      <c r="E1604" s="17"/>
      <c r="F1604" s="17"/>
      <c r="G1604" s="4">
        <f t="shared" si="72"/>
        <v>0</v>
      </c>
      <c r="H1604" s="17"/>
      <c r="I1604" s="4">
        <f t="shared" si="74"/>
        <v>349526.07999999996</v>
      </c>
      <c r="J1604" s="32" t="str">
        <f t="shared" si="73"/>
        <v/>
      </c>
      <c r="K1604" s="72"/>
      <c r="L1604" s="72"/>
      <c r="M1604" s="2"/>
      <c r="N1604" s="5"/>
      <c r="O1604" s="3"/>
      <c r="P1604" s="6"/>
      <c r="Q1604" s="48">
        <f>IF(Учет!$O1604=Справочники!$F$2,Учет!$H1604,0)</f>
        <v>0</v>
      </c>
      <c r="R1604" s="48">
        <f>IF(Учет!$O1604=Справочники!$F$3,Учет!$H1604,0)</f>
        <v>0</v>
      </c>
      <c r="S1604" s="48">
        <f>IF(Учет!$O1604=Справочники!$F$4,Учет!$H1604,0)</f>
        <v>0</v>
      </c>
      <c r="T1604" s="48">
        <f>IF(Учет!$O1604=Справочники!$F$5,Учет!$H1604,0)</f>
        <v>0</v>
      </c>
      <c r="U1604" s="48">
        <f>IF(Учет!$O1604=Справочники!$F$6,Учет!$H1604,0)</f>
        <v>0</v>
      </c>
      <c r="V1604" s="43">
        <f>V1603+Учет!Q1604-Q1604</f>
        <v>-488978.92000000004</v>
      </c>
      <c r="W1604" s="43">
        <f>W1603+Учет!R1604-R1604</f>
        <v>336855</v>
      </c>
      <c r="X1604" s="43">
        <f>X1603+Учет!S1604-S1604</f>
        <v>500</v>
      </c>
      <c r="Y1604" s="43">
        <f>Y1603+Учет!T1604-T1604</f>
        <v>1150</v>
      </c>
      <c r="Z1604" s="43">
        <f>Z1603+Учет!U1604-U1604</f>
        <v>500000</v>
      </c>
      <c r="AA1604" s="45">
        <f>Учет!X1604</f>
        <v>500</v>
      </c>
    </row>
    <row r="1605" spans="1:27" ht="15" customHeight="1" x14ac:dyDescent="0.25">
      <c r="A1605" s="1"/>
      <c r="B1605" s="17"/>
      <c r="C1605" s="17"/>
      <c r="D1605" s="17"/>
      <c r="E1605" s="17"/>
      <c r="F1605" s="17"/>
      <c r="G1605" s="4">
        <f t="shared" si="72"/>
        <v>0</v>
      </c>
      <c r="H1605" s="17"/>
      <c r="I1605" s="4">
        <f t="shared" si="74"/>
        <v>349526.07999999996</v>
      </c>
      <c r="J1605" s="32" t="str">
        <f t="shared" si="73"/>
        <v/>
      </c>
      <c r="K1605" s="72"/>
      <c r="L1605" s="72"/>
      <c r="M1605" s="2"/>
      <c r="N1605" s="5"/>
      <c r="O1605" s="3"/>
      <c r="P1605" s="6"/>
      <c r="Q1605" s="48">
        <f>IF(Учет!$O1605=Справочники!$F$2,Учет!$H1605,0)</f>
        <v>0</v>
      </c>
      <c r="R1605" s="48">
        <f>IF(Учет!$O1605=Справочники!$F$3,Учет!$H1605,0)</f>
        <v>0</v>
      </c>
      <c r="S1605" s="48">
        <f>IF(Учет!$O1605=Справочники!$F$4,Учет!$H1605,0)</f>
        <v>0</v>
      </c>
      <c r="T1605" s="48">
        <f>IF(Учет!$O1605=Справочники!$F$5,Учет!$H1605,0)</f>
        <v>0</v>
      </c>
      <c r="U1605" s="48">
        <f>IF(Учет!$O1605=Справочники!$F$6,Учет!$H1605,0)</f>
        <v>0</v>
      </c>
      <c r="V1605" s="43">
        <f>V1604+Учет!Q1605-Q1605</f>
        <v>-488978.92000000004</v>
      </c>
      <c r="W1605" s="43">
        <f>W1604+Учет!R1605-R1605</f>
        <v>336855</v>
      </c>
      <c r="X1605" s="43">
        <f>X1604+Учет!S1605-S1605</f>
        <v>500</v>
      </c>
      <c r="Y1605" s="43">
        <f>Y1604+Учет!T1605-T1605</f>
        <v>1150</v>
      </c>
      <c r="Z1605" s="43">
        <f>Z1604+Учет!U1605-U1605</f>
        <v>500000</v>
      </c>
      <c r="AA1605" s="45">
        <f>Учет!X1605</f>
        <v>500</v>
      </c>
    </row>
    <row r="1606" spans="1:27" ht="15" customHeight="1" x14ac:dyDescent="0.25">
      <c r="A1606" s="1"/>
      <c r="B1606" s="17"/>
      <c r="C1606" s="17"/>
      <c r="D1606" s="17"/>
      <c r="E1606" s="17"/>
      <c r="F1606" s="17"/>
      <c r="G1606" s="4">
        <f t="shared" si="72"/>
        <v>0</v>
      </c>
      <c r="H1606" s="17"/>
      <c r="I1606" s="4">
        <f t="shared" si="74"/>
        <v>349526.07999999996</v>
      </c>
      <c r="J1606" s="32" t="str">
        <f t="shared" si="73"/>
        <v/>
      </c>
      <c r="K1606" s="72"/>
      <c r="L1606" s="72"/>
      <c r="M1606" s="2"/>
      <c r="N1606" s="5"/>
      <c r="O1606" s="3"/>
      <c r="P1606" s="6"/>
      <c r="Q1606" s="48">
        <f>IF(Учет!$O1606=Справочники!$F$2,Учет!$H1606,0)</f>
        <v>0</v>
      </c>
      <c r="R1606" s="48">
        <f>IF(Учет!$O1606=Справочники!$F$3,Учет!$H1606,0)</f>
        <v>0</v>
      </c>
      <c r="S1606" s="48">
        <f>IF(Учет!$O1606=Справочники!$F$4,Учет!$H1606,0)</f>
        <v>0</v>
      </c>
      <c r="T1606" s="48">
        <f>IF(Учет!$O1606=Справочники!$F$5,Учет!$H1606,0)</f>
        <v>0</v>
      </c>
      <c r="U1606" s="48">
        <f>IF(Учет!$O1606=Справочники!$F$6,Учет!$H1606,0)</f>
        <v>0</v>
      </c>
      <c r="V1606" s="43">
        <f>V1605+Учет!Q1606-Q1606</f>
        <v>-488978.92000000004</v>
      </c>
      <c r="W1606" s="43">
        <f>W1605+Учет!R1606-R1606</f>
        <v>336855</v>
      </c>
      <c r="X1606" s="43">
        <f>X1605+Учет!S1606-S1606</f>
        <v>500</v>
      </c>
      <c r="Y1606" s="43">
        <f>Y1605+Учет!T1606-T1606</f>
        <v>1150</v>
      </c>
      <c r="Z1606" s="43">
        <f>Z1605+Учет!U1606-U1606</f>
        <v>500000</v>
      </c>
      <c r="AA1606" s="45">
        <f>Учет!X1606</f>
        <v>500</v>
      </c>
    </row>
    <row r="1607" spans="1:27" ht="15" customHeight="1" x14ac:dyDescent="0.25">
      <c r="A1607" s="1"/>
      <c r="B1607" s="17"/>
      <c r="C1607" s="17"/>
      <c r="D1607" s="17"/>
      <c r="E1607" s="17"/>
      <c r="F1607" s="17"/>
      <c r="G1607" s="4">
        <f t="shared" si="72"/>
        <v>0</v>
      </c>
      <c r="H1607" s="17"/>
      <c r="I1607" s="4">
        <f t="shared" si="74"/>
        <v>349526.07999999996</v>
      </c>
      <c r="J1607" s="32" t="str">
        <f t="shared" si="73"/>
        <v/>
      </c>
      <c r="K1607" s="72"/>
      <c r="L1607" s="72"/>
      <c r="M1607" s="2"/>
      <c r="N1607" s="5"/>
      <c r="O1607" s="3"/>
      <c r="P1607" s="6"/>
      <c r="Q1607" s="48">
        <f>IF(Учет!$O1607=Справочники!$F$2,Учет!$H1607,0)</f>
        <v>0</v>
      </c>
      <c r="R1607" s="48">
        <f>IF(Учет!$O1607=Справочники!$F$3,Учет!$H1607,0)</f>
        <v>0</v>
      </c>
      <c r="S1607" s="48">
        <f>IF(Учет!$O1607=Справочники!$F$4,Учет!$H1607,0)</f>
        <v>0</v>
      </c>
      <c r="T1607" s="48">
        <f>IF(Учет!$O1607=Справочники!$F$5,Учет!$H1607,0)</f>
        <v>0</v>
      </c>
      <c r="U1607" s="48">
        <f>IF(Учет!$O1607=Справочники!$F$6,Учет!$H1607,0)</f>
        <v>0</v>
      </c>
      <c r="V1607" s="43">
        <f>V1606+Учет!Q1607-Q1607</f>
        <v>-488978.92000000004</v>
      </c>
      <c r="W1607" s="43">
        <f>W1606+Учет!R1607-R1607</f>
        <v>336855</v>
      </c>
      <c r="X1607" s="43">
        <f>X1606+Учет!S1607-S1607</f>
        <v>500</v>
      </c>
      <c r="Y1607" s="43">
        <f>Y1606+Учет!T1607-T1607</f>
        <v>1150</v>
      </c>
      <c r="Z1607" s="43">
        <f>Z1606+Учет!U1607-U1607</f>
        <v>500000</v>
      </c>
      <c r="AA1607" s="45">
        <f>Учет!X1607</f>
        <v>500</v>
      </c>
    </row>
    <row r="1608" spans="1:27" ht="15" customHeight="1" x14ac:dyDescent="0.25">
      <c r="A1608" s="1"/>
      <c r="B1608" s="17"/>
      <c r="C1608" s="17"/>
      <c r="D1608" s="17"/>
      <c r="E1608" s="17"/>
      <c r="F1608" s="17"/>
      <c r="G1608" s="4">
        <f t="shared" si="72"/>
        <v>0</v>
      </c>
      <c r="H1608" s="17"/>
      <c r="I1608" s="4">
        <f t="shared" si="74"/>
        <v>349526.07999999996</v>
      </c>
      <c r="J1608" s="32" t="str">
        <f t="shared" si="73"/>
        <v/>
      </c>
      <c r="K1608" s="72"/>
      <c r="L1608" s="72"/>
      <c r="M1608" s="2"/>
      <c r="N1608" s="5"/>
      <c r="O1608" s="3"/>
      <c r="P1608" s="6"/>
      <c r="Q1608" s="48">
        <f>IF(Учет!$O1608=Справочники!$F$2,Учет!$H1608,0)</f>
        <v>0</v>
      </c>
      <c r="R1608" s="48">
        <f>IF(Учет!$O1608=Справочники!$F$3,Учет!$H1608,0)</f>
        <v>0</v>
      </c>
      <c r="S1608" s="48">
        <f>IF(Учет!$O1608=Справочники!$F$4,Учет!$H1608,0)</f>
        <v>0</v>
      </c>
      <c r="T1608" s="48">
        <f>IF(Учет!$O1608=Справочники!$F$5,Учет!$H1608,0)</f>
        <v>0</v>
      </c>
      <c r="U1608" s="48">
        <f>IF(Учет!$O1608=Справочники!$F$6,Учет!$H1608,0)</f>
        <v>0</v>
      </c>
      <c r="V1608" s="43">
        <f>V1607+Учет!Q1608-Q1608</f>
        <v>-488978.92000000004</v>
      </c>
      <c r="W1608" s="43">
        <f>W1607+Учет!R1608-R1608</f>
        <v>336855</v>
      </c>
      <c r="X1608" s="43">
        <f>X1607+Учет!S1608-S1608</f>
        <v>500</v>
      </c>
      <c r="Y1608" s="43">
        <f>Y1607+Учет!T1608-T1608</f>
        <v>1150</v>
      </c>
      <c r="Z1608" s="43">
        <f>Z1607+Учет!U1608-U1608</f>
        <v>500000</v>
      </c>
      <c r="AA1608" s="45">
        <f>Учет!X1608</f>
        <v>500</v>
      </c>
    </row>
    <row r="1609" spans="1:27" ht="15" customHeight="1" x14ac:dyDescent="0.25">
      <c r="A1609" s="1"/>
      <c r="B1609" s="17"/>
      <c r="C1609" s="17"/>
      <c r="D1609" s="17"/>
      <c r="E1609" s="17"/>
      <c r="F1609" s="17"/>
      <c r="G1609" s="4">
        <f t="shared" si="72"/>
        <v>0</v>
      </c>
      <c r="H1609" s="17"/>
      <c r="I1609" s="4">
        <f t="shared" si="74"/>
        <v>349526.07999999996</v>
      </c>
      <c r="J1609" s="32" t="str">
        <f t="shared" si="73"/>
        <v/>
      </c>
      <c r="K1609" s="72"/>
      <c r="L1609" s="72"/>
      <c r="M1609" s="2"/>
      <c r="N1609" s="5"/>
      <c r="O1609" s="3"/>
      <c r="P1609" s="6"/>
      <c r="Q1609" s="48">
        <f>IF(Учет!$O1609=Справочники!$F$2,Учет!$H1609,0)</f>
        <v>0</v>
      </c>
      <c r="R1609" s="48">
        <f>IF(Учет!$O1609=Справочники!$F$3,Учет!$H1609,0)</f>
        <v>0</v>
      </c>
      <c r="S1609" s="48">
        <f>IF(Учет!$O1609=Справочники!$F$4,Учет!$H1609,0)</f>
        <v>0</v>
      </c>
      <c r="T1609" s="48">
        <f>IF(Учет!$O1609=Справочники!$F$5,Учет!$H1609,0)</f>
        <v>0</v>
      </c>
      <c r="U1609" s="48">
        <f>IF(Учет!$O1609=Справочники!$F$6,Учет!$H1609,0)</f>
        <v>0</v>
      </c>
      <c r="V1609" s="43">
        <f>V1608+Учет!Q1609-Q1609</f>
        <v>-488978.92000000004</v>
      </c>
      <c r="W1609" s="43">
        <f>W1608+Учет!R1609-R1609</f>
        <v>336855</v>
      </c>
      <c r="X1609" s="43">
        <f>X1608+Учет!S1609-S1609</f>
        <v>500</v>
      </c>
      <c r="Y1609" s="43">
        <f>Y1608+Учет!T1609-T1609</f>
        <v>1150</v>
      </c>
      <c r="Z1609" s="43">
        <f>Z1608+Учет!U1609-U1609</f>
        <v>500000</v>
      </c>
      <c r="AA1609" s="45">
        <f>Учет!X1609</f>
        <v>500</v>
      </c>
    </row>
    <row r="1610" spans="1:27" ht="15" customHeight="1" x14ac:dyDescent="0.25">
      <c r="A1610" s="1"/>
      <c r="B1610" s="17"/>
      <c r="C1610" s="17"/>
      <c r="D1610" s="17"/>
      <c r="E1610" s="17"/>
      <c r="F1610" s="17"/>
      <c r="G1610" s="4">
        <f t="shared" si="72"/>
        <v>0</v>
      </c>
      <c r="H1610" s="17"/>
      <c r="I1610" s="4">
        <f t="shared" si="74"/>
        <v>349526.07999999996</v>
      </c>
      <c r="J1610" s="32" t="str">
        <f t="shared" si="73"/>
        <v/>
      </c>
      <c r="K1610" s="72"/>
      <c r="L1610" s="72"/>
      <c r="M1610" s="2"/>
      <c r="N1610" s="5"/>
      <c r="O1610" s="3"/>
      <c r="P1610" s="6"/>
      <c r="Q1610" s="48">
        <f>IF(Учет!$O1610=Справочники!$F$2,Учет!$H1610,0)</f>
        <v>0</v>
      </c>
      <c r="R1610" s="48">
        <f>IF(Учет!$O1610=Справочники!$F$3,Учет!$H1610,0)</f>
        <v>0</v>
      </c>
      <c r="S1610" s="48">
        <f>IF(Учет!$O1610=Справочники!$F$4,Учет!$H1610,0)</f>
        <v>0</v>
      </c>
      <c r="T1610" s="48">
        <f>IF(Учет!$O1610=Справочники!$F$5,Учет!$H1610,0)</f>
        <v>0</v>
      </c>
      <c r="U1610" s="48">
        <f>IF(Учет!$O1610=Справочники!$F$6,Учет!$H1610,0)</f>
        <v>0</v>
      </c>
      <c r="V1610" s="43">
        <f>V1609+Учет!Q1610-Q1610</f>
        <v>-488978.92000000004</v>
      </c>
      <c r="W1610" s="43">
        <f>W1609+Учет!R1610-R1610</f>
        <v>336855</v>
      </c>
      <c r="X1610" s="43">
        <f>X1609+Учет!S1610-S1610</f>
        <v>500</v>
      </c>
      <c r="Y1610" s="43">
        <f>Y1609+Учет!T1610-T1610</f>
        <v>1150</v>
      </c>
      <c r="Z1610" s="43">
        <f>Z1609+Учет!U1610-U1610</f>
        <v>500000</v>
      </c>
      <c r="AA1610" s="45">
        <f>Учет!X1610</f>
        <v>500</v>
      </c>
    </row>
    <row r="1611" spans="1:27" ht="15" customHeight="1" x14ac:dyDescent="0.25">
      <c r="A1611" s="1"/>
      <c r="B1611" s="17"/>
      <c r="C1611" s="17"/>
      <c r="D1611" s="17"/>
      <c r="E1611" s="17"/>
      <c r="F1611" s="17"/>
      <c r="G1611" s="4">
        <f t="shared" si="72"/>
        <v>0</v>
      </c>
      <c r="H1611" s="17"/>
      <c r="I1611" s="4">
        <f t="shared" si="74"/>
        <v>349526.07999999996</v>
      </c>
      <c r="J1611" s="32" t="str">
        <f t="shared" si="73"/>
        <v/>
      </c>
      <c r="K1611" s="72"/>
      <c r="L1611" s="72"/>
      <c r="M1611" s="2"/>
      <c r="N1611" s="5"/>
      <c r="O1611" s="3"/>
      <c r="P1611" s="6"/>
      <c r="Q1611" s="48">
        <f>IF(Учет!$O1611=Справочники!$F$2,Учет!$H1611,0)</f>
        <v>0</v>
      </c>
      <c r="R1611" s="48">
        <f>IF(Учет!$O1611=Справочники!$F$3,Учет!$H1611,0)</f>
        <v>0</v>
      </c>
      <c r="S1611" s="48">
        <f>IF(Учет!$O1611=Справочники!$F$4,Учет!$H1611,0)</f>
        <v>0</v>
      </c>
      <c r="T1611" s="48">
        <f>IF(Учет!$O1611=Справочники!$F$5,Учет!$H1611,0)</f>
        <v>0</v>
      </c>
      <c r="U1611" s="48">
        <f>IF(Учет!$O1611=Справочники!$F$6,Учет!$H1611,0)</f>
        <v>0</v>
      </c>
      <c r="V1611" s="43">
        <f>V1610+Учет!Q1611-Q1611</f>
        <v>-488978.92000000004</v>
      </c>
      <c r="W1611" s="43">
        <f>W1610+Учет!R1611-R1611</f>
        <v>336855</v>
      </c>
      <c r="X1611" s="43">
        <f>X1610+Учет!S1611-S1611</f>
        <v>500</v>
      </c>
      <c r="Y1611" s="43">
        <f>Y1610+Учет!T1611-T1611</f>
        <v>1150</v>
      </c>
      <c r="Z1611" s="43">
        <f>Z1610+Учет!U1611-U1611</f>
        <v>500000</v>
      </c>
      <c r="AA1611" s="45">
        <f>Учет!X1611</f>
        <v>500</v>
      </c>
    </row>
    <row r="1612" spans="1:27" ht="15" customHeight="1" x14ac:dyDescent="0.25">
      <c r="A1612" s="1"/>
      <c r="B1612" s="17"/>
      <c r="C1612" s="17"/>
      <c r="D1612" s="17"/>
      <c r="E1612" s="17"/>
      <c r="F1612" s="17"/>
      <c r="G1612" s="4">
        <f t="shared" si="72"/>
        <v>0</v>
      </c>
      <c r="H1612" s="17"/>
      <c r="I1612" s="4">
        <f t="shared" si="74"/>
        <v>349526.07999999996</v>
      </c>
      <c r="J1612" s="32" t="str">
        <f t="shared" si="73"/>
        <v/>
      </c>
      <c r="K1612" s="72"/>
      <c r="L1612" s="72"/>
      <c r="M1612" s="2"/>
      <c r="N1612" s="5"/>
      <c r="O1612" s="3"/>
      <c r="P1612" s="6"/>
      <c r="Q1612" s="48">
        <f>IF(Учет!$O1612=Справочники!$F$2,Учет!$H1612,0)</f>
        <v>0</v>
      </c>
      <c r="R1612" s="48">
        <f>IF(Учет!$O1612=Справочники!$F$3,Учет!$H1612,0)</f>
        <v>0</v>
      </c>
      <c r="S1612" s="48">
        <f>IF(Учет!$O1612=Справочники!$F$4,Учет!$H1612,0)</f>
        <v>0</v>
      </c>
      <c r="T1612" s="48">
        <f>IF(Учет!$O1612=Справочники!$F$5,Учет!$H1612,0)</f>
        <v>0</v>
      </c>
      <c r="U1612" s="48">
        <f>IF(Учет!$O1612=Справочники!$F$6,Учет!$H1612,0)</f>
        <v>0</v>
      </c>
      <c r="V1612" s="43">
        <f>V1611+Учет!Q1612-Q1612</f>
        <v>-488978.92000000004</v>
      </c>
      <c r="W1612" s="43">
        <f>W1611+Учет!R1612-R1612</f>
        <v>336855</v>
      </c>
      <c r="X1612" s="43">
        <f>X1611+Учет!S1612-S1612</f>
        <v>500</v>
      </c>
      <c r="Y1612" s="43">
        <f>Y1611+Учет!T1612-T1612</f>
        <v>1150</v>
      </c>
      <c r="Z1612" s="43">
        <f>Z1611+Учет!U1612-U1612</f>
        <v>500000</v>
      </c>
      <c r="AA1612" s="45">
        <f>Учет!X1612</f>
        <v>500</v>
      </c>
    </row>
    <row r="1613" spans="1:27" ht="15" customHeight="1" x14ac:dyDescent="0.25">
      <c r="A1613" s="1"/>
      <c r="B1613" s="17"/>
      <c r="C1613" s="17"/>
      <c r="D1613" s="17"/>
      <c r="E1613" s="17"/>
      <c r="F1613" s="17"/>
      <c r="G1613" s="4">
        <f t="shared" si="72"/>
        <v>0</v>
      </c>
      <c r="H1613" s="17"/>
      <c r="I1613" s="4">
        <f t="shared" si="74"/>
        <v>349526.07999999996</v>
      </c>
      <c r="J1613" s="32" t="str">
        <f t="shared" si="73"/>
        <v/>
      </c>
      <c r="K1613" s="72"/>
      <c r="L1613" s="72"/>
      <c r="M1613" s="2"/>
      <c r="N1613" s="5"/>
      <c r="O1613" s="3"/>
      <c r="P1613" s="6"/>
      <c r="Q1613" s="48">
        <f>IF(Учет!$O1613=Справочники!$F$2,Учет!$H1613,0)</f>
        <v>0</v>
      </c>
      <c r="R1613" s="48">
        <f>IF(Учет!$O1613=Справочники!$F$3,Учет!$H1613,0)</f>
        <v>0</v>
      </c>
      <c r="S1613" s="48">
        <f>IF(Учет!$O1613=Справочники!$F$4,Учет!$H1613,0)</f>
        <v>0</v>
      </c>
      <c r="T1613" s="48">
        <f>IF(Учет!$O1613=Справочники!$F$5,Учет!$H1613,0)</f>
        <v>0</v>
      </c>
      <c r="U1613" s="48">
        <f>IF(Учет!$O1613=Справочники!$F$6,Учет!$H1613,0)</f>
        <v>0</v>
      </c>
      <c r="V1613" s="43">
        <f>V1612+Учет!Q1613-Q1613</f>
        <v>-488978.92000000004</v>
      </c>
      <c r="W1613" s="43">
        <f>W1612+Учет!R1613-R1613</f>
        <v>336855</v>
      </c>
      <c r="X1613" s="43">
        <f>X1612+Учет!S1613-S1613</f>
        <v>500</v>
      </c>
      <c r="Y1613" s="43">
        <f>Y1612+Учет!T1613-T1613</f>
        <v>1150</v>
      </c>
      <c r="Z1613" s="43">
        <f>Z1612+Учет!U1613-U1613</f>
        <v>500000</v>
      </c>
      <c r="AA1613" s="45">
        <f>Учет!X1613</f>
        <v>500</v>
      </c>
    </row>
    <row r="1614" spans="1:27" ht="15" customHeight="1" x14ac:dyDescent="0.25">
      <c r="A1614" s="1"/>
      <c r="B1614" s="17"/>
      <c r="C1614" s="17"/>
      <c r="D1614" s="17"/>
      <c r="E1614" s="17"/>
      <c r="F1614" s="17"/>
      <c r="G1614" s="4">
        <f t="shared" si="72"/>
        <v>0</v>
      </c>
      <c r="H1614" s="17"/>
      <c r="I1614" s="4">
        <f t="shared" si="74"/>
        <v>349526.07999999996</v>
      </c>
      <c r="J1614" s="32" t="str">
        <f t="shared" si="73"/>
        <v/>
      </c>
      <c r="K1614" s="72"/>
      <c r="L1614" s="72"/>
      <c r="M1614" s="2"/>
      <c r="N1614" s="5"/>
      <c r="O1614" s="3"/>
      <c r="P1614" s="6"/>
      <c r="Q1614" s="48">
        <f>IF(Учет!$O1614=Справочники!$F$2,Учет!$H1614,0)</f>
        <v>0</v>
      </c>
      <c r="R1614" s="48">
        <f>IF(Учет!$O1614=Справочники!$F$3,Учет!$H1614,0)</f>
        <v>0</v>
      </c>
      <c r="S1614" s="48">
        <f>IF(Учет!$O1614=Справочники!$F$4,Учет!$H1614,0)</f>
        <v>0</v>
      </c>
      <c r="T1614" s="48">
        <f>IF(Учет!$O1614=Справочники!$F$5,Учет!$H1614,0)</f>
        <v>0</v>
      </c>
      <c r="U1614" s="48">
        <f>IF(Учет!$O1614=Справочники!$F$6,Учет!$H1614,0)</f>
        <v>0</v>
      </c>
      <c r="V1614" s="43">
        <f>V1613+Учет!Q1614-Q1614</f>
        <v>-488978.92000000004</v>
      </c>
      <c r="W1614" s="43">
        <f>W1613+Учет!R1614-R1614</f>
        <v>336855</v>
      </c>
      <c r="X1614" s="43">
        <f>X1613+Учет!S1614-S1614</f>
        <v>500</v>
      </c>
      <c r="Y1614" s="43">
        <f>Y1613+Учет!T1614-T1614</f>
        <v>1150</v>
      </c>
      <c r="Z1614" s="43">
        <f>Z1613+Учет!U1614-U1614</f>
        <v>500000</v>
      </c>
      <c r="AA1614" s="45">
        <f>Учет!X1614</f>
        <v>500</v>
      </c>
    </row>
    <row r="1615" spans="1:27" ht="15" customHeight="1" x14ac:dyDescent="0.25">
      <c r="A1615" s="1"/>
      <c r="B1615" s="17"/>
      <c r="C1615" s="17"/>
      <c r="D1615" s="17"/>
      <c r="E1615" s="17"/>
      <c r="F1615" s="17"/>
      <c r="G1615" s="4">
        <f t="shared" si="72"/>
        <v>0</v>
      </c>
      <c r="H1615" s="17"/>
      <c r="I1615" s="4">
        <f t="shared" si="74"/>
        <v>349526.07999999996</v>
      </c>
      <c r="J1615" s="32" t="str">
        <f t="shared" si="73"/>
        <v/>
      </c>
      <c r="K1615" s="72"/>
      <c r="L1615" s="72"/>
      <c r="M1615" s="2"/>
      <c r="N1615" s="5"/>
      <c r="O1615" s="3"/>
      <c r="P1615" s="6"/>
      <c r="Q1615" s="48">
        <f>IF(Учет!$O1615=Справочники!$F$2,Учет!$H1615,0)</f>
        <v>0</v>
      </c>
      <c r="R1615" s="48">
        <f>IF(Учет!$O1615=Справочники!$F$3,Учет!$H1615,0)</f>
        <v>0</v>
      </c>
      <c r="S1615" s="48">
        <f>IF(Учет!$O1615=Справочники!$F$4,Учет!$H1615,0)</f>
        <v>0</v>
      </c>
      <c r="T1615" s="48">
        <f>IF(Учет!$O1615=Справочники!$F$5,Учет!$H1615,0)</f>
        <v>0</v>
      </c>
      <c r="U1615" s="48">
        <f>IF(Учет!$O1615=Справочники!$F$6,Учет!$H1615,0)</f>
        <v>0</v>
      </c>
      <c r="V1615" s="43">
        <f>V1614+Учет!Q1615-Q1615</f>
        <v>-488978.92000000004</v>
      </c>
      <c r="W1615" s="43">
        <f>W1614+Учет!R1615-R1615</f>
        <v>336855</v>
      </c>
      <c r="X1615" s="43">
        <f>X1614+Учет!S1615-S1615</f>
        <v>500</v>
      </c>
      <c r="Y1615" s="43">
        <f>Y1614+Учет!T1615-T1615</f>
        <v>1150</v>
      </c>
      <c r="Z1615" s="43">
        <f>Z1614+Учет!U1615-U1615</f>
        <v>500000</v>
      </c>
      <c r="AA1615" s="45">
        <f>Учет!X1615</f>
        <v>500</v>
      </c>
    </row>
    <row r="1616" spans="1:27" ht="15" customHeight="1" x14ac:dyDescent="0.25">
      <c r="A1616" s="1"/>
      <c r="B1616" s="17"/>
      <c r="C1616" s="17"/>
      <c r="D1616" s="17"/>
      <c r="E1616" s="17"/>
      <c r="F1616" s="17"/>
      <c r="G1616" s="4">
        <f t="shared" si="72"/>
        <v>0</v>
      </c>
      <c r="H1616" s="17"/>
      <c r="I1616" s="4">
        <f t="shared" si="74"/>
        <v>349526.07999999996</v>
      </c>
      <c r="J1616" s="32" t="str">
        <f t="shared" si="73"/>
        <v/>
      </c>
      <c r="K1616" s="72"/>
      <c r="L1616" s="72"/>
      <c r="M1616" s="2"/>
      <c r="N1616" s="5"/>
      <c r="O1616" s="3"/>
      <c r="P1616" s="6"/>
      <c r="Q1616" s="48">
        <f>IF(Учет!$O1616=Справочники!$F$2,Учет!$H1616,0)</f>
        <v>0</v>
      </c>
      <c r="R1616" s="48">
        <f>IF(Учет!$O1616=Справочники!$F$3,Учет!$H1616,0)</f>
        <v>0</v>
      </c>
      <c r="S1616" s="48">
        <f>IF(Учет!$O1616=Справочники!$F$4,Учет!$H1616,0)</f>
        <v>0</v>
      </c>
      <c r="T1616" s="48">
        <f>IF(Учет!$O1616=Справочники!$F$5,Учет!$H1616,0)</f>
        <v>0</v>
      </c>
      <c r="U1616" s="48">
        <f>IF(Учет!$O1616=Справочники!$F$6,Учет!$H1616,0)</f>
        <v>0</v>
      </c>
      <c r="V1616" s="43">
        <f>V1615+Учет!Q1616-Q1616</f>
        <v>-488978.92000000004</v>
      </c>
      <c r="W1616" s="43">
        <f>W1615+Учет!R1616-R1616</f>
        <v>336855</v>
      </c>
      <c r="X1616" s="43">
        <f>X1615+Учет!S1616-S1616</f>
        <v>500</v>
      </c>
      <c r="Y1616" s="43">
        <f>Y1615+Учет!T1616-T1616</f>
        <v>1150</v>
      </c>
      <c r="Z1616" s="43">
        <f>Z1615+Учет!U1616-U1616</f>
        <v>500000</v>
      </c>
      <c r="AA1616" s="45">
        <f>Учет!X1616</f>
        <v>500</v>
      </c>
    </row>
    <row r="1617" spans="1:27" ht="15" customHeight="1" x14ac:dyDescent="0.25">
      <c r="A1617" s="1"/>
      <c r="B1617" s="17"/>
      <c r="C1617" s="17"/>
      <c r="D1617" s="17"/>
      <c r="E1617" s="17"/>
      <c r="F1617" s="17"/>
      <c r="G1617" s="4">
        <f t="shared" si="72"/>
        <v>0</v>
      </c>
      <c r="H1617" s="17"/>
      <c r="I1617" s="4">
        <f t="shared" si="74"/>
        <v>349526.07999999996</v>
      </c>
      <c r="J1617" s="32" t="str">
        <f t="shared" si="73"/>
        <v/>
      </c>
      <c r="K1617" s="72"/>
      <c r="L1617" s="72"/>
      <c r="M1617" s="2"/>
      <c r="N1617" s="5"/>
      <c r="O1617" s="3"/>
      <c r="P1617" s="6"/>
      <c r="Q1617" s="48">
        <f>IF(Учет!$O1617=Справочники!$F$2,Учет!$H1617,0)</f>
        <v>0</v>
      </c>
      <c r="R1617" s="48">
        <f>IF(Учет!$O1617=Справочники!$F$3,Учет!$H1617,0)</f>
        <v>0</v>
      </c>
      <c r="S1617" s="48">
        <f>IF(Учет!$O1617=Справочники!$F$4,Учет!$H1617,0)</f>
        <v>0</v>
      </c>
      <c r="T1617" s="48">
        <f>IF(Учет!$O1617=Справочники!$F$5,Учет!$H1617,0)</f>
        <v>0</v>
      </c>
      <c r="U1617" s="48">
        <f>IF(Учет!$O1617=Справочники!$F$6,Учет!$H1617,0)</f>
        <v>0</v>
      </c>
      <c r="V1617" s="43">
        <f>V1616+Учет!Q1617-Q1617</f>
        <v>-488978.92000000004</v>
      </c>
      <c r="W1617" s="43">
        <f>W1616+Учет!R1617-R1617</f>
        <v>336855</v>
      </c>
      <c r="X1617" s="43">
        <f>X1616+Учет!S1617-S1617</f>
        <v>500</v>
      </c>
      <c r="Y1617" s="43">
        <f>Y1616+Учет!T1617-T1617</f>
        <v>1150</v>
      </c>
      <c r="Z1617" s="43">
        <f>Z1616+Учет!U1617-U1617</f>
        <v>500000</v>
      </c>
      <c r="AA1617" s="45">
        <f>Учет!X1617</f>
        <v>500</v>
      </c>
    </row>
    <row r="1618" spans="1:27" ht="15" customHeight="1" x14ac:dyDescent="0.25">
      <c r="A1618" s="1"/>
      <c r="B1618" s="17"/>
      <c r="C1618" s="17"/>
      <c r="D1618" s="17"/>
      <c r="E1618" s="17"/>
      <c r="F1618" s="17"/>
      <c r="G1618" s="4">
        <f t="shared" si="72"/>
        <v>0</v>
      </c>
      <c r="H1618" s="17"/>
      <c r="I1618" s="4">
        <f t="shared" si="74"/>
        <v>349526.07999999996</v>
      </c>
      <c r="J1618" s="32" t="str">
        <f t="shared" si="73"/>
        <v/>
      </c>
      <c r="K1618" s="72"/>
      <c r="L1618" s="72"/>
      <c r="M1618" s="2"/>
      <c r="N1618" s="5"/>
      <c r="O1618" s="3"/>
      <c r="P1618" s="6"/>
      <c r="Q1618" s="48">
        <f>IF(Учет!$O1618=Справочники!$F$2,Учет!$H1618,0)</f>
        <v>0</v>
      </c>
      <c r="R1618" s="48">
        <f>IF(Учет!$O1618=Справочники!$F$3,Учет!$H1618,0)</f>
        <v>0</v>
      </c>
      <c r="S1618" s="48">
        <f>IF(Учет!$O1618=Справочники!$F$4,Учет!$H1618,0)</f>
        <v>0</v>
      </c>
      <c r="T1618" s="48">
        <f>IF(Учет!$O1618=Справочники!$F$5,Учет!$H1618,0)</f>
        <v>0</v>
      </c>
      <c r="U1618" s="48">
        <f>IF(Учет!$O1618=Справочники!$F$6,Учет!$H1618,0)</f>
        <v>0</v>
      </c>
      <c r="V1618" s="43">
        <f>V1617+Учет!Q1618-Q1618</f>
        <v>-488978.92000000004</v>
      </c>
      <c r="W1618" s="43">
        <f>W1617+Учет!R1618-R1618</f>
        <v>336855</v>
      </c>
      <c r="X1618" s="43">
        <f>X1617+Учет!S1618-S1618</f>
        <v>500</v>
      </c>
      <c r="Y1618" s="43">
        <f>Y1617+Учет!T1618-T1618</f>
        <v>1150</v>
      </c>
      <c r="Z1618" s="43">
        <f>Z1617+Учет!U1618-U1618</f>
        <v>500000</v>
      </c>
      <c r="AA1618" s="45">
        <f>Учет!X1618</f>
        <v>500</v>
      </c>
    </row>
    <row r="1619" spans="1:27" ht="15" customHeight="1" x14ac:dyDescent="0.25">
      <c r="A1619" s="1"/>
      <c r="B1619" s="17"/>
      <c r="C1619" s="17"/>
      <c r="D1619" s="17"/>
      <c r="E1619" s="17"/>
      <c r="F1619" s="17"/>
      <c r="G1619" s="4">
        <f t="shared" si="72"/>
        <v>0</v>
      </c>
      <c r="H1619" s="17"/>
      <c r="I1619" s="4">
        <f t="shared" si="74"/>
        <v>349526.07999999996</v>
      </c>
      <c r="J1619" s="32" t="str">
        <f t="shared" si="73"/>
        <v/>
      </c>
      <c r="K1619" s="72"/>
      <c r="L1619" s="72"/>
      <c r="M1619" s="2"/>
      <c r="N1619" s="5"/>
      <c r="O1619" s="3"/>
      <c r="P1619" s="6"/>
      <c r="Q1619" s="48">
        <f>IF(Учет!$O1619=Справочники!$F$2,Учет!$H1619,0)</f>
        <v>0</v>
      </c>
      <c r="R1619" s="48">
        <f>IF(Учет!$O1619=Справочники!$F$3,Учет!$H1619,0)</f>
        <v>0</v>
      </c>
      <c r="S1619" s="48">
        <f>IF(Учет!$O1619=Справочники!$F$4,Учет!$H1619,0)</f>
        <v>0</v>
      </c>
      <c r="T1619" s="48">
        <f>IF(Учет!$O1619=Справочники!$F$5,Учет!$H1619,0)</f>
        <v>0</v>
      </c>
      <c r="U1619" s="48">
        <f>IF(Учет!$O1619=Справочники!$F$6,Учет!$H1619,0)</f>
        <v>0</v>
      </c>
      <c r="V1619" s="43">
        <f>V1618+Учет!Q1619-Q1619</f>
        <v>-488978.92000000004</v>
      </c>
      <c r="W1619" s="43">
        <f>W1618+Учет!R1619-R1619</f>
        <v>336855</v>
      </c>
      <c r="X1619" s="43">
        <f>X1618+Учет!S1619-S1619</f>
        <v>500</v>
      </c>
      <c r="Y1619" s="43">
        <f>Y1618+Учет!T1619-T1619</f>
        <v>1150</v>
      </c>
      <c r="Z1619" s="43">
        <f>Z1618+Учет!U1619-U1619</f>
        <v>500000</v>
      </c>
      <c r="AA1619" s="45">
        <f>Учет!X1619</f>
        <v>500</v>
      </c>
    </row>
    <row r="1620" spans="1:27" ht="15" customHeight="1" x14ac:dyDescent="0.25">
      <c r="A1620" s="1"/>
      <c r="B1620" s="17"/>
      <c r="C1620" s="17"/>
      <c r="D1620" s="17"/>
      <c r="E1620" s="17"/>
      <c r="F1620" s="17"/>
      <c r="G1620" s="4">
        <f t="shared" si="72"/>
        <v>0</v>
      </c>
      <c r="H1620" s="17"/>
      <c r="I1620" s="4">
        <f t="shared" si="74"/>
        <v>349526.07999999996</v>
      </c>
      <c r="J1620" s="32" t="str">
        <f t="shared" si="73"/>
        <v/>
      </c>
      <c r="K1620" s="72"/>
      <c r="L1620" s="72"/>
      <c r="M1620" s="2"/>
      <c r="N1620" s="5"/>
      <c r="O1620" s="3"/>
      <c r="P1620" s="6"/>
      <c r="Q1620" s="48">
        <f>IF(Учет!$O1620=Справочники!$F$2,Учет!$H1620,0)</f>
        <v>0</v>
      </c>
      <c r="R1620" s="48">
        <f>IF(Учет!$O1620=Справочники!$F$3,Учет!$H1620,0)</f>
        <v>0</v>
      </c>
      <c r="S1620" s="48">
        <f>IF(Учет!$O1620=Справочники!$F$4,Учет!$H1620,0)</f>
        <v>0</v>
      </c>
      <c r="T1620" s="48">
        <f>IF(Учет!$O1620=Справочники!$F$5,Учет!$H1620,0)</f>
        <v>0</v>
      </c>
      <c r="U1620" s="48">
        <f>IF(Учет!$O1620=Справочники!$F$6,Учет!$H1620,0)</f>
        <v>0</v>
      </c>
      <c r="V1620" s="43">
        <f>V1619+Учет!Q1620-Q1620</f>
        <v>-488978.92000000004</v>
      </c>
      <c r="W1620" s="43">
        <f>W1619+Учет!R1620-R1620</f>
        <v>336855</v>
      </c>
      <c r="X1620" s="43">
        <f>X1619+Учет!S1620-S1620</f>
        <v>500</v>
      </c>
      <c r="Y1620" s="43">
        <f>Y1619+Учет!T1620-T1620</f>
        <v>1150</v>
      </c>
      <c r="Z1620" s="43">
        <f>Z1619+Учет!U1620-U1620</f>
        <v>500000</v>
      </c>
      <c r="AA1620" s="45">
        <f>Учет!X1620</f>
        <v>500</v>
      </c>
    </row>
    <row r="1621" spans="1:27" ht="15" customHeight="1" x14ac:dyDescent="0.25">
      <c r="A1621" s="1"/>
      <c r="B1621" s="17"/>
      <c r="C1621" s="17"/>
      <c r="D1621" s="17"/>
      <c r="E1621" s="17"/>
      <c r="F1621" s="17"/>
      <c r="G1621" s="4">
        <f t="shared" si="72"/>
        <v>0</v>
      </c>
      <c r="H1621" s="17"/>
      <c r="I1621" s="4">
        <f t="shared" si="74"/>
        <v>349526.07999999996</v>
      </c>
      <c r="J1621" s="32" t="str">
        <f t="shared" si="73"/>
        <v/>
      </c>
      <c r="K1621" s="72"/>
      <c r="L1621" s="72"/>
      <c r="M1621" s="2"/>
      <c r="N1621" s="5"/>
      <c r="O1621" s="3"/>
      <c r="P1621" s="6"/>
      <c r="Q1621" s="48">
        <f>IF(Учет!$O1621=Справочники!$F$2,Учет!$H1621,0)</f>
        <v>0</v>
      </c>
      <c r="R1621" s="48">
        <f>IF(Учет!$O1621=Справочники!$F$3,Учет!$H1621,0)</f>
        <v>0</v>
      </c>
      <c r="S1621" s="48">
        <f>IF(Учет!$O1621=Справочники!$F$4,Учет!$H1621,0)</f>
        <v>0</v>
      </c>
      <c r="T1621" s="48">
        <f>IF(Учет!$O1621=Справочники!$F$5,Учет!$H1621,0)</f>
        <v>0</v>
      </c>
      <c r="U1621" s="48">
        <f>IF(Учет!$O1621=Справочники!$F$6,Учет!$H1621,0)</f>
        <v>0</v>
      </c>
      <c r="V1621" s="43">
        <f>V1620+Учет!Q1621-Q1621</f>
        <v>-488978.92000000004</v>
      </c>
      <c r="W1621" s="43">
        <f>W1620+Учет!R1621-R1621</f>
        <v>336855</v>
      </c>
      <c r="X1621" s="43">
        <f>X1620+Учет!S1621-S1621</f>
        <v>500</v>
      </c>
      <c r="Y1621" s="43">
        <f>Y1620+Учет!T1621-T1621</f>
        <v>1150</v>
      </c>
      <c r="Z1621" s="43">
        <f>Z1620+Учет!U1621-U1621</f>
        <v>500000</v>
      </c>
      <c r="AA1621" s="45">
        <f>Учет!X1621</f>
        <v>500</v>
      </c>
    </row>
    <row r="1622" spans="1:27" ht="15" customHeight="1" x14ac:dyDescent="0.25">
      <c r="A1622" s="1"/>
      <c r="B1622" s="17"/>
      <c r="C1622" s="17"/>
      <c r="D1622" s="17"/>
      <c r="E1622" s="17"/>
      <c r="F1622" s="17"/>
      <c r="G1622" s="4">
        <f t="shared" si="72"/>
        <v>0</v>
      </c>
      <c r="H1622" s="17"/>
      <c r="I1622" s="4">
        <f t="shared" si="74"/>
        <v>349526.07999999996</v>
      </c>
      <c r="J1622" s="32" t="str">
        <f t="shared" si="73"/>
        <v/>
      </c>
      <c r="K1622" s="72"/>
      <c r="L1622" s="72"/>
      <c r="M1622" s="2"/>
      <c r="N1622" s="5"/>
      <c r="O1622" s="3"/>
      <c r="P1622" s="6"/>
      <c r="Q1622" s="48">
        <f>IF(Учет!$O1622=Справочники!$F$2,Учет!$H1622,0)</f>
        <v>0</v>
      </c>
      <c r="R1622" s="48">
        <f>IF(Учет!$O1622=Справочники!$F$3,Учет!$H1622,0)</f>
        <v>0</v>
      </c>
      <c r="S1622" s="48">
        <f>IF(Учет!$O1622=Справочники!$F$4,Учет!$H1622,0)</f>
        <v>0</v>
      </c>
      <c r="T1622" s="48">
        <f>IF(Учет!$O1622=Справочники!$F$5,Учет!$H1622,0)</f>
        <v>0</v>
      </c>
      <c r="U1622" s="48">
        <f>IF(Учет!$O1622=Справочники!$F$6,Учет!$H1622,0)</f>
        <v>0</v>
      </c>
      <c r="V1622" s="43">
        <f>V1621+Учет!Q1622-Q1622</f>
        <v>-488978.92000000004</v>
      </c>
      <c r="W1622" s="43">
        <f>W1621+Учет!R1622-R1622</f>
        <v>336855</v>
      </c>
      <c r="X1622" s="43">
        <f>X1621+Учет!S1622-S1622</f>
        <v>500</v>
      </c>
      <c r="Y1622" s="43">
        <f>Y1621+Учет!T1622-T1622</f>
        <v>1150</v>
      </c>
      <c r="Z1622" s="43">
        <f>Z1621+Учет!U1622-U1622</f>
        <v>500000</v>
      </c>
      <c r="AA1622" s="45">
        <f>Учет!X1622</f>
        <v>500</v>
      </c>
    </row>
    <row r="1623" spans="1:27" ht="15" customHeight="1" x14ac:dyDescent="0.25">
      <c r="A1623" s="1"/>
      <c r="B1623" s="17"/>
      <c r="C1623" s="17"/>
      <c r="D1623" s="17"/>
      <c r="E1623" s="17"/>
      <c r="F1623" s="17"/>
      <c r="G1623" s="4">
        <f t="shared" si="72"/>
        <v>0</v>
      </c>
      <c r="H1623" s="17"/>
      <c r="I1623" s="4">
        <f t="shared" si="74"/>
        <v>349526.07999999996</v>
      </c>
      <c r="J1623" s="32" t="str">
        <f t="shared" si="73"/>
        <v/>
      </c>
      <c r="K1623" s="72"/>
      <c r="L1623" s="72"/>
      <c r="M1623" s="2"/>
      <c r="N1623" s="5"/>
      <c r="O1623" s="3"/>
      <c r="P1623" s="6"/>
      <c r="Q1623" s="48">
        <f>IF(Учет!$O1623=Справочники!$F$2,Учет!$H1623,0)</f>
        <v>0</v>
      </c>
      <c r="R1623" s="48">
        <f>IF(Учет!$O1623=Справочники!$F$3,Учет!$H1623,0)</f>
        <v>0</v>
      </c>
      <c r="S1623" s="48">
        <f>IF(Учет!$O1623=Справочники!$F$4,Учет!$H1623,0)</f>
        <v>0</v>
      </c>
      <c r="T1623" s="48">
        <f>IF(Учет!$O1623=Справочники!$F$5,Учет!$H1623,0)</f>
        <v>0</v>
      </c>
      <c r="U1623" s="48">
        <f>IF(Учет!$O1623=Справочники!$F$6,Учет!$H1623,0)</f>
        <v>0</v>
      </c>
      <c r="V1623" s="43">
        <f>V1622+Учет!Q1623-Q1623</f>
        <v>-488978.92000000004</v>
      </c>
      <c r="W1623" s="43">
        <f>W1622+Учет!R1623-R1623</f>
        <v>336855</v>
      </c>
      <c r="X1623" s="43">
        <f>X1622+Учет!S1623-S1623</f>
        <v>500</v>
      </c>
      <c r="Y1623" s="43">
        <f>Y1622+Учет!T1623-T1623</f>
        <v>1150</v>
      </c>
      <c r="Z1623" s="43">
        <f>Z1622+Учет!U1623-U1623</f>
        <v>500000</v>
      </c>
      <c r="AA1623" s="45">
        <f>Учет!X1623</f>
        <v>500</v>
      </c>
    </row>
    <row r="1624" spans="1:27" ht="15" customHeight="1" x14ac:dyDescent="0.25">
      <c r="A1624" s="1"/>
      <c r="B1624" s="17"/>
      <c r="C1624" s="17"/>
      <c r="D1624" s="17"/>
      <c r="E1624" s="17"/>
      <c r="F1624" s="17"/>
      <c r="G1624" s="4">
        <f t="shared" si="72"/>
        <v>0</v>
      </c>
      <c r="H1624" s="17"/>
      <c r="I1624" s="4">
        <f t="shared" si="74"/>
        <v>349526.07999999996</v>
      </c>
      <c r="J1624" s="32" t="str">
        <f t="shared" si="73"/>
        <v/>
      </c>
      <c r="K1624" s="72"/>
      <c r="L1624" s="72"/>
      <c r="M1624" s="2"/>
      <c r="N1624" s="5"/>
      <c r="O1624" s="3"/>
      <c r="P1624" s="6"/>
      <c r="Q1624" s="48">
        <f>IF(Учет!$O1624=Справочники!$F$2,Учет!$H1624,0)</f>
        <v>0</v>
      </c>
      <c r="R1624" s="48">
        <f>IF(Учет!$O1624=Справочники!$F$3,Учет!$H1624,0)</f>
        <v>0</v>
      </c>
      <c r="S1624" s="48">
        <f>IF(Учет!$O1624=Справочники!$F$4,Учет!$H1624,0)</f>
        <v>0</v>
      </c>
      <c r="T1624" s="48">
        <f>IF(Учет!$O1624=Справочники!$F$5,Учет!$H1624,0)</f>
        <v>0</v>
      </c>
      <c r="U1624" s="48">
        <f>IF(Учет!$O1624=Справочники!$F$6,Учет!$H1624,0)</f>
        <v>0</v>
      </c>
      <c r="V1624" s="43">
        <f>V1623+Учет!Q1624-Q1624</f>
        <v>-488978.92000000004</v>
      </c>
      <c r="W1624" s="43">
        <f>W1623+Учет!R1624-R1624</f>
        <v>336855</v>
      </c>
      <c r="X1624" s="43">
        <f>X1623+Учет!S1624-S1624</f>
        <v>500</v>
      </c>
      <c r="Y1624" s="43">
        <f>Y1623+Учет!T1624-T1624</f>
        <v>1150</v>
      </c>
      <c r="Z1624" s="43">
        <f>Z1623+Учет!U1624-U1624</f>
        <v>500000</v>
      </c>
      <c r="AA1624" s="45">
        <f>Учет!X1624</f>
        <v>500</v>
      </c>
    </row>
    <row r="1625" spans="1:27" ht="15" customHeight="1" x14ac:dyDescent="0.25">
      <c r="A1625" s="1"/>
      <c r="B1625" s="17"/>
      <c r="C1625" s="17"/>
      <c r="D1625" s="17"/>
      <c r="E1625" s="17"/>
      <c r="F1625" s="17"/>
      <c r="G1625" s="4">
        <f t="shared" si="72"/>
        <v>0</v>
      </c>
      <c r="H1625" s="17"/>
      <c r="I1625" s="4">
        <f t="shared" si="74"/>
        <v>349526.07999999996</v>
      </c>
      <c r="J1625" s="32" t="str">
        <f t="shared" si="73"/>
        <v/>
      </c>
      <c r="K1625" s="72"/>
      <c r="L1625" s="72"/>
      <c r="M1625" s="2"/>
      <c r="N1625" s="5"/>
      <c r="O1625" s="3"/>
      <c r="P1625" s="6"/>
      <c r="Q1625" s="48">
        <f>IF(Учет!$O1625=Справочники!$F$2,Учет!$H1625,0)</f>
        <v>0</v>
      </c>
      <c r="R1625" s="48">
        <f>IF(Учет!$O1625=Справочники!$F$3,Учет!$H1625,0)</f>
        <v>0</v>
      </c>
      <c r="S1625" s="48">
        <f>IF(Учет!$O1625=Справочники!$F$4,Учет!$H1625,0)</f>
        <v>0</v>
      </c>
      <c r="T1625" s="48">
        <f>IF(Учет!$O1625=Справочники!$F$5,Учет!$H1625,0)</f>
        <v>0</v>
      </c>
      <c r="U1625" s="48">
        <f>IF(Учет!$O1625=Справочники!$F$6,Учет!$H1625,0)</f>
        <v>0</v>
      </c>
      <c r="V1625" s="43">
        <f>V1624+Учет!Q1625-Q1625</f>
        <v>-488978.92000000004</v>
      </c>
      <c r="W1625" s="43">
        <f>W1624+Учет!R1625-R1625</f>
        <v>336855</v>
      </c>
      <c r="X1625" s="43">
        <f>X1624+Учет!S1625-S1625</f>
        <v>500</v>
      </c>
      <c r="Y1625" s="43">
        <f>Y1624+Учет!T1625-T1625</f>
        <v>1150</v>
      </c>
      <c r="Z1625" s="43">
        <f>Z1624+Учет!U1625-U1625</f>
        <v>500000</v>
      </c>
      <c r="AA1625" s="45">
        <f>Учет!X1625</f>
        <v>500</v>
      </c>
    </row>
    <row r="1626" spans="1:27" ht="15" customHeight="1" x14ac:dyDescent="0.25">
      <c r="A1626" s="1"/>
      <c r="B1626" s="17"/>
      <c r="C1626" s="17"/>
      <c r="D1626" s="17"/>
      <c r="E1626" s="17"/>
      <c r="F1626" s="17"/>
      <c r="G1626" s="4">
        <f t="shared" si="72"/>
        <v>0</v>
      </c>
      <c r="H1626" s="17"/>
      <c r="I1626" s="4">
        <f t="shared" si="74"/>
        <v>349526.07999999996</v>
      </c>
      <c r="J1626" s="32" t="str">
        <f t="shared" si="73"/>
        <v/>
      </c>
      <c r="K1626" s="72"/>
      <c r="L1626" s="72"/>
      <c r="M1626" s="2"/>
      <c r="N1626" s="5"/>
      <c r="O1626" s="3"/>
      <c r="P1626" s="6"/>
      <c r="Q1626" s="48">
        <f>IF(Учет!$O1626=Справочники!$F$2,Учет!$H1626,0)</f>
        <v>0</v>
      </c>
      <c r="R1626" s="48">
        <f>IF(Учет!$O1626=Справочники!$F$3,Учет!$H1626,0)</f>
        <v>0</v>
      </c>
      <c r="S1626" s="48">
        <f>IF(Учет!$O1626=Справочники!$F$4,Учет!$H1626,0)</f>
        <v>0</v>
      </c>
      <c r="T1626" s="48">
        <f>IF(Учет!$O1626=Справочники!$F$5,Учет!$H1626,0)</f>
        <v>0</v>
      </c>
      <c r="U1626" s="48">
        <f>IF(Учет!$O1626=Справочники!$F$6,Учет!$H1626,0)</f>
        <v>0</v>
      </c>
      <c r="V1626" s="43">
        <f>V1625+Учет!Q1626-Q1626</f>
        <v>-488978.92000000004</v>
      </c>
      <c r="W1626" s="43">
        <f>W1625+Учет!R1626-R1626</f>
        <v>336855</v>
      </c>
      <c r="X1626" s="43">
        <f>X1625+Учет!S1626-S1626</f>
        <v>500</v>
      </c>
      <c r="Y1626" s="43">
        <f>Y1625+Учет!T1626-T1626</f>
        <v>1150</v>
      </c>
      <c r="Z1626" s="43">
        <f>Z1625+Учет!U1626-U1626</f>
        <v>500000</v>
      </c>
      <c r="AA1626" s="45">
        <f>Учет!X1626</f>
        <v>500</v>
      </c>
    </row>
    <row r="1627" spans="1:27" ht="15" customHeight="1" x14ac:dyDescent="0.25">
      <c r="A1627" s="1"/>
      <c r="B1627" s="17"/>
      <c r="C1627" s="17"/>
      <c r="D1627" s="17"/>
      <c r="E1627" s="17"/>
      <c r="F1627" s="17"/>
      <c r="G1627" s="4">
        <f t="shared" si="72"/>
        <v>0</v>
      </c>
      <c r="H1627" s="17"/>
      <c r="I1627" s="4">
        <f t="shared" si="74"/>
        <v>349526.07999999996</v>
      </c>
      <c r="J1627" s="32" t="str">
        <f t="shared" si="73"/>
        <v/>
      </c>
      <c r="K1627" s="72"/>
      <c r="L1627" s="72"/>
      <c r="M1627" s="2"/>
      <c r="N1627" s="5"/>
      <c r="O1627" s="3"/>
      <c r="P1627" s="6"/>
      <c r="Q1627" s="48">
        <f>IF(Учет!$O1627=Справочники!$F$2,Учет!$H1627,0)</f>
        <v>0</v>
      </c>
      <c r="R1627" s="48">
        <f>IF(Учет!$O1627=Справочники!$F$3,Учет!$H1627,0)</f>
        <v>0</v>
      </c>
      <c r="S1627" s="48">
        <f>IF(Учет!$O1627=Справочники!$F$4,Учет!$H1627,0)</f>
        <v>0</v>
      </c>
      <c r="T1627" s="48">
        <f>IF(Учет!$O1627=Справочники!$F$5,Учет!$H1627,0)</f>
        <v>0</v>
      </c>
      <c r="U1627" s="48">
        <f>IF(Учет!$O1627=Справочники!$F$6,Учет!$H1627,0)</f>
        <v>0</v>
      </c>
      <c r="V1627" s="43">
        <f>V1626+Учет!Q1627-Q1627</f>
        <v>-488978.92000000004</v>
      </c>
      <c r="W1627" s="43">
        <f>W1626+Учет!R1627-R1627</f>
        <v>336855</v>
      </c>
      <c r="X1627" s="43">
        <f>X1626+Учет!S1627-S1627</f>
        <v>500</v>
      </c>
      <c r="Y1627" s="43">
        <f>Y1626+Учет!T1627-T1627</f>
        <v>1150</v>
      </c>
      <c r="Z1627" s="43">
        <f>Z1626+Учет!U1627-U1627</f>
        <v>500000</v>
      </c>
      <c r="AA1627" s="45">
        <f>Учет!X1627</f>
        <v>500</v>
      </c>
    </row>
    <row r="1628" spans="1:27" ht="15" customHeight="1" x14ac:dyDescent="0.25">
      <c r="A1628" s="1"/>
      <c r="B1628" s="17"/>
      <c r="C1628" s="17"/>
      <c r="D1628" s="17"/>
      <c r="E1628" s="17"/>
      <c r="F1628" s="17"/>
      <c r="G1628" s="4">
        <f t="shared" si="72"/>
        <v>0</v>
      </c>
      <c r="H1628" s="17"/>
      <c r="I1628" s="4">
        <f t="shared" si="74"/>
        <v>349526.07999999996</v>
      </c>
      <c r="J1628" s="32" t="str">
        <f t="shared" si="73"/>
        <v/>
      </c>
      <c r="K1628" s="72"/>
      <c r="L1628" s="72"/>
      <c r="M1628" s="2"/>
      <c r="N1628" s="5"/>
      <c r="O1628" s="3"/>
      <c r="P1628" s="6"/>
      <c r="Q1628" s="48">
        <f>IF(Учет!$O1628=Справочники!$F$2,Учет!$H1628,0)</f>
        <v>0</v>
      </c>
      <c r="R1628" s="48">
        <f>IF(Учет!$O1628=Справочники!$F$3,Учет!$H1628,0)</f>
        <v>0</v>
      </c>
      <c r="S1628" s="48">
        <f>IF(Учет!$O1628=Справочники!$F$4,Учет!$H1628,0)</f>
        <v>0</v>
      </c>
      <c r="T1628" s="48">
        <f>IF(Учет!$O1628=Справочники!$F$5,Учет!$H1628,0)</f>
        <v>0</v>
      </c>
      <c r="U1628" s="48">
        <f>IF(Учет!$O1628=Справочники!$F$6,Учет!$H1628,0)</f>
        <v>0</v>
      </c>
      <c r="V1628" s="43">
        <f>V1627+Учет!Q1628-Q1628</f>
        <v>-488978.92000000004</v>
      </c>
      <c r="W1628" s="43">
        <f>W1627+Учет!R1628-R1628</f>
        <v>336855</v>
      </c>
      <c r="X1628" s="43">
        <f>X1627+Учет!S1628-S1628</f>
        <v>500</v>
      </c>
      <c r="Y1628" s="43">
        <f>Y1627+Учет!T1628-T1628</f>
        <v>1150</v>
      </c>
      <c r="Z1628" s="43">
        <f>Z1627+Учет!U1628-U1628</f>
        <v>500000</v>
      </c>
      <c r="AA1628" s="45">
        <f>Учет!X1628</f>
        <v>500</v>
      </c>
    </row>
    <row r="1629" spans="1:27" ht="15" customHeight="1" x14ac:dyDescent="0.25">
      <c r="A1629" s="1"/>
      <c r="B1629" s="17"/>
      <c r="C1629" s="17"/>
      <c r="D1629" s="17"/>
      <c r="E1629" s="17"/>
      <c r="F1629" s="17"/>
      <c r="G1629" s="4">
        <f t="shared" si="72"/>
        <v>0</v>
      </c>
      <c r="H1629" s="17"/>
      <c r="I1629" s="4">
        <f t="shared" si="74"/>
        <v>349526.07999999996</v>
      </c>
      <c r="J1629" s="32" t="str">
        <f t="shared" si="73"/>
        <v/>
      </c>
      <c r="K1629" s="72"/>
      <c r="L1629" s="72"/>
      <c r="M1629" s="2"/>
      <c r="N1629" s="5"/>
      <c r="O1629" s="3"/>
      <c r="P1629" s="6"/>
      <c r="Q1629" s="48">
        <f>IF(Учет!$O1629=Справочники!$F$2,Учет!$H1629,0)</f>
        <v>0</v>
      </c>
      <c r="R1629" s="48">
        <f>IF(Учет!$O1629=Справочники!$F$3,Учет!$H1629,0)</f>
        <v>0</v>
      </c>
      <c r="S1629" s="48">
        <f>IF(Учет!$O1629=Справочники!$F$4,Учет!$H1629,0)</f>
        <v>0</v>
      </c>
      <c r="T1629" s="48">
        <f>IF(Учет!$O1629=Справочники!$F$5,Учет!$H1629,0)</f>
        <v>0</v>
      </c>
      <c r="U1629" s="48">
        <f>IF(Учет!$O1629=Справочники!$F$6,Учет!$H1629,0)</f>
        <v>0</v>
      </c>
      <c r="V1629" s="43">
        <f>V1628+Учет!Q1629-Q1629</f>
        <v>-488978.92000000004</v>
      </c>
      <c r="W1629" s="43">
        <f>W1628+Учет!R1629-R1629</f>
        <v>336855</v>
      </c>
      <c r="X1629" s="43">
        <f>X1628+Учет!S1629-S1629</f>
        <v>500</v>
      </c>
      <c r="Y1629" s="43">
        <f>Y1628+Учет!T1629-T1629</f>
        <v>1150</v>
      </c>
      <c r="Z1629" s="43">
        <f>Z1628+Учет!U1629-U1629</f>
        <v>500000</v>
      </c>
      <c r="AA1629" s="45">
        <f>Учет!X1629</f>
        <v>500</v>
      </c>
    </row>
    <row r="1630" spans="1:27" ht="15" customHeight="1" x14ac:dyDescent="0.25">
      <c r="A1630" s="1"/>
      <c r="B1630" s="17"/>
      <c r="C1630" s="17"/>
      <c r="D1630" s="17"/>
      <c r="E1630" s="17"/>
      <c r="F1630" s="17"/>
      <c r="G1630" s="4">
        <f t="shared" si="72"/>
        <v>0</v>
      </c>
      <c r="H1630" s="17"/>
      <c r="I1630" s="4">
        <f t="shared" si="74"/>
        <v>349526.07999999996</v>
      </c>
      <c r="J1630" s="32" t="str">
        <f t="shared" si="73"/>
        <v/>
      </c>
      <c r="K1630" s="72"/>
      <c r="L1630" s="72"/>
      <c r="M1630" s="2"/>
      <c r="N1630" s="5"/>
      <c r="O1630" s="3"/>
      <c r="P1630" s="6"/>
      <c r="Q1630" s="48">
        <f>IF(Учет!$O1630=Справочники!$F$2,Учет!$H1630,0)</f>
        <v>0</v>
      </c>
      <c r="R1630" s="48">
        <f>IF(Учет!$O1630=Справочники!$F$3,Учет!$H1630,0)</f>
        <v>0</v>
      </c>
      <c r="S1630" s="48">
        <f>IF(Учет!$O1630=Справочники!$F$4,Учет!$H1630,0)</f>
        <v>0</v>
      </c>
      <c r="T1630" s="48">
        <f>IF(Учет!$O1630=Справочники!$F$5,Учет!$H1630,0)</f>
        <v>0</v>
      </c>
      <c r="U1630" s="48">
        <f>IF(Учет!$O1630=Справочники!$F$6,Учет!$H1630,0)</f>
        <v>0</v>
      </c>
      <c r="V1630" s="43">
        <f>V1629+Учет!Q1630-Q1630</f>
        <v>-488978.92000000004</v>
      </c>
      <c r="W1630" s="43">
        <f>W1629+Учет!R1630-R1630</f>
        <v>336855</v>
      </c>
      <c r="X1630" s="43">
        <f>X1629+Учет!S1630-S1630</f>
        <v>500</v>
      </c>
      <c r="Y1630" s="43">
        <f>Y1629+Учет!T1630-T1630</f>
        <v>1150</v>
      </c>
      <c r="Z1630" s="43">
        <f>Z1629+Учет!U1630-U1630</f>
        <v>500000</v>
      </c>
      <c r="AA1630" s="45">
        <f>Учет!X1630</f>
        <v>500</v>
      </c>
    </row>
    <row r="1631" spans="1:27" ht="15" customHeight="1" x14ac:dyDescent="0.25">
      <c r="A1631" s="1"/>
      <c r="B1631" s="17"/>
      <c r="C1631" s="17"/>
      <c r="D1631" s="17"/>
      <c r="E1631" s="17"/>
      <c r="F1631" s="17"/>
      <c r="G1631" s="4">
        <f t="shared" si="72"/>
        <v>0</v>
      </c>
      <c r="H1631" s="17"/>
      <c r="I1631" s="4">
        <f t="shared" si="74"/>
        <v>349526.07999999996</v>
      </c>
      <c r="J1631" s="32" t="str">
        <f t="shared" si="73"/>
        <v/>
      </c>
      <c r="K1631" s="72"/>
      <c r="L1631" s="72"/>
      <c r="M1631" s="2"/>
      <c r="N1631" s="5"/>
      <c r="O1631" s="3"/>
      <c r="P1631" s="6"/>
      <c r="Q1631" s="48">
        <f>IF(Учет!$O1631=Справочники!$F$2,Учет!$H1631,0)</f>
        <v>0</v>
      </c>
      <c r="R1631" s="48">
        <f>IF(Учет!$O1631=Справочники!$F$3,Учет!$H1631,0)</f>
        <v>0</v>
      </c>
      <c r="S1631" s="48">
        <f>IF(Учет!$O1631=Справочники!$F$4,Учет!$H1631,0)</f>
        <v>0</v>
      </c>
      <c r="T1631" s="48">
        <f>IF(Учет!$O1631=Справочники!$F$5,Учет!$H1631,0)</f>
        <v>0</v>
      </c>
      <c r="U1631" s="48">
        <f>IF(Учет!$O1631=Справочники!$F$6,Учет!$H1631,0)</f>
        <v>0</v>
      </c>
      <c r="V1631" s="43">
        <f>V1630+Учет!Q1631-Q1631</f>
        <v>-488978.92000000004</v>
      </c>
      <c r="W1631" s="43">
        <f>W1630+Учет!R1631-R1631</f>
        <v>336855</v>
      </c>
      <c r="X1631" s="43">
        <f>X1630+Учет!S1631-S1631</f>
        <v>500</v>
      </c>
      <c r="Y1631" s="43">
        <f>Y1630+Учет!T1631-T1631</f>
        <v>1150</v>
      </c>
      <c r="Z1631" s="43">
        <f>Z1630+Учет!U1631-U1631</f>
        <v>500000</v>
      </c>
      <c r="AA1631" s="45">
        <f>Учет!X1631</f>
        <v>500</v>
      </c>
    </row>
    <row r="1632" spans="1:27" ht="15" customHeight="1" x14ac:dyDescent="0.25">
      <c r="A1632" s="1"/>
      <c r="B1632" s="17"/>
      <c r="C1632" s="17"/>
      <c r="D1632" s="17"/>
      <c r="E1632" s="17"/>
      <c r="F1632" s="17"/>
      <c r="G1632" s="4">
        <f t="shared" si="72"/>
        <v>0</v>
      </c>
      <c r="H1632" s="17"/>
      <c r="I1632" s="4">
        <f t="shared" si="74"/>
        <v>349526.07999999996</v>
      </c>
      <c r="J1632" s="32" t="str">
        <f t="shared" si="73"/>
        <v/>
      </c>
      <c r="K1632" s="72"/>
      <c r="L1632" s="72"/>
      <c r="M1632" s="2"/>
      <c r="N1632" s="5"/>
      <c r="O1632" s="3"/>
      <c r="P1632" s="6"/>
      <c r="Q1632" s="48">
        <f>IF(Учет!$O1632=Справочники!$F$2,Учет!$H1632,0)</f>
        <v>0</v>
      </c>
      <c r="R1632" s="48">
        <f>IF(Учет!$O1632=Справочники!$F$3,Учет!$H1632,0)</f>
        <v>0</v>
      </c>
      <c r="S1632" s="48">
        <f>IF(Учет!$O1632=Справочники!$F$4,Учет!$H1632,0)</f>
        <v>0</v>
      </c>
      <c r="T1632" s="48">
        <f>IF(Учет!$O1632=Справочники!$F$5,Учет!$H1632,0)</f>
        <v>0</v>
      </c>
      <c r="U1632" s="48">
        <f>IF(Учет!$O1632=Справочники!$F$6,Учет!$H1632,0)</f>
        <v>0</v>
      </c>
      <c r="V1632" s="43">
        <f>V1631+Учет!Q1632-Q1632</f>
        <v>-488978.92000000004</v>
      </c>
      <c r="W1632" s="43">
        <f>W1631+Учет!R1632-R1632</f>
        <v>336855</v>
      </c>
      <c r="X1632" s="43">
        <f>X1631+Учет!S1632-S1632</f>
        <v>500</v>
      </c>
      <c r="Y1632" s="43">
        <f>Y1631+Учет!T1632-T1632</f>
        <v>1150</v>
      </c>
      <c r="Z1632" s="43">
        <f>Z1631+Учет!U1632-U1632</f>
        <v>500000</v>
      </c>
      <c r="AA1632" s="45">
        <f>Учет!X1632</f>
        <v>500</v>
      </c>
    </row>
    <row r="1633" spans="1:27" ht="15" customHeight="1" x14ac:dyDescent="0.25">
      <c r="A1633" s="1"/>
      <c r="B1633" s="17"/>
      <c r="C1633" s="17"/>
      <c r="D1633" s="17"/>
      <c r="E1633" s="17"/>
      <c r="F1633" s="17"/>
      <c r="G1633" s="4">
        <f t="shared" si="72"/>
        <v>0</v>
      </c>
      <c r="H1633" s="17"/>
      <c r="I1633" s="4">
        <f t="shared" si="74"/>
        <v>349526.07999999996</v>
      </c>
      <c r="J1633" s="32" t="str">
        <f t="shared" si="73"/>
        <v/>
      </c>
      <c r="K1633" s="72"/>
      <c r="L1633" s="72"/>
      <c r="M1633" s="2"/>
      <c r="N1633" s="5"/>
      <c r="O1633" s="3"/>
      <c r="P1633" s="6"/>
      <c r="Q1633" s="48">
        <f>IF(Учет!$O1633=Справочники!$F$2,Учет!$H1633,0)</f>
        <v>0</v>
      </c>
      <c r="R1633" s="48">
        <f>IF(Учет!$O1633=Справочники!$F$3,Учет!$H1633,0)</f>
        <v>0</v>
      </c>
      <c r="S1633" s="48">
        <f>IF(Учет!$O1633=Справочники!$F$4,Учет!$H1633,0)</f>
        <v>0</v>
      </c>
      <c r="T1633" s="48">
        <f>IF(Учет!$O1633=Справочники!$F$5,Учет!$H1633,0)</f>
        <v>0</v>
      </c>
      <c r="U1633" s="48">
        <f>IF(Учет!$O1633=Справочники!$F$6,Учет!$H1633,0)</f>
        <v>0</v>
      </c>
      <c r="V1633" s="43">
        <f>V1632+Учет!Q1633-Q1633</f>
        <v>-488978.92000000004</v>
      </c>
      <c r="W1633" s="43">
        <f>W1632+Учет!R1633-R1633</f>
        <v>336855</v>
      </c>
      <c r="X1633" s="43">
        <f>X1632+Учет!S1633-S1633</f>
        <v>500</v>
      </c>
      <c r="Y1633" s="43">
        <f>Y1632+Учет!T1633-T1633</f>
        <v>1150</v>
      </c>
      <c r="Z1633" s="43">
        <f>Z1632+Учет!U1633-U1633</f>
        <v>500000</v>
      </c>
      <c r="AA1633" s="45">
        <f>Учет!X1633</f>
        <v>500</v>
      </c>
    </row>
    <row r="1634" spans="1:27" ht="15" customHeight="1" x14ac:dyDescent="0.25">
      <c r="A1634" s="1"/>
      <c r="B1634" s="17"/>
      <c r="C1634" s="17"/>
      <c r="D1634" s="17"/>
      <c r="E1634" s="17"/>
      <c r="F1634" s="17"/>
      <c r="G1634" s="4">
        <f t="shared" si="72"/>
        <v>0</v>
      </c>
      <c r="H1634" s="17"/>
      <c r="I1634" s="4">
        <f t="shared" si="74"/>
        <v>349526.07999999996</v>
      </c>
      <c r="J1634" s="32" t="str">
        <f t="shared" si="73"/>
        <v/>
      </c>
      <c r="K1634" s="72"/>
      <c r="L1634" s="72"/>
      <c r="M1634" s="2"/>
      <c r="N1634" s="5"/>
      <c r="O1634" s="3"/>
      <c r="P1634" s="6"/>
      <c r="Q1634" s="48">
        <f>IF(Учет!$O1634=Справочники!$F$2,Учет!$H1634,0)</f>
        <v>0</v>
      </c>
      <c r="R1634" s="48">
        <f>IF(Учет!$O1634=Справочники!$F$3,Учет!$H1634,0)</f>
        <v>0</v>
      </c>
      <c r="S1634" s="48">
        <f>IF(Учет!$O1634=Справочники!$F$4,Учет!$H1634,0)</f>
        <v>0</v>
      </c>
      <c r="T1634" s="48">
        <f>IF(Учет!$O1634=Справочники!$F$5,Учет!$H1634,0)</f>
        <v>0</v>
      </c>
      <c r="U1634" s="48">
        <f>IF(Учет!$O1634=Справочники!$F$6,Учет!$H1634,0)</f>
        <v>0</v>
      </c>
      <c r="V1634" s="43">
        <f>V1633+Учет!Q1634-Q1634</f>
        <v>-488978.92000000004</v>
      </c>
      <c r="W1634" s="43">
        <f>W1633+Учет!R1634-R1634</f>
        <v>336855</v>
      </c>
      <c r="X1634" s="43">
        <f>X1633+Учет!S1634-S1634</f>
        <v>500</v>
      </c>
      <c r="Y1634" s="43">
        <f>Y1633+Учет!T1634-T1634</f>
        <v>1150</v>
      </c>
      <c r="Z1634" s="43">
        <f>Z1633+Учет!U1634-U1634</f>
        <v>500000</v>
      </c>
      <c r="AA1634" s="45">
        <f>Учет!X1634</f>
        <v>500</v>
      </c>
    </row>
    <row r="1635" spans="1:27" ht="15" customHeight="1" x14ac:dyDescent="0.25">
      <c r="A1635" s="1"/>
      <c r="B1635" s="17"/>
      <c r="C1635" s="17"/>
      <c r="D1635" s="17"/>
      <c r="E1635" s="17"/>
      <c r="F1635" s="17"/>
      <c r="G1635" s="4">
        <f t="shared" si="72"/>
        <v>0</v>
      </c>
      <c r="H1635" s="17"/>
      <c r="I1635" s="4">
        <f t="shared" si="74"/>
        <v>349526.07999999996</v>
      </c>
      <c r="J1635" s="32" t="str">
        <f t="shared" si="73"/>
        <v/>
      </c>
      <c r="K1635" s="72"/>
      <c r="L1635" s="72"/>
      <c r="M1635" s="2"/>
      <c r="N1635" s="5"/>
      <c r="O1635" s="3"/>
      <c r="P1635" s="6"/>
      <c r="Q1635" s="48">
        <f>IF(Учет!$O1635=Справочники!$F$2,Учет!$H1635,0)</f>
        <v>0</v>
      </c>
      <c r="R1635" s="48">
        <f>IF(Учет!$O1635=Справочники!$F$3,Учет!$H1635,0)</f>
        <v>0</v>
      </c>
      <c r="S1635" s="48">
        <f>IF(Учет!$O1635=Справочники!$F$4,Учет!$H1635,0)</f>
        <v>0</v>
      </c>
      <c r="T1635" s="48">
        <f>IF(Учет!$O1635=Справочники!$F$5,Учет!$H1635,0)</f>
        <v>0</v>
      </c>
      <c r="U1635" s="48">
        <f>IF(Учет!$O1635=Справочники!$F$6,Учет!$H1635,0)</f>
        <v>0</v>
      </c>
      <c r="V1635" s="43">
        <f>V1634+Учет!Q1635-Q1635</f>
        <v>-488978.92000000004</v>
      </c>
      <c r="W1635" s="43">
        <f>W1634+Учет!R1635-R1635</f>
        <v>336855</v>
      </c>
      <c r="X1635" s="43">
        <f>X1634+Учет!S1635-S1635</f>
        <v>500</v>
      </c>
      <c r="Y1635" s="43">
        <f>Y1634+Учет!T1635-T1635</f>
        <v>1150</v>
      </c>
      <c r="Z1635" s="43">
        <f>Z1634+Учет!U1635-U1635</f>
        <v>500000</v>
      </c>
      <c r="AA1635" s="45">
        <f>Учет!X1635</f>
        <v>500</v>
      </c>
    </row>
    <row r="1636" spans="1:27" ht="15" customHeight="1" x14ac:dyDescent="0.25">
      <c r="A1636" s="1"/>
      <c r="B1636" s="17"/>
      <c r="C1636" s="17"/>
      <c r="D1636" s="17"/>
      <c r="E1636" s="17"/>
      <c r="F1636" s="17"/>
      <c r="G1636" s="4">
        <f t="shared" si="72"/>
        <v>0</v>
      </c>
      <c r="H1636" s="17"/>
      <c r="I1636" s="4">
        <f t="shared" si="74"/>
        <v>349526.07999999996</v>
      </c>
      <c r="J1636" s="32" t="str">
        <f t="shared" si="73"/>
        <v/>
      </c>
      <c r="K1636" s="72"/>
      <c r="L1636" s="72"/>
      <c r="M1636" s="2"/>
      <c r="N1636" s="5"/>
      <c r="O1636" s="3"/>
      <c r="P1636" s="6"/>
      <c r="Q1636" s="48">
        <f>IF(Учет!$O1636=Справочники!$F$2,Учет!$H1636,0)</f>
        <v>0</v>
      </c>
      <c r="R1636" s="48">
        <f>IF(Учет!$O1636=Справочники!$F$3,Учет!$H1636,0)</f>
        <v>0</v>
      </c>
      <c r="S1636" s="48">
        <f>IF(Учет!$O1636=Справочники!$F$4,Учет!$H1636,0)</f>
        <v>0</v>
      </c>
      <c r="T1636" s="48">
        <f>IF(Учет!$O1636=Справочники!$F$5,Учет!$H1636,0)</f>
        <v>0</v>
      </c>
      <c r="U1636" s="48">
        <f>IF(Учет!$O1636=Справочники!$F$6,Учет!$H1636,0)</f>
        <v>0</v>
      </c>
      <c r="V1636" s="43">
        <f>V1635+Учет!Q1636-Q1636</f>
        <v>-488978.92000000004</v>
      </c>
      <c r="W1636" s="43">
        <f>W1635+Учет!R1636-R1636</f>
        <v>336855</v>
      </c>
      <c r="X1636" s="43">
        <f>X1635+Учет!S1636-S1636</f>
        <v>500</v>
      </c>
      <c r="Y1636" s="43">
        <f>Y1635+Учет!T1636-T1636</f>
        <v>1150</v>
      </c>
      <c r="Z1636" s="43">
        <f>Z1635+Учет!U1636-U1636</f>
        <v>500000</v>
      </c>
      <c r="AA1636" s="45">
        <f>Учет!X1636</f>
        <v>500</v>
      </c>
    </row>
    <row r="1637" spans="1:27" ht="15" customHeight="1" x14ac:dyDescent="0.25">
      <c r="A1637" s="1"/>
      <c r="B1637" s="17"/>
      <c r="C1637" s="17"/>
      <c r="D1637" s="17"/>
      <c r="E1637" s="17"/>
      <c r="F1637" s="17"/>
      <c r="G1637" s="4">
        <f t="shared" si="72"/>
        <v>0</v>
      </c>
      <c r="H1637" s="17"/>
      <c r="I1637" s="4">
        <f t="shared" si="74"/>
        <v>349526.07999999996</v>
      </c>
      <c r="J1637" s="32" t="str">
        <f t="shared" si="73"/>
        <v/>
      </c>
      <c r="K1637" s="72"/>
      <c r="L1637" s="72"/>
      <c r="M1637" s="2"/>
      <c r="N1637" s="5"/>
      <c r="O1637" s="3"/>
      <c r="P1637" s="6"/>
      <c r="Q1637" s="48">
        <f>IF(Учет!$O1637=Справочники!$F$2,Учет!$H1637,0)</f>
        <v>0</v>
      </c>
      <c r="R1637" s="48">
        <f>IF(Учет!$O1637=Справочники!$F$3,Учет!$H1637,0)</f>
        <v>0</v>
      </c>
      <c r="S1637" s="48">
        <f>IF(Учет!$O1637=Справочники!$F$4,Учет!$H1637,0)</f>
        <v>0</v>
      </c>
      <c r="T1637" s="48">
        <f>IF(Учет!$O1637=Справочники!$F$5,Учет!$H1637,0)</f>
        <v>0</v>
      </c>
      <c r="U1637" s="48">
        <f>IF(Учет!$O1637=Справочники!$F$6,Учет!$H1637,0)</f>
        <v>0</v>
      </c>
      <c r="V1637" s="43">
        <f>V1636+Учет!Q1637-Q1637</f>
        <v>-488978.92000000004</v>
      </c>
      <c r="W1637" s="43">
        <f>W1636+Учет!R1637-R1637</f>
        <v>336855</v>
      </c>
      <c r="X1637" s="43">
        <f>X1636+Учет!S1637-S1637</f>
        <v>500</v>
      </c>
      <c r="Y1637" s="43">
        <f>Y1636+Учет!T1637-T1637</f>
        <v>1150</v>
      </c>
      <c r="Z1637" s="43">
        <f>Z1636+Учет!U1637-U1637</f>
        <v>500000</v>
      </c>
      <c r="AA1637" s="45">
        <f>Учет!X1637</f>
        <v>500</v>
      </c>
    </row>
    <row r="1638" spans="1:27" ht="15" customHeight="1" x14ac:dyDescent="0.25">
      <c r="A1638" s="1"/>
      <c r="B1638" s="17"/>
      <c r="C1638" s="17"/>
      <c r="D1638" s="17"/>
      <c r="E1638" s="17"/>
      <c r="F1638" s="17"/>
      <c r="G1638" s="4">
        <f t="shared" si="72"/>
        <v>0</v>
      </c>
      <c r="H1638" s="17"/>
      <c r="I1638" s="4">
        <f t="shared" si="74"/>
        <v>349526.07999999996</v>
      </c>
      <c r="J1638" s="32" t="str">
        <f t="shared" si="73"/>
        <v/>
      </c>
      <c r="K1638" s="72"/>
      <c r="L1638" s="72"/>
      <c r="M1638" s="2"/>
      <c r="N1638" s="5"/>
      <c r="O1638" s="3"/>
      <c r="P1638" s="6"/>
      <c r="Q1638" s="48">
        <f>IF(Учет!$O1638=Справочники!$F$2,Учет!$H1638,0)</f>
        <v>0</v>
      </c>
      <c r="R1638" s="48">
        <f>IF(Учет!$O1638=Справочники!$F$3,Учет!$H1638,0)</f>
        <v>0</v>
      </c>
      <c r="S1638" s="48">
        <f>IF(Учет!$O1638=Справочники!$F$4,Учет!$H1638,0)</f>
        <v>0</v>
      </c>
      <c r="T1638" s="48">
        <f>IF(Учет!$O1638=Справочники!$F$5,Учет!$H1638,0)</f>
        <v>0</v>
      </c>
      <c r="U1638" s="48">
        <f>IF(Учет!$O1638=Справочники!$F$6,Учет!$H1638,0)</f>
        <v>0</v>
      </c>
      <c r="V1638" s="43">
        <f>V1637+Учет!Q1638-Q1638</f>
        <v>-488978.92000000004</v>
      </c>
      <c r="W1638" s="43">
        <f>W1637+Учет!R1638-R1638</f>
        <v>336855</v>
      </c>
      <c r="X1638" s="43">
        <f>X1637+Учет!S1638-S1638</f>
        <v>500</v>
      </c>
      <c r="Y1638" s="43">
        <f>Y1637+Учет!T1638-T1638</f>
        <v>1150</v>
      </c>
      <c r="Z1638" s="43">
        <f>Z1637+Учет!U1638-U1638</f>
        <v>500000</v>
      </c>
      <c r="AA1638" s="45">
        <f>Учет!X1638</f>
        <v>500</v>
      </c>
    </row>
    <row r="1639" spans="1:27" ht="15" customHeight="1" x14ac:dyDescent="0.25">
      <c r="A1639" s="1"/>
      <c r="B1639" s="17"/>
      <c r="C1639" s="17"/>
      <c r="D1639" s="17"/>
      <c r="E1639" s="17"/>
      <c r="F1639" s="17"/>
      <c r="G1639" s="4">
        <f t="shared" si="72"/>
        <v>0</v>
      </c>
      <c r="H1639" s="17"/>
      <c r="I1639" s="4">
        <f t="shared" si="74"/>
        <v>349526.07999999996</v>
      </c>
      <c r="J1639" s="32" t="str">
        <f t="shared" si="73"/>
        <v/>
      </c>
      <c r="K1639" s="72"/>
      <c r="L1639" s="72"/>
      <c r="M1639" s="2"/>
      <c r="N1639" s="5"/>
      <c r="O1639" s="3"/>
      <c r="P1639" s="6"/>
      <c r="Q1639" s="48">
        <f>IF(Учет!$O1639=Справочники!$F$2,Учет!$H1639,0)</f>
        <v>0</v>
      </c>
      <c r="R1639" s="48">
        <f>IF(Учет!$O1639=Справочники!$F$3,Учет!$H1639,0)</f>
        <v>0</v>
      </c>
      <c r="S1639" s="48">
        <f>IF(Учет!$O1639=Справочники!$F$4,Учет!$H1639,0)</f>
        <v>0</v>
      </c>
      <c r="T1639" s="48">
        <f>IF(Учет!$O1639=Справочники!$F$5,Учет!$H1639,0)</f>
        <v>0</v>
      </c>
      <c r="U1639" s="48">
        <f>IF(Учет!$O1639=Справочники!$F$6,Учет!$H1639,0)</f>
        <v>0</v>
      </c>
      <c r="V1639" s="43">
        <f>V1638+Учет!Q1639-Q1639</f>
        <v>-488978.92000000004</v>
      </c>
      <c r="W1639" s="43">
        <f>W1638+Учет!R1639-R1639</f>
        <v>336855</v>
      </c>
      <c r="X1639" s="43">
        <f>X1638+Учет!S1639-S1639</f>
        <v>500</v>
      </c>
      <c r="Y1639" s="43">
        <f>Y1638+Учет!T1639-T1639</f>
        <v>1150</v>
      </c>
      <c r="Z1639" s="43">
        <f>Z1638+Учет!U1639-U1639</f>
        <v>500000</v>
      </c>
      <c r="AA1639" s="45">
        <f>Учет!X1639</f>
        <v>500</v>
      </c>
    </row>
    <row r="1640" spans="1:27" ht="15" customHeight="1" x14ac:dyDescent="0.25">
      <c r="A1640" s="1"/>
      <c r="B1640" s="17"/>
      <c r="C1640" s="17"/>
      <c r="D1640" s="17"/>
      <c r="E1640" s="17"/>
      <c r="F1640" s="17"/>
      <c r="G1640" s="4">
        <f t="shared" si="72"/>
        <v>0</v>
      </c>
      <c r="H1640" s="17"/>
      <c r="I1640" s="4">
        <f t="shared" si="74"/>
        <v>349526.07999999996</v>
      </c>
      <c r="J1640" s="32" t="str">
        <f t="shared" si="73"/>
        <v/>
      </c>
      <c r="K1640" s="72"/>
      <c r="L1640" s="72"/>
      <c r="M1640" s="2"/>
      <c r="N1640" s="5"/>
      <c r="O1640" s="3"/>
      <c r="P1640" s="6"/>
      <c r="Q1640" s="48">
        <f>IF(Учет!$O1640=Справочники!$F$2,Учет!$H1640,0)</f>
        <v>0</v>
      </c>
      <c r="R1640" s="48">
        <f>IF(Учет!$O1640=Справочники!$F$3,Учет!$H1640,0)</f>
        <v>0</v>
      </c>
      <c r="S1640" s="48">
        <f>IF(Учет!$O1640=Справочники!$F$4,Учет!$H1640,0)</f>
        <v>0</v>
      </c>
      <c r="T1640" s="48">
        <f>IF(Учет!$O1640=Справочники!$F$5,Учет!$H1640,0)</f>
        <v>0</v>
      </c>
      <c r="U1640" s="48">
        <f>IF(Учет!$O1640=Справочники!$F$6,Учет!$H1640,0)</f>
        <v>0</v>
      </c>
      <c r="V1640" s="43">
        <f>V1639+Учет!Q1640-Q1640</f>
        <v>-488978.92000000004</v>
      </c>
      <c r="W1640" s="43">
        <f>W1639+Учет!R1640-R1640</f>
        <v>336855</v>
      </c>
      <c r="X1640" s="43">
        <f>X1639+Учет!S1640-S1640</f>
        <v>500</v>
      </c>
      <c r="Y1640" s="43">
        <f>Y1639+Учет!T1640-T1640</f>
        <v>1150</v>
      </c>
      <c r="Z1640" s="43">
        <f>Z1639+Учет!U1640-U1640</f>
        <v>500000</v>
      </c>
      <c r="AA1640" s="45">
        <f>Учет!X1640</f>
        <v>500</v>
      </c>
    </row>
    <row r="1641" spans="1:27" ht="15" customHeight="1" x14ac:dyDescent="0.25">
      <c r="A1641" s="1"/>
      <c r="B1641" s="17"/>
      <c r="C1641" s="17"/>
      <c r="D1641" s="17"/>
      <c r="E1641" s="17"/>
      <c r="F1641" s="17"/>
      <c r="G1641" s="4">
        <f t="shared" si="72"/>
        <v>0</v>
      </c>
      <c r="H1641" s="17"/>
      <c r="I1641" s="4">
        <f t="shared" si="74"/>
        <v>349526.07999999996</v>
      </c>
      <c r="J1641" s="32" t="str">
        <f t="shared" si="73"/>
        <v/>
      </c>
      <c r="K1641" s="72"/>
      <c r="L1641" s="72"/>
      <c r="M1641" s="2"/>
      <c r="N1641" s="5"/>
      <c r="O1641" s="3"/>
      <c r="P1641" s="6"/>
      <c r="Q1641" s="48">
        <f>IF(Учет!$O1641=Справочники!$F$2,Учет!$H1641,0)</f>
        <v>0</v>
      </c>
      <c r="R1641" s="48">
        <f>IF(Учет!$O1641=Справочники!$F$3,Учет!$H1641,0)</f>
        <v>0</v>
      </c>
      <c r="S1641" s="48">
        <f>IF(Учет!$O1641=Справочники!$F$4,Учет!$H1641,0)</f>
        <v>0</v>
      </c>
      <c r="T1641" s="48">
        <f>IF(Учет!$O1641=Справочники!$F$5,Учет!$H1641,0)</f>
        <v>0</v>
      </c>
      <c r="U1641" s="48">
        <f>IF(Учет!$O1641=Справочники!$F$6,Учет!$H1641,0)</f>
        <v>0</v>
      </c>
      <c r="V1641" s="43">
        <f>V1640+Учет!Q1641-Q1641</f>
        <v>-488978.92000000004</v>
      </c>
      <c r="W1641" s="43">
        <f>W1640+Учет!R1641-R1641</f>
        <v>336855</v>
      </c>
      <c r="X1641" s="43">
        <f>X1640+Учет!S1641-S1641</f>
        <v>500</v>
      </c>
      <c r="Y1641" s="43">
        <f>Y1640+Учет!T1641-T1641</f>
        <v>1150</v>
      </c>
      <c r="Z1641" s="43">
        <f>Z1640+Учет!U1641-U1641</f>
        <v>500000</v>
      </c>
      <c r="AA1641" s="45">
        <f>Учет!X1641</f>
        <v>500</v>
      </c>
    </row>
    <row r="1642" spans="1:27" ht="15" customHeight="1" x14ac:dyDescent="0.25">
      <c r="A1642" s="1"/>
      <c r="B1642" s="17"/>
      <c r="C1642" s="17"/>
      <c r="D1642" s="17"/>
      <c r="E1642" s="17"/>
      <c r="F1642" s="17"/>
      <c r="G1642" s="4">
        <f t="shared" si="72"/>
        <v>0</v>
      </c>
      <c r="H1642" s="17"/>
      <c r="I1642" s="4">
        <f t="shared" si="74"/>
        <v>349526.07999999996</v>
      </c>
      <c r="J1642" s="32" t="str">
        <f t="shared" si="73"/>
        <v/>
      </c>
      <c r="K1642" s="72"/>
      <c r="L1642" s="72"/>
      <c r="M1642" s="2"/>
      <c r="N1642" s="5"/>
      <c r="O1642" s="3"/>
      <c r="P1642" s="6"/>
      <c r="Q1642" s="48">
        <f>IF(Учет!$O1642=Справочники!$F$2,Учет!$H1642,0)</f>
        <v>0</v>
      </c>
      <c r="R1642" s="48">
        <f>IF(Учет!$O1642=Справочники!$F$3,Учет!$H1642,0)</f>
        <v>0</v>
      </c>
      <c r="S1642" s="48">
        <f>IF(Учет!$O1642=Справочники!$F$4,Учет!$H1642,0)</f>
        <v>0</v>
      </c>
      <c r="T1642" s="48">
        <f>IF(Учет!$O1642=Справочники!$F$5,Учет!$H1642,0)</f>
        <v>0</v>
      </c>
      <c r="U1642" s="48">
        <f>IF(Учет!$O1642=Справочники!$F$6,Учет!$H1642,0)</f>
        <v>0</v>
      </c>
      <c r="V1642" s="43">
        <f>V1641+Учет!Q1642-Q1642</f>
        <v>-488978.92000000004</v>
      </c>
      <c r="W1642" s="43">
        <f>W1641+Учет!R1642-R1642</f>
        <v>336855</v>
      </c>
      <c r="X1642" s="43">
        <f>X1641+Учет!S1642-S1642</f>
        <v>500</v>
      </c>
      <c r="Y1642" s="43">
        <f>Y1641+Учет!T1642-T1642</f>
        <v>1150</v>
      </c>
      <c r="Z1642" s="43">
        <f>Z1641+Учет!U1642-U1642</f>
        <v>500000</v>
      </c>
      <c r="AA1642" s="45">
        <f>Учет!X1642</f>
        <v>500</v>
      </c>
    </row>
    <row r="1643" spans="1:27" ht="15" customHeight="1" x14ac:dyDescent="0.25">
      <c r="A1643" s="1"/>
      <c r="B1643" s="17"/>
      <c r="C1643" s="17"/>
      <c r="D1643" s="17"/>
      <c r="E1643" s="17"/>
      <c r="F1643" s="17"/>
      <c r="G1643" s="4">
        <f t="shared" si="72"/>
        <v>0</v>
      </c>
      <c r="H1643" s="17"/>
      <c r="I1643" s="4">
        <f t="shared" si="74"/>
        <v>349526.07999999996</v>
      </c>
      <c r="J1643" s="32" t="str">
        <f t="shared" si="73"/>
        <v/>
      </c>
      <c r="K1643" s="72"/>
      <c r="L1643" s="72"/>
      <c r="M1643" s="2"/>
      <c r="N1643" s="5"/>
      <c r="O1643" s="3"/>
      <c r="P1643" s="6"/>
      <c r="Q1643" s="48">
        <f>IF(Учет!$O1643=Справочники!$F$2,Учет!$H1643,0)</f>
        <v>0</v>
      </c>
      <c r="R1643" s="48">
        <f>IF(Учет!$O1643=Справочники!$F$3,Учет!$H1643,0)</f>
        <v>0</v>
      </c>
      <c r="S1643" s="48">
        <f>IF(Учет!$O1643=Справочники!$F$4,Учет!$H1643,0)</f>
        <v>0</v>
      </c>
      <c r="T1643" s="48">
        <f>IF(Учет!$O1643=Справочники!$F$5,Учет!$H1643,0)</f>
        <v>0</v>
      </c>
      <c r="U1643" s="48">
        <f>IF(Учет!$O1643=Справочники!$F$6,Учет!$H1643,0)</f>
        <v>0</v>
      </c>
      <c r="V1643" s="43">
        <f>V1642+Учет!Q1643-Q1643</f>
        <v>-488978.92000000004</v>
      </c>
      <c r="W1643" s="43">
        <f>W1642+Учет!R1643-R1643</f>
        <v>336855</v>
      </c>
      <c r="X1643" s="43">
        <f>X1642+Учет!S1643-S1643</f>
        <v>500</v>
      </c>
      <c r="Y1643" s="43">
        <f>Y1642+Учет!T1643-T1643</f>
        <v>1150</v>
      </c>
      <c r="Z1643" s="43">
        <f>Z1642+Учет!U1643-U1643</f>
        <v>500000</v>
      </c>
      <c r="AA1643" s="45">
        <f>Учет!X1643</f>
        <v>500</v>
      </c>
    </row>
    <row r="1644" spans="1:27" ht="15" customHeight="1" x14ac:dyDescent="0.25">
      <c r="A1644" s="1"/>
      <c r="B1644" s="17"/>
      <c r="C1644" s="17"/>
      <c r="D1644" s="17"/>
      <c r="E1644" s="17"/>
      <c r="F1644" s="17"/>
      <c r="G1644" s="4">
        <f t="shared" si="72"/>
        <v>0</v>
      </c>
      <c r="H1644" s="17"/>
      <c r="I1644" s="4">
        <f t="shared" si="74"/>
        <v>349526.07999999996</v>
      </c>
      <c r="J1644" s="32" t="str">
        <f t="shared" si="73"/>
        <v/>
      </c>
      <c r="K1644" s="72"/>
      <c r="L1644" s="72"/>
      <c r="M1644" s="2"/>
      <c r="N1644" s="5"/>
      <c r="O1644" s="3"/>
      <c r="P1644" s="6"/>
      <c r="Q1644" s="48">
        <f>IF(Учет!$O1644=Справочники!$F$2,Учет!$H1644,0)</f>
        <v>0</v>
      </c>
      <c r="R1644" s="48">
        <f>IF(Учет!$O1644=Справочники!$F$3,Учет!$H1644,0)</f>
        <v>0</v>
      </c>
      <c r="S1644" s="48">
        <f>IF(Учет!$O1644=Справочники!$F$4,Учет!$H1644,0)</f>
        <v>0</v>
      </c>
      <c r="T1644" s="48">
        <f>IF(Учет!$O1644=Справочники!$F$5,Учет!$H1644,0)</f>
        <v>0</v>
      </c>
      <c r="U1644" s="48">
        <f>IF(Учет!$O1644=Справочники!$F$6,Учет!$H1644,0)</f>
        <v>0</v>
      </c>
      <c r="V1644" s="43">
        <f>V1643+Учет!Q1644-Q1644</f>
        <v>-488978.92000000004</v>
      </c>
      <c r="W1644" s="43">
        <f>W1643+Учет!R1644-R1644</f>
        <v>336855</v>
      </c>
      <c r="X1644" s="43">
        <f>X1643+Учет!S1644-S1644</f>
        <v>500</v>
      </c>
      <c r="Y1644" s="43">
        <f>Y1643+Учет!T1644-T1644</f>
        <v>1150</v>
      </c>
      <c r="Z1644" s="43">
        <f>Z1643+Учет!U1644-U1644</f>
        <v>500000</v>
      </c>
      <c r="AA1644" s="45">
        <f>Учет!X1644</f>
        <v>500</v>
      </c>
    </row>
    <row r="1645" spans="1:27" ht="15" customHeight="1" x14ac:dyDescent="0.25">
      <c r="A1645" s="1"/>
      <c r="B1645" s="17"/>
      <c r="C1645" s="17"/>
      <c r="D1645" s="17"/>
      <c r="E1645" s="17"/>
      <c r="F1645" s="17"/>
      <c r="G1645" s="4">
        <f t="shared" si="72"/>
        <v>0</v>
      </c>
      <c r="H1645" s="17"/>
      <c r="I1645" s="4">
        <f t="shared" si="74"/>
        <v>349526.07999999996</v>
      </c>
      <c r="J1645" s="32" t="str">
        <f t="shared" si="73"/>
        <v/>
      </c>
      <c r="K1645" s="72"/>
      <c r="L1645" s="72"/>
      <c r="M1645" s="2"/>
      <c r="N1645" s="5"/>
      <c r="O1645" s="3"/>
      <c r="P1645" s="6"/>
      <c r="Q1645" s="48">
        <f>IF(Учет!$O1645=Справочники!$F$2,Учет!$H1645,0)</f>
        <v>0</v>
      </c>
      <c r="R1645" s="48">
        <f>IF(Учет!$O1645=Справочники!$F$3,Учет!$H1645,0)</f>
        <v>0</v>
      </c>
      <c r="S1645" s="48">
        <f>IF(Учет!$O1645=Справочники!$F$4,Учет!$H1645,0)</f>
        <v>0</v>
      </c>
      <c r="T1645" s="48">
        <f>IF(Учет!$O1645=Справочники!$F$5,Учет!$H1645,0)</f>
        <v>0</v>
      </c>
      <c r="U1645" s="48">
        <f>IF(Учет!$O1645=Справочники!$F$6,Учет!$H1645,0)</f>
        <v>0</v>
      </c>
      <c r="V1645" s="43">
        <f>V1644+Учет!Q1645-Q1645</f>
        <v>-488978.92000000004</v>
      </c>
      <c r="W1645" s="43">
        <f>W1644+Учет!R1645-R1645</f>
        <v>336855</v>
      </c>
      <c r="X1645" s="43">
        <f>X1644+Учет!S1645-S1645</f>
        <v>500</v>
      </c>
      <c r="Y1645" s="43">
        <f>Y1644+Учет!T1645-T1645</f>
        <v>1150</v>
      </c>
      <c r="Z1645" s="43">
        <f>Z1644+Учет!U1645-U1645</f>
        <v>500000</v>
      </c>
      <c r="AA1645" s="45">
        <f>Учет!X1645</f>
        <v>500</v>
      </c>
    </row>
    <row r="1646" spans="1:27" ht="15" customHeight="1" x14ac:dyDescent="0.25">
      <c r="A1646" s="1"/>
      <c r="B1646" s="17"/>
      <c r="C1646" s="17"/>
      <c r="D1646" s="17"/>
      <c r="E1646" s="17"/>
      <c r="F1646" s="17"/>
      <c r="G1646" s="4">
        <f t="shared" si="72"/>
        <v>0</v>
      </c>
      <c r="H1646" s="17"/>
      <c r="I1646" s="4">
        <f t="shared" si="74"/>
        <v>349526.07999999996</v>
      </c>
      <c r="J1646" s="32" t="str">
        <f t="shared" si="73"/>
        <v/>
      </c>
      <c r="K1646" s="72"/>
      <c r="L1646" s="72"/>
      <c r="M1646" s="2"/>
      <c r="N1646" s="5"/>
      <c r="O1646" s="3"/>
      <c r="P1646" s="6"/>
      <c r="Q1646" s="48">
        <f>IF(Учет!$O1646=Справочники!$F$2,Учет!$H1646,0)</f>
        <v>0</v>
      </c>
      <c r="R1646" s="48">
        <f>IF(Учет!$O1646=Справочники!$F$3,Учет!$H1646,0)</f>
        <v>0</v>
      </c>
      <c r="S1646" s="48">
        <f>IF(Учет!$O1646=Справочники!$F$4,Учет!$H1646,0)</f>
        <v>0</v>
      </c>
      <c r="T1646" s="48">
        <f>IF(Учет!$O1646=Справочники!$F$5,Учет!$H1646,0)</f>
        <v>0</v>
      </c>
      <c r="U1646" s="48">
        <f>IF(Учет!$O1646=Справочники!$F$6,Учет!$H1646,0)</f>
        <v>0</v>
      </c>
      <c r="V1646" s="43">
        <f>V1645+Учет!Q1646-Q1646</f>
        <v>-488978.92000000004</v>
      </c>
      <c r="W1646" s="43">
        <f>W1645+Учет!R1646-R1646</f>
        <v>336855</v>
      </c>
      <c r="X1646" s="43">
        <f>X1645+Учет!S1646-S1646</f>
        <v>500</v>
      </c>
      <c r="Y1646" s="43">
        <f>Y1645+Учет!T1646-T1646</f>
        <v>1150</v>
      </c>
      <c r="Z1646" s="43">
        <f>Z1645+Учет!U1646-U1646</f>
        <v>500000</v>
      </c>
      <c r="AA1646" s="45">
        <f>Учет!X1646</f>
        <v>500</v>
      </c>
    </row>
    <row r="1647" spans="1:27" ht="15" customHeight="1" x14ac:dyDescent="0.25">
      <c r="A1647" s="1"/>
      <c r="B1647" s="17"/>
      <c r="C1647" s="17"/>
      <c r="D1647" s="17"/>
      <c r="E1647" s="17"/>
      <c r="F1647" s="17"/>
      <c r="G1647" s="4">
        <f t="shared" si="72"/>
        <v>0</v>
      </c>
      <c r="H1647" s="17"/>
      <c r="I1647" s="4">
        <f t="shared" si="74"/>
        <v>349526.07999999996</v>
      </c>
      <c r="J1647" s="32" t="str">
        <f t="shared" si="73"/>
        <v/>
      </c>
      <c r="K1647" s="72"/>
      <c r="L1647" s="72"/>
      <c r="M1647" s="2"/>
      <c r="N1647" s="5"/>
      <c r="O1647" s="3"/>
      <c r="P1647" s="6"/>
      <c r="Q1647" s="48">
        <f>IF(Учет!$O1647=Справочники!$F$2,Учет!$H1647,0)</f>
        <v>0</v>
      </c>
      <c r="R1647" s="48">
        <f>IF(Учет!$O1647=Справочники!$F$3,Учет!$H1647,0)</f>
        <v>0</v>
      </c>
      <c r="S1647" s="48">
        <f>IF(Учет!$O1647=Справочники!$F$4,Учет!$H1647,0)</f>
        <v>0</v>
      </c>
      <c r="T1647" s="48">
        <f>IF(Учет!$O1647=Справочники!$F$5,Учет!$H1647,0)</f>
        <v>0</v>
      </c>
      <c r="U1647" s="48">
        <f>IF(Учет!$O1647=Справочники!$F$6,Учет!$H1647,0)</f>
        <v>0</v>
      </c>
      <c r="V1647" s="43">
        <f>V1646+Учет!Q1647-Q1647</f>
        <v>-488978.92000000004</v>
      </c>
      <c r="W1647" s="43">
        <f>W1646+Учет!R1647-R1647</f>
        <v>336855</v>
      </c>
      <c r="X1647" s="43">
        <f>X1646+Учет!S1647-S1647</f>
        <v>500</v>
      </c>
      <c r="Y1647" s="43">
        <f>Y1646+Учет!T1647-T1647</f>
        <v>1150</v>
      </c>
      <c r="Z1647" s="43">
        <f>Z1646+Учет!U1647-U1647</f>
        <v>500000</v>
      </c>
      <c r="AA1647" s="45">
        <f>Учет!X1647</f>
        <v>500</v>
      </c>
    </row>
    <row r="1648" spans="1:27" ht="15" customHeight="1" x14ac:dyDescent="0.25">
      <c r="A1648" s="1"/>
      <c r="B1648" s="17"/>
      <c r="C1648" s="17"/>
      <c r="D1648" s="17"/>
      <c r="E1648" s="17"/>
      <c r="F1648" s="17"/>
      <c r="G1648" s="4">
        <f t="shared" si="72"/>
        <v>0</v>
      </c>
      <c r="H1648" s="17"/>
      <c r="I1648" s="4">
        <f t="shared" si="74"/>
        <v>349526.07999999996</v>
      </c>
      <c r="J1648" s="32" t="str">
        <f t="shared" si="73"/>
        <v/>
      </c>
      <c r="K1648" s="72"/>
      <c r="L1648" s="72"/>
      <c r="M1648" s="2"/>
      <c r="N1648" s="5"/>
      <c r="O1648" s="3"/>
      <c r="P1648" s="6"/>
      <c r="Q1648" s="48">
        <f>IF(Учет!$O1648=Справочники!$F$2,Учет!$H1648,0)</f>
        <v>0</v>
      </c>
      <c r="R1648" s="48">
        <f>IF(Учет!$O1648=Справочники!$F$3,Учет!$H1648,0)</f>
        <v>0</v>
      </c>
      <c r="S1648" s="48">
        <f>IF(Учет!$O1648=Справочники!$F$4,Учет!$H1648,0)</f>
        <v>0</v>
      </c>
      <c r="T1648" s="48">
        <f>IF(Учет!$O1648=Справочники!$F$5,Учет!$H1648,0)</f>
        <v>0</v>
      </c>
      <c r="U1648" s="48">
        <f>IF(Учет!$O1648=Справочники!$F$6,Учет!$H1648,0)</f>
        <v>0</v>
      </c>
      <c r="V1648" s="43">
        <f>V1647+Учет!Q1648-Q1648</f>
        <v>-488978.92000000004</v>
      </c>
      <c r="W1648" s="43">
        <f>W1647+Учет!R1648-R1648</f>
        <v>336855</v>
      </c>
      <c r="X1648" s="43">
        <f>X1647+Учет!S1648-S1648</f>
        <v>500</v>
      </c>
      <c r="Y1648" s="43">
        <f>Y1647+Учет!T1648-T1648</f>
        <v>1150</v>
      </c>
      <c r="Z1648" s="43">
        <f>Z1647+Учет!U1648-U1648</f>
        <v>500000</v>
      </c>
      <c r="AA1648" s="45">
        <f>Учет!X1648</f>
        <v>500</v>
      </c>
    </row>
    <row r="1649" spans="1:27" ht="15" customHeight="1" x14ac:dyDescent="0.25">
      <c r="A1649" s="1"/>
      <c r="B1649" s="17"/>
      <c r="C1649" s="17"/>
      <c r="D1649" s="17"/>
      <c r="E1649" s="17"/>
      <c r="F1649" s="17"/>
      <c r="G1649" s="4">
        <f t="shared" si="72"/>
        <v>0</v>
      </c>
      <c r="H1649" s="17"/>
      <c r="I1649" s="4">
        <f t="shared" si="74"/>
        <v>349526.07999999996</v>
      </c>
      <c r="J1649" s="32" t="str">
        <f t="shared" si="73"/>
        <v/>
      </c>
      <c r="K1649" s="72"/>
      <c r="L1649" s="72"/>
      <c r="M1649" s="2"/>
      <c r="N1649" s="5"/>
      <c r="O1649" s="3"/>
      <c r="P1649" s="6"/>
      <c r="Q1649" s="48">
        <f>IF(Учет!$O1649=Справочники!$F$2,Учет!$H1649,0)</f>
        <v>0</v>
      </c>
      <c r="R1649" s="48">
        <f>IF(Учет!$O1649=Справочники!$F$3,Учет!$H1649,0)</f>
        <v>0</v>
      </c>
      <c r="S1649" s="48">
        <f>IF(Учет!$O1649=Справочники!$F$4,Учет!$H1649,0)</f>
        <v>0</v>
      </c>
      <c r="T1649" s="48">
        <f>IF(Учет!$O1649=Справочники!$F$5,Учет!$H1649,0)</f>
        <v>0</v>
      </c>
      <c r="U1649" s="48">
        <f>IF(Учет!$O1649=Справочники!$F$6,Учет!$H1649,0)</f>
        <v>0</v>
      </c>
      <c r="V1649" s="43">
        <f>V1648+Учет!Q1649-Q1649</f>
        <v>-488978.92000000004</v>
      </c>
      <c r="W1649" s="43">
        <f>W1648+Учет!R1649-R1649</f>
        <v>336855</v>
      </c>
      <c r="X1649" s="43">
        <f>X1648+Учет!S1649-S1649</f>
        <v>500</v>
      </c>
      <c r="Y1649" s="43">
        <f>Y1648+Учет!T1649-T1649</f>
        <v>1150</v>
      </c>
      <c r="Z1649" s="43">
        <f>Z1648+Учет!U1649-U1649</f>
        <v>500000</v>
      </c>
      <c r="AA1649" s="45">
        <f>Учет!X1649</f>
        <v>500</v>
      </c>
    </row>
    <row r="1650" spans="1:27" ht="15" customHeight="1" x14ac:dyDescent="0.25">
      <c r="A1650" s="1"/>
      <c r="B1650" s="17"/>
      <c r="C1650" s="17"/>
      <c r="D1650" s="17"/>
      <c r="E1650" s="17"/>
      <c r="F1650" s="17"/>
      <c r="G1650" s="4">
        <f t="shared" si="72"/>
        <v>0</v>
      </c>
      <c r="H1650" s="17"/>
      <c r="I1650" s="4">
        <f t="shared" si="74"/>
        <v>349526.07999999996</v>
      </c>
      <c r="J1650" s="32" t="str">
        <f t="shared" si="73"/>
        <v/>
      </c>
      <c r="K1650" s="72"/>
      <c r="L1650" s="72"/>
      <c r="M1650" s="2"/>
      <c r="N1650" s="5"/>
      <c r="O1650" s="3"/>
      <c r="P1650" s="6"/>
      <c r="Q1650" s="48">
        <f>IF(Учет!$O1650=Справочники!$F$2,Учет!$H1650,0)</f>
        <v>0</v>
      </c>
      <c r="R1650" s="48">
        <f>IF(Учет!$O1650=Справочники!$F$3,Учет!$H1650,0)</f>
        <v>0</v>
      </c>
      <c r="S1650" s="48">
        <f>IF(Учет!$O1650=Справочники!$F$4,Учет!$H1650,0)</f>
        <v>0</v>
      </c>
      <c r="T1650" s="48">
        <f>IF(Учет!$O1650=Справочники!$F$5,Учет!$H1650,0)</f>
        <v>0</v>
      </c>
      <c r="U1650" s="48">
        <f>IF(Учет!$O1650=Справочники!$F$6,Учет!$H1650,0)</f>
        <v>0</v>
      </c>
      <c r="V1650" s="43">
        <f>V1649+Учет!Q1650-Q1650</f>
        <v>-488978.92000000004</v>
      </c>
      <c r="W1650" s="43">
        <f>W1649+Учет!R1650-R1650</f>
        <v>336855</v>
      </c>
      <c r="X1650" s="43">
        <f>X1649+Учет!S1650-S1650</f>
        <v>500</v>
      </c>
      <c r="Y1650" s="43">
        <f>Y1649+Учет!T1650-T1650</f>
        <v>1150</v>
      </c>
      <c r="Z1650" s="43">
        <f>Z1649+Учет!U1650-U1650</f>
        <v>500000</v>
      </c>
      <c r="AA1650" s="45">
        <f>Учет!X1650</f>
        <v>500</v>
      </c>
    </row>
    <row r="1651" spans="1:27" ht="15" customHeight="1" x14ac:dyDescent="0.25">
      <c r="A1651" s="1"/>
      <c r="B1651" s="17"/>
      <c r="C1651" s="17"/>
      <c r="D1651" s="17"/>
      <c r="E1651" s="17"/>
      <c r="F1651" s="17"/>
      <c r="G1651" s="4">
        <f t="shared" si="72"/>
        <v>0</v>
      </c>
      <c r="H1651" s="17"/>
      <c r="I1651" s="4">
        <f t="shared" si="74"/>
        <v>349526.07999999996</v>
      </c>
      <c r="J1651" s="32" t="str">
        <f t="shared" si="73"/>
        <v/>
      </c>
      <c r="K1651" s="72"/>
      <c r="L1651" s="72"/>
      <c r="M1651" s="2"/>
      <c r="N1651" s="5"/>
      <c r="O1651" s="3"/>
      <c r="P1651" s="6"/>
      <c r="Q1651" s="48">
        <f>IF(Учет!$O1651=Справочники!$F$2,Учет!$H1651,0)</f>
        <v>0</v>
      </c>
      <c r="R1651" s="48">
        <f>IF(Учет!$O1651=Справочники!$F$3,Учет!$H1651,0)</f>
        <v>0</v>
      </c>
      <c r="S1651" s="48">
        <f>IF(Учет!$O1651=Справочники!$F$4,Учет!$H1651,0)</f>
        <v>0</v>
      </c>
      <c r="T1651" s="48">
        <f>IF(Учет!$O1651=Справочники!$F$5,Учет!$H1651,0)</f>
        <v>0</v>
      </c>
      <c r="U1651" s="48">
        <f>IF(Учет!$O1651=Справочники!$F$6,Учет!$H1651,0)</f>
        <v>0</v>
      </c>
      <c r="V1651" s="43">
        <f>V1650+Учет!Q1651-Q1651</f>
        <v>-488978.92000000004</v>
      </c>
      <c r="W1651" s="43">
        <f>W1650+Учет!R1651-R1651</f>
        <v>336855</v>
      </c>
      <c r="X1651" s="43">
        <f>X1650+Учет!S1651-S1651</f>
        <v>500</v>
      </c>
      <c r="Y1651" s="43">
        <f>Y1650+Учет!T1651-T1651</f>
        <v>1150</v>
      </c>
      <c r="Z1651" s="43">
        <f>Z1650+Учет!U1651-U1651</f>
        <v>500000</v>
      </c>
      <c r="AA1651" s="45">
        <f>Учет!X1651</f>
        <v>500</v>
      </c>
    </row>
    <row r="1652" spans="1:27" ht="15" customHeight="1" x14ac:dyDescent="0.25">
      <c r="A1652" s="1"/>
      <c r="B1652" s="17"/>
      <c r="C1652" s="17"/>
      <c r="D1652" s="17"/>
      <c r="E1652" s="17"/>
      <c r="F1652" s="17"/>
      <c r="G1652" s="4">
        <f t="shared" si="72"/>
        <v>0</v>
      </c>
      <c r="H1652" s="17"/>
      <c r="I1652" s="4">
        <f t="shared" si="74"/>
        <v>349526.07999999996</v>
      </c>
      <c r="J1652" s="32" t="str">
        <f t="shared" si="73"/>
        <v/>
      </c>
      <c r="K1652" s="72"/>
      <c r="L1652" s="72"/>
      <c r="M1652" s="2"/>
      <c r="N1652" s="5"/>
      <c r="O1652" s="3"/>
      <c r="P1652" s="6"/>
      <c r="Q1652" s="48">
        <f>IF(Учет!$O1652=Справочники!$F$2,Учет!$H1652,0)</f>
        <v>0</v>
      </c>
      <c r="R1652" s="48">
        <f>IF(Учет!$O1652=Справочники!$F$3,Учет!$H1652,0)</f>
        <v>0</v>
      </c>
      <c r="S1652" s="48">
        <f>IF(Учет!$O1652=Справочники!$F$4,Учет!$H1652,0)</f>
        <v>0</v>
      </c>
      <c r="T1652" s="48">
        <f>IF(Учет!$O1652=Справочники!$F$5,Учет!$H1652,0)</f>
        <v>0</v>
      </c>
      <c r="U1652" s="48">
        <f>IF(Учет!$O1652=Справочники!$F$6,Учет!$H1652,0)</f>
        <v>0</v>
      </c>
      <c r="V1652" s="43">
        <f>V1651+Учет!Q1652-Q1652</f>
        <v>-488978.92000000004</v>
      </c>
      <c r="W1652" s="43">
        <f>W1651+Учет!R1652-R1652</f>
        <v>336855</v>
      </c>
      <c r="X1652" s="43">
        <f>X1651+Учет!S1652-S1652</f>
        <v>500</v>
      </c>
      <c r="Y1652" s="43">
        <f>Y1651+Учет!T1652-T1652</f>
        <v>1150</v>
      </c>
      <c r="Z1652" s="43">
        <f>Z1651+Учет!U1652-U1652</f>
        <v>500000</v>
      </c>
      <c r="AA1652" s="45">
        <f>Учет!X1652</f>
        <v>500</v>
      </c>
    </row>
    <row r="1653" spans="1:27" ht="15" customHeight="1" x14ac:dyDescent="0.25">
      <c r="A1653" s="1"/>
      <c r="B1653" s="17"/>
      <c r="C1653" s="17"/>
      <c r="D1653" s="17"/>
      <c r="E1653" s="17"/>
      <c r="F1653" s="17"/>
      <c r="G1653" s="4">
        <f t="shared" si="72"/>
        <v>0</v>
      </c>
      <c r="H1653" s="17"/>
      <c r="I1653" s="4">
        <f t="shared" si="74"/>
        <v>349526.07999999996</v>
      </c>
      <c r="J1653" s="32" t="str">
        <f t="shared" si="73"/>
        <v/>
      </c>
      <c r="K1653" s="72"/>
      <c r="L1653" s="72"/>
      <c r="M1653" s="2"/>
      <c r="N1653" s="5"/>
      <c r="O1653" s="3"/>
      <c r="P1653" s="6"/>
      <c r="Q1653" s="48">
        <f>IF(Учет!$O1653=Справочники!$F$2,Учет!$H1653,0)</f>
        <v>0</v>
      </c>
      <c r="R1653" s="48">
        <f>IF(Учет!$O1653=Справочники!$F$3,Учет!$H1653,0)</f>
        <v>0</v>
      </c>
      <c r="S1653" s="48">
        <f>IF(Учет!$O1653=Справочники!$F$4,Учет!$H1653,0)</f>
        <v>0</v>
      </c>
      <c r="T1653" s="48">
        <f>IF(Учет!$O1653=Справочники!$F$5,Учет!$H1653,0)</f>
        <v>0</v>
      </c>
      <c r="U1653" s="48">
        <f>IF(Учет!$O1653=Справочники!$F$6,Учет!$H1653,0)</f>
        <v>0</v>
      </c>
      <c r="V1653" s="43">
        <f>V1652+Учет!Q1653-Q1653</f>
        <v>-488978.92000000004</v>
      </c>
      <c r="W1653" s="43">
        <f>W1652+Учет!R1653-R1653</f>
        <v>336855</v>
      </c>
      <c r="X1653" s="43">
        <f>X1652+Учет!S1653-S1653</f>
        <v>500</v>
      </c>
      <c r="Y1653" s="43">
        <f>Y1652+Учет!T1653-T1653</f>
        <v>1150</v>
      </c>
      <c r="Z1653" s="43">
        <f>Z1652+Учет!U1653-U1653</f>
        <v>500000</v>
      </c>
      <c r="AA1653" s="45">
        <f>Учет!X1653</f>
        <v>500</v>
      </c>
    </row>
    <row r="1654" spans="1:27" ht="15" customHeight="1" x14ac:dyDescent="0.25">
      <c r="A1654" s="1"/>
      <c r="B1654" s="17"/>
      <c r="C1654" s="17"/>
      <c r="D1654" s="17"/>
      <c r="E1654" s="17"/>
      <c r="F1654" s="17"/>
      <c r="G1654" s="4">
        <f t="shared" si="72"/>
        <v>0</v>
      </c>
      <c r="H1654" s="17"/>
      <c r="I1654" s="4">
        <f t="shared" si="74"/>
        <v>349526.07999999996</v>
      </c>
      <c r="J1654" s="32" t="str">
        <f t="shared" si="73"/>
        <v/>
      </c>
      <c r="K1654" s="72"/>
      <c r="L1654" s="72"/>
      <c r="M1654" s="2"/>
      <c r="N1654" s="5"/>
      <c r="O1654" s="3"/>
      <c r="P1654" s="6"/>
      <c r="Q1654" s="48">
        <f>IF(Учет!$O1654=Справочники!$F$2,Учет!$H1654,0)</f>
        <v>0</v>
      </c>
      <c r="R1654" s="48">
        <f>IF(Учет!$O1654=Справочники!$F$3,Учет!$H1654,0)</f>
        <v>0</v>
      </c>
      <c r="S1654" s="48">
        <f>IF(Учет!$O1654=Справочники!$F$4,Учет!$H1654,0)</f>
        <v>0</v>
      </c>
      <c r="T1654" s="48">
        <f>IF(Учет!$O1654=Справочники!$F$5,Учет!$H1654,0)</f>
        <v>0</v>
      </c>
      <c r="U1654" s="48">
        <f>IF(Учет!$O1654=Справочники!$F$6,Учет!$H1654,0)</f>
        <v>0</v>
      </c>
      <c r="V1654" s="43">
        <f>V1653+Учет!Q1654-Q1654</f>
        <v>-488978.92000000004</v>
      </c>
      <c r="W1654" s="43">
        <f>W1653+Учет!R1654-R1654</f>
        <v>336855</v>
      </c>
      <c r="X1654" s="43">
        <f>X1653+Учет!S1654-S1654</f>
        <v>500</v>
      </c>
      <c r="Y1654" s="43">
        <f>Y1653+Учет!T1654-T1654</f>
        <v>1150</v>
      </c>
      <c r="Z1654" s="43">
        <f>Z1653+Учет!U1654-U1654</f>
        <v>500000</v>
      </c>
      <c r="AA1654" s="45">
        <f>Учет!X1654</f>
        <v>500</v>
      </c>
    </row>
    <row r="1655" spans="1:27" ht="15" customHeight="1" x14ac:dyDescent="0.25">
      <c r="A1655" s="1"/>
      <c r="B1655" s="17"/>
      <c r="C1655" s="17"/>
      <c r="D1655" s="17"/>
      <c r="E1655" s="17"/>
      <c r="F1655" s="17"/>
      <c r="G1655" s="4">
        <f t="shared" si="72"/>
        <v>0</v>
      </c>
      <c r="H1655" s="17"/>
      <c r="I1655" s="4">
        <f t="shared" si="74"/>
        <v>349526.07999999996</v>
      </c>
      <c r="J1655" s="32" t="str">
        <f t="shared" si="73"/>
        <v/>
      </c>
      <c r="K1655" s="72"/>
      <c r="L1655" s="72"/>
      <c r="M1655" s="2"/>
      <c r="N1655" s="5"/>
      <c r="O1655" s="3"/>
      <c r="P1655" s="6"/>
      <c r="Q1655" s="48">
        <f>IF(Учет!$O1655=Справочники!$F$2,Учет!$H1655,0)</f>
        <v>0</v>
      </c>
      <c r="R1655" s="48">
        <f>IF(Учет!$O1655=Справочники!$F$3,Учет!$H1655,0)</f>
        <v>0</v>
      </c>
      <c r="S1655" s="48">
        <f>IF(Учет!$O1655=Справочники!$F$4,Учет!$H1655,0)</f>
        <v>0</v>
      </c>
      <c r="T1655" s="48">
        <f>IF(Учет!$O1655=Справочники!$F$5,Учет!$H1655,0)</f>
        <v>0</v>
      </c>
      <c r="U1655" s="48">
        <f>IF(Учет!$O1655=Справочники!$F$6,Учет!$H1655,0)</f>
        <v>0</v>
      </c>
      <c r="V1655" s="43">
        <f>V1654+Учет!Q1655-Q1655</f>
        <v>-488978.92000000004</v>
      </c>
      <c r="W1655" s="43">
        <f>W1654+Учет!R1655-R1655</f>
        <v>336855</v>
      </c>
      <c r="X1655" s="43">
        <f>X1654+Учет!S1655-S1655</f>
        <v>500</v>
      </c>
      <c r="Y1655" s="43">
        <f>Y1654+Учет!T1655-T1655</f>
        <v>1150</v>
      </c>
      <c r="Z1655" s="43">
        <f>Z1654+Учет!U1655-U1655</f>
        <v>500000</v>
      </c>
      <c r="AA1655" s="45">
        <f>Учет!X1655</f>
        <v>500</v>
      </c>
    </row>
    <row r="1656" spans="1:27" ht="15" customHeight="1" x14ac:dyDescent="0.25">
      <c r="A1656" s="1"/>
      <c r="B1656" s="17"/>
      <c r="C1656" s="17"/>
      <c r="D1656" s="17"/>
      <c r="E1656" s="17"/>
      <c r="F1656" s="17"/>
      <c r="G1656" s="4">
        <f t="shared" si="72"/>
        <v>0</v>
      </c>
      <c r="H1656" s="17"/>
      <c r="I1656" s="4">
        <f t="shared" si="74"/>
        <v>349526.07999999996</v>
      </c>
      <c r="J1656" s="32" t="str">
        <f t="shared" si="73"/>
        <v/>
      </c>
      <c r="K1656" s="72"/>
      <c r="L1656" s="72"/>
      <c r="M1656" s="2"/>
      <c r="N1656" s="5"/>
      <c r="O1656" s="3"/>
      <c r="P1656" s="6"/>
      <c r="Q1656" s="48">
        <f>IF(Учет!$O1656=Справочники!$F$2,Учет!$H1656,0)</f>
        <v>0</v>
      </c>
      <c r="R1656" s="48">
        <f>IF(Учет!$O1656=Справочники!$F$3,Учет!$H1656,0)</f>
        <v>0</v>
      </c>
      <c r="S1656" s="48">
        <f>IF(Учет!$O1656=Справочники!$F$4,Учет!$H1656,0)</f>
        <v>0</v>
      </c>
      <c r="T1656" s="48">
        <f>IF(Учет!$O1656=Справочники!$F$5,Учет!$H1656,0)</f>
        <v>0</v>
      </c>
      <c r="U1656" s="48">
        <f>IF(Учет!$O1656=Справочники!$F$6,Учет!$H1656,0)</f>
        <v>0</v>
      </c>
      <c r="V1656" s="43">
        <f>V1655+Учет!Q1656-Q1656</f>
        <v>-488978.92000000004</v>
      </c>
      <c r="W1656" s="43">
        <f>W1655+Учет!R1656-R1656</f>
        <v>336855</v>
      </c>
      <c r="X1656" s="43">
        <f>X1655+Учет!S1656-S1656</f>
        <v>500</v>
      </c>
      <c r="Y1656" s="43">
        <f>Y1655+Учет!T1656-T1656</f>
        <v>1150</v>
      </c>
      <c r="Z1656" s="43">
        <f>Z1655+Учет!U1656-U1656</f>
        <v>500000</v>
      </c>
      <c r="AA1656" s="45">
        <f>Учет!X1656</f>
        <v>500</v>
      </c>
    </row>
    <row r="1657" spans="1:27" ht="15" customHeight="1" x14ac:dyDescent="0.25">
      <c r="A1657" s="1"/>
      <c r="B1657" s="17"/>
      <c r="C1657" s="17"/>
      <c r="D1657" s="17"/>
      <c r="E1657" s="17"/>
      <c r="F1657" s="17"/>
      <c r="G1657" s="4">
        <f t="shared" si="72"/>
        <v>0</v>
      </c>
      <c r="H1657" s="17"/>
      <c r="I1657" s="4">
        <f t="shared" si="74"/>
        <v>349526.07999999996</v>
      </c>
      <c r="J1657" s="32" t="str">
        <f t="shared" si="73"/>
        <v/>
      </c>
      <c r="K1657" s="72"/>
      <c r="L1657" s="72"/>
      <c r="M1657" s="2"/>
      <c r="N1657" s="5"/>
      <c r="O1657" s="3"/>
      <c r="P1657" s="6"/>
      <c r="Q1657" s="48">
        <f>IF(Учет!$O1657=Справочники!$F$2,Учет!$H1657,0)</f>
        <v>0</v>
      </c>
      <c r="R1657" s="48">
        <f>IF(Учет!$O1657=Справочники!$F$3,Учет!$H1657,0)</f>
        <v>0</v>
      </c>
      <c r="S1657" s="48">
        <f>IF(Учет!$O1657=Справочники!$F$4,Учет!$H1657,0)</f>
        <v>0</v>
      </c>
      <c r="T1657" s="48">
        <f>IF(Учет!$O1657=Справочники!$F$5,Учет!$H1657,0)</f>
        <v>0</v>
      </c>
      <c r="U1657" s="48">
        <f>IF(Учет!$O1657=Справочники!$F$6,Учет!$H1657,0)</f>
        <v>0</v>
      </c>
      <c r="V1657" s="43">
        <f>V1656+Учет!Q1657-Q1657</f>
        <v>-488978.92000000004</v>
      </c>
      <c r="W1657" s="43">
        <f>W1656+Учет!R1657-R1657</f>
        <v>336855</v>
      </c>
      <c r="X1657" s="43">
        <f>X1656+Учет!S1657-S1657</f>
        <v>500</v>
      </c>
      <c r="Y1657" s="43">
        <f>Y1656+Учет!T1657-T1657</f>
        <v>1150</v>
      </c>
      <c r="Z1657" s="43">
        <f>Z1656+Учет!U1657-U1657</f>
        <v>500000</v>
      </c>
      <c r="AA1657" s="45">
        <f>Учет!X1657</f>
        <v>500</v>
      </c>
    </row>
    <row r="1658" spans="1:27" ht="15" customHeight="1" x14ac:dyDescent="0.25">
      <c r="A1658" s="1"/>
      <c r="B1658" s="17"/>
      <c r="C1658" s="17"/>
      <c r="D1658" s="17"/>
      <c r="E1658" s="17"/>
      <c r="F1658" s="17"/>
      <c r="G1658" s="4">
        <f t="shared" si="72"/>
        <v>0</v>
      </c>
      <c r="H1658" s="17"/>
      <c r="I1658" s="4">
        <f t="shared" si="74"/>
        <v>349526.07999999996</v>
      </c>
      <c r="J1658" s="32" t="str">
        <f t="shared" si="73"/>
        <v/>
      </c>
      <c r="K1658" s="72"/>
      <c r="L1658" s="72"/>
      <c r="M1658" s="2"/>
      <c r="N1658" s="5"/>
      <c r="O1658" s="3"/>
      <c r="P1658" s="6"/>
      <c r="Q1658" s="48">
        <f>IF(Учет!$O1658=Справочники!$F$2,Учет!$H1658,0)</f>
        <v>0</v>
      </c>
      <c r="R1658" s="48">
        <f>IF(Учет!$O1658=Справочники!$F$3,Учет!$H1658,0)</f>
        <v>0</v>
      </c>
      <c r="S1658" s="48">
        <f>IF(Учет!$O1658=Справочники!$F$4,Учет!$H1658,0)</f>
        <v>0</v>
      </c>
      <c r="T1658" s="48">
        <f>IF(Учет!$O1658=Справочники!$F$5,Учет!$H1658,0)</f>
        <v>0</v>
      </c>
      <c r="U1658" s="48">
        <f>IF(Учет!$O1658=Справочники!$F$6,Учет!$H1658,0)</f>
        <v>0</v>
      </c>
      <c r="V1658" s="43">
        <f>V1657+Учет!Q1658-Q1658</f>
        <v>-488978.92000000004</v>
      </c>
      <c r="W1658" s="43">
        <f>W1657+Учет!R1658-R1658</f>
        <v>336855</v>
      </c>
      <c r="X1658" s="43">
        <f>X1657+Учет!S1658-S1658</f>
        <v>500</v>
      </c>
      <c r="Y1658" s="43">
        <f>Y1657+Учет!T1658-T1658</f>
        <v>1150</v>
      </c>
      <c r="Z1658" s="43">
        <f>Z1657+Учет!U1658-U1658</f>
        <v>500000</v>
      </c>
      <c r="AA1658" s="45">
        <f>Учет!X1658</f>
        <v>500</v>
      </c>
    </row>
    <row r="1659" spans="1:27" ht="15" customHeight="1" x14ac:dyDescent="0.25">
      <c r="A1659" s="1"/>
      <c r="B1659" s="17"/>
      <c r="C1659" s="17"/>
      <c r="D1659" s="17"/>
      <c r="E1659" s="17"/>
      <c r="F1659" s="17"/>
      <c r="G1659" s="4">
        <f t="shared" si="72"/>
        <v>0</v>
      </c>
      <c r="H1659" s="17"/>
      <c r="I1659" s="4">
        <f t="shared" si="74"/>
        <v>349526.07999999996</v>
      </c>
      <c r="J1659" s="32" t="str">
        <f t="shared" si="73"/>
        <v/>
      </c>
      <c r="K1659" s="72"/>
      <c r="L1659" s="72"/>
      <c r="M1659" s="2"/>
      <c r="N1659" s="5"/>
      <c r="O1659" s="3"/>
      <c r="P1659" s="6"/>
      <c r="Q1659" s="48">
        <f>IF(Учет!$O1659=Справочники!$F$2,Учет!$H1659,0)</f>
        <v>0</v>
      </c>
      <c r="R1659" s="48">
        <f>IF(Учет!$O1659=Справочники!$F$3,Учет!$H1659,0)</f>
        <v>0</v>
      </c>
      <c r="S1659" s="48">
        <f>IF(Учет!$O1659=Справочники!$F$4,Учет!$H1659,0)</f>
        <v>0</v>
      </c>
      <c r="T1659" s="48">
        <f>IF(Учет!$O1659=Справочники!$F$5,Учет!$H1659,0)</f>
        <v>0</v>
      </c>
      <c r="U1659" s="48">
        <f>IF(Учет!$O1659=Справочники!$F$6,Учет!$H1659,0)</f>
        <v>0</v>
      </c>
      <c r="V1659" s="43">
        <f>V1658+Учет!Q1659-Q1659</f>
        <v>-488978.92000000004</v>
      </c>
      <c r="W1659" s="43">
        <f>W1658+Учет!R1659-R1659</f>
        <v>336855</v>
      </c>
      <c r="X1659" s="43">
        <f>X1658+Учет!S1659-S1659</f>
        <v>500</v>
      </c>
      <c r="Y1659" s="43">
        <f>Y1658+Учет!T1659-T1659</f>
        <v>1150</v>
      </c>
      <c r="Z1659" s="43">
        <f>Z1658+Учет!U1659-U1659</f>
        <v>500000</v>
      </c>
      <c r="AA1659" s="45">
        <f>Учет!X1659</f>
        <v>500</v>
      </c>
    </row>
    <row r="1660" spans="1:27" ht="15" customHeight="1" x14ac:dyDescent="0.25">
      <c r="A1660" s="1"/>
      <c r="B1660" s="17"/>
      <c r="C1660" s="17"/>
      <c r="D1660" s="17"/>
      <c r="E1660" s="17"/>
      <c r="F1660" s="17"/>
      <c r="G1660" s="4">
        <f t="shared" si="72"/>
        <v>0</v>
      </c>
      <c r="H1660" s="17"/>
      <c r="I1660" s="4">
        <f t="shared" si="74"/>
        <v>349526.07999999996</v>
      </c>
      <c r="J1660" s="32" t="str">
        <f t="shared" si="73"/>
        <v/>
      </c>
      <c r="K1660" s="72"/>
      <c r="L1660" s="72"/>
      <c r="M1660" s="2"/>
      <c r="N1660" s="5"/>
      <c r="O1660" s="3"/>
      <c r="P1660" s="6"/>
      <c r="Q1660" s="48">
        <f>IF(Учет!$O1660=Справочники!$F$2,Учет!$H1660,0)</f>
        <v>0</v>
      </c>
      <c r="R1660" s="48">
        <f>IF(Учет!$O1660=Справочники!$F$3,Учет!$H1660,0)</f>
        <v>0</v>
      </c>
      <c r="S1660" s="48">
        <f>IF(Учет!$O1660=Справочники!$F$4,Учет!$H1660,0)</f>
        <v>0</v>
      </c>
      <c r="T1660" s="48">
        <f>IF(Учет!$O1660=Справочники!$F$5,Учет!$H1660,0)</f>
        <v>0</v>
      </c>
      <c r="U1660" s="48">
        <f>IF(Учет!$O1660=Справочники!$F$6,Учет!$H1660,0)</f>
        <v>0</v>
      </c>
      <c r="V1660" s="43">
        <f>V1659+Учет!Q1660-Q1660</f>
        <v>-488978.92000000004</v>
      </c>
      <c r="W1660" s="43">
        <f>W1659+Учет!R1660-R1660</f>
        <v>336855</v>
      </c>
      <c r="X1660" s="43">
        <f>X1659+Учет!S1660-S1660</f>
        <v>500</v>
      </c>
      <c r="Y1660" s="43">
        <f>Y1659+Учет!T1660-T1660</f>
        <v>1150</v>
      </c>
      <c r="Z1660" s="43">
        <f>Z1659+Учет!U1660-U1660</f>
        <v>500000</v>
      </c>
      <c r="AA1660" s="45">
        <f>Учет!X1660</f>
        <v>500</v>
      </c>
    </row>
    <row r="1661" spans="1:27" ht="15" customHeight="1" x14ac:dyDescent="0.25">
      <c r="A1661" s="1"/>
      <c r="B1661" s="17"/>
      <c r="C1661" s="17"/>
      <c r="D1661" s="17"/>
      <c r="E1661" s="17"/>
      <c r="F1661" s="17"/>
      <c r="G1661" s="4">
        <f t="shared" si="72"/>
        <v>0</v>
      </c>
      <c r="H1661" s="17"/>
      <c r="I1661" s="4">
        <f t="shared" si="74"/>
        <v>349526.07999999996</v>
      </c>
      <c r="J1661" s="32" t="str">
        <f t="shared" si="73"/>
        <v/>
      </c>
      <c r="K1661" s="72"/>
      <c r="L1661" s="72"/>
      <c r="M1661" s="2"/>
      <c r="N1661" s="5"/>
      <c r="O1661" s="3"/>
      <c r="P1661" s="6"/>
      <c r="Q1661" s="48">
        <f>IF(Учет!$O1661=Справочники!$F$2,Учет!$H1661,0)</f>
        <v>0</v>
      </c>
      <c r="R1661" s="48">
        <f>IF(Учет!$O1661=Справочники!$F$3,Учет!$H1661,0)</f>
        <v>0</v>
      </c>
      <c r="S1661" s="48">
        <f>IF(Учет!$O1661=Справочники!$F$4,Учет!$H1661,0)</f>
        <v>0</v>
      </c>
      <c r="T1661" s="48">
        <f>IF(Учет!$O1661=Справочники!$F$5,Учет!$H1661,0)</f>
        <v>0</v>
      </c>
      <c r="U1661" s="48">
        <f>IF(Учет!$O1661=Справочники!$F$6,Учет!$H1661,0)</f>
        <v>0</v>
      </c>
      <c r="V1661" s="43">
        <f>V1660+Учет!Q1661-Q1661</f>
        <v>-488978.92000000004</v>
      </c>
      <c r="W1661" s="43">
        <f>W1660+Учет!R1661-R1661</f>
        <v>336855</v>
      </c>
      <c r="X1661" s="43">
        <f>X1660+Учет!S1661-S1661</f>
        <v>500</v>
      </c>
      <c r="Y1661" s="43">
        <f>Y1660+Учет!T1661-T1661</f>
        <v>1150</v>
      </c>
      <c r="Z1661" s="43">
        <f>Z1660+Учет!U1661-U1661</f>
        <v>500000</v>
      </c>
      <c r="AA1661" s="45">
        <f>Учет!X1661</f>
        <v>500</v>
      </c>
    </row>
    <row r="1662" spans="1:27" ht="15" customHeight="1" x14ac:dyDescent="0.25">
      <c r="A1662" s="1"/>
      <c r="B1662" s="17"/>
      <c r="C1662" s="17"/>
      <c r="D1662" s="17"/>
      <c r="E1662" s="17"/>
      <c r="F1662" s="17"/>
      <c r="G1662" s="4">
        <f t="shared" si="72"/>
        <v>0</v>
      </c>
      <c r="H1662" s="17"/>
      <c r="I1662" s="4">
        <f t="shared" si="74"/>
        <v>349526.07999999996</v>
      </c>
      <c r="J1662" s="32" t="str">
        <f t="shared" si="73"/>
        <v/>
      </c>
      <c r="K1662" s="72"/>
      <c r="L1662" s="72"/>
      <c r="M1662" s="2"/>
      <c r="N1662" s="5"/>
      <c r="O1662" s="3"/>
      <c r="P1662" s="6"/>
      <c r="Q1662" s="48">
        <f>IF(Учет!$O1662=Справочники!$F$2,Учет!$H1662,0)</f>
        <v>0</v>
      </c>
      <c r="R1662" s="48">
        <f>IF(Учет!$O1662=Справочники!$F$3,Учет!$H1662,0)</f>
        <v>0</v>
      </c>
      <c r="S1662" s="48">
        <f>IF(Учет!$O1662=Справочники!$F$4,Учет!$H1662,0)</f>
        <v>0</v>
      </c>
      <c r="T1662" s="48">
        <f>IF(Учет!$O1662=Справочники!$F$5,Учет!$H1662,0)</f>
        <v>0</v>
      </c>
      <c r="U1662" s="48">
        <f>IF(Учет!$O1662=Справочники!$F$6,Учет!$H1662,0)</f>
        <v>0</v>
      </c>
      <c r="V1662" s="43">
        <f>V1661+Учет!Q1662-Q1662</f>
        <v>-488978.92000000004</v>
      </c>
      <c r="W1662" s="43">
        <f>W1661+Учет!R1662-R1662</f>
        <v>336855</v>
      </c>
      <c r="X1662" s="43">
        <f>X1661+Учет!S1662-S1662</f>
        <v>500</v>
      </c>
      <c r="Y1662" s="43">
        <f>Y1661+Учет!T1662-T1662</f>
        <v>1150</v>
      </c>
      <c r="Z1662" s="43">
        <f>Z1661+Учет!U1662-U1662</f>
        <v>500000</v>
      </c>
      <c r="AA1662" s="45">
        <f>Учет!X1662</f>
        <v>500</v>
      </c>
    </row>
    <row r="1663" spans="1:27" ht="15" customHeight="1" x14ac:dyDescent="0.25">
      <c r="A1663" s="1"/>
      <c r="B1663" s="17"/>
      <c r="C1663" s="17"/>
      <c r="D1663" s="17"/>
      <c r="E1663" s="17"/>
      <c r="F1663" s="17"/>
      <c r="G1663" s="4">
        <f t="shared" si="72"/>
        <v>0</v>
      </c>
      <c r="H1663" s="17"/>
      <c r="I1663" s="4">
        <f t="shared" si="74"/>
        <v>349526.07999999996</v>
      </c>
      <c r="J1663" s="32" t="str">
        <f t="shared" si="73"/>
        <v/>
      </c>
      <c r="K1663" s="72"/>
      <c r="L1663" s="72"/>
      <c r="M1663" s="2"/>
      <c r="N1663" s="5"/>
      <c r="O1663" s="3"/>
      <c r="P1663" s="6"/>
      <c r="Q1663" s="48">
        <f>IF(Учет!$O1663=Справочники!$F$2,Учет!$H1663,0)</f>
        <v>0</v>
      </c>
      <c r="R1663" s="48">
        <f>IF(Учет!$O1663=Справочники!$F$3,Учет!$H1663,0)</f>
        <v>0</v>
      </c>
      <c r="S1663" s="48">
        <f>IF(Учет!$O1663=Справочники!$F$4,Учет!$H1663,0)</f>
        <v>0</v>
      </c>
      <c r="T1663" s="48">
        <f>IF(Учет!$O1663=Справочники!$F$5,Учет!$H1663,0)</f>
        <v>0</v>
      </c>
      <c r="U1663" s="48">
        <f>IF(Учет!$O1663=Справочники!$F$6,Учет!$H1663,0)</f>
        <v>0</v>
      </c>
      <c r="V1663" s="43">
        <f>V1662+Учет!Q1663-Q1663</f>
        <v>-488978.92000000004</v>
      </c>
      <c r="W1663" s="43">
        <f>W1662+Учет!R1663-R1663</f>
        <v>336855</v>
      </c>
      <c r="X1663" s="43">
        <f>X1662+Учет!S1663-S1663</f>
        <v>500</v>
      </c>
      <c r="Y1663" s="43">
        <f>Y1662+Учет!T1663-T1663</f>
        <v>1150</v>
      </c>
      <c r="Z1663" s="43">
        <f>Z1662+Учет!U1663-U1663</f>
        <v>500000</v>
      </c>
      <c r="AA1663" s="45">
        <f>Учет!X1663</f>
        <v>500</v>
      </c>
    </row>
    <row r="1664" spans="1:27" ht="15" customHeight="1" x14ac:dyDescent="0.25">
      <c r="A1664" s="1"/>
      <c r="B1664" s="17"/>
      <c r="C1664" s="17"/>
      <c r="D1664" s="17"/>
      <c r="E1664" s="17"/>
      <c r="F1664" s="17"/>
      <c r="G1664" s="4">
        <f t="shared" si="72"/>
        <v>0</v>
      </c>
      <c r="H1664" s="17"/>
      <c r="I1664" s="4">
        <f t="shared" si="74"/>
        <v>349526.07999999996</v>
      </c>
      <c r="J1664" s="32" t="str">
        <f t="shared" si="73"/>
        <v/>
      </c>
      <c r="K1664" s="72"/>
      <c r="L1664" s="72"/>
      <c r="M1664" s="2"/>
      <c r="N1664" s="5"/>
      <c r="O1664" s="3"/>
      <c r="P1664" s="6"/>
      <c r="Q1664" s="48">
        <f>IF(Учет!$O1664=Справочники!$F$2,Учет!$H1664,0)</f>
        <v>0</v>
      </c>
      <c r="R1664" s="48">
        <f>IF(Учет!$O1664=Справочники!$F$3,Учет!$H1664,0)</f>
        <v>0</v>
      </c>
      <c r="S1664" s="48">
        <f>IF(Учет!$O1664=Справочники!$F$4,Учет!$H1664,0)</f>
        <v>0</v>
      </c>
      <c r="T1664" s="48">
        <f>IF(Учет!$O1664=Справочники!$F$5,Учет!$H1664,0)</f>
        <v>0</v>
      </c>
      <c r="U1664" s="48">
        <f>IF(Учет!$O1664=Справочники!$F$6,Учет!$H1664,0)</f>
        <v>0</v>
      </c>
      <c r="V1664" s="43">
        <f>V1663+Учет!Q1664-Q1664</f>
        <v>-488978.92000000004</v>
      </c>
      <c r="W1664" s="43">
        <f>W1663+Учет!R1664-R1664</f>
        <v>336855</v>
      </c>
      <c r="X1664" s="43">
        <f>X1663+Учет!S1664-S1664</f>
        <v>500</v>
      </c>
      <c r="Y1664" s="43">
        <f>Y1663+Учет!T1664-T1664</f>
        <v>1150</v>
      </c>
      <c r="Z1664" s="43">
        <f>Z1663+Учет!U1664-U1664</f>
        <v>500000</v>
      </c>
      <c r="AA1664" s="45">
        <f>Учет!X1664</f>
        <v>500</v>
      </c>
    </row>
    <row r="1665" spans="1:27" ht="15" customHeight="1" x14ac:dyDescent="0.25">
      <c r="A1665" s="1"/>
      <c r="B1665" s="17"/>
      <c r="C1665" s="17"/>
      <c r="D1665" s="17"/>
      <c r="E1665" s="17"/>
      <c r="F1665" s="17"/>
      <c r="G1665" s="4">
        <f t="shared" si="72"/>
        <v>0</v>
      </c>
      <c r="H1665" s="17"/>
      <c r="I1665" s="4">
        <f t="shared" si="74"/>
        <v>349526.07999999996</v>
      </c>
      <c r="J1665" s="32" t="str">
        <f t="shared" si="73"/>
        <v/>
      </c>
      <c r="K1665" s="72"/>
      <c r="L1665" s="72"/>
      <c r="M1665" s="2"/>
      <c r="N1665" s="5"/>
      <c r="O1665" s="3"/>
      <c r="P1665" s="6"/>
      <c r="Q1665" s="48">
        <f>IF(Учет!$O1665=Справочники!$F$2,Учет!$H1665,0)</f>
        <v>0</v>
      </c>
      <c r="R1665" s="48">
        <f>IF(Учет!$O1665=Справочники!$F$3,Учет!$H1665,0)</f>
        <v>0</v>
      </c>
      <c r="S1665" s="48">
        <f>IF(Учет!$O1665=Справочники!$F$4,Учет!$H1665,0)</f>
        <v>0</v>
      </c>
      <c r="T1665" s="48">
        <f>IF(Учет!$O1665=Справочники!$F$5,Учет!$H1665,0)</f>
        <v>0</v>
      </c>
      <c r="U1665" s="48">
        <f>IF(Учет!$O1665=Справочники!$F$6,Учет!$H1665,0)</f>
        <v>0</v>
      </c>
      <c r="V1665" s="43">
        <f>V1664+Учет!Q1665-Q1665</f>
        <v>-488978.92000000004</v>
      </c>
      <c r="W1665" s="43">
        <f>W1664+Учет!R1665-R1665</f>
        <v>336855</v>
      </c>
      <c r="X1665" s="43">
        <f>X1664+Учет!S1665-S1665</f>
        <v>500</v>
      </c>
      <c r="Y1665" s="43">
        <f>Y1664+Учет!T1665-T1665</f>
        <v>1150</v>
      </c>
      <c r="Z1665" s="43">
        <f>Z1664+Учет!U1665-U1665</f>
        <v>500000</v>
      </c>
      <c r="AA1665" s="45">
        <f>Учет!X1665</f>
        <v>500</v>
      </c>
    </row>
    <row r="1666" spans="1:27" ht="15" customHeight="1" x14ac:dyDescent="0.25">
      <c r="A1666" s="1"/>
      <c r="B1666" s="17"/>
      <c r="C1666" s="17"/>
      <c r="D1666" s="17"/>
      <c r="E1666" s="17"/>
      <c r="F1666" s="17"/>
      <c r="G1666" s="4">
        <f t="shared" ref="G1666:G1729" si="75">SUM($B1666:$F1666)</f>
        <v>0</v>
      </c>
      <c r="H1666" s="17"/>
      <c r="I1666" s="4">
        <f t="shared" si="74"/>
        <v>349526.07999999996</v>
      </c>
      <c r="J1666" s="32" t="str">
        <f t="shared" ref="J1666:J1729" si="76">IF($A1667&lt;&gt;$A1666,$I1666,"")</f>
        <v/>
      </c>
      <c r="K1666" s="72"/>
      <c r="L1666" s="72"/>
      <c r="M1666" s="2"/>
      <c r="N1666" s="5"/>
      <c r="O1666" s="3"/>
      <c r="P1666" s="6"/>
      <c r="Q1666" s="48">
        <f>IF(Учет!$O1666=Справочники!$F$2,Учет!$H1666,0)</f>
        <v>0</v>
      </c>
      <c r="R1666" s="48">
        <f>IF(Учет!$O1666=Справочники!$F$3,Учет!$H1666,0)</f>
        <v>0</v>
      </c>
      <c r="S1666" s="48">
        <f>IF(Учет!$O1666=Справочники!$F$4,Учет!$H1666,0)</f>
        <v>0</v>
      </c>
      <c r="T1666" s="48">
        <f>IF(Учет!$O1666=Справочники!$F$5,Учет!$H1666,0)</f>
        <v>0</v>
      </c>
      <c r="U1666" s="48">
        <f>IF(Учет!$O1666=Справочники!$F$6,Учет!$H1666,0)</f>
        <v>0</v>
      </c>
      <c r="V1666" s="43">
        <f>V1665+Учет!Q1666-Q1666</f>
        <v>-488978.92000000004</v>
      </c>
      <c r="W1666" s="43">
        <f>W1665+Учет!R1666-R1666</f>
        <v>336855</v>
      </c>
      <c r="X1666" s="43">
        <f>X1665+Учет!S1666-S1666</f>
        <v>500</v>
      </c>
      <c r="Y1666" s="43">
        <f>Y1665+Учет!T1666-T1666</f>
        <v>1150</v>
      </c>
      <c r="Z1666" s="43">
        <f>Z1665+Учет!U1666-U1666</f>
        <v>500000</v>
      </c>
      <c r="AA1666" s="45">
        <f>Учет!X1666</f>
        <v>500</v>
      </c>
    </row>
    <row r="1667" spans="1:27" ht="15" customHeight="1" x14ac:dyDescent="0.25">
      <c r="A1667" s="1"/>
      <c r="B1667" s="17"/>
      <c r="C1667" s="17"/>
      <c r="D1667" s="17"/>
      <c r="E1667" s="17"/>
      <c r="F1667" s="17"/>
      <c r="G1667" s="4">
        <f t="shared" si="75"/>
        <v>0</v>
      </c>
      <c r="H1667" s="17"/>
      <c r="I1667" s="4">
        <f t="shared" ref="I1667:I1730" si="77">$I1666+$G1667-$H1667</f>
        <v>349526.07999999996</v>
      </c>
      <c r="J1667" s="32" t="str">
        <f t="shared" si="76"/>
        <v/>
      </c>
      <c r="K1667" s="72"/>
      <c r="L1667" s="72"/>
      <c r="M1667" s="2"/>
      <c r="N1667" s="5"/>
      <c r="O1667" s="3"/>
      <c r="P1667" s="6"/>
      <c r="Q1667" s="48">
        <f>IF(Учет!$O1667=Справочники!$F$2,Учет!$H1667,0)</f>
        <v>0</v>
      </c>
      <c r="R1667" s="48">
        <f>IF(Учет!$O1667=Справочники!$F$3,Учет!$H1667,0)</f>
        <v>0</v>
      </c>
      <c r="S1667" s="48">
        <f>IF(Учет!$O1667=Справочники!$F$4,Учет!$H1667,0)</f>
        <v>0</v>
      </c>
      <c r="T1667" s="48">
        <f>IF(Учет!$O1667=Справочники!$F$5,Учет!$H1667,0)</f>
        <v>0</v>
      </c>
      <c r="U1667" s="48">
        <f>IF(Учет!$O1667=Справочники!$F$6,Учет!$H1667,0)</f>
        <v>0</v>
      </c>
      <c r="V1667" s="43">
        <f>V1666+Учет!Q1667-Q1667</f>
        <v>-488978.92000000004</v>
      </c>
      <c r="W1667" s="43">
        <f>W1666+Учет!R1667-R1667</f>
        <v>336855</v>
      </c>
      <c r="X1667" s="43">
        <f>X1666+Учет!S1667-S1667</f>
        <v>500</v>
      </c>
      <c r="Y1667" s="43">
        <f>Y1666+Учет!T1667-T1667</f>
        <v>1150</v>
      </c>
      <c r="Z1667" s="43">
        <f>Z1666+Учет!U1667-U1667</f>
        <v>500000</v>
      </c>
      <c r="AA1667" s="45">
        <f>Учет!X1667</f>
        <v>500</v>
      </c>
    </row>
    <row r="1668" spans="1:27" ht="15" customHeight="1" x14ac:dyDescent="0.25">
      <c r="A1668" s="1"/>
      <c r="B1668" s="17"/>
      <c r="C1668" s="17"/>
      <c r="D1668" s="17"/>
      <c r="E1668" s="17"/>
      <c r="F1668" s="17"/>
      <c r="G1668" s="4">
        <f t="shared" si="75"/>
        <v>0</v>
      </c>
      <c r="H1668" s="17"/>
      <c r="I1668" s="4">
        <f t="shared" si="77"/>
        <v>349526.07999999996</v>
      </c>
      <c r="J1668" s="32" t="str">
        <f t="shared" si="76"/>
        <v/>
      </c>
      <c r="K1668" s="72"/>
      <c r="L1668" s="72"/>
      <c r="M1668" s="2"/>
      <c r="N1668" s="5"/>
      <c r="O1668" s="3"/>
      <c r="P1668" s="6"/>
      <c r="Q1668" s="48">
        <f>IF(Учет!$O1668=Справочники!$F$2,Учет!$H1668,0)</f>
        <v>0</v>
      </c>
      <c r="R1668" s="48">
        <f>IF(Учет!$O1668=Справочники!$F$3,Учет!$H1668,0)</f>
        <v>0</v>
      </c>
      <c r="S1668" s="48">
        <f>IF(Учет!$O1668=Справочники!$F$4,Учет!$H1668,0)</f>
        <v>0</v>
      </c>
      <c r="T1668" s="48">
        <f>IF(Учет!$O1668=Справочники!$F$5,Учет!$H1668,0)</f>
        <v>0</v>
      </c>
      <c r="U1668" s="48">
        <f>IF(Учет!$O1668=Справочники!$F$6,Учет!$H1668,0)</f>
        <v>0</v>
      </c>
      <c r="V1668" s="43">
        <f>V1667+Учет!Q1668-Q1668</f>
        <v>-488978.92000000004</v>
      </c>
      <c r="W1668" s="43">
        <f>W1667+Учет!R1668-R1668</f>
        <v>336855</v>
      </c>
      <c r="X1668" s="43">
        <f>X1667+Учет!S1668-S1668</f>
        <v>500</v>
      </c>
      <c r="Y1668" s="43">
        <f>Y1667+Учет!T1668-T1668</f>
        <v>1150</v>
      </c>
      <c r="Z1668" s="43">
        <f>Z1667+Учет!U1668-U1668</f>
        <v>500000</v>
      </c>
      <c r="AA1668" s="45">
        <f>Учет!X1668</f>
        <v>500</v>
      </c>
    </row>
    <row r="1669" spans="1:27" ht="15" customHeight="1" x14ac:dyDescent="0.25">
      <c r="A1669" s="1"/>
      <c r="B1669" s="17"/>
      <c r="C1669" s="17"/>
      <c r="D1669" s="17"/>
      <c r="E1669" s="17"/>
      <c r="F1669" s="17"/>
      <c r="G1669" s="4">
        <f t="shared" si="75"/>
        <v>0</v>
      </c>
      <c r="H1669" s="17"/>
      <c r="I1669" s="4">
        <f t="shared" si="77"/>
        <v>349526.07999999996</v>
      </c>
      <c r="J1669" s="32" t="str">
        <f t="shared" si="76"/>
        <v/>
      </c>
      <c r="K1669" s="72"/>
      <c r="L1669" s="72"/>
      <c r="M1669" s="2"/>
      <c r="N1669" s="5"/>
      <c r="O1669" s="3"/>
      <c r="P1669" s="6"/>
      <c r="Q1669" s="48">
        <f>IF(Учет!$O1669=Справочники!$F$2,Учет!$H1669,0)</f>
        <v>0</v>
      </c>
      <c r="R1669" s="48">
        <f>IF(Учет!$O1669=Справочники!$F$3,Учет!$H1669,0)</f>
        <v>0</v>
      </c>
      <c r="S1669" s="48">
        <f>IF(Учет!$O1669=Справочники!$F$4,Учет!$H1669,0)</f>
        <v>0</v>
      </c>
      <c r="T1669" s="48">
        <f>IF(Учет!$O1669=Справочники!$F$5,Учет!$H1669,0)</f>
        <v>0</v>
      </c>
      <c r="U1669" s="48">
        <f>IF(Учет!$O1669=Справочники!$F$6,Учет!$H1669,0)</f>
        <v>0</v>
      </c>
      <c r="V1669" s="43">
        <f>V1668+Учет!Q1669-Q1669</f>
        <v>-488978.92000000004</v>
      </c>
      <c r="W1669" s="43">
        <f>W1668+Учет!R1669-R1669</f>
        <v>336855</v>
      </c>
      <c r="X1669" s="43">
        <f>X1668+Учет!S1669-S1669</f>
        <v>500</v>
      </c>
      <c r="Y1669" s="43">
        <f>Y1668+Учет!T1669-T1669</f>
        <v>1150</v>
      </c>
      <c r="Z1669" s="43">
        <f>Z1668+Учет!U1669-U1669</f>
        <v>500000</v>
      </c>
      <c r="AA1669" s="45">
        <f>Учет!X1669</f>
        <v>500</v>
      </c>
    </row>
    <row r="1670" spans="1:27" ht="15" customHeight="1" x14ac:dyDescent="0.25">
      <c r="A1670" s="1"/>
      <c r="B1670" s="17"/>
      <c r="C1670" s="17"/>
      <c r="D1670" s="17"/>
      <c r="E1670" s="17"/>
      <c r="F1670" s="17"/>
      <c r="G1670" s="4">
        <f t="shared" si="75"/>
        <v>0</v>
      </c>
      <c r="H1670" s="17"/>
      <c r="I1670" s="4">
        <f t="shared" si="77"/>
        <v>349526.07999999996</v>
      </c>
      <c r="J1670" s="32" t="str">
        <f t="shared" si="76"/>
        <v/>
      </c>
      <c r="K1670" s="72"/>
      <c r="L1670" s="72"/>
      <c r="M1670" s="2"/>
      <c r="N1670" s="5"/>
      <c r="O1670" s="3"/>
      <c r="P1670" s="6"/>
      <c r="Q1670" s="48">
        <f>IF(Учет!$O1670=Справочники!$F$2,Учет!$H1670,0)</f>
        <v>0</v>
      </c>
      <c r="R1670" s="48">
        <f>IF(Учет!$O1670=Справочники!$F$3,Учет!$H1670,0)</f>
        <v>0</v>
      </c>
      <c r="S1670" s="48">
        <f>IF(Учет!$O1670=Справочники!$F$4,Учет!$H1670,0)</f>
        <v>0</v>
      </c>
      <c r="T1670" s="48">
        <f>IF(Учет!$O1670=Справочники!$F$5,Учет!$H1670,0)</f>
        <v>0</v>
      </c>
      <c r="U1670" s="48">
        <f>IF(Учет!$O1670=Справочники!$F$6,Учет!$H1670,0)</f>
        <v>0</v>
      </c>
      <c r="V1670" s="43">
        <f>V1669+Учет!Q1670-Q1670</f>
        <v>-488978.92000000004</v>
      </c>
      <c r="W1670" s="43">
        <f>W1669+Учет!R1670-R1670</f>
        <v>336855</v>
      </c>
      <c r="X1670" s="43">
        <f>X1669+Учет!S1670-S1670</f>
        <v>500</v>
      </c>
      <c r="Y1670" s="43">
        <f>Y1669+Учет!T1670-T1670</f>
        <v>1150</v>
      </c>
      <c r="Z1670" s="43">
        <f>Z1669+Учет!U1670-U1670</f>
        <v>500000</v>
      </c>
      <c r="AA1670" s="45">
        <f>Учет!X1670</f>
        <v>500</v>
      </c>
    </row>
    <row r="1671" spans="1:27" ht="15" customHeight="1" x14ac:dyDescent="0.25">
      <c r="A1671" s="1"/>
      <c r="B1671" s="17"/>
      <c r="C1671" s="17"/>
      <c r="D1671" s="17"/>
      <c r="E1671" s="17"/>
      <c r="F1671" s="17"/>
      <c r="G1671" s="4">
        <f t="shared" si="75"/>
        <v>0</v>
      </c>
      <c r="H1671" s="17"/>
      <c r="I1671" s="4">
        <f t="shared" si="77"/>
        <v>349526.07999999996</v>
      </c>
      <c r="J1671" s="32" t="str">
        <f t="shared" si="76"/>
        <v/>
      </c>
      <c r="K1671" s="72"/>
      <c r="L1671" s="72"/>
      <c r="M1671" s="2"/>
      <c r="N1671" s="5"/>
      <c r="O1671" s="3"/>
      <c r="P1671" s="6"/>
      <c r="Q1671" s="48">
        <f>IF(Учет!$O1671=Справочники!$F$2,Учет!$H1671,0)</f>
        <v>0</v>
      </c>
      <c r="R1671" s="48">
        <f>IF(Учет!$O1671=Справочники!$F$3,Учет!$H1671,0)</f>
        <v>0</v>
      </c>
      <c r="S1671" s="48">
        <f>IF(Учет!$O1671=Справочники!$F$4,Учет!$H1671,0)</f>
        <v>0</v>
      </c>
      <c r="T1671" s="48">
        <f>IF(Учет!$O1671=Справочники!$F$5,Учет!$H1671,0)</f>
        <v>0</v>
      </c>
      <c r="U1671" s="48">
        <f>IF(Учет!$O1671=Справочники!$F$6,Учет!$H1671,0)</f>
        <v>0</v>
      </c>
      <c r="V1671" s="43">
        <f>V1670+Учет!Q1671-Q1671</f>
        <v>-488978.92000000004</v>
      </c>
      <c r="W1671" s="43">
        <f>W1670+Учет!R1671-R1671</f>
        <v>336855</v>
      </c>
      <c r="X1671" s="43">
        <f>X1670+Учет!S1671-S1671</f>
        <v>500</v>
      </c>
      <c r="Y1671" s="43">
        <f>Y1670+Учет!T1671-T1671</f>
        <v>1150</v>
      </c>
      <c r="Z1671" s="43">
        <f>Z1670+Учет!U1671-U1671</f>
        <v>500000</v>
      </c>
      <c r="AA1671" s="45">
        <f>Учет!X1671</f>
        <v>500</v>
      </c>
    </row>
    <row r="1672" spans="1:27" ht="15" customHeight="1" x14ac:dyDescent="0.25">
      <c r="A1672" s="1"/>
      <c r="B1672" s="17"/>
      <c r="C1672" s="17"/>
      <c r="D1672" s="17"/>
      <c r="E1672" s="17"/>
      <c r="F1672" s="17"/>
      <c r="G1672" s="4">
        <f t="shared" si="75"/>
        <v>0</v>
      </c>
      <c r="H1672" s="17"/>
      <c r="I1672" s="4">
        <f t="shared" si="77"/>
        <v>349526.07999999996</v>
      </c>
      <c r="J1672" s="32" t="str">
        <f t="shared" si="76"/>
        <v/>
      </c>
      <c r="K1672" s="72"/>
      <c r="L1672" s="72"/>
      <c r="M1672" s="2"/>
      <c r="N1672" s="5"/>
      <c r="O1672" s="3"/>
      <c r="P1672" s="6"/>
      <c r="Q1672" s="48">
        <f>IF(Учет!$O1672=Справочники!$F$2,Учет!$H1672,0)</f>
        <v>0</v>
      </c>
      <c r="R1672" s="48">
        <f>IF(Учет!$O1672=Справочники!$F$3,Учет!$H1672,0)</f>
        <v>0</v>
      </c>
      <c r="S1672" s="48">
        <f>IF(Учет!$O1672=Справочники!$F$4,Учет!$H1672,0)</f>
        <v>0</v>
      </c>
      <c r="T1672" s="48">
        <f>IF(Учет!$O1672=Справочники!$F$5,Учет!$H1672,0)</f>
        <v>0</v>
      </c>
      <c r="U1672" s="48">
        <f>IF(Учет!$O1672=Справочники!$F$6,Учет!$H1672,0)</f>
        <v>0</v>
      </c>
      <c r="V1672" s="43">
        <f>V1671+Учет!Q1672-Q1672</f>
        <v>-488978.92000000004</v>
      </c>
      <c r="W1672" s="43">
        <f>W1671+Учет!R1672-R1672</f>
        <v>336855</v>
      </c>
      <c r="X1672" s="43">
        <f>X1671+Учет!S1672-S1672</f>
        <v>500</v>
      </c>
      <c r="Y1672" s="43">
        <f>Y1671+Учет!T1672-T1672</f>
        <v>1150</v>
      </c>
      <c r="Z1672" s="43">
        <f>Z1671+Учет!U1672-U1672</f>
        <v>500000</v>
      </c>
      <c r="AA1672" s="45">
        <f>Учет!X1672</f>
        <v>500</v>
      </c>
    </row>
    <row r="1673" spans="1:27" ht="15" customHeight="1" x14ac:dyDescent="0.25">
      <c r="A1673" s="1"/>
      <c r="B1673" s="17"/>
      <c r="C1673" s="17"/>
      <c r="D1673" s="17"/>
      <c r="E1673" s="17"/>
      <c r="F1673" s="17"/>
      <c r="G1673" s="4">
        <f t="shared" si="75"/>
        <v>0</v>
      </c>
      <c r="H1673" s="17"/>
      <c r="I1673" s="4">
        <f t="shared" si="77"/>
        <v>349526.07999999996</v>
      </c>
      <c r="J1673" s="32" t="str">
        <f t="shared" si="76"/>
        <v/>
      </c>
      <c r="K1673" s="72"/>
      <c r="L1673" s="72"/>
      <c r="M1673" s="2"/>
      <c r="N1673" s="5"/>
      <c r="O1673" s="3"/>
      <c r="P1673" s="6"/>
      <c r="Q1673" s="48">
        <f>IF(Учет!$O1673=Справочники!$F$2,Учет!$H1673,0)</f>
        <v>0</v>
      </c>
      <c r="R1673" s="48">
        <f>IF(Учет!$O1673=Справочники!$F$3,Учет!$H1673,0)</f>
        <v>0</v>
      </c>
      <c r="S1673" s="48">
        <f>IF(Учет!$O1673=Справочники!$F$4,Учет!$H1673,0)</f>
        <v>0</v>
      </c>
      <c r="T1673" s="48">
        <f>IF(Учет!$O1673=Справочники!$F$5,Учет!$H1673,0)</f>
        <v>0</v>
      </c>
      <c r="U1673" s="48">
        <f>IF(Учет!$O1673=Справочники!$F$6,Учет!$H1673,0)</f>
        <v>0</v>
      </c>
      <c r="V1673" s="43">
        <f>V1672+Учет!Q1673-Q1673</f>
        <v>-488978.92000000004</v>
      </c>
      <c r="W1673" s="43">
        <f>W1672+Учет!R1673-R1673</f>
        <v>336855</v>
      </c>
      <c r="X1673" s="43">
        <f>X1672+Учет!S1673-S1673</f>
        <v>500</v>
      </c>
      <c r="Y1673" s="43">
        <f>Y1672+Учет!T1673-T1673</f>
        <v>1150</v>
      </c>
      <c r="Z1673" s="43">
        <f>Z1672+Учет!U1673-U1673</f>
        <v>500000</v>
      </c>
      <c r="AA1673" s="45">
        <f>Учет!X1673</f>
        <v>500</v>
      </c>
    </row>
    <row r="1674" spans="1:27" ht="15" customHeight="1" x14ac:dyDescent="0.25">
      <c r="A1674" s="1"/>
      <c r="B1674" s="17"/>
      <c r="C1674" s="17"/>
      <c r="D1674" s="17"/>
      <c r="E1674" s="17"/>
      <c r="F1674" s="17"/>
      <c r="G1674" s="4">
        <f t="shared" si="75"/>
        <v>0</v>
      </c>
      <c r="H1674" s="17"/>
      <c r="I1674" s="4">
        <f t="shared" si="77"/>
        <v>349526.07999999996</v>
      </c>
      <c r="J1674" s="32" t="str">
        <f t="shared" si="76"/>
        <v/>
      </c>
      <c r="K1674" s="72"/>
      <c r="L1674" s="72"/>
      <c r="M1674" s="2"/>
      <c r="N1674" s="5"/>
      <c r="O1674" s="3"/>
      <c r="P1674" s="6"/>
      <c r="Q1674" s="48">
        <f>IF(Учет!$O1674=Справочники!$F$2,Учет!$H1674,0)</f>
        <v>0</v>
      </c>
      <c r="R1674" s="48">
        <f>IF(Учет!$O1674=Справочники!$F$3,Учет!$H1674,0)</f>
        <v>0</v>
      </c>
      <c r="S1674" s="48">
        <f>IF(Учет!$O1674=Справочники!$F$4,Учет!$H1674,0)</f>
        <v>0</v>
      </c>
      <c r="T1674" s="48">
        <f>IF(Учет!$O1674=Справочники!$F$5,Учет!$H1674,0)</f>
        <v>0</v>
      </c>
      <c r="U1674" s="48">
        <f>IF(Учет!$O1674=Справочники!$F$6,Учет!$H1674,0)</f>
        <v>0</v>
      </c>
      <c r="V1674" s="43">
        <f>V1673+Учет!Q1674-Q1674</f>
        <v>-488978.92000000004</v>
      </c>
      <c r="W1674" s="43">
        <f>W1673+Учет!R1674-R1674</f>
        <v>336855</v>
      </c>
      <c r="X1674" s="43">
        <f>X1673+Учет!S1674-S1674</f>
        <v>500</v>
      </c>
      <c r="Y1674" s="43">
        <f>Y1673+Учет!T1674-T1674</f>
        <v>1150</v>
      </c>
      <c r="Z1674" s="43">
        <f>Z1673+Учет!U1674-U1674</f>
        <v>500000</v>
      </c>
      <c r="AA1674" s="45">
        <f>Учет!X1674</f>
        <v>500</v>
      </c>
    </row>
    <row r="1675" spans="1:27" ht="15" customHeight="1" x14ac:dyDescent="0.25">
      <c r="A1675" s="1"/>
      <c r="B1675" s="17"/>
      <c r="C1675" s="17"/>
      <c r="D1675" s="17"/>
      <c r="E1675" s="17"/>
      <c r="F1675" s="17"/>
      <c r="G1675" s="4">
        <f t="shared" si="75"/>
        <v>0</v>
      </c>
      <c r="H1675" s="17"/>
      <c r="I1675" s="4">
        <f t="shared" si="77"/>
        <v>349526.07999999996</v>
      </c>
      <c r="J1675" s="32" t="str">
        <f t="shared" si="76"/>
        <v/>
      </c>
      <c r="K1675" s="72"/>
      <c r="L1675" s="72"/>
      <c r="M1675" s="2"/>
      <c r="N1675" s="5"/>
      <c r="O1675" s="3"/>
      <c r="P1675" s="6"/>
      <c r="Q1675" s="48">
        <f>IF(Учет!$O1675=Справочники!$F$2,Учет!$H1675,0)</f>
        <v>0</v>
      </c>
      <c r="R1675" s="48">
        <f>IF(Учет!$O1675=Справочники!$F$3,Учет!$H1675,0)</f>
        <v>0</v>
      </c>
      <c r="S1675" s="48">
        <f>IF(Учет!$O1675=Справочники!$F$4,Учет!$H1675,0)</f>
        <v>0</v>
      </c>
      <c r="T1675" s="48">
        <f>IF(Учет!$O1675=Справочники!$F$5,Учет!$H1675,0)</f>
        <v>0</v>
      </c>
      <c r="U1675" s="48">
        <f>IF(Учет!$O1675=Справочники!$F$6,Учет!$H1675,0)</f>
        <v>0</v>
      </c>
      <c r="V1675" s="43">
        <f>V1674+Учет!Q1675-Q1675</f>
        <v>-488978.92000000004</v>
      </c>
      <c r="W1675" s="43">
        <f>W1674+Учет!R1675-R1675</f>
        <v>336855</v>
      </c>
      <c r="X1675" s="43">
        <f>X1674+Учет!S1675-S1675</f>
        <v>500</v>
      </c>
      <c r="Y1675" s="43">
        <f>Y1674+Учет!T1675-T1675</f>
        <v>1150</v>
      </c>
      <c r="Z1675" s="43">
        <f>Z1674+Учет!U1675-U1675</f>
        <v>500000</v>
      </c>
      <c r="AA1675" s="45">
        <f>Учет!X1675</f>
        <v>500</v>
      </c>
    </row>
    <row r="1676" spans="1:27" ht="15" customHeight="1" x14ac:dyDescent="0.25">
      <c r="A1676" s="1"/>
      <c r="B1676" s="17"/>
      <c r="C1676" s="17"/>
      <c r="D1676" s="17"/>
      <c r="E1676" s="17"/>
      <c r="F1676" s="17"/>
      <c r="G1676" s="4">
        <f t="shared" si="75"/>
        <v>0</v>
      </c>
      <c r="H1676" s="17"/>
      <c r="I1676" s="4">
        <f t="shared" si="77"/>
        <v>349526.07999999996</v>
      </c>
      <c r="J1676" s="32" t="str">
        <f t="shared" si="76"/>
        <v/>
      </c>
      <c r="K1676" s="72"/>
      <c r="L1676" s="72"/>
      <c r="M1676" s="2"/>
      <c r="N1676" s="5"/>
      <c r="O1676" s="3"/>
      <c r="P1676" s="6"/>
      <c r="Q1676" s="48">
        <f>IF(Учет!$O1676=Справочники!$F$2,Учет!$H1676,0)</f>
        <v>0</v>
      </c>
      <c r="R1676" s="48">
        <f>IF(Учет!$O1676=Справочники!$F$3,Учет!$H1676,0)</f>
        <v>0</v>
      </c>
      <c r="S1676" s="48">
        <f>IF(Учет!$O1676=Справочники!$F$4,Учет!$H1676,0)</f>
        <v>0</v>
      </c>
      <c r="T1676" s="48">
        <f>IF(Учет!$O1676=Справочники!$F$5,Учет!$H1676,0)</f>
        <v>0</v>
      </c>
      <c r="U1676" s="48">
        <f>IF(Учет!$O1676=Справочники!$F$6,Учет!$H1676,0)</f>
        <v>0</v>
      </c>
      <c r="V1676" s="43">
        <f>V1675+Учет!Q1676-Q1676</f>
        <v>-488978.92000000004</v>
      </c>
      <c r="W1676" s="43">
        <f>W1675+Учет!R1676-R1676</f>
        <v>336855</v>
      </c>
      <c r="X1676" s="43">
        <f>X1675+Учет!S1676-S1676</f>
        <v>500</v>
      </c>
      <c r="Y1676" s="43">
        <f>Y1675+Учет!T1676-T1676</f>
        <v>1150</v>
      </c>
      <c r="Z1676" s="43">
        <f>Z1675+Учет!U1676-U1676</f>
        <v>500000</v>
      </c>
      <c r="AA1676" s="45">
        <f>Учет!X1676</f>
        <v>500</v>
      </c>
    </row>
    <row r="1677" spans="1:27" ht="15" customHeight="1" x14ac:dyDescent="0.25">
      <c r="A1677" s="1"/>
      <c r="B1677" s="17"/>
      <c r="C1677" s="17"/>
      <c r="D1677" s="17"/>
      <c r="E1677" s="17"/>
      <c r="F1677" s="17"/>
      <c r="G1677" s="4">
        <f t="shared" si="75"/>
        <v>0</v>
      </c>
      <c r="H1677" s="17"/>
      <c r="I1677" s="4">
        <f t="shared" si="77"/>
        <v>349526.07999999996</v>
      </c>
      <c r="J1677" s="32" t="str">
        <f t="shared" si="76"/>
        <v/>
      </c>
      <c r="K1677" s="72"/>
      <c r="L1677" s="72"/>
      <c r="M1677" s="2"/>
      <c r="N1677" s="5"/>
      <c r="O1677" s="3"/>
      <c r="P1677" s="6"/>
      <c r="Q1677" s="48">
        <f>IF(Учет!$O1677=Справочники!$F$2,Учет!$H1677,0)</f>
        <v>0</v>
      </c>
      <c r="R1677" s="48">
        <f>IF(Учет!$O1677=Справочники!$F$3,Учет!$H1677,0)</f>
        <v>0</v>
      </c>
      <c r="S1677" s="48">
        <f>IF(Учет!$O1677=Справочники!$F$4,Учет!$H1677,0)</f>
        <v>0</v>
      </c>
      <c r="T1677" s="48">
        <f>IF(Учет!$O1677=Справочники!$F$5,Учет!$H1677,0)</f>
        <v>0</v>
      </c>
      <c r="U1677" s="48">
        <f>IF(Учет!$O1677=Справочники!$F$6,Учет!$H1677,0)</f>
        <v>0</v>
      </c>
      <c r="V1677" s="43">
        <f>V1676+Учет!Q1677-Q1677</f>
        <v>-488978.92000000004</v>
      </c>
      <c r="W1677" s="43">
        <f>W1676+Учет!R1677-R1677</f>
        <v>336855</v>
      </c>
      <c r="X1677" s="43">
        <f>X1676+Учет!S1677-S1677</f>
        <v>500</v>
      </c>
      <c r="Y1677" s="43">
        <f>Y1676+Учет!T1677-T1677</f>
        <v>1150</v>
      </c>
      <c r="Z1677" s="43">
        <f>Z1676+Учет!U1677-U1677</f>
        <v>500000</v>
      </c>
      <c r="AA1677" s="45">
        <f>Учет!X1677</f>
        <v>500</v>
      </c>
    </row>
    <row r="1678" spans="1:27" ht="15" customHeight="1" x14ac:dyDescent="0.25">
      <c r="A1678" s="1"/>
      <c r="B1678" s="17"/>
      <c r="C1678" s="17"/>
      <c r="D1678" s="17"/>
      <c r="E1678" s="17"/>
      <c r="F1678" s="17"/>
      <c r="G1678" s="4">
        <f t="shared" si="75"/>
        <v>0</v>
      </c>
      <c r="H1678" s="17"/>
      <c r="I1678" s="4">
        <f t="shared" si="77"/>
        <v>349526.07999999996</v>
      </c>
      <c r="J1678" s="32" t="str">
        <f t="shared" si="76"/>
        <v/>
      </c>
      <c r="K1678" s="72"/>
      <c r="L1678" s="72"/>
      <c r="M1678" s="2"/>
      <c r="N1678" s="5"/>
      <c r="O1678" s="3"/>
      <c r="P1678" s="6"/>
      <c r="Q1678" s="48">
        <f>IF(Учет!$O1678=Справочники!$F$2,Учет!$H1678,0)</f>
        <v>0</v>
      </c>
      <c r="R1678" s="48">
        <f>IF(Учет!$O1678=Справочники!$F$3,Учет!$H1678,0)</f>
        <v>0</v>
      </c>
      <c r="S1678" s="48">
        <f>IF(Учет!$O1678=Справочники!$F$4,Учет!$H1678,0)</f>
        <v>0</v>
      </c>
      <c r="T1678" s="48">
        <f>IF(Учет!$O1678=Справочники!$F$5,Учет!$H1678,0)</f>
        <v>0</v>
      </c>
      <c r="U1678" s="48">
        <f>IF(Учет!$O1678=Справочники!$F$6,Учет!$H1678,0)</f>
        <v>0</v>
      </c>
      <c r="V1678" s="43">
        <f>V1677+Учет!Q1678-Q1678</f>
        <v>-488978.92000000004</v>
      </c>
      <c r="W1678" s="43">
        <f>W1677+Учет!R1678-R1678</f>
        <v>336855</v>
      </c>
      <c r="X1678" s="43">
        <f>X1677+Учет!S1678-S1678</f>
        <v>500</v>
      </c>
      <c r="Y1678" s="43">
        <f>Y1677+Учет!T1678-T1678</f>
        <v>1150</v>
      </c>
      <c r="Z1678" s="43">
        <f>Z1677+Учет!U1678-U1678</f>
        <v>500000</v>
      </c>
      <c r="AA1678" s="45">
        <f>Учет!X1678</f>
        <v>500</v>
      </c>
    </row>
    <row r="1679" spans="1:27" ht="15" customHeight="1" x14ac:dyDescent="0.25">
      <c r="A1679" s="1"/>
      <c r="B1679" s="17"/>
      <c r="C1679" s="17"/>
      <c r="D1679" s="17"/>
      <c r="E1679" s="17"/>
      <c r="F1679" s="17"/>
      <c r="G1679" s="4">
        <f t="shared" si="75"/>
        <v>0</v>
      </c>
      <c r="H1679" s="17"/>
      <c r="I1679" s="4">
        <f t="shared" si="77"/>
        <v>349526.07999999996</v>
      </c>
      <c r="J1679" s="32" t="str">
        <f t="shared" si="76"/>
        <v/>
      </c>
      <c r="K1679" s="72"/>
      <c r="L1679" s="72"/>
      <c r="M1679" s="2"/>
      <c r="N1679" s="5"/>
      <c r="O1679" s="3"/>
      <c r="P1679" s="6"/>
      <c r="Q1679" s="48">
        <f>IF(Учет!$O1679=Справочники!$F$2,Учет!$H1679,0)</f>
        <v>0</v>
      </c>
      <c r="R1679" s="48">
        <f>IF(Учет!$O1679=Справочники!$F$3,Учет!$H1679,0)</f>
        <v>0</v>
      </c>
      <c r="S1679" s="48">
        <f>IF(Учет!$O1679=Справочники!$F$4,Учет!$H1679,0)</f>
        <v>0</v>
      </c>
      <c r="T1679" s="48">
        <f>IF(Учет!$O1679=Справочники!$F$5,Учет!$H1679,0)</f>
        <v>0</v>
      </c>
      <c r="U1679" s="48">
        <f>IF(Учет!$O1679=Справочники!$F$6,Учет!$H1679,0)</f>
        <v>0</v>
      </c>
      <c r="V1679" s="43">
        <f>V1678+Учет!Q1679-Q1679</f>
        <v>-488978.92000000004</v>
      </c>
      <c r="W1679" s="43">
        <f>W1678+Учет!R1679-R1679</f>
        <v>336855</v>
      </c>
      <c r="X1679" s="43">
        <f>X1678+Учет!S1679-S1679</f>
        <v>500</v>
      </c>
      <c r="Y1679" s="43">
        <f>Y1678+Учет!T1679-T1679</f>
        <v>1150</v>
      </c>
      <c r="Z1679" s="43">
        <f>Z1678+Учет!U1679-U1679</f>
        <v>500000</v>
      </c>
      <c r="AA1679" s="45">
        <f>Учет!X1679</f>
        <v>500</v>
      </c>
    </row>
    <row r="1680" spans="1:27" ht="15" customHeight="1" x14ac:dyDescent="0.25">
      <c r="A1680" s="1"/>
      <c r="B1680" s="17"/>
      <c r="C1680" s="17"/>
      <c r="D1680" s="17"/>
      <c r="E1680" s="17"/>
      <c r="F1680" s="17"/>
      <c r="G1680" s="4">
        <f t="shared" si="75"/>
        <v>0</v>
      </c>
      <c r="H1680" s="17"/>
      <c r="I1680" s="4">
        <f t="shared" si="77"/>
        <v>349526.07999999996</v>
      </c>
      <c r="J1680" s="32" t="str">
        <f t="shared" si="76"/>
        <v/>
      </c>
      <c r="K1680" s="72"/>
      <c r="L1680" s="72"/>
      <c r="M1680" s="2"/>
      <c r="N1680" s="5"/>
      <c r="O1680" s="3"/>
      <c r="P1680" s="6"/>
      <c r="Q1680" s="48">
        <f>IF(Учет!$O1680=Справочники!$F$2,Учет!$H1680,0)</f>
        <v>0</v>
      </c>
      <c r="R1680" s="48">
        <f>IF(Учет!$O1680=Справочники!$F$3,Учет!$H1680,0)</f>
        <v>0</v>
      </c>
      <c r="S1680" s="48">
        <f>IF(Учет!$O1680=Справочники!$F$4,Учет!$H1680,0)</f>
        <v>0</v>
      </c>
      <c r="T1680" s="48">
        <f>IF(Учет!$O1680=Справочники!$F$5,Учет!$H1680,0)</f>
        <v>0</v>
      </c>
      <c r="U1680" s="48">
        <f>IF(Учет!$O1680=Справочники!$F$6,Учет!$H1680,0)</f>
        <v>0</v>
      </c>
      <c r="V1680" s="43">
        <f>V1679+Учет!Q1680-Q1680</f>
        <v>-488978.92000000004</v>
      </c>
      <c r="W1680" s="43">
        <f>W1679+Учет!R1680-R1680</f>
        <v>336855</v>
      </c>
      <c r="X1680" s="43">
        <f>X1679+Учет!S1680-S1680</f>
        <v>500</v>
      </c>
      <c r="Y1680" s="43">
        <f>Y1679+Учет!T1680-T1680</f>
        <v>1150</v>
      </c>
      <c r="Z1680" s="43">
        <f>Z1679+Учет!U1680-U1680</f>
        <v>500000</v>
      </c>
      <c r="AA1680" s="45">
        <f>Учет!X1680</f>
        <v>500</v>
      </c>
    </row>
    <row r="1681" spans="1:27" ht="15" customHeight="1" x14ac:dyDescent="0.25">
      <c r="A1681" s="1"/>
      <c r="B1681" s="17"/>
      <c r="C1681" s="17"/>
      <c r="D1681" s="17"/>
      <c r="E1681" s="17"/>
      <c r="F1681" s="17"/>
      <c r="G1681" s="4">
        <f t="shared" si="75"/>
        <v>0</v>
      </c>
      <c r="H1681" s="17"/>
      <c r="I1681" s="4">
        <f t="shared" si="77"/>
        <v>349526.07999999996</v>
      </c>
      <c r="J1681" s="32" t="str">
        <f t="shared" si="76"/>
        <v/>
      </c>
      <c r="K1681" s="72"/>
      <c r="L1681" s="72"/>
      <c r="M1681" s="2"/>
      <c r="N1681" s="5"/>
      <c r="O1681" s="3"/>
      <c r="P1681" s="6"/>
      <c r="Q1681" s="48">
        <f>IF(Учет!$O1681=Справочники!$F$2,Учет!$H1681,0)</f>
        <v>0</v>
      </c>
      <c r="R1681" s="48">
        <f>IF(Учет!$O1681=Справочники!$F$3,Учет!$H1681,0)</f>
        <v>0</v>
      </c>
      <c r="S1681" s="48">
        <f>IF(Учет!$O1681=Справочники!$F$4,Учет!$H1681,0)</f>
        <v>0</v>
      </c>
      <c r="T1681" s="48">
        <f>IF(Учет!$O1681=Справочники!$F$5,Учет!$H1681,0)</f>
        <v>0</v>
      </c>
      <c r="U1681" s="48">
        <f>IF(Учет!$O1681=Справочники!$F$6,Учет!$H1681,0)</f>
        <v>0</v>
      </c>
      <c r="V1681" s="43">
        <f>V1680+Учет!Q1681-Q1681</f>
        <v>-488978.92000000004</v>
      </c>
      <c r="W1681" s="43">
        <f>W1680+Учет!R1681-R1681</f>
        <v>336855</v>
      </c>
      <c r="X1681" s="43">
        <f>X1680+Учет!S1681-S1681</f>
        <v>500</v>
      </c>
      <c r="Y1681" s="43">
        <f>Y1680+Учет!T1681-T1681</f>
        <v>1150</v>
      </c>
      <c r="Z1681" s="43">
        <f>Z1680+Учет!U1681-U1681</f>
        <v>500000</v>
      </c>
      <c r="AA1681" s="45">
        <f>Учет!X1681</f>
        <v>500</v>
      </c>
    </row>
    <row r="1682" spans="1:27" ht="15" customHeight="1" x14ac:dyDescent="0.25">
      <c r="A1682" s="1"/>
      <c r="B1682" s="17"/>
      <c r="C1682" s="17"/>
      <c r="D1682" s="17"/>
      <c r="E1682" s="17"/>
      <c r="F1682" s="17"/>
      <c r="G1682" s="4">
        <f t="shared" si="75"/>
        <v>0</v>
      </c>
      <c r="H1682" s="17"/>
      <c r="I1682" s="4">
        <f t="shared" si="77"/>
        <v>349526.07999999996</v>
      </c>
      <c r="J1682" s="32" t="str">
        <f t="shared" si="76"/>
        <v/>
      </c>
      <c r="K1682" s="72"/>
      <c r="L1682" s="72"/>
      <c r="M1682" s="2"/>
      <c r="N1682" s="5"/>
      <c r="O1682" s="3"/>
      <c r="P1682" s="6"/>
      <c r="Q1682" s="48">
        <f>IF(Учет!$O1682=Справочники!$F$2,Учет!$H1682,0)</f>
        <v>0</v>
      </c>
      <c r="R1682" s="48">
        <f>IF(Учет!$O1682=Справочники!$F$3,Учет!$H1682,0)</f>
        <v>0</v>
      </c>
      <c r="S1682" s="48">
        <f>IF(Учет!$O1682=Справочники!$F$4,Учет!$H1682,0)</f>
        <v>0</v>
      </c>
      <c r="T1682" s="48">
        <f>IF(Учет!$O1682=Справочники!$F$5,Учет!$H1682,0)</f>
        <v>0</v>
      </c>
      <c r="U1682" s="48">
        <f>IF(Учет!$O1682=Справочники!$F$6,Учет!$H1682,0)</f>
        <v>0</v>
      </c>
      <c r="V1682" s="43">
        <f>V1681+Учет!Q1682-Q1682</f>
        <v>-488978.92000000004</v>
      </c>
      <c r="W1682" s="43">
        <f>W1681+Учет!R1682-R1682</f>
        <v>336855</v>
      </c>
      <c r="X1682" s="43">
        <f>X1681+Учет!S1682-S1682</f>
        <v>500</v>
      </c>
      <c r="Y1682" s="43">
        <f>Y1681+Учет!T1682-T1682</f>
        <v>1150</v>
      </c>
      <c r="Z1682" s="43">
        <f>Z1681+Учет!U1682-U1682</f>
        <v>500000</v>
      </c>
      <c r="AA1682" s="45">
        <f>Учет!X1682</f>
        <v>500</v>
      </c>
    </row>
    <row r="1683" spans="1:27" ht="15" customHeight="1" x14ac:dyDescent="0.25">
      <c r="A1683" s="1"/>
      <c r="B1683" s="17"/>
      <c r="C1683" s="17"/>
      <c r="D1683" s="17"/>
      <c r="E1683" s="17"/>
      <c r="F1683" s="17"/>
      <c r="G1683" s="4">
        <f t="shared" si="75"/>
        <v>0</v>
      </c>
      <c r="H1683" s="17"/>
      <c r="I1683" s="4">
        <f t="shared" si="77"/>
        <v>349526.07999999996</v>
      </c>
      <c r="J1683" s="32" t="str">
        <f t="shared" si="76"/>
        <v/>
      </c>
      <c r="K1683" s="72"/>
      <c r="L1683" s="72"/>
      <c r="M1683" s="2"/>
      <c r="N1683" s="5"/>
      <c r="O1683" s="3"/>
      <c r="P1683" s="6"/>
      <c r="Q1683" s="48">
        <f>IF(Учет!$O1683=Справочники!$F$2,Учет!$H1683,0)</f>
        <v>0</v>
      </c>
      <c r="R1683" s="48">
        <f>IF(Учет!$O1683=Справочники!$F$3,Учет!$H1683,0)</f>
        <v>0</v>
      </c>
      <c r="S1683" s="48">
        <f>IF(Учет!$O1683=Справочники!$F$4,Учет!$H1683,0)</f>
        <v>0</v>
      </c>
      <c r="T1683" s="48">
        <f>IF(Учет!$O1683=Справочники!$F$5,Учет!$H1683,0)</f>
        <v>0</v>
      </c>
      <c r="U1683" s="48">
        <f>IF(Учет!$O1683=Справочники!$F$6,Учет!$H1683,0)</f>
        <v>0</v>
      </c>
      <c r="V1683" s="43">
        <f>V1682+Учет!Q1683-Q1683</f>
        <v>-488978.92000000004</v>
      </c>
      <c r="W1683" s="43">
        <f>W1682+Учет!R1683-R1683</f>
        <v>336855</v>
      </c>
      <c r="X1683" s="43">
        <f>X1682+Учет!S1683-S1683</f>
        <v>500</v>
      </c>
      <c r="Y1683" s="43">
        <f>Y1682+Учет!T1683-T1683</f>
        <v>1150</v>
      </c>
      <c r="Z1683" s="43">
        <f>Z1682+Учет!U1683-U1683</f>
        <v>500000</v>
      </c>
      <c r="AA1683" s="45">
        <f>Учет!X1683</f>
        <v>500</v>
      </c>
    </row>
    <row r="1684" spans="1:27" ht="15" customHeight="1" x14ac:dyDescent="0.25">
      <c r="A1684" s="1"/>
      <c r="B1684" s="17"/>
      <c r="C1684" s="17"/>
      <c r="D1684" s="17"/>
      <c r="E1684" s="17"/>
      <c r="F1684" s="17"/>
      <c r="G1684" s="4">
        <f t="shared" si="75"/>
        <v>0</v>
      </c>
      <c r="H1684" s="17"/>
      <c r="I1684" s="4">
        <f t="shared" si="77"/>
        <v>349526.07999999996</v>
      </c>
      <c r="J1684" s="32" t="str">
        <f t="shared" si="76"/>
        <v/>
      </c>
      <c r="K1684" s="72"/>
      <c r="L1684" s="72"/>
      <c r="M1684" s="2"/>
      <c r="N1684" s="5"/>
      <c r="O1684" s="3"/>
      <c r="P1684" s="6"/>
      <c r="Q1684" s="48">
        <f>IF(Учет!$O1684=Справочники!$F$2,Учет!$H1684,0)</f>
        <v>0</v>
      </c>
      <c r="R1684" s="48">
        <f>IF(Учет!$O1684=Справочники!$F$3,Учет!$H1684,0)</f>
        <v>0</v>
      </c>
      <c r="S1684" s="48">
        <f>IF(Учет!$O1684=Справочники!$F$4,Учет!$H1684,0)</f>
        <v>0</v>
      </c>
      <c r="T1684" s="48">
        <f>IF(Учет!$O1684=Справочники!$F$5,Учет!$H1684,0)</f>
        <v>0</v>
      </c>
      <c r="U1684" s="48">
        <f>IF(Учет!$O1684=Справочники!$F$6,Учет!$H1684,0)</f>
        <v>0</v>
      </c>
      <c r="V1684" s="43">
        <f>V1683+Учет!Q1684-Q1684</f>
        <v>-488978.92000000004</v>
      </c>
      <c r="W1684" s="43">
        <f>W1683+Учет!R1684-R1684</f>
        <v>336855</v>
      </c>
      <c r="X1684" s="43">
        <f>X1683+Учет!S1684-S1684</f>
        <v>500</v>
      </c>
      <c r="Y1684" s="43">
        <f>Y1683+Учет!T1684-T1684</f>
        <v>1150</v>
      </c>
      <c r="Z1684" s="43">
        <f>Z1683+Учет!U1684-U1684</f>
        <v>500000</v>
      </c>
      <c r="AA1684" s="45">
        <f>Учет!X1684</f>
        <v>500</v>
      </c>
    </row>
    <row r="1685" spans="1:27" ht="15" customHeight="1" x14ac:dyDescent="0.25">
      <c r="A1685" s="1"/>
      <c r="B1685" s="17"/>
      <c r="C1685" s="17"/>
      <c r="D1685" s="17"/>
      <c r="E1685" s="17"/>
      <c r="F1685" s="17"/>
      <c r="G1685" s="4">
        <f t="shared" si="75"/>
        <v>0</v>
      </c>
      <c r="H1685" s="17"/>
      <c r="I1685" s="4">
        <f t="shared" si="77"/>
        <v>349526.07999999996</v>
      </c>
      <c r="J1685" s="32" t="str">
        <f t="shared" si="76"/>
        <v/>
      </c>
      <c r="K1685" s="72"/>
      <c r="L1685" s="72"/>
      <c r="M1685" s="2"/>
      <c r="N1685" s="5"/>
      <c r="O1685" s="3"/>
      <c r="P1685" s="6"/>
      <c r="Q1685" s="48">
        <f>IF(Учет!$O1685=Справочники!$F$2,Учет!$H1685,0)</f>
        <v>0</v>
      </c>
      <c r="R1685" s="48">
        <f>IF(Учет!$O1685=Справочники!$F$3,Учет!$H1685,0)</f>
        <v>0</v>
      </c>
      <c r="S1685" s="48">
        <f>IF(Учет!$O1685=Справочники!$F$4,Учет!$H1685,0)</f>
        <v>0</v>
      </c>
      <c r="T1685" s="48">
        <f>IF(Учет!$O1685=Справочники!$F$5,Учет!$H1685,0)</f>
        <v>0</v>
      </c>
      <c r="U1685" s="48">
        <f>IF(Учет!$O1685=Справочники!$F$6,Учет!$H1685,0)</f>
        <v>0</v>
      </c>
      <c r="V1685" s="43">
        <f>V1684+Учет!Q1685-Q1685</f>
        <v>-488978.92000000004</v>
      </c>
      <c r="W1685" s="43">
        <f>W1684+Учет!R1685-R1685</f>
        <v>336855</v>
      </c>
      <c r="X1685" s="43">
        <f>X1684+Учет!S1685-S1685</f>
        <v>500</v>
      </c>
      <c r="Y1685" s="43">
        <f>Y1684+Учет!T1685-T1685</f>
        <v>1150</v>
      </c>
      <c r="Z1685" s="43">
        <f>Z1684+Учет!U1685-U1685</f>
        <v>500000</v>
      </c>
      <c r="AA1685" s="45">
        <f>Учет!X1685</f>
        <v>500</v>
      </c>
    </row>
    <row r="1686" spans="1:27" ht="15" customHeight="1" x14ac:dyDescent="0.25">
      <c r="A1686" s="1"/>
      <c r="B1686" s="17"/>
      <c r="C1686" s="17"/>
      <c r="D1686" s="17"/>
      <c r="E1686" s="17"/>
      <c r="F1686" s="17"/>
      <c r="G1686" s="4">
        <f t="shared" si="75"/>
        <v>0</v>
      </c>
      <c r="H1686" s="17"/>
      <c r="I1686" s="4">
        <f t="shared" si="77"/>
        <v>349526.07999999996</v>
      </c>
      <c r="J1686" s="32" t="str">
        <f t="shared" si="76"/>
        <v/>
      </c>
      <c r="K1686" s="72"/>
      <c r="L1686" s="72"/>
      <c r="M1686" s="2"/>
      <c r="N1686" s="5"/>
      <c r="O1686" s="3"/>
      <c r="P1686" s="6"/>
      <c r="Q1686" s="48">
        <f>IF(Учет!$O1686=Справочники!$F$2,Учет!$H1686,0)</f>
        <v>0</v>
      </c>
      <c r="R1686" s="48">
        <f>IF(Учет!$O1686=Справочники!$F$3,Учет!$H1686,0)</f>
        <v>0</v>
      </c>
      <c r="S1686" s="48">
        <f>IF(Учет!$O1686=Справочники!$F$4,Учет!$H1686,0)</f>
        <v>0</v>
      </c>
      <c r="T1686" s="48">
        <f>IF(Учет!$O1686=Справочники!$F$5,Учет!$H1686,0)</f>
        <v>0</v>
      </c>
      <c r="U1686" s="48">
        <f>IF(Учет!$O1686=Справочники!$F$6,Учет!$H1686,0)</f>
        <v>0</v>
      </c>
      <c r="V1686" s="43">
        <f>V1685+Учет!Q1686-Q1686</f>
        <v>-488978.92000000004</v>
      </c>
      <c r="W1686" s="43">
        <f>W1685+Учет!R1686-R1686</f>
        <v>336855</v>
      </c>
      <c r="X1686" s="43">
        <f>X1685+Учет!S1686-S1686</f>
        <v>500</v>
      </c>
      <c r="Y1686" s="43">
        <f>Y1685+Учет!T1686-T1686</f>
        <v>1150</v>
      </c>
      <c r="Z1686" s="43">
        <f>Z1685+Учет!U1686-U1686</f>
        <v>500000</v>
      </c>
      <c r="AA1686" s="45">
        <f>Учет!X1686</f>
        <v>500</v>
      </c>
    </row>
    <row r="1687" spans="1:27" ht="15" customHeight="1" x14ac:dyDescent="0.25">
      <c r="A1687" s="1"/>
      <c r="B1687" s="17"/>
      <c r="C1687" s="17"/>
      <c r="D1687" s="17"/>
      <c r="E1687" s="17"/>
      <c r="F1687" s="17"/>
      <c r="G1687" s="4">
        <f t="shared" si="75"/>
        <v>0</v>
      </c>
      <c r="H1687" s="17"/>
      <c r="I1687" s="4">
        <f t="shared" si="77"/>
        <v>349526.07999999996</v>
      </c>
      <c r="J1687" s="32" t="str">
        <f t="shared" si="76"/>
        <v/>
      </c>
      <c r="K1687" s="72"/>
      <c r="L1687" s="72"/>
      <c r="M1687" s="2"/>
      <c r="N1687" s="5"/>
      <c r="O1687" s="3"/>
      <c r="P1687" s="6"/>
      <c r="Q1687" s="48">
        <f>IF(Учет!$O1687=Справочники!$F$2,Учет!$H1687,0)</f>
        <v>0</v>
      </c>
      <c r="R1687" s="48">
        <f>IF(Учет!$O1687=Справочники!$F$3,Учет!$H1687,0)</f>
        <v>0</v>
      </c>
      <c r="S1687" s="48">
        <f>IF(Учет!$O1687=Справочники!$F$4,Учет!$H1687,0)</f>
        <v>0</v>
      </c>
      <c r="T1687" s="48">
        <f>IF(Учет!$O1687=Справочники!$F$5,Учет!$H1687,0)</f>
        <v>0</v>
      </c>
      <c r="U1687" s="48">
        <f>IF(Учет!$O1687=Справочники!$F$6,Учет!$H1687,0)</f>
        <v>0</v>
      </c>
      <c r="V1687" s="43">
        <f>V1686+Учет!Q1687-Q1687</f>
        <v>-488978.92000000004</v>
      </c>
      <c r="W1687" s="43">
        <f>W1686+Учет!R1687-R1687</f>
        <v>336855</v>
      </c>
      <c r="X1687" s="43">
        <f>X1686+Учет!S1687-S1687</f>
        <v>500</v>
      </c>
      <c r="Y1687" s="43">
        <f>Y1686+Учет!T1687-T1687</f>
        <v>1150</v>
      </c>
      <c r="Z1687" s="43">
        <f>Z1686+Учет!U1687-U1687</f>
        <v>500000</v>
      </c>
      <c r="AA1687" s="45">
        <f>Учет!X1687</f>
        <v>500</v>
      </c>
    </row>
    <row r="1688" spans="1:27" ht="15" customHeight="1" x14ac:dyDescent="0.25">
      <c r="A1688" s="1"/>
      <c r="B1688" s="17"/>
      <c r="C1688" s="17"/>
      <c r="D1688" s="17"/>
      <c r="E1688" s="17"/>
      <c r="F1688" s="17"/>
      <c r="G1688" s="4">
        <f t="shared" si="75"/>
        <v>0</v>
      </c>
      <c r="H1688" s="17"/>
      <c r="I1688" s="4">
        <f t="shared" si="77"/>
        <v>349526.07999999996</v>
      </c>
      <c r="J1688" s="32" t="str">
        <f t="shared" si="76"/>
        <v/>
      </c>
      <c r="K1688" s="72"/>
      <c r="L1688" s="72"/>
      <c r="M1688" s="2"/>
      <c r="N1688" s="5"/>
      <c r="O1688" s="3"/>
      <c r="P1688" s="6"/>
      <c r="Q1688" s="48">
        <f>IF(Учет!$O1688=Справочники!$F$2,Учет!$H1688,0)</f>
        <v>0</v>
      </c>
      <c r="R1688" s="48">
        <f>IF(Учет!$O1688=Справочники!$F$3,Учет!$H1688,0)</f>
        <v>0</v>
      </c>
      <c r="S1688" s="48">
        <f>IF(Учет!$O1688=Справочники!$F$4,Учет!$H1688,0)</f>
        <v>0</v>
      </c>
      <c r="T1688" s="48">
        <f>IF(Учет!$O1688=Справочники!$F$5,Учет!$H1688,0)</f>
        <v>0</v>
      </c>
      <c r="U1688" s="48">
        <f>IF(Учет!$O1688=Справочники!$F$6,Учет!$H1688,0)</f>
        <v>0</v>
      </c>
      <c r="V1688" s="43">
        <f>V1687+Учет!Q1688-Q1688</f>
        <v>-488978.92000000004</v>
      </c>
      <c r="W1688" s="43">
        <f>W1687+Учет!R1688-R1688</f>
        <v>336855</v>
      </c>
      <c r="X1688" s="43">
        <f>X1687+Учет!S1688-S1688</f>
        <v>500</v>
      </c>
      <c r="Y1688" s="43">
        <f>Y1687+Учет!T1688-T1688</f>
        <v>1150</v>
      </c>
      <c r="Z1688" s="43">
        <f>Z1687+Учет!U1688-U1688</f>
        <v>500000</v>
      </c>
      <c r="AA1688" s="45">
        <f>Учет!X1688</f>
        <v>500</v>
      </c>
    </row>
    <row r="1689" spans="1:27" ht="15" customHeight="1" x14ac:dyDescent="0.25">
      <c r="A1689" s="1"/>
      <c r="B1689" s="17"/>
      <c r="C1689" s="17"/>
      <c r="D1689" s="17"/>
      <c r="E1689" s="17"/>
      <c r="F1689" s="17"/>
      <c r="G1689" s="4">
        <f t="shared" si="75"/>
        <v>0</v>
      </c>
      <c r="H1689" s="17"/>
      <c r="I1689" s="4">
        <f t="shared" si="77"/>
        <v>349526.07999999996</v>
      </c>
      <c r="J1689" s="32" t="str">
        <f t="shared" si="76"/>
        <v/>
      </c>
      <c r="K1689" s="72"/>
      <c r="L1689" s="72"/>
      <c r="M1689" s="2"/>
      <c r="N1689" s="5"/>
      <c r="O1689" s="3"/>
      <c r="P1689" s="6"/>
      <c r="Q1689" s="48">
        <f>IF(Учет!$O1689=Справочники!$F$2,Учет!$H1689,0)</f>
        <v>0</v>
      </c>
      <c r="R1689" s="48">
        <f>IF(Учет!$O1689=Справочники!$F$3,Учет!$H1689,0)</f>
        <v>0</v>
      </c>
      <c r="S1689" s="48">
        <f>IF(Учет!$O1689=Справочники!$F$4,Учет!$H1689,0)</f>
        <v>0</v>
      </c>
      <c r="T1689" s="48">
        <f>IF(Учет!$O1689=Справочники!$F$5,Учет!$H1689,0)</f>
        <v>0</v>
      </c>
      <c r="U1689" s="48">
        <f>IF(Учет!$O1689=Справочники!$F$6,Учет!$H1689,0)</f>
        <v>0</v>
      </c>
      <c r="V1689" s="43">
        <f>V1688+Учет!Q1689-Q1689</f>
        <v>-488978.92000000004</v>
      </c>
      <c r="W1689" s="43">
        <f>W1688+Учет!R1689-R1689</f>
        <v>336855</v>
      </c>
      <c r="X1689" s="43">
        <f>X1688+Учет!S1689-S1689</f>
        <v>500</v>
      </c>
      <c r="Y1689" s="43">
        <f>Y1688+Учет!T1689-T1689</f>
        <v>1150</v>
      </c>
      <c r="Z1689" s="43">
        <f>Z1688+Учет!U1689-U1689</f>
        <v>500000</v>
      </c>
      <c r="AA1689" s="45">
        <f>Учет!X1689</f>
        <v>500</v>
      </c>
    </row>
    <row r="1690" spans="1:27" ht="15" customHeight="1" x14ac:dyDescent="0.25">
      <c r="A1690" s="1"/>
      <c r="B1690" s="17"/>
      <c r="C1690" s="17"/>
      <c r="D1690" s="17"/>
      <c r="E1690" s="17"/>
      <c r="F1690" s="17"/>
      <c r="G1690" s="4">
        <f t="shared" si="75"/>
        <v>0</v>
      </c>
      <c r="H1690" s="17"/>
      <c r="I1690" s="4">
        <f t="shared" si="77"/>
        <v>349526.07999999996</v>
      </c>
      <c r="J1690" s="32" t="str">
        <f t="shared" si="76"/>
        <v/>
      </c>
      <c r="K1690" s="72"/>
      <c r="L1690" s="72"/>
      <c r="M1690" s="2"/>
      <c r="N1690" s="5"/>
      <c r="O1690" s="3"/>
      <c r="P1690" s="6"/>
      <c r="Q1690" s="48">
        <f>IF(Учет!$O1690=Справочники!$F$2,Учет!$H1690,0)</f>
        <v>0</v>
      </c>
      <c r="R1690" s="48">
        <f>IF(Учет!$O1690=Справочники!$F$3,Учет!$H1690,0)</f>
        <v>0</v>
      </c>
      <c r="S1690" s="48">
        <f>IF(Учет!$O1690=Справочники!$F$4,Учет!$H1690,0)</f>
        <v>0</v>
      </c>
      <c r="T1690" s="48">
        <f>IF(Учет!$O1690=Справочники!$F$5,Учет!$H1690,0)</f>
        <v>0</v>
      </c>
      <c r="U1690" s="48">
        <f>IF(Учет!$O1690=Справочники!$F$6,Учет!$H1690,0)</f>
        <v>0</v>
      </c>
      <c r="V1690" s="43">
        <f>V1689+Учет!Q1690-Q1690</f>
        <v>-488978.92000000004</v>
      </c>
      <c r="W1690" s="43">
        <f>W1689+Учет!R1690-R1690</f>
        <v>336855</v>
      </c>
      <c r="X1690" s="43">
        <f>X1689+Учет!S1690-S1690</f>
        <v>500</v>
      </c>
      <c r="Y1690" s="43">
        <f>Y1689+Учет!T1690-T1690</f>
        <v>1150</v>
      </c>
      <c r="Z1690" s="43">
        <f>Z1689+Учет!U1690-U1690</f>
        <v>500000</v>
      </c>
      <c r="AA1690" s="45">
        <f>Учет!X1690</f>
        <v>500</v>
      </c>
    </row>
    <row r="1691" spans="1:27" ht="15" customHeight="1" x14ac:dyDescent="0.25">
      <c r="A1691" s="1"/>
      <c r="B1691" s="17"/>
      <c r="C1691" s="17"/>
      <c r="D1691" s="17"/>
      <c r="E1691" s="17"/>
      <c r="F1691" s="17"/>
      <c r="G1691" s="4">
        <f t="shared" si="75"/>
        <v>0</v>
      </c>
      <c r="H1691" s="17"/>
      <c r="I1691" s="4">
        <f t="shared" si="77"/>
        <v>349526.07999999996</v>
      </c>
      <c r="J1691" s="32" t="str">
        <f t="shared" si="76"/>
        <v/>
      </c>
      <c r="K1691" s="72"/>
      <c r="L1691" s="72"/>
      <c r="M1691" s="2"/>
      <c r="N1691" s="5"/>
      <c r="O1691" s="3"/>
      <c r="P1691" s="6"/>
      <c r="Q1691" s="48">
        <f>IF(Учет!$O1691=Справочники!$F$2,Учет!$H1691,0)</f>
        <v>0</v>
      </c>
      <c r="R1691" s="48">
        <f>IF(Учет!$O1691=Справочники!$F$3,Учет!$H1691,0)</f>
        <v>0</v>
      </c>
      <c r="S1691" s="48">
        <f>IF(Учет!$O1691=Справочники!$F$4,Учет!$H1691,0)</f>
        <v>0</v>
      </c>
      <c r="T1691" s="48">
        <f>IF(Учет!$O1691=Справочники!$F$5,Учет!$H1691,0)</f>
        <v>0</v>
      </c>
      <c r="U1691" s="48">
        <f>IF(Учет!$O1691=Справочники!$F$6,Учет!$H1691,0)</f>
        <v>0</v>
      </c>
      <c r="V1691" s="43">
        <f>V1690+Учет!Q1691-Q1691</f>
        <v>-488978.92000000004</v>
      </c>
      <c r="W1691" s="43">
        <f>W1690+Учет!R1691-R1691</f>
        <v>336855</v>
      </c>
      <c r="X1691" s="43">
        <f>X1690+Учет!S1691-S1691</f>
        <v>500</v>
      </c>
      <c r="Y1691" s="43">
        <f>Y1690+Учет!T1691-T1691</f>
        <v>1150</v>
      </c>
      <c r="Z1691" s="43">
        <f>Z1690+Учет!U1691-U1691</f>
        <v>500000</v>
      </c>
      <c r="AA1691" s="45">
        <f>Учет!X1691</f>
        <v>500</v>
      </c>
    </row>
    <row r="1692" spans="1:27" ht="15" customHeight="1" x14ac:dyDescent="0.25">
      <c r="A1692" s="1"/>
      <c r="B1692" s="17"/>
      <c r="C1692" s="17"/>
      <c r="D1692" s="17"/>
      <c r="E1692" s="17"/>
      <c r="F1692" s="17"/>
      <c r="G1692" s="4">
        <f t="shared" si="75"/>
        <v>0</v>
      </c>
      <c r="H1692" s="17"/>
      <c r="I1692" s="4">
        <f t="shared" si="77"/>
        <v>349526.07999999996</v>
      </c>
      <c r="J1692" s="32" t="str">
        <f t="shared" si="76"/>
        <v/>
      </c>
      <c r="K1692" s="72"/>
      <c r="L1692" s="72"/>
      <c r="M1692" s="2"/>
      <c r="N1692" s="5"/>
      <c r="O1692" s="3"/>
      <c r="P1692" s="6"/>
      <c r="Q1692" s="48">
        <f>IF(Учет!$O1692=Справочники!$F$2,Учет!$H1692,0)</f>
        <v>0</v>
      </c>
      <c r="R1692" s="48">
        <f>IF(Учет!$O1692=Справочники!$F$3,Учет!$H1692,0)</f>
        <v>0</v>
      </c>
      <c r="S1692" s="48">
        <f>IF(Учет!$O1692=Справочники!$F$4,Учет!$H1692,0)</f>
        <v>0</v>
      </c>
      <c r="T1692" s="48">
        <f>IF(Учет!$O1692=Справочники!$F$5,Учет!$H1692,0)</f>
        <v>0</v>
      </c>
      <c r="U1692" s="48">
        <f>IF(Учет!$O1692=Справочники!$F$6,Учет!$H1692,0)</f>
        <v>0</v>
      </c>
      <c r="V1692" s="43">
        <f>V1691+Учет!Q1692-Q1692</f>
        <v>-488978.92000000004</v>
      </c>
      <c r="W1692" s="43">
        <f>W1691+Учет!R1692-R1692</f>
        <v>336855</v>
      </c>
      <c r="X1692" s="43">
        <f>X1691+Учет!S1692-S1692</f>
        <v>500</v>
      </c>
      <c r="Y1692" s="43">
        <f>Y1691+Учет!T1692-T1692</f>
        <v>1150</v>
      </c>
      <c r="Z1692" s="43">
        <f>Z1691+Учет!U1692-U1692</f>
        <v>500000</v>
      </c>
      <c r="AA1692" s="45">
        <f>Учет!X1692</f>
        <v>500</v>
      </c>
    </row>
    <row r="1693" spans="1:27" ht="15" customHeight="1" x14ac:dyDescent="0.25">
      <c r="A1693" s="1"/>
      <c r="B1693" s="17"/>
      <c r="C1693" s="17"/>
      <c r="D1693" s="17"/>
      <c r="E1693" s="17"/>
      <c r="F1693" s="17"/>
      <c r="G1693" s="4">
        <f t="shared" si="75"/>
        <v>0</v>
      </c>
      <c r="H1693" s="17"/>
      <c r="I1693" s="4">
        <f t="shared" si="77"/>
        <v>349526.07999999996</v>
      </c>
      <c r="J1693" s="32" t="str">
        <f t="shared" si="76"/>
        <v/>
      </c>
      <c r="K1693" s="72"/>
      <c r="L1693" s="72"/>
      <c r="M1693" s="2"/>
      <c r="N1693" s="5"/>
      <c r="O1693" s="3"/>
      <c r="P1693" s="6"/>
      <c r="Q1693" s="48">
        <f>IF(Учет!$O1693=Справочники!$F$2,Учет!$H1693,0)</f>
        <v>0</v>
      </c>
      <c r="R1693" s="48">
        <f>IF(Учет!$O1693=Справочники!$F$3,Учет!$H1693,0)</f>
        <v>0</v>
      </c>
      <c r="S1693" s="48">
        <f>IF(Учет!$O1693=Справочники!$F$4,Учет!$H1693,0)</f>
        <v>0</v>
      </c>
      <c r="T1693" s="48">
        <f>IF(Учет!$O1693=Справочники!$F$5,Учет!$H1693,0)</f>
        <v>0</v>
      </c>
      <c r="U1693" s="48">
        <f>IF(Учет!$O1693=Справочники!$F$6,Учет!$H1693,0)</f>
        <v>0</v>
      </c>
      <c r="V1693" s="43">
        <f>V1692+Учет!Q1693-Q1693</f>
        <v>-488978.92000000004</v>
      </c>
      <c r="W1693" s="43">
        <f>W1692+Учет!R1693-R1693</f>
        <v>336855</v>
      </c>
      <c r="X1693" s="43">
        <f>X1692+Учет!S1693-S1693</f>
        <v>500</v>
      </c>
      <c r="Y1693" s="43">
        <f>Y1692+Учет!T1693-T1693</f>
        <v>1150</v>
      </c>
      <c r="Z1693" s="43">
        <f>Z1692+Учет!U1693-U1693</f>
        <v>500000</v>
      </c>
      <c r="AA1693" s="45">
        <f>Учет!X1693</f>
        <v>500</v>
      </c>
    </row>
    <row r="1694" spans="1:27" ht="15" customHeight="1" x14ac:dyDescent="0.25">
      <c r="A1694" s="1"/>
      <c r="B1694" s="17"/>
      <c r="C1694" s="17"/>
      <c r="D1694" s="17"/>
      <c r="E1694" s="17"/>
      <c r="F1694" s="17"/>
      <c r="G1694" s="4">
        <f t="shared" si="75"/>
        <v>0</v>
      </c>
      <c r="H1694" s="17"/>
      <c r="I1694" s="4">
        <f t="shared" si="77"/>
        <v>349526.07999999996</v>
      </c>
      <c r="J1694" s="32" t="str">
        <f t="shared" si="76"/>
        <v/>
      </c>
      <c r="K1694" s="72"/>
      <c r="L1694" s="72"/>
      <c r="M1694" s="2"/>
      <c r="N1694" s="5"/>
      <c r="O1694" s="3"/>
      <c r="P1694" s="6"/>
      <c r="Q1694" s="48">
        <f>IF(Учет!$O1694=Справочники!$F$2,Учет!$H1694,0)</f>
        <v>0</v>
      </c>
      <c r="R1694" s="48">
        <f>IF(Учет!$O1694=Справочники!$F$3,Учет!$H1694,0)</f>
        <v>0</v>
      </c>
      <c r="S1694" s="48">
        <f>IF(Учет!$O1694=Справочники!$F$4,Учет!$H1694,0)</f>
        <v>0</v>
      </c>
      <c r="T1694" s="48">
        <f>IF(Учет!$O1694=Справочники!$F$5,Учет!$H1694,0)</f>
        <v>0</v>
      </c>
      <c r="U1694" s="48">
        <f>IF(Учет!$O1694=Справочники!$F$6,Учет!$H1694,0)</f>
        <v>0</v>
      </c>
      <c r="V1694" s="43">
        <f>V1693+Учет!Q1694-Q1694</f>
        <v>-488978.92000000004</v>
      </c>
      <c r="W1694" s="43">
        <f>W1693+Учет!R1694-R1694</f>
        <v>336855</v>
      </c>
      <c r="X1694" s="43">
        <f>X1693+Учет!S1694-S1694</f>
        <v>500</v>
      </c>
      <c r="Y1694" s="43">
        <f>Y1693+Учет!T1694-T1694</f>
        <v>1150</v>
      </c>
      <c r="Z1694" s="43">
        <f>Z1693+Учет!U1694-U1694</f>
        <v>500000</v>
      </c>
      <c r="AA1694" s="45">
        <f>Учет!X1694</f>
        <v>500</v>
      </c>
    </row>
    <row r="1695" spans="1:27" ht="15" customHeight="1" x14ac:dyDescent="0.25">
      <c r="A1695" s="1"/>
      <c r="B1695" s="17"/>
      <c r="C1695" s="17"/>
      <c r="D1695" s="17"/>
      <c r="E1695" s="17"/>
      <c r="F1695" s="17"/>
      <c r="G1695" s="4">
        <f t="shared" si="75"/>
        <v>0</v>
      </c>
      <c r="H1695" s="17"/>
      <c r="I1695" s="4">
        <f t="shared" si="77"/>
        <v>349526.07999999996</v>
      </c>
      <c r="J1695" s="32" t="str">
        <f t="shared" si="76"/>
        <v/>
      </c>
      <c r="K1695" s="72"/>
      <c r="L1695" s="72"/>
      <c r="M1695" s="2"/>
      <c r="N1695" s="5"/>
      <c r="O1695" s="3"/>
      <c r="P1695" s="6"/>
      <c r="Q1695" s="48">
        <f>IF(Учет!$O1695=Справочники!$F$2,Учет!$H1695,0)</f>
        <v>0</v>
      </c>
      <c r="R1695" s="48">
        <f>IF(Учет!$O1695=Справочники!$F$3,Учет!$H1695,0)</f>
        <v>0</v>
      </c>
      <c r="S1695" s="48">
        <f>IF(Учет!$O1695=Справочники!$F$4,Учет!$H1695,0)</f>
        <v>0</v>
      </c>
      <c r="T1695" s="48">
        <f>IF(Учет!$O1695=Справочники!$F$5,Учет!$H1695,0)</f>
        <v>0</v>
      </c>
      <c r="U1695" s="48">
        <f>IF(Учет!$O1695=Справочники!$F$6,Учет!$H1695,0)</f>
        <v>0</v>
      </c>
      <c r="V1695" s="43">
        <f>V1694+Учет!Q1695-Q1695</f>
        <v>-488978.92000000004</v>
      </c>
      <c r="W1695" s="43">
        <f>W1694+Учет!R1695-R1695</f>
        <v>336855</v>
      </c>
      <c r="X1695" s="43">
        <f>X1694+Учет!S1695-S1695</f>
        <v>500</v>
      </c>
      <c r="Y1695" s="43">
        <f>Y1694+Учет!T1695-T1695</f>
        <v>1150</v>
      </c>
      <c r="Z1695" s="43">
        <f>Z1694+Учет!U1695-U1695</f>
        <v>500000</v>
      </c>
      <c r="AA1695" s="45">
        <f>Учет!X1695</f>
        <v>500</v>
      </c>
    </row>
    <row r="1696" spans="1:27" ht="15" customHeight="1" x14ac:dyDescent="0.25">
      <c r="A1696" s="1"/>
      <c r="B1696" s="17"/>
      <c r="C1696" s="17"/>
      <c r="D1696" s="17"/>
      <c r="E1696" s="17"/>
      <c r="F1696" s="17"/>
      <c r="G1696" s="4">
        <f t="shared" si="75"/>
        <v>0</v>
      </c>
      <c r="H1696" s="17"/>
      <c r="I1696" s="4">
        <f t="shared" si="77"/>
        <v>349526.07999999996</v>
      </c>
      <c r="J1696" s="32" t="str">
        <f t="shared" si="76"/>
        <v/>
      </c>
      <c r="K1696" s="72"/>
      <c r="L1696" s="72"/>
      <c r="M1696" s="2"/>
      <c r="N1696" s="5"/>
      <c r="O1696" s="3"/>
      <c r="P1696" s="6"/>
      <c r="Q1696" s="48">
        <f>IF(Учет!$O1696=Справочники!$F$2,Учет!$H1696,0)</f>
        <v>0</v>
      </c>
      <c r="R1696" s="48">
        <f>IF(Учет!$O1696=Справочники!$F$3,Учет!$H1696,0)</f>
        <v>0</v>
      </c>
      <c r="S1696" s="48">
        <f>IF(Учет!$O1696=Справочники!$F$4,Учет!$H1696,0)</f>
        <v>0</v>
      </c>
      <c r="T1696" s="48">
        <f>IF(Учет!$O1696=Справочники!$F$5,Учет!$H1696,0)</f>
        <v>0</v>
      </c>
      <c r="U1696" s="48">
        <f>IF(Учет!$O1696=Справочники!$F$6,Учет!$H1696,0)</f>
        <v>0</v>
      </c>
      <c r="V1696" s="43">
        <f>V1695+Учет!Q1696-Q1696</f>
        <v>-488978.92000000004</v>
      </c>
      <c r="W1696" s="43">
        <f>W1695+Учет!R1696-R1696</f>
        <v>336855</v>
      </c>
      <c r="X1696" s="43">
        <f>X1695+Учет!S1696-S1696</f>
        <v>500</v>
      </c>
      <c r="Y1696" s="43">
        <f>Y1695+Учет!T1696-T1696</f>
        <v>1150</v>
      </c>
      <c r="Z1696" s="43">
        <f>Z1695+Учет!U1696-U1696</f>
        <v>500000</v>
      </c>
      <c r="AA1696" s="45">
        <f>Учет!X1696</f>
        <v>500</v>
      </c>
    </row>
    <row r="1697" spans="1:27" ht="15" customHeight="1" x14ac:dyDescent="0.25">
      <c r="A1697" s="1"/>
      <c r="B1697" s="17"/>
      <c r="C1697" s="17"/>
      <c r="D1697" s="17"/>
      <c r="E1697" s="17"/>
      <c r="F1697" s="17"/>
      <c r="G1697" s="4">
        <f t="shared" si="75"/>
        <v>0</v>
      </c>
      <c r="H1697" s="17"/>
      <c r="I1697" s="4">
        <f t="shared" si="77"/>
        <v>349526.07999999996</v>
      </c>
      <c r="J1697" s="32" t="str">
        <f t="shared" si="76"/>
        <v/>
      </c>
      <c r="K1697" s="72"/>
      <c r="L1697" s="72"/>
      <c r="M1697" s="2"/>
      <c r="N1697" s="5"/>
      <c r="O1697" s="3"/>
      <c r="P1697" s="6"/>
      <c r="Q1697" s="48">
        <f>IF(Учет!$O1697=Справочники!$F$2,Учет!$H1697,0)</f>
        <v>0</v>
      </c>
      <c r="R1697" s="48">
        <f>IF(Учет!$O1697=Справочники!$F$3,Учет!$H1697,0)</f>
        <v>0</v>
      </c>
      <c r="S1697" s="48">
        <f>IF(Учет!$O1697=Справочники!$F$4,Учет!$H1697,0)</f>
        <v>0</v>
      </c>
      <c r="T1697" s="48">
        <f>IF(Учет!$O1697=Справочники!$F$5,Учет!$H1697,0)</f>
        <v>0</v>
      </c>
      <c r="U1697" s="48">
        <f>IF(Учет!$O1697=Справочники!$F$6,Учет!$H1697,0)</f>
        <v>0</v>
      </c>
      <c r="V1697" s="43">
        <f>V1696+Учет!Q1697-Q1697</f>
        <v>-488978.92000000004</v>
      </c>
      <c r="W1697" s="43">
        <f>W1696+Учет!R1697-R1697</f>
        <v>336855</v>
      </c>
      <c r="X1697" s="43">
        <f>X1696+Учет!S1697-S1697</f>
        <v>500</v>
      </c>
      <c r="Y1697" s="43">
        <f>Y1696+Учет!T1697-T1697</f>
        <v>1150</v>
      </c>
      <c r="Z1697" s="43">
        <f>Z1696+Учет!U1697-U1697</f>
        <v>500000</v>
      </c>
      <c r="AA1697" s="45">
        <f>Учет!X1697</f>
        <v>500</v>
      </c>
    </row>
    <row r="1698" spans="1:27" ht="15" customHeight="1" x14ac:dyDescent="0.25">
      <c r="A1698" s="1"/>
      <c r="B1698" s="17"/>
      <c r="C1698" s="17"/>
      <c r="D1698" s="17"/>
      <c r="E1698" s="17"/>
      <c r="F1698" s="17"/>
      <c r="G1698" s="4">
        <f t="shared" si="75"/>
        <v>0</v>
      </c>
      <c r="H1698" s="17"/>
      <c r="I1698" s="4">
        <f t="shared" si="77"/>
        <v>349526.07999999996</v>
      </c>
      <c r="J1698" s="32" t="str">
        <f t="shared" si="76"/>
        <v/>
      </c>
      <c r="K1698" s="72"/>
      <c r="L1698" s="72"/>
      <c r="M1698" s="2"/>
      <c r="N1698" s="5"/>
      <c r="O1698" s="3"/>
      <c r="P1698" s="6"/>
      <c r="Q1698" s="48">
        <f>IF(Учет!$O1698=Справочники!$F$2,Учет!$H1698,0)</f>
        <v>0</v>
      </c>
      <c r="R1698" s="48">
        <f>IF(Учет!$O1698=Справочники!$F$3,Учет!$H1698,0)</f>
        <v>0</v>
      </c>
      <c r="S1698" s="48">
        <f>IF(Учет!$O1698=Справочники!$F$4,Учет!$H1698,0)</f>
        <v>0</v>
      </c>
      <c r="T1698" s="48">
        <f>IF(Учет!$O1698=Справочники!$F$5,Учет!$H1698,0)</f>
        <v>0</v>
      </c>
      <c r="U1698" s="48">
        <f>IF(Учет!$O1698=Справочники!$F$6,Учет!$H1698,0)</f>
        <v>0</v>
      </c>
      <c r="V1698" s="43">
        <f>V1697+Учет!Q1698-Q1698</f>
        <v>-488978.92000000004</v>
      </c>
      <c r="W1698" s="43">
        <f>W1697+Учет!R1698-R1698</f>
        <v>336855</v>
      </c>
      <c r="X1698" s="43">
        <f>X1697+Учет!S1698-S1698</f>
        <v>500</v>
      </c>
      <c r="Y1698" s="43">
        <f>Y1697+Учет!T1698-T1698</f>
        <v>1150</v>
      </c>
      <c r="Z1698" s="43">
        <f>Z1697+Учет!U1698-U1698</f>
        <v>500000</v>
      </c>
      <c r="AA1698" s="45">
        <f>Учет!X1698</f>
        <v>500</v>
      </c>
    </row>
    <row r="1699" spans="1:27" ht="15" customHeight="1" x14ac:dyDescent="0.25">
      <c r="A1699" s="1"/>
      <c r="B1699" s="17"/>
      <c r="C1699" s="17"/>
      <c r="D1699" s="17"/>
      <c r="E1699" s="17"/>
      <c r="F1699" s="17"/>
      <c r="G1699" s="4">
        <f t="shared" si="75"/>
        <v>0</v>
      </c>
      <c r="H1699" s="17"/>
      <c r="I1699" s="4">
        <f t="shared" si="77"/>
        <v>349526.07999999996</v>
      </c>
      <c r="J1699" s="32" t="str">
        <f t="shared" si="76"/>
        <v/>
      </c>
      <c r="K1699" s="72"/>
      <c r="L1699" s="72"/>
      <c r="M1699" s="2"/>
      <c r="N1699" s="5"/>
      <c r="O1699" s="3"/>
      <c r="P1699" s="6"/>
      <c r="Q1699" s="48">
        <f>IF(Учет!$O1699=Справочники!$F$2,Учет!$H1699,0)</f>
        <v>0</v>
      </c>
      <c r="R1699" s="48">
        <f>IF(Учет!$O1699=Справочники!$F$3,Учет!$H1699,0)</f>
        <v>0</v>
      </c>
      <c r="S1699" s="48">
        <f>IF(Учет!$O1699=Справочники!$F$4,Учет!$H1699,0)</f>
        <v>0</v>
      </c>
      <c r="T1699" s="48">
        <f>IF(Учет!$O1699=Справочники!$F$5,Учет!$H1699,0)</f>
        <v>0</v>
      </c>
      <c r="U1699" s="48">
        <f>IF(Учет!$O1699=Справочники!$F$6,Учет!$H1699,0)</f>
        <v>0</v>
      </c>
      <c r="V1699" s="43">
        <f>V1698+Учет!Q1699-Q1699</f>
        <v>-488978.92000000004</v>
      </c>
      <c r="W1699" s="43">
        <f>W1698+Учет!R1699-R1699</f>
        <v>336855</v>
      </c>
      <c r="X1699" s="43">
        <f>X1698+Учет!S1699-S1699</f>
        <v>500</v>
      </c>
      <c r="Y1699" s="43">
        <f>Y1698+Учет!T1699-T1699</f>
        <v>1150</v>
      </c>
      <c r="Z1699" s="43">
        <f>Z1698+Учет!U1699-U1699</f>
        <v>500000</v>
      </c>
      <c r="AA1699" s="45">
        <f>Учет!X1699</f>
        <v>500</v>
      </c>
    </row>
    <row r="1700" spans="1:27" ht="15" customHeight="1" x14ac:dyDescent="0.25">
      <c r="A1700" s="1"/>
      <c r="B1700" s="17"/>
      <c r="C1700" s="17"/>
      <c r="D1700" s="17"/>
      <c r="E1700" s="17"/>
      <c r="F1700" s="17"/>
      <c r="G1700" s="4">
        <f t="shared" si="75"/>
        <v>0</v>
      </c>
      <c r="H1700" s="17"/>
      <c r="I1700" s="4">
        <f t="shared" si="77"/>
        <v>349526.07999999996</v>
      </c>
      <c r="J1700" s="32" t="str">
        <f t="shared" si="76"/>
        <v/>
      </c>
      <c r="K1700" s="72"/>
      <c r="L1700" s="72"/>
      <c r="M1700" s="2"/>
      <c r="N1700" s="5"/>
      <c r="O1700" s="3"/>
      <c r="P1700" s="6"/>
      <c r="Q1700" s="48">
        <f>IF(Учет!$O1700=Справочники!$F$2,Учет!$H1700,0)</f>
        <v>0</v>
      </c>
      <c r="R1700" s="48">
        <f>IF(Учет!$O1700=Справочники!$F$3,Учет!$H1700,0)</f>
        <v>0</v>
      </c>
      <c r="S1700" s="48">
        <f>IF(Учет!$O1700=Справочники!$F$4,Учет!$H1700,0)</f>
        <v>0</v>
      </c>
      <c r="T1700" s="48">
        <f>IF(Учет!$O1700=Справочники!$F$5,Учет!$H1700,0)</f>
        <v>0</v>
      </c>
      <c r="U1700" s="48">
        <f>IF(Учет!$O1700=Справочники!$F$6,Учет!$H1700,0)</f>
        <v>0</v>
      </c>
      <c r="V1700" s="43">
        <f>V1699+Учет!Q1700-Q1700</f>
        <v>-488978.92000000004</v>
      </c>
      <c r="W1700" s="43">
        <f>W1699+Учет!R1700-R1700</f>
        <v>336855</v>
      </c>
      <c r="X1700" s="43">
        <f>X1699+Учет!S1700-S1700</f>
        <v>500</v>
      </c>
      <c r="Y1700" s="43">
        <f>Y1699+Учет!T1700-T1700</f>
        <v>1150</v>
      </c>
      <c r="Z1700" s="43">
        <f>Z1699+Учет!U1700-U1700</f>
        <v>500000</v>
      </c>
      <c r="AA1700" s="45">
        <f>Учет!X1700</f>
        <v>500</v>
      </c>
    </row>
    <row r="1701" spans="1:27" ht="15" customHeight="1" x14ac:dyDescent="0.25">
      <c r="A1701" s="1"/>
      <c r="B1701" s="17"/>
      <c r="C1701" s="17"/>
      <c r="D1701" s="17"/>
      <c r="E1701" s="17"/>
      <c r="F1701" s="17"/>
      <c r="G1701" s="4">
        <f t="shared" si="75"/>
        <v>0</v>
      </c>
      <c r="H1701" s="17"/>
      <c r="I1701" s="4">
        <f t="shared" si="77"/>
        <v>349526.07999999996</v>
      </c>
      <c r="J1701" s="32" t="str">
        <f t="shared" si="76"/>
        <v/>
      </c>
      <c r="K1701" s="72"/>
      <c r="L1701" s="72"/>
      <c r="M1701" s="2"/>
      <c r="N1701" s="5"/>
      <c r="O1701" s="3"/>
      <c r="P1701" s="6"/>
      <c r="Q1701" s="48">
        <f>IF(Учет!$O1701=Справочники!$F$2,Учет!$H1701,0)</f>
        <v>0</v>
      </c>
      <c r="R1701" s="48">
        <f>IF(Учет!$O1701=Справочники!$F$3,Учет!$H1701,0)</f>
        <v>0</v>
      </c>
      <c r="S1701" s="48">
        <f>IF(Учет!$O1701=Справочники!$F$4,Учет!$H1701,0)</f>
        <v>0</v>
      </c>
      <c r="T1701" s="48">
        <f>IF(Учет!$O1701=Справочники!$F$5,Учет!$H1701,0)</f>
        <v>0</v>
      </c>
      <c r="U1701" s="48">
        <f>IF(Учет!$O1701=Справочники!$F$6,Учет!$H1701,0)</f>
        <v>0</v>
      </c>
      <c r="V1701" s="43">
        <f>V1700+Учет!Q1701-Q1701</f>
        <v>-488978.92000000004</v>
      </c>
      <c r="W1701" s="43">
        <f>W1700+Учет!R1701-R1701</f>
        <v>336855</v>
      </c>
      <c r="X1701" s="43">
        <f>X1700+Учет!S1701-S1701</f>
        <v>500</v>
      </c>
      <c r="Y1701" s="43">
        <f>Y1700+Учет!T1701-T1701</f>
        <v>1150</v>
      </c>
      <c r="Z1701" s="43">
        <f>Z1700+Учет!U1701-U1701</f>
        <v>500000</v>
      </c>
      <c r="AA1701" s="45">
        <f>Учет!X1701</f>
        <v>500</v>
      </c>
    </row>
    <row r="1702" spans="1:27" ht="15" customHeight="1" x14ac:dyDescent="0.25">
      <c r="A1702" s="1"/>
      <c r="B1702" s="17"/>
      <c r="C1702" s="17"/>
      <c r="D1702" s="17"/>
      <c r="E1702" s="17"/>
      <c r="F1702" s="17"/>
      <c r="G1702" s="4">
        <f t="shared" si="75"/>
        <v>0</v>
      </c>
      <c r="H1702" s="17"/>
      <c r="I1702" s="4">
        <f t="shared" si="77"/>
        <v>349526.07999999996</v>
      </c>
      <c r="J1702" s="32" t="str">
        <f t="shared" si="76"/>
        <v/>
      </c>
      <c r="K1702" s="72"/>
      <c r="L1702" s="72"/>
      <c r="M1702" s="2"/>
      <c r="N1702" s="5"/>
      <c r="O1702" s="3"/>
      <c r="P1702" s="6"/>
      <c r="Q1702" s="48">
        <f>IF(Учет!$O1702=Справочники!$F$2,Учет!$H1702,0)</f>
        <v>0</v>
      </c>
      <c r="R1702" s="48">
        <f>IF(Учет!$O1702=Справочники!$F$3,Учет!$H1702,0)</f>
        <v>0</v>
      </c>
      <c r="S1702" s="48">
        <f>IF(Учет!$O1702=Справочники!$F$4,Учет!$H1702,0)</f>
        <v>0</v>
      </c>
      <c r="T1702" s="48">
        <f>IF(Учет!$O1702=Справочники!$F$5,Учет!$H1702,0)</f>
        <v>0</v>
      </c>
      <c r="U1702" s="48">
        <f>IF(Учет!$O1702=Справочники!$F$6,Учет!$H1702,0)</f>
        <v>0</v>
      </c>
      <c r="V1702" s="43">
        <f>V1701+Учет!Q1702-Q1702</f>
        <v>-488978.92000000004</v>
      </c>
      <c r="W1702" s="43">
        <f>W1701+Учет!R1702-R1702</f>
        <v>336855</v>
      </c>
      <c r="X1702" s="43">
        <f>X1701+Учет!S1702-S1702</f>
        <v>500</v>
      </c>
      <c r="Y1702" s="43">
        <f>Y1701+Учет!T1702-T1702</f>
        <v>1150</v>
      </c>
      <c r="Z1702" s="43">
        <f>Z1701+Учет!U1702-U1702</f>
        <v>500000</v>
      </c>
      <c r="AA1702" s="45">
        <f>Учет!X1702</f>
        <v>500</v>
      </c>
    </row>
    <row r="1703" spans="1:27" ht="15" customHeight="1" x14ac:dyDescent="0.25">
      <c r="A1703" s="1"/>
      <c r="B1703" s="17"/>
      <c r="C1703" s="17"/>
      <c r="D1703" s="17"/>
      <c r="E1703" s="17"/>
      <c r="F1703" s="17"/>
      <c r="G1703" s="4">
        <f t="shared" si="75"/>
        <v>0</v>
      </c>
      <c r="H1703" s="17"/>
      <c r="I1703" s="4">
        <f t="shared" si="77"/>
        <v>349526.07999999996</v>
      </c>
      <c r="J1703" s="32" t="str">
        <f t="shared" si="76"/>
        <v/>
      </c>
      <c r="K1703" s="72"/>
      <c r="L1703" s="72"/>
      <c r="M1703" s="2"/>
      <c r="N1703" s="5"/>
      <c r="O1703" s="3"/>
      <c r="P1703" s="6"/>
      <c r="Q1703" s="48">
        <f>IF(Учет!$O1703=Справочники!$F$2,Учет!$H1703,0)</f>
        <v>0</v>
      </c>
      <c r="R1703" s="48">
        <f>IF(Учет!$O1703=Справочники!$F$3,Учет!$H1703,0)</f>
        <v>0</v>
      </c>
      <c r="S1703" s="48">
        <f>IF(Учет!$O1703=Справочники!$F$4,Учет!$H1703,0)</f>
        <v>0</v>
      </c>
      <c r="T1703" s="48">
        <f>IF(Учет!$O1703=Справочники!$F$5,Учет!$H1703,0)</f>
        <v>0</v>
      </c>
      <c r="U1703" s="48">
        <f>IF(Учет!$O1703=Справочники!$F$6,Учет!$H1703,0)</f>
        <v>0</v>
      </c>
      <c r="V1703" s="43">
        <f>V1702+Учет!Q1703-Q1703</f>
        <v>-488978.92000000004</v>
      </c>
      <c r="W1703" s="43">
        <f>W1702+Учет!R1703-R1703</f>
        <v>336855</v>
      </c>
      <c r="X1703" s="43">
        <f>X1702+Учет!S1703-S1703</f>
        <v>500</v>
      </c>
      <c r="Y1703" s="43">
        <f>Y1702+Учет!T1703-T1703</f>
        <v>1150</v>
      </c>
      <c r="Z1703" s="43">
        <f>Z1702+Учет!U1703-U1703</f>
        <v>500000</v>
      </c>
      <c r="AA1703" s="45">
        <f>Учет!X1703</f>
        <v>500</v>
      </c>
    </row>
    <row r="1704" spans="1:27" ht="15" customHeight="1" x14ac:dyDescent="0.25">
      <c r="A1704" s="1"/>
      <c r="B1704" s="17"/>
      <c r="C1704" s="17"/>
      <c r="D1704" s="17"/>
      <c r="E1704" s="17"/>
      <c r="F1704" s="17"/>
      <c r="G1704" s="4">
        <f t="shared" si="75"/>
        <v>0</v>
      </c>
      <c r="H1704" s="17"/>
      <c r="I1704" s="4">
        <f t="shared" si="77"/>
        <v>349526.07999999996</v>
      </c>
      <c r="J1704" s="32" t="str">
        <f t="shared" si="76"/>
        <v/>
      </c>
      <c r="K1704" s="72"/>
      <c r="L1704" s="72"/>
      <c r="M1704" s="2"/>
      <c r="N1704" s="5"/>
      <c r="O1704" s="3"/>
      <c r="P1704" s="6"/>
      <c r="Q1704" s="48">
        <f>IF(Учет!$O1704=Справочники!$F$2,Учет!$H1704,0)</f>
        <v>0</v>
      </c>
      <c r="R1704" s="48">
        <f>IF(Учет!$O1704=Справочники!$F$3,Учет!$H1704,0)</f>
        <v>0</v>
      </c>
      <c r="S1704" s="48">
        <f>IF(Учет!$O1704=Справочники!$F$4,Учет!$H1704,0)</f>
        <v>0</v>
      </c>
      <c r="T1704" s="48">
        <f>IF(Учет!$O1704=Справочники!$F$5,Учет!$H1704,0)</f>
        <v>0</v>
      </c>
      <c r="U1704" s="48">
        <f>IF(Учет!$O1704=Справочники!$F$6,Учет!$H1704,0)</f>
        <v>0</v>
      </c>
      <c r="V1704" s="43">
        <f>V1703+Учет!Q1704-Q1704</f>
        <v>-488978.92000000004</v>
      </c>
      <c r="W1704" s="43">
        <f>W1703+Учет!R1704-R1704</f>
        <v>336855</v>
      </c>
      <c r="X1704" s="43">
        <f>X1703+Учет!S1704-S1704</f>
        <v>500</v>
      </c>
      <c r="Y1704" s="43">
        <f>Y1703+Учет!T1704-T1704</f>
        <v>1150</v>
      </c>
      <c r="Z1704" s="43">
        <f>Z1703+Учет!U1704-U1704</f>
        <v>500000</v>
      </c>
      <c r="AA1704" s="45">
        <f>Учет!X1704</f>
        <v>500</v>
      </c>
    </row>
    <row r="1705" spans="1:27" ht="15" customHeight="1" x14ac:dyDescent="0.25">
      <c r="A1705" s="1"/>
      <c r="B1705" s="17"/>
      <c r="C1705" s="17"/>
      <c r="D1705" s="17"/>
      <c r="E1705" s="17"/>
      <c r="F1705" s="17"/>
      <c r="G1705" s="4">
        <f t="shared" si="75"/>
        <v>0</v>
      </c>
      <c r="H1705" s="17"/>
      <c r="I1705" s="4">
        <f t="shared" si="77"/>
        <v>349526.07999999996</v>
      </c>
      <c r="J1705" s="32" t="str">
        <f t="shared" si="76"/>
        <v/>
      </c>
      <c r="K1705" s="72"/>
      <c r="L1705" s="72"/>
      <c r="M1705" s="2"/>
      <c r="N1705" s="5"/>
      <c r="O1705" s="3"/>
      <c r="P1705" s="6"/>
      <c r="Q1705" s="48">
        <f>IF(Учет!$O1705=Справочники!$F$2,Учет!$H1705,0)</f>
        <v>0</v>
      </c>
      <c r="R1705" s="48">
        <f>IF(Учет!$O1705=Справочники!$F$3,Учет!$H1705,0)</f>
        <v>0</v>
      </c>
      <c r="S1705" s="48">
        <f>IF(Учет!$O1705=Справочники!$F$4,Учет!$H1705,0)</f>
        <v>0</v>
      </c>
      <c r="T1705" s="48">
        <f>IF(Учет!$O1705=Справочники!$F$5,Учет!$H1705,0)</f>
        <v>0</v>
      </c>
      <c r="U1705" s="48">
        <f>IF(Учет!$O1705=Справочники!$F$6,Учет!$H1705,0)</f>
        <v>0</v>
      </c>
      <c r="V1705" s="43">
        <f>V1704+Учет!Q1705-Q1705</f>
        <v>-488978.92000000004</v>
      </c>
      <c r="W1705" s="43">
        <f>W1704+Учет!R1705-R1705</f>
        <v>336855</v>
      </c>
      <c r="X1705" s="43">
        <f>X1704+Учет!S1705-S1705</f>
        <v>500</v>
      </c>
      <c r="Y1705" s="43">
        <f>Y1704+Учет!T1705-T1705</f>
        <v>1150</v>
      </c>
      <c r="Z1705" s="43">
        <f>Z1704+Учет!U1705-U1705</f>
        <v>500000</v>
      </c>
      <c r="AA1705" s="45">
        <f>Учет!X1705</f>
        <v>500</v>
      </c>
    </row>
    <row r="1706" spans="1:27" ht="15" customHeight="1" x14ac:dyDescent="0.25">
      <c r="A1706" s="1"/>
      <c r="B1706" s="17"/>
      <c r="C1706" s="17"/>
      <c r="D1706" s="17"/>
      <c r="E1706" s="17"/>
      <c r="F1706" s="17"/>
      <c r="G1706" s="4">
        <f t="shared" si="75"/>
        <v>0</v>
      </c>
      <c r="H1706" s="17"/>
      <c r="I1706" s="4">
        <f t="shared" si="77"/>
        <v>349526.07999999996</v>
      </c>
      <c r="J1706" s="32" t="str">
        <f t="shared" si="76"/>
        <v/>
      </c>
      <c r="K1706" s="72"/>
      <c r="L1706" s="72"/>
      <c r="M1706" s="2"/>
      <c r="N1706" s="5"/>
      <c r="O1706" s="3"/>
      <c r="P1706" s="6"/>
      <c r="Q1706" s="48">
        <f>IF(Учет!$O1706=Справочники!$F$2,Учет!$H1706,0)</f>
        <v>0</v>
      </c>
      <c r="R1706" s="48">
        <f>IF(Учет!$O1706=Справочники!$F$3,Учет!$H1706,0)</f>
        <v>0</v>
      </c>
      <c r="S1706" s="48">
        <f>IF(Учет!$O1706=Справочники!$F$4,Учет!$H1706,0)</f>
        <v>0</v>
      </c>
      <c r="T1706" s="48">
        <f>IF(Учет!$O1706=Справочники!$F$5,Учет!$H1706,0)</f>
        <v>0</v>
      </c>
      <c r="U1706" s="48">
        <f>IF(Учет!$O1706=Справочники!$F$6,Учет!$H1706,0)</f>
        <v>0</v>
      </c>
      <c r="V1706" s="43">
        <f>V1705+Учет!Q1706-Q1706</f>
        <v>-488978.92000000004</v>
      </c>
      <c r="W1706" s="43">
        <f>W1705+Учет!R1706-R1706</f>
        <v>336855</v>
      </c>
      <c r="X1706" s="43">
        <f>X1705+Учет!S1706-S1706</f>
        <v>500</v>
      </c>
      <c r="Y1706" s="43">
        <f>Y1705+Учет!T1706-T1706</f>
        <v>1150</v>
      </c>
      <c r="Z1706" s="43">
        <f>Z1705+Учет!U1706-U1706</f>
        <v>500000</v>
      </c>
      <c r="AA1706" s="45">
        <f>Учет!X1706</f>
        <v>500</v>
      </c>
    </row>
    <row r="1707" spans="1:27" ht="15" customHeight="1" x14ac:dyDescent="0.25">
      <c r="A1707" s="1"/>
      <c r="B1707" s="17"/>
      <c r="C1707" s="17"/>
      <c r="D1707" s="17"/>
      <c r="E1707" s="17"/>
      <c r="F1707" s="17"/>
      <c r="G1707" s="4">
        <f t="shared" si="75"/>
        <v>0</v>
      </c>
      <c r="H1707" s="17"/>
      <c r="I1707" s="4">
        <f t="shared" si="77"/>
        <v>349526.07999999996</v>
      </c>
      <c r="J1707" s="32" t="str">
        <f t="shared" si="76"/>
        <v/>
      </c>
      <c r="K1707" s="72"/>
      <c r="L1707" s="72"/>
      <c r="M1707" s="2"/>
      <c r="N1707" s="5"/>
      <c r="O1707" s="3"/>
      <c r="P1707" s="6"/>
      <c r="Q1707" s="48">
        <f>IF(Учет!$O1707=Справочники!$F$2,Учет!$H1707,0)</f>
        <v>0</v>
      </c>
      <c r="R1707" s="48">
        <f>IF(Учет!$O1707=Справочники!$F$3,Учет!$H1707,0)</f>
        <v>0</v>
      </c>
      <c r="S1707" s="48">
        <f>IF(Учет!$O1707=Справочники!$F$4,Учет!$H1707,0)</f>
        <v>0</v>
      </c>
      <c r="T1707" s="48">
        <f>IF(Учет!$O1707=Справочники!$F$5,Учет!$H1707,0)</f>
        <v>0</v>
      </c>
      <c r="U1707" s="48">
        <f>IF(Учет!$O1707=Справочники!$F$6,Учет!$H1707,0)</f>
        <v>0</v>
      </c>
      <c r="V1707" s="43">
        <f>V1706+Учет!Q1707-Q1707</f>
        <v>-488978.92000000004</v>
      </c>
      <c r="W1707" s="43">
        <f>W1706+Учет!R1707-R1707</f>
        <v>336855</v>
      </c>
      <c r="X1707" s="43">
        <f>X1706+Учет!S1707-S1707</f>
        <v>500</v>
      </c>
      <c r="Y1707" s="43">
        <f>Y1706+Учет!T1707-T1707</f>
        <v>1150</v>
      </c>
      <c r="Z1707" s="43">
        <f>Z1706+Учет!U1707-U1707</f>
        <v>500000</v>
      </c>
      <c r="AA1707" s="45">
        <f>Учет!X1707</f>
        <v>500</v>
      </c>
    </row>
    <row r="1708" spans="1:27" ht="15" customHeight="1" x14ac:dyDescent="0.25">
      <c r="A1708" s="1"/>
      <c r="B1708" s="17"/>
      <c r="C1708" s="17"/>
      <c r="D1708" s="17"/>
      <c r="E1708" s="17"/>
      <c r="F1708" s="17"/>
      <c r="G1708" s="4">
        <f t="shared" si="75"/>
        <v>0</v>
      </c>
      <c r="H1708" s="17"/>
      <c r="I1708" s="4">
        <f t="shared" si="77"/>
        <v>349526.07999999996</v>
      </c>
      <c r="J1708" s="32" t="str">
        <f t="shared" si="76"/>
        <v/>
      </c>
      <c r="K1708" s="72"/>
      <c r="L1708" s="72"/>
      <c r="M1708" s="2"/>
      <c r="N1708" s="5"/>
      <c r="O1708" s="3"/>
      <c r="P1708" s="6"/>
      <c r="Q1708" s="48">
        <f>IF(Учет!$O1708=Справочники!$F$2,Учет!$H1708,0)</f>
        <v>0</v>
      </c>
      <c r="R1708" s="48">
        <f>IF(Учет!$O1708=Справочники!$F$3,Учет!$H1708,0)</f>
        <v>0</v>
      </c>
      <c r="S1708" s="48">
        <f>IF(Учет!$O1708=Справочники!$F$4,Учет!$H1708,0)</f>
        <v>0</v>
      </c>
      <c r="T1708" s="48">
        <f>IF(Учет!$O1708=Справочники!$F$5,Учет!$H1708,0)</f>
        <v>0</v>
      </c>
      <c r="U1708" s="48">
        <f>IF(Учет!$O1708=Справочники!$F$6,Учет!$H1708,0)</f>
        <v>0</v>
      </c>
      <c r="V1708" s="43">
        <f>V1707+Учет!Q1708-Q1708</f>
        <v>-488978.92000000004</v>
      </c>
      <c r="W1708" s="43">
        <f>W1707+Учет!R1708-R1708</f>
        <v>336855</v>
      </c>
      <c r="X1708" s="43">
        <f>X1707+Учет!S1708-S1708</f>
        <v>500</v>
      </c>
      <c r="Y1708" s="43">
        <f>Y1707+Учет!T1708-T1708</f>
        <v>1150</v>
      </c>
      <c r="Z1708" s="43">
        <f>Z1707+Учет!U1708-U1708</f>
        <v>500000</v>
      </c>
      <c r="AA1708" s="45">
        <f>Учет!X1708</f>
        <v>500</v>
      </c>
    </row>
    <row r="1709" spans="1:27" ht="15" customHeight="1" x14ac:dyDescent="0.25">
      <c r="A1709" s="1"/>
      <c r="B1709" s="17"/>
      <c r="C1709" s="17"/>
      <c r="D1709" s="17"/>
      <c r="E1709" s="17"/>
      <c r="F1709" s="17"/>
      <c r="G1709" s="4">
        <f t="shared" si="75"/>
        <v>0</v>
      </c>
      <c r="H1709" s="17"/>
      <c r="I1709" s="4">
        <f t="shared" si="77"/>
        <v>349526.07999999996</v>
      </c>
      <c r="J1709" s="32" t="str">
        <f t="shared" si="76"/>
        <v/>
      </c>
      <c r="K1709" s="72"/>
      <c r="L1709" s="72"/>
      <c r="M1709" s="2"/>
      <c r="N1709" s="5"/>
      <c r="O1709" s="3"/>
      <c r="P1709" s="6"/>
      <c r="Q1709" s="48">
        <f>IF(Учет!$O1709=Справочники!$F$2,Учет!$H1709,0)</f>
        <v>0</v>
      </c>
      <c r="R1709" s="48">
        <f>IF(Учет!$O1709=Справочники!$F$3,Учет!$H1709,0)</f>
        <v>0</v>
      </c>
      <c r="S1709" s="48">
        <f>IF(Учет!$O1709=Справочники!$F$4,Учет!$H1709,0)</f>
        <v>0</v>
      </c>
      <c r="T1709" s="48">
        <f>IF(Учет!$O1709=Справочники!$F$5,Учет!$H1709,0)</f>
        <v>0</v>
      </c>
      <c r="U1709" s="48">
        <f>IF(Учет!$O1709=Справочники!$F$6,Учет!$H1709,0)</f>
        <v>0</v>
      </c>
      <c r="V1709" s="43">
        <f>V1708+Учет!Q1709-Q1709</f>
        <v>-488978.92000000004</v>
      </c>
      <c r="W1709" s="43">
        <f>W1708+Учет!R1709-R1709</f>
        <v>336855</v>
      </c>
      <c r="X1709" s="43">
        <f>X1708+Учет!S1709-S1709</f>
        <v>500</v>
      </c>
      <c r="Y1709" s="43">
        <f>Y1708+Учет!T1709-T1709</f>
        <v>1150</v>
      </c>
      <c r="Z1709" s="43">
        <f>Z1708+Учет!U1709-U1709</f>
        <v>500000</v>
      </c>
      <c r="AA1709" s="45">
        <f>Учет!X1709</f>
        <v>500</v>
      </c>
    </row>
    <row r="1710" spans="1:27" ht="15" customHeight="1" x14ac:dyDescent="0.25">
      <c r="A1710" s="1"/>
      <c r="B1710" s="17"/>
      <c r="C1710" s="17"/>
      <c r="D1710" s="17"/>
      <c r="E1710" s="17"/>
      <c r="F1710" s="17"/>
      <c r="G1710" s="4">
        <f t="shared" si="75"/>
        <v>0</v>
      </c>
      <c r="H1710" s="17"/>
      <c r="I1710" s="4">
        <f t="shared" si="77"/>
        <v>349526.07999999996</v>
      </c>
      <c r="J1710" s="32" t="str">
        <f t="shared" si="76"/>
        <v/>
      </c>
      <c r="K1710" s="72"/>
      <c r="L1710" s="72"/>
      <c r="M1710" s="2"/>
      <c r="N1710" s="5"/>
      <c r="O1710" s="3"/>
      <c r="P1710" s="6"/>
      <c r="Q1710" s="48">
        <f>IF(Учет!$O1710=Справочники!$F$2,Учет!$H1710,0)</f>
        <v>0</v>
      </c>
      <c r="R1710" s="48">
        <f>IF(Учет!$O1710=Справочники!$F$3,Учет!$H1710,0)</f>
        <v>0</v>
      </c>
      <c r="S1710" s="48">
        <f>IF(Учет!$O1710=Справочники!$F$4,Учет!$H1710,0)</f>
        <v>0</v>
      </c>
      <c r="T1710" s="48">
        <f>IF(Учет!$O1710=Справочники!$F$5,Учет!$H1710,0)</f>
        <v>0</v>
      </c>
      <c r="U1710" s="48">
        <f>IF(Учет!$O1710=Справочники!$F$6,Учет!$H1710,0)</f>
        <v>0</v>
      </c>
      <c r="V1710" s="43">
        <f>V1709+Учет!Q1710-Q1710</f>
        <v>-488978.92000000004</v>
      </c>
      <c r="W1710" s="43">
        <f>W1709+Учет!R1710-R1710</f>
        <v>336855</v>
      </c>
      <c r="X1710" s="43">
        <f>X1709+Учет!S1710-S1710</f>
        <v>500</v>
      </c>
      <c r="Y1710" s="43">
        <f>Y1709+Учет!T1710-T1710</f>
        <v>1150</v>
      </c>
      <c r="Z1710" s="43">
        <f>Z1709+Учет!U1710-U1710</f>
        <v>500000</v>
      </c>
      <c r="AA1710" s="45">
        <f>Учет!X1710</f>
        <v>500</v>
      </c>
    </row>
    <row r="1711" spans="1:27" ht="15" customHeight="1" x14ac:dyDescent="0.25">
      <c r="A1711" s="1"/>
      <c r="B1711" s="17"/>
      <c r="C1711" s="17"/>
      <c r="D1711" s="17"/>
      <c r="E1711" s="17"/>
      <c r="F1711" s="17"/>
      <c r="G1711" s="4">
        <f t="shared" si="75"/>
        <v>0</v>
      </c>
      <c r="H1711" s="17"/>
      <c r="I1711" s="4">
        <f t="shared" si="77"/>
        <v>349526.07999999996</v>
      </c>
      <c r="J1711" s="32" t="str">
        <f t="shared" si="76"/>
        <v/>
      </c>
      <c r="K1711" s="72"/>
      <c r="L1711" s="72"/>
      <c r="M1711" s="2"/>
      <c r="N1711" s="5"/>
      <c r="O1711" s="3"/>
      <c r="P1711" s="6"/>
      <c r="Q1711" s="48">
        <f>IF(Учет!$O1711=Справочники!$F$2,Учет!$H1711,0)</f>
        <v>0</v>
      </c>
      <c r="R1711" s="48">
        <f>IF(Учет!$O1711=Справочники!$F$3,Учет!$H1711,0)</f>
        <v>0</v>
      </c>
      <c r="S1711" s="48">
        <f>IF(Учет!$O1711=Справочники!$F$4,Учет!$H1711,0)</f>
        <v>0</v>
      </c>
      <c r="T1711" s="48">
        <f>IF(Учет!$O1711=Справочники!$F$5,Учет!$H1711,0)</f>
        <v>0</v>
      </c>
      <c r="U1711" s="48">
        <f>IF(Учет!$O1711=Справочники!$F$6,Учет!$H1711,0)</f>
        <v>0</v>
      </c>
      <c r="V1711" s="43">
        <f>V1710+Учет!Q1711-Q1711</f>
        <v>-488978.92000000004</v>
      </c>
      <c r="W1711" s="43">
        <f>W1710+Учет!R1711-R1711</f>
        <v>336855</v>
      </c>
      <c r="X1711" s="43">
        <f>X1710+Учет!S1711-S1711</f>
        <v>500</v>
      </c>
      <c r="Y1711" s="43">
        <f>Y1710+Учет!T1711-T1711</f>
        <v>1150</v>
      </c>
      <c r="Z1711" s="43">
        <f>Z1710+Учет!U1711-U1711</f>
        <v>500000</v>
      </c>
      <c r="AA1711" s="45">
        <f>Учет!X1711</f>
        <v>500</v>
      </c>
    </row>
    <row r="1712" spans="1:27" ht="15" customHeight="1" x14ac:dyDescent="0.25">
      <c r="A1712" s="1"/>
      <c r="B1712" s="17"/>
      <c r="C1712" s="17"/>
      <c r="D1712" s="17"/>
      <c r="E1712" s="17"/>
      <c r="F1712" s="17"/>
      <c r="G1712" s="4">
        <f t="shared" si="75"/>
        <v>0</v>
      </c>
      <c r="H1712" s="17"/>
      <c r="I1712" s="4">
        <f t="shared" si="77"/>
        <v>349526.07999999996</v>
      </c>
      <c r="J1712" s="32" t="str">
        <f t="shared" si="76"/>
        <v/>
      </c>
      <c r="K1712" s="72"/>
      <c r="L1712" s="72"/>
      <c r="M1712" s="2"/>
      <c r="N1712" s="5"/>
      <c r="O1712" s="3"/>
      <c r="P1712" s="6"/>
      <c r="Q1712" s="48">
        <f>IF(Учет!$O1712=Справочники!$F$2,Учет!$H1712,0)</f>
        <v>0</v>
      </c>
      <c r="R1712" s="48">
        <f>IF(Учет!$O1712=Справочники!$F$3,Учет!$H1712,0)</f>
        <v>0</v>
      </c>
      <c r="S1712" s="48">
        <f>IF(Учет!$O1712=Справочники!$F$4,Учет!$H1712,0)</f>
        <v>0</v>
      </c>
      <c r="T1712" s="48">
        <f>IF(Учет!$O1712=Справочники!$F$5,Учет!$H1712,0)</f>
        <v>0</v>
      </c>
      <c r="U1712" s="48">
        <f>IF(Учет!$O1712=Справочники!$F$6,Учет!$H1712,0)</f>
        <v>0</v>
      </c>
      <c r="V1712" s="43">
        <f>V1711+Учет!Q1712-Q1712</f>
        <v>-488978.92000000004</v>
      </c>
      <c r="W1712" s="43">
        <f>W1711+Учет!R1712-R1712</f>
        <v>336855</v>
      </c>
      <c r="X1712" s="43">
        <f>X1711+Учет!S1712-S1712</f>
        <v>500</v>
      </c>
      <c r="Y1712" s="43">
        <f>Y1711+Учет!T1712-T1712</f>
        <v>1150</v>
      </c>
      <c r="Z1712" s="43">
        <f>Z1711+Учет!U1712-U1712</f>
        <v>500000</v>
      </c>
      <c r="AA1712" s="45">
        <f>Учет!X1712</f>
        <v>500</v>
      </c>
    </row>
    <row r="1713" spans="1:27" ht="15" customHeight="1" x14ac:dyDescent="0.25">
      <c r="A1713" s="1"/>
      <c r="B1713" s="17"/>
      <c r="C1713" s="17"/>
      <c r="D1713" s="17"/>
      <c r="E1713" s="17"/>
      <c r="F1713" s="17"/>
      <c r="G1713" s="4">
        <f t="shared" si="75"/>
        <v>0</v>
      </c>
      <c r="H1713" s="17"/>
      <c r="I1713" s="4">
        <f t="shared" si="77"/>
        <v>349526.07999999996</v>
      </c>
      <c r="J1713" s="32" t="str">
        <f t="shared" si="76"/>
        <v/>
      </c>
      <c r="K1713" s="72"/>
      <c r="L1713" s="72"/>
      <c r="M1713" s="2"/>
      <c r="N1713" s="5"/>
      <c r="O1713" s="3"/>
      <c r="P1713" s="6"/>
      <c r="Q1713" s="48">
        <f>IF(Учет!$O1713=Справочники!$F$2,Учет!$H1713,0)</f>
        <v>0</v>
      </c>
      <c r="R1713" s="48">
        <f>IF(Учет!$O1713=Справочники!$F$3,Учет!$H1713,0)</f>
        <v>0</v>
      </c>
      <c r="S1713" s="48">
        <f>IF(Учет!$O1713=Справочники!$F$4,Учет!$H1713,0)</f>
        <v>0</v>
      </c>
      <c r="T1713" s="48">
        <f>IF(Учет!$O1713=Справочники!$F$5,Учет!$H1713,0)</f>
        <v>0</v>
      </c>
      <c r="U1713" s="48">
        <f>IF(Учет!$O1713=Справочники!$F$6,Учет!$H1713,0)</f>
        <v>0</v>
      </c>
      <c r="V1713" s="43">
        <f>V1712+Учет!Q1713-Q1713</f>
        <v>-488978.92000000004</v>
      </c>
      <c r="W1713" s="43">
        <f>W1712+Учет!R1713-R1713</f>
        <v>336855</v>
      </c>
      <c r="X1713" s="43">
        <f>X1712+Учет!S1713-S1713</f>
        <v>500</v>
      </c>
      <c r="Y1713" s="43">
        <f>Y1712+Учет!T1713-T1713</f>
        <v>1150</v>
      </c>
      <c r="Z1713" s="43">
        <f>Z1712+Учет!U1713-U1713</f>
        <v>500000</v>
      </c>
      <c r="AA1713" s="45">
        <f>Учет!X1713</f>
        <v>500</v>
      </c>
    </row>
    <row r="1714" spans="1:27" ht="15" customHeight="1" x14ac:dyDescent="0.25">
      <c r="A1714" s="1"/>
      <c r="B1714" s="17"/>
      <c r="C1714" s="17"/>
      <c r="D1714" s="17"/>
      <c r="E1714" s="17"/>
      <c r="F1714" s="17"/>
      <c r="G1714" s="4">
        <f t="shared" si="75"/>
        <v>0</v>
      </c>
      <c r="H1714" s="17"/>
      <c r="I1714" s="4">
        <f t="shared" si="77"/>
        <v>349526.07999999996</v>
      </c>
      <c r="J1714" s="32" t="str">
        <f t="shared" si="76"/>
        <v/>
      </c>
      <c r="K1714" s="72"/>
      <c r="L1714" s="72"/>
      <c r="M1714" s="2"/>
      <c r="N1714" s="5"/>
      <c r="O1714" s="3"/>
      <c r="P1714" s="6"/>
      <c r="Q1714" s="48">
        <f>IF(Учет!$O1714=Справочники!$F$2,Учет!$H1714,0)</f>
        <v>0</v>
      </c>
      <c r="R1714" s="48">
        <f>IF(Учет!$O1714=Справочники!$F$3,Учет!$H1714,0)</f>
        <v>0</v>
      </c>
      <c r="S1714" s="48">
        <f>IF(Учет!$O1714=Справочники!$F$4,Учет!$H1714,0)</f>
        <v>0</v>
      </c>
      <c r="T1714" s="48">
        <f>IF(Учет!$O1714=Справочники!$F$5,Учет!$H1714,0)</f>
        <v>0</v>
      </c>
      <c r="U1714" s="48">
        <f>IF(Учет!$O1714=Справочники!$F$6,Учет!$H1714,0)</f>
        <v>0</v>
      </c>
      <c r="V1714" s="43">
        <f>V1713+Учет!Q1714-Q1714</f>
        <v>-488978.92000000004</v>
      </c>
      <c r="W1714" s="43">
        <f>W1713+Учет!R1714-R1714</f>
        <v>336855</v>
      </c>
      <c r="X1714" s="43">
        <f>X1713+Учет!S1714-S1714</f>
        <v>500</v>
      </c>
      <c r="Y1714" s="43">
        <f>Y1713+Учет!T1714-T1714</f>
        <v>1150</v>
      </c>
      <c r="Z1714" s="43">
        <f>Z1713+Учет!U1714-U1714</f>
        <v>500000</v>
      </c>
      <c r="AA1714" s="45">
        <f>Учет!X1714</f>
        <v>500</v>
      </c>
    </row>
    <row r="1715" spans="1:27" ht="15" customHeight="1" x14ac:dyDescent="0.25">
      <c r="A1715" s="1"/>
      <c r="B1715" s="17"/>
      <c r="C1715" s="17"/>
      <c r="D1715" s="17"/>
      <c r="E1715" s="17"/>
      <c r="F1715" s="17"/>
      <c r="G1715" s="4">
        <f t="shared" si="75"/>
        <v>0</v>
      </c>
      <c r="H1715" s="17"/>
      <c r="I1715" s="4">
        <f t="shared" si="77"/>
        <v>349526.07999999996</v>
      </c>
      <c r="J1715" s="32" t="str">
        <f t="shared" si="76"/>
        <v/>
      </c>
      <c r="K1715" s="72"/>
      <c r="L1715" s="72"/>
      <c r="M1715" s="2"/>
      <c r="N1715" s="5"/>
      <c r="O1715" s="3"/>
      <c r="P1715" s="6"/>
      <c r="Q1715" s="48">
        <f>IF(Учет!$O1715=Справочники!$F$2,Учет!$H1715,0)</f>
        <v>0</v>
      </c>
      <c r="R1715" s="48">
        <f>IF(Учет!$O1715=Справочники!$F$3,Учет!$H1715,0)</f>
        <v>0</v>
      </c>
      <c r="S1715" s="48">
        <f>IF(Учет!$O1715=Справочники!$F$4,Учет!$H1715,0)</f>
        <v>0</v>
      </c>
      <c r="T1715" s="48">
        <f>IF(Учет!$O1715=Справочники!$F$5,Учет!$H1715,0)</f>
        <v>0</v>
      </c>
      <c r="U1715" s="48">
        <f>IF(Учет!$O1715=Справочники!$F$6,Учет!$H1715,0)</f>
        <v>0</v>
      </c>
      <c r="V1715" s="43">
        <f>V1714+Учет!Q1715-Q1715</f>
        <v>-488978.92000000004</v>
      </c>
      <c r="W1715" s="43">
        <f>W1714+Учет!R1715-R1715</f>
        <v>336855</v>
      </c>
      <c r="X1715" s="43">
        <f>X1714+Учет!S1715-S1715</f>
        <v>500</v>
      </c>
      <c r="Y1715" s="43">
        <f>Y1714+Учет!T1715-T1715</f>
        <v>1150</v>
      </c>
      <c r="Z1715" s="43">
        <f>Z1714+Учет!U1715-U1715</f>
        <v>500000</v>
      </c>
      <c r="AA1715" s="45">
        <f>Учет!X1715</f>
        <v>500</v>
      </c>
    </row>
    <row r="1716" spans="1:27" ht="15" customHeight="1" x14ac:dyDescent="0.25">
      <c r="A1716" s="1"/>
      <c r="B1716" s="17"/>
      <c r="C1716" s="17"/>
      <c r="D1716" s="17"/>
      <c r="E1716" s="17"/>
      <c r="F1716" s="17"/>
      <c r="G1716" s="4">
        <f t="shared" si="75"/>
        <v>0</v>
      </c>
      <c r="H1716" s="17"/>
      <c r="I1716" s="4">
        <f t="shared" si="77"/>
        <v>349526.07999999996</v>
      </c>
      <c r="J1716" s="32" t="str">
        <f t="shared" si="76"/>
        <v/>
      </c>
      <c r="K1716" s="72"/>
      <c r="L1716" s="72"/>
      <c r="M1716" s="2"/>
      <c r="N1716" s="5"/>
      <c r="O1716" s="3"/>
      <c r="P1716" s="6"/>
      <c r="Q1716" s="48">
        <f>IF(Учет!$O1716=Справочники!$F$2,Учет!$H1716,0)</f>
        <v>0</v>
      </c>
      <c r="R1716" s="48">
        <f>IF(Учет!$O1716=Справочники!$F$3,Учет!$H1716,0)</f>
        <v>0</v>
      </c>
      <c r="S1716" s="48">
        <f>IF(Учет!$O1716=Справочники!$F$4,Учет!$H1716,0)</f>
        <v>0</v>
      </c>
      <c r="T1716" s="48">
        <f>IF(Учет!$O1716=Справочники!$F$5,Учет!$H1716,0)</f>
        <v>0</v>
      </c>
      <c r="U1716" s="48">
        <f>IF(Учет!$O1716=Справочники!$F$6,Учет!$H1716,0)</f>
        <v>0</v>
      </c>
      <c r="V1716" s="43">
        <f>V1715+Учет!Q1716-Q1716</f>
        <v>-488978.92000000004</v>
      </c>
      <c r="W1716" s="43">
        <f>W1715+Учет!R1716-R1716</f>
        <v>336855</v>
      </c>
      <c r="X1716" s="43">
        <f>X1715+Учет!S1716-S1716</f>
        <v>500</v>
      </c>
      <c r="Y1716" s="43">
        <f>Y1715+Учет!T1716-T1716</f>
        <v>1150</v>
      </c>
      <c r="Z1716" s="43">
        <f>Z1715+Учет!U1716-U1716</f>
        <v>500000</v>
      </c>
      <c r="AA1716" s="45">
        <f>Учет!X1716</f>
        <v>500</v>
      </c>
    </row>
    <row r="1717" spans="1:27" ht="15" customHeight="1" x14ac:dyDescent="0.25">
      <c r="A1717" s="1"/>
      <c r="B1717" s="17"/>
      <c r="C1717" s="17"/>
      <c r="D1717" s="17"/>
      <c r="E1717" s="17"/>
      <c r="F1717" s="17"/>
      <c r="G1717" s="4">
        <f t="shared" si="75"/>
        <v>0</v>
      </c>
      <c r="H1717" s="17"/>
      <c r="I1717" s="4">
        <f t="shared" si="77"/>
        <v>349526.07999999996</v>
      </c>
      <c r="J1717" s="32" t="str">
        <f t="shared" si="76"/>
        <v/>
      </c>
      <c r="K1717" s="72"/>
      <c r="L1717" s="72"/>
      <c r="M1717" s="2"/>
      <c r="N1717" s="5"/>
      <c r="O1717" s="3"/>
      <c r="P1717" s="6"/>
      <c r="Q1717" s="48">
        <f>IF(Учет!$O1717=Справочники!$F$2,Учет!$H1717,0)</f>
        <v>0</v>
      </c>
      <c r="R1717" s="48">
        <f>IF(Учет!$O1717=Справочники!$F$3,Учет!$H1717,0)</f>
        <v>0</v>
      </c>
      <c r="S1717" s="48">
        <f>IF(Учет!$O1717=Справочники!$F$4,Учет!$H1717,0)</f>
        <v>0</v>
      </c>
      <c r="T1717" s="48">
        <f>IF(Учет!$O1717=Справочники!$F$5,Учет!$H1717,0)</f>
        <v>0</v>
      </c>
      <c r="U1717" s="48">
        <f>IF(Учет!$O1717=Справочники!$F$6,Учет!$H1717,0)</f>
        <v>0</v>
      </c>
      <c r="V1717" s="43">
        <f>V1716+Учет!Q1717-Q1717</f>
        <v>-488978.92000000004</v>
      </c>
      <c r="W1717" s="43">
        <f>W1716+Учет!R1717-R1717</f>
        <v>336855</v>
      </c>
      <c r="X1717" s="43">
        <f>X1716+Учет!S1717-S1717</f>
        <v>500</v>
      </c>
      <c r="Y1717" s="43">
        <f>Y1716+Учет!T1717-T1717</f>
        <v>1150</v>
      </c>
      <c r="Z1717" s="43">
        <f>Z1716+Учет!U1717-U1717</f>
        <v>500000</v>
      </c>
      <c r="AA1717" s="45">
        <f>Учет!X1717</f>
        <v>500</v>
      </c>
    </row>
    <row r="1718" spans="1:27" ht="15" customHeight="1" x14ac:dyDescent="0.25">
      <c r="A1718" s="1"/>
      <c r="B1718" s="17"/>
      <c r="C1718" s="17"/>
      <c r="D1718" s="17"/>
      <c r="E1718" s="17"/>
      <c r="F1718" s="17"/>
      <c r="G1718" s="4">
        <f t="shared" si="75"/>
        <v>0</v>
      </c>
      <c r="H1718" s="17"/>
      <c r="I1718" s="4">
        <f t="shared" si="77"/>
        <v>349526.07999999996</v>
      </c>
      <c r="J1718" s="32" t="str">
        <f t="shared" si="76"/>
        <v/>
      </c>
      <c r="K1718" s="72"/>
      <c r="L1718" s="72"/>
      <c r="M1718" s="2"/>
      <c r="N1718" s="5"/>
      <c r="O1718" s="3"/>
      <c r="P1718" s="6"/>
      <c r="Q1718" s="48">
        <f>IF(Учет!$O1718=Справочники!$F$2,Учет!$H1718,0)</f>
        <v>0</v>
      </c>
      <c r="R1718" s="48">
        <f>IF(Учет!$O1718=Справочники!$F$3,Учет!$H1718,0)</f>
        <v>0</v>
      </c>
      <c r="S1718" s="48">
        <f>IF(Учет!$O1718=Справочники!$F$4,Учет!$H1718,0)</f>
        <v>0</v>
      </c>
      <c r="T1718" s="48">
        <f>IF(Учет!$O1718=Справочники!$F$5,Учет!$H1718,0)</f>
        <v>0</v>
      </c>
      <c r="U1718" s="48">
        <f>IF(Учет!$O1718=Справочники!$F$6,Учет!$H1718,0)</f>
        <v>0</v>
      </c>
      <c r="V1718" s="43">
        <f>V1717+Учет!Q1718-Q1718</f>
        <v>-488978.92000000004</v>
      </c>
      <c r="W1718" s="43">
        <f>W1717+Учет!R1718-R1718</f>
        <v>336855</v>
      </c>
      <c r="X1718" s="43">
        <f>X1717+Учет!S1718-S1718</f>
        <v>500</v>
      </c>
      <c r="Y1718" s="43">
        <f>Y1717+Учет!T1718-T1718</f>
        <v>1150</v>
      </c>
      <c r="Z1718" s="43">
        <f>Z1717+Учет!U1718-U1718</f>
        <v>500000</v>
      </c>
      <c r="AA1718" s="45">
        <f>Учет!X1718</f>
        <v>500</v>
      </c>
    </row>
    <row r="1719" spans="1:27" ht="15" customHeight="1" x14ac:dyDescent="0.25">
      <c r="A1719" s="1"/>
      <c r="B1719" s="17"/>
      <c r="C1719" s="17"/>
      <c r="D1719" s="17"/>
      <c r="E1719" s="17"/>
      <c r="F1719" s="17"/>
      <c r="G1719" s="4">
        <f t="shared" si="75"/>
        <v>0</v>
      </c>
      <c r="H1719" s="17"/>
      <c r="I1719" s="4">
        <f t="shared" si="77"/>
        <v>349526.07999999996</v>
      </c>
      <c r="J1719" s="32" t="str">
        <f t="shared" si="76"/>
        <v/>
      </c>
      <c r="K1719" s="72"/>
      <c r="L1719" s="72"/>
      <c r="M1719" s="2"/>
      <c r="N1719" s="5"/>
      <c r="O1719" s="3"/>
      <c r="P1719" s="6"/>
      <c r="Q1719" s="48">
        <f>IF(Учет!$O1719=Справочники!$F$2,Учет!$H1719,0)</f>
        <v>0</v>
      </c>
      <c r="R1719" s="48">
        <f>IF(Учет!$O1719=Справочники!$F$3,Учет!$H1719,0)</f>
        <v>0</v>
      </c>
      <c r="S1719" s="48">
        <f>IF(Учет!$O1719=Справочники!$F$4,Учет!$H1719,0)</f>
        <v>0</v>
      </c>
      <c r="T1719" s="48">
        <f>IF(Учет!$O1719=Справочники!$F$5,Учет!$H1719,0)</f>
        <v>0</v>
      </c>
      <c r="U1719" s="48">
        <f>IF(Учет!$O1719=Справочники!$F$6,Учет!$H1719,0)</f>
        <v>0</v>
      </c>
      <c r="V1719" s="43">
        <f>V1718+Учет!Q1719-Q1719</f>
        <v>-488978.92000000004</v>
      </c>
      <c r="W1719" s="43">
        <f>W1718+Учет!R1719-R1719</f>
        <v>336855</v>
      </c>
      <c r="X1719" s="43">
        <f>X1718+Учет!S1719-S1719</f>
        <v>500</v>
      </c>
      <c r="Y1719" s="43">
        <f>Y1718+Учет!T1719-T1719</f>
        <v>1150</v>
      </c>
      <c r="Z1719" s="43">
        <f>Z1718+Учет!U1719-U1719</f>
        <v>500000</v>
      </c>
      <c r="AA1719" s="45">
        <f>Учет!X1719</f>
        <v>500</v>
      </c>
    </row>
    <row r="1720" spans="1:27" ht="15" customHeight="1" x14ac:dyDescent="0.25">
      <c r="A1720" s="1"/>
      <c r="B1720" s="17"/>
      <c r="C1720" s="17"/>
      <c r="D1720" s="17"/>
      <c r="E1720" s="17"/>
      <c r="F1720" s="17"/>
      <c r="G1720" s="4">
        <f t="shared" si="75"/>
        <v>0</v>
      </c>
      <c r="H1720" s="17"/>
      <c r="I1720" s="4">
        <f t="shared" si="77"/>
        <v>349526.07999999996</v>
      </c>
      <c r="J1720" s="32" t="str">
        <f t="shared" si="76"/>
        <v/>
      </c>
      <c r="K1720" s="72"/>
      <c r="L1720" s="72"/>
      <c r="M1720" s="2"/>
      <c r="N1720" s="5"/>
      <c r="O1720" s="3"/>
      <c r="P1720" s="6"/>
      <c r="Q1720" s="48">
        <f>IF(Учет!$O1720=Справочники!$F$2,Учет!$H1720,0)</f>
        <v>0</v>
      </c>
      <c r="R1720" s="48">
        <f>IF(Учет!$O1720=Справочники!$F$3,Учет!$H1720,0)</f>
        <v>0</v>
      </c>
      <c r="S1720" s="48">
        <f>IF(Учет!$O1720=Справочники!$F$4,Учет!$H1720,0)</f>
        <v>0</v>
      </c>
      <c r="T1720" s="48">
        <f>IF(Учет!$O1720=Справочники!$F$5,Учет!$H1720,0)</f>
        <v>0</v>
      </c>
      <c r="U1720" s="48">
        <f>IF(Учет!$O1720=Справочники!$F$6,Учет!$H1720,0)</f>
        <v>0</v>
      </c>
      <c r="V1720" s="43">
        <f>V1719+Учет!Q1720-Q1720</f>
        <v>-488978.92000000004</v>
      </c>
      <c r="W1720" s="43">
        <f>W1719+Учет!R1720-R1720</f>
        <v>336855</v>
      </c>
      <c r="X1720" s="43">
        <f>X1719+Учет!S1720-S1720</f>
        <v>500</v>
      </c>
      <c r="Y1720" s="43">
        <f>Y1719+Учет!T1720-T1720</f>
        <v>1150</v>
      </c>
      <c r="Z1720" s="43">
        <f>Z1719+Учет!U1720-U1720</f>
        <v>500000</v>
      </c>
      <c r="AA1720" s="45">
        <f>Учет!X1720</f>
        <v>500</v>
      </c>
    </row>
    <row r="1721" spans="1:27" ht="15" customHeight="1" x14ac:dyDescent="0.25">
      <c r="A1721" s="1"/>
      <c r="B1721" s="17"/>
      <c r="C1721" s="17"/>
      <c r="D1721" s="17"/>
      <c r="E1721" s="17"/>
      <c r="F1721" s="17"/>
      <c r="G1721" s="4">
        <f t="shared" si="75"/>
        <v>0</v>
      </c>
      <c r="H1721" s="17"/>
      <c r="I1721" s="4">
        <f t="shared" si="77"/>
        <v>349526.07999999996</v>
      </c>
      <c r="J1721" s="32" t="str">
        <f t="shared" si="76"/>
        <v/>
      </c>
      <c r="K1721" s="72"/>
      <c r="L1721" s="72"/>
      <c r="M1721" s="2"/>
      <c r="N1721" s="5"/>
      <c r="O1721" s="3"/>
      <c r="P1721" s="6"/>
      <c r="Q1721" s="48">
        <f>IF(Учет!$O1721=Справочники!$F$2,Учет!$H1721,0)</f>
        <v>0</v>
      </c>
      <c r="R1721" s="48">
        <f>IF(Учет!$O1721=Справочники!$F$3,Учет!$H1721,0)</f>
        <v>0</v>
      </c>
      <c r="S1721" s="48">
        <f>IF(Учет!$O1721=Справочники!$F$4,Учет!$H1721,0)</f>
        <v>0</v>
      </c>
      <c r="T1721" s="48">
        <f>IF(Учет!$O1721=Справочники!$F$5,Учет!$H1721,0)</f>
        <v>0</v>
      </c>
      <c r="U1721" s="48">
        <f>IF(Учет!$O1721=Справочники!$F$6,Учет!$H1721,0)</f>
        <v>0</v>
      </c>
      <c r="V1721" s="43">
        <f>V1720+Учет!Q1721-Q1721</f>
        <v>-488978.92000000004</v>
      </c>
      <c r="W1721" s="43">
        <f>W1720+Учет!R1721-R1721</f>
        <v>336855</v>
      </c>
      <c r="X1721" s="43">
        <f>X1720+Учет!S1721-S1721</f>
        <v>500</v>
      </c>
      <c r="Y1721" s="43">
        <f>Y1720+Учет!T1721-T1721</f>
        <v>1150</v>
      </c>
      <c r="Z1721" s="43">
        <f>Z1720+Учет!U1721-U1721</f>
        <v>500000</v>
      </c>
      <c r="AA1721" s="45">
        <f>Учет!X1721</f>
        <v>500</v>
      </c>
    </row>
    <row r="1722" spans="1:27" ht="15" customHeight="1" x14ac:dyDescent="0.25">
      <c r="A1722" s="1"/>
      <c r="B1722" s="17"/>
      <c r="C1722" s="17"/>
      <c r="D1722" s="17"/>
      <c r="E1722" s="17"/>
      <c r="F1722" s="17"/>
      <c r="G1722" s="4">
        <f t="shared" si="75"/>
        <v>0</v>
      </c>
      <c r="H1722" s="17"/>
      <c r="I1722" s="4">
        <f t="shared" si="77"/>
        <v>349526.07999999996</v>
      </c>
      <c r="J1722" s="32" t="str">
        <f t="shared" si="76"/>
        <v/>
      </c>
      <c r="K1722" s="72"/>
      <c r="L1722" s="72"/>
      <c r="M1722" s="2"/>
      <c r="N1722" s="5"/>
      <c r="O1722" s="3"/>
      <c r="P1722" s="6"/>
      <c r="Q1722" s="48">
        <f>IF(Учет!$O1722=Справочники!$F$2,Учет!$H1722,0)</f>
        <v>0</v>
      </c>
      <c r="R1722" s="48">
        <f>IF(Учет!$O1722=Справочники!$F$3,Учет!$H1722,0)</f>
        <v>0</v>
      </c>
      <c r="S1722" s="48">
        <f>IF(Учет!$O1722=Справочники!$F$4,Учет!$H1722,0)</f>
        <v>0</v>
      </c>
      <c r="T1722" s="48">
        <f>IF(Учет!$O1722=Справочники!$F$5,Учет!$H1722,0)</f>
        <v>0</v>
      </c>
      <c r="U1722" s="48">
        <f>IF(Учет!$O1722=Справочники!$F$6,Учет!$H1722,0)</f>
        <v>0</v>
      </c>
      <c r="V1722" s="43">
        <f>V1721+Учет!Q1722-Q1722</f>
        <v>-488978.92000000004</v>
      </c>
      <c r="W1722" s="43">
        <f>W1721+Учет!R1722-R1722</f>
        <v>336855</v>
      </c>
      <c r="X1722" s="43">
        <f>X1721+Учет!S1722-S1722</f>
        <v>500</v>
      </c>
      <c r="Y1722" s="43">
        <f>Y1721+Учет!T1722-T1722</f>
        <v>1150</v>
      </c>
      <c r="Z1722" s="43">
        <f>Z1721+Учет!U1722-U1722</f>
        <v>500000</v>
      </c>
      <c r="AA1722" s="45">
        <f>Учет!X1722</f>
        <v>500</v>
      </c>
    </row>
    <row r="1723" spans="1:27" ht="15" customHeight="1" x14ac:dyDescent="0.25">
      <c r="A1723" s="1"/>
      <c r="B1723" s="17"/>
      <c r="C1723" s="17"/>
      <c r="D1723" s="17"/>
      <c r="E1723" s="17"/>
      <c r="F1723" s="17"/>
      <c r="G1723" s="4">
        <f t="shared" si="75"/>
        <v>0</v>
      </c>
      <c r="H1723" s="17"/>
      <c r="I1723" s="4">
        <f t="shared" si="77"/>
        <v>349526.07999999996</v>
      </c>
      <c r="J1723" s="32" t="str">
        <f t="shared" si="76"/>
        <v/>
      </c>
      <c r="K1723" s="72"/>
      <c r="L1723" s="72"/>
      <c r="M1723" s="2"/>
      <c r="N1723" s="5"/>
      <c r="O1723" s="3"/>
      <c r="P1723" s="6"/>
      <c r="Q1723" s="48">
        <f>IF(Учет!$O1723=Справочники!$F$2,Учет!$H1723,0)</f>
        <v>0</v>
      </c>
      <c r="R1723" s="48">
        <f>IF(Учет!$O1723=Справочники!$F$3,Учет!$H1723,0)</f>
        <v>0</v>
      </c>
      <c r="S1723" s="48">
        <f>IF(Учет!$O1723=Справочники!$F$4,Учет!$H1723,0)</f>
        <v>0</v>
      </c>
      <c r="T1723" s="48">
        <f>IF(Учет!$O1723=Справочники!$F$5,Учет!$H1723,0)</f>
        <v>0</v>
      </c>
      <c r="U1723" s="48">
        <f>IF(Учет!$O1723=Справочники!$F$6,Учет!$H1723,0)</f>
        <v>0</v>
      </c>
      <c r="V1723" s="43">
        <f>V1722+Учет!Q1723-Q1723</f>
        <v>-488978.92000000004</v>
      </c>
      <c r="W1723" s="43">
        <f>W1722+Учет!R1723-R1723</f>
        <v>336855</v>
      </c>
      <c r="X1723" s="43">
        <f>X1722+Учет!S1723-S1723</f>
        <v>500</v>
      </c>
      <c r="Y1723" s="43">
        <f>Y1722+Учет!T1723-T1723</f>
        <v>1150</v>
      </c>
      <c r="Z1723" s="43">
        <f>Z1722+Учет!U1723-U1723</f>
        <v>500000</v>
      </c>
      <c r="AA1723" s="45">
        <f>Учет!X1723</f>
        <v>500</v>
      </c>
    </row>
    <row r="1724" spans="1:27" ht="15" customHeight="1" x14ac:dyDescent="0.25">
      <c r="A1724" s="1"/>
      <c r="B1724" s="17"/>
      <c r="C1724" s="17"/>
      <c r="D1724" s="17"/>
      <c r="E1724" s="17"/>
      <c r="F1724" s="17"/>
      <c r="G1724" s="4">
        <f t="shared" si="75"/>
        <v>0</v>
      </c>
      <c r="H1724" s="17"/>
      <c r="I1724" s="4">
        <f t="shared" si="77"/>
        <v>349526.07999999996</v>
      </c>
      <c r="J1724" s="32" t="str">
        <f t="shared" si="76"/>
        <v/>
      </c>
      <c r="K1724" s="72"/>
      <c r="L1724" s="72"/>
      <c r="M1724" s="2"/>
      <c r="N1724" s="5"/>
      <c r="O1724" s="3"/>
      <c r="P1724" s="6"/>
      <c r="Q1724" s="48">
        <f>IF(Учет!$O1724=Справочники!$F$2,Учет!$H1724,0)</f>
        <v>0</v>
      </c>
      <c r="R1724" s="48">
        <f>IF(Учет!$O1724=Справочники!$F$3,Учет!$H1724,0)</f>
        <v>0</v>
      </c>
      <c r="S1724" s="48">
        <f>IF(Учет!$O1724=Справочники!$F$4,Учет!$H1724,0)</f>
        <v>0</v>
      </c>
      <c r="T1724" s="48">
        <f>IF(Учет!$O1724=Справочники!$F$5,Учет!$H1724,0)</f>
        <v>0</v>
      </c>
      <c r="U1724" s="48">
        <f>IF(Учет!$O1724=Справочники!$F$6,Учет!$H1724,0)</f>
        <v>0</v>
      </c>
      <c r="V1724" s="43">
        <f>V1723+Учет!Q1724-Q1724</f>
        <v>-488978.92000000004</v>
      </c>
      <c r="W1724" s="43">
        <f>W1723+Учет!R1724-R1724</f>
        <v>336855</v>
      </c>
      <c r="X1724" s="43">
        <f>X1723+Учет!S1724-S1724</f>
        <v>500</v>
      </c>
      <c r="Y1724" s="43">
        <f>Y1723+Учет!T1724-T1724</f>
        <v>1150</v>
      </c>
      <c r="Z1724" s="43">
        <f>Z1723+Учет!U1724-U1724</f>
        <v>500000</v>
      </c>
      <c r="AA1724" s="45">
        <f>Учет!X1724</f>
        <v>500</v>
      </c>
    </row>
    <row r="1725" spans="1:27" ht="15" customHeight="1" x14ac:dyDescent="0.25">
      <c r="A1725" s="1"/>
      <c r="B1725" s="17"/>
      <c r="C1725" s="17"/>
      <c r="D1725" s="17"/>
      <c r="E1725" s="17"/>
      <c r="F1725" s="17"/>
      <c r="G1725" s="4">
        <f t="shared" si="75"/>
        <v>0</v>
      </c>
      <c r="H1725" s="17"/>
      <c r="I1725" s="4">
        <f t="shared" si="77"/>
        <v>349526.07999999996</v>
      </c>
      <c r="J1725" s="32" t="str">
        <f t="shared" si="76"/>
        <v/>
      </c>
      <c r="K1725" s="72"/>
      <c r="L1725" s="72"/>
      <c r="M1725" s="2"/>
      <c r="N1725" s="5"/>
      <c r="O1725" s="3"/>
      <c r="P1725" s="6"/>
      <c r="Q1725" s="48">
        <f>IF(Учет!$O1725=Справочники!$F$2,Учет!$H1725,0)</f>
        <v>0</v>
      </c>
      <c r="R1725" s="48">
        <f>IF(Учет!$O1725=Справочники!$F$3,Учет!$H1725,0)</f>
        <v>0</v>
      </c>
      <c r="S1725" s="48">
        <f>IF(Учет!$O1725=Справочники!$F$4,Учет!$H1725,0)</f>
        <v>0</v>
      </c>
      <c r="T1725" s="48">
        <f>IF(Учет!$O1725=Справочники!$F$5,Учет!$H1725,0)</f>
        <v>0</v>
      </c>
      <c r="U1725" s="48">
        <f>IF(Учет!$O1725=Справочники!$F$6,Учет!$H1725,0)</f>
        <v>0</v>
      </c>
      <c r="V1725" s="43">
        <f>V1724+Учет!Q1725-Q1725</f>
        <v>-488978.92000000004</v>
      </c>
      <c r="W1725" s="43">
        <f>W1724+Учет!R1725-R1725</f>
        <v>336855</v>
      </c>
      <c r="X1725" s="43">
        <f>X1724+Учет!S1725-S1725</f>
        <v>500</v>
      </c>
      <c r="Y1725" s="43">
        <f>Y1724+Учет!T1725-T1725</f>
        <v>1150</v>
      </c>
      <c r="Z1725" s="43">
        <f>Z1724+Учет!U1725-U1725</f>
        <v>500000</v>
      </c>
      <c r="AA1725" s="45">
        <f>Учет!X1725</f>
        <v>500</v>
      </c>
    </row>
    <row r="1726" spans="1:27" ht="15" customHeight="1" x14ac:dyDescent="0.25">
      <c r="A1726" s="1"/>
      <c r="B1726" s="17"/>
      <c r="C1726" s="17"/>
      <c r="D1726" s="17"/>
      <c r="E1726" s="17"/>
      <c r="F1726" s="17"/>
      <c r="G1726" s="4">
        <f t="shared" si="75"/>
        <v>0</v>
      </c>
      <c r="H1726" s="17"/>
      <c r="I1726" s="4">
        <f t="shared" si="77"/>
        <v>349526.07999999996</v>
      </c>
      <c r="J1726" s="32" t="str">
        <f t="shared" si="76"/>
        <v/>
      </c>
      <c r="K1726" s="72"/>
      <c r="L1726" s="72"/>
      <c r="M1726" s="2"/>
      <c r="N1726" s="5"/>
      <c r="O1726" s="3"/>
      <c r="P1726" s="6"/>
      <c r="Q1726" s="48">
        <f>IF(Учет!$O1726=Справочники!$F$2,Учет!$H1726,0)</f>
        <v>0</v>
      </c>
      <c r="R1726" s="48">
        <f>IF(Учет!$O1726=Справочники!$F$3,Учет!$H1726,0)</f>
        <v>0</v>
      </c>
      <c r="S1726" s="48">
        <f>IF(Учет!$O1726=Справочники!$F$4,Учет!$H1726,0)</f>
        <v>0</v>
      </c>
      <c r="T1726" s="48">
        <f>IF(Учет!$O1726=Справочники!$F$5,Учет!$H1726,0)</f>
        <v>0</v>
      </c>
      <c r="U1726" s="48">
        <f>IF(Учет!$O1726=Справочники!$F$6,Учет!$H1726,0)</f>
        <v>0</v>
      </c>
      <c r="V1726" s="43">
        <f>V1725+Учет!Q1726-Q1726</f>
        <v>-488978.92000000004</v>
      </c>
      <c r="W1726" s="43">
        <f>W1725+Учет!R1726-R1726</f>
        <v>336855</v>
      </c>
      <c r="X1726" s="43">
        <f>X1725+Учет!S1726-S1726</f>
        <v>500</v>
      </c>
      <c r="Y1726" s="43">
        <f>Y1725+Учет!T1726-T1726</f>
        <v>1150</v>
      </c>
      <c r="Z1726" s="43">
        <f>Z1725+Учет!U1726-U1726</f>
        <v>500000</v>
      </c>
      <c r="AA1726" s="45">
        <f>Учет!X1726</f>
        <v>500</v>
      </c>
    </row>
    <row r="1727" spans="1:27" ht="15" customHeight="1" x14ac:dyDescent="0.25">
      <c r="A1727" s="1"/>
      <c r="B1727" s="17"/>
      <c r="C1727" s="17"/>
      <c r="D1727" s="17"/>
      <c r="E1727" s="17"/>
      <c r="F1727" s="17"/>
      <c r="G1727" s="4">
        <f t="shared" si="75"/>
        <v>0</v>
      </c>
      <c r="H1727" s="17"/>
      <c r="I1727" s="4">
        <f t="shared" si="77"/>
        <v>349526.07999999996</v>
      </c>
      <c r="J1727" s="32" t="str">
        <f t="shared" si="76"/>
        <v/>
      </c>
      <c r="K1727" s="72"/>
      <c r="L1727" s="72"/>
      <c r="M1727" s="2"/>
      <c r="N1727" s="5"/>
      <c r="O1727" s="3"/>
      <c r="P1727" s="6"/>
      <c r="Q1727" s="48">
        <f>IF(Учет!$O1727=Справочники!$F$2,Учет!$H1727,0)</f>
        <v>0</v>
      </c>
      <c r="R1727" s="48">
        <f>IF(Учет!$O1727=Справочники!$F$3,Учет!$H1727,0)</f>
        <v>0</v>
      </c>
      <c r="S1727" s="48">
        <f>IF(Учет!$O1727=Справочники!$F$4,Учет!$H1727,0)</f>
        <v>0</v>
      </c>
      <c r="T1727" s="48">
        <f>IF(Учет!$O1727=Справочники!$F$5,Учет!$H1727,0)</f>
        <v>0</v>
      </c>
      <c r="U1727" s="48">
        <f>IF(Учет!$O1727=Справочники!$F$6,Учет!$H1727,0)</f>
        <v>0</v>
      </c>
      <c r="V1727" s="43">
        <f>V1726+Учет!Q1727-Q1727</f>
        <v>-488978.92000000004</v>
      </c>
      <c r="W1727" s="43">
        <f>W1726+Учет!R1727-R1727</f>
        <v>336855</v>
      </c>
      <c r="X1727" s="43">
        <f>X1726+Учет!S1727-S1727</f>
        <v>500</v>
      </c>
      <c r="Y1727" s="43">
        <f>Y1726+Учет!T1727-T1727</f>
        <v>1150</v>
      </c>
      <c r="Z1727" s="43">
        <f>Z1726+Учет!U1727-U1727</f>
        <v>500000</v>
      </c>
      <c r="AA1727" s="45">
        <f>Учет!X1727</f>
        <v>500</v>
      </c>
    </row>
    <row r="1728" spans="1:27" ht="15" customHeight="1" x14ac:dyDescent="0.25">
      <c r="A1728" s="1"/>
      <c r="B1728" s="17"/>
      <c r="C1728" s="17"/>
      <c r="D1728" s="17"/>
      <c r="E1728" s="17"/>
      <c r="F1728" s="17"/>
      <c r="G1728" s="4">
        <f t="shared" si="75"/>
        <v>0</v>
      </c>
      <c r="H1728" s="17"/>
      <c r="I1728" s="4">
        <f t="shared" si="77"/>
        <v>349526.07999999996</v>
      </c>
      <c r="J1728" s="32" t="str">
        <f t="shared" si="76"/>
        <v/>
      </c>
      <c r="K1728" s="72"/>
      <c r="L1728" s="72"/>
      <c r="M1728" s="2"/>
      <c r="N1728" s="5"/>
      <c r="O1728" s="3"/>
      <c r="P1728" s="6"/>
      <c r="Q1728" s="48">
        <f>IF(Учет!$O1728=Справочники!$F$2,Учет!$H1728,0)</f>
        <v>0</v>
      </c>
      <c r="R1728" s="48">
        <f>IF(Учет!$O1728=Справочники!$F$3,Учет!$H1728,0)</f>
        <v>0</v>
      </c>
      <c r="S1728" s="48">
        <f>IF(Учет!$O1728=Справочники!$F$4,Учет!$H1728,0)</f>
        <v>0</v>
      </c>
      <c r="T1728" s="48">
        <f>IF(Учет!$O1728=Справочники!$F$5,Учет!$H1728,0)</f>
        <v>0</v>
      </c>
      <c r="U1728" s="48">
        <f>IF(Учет!$O1728=Справочники!$F$6,Учет!$H1728,0)</f>
        <v>0</v>
      </c>
      <c r="V1728" s="43">
        <f>V1727+Учет!Q1728-Q1728</f>
        <v>-488978.92000000004</v>
      </c>
      <c r="W1728" s="43">
        <f>W1727+Учет!R1728-R1728</f>
        <v>336855</v>
      </c>
      <c r="X1728" s="43">
        <f>X1727+Учет!S1728-S1728</f>
        <v>500</v>
      </c>
      <c r="Y1728" s="43">
        <f>Y1727+Учет!T1728-T1728</f>
        <v>1150</v>
      </c>
      <c r="Z1728" s="43">
        <f>Z1727+Учет!U1728-U1728</f>
        <v>500000</v>
      </c>
      <c r="AA1728" s="45">
        <f>Учет!X1728</f>
        <v>500</v>
      </c>
    </row>
    <row r="1729" spans="1:27" ht="15" customHeight="1" x14ac:dyDescent="0.25">
      <c r="A1729" s="1"/>
      <c r="B1729" s="17"/>
      <c r="C1729" s="17"/>
      <c r="D1729" s="17"/>
      <c r="E1729" s="17"/>
      <c r="F1729" s="17"/>
      <c r="G1729" s="4">
        <f t="shared" si="75"/>
        <v>0</v>
      </c>
      <c r="H1729" s="17"/>
      <c r="I1729" s="4">
        <f t="shared" si="77"/>
        <v>349526.07999999996</v>
      </c>
      <c r="J1729" s="32" t="str">
        <f t="shared" si="76"/>
        <v/>
      </c>
      <c r="K1729" s="72"/>
      <c r="L1729" s="72"/>
      <c r="M1729" s="2"/>
      <c r="N1729" s="5"/>
      <c r="O1729" s="3"/>
      <c r="P1729" s="6"/>
      <c r="Q1729" s="48">
        <f>IF(Учет!$O1729=Справочники!$F$2,Учет!$H1729,0)</f>
        <v>0</v>
      </c>
      <c r="R1729" s="48">
        <f>IF(Учет!$O1729=Справочники!$F$3,Учет!$H1729,0)</f>
        <v>0</v>
      </c>
      <c r="S1729" s="48">
        <f>IF(Учет!$O1729=Справочники!$F$4,Учет!$H1729,0)</f>
        <v>0</v>
      </c>
      <c r="T1729" s="48">
        <f>IF(Учет!$O1729=Справочники!$F$5,Учет!$H1729,0)</f>
        <v>0</v>
      </c>
      <c r="U1729" s="48">
        <f>IF(Учет!$O1729=Справочники!$F$6,Учет!$H1729,0)</f>
        <v>0</v>
      </c>
      <c r="V1729" s="43">
        <f>V1728+Учет!Q1729-Q1729</f>
        <v>-488978.92000000004</v>
      </c>
      <c r="W1729" s="43">
        <f>W1728+Учет!R1729-R1729</f>
        <v>336855</v>
      </c>
      <c r="X1729" s="43">
        <f>X1728+Учет!S1729-S1729</f>
        <v>500</v>
      </c>
      <c r="Y1729" s="43">
        <f>Y1728+Учет!T1729-T1729</f>
        <v>1150</v>
      </c>
      <c r="Z1729" s="43">
        <f>Z1728+Учет!U1729-U1729</f>
        <v>500000</v>
      </c>
      <c r="AA1729" s="45">
        <f>Учет!X1729</f>
        <v>500</v>
      </c>
    </row>
    <row r="1730" spans="1:27" ht="15" customHeight="1" x14ac:dyDescent="0.25">
      <c r="A1730" s="1"/>
      <c r="B1730" s="17"/>
      <c r="C1730" s="17"/>
      <c r="D1730" s="17"/>
      <c r="E1730" s="17"/>
      <c r="F1730" s="17"/>
      <c r="G1730" s="4">
        <f t="shared" ref="G1730:G1793" si="78">SUM($B1730:$F1730)</f>
        <v>0</v>
      </c>
      <c r="H1730" s="17"/>
      <c r="I1730" s="4">
        <f t="shared" si="77"/>
        <v>349526.07999999996</v>
      </c>
      <c r="J1730" s="32" t="str">
        <f t="shared" ref="J1730:J1793" si="79">IF($A1731&lt;&gt;$A1730,$I1730,"")</f>
        <v/>
      </c>
      <c r="K1730" s="72"/>
      <c r="L1730" s="72"/>
      <c r="M1730" s="2"/>
      <c r="N1730" s="5"/>
      <c r="O1730" s="3"/>
      <c r="P1730" s="6"/>
      <c r="Q1730" s="48">
        <f>IF(Учет!$O1730=Справочники!$F$2,Учет!$H1730,0)</f>
        <v>0</v>
      </c>
      <c r="R1730" s="48">
        <f>IF(Учет!$O1730=Справочники!$F$3,Учет!$H1730,0)</f>
        <v>0</v>
      </c>
      <c r="S1730" s="48">
        <f>IF(Учет!$O1730=Справочники!$F$4,Учет!$H1730,0)</f>
        <v>0</v>
      </c>
      <c r="T1730" s="48">
        <f>IF(Учет!$O1730=Справочники!$F$5,Учет!$H1730,0)</f>
        <v>0</v>
      </c>
      <c r="U1730" s="48">
        <f>IF(Учет!$O1730=Справочники!$F$6,Учет!$H1730,0)</f>
        <v>0</v>
      </c>
      <c r="V1730" s="43">
        <f>V1729+Учет!Q1730-Q1730</f>
        <v>-488978.92000000004</v>
      </c>
      <c r="W1730" s="43">
        <f>W1729+Учет!R1730-R1730</f>
        <v>336855</v>
      </c>
      <c r="X1730" s="43">
        <f>X1729+Учет!S1730-S1730</f>
        <v>500</v>
      </c>
      <c r="Y1730" s="43">
        <f>Y1729+Учет!T1730-T1730</f>
        <v>1150</v>
      </c>
      <c r="Z1730" s="43">
        <f>Z1729+Учет!U1730-U1730</f>
        <v>500000</v>
      </c>
      <c r="AA1730" s="45">
        <f>Учет!X1730</f>
        <v>500</v>
      </c>
    </row>
    <row r="1731" spans="1:27" ht="15" customHeight="1" x14ac:dyDescent="0.25">
      <c r="A1731" s="1"/>
      <c r="B1731" s="17"/>
      <c r="C1731" s="17"/>
      <c r="D1731" s="17"/>
      <c r="E1731" s="17"/>
      <c r="F1731" s="17"/>
      <c r="G1731" s="4">
        <f t="shared" si="78"/>
        <v>0</v>
      </c>
      <c r="H1731" s="17"/>
      <c r="I1731" s="4">
        <f t="shared" ref="I1731:I1794" si="80">$I1730+$G1731-$H1731</f>
        <v>349526.07999999996</v>
      </c>
      <c r="J1731" s="32" t="str">
        <f t="shared" si="79"/>
        <v/>
      </c>
      <c r="K1731" s="72"/>
      <c r="L1731" s="72"/>
      <c r="M1731" s="2"/>
      <c r="N1731" s="5"/>
      <c r="O1731" s="3"/>
      <c r="P1731" s="6"/>
      <c r="Q1731" s="48">
        <f>IF(Учет!$O1731=Справочники!$F$2,Учет!$H1731,0)</f>
        <v>0</v>
      </c>
      <c r="R1731" s="48">
        <f>IF(Учет!$O1731=Справочники!$F$3,Учет!$H1731,0)</f>
        <v>0</v>
      </c>
      <c r="S1731" s="48">
        <f>IF(Учет!$O1731=Справочники!$F$4,Учет!$H1731,0)</f>
        <v>0</v>
      </c>
      <c r="T1731" s="48">
        <f>IF(Учет!$O1731=Справочники!$F$5,Учет!$H1731,0)</f>
        <v>0</v>
      </c>
      <c r="U1731" s="48">
        <f>IF(Учет!$O1731=Справочники!$F$6,Учет!$H1731,0)</f>
        <v>0</v>
      </c>
      <c r="V1731" s="43">
        <f>V1730+Учет!Q1731-Q1731</f>
        <v>-488978.92000000004</v>
      </c>
      <c r="W1731" s="43">
        <f>W1730+Учет!R1731-R1731</f>
        <v>336855</v>
      </c>
      <c r="X1731" s="43">
        <f>X1730+Учет!S1731-S1731</f>
        <v>500</v>
      </c>
      <c r="Y1731" s="43">
        <f>Y1730+Учет!T1731-T1731</f>
        <v>1150</v>
      </c>
      <c r="Z1731" s="43">
        <f>Z1730+Учет!U1731-U1731</f>
        <v>500000</v>
      </c>
      <c r="AA1731" s="45">
        <f>Учет!X1731</f>
        <v>500</v>
      </c>
    </row>
    <row r="1732" spans="1:27" ht="15" customHeight="1" x14ac:dyDescent="0.25">
      <c r="A1732" s="1"/>
      <c r="B1732" s="17"/>
      <c r="C1732" s="17"/>
      <c r="D1732" s="17"/>
      <c r="E1732" s="17"/>
      <c r="F1732" s="17"/>
      <c r="G1732" s="4">
        <f t="shared" si="78"/>
        <v>0</v>
      </c>
      <c r="H1732" s="17"/>
      <c r="I1732" s="4">
        <f t="shared" si="80"/>
        <v>349526.07999999996</v>
      </c>
      <c r="J1732" s="32" t="str">
        <f t="shared" si="79"/>
        <v/>
      </c>
      <c r="K1732" s="72"/>
      <c r="L1732" s="72"/>
      <c r="M1732" s="2"/>
      <c r="N1732" s="5"/>
      <c r="O1732" s="3"/>
      <c r="P1732" s="6"/>
      <c r="Q1732" s="48">
        <f>IF(Учет!$O1732=Справочники!$F$2,Учет!$H1732,0)</f>
        <v>0</v>
      </c>
      <c r="R1732" s="48">
        <f>IF(Учет!$O1732=Справочники!$F$3,Учет!$H1732,0)</f>
        <v>0</v>
      </c>
      <c r="S1732" s="48">
        <f>IF(Учет!$O1732=Справочники!$F$4,Учет!$H1732,0)</f>
        <v>0</v>
      </c>
      <c r="T1732" s="48">
        <f>IF(Учет!$O1732=Справочники!$F$5,Учет!$H1732,0)</f>
        <v>0</v>
      </c>
      <c r="U1732" s="48">
        <f>IF(Учет!$O1732=Справочники!$F$6,Учет!$H1732,0)</f>
        <v>0</v>
      </c>
      <c r="V1732" s="43">
        <f>V1731+Учет!Q1732-Q1732</f>
        <v>-488978.92000000004</v>
      </c>
      <c r="W1732" s="43">
        <f>W1731+Учет!R1732-R1732</f>
        <v>336855</v>
      </c>
      <c r="X1732" s="43">
        <f>X1731+Учет!S1732-S1732</f>
        <v>500</v>
      </c>
      <c r="Y1732" s="43">
        <f>Y1731+Учет!T1732-T1732</f>
        <v>1150</v>
      </c>
      <c r="Z1732" s="43">
        <f>Z1731+Учет!U1732-U1732</f>
        <v>500000</v>
      </c>
      <c r="AA1732" s="45">
        <f>Учет!X1732</f>
        <v>500</v>
      </c>
    </row>
    <row r="1733" spans="1:27" ht="15" customHeight="1" x14ac:dyDescent="0.25">
      <c r="A1733" s="1"/>
      <c r="B1733" s="17"/>
      <c r="C1733" s="17"/>
      <c r="D1733" s="17"/>
      <c r="E1733" s="17"/>
      <c r="F1733" s="17"/>
      <c r="G1733" s="4">
        <f t="shared" si="78"/>
        <v>0</v>
      </c>
      <c r="H1733" s="17"/>
      <c r="I1733" s="4">
        <f t="shared" si="80"/>
        <v>349526.07999999996</v>
      </c>
      <c r="J1733" s="32" t="str">
        <f t="shared" si="79"/>
        <v/>
      </c>
      <c r="K1733" s="72"/>
      <c r="L1733" s="72"/>
      <c r="M1733" s="2"/>
      <c r="N1733" s="5"/>
      <c r="O1733" s="3"/>
      <c r="P1733" s="6"/>
      <c r="Q1733" s="48">
        <f>IF(Учет!$O1733=Справочники!$F$2,Учет!$H1733,0)</f>
        <v>0</v>
      </c>
      <c r="R1733" s="48">
        <f>IF(Учет!$O1733=Справочники!$F$3,Учет!$H1733,0)</f>
        <v>0</v>
      </c>
      <c r="S1733" s="48">
        <f>IF(Учет!$O1733=Справочники!$F$4,Учет!$H1733,0)</f>
        <v>0</v>
      </c>
      <c r="T1733" s="48">
        <f>IF(Учет!$O1733=Справочники!$F$5,Учет!$H1733,0)</f>
        <v>0</v>
      </c>
      <c r="U1733" s="48">
        <f>IF(Учет!$O1733=Справочники!$F$6,Учет!$H1733,0)</f>
        <v>0</v>
      </c>
      <c r="V1733" s="43">
        <f>V1732+Учет!Q1733-Q1733</f>
        <v>-488978.92000000004</v>
      </c>
      <c r="W1733" s="43">
        <f>W1732+Учет!R1733-R1733</f>
        <v>336855</v>
      </c>
      <c r="X1733" s="43">
        <f>X1732+Учет!S1733-S1733</f>
        <v>500</v>
      </c>
      <c r="Y1733" s="43">
        <f>Y1732+Учет!T1733-T1733</f>
        <v>1150</v>
      </c>
      <c r="Z1733" s="43">
        <f>Z1732+Учет!U1733-U1733</f>
        <v>500000</v>
      </c>
      <c r="AA1733" s="45">
        <f>Учет!X1733</f>
        <v>500</v>
      </c>
    </row>
    <row r="1734" spans="1:27" ht="15" customHeight="1" x14ac:dyDescent="0.25">
      <c r="A1734" s="1"/>
      <c r="B1734" s="17"/>
      <c r="C1734" s="17"/>
      <c r="D1734" s="17"/>
      <c r="E1734" s="17"/>
      <c r="F1734" s="17"/>
      <c r="G1734" s="4">
        <f t="shared" si="78"/>
        <v>0</v>
      </c>
      <c r="H1734" s="17"/>
      <c r="I1734" s="4">
        <f t="shared" si="80"/>
        <v>349526.07999999996</v>
      </c>
      <c r="J1734" s="32" t="str">
        <f t="shared" si="79"/>
        <v/>
      </c>
      <c r="K1734" s="72"/>
      <c r="L1734" s="72"/>
      <c r="M1734" s="2"/>
      <c r="N1734" s="5"/>
      <c r="O1734" s="3"/>
      <c r="P1734" s="6"/>
      <c r="Q1734" s="48">
        <f>IF(Учет!$O1734=Справочники!$F$2,Учет!$H1734,0)</f>
        <v>0</v>
      </c>
      <c r="R1734" s="48">
        <f>IF(Учет!$O1734=Справочники!$F$3,Учет!$H1734,0)</f>
        <v>0</v>
      </c>
      <c r="S1734" s="48">
        <f>IF(Учет!$O1734=Справочники!$F$4,Учет!$H1734,0)</f>
        <v>0</v>
      </c>
      <c r="T1734" s="48">
        <f>IF(Учет!$O1734=Справочники!$F$5,Учет!$H1734,0)</f>
        <v>0</v>
      </c>
      <c r="U1734" s="48">
        <f>IF(Учет!$O1734=Справочники!$F$6,Учет!$H1734,0)</f>
        <v>0</v>
      </c>
      <c r="V1734" s="43">
        <f>V1733+Учет!Q1734-Q1734</f>
        <v>-488978.92000000004</v>
      </c>
      <c r="W1734" s="43">
        <f>W1733+Учет!R1734-R1734</f>
        <v>336855</v>
      </c>
      <c r="X1734" s="43">
        <f>X1733+Учет!S1734-S1734</f>
        <v>500</v>
      </c>
      <c r="Y1734" s="43">
        <f>Y1733+Учет!T1734-T1734</f>
        <v>1150</v>
      </c>
      <c r="Z1734" s="43">
        <f>Z1733+Учет!U1734-U1734</f>
        <v>500000</v>
      </c>
      <c r="AA1734" s="45">
        <f>Учет!X1734</f>
        <v>500</v>
      </c>
    </row>
    <row r="1735" spans="1:27" ht="15" customHeight="1" x14ac:dyDescent="0.25">
      <c r="A1735" s="1"/>
      <c r="B1735" s="17"/>
      <c r="C1735" s="17"/>
      <c r="D1735" s="17"/>
      <c r="E1735" s="17"/>
      <c r="F1735" s="17"/>
      <c r="G1735" s="4">
        <f t="shared" si="78"/>
        <v>0</v>
      </c>
      <c r="H1735" s="17"/>
      <c r="I1735" s="4">
        <f t="shared" si="80"/>
        <v>349526.07999999996</v>
      </c>
      <c r="J1735" s="32" t="str">
        <f t="shared" si="79"/>
        <v/>
      </c>
      <c r="K1735" s="72"/>
      <c r="L1735" s="72"/>
      <c r="M1735" s="2"/>
      <c r="N1735" s="5"/>
      <c r="O1735" s="3"/>
      <c r="P1735" s="6"/>
      <c r="Q1735" s="48">
        <f>IF(Учет!$O1735=Справочники!$F$2,Учет!$H1735,0)</f>
        <v>0</v>
      </c>
      <c r="R1735" s="48">
        <f>IF(Учет!$O1735=Справочники!$F$3,Учет!$H1735,0)</f>
        <v>0</v>
      </c>
      <c r="S1735" s="48">
        <f>IF(Учет!$O1735=Справочники!$F$4,Учет!$H1735,0)</f>
        <v>0</v>
      </c>
      <c r="T1735" s="48">
        <f>IF(Учет!$O1735=Справочники!$F$5,Учет!$H1735,0)</f>
        <v>0</v>
      </c>
      <c r="U1735" s="48">
        <f>IF(Учет!$O1735=Справочники!$F$6,Учет!$H1735,0)</f>
        <v>0</v>
      </c>
      <c r="V1735" s="43">
        <f>V1734+Учет!Q1735-Q1735</f>
        <v>-488978.92000000004</v>
      </c>
      <c r="W1735" s="43">
        <f>W1734+Учет!R1735-R1735</f>
        <v>336855</v>
      </c>
      <c r="X1735" s="43">
        <f>X1734+Учет!S1735-S1735</f>
        <v>500</v>
      </c>
      <c r="Y1735" s="43">
        <f>Y1734+Учет!T1735-T1735</f>
        <v>1150</v>
      </c>
      <c r="Z1735" s="43">
        <f>Z1734+Учет!U1735-U1735</f>
        <v>500000</v>
      </c>
      <c r="AA1735" s="45">
        <f>Учет!X1735</f>
        <v>500</v>
      </c>
    </row>
    <row r="1736" spans="1:27" ht="15" customHeight="1" x14ac:dyDescent="0.25">
      <c r="A1736" s="1"/>
      <c r="B1736" s="17"/>
      <c r="C1736" s="17"/>
      <c r="D1736" s="17"/>
      <c r="E1736" s="17"/>
      <c r="F1736" s="17"/>
      <c r="G1736" s="4">
        <f t="shared" si="78"/>
        <v>0</v>
      </c>
      <c r="H1736" s="17"/>
      <c r="I1736" s="4">
        <f t="shared" si="80"/>
        <v>349526.07999999996</v>
      </c>
      <c r="J1736" s="32" t="str">
        <f t="shared" si="79"/>
        <v/>
      </c>
      <c r="K1736" s="72"/>
      <c r="L1736" s="72"/>
      <c r="M1736" s="2"/>
      <c r="N1736" s="5"/>
      <c r="O1736" s="3"/>
      <c r="P1736" s="6"/>
      <c r="Q1736" s="48">
        <f>IF(Учет!$O1736=Справочники!$F$2,Учет!$H1736,0)</f>
        <v>0</v>
      </c>
      <c r="R1736" s="48">
        <f>IF(Учет!$O1736=Справочники!$F$3,Учет!$H1736,0)</f>
        <v>0</v>
      </c>
      <c r="S1736" s="48">
        <f>IF(Учет!$O1736=Справочники!$F$4,Учет!$H1736,0)</f>
        <v>0</v>
      </c>
      <c r="T1736" s="48">
        <f>IF(Учет!$O1736=Справочники!$F$5,Учет!$H1736,0)</f>
        <v>0</v>
      </c>
      <c r="U1736" s="48">
        <f>IF(Учет!$O1736=Справочники!$F$6,Учет!$H1736,0)</f>
        <v>0</v>
      </c>
      <c r="V1736" s="43">
        <f>V1735+Учет!Q1736-Q1736</f>
        <v>-488978.92000000004</v>
      </c>
      <c r="W1736" s="43">
        <f>W1735+Учет!R1736-R1736</f>
        <v>336855</v>
      </c>
      <c r="X1736" s="43">
        <f>X1735+Учет!S1736-S1736</f>
        <v>500</v>
      </c>
      <c r="Y1736" s="43">
        <f>Y1735+Учет!T1736-T1736</f>
        <v>1150</v>
      </c>
      <c r="Z1736" s="43">
        <f>Z1735+Учет!U1736-U1736</f>
        <v>500000</v>
      </c>
      <c r="AA1736" s="45">
        <f>Учет!X1736</f>
        <v>500</v>
      </c>
    </row>
    <row r="1737" spans="1:27" ht="15" customHeight="1" x14ac:dyDescent="0.25">
      <c r="A1737" s="1"/>
      <c r="B1737" s="17"/>
      <c r="C1737" s="17"/>
      <c r="D1737" s="17"/>
      <c r="E1737" s="17"/>
      <c r="F1737" s="17"/>
      <c r="G1737" s="4">
        <f t="shared" si="78"/>
        <v>0</v>
      </c>
      <c r="H1737" s="17"/>
      <c r="I1737" s="4">
        <f t="shared" si="80"/>
        <v>349526.07999999996</v>
      </c>
      <c r="J1737" s="32" t="str">
        <f t="shared" si="79"/>
        <v/>
      </c>
      <c r="K1737" s="72"/>
      <c r="L1737" s="72"/>
      <c r="M1737" s="2"/>
      <c r="N1737" s="5"/>
      <c r="O1737" s="3"/>
      <c r="P1737" s="6"/>
      <c r="Q1737" s="48">
        <f>IF(Учет!$O1737=Справочники!$F$2,Учет!$H1737,0)</f>
        <v>0</v>
      </c>
      <c r="R1737" s="48">
        <f>IF(Учет!$O1737=Справочники!$F$3,Учет!$H1737,0)</f>
        <v>0</v>
      </c>
      <c r="S1737" s="48">
        <f>IF(Учет!$O1737=Справочники!$F$4,Учет!$H1737,0)</f>
        <v>0</v>
      </c>
      <c r="T1737" s="48">
        <f>IF(Учет!$O1737=Справочники!$F$5,Учет!$H1737,0)</f>
        <v>0</v>
      </c>
      <c r="U1737" s="48">
        <f>IF(Учет!$O1737=Справочники!$F$6,Учет!$H1737,0)</f>
        <v>0</v>
      </c>
      <c r="V1737" s="43">
        <f>V1736+Учет!Q1737-Q1737</f>
        <v>-488978.92000000004</v>
      </c>
      <c r="W1737" s="43">
        <f>W1736+Учет!R1737-R1737</f>
        <v>336855</v>
      </c>
      <c r="X1737" s="43">
        <f>X1736+Учет!S1737-S1737</f>
        <v>500</v>
      </c>
      <c r="Y1737" s="43">
        <f>Y1736+Учет!T1737-T1737</f>
        <v>1150</v>
      </c>
      <c r="Z1737" s="43">
        <f>Z1736+Учет!U1737-U1737</f>
        <v>500000</v>
      </c>
      <c r="AA1737" s="45">
        <f>Учет!X1737</f>
        <v>500</v>
      </c>
    </row>
    <row r="1738" spans="1:27" ht="15" customHeight="1" x14ac:dyDescent="0.25">
      <c r="A1738" s="1"/>
      <c r="B1738" s="17"/>
      <c r="C1738" s="17"/>
      <c r="D1738" s="17"/>
      <c r="E1738" s="17"/>
      <c r="F1738" s="17"/>
      <c r="G1738" s="4">
        <f t="shared" si="78"/>
        <v>0</v>
      </c>
      <c r="H1738" s="17"/>
      <c r="I1738" s="4">
        <f t="shared" si="80"/>
        <v>349526.07999999996</v>
      </c>
      <c r="J1738" s="32" t="str">
        <f t="shared" si="79"/>
        <v/>
      </c>
      <c r="K1738" s="72"/>
      <c r="L1738" s="72"/>
      <c r="M1738" s="2"/>
      <c r="N1738" s="5"/>
      <c r="O1738" s="3"/>
      <c r="P1738" s="6"/>
      <c r="Q1738" s="48">
        <f>IF(Учет!$O1738=Справочники!$F$2,Учет!$H1738,0)</f>
        <v>0</v>
      </c>
      <c r="R1738" s="48">
        <f>IF(Учет!$O1738=Справочники!$F$3,Учет!$H1738,0)</f>
        <v>0</v>
      </c>
      <c r="S1738" s="48">
        <f>IF(Учет!$O1738=Справочники!$F$4,Учет!$H1738,0)</f>
        <v>0</v>
      </c>
      <c r="T1738" s="48">
        <f>IF(Учет!$O1738=Справочники!$F$5,Учет!$H1738,0)</f>
        <v>0</v>
      </c>
      <c r="U1738" s="48">
        <f>IF(Учет!$O1738=Справочники!$F$6,Учет!$H1738,0)</f>
        <v>0</v>
      </c>
      <c r="V1738" s="43">
        <f>V1737+Учет!Q1738-Q1738</f>
        <v>-488978.92000000004</v>
      </c>
      <c r="W1738" s="43">
        <f>W1737+Учет!R1738-R1738</f>
        <v>336855</v>
      </c>
      <c r="X1738" s="43">
        <f>X1737+Учет!S1738-S1738</f>
        <v>500</v>
      </c>
      <c r="Y1738" s="43">
        <f>Y1737+Учет!T1738-T1738</f>
        <v>1150</v>
      </c>
      <c r="Z1738" s="43">
        <f>Z1737+Учет!U1738-U1738</f>
        <v>500000</v>
      </c>
      <c r="AA1738" s="45">
        <f>Учет!X1738</f>
        <v>500</v>
      </c>
    </row>
    <row r="1739" spans="1:27" ht="15" customHeight="1" x14ac:dyDescent="0.25">
      <c r="A1739" s="1"/>
      <c r="B1739" s="17"/>
      <c r="C1739" s="17"/>
      <c r="D1739" s="17"/>
      <c r="E1739" s="17"/>
      <c r="F1739" s="17"/>
      <c r="G1739" s="4">
        <f t="shared" si="78"/>
        <v>0</v>
      </c>
      <c r="H1739" s="17"/>
      <c r="I1739" s="4">
        <f t="shared" si="80"/>
        <v>349526.07999999996</v>
      </c>
      <c r="J1739" s="32" t="str">
        <f t="shared" si="79"/>
        <v/>
      </c>
      <c r="K1739" s="72"/>
      <c r="L1739" s="72"/>
      <c r="M1739" s="2"/>
      <c r="N1739" s="5"/>
      <c r="O1739" s="3"/>
      <c r="P1739" s="6"/>
      <c r="Q1739" s="48">
        <f>IF(Учет!$O1739=Справочники!$F$2,Учет!$H1739,0)</f>
        <v>0</v>
      </c>
      <c r="R1739" s="48">
        <f>IF(Учет!$O1739=Справочники!$F$3,Учет!$H1739,0)</f>
        <v>0</v>
      </c>
      <c r="S1739" s="48">
        <f>IF(Учет!$O1739=Справочники!$F$4,Учет!$H1739,0)</f>
        <v>0</v>
      </c>
      <c r="T1739" s="48">
        <f>IF(Учет!$O1739=Справочники!$F$5,Учет!$H1739,0)</f>
        <v>0</v>
      </c>
      <c r="U1739" s="48">
        <f>IF(Учет!$O1739=Справочники!$F$6,Учет!$H1739,0)</f>
        <v>0</v>
      </c>
      <c r="V1739" s="43">
        <f>V1738+Учет!Q1739-Q1739</f>
        <v>-488978.92000000004</v>
      </c>
      <c r="W1739" s="43">
        <f>W1738+Учет!R1739-R1739</f>
        <v>336855</v>
      </c>
      <c r="X1739" s="43">
        <f>X1738+Учет!S1739-S1739</f>
        <v>500</v>
      </c>
      <c r="Y1739" s="43">
        <f>Y1738+Учет!T1739-T1739</f>
        <v>1150</v>
      </c>
      <c r="Z1739" s="43">
        <f>Z1738+Учет!U1739-U1739</f>
        <v>500000</v>
      </c>
      <c r="AA1739" s="45">
        <f>Учет!X1739</f>
        <v>500</v>
      </c>
    </row>
    <row r="1740" spans="1:27" ht="15" customHeight="1" x14ac:dyDescent="0.25">
      <c r="A1740" s="1"/>
      <c r="B1740" s="17"/>
      <c r="C1740" s="17"/>
      <c r="D1740" s="17"/>
      <c r="E1740" s="17"/>
      <c r="F1740" s="17"/>
      <c r="G1740" s="4">
        <f t="shared" si="78"/>
        <v>0</v>
      </c>
      <c r="H1740" s="17"/>
      <c r="I1740" s="4">
        <f t="shared" si="80"/>
        <v>349526.07999999996</v>
      </c>
      <c r="J1740" s="32" t="str">
        <f t="shared" si="79"/>
        <v/>
      </c>
      <c r="K1740" s="72"/>
      <c r="L1740" s="72"/>
      <c r="M1740" s="2"/>
      <c r="N1740" s="5"/>
      <c r="O1740" s="3"/>
      <c r="P1740" s="6"/>
      <c r="Q1740" s="48">
        <f>IF(Учет!$O1740=Справочники!$F$2,Учет!$H1740,0)</f>
        <v>0</v>
      </c>
      <c r="R1740" s="48">
        <f>IF(Учет!$O1740=Справочники!$F$3,Учет!$H1740,0)</f>
        <v>0</v>
      </c>
      <c r="S1740" s="48">
        <f>IF(Учет!$O1740=Справочники!$F$4,Учет!$H1740,0)</f>
        <v>0</v>
      </c>
      <c r="T1740" s="48">
        <f>IF(Учет!$O1740=Справочники!$F$5,Учет!$H1740,0)</f>
        <v>0</v>
      </c>
      <c r="U1740" s="48">
        <f>IF(Учет!$O1740=Справочники!$F$6,Учет!$H1740,0)</f>
        <v>0</v>
      </c>
      <c r="V1740" s="43">
        <f>V1739+Учет!Q1740-Q1740</f>
        <v>-488978.92000000004</v>
      </c>
      <c r="W1740" s="43">
        <f>W1739+Учет!R1740-R1740</f>
        <v>336855</v>
      </c>
      <c r="X1740" s="43">
        <f>X1739+Учет!S1740-S1740</f>
        <v>500</v>
      </c>
      <c r="Y1740" s="43">
        <f>Y1739+Учет!T1740-T1740</f>
        <v>1150</v>
      </c>
      <c r="Z1740" s="43">
        <f>Z1739+Учет!U1740-U1740</f>
        <v>500000</v>
      </c>
      <c r="AA1740" s="45">
        <f>Учет!X1740</f>
        <v>500</v>
      </c>
    </row>
    <row r="1741" spans="1:27" ht="15" customHeight="1" x14ac:dyDescent="0.25">
      <c r="A1741" s="1"/>
      <c r="B1741" s="17"/>
      <c r="C1741" s="17"/>
      <c r="D1741" s="17"/>
      <c r="E1741" s="17"/>
      <c r="F1741" s="17"/>
      <c r="G1741" s="4">
        <f t="shared" si="78"/>
        <v>0</v>
      </c>
      <c r="H1741" s="17"/>
      <c r="I1741" s="4">
        <f t="shared" si="80"/>
        <v>349526.07999999996</v>
      </c>
      <c r="J1741" s="32" t="str">
        <f t="shared" si="79"/>
        <v/>
      </c>
      <c r="K1741" s="72"/>
      <c r="L1741" s="72"/>
      <c r="M1741" s="2"/>
      <c r="N1741" s="5"/>
      <c r="O1741" s="3"/>
      <c r="P1741" s="6"/>
      <c r="Q1741" s="48">
        <f>IF(Учет!$O1741=Справочники!$F$2,Учет!$H1741,0)</f>
        <v>0</v>
      </c>
      <c r="R1741" s="48">
        <f>IF(Учет!$O1741=Справочники!$F$3,Учет!$H1741,0)</f>
        <v>0</v>
      </c>
      <c r="S1741" s="48">
        <f>IF(Учет!$O1741=Справочники!$F$4,Учет!$H1741,0)</f>
        <v>0</v>
      </c>
      <c r="T1741" s="48">
        <f>IF(Учет!$O1741=Справочники!$F$5,Учет!$H1741,0)</f>
        <v>0</v>
      </c>
      <c r="U1741" s="48">
        <f>IF(Учет!$O1741=Справочники!$F$6,Учет!$H1741,0)</f>
        <v>0</v>
      </c>
      <c r="V1741" s="43">
        <f>V1740+Учет!Q1741-Q1741</f>
        <v>-488978.92000000004</v>
      </c>
      <c r="W1741" s="43">
        <f>W1740+Учет!R1741-R1741</f>
        <v>336855</v>
      </c>
      <c r="X1741" s="43">
        <f>X1740+Учет!S1741-S1741</f>
        <v>500</v>
      </c>
      <c r="Y1741" s="43">
        <f>Y1740+Учет!T1741-T1741</f>
        <v>1150</v>
      </c>
      <c r="Z1741" s="43">
        <f>Z1740+Учет!U1741-U1741</f>
        <v>500000</v>
      </c>
      <c r="AA1741" s="45">
        <f>Учет!X1741</f>
        <v>500</v>
      </c>
    </row>
    <row r="1742" spans="1:27" ht="15" customHeight="1" x14ac:dyDescent="0.25">
      <c r="A1742" s="1"/>
      <c r="B1742" s="17"/>
      <c r="C1742" s="17"/>
      <c r="D1742" s="17"/>
      <c r="E1742" s="17"/>
      <c r="F1742" s="17"/>
      <c r="G1742" s="4">
        <f t="shared" si="78"/>
        <v>0</v>
      </c>
      <c r="H1742" s="17"/>
      <c r="I1742" s="4">
        <f t="shared" si="80"/>
        <v>349526.07999999996</v>
      </c>
      <c r="J1742" s="32" t="str">
        <f t="shared" si="79"/>
        <v/>
      </c>
      <c r="K1742" s="72"/>
      <c r="L1742" s="72"/>
      <c r="M1742" s="2"/>
      <c r="N1742" s="5"/>
      <c r="O1742" s="3"/>
      <c r="P1742" s="6"/>
      <c r="Q1742" s="48">
        <f>IF(Учет!$O1742=Справочники!$F$2,Учет!$H1742,0)</f>
        <v>0</v>
      </c>
      <c r="R1742" s="48">
        <f>IF(Учет!$O1742=Справочники!$F$3,Учет!$H1742,0)</f>
        <v>0</v>
      </c>
      <c r="S1742" s="48">
        <f>IF(Учет!$O1742=Справочники!$F$4,Учет!$H1742,0)</f>
        <v>0</v>
      </c>
      <c r="T1742" s="48">
        <f>IF(Учет!$O1742=Справочники!$F$5,Учет!$H1742,0)</f>
        <v>0</v>
      </c>
      <c r="U1742" s="48">
        <f>IF(Учет!$O1742=Справочники!$F$6,Учет!$H1742,0)</f>
        <v>0</v>
      </c>
      <c r="V1742" s="43">
        <f>V1741+Учет!Q1742-Q1742</f>
        <v>-488978.92000000004</v>
      </c>
      <c r="W1742" s="43">
        <f>W1741+Учет!R1742-R1742</f>
        <v>336855</v>
      </c>
      <c r="X1742" s="43">
        <f>X1741+Учет!S1742-S1742</f>
        <v>500</v>
      </c>
      <c r="Y1742" s="43">
        <f>Y1741+Учет!T1742-T1742</f>
        <v>1150</v>
      </c>
      <c r="Z1742" s="43">
        <f>Z1741+Учет!U1742-U1742</f>
        <v>500000</v>
      </c>
      <c r="AA1742" s="45">
        <f>Учет!X1742</f>
        <v>500</v>
      </c>
    </row>
    <row r="1743" spans="1:27" ht="15" customHeight="1" x14ac:dyDescent="0.25">
      <c r="A1743" s="1"/>
      <c r="B1743" s="17"/>
      <c r="C1743" s="17"/>
      <c r="D1743" s="17"/>
      <c r="E1743" s="17"/>
      <c r="F1743" s="17"/>
      <c r="G1743" s="4">
        <f t="shared" si="78"/>
        <v>0</v>
      </c>
      <c r="H1743" s="17"/>
      <c r="I1743" s="4">
        <f t="shared" si="80"/>
        <v>349526.07999999996</v>
      </c>
      <c r="J1743" s="32" t="str">
        <f t="shared" si="79"/>
        <v/>
      </c>
      <c r="K1743" s="72"/>
      <c r="L1743" s="72"/>
      <c r="M1743" s="2"/>
      <c r="N1743" s="5"/>
      <c r="O1743" s="3"/>
      <c r="P1743" s="6"/>
      <c r="Q1743" s="48">
        <f>IF(Учет!$O1743=Справочники!$F$2,Учет!$H1743,0)</f>
        <v>0</v>
      </c>
      <c r="R1743" s="48">
        <f>IF(Учет!$O1743=Справочники!$F$3,Учет!$H1743,0)</f>
        <v>0</v>
      </c>
      <c r="S1743" s="48">
        <f>IF(Учет!$O1743=Справочники!$F$4,Учет!$H1743,0)</f>
        <v>0</v>
      </c>
      <c r="T1743" s="48">
        <f>IF(Учет!$O1743=Справочники!$F$5,Учет!$H1743,0)</f>
        <v>0</v>
      </c>
      <c r="U1743" s="48">
        <f>IF(Учет!$O1743=Справочники!$F$6,Учет!$H1743,0)</f>
        <v>0</v>
      </c>
      <c r="V1743" s="43">
        <f>V1742+Учет!Q1743-Q1743</f>
        <v>-488978.92000000004</v>
      </c>
      <c r="W1743" s="43">
        <f>W1742+Учет!R1743-R1743</f>
        <v>336855</v>
      </c>
      <c r="X1743" s="43">
        <f>X1742+Учет!S1743-S1743</f>
        <v>500</v>
      </c>
      <c r="Y1743" s="43">
        <f>Y1742+Учет!T1743-T1743</f>
        <v>1150</v>
      </c>
      <c r="Z1743" s="43">
        <f>Z1742+Учет!U1743-U1743</f>
        <v>500000</v>
      </c>
      <c r="AA1743" s="45">
        <f>Учет!X1743</f>
        <v>500</v>
      </c>
    </row>
    <row r="1744" spans="1:27" ht="15" customHeight="1" x14ac:dyDescent="0.25">
      <c r="A1744" s="1"/>
      <c r="B1744" s="17"/>
      <c r="C1744" s="17"/>
      <c r="D1744" s="17"/>
      <c r="E1744" s="17"/>
      <c r="F1744" s="17"/>
      <c r="G1744" s="4">
        <f t="shared" si="78"/>
        <v>0</v>
      </c>
      <c r="H1744" s="17"/>
      <c r="I1744" s="4">
        <f t="shared" si="80"/>
        <v>349526.07999999996</v>
      </c>
      <c r="J1744" s="32" t="str">
        <f t="shared" si="79"/>
        <v/>
      </c>
      <c r="K1744" s="72"/>
      <c r="L1744" s="72"/>
      <c r="M1744" s="2"/>
      <c r="N1744" s="5"/>
      <c r="O1744" s="3"/>
      <c r="P1744" s="6"/>
      <c r="Q1744" s="48">
        <f>IF(Учет!$O1744=Справочники!$F$2,Учет!$H1744,0)</f>
        <v>0</v>
      </c>
      <c r="R1744" s="48">
        <f>IF(Учет!$O1744=Справочники!$F$3,Учет!$H1744,0)</f>
        <v>0</v>
      </c>
      <c r="S1744" s="48">
        <f>IF(Учет!$O1744=Справочники!$F$4,Учет!$H1744,0)</f>
        <v>0</v>
      </c>
      <c r="T1744" s="48">
        <f>IF(Учет!$O1744=Справочники!$F$5,Учет!$H1744,0)</f>
        <v>0</v>
      </c>
      <c r="U1744" s="48">
        <f>IF(Учет!$O1744=Справочники!$F$6,Учет!$H1744,0)</f>
        <v>0</v>
      </c>
      <c r="V1744" s="43">
        <f>V1743+Учет!Q1744-Q1744</f>
        <v>-488978.92000000004</v>
      </c>
      <c r="W1744" s="43">
        <f>W1743+Учет!R1744-R1744</f>
        <v>336855</v>
      </c>
      <c r="X1744" s="43">
        <f>X1743+Учет!S1744-S1744</f>
        <v>500</v>
      </c>
      <c r="Y1744" s="43">
        <f>Y1743+Учет!T1744-T1744</f>
        <v>1150</v>
      </c>
      <c r="Z1744" s="43">
        <f>Z1743+Учет!U1744-U1744</f>
        <v>500000</v>
      </c>
      <c r="AA1744" s="45">
        <f>Учет!X1744</f>
        <v>500</v>
      </c>
    </row>
    <row r="1745" spans="1:27" ht="15" customHeight="1" x14ac:dyDescent="0.25">
      <c r="A1745" s="1"/>
      <c r="B1745" s="17"/>
      <c r="C1745" s="17"/>
      <c r="D1745" s="17"/>
      <c r="E1745" s="17"/>
      <c r="F1745" s="17"/>
      <c r="G1745" s="4">
        <f t="shared" si="78"/>
        <v>0</v>
      </c>
      <c r="H1745" s="17"/>
      <c r="I1745" s="4">
        <f t="shared" si="80"/>
        <v>349526.07999999996</v>
      </c>
      <c r="J1745" s="32" t="str">
        <f t="shared" si="79"/>
        <v/>
      </c>
      <c r="K1745" s="72"/>
      <c r="L1745" s="72"/>
      <c r="M1745" s="2"/>
      <c r="N1745" s="5"/>
      <c r="O1745" s="3"/>
      <c r="P1745" s="6"/>
      <c r="Q1745" s="48">
        <f>IF(Учет!$O1745=Справочники!$F$2,Учет!$H1745,0)</f>
        <v>0</v>
      </c>
      <c r="R1745" s="48">
        <f>IF(Учет!$O1745=Справочники!$F$3,Учет!$H1745,0)</f>
        <v>0</v>
      </c>
      <c r="S1745" s="48">
        <f>IF(Учет!$O1745=Справочники!$F$4,Учет!$H1745,0)</f>
        <v>0</v>
      </c>
      <c r="T1745" s="48">
        <f>IF(Учет!$O1745=Справочники!$F$5,Учет!$H1745,0)</f>
        <v>0</v>
      </c>
      <c r="U1745" s="48">
        <f>IF(Учет!$O1745=Справочники!$F$6,Учет!$H1745,0)</f>
        <v>0</v>
      </c>
      <c r="V1745" s="43">
        <f>V1744+Учет!Q1745-Q1745</f>
        <v>-488978.92000000004</v>
      </c>
      <c r="W1745" s="43">
        <f>W1744+Учет!R1745-R1745</f>
        <v>336855</v>
      </c>
      <c r="X1745" s="43">
        <f>X1744+Учет!S1745-S1745</f>
        <v>500</v>
      </c>
      <c r="Y1745" s="43">
        <f>Y1744+Учет!T1745-T1745</f>
        <v>1150</v>
      </c>
      <c r="Z1745" s="43">
        <f>Z1744+Учет!U1745-U1745</f>
        <v>500000</v>
      </c>
      <c r="AA1745" s="45">
        <f>Учет!X1745</f>
        <v>500</v>
      </c>
    </row>
    <row r="1746" spans="1:27" ht="15" customHeight="1" x14ac:dyDescent="0.25">
      <c r="A1746" s="1"/>
      <c r="B1746" s="17"/>
      <c r="C1746" s="17"/>
      <c r="D1746" s="17"/>
      <c r="E1746" s="17"/>
      <c r="F1746" s="17"/>
      <c r="G1746" s="4">
        <f t="shared" si="78"/>
        <v>0</v>
      </c>
      <c r="H1746" s="17"/>
      <c r="I1746" s="4">
        <f t="shared" si="80"/>
        <v>349526.07999999996</v>
      </c>
      <c r="J1746" s="32" t="str">
        <f t="shared" si="79"/>
        <v/>
      </c>
      <c r="K1746" s="72"/>
      <c r="L1746" s="72"/>
      <c r="M1746" s="2"/>
      <c r="N1746" s="5"/>
      <c r="O1746" s="3"/>
      <c r="P1746" s="6"/>
      <c r="Q1746" s="48">
        <f>IF(Учет!$O1746=Справочники!$F$2,Учет!$H1746,0)</f>
        <v>0</v>
      </c>
      <c r="R1746" s="48">
        <f>IF(Учет!$O1746=Справочники!$F$3,Учет!$H1746,0)</f>
        <v>0</v>
      </c>
      <c r="S1746" s="48">
        <f>IF(Учет!$O1746=Справочники!$F$4,Учет!$H1746,0)</f>
        <v>0</v>
      </c>
      <c r="T1746" s="48">
        <f>IF(Учет!$O1746=Справочники!$F$5,Учет!$H1746,0)</f>
        <v>0</v>
      </c>
      <c r="U1746" s="48">
        <f>IF(Учет!$O1746=Справочники!$F$6,Учет!$H1746,0)</f>
        <v>0</v>
      </c>
      <c r="V1746" s="43">
        <f>V1745+Учет!Q1746-Q1746</f>
        <v>-488978.92000000004</v>
      </c>
      <c r="W1746" s="43">
        <f>W1745+Учет!R1746-R1746</f>
        <v>336855</v>
      </c>
      <c r="X1746" s="43">
        <f>X1745+Учет!S1746-S1746</f>
        <v>500</v>
      </c>
      <c r="Y1746" s="43">
        <f>Y1745+Учет!T1746-T1746</f>
        <v>1150</v>
      </c>
      <c r="Z1746" s="43">
        <f>Z1745+Учет!U1746-U1746</f>
        <v>500000</v>
      </c>
      <c r="AA1746" s="45">
        <f>Учет!X1746</f>
        <v>500</v>
      </c>
    </row>
    <row r="1747" spans="1:27" ht="15" customHeight="1" x14ac:dyDescent="0.25">
      <c r="A1747" s="1"/>
      <c r="B1747" s="17"/>
      <c r="C1747" s="17"/>
      <c r="D1747" s="17"/>
      <c r="E1747" s="17"/>
      <c r="F1747" s="17"/>
      <c r="G1747" s="4">
        <f t="shared" si="78"/>
        <v>0</v>
      </c>
      <c r="H1747" s="17"/>
      <c r="I1747" s="4">
        <f t="shared" si="80"/>
        <v>349526.07999999996</v>
      </c>
      <c r="J1747" s="32" t="str">
        <f t="shared" si="79"/>
        <v/>
      </c>
      <c r="K1747" s="72"/>
      <c r="L1747" s="72"/>
      <c r="M1747" s="2"/>
      <c r="N1747" s="5"/>
      <c r="O1747" s="3"/>
      <c r="P1747" s="6"/>
      <c r="Q1747" s="48">
        <f>IF(Учет!$O1747=Справочники!$F$2,Учет!$H1747,0)</f>
        <v>0</v>
      </c>
      <c r="R1747" s="48">
        <f>IF(Учет!$O1747=Справочники!$F$3,Учет!$H1747,0)</f>
        <v>0</v>
      </c>
      <c r="S1747" s="48">
        <f>IF(Учет!$O1747=Справочники!$F$4,Учет!$H1747,0)</f>
        <v>0</v>
      </c>
      <c r="T1747" s="48">
        <f>IF(Учет!$O1747=Справочники!$F$5,Учет!$H1747,0)</f>
        <v>0</v>
      </c>
      <c r="U1747" s="48">
        <f>IF(Учет!$O1747=Справочники!$F$6,Учет!$H1747,0)</f>
        <v>0</v>
      </c>
      <c r="V1747" s="43">
        <f>V1746+Учет!Q1747-Q1747</f>
        <v>-488978.92000000004</v>
      </c>
      <c r="W1747" s="43">
        <f>W1746+Учет!R1747-R1747</f>
        <v>336855</v>
      </c>
      <c r="X1747" s="43">
        <f>X1746+Учет!S1747-S1747</f>
        <v>500</v>
      </c>
      <c r="Y1747" s="43">
        <f>Y1746+Учет!T1747-T1747</f>
        <v>1150</v>
      </c>
      <c r="Z1747" s="43">
        <f>Z1746+Учет!U1747-U1747</f>
        <v>500000</v>
      </c>
      <c r="AA1747" s="45">
        <f>Учет!X1747</f>
        <v>500</v>
      </c>
    </row>
    <row r="1748" spans="1:27" ht="15" customHeight="1" x14ac:dyDescent="0.25">
      <c r="A1748" s="1"/>
      <c r="B1748" s="17"/>
      <c r="C1748" s="17"/>
      <c r="D1748" s="17"/>
      <c r="E1748" s="17"/>
      <c r="F1748" s="17"/>
      <c r="G1748" s="4">
        <f t="shared" si="78"/>
        <v>0</v>
      </c>
      <c r="H1748" s="17"/>
      <c r="I1748" s="4">
        <f t="shared" si="80"/>
        <v>349526.07999999996</v>
      </c>
      <c r="J1748" s="32" t="str">
        <f t="shared" si="79"/>
        <v/>
      </c>
      <c r="K1748" s="72"/>
      <c r="L1748" s="72"/>
      <c r="M1748" s="2"/>
      <c r="N1748" s="5"/>
      <c r="O1748" s="3"/>
      <c r="P1748" s="6"/>
      <c r="Q1748" s="48">
        <f>IF(Учет!$O1748=Справочники!$F$2,Учет!$H1748,0)</f>
        <v>0</v>
      </c>
      <c r="R1748" s="48">
        <f>IF(Учет!$O1748=Справочники!$F$3,Учет!$H1748,0)</f>
        <v>0</v>
      </c>
      <c r="S1748" s="48">
        <f>IF(Учет!$O1748=Справочники!$F$4,Учет!$H1748,0)</f>
        <v>0</v>
      </c>
      <c r="T1748" s="48">
        <f>IF(Учет!$O1748=Справочники!$F$5,Учет!$H1748,0)</f>
        <v>0</v>
      </c>
      <c r="U1748" s="48">
        <f>IF(Учет!$O1748=Справочники!$F$6,Учет!$H1748,0)</f>
        <v>0</v>
      </c>
      <c r="V1748" s="43">
        <f>V1747+Учет!Q1748-Q1748</f>
        <v>-488978.92000000004</v>
      </c>
      <c r="W1748" s="43">
        <f>W1747+Учет!R1748-R1748</f>
        <v>336855</v>
      </c>
      <c r="X1748" s="43">
        <f>X1747+Учет!S1748-S1748</f>
        <v>500</v>
      </c>
      <c r="Y1748" s="43">
        <f>Y1747+Учет!T1748-T1748</f>
        <v>1150</v>
      </c>
      <c r="Z1748" s="43">
        <f>Z1747+Учет!U1748-U1748</f>
        <v>500000</v>
      </c>
      <c r="AA1748" s="45">
        <f>Учет!X1748</f>
        <v>500</v>
      </c>
    </row>
    <row r="1749" spans="1:27" ht="15" customHeight="1" x14ac:dyDescent="0.25">
      <c r="A1749" s="1"/>
      <c r="B1749" s="17"/>
      <c r="C1749" s="17"/>
      <c r="D1749" s="17"/>
      <c r="E1749" s="17"/>
      <c r="F1749" s="17"/>
      <c r="G1749" s="4">
        <f t="shared" si="78"/>
        <v>0</v>
      </c>
      <c r="H1749" s="17"/>
      <c r="I1749" s="4">
        <f t="shared" si="80"/>
        <v>349526.07999999996</v>
      </c>
      <c r="J1749" s="32" t="str">
        <f t="shared" si="79"/>
        <v/>
      </c>
      <c r="K1749" s="72"/>
      <c r="L1749" s="72"/>
      <c r="M1749" s="2"/>
      <c r="N1749" s="5"/>
      <c r="O1749" s="3"/>
      <c r="P1749" s="6"/>
      <c r="Q1749" s="48">
        <f>IF(Учет!$O1749=Справочники!$F$2,Учет!$H1749,0)</f>
        <v>0</v>
      </c>
      <c r="R1749" s="48">
        <f>IF(Учет!$O1749=Справочники!$F$3,Учет!$H1749,0)</f>
        <v>0</v>
      </c>
      <c r="S1749" s="48">
        <f>IF(Учет!$O1749=Справочники!$F$4,Учет!$H1749,0)</f>
        <v>0</v>
      </c>
      <c r="T1749" s="48">
        <f>IF(Учет!$O1749=Справочники!$F$5,Учет!$H1749,0)</f>
        <v>0</v>
      </c>
      <c r="U1749" s="48">
        <f>IF(Учет!$O1749=Справочники!$F$6,Учет!$H1749,0)</f>
        <v>0</v>
      </c>
      <c r="V1749" s="43">
        <f>V1748+Учет!Q1749-Q1749</f>
        <v>-488978.92000000004</v>
      </c>
      <c r="W1749" s="43">
        <f>W1748+Учет!R1749-R1749</f>
        <v>336855</v>
      </c>
      <c r="X1749" s="43">
        <f>X1748+Учет!S1749-S1749</f>
        <v>500</v>
      </c>
      <c r="Y1749" s="43">
        <f>Y1748+Учет!T1749-T1749</f>
        <v>1150</v>
      </c>
      <c r="Z1749" s="43">
        <f>Z1748+Учет!U1749-U1749</f>
        <v>500000</v>
      </c>
      <c r="AA1749" s="45">
        <f>Учет!X1749</f>
        <v>500</v>
      </c>
    </row>
    <row r="1750" spans="1:27" ht="15" customHeight="1" x14ac:dyDescent="0.25">
      <c r="A1750" s="1"/>
      <c r="B1750" s="17"/>
      <c r="C1750" s="17"/>
      <c r="D1750" s="17"/>
      <c r="E1750" s="17"/>
      <c r="F1750" s="17"/>
      <c r="G1750" s="4">
        <f t="shared" si="78"/>
        <v>0</v>
      </c>
      <c r="H1750" s="17"/>
      <c r="I1750" s="4">
        <f t="shared" si="80"/>
        <v>349526.07999999996</v>
      </c>
      <c r="J1750" s="32" t="str">
        <f t="shared" si="79"/>
        <v/>
      </c>
      <c r="K1750" s="72"/>
      <c r="L1750" s="72"/>
      <c r="M1750" s="2"/>
      <c r="N1750" s="5"/>
      <c r="O1750" s="3"/>
      <c r="P1750" s="6"/>
      <c r="Q1750" s="48">
        <f>IF(Учет!$O1750=Справочники!$F$2,Учет!$H1750,0)</f>
        <v>0</v>
      </c>
      <c r="R1750" s="48">
        <f>IF(Учет!$O1750=Справочники!$F$3,Учет!$H1750,0)</f>
        <v>0</v>
      </c>
      <c r="S1750" s="48">
        <f>IF(Учет!$O1750=Справочники!$F$4,Учет!$H1750,0)</f>
        <v>0</v>
      </c>
      <c r="T1750" s="48">
        <f>IF(Учет!$O1750=Справочники!$F$5,Учет!$H1750,0)</f>
        <v>0</v>
      </c>
      <c r="U1750" s="48">
        <f>IF(Учет!$O1750=Справочники!$F$6,Учет!$H1750,0)</f>
        <v>0</v>
      </c>
      <c r="V1750" s="43">
        <f>V1749+Учет!Q1750-Q1750</f>
        <v>-488978.92000000004</v>
      </c>
      <c r="W1750" s="43">
        <f>W1749+Учет!R1750-R1750</f>
        <v>336855</v>
      </c>
      <c r="X1750" s="43">
        <f>X1749+Учет!S1750-S1750</f>
        <v>500</v>
      </c>
      <c r="Y1750" s="43">
        <f>Y1749+Учет!T1750-T1750</f>
        <v>1150</v>
      </c>
      <c r="Z1750" s="43">
        <f>Z1749+Учет!U1750-U1750</f>
        <v>500000</v>
      </c>
      <c r="AA1750" s="45">
        <f>Учет!X1750</f>
        <v>500</v>
      </c>
    </row>
    <row r="1751" spans="1:27" ht="15" customHeight="1" x14ac:dyDescent="0.25">
      <c r="A1751" s="1"/>
      <c r="B1751" s="17"/>
      <c r="C1751" s="17"/>
      <c r="D1751" s="17"/>
      <c r="E1751" s="17"/>
      <c r="F1751" s="17"/>
      <c r="G1751" s="4">
        <f t="shared" si="78"/>
        <v>0</v>
      </c>
      <c r="H1751" s="17"/>
      <c r="I1751" s="4">
        <f t="shared" si="80"/>
        <v>349526.07999999996</v>
      </c>
      <c r="J1751" s="32" t="str">
        <f t="shared" si="79"/>
        <v/>
      </c>
      <c r="K1751" s="72"/>
      <c r="L1751" s="72"/>
      <c r="M1751" s="2"/>
      <c r="N1751" s="5"/>
      <c r="O1751" s="3"/>
      <c r="P1751" s="6"/>
      <c r="Q1751" s="48">
        <f>IF(Учет!$O1751=Справочники!$F$2,Учет!$H1751,0)</f>
        <v>0</v>
      </c>
      <c r="R1751" s="48">
        <f>IF(Учет!$O1751=Справочники!$F$3,Учет!$H1751,0)</f>
        <v>0</v>
      </c>
      <c r="S1751" s="48">
        <f>IF(Учет!$O1751=Справочники!$F$4,Учет!$H1751,0)</f>
        <v>0</v>
      </c>
      <c r="T1751" s="48">
        <f>IF(Учет!$O1751=Справочники!$F$5,Учет!$H1751,0)</f>
        <v>0</v>
      </c>
      <c r="U1751" s="48">
        <f>IF(Учет!$O1751=Справочники!$F$6,Учет!$H1751,0)</f>
        <v>0</v>
      </c>
      <c r="V1751" s="43">
        <f>V1750+Учет!Q1751-Q1751</f>
        <v>-488978.92000000004</v>
      </c>
      <c r="W1751" s="43">
        <f>W1750+Учет!R1751-R1751</f>
        <v>336855</v>
      </c>
      <c r="X1751" s="43">
        <f>X1750+Учет!S1751-S1751</f>
        <v>500</v>
      </c>
      <c r="Y1751" s="43">
        <f>Y1750+Учет!T1751-T1751</f>
        <v>1150</v>
      </c>
      <c r="Z1751" s="43">
        <f>Z1750+Учет!U1751-U1751</f>
        <v>500000</v>
      </c>
      <c r="AA1751" s="45">
        <f>Учет!X1751</f>
        <v>500</v>
      </c>
    </row>
    <row r="1752" spans="1:27" ht="15" customHeight="1" x14ac:dyDescent="0.25">
      <c r="A1752" s="1"/>
      <c r="B1752" s="17"/>
      <c r="C1752" s="17"/>
      <c r="D1752" s="17"/>
      <c r="E1752" s="17"/>
      <c r="F1752" s="17"/>
      <c r="G1752" s="4">
        <f t="shared" si="78"/>
        <v>0</v>
      </c>
      <c r="H1752" s="17"/>
      <c r="I1752" s="4">
        <f t="shared" si="80"/>
        <v>349526.07999999996</v>
      </c>
      <c r="J1752" s="32" t="str">
        <f t="shared" si="79"/>
        <v/>
      </c>
      <c r="K1752" s="72"/>
      <c r="L1752" s="72"/>
      <c r="M1752" s="2"/>
      <c r="N1752" s="5"/>
      <c r="O1752" s="3"/>
      <c r="P1752" s="6"/>
      <c r="Q1752" s="48">
        <f>IF(Учет!$O1752=Справочники!$F$2,Учет!$H1752,0)</f>
        <v>0</v>
      </c>
      <c r="R1752" s="48">
        <f>IF(Учет!$O1752=Справочники!$F$3,Учет!$H1752,0)</f>
        <v>0</v>
      </c>
      <c r="S1752" s="48">
        <f>IF(Учет!$O1752=Справочники!$F$4,Учет!$H1752,0)</f>
        <v>0</v>
      </c>
      <c r="T1752" s="48">
        <f>IF(Учет!$O1752=Справочники!$F$5,Учет!$H1752,0)</f>
        <v>0</v>
      </c>
      <c r="U1752" s="48">
        <f>IF(Учет!$O1752=Справочники!$F$6,Учет!$H1752,0)</f>
        <v>0</v>
      </c>
      <c r="V1752" s="43">
        <f>V1751+Учет!Q1752-Q1752</f>
        <v>-488978.92000000004</v>
      </c>
      <c r="W1752" s="43">
        <f>W1751+Учет!R1752-R1752</f>
        <v>336855</v>
      </c>
      <c r="X1752" s="43">
        <f>X1751+Учет!S1752-S1752</f>
        <v>500</v>
      </c>
      <c r="Y1752" s="43">
        <f>Y1751+Учет!T1752-T1752</f>
        <v>1150</v>
      </c>
      <c r="Z1752" s="43">
        <f>Z1751+Учет!U1752-U1752</f>
        <v>500000</v>
      </c>
      <c r="AA1752" s="45">
        <f>Учет!X1752</f>
        <v>500</v>
      </c>
    </row>
    <row r="1753" spans="1:27" ht="15" customHeight="1" x14ac:dyDescent="0.25">
      <c r="A1753" s="1"/>
      <c r="B1753" s="17"/>
      <c r="C1753" s="17"/>
      <c r="D1753" s="17"/>
      <c r="E1753" s="17"/>
      <c r="F1753" s="17"/>
      <c r="G1753" s="4">
        <f t="shared" si="78"/>
        <v>0</v>
      </c>
      <c r="H1753" s="17"/>
      <c r="I1753" s="4">
        <f t="shared" si="80"/>
        <v>349526.07999999996</v>
      </c>
      <c r="J1753" s="32" t="str">
        <f t="shared" si="79"/>
        <v/>
      </c>
      <c r="K1753" s="72"/>
      <c r="L1753" s="72"/>
      <c r="M1753" s="2"/>
      <c r="N1753" s="5"/>
      <c r="O1753" s="3"/>
      <c r="P1753" s="6"/>
      <c r="Q1753" s="48">
        <f>IF(Учет!$O1753=Справочники!$F$2,Учет!$H1753,0)</f>
        <v>0</v>
      </c>
      <c r="R1753" s="48">
        <f>IF(Учет!$O1753=Справочники!$F$3,Учет!$H1753,0)</f>
        <v>0</v>
      </c>
      <c r="S1753" s="48">
        <f>IF(Учет!$O1753=Справочники!$F$4,Учет!$H1753,0)</f>
        <v>0</v>
      </c>
      <c r="T1753" s="48">
        <f>IF(Учет!$O1753=Справочники!$F$5,Учет!$H1753,0)</f>
        <v>0</v>
      </c>
      <c r="U1753" s="48">
        <f>IF(Учет!$O1753=Справочники!$F$6,Учет!$H1753,0)</f>
        <v>0</v>
      </c>
      <c r="V1753" s="43">
        <f>V1752+Учет!Q1753-Q1753</f>
        <v>-488978.92000000004</v>
      </c>
      <c r="W1753" s="43">
        <f>W1752+Учет!R1753-R1753</f>
        <v>336855</v>
      </c>
      <c r="X1753" s="43">
        <f>X1752+Учет!S1753-S1753</f>
        <v>500</v>
      </c>
      <c r="Y1753" s="43">
        <f>Y1752+Учет!T1753-T1753</f>
        <v>1150</v>
      </c>
      <c r="Z1753" s="43">
        <f>Z1752+Учет!U1753-U1753</f>
        <v>500000</v>
      </c>
      <c r="AA1753" s="45">
        <f>Учет!X1753</f>
        <v>500</v>
      </c>
    </row>
    <row r="1754" spans="1:27" ht="15" customHeight="1" x14ac:dyDescent="0.25">
      <c r="A1754" s="1"/>
      <c r="B1754" s="17"/>
      <c r="C1754" s="17"/>
      <c r="D1754" s="17"/>
      <c r="E1754" s="17"/>
      <c r="F1754" s="17"/>
      <c r="G1754" s="4">
        <f t="shared" si="78"/>
        <v>0</v>
      </c>
      <c r="H1754" s="17"/>
      <c r="I1754" s="4">
        <f t="shared" si="80"/>
        <v>349526.07999999996</v>
      </c>
      <c r="J1754" s="32" t="str">
        <f t="shared" si="79"/>
        <v/>
      </c>
      <c r="K1754" s="72"/>
      <c r="L1754" s="72"/>
      <c r="M1754" s="2"/>
      <c r="N1754" s="5"/>
      <c r="O1754" s="3"/>
      <c r="P1754" s="6"/>
      <c r="Q1754" s="48">
        <f>IF(Учет!$O1754=Справочники!$F$2,Учет!$H1754,0)</f>
        <v>0</v>
      </c>
      <c r="R1754" s="48">
        <f>IF(Учет!$O1754=Справочники!$F$3,Учет!$H1754,0)</f>
        <v>0</v>
      </c>
      <c r="S1754" s="48">
        <f>IF(Учет!$O1754=Справочники!$F$4,Учет!$H1754,0)</f>
        <v>0</v>
      </c>
      <c r="T1754" s="48">
        <f>IF(Учет!$O1754=Справочники!$F$5,Учет!$H1754,0)</f>
        <v>0</v>
      </c>
      <c r="U1754" s="48">
        <f>IF(Учет!$O1754=Справочники!$F$6,Учет!$H1754,0)</f>
        <v>0</v>
      </c>
      <c r="V1754" s="43">
        <f>V1753+Учет!Q1754-Q1754</f>
        <v>-488978.92000000004</v>
      </c>
      <c r="W1754" s="43">
        <f>W1753+Учет!R1754-R1754</f>
        <v>336855</v>
      </c>
      <c r="X1754" s="43">
        <f>X1753+Учет!S1754-S1754</f>
        <v>500</v>
      </c>
      <c r="Y1754" s="43">
        <f>Y1753+Учет!T1754-T1754</f>
        <v>1150</v>
      </c>
      <c r="Z1754" s="43">
        <f>Z1753+Учет!U1754-U1754</f>
        <v>500000</v>
      </c>
      <c r="AA1754" s="45">
        <f>Учет!X1754</f>
        <v>500</v>
      </c>
    </row>
    <row r="1755" spans="1:27" ht="15" customHeight="1" x14ac:dyDescent="0.25">
      <c r="A1755" s="1"/>
      <c r="B1755" s="17"/>
      <c r="C1755" s="17"/>
      <c r="D1755" s="17"/>
      <c r="E1755" s="17"/>
      <c r="F1755" s="17"/>
      <c r="G1755" s="4">
        <f t="shared" si="78"/>
        <v>0</v>
      </c>
      <c r="H1755" s="17"/>
      <c r="I1755" s="4">
        <f t="shared" si="80"/>
        <v>349526.07999999996</v>
      </c>
      <c r="J1755" s="32" t="str">
        <f t="shared" si="79"/>
        <v/>
      </c>
      <c r="K1755" s="72"/>
      <c r="L1755" s="72"/>
      <c r="M1755" s="2"/>
      <c r="N1755" s="5"/>
      <c r="O1755" s="3"/>
      <c r="P1755" s="6"/>
      <c r="Q1755" s="48">
        <f>IF(Учет!$O1755=Справочники!$F$2,Учет!$H1755,0)</f>
        <v>0</v>
      </c>
      <c r="R1755" s="48">
        <f>IF(Учет!$O1755=Справочники!$F$3,Учет!$H1755,0)</f>
        <v>0</v>
      </c>
      <c r="S1755" s="48">
        <f>IF(Учет!$O1755=Справочники!$F$4,Учет!$H1755,0)</f>
        <v>0</v>
      </c>
      <c r="T1755" s="48">
        <f>IF(Учет!$O1755=Справочники!$F$5,Учет!$H1755,0)</f>
        <v>0</v>
      </c>
      <c r="U1755" s="48">
        <f>IF(Учет!$O1755=Справочники!$F$6,Учет!$H1755,0)</f>
        <v>0</v>
      </c>
      <c r="V1755" s="43">
        <f>V1754+Учет!Q1755-Q1755</f>
        <v>-488978.92000000004</v>
      </c>
      <c r="W1755" s="43">
        <f>W1754+Учет!R1755-R1755</f>
        <v>336855</v>
      </c>
      <c r="X1755" s="43">
        <f>X1754+Учет!S1755-S1755</f>
        <v>500</v>
      </c>
      <c r="Y1755" s="43">
        <f>Y1754+Учет!T1755-T1755</f>
        <v>1150</v>
      </c>
      <c r="Z1755" s="43">
        <f>Z1754+Учет!U1755-U1755</f>
        <v>500000</v>
      </c>
      <c r="AA1755" s="45">
        <f>Учет!X1755</f>
        <v>500</v>
      </c>
    </row>
    <row r="1756" spans="1:27" ht="15" customHeight="1" x14ac:dyDescent="0.25">
      <c r="A1756" s="1"/>
      <c r="B1756" s="17"/>
      <c r="C1756" s="17"/>
      <c r="D1756" s="17"/>
      <c r="E1756" s="17"/>
      <c r="F1756" s="17"/>
      <c r="G1756" s="4">
        <f t="shared" si="78"/>
        <v>0</v>
      </c>
      <c r="H1756" s="17"/>
      <c r="I1756" s="4">
        <f t="shared" si="80"/>
        <v>349526.07999999996</v>
      </c>
      <c r="J1756" s="32" t="str">
        <f t="shared" si="79"/>
        <v/>
      </c>
      <c r="K1756" s="72"/>
      <c r="L1756" s="72"/>
      <c r="M1756" s="2"/>
      <c r="N1756" s="5"/>
      <c r="O1756" s="3"/>
      <c r="P1756" s="6"/>
      <c r="Q1756" s="48">
        <f>IF(Учет!$O1756=Справочники!$F$2,Учет!$H1756,0)</f>
        <v>0</v>
      </c>
      <c r="R1756" s="48">
        <f>IF(Учет!$O1756=Справочники!$F$3,Учет!$H1756,0)</f>
        <v>0</v>
      </c>
      <c r="S1756" s="48">
        <f>IF(Учет!$O1756=Справочники!$F$4,Учет!$H1756,0)</f>
        <v>0</v>
      </c>
      <c r="T1756" s="48">
        <f>IF(Учет!$O1756=Справочники!$F$5,Учет!$H1756,0)</f>
        <v>0</v>
      </c>
      <c r="U1756" s="48">
        <f>IF(Учет!$O1756=Справочники!$F$6,Учет!$H1756,0)</f>
        <v>0</v>
      </c>
      <c r="V1756" s="43">
        <f>V1755+Учет!Q1756-Q1756</f>
        <v>-488978.92000000004</v>
      </c>
      <c r="W1756" s="43">
        <f>W1755+Учет!R1756-R1756</f>
        <v>336855</v>
      </c>
      <c r="X1756" s="43">
        <f>X1755+Учет!S1756-S1756</f>
        <v>500</v>
      </c>
      <c r="Y1756" s="43">
        <f>Y1755+Учет!T1756-T1756</f>
        <v>1150</v>
      </c>
      <c r="Z1756" s="43">
        <f>Z1755+Учет!U1756-U1756</f>
        <v>500000</v>
      </c>
      <c r="AA1756" s="45">
        <f>Учет!X1756</f>
        <v>500</v>
      </c>
    </row>
    <row r="1757" spans="1:27" ht="15" customHeight="1" x14ac:dyDescent="0.25">
      <c r="A1757" s="1"/>
      <c r="B1757" s="17"/>
      <c r="C1757" s="17"/>
      <c r="D1757" s="17"/>
      <c r="E1757" s="17"/>
      <c r="F1757" s="17"/>
      <c r="G1757" s="4">
        <f t="shared" si="78"/>
        <v>0</v>
      </c>
      <c r="H1757" s="17"/>
      <c r="I1757" s="4">
        <f t="shared" si="80"/>
        <v>349526.07999999996</v>
      </c>
      <c r="J1757" s="32" t="str">
        <f t="shared" si="79"/>
        <v/>
      </c>
      <c r="K1757" s="72"/>
      <c r="L1757" s="72"/>
      <c r="M1757" s="2"/>
      <c r="N1757" s="5"/>
      <c r="O1757" s="3"/>
      <c r="P1757" s="6"/>
      <c r="Q1757" s="48">
        <f>IF(Учет!$O1757=Справочники!$F$2,Учет!$H1757,0)</f>
        <v>0</v>
      </c>
      <c r="R1757" s="48">
        <f>IF(Учет!$O1757=Справочники!$F$3,Учет!$H1757,0)</f>
        <v>0</v>
      </c>
      <c r="S1757" s="48">
        <f>IF(Учет!$O1757=Справочники!$F$4,Учет!$H1757,0)</f>
        <v>0</v>
      </c>
      <c r="T1757" s="48">
        <f>IF(Учет!$O1757=Справочники!$F$5,Учет!$H1757,0)</f>
        <v>0</v>
      </c>
      <c r="U1757" s="48">
        <f>IF(Учет!$O1757=Справочники!$F$6,Учет!$H1757,0)</f>
        <v>0</v>
      </c>
      <c r="V1757" s="43">
        <f>V1756+Учет!Q1757-Q1757</f>
        <v>-488978.92000000004</v>
      </c>
      <c r="W1757" s="43">
        <f>W1756+Учет!R1757-R1757</f>
        <v>336855</v>
      </c>
      <c r="X1757" s="43">
        <f>X1756+Учет!S1757-S1757</f>
        <v>500</v>
      </c>
      <c r="Y1757" s="43">
        <f>Y1756+Учет!T1757-T1757</f>
        <v>1150</v>
      </c>
      <c r="Z1757" s="43">
        <f>Z1756+Учет!U1757-U1757</f>
        <v>500000</v>
      </c>
      <c r="AA1757" s="45">
        <f>Учет!X1757</f>
        <v>500</v>
      </c>
    </row>
    <row r="1758" spans="1:27" ht="15" customHeight="1" x14ac:dyDescent="0.25">
      <c r="A1758" s="1"/>
      <c r="B1758" s="17"/>
      <c r="C1758" s="17"/>
      <c r="D1758" s="17"/>
      <c r="E1758" s="17"/>
      <c r="F1758" s="17"/>
      <c r="G1758" s="4">
        <f t="shared" si="78"/>
        <v>0</v>
      </c>
      <c r="H1758" s="17"/>
      <c r="I1758" s="4">
        <f t="shared" si="80"/>
        <v>349526.07999999996</v>
      </c>
      <c r="J1758" s="32" t="str">
        <f t="shared" si="79"/>
        <v/>
      </c>
      <c r="K1758" s="72"/>
      <c r="L1758" s="72"/>
      <c r="M1758" s="2"/>
      <c r="N1758" s="5"/>
      <c r="O1758" s="3"/>
      <c r="P1758" s="6"/>
      <c r="Q1758" s="48">
        <f>IF(Учет!$O1758=Справочники!$F$2,Учет!$H1758,0)</f>
        <v>0</v>
      </c>
      <c r="R1758" s="48">
        <f>IF(Учет!$O1758=Справочники!$F$3,Учет!$H1758,0)</f>
        <v>0</v>
      </c>
      <c r="S1758" s="48">
        <f>IF(Учет!$O1758=Справочники!$F$4,Учет!$H1758,0)</f>
        <v>0</v>
      </c>
      <c r="T1758" s="48">
        <f>IF(Учет!$O1758=Справочники!$F$5,Учет!$H1758,0)</f>
        <v>0</v>
      </c>
      <c r="U1758" s="48">
        <f>IF(Учет!$O1758=Справочники!$F$6,Учет!$H1758,0)</f>
        <v>0</v>
      </c>
      <c r="V1758" s="43">
        <f>V1757+Учет!Q1758-Q1758</f>
        <v>-488978.92000000004</v>
      </c>
      <c r="W1758" s="43">
        <f>W1757+Учет!R1758-R1758</f>
        <v>336855</v>
      </c>
      <c r="X1758" s="43">
        <f>X1757+Учет!S1758-S1758</f>
        <v>500</v>
      </c>
      <c r="Y1758" s="43">
        <f>Y1757+Учет!T1758-T1758</f>
        <v>1150</v>
      </c>
      <c r="Z1758" s="43">
        <f>Z1757+Учет!U1758-U1758</f>
        <v>500000</v>
      </c>
      <c r="AA1758" s="45">
        <f>Учет!X1758</f>
        <v>500</v>
      </c>
    </row>
    <row r="1759" spans="1:27" ht="15" customHeight="1" x14ac:dyDescent="0.25">
      <c r="A1759" s="1"/>
      <c r="B1759" s="17"/>
      <c r="C1759" s="17"/>
      <c r="D1759" s="17"/>
      <c r="E1759" s="17"/>
      <c r="F1759" s="17"/>
      <c r="G1759" s="4">
        <f t="shared" si="78"/>
        <v>0</v>
      </c>
      <c r="H1759" s="17"/>
      <c r="I1759" s="4">
        <f t="shared" si="80"/>
        <v>349526.07999999996</v>
      </c>
      <c r="J1759" s="32" t="str">
        <f t="shared" si="79"/>
        <v/>
      </c>
      <c r="K1759" s="72"/>
      <c r="L1759" s="72"/>
      <c r="M1759" s="2"/>
      <c r="N1759" s="5"/>
      <c r="O1759" s="3"/>
      <c r="P1759" s="6"/>
      <c r="Q1759" s="48">
        <f>IF(Учет!$O1759=Справочники!$F$2,Учет!$H1759,0)</f>
        <v>0</v>
      </c>
      <c r="R1759" s="48">
        <f>IF(Учет!$O1759=Справочники!$F$3,Учет!$H1759,0)</f>
        <v>0</v>
      </c>
      <c r="S1759" s="48">
        <f>IF(Учет!$O1759=Справочники!$F$4,Учет!$H1759,0)</f>
        <v>0</v>
      </c>
      <c r="T1759" s="48">
        <f>IF(Учет!$O1759=Справочники!$F$5,Учет!$H1759,0)</f>
        <v>0</v>
      </c>
      <c r="U1759" s="48">
        <f>IF(Учет!$O1759=Справочники!$F$6,Учет!$H1759,0)</f>
        <v>0</v>
      </c>
      <c r="V1759" s="43">
        <f>V1758+Учет!Q1759-Q1759</f>
        <v>-488978.92000000004</v>
      </c>
      <c r="W1759" s="43">
        <f>W1758+Учет!R1759-R1759</f>
        <v>336855</v>
      </c>
      <c r="X1759" s="43">
        <f>X1758+Учет!S1759-S1759</f>
        <v>500</v>
      </c>
      <c r="Y1759" s="43">
        <f>Y1758+Учет!T1759-T1759</f>
        <v>1150</v>
      </c>
      <c r="Z1759" s="43">
        <f>Z1758+Учет!U1759-U1759</f>
        <v>500000</v>
      </c>
      <c r="AA1759" s="45">
        <f>Учет!X1759</f>
        <v>500</v>
      </c>
    </row>
    <row r="1760" spans="1:27" ht="15" customHeight="1" x14ac:dyDescent="0.25">
      <c r="A1760" s="1"/>
      <c r="B1760" s="17"/>
      <c r="C1760" s="17"/>
      <c r="D1760" s="17"/>
      <c r="E1760" s="17"/>
      <c r="F1760" s="17"/>
      <c r="G1760" s="4">
        <f t="shared" si="78"/>
        <v>0</v>
      </c>
      <c r="H1760" s="17"/>
      <c r="I1760" s="4">
        <f t="shared" si="80"/>
        <v>349526.07999999996</v>
      </c>
      <c r="J1760" s="32" t="str">
        <f t="shared" si="79"/>
        <v/>
      </c>
      <c r="K1760" s="72"/>
      <c r="L1760" s="72"/>
      <c r="M1760" s="2"/>
      <c r="N1760" s="5"/>
      <c r="O1760" s="3"/>
      <c r="P1760" s="6"/>
      <c r="Q1760" s="48">
        <f>IF(Учет!$O1760=Справочники!$F$2,Учет!$H1760,0)</f>
        <v>0</v>
      </c>
      <c r="R1760" s="48">
        <f>IF(Учет!$O1760=Справочники!$F$3,Учет!$H1760,0)</f>
        <v>0</v>
      </c>
      <c r="S1760" s="48">
        <f>IF(Учет!$O1760=Справочники!$F$4,Учет!$H1760,0)</f>
        <v>0</v>
      </c>
      <c r="T1760" s="48">
        <f>IF(Учет!$O1760=Справочники!$F$5,Учет!$H1760,0)</f>
        <v>0</v>
      </c>
      <c r="U1760" s="48">
        <f>IF(Учет!$O1760=Справочники!$F$6,Учет!$H1760,0)</f>
        <v>0</v>
      </c>
      <c r="V1760" s="43">
        <f>V1759+Учет!Q1760-Q1760</f>
        <v>-488978.92000000004</v>
      </c>
      <c r="W1760" s="43">
        <f>W1759+Учет!R1760-R1760</f>
        <v>336855</v>
      </c>
      <c r="X1760" s="43">
        <f>X1759+Учет!S1760-S1760</f>
        <v>500</v>
      </c>
      <c r="Y1760" s="43">
        <f>Y1759+Учет!T1760-T1760</f>
        <v>1150</v>
      </c>
      <c r="Z1760" s="43">
        <f>Z1759+Учет!U1760-U1760</f>
        <v>500000</v>
      </c>
      <c r="AA1760" s="45">
        <f>Учет!X1760</f>
        <v>500</v>
      </c>
    </row>
    <row r="1761" spans="1:27" ht="15" customHeight="1" x14ac:dyDescent="0.25">
      <c r="A1761" s="1"/>
      <c r="B1761" s="17"/>
      <c r="C1761" s="17"/>
      <c r="D1761" s="17"/>
      <c r="E1761" s="17"/>
      <c r="F1761" s="17"/>
      <c r="G1761" s="4">
        <f t="shared" si="78"/>
        <v>0</v>
      </c>
      <c r="H1761" s="17"/>
      <c r="I1761" s="4">
        <f t="shared" si="80"/>
        <v>349526.07999999996</v>
      </c>
      <c r="J1761" s="32" t="str">
        <f t="shared" si="79"/>
        <v/>
      </c>
      <c r="K1761" s="72"/>
      <c r="L1761" s="72"/>
      <c r="M1761" s="2"/>
      <c r="N1761" s="5"/>
      <c r="O1761" s="3"/>
      <c r="P1761" s="6"/>
      <c r="Q1761" s="48">
        <f>IF(Учет!$O1761=Справочники!$F$2,Учет!$H1761,0)</f>
        <v>0</v>
      </c>
      <c r="R1761" s="48">
        <f>IF(Учет!$O1761=Справочники!$F$3,Учет!$H1761,0)</f>
        <v>0</v>
      </c>
      <c r="S1761" s="48">
        <f>IF(Учет!$O1761=Справочники!$F$4,Учет!$H1761,0)</f>
        <v>0</v>
      </c>
      <c r="T1761" s="48">
        <f>IF(Учет!$O1761=Справочники!$F$5,Учет!$H1761,0)</f>
        <v>0</v>
      </c>
      <c r="U1761" s="48">
        <f>IF(Учет!$O1761=Справочники!$F$6,Учет!$H1761,0)</f>
        <v>0</v>
      </c>
      <c r="V1761" s="43">
        <f>V1760+Учет!Q1761-Q1761</f>
        <v>-488978.92000000004</v>
      </c>
      <c r="W1761" s="43">
        <f>W1760+Учет!R1761-R1761</f>
        <v>336855</v>
      </c>
      <c r="X1761" s="43">
        <f>X1760+Учет!S1761-S1761</f>
        <v>500</v>
      </c>
      <c r="Y1761" s="43">
        <f>Y1760+Учет!T1761-T1761</f>
        <v>1150</v>
      </c>
      <c r="Z1761" s="43">
        <f>Z1760+Учет!U1761-U1761</f>
        <v>500000</v>
      </c>
      <c r="AA1761" s="45">
        <f>Учет!X1761</f>
        <v>500</v>
      </c>
    </row>
    <row r="1762" spans="1:27" ht="15" customHeight="1" x14ac:dyDescent="0.25">
      <c r="A1762" s="1"/>
      <c r="B1762" s="17"/>
      <c r="C1762" s="17"/>
      <c r="D1762" s="17"/>
      <c r="E1762" s="17"/>
      <c r="F1762" s="17"/>
      <c r="G1762" s="4">
        <f t="shared" si="78"/>
        <v>0</v>
      </c>
      <c r="H1762" s="17"/>
      <c r="I1762" s="4">
        <f t="shared" si="80"/>
        <v>349526.07999999996</v>
      </c>
      <c r="J1762" s="32" t="str">
        <f t="shared" si="79"/>
        <v/>
      </c>
      <c r="K1762" s="72"/>
      <c r="L1762" s="72"/>
      <c r="M1762" s="2"/>
      <c r="N1762" s="5"/>
      <c r="O1762" s="3"/>
      <c r="P1762" s="6"/>
      <c r="Q1762" s="48">
        <f>IF(Учет!$O1762=Справочники!$F$2,Учет!$H1762,0)</f>
        <v>0</v>
      </c>
      <c r="R1762" s="48">
        <f>IF(Учет!$O1762=Справочники!$F$3,Учет!$H1762,0)</f>
        <v>0</v>
      </c>
      <c r="S1762" s="48">
        <f>IF(Учет!$O1762=Справочники!$F$4,Учет!$H1762,0)</f>
        <v>0</v>
      </c>
      <c r="T1762" s="48">
        <f>IF(Учет!$O1762=Справочники!$F$5,Учет!$H1762,0)</f>
        <v>0</v>
      </c>
      <c r="U1762" s="48">
        <f>IF(Учет!$O1762=Справочники!$F$6,Учет!$H1762,0)</f>
        <v>0</v>
      </c>
      <c r="V1762" s="43">
        <f>V1761+Учет!Q1762-Q1762</f>
        <v>-488978.92000000004</v>
      </c>
      <c r="W1762" s="43">
        <f>W1761+Учет!R1762-R1762</f>
        <v>336855</v>
      </c>
      <c r="X1762" s="43">
        <f>X1761+Учет!S1762-S1762</f>
        <v>500</v>
      </c>
      <c r="Y1762" s="43">
        <f>Y1761+Учет!T1762-T1762</f>
        <v>1150</v>
      </c>
      <c r="Z1762" s="43">
        <f>Z1761+Учет!U1762-U1762</f>
        <v>500000</v>
      </c>
      <c r="AA1762" s="45">
        <f>Учет!X1762</f>
        <v>500</v>
      </c>
    </row>
    <row r="1763" spans="1:27" ht="15" customHeight="1" x14ac:dyDescent="0.25">
      <c r="A1763" s="1"/>
      <c r="B1763" s="17"/>
      <c r="C1763" s="17"/>
      <c r="D1763" s="17"/>
      <c r="E1763" s="17"/>
      <c r="F1763" s="17"/>
      <c r="G1763" s="4">
        <f t="shared" si="78"/>
        <v>0</v>
      </c>
      <c r="H1763" s="17"/>
      <c r="I1763" s="4">
        <f t="shared" si="80"/>
        <v>349526.07999999996</v>
      </c>
      <c r="J1763" s="32" t="str">
        <f t="shared" si="79"/>
        <v/>
      </c>
      <c r="K1763" s="72"/>
      <c r="L1763" s="72"/>
      <c r="M1763" s="2"/>
      <c r="N1763" s="5"/>
      <c r="O1763" s="3"/>
      <c r="P1763" s="6"/>
      <c r="Q1763" s="48">
        <f>IF(Учет!$O1763=Справочники!$F$2,Учет!$H1763,0)</f>
        <v>0</v>
      </c>
      <c r="R1763" s="48">
        <f>IF(Учет!$O1763=Справочники!$F$3,Учет!$H1763,0)</f>
        <v>0</v>
      </c>
      <c r="S1763" s="48">
        <f>IF(Учет!$O1763=Справочники!$F$4,Учет!$H1763,0)</f>
        <v>0</v>
      </c>
      <c r="T1763" s="48">
        <f>IF(Учет!$O1763=Справочники!$F$5,Учет!$H1763,0)</f>
        <v>0</v>
      </c>
      <c r="U1763" s="48">
        <f>IF(Учет!$O1763=Справочники!$F$6,Учет!$H1763,0)</f>
        <v>0</v>
      </c>
      <c r="V1763" s="43">
        <f>V1762+Учет!Q1763-Q1763</f>
        <v>-488978.92000000004</v>
      </c>
      <c r="W1763" s="43">
        <f>W1762+Учет!R1763-R1763</f>
        <v>336855</v>
      </c>
      <c r="X1763" s="43">
        <f>X1762+Учет!S1763-S1763</f>
        <v>500</v>
      </c>
      <c r="Y1763" s="43">
        <f>Y1762+Учет!T1763-T1763</f>
        <v>1150</v>
      </c>
      <c r="Z1763" s="43">
        <f>Z1762+Учет!U1763-U1763</f>
        <v>500000</v>
      </c>
      <c r="AA1763" s="45">
        <f>Учет!X1763</f>
        <v>500</v>
      </c>
    </row>
    <row r="1764" spans="1:27" ht="15" customHeight="1" x14ac:dyDescent="0.25">
      <c r="A1764" s="1"/>
      <c r="B1764" s="17"/>
      <c r="C1764" s="17"/>
      <c r="D1764" s="17"/>
      <c r="E1764" s="17"/>
      <c r="F1764" s="17"/>
      <c r="G1764" s="4">
        <f t="shared" si="78"/>
        <v>0</v>
      </c>
      <c r="H1764" s="17"/>
      <c r="I1764" s="4">
        <f t="shared" si="80"/>
        <v>349526.07999999996</v>
      </c>
      <c r="J1764" s="32" t="str">
        <f t="shared" si="79"/>
        <v/>
      </c>
      <c r="K1764" s="72"/>
      <c r="L1764" s="72"/>
      <c r="M1764" s="2"/>
      <c r="N1764" s="5"/>
      <c r="O1764" s="3"/>
      <c r="P1764" s="6"/>
      <c r="Q1764" s="48">
        <f>IF(Учет!$O1764=Справочники!$F$2,Учет!$H1764,0)</f>
        <v>0</v>
      </c>
      <c r="R1764" s="48">
        <f>IF(Учет!$O1764=Справочники!$F$3,Учет!$H1764,0)</f>
        <v>0</v>
      </c>
      <c r="S1764" s="48">
        <f>IF(Учет!$O1764=Справочники!$F$4,Учет!$H1764,0)</f>
        <v>0</v>
      </c>
      <c r="T1764" s="48">
        <f>IF(Учет!$O1764=Справочники!$F$5,Учет!$H1764,0)</f>
        <v>0</v>
      </c>
      <c r="U1764" s="48">
        <f>IF(Учет!$O1764=Справочники!$F$6,Учет!$H1764,0)</f>
        <v>0</v>
      </c>
      <c r="V1764" s="43">
        <f>V1763+Учет!Q1764-Q1764</f>
        <v>-488978.92000000004</v>
      </c>
      <c r="W1764" s="43">
        <f>W1763+Учет!R1764-R1764</f>
        <v>336855</v>
      </c>
      <c r="X1764" s="43">
        <f>X1763+Учет!S1764-S1764</f>
        <v>500</v>
      </c>
      <c r="Y1764" s="43">
        <f>Y1763+Учет!T1764-T1764</f>
        <v>1150</v>
      </c>
      <c r="Z1764" s="43">
        <f>Z1763+Учет!U1764-U1764</f>
        <v>500000</v>
      </c>
      <c r="AA1764" s="45">
        <f>Учет!X1764</f>
        <v>500</v>
      </c>
    </row>
    <row r="1765" spans="1:27" ht="15" customHeight="1" x14ac:dyDescent="0.25">
      <c r="A1765" s="1"/>
      <c r="B1765" s="17"/>
      <c r="C1765" s="17"/>
      <c r="D1765" s="17"/>
      <c r="E1765" s="17"/>
      <c r="F1765" s="17"/>
      <c r="G1765" s="4">
        <f t="shared" si="78"/>
        <v>0</v>
      </c>
      <c r="H1765" s="17"/>
      <c r="I1765" s="4">
        <f t="shared" si="80"/>
        <v>349526.07999999996</v>
      </c>
      <c r="J1765" s="32" t="str">
        <f t="shared" si="79"/>
        <v/>
      </c>
      <c r="K1765" s="72"/>
      <c r="L1765" s="72"/>
      <c r="M1765" s="2"/>
      <c r="N1765" s="5"/>
      <c r="O1765" s="3"/>
      <c r="P1765" s="6"/>
      <c r="Q1765" s="48">
        <f>IF(Учет!$O1765=Справочники!$F$2,Учет!$H1765,0)</f>
        <v>0</v>
      </c>
      <c r="R1765" s="48">
        <f>IF(Учет!$O1765=Справочники!$F$3,Учет!$H1765,0)</f>
        <v>0</v>
      </c>
      <c r="S1765" s="48">
        <f>IF(Учет!$O1765=Справочники!$F$4,Учет!$H1765,0)</f>
        <v>0</v>
      </c>
      <c r="T1765" s="48">
        <f>IF(Учет!$O1765=Справочники!$F$5,Учет!$H1765,0)</f>
        <v>0</v>
      </c>
      <c r="U1765" s="48">
        <f>IF(Учет!$O1765=Справочники!$F$6,Учет!$H1765,0)</f>
        <v>0</v>
      </c>
      <c r="V1765" s="43">
        <f>V1764+Учет!Q1765-Q1765</f>
        <v>-488978.92000000004</v>
      </c>
      <c r="W1765" s="43">
        <f>W1764+Учет!R1765-R1765</f>
        <v>336855</v>
      </c>
      <c r="X1765" s="43">
        <f>X1764+Учет!S1765-S1765</f>
        <v>500</v>
      </c>
      <c r="Y1765" s="43">
        <f>Y1764+Учет!T1765-T1765</f>
        <v>1150</v>
      </c>
      <c r="Z1765" s="43">
        <f>Z1764+Учет!U1765-U1765</f>
        <v>500000</v>
      </c>
      <c r="AA1765" s="45">
        <f>Учет!X1765</f>
        <v>500</v>
      </c>
    </row>
    <row r="1766" spans="1:27" ht="15" customHeight="1" x14ac:dyDescent="0.25">
      <c r="A1766" s="1"/>
      <c r="B1766" s="17"/>
      <c r="C1766" s="17"/>
      <c r="D1766" s="17"/>
      <c r="E1766" s="17"/>
      <c r="F1766" s="17"/>
      <c r="G1766" s="4">
        <f t="shared" si="78"/>
        <v>0</v>
      </c>
      <c r="H1766" s="17"/>
      <c r="I1766" s="4">
        <f t="shared" si="80"/>
        <v>349526.07999999996</v>
      </c>
      <c r="J1766" s="32" t="str">
        <f t="shared" si="79"/>
        <v/>
      </c>
      <c r="K1766" s="72"/>
      <c r="L1766" s="72"/>
      <c r="M1766" s="2"/>
      <c r="N1766" s="5"/>
      <c r="O1766" s="3"/>
      <c r="P1766" s="6"/>
      <c r="Q1766" s="48">
        <f>IF(Учет!$O1766=Справочники!$F$2,Учет!$H1766,0)</f>
        <v>0</v>
      </c>
      <c r="R1766" s="48">
        <f>IF(Учет!$O1766=Справочники!$F$3,Учет!$H1766,0)</f>
        <v>0</v>
      </c>
      <c r="S1766" s="48">
        <f>IF(Учет!$O1766=Справочники!$F$4,Учет!$H1766,0)</f>
        <v>0</v>
      </c>
      <c r="T1766" s="48">
        <f>IF(Учет!$O1766=Справочники!$F$5,Учет!$H1766,0)</f>
        <v>0</v>
      </c>
      <c r="U1766" s="48">
        <f>IF(Учет!$O1766=Справочники!$F$6,Учет!$H1766,0)</f>
        <v>0</v>
      </c>
      <c r="V1766" s="43">
        <f>V1765+Учет!Q1766-Q1766</f>
        <v>-488978.92000000004</v>
      </c>
      <c r="W1766" s="43">
        <f>W1765+Учет!R1766-R1766</f>
        <v>336855</v>
      </c>
      <c r="X1766" s="43">
        <f>X1765+Учет!S1766-S1766</f>
        <v>500</v>
      </c>
      <c r="Y1766" s="43">
        <f>Y1765+Учет!T1766-T1766</f>
        <v>1150</v>
      </c>
      <c r="Z1766" s="43">
        <f>Z1765+Учет!U1766-U1766</f>
        <v>500000</v>
      </c>
      <c r="AA1766" s="45">
        <f>Учет!X1766</f>
        <v>500</v>
      </c>
    </row>
    <row r="1767" spans="1:27" ht="15" customHeight="1" x14ac:dyDescent="0.25">
      <c r="A1767" s="1"/>
      <c r="B1767" s="17"/>
      <c r="C1767" s="17"/>
      <c r="D1767" s="17"/>
      <c r="E1767" s="17"/>
      <c r="F1767" s="17"/>
      <c r="G1767" s="4">
        <f t="shared" si="78"/>
        <v>0</v>
      </c>
      <c r="H1767" s="17"/>
      <c r="I1767" s="4">
        <f t="shared" si="80"/>
        <v>349526.07999999996</v>
      </c>
      <c r="J1767" s="32" t="str">
        <f t="shared" si="79"/>
        <v/>
      </c>
      <c r="K1767" s="72"/>
      <c r="L1767" s="72"/>
      <c r="M1767" s="2"/>
      <c r="N1767" s="5"/>
      <c r="O1767" s="3"/>
      <c r="P1767" s="6"/>
      <c r="Q1767" s="48">
        <f>IF(Учет!$O1767=Справочники!$F$2,Учет!$H1767,0)</f>
        <v>0</v>
      </c>
      <c r="R1767" s="48">
        <f>IF(Учет!$O1767=Справочники!$F$3,Учет!$H1767,0)</f>
        <v>0</v>
      </c>
      <c r="S1767" s="48">
        <f>IF(Учет!$O1767=Справочники!$F$4,Учет!$H1767,0)</f>
        <v>0</v>
      </c>
      <c r="T1767" s="48">
        <f>IF(Учет!$O1767=Справочники!$F$5,Учет!$H1767,0)</f>
        <v>0</v>
      </c>
      <c r="U1767" s="48">
        <f>IF(Учет!$O1767=Справочники!$F$6,Учет!$H1767,0)</f>
        <v>0</v>
      </c>
      <c r="V1767" s="43">
        <f>V1766+Учет!Q1767-Q1767</f>
        <v>-488978.92000000004</v>
      </c>
      <c r="W1767" s="43">
        <f>W1766+Учет!R1767-R1767</f>
        <v>336855</v>
      </c>
      <c r="X1767" s="43">
        <f>X1766+Учет!S1767-S1767</f>
        <v>500</v>
      </c>
      <c r="Y1767" s="43">
        <f>Y1766+Учет!T1767-T1767</f>
        <v>1150</v>
      </c>
      <c r="Z1767" s="43">
        <f>Z1766+Учет!U1767-U1767</f>
        <v>500000</v>
      </c>
      <c r="AA1767" s="45">
        <f>Учет!X1767</f>
        <v>500</v>
      </c>
    </row>
    <row r="1768" spans="1:27" ht="15" customHeight="1" x14ac:dyDescent="0.25">
      <c r="A1768" s="1"/>
      <c r="B1768" s="17"/>
      <c r="C1768" s="17"/>
      <c r="D1768" s="17"/>
      <c r="E1768" s="17"/>
      <c r="F1768" s="17"/>
      <c r="G1768" s="4">
        <f t="shared" si="78"/>
        <v>0</v>
      </c>
      <c r="H1768" s="17"/>
      <c r="I1768" s="4">
        <f t="shared" si="80"/>
        <v>349526.07999999996</v>
      </c>
      <c r="J1768" s="32" t="str">
        <f t="shared" si="79"/>
        <v/>
      </c>
      <c r="K1768" s="72"/>
      <c r="L1768" s="72"/>
      <c r="M1768" s="2"/>
      <c r="N1768" s="5"/>
      <c r="O1768" s="3"/>
      <c r="P1768" s="6"/>
      <c r="Q1768" s="48">
        <f>IF(Учет!$O1768=Справочники!$F$2,Учет!$H1768,0)</f>
        <v>0</v>
      </c>
      <c r="R1768" s="48">
        <f>IF(Учет!$O1768=Справочники!$F$3,Учет!$H1768,0)</f>
        <v>0</v>
      </c>
      <c r="S1768" s="48">
        <f>IF(Учет!$O1768=Справочники!$F$4,Учет!$H1768,0)</f>
        <v>0</v>
      </c>
      <c r="T1768" s="48">
        <f>IF(Учет!$O1768=Справочники!$F$5,Учет!$H1768,0)</f>
        <v>0</v>
      </c>
      <c r="U1768" s="48">
        <f>IF(Учет!$O1768=Справочники!$F$6,Учет!$H1768,0)</f>
        <v>0</v>
      </c>
      <c r="V1768" s="43">
        <f>V1767+Учет!Q1768-Q1768</f>
        <v>-488978.92000000004</v>
      </c>
      <c r="W1768" s="43">
        <f>W1767+Учет!R1768-R1768</f>
        <v>336855</v>
      </c>
      <c r="X1768" s="43">
        <f>X1767+Учет!S1768-S1768</f>
        <v>500</v>
      </c>
      <c r="Y1768" s="43">
        <f>Y1767+Учет!T1768-T1768</f>
        <v>1150</v>
      </c>
      <c r="Z1768" s="43">
        <f>Z1767+Учет!U1768-U1768</f>
        <v>500000</v>
      </c>
      <c r="AA1768" s="45">
        <f>Учет!X1768</f>
        <v>500</v>
      </c>
    </row>
    <row r="1769" spans="1:27" ht="15" customHeight="1" x14ac:dyDescent="0.25">
      <c r="A1769" s="1"/>
      <c r="B1769" s="17"/>
      <c r="C1769" s="17"/>
      <c r="D1769" s="17"/>
      <c r="E1769" s="17"/>
      <c r="F1769" s="17"/>
      <c r="G1769" s="4">
        <f t="shared" si="78"/>
        <v>0</v>
      </c>
      <c r="H1769" s="17"/>
      <c r="I1769" s="4">
        <f t="shared" si="80"/>
        <v>349526.07999999996</v>
      </c>
      <c r="J1769" s="32" t="str">
        <f t="shared" si="79"/>
        <v/>
      </c>
      <c r="K1769" s="72"/>
      <c r="L1769" s="72"/>
      <c r="M1769" s="2"/>
      <c r="N1769" s="5"/>
      <c r="O1769" s="3"/>
      <c r="P1769" s="6"/>
      <c r="Q1769" s="48">
        <f>IF(Учет!$O1769=Справочники!$F$2,Учет!$H1769,0)</f>
        <v>0</v>
      </c>
      <c r="R1769" s="48">
        <f>IF(Учет!$O1769=Справочники!$F$3,Учет!$H1769,0)</f>
        <v>0</v>
      </c>
      <c r="S1769" s="48">
        <f>IF(Учет!$O1769=Справочники!$F$4,Учет!$H1769,0)</f>
        <v>0</v>
      </c>
      <c r="T1769" s="48">
        <f>IF(Учет!$O1769=Справочники!$F$5,Учет!$H1769,0)</f>
        <v>0</v>
      </c>
      <c r="U1769" s="48">
        <f>IF(Учет!$O1769=Справочники!$F$6,Учет!$H1769,0)</f>
        <v>0</v>
      </c>
      <c r="V1769" s="43">
        <f>V1768+Учет!Q1769-Q1769</f>
        <v>-488978.92000000004</v>
      </c>
      <c r="W1769" s="43">
        <f>W1768+Учет!R1769-R1769</f>
        <v>336855</v>
      </c>
      <c r="X1769" s="43">
        <f>X1768+Учет!S1769-S1769</f>
        <v>500</v>
      </c>
      <c r="Y1769" s="43">
        <f>Y1768+Учет!T1769-T1769</f>
        <v>1150</v>
      </c>
      <c r="Z1769" s="43">
        <f>Z1768+Учет!U1769-U1769</f>
        <v>500000</v>
      </c>
      <c r="AA1769" s="45">
        <f>Учет!X1769</f>
        <v>500</v>
      </c>
    </row>
    <row r="1770" spans="1:27" ht="15" customHeight="1" x14ac:dyDescent="0.25">
      <c r="A1770" s="1"/>
      <c r="B1770" s="17"/>
      <c r="C1770" s="17"/>
      <c r="D1770" s="17"/>
      <c r="E1770" s="17"/>
      <c r="F1770" s="17"/>
      <c r="G1770" s="4">
        <f t="shared" si="78"/>
        <v>0</v>
      </c>
      <c r="H1770" s="17"/>
      <c r="I1770" s="4">
        <f t="shared" si="80"/>
        <v>349526.07999999996</v>
      </c>
      <c r="J1770" s="32" t="str">
        <f t="shared" si="79"/>
        <v/>
      </c>
      <c r="K1770" s="72"/>
      <c r="L1770" s="72"/>
      <c r="M1770" s="2"/>
      <c r="N1770" s="5"/>
      <c r="O1770" s="3"/>
      <c r="P1770" s="6"/>
      <c r="Q1770" s="48">
        <f>IF(Учет!$O1770=Справочники!$F$2,Учет!$H1770,0)</f>
        <v>0</v>
      </c>
      <c r="R1770" s="48">
        <f>IF(Учет!$O1770=Справочники!$F$3,Учет!$H1770,0)</f>
        <v>0</v>
      </c>
      <c r="S1770" s="48">
        <f>IF(Учет!$O1770=Справочники!$F$4,Учет!$H1770,0)</f>
        <v>0</v>
      </c>
      <c r="T1770" s="48">
        <f>IF(Учет!$O1770=Справочники!$F$5,Учет!$H1770,0)</f>
        <v>0</v>
      </c>
      <c r="U1770" s="48">
        <f>IF(Учет!$O1770=Справочники!$F$6,Учет!$H1770,0)</f>
        <v>0</v>
      </c>
      <c r="V1770" s="43">
        <f>V1769+Учет!Q1770-Q1770</f>
        <v>-488978.92000000004</v>
      </c>
      <c r="W1770" s="43">
        <f>W1769+Учет!R1770-R1770</f>
        <v>336855</v>
      </c>
      <c r="X1770" s="43">
        <f>X1769+Учет!S1770-S1770</f>
        <v>500</v>
      </c>
      <c r="Y1770" s="43">
        <f>Y1769+Учет!T1770-T1770</f>
        <v>1150</v>
      </c>
      <c r="Z1770" s="43">
        <f>Z1769+Учет!U1770-U1770</f>
        <v>500000</v>
      </c>
      <c r="AA1770" s="45">
        <f>Учет!X1770</f>
        <v>500</v>
      </c>
    </row>
    <row r="1771" spans="1:27" ht="15" customHeight="1" x14ac:dyDescent="0.25">
      <c r="A1771" s="1"/>
      <c r="B1771" s="17"/>
      <c r="C1771" s="17"/>
      <c r="D1771" s="17"/>
      <c r="E1771" s="17"/>
      <c r="F1771" s="17"/>
      <c r="G1771" s="4">
        <f t="shared" si="78"/>
        <v>0</v>
      </c>
      <c r="H1771" s="17"/>
      <c r="I1771" s="4">
        <f t="shared" si="80"/>
        <v>349526.07999999996</v>
      </c>
      <c r="J1771" s="32" t="str">
        <f t="shared" si="79"/>
        <v/>
      </c>
      <c r="K1771" s="72"/>
      <c r="L1771" s="72"/>
      <c r="M1771" s="2"/>
      <c r="N1771" s="5"/>
      <c r="O1771" s="3"/>
      <c r="P1771" s="6"/>
      <c r="Q1771" s="48">
        <f>IF(Учет!$O1771=Справочники!$F$2,Учет!$H1771,0)</f>
        <v>0</v>
      </c>
      <c r="R1771" s="48">
        <f>IF(Учет!$O1771=Справочники!$F$3,Учет!$H1771,0)</f>
        <v>0</v>
      </c>
      <c r="S1771" s="48">
        <f>IF(Учет!$O1771=Справочники!$F$4,Учет!$H1771,0)</f>
        <v>0</v>
      </c>
      <c r="T1771" s="48">
        <f>IF(Учет!$O1771=Справочники!$F$5,Учет!$H1771,0)</f>
        <v>0</v>
      </c>
      <c r="U1771" s="48">
        <f>IF(Учет!$O1771=Справочники!$F$6,Учет!$H1771,0)</f>
        <v>0</v>
      </c>
      <c r="V1771" s="43">
        <f>V1770+Учет!Q1771-Q1771</f>
        <v>-488978.92000000004</v>
      </c>
      <c r="W1771" s="43">
        <f>W1770+Учет!R1771-R1771</f>
        <v>336855</v>
      </c>
      <c r="X1771" s="43">
        <f>X1770+Учет!S1771-S1771</f>
        <v>500</v>
      </c>
      <c r="Y1771" s="43">
        <f>Y1770+Учет!T1771-T1771</f>
        <v>1150</v>
      </c>
      <c r="Z1771" s="43">
        <f>Z1770+Учет!U1771-U1771</f>
        <v>500000</v>
      </c>
      <c r="AA1771" s="45">
        <f>Учет!X1771</f>
        <v>500</v>
      </c>
    </row>
    <row r="1772" spans="1:27" ht="15" customHeight="1" x14ac:dyDescent="0.25">
      <c r="A1772" s="1"/>
      <c r="B1772" s="17"/>
      <c r="C1772" s="17"/>
      <c r="D1772" s="17"/>
      <c r="E1772" s="17"/>
      <c r="F1772" s="17"/>
      <c r="G1772" s="4">
        <f t="shared" si="78"/>
        <v>0</v>
      </c>
      <c r="H1772" s="17"/>
      <c r="I1772" s="4">
        <f t="shared" si="80"/>
        <v>349526.07999999996</v>
      </c>
      <c r="J1772" s="32" t="str">
        <f t="shared" si="79"/>
        <v/>
      </c>
      <c r="K1772" s="72"/>
      <c r="L1772" s="72"/>
      <c r="M1772" s="2"/>
      <c r="N1772" s="5"/>
      <c r="O1772" s="3"/>
      <c r="P1772" s="6"/>
      <c r="Q1772" s="48">
        <f>IF(Учет!$O1772=Справочники!$F$2,Учет!$H1772,0)</f>
        <v>0</v>
      </c>
      <c r="R1772" s="48">
        <f>IF(Учет!$O1772=Справочники!$F$3,Учет!$H1772,0)</f>
        <v>0</v>
      </c>
      <c r="S1772" s="48">
        <f>IF(Учет!$O1772=Справочники!$F$4,Учет!$H1772,0)</f>
        <v>0</v>
      </c>
      <c r="T1772" s="48">
        <f>IF(Учет!$O1772=Справочники!$F$5,Учет!$H1772,0)</f>
        <v>0</v>
      </c>
      <c r="U1772" s="48">
        <f>IF(Учет!$O1772=Справочники!$F$6,Учет!$H1772,0)</f>
        <v>0</v>
      </c>
      <c r="V1772" s="43">
        <f>V1771+Учет!Q1772-Q1772</f>
        <v>-488978.92000000004</v>
      </c>
      <c r="W1772" s="43">
        <f>W1771+Учет!R1772-R1772</f>
        <v>336855</v>
      </c>
      <c r="X1772" s="43">
        <f>X1771+Учет!S1772-S1772</f>
        <v>500</v>
      </c>
      <c r="Y1772" s="43">
        <f>Y1771+Учет!T1772-T1772</f>
        <v>1150</v>
      </c>
      <c r="Z1772" s="43">
        <f>Z1771+Учет!U1772-U1772</f>
        <v>500000</v>
      </c>
      <c r="AA1772" s="45">
        <f>Учет!X1772</f>
        <v>500</v>
      </c>
    </row>
    <row r="1773" spans="1:27" ht="15" customHeight="1" x14ac:dyDescent="0.25">
      <c r="A1773" s="1"/>
      <c r="B1773" s="17"/>
      <c r="C1773" s="17"/>
      <c r="D1773" s="17"/>
      <c r="E1773" s="17"/>
      <c r="F1773" s="17"/>
      <c r="G1773" s="4">
        <f t="shared" si="78"/>
        <v>0</v>
      </c>
      <c r="H1773" s="17"/>
      <c r="I1773" s="4">
        <f t="shared" si="80"/>
        <v>349526.07999999996</v>
      </c>
      <c r="J1773" s="32" t="str">
        <f t="shared" si="79"/>
        <v/>
      </c>
      <c r="K1773" s="72"/>
      <c r="L1773" s="72"/>
      <c r="M1773" s="2"/>
      <c r="N1773" s="5"/>
      <c r="O1773" s="3"/>
      <c r="P1773" s="6"/>
      <c r="Q1773" s="48">
        <f>IF(Учет!$O1773=Справочники!$F$2,Учет!$H1773,0)</f>
        <v>0</v>
      </c>
      <c r="R1773" s="48">
        <f>IF(Учет!$O1773=Справочники!$F$3,Учет!$H1773,0)</f>
        <v>0</v>
      </c>
      <c r="S1773" s="48">
        <f>IF(Учет!$O1773=Справочники!$F$4,Учет!$H1773,0)</f>
        <v>0</v>
      </c>
      <c r="T1773" s="48">
        <f>IF(Учет!$O1773=Справочники!$F$5,Учет!$H1773,0)</f>
        <v>0</v>
      </c>
      <c r="U1773" s="48">
        <f>IF(Учет!$O1773=Справочники!$F$6,Учет!$H1773,0)</f>
        <v>0</v>
      </c>
      <c r="V1773" s="43">
        <f>V1772+Учет!Q1773-Q1773</f>
        <v>-488978.92000000004</v>
      </c>
      <c r="W1773" s="43">
        <f>W1772+Учет!R1773-R1773</f>
        <v>336855</v>
      </c>
      <c r="X1773" s="43">
        <f>X1772+Учет!S1773-S1773</f>
        <v>500</v>
      </c>
      <c r="Y1773" s="43">
        <f>Y1772+Учет!T1773-T1773</f>
        <v>1150</v>
      </c>
      <c r="Z1773" s="43">
        <f>Z1772+Учет!U1773-U1773</f>
        <v>500000</v>
      </c>
      <c r="AA1773" s="45">
        <f>Учет!X1773</f>
        <v>500</v>
      </c>
    </row>
    <row r="1774" spans="1:27" ht="15" customHeight="1" x14ac:dyDescent="0.25">
      <c r="A1774" s="1"/>
      <c r="B1774" s="17"/>
      <c r="C1774" s="17"/>
      <c r="D1774" s="17"/>
      <c r="E1774" s="17"/>
      <c r="F1774" s="17"/>
      <c r="G1774" s="4">
        <f t="shared" si="78"/>
        <v>0</v>
      </c>
      <c r="H1774" s="17"/>
      <c r="I1774" s="4">
        <f t="shared" si="80"/>
        <v>349526.07999999996</v>
      </c>
      <c r="J1774" s="32" t="str">
        <f t="shared" si="79"/>
        <v/>
      </c>
      <c r="K1774" s="72"/>
      <c r="L1774" s="72"/>
      <c r="M1774" s="2"/>
      <c r="N1774" s="5"/>
      <c r="O1774" s="3"/>
      <c r="P1774" s="6"/>
      <c r="Q1774" s="48">
        <f>IF(Учет!$O1774=Справочники!$F$2,Учет!$H1774,0)</f>
        <v>0</v>
      </c>
      <c r="R1774" s="48">
        <f>IF(Учет!$O1774=Справочники!$F$3,Учет!$H1774,0)</f>
        <v>0</v>
      </c>
      <c r="S1774" s="48">
        <f>IF(Учет!$O1774=Справочники!$F$4,Учет!$H1774,0)</f>
        <v>0</v>
      </c>
      <c r="T1774" s="48">
        <f>IF(Учет!$O1774=Справочники!$F$5,Учет!$H1774,0)</f>
        <v>0</v>
      </c>
      <c r="U1774" s="48">
        <f>IF(Учет!$O1774=Справочники!$F$6,Учет!$H1774,0)</f>
        <v>0</v>
      </c>
      <c r="V1774" s="43">
        <f>V1773+Учет!Q1774-Q1774</f>
        <v>-488978.92000000004</v>
      </c>
      <c r="W1774" s="43">
        <f>W1773+Учет!R1774-R1774</f>
        <v>336855</v>
      </c>
      <c r="X1774" s="43">
        <f>X1773+Учет!S1774-S1774</f>
        <v>500</v>
      </c>
      <c r="Y1774" s="43">
        <f>Y1773+Учет!T1774-T1774</f>
        <v>1150</v>
      </c>
      <c r="Z1774" s="43">
        <f>Z1773+Учет!U1774-U1774</f>
        <v>500000</v>
      </c>
      <c r="AA1774" s="45">
        <f>Учет!X1774</f>
        <v>500</v>
      </c>
    </row>
    <row r="1775" spans="1:27" ht="15" customHeight="1" x14ac:dyDescent="0.25">
      <c r="A1775" s="1"/>
      <c r="B1775" s="17"/>
      <c r="C1775" s="17"/>
      <c r="D1775" s="17"/>
      <c r="E1775" s="17"/>
      <c r="F1775" s="17"/>
      <c r="G1775" s="4">
        <f t="shared" si="78"/>
        <v>0</v>
      </c>
      <c r="H1775" s="17"/>
      <c r="I1775" s="4">
        <f t="shared" si="80"/>
        <v>349526.07999999996</v>
      </c>
      <c r="J1775" s="32" t="str">
        <f t="shared" si="79"/>
        <v/>
      </c>
      <c r="K1775" s="72"/>
      <c r="L1775" s="72"/>
      <c r="M1775" s="2"/>
      <c r="N1775" s="5"/>
      <c r="O1775" s="3"/>
      <c r="P1775" s="6"/>
      <c r="Q1775" s="48">
        <f>IF(Учет!$O1775=Справочники!$F$2,Учет!$H1775,0)</f>
        <v>0</v>
      </c>
      <c r="R1775" s="48">
        <f>IF(Учет!$O1775=Справочники!$F$3,Учет!$H1775,0)</f>
        <v>0</v>
      </c>
      <c r="S1775" s="48">
        <f>IF(Учет!$O1775=Справочники!$F$4,Учет!$H1775,0)</f>
        <v>0</v>
      </c>
      <c r="T1775" s="48">
        <f>IF(Учет!$O1775=Справочники!$F$5,Учет!$H1775,0)</f>
        <v>0</v>
      </c>
      <c r="U1775" s="48">
        <f>IF(Учет!$O1775=Справочники!$F$6,Учет!$H1775,0)</f>
        <v>0</v>
      </c>
      <c r="V1775" s="43">
        <f>V1774+Учет!Q1775-Q1775</f>
        <v>-488978.92000000004</v>
      </c>
      <c r="W1775" s="43">
        <f>W1774+Учет!R1775-R1775</f>
        <v>336855</v>
      </c>
      <c r="X1775" s="43">
        <f>X1774+Учет!S1775-S1775</f>
        <v>500</v>
      </c>
      <c r="Y1775" s="43">
        <f>Y1774+Учет!T1775-T1775</f>
        <v>1150</v>
      </c>
      <c r="Z1775" s="43">
        <f>Z1774+Учет!U1775-U1775</f>
        <v>500000</v>
      </c>
      <c r="AA1775" s="45">
        <f>Учет!X1775</f>
        <v>500</v>
      </c>
    </row>
    <row r="1776" spans="1:27" ht="15" customHeight="1" x14ac:dyDescent="0.25">
      <c r="A1776" s="1"/>
      <c r="B1776" s="17"/>
      <c r="C1776" s="17"/>
      <c r="D1776" s="17"/>
      <c r="E1776" s="17"/>
      <c r="F1776" s="17"/>
      <c r="G1776" s="4">
        <f t="shared" si="78"/>
        <v>0</v>
      </c>
      <c r="H1776" s="17"/>
      <c r="I1776" s="4">
        <f t="shared" si="80"/>
        <v>349526.07999999996</v>
      </c>
      <c r="J1776" s="32" t="str">
        <f t="shared" si="79"/>
        <v/>
      </c>
      <c r="K1776" s="72"/>
      <c r="L1776" s="72"/>
      <c r="M1776" s="2"/>
      <c r="N1776" s="5"/>
      <c r="O1776" s="3"/>
      <c r="P1776" s="6"/>
      <c r="Q1776" s="48">
        <f>IF(Учет!$O1776=Справочники!$F$2,Учет!$H1776,0)</f>
        <v>0</v>
      </c>
      <c r="R1776" s="48">
        <f>IF(Учет!$O1776=Справочники!$F$3,Учет!$H1776,0)</f>
        <v>0</v>
      </c>
      <c r="S1776" s="48">
        <f>IF(Учет!$O1776=Справочники!$F$4,Учет!$H1776,0)</f>
        <v>0</v>
      </c>
      <c r="T1776" s="48">
        <f>IF(Учет!$O1776=Справочники!$F$5,Учет!$H1776,0)</f>
        <v>0</v>
      </c>
      <c r="U1776" s="48">
        <f>IF(Учет!$O1776=Справочники!$F$6,Учет!$H1776,0)</f>
        <v>0</v>
      </c>
      <c r="V1776" s="43">
        <f>V1775+Учет!Q1776-Q1776</f>
        <v>-488978.92000000004</v>
      </c>
      <c r="W1776" s="43">
        <f>W1775+Учет!R1776-R1776</f>
        <v>336855</v>
      </c>
      <c r="X1776" s="43">
        <f>X1775+Учет!S1776-S1776</f>
        <v>500</v>
      </c>
      <c r="Y1776" s="43">
        <f>Y1775+Учет!T1776-T1776</f>
        <v>1150</v>
      </c>
      <c r="Z1776" s="43">
        <f>Z1775+Учет!U1776-U1776</f>
        <v>500000</v>
      </c>
      <c r="AA1776" s="45">
        <f>Учет!X1776</f>
        <v>500</v>
      </c>
    </row>
    <row r="1777" spans="1:27" ht="15" customHeight="1" x14ac:dyDescent="0.25">
      <c r="A1777" s="1"/>
      <c r="B1777" s="17"/>
      <c r="C1777" s="17"/>
      <c r="D1777" s="17"/>
      <c r="E1777" s="17"/>
      <c r="F1777" s="17"/>
      <c r="G1777" s="4">
        <f t="shared" si="78"/>
        <v>0</v>
      </c>
      <c r="H1777" s="17"/>
      <c r="I1777" s="4">
        <f t="shared" si="80"/>
        <v>349526.07999999996</v>
      </c>
      <c r="J1777" s="32" t="str">
        <f t="shared" si="79"/>
        <v/>
      </c>
      <c r="K1777" s="72"/>
      <c r="L1777" s="72"/>
      <c r="M1777" s="2"/>
      <c r="N1777" s="5"/>
      <c r="O1777" s="3"/>
      <c r="P1777" s="6"/>
      <c r="Q1777" s="48">
        <f>IF(Учет!$O1777=Справочники!$F$2,Учет!$H1777,0)</f>
        <v>0</v>
      </c>
      <c r="R1777" s="48">
        <f>IF(Учет!$O1777=Справочники!$F$3,Учет!$H1777,0)</f>
        <v>0</v>
      </c>
      <c r="S1777" s="48">
        <f>IF(Учет!$O1777=Справочники!$F$4,Учет!$H1777,0)</f>
        <v>0</v>
      </c>
      <c r="T1777" s="48">
        <f>IF(Учет!$O1777=Справочники!$F$5,Учет!$H1777,0)</f>
        <v>0</v>
      </c>
      <c r="U1777" s="48">
        <f>IF(Учет!$O1777=Справочники!$F$6,Учет!$H1777,0)</f>
        <v>0</v>
      </c>
      <c r="V1777" s="43">
        <f>V1776+Учет!Q1777-Q1777</f>
        <v>-488978.92000000004</v>
      </c>
      <c r="W1777" s="43">
        <f>W1776+Учет!R1777-R1777</f>
        <v>336855</v>
      </c>
      <c r="X1777" s="43">
        <f>X1776+Учет!S1777-S1777</f>
        <v>500</v>
      </c>
      <c r="Y1777" s="43">
        <f>Y1776+Учет!T1777-T1777</f>
        <v>1150</v>
      </c>
      <c r="Z1777" s="43">
        <f>Z1776+Учет!U1777-U1777</f>
        <v>500000</v>
      </c>
      <c r="AA1777" s="45">
        <f>Учет!X1777</f>
        <v>500</v>
      </c>
    </row>
    <row r="1778" spans="1:27" ht="15" customHeight="1" x14ac:dyDescent="0.25">
      <c r="A1778" s="1"/>
      <c r="B1778" s="17"/>
      <c r="C1778" s="17"/>
      <c r="D1778" s="17"/>
      <c r="E1778" s="17"/>
      <c r="F1778" s="17"/>
      <c r="G1778" s="4">
        <f t="shared" si="78"/>
        <v>0</v>
      </c>
      <c r="H1778" s="17"/>
      <c r="I1778" s="4">
        <f t="shared" si="80"/>
        <v>349526.07999999996</v>
      </c>
      <c r="J1778" s="32" t="str">
        <f t="shared" si="79"/>
        <v/>
      </c>
      <c r="K1778" s="72"/>
      <c r="L1778" s="72"/>
      <c r="M1778" s="2"/>
      <c r="N1778" s="5"/>
      <c r="O1778" s="3"/>
      <c r="P1778" s="6"/>
      <c r="Q1778" s="48">
        <f>IF(Учет!$O1778=Справочники!$F$2,Учет!$H1778,0)</f>
        <v>0</v>
      </c>
      <c r="R1778" s="48">
        <f>IF(Учет!$O1778=Справочники!$F$3,Учет!$H1778,0)</f>
        <v>0</v>
      </c>
      <c r="S1778" s="48">
        <f>IF(Учет!$O1778=Справочники!$F$4,Учет!$H1778,0)</f>
        <v>0</v>
      </c>
      <c r="T1778" s="48">
        <f>IF(Учет!$O1778=Справочники!$F$5,Учет!$H1778,0)</f>
        <v>0</v>
      </c>
      <c r="U1778" s="48">
        <f>IF(Учет!$O1778=Справочники!$F$6,Учет!$H1778,0)</f>
        <v>0</v>
      </c>
      <c r="V1778" s="43">
        <f>V1777+Учет!Q1778-Q1778</f>
        <v>-488978.92000000004</v>
      </c>
      <c r="W1778" s="43">
        <f>W1777+Учет!R1778-R1778</f>
        <v>336855</v>
      </c>
      <c r="X1778" s="43">
        <f>X1777+Учет!S1778-S1778</f>
        <v>500</v>
      </c>
      <c r="Y1778" s="43">
        <f>Y1777+Учет!T1778-T1778</f>
        <v>1150</v>
      </c>
      <c r="Z1778" s="43">
        <f>Z1777+Учет!U1778-U1778</f>
        <v>500000</v>
      </c>
      <c r="AA1778" s="45">
        <f>Учет!X1778</f>
        <v>500</v>
      </c>
    </row>
    <row r="1779" spans="1:27" ht="15" customHeight="1" x14ac:dyDescent="0.25">
      <c r="A1779" s="1"/>
      <c r="B1779" s="17"/>
      <c r="C1779" s="17"/>
      <c r="D1779" s="17"/>
      <c r="E1779" s="17"/>
      <c r="F1779" s="17"/>
      <c r="G1779" s="4">
        <f t="shared" si="78"/>
        <v>0</v>
      </c>
      <c r="H1779" s="17"/>
      <c r="I1779" s="4">
        <f t="shared" si="80"/>
        <v>349526.07999999996</v>
      </c>
      <c r="J1779" s="32" t="str">
        <f t="shared" si="79"/>
        <v/>
      </c>
      <c r="K1779" s="72"/>
      <c r="L1779" s="72"/>
      <c r="M1779" s="2"/>
      <c r="N1779" s="5"/>
      <c r="O1779" s="3"/>
      <c r="P1779" s="6"/>
      <c r="Q1779" s="48">
        <f>IF(Учет!$O1779=Справочники!$F$2,Учет!$H1779,0)</f>
        <v>0</v>
      </c>
      <c r="R1779" s="48">
        <f>IF(Учет!$O1779=Справочники!$F$3,Учет!$H1779,0)</f>
        <v>0</v>
      </c>
      <c r="S1779" s="48">
        <f>IF(Учет!$O1779=Справочники!$F$4,Учет!$H1779,0)</f>
        <v>0</v>
      </c>
      <c r="T1779" s="48">
        <f>IF(Учет!$O1779=Справочники!$F$5,Учет!$H1779,0)</f>
        <v>0</v>
      </c>
      <c r="U1779" s="48">
        <f>IF(Учет!$O1779=Справочники!$F$6,Учет!$H1779,0)</f>
        <v>0</v>
      </c>
      <c r="V1779" s="43">
        <f>V1778+Учет!Q1779-Q1779</f>
        <v>-488978.92000000004</v>
      </c>
      <c r="W1779" s="43">
        <f>W1778+Учет!R1779-R1779</f>
        <v>336855</v>
      </c>
      <c r="X1779" s="43">
        <f>X1778+Учет!S1779-S1779</f>
        <v>500</v>
      </c>
      <c r="Y1779" s="43">
        <f>Y1778+Учет!T1779-T1779</f>
        <v>1150</v>
      </c>
      <c r="Z1779" s="43">
        <f>Z1778+Учет!U1779-U1779</f>
        <v>500000</v>
      </c>
      <c r="AA1779" s="45">
        <f>Учет!X1779</f>
        <v>500</v>
      </c>
    </row>
    <row r="1780" spans="1:27" ht="15" customHeight="1" x14ac:dyDescent="0.25">
      <c r="A1780" s="1"/>
      <c r="B1780" s="17"/>
      <c r="C1780" s="17"/>
      <c r="D1780" s="17"/>
      <c r="E1780" s="17"/>
      <c r="F1780" s="17"/>
      <c r="G1780" s="4">
        <f t="shared" si="78"/>
        <v>0</v>
      </c>
      <c r="H1780" s="17"/>
      <c r="I1780" s="4">
        <f t="shared" si="80"/>
        <v>349526.07999999996</v>
      </c>
      <c r="J1780" s="32" t="str">
        <f t="shared" si="79"/>
        <v/>
      </c>
      <c r="K1780" s="72"/>
      <c r="L1780" s="72"/>
      <c r="M1780" s="2"/>
      <c r="N1780" s="5"/>
      <c r="O1780" s="3"/>
      <c r="P1780" s="6"/>
      <c r="Q1780" s="48">
        <f>IF(Учет!$O1780=Справочники!$F$2,Учет!$H1780,0)</f>
        <v>0</v>
      </c>
      <c r="R1780" s="48">
        <f>IF(Учет!$O1780=Справочники!$F$3,Учет!$H1780,0)</f>
        <v>0</v>
      </c>
      <c r="S1780" s="48">
        <f>IF(Учет!$O1780=Справочники!$F$4,Учет!$H1780,0)</f>
        <v>0</v>
      </c>
      <c r="T1780" s="48">
        <f>IF(Учет!$O1780=Справочники!$F$5,Учет!$H1780,0)</f>
        <v>0</v>
      </c>
      <c r="U1780" s="48">
        <f>IF(Учет!$O1780=Справочники!$F$6,Учет!$H1780,0)</f>
        <v>0</v>
      </c>
      <c r="V1780" s="43">
        <f>V1779+Учет!Q1780-Q1780</f>
        <v>-488978.92000000004</v>
      </c>
      <c r="W1780" s="43">
        <f>W1779+Учет!R1780-R1780</f>
        <v>336855</v>
      </c>
      <c r="X1780" s="43">
        <f>X1779+Учет!S1780-S1780</f>
        <v>500</v>
      </c>
      <c r="Y1780" s="43">
        <f>Y1779+Учет!T1780-T1780</f>
        <v>1150</v>
      </c>
      <c r="Z1780" s="43">
        <f>Z1779+Учет!U1780-U1780</f>
        <v>500000</v>
      </c>
      <c r="AA1780" s="45">
        <f>Учет!X1780</f>
        <v>500</v>
      </c>
    </row>
    <row r="1781" spans="1:27" ht="15" customHeight="1" x14ac:dyDescent="0.25">
      <c r="A1781" s="1"/>
      <c r="B1781" s="17"/>
      <c r="C1781" s="17"/>
      <c r="D1781" s="17"/>
      <c r="E1781" s="17"/>
      <c r="F1781" s="17"/>
      <c r="G1781" s="4">
        <f t="shared" si="78"/>
        <v>0</v>
      </c>
      <c r="H1781" s="17"/>
      <c r="I1781" s="4">
        <f t="shared" si="80"/>
        <v>349526.07999999996</v>
      </c>
      <c r="J1781" s="32" t="str">
        <f t="shared" si="79"/>
        <v/>
      </c>
      <c r="K1781" s="72"/>
      <c r="L1781" s="72"/>
      <c r="M1781" s="2"/>
      <c r="N1781" s="5"/>
      <c r="O1781" s="3"/>
      <c r="P1781" s="6"/>
      <c r="Q1781" s="48">
        <f>IF(Учет!$O1781=Справочники!$F$2,Учет!$H1781,0)</f>
        <v>0</v>
      </c>
      <c r="R1781" s="48">
        <f>IF(Учет!$O1781=Справочники!$F$3,Учет!$H1781,0)</f>
        <v>0</v>
      </c>
      <c r="S1781" s="48">
        <f>IF(Учет!$O1781=Справочники!$F$4,Учет!$H1781,0)</f>
        <v>0</v>
      </c>
      <c r="T1781" s="48">
        <f>IF(Учет!$O1781=Справочники!$F$5,Учет!$H1781,0)</f>
        <v>0</v>
      </c>
      <c r="U1781" s="48">
        <f>IF(Учет!$O1781=Справочники!$F$6,Учет!$H1781,0)</f>
        <v>0</v>
      </c>
      <c r="V1781" s="43">
        <f>V1780+Учет!Q1781-Q1781</f>
        <v>-488978.92000000004</v>
      </c>
      <c r="W1781" s="43">
        <f>W1780+Учет!R1781-R1781</f>
        <v>336855</v>
      </c>
      <c r="X1781" s="43">
        <f>X1780+Учет!S1781-S1781</f>
        <v>500</v>
      </c>
      <c r="Y1781" s="43">
        <f>Y1780+Учет!T1781-T1781</f>
        <v>1150</v>
      </c>
      <c r="Z1781" s="43">
        <f>Z1780+Учет!U1781-U1781</f>
        <v>500000</v>
      </c>
      <c r="AA1781" s="45">
        <f>Учет!X1781</f>
        <v>500</v>
      </c>
    </row>
    <row r="1782" spans="1:27" ht="15" customHeight="1" x14ac:dyDescent="0.25">
      <c r="A1782" s="1"/>
      <c r="B1782" s="17"/>
      <c r="C1782" s="17"/>
      <c r="D1782" s="17"/>
      <c r="E1782" s="17"/>
      <c r="F1782" s="17"/>
      <c r="G1782" s="4">
        <f t="shared" si="78"/>
        <v>0</v>
      </c>
      <c r="H1782" s="17"/>
      <c r="I1782" s="4">
        <f t="shared" si="80"/>
        <v>349526.07999999996</v>
      </c>
      <c r="J1782" s="32" t="str">
        <f t="shared" si="79"/>
        <v/>
      </c>
      <c r="K1782" s="72"/>
      <c r="L1782" s="72"/>
      <c r="M1782" s="2"/>
      <c r="N1782" s="5"/>
      <c r="O1782" s="3"/>
      <c r="P1782" s="6"/>
      <c r="Q1782" s="48">
        <f>IF(Учет!$O1782=Справочники!$F$2,Учет!$H1782,0)</f>
        <v>0</v>
      </c>
      <c r="R1782" s="48">
        <f>IF(Учет!$O1782=Справочники!$F$3,Учет!$H1782,0)</f>
        <v>0</v>
      </c>
      <c r="S1782" s="48">
        <f>IF(Учет!$O1782=Справочники!$F$4,Учет!$H1782,0)</f>
        <v>0</v>
      </c>
      <c r="T1782" s="48">
        <f>IF(Учет!$O1782=Справочники!$F$5,Учет!$H1782,0)</f>
        <v>0</v>
      </c>
      <c r="U1782" s="48">
        <f>IF(Учет!$O1782=Справочники!$F$6,Учет!$H1782,0)</f>
        <v>0</v>
      </c>
      <c r="V1782" s="43">
        <f>V1781+Учет!Q1782-Q1782</f>
        <v>-488978.92000000004</v>
      </c>
      <c r="W1782" s="43">
        <f>W1781+Учет!R1782-R1782</f>
        <v>336855</v>
      </c>
      <c r="X1782" s="43">
        <f>X1781+Учет!S1782-S1782</f>
        <v>500</v>
      </c>
      <c r="Y1782" s="43">
        <f>Y1781+Учет!T1782-T1782</f>
        <v>1150</v>
      </c>
      <c r="Z1782" s="43">
        <f>Z1781+Учет!U1782-U1782</f>
        <v>500000</v>
      </c>
      <c r="AA1782" s="45">
        <f>Учет!X1782</f>
        <v>500</v>
      </c>
    </row>
    <row r="1783" spans="1:27" ht="15" customHeight="1" x14ac:dyDescent="0.25">
      <c r="A1783" s="1"/>
      <c r="B1783" s="17"/>
      <c r="C1783" s="17"/>
      <c r="D1783" s="17"/>
      <c r="E1783" s="17"/>
      <c r="F1783" s="17"/>
      <c r="G1783" s="4">
        <f t="shared" si="78"/>
        <v>0</v>
      </c>
      <c r="H1783" s="17"/>
      <c r="I1783" s="4">
        <f t="shared" si="80"/>
        <v>349526.07999999996</v>
      </c>
      <c r="J1783" s="32" t="str">
        <f t="shared" si="79"/>
        <v/>
      </c>
      <c r="K1783" s="72"/>
      <c r="L1783" s="72"/>
      <c r="M1783" s="2"/>
      <c r="N1783" s="5"/>
      <c r="O1783" s="3"/>
      <c r="P1783" s="6"/>
      <c r="Q1783" s="48">
        <f>IF(Учет!$O1783=Справочники!$F$2,Учет!$H1783,0)</f>
        <v>0</v>
      </c>
      <c r="R1783" s="48">
        <f>IF(Учет!$O1783=Справочники!$F$3,Учет!$H1783,0)</f>
        <v>0</v>
      </c>
      <c r="S1783" s="48">
        <f>IF(Учет!$O1783=Справочники!$F$4,Учет!$H1783,0)</f>
        <v>0</v>
      </c>
      <c r="T1783" s="48">
        <f>IF(Учет!$O1783=Справочники!$F$5,Учет!$H1783,0)</f>
        <v>0</v>
      </c>
      <c r="U1783" s="48">
        <f>IF(Учет!$O1783=Справочники!$F$6,Учет!$H1783,0)</f>
        <v>0</v>
      </c>
      <c r="V1783" s="43">
        <f>V1782+Учет!Q1783-Q1783</f>
        <v>-488978.92000000004</v>
      </c>
      <c r="W1783" s="43">
        <f>W1782+Учет!R1783-R1783</f>
        <v>336855</v>
      </c>
      <c r="X1783" s="43">
        <f>X1782+Учет!S1783-S1783</f>
        <v>500</v>
      </c>
      <c r="Y1783" s="43">
        <f>Y1782+Учет!T1783-T1783</f>
        <v>1150</v>
      </c>
      <c r="Z1783" s="43">
        <f>Z1782+Учет!U1783-U1783</f>
        <v>500000</v>
      </c>
      <c r="AA1783" s="45">
        <f>Учет!X1783</f>
        <v>500</v>
      </c>
    </row>
    <row r="1784" spans="1:27" ht="15" customHeight="1" x14ac:dyDescent="0.25">
      <c r="A1784" s="1"/>
      <c r="B1784" s="17"/>
      <c r="C1784" s="17"/>
      <c r="D1784" s="17"/>
      <c r="E1784" s="17"/>
      <c r="F1784" s="17"/>
      <c r="G1784" s="4">
        <f t="shared" si="78"/>
        <v>0</v>
      </c>
      <c r="H1784" s="17"/>
      <c r="I1784" s="4">
        <f t="shared" si="80"/>
        <v>349526.07999999996</v>
      </c>
      <c r="J1784" s="32" t="str">
        <f t="shared" si="79"/>
        <v/>
      </c>
      <c r="K1784" s="72"/>
      <c r="L1784" s="72"/>
      <c r="M1784" s="2"/>
      <c r="N1784" s="5"/>
      <c r="O1784" s="3"/>
      <c r="P1784" s="6"/>
      <c r="Q1784" s="48">
        <f>IF(Учет!$O1784=Справочники!$F$2,Учет!$H1784,0)</f>
        <v>0</v>
      </c>
      <c r="R1784" s="48">
        <f>IF(Учет!$O1784=Справочники!$F$3,Учет!$H1784,0)</f>
        <v>0</v>
      </c>
      <c r="S1784" s="48">
        <f>IF(Учет!$O1784=Справочники!$F$4,Учет!$H1784,0)</f>
        <v>0</v>
      </c>
      <c r="T1784" s="48">
        <f>IF(Учет!$O1784=Справочники!$F$5,Учет!$H1784,0)</f>
        <v>0</v>
      </c>
      <c r="U1784" s="48">
        <f>IF(Учет!$O1784=Справочники!$F$6,Учет!$H1784,0)</f>
        <v>0</v>
      </c>
      <c r="V1784" s="43">
        <f>V1783+Учет!Q1784-Q1784</f>
        <v>-488978.92000000004</v>
      </c>
      <c r="W1784" s="43">
        <f>W1783+Учет!R1784-R1784</f>
        <v>336855</v>
      </c>
      <c r="X1784" s="43">
        <f>X1783+Учет!S1784-S1784</f>
        <v>500</v>
      </c>
      <c r="Y1784" s="43">
        <f>Y1783+Учет!T1784-T1784</f>
        <v>1150</v>
      </c>
      <c r="Z1784" s="43">
        <f>Z1783+Учет!U1784-U1784</f>
        <v>500000</v>
      </c>
      <c r="AA1784" s="45">
        <f>Учет!X1784</f>
        <v>500</v>
      </c>
    </row>
    <row r="1785" spans="1:27" ht="15" customHeight="1" x14ac:dyDescent="0.25">
      <c r="A1785" s="1"/>
      <c r="B1785" s="17"/>
      <c r="C1785" s="17"/>
      <c r="D1785" s="17"/>
      <c r="E1785" s="17"/>
      <c r="F1785" s="17"/>
      <c r="G1785" s="4">
        <f t="shared" si="78"/>
        <v>0</v>
      </c>
      <c r="H1785" s="17"/>
      <c r="I1785" s="4">
        <f t="shared" si="80"/>
        <v>349526.07999999996</v>
      </c>
      <c r="J1785" s="32" t="str">
        <f t="shared" si="79"/>
        <v/>
      </c>
      <c r="K1785" s="72"/>
      <c r="L1785" s="72"/>
      <c r="M1785" s="2"/>
      <c r="N1785" s="5"/>
      <c r="O1785" s="3"/>
      <c r="P1785" s="6"/>
      <c r="Q1785" s="48">
        <f>IF(Учет!$O1785=Справочники!$F$2,Учет!$H1785,0)</f>
        <v>0</v>
      </c>
      <c r="R1785" s="48">
        <f>IF(Учет!$O1785=Справочники!$F$3,Учет!$H1785,0)</f>
        <v>0</v>
      </c>
      <c r="S1785" s="48">
        <f>IF(Учет!$O1785=Справочники!$F$4,Учет!$H1785,0)</f>
        <v>0</v>
      </c>
      <c r="T1785" s="48">
        <f>IF(Учет!$O1785=Справочники!$F$5,Учет!$H1785,0)</f>
        <v>0</v>
      </c>
      <c r="U1785" s="48">
        <f>IF(Учет!$O1785=Справочники!$F$6,Учет!$H1785,0)</f>
        <v>0</v>
      </c>
      <c r="V1785" s="43">
        <f>V1784+Учет!Q1785-Q1785</f>
        <v>-488978.92000000004</v>
      </c>
      <c r="W1785" s="43">
        <f>W1784+Учет!R1785-R1785</f>
        <v>336855</v>
      </c>
      <c r="X1785" s="43">
        <f>X1784+Учет!S1785-S1785</f>
        <v>500</v>
      </c>
      <c r="Y1785" s="43">
        <f>Y1784+Учет!T1785-T1785</f>
        <v>1150</v>
      </c>
      <c r="Z1785" s="43">
        <f>Z1784+Учет!U1785-U1785</f>
        <v>500000</v>
      </c>
      <c r="AA1785" s="45">
        <f>Учет!X1785</f>
        <v>500</v>
      </c>
    </row>
    <row r="1786" spans="1:27" ht="15" customHeight="1" x14ac:dyDescent="0.25">
      <c r="A1786" s="1"/>
      <c r="B1786" s="17"/>
      <c r="C1786" s="17"/>
      <c r="D1786" s="17"/>
      <c r="E1786" s="17"/>
      <c r="F1786" s="17"/>
      <c r="G1786" s="4">
        <f t="shared" si="78"/>
        <v>0</v>
      </c>
      <c r="H1786" s="17"/>
      <c r="I1786" s="4">
        <f t="shared" si="80"/>
        <v>349526.07999999996</v>
      </c>
      <c r="J1786" s="32" t="str">
        <f t="shared" si="79"/>
        <v/>
      </c>
      <c r="K1786" s="72"/>
      <c r="L1786" s="72"/>
      <c r="M1786" s="2"/>
      <c r="N1786" s="5"/>
      <c r="O1786" s="3"/>
      <c r="P1786" s="6"/>
      <c r="Q1786" s="48">
        <f>IF(Учет!$O1786=Справочники!$F$2,Учет!$H1786,0)</f>
        <v>0</v>
      </c>
      <c r="R1786" s="48">
        <f>IF(Учет!$O1786=Справочники!$F$3,Учет!$H1786,0)</f>
        <v>0</v>
      </c>
      <c r="S1786" s="48">
        <f>IF(Учет!$O1786=Справочники!$F$4,Учет!$H1786,0)</f>
        <v>0</v>
      </c>
      <c r="T1786" s="48">
        <f>IF(Учет!$O1786=Справочники!$F$5,Учет!$H1786,0)</f>
        <v>0</v>
      </c>
      <c r="U1786" s="48">
        <f>IF(Учет!$O1786=Справочники!$F$6,Учет!$H1786,0)</f>
        <v>0</v>
      </c>
      <c r="V1786" s="43">
        <f>V1785+Учет!Q1786-Q1786</f>
        <v>-488978.92000000004</v>
      </c>
      <c r="W1786" s="43">
        <f>W1785+Учет!R1786-R1786</f>
        <v>336855</v>
      </c>
      <c r="X1786" s="43">
        <f>X1785+Учет!S1786-S1786</f>
        <v>500</v>
      </c>
      <c r="Y1786" s="43">
        <f>Y1785+Учет!T1786-T1786</f>
        <v>1150</v>
      </c>
      <c r="Z1786" s="43">
        <f>Z1785+Учет!U1786-U1786</f>
        <v>500000</v>
      </c>
      <c r="AA1786" s="45">
        <f>Учет!X1786</f>
        <v>500</v>
      </c>
    </row>
    <row r="1787" spans="1:27" ht="15" customHeight="1" x14ac:dyDescent="0.25">
      <c r="A1787" s="1"/>
      <c r="B1787" s="17"/>
      <c r="C1787" s="17"/>
      <c r="D1787" s="17"/>
      <c r="E1787" s="17"/>
      <c r="F1787" s="17"/>
      <c r="G1787" s="4">
        <f t="shared" si="78"/>
        <v>0</v>
      </c>
      <c r="H1787" s="17"/>
      <c r="I1787" s="4">
        <f t="shared" si="80"/>
        <v>349526.07999999996</v>
      </c>
      <c r="J1787" s="32" t="str">
        <f t="shared" si="79"/>
        <v/>
      </c>
      <c r="K1787" s="72"/>
      <c r="L1787" s="72"/>
      <c r="M1787" s="2"/>
      <c r="N1787" s="5"/>
      <c r="O1787" s="3"/>
      <c r="P1787" s="6"/>
      <c r="Q1787" s="48">
        <f>IF(Учет!$O1787=Справочники!$F$2,Учет!$H1787,0)</f>
        <v>0</v>
      </c>
      <c r="R1787" s="48">
        <f>IF(Учет!$O1787=Справочники!$F$3,Учет!$H1787,0)</f>
        <v>0</v>
      </c>
      <c r="S1787" s="48">
        <f>IF(Учет!$O1787=Справочники!$F$4,Учет!$H1787,0)</f>
        <v>0</v>
      </c>
      <c r="T1787" s="48">
        <f>IF(Учет!$O1787=Справочники!$F$5,Учет!$H1787,0)</f>
        <v>0</v>
      </c>
      <c r="U1787" s="48">
        <f>IF(Учет!$O1787=Справочники!$F$6,Учет!$H1787,0)</f>
        <v>0</v>
      </c>
      <c r="V1787" s="43">
        <f>V1786+Учет!Q1787-Q1787</f>
        <v>-488978.92000000004</v>
      </c>
      <c r="W1787" s="43">
        <f>W1786+Учет!R1787-R1787</f>
        <v>336855</v>
      </c>
      <c r="X1787" s="43">
        <f>X1786+Учет!S1787-S1787</f>
        <v>500</v>
      </c>
      <c r="Y1787" s="43">
        <f>Y1786+Учет!T1787-T1787</f>
        <v>1150</v>
      </c>
      <c r="Z1787" s="43">
        <f>Z1786+Учет!U1787-U1787</f>
        <v>500000</v>
      </c>
      <c r="AA1787" s="45">
        <f>Учет!X1787</f>
        <v>500</v>
      </c>
    </row>
    <row r="1788" spans="1:27" ht="15" customHeight="1" x14ac:dyDescent="0.25">
      <c r="A1788" s="1"/>
      <c r="B1788" s="17"/>
      <c r="C1788" s="17"/>
      <c r="D1788" s="17"/>
      <c r="E1788" s="17"/>
      <c r="F1788" s="17"/>
      <c r="G1788" s="4">
        <f t="shared" si="78"/>
        <v>0</v>
      </c>
      <c r="H1788" s="17"/>
      <c r="I1788" s="4">
        <f t="shared" si="80"/>
        <v>349526.07999999996</v>
      </c>
      <c r="J1788" s="32" t="str">
        <f t="shared" si="79"/>
        <v/>
      </c>
      <c r="K1788" s="72"/>
      <c r="L1788" s="72"/>
      <c r="M1788" s="2"/>
      <c r="N1788" s="5"/>
      <c r="O1788" s="3"/>
      <c r="P1788" s="6"/>
      <c r="Q1788" s="48">
        <f>IF(Учет!$O1788=Справочники!$F$2,Учет!$H1788,0)</f>
        <v>0</v>
      </c>
      <c r="R1788" s="48">
        <f>IF(Учет!$O1788=Справочники!$F$3,Учет!$H1788,0)</f>
        <v>0</v>
      </c>
      <c r="S1788" s="48">
        <f>IF(Учет!$O1788=Справочники!$F$4,Учет!$H1788,0)</f>
        <v>0</v>
      </c>
      <c r="T1788" s="48">
        <f>IF(Учет!$O1788=Справочники!$F$5,Учет!$H1788,0)</f>
        <v>0</v>
      </c>
      <c r="U1788" s="48">
        <f>IF(Учет!$O1788=Справочники!$F$6,Учет!$H1788,0)</f>
        <v>0</v>
      </c>
      <c r="V1788" s="43">
        <f>V1787+Учет!Q1788-Q1788</f>
        <v>-488978.92000000004</v>
      </c>
      <c r="W1788" s="43">
        <f>W1787+Учет!R1788-R1788</f>
        <v>336855</v>
      </c>
      <c r="X1788" s="43">
        <f>X1787+Учет!S1788-S1788</f>
        <v>500</v>
      </c>
      <c r="Y1788" s="43">
        <f>Y1787+Учет!T1788-T1788</f>
        <v>1150</v>
      </c>
      <c r="Z1788" s="43">
        <f>Z1787+Учет!U1788-U1788</f>
        <v>500000</v>
      </c>
      <c r="AA1788" s="45">
        <f>Учет!X1788</f>
        <v>500</v>
      </c>
    </row>
    <row r="1789" spans="1:27" ht="15" customHeight="1" x14ac:dyDescent="0.25">
      <c r="A1789" s="1"/>
      <c r="B1789" s="17"/>
      <c r="C1789" s="17"/>
      <c r="D1789" s="17"/>
      <c r="E1789" s="17"/>
      <c r="F1789" s="17"/>
      <c r="G1789" s="4">
        <f t="shared" si="78"/>
        <v>0</v>
      </c>
      <c r="H1789" s="17"/>
      <c r="I1789" s="4">
        <f t="shared" si="80"/>
        <v>349526.07999999996</v>
      </c>
      <c r="J1789" s="32" t="str">
        <f t="shared" si="79"/>
        <v/>
      </c>
      <c r="K1789" s="72"/>
      <c r="L1789" s="72"/>
      <c r="M1789" s="2"/>
      <c r="N1789" s="5"/>
      <c r="O1789" s="3"/>
      <c r="P1789" s="6"/>
      <c r="Q1789" s="48">
        <f>IF(Учет!$O1789=Справочники!$F$2,Учет!$H1789,0)</f>
        <v>0</v>
      </c>
      <c r="R1789" s="48">
        <f>IF(Учет!$O1789=Справочники!$F$3,Учет!$H1789,0)</f>
        <v>0</v>
      </c>
      <c r="S1789" s="48">
        <f>IF(Учет!$O1789=Справочники!$F$4,Учет!$H1789,0)</f>
        <v>0</v>
      </c>
      <c r="T1789" s="48">
        <f>IF(Учет!$O1789=Справочники!$F$5,Учет!$H1789,0)</f>
        <v>0</v>
      </c>
      <c r="U1789" s="48">
        <f>IF(Учет!$O1789=Справочники!$F$6,Учет!$H1789,0)</f>
        <v>0</v>
      </c>
      <c r="V1789" s="43">
        <f>V1788+Учет!Q1789-Q1789</f>
        <v>-488978.92000000004</v>
      </c>
      <c r="W1789" s="43">
        <f>W1788+Учет!R1789-R1789</f>
        <v>336855</v>
      </c>
      <c r="X1789" s="43">
        <f>X1788+Учет!S1789-S1789</f>
        <v>500</v>
      </c>
      <c r="Y1789" s="43">
        <f>Y1788+Учет!T1789-T1789</f>
        <v>1150</v>
      </c>
      <c r="Z1789" s="43">
        <f>Z1788+Учет!U1789-U1789</f>
        <v>500000</v>
      </c>
      <c r="AA1789" s="45">
        <f>Учет!X1789</f>
        <v>500</v>
      </c>
    </row>
    <row r="1790" spans="1:27" ht="15" customHeight="1" x14ac:dyDescent="0.25">
      <c r="A1790" s="1"/>
      <c r="B1790" s="17"/>
      <c r="C1790" s="17"/>
      <c r="D1790" s="17"/>
      <c r="E1790" s="17"/>
      <c r="F1790" s="17"/>
      <c r="G1790" s="4">
        <f t="shared" si="78"/>
        <v>0</v>
      </c>
      <c r="H1790" s="17"/>
      <c r="I1790" s="4">
        <f t="shared" si="80"/>
        <v>349526.07999999996</v>
      </c>
      <c r="J1790" s="32" t="str">
        <f t="shared" si="79"/>
        <v/>
      </c>
      <c r="K1790" s="72"/>
      <c r="L1790" s="72"/>
      <c r="M1790" s="2"/>
      <c r="N1790" s="5"/>
      <c r="O1790" s="3"/>
      <c r="P1790" s="6"/>
      <c r="Q1790" s="48">
        <f>IF(Учет!$O1790=Справочники!$F$2,Учет!$H1790,0)</f>
        <v>0</v>
      </c>
      <c r="R1790" s="48">
        <f>IF(Учет!$O1790=Справочники!$F$3,Учет!$H1790,0)</f>
        <v>0</v>
      </c>
      <c r="S1790" s="48">
        <f>IF(Учет!$O1790=Справочники!$F$4,Учет!$H1790,0)</f>
        <v>0</v>
      </c>
      <c r="T1790" s="48">
        <f>IF(Учет!$O1790=Справочники!$F$5,Учет!$H1790,0)</f>
        <v>0</v>
      </c>
      <c r="U1790" s="48">
        <f>IF(Учет!$O1790=Справочники!$F$6,Учет!$H1790,0)</f>
        <v>0</v>
      </c>
      <c r="V1790" s="43">
        <f>V1789+Учет!Q1790-Q1790</f>
        <v>-488978.92000000004</v>
      </c>
      <c r="W1790" s="43">
        <f>W1789+Учет!R1790-R1790</f>
        <v>336855</v>
      </c>
      <c r="X1790" s="43">
        <f>X1789+Учет!S1790-S1790</f>
        <v>500</v>
      </c>
      <c r="Y1790" s="43">
        <f>Y1789+Учет!T1790-T1790</f>
        <v>1150</v>
      </c>
      <c r="Z1790" s="43">
        <f>Z1789+Учет!U1790-U1790</f>
        <v>500000</v>
      </c>
      <c r="AA1790" s="45">
        <f>Учет!X1790</f>
        <v>500</v>
      </c>
    </row>
    <row r="1791" spans="1:27" ht="15" customHeight="1" x14ac:dyDescent="0.25">
      <c r="A1791" s="1"/>
      <c r="B1791" s="17"/>
      <c r="C1791" s="17"/>
      <c r="D1791" s="17"/>
      <c r="E1791" s="17"/>
      <c r="F1791" s="17"/>
      <c r="G1791" s="4">
        <f t="shared" si="78"/>
        <v>0</v>
      </c>
      <c r="H1791" s="17"/>
      <c r="I1791" s="4">
        <f t="shared" si="80"/>
        <v>349526.07999999996</v>
      </c>
      <c r="J1791" s="32" t="str">
        <f t="shared" si="79"/>
        <v/>
      </c>
      <c r="K1791" s="72"/>
      <c r="L1791" s="72"/>
      <c r="M1791" s="2"/>
      <c r="N1791" s="5"/>
      <c r="O1791" s="3"/>
      <c r="P1791" s="6"/>
      <c r="Q1791" s="48">
        <f>IF(Учет!$O1791=Справочники!$F$2,Учет!$H1791,0)</f>
        <v>0</v>
      </c>
      <c r="R1791" s="48">
        <f>IF(Учет!$O1791=Справочники!$F$3,Учет!$H1791,0)</f>
        <v>0</v>
      </c>
      <c r="S1791" s="48">
        <f>IF(Учет!$O1791=Справочники!$F$4,Учет!$H1791,0)</f>
        <v>0</v>
      </c>
      <c r="T1791" s="48">
        <f>IF(Учет!$O1791=Справочники!$F$5,Учет!$H1791,0)</f>
        <v>0</v>
      </c>
      <c r="U1791" s="48">
        <f>IF(Учет!$O1791=Справочники!$F$6,Учет!$H1791,0)</f>
        <v>0</v>
      </c>
      <c r="V1791" s="43">
        <f>V1790+Учет!Q1791-Q1791</f>
        <v>-488978.92000000004</v>
      </c>
      <c r="W1791" s="43">
        <f>W1790+Учет!R1791-R1791</f>
        <v>336855</v>
      </c>
      <c r="X1791" s="43">
        <f>X1790+Учет!S1791-S1791</f>
        <v>500</v>
      </c>
      <c r="Y1791" s="43">
        <f>Y1790+Учет!T1791-T1791</f>
        <v>1150</v>
      </c>
      <c r="Z1791" s="43">
        <f>Z1790+Учет!U1791-U1791</f>
        <v>500000</v>
      </c>
      <c r="AA1791" s="45">
        <f>Учет!X1791</f>
        <v>500</v>
      </c>
    </row>
    <row r="1792" spans="1:27" ht="15" customHeight="1" x14ac:dyDescent="0.25">
      <c r="A1792" s="1"/>
      <c r="B1792" s="17"/>
      <c r="C1792" s="17"/>
      <c r="D1792" s="17"/>
      <c r="E1792" s="17"/>
      <c r="F1792" s="17"/>
      <c r="G1792" s="4">
        <f t="shared" si="78"/>
        <v>0</v>
      </c>
      <c r="H1792" s="17"/>
      <c r="I1792" s="4">
        <f t="shared" si="80"/>
        <v>349526.07999999996</v>
      </c>
      <c r="J1792" s="32" t="str">
        <f t="shared" si="79"/>
        <v/>
      </c>
      <c r="K1792" s="72"/>
      <c r="L1792" s="72"/>
      <c r="M1792" s="2"/>
      <c r="N1792" s="5"/>
      <c r="O1792" s="3"/>
      <c r="P1792" s="6"/>
      <c r="Q1792" s="48">
        <f>IF(Учет!$O1792=Справочники!$F$2,Учет!$H1792,0)</f>
        <v>0</v>
      </c>
      <c r="R1792" s="48">
        <f>IF(Учет!$O1792=Справочники!$F$3,Учет!$H1792,0)</f>
        <v>0</v>
      </c>
      <c r="S1792" s="48">
        <f>IF(Учет!$O1792=Справочники!$F$4,Учет!$H1792,0)</f>
        <v>0</v>
      </c>
      <c r="T1792" s="48">
        <f>IF(Учет!$O1792=Справочники!$F$5,Учет!$H1792,0)</f>
        <v>0</v>
      </c>
      <c r="U1792" s="48">
        <f>IF(Учет!$O1792=Справочники!$F$6,Учет!$H1792,0)</f>
        <v>0</v>
      </c>
      <c r="V1792" s="43">
        <f>V1791+Учет!Q1792-Q1792</f>
        <v>-488978.92000000004</v>
      </c>
      <c r="W1792" s="43">
        <f>W1791+Учет!R1792-R1792</f>
        <v>336855</v>
      </c>
      <c r="X1792" s="43">
        <f>X1791+Учет!S1792-S1792</f>
        <v>500</v>
      </c>
      <c r="Y1792" s="43">
        <f>Y1791+Учет!T1792-T1792</f>
        <v>1150</v>
      </c>
      <c r="Z1792" s="43">
        <f>Z1791+Учет!U1792-U1792</f>
        <v>500000</v>
      </c>
      <c r="AA1792" s="45">
        <f>Учет!X1792</f>
        <v>500</v>
      </c>
    </row>
    <row r="1793" spans="1:27" ht="15" customHeight="1" x14ac:dyDescent="0.25">
      <c r="A1793" s="1"/>
      <c r="B1793" s="17"/>
      <c r="C1793" s="17"/>
      <c r="D1793" s="17"/>
      <c r="E1793" s="17"/>
      <c r="F1793" s="17"/>
      <c r="G1793" s="4">
        <f t="shared" si="78"/>
        <v>0</v>
      </c>
      <c r="H1793" s="17"/>
      <c r="I1793" s="4">
        <f t="shared" si="80"/>
        <v>349526.07999999996</v>
      </c>
      <c r="J1793" s="32" t="str">
        <f t="shared" si="79"/>
        <v/>
      </c>
      <c r="K1793" s="72"/>
      <c r="L1793" s="72"/>
      <c r="M1793" s="2"/>
      <c r="N1793" s="5"/>
      <c r="O1793" s="3"/>
      <c r="P1793" s="6"/>
      <c r="Q1793" s="48">
        <f>IF(Учет!$O1793=Справочники!$F$2,Учет!$H1793,0)</f>
        <v>0</v>
      </c>
      <c r="R1793" s="48">
        <f>IF(Учет!$O1793=Справочники!$F$3,Учет!$H1793,0)</f>
        <v>0</v>
      </c>
      <c r="S1793" s="48">
        <f>IF(Учет!$O1793=Справочники!$F$4,Учет!$H1793,0)</f>
        <v>0</v>
      </c>
      <c r="T1793" s="48">
        <f>IF(Учет!$O1793=Справочники!$F$5,Учет!$H1793,0)</f>
        <v>0</v>
      </c>
      <c r="U1793" s="48">
        <f>IF(Учет!$O1793=Справочники!$F$6,Учет!$H1793,0)</f>
        <v>0</v>
      </c>
      <c r="V1793" s="43">
        <f>V1792+Учет!Q1793-Q1793</f>
        <v>-488978.92000000004</v>
      </c>
      <c r="W1793" s="43">
        <f>W1792+Учет!R1793-R1793</f>
        <v>336855</v>
      </c>
      <c r="X1793" s="43">
        <f>X1792+Учет!S1793-S1793</f>
        <v>500</v>
      </c>
      <c r="Y1793" s="43">
        <f>Y1792+Учет!T1793-T1793</f>
        <v>1150</v>
      </c>
      <c r="Z1793" s="43">
        <f>Z1792+Учет!U1793-U1793</f>
        <v>500000</v>
      </c>
      <c r="AA1793" s="45">
        <f>Учет!X1793</f>
        <v>500</v>
      </c>
    </row>
    <row r="1794" spans="1:27" ht="15" customHeight="1" x14ac:dyDescent="0.25">
      <c r="A1794" s="1"/>
      <c r="B1794" s="17"/>
      <c r="C1794" s="17"/>
      <c r="D1794" s="17"/>
      <c r="E1794" s="17"/>
      <c r="F1794" s="17"/>
      <c r="G1794" s="4">
        <f t="shared" ref="G1794:G1857" si="81">SUM($B1794:$F1794)</f>
        <v>0</v>
      </c>
      <c r="H1794" s="17"/>
      <c r="I1794" s="4">
        <f t="shared" si="80"/>
        <v>349526.07999999996</v>
      </c>
      <c r="J1794" s="32" t="str">
        <f t="shared" ref="J1794:J1857" si="82">IF($A1795&lt;&gt;$A1794,$I1794,"")</f>
        <v/>
      </c>
      <c r="K1794" s="72"/>
      <c r="L1794" s="72"/>
      <c r="M1794" s="2"/>
      <c r="N1794" s="5"/>
      <c r="O1794" s="3"/>
      <c r="P1794" s="6"/>
      <c r="Q1794" s="48">
        <f>IF(Учет!$O1794=Справочники!$F$2,Учет!$H1794,0)</f>
        <v>0</v>
      </c>
      <c r="R1794" s="48">
        <f>IF(Учет!$O1794=Справочники!$F$3,Учет!$H1794,0)</f>
        <v>0</v>
      </c>
      <c r="S1794" s="48">
        <f>IF(Учет!$O1794=Справочники!$F$4,Учет!$H1794,0)</f>
        <v>0</v>
      </c>
      <c r="T1794" s="48">
        <f>IF(Учет!$O1794=Справочники!$F$5,Учет!$H1794,0)</f>
        <v>0</v>
      </c>
      <c r="U1794" s="48">
        <f>IF(Учет!$O1794=Справочники!$F$6,Учет!$H1794,0)</f>
        <v>0</v>
      </c>
      <c r="V1794" s="43">
        <f>V1793+Учет!Q1794-Q1794</f>
        <v>-488978.92000000004</v>
      </c>
      <c r="W1794" s="43">
        <f>W1793+Учет!R1794-R1794</f>
        <v>336855</v>
      </c>
      <c r="X1794" s="43">
        <f>X1793+Учет!S1794-S1794</f>
        <v>500</v>
      </c>
      <c r="Y1794" s="43">
        <f>Y1793+Учет!T1794-T1794</f>
        <v>1150</v>
      </c>
      <c r="Z1794" s="43">
        <f>Z1793+Учет!U1794-U1794</f>
        <v>500000</v>
      </c>
      <c r="AA1794" s="45">
        <f>Учет!X1794</f>
        <v>500</v>
      </c>
    </row>
    <row r="1795" spans="1:27" ht="15" customHeight="1" x14ac:dyDescent="0.25">
      <c r="A1795" s="1"/>
      <c r="B1795" s="17"/>
      <c r="C1795" s="17"/>
      <c r="D1795" s="17"/>
      <c r="E1795" s="17"/>
      <c r="F1795" s="17"/>
      <c r="G1795" s="4">
        <f t="shared" si="81"/>
        <v>0</v>
      </c>
      <c r="H1795" s="17"/>
      <c r="I1795" s="4">
        <f t="shared" ref="I1795:I1858" si="83">$I1794+$G1795-$H1795</f>
        <v>349526.07999999996</v>
      </c>
      <c r="J1795" s="32" t="str">
        <f t="shared" si="82"/>
        <v/>
      </c>
      <c r="K1795" s="72"/>
      <c r="L1795" s="72"/>
      <c r="M1795" s="2"/>
      <c r="N1795" s="5"/>
      <c r="O1795" s="3"/>
      <c r="P1795" s="6"/>
      <c r="Q1795" s="48">
        <f>IF(Учет!$O1795=Справочники!$F$2,Учет!$H1795,0)</f>
        <v>0</v>
      </c>
      <c r="R1795" s="48">
        <f>IF(Учет!$O1795=Справочники!$F$3,Учет!$H1795,0)</f>
        <v>0</v>
      </c>
      <c r="S1795" s="48">
        <f>IF(Учет!$O1795=Справочники!$F$4,Учет!$H1795,0)</f>
        <v>0</v>
      </c>
      <c r="T1795" s="48">
        <f>IF(Учет!$O1795=Справочники!$F$5,Учет!$H1795,0)</f>
        <v>0</v>
      </c>
      <c r="U1795" s="48">
        <f>IF(Учет!$O1795=Справочники!$F$6,Учет!$H1795,0)</f>
        <v>0</v>
      </c>
      <c r="V1795" s="43">
        <f>V1794+Учет!Q1795-Q1795</f>
        <v>-488978.92000000004</v>
      </c>
      <c r="W1795" s="43">
        <f>W1794+Учет!R1795-R1795</f>
        <v>336855</v>
      </c>
      <c r="X1795" s="43">
        <f>X1794+Учет!S1795-S1795</f>
        <v>500</v>
      </c>
      <c r="Y1795" s="43">
        <f>Y1794+Учет!T1795-T1795</f>
        <v>1150</v>
      </c>
      <c r="Z1795" s="43">
        <f>Z1794+Учет!U1795-U1795</f>
        <v>500000</v>
      </c>
      <c r="AA1795" s="45">
        <f>Учет!X1795</f>
        <v>500</v>
      </c>
    </row>
    <row r="1796" spans="1:27" ht="15" customHeight="1" x14ac:dyDescent="0.25">
      <c r="A1796" s="1"/>
      <c r="B1796" s="17"/>
      <c r="C1796" s="17"/>
      <c r="D1796" s="17"/>
      <c r="E1796" s="17"/>
      <c r="F1796" s="17"/>
      <c r="G1796" s="4">
        <f t="shared" si="81"/>
        <v>0</v>
      </c>
      <c r="H1796" s="17"/>
      <c r="I1796" s="4">
        <f t="shared" si="83"/>
        <v>349526.07999999996</v>
      </c>
      <c r="J1796" s="32" t="str">
        <f t="shared" si="82"/>
        <v/>
      </c>
      <c r="K1796" s="72"/>
      <c r="L1796" s="72"/>
      <c r="M1796" s="2"/>
      <c r="N1796" s="5"/>
      <c r="O1796" s="3"/>
      <c r="P1796" s="6"/>
      <c r="Q1796" s="48">
        <f>IF(Учет!$O1796=Справочники!$F$2,Учет!$H1796,0)</f>
        <v>0</v>
      </c>
      <c r="R1796" s="48">
        <f>IF(Учет!$O1796=Справочники!$F$3,Учет!$H1796,0)</f>
        <v>0</v>
      </c>
      <c r="S1796" s="48">
        <f>IF(Учет!$O1796=Справочники!$F$4,Учет!$H1796,0)</f>
        <v>0</v>
      </c>
      <c r="T1796" s="48">
        <f>IF(Учет!$O1796=Справочники!$F$5,Учет!$H1796,0)</f>
        <v>0</v>
      </c>
      <c r="U1796" s="48">
        <f>IF(Учет!$O1796=Справочники!$F$6,Учет!$H1796,0)</f>
        <v>0</v>
      </c>
      <c r="V1796" s="43">
        <f>V1795+Учет!Q1796-Q1796</f>
        <v>-488978.92000000004</v>
      </c>
      <c r="W1796" s="43">
        <f>W1795+Учет!R1796-R1796</f>
        <v>336855</v>
      </c>
      <c r="X1796" s="43">
        <f>X1795+Учет!S1796-S1796</f>
        <v>500</v>
      </c>
      <c r="Y1796" s="43">
        <f>Y1795+Учет!T1796-T1796</f>
        <v>1150</v>
      </c>
      <c r="Z1796" s="43">
        <f>Z1795+Учет!U1796-U1796</f>
        <v>500000</v>
      </c>
      <c r="AA1796" s="45">
        <f>Учет!X1796</f>
        <v>500</v>
      </c>
    </row>
    <row r="1797" spans="1:27" ht="15" customHeight="1" x14ac:dyDescent="0.25">
      <c r="A1797" s="1"/>
      <c r="B1797" s="17"/>
      <c r="C1797" s="17"/>
      <c r="D1797" s="17"/>
      <c r="E1797" s="17"/>
      <c r="F1797" s="17"/>
      <c r="G1797" s="4">
        <f t="shared" si="81"/>
        <v>0</v>
      </c>
      <c r="H1797" s="17"/>
      <c r="I1797" s="4">
        <f t="shared" si="83"/>
        <v>349526.07999999996</v>
      </c>
      <c r="J1797" s="32" t="str">
        <f t="shared" si="82"/>
        <v/>
      </c>
      <c r="K1797" s="72"/>
      <c r="L1797" s="72"/>
      <c r="M1797" s="2"/>
      <c r="N1797" s="5"/>
      <c r="O1797" s="3"/>
      <c r="P1797" s="6"/>
      <c r="Q1797" s="48">
        <f>IF(Учет!$O1797=Справочники!$F$2,Учет!$H1797,0)</f>
        <v>0</v>
      </c>
      <c r="R1797" s="48">
        <f>IF(Учет!$O1797=Справочники!$F$3,Учет!$H1797,0)</f>
        <v>0</v>
      </c>
      <c r="S1797" s="48">
        <f>IF(Учет!$O1797=Справочники!$F$4,Учет!$H1797,0)</f>
        <v>0</v>
      </c>
      <c r="T1797" s="48">
        <f>IF(Учет!$O1797=Справочники!$F$5,Учет!$H1797,0)</f>
        <v>0</v>
      </c>
      <c r="U1797" s="48">
        <f>IF(Учет!$O1797=Справочники!$F$6,Учет!$H1797,0)</f>
        <v>0</v>
      </c>
      <c r="V1797" s="43">
        <f>V1796+Учет!Q1797-Q1797</f>
        <v>-488978.92000000004</v>
      </c>
      <c r="W1797" s="43">
        <f>W1796+Учет!R1797-R1797</f>
        <v>336855</v>
      </c>
      <c r="X1797" s="43">
        <f>X1796+Учет!S1797-S1797</f>
        <v>500</v>
      </c>
      <c r="Y1797" s="43">
        <f>Y1796+Учет!T1797-T1797</f>
        <v>1150</v>
      </c>
      <c r="Z1797" s="43">
        <f>Z1796+Учет!U1797-U1797</f>
        <v>500000</v>
      </c>
      <c r="AA1797" s="45">
        <f>Учет!X1797</f>
        <v>500</v>
      </c>
    </row>
    <row r="1798" spans="1:27" ht="15" customHeight="1" x14ac:dyDescent="0.25">
      <c r="A1798" s="1"/>
      <c r="B1798" s="17"/>
      <c r="C1798" s="17"/>
      <c r="D1798" s="17"/>
      <c r="E1798" s="17"/>
      <c r="F1798" s="17"/>
      <c r="G1798" s="4">
        <f t="shared" si="81"/>
        <v>0</v>
      </c>
      <c r="H1798" s="17"/>
      <c r="I1798" s="4">
        <f t="shared" si="83"/>
        <v>349526.07999999996</v>
      </c>
      <c r="J1798" s="32" t="str">
        <f t="shared" si="82"/>
        <v/>
      </c>
      <c r="K1798" s="72"/>
      <c r="L1798" s="72"/>
      <c r="M1798" s="2"/>
      <c r="N1798" s="5"/>
      <c r="O1798" s="3"/>
      <c r="P1798" s="6"/>
      <c r="Q1798" s="48">
        <f>IF(Учет!$O1798=Справочники!$F$2,Учет!$H1798,0)</f>
        <v>0</v>
      </c>
      <c r="R1798" s="48">
        <f>IF(Учет!$O1798=Справочники!$F$3,Учет!$H1798,0)</f>
        <v>0</v>
      </c>
      <c r="S1798" s="48">
        <f>IF(Учет!$O1798=Справочники!$F$4,Учет!$H1798,0)</f>
        <v>0</v>
      </c>
      <c r="T1798" s="48">
        <f>IF(Учет!$O1798=Справочники!$F$5,Учет!$H1798,0)</f>
        <v>0</v>
      </c>
      <c r="U1798" s="48">
        <f>IF(Учет!$O1798=Справочники!$F$6,Учет!$H1798,0)</f>
        <v>0</v>
      </c>
      <c r="V1798" s="43">
        <f>V1797+Учет!Q1798-Q1798</f>
        <v>-488978.92000000004</v>
      </c>
      <c r="W1798" s="43">
        <f>W1797+Учет!R1798-R1798</f>
        <v>336855</v>
      </c>
      <c r="X1798" s="43">
        <f>X1797+Учет!S1798-S1798</f>
        <v>500</v>
      </c>
      <c r="Y1798" s="43">
        <f>Y1797+Учет!T1798-T1798</f>
        <v>1150</v>
      </c>
      <c r="Z1798" s="43">
        <f>Z1797+Учет!U1798-U1798</f>
        <v>500000</v>
      </c>
      <c r="AA1798" s="45">
        <f>Учет!X1798</f>
        <v>500</v>
      </c>
    </row>
    <row r="1799" spans="1:27" ht="15" customHeight="1" x14ac:dyDescent="0.25">
      <c r="A1799" s="1"/>
      <c r="B1799" s="17"/>
      <c r="C1799" s="17"/>
      <c r="D1799" s="17"/>
      <c r="E1799" s="17"/>
      <c r="F1799" s="17"/>
      <c r="G1799" s="4">
        <f t="shared" si="81"/>
        <v>0</v>
      </c>
      <c r="H1799" s="17"/>
      <c r="I1799" s="4">
        <f t="shared" si="83"/>
        <v>349526.07999999996</v>
      </c>
      <c r="J1799" s="32" t="str">
        <f t="shared" si="82"/>
        <v/>
      </c>
      <c r="K1799" s="72"/>
      <c r="L1799" s="72"/>
      <c r="M1799" s="2"/>
      <c r="N1799" s="5"/>
      <c r="O1799" s="3"/>
      <c r="P1799" s="6"/>
      <c r="Q1799" s="48">
        <f>IF(Учет!$O1799=Справочники!$F$2,Учет!$H1799,0)</f>
        <v>0</v>
      </c>
      <c r="R1799" s="48">
        <f>IF(Учет!$O1799=Справочники!$F$3,Учет!$H1799,0)</f>
        <v>0</v>
      </c>
      <c r="S1799" s="48">
        <f>IF(Учет!$O1799=Справочники!$F$4,Учет!$H1799,0)</f>
        <v>0</v>
      </c>
      <c r="T1799" s="48">
        <f>IF(Учет!$O1799=Справочники!$F$5,Учет!$H1799,0)</f>
        <v>0</v>
      </c>
      <c r="U1799" s="48">
        <f>IF(Учет!$O1799=Справочники!$F$6,Учет!$H1799,0)</f>
        <v>0</v>
      </c>
      <c r="V1799" s="43">
        <f>V1798+Учет!Q1799-Q1799</f>
        <v>-488978.92000000004</v>
      </c>
      <c r="W1799" s="43">
        <f>W1798+Учет!R1799-R1799</f>
        <v>336855</v>
      </c>
      <c r="X1799" s="43">
        <f>X1798+Учет!S1799-S1799</f>
        <v>500</v>
      </c>
      <c r="Y1799" s="43">
        <f>Y1798+Учет!T1799-T1799</f>
        <v>1150</v>
      </c>
      <c r="Z1799" s="43">
        <f>Z1798+Учет!U1799-U1799</f>
        <v>500000</v>
      </c>
      <c r="AA1799" s="45">
        <f>Учет!X1799</f>
        <v>500</v>
      </c>
    </row>
    <row r="1800" spans="1:27" ht="15" customHeight="1" x14ac:dyDescent="0.25">
      <c r="A1800" s="1"/>
      <c r="B1800" s="17"/>
      <c r="C1800" s="17"/>
      <c r="D1800" s="17"/>
      <c r="E1800" s="17"/>
      <c r="F1800" s="17"/>
      <c r="G1800" s="4">
        <f t="shared" si="81"/>
        <v>0</v>
      </c>
      <c r="H1800" s="17"/>
      <c r="I1800" s="4">
        <f t="shared" si="83"/>
        <v>349526.07999999996</v>
      </c>
      <c r="J1800" s="32" t="str">
        <f t="shared" si="82"/>
        <v/>
      </c>
      <c r="K1800" s="72"/>
      <c r="L1800" s="72"/>
      <c r="M1800" s="2"/>
      <c r="N1800" s="5"/>
      <c r="O1800" s="3"/>
      <c r="P1800" s="6"/>
      <c r="Q1800" s="48">
        <f>IF(Учет!$O1800=Справочники!$F$2,Учет!$H1800,0)</f>
        <v>0</v>
      </c>
      <c r="R1800" s="48">
        <f>IF(Учет!$O1800=Справочники!$F$3,Учет!$H1800,0)</f>
        <v>0</v>
      </c>
      <c r="S1800" s="48">
        <f>IF(Учет!$O1800=Справочники!$F$4,Учет!$H1800,0)</f>
        <v>0</v>
      </c>
      <c r="T1800" s="48">
        <f>IF(Учет!$O1800=Справочники!$F$5,Учет!$H1800,0)</f>
        <v>0</v>
      </c>
      <c r="U1800" s="48">
        <f>IF(Учет!$O1800=Справочники!$F$6,Учет!$H1800,0)</f>
        <v>0</v>
      </c>
      <c r="V1800" s="43">
        <f>V1799+Учет!Q1800-Q1800</f>
        <v>-488978.92000000004</v>
      </c>
      <c r="W1800" s="43">
        <f>W1799+Учет!R1800-R1800</f>
        <v>336855</v>
      </c>
      <c r="X1800" s="43">
        <f>X1799+Учет!S1800-S1800</f>
        <v>500</v>
      </c>
      <c r="Y1800" s="43">
        <f>Y1799+Учет!T1800-T1800</f>
        <v>1150</v>
      </c>
      <c r="Z1800" s="43">
        <f>Z1799+Учет!U1800-U1800</f>
        <v>500000</v>
      </c>
      <c r="AA1800" s="45">
        <f>Учет!X1800</f>
        <v>500</v>
      </c>
    </row>
    <row r="1801" spans="1:27" ht="15" customHeight="1" x14ac:dyDescent="0.25">
      <c r="A1801" s="1"/>
      <c r="B1801" s="17"/>
      <c r="C1801" s="17"/>
      <c r="D1801" s="17"/>
      <c r="E1801" s="17"/>
      <c r="F1801" s="17"/>
      <c r="G1801" s="4">
        <f t="shared" si="81"/>
        <v>0</v>
      </c>
      <c r="H1801" s="17"/>
      <c r="I1801" s="4">
        <f t="shared" si="83"/>
        <v>349526.07999999996</v>
      </c>
      <c r="J1801" s="32" t="str">
        <f t="shared" si="82"/>
        <v/>
      </c>
      <c r="K1801" s="72"/>
      <c r="L1801" s="72"/>
      <c r="M1801" s="2"/>
      <c r="N1801" s="5"/>
      <c r="O1801" s="3"/>
      <c r="P1801" s="6"/>
      <c r="Q1801" s="48">
        <f>IF(Учет!$O1801=Справочники!$F$2,Учет!$H1801,0)</f>
        <v>0</v>
      </c>
      <c r="R1801" s="48">
        <f>IF(Учет!$O1801=Справочники!$F$3,Учет!$H1801,0)</f>
        <v>0</v>
      </c>
      <c r="S1801" s="48">
        <f>IF(Учет!$O1801=Справочники!$F$4,Учет!$H1801,0)</f>
        <v>0</v>
      </c>
      <c r="T1801" s="48">
        <f>IF(Учет!$O1801=Справочники!$F$5,Учет!$H1801,0)</f>
        <v>0</v>
      </c>
      <c r="U1801" s="48">
        <f>IF(Учет!$O1801=Справочники!$F$6,Учет!$H1801,0)</f>
        <v>0</v>
      </c>
      <c r="V1801" s="43">
        <f>V1800+Учет!Q1801-Q1801</f>
        <v>-488978.92000000004</v>
      </c>
      <c r="W1801" s="43">
        <f>W1800+Учет!R1801-R1801</f>
        <v>336855</v>
      </c>
      <c r="X1801" s="43">
        <f>X1800+Учет!S1801-S1801</f>
        <v>500</v>
      </c>
      <c r="Y1801" s="43">
        <f>Y1800+Учет!T1801-T1801</f>
        <v>1150</v>
      </c>
      <c r="Z1801" s="43">
        <f>Z1800+Учет!U1801-U1801</f>
        <v>500000</v>
      </c>
      <c r="AA1801" s="45">
        <f>Учет!X1801</f>
        <v>500</v>
      </c>
    </row>
    <row r="1802" spans="1:27" ht="15" customHeight="1" x14ac:dyDescent="0.25">
      <c r="A1802" s="1"/>
      <c r="B1802" s="17"/>
      <c r="C1802" s="17"/>
      <c r="D1802" s="17"/>
      <c r="E1802" s="17"/>
      <c r="F1802" s="17"/>
      <c r="G1802" s="4">
        <f t="shared" si="81"/>
        <v>0</v>
      </c>
      <c r="H1802" s="17"/>
      <c r="I1802" s="4">
        <f t="shared" si="83"/>
        <v>349526.07999999996</v>
      </c>
      <c r="J1802" s="32" t="str">
        <f t="shared" si="82"/>
        <v/>
      </c>
      <c r="K1802" s="72"/>
      <c r="L1802" s="72"/>
      <c r="M1802" s="2"/>
      <c r="N1802" s="5"/>
      <c r="O1802" s="3"/>
      <c r="P1802" s="6"/>
      <c r="Q1802" s="48">
        <f>IF(Учет!$O1802=Справочники!$F$2,Учет!$H1802,0)</f>
        <v>0</v>
      </c>
      <c r="R1802" s="48">
        <f>IF(Учет!$O1802=Справочники!$F$3,Учет!$H1802,0)</f>
        <v>0</v>
      </c>
      <c r="S1802" s="48">
        <f>IF(Учет!$O1802=Справочники!$F$4,Учет!$H1802,0)</f>
        <v>0</v>
      </c>
      <c r="T1802" s="48">
        <f>IF(Учет!$O1802=Справочники!$F$5,Учет!$H1802,0)</f>
        <v>0</v>
      </c>
      <c r="U1802" s="48">
        <f>IF(Учет!$O1802=Справочники!$F$6,Учет!$H1802,0)</f>
        <v>0</v>
      </c>
      <c r="V1802" s="43">
        <f>V1801+Учет!Q1802-Q1802</f>
        <v>-488978.92000000004</v>
      </c>
      <c r="W1802" s="43">
        <f>W1801+Учет!R1802-R1802</f>
        <v>336855</v>
      </c>
      <c r="X1802" s="43">
        <f>X1801+Учет!S1802-S1802</f>
        <v>500</v>
      </c>
      <c r="Y1802" s="43">
        <f>Y1801+Учет!T1802-T1802</f>
        <v>1150</v>
      </c>
      <c r="Z1802" s="43">
        <f>Z1801+Учет!U1802-U1802</f>
        <v>500000</v>
      </c>
      <c r="AA1802" s="45">
        <f>Учет!X1802</f>
        <v>500</v>
      </c>
    </row>
    <row r="1803" spans="1:27" ht="15" customHeight="1" x14ac:dyDescent="0.25">
      <c r="A1803" s="1"/>
      <c r="B1803" s="17"/>
      <c r="C1803" s="17"/>
      <c r="D1803" s="17"/>
      <c r="E1803" s="17"/>
      <c r="F1803" s="17"/>
      <c r="G1803" s="4">
        <f t="shared" si="81"/>
        <v>0</v>
      </c>
      <c r="H1803" s="17"/>
      <c r="I1803" s="4">
        <f t="shared" si="83"/>
        <v>349526.07999999996</v>
      </c>
      <c r="J1803" s="32" t="str">
        <f t="shared" si="82"/>
        <v/>
      </c>
      <c r="K1803" s="72"/>
      <c r="L1803" s="72"/>
      <c r="M1803" s="2"/>
      <c r="N1803" s="5"/>
      <c r="O1803" s="3"/>
      <c r="P1803" s="6"/>
      <c r="Q1803" s="48">
        <f>IF(Учет!$O1803=Справочники!$F$2,Учет!$H1803,0)</f>
        <v>0</v>
      </c>
      <c r="R1803" s="48">
        <f>IF(Учет!$O1803=Справочники!$F$3,Учет!$H1803,0)</f>
        <v>0</v>
      </c>
      <c r="S1803" s="48">
        <f>IF(Учет!$O1803=Справочники!$F$4,Учет!$H1803,0)</f>
        <v>0</v>
      </c>
      <c r="T1803" s="48">
        <f>IF(Учет!$O1803=Справочники!$F$5,Учет!$H1803,0)</f>
        <v>0</v>
      </c>
      <c r="U1803" s="48">
        <f>IF(Учет!$O1803=Справочники!$F$6,Учет!$H1803,0)</f>
        <v>0</v>
      </c>
      <c r="V1803" s="43">
        <f>V1802+Учет!Q1803-Q1803</f>
        <v>-488978.92000000004</v>
      </c>
      <c r="W1803" s="43">
        <f>W1802+Учет!R1803-R1803</f>
        <v>336855</v>
      </c>
      <c r="X1803" s="43">
        <f>X1802+Учет!S1803-S1803</f>
        <v>500</v>
      </c>
      <c r="Y1803" s="43">
        <f>Y1802+Учет!T1803-T1803</f>
        <v>1150</v>
      </c>
      <c r="Z1803" s="43">
        <f>Z1802+Учет!U1803-U1803</f>
        <v>500000</v>
      </c>
      <c r="AA1803" s="45">
        <f>Учет!X1803</f>
        <v>500</v>
      </c>
    </row>
    <row r="1804" spans="1:27" ht="15" customHeight="1" x14ac:dyDescent="0.25">
      <c r="A1804" s="1"/>
      <c r="B1804" s="17"/>
      <c r="C1804" s="17"/>
      <c r="D1804" s="17"/>
      <c r="E1804" s="17"/>
      <c r="F1804" s="17"/>
      <c r="G1804" s="4">
        <f t="shared" si="81"/>
        <v>0</v>
      </c>
      <c r="H1804" s="17"/>
      <c r="I1804" s="4">
        <f t="shared" si="83"/>
        <v>349526.07999999996</v>
      </c>
      <c r="J1804" s="32" t="str">
        <f t="shared" si="82"/>
        <v/>
      </c>
      <c r="K1804" s="72"/>
      <c r="L1804" s="72"/>
      <c r="M1804" s="2"/>
      <c r="N1804" s="5"/>
      <c r="O1804" s="3"/>
      <c r="P1804" s="6"/>
      <c r="Q1804" s="48">
        <f>IF(Учет!$O1804=Справочники!$F$2,Учет!$H1804,0)</f>
        <v>0</v>
      </c>
      <c r="R1804" s="48">
        <f>IF(Учет!$O1804=Справочники!$F$3,Учет!$H1804,0)</f>
        <v>0</v>
      </c>
      <c r="S1804" s="48">
        <f>IF(Учет!$O1804=Справочники!$F$4,Учет!$H1804,0)</f>
        <v>0</v>
      </c>
      <c r="T1804" s="48">
        <f>IF(Учет!$O1804=Справочники!$F$5,Учет!$H1804,0)</f>
        <v>0</v>
      </c>
      <c r="U1804" s="48">
        <f>IF(Учет!$O1804=Справочники!$F$6,Учет!$H1804,0)</f>
        <v>0</v>
      </c>
      <c r="V1804" s="43">
        <f>V1803+Учет!Q1804-Q1804</f>
        <v>-488978.92000000004</v>
      </c>
      <c r="W1804" s="43">
        <f>W1803+Учет!R1804-R1804</f>
        <v>336855</v>
      </c>
      <c r="X1804" s="43">
        <f>X1803+Учет!S1804-S1804</f>
        <v>500</v>
      </c>
      <c r="Y1804" s="43">
        <f>Y1803+Учет!T1804-T1804</f>
        <v>1150</v>
      </c>
      <c r="Z1804" s="43">
        <f>Z1803+Учет!U1804-U1804</f>
        <v>500000</v>
      </c>
      <c r="AA1804" s="45">
        <f>Учет!X1804</f>
        <v>500</v>
      </c>
    </row>
    <row r="1805" spans="1:27" ht="15" customHeight="1" x14ac:dyDescent="0.25">
      <c r="A1805" s="1"/>
      <c r="B1805" s="17"/>
      <c r="C1805" s="17"/>
      <c r="D1805" s="17"/>
      <c r="E1805" s="17"/>
      <c r="F1805" s="17"/>
      <c r="G1805" s="4">
        <f t="shared" si="81"/>
        <v>0</v>
      </c>
      <c r="H1805" s="17"/>
      <c r="I1805" s="4">
        <f t="shared" si="83"/>
        <v>349526.07999999996</v>
      </c>
      <c r="J1805" s="32" t="str">
        <f t="shared" si="82"/>
        <v/>
      </c>
      <c r="K1805" s="72"/>
      <c r="L1805" s="72"/>
      <c r="M1805" s="2"/>
      <c r="N1805" s="5"/>
      <c r="O1805" s="3"/>
      <c r="P1805" s="6"/>
      <c r="Q1805" s="48">
        <f>IF(Учет!$O1805=Справочники!$F$2,Учет!$H1805,0)</f>
        <v>0</v>
      </c>
      <c r="R1805" s="48">
        <f>IF(Учет!$O1805=Справочники!$F$3,Учет!$H1805,0)</f>
        <v>0</v>
      </c>
      <c r="S1805" s="48">
        <f>IF(Учет!$O1805=Справочники!$F$4,Учет!$H1805,0)</f>
        <v>0</v>
      </c>
      <c r="T1805" s="48">
        <f>IF(Учет!$O1805=Справочники!$F$5,Учет!$H1805,0)</f>
        <v>0</v>
      </c>
      <c r="U1805" s="48">
        <f>IF(Учет!$O1805=Справочники!$F$6,Учет!$H1805,0)</f>
        <v>0</v>
      </c>
      <c r="V1805" s="43">
        <f>V1804+Учет!Q1805-Q1805</f>
        <v>-488978.92000000004</v>
      </c>
      <c r="W1805" s="43">
        <f>W1804+Учет!R1805-R1805</f>
        <v>336855</v>
      </c>
      <c r="X1805" s="43">
        <f>X1804+Учет!S1805-S1805</f>
        <v>500</v>
      </c>
      <c r="Y1805" s="43">
        <f>Y1804+Учет!T1805-T1805</f>
        <v>1150</v>
      </c>
      <c r="Z1805" s="43">
        <f>Z1804+Учет!U1805-U1805</f>
        <v>500000</v>
      </c>
      <c r="AA1805" s="45">
        <f>Учет!X1805</f>
        <v>500</v>
      </c>
    </row>
    <row r="1806" spans="1:27" ht="15" customHeight="1" x14ac:dyDescent="0.25">
      <c r="A1806" s="1"/>
      <c r="B1806" s="17"/>
      <c r="C1806" s="17"/>
      <c r="D1806" s="17"/>
      <c r="E1806" s="17"/>
      <c r="F1806" s="17"/>
      <c r="G1806" s="4">
        <f t="shared" si="81"/>
        <v>0</v>
      </c>
      <c r="H1806" s="17"/>
      <c r="I1806" s="4">
        <f t="shared" si="83"/>
        <v>349526.07999999996</v>
      </c>
      <c r="J1806" s="32" t="str">
        <f t="shared" si="82"/>
        <v/>
      </c>
      <c r="K1806" s="72"/>
      <c r="L1806" s="72"/>
      <c r="M1806" s="2"/>
      <c r="N1806" s="5"/>
      <c r="O1806" s="3"/>
      <c r="P1806" s="6"/>
      <c r="Q1806" s="48">
        <f>IF(Учет!$O1806=Справочники!$F$2,Учет!$H1806,0)</f>
        <v>0</v>
      </c>
      <c r="R1806" s="48">
        <f>IF(Учет!$O1806=Справочники!$F$3,Учет!$H1806,0)</f>
        <v>0</v>
      </c>
      <c r="S1806" s="48">
        <f>IF(Учет!$O1806=Справочники!$F$4,Учет!$H1806,0)</f>
        <v>0</v>
      </c>
      <c r="T1806" s="48">
        <f>IF(Учет!$O1806=Справочники!$F$5,Учет!$H1806,0)</f>
        <v>0</v>
      </c>
      <c r="U1806" s="48">
        <f>IF(Учет!$O1806=Справочники!$F$6,Учет!$H1806,0)</f>
        <v>0</v>
      </c>
      <c r="V1806" s="43">
        <f>V1805+Учет!Q1806-Q1806</f>
        <v>-488978.92000000004</v>
      </c>
      <c r="W1806" s="43">
        <f>W1805+Учет!R1806-R1806</f>
        <v>336855</v>
      </c>
      <c r="X1806" s="43">
        <f>X1805+Учет!S1806-S1806</f>
        <v>500</v>
      </c>
      <c r="Y1806" s="43">
        <f>Y1805+Учет!T1806-T1806</f>
        <v>1150</v>
      </c>
      <c r="Z1806" s="43">
        <f>Z1805+Учет!U1806-U1806</f>
        <v>500000</v>
      </c>
      <c r="AA1806" s="45">
        <f>Учет!X1806</f>
        <v>500</v>
      </c>
    </row>
    <row r="1807" spans="1:27" ht="15" customHeight="1" x14ac:dyDescent="0.25">
      <c r="A1807" s="1"/>
      <c r="B1807" s="17"/>
      <c r="C1807" s="17"/>
      <c r="D1807" s="17"/>
      <c r="E1807" s="17"/>
      <c r="F1807" s="17"/>
      <c r="G1807" s="4">
        <f t="shared" si="81"/>
        <v>0</v>
      </c>
      <c r="H1807" s="17"/>
      <c r="I1807" s="4">
        <f t="shared" si="83"/>
        <v>349526.07999999996</v>
      </c>
      <c r="J1807" s="32" t="str">
        <f t="shared" si="82"/>
        <v/>
      </c>
      <c r="K1807" s="72"/>
      <c r="L1807" s="72"/>
      <c r="M1807" s="2"/>
      <c r="N1807" s="5"/>
      <c r="O1807" s="3"/>
      <c r="P1807" s="6"/>
      <c r="Q1807" s="48">
        <f>IF(Учет!$O1807=Справочники!$F$2,Учет!$H1807,0)</f>
        <v>0</v>
      </c>
      <c r="R1807" s="48">
        <f>IF(Учет!$O1807=Справочники!$F$3,Учет!$H1807,0)</f>
        <v>0</v>
      </c>
      <c r="S1807" s="48">
        <f>IF(Учет!$O1807=Справочники!$F$4,Учет!$H1807,0)</f>
        <v>0</v>
      </c>
      <c r="T1807" s="48">
        <f>IF(Учет!$O1807=Справочники!$F$5,Учет!$H1807,0)</f>
        <v>0</v>
      </c>
      <c r="U1807" s="48">
        <f>IF(Учет!$O1807=Справочники!$F$6,Учет!$H1807,0)</f>
        <v>0</v>
      </c>
      <c r="V1807" s="43">
        <f>V1806+Учет!Q1807-Q1807</f>
        <v>-488978.92000000004</v>
      </c>
      <c r="W1807" s="43">
        <f>W1806+Учет!R1807-R1807</f>
        <v>336855</v>
      </c>
      <c r="X1807" s="43">
        <f>X1806+Учет!S1807-S1807</f>
        <v>500</v>
      </c>
      <c r="Y1807" s="43">
        <f>Y1806+Учет!T1807-T1807</f>
        <v>1150</v>
      </c>
      <c r="Z1807" s="43">
        <f>Z1806+Учет!U1807-U1807</f>
        <v>500000</v>
      </c>
      <c r="AA1807" s="45">
        <f>Учет!X1807</f>
        <v>500</v>
      </c>
    </row>
    <row r="1808" spans="1:27" ht="15" customHeight="1" x14ac:dyDescent="0.25">
      <c r="A1808" s="1"/>
      <c r="B1808" s="17"/>
      <c r="C1808" s="17"/>
      <c r="D1808" s="17"/>
      <c r="E1808" s="17"/>
      <c r="F1808" s="17"/>
      <c r="G1808" s="4">
        <f t="shared" si="81"/>
        <v>0</v>
      </c>
      <c r="H1808" s="17"/>
      <c r="I1808" s="4">
        <f t="shared" si="83"/>
        <v>349526.07999999996</v>
      </c>
      <c r="J1808" s="32" t="str">
        <f t="shared" si="82"/>
        <v/>
      </c>
      <c r="K1808" s="72"/>
      <c r="L1808" s="72"/>
      <c r="M1808" s="2"/>
      <c r="N1808" s="5"/>
      <c r="O1808" s="3"/>
      <c r="P1808" s="6"/>
      <c r="Q1808" s="48">
        <f>IF(Учет!$O1808=Справочники!$F$2,Учет!$H1808,0)</f>
        <v>0</v>
      </c>
      <c r="R1808" s="48">
        <f>IF(Учет!$O1808=Справочники!$F$3,Учет!$H1808,0)</f>
        <v>0</v>
      </c>
      <c r="S1808" s="48">
        <f>IF(Учет!$O1808=Справочники!$F$4,Учет!$H1808,0)</f>
        <v>0</v>
      </c>
      <c r="T1808" s="48">
        <f>IF(Учет!$O1808=Справочники!$F$5,Учет!$H1808,0)</f>
        <v>0</v>
      </c>
      <c r="U1808" s="48">
        <f>IF(Учет!$O1808=Справочники!$F$6,Учет!$H1808,0)</f>
        <v>0</v>
      </c>
      <c r="V1808" s="43">
        <f>V1807+Учет!Q1808-Q1808</f>
        <v>-488978.92000000004</v>
      </c>
      <c r="W1808" s="43">
        <f>W1807+Учет!R1808-R1808</f>
        <v>336855</v>
      </c>
      <c r="X1808" s="43">
        <f>X1807+Учет!S1808-S1808</f>
        <v>500</v>
      </c>
      <c r="Y1808" s="43">
        <f>Y1807+Учет!T1808-T1808</f>
        <v>1150</v>
      </c>
      <c r="Z1808" s="43">
        <f>Z1807+Учет!U1808-U1808</f>
        <v>500000</v>
      </c>
      <c r="AA1808" s="45">
        <f>Учет!X1808</f>
        <v>500</v>
      </c>
    </row>
    <row r="1809" spans="1:27" ht="15" customHeight="1" x14ac:dyDescent="0.25">
      <c r="A1809" s="1"/>
      <c r="B1809" s="17"/>
      <c r="C1809" s="17"/>
      <c r="D1809" s="17"/>
      <c r="E1809" s="17"/>
      <c r="F1809" s="17"/>
      <c r="G1809" s="4">
        <f t="shared" si="81"/>
        <v>0</v>
      </c>
      <c r="H1809" s="17"/>
      <c r="I1809" s="4">
        <f t="shared" si="83"/>
        <v>349526.07999999996</v>
      </c>
      <c r="J1809" s="32" t="str">
        <f t="shared" si="82"/>
        <v/>
      </c>
      <c r="K1809" s="72"/>
      <c r="L1809" s="72"/>
      <c r="M1809" s="2"/>
      <c r="N1809" s="5"/>
      <c r="O1809" s="3"/>
      <c r="P1809" s="6"/>
      <c r="Q1809" s="48">
        <f>IF(Учет!$O1809=Справочники!$F$2,Учет!$H1809,0)</f>
        <v>0</v>
      </c>
      <c r="R1809" s="48">
        <f>IF(Учет!$O1809=Справочники!$F$3,Учет!$H1809,0)</f>
        <v>0</v>
      </c>
      <c r="S1809" s="48">
        <f>IF(Учет!$O1809=Справочники!$F$4,Учет!$H1809,0)</f>
        <v>0</v>
      </c>
      <c r="T1809" s="48">
        <f>IF(Учет!$O1809=Справочники!$F$5,Учет!$H1809,0)</f>
        <v>0</v>
      </c>
      <c r="U1809" s="48">
        <f>IF(Учет!$O1809=Справочники!$F$6,Учет!$H1809,0)</f>
        <v>0</v>
      </c>
      <c r="V1809" s="43">
        <f>V1808+Учет!Q1809-Q1809</f>
        <v>-488978.92000000004</v>
      </c>
      <c r="W1809" s="43">
        <f>W1808+Учет!R1809-R1809</f>
        <v>336855</v>
      </c>
      <c r="X1809" s="43">
        <f>X1808+Учет!S1809-S1809</f>
        <v>500</v>
      </c>
      <c r="Y1809" s="43">
        <f>Y1808+Учет!T1809-T1809</f>
        <v>1150</v>
      </c>
      <c r="Z1809" s="43">
        <f>Z1808+Учет!U1809-U1809</f>
        <v>500000</v>
      </c>
      <c r="AA1809" s="45">
        <f>Учет!X1809</f>
        <v>500</v>
      </c>
    </row>
    <row r="1810" spans="1:27" ht="15" customHeight="1" x14ac:dyDescent="0.25">
      <c r="A1810" s="1"/>
      <c r="B1810" s="17"/>
      <c r="C1810" s="17"/>
      <c r="D1810" s="17"/>
      <c r="E1810" s="17"/>
      <c r="F1810" s="17"/>
      <c r="G1810" s="4">
        <f t="shared" si="81"/>
        <v>0</v>
      </c>
      <c r="H1810" s="17"/>
      <c r="I1810" s="4">
        <f t="shared" si="83"/>
        <v>349526.07999999996</v>
      </c>
      <c r="J1810" s="32" t="str">
        <f t="shared" si="82"/>
        <v/>
      </c>
      <c r="K1810" s="72"/>
      <c r="L1810" s="72"/>
      <c r="M1810" s="2"/>
      <c r="N1810" s="5"/>
      <c r="O1810" s="3"/>
      <c r="P1810" s="6"/>
      <c r="Q1810" s="48">
        <f>IF(Учет!$O1810=Справочники!$F$2,Учет!$H1810,0)</f>
        <v>0</v>
      </c>
      <c r="R1810" s="48">
        <f>IF(Учет!$O1810=Справочники!$F$3,Учет!$H1810,0)</f>
        <v>0</v>
      </c>
      <c r="S1810" s="48">
        <f>IF(Учет!$O1810=Справочники!$F$4,Учет!$H1810,0)</f>
        <v>0</v>
      </c>
      <c r="T1810" s="48">
        <f>IF(Учет!$O1810=Справочники!$F$5,Учет!$H1810,0)</f>
        <v>0</v>
      </c>
      <c r="U1810" s="48">
        <f>IF(Учет!$O1810=Справочники!$F$6,Учет!$H1810,0)</f>
        <v>0</v>
      </c>
      <c r="V1810" s="43">
        <f>V1809+Учет!Q1810-Q1810</f>
        <v>-488978.92000000004</v>
      </c>
      <c r="W1810" s="43">
        <f>W1809+Учет!R1810-R1810</f>
        <v>336855</v>
      </c>
      <c r="X1810" s="43">
        <f>X1809+Учет!S1810-S1810</f>
        <v>500</v>
      </c>
      <c r="Y1810" s="43">
        <f>Y1809+Учет!T1810-T1810</f>
        <v>1150</v>
      </c>
      <c r="Z1810" s="43">
        <f>Z1809+Учет!U1810-U1810</f>
        <v>500000</v>
      </c>
      <c r="AA1810" s="45">
        <f>Учет!X1810</f>
        <v>500</v>
      </c>
    </row>
    <row r="1811" spans="1:27" ht="15" customHeight="1" x14ac:dyDescent="0.25">
      <c r="A1811" s="1"/>
      <c r="B1811" s="17"/>
      <c r="C1811" s="17"/>
      <c r="D1811" s="17"/>
      <c r="E1811" s="17"/>
      <c r="F1811" s="17"/>
      <c r="G1811" s="4">
        <f t="shared" si="81"/>
        <v>0</v>
      </c>
      <c r="H1811" s="17"/>
      <c r="I1811" s="4">
        <f t="shared" si="83"/>
        <v>349526.07999999996</v>
      </c>
      <c r="J1811" s="32" t="str">
        <f t="shared" si="82"/>
        <v/>
      </c>
      <c r="K1811" s="72"/>
      <c r="L1811" s="72"/>
      <c r="M1811" s="2"/>
      <c r="N1811" s="5"/>
      <c r="O1811" s="3"/>
      <c r="P1811" s="6"/>
      <c r="Q1811" s="48">
        <f>IF(Учет!$O1811=Справочники!$F$2,Учет!$H1811,0)</f>
        <v>0</v>
      </c>
      <c r="R1811" s="48">
        <f>IF(Учет!$O1811=Справочники!$F$3,Учет!$H1811,0)</f>
        <v>0</v>
      </c>
      <c r="S1811" s="48">
        <f>IF(Учет!$O1811=Справочники!$F$4,Учет!$H1811,0)</f>
        <v>0</v>
      </c>
      <c r="T1811" s="48">
        <f>IF(Учет!$O1811=Справочники!$F$5,Учет!$H1811,0)</f>
        <v>0</v>
      </c>
      <c r="U1811" s="48">
        <f>IF(Учет!$O1811=Справочники!$F$6,Учет!$H1811,0)</f>
        <v>0</v>
      </c>
      <c r="V1811" s="43">
        <f>V1810+Учет!Q1811-Q1811</f>
        <v>-488978.92000000004</v>
      </c>
      <c r="W1811" s="43">
        <f>W1810+Учет!R1811-R1811</f>
        <v>336855</v>
      </c>
      <c r="X1811" s="43">
        <f>X1810+Учет!S1811-S1811</f>
        <v>500</v>
      </c>
      <c r="Y1811" s="43">
        <f>Y1810+Учет!T1811-T1811</f>
        <v>1150</v>
      </c>
      <c r="Z1811" s="43">
        <f>Z1810+Учет!U1811-U1811</f>
        <v>500000</v>
      </c>
      <c r="AA1811" s="45">
        <f>Учет!X1811</f>
        <v>500</v>
      </c>
    </row>
    <row r="1812" spans="1:27" ht="15" customHeight="1" x14ac:dyDescent="0.25">
      <c r="A1812" s="1"/>
      <c r="B1812" s="17"/>
      <c r="C1812" s="17"/>
      <c r="D1812" s="17"/>
      <c r="E1812" s="17"/>
      <c r="F1812" s="17"/>
      <c r="G1812" s="4">
        <f t="shared" si="81"/>
        <v>0</v>
      </c>
      <c r="H1812" s="17"/>
      <c r="I1812" s="4">
        <f t="shared" si="83"/>
        <v>349526.07999999996</v>
      </c>
      <c r="J1812" s="32" t="str">
        <f t="shared" si="82"/>
        <v/>
      </c>
      <c r="K1812" s="72"/>
      <c r="L1812" s="72"/>
      <c r="M1812" s="2"/>
      <c r="N1812" s="5"/>
      <c r="O1812" s="3"/>
      <c r="P1812" s="6"/>
      <c r="Q1812" s="48">
        <f>IF(Учет!$O1812=Справочники!$F$2,Учет!$H1812,0)</f>
        <v>0</v>
      </c>
      <c r="R1812" s="48">
        <f>IF(Учет!$O1812=Справочники!$F$3,Учет!$H1812,0)</f>
        <v>0</v>
      </c>
      <c r="S1812" s="48">
        <f>IF(Учет!$O1812=Справочники!$F$4,Учет!$H1812,0)</f>
        <v>0</v>
      </c>
      <c r="T1812" s="48">
        <f>IF(Учет!$O1812=Справочники!$F$5,Учет!$H1812,0)</f>
        <v>0</v>
      </c>
      <c r="U1812" s="48">
        <f>IF(Учет!$O1812=Справочники!$F$6,Учет!$H1812,0)</f>
        <v>0</v>
      </c>
      <c r="V1812" s="43">
        <f>V1811+Учет!Q1812-Q1812</f>
        <v>-488978.92000000004</v>
      </c>
      <c r="W1812" s="43">
        <f>W1811+Учет!R1812-R1812</f>
        <v>336855</v>
      </c>
      <c r="X1812" s="43">
        <f>X1811+Учет!S1812-S1812</f>
        <v>500</v>
      </c>
      <c r="Y1812" s="43">
        <f>Y1811+Учет!T1812-T1812</f>
        <v>1150</v>
      </c>
      <c r="Z1812" s="43">
        <f>Z1811+Учет!U1812-U1812</f>
        <v>500000</v>
      </c>
      <c r="AA1812" s="45">
        <f>Учет!X1812</f>
        <v>500</v>
      </c>
    </row>
    <row r="1813" spans="1:27" ht="15" customHeight="1" x14ac:dyDescent="0.25">
      <c r="A1813" s="1"/>
      <c r="B1813" s="17"/>
      <c r="C1813" s="17"/>
      <c r="D1813" s="17"/>
      <c r="E1813" s="17"/>
      <c r="F1813" s="17"/>
      <c r="G1813" s="4">
        <f t="shared" si="81"/>
        <v>0</v>
      </c>
      <c r="H1813" s="17"/>
      <c r="I1813" s="4">
        <f t="shared" si="83"/>
        <v>349526.07999999996</v>
      </c>
      <c r="J1813" s="32" t="str">
        <f t="shared" si="82"/>
        <v/>
      </c>
      <c r="K1813" s="72"/>
      <c r="L1813" s="72"/>
      <c r="M1813" s="2"/>
      <c r="N1813" s="5"/>
      <c r="O1813" s="3"/>
      <c r="P1813" s="6"/>
      <c r="Q1813" s="48">
        <f>IF(Учет!$O1813=Справочники!$F$2,Учет!$H1813,0)</f>
        <v>0</v>
      </c>
      <c r="R1813" s="48">
        <f>IF(Учет!$O1813=Справочники!$F$3,Учет!$H1813,0)</f>
        <v>0</v>
      </c>
      <c r="S1813" s="48">
        <f>IF(Учет!$O1813=Справочники!$F$4,Учет!$H1813,0)</f>
        <v>0</v>
      </c>
      <c r="T1813" s="48">
        <f>IF(Учет!$O1813=Справочники!$F$5,Учет!$H1813,0)</f>
        <v>0</v>
      </c>
      <c r="U1813" s="48">
        <f>IF(Учет!$O1813=Справочники!$F$6,Учет!$H1813,0)</f>
        <v>0</v>
      </c>
      <c r="V1813" s="43">
        <f>V1812+Учет!Q1813-Q1813</f>
        <v>-488978.92000000004</v>
      </c>
      <c r="W1813" s="43">
        <f>W1812+Учет!R1813-R1813</f>
        <v>336855</v>
      </c>
      <c r="X1813" s="43">
        <f>X1812+Учет!S1813-S1813</f>
        <v>500</v>
      </c>
      <c r="Y1813" s="43">
        <f>Y1812+Учет!T1813-T1813</f>
        <v>1150</v>
      </c>
      <c r="Z1813" s="43">
        <f>Z1812+Учет!U1813-U1813</f>
        <v>500000</v>
      </c>
      <c r="AA1813" s="45">
        <f>Учет!X1813</f>
        <v>500</v>
      </c>
    </row>
    <row r="1814" spans="1:27" ht="15" customHeight="1" x14ac:dyDescent="0.25">
      <c r="A1814" s="1"/>
      <c r="B1814" s="17"/>
      <c r="C1814" s="17"/>
      <c r="D1814" s="17"/>
      <c r="E1814" s="17"/>
      <c r="F1814" s="17"/>
      <c r="G1814" s="4">
        <f t="shared" si="81"/>
        <v>0</v>
      </c>
      <c r="H1814" s="17"/>
      <c r="I1814" s="4">
        <f t="shared" si="83"/>
        <v>349526.07999999996</v>
      </c>
      <c r="J1814" s="32" t="str">
        <f t="shared" si="82"/>
        <v/>
      </c>
      <c r="K1814" s="72"/>
      <c r="L1814" s="72"/>
      <c r="M1814" s="2"/>
      <c r="N1814" s="5"/>
      <c r="O1814" s="3"/>
      <c r="P1814" s="6"/>
      <c r="Q1814" s="48">
        <f>IF(Учет!$O1814=Справочники!$F$2,Учет!$H1814,0)</f>
        <v>0</v>
      </c>
      <c r="R1814" s="48">
        <f>IF(Учет!$O1814=Справочники!$F$3,Учет!$H1814,0)</f>
        <v>0</v>
      </c>
      <c r="S1814" s="48">
        <f>IF(Учет!$O1814=Справочники!$F$4,Учет!$H1814,0)</f>
        <v>0</v>
      </c>
      <c r="T1814" s="48">
        <f>IF(Учет!$O1814=Справочники!$F$5,Учет!$H1814,0)</f>
        <v>0</v>
      </c>
      <c r="U1814" s="48">
        <f>IF(Учет!$O1814=Справочники!$F$6,Учет!$H1814,0)</f>
        <v>0</v>
      </c>
      <c r="V1814" s="43">
        <f>V1813+Учет!Q1814-Q1814</f>
        <v>-488978.92000000004</v>
      </c>
      <c r="W1814" s="43">
        <f>W1813+Учет!R1814-R1814</f>
        <v>336855</v>
      </c>
      <c r="X1814" s="43">
        <f>X1813+Учет!S1814-S1814</f>
        <v>500</v>
      </c>
      <c r="Y1814" s="43">
        <f>Y1813+Учет!T1814-T1814</f>
        <v>1150</v>
      </c>
      <c r="Z1814" s="43">
        <f>Z1813+Учет!U1814-U1814</f>
        <v>500000</v>
      </c>
      <c r="AA1814" s="45">
        <f>Учет!X1814</f>
        <v>500</v>
      </c>
    </row>
    <row r="1815" spans="1:27" ht="15" customHeight="1" x14ac:dyDescent="0.25">
      <c r="A1815" s="1"/>
      <c r="B1815" s="17"/>
      <c r="C1815" s="17"/>
      <c r="D1815" s="17"/>
      <c r="E1815" s="17"/>
      <c r="F1815" s="17"/>
      <c r="G1815" s="4">
        <f t="shared" si="81"/>
        <v>0</v>
      </c>
      <c r="H1815" s="17"/>
      <c r="I1815" s="4">
        <f t="shared" si="83"/>
        <v>349526.07999999996</v>
      </c>
      <c r="J1815" s="32" t="str">
        <f t="shared" si="82"/>
        <v/>
      </c>
      <c r="K1815" s="72"/>
      <c r="L1815" s="72"/>
      <c r="M1815" s="2"/>
      <c r="N1815" s="5"/>
      <c r="O1815" s="3"/>
      <c r="P1815" s="6"/>
      <c r="Q1815" s="48">
        <f>IF(Учет!$O1815=Справочники!$F$2,Учет!$H1815,0)</f>
        <v>0</v>
      </c>
      <c r="R1815" s="48">
        <f>IF(Учет!$O1815=Справочники!$F$3,Учет!$H1815,0)</f>
        <v>0</v>
      </c>
      <c r="S1815" s="48">
        <f>IF(Учет!$O1815=Справочники!$F$4,Учет!$H1815,0)</f>
        <v>0</v>
      </c>
      <c r="T1815" s="48">
        <f>IF(Учет!$O1815=Справочники!$F$5,Учет!$H1815,0)</f>
        <v>0</v>
      </c>
      <c r="U1815" s="48">
        <f>IF(Учет!$O1815=Справочники!$F$6,Учет!$H1815,0)</f>
        <v>0</v>
      </c>
      <c r="V1815" s="43">
        <f>V1814+Учет!Q1815-Q1815</f>
        <v>-488978.92000000004</v>
      </c>
      <c r="W1815" s="43">
        <f>W1814+Учет!R1815-R1815</f>
        <v>336855</v>
      </c>
      <c r="X1815" s="43">
        <f>X1814+Учет!S1815-S1815</f>
        <v>500</v>
      </c>
      <c r="Y1815" s="43">
        <f>Y1814+Учет!T1815-T1815</f>
        <v>1150</v>
      </c>
      <c r="Z1815" s="43">
        <f>Z1814+Учет!U1815-U1815</f>
        <v>500000</v>
      </c>
      <c r="AA1815" s="45">
        <f>Учет!X1815</f>
        <v>500</v>
      </c>
    </row>
    <row r="1816" spans="1:27" ht="15" customHeight="1" x14ac:dyDescent="0.25">
      <c r="A1816" s="1"/>
      <c r="B1816" s="17"/>
      <c r="C1816" s="17"/>
      <c r="D1816" s="17"/>
      <c r="E1816" s="17"/>
      <c r="F1816" s="17"/>
      <c r="G1816" s="4">
        <f t="shared" si="81"/>
        <v>0</v>
      </c>
      <c r="H1816" s="17"/>
      <c r="I1816" s="4">
        <f t="shared" si="83"/>
        <v>349526.07999999996</v>
      </c>
      <c r="J1816" s="32" t="str">
        <f t="shared" si="82"/>
        <v/>
      </c>
      <c r="K1816" s="72"/>
      <c r="L1816" s="72"/>
      <c r="M1816" s="2"/>
      <c r="N1816" s="5"/>
      <c r="O1816" s="3"/>
      <c r="P1816" s="6"/>
      <c r="Q1816" s="48">
        <f>IF(Учет!$O1816=Справочники!$F$2,Учет!$H1816,0)</f>
        <v>0</v>
      </c>
      <c r="R1816" s="48">
        <f>IF(Учет!$O1816=Справочники!$F$3,Учет!$H1816,0)</f>
        <v>0</v>
      </c>
      <c r="S1816" s="48">
        <f>IF(Учет!$O1816=Справочники!$F$4,Учет!$H1816,0)</f>
        <v>0</v>
      </c>
      <c r="T1816" s="48">
        <f>IF(Учет!$O1816=Справочники!$F$5,Учет!$H1816,0)</f>
        <v>0</v>
      </c>
      <c r="U1816" s="48">
        <f>IF(Учет!$O1816=Справочники!$F$6,Учет!$H1816,0)</f>
        <v>0</v>
      </c>
      <c r="V1816" s="43">
        <f>V1815+Учет!Q1816-Q1816</f>
        <v>-488978.92000000004</v>
      </c>
      <c r="W1816" s="43">
        <f>W1815+Учет!R1816-R1816</f>
        <v>336855</v>
      </c>
      <c r="X1816" s="43">
        <f>X1815+Учет!S1816-S1816</f>
        <v>500</v>
      </c>
      <c r="Y1816" s="43">
        <f>Y1815+Учет!T1816-T1816</f>
        <v>1150</v>
      </c>
      <c r="Z1816" s="43">
        <f>Z1815+Учет!U1816-U1816</f>
        <v>500000</v>
      </c>
      <c r="AA1816" s="45">
        <f>Учет!X1816</f>
        <v>500</v>
      </c>
    </row>
    <row r="1817" spans="1:27" ht="15" customHeight="1" x14ac:dyDescent="0.25">
      <c r="A1817" s="1"/>
      <c r="B1817" s="17"/>
      <c r="C1817" s="17"/>
      <c r="D1817" s="17"/>
      <c r="E1817" s="17"/>
      <c r="F1817" s="17"/>
      <c r="G1817" s="4">
        <f t="shared" si="81"/>
        <v>0</v>
      </c>
      <c r="H1817" s="17"/>
      <c r="I1817" s="4">
        <f t="shared" si="83"/>
        <v>349526.07999999996</v>
      </c>
      <c r="J1817" s="32" t="str">
        <f t="shared" si="82"/>
        <v/>
      </c>
      <c r="K1817" s="72"/>
      <c r="L1817" s="72"/>
      <c r="M1817" s="2"/>
      <c r="N1817" s="5"/>
      <c r="O1817" s="3"/>
      <c r="P1817" s="6"/>
      <c r="Q1817" s="48">
        <f>IF(Учет!$O1817=Справочники!$F$2,Учет!$H1817,0)</f>
        <v>0</v>
      </c>
      <c r="R1817" s="48">
        <f>IF(Учет!$O1817=Справочники!$F$3,Учет!$H1817,0)</f>
        <v>0</v>
      </c>
      <c r="S1817" s="48">
        <f>IF(Учет!$O1817=Справочники!$F$4,Учет!$H1817,0)</f>
        <v>0</v>
      </c>
      <c r="T1817" s="48">
        <f>IF(Учет!$O1817=Справочники!$F$5,Учет!$H1817,0)</f>
        <v>0</v>
      </c>
      <c r="U1817" s="48">
        <f>IF(Учет!$O1817=Справочники!$F$6,Учет!$H1817,0)</f>
        <v>0</v>
      </c>
      <c r="V1817" s="43">
        <f>V1816+Учет!Q1817-Q1817</f>
        <v>-488978.92000000004</v>
      </c>
      <c r="W1817" s="43">
        <f>W1816+Учет!R1817-R1817</f>
        <v>336855</v>
      </c>
      <c r="X1817" s="43">
        <f>X1816+Учет!S1817-S1817</f>
        <v>500</v>
      </c>
      <c r="Y1817" s="43">
        <f>Y1816+Учет!T1817-T1817</f>
        <v>1150</v>
      </c>
      <c r="Z1817" s="43">
        <f>Z1816+Учет!U1817-U1817</f>
        <v>500000</v>
      </c>
      <c r="AA1817" s="45">
        <f>Учет!X1817</f>
        <v>500</v>
      </c>
    </row>
    <row r="1818" spans="1:27" ht="15" customHeight="1" x14ac:dyDescent="0.25">
      <c r="A1818" s="1"/>
      <c r="B1818" s="17"/>
      <c r="C1818" s="17"/>
      <c r="D1818" s="17"/>
      <c r="E1818" s="17"/>
      <c r="F1818" s="17"/>
      <c r="G1818" s="4">
        <f t="shared" si="81"/>
        <v>0</v>
      </c>
      <c r="H1818" s="17"/>
      <c r="I1818" s="4">
        <f t="shared" si="83"/>
        <v>349526.07999999996</v>
      </c>
      <c r="J1818" s="32" t="str">
        <f t="shared" si="82"/>
        <v/>
      </c>
      <c r="K1818" s="72"/>
      <c r="L1818" s="72"/>
      <c r="M1818" s="2"/>
      <c r="N1818" s="5"/>
      <c r="O1818" s="3"/>
      <c r="P1818" s="6"/>
      <c r="Q1818" s="48">
        <f>IF(Учет!$O1818=Справочники!$F$2,Учет!$H1818,0)</f>
        <v>0</v>
      </c>
      <c r="R1818" s="48">
        <f>IF(Учет!$O1818=Справочники!$F$3,Учет!$H1818,0)</f>
        <v>0</v>
      </c>
      <c r="S1818" s="48">
        <f>IF(Учет!$O1818=Справочники!$F$4,Учет!$H1818,0)</f>
        <v>0</v>
      </c>
      <c r="T1818" s="48">
        <f>IF(Учет!$O1818=Справочники!$F$5,Учет!$H1818,0)</f>
        <v>0</v>
      </c>
      <c r="U1818" s="48">
        <f>IF(Учет!$O1818=Справочники!$F$6,Учет!$H1818,0)</f>
        <v>0</v>
      </c>
      <c r="V1818" s="43">
        <f>V1817+Учет!Q1818-Q1818</f>
        <v>-488978.92000000004</v>
      </c>
      <c r="W1818" s="43">
        <f>W1817+Учет!R1818-R1818</f>
        <v>336855</v>
      </c>
      <c r="X1818" s="43">
        <f>X1817+Учет!S1818-S1818</f>
        <v>500</v>
      </c>
      <c r="Y1818" s="43">
        <f>Y1817+Учет!T1818-T1818</f>
        <v>1150</v>
      </c>
      <c r="Z1818" s="43">
        <f>Z1817+Учет!U1818-U1818</f>
        <v>500000</v>
      </c>
      <c r="AA1818" s="45">
        <f>Учет!X1818</f>
        <v>500</v>
      </c>
    </row>
    <row r="1819" spans="1:27" ht="15" customHeight="1" x14ac:dyDescent="0.25">
      <c r="A1819" s="1"/>
      <c r="B1819" s="17"/>
      <c r="C1819" s="17"/>
      <c r="D1819" s="17"/>
      <c r="E1819" s="17"/>
      <c r="F1819" s="17"/>
      <c r="G1819" s="4">
        <f t="shared" si="81"/>
        <v>0</v>
      </c>
      <c r="H1819" s="17"/>
      <c r="I1819" s="4">
        <f t="shared" si="83"/>
        <v>349526.07999999996</v>
      </c>
      <c r="J1819" s="32" t="str">
        <f t="shared" si="82"/>
        <v/>
      </c>
      <c r="K1819" s="72"/>
      <c r="L1819" s="72"/>
      <c r="M1819" s="2"/>
      <c r="N1819" s="5"/>
      <c r="O1819" s="3"/>
      <c r="P1819" s="6"/>
      <c r="Q1819" s="48">
        <f>IF(Учет!$O1819=Справочники!$F$2,Учет!$H1819,0)</f>
        <v>0</v>
      </c>
      <c r="R1819" s="48">
        <f>IF(Учет!$O1819=Справочники!$F$3,Учет!$H1819,0)</f>
        <v>0</v>
      </c>
      <c r="S1819" s="48">
        <f>IF(Учет!$O1819=Справочники!$F$4,Учет!$H1819,0)</f>
        <v>0</v>
      </c>
      <c r="T1819" s="48">
        <f>IF(Учет!$O1819=Справочники!$F$5,Учет!$H1819,0)</f>
        <v>0</v>
      </c>
      <c r="U1819" s="48">
        <f>IF(Учет!$O1819=Справочники!$F$6,Учет!$H1819,0)</f>
        <v>0</v>
      </c>
      <c r="V1819" s="43">
        <f>V1818+Учет!Q1819-Q1819</f>
        <v>-488978.92000000004</v>
      </c>
      <c r="W1819" s="43">
        <f>W1818+Учет!R1819-R1819</f>
        <v>336855</v>
      </c>
      <c r="X1819" s="43">
        <f>X1818+Учет!S1819-S1819</f>
        <v>500</v>
      </c>
      <c r="Y1819" s="43">
        <f>Y1818+Учет!T1819-T1819</f>
        <v>1150</v>
      </c>
      <c r="Z1819" s="43">
        <f>Z1818+Учет!U1819-U1819</f>
        <v>500000</v>
      </c>
      <c r="AA1819" s="45">
        <f>Учет!X1819</f>
        <v>500</v>
      </c>
    </row>
    <row r="1820" spans="1:27" ht="15" customHeight="1" x14ac:dyDescent="0.25">
      <c r="A1820" s="1"/>
      <c r="B1820" s="17"/>
      <c r="C1820" s="17"/>
      <c r="D1820" s="17"/>
      <c r="E1820" s="17"/>
      <c r="F1820" s="17"/>
      <c r="G1820" s="4">
        <f t="shared" si="81"/>
        <v>0</v>
      </c>
      <c r="H1820" s="17"/>
      <c r="I1820" s="4">
        <f t="shared" si="83"/>
        <v>349526.07999999996</v>
      </c>
      <c r="J1820" s="32" t="str">
        <f t="shared" si="82"/>
        <v/>
      </c>
      <c r="K1820" s="72"/>
      <c r="L1820" s="72"/>
      <c r="M1820" s="2"/>
      <c r="N1820" s="5"/>
      <c r="O1820" s="3"/>
      <c r="P1820" s="6"/>
      <c r="Q1820" s="48">
        <f>IF(Учет!$O1820=Справочники!$F$2,Учет!$H1820,0)</f>
        <v>0</v>
      </c>
      <c r="R1820" s="48">
        <f>IF(Учет!$O1820=Справочники!$F$3,Учет!$H1820,0)</f>
        <v>0</v>
      </c>
      <c r="S1820" s="48">
        <f>IF(Учет!$O1820=Справочники!$F$4,Учет!$H1820,0)</f>
        <v>0</v>
      </c>
      <c r="T1820" s="48">
        <f>IF(Учет!$O1820=Справочники!$F$5,Учет!$H1820,0)</f>
        <v>0</v>
      </c>
      <c r="U1820" s="48">
        <f>IF(Учет!$O1820=Справочники!$F$6,Учет!$H1820,0)</f>
        <v>0</v>
      </c>
      <c r="V1820" s="43">
        <f>V1819+Учет!Q1820-Q1820</f>
        <v>-488978.92000000004</v>
      </c>
      <c r="W1820" s="43">
        <f>W1819+Учет!R1820-R1820</f>
        <v>336855</v>
      </c>
      <c r="X1820" s="43">
        <f>X1819+Учет!S1820-S1820</f>
        <v>500</v>
      </c>
      <c r="Y1820" s="43">
        <f>Y1819+Учет!T1820-T1820</f>
        <v>1150</v>
      </c>
      <c r="Z1820" s="43">
        <f>Z1819+Учет!U1820-U1820</f>
        <v>500000</v>
      </c>
      <c r="AA1820" s="45">
        <f>Учет!X1820</f>
        <v>500</v>
      </c>
    </row>
    <row r="1821" spans="1:27" ht="15" customHeight="1" x14ac:dyDescent="0.25">
      <c r="A1821" s="1"/>
      <c r="B1821" s="17"/>
      <c r="C1821" s="17"/>
      <c r="D1821" s="17"/>
      <c r="E1821" s="17"/>
      <c r="F1821" s="17"/>
      <c r="G1821" s="4">
        <f t="shared" si="81"/>
        <v>0</v>
      </c>
      <c r="H1821" s="17"/>
      <c r="I1821" s="4">
        <f t="shared" si="83"/>
        <v>349526.07999999996</v>
      </c>
      <c r="J1821" s="32" t="str">
        <f t="shared" si="82"/>
        <v/>
      </c>
      <c r="K1821" s="72"/>
      <c r="L1821" s="72"/>
      <c r="M1821" s="2"/>
      <c r="N1821" s="5"/>
      <c r="O1821" s="3"/>
      <c r="P1821" s="6"/>
      <c r="Q1821" s="48">
        <f>IF(Учет!$O1821=Справочники!$F$2,Учет!$H1821,0)</f>
        <v>0</v>
      </c>
      <c r="R1821" s="48">
        <f>IF(Учет!$O1821=Справочники!$F$3,Учет!$H1821,0)</f>
        <v>0</v>
      </c>
      <c r="S1821" s="48">
        <f>IF(Учет!$O1821=Справочники!$F$4,Учет!$H1821,0)</f>
        <v>0</v>
      </c>
      <c r="T1821" s="48">
        <f>IF(Учет!$O1821=Справочники!$F$5,Учет!$H1821,0)</f>
        <v>0</v>
      </c>
      <c r="U1821" s="48">
        <f>IF(Учет!$O1821=Справочники!$F$6,Учет!$H1821,0)</f>
        <v>0</v>
      </c>
      <c r="V1821" s="43">
        <f>V1820+Учет!Q1821-Q1821</f>
        <v>-488978.92000000004</v>
      </c>
      <c r="W1821" s="43">
        <f>W1820+Учет!R1821-R1821</f>
        <v>336855</v>
      </c>
      <c r="X1821" s="43">
        <f>X1820+Учет!S1821-S1821</f>
        <v>500</v>
      </c>
      <c r="Y1821" s="43">
        <f>Y1820+Учет!T1821-T1821</f>
        <v>1150</v>
      </c>
      <c r="Z1821" s="43">
        <f>Z1820+Учет!U1821-U1821</f>
        <v>500000</v>
      </c>
      <c r="AA1821" s="45">
        <f>Учет!X1821</f>
        <v>500</v>
      </c>
    </row>
    <row r="1822" spans="1:27" ht="15" customHeight="1" x14ac:dyDescent="0.25">
      <c r="A1822" s="1"/>
      <c r="B1822" s="17"/>
      <c r="C1822" s="17"/>
      <c r="D1822" s="17"/>
      <c r="E1822" s="17"/>
      <c r="F1822" s="17"/>
      <c r="G1822" s="4">
        <f t="shared" si="81"/>
        <v>0</v>
      </c>
      <c r="H1822" s="17"/>
      <c r="I1822" s="4">
        <f t="shared" si="83"/>
        <v>349526.07999999996</v>
      </c>
      <c r="J1822" s="32" t="str">
        <f t="shared" si="82"/>
        <v/>
      </c>
      <c r="K1822" s="72"/>
      <c r="L1822" s="72"/>
      <c r="M1822" s="2"/>
      <c r="N1822" s="5"/>
      <c r="O1822" s="3"/>
      <c r="P1822" s="6"/>
      <c r="Q1822" s="48">
        <f>IF(Учет!$O1822=Справочники!$F$2,Учет!$H1822,0)</f>
        <v>0</v>
      </c>
      <c r="R1822" s="48">
        <f>IF(Учет!$O1822=Справочники!$F$3,Учет!$H1822,0)</f>
        <v>0</v>
      </c>
      <c r="S1822" s="48">
        <f>IF(Учет!$O1822=Справочники!$F$4,Учет!$H1822,0)</f>
        <v>0</v>
      </c>
      <c r="T1822" s="48">
        <f>IF(Учет!$O1822=Справочники!$F$5,Учет!$H1822,0)</f>
        <v>0</v>
      </c>
      <c r="U1822" s="48">
        <f>IF(Учет!$O1822=Справочники!$F$6,Учет!$H1822,0)</f>
        <v>0</v>
      </c>
      <c r="V1822" s="43">
        <f>V1821+Учет!Q1822-Q1822</f>
        <v>-488978.92000000004</v>
      </c>
      <c r="W1822" s="43">
        <f>W1821+Учет!R1822-R1822</f>
        <v>336855</v>
      </c>
      <c r="X1822" s="43">
        <f>X1821+Учет!S1822-S1822</f>
        <v>500</v>
      </c>
      <c r="Y1822" s="43">
        <f>Y1821+Учет!T1822-T1822</f>
        <v>1150</v>
      </c>
      <c r="Z1822" s="43">
        <f>Z1821+Учет!U1822-U1822</f>
        <v>500000</v>
      </c>
      <c r="AA1822" s="45">
        <f>Учет!X1822</f>
        <v>500</v>
      </c>
    </row>
    <row r="1823" spans="1:27" ht="15" customHeight="1" x14ac:dyDescent="0.25">
      <c r="A1823" s="1"/>
      <c r="B1823" s="17"/>
      <c r="C1823" s="17"/>
      <c r="D1823" s="17"/>
      <c r="E1823" s="17"/>
      <c r="F1823" s="17"/>
      <c r="G1823" s="4">
        <f t="shared" si="81"/>
        <v>0</v>
      </c>
      <c r="H1823" s="17"/>
      <c r="I1823" s="4">
        <f t="shared" si="83"/>
        <v>349526.07999999996</v>
      </c>
      <c r="J1823" s="32" t="str">
        <f t="shared" si="82"/>
        <v/>
      </c>
      <c r="K1823" s="72"/>
      <c r="L1823" s="72"/>
      <c r="M1823" s="2"/>
      <c r="N1823" s="5"/>
      <c r="O1823" s="3"/>
      <c r="P1823" s="6"/>
      <c r="Q1823" s="48">
        <f>IF(Учет!$O1823=Справочники!$F$2,Учет!$H1823,0)</f>
        <v>0</v>
      </c>
      <c r="R1823" s="48">
        <f>IF(Учет!$O1823=Справочники!$F$3,Учет!$H1823,0)</f>
        <v>0</v>
      </c>
      <c r="S1823" s="48">
        <f>IF(Учет!$O1823=Справочники!$F$4,Учет!$H1823,0)</f>
        <v>0</v>
      </c>
      <c r="T1823" s="48">
        <f>IF(Учет!$O1823=Справочники!$F$5,Учет!$H1823,0)</f>
        <v>0</v>
      </c>
      <c r="U1823" s="48">
        <f>IF(Учет!$O1823=Справочники!$F$6,Учет!$H1823,0)</f>
        <v>0</v>
      </c>
      <c r="V1823" s="43">
        <f>V1822+Учет!Q1823-Q1823</f>
        <v>-488978.92000000004</v>
      </c>
      <c r="W1823" s="43">
        <f>W1822+Учет!R1823-R1823</f>
        <v>336855</v>
      </c>
      <c r="X1823" s="43">
        <f>X1822+Учет!S1823-S1823</f>
        <v>500</v>
      </c>
      <c r="Y1823" s="43">
        <f>Y1822+Учет!T1823-T1823</f>
        <v>1150</v>
      </c>
      <c r="Z1823" s="43">
        <f>Z1822+Учет!U1823-U1823</f>
        <v>500000</v>
      </c>
      <c r="AA1823" s="45">
        <f>Учет!X1823</f>
        <v>500</v>
      </c>
    </row>
    <row r="1824" spans="1:27" ht="15" customHeight="1" x14ac:dyDescent="0.25">
      <c r="A1824" s="1"/>
      <c r="B1824" s="17"/>
      <c r="C1824" s="17"/>
      <c r="D1824" s="17"/>
      <c r="E1824" s="17"/>
      <c r="F1824" s="17"/>
      <c r="G1824" s="4">
        <f t="shared" si="81"/>
        <v>0</v>
      </c>
      <c r="H1824" s="17"/>
      <c r="I1824" s="4">
        <f t="shared" si="83"/>
        <v>349526.07999999996</v>
      </c>
      <c r="J1824" s="32" t="str">
        <f t="shared" si="82"/>
        <v/>
      </c>
      <c r="K1824" s="72"/>
      <c r="L1824" s="72"/>
      <c r="M1824" s="2"/>
      <c r="N1824" s="5"/>
      <c r="O1824" s="3"/>
      <c r="P1824" s="6"/>
      <c r="Q1824" s="48">
        <f>IF(Учет!$O1824=Справочники!$F$2,Учет!$H1824,0)</f>
        <v>0</v>
      </c>
      <c r="R1824" s="48">
        <f>IF(Учет!$O1824=Справочники!$F$3,Учет!$H1824,0)</f>
        <v>0</v>
      </c>
      <c r="S1824" s="48">
        <f>IF(Учет!$O1824=Справочники!$F$4,Учет!$H1824,0)</f>
        <v>0</v>
      </c>
      <c r="T1824" s="48">
        <f>IF(Учет!$O1824=Справочники!$F$5,Учет!$H1824,0)</f>
        <v>0</v>
      </c>
      <c r="U1824" s="48">
        <f>IF(Учет!$O1824=Справочники!$F$6,Учет!$H1824,0)</f>
        <v>0</v>
      </c>
      <c r="V1824" s="43">
        <f>V1823+Учет!Q1824-Q1824</f>
        <v>-488978.92000000004</v>
      </c>
      <c r="W1824" s="43">
        <f>W1823+Учет!R1824-R1824</f>
        <v>336855</v>
      </c>
      <c r="X1824" s="43">
        <f>X1823+Учет!S1824-S1824</f>
        <v>500</v>
      </c>
      <c r="Y1824" s="43">
        <f>Y1823+Учет!T1824-T1824</f>
        <v>1150</v>
      </c>
      <c r="Z1824" s="43">
        <f>Z1823+Учет!U1824-U1824</f>
        <v>500000</v>
      </c>
      <c r="AA1824" s="45">
        <f>Учет!X1824</f>
        <v>500</v>
      </c>
    </row>
    <row r="1825" spans="1:27" ht="15" customHeight="1" x14ac:dyDescent="0.25">
      <c r="A1825" s="1"/>
      <c r="B1825" s="17"/>
      <c r="C1825" s="17"/>
      <c r="D1825" s="17"/>
      <c r="E1825" s="17"/>
      <c r="F1825" s="17"/>
      <c r="G1825" s="4">
        <f t="shared" si="81"/>
        <v>0</v>
      </c>
      <c r="H1825" s="17"/>
      <c r="I1825" s="4">
        <f t="shared" si="83"/>
        <v>349526.07999999996</v>
      </c>
      <c r="J1825" s="32" t="str">
        <f t="shared" si="82"/>
        <v/>
      </c>
      <c r="K1825" s="72"/>
      <c r="L1825" s="72"/>
      <c r="M1825" s="2"/>
      <c r="N1825" s="5"/>
      <c r="O1825" s="3"/>
      <c r="P1825" s="6"/>
      <c r="Q1825" s="48">
        <f>IF(Учет!$O1825=Справочники!$F$2,Учет!$H1825,0)</f>
        <v>0</v>
      </c>
      <c r="R1825" s="48">
        <f>IF(Учет!$O1825=Справочники!$F$3,Учет!$H1825,0)</f>
        <v>0</v>
      </c>
      <c r="S1825" s="48">
        <f>IF(Учет!$O1825=Справочники!$F$4,Учет!$H1825,0)</f>
        <v>0</v>
      </c>
      <c r="T1825" s="48">
        <f>IF(Учет!$O1825=Справочники!$F$5,Учет!$H1825,0)</f>
        <v>0</v>
      </c>
      <c r="U1825" s="48">
        <f>IF(Учет!$O1825=Справочники!$F$6,Учет!$H1825,0)</f>
        <v>0</v>
      </c>
      <c r="V1825" s="43">
        <f>V1824+Учет!Q1825-Q1825</f>
        <v>-488978.92000000004</v>
      </c>
      <c r="W1825" s="43">
        <f>W1824+Учет!R1825-R1825</f>
        <v>336855</v>
      </c>
      <c r="X1825" s="43">
        <f>X1824+Учет!S1825-S1825</f>
        <v>500</v>
      </c>
      <c r="Y1825" s="43">
        <f>Y1824+Учет!T1825-T1825</f>
        <v>1150</v>
      </c>
      <c r="Z1825" s="43">
        <f>Z1824+Учет!U1825-U1825</f>
        <v>500000</v>
      </c>
      <c r="AA1825" s="45">
        <f>Учет!X1825</f>
        <v>500</v>
      </c>
    </row>
    <row r="1826" spans="1:27" ht="15" customHeight="1" x14ac:dyDescent="0.25">
      <c r="A1826" s="1"/>
      <c r="B1826" s="17"/>
      <c r="C1826" s="17"/>
      <c r="D1826" s="17"/>
      <c r="E1826" s="17"/>
      <c r="F1826" s="17"/>
      <c r="G1826" s="4">
        <f t="shared" si="81"/>
        <v>0</v>
      </c>
      <c r="H1826" s="17"/>
      <c r="I1826" s="4">
        <f t="shared" si="83"/>
        <v>349526.07999999996</v>
      </c>
      <c r="J1826" s="32" t="str">
        <f t="shared" si="82"/>
        <v/>
      </c>
      <c r="K1826" s="72"/>
      <c r="L1826" s="72"/>
      <c r="M1826" s="2"/>
      <c r="N1826" s="5"/>
      <c r="O1826" s="3"/>
      <c r="P1826" s="6"/>
      <c r="Q1826" s="48">
        <f>IF(Учет!$O1826=Справочники!$F$2,Учет!$H1826,0)</f>
        <v>0</v>
      </c>
      <c r="R1826" s="48">
        <f>IF(Учет!$O1826=Справочники!$F$3,Учет!$H1826,0)</f>
        <v>0</v>
      </c>
      <c r="S1826" s="48">
        <f>IF(Учет!$O1826=Справочники!$F$4,Учет!$H1826,0)</f>
        <v>0</v>
      </c>
      <c r="T1826" s="48">
        <f>IF(Учет!$O1826=Справочники!$F$5,Учет!$H1826,0)</f>
        <v>0</v>
      </c>
      <c r="U1826" s="48">
        <f>IF(Учет!$O1826=Справочники!$F$6,Учет!$H1826,0)</f>
        <v>0</v>
      </c>
      <c r="V1826" s="43">
        <f>V1825+Учет!Q1826-Q1826</f>
        <v>-488978.92000000004</v>
      </c>
      <c r="W1826" s="43">
        <f>W1825+Учет!R1826-R1826</f>
        <v>336855</v>
      </c>
      <c r="X1826" s="43">
        <f>X1825+Учет!S1826-S1826</f>
        <v>500</v>
      </c>
      <c r="Y1826" s="43">
        <f>Y1825+Учет!T1826-T1826</f>
        <v>1150</v>
      </c>
      <c r="Z1826" s="43">
        <f>Z1825+Учет!U1826-U1826</f>
        <v>500000</v>
      </c>
      <c r="AA1826" s="45">
        <f>Учет!X1826</f>
        <v>500</v>
      </c>
    </row>
    <row r="1827" spans="1:27" ht="15" customHeight="1" x14ac:dyDescent="0.25">
      <c r="A1827" s="1"/>
      <c r="B1827" s="17"/>
      <c r="C1827" s="17"/>
      <c r="D1827" s="17"/>
      <c r="E1827" s="17"/>
      <c r="F1827" s="17"/>
      <c r="G1827" s="4">
        <f t="shared" si="81"/>
        <v>0</v>
      </c>
      <c r="H1827" s="17"/>
      <c r="I1827" s="4">
        <f t="shared" si="83"/>
        <v>349526.07999999996</v>
      </c>
      <c r="J1827" s="32" t="str">
        <f t="shared" si="82"/>
        <v/>
      </c>
      <c r="K1827" s="72"/>
      <c r="L1827" s="72"/>
      <c r="M1827" s="2"/>
      <c r="N1827" s="5"/>
      <c r="O1827" s="3"/>
      <c r="P1827" s="6"/>
      <c r="Q1827" s="48">
        <f>IF(Учет!$O1827=Справочники!$F$2,Учет!$H1827,0)</f>
        <v>0</v>
      </c>
      <c r="R1827" s="48">
        <f>IF(Учет!$O1827=Справочники!$F$3,Учет!$H1827,0)</f>
        <v>0</v>
      </c>
      <c r="S1827" s="48">
        <f>IF(Учет!$O1827=Справочники!$F$4,Учет!$H1827,0)</f>
        <v>0</v>
      </c>
      <c r="T1827" s="48">
        <f>IF(Учет!$O1827=Справочники!$F$5,Учет!$H1827,0)</f>
        <v>0</v>
      </c>
      <c r="U1827" s="48">
        <f>IF(Учет!$O1827=Справочники!$F$6,Учет!$H1827,0)</f>
        <v>0</v>
      </c>
      <c r="V1827" s="43">
        <f>V1826+Учет!Q1827-Q1827</f>
        <v>-488978.92000000004</v>
      </c>
      <c r="W1827" s="43">
        <f>W1826+Учет!R1827-R1827</f>
        <v>336855</v>
      </c>
      <c r="X1827" s="43">
        <f>X1826+Учет!S1827-S1827</f>
        <v>500</v>
      </c>
      <c r="Y1827" s="43">
        <f>Y1826+Учет!T1827-T1827</f>
        <v>1150</v>
      </c>
      <c r="Z1827" s="43">
        <f>Z1826+Учет!U1827-U1827</f>
        <v>500000</v>
      </c>
      <c r="AA1827" s="45">
        <f>Учет!X1827</f>
        <v>500</v>
      </c>
    </row>
    <row r="1828" spans="1:27" ht="15" customHeight="1" x14ac:dyDescent="0.25">
      <c r="A1828" s="1"/>
      <c r="B1828" s="17"/>
      <c r="C1828" s="17"/>
      <c r="D1828" s="17"/>
      <c r="E1828" s="17"/>
      <c r="F1828" s="17"/>
      <c r="G1828" s="4">
        <f t="shared" si="81"/>
        <v>0</v>
      </c>
      <c r="H1828" s="17"/>
      <c r="I1828" s="4">
        <f t="shared" si="83"/>
        <v>349526.07999999996</v>
      </c>
      <c r="J1828" s="32" t="str">
        <f t="shared" si="82"/>
        <v/>
      </c>
      <c r="K1828" s="72"/>
      <c r="L1828" s="72"/>
      <c r="M1828" s="2"/>
      <c r="N1828" s="5"/>
      <c r="O1828" s="3"/>
      <c r="P1828" s="6"/>
      <c r="Q1828" s="48">
        <f>IF(Учет!$O1828=Справочники!$F$2,Учет!$H1828,0)</f>
        <v>0</v>
      </c>
      <c r="R1828" s="48">
        <f>IF(Учет!$O1828=Справочники!$F$3,Учет!$H1828,0)</f>
        <v>0</v>
      </c>
      <c r="S1828" s="48">
        <f>IF(Учет!$O1828=Справочники!$F$4,Учет!$H1828,0)</f>
        <v>0</v>
      </c>
      <c r="T1828" s="48">
        <f>IF(Учет!$O1828=Справочники!$F$5,Учет!$H1828,0)</f>
        <v>0</v>
      </c>
      <c r="U1828" s="48">
        <f>IF(Учет!$O1828=Справочники!$F$6,Учет!$H1828,0)</f>
        <v>0</v>
      </c>
      <c r="V1828" s="43">
        <f>V1827+Учет!Q1828-Q1828</f>
        <v>-488978.92000000004</v>
      </c>
      <c r="W1828" s="43">
        <f>W1827+Учет!R1828-R1828</f>
        <v>336855</v>
      </c>
      <c r="X1828" s="43">
        <f>X1827+Учет!S1828-S1828</f>
        <v>500</v>
      </c>
      <c r="Y1828" s="43">
        <f>Y1827+Учет!T1828-T1828</f>
        <v>1150</v>
      </c>
      <c r="Z1828" s="43">
        <f>Z1827+Учет!U1828-U1828</f>
        <v>500000</v>
      </c>
      <c r="AA1828" s="45">
        <f>Учет!X1828</f>
        <v>500</v>
      </c>
    </row>
    <row r="1829" spans="1:27" ht="15" customHeight="1" x14ac:dyDescent="0.25">
      <c r="A1829" s="1"/>
      <c r="B1829" s="17"/>
      <c r="C1829" s="17"/>
      <c r="D1829" s="17"/>
      <c r="E1829" s="17"/>
      <c r="F1829" s="17"/>
      <c r="G1829" s="4">
        <f t="shared" si="81"/>
        <v>0</v>
      </c>
      <c r="H1829" s="17"/>
      <c r="I1829" s="4">
        <f t="shared" si="83"/>
        <v>349526.07999999996</v>
      </c>
      <c r="J1829" s="32" t="str">
        <f t="shared" si="82"/>
        <v/>
      </c>
      <c r="K1829" s="72"/>
      <c r="L1829" s="72"/>
      <c r="M1829" s="2"/>
      <c r="N1829" s="5"/>
      <c r="O1829" s="3"/>
      <c r="P1829" s="6"/>
      <c r="Q1829" s="48">
        <f>IF(Учет!$O1829=Справочники!$F$2,Учет!$H1829,0)</f>
        <v>0</v>
      </c>
      <c r="R1829" s="48">
        <f>IF(Учет!$O1829=Справочники!$F$3,Учет!$H1829,0)</f>
        <v>0</v>
      </c>
      <c r="S1829" s="48">
        <f>IF(Учет!$O1829=Справочники!$F$4,Учет!$H1829,0)</f>
        <v>0</v>
      </c>
      <c r="T1829" s="48">
        <f>IF(Учет!$O1829=Справочники!$F$5,Учет!$H1829,0)</f>
        <v>0</v>
      </c>
      <c r="U1829" s="48">
        <f>IF(Учет!$O1829=Справочники!$F$6,Учет!$H1829,0)</f>
        <v>0</v>
      </c>
      <c r="V1829" s="43">
        <f>V1828+Учет!Q1829-Q1829</f>
        <v>-488978.92000000004</v>
      </c>
      <c r="W1829" s="43">
        <f>W1828+Учет!R1829-R1829</f>
        <v>336855</v>
      </c>
      <c r="X1829" s="43">
        <f>X1828+Учет!S1829-S1829</f>
        <v>500</v>
      </c>
      <c r="Y1829" s="43">
        <f>Y1828+Учет!T1829-T1829</f>
        <v>1150</v>
      </c>
      <c r="Z1829" s="43">
        <f>Z1828+Учет!U1829-U1829</f>
        <v>500000</v>
      </c>
      <c r="AA1829" s="45">
        <f>Учет!X1829</f>
        <v>500</v>
      </c>
    </row>
    <row r="1830" spans="1:27" ht="15" customHeight="1" x14ac:dyDescent="0.25">
      <c r="A1830" s="1"/>
      <c r="B1830" s="17"/>
      <c r="C1830" s="17"/>
      <c r="D1830" s="17"/>
      <c r="E1830" s="17"/>
      <c r="F1830" s="17"/>
      <c r="G1830" s="4">
        <f t="shared" si="81"/>
        <v>0</v>
      </c>
      <c r="H1830" s="17"/>
      <c r="I1830" s="4">
        <f t="shared" si="83"/>
        <v>349526.07999999996</v>
      </c>
      <c r="J1830" s="32" t="str">
        <f t="shared" si="82"/>
        <v/>
      </c>
      <c r="K1830" s="72"/>
      <c r="L1830" s="72"/>
      <c r="M1830" s="2"/>
      <c r="N1830" s="5"/>
      <c r="O1830" s="3"/>
      <c r="P1830" s="6"/>
      <c r="Q1830" s="48">
        <f>IF(Учет!$O1830=Справочники!$F$2,Учет!$H1830,0)</f>
        <v>0</v>
      </c>
      <c r="R1830" s="48">
        <f>IF(Учет!$O1830=Справочники!$F$3,Учет!$H1830,0)</f>
        <v>0</v>
      </c>
      <c r="S1830" s="48">
        <f>IF(Учет!$O1830=Справочники!$F$4,Учет!$H1830,0)</f>
        <v>0</v>
      </c>
      <c r="T1830" s="48">
        <f>IF(Учет!$O1830=Справочники!$F$5,Учет!$H1830,0)</f>
        <v>0</v>
      </c>
      <c r="U1830" s="48">
        <f>IF(Учет!$O1830=Справочники!$F$6,Учет!$H1830,0)</f>
        <v>0</v>
      </c>
      <c r="V1830" s="43">
        <f>V1829+Учет!Q1830-Q1830</f>
        <v>-488978.92000000004</v>
      </c>
      <c r="W1830" s="43">
        <f>W1829+Учет!R1830-R1830</f>
        <v>336855</v>
      </c>
      <c r="X1830" s="43">
        <f>X1829+Учет!S1830-S1830</f>
        <v>500</v>
      </c>
      <c r="Y1830" s="43">
        <f>Y1829+Учет!T1830-T1830</f>
        <v>1150</v>
      </c>
      <c r="Z1830" s="43">
        <f>Z1829+Учет!U1830-U1830</f>
        <v>500000</v>
      </c>
      <c r="AA1830" s="45">
        <f>Учет!X1830</f>
        <v>500</v>
      </c>
    </row>
    <row r="1831" spans="1:27" ht="15" customHeight="1" x14ac:dyDescent="0.25">
      <c r="A1831" s="1"/>
      <c r="B1831" s="17"/>
      <c r="C1831" s="17"/>
      <c r="D1831" s="17"/>
      <c r="E1831" s="17"/>
      <c r="F1831" s="17"/>
      <c r="G1831" s="4">
        <f t="shared" si="81"/>
        <v>0</v>
      </c>
      <c r="H1831" s="17"/>
      <c r="I1831" s="4">
        <f t="shared" si="83"/>
        <v>349526.07999999996</v>
      </c>
      <c r="J1831" s="32" t="str">
        <f t="shared" si="82"/>
        <v/>
      </c>
      <c r="K1831" s="72"/>
      <c r="L1831" s="72"/>
      <c r="M1831" s="2"/>
      <c r="N1831" s="5"/>
      <c r="O1831" s="3"/>
      <c r="P1831" s="6"/>
      <c r="Q1831" s="48">
        <f>IF(Учет!$O1831=Справочники!$F$2,Учет!$H1831,0)</f>
        <v>0</v>
      </c>
      <c r="R1831" s="48">
        <f>IF(Учет!$O1831=Справочники!$F$3,Учет!$H1831,0)</f>
        <v>0</v>
      </c>
      <c r="S1831" s="48">
        <f>IF(Учет!$O1831=Справочники!$F$4,Учет!$H1831,0)</f>
        <v>0</v>
      </c>
      <c r="T1831" s="48">
        <f>IF(Учет!$O1831=Справочники!$F$5,Учет!$H1831,0)</f>
        <v>0</v>
      </c>
      <c r="U1831" s="48">
        <f>IF(Учет!$O1831=Справочники!$F$6,Учет!$H1831,0)</f>
        <v>0</v>
      </c>
      <c r="V1831" s="43">
        <f>V1830+Учет!Q1831-Q1831</f>
        <v>-488978.92000000004</v>
      </c>
      <c r="W1831" s="43">
        <f>W1830+Учет!R1831-R1831</f>
        <v>336855</v>
      </c>
      <c r="X1831" s="43">
        <f>X1830+Учет!S1831-S1831</f>
        <v>500</v>
      </c>
      <c r="Y1831" s="43">
        <f>Y1830+Учет!T1831-T1831</f>
        <v>1150</v>
      </c>
      <c r="Z1831" s="43">
        <f>Z1830+Учет!U1831-U1831</f>
        <v>500000</v>
      </c>
      <c r="AA1831" s="45">
        <f>Учет!X1831</f>
        <v>500</v>
      </c>
    </row>
    <row r="1832" spans="1:27" ht="15" customHeight="1" x14ac:dyDescent="0.25">
      <c r="A1832" s="1"/>
      <c r="B1832" s="17"/>
      <c r="C1832" s="17"/>
      <c r="D1832" s="17"/>
      <c r="E1832" s="17"/>
      <c r="F1832" s="17"/>
      <c r="G1832" s="4">
        <f t="shared" si="81"/>
        <v>0</v>
      </c>
      <c r="H1832" s="17"/>
      <c r="I1832" s="4">
        <f t="shared" si="83"/>
        <v>349526.07999999996</v>
      </c>
      <c r="J1832" s="32" t="str">
        <f t="shared" si="82"/>
        <v/>
      </c>
      <c r="K1832" s="72"/>
      <c r="L1832" s="72"/>
      <c r="M1832" s="2"/>
      <c r="N1832" s="5"/>
      <c r="O1832" s="3"/>
      <c r="P1832" s="6"/>
      <c r="Q1832" s="48">
        <f>IF(Учет!$O1832=Справочники!$F$2,Учет!$H1832,0)</f>
        <v>0</v>
      </c>
      <c r="R1832" s="48">
        <f>IF(Учет!$O1832=Справочники!$F$3,Учет!$H1832,0)</f>
        <v>0</v>
      </c>
      <c r="S1832" s="48">
        <f>IF(Учет!$O1832=Справочники!$F$4,Учет!$H1832,0)</f>
        <v>0</v>
      </c>
      <c r="T1832" s="48">
        <f>IF(Учет!$O1832=Справочники!$F$5,Учет!$H1832,0)</f>
        <v>0</v>
      </c>
      <c r="U1832" s="48">
        <f>IF(Учет!$O1832=Справочники!$F$6,Учет!$H1832,0)</f>
        <v>0</v>
      </c>
      <c r="V1832" s="43">
        <f>V1831+Учет!Q1832-Q1832</f>
        <v>-488978.92000000004</v>
      </c>
      <c r="W1832" s="43">
        <f>W1831+Учет!R1832-R1832</f>
        <v>336855</v>
      </c>
      <c r="X1832" s="43">
        <f>X1831+Учет!S1832-S1832</f>
        <v>500</v>
      </c>
      <c r="Y1832" s="43">
        <f>Y1831+Учет!T1832-T1832</f>
        <v>1150</v>
      </c>
      <c r="Z1832" s="43">
        <f>Z1831+Учет!U1832-U1832</f>
        <v>500000</v>
      </c>
      <c r="AA1832" s="45">
        <f>Учет!X1832</f>
        <v>500</v>
      </c>
    </row>
    <row r="1833" spans="1:27" ht="15" customHeight="1" x14ac:dyDescent="0.25">
      <c r="A1833" s="1"/>
      <c r="B1833" s="17"/>
      <c r="C1833" s="17"/>
      <c r="D1833" s="17"/>
      <c r="E1833" s="17"/>
      <c r="F1833" s="17"/>
      <c r="G1833" s="4">
        <f t="shared" si="81"/>
        <v>0</v>
      </c>
      <c r="H1833" s="17"/>
      <c r="I1833" s="4">
        <f t="shared" si="83"/>
        <v>349526.07999999996</v>
      </c>
      <c r="J1833" s="32" t="str">
        <f t="shared" si="82"/>
        <v/>
      </c>
      <c r="K1833" s="72"/>
      <c r="L1833" s="72"/>
      <c r="M1833" s="2"/>
      <c r="N1833" s="5"/>
      <c r="O1833" s="3"/>
      <c r="P1833" s="6"/>
      <c r="Q1833" s="48">
        <f>IF(Учет!$O1833=Справочники!$F$2,Учет!$H1833,0)</f>
        <v>0</v>
      </c>
      <c r="R1833" s="48">
        <f>IF(Учет!$O1833=Справочники!$F$3,Учет!$H1833,0)</f>
        <v>0</v>
      </c>
      <c r="S1833" s="48">
        <f>IF(Учет!$O1833=Справочники!$F$4,Учет!$H1833,0)</f>
        <v>0</v>
      </c>
      <c r="T1833" s="48">
        <f>IF(Учет!$O1833=Справочники!$F$5,Учет!$H1833,0)</f>
        <v>0</v>
      </c>
      <c r="U1833" s="48">
        <f>IF(Учет!$O1833=Справочники!$F$6,Учет!$H1833,0)</f>
        <v>0</v>
      </c>
      <c r="V1833" s="43">
        <f>V1832+Учет!Q1833-Q1833</f>
        <v>-488978.92000000004</v>
      </c>
      <c r="W1833" s="43">
        <f>W1832+Учет!R1833-R1833</f>
        <v>336855</v>
      </c>
      <c r="X1833" s="43">
        <f>X1832+Учет!S1833-S1833</f>
        <v>500</v>
      </c>
      <c r="Y1833" s="43">
        <f>Y1832+Учет!T1833-T1833</f>
        <v>1150</v>
      </c>
      <c r="Z1833" s="43">
        <f>Z1832+Учет!U1833-U1833</f>
        <v>500000</v>
      </c>
      <c r="AA1833" s="45">
        <f>Учет!X1833</f>
        <v>500</v>
      </c>
    </row>
    <row r="1834" spans="1:27" ht="15" customHeight="1" x14ac:dyDescent="0.25">
      <c r="A1834" s="1"/>
      <c r="B1834" s="17"/>
      <c r="C1834" s="17"/>
      <c r="D1834" s="17"/>
      <c r="E1834" s="17"/>
      <c r="F1834" s="17"/>
      <c r="G1834" s="4">
        <f t="shared" si="81"/>
        <v>0</v>
      </c>
      <c r="H1834" s="17"/>
      <c r="I1834" s="4">
        <f t="shared" si="83"/>
        <v>349526.07999999996</v>
      </c>
      <c r="J1834" s="32" t="str">
        <f t="shared" si="82"/>
        <v/>
      </c>
      <c r="K1834" s="72"/>
      <c r="L1834" s="72"/>
      <c r="M1834" s="2"/>
      <c r="N1834" s="5"/>
      <c r="O1834" s="3"/>
      <c r="P1834" s="6"/>
      <c r="Q1834" s="48">
        <f>IF(Учет!$O1834=Справочники!$F$2,Учет!$H1834,0)</f>
        <v>0</v>
      </c>
      <c r="R1834" s="48">
        <f>IF(Учет!$O1834=Справочники!$F$3,Учет!$H1834,0)</f>
        <v>0</v>
      </c>
      <c r="S1834" s="48">
        <f>IF(Учет!$O1834=Справочники!$F$4,Учет!$H1834,0)</f>
        <v>0</v>
      </c>
      <c r="T1834" s="48">
        <f>IF(Учет!$O1834=Справочники!$F$5,Учет!$H1834,0)</f>
        <v>0</v>
      </c>
      <c r="U1834" s="48">
        <f>IF(Учет!$O1834=Справочники!$F$6,Учет!$H1834,0)</f>
        <v>0</v>
      </c>
      <c r="V1834" s="43">
        <f>V1833+Учет!Q1834-Q1834</f>
        <v>-488978.92000000004</v>
      </c>
      <c r="W1834" s="43">
        <f>W1833+Учет!R1834-R1834</f>
        <v>336855</v>
      </c>
      <c r="X1834" s="43">
        <f>X1833+Учет!S1834-S1834</f>
        <v>500</v>
      </c>
      <c r="Y1834" s="43">
        <f>Y1833+Учет!T1834-T1834</f>
        <v>1150</v>
      </c>
      <c r="Z1834" s="43">
        <f>Z1833+Учет!U1834-U1834</f>
        <v>500000</v>
      </c>
      <c r="AA1834" s="45">
        <f>Учет!X1834</f>
        <v>500</v>
      </c>
    </row>
    <row r="1835" spans="1:27" ht="15" customHeight="1" x14ac:dyDescent="0.25">
      <c r="A1835" s="1"/>
      <c r="B1835" s="17"/>
      <c r="C1835" s="17"/>
      <c r="D1835" s="17"/>
      <c r="E1835" s="17"/>
      <c r="F1835" s="17"/>
      <c r="G1835" s="4">
        <f t="shared" si="81"/>
        <v>0</v>
      </c>
      <c r="H1835" s="17"/>
      <c r="I1835" s="4">
        <f t="shared" si="83"/>
        <v>349526.07999999996</v>
      </c>
      <c r="J1835" s="32" t="str">
        <f t="shared" si="82"/>
        <v/>
      </c>
      <c r="K1835" s="72"/>
      <c r="L1835" s="72"/>
      <c r="M1835" s="2"/>
      <c r="N1835" s="5"/>
      <c r="O1835" s="3"/>
      <c r="P1835" s="6"/>
      <c r="Q1835" s="48">
        <f>IF(Учет!$O1835=Справочники!$F$2,Учет!$H1835,0)</f>
        <v>0</v>
      </c>
      <c r="R1835" s="48">
        <f>IF(Учет!$O1835=Справочники!$F$3,Учет!$H1835,0)</f>
        <v>0</v>
      </c>
      <c r="S1835" s="48">
        <f>IF(Учет!$O1835=Справочники!$F$4,Учет!$H1835,0)</f>
        <v>0</v>
      </c>
      <c r="T1835" s="48">
        <f>IF(Учет!$O1835=Справочники!$F$5,Учет!$H1835,0)</f>
        <v>0</v>
      </c>
      <c r="U1835" s="48">
        <f>IF(Учет!$O1835=Справочники!$F$6,Учет!$H1835,0)</f>
        <v>0</v>
      </c>
      <c r="V1835" s="43">
        <f>V1834+Учет!Q1835-Q1835</f>
        <v>-488978.92000000004</v>
      </c>
      <c r="W1835" s="43">
        <f>W1834+Учет!R1835-R1835</f>
        <v>336855</v>
      </c>
      <c r="X1835" s="43">
        <f>X1834+Учет!S1835-S1835</f>
        <v>500</v>
      </c>
      <c r="Y1835" s="43">
        <f>Y1834+Учет!T1835-T1835</f>
        <v>1150</v>
      </c>
      <c r="Z1835" s="43">
        <f>Z1834+Учет!U1835-U1835</f>
        <v>500000</v>
      </c>
      <c r="AA1835" s="45">
        <f>Учет!X1835</f>
        <v>500</v>
      </c>
    </row>
    <row r="1836" spans="1:27" ht="15" customHeight="1" x14ac:dyDescent="0.25">
      <c r="A1836" s="1"/>
      <c r="B1836" s="17"/>
      <c r="C1836" s="17"/>
      <c r="D1836" s="17"/>
      <c r="E1836" s="17"/>
      <c r="F1836" s="17"/>
      <c r="G1836" s="4">
        <f t="shared" si="81"/>
        <v>0</v>
      </c>
      <c r="H1836" s="17"/>
      <c r="I1836" s="4">
        <f t="shared" si="83"/>
        <v>349526.07999999996</v>
      </c>
      <c r="J1836" s="32" t="str">
        <f t="shared" si="82"/>
        <v/>
      </c>
      <c r="K1836" s="72"/>
      <c r="L1836" s="72"/>
      <c r="M1836" s="2"/>
      <c r="N1836" s="5"/>
      <c r="O1836" s="3"/>
      <c r="P1836" s="6"/>
      <c r="Q1836" s="48">
        <f>IF(Учет!$O1836=Справочники!$F$2,Учет!$H1836,0)</f>
        <v>0</v>
      </c>
      <c r="R1836" s="48">
        <f>IF(Учет!$O1836=Справочники!$F$3,Учет!$H1836,0)</f>
        <v>0</v>
      </c>
      <c r="S1836" s="48">
        <f>IF(Учет!$O1836=Справочники!$F$4,Учет!$H1836,0)</f>
        <v>0</v>
      </c>
      <c r="T1836" s="48">
        <f>IF(Учет!$O1836=Справочники!$F$5,Учет!$H1836,0)</f>
        <v>0</v>
      </c>
      <c r="U1836" s="48">
        <f>IF(Учет!$O1836=Справочники!$F$6,Учет!$H1836,0)</f>
        <v>0</v>
      </c>
      <c r="V1836" s="43">
        <f>V1835+Учет!Q1836-Q1836</f>
        <v>-488978.92000000004</v>
      </c>
      <c r="W1836" s="43">
        <f>W1835+Учет!R1836-R1836</f>
        <v>336855</v>
      </c>
      <c r="X1836" s="43">
        <f>X1835+Учет!S1836-S1836</f>
        <v>500</v>
      </c>
      <c r="Y1836" s="43">
        <f>Y1835+Учет!T1836-T1836</f>
        <v>1150</v>
      </c>
      <c r="Z1836" s="43">
        <f>Z1835+Учет!U1836-U1836</f>
        <v>500000</v>
      </c>
      <c r="AA1836" s="45">
        <f>Учет!X1836</f>
        <v>500</v>
      </c>
    </row>
    <row r="1837" spans="1:27" ht="15" customHeight="1" x14ac:dyDescent="0.25">
      <c r="A1837" s="1"/>
      <c r="B1837" s="17"/>
      <c r="C1837" s="17"/>
      <c r="D1837" s="17"/>
      <c r="E1837" s="17"/>
      <c r="F1837" s="17"/>
      <c r="G1837" s="4">
        <f t="shared" si="81"/>
        <v>0</v>
      </c>
      <c r="H1837" s="17"/>
      <c r="I1837" s="4">
        <f t="shared" si="83"/>
        <v>349526.07999999996</v>
      </c>
      <c r="J1837" s="32" t="str">
        <f t="shared" si="82"/>
        <v/>
      </c>
      <c r="K1837" s="72"/>
      <c r="L1837" s="72"/>
      <c r="M1837" s="2"/>
      <c r="N1837" s="5"/>
      <c r="O1837" s="3"/>
      <c r="P1837" s="6"/>
      <c r="Q1837" s="48">
        <f>IF(Учет!$O1837=Справочники!$F$2,Учет!$H1837,0)</f>
        <v>0</v>
      </c>
      <c r="R1837" s="48">
        <f>IF(Учет!$O1837=Справочники!$F$3,Учет!$H1837,0)</f>
        <v>0</v>
      </c>
      <c r="S1837" s="48">
        <f>IF(Учет!$O1837=Справочники!$F$4,Учет!$H1837,0)</f>
        <v>0</v>
      </c>
      <c r="T1837" s="48">
        <f>IF(Учет!$O1837=Справочники!$F$5,Учет!$H1837,0)</f>
        <v>0</v>
      </c>
      <c r="U1837" s="48">
        <f>IF(Учет!$O1837=Справочники!$F$6,Учет!$H1837,0)</f>
        <v>0</v>
      </c>
      <c r="V1837" s="43">
        <f>V1836+Учет!Q1837-Q1837</f>
        <v>-488978.92000000004</v>
      </c>
      <c r="W1837" s="43">
        <f>W1836+Учет!R1837-R1837</f>
        <v>336855</v>
      </c>
      <c r="X1837" s="43">
        <f>X1836+Учет!S1837-S1837</f>
        <v>500</v>
      </c>
      <c r="Y1837" s="43">
        <f>Y1836+Учет!T1837-T1837</f>
        <v>1150</v>
      </c>
      <c r="Z1837" s="43">
        <f>Z1836+Учет!U1837-U1837</f>
        <v>500000</v>
      </c>
      <c r="AA1837" s="45">
        <f>Учет!X1837</f>
        <v>500</v>
      </c>
    </row>
    <row r="1838" spans="1:27" ht="15" customHeight="1" x14ac:dyDescent="0.25">
      <c r="A1838" s="1"/>
      <c r="B1838" s="17"/>
      <c r="C1838" s="17"/>
      <c r="D1838" s="17"/>
      <c r="E1838" s="17"/>
      <c r="F1838" s="17"/>
      <c r="G1838" s="4">
        <f t="shared" si="81"/>
        <v>0</v>
      </c>
      <c r="H1838" s="17"/>
      <c r="I1838" s="4">
        <f t="shared" si="83"/>
        <v>349526.07999999996</v>
      </c>
      <c r="J1838" s="32" t="str">
        <f t="shared" si="82"/>
        <v/>
      </c>
      <c r="K1838" s="72"/>
      <c r="L1838" s="72"/>
      <c r="M1838" s="2"/>
      <c r="N1838" s="5"/>
      <c r="O1838" s="3"/>
      <c r="P1838" s="6"/>
      <c r="Q1838" s="48">
        <f>IF(Учет!$O1838=Справочники!$F$2,Учет!$H1838,0)</f>
        <v>0</v>
      </c>
      <c r="R1838" s="48">
        <f>IF(Учет!$O1838=Справочники!$F$3,Учет!$H1838,0)</f>
        <v>0</v>
      </c>
      <c r="S1838" s="48">
        <f>IF(Учет!$O1838=Справочники!$F$4,Учет!$H1838,0)</f>
        <v>0</v>
      </c>
      <c r="T1838" s="48">
        <f>IF(Учет!$O1838=Справочники!$F$5,Учет!$H1838,0)</f>
        <v>0</v>
      </c>
      <c r="U1838" s="48">
        <f>IF(Учет!$O1838=Справочники!$F$6,Учет!$H1838,0)</f>
        <v>0</v>
      </c>
      <c r="V1838" s="43">
        <f>V1837+Учет!Q1838-Q1838</f>
        <v>-488978.92000000004</v>
      </c>
      <c r="W1838" s="43">
        <f>W1837+Учет!R1838-R1838</f>
        <v>336855</v>
      </c>
      <c r="X1838" s="43">
        <f>X1837+Учет!S1838-S1838</f>
        <v>500</v>
      </c>
      <c r="Y1838" s="43">
        <f>Y1837+Учет!T1838-T1838</f>
        <v>1150</v>
      </c>
      <c r="Z1838" s="43">
        <f>Z1837+Учет!U1838-U1838</f>
        <v>500000</v>
      </c>
      <c r="AA1838" s="45">
        <f>Учет!X1838</f>
        <v>500</v>
      </c>
    </row>
    <row r="1839" spans="1:27" ht="15" customHeight="1" x14ac:dyDescent="0.25">
      <c r="A1839" s="1"/>
      <c r="B1839" s="17"/>
      <c r="C1839" s="17"/>
      <c r="D1839" s="17"/>
      <c r="E1839" s="17"/>
      <c r="F1839" s="17"/>
      <c r="G1839" s="4">
        <f t="shared" si="81"/>
        <v>0</v>
      </c>
      <c r="H1839" s="17"/>
      <c r="I1839" s="4">
        <f t="shared" si="83"/>
        <v>349526.07999999996</v>
      </c>
      <c r="J1839" s="32" t="str">
        <f t="shared" si="82"/>
        <v/>
      </c>
      <c r="K1839" s="72"/>
      <c r="L1839" s="72"/>
      <c r="M1839" s="2"/>
      <c r="N1839" s="5"/>
      <c r="O1839" s="3"/>
      <c r="P1839" s="6"/>
      <c r="Q1839" s="48">
        <f>IF(Учет!$O1839=Справочники!$F$2,Учет!$H1839,0)</f>
        <v>0</v>
      </c>
      <c r="R1839" s="48">
        <f>IF(Учет!$O1839=Справочники!$F$3,Учет!$H1839,0)</f>
        <v>0</v>
      </c>
      <c r="S1839" s="48">
        <f>IF(Учет!$O1839=Справочники!$F$4,Учет!$H1839,0)</f>
        <v>0</v>
      </c>
      <c r="T1839" s="48">
        <f>IF(Учет!$O1839=Справочники!$F$5,Учет!$H1839,0)</f>
        <v>0</v>
      </c>
      <c r="U1839" s="48">
        <f>IF(Учет!$O1839=Справочники!$F$6,Учет!$H1839,0)</f>
        <v>0</v>
      </c>
      <c r="V1839" s="43">
        <f>V1838+Учет!Q1839-Q1839</f>
        <v>-488978.92000000004</v>
      </c>
      <c r="W1839" s="43">
        <f>W1838+Учет!R1839-R1839</f>
        <v>336855</v>
      </c>
      <c r="X1839" s="43">
        <f>X1838+Учет!S1839-S1839</f>
        <v>500</v>
      </c>
      <c r="Y1839" s="43">
        <f>Y1838+Учет!T1839-T1839</f>
        <v>1150</v>
      </c>
      <c r="Z1839" s="43">
        <f>Z1838+Учет!U1839-U1839</f>
        <v>500000</v>
      </c>
      <c r="AA1839" s="45">
        <f>Учет!X1839</f>
        <v>500</v>
      </c>
    </row>
    <row r="1840" spans="1:27" ht="15" customHeight="1" x14ac:dyDescent="0.25">
      <c r="A1840" s="1"/>
      <c r="B1840" s="17"/>
      <c r="C1840" s="17"/>
      <c r="D1840" s="17"/>
      <c r="E1840" s="17"/>
      <c r="F1840" s="17"/>
      <c r="G1840" s="4">
        <f t="shared" si="81"/>
        <v>0</v>
      </c>
      <c r="H1840" s="17"/>
      <c r="I1840" s="4">
        <f t="shared" si="83"/>
        <v>349526.07999999996</v>
      </c>
      <c r="J1840" s="32" t="str">
        <f t="shared" si="82"/>
        <v/>
      </c>
      <c r="K1840" s="72"/>
      <c r="L1840" s="72"/>
      <c r="M1840" s="2"/>
      <c r="N1840" s="5"/>
      <c r="O1840" s="3"/>
      <c r="P1840" s="6"/>
      <c r="Q1840" s="48">
        <f>IF(Учет!$O1840=Справочники!$F$2,Учет!$H1840,0)</f>
        <v>0</v>
      </c>
      <c r="R1840" s="48">
        <f>IF(Учет!$O1840=Справочники!$F$3,Учет!$H1840,0)</f>
        <v>0</v>
      </c>
      <c r="S1840" s="48">
        <f>IF(Учет!$O1840=Справочники!$F$4,Учет!$H1840,0)</f>
        <v>0</v>
      </c>
      <c r="T1840" s="48">
        <f>IF(Учет!$O1840=Справочники!$F$5,Учет!$H1840,0)</f>
        <v>0</v>
      </c>
      <c r="U1840" s="48">
        <f>IF(Учет!$O1840=Справочники!$F$6,Учет!$H1840,0)</f>
        <v>0</v>
      </c>
      <c r="V1840" s="43">
        <f>V1839+Учет!Q1840-Q1840</f>
        <v>-488978.92000000004</v>
      </c>
      <c r="W1840" s="43">
        <f>W1839+Учет!R1840-R1840</f>
        <v>336855</v>
      </c>
      <c r="X1840" s="43">
        <f>X1839+Учет!S1840-S1840</f>
        <v>500</v>
      </c>
      <c r="Y1840" s="43">
        <f>Y1839+Учет!T1840-T1840</f>
        <v>1150</v>
      </c>
      <c r="Z1840" s="43">
        <f>Z1839+Учет!U1840-U1840</f>
        <v>500000</v>
      </c>
      <c r="AA1840" s="45">
        <f>Учет!X1840</f>
        <v>500</v>
      </c>
    </row>
    <row r="1841" spans="1:27" ht="15" customHeight="1" x14ac:dyDescent="0.25">
      <c r="A1841" s="1"/>
      <c r="B1841" s="17"/>
      <c r="C1841" s="17"/>
      <c r="D1841" s="17"/>
      <c r="E1841" s="17"/>
      <c r="F1841" s="17"/>
      <c r="G1841" s="4">
        <f t="shared" si="81"/>
        <v>0</v>
      </c>
      <c r="H1841" s="17"/>
      <c r="I1841" s="4">
        <f t="shared" si="83"/>
        <v>349526.07999999996</v>
      </c>
      <c r="J1841" s="32" t="str">
        <f t="shared" si="82"/>
        <v/>
      </c>
      <c r="K1841" s="72"/>
      <c r="L1841" s="72"/>
      <c r="M1841" s="2"/>
      <c r="N1841" s="5"/>
      <c r="O1841" s="3"/>
      <c r="P1841" s="6"/>
      <c r="Q1841" s="48">
        <f>IF(Учет!$O1841=Справочники!$F$2,Учет!$H1841,0)</f>
        <v>0</v>
      </c>
      <c r="R1841" s="48">
        <f>IF(Учет!$O1841=Справочники!$F$3,Учет!$H1841,0)</f>
        <v>0</v>
      </c>
      <c r="S1841" s="48">
        <f>IF(Учет!$O1841=Справочники!$F$4,Учет!$H1841,0)</f>
        <v>0</v>
      </c>
      <c r="T1841" s="48">
        <f>IF(Учет!$O1841=Справочники!$F$5,Учет!$H1841,0)</f>
        <v>0</v>
      </c>
      <c r="U1841" s="48">
        <f>IF(Учет!$O1841=Справочники!$F$6,Учет!$H1841,0)</f>
        <v>0</v>
      </c>
      <c r="V1841" s="43">
        <f>V1840+Учет!Q1841-Q1841</f>
        <v>-488978.92000000004</v>
      </c>
      <c r="W1841" s="43">
        <f>W1840+Учет!R1841-R1841</f>
        <v>336855</v>
      </c>
      <c r="X1841" s="43">
        <f>X1840+Учет!S1841-S1841</f>
        <v>500</v>
      </c>
      <c r="Y1841" s="43">
        <f>Y1840+Учет!T1841-T1841</f>
        <v>1150</v>
      </c>
      <c r="Z1841" s="43">
        <f>Z1840+Учет!U1841-U1841</f>
        <v>500000</v>
      </c>
      <c r="AA1841" s="45">
        <f>Учет!X1841</f>
        <v>500</v>
      </c>
    </row>
    <row r="1842" spans="1:27" ht="15" customHeight="1" x14ac:dyDescent="0.25">
      <c r="A1842" s="1"/>
      <c r="B1842" s="17"/>
      <c r="C1842" s="17"/>
      <c r="D1842" s="17"/>
      <c r="E1842" s="17"/>
      <c r="F1842" s="17"/>
      <c r="G1842" s="4">
        <f t="shared" si="81"/>
        <v>0</v>
      </c>
      <c r="H1842" s="17"/>
      <c r="I1842" s="4">
        <f t="shared" si="83"/>
        <v>349526.07999999996</v>
      </c>
      <c r="J1842" s="32" t="str">
        <f t="shared" si="82"/>
        <v/>
      </c>
      <c r="K1842" s="72"/>
      <c r="L1842" s="72"/>
      <c r="M1842" s="2"/>
      <c r="N1842" s="5"/>
      <c r="O1842" s="3"/>
      <c r="P1842" s="6"/>
      <c r="Q1842" s="48">
        <f>IF(Учет!$O1842=Справочники!$F$2,Учет!$H1842,0)</f>
        <v>0</v>
      </c>
      <c r="R1842" s="48">
        <f>IF(Учет!$O1842=Справочники!$F$3,Учет!$H1842,0)</f>
        <v>0</v>
      </c>
      <c r="S1842" s="48">
        <f>IF(Учет!$O1842=Справочники!$F$4,Учет!$H1842,0)</f>
        <v>0</v>
      </c>
      <c r="T1842" s="48">
        <f>IF(Учет!$O1842=Справочники!$F$5,Учет!$H1842,0)</f>
        <v>0</v>
      </c>
      <c r="U1842" s="48">
        <f>IF(Учет!$O1842=Справочники!$F$6,Учет!$H1842,0)</f>
        <v>0</v>
      </c>
      <c r="V1842" s="43">
        <f>V1841+Учет!Q1842-Q1842</f>
        <v>-488978.92000000004</v>
      </c>
      <c r="W1842" s="43">
        <f>W1841+Учет!R1842-R1842</f>
        <v>336855</v>
      </c>
      <c r="X1842" s="43">
        <f>X1841+Учет!S1842-S1842</f>
        <v>500</v>
      </c>
      <c r="Y1842" s="43">
        <f>Y1841+Учет!T1842-T1842</f>
        <v>1150</v>
      </c>
      <c r="Z1842" s="43">
        <f>Z1841+Учет!U1842-U1842</f>
        <v>500000</v>
      </c>
      <c r="AA1842" s="45">
        <f>Учет!X1842</f>
        <v>500</v>
      </c>
    </row>
    <row r="1843" spans="1:27" ht="15" customHeight="1" x14ac:dyDescent="0.25">
      <c r="A1843" s="1"/>
      <c r="B1843" s="17"/>
      <c r="C1843" s="17"/>
      <c r="D1843" s="17"/>
      <c r="E1843" s="17"/>
      <c r="F1843" s="17"/>
      <c r="G1843" s="4">
        <f t="shared" si="81"/>
        <v>0</v>
      </c>
      <c r="H1843" s="17"/>
      <c r="I1843" s="4">
        <f t="shared" si="83"/>
        <v>349526.07999999996</v>
      </c>
      <c r="J1843" s="32" t="str">
        <f t="shared" si="82"/>
        <v/>
      </c>
      <c r="K1843" s="72"/>
      <c r="L1843" s="72"/>
      <c r="M1843" s="2"/>
      <c r="N1843" s="5"/>
      <c r="O1843" s="3"/>
      <c r="P1843" s="6"/>
      <c r="Q1843" s="48">
        <f>IF(Учет!$O1843=Справочники!$F$2,Учет!$H1843,0)</f>
        <v>0</v>
      </c>
      <c r="R1843" s="48">
        <f>IF(Учет!$O1843=Справочники!$F$3,Учет!$H1843,0)</f>
        <v>0</v>
      </c>
      <c r="S1843" s="48">
        <f>IF(Учет!$O1843=Справочники!$F$4,Учет!$H1843,0)</f>
        <v>0</v>
      </c>
      <c r="T1843" s="48">
        <f>IF(Учет!$O1843=Справочники!$F$5,Учет!$H1843,0)</f>
        <v>0</v>
      </c>
      <c r="U1843" s="48">
        <f>IF(Учет!$O1843=Справочники!$F$6,Учет!$H1843,0)</f>
        <v>0</v>
      </c>
      <c r="V1843" s="43">
        <f>V1842+Учет!Q1843-Q1843</f>
        <v>-488978.92000000004</v>
      </c>
      <c r="W1843" s="43">
        <f>W1842+Учет!R1843-R1843</f>
        <v>336855</v>
      </c>
      <c r="X1843" s="43">
        <f>X1842+Учет!S1843-S1843</f>
        <v>500</v>
      </c>
      <c r="Y1843" s="43">
        <f>Y1842+Учет!T1843-T1843</f>
        <v>1150</v>
      </c>
      <c r="Z1843" s="43">
        <f>Z1842+Учет!U1843-U1843</f>
        <v>500000</v>
      </c>
      <c r="AA1843" s="45">
        <f>Учет!X1843</f>
        <v>500</v>
      </c>
    </row>
    <row r="1844" spans="1:27" ht="15" customHeight="1" x14ac:dyDescent="0.25">
      <c r="A1844" s="1"/>
      <c r="B1844" s="17"/>
      <c r="C1844" s="17"/>
      <c r="D1844" s="17"/>
      <c r="E1844" s="17"/>
      <c r="F1844" s="17"/>
      <c r="G1844" s="4">
        <f t="shared" si="81"/>
        <v>0</v>
      </c>
      <c r="H1844" s="17"/>
      <c r="I1844" s="4">
        <f t="shared" si="83"/>
        <v>349526.07999999996</v>
      </c>
      <c r="J1844" s="32" t="str">
        <f t="shared" si="82"/>
        <v/>
      </c>
      <c r="K1844" s="72"/>
      <c r="L1844" s="72"/>
      <c r="M1844" s="2"/>
      <c r="N1844" s="5"/>
      <c r="O1844" s="3"/>
      <c r="P1844" s="6"/>
      <c r="Q1844" s="48">
        <f>IF(Учет!$O1844=Справочники!$F$2,Учет!$H1844,0)</f>
        <v>0</v>
      </c>
      <c r="R1844" s="48">
        <f>IF(Учет!$O1844=Справочники!$F$3,Учет!$H1844,0)</f>
        <v>0</v>
      </c>
      <c r="S1844" s="48">
        <f>IF(Учет!$O1844=Справочники!$F$4,Учет!$H1844,0)</f>
        <v>0</v>
      </c>
      <c r="T1844" s="48">
        <f>IF(Учет!$O1844=Справочники!$F$5,Учет!$H1844,0)</f>
        <v>0</v>
      </c>
      <c r="U1844" s="48">
        <f>IF(Учет!$O1844=Справочники!$F$6,Учет!$H1844,0)</f>
        <v>0</v>
      </c>
      <c r="V1844" s="43">
        <f>V1843+Учет!Q1844-Q1844</f>
        <v>-488978.92000000004</v>
      </c>
      <c r="W1844" s="43">
        <f>W1843+Учет!R1844-R1844</f>
        <v>336855</v>
      </c>
      <c r="X1844" s="43">
        <f>X1843+Учет!S1844-S1844</f>
        <v>500</v>
      </c>
      <c r="Y1844" s="43">
        <f>Y1843+Учет!T1844-T1844</f>
        <v>1150</v>
      </c>
      <c r="Z1844" s="43">
        <f>Z1843+Учет!U1844-U1844</f>
        <v>500000</v>
      </c>
      <c r="AA1844" s="45">
        <f>Учет!X1844</f>
        <v>500</v>
      </c>
    </row>
    <row r="1845" spans="1:27" ht="15" customHeight="1" x14ac:dyDescent="0.25">
      <c r="A1845" s="1"/>
      <c r="B1845" s="17"/>
      <c r="C1845" s="17"/>
      <c r="D1845" s="17"/>
      <c r="E1845" s="17"/>
      <c r="F1845" s="17"/>
      <c r="G1845" s="4">
        <f t="shared" si="81"/>
        <v>0</v>
      </c>
      <c r="H1845" s="17"/>
      <c r="I1845" s="4">
        <f t="shared" si="83"/>
        <v>349526.07999999996</v>
      </c>
      <c r="J1845" s="32" t="str">
        <f t="shared" si="82"/>
        <v/>
      </c>
      <c r="K1845" s="72"/>
      <c r="L1845" s="72"/>
      <c r="M1845" s="2"/>
      <c r="N1845" s="5"/>
      <c r="O1845" s="3"/>
      <c r="P1845" s="6"/>
      <c r="Q1845" s="48">
        <f>IF(Учет!$O1845=Справочники!$F$2,Учет!$H1845,0)</f>
        <v>0</v>
      </c>
      <c r="R1845" s="48">
        <f>IF(Учет!$O1845=Справочники!$F$3,Учет!$H1845,0)</f>
        <v>0</v>
      </c>
      <c r="S1845" s="48">
        <f>IF(Учет!$O1845=Справочники!$F$4,Учет!$H1845,0)</f>
        <v>0</v>
      </c>
      <c r="T1845" s="48">
        <f>IF(Учет!$O1845=Справочники!$F$5,Учет!$H1845,0)</f>
        <v>0</v>
      </c>
      <c r="U1845" s="48">
        <f>IF(Учет!$O1845=Справочники!$F$6,Учет!$H1845,0)</f>
        <v>0</v>
      </c>
      <c r="V1845" s="43">
        <f>V1844+Учет!Q1845-Q1845</f>
        <v>-488978.92000000004</v>
      </c>
      <c r="W1845" s="43">
        <f>W1844+Учет!R1845-R1845</f>
        <v>336855</v>
      </c>
      <c r="X1845" s="43">
        <f>X1844+Учет!S1845-S1845</f>
        <v>500</v>
      </c>
      <c r="Y1845" s="43">
        <f>Y1844+Учет!T1845-T1845</f>
        <v>1150</v>
      </c>
      <c r="Z1845" s="43">
        <f>Z1844+Учет!U1845-U1845</f>
        <v>500000</v>
      </c>
      <c r="AA1845" s="45">
        <f>Учет!X1845</f>
        <v>500</v>
      </c>
    </row>
    <row r="1846" spans="1:27" ht="15" customHeight="1" x14ac:dyDescent="0.25">
      <c r="A1846" s="1"/>
      <c r="B1846" s="17"/>
      <c r="C1846" s="17"/>
      <c r="D1846" s="17"/>
      <c r="E1846" s="17"/>
      <c r="F1846" s="17"/>
      <c r="G1846" s="4">
        <f t="shared" si="81"/>
        <v>0</v>
      </c>
      <c r="H1846" s="17"/>
      <c r="I1846" s="4">
        <f t="shared" si="83"/>
        <v>349526.07999999996</v>
      </c>
      <c r="J1846" s="32" t="str">
        <f t="shared" si="82"/>
        <v/>
      </c>
      <c r="K1846" s="72"/>
      <c r="L1846" s="72"/>
      <c r="M1846" s="2"/>
      <c r="N1846" s="5"/>
      <c r="O1846" s="3"/>
      <c r="P1846" s="6"/>
      <c r="Q1846" s="48">
        <f>IF(Учет!$O1846=Справочники!$F$2,Учет!$H1846,0)</f>
        <v>0</v>
      </c>
      <c r="R1846" s="48">
        <f>IF(Учет!$O1846=Справочники!$F$3,Учет!$H1846,0)</f>
        <v>0</v>
      </c>
      <c r="S1846" s="48">
        <f>IF(Учет!$O1846=Справочники!$F$4,Учет!$H1846,0)</f>
        <v>0</v>
      </c>
      <c r="T1846" s="48">
        <f>IF(Учет!$O1846=Справочники!$F$5,Учет!$H1846,0)</f>
        <v>0</v>
      </c>
      <c r="U1846" s="48">
        <f>IF(Учет!$O1846=Справочники!$F$6,Учет!$H1846,0)</f>
        <v>0</v>
      </c>
      <c r="V1846" s="43">
        <f>V1845+Учет!Q1846-Q1846</f>
        <v>-488978.92000000004</v>
      </c>
      <c r="W1846" s="43">
        <f>W1845+Учет!R1846-R1846</f>
        <v>336855</v>
      </c>
      <c r="X1846" s="43">
        <f>X1845+Учет!S1846-S1846</f>
        <v>500</v>
      </c>
      <c r="Y1846" s="43">
        <f>Y1845+Учет!T1846-T1846</f>
        <v>1150</v>
      </c>
      <c r="Z1846" s="43">
        <f>Z1845+Учет!U1846-U1846</f>
        <v>500000</v>
      </c>
      <c r="AA1846" s="45">
        <f>Учет!X1846</f>
        <v>500</v>
      </c>
    </row>
    <row r="1847" spans="1:27" ht="15" customHeight="1" x14ac:dyDescent="0.25">
      <c r="A1847" s="1"/>
      <c r="B1847" s="17"/>
      <c r="C1847" s="17"/>
      <c r="D1847" s="17"/>
      <c r="E1847" s="17"/>
      <c r="F1847" s="17"/>
      <c r="G1847" s="4">
        <f t="shared" si="81"/>
        <v>0</v>
      </c>
      <c r="H1847" s="17"/>
      <c r="I1847" s="4">
        <f t="shared" si="83"/>
        <v>349526.07999999996</v>
      </c>
      <c r="J1847" s="32" t="str">
        <f t="shared" si="82"/>
        <v/>
      </c>
      <c r="K1847" s="72"/>
      <c r="L1847" s="72"/>
      <c r="M1847" s="2"/>
      <c r="N1847" s="5"/>
      <c r="O1847" s="3"/>
      <c r="P1847" s="6"/>
      <c r="Q1847" s="48">
        <f>IF(Учет!$O1847=Справочники!$F$2,Учет!$H1847,0)</f>
        <v>0</v>
      </c>
      <c r="R1847" s="48">
        <f>IF(Учет!$O1847=Справочники!$F$3,Учет!$H1847,0)</f>
        <v>0</v>
      </c>
      <c r="S1847" s="48">
        <f>IF(Учет!$O1847=Справочники!$F$4,Учет!$H1847,0)</f>
        <v>0</v>
      </c>
      <c r="T1847" s="48">
        <f>IF(Учет!$O1847=Справочники!$F$5,Учет!$H1847,0)</f>
        <v>0</v>
      </c>
      <c r="U1847" s="48">
        <f>IF(Учет!$O1847=Справочники!$F$6,Учет!$H1847,0)</f>
        <v>0</v>
      </c>
      <c r="V1847" s="43">
        <f>V1846+Учет!Q1847-Q1847</f>
        <v>-488978.92000000004</v>
      </c>
      <c r="W1847" s="43">
        <f>W1846+Учет!R1847-R1847</f>
        <v>336855</v>
      </c>
      <c r="X1847" s="43">
        <f>X1846+Учет!S1847-S1847</f>
        <v>500</v>
      </c>
      <c r="Y1847" s="43">
        <f>Y1846+Учет!T1847-T1847</f>
        <v>1150</v>
      </c>
      <c r="Z1847" s="43">
        <f>Z1846+Учет!U1847-U1847</f>
        <v>500000</v>
      </c>
      <c r="AA1847" s="45">
        <f>Учет!X1847</f>
        <v>500</v>
      </c>
    </row>
    <row r="1848" spans="1:27" ht="15" customHeight="1" x14ac:dyDescent="0.25">
      <c r="A1848" s="1"/>
      <c r="B1848" s="17"/>
      <c r="C1848" s="17"/>
      <c r="D1848" s="17"/>
      <c r="E1848" s="17"/>
      <c r="F1848" s="17"/>
      <c r="G1848" s="4">
        <f t="shared" si="81"/>
        <v>0</v>
      </c>
      <c r="H1848" s="17"/>
      <c r="I1848" s="4">
        <f t="shared" si="83"/>
        <v>349526.07999999996</v>
      </c>
      <c r="J1848" s="32" t="str">
        <f t="shared" si="82"/>
        <v/>
      </c>
      <c r="K1848" s="72"/>
      <c r="L1848" s="72"/>
      <c r="M1848" s="2"/>
      <c r="N1848" s="5"/>
      <c r="O1848" s="3"/>
      <c r="P1848" s="6"/>
      <c r="Q1848" s="48">
        <f>IF(Учет!$O1848=Справочники!$F$2,Учет!$H1848,0)</f>
        <v>0</v>
      </c>
      <c r="R1848" s="48">
        <f>IF(Учет!$O1848=Справочники!$F$3,Учет!$H1848,0)</f>
        <v>0</v>
      </c>
      <c r="S1848" s="48">
        <f>IF(Учет!$O1848=Справочники!$F$4,Учет!$H1848,0)</f>
        <v>0</v>
      </c>
      <c r="T1848" s="48">
        <f>IF(Учет!$O1848=Справочники!$F$5,Учет!$H1848,0)</f>
        <v>0</v>
      </c>
      <c r="U1848" s="48">
        <f>IF(Учет!$O1848=Справочники!$F$6,Учет!$H1848,0)</f>
        <v>0</v>
      </c>
      <c r="V1848" s="43">
        <f>V1847+Учет!Q1848-Q1848</f>
        <v>-488978.92000000004</v>
      </c>
      <c r="W1848" s="43">
        <f>W1847+Учет!R1848-R1848</f>
        <v>336855</v>
      </c>
      <c r="X1848" s="43">
        <f>X1847+Учет!S1848-S1848</f>
        <v>500</v>
      </c>
      <c r="Y1848" s="43">
        <f>Y1847+Учет!T1848-T1848</f>
        <v>1150</v>
      </c>
      <c r="Z1848" s="43">
        <f>Z1847+Учет!U1848-U1848</f>
        <v>500000</v>
      </c>
      <c r="AA1848" s="45">
        <f>Учет!X1848</f>
        <v>500</v>
      </c>
    </row>
    <row r="1849" spans="1:27" ht="15" customHeight="1" x14ac:dyDescent="0.25">
      <c r="A1849" s="1"/>
      <c r="B1849" s="17"/>
      <c r="C1849" s="17"/>
      <c r="D1849" s="17"/>
      <c r="E1849" s="17"/>
      <c r="F1849" s="17"/>
      <c r="G1849" s="4">
        <f t="shared" si="81"/>
        <v>0</v>
      </c>
      <c r="H1849" s="17"/>
      <c r="I1849" s="4">
        <f t="shared" si="83"/>
        <v>349526.07999999996</v>
      </c>
      <c r="J1849" s="32" t="str">
        <f t="shared" si="82"/>
        <v/>
      </c>
      <c r="K1849" s="72"/>
      <c r="L1849" s="72"/>
      <c r="M1849" s="2"/>
      <c r="N1849" s="5"/>
      <c r="O1849" s="3"/>
      <c r="P1849" s="6"/>
      <c r="Q1849" s="48">
        <f>IF(Учет!$O1849=Справочники!$F$2,Учет!$H1849,0)</f>
        <v>0</v>
      </c>
      <c r="R1849" s="48">
        <f>IF(Учет!$O1849=Справочники!$F$3,Учет!$H1849,0)</f>
        <v>0</v>
      </c>
      <c r="S1849" s="48">
        <f>IF(Учет!$O1849=Справочники!$F$4,Учет!$H1849,0)</f>
        <v>0</v>
      </c>
      <c r="T1849" s="48">
        <f>IF(Учет!$O1849=Справочники!$F$5,Учет!$H1849,0)</f>
        <v>0</v>
      </c>
      <c r="U1849" s="48">
        <f>IF(Учет!$O1849=Справочники!$F$6,Учет!$H1849,0)</f>
        <v>0</v>
      </c>
      <c r="V1849" s="43">
        <f>V1848+Учет!Q1849-Q1849</f>
        <v>-488978.92000000004</v>
      </c>
      <c r="W1849" s="43">
        <f>W1848+Учет!R1849-R1849</f>
        <v>336855</v>
      </c>
      <c r="X1849" s="43">
        <f>X1848+Учет!S1849-S1849</f>
        <v>500</v>
      </c>
      <c r="Y1849" s="43">
        <f>Y1848+Учет!T1849-T1849</f>
        <v>1150</v>
      </c>
      <c r="Z1849" s="43">
        <f>Z1848+Учет!U1849-U1849</f>
        <v>500000</v>
      </c>
      <c r="AA1849" s="45">
        <f>Учет!X1849</f>
        <v>500</v>
      </c>
    </row>
    <row r="1850" spans="1:27" ht="15" customHeight="1" x14ac:dyDescent="0.25">
      <c r="A1850" s="1"/>
      <c r="B1850" s="17"/>
      <c r="C1850" s="17"/>
      <c r="D1850" s="17"/>
      <c r="E1850" s="17"/>
      <c r="F1850" s="17"/>
      <c r="G1850" s="4">
        <f t="shared" si="81"/>
        <v>0</v>
      </c>
      <c r="H1850" s="17"/>
      <c r="I1850" s="4">
        <f t="shared" si="83"/>
        <v>349526.07999999996</v>
      </c>
      <c r="J1850" s="32" t="str">
        <f t="shared" si="82"/>
        <v/>
      </c>
      <c r="K1850" s="72"/>
      <c r="L1850" s="72"/>
      <c r="M1850" s="2"/>
      <c r="N1850" s="5"/>
      <c r="O1850" s="3"/>
      <c r="P1850" s="6"/>
      <c r="Q1850" s="48">
        <f>IF(Учет!$O1850=Справочники!$F$2,Учет!$H1850,0)</f>
        <v>0</v>
      </c>
      <c r="R1850" s="48">
        <f>IF(Учет!$O1850=Справочники!$F$3,Учет!$H1850,0)</f>
        <v>0</v>
      </c>
      <c r="S1850" s="48">
        <f>IF(Учет!$O1850=Справочники!$F$4,Учет!$H1850,0)</f>
        <v>0</v>
      </c>
      <c r="T1850" s="48">
        <f>IF(Учет!$O1850=Справочники!$F$5,Учет!$H1850,0)</f>
        <v>0</v>
      </c>
      <c r="U1850" s="48">
        <f>IF(Учет!$O1850=Справочники!$F$6,Учет!$H1850,0)</f>
        <v>0</v>
      </c>
      <c r="V1850" s="43">
        <f>V1849+Учет!Q1850-Q1850</f>
        <v>-488978.92000000004</v>
      </c>
      <c r="W1850" s="43">
        <f>W1849+Учет!R1850-R1850</f>
        <v>336855</v>
      </c>
      <c r="X1850" s="43">
        <f>X1849+Учет!S1850-S1850</f>
        <v>500</v>
      </c>
      <c r="Y1850" s="43">
        <f>Y1849+Учет!T1850-T1850</f>
        <v>1150</v>
      </c>
      <c r="Z1850" s="43">
        <f>Z1849+Учет!U1850-U1850</f>
        <v>500000</v>
      </c>
      <c r="AA1850" s="45">
        <f>Учет!X1850</f>
        <v>500</v>
      </c>
    </row>
    <row r="1851" spans="1:27" ht="15" customHeight="1" x14ac:dyDescent="0.25">
      <c r="A1851" s="1"/>
      <c r="B1851" s="17"/>
      <c r="C1851" s="17"/>
      <c r="D1851" s="17"/>
      <c r="E1851" s="17"/>
      <c r="F1851" s="17"/>
      <c r="G1851" s="4">
        <f t="shared" si="81"/>
        <v>0</v>
      </c>
      <c r="H1851" s="17"/>
      <c r="I1851" s="4">
        <f t="shared" si="83"/>
        <v>349526.07999999996</v>
      </c>
      <c r="J1851" s="32" t="str">
        <f t="shared" si="82"/>
        <v/>
      </c>
      <c r="K1851" s="72"/>
      <c r="L1851" s="72"/>
      <c r="M1851" s="2"/>
      <c r="N1851" s="5"/>
      <c r="O1851" s="3"/>
      <c r="P1851" s="6"/>
      <c r="Q1851" s="48">
        <f>IF(Учет!$O1851=Справочники!$F$2,Учет!$H1851,0)</f>
        <v>0</v>
      </c>
      <c r="R1851" s="48">
        <f>IF(Учет!$O1851=Справочники!$F$3,Учет!$H1851,0)</f>
        <v>0</v>
      </c>
      <c r="S1851" s="48">
        <f>IF(Учет!$O1851=Справочники!$F$4,Учет!$H1851,0)</f>
        <v>0</v>
      </c>
      <c r="T1851" s="48">
        <f>IF(Учет!$O1851=Справочники!$F$5,Учет!$H1851,0)</f>
        <v>0</v>
      </c>
      <c r="U1851" s="48">
        <f>IF(Учет!$O1851=Справочники!$F$6,Учет!$H1851,0)</f>
        <v>0</v>
      </c>
      <c r="V1851" s="43">
        <f>V1850+Учет!Q1851-Q1851</f>
        <v>-488978.92000000004</v>
      </c>
      <c r="W1851" s="43">
        <f>W1850+Учет!R1851-R1851</f>
        <v>336855</v>
      </c>
      <c r="X1851" s="43">
        <f>X1850+Учет!S1851-S1851</f>
        <v>500</v>
      </c>
      <c r="Y1851" s="43">
        <f>Y1850+Учет!T1851-T1851</f>
        <v>1150</v>
      </c>
      <c r="Z1851" s="43">
        <f>Z1850+Учет!U1851-U1851</f>
        <v>500000</v>
      </c>
      <c r="AA1851" s="45">
        <f>Учет!X1851</f>
        <v>500</v>
      </c>
    </row>
    <row r="1852" spans="1:27" ht="15" customHeight="1" x14ac:dyDescent="0.25">
      <c r="A1852" s="1"/>
      <c r="B1852" s="17"/>
      <c r="C1852" s="17"/>
      <c r="D1852" s="17"/>
      <c r="E1852" s="17"/>
      <c r="F1852" s="17"/>
      <c r="G1852" s="4">
        <f t="shared" si="81"/>
        <v>0</v>
      </c>
      <c r="H1852" s="17"/>
      <c r="I1852" s="4">
        <f t="shared" si="83"/>
        <v>349526.07999999996</v>
      </c>
      <c r="J1852" s="32" t="str">
        <f t="shared" si="82"/>
        <v/>
      </c>
      <c r="K1852" s="72"/>
      <c r="L1852" s="72"/>
      <c r="M1852" s="2"/>
      <c r="N1852" s="5"/>
      <c r="O1852" s="3"/>
      <c r="P1852" s="6"/>
      <c r="Q1852" s="48">
        <f>IF(Учет!$O1852=Справочники!$F$2,Учет!$H1852,0)</f>
        <v>0</v>
      </c>
      <c r="R1852" s="48">
        <f>IF(Учет!$O1852=Справочники!$F$3,Учет!$H1852,0)</f>
        <v>0</v>
      </c>
      <c r="S1852" s="48">
        <f>IF(Учет!$O1852=Справочники!$F$4,Учет!$H1852,0)</f>
        <v>0</v>
      </c>
      <c r="T1852" s="48">
        <f>IF(Учет!$O1852=Справочники!$F$5,Учет!$H1852,0)</f>
        <v>0</v>
      </c>
      <c r="U1852" s="48">
        <f>IF(Учет!$O1852=Справочники!$F$6,Учет!$H1852,0)</f>
        <v>0</v>
      </c>
      <c r="V1852" s="43">
        <f>V1851+Учет!Q1852-Q1852</f>
        <v>-488978.92000000004</v>
      </c>
      <c r="W1852" s="43">
        <f>W1851+Учет!R1852-R1852</f>
        <v>336855</v>
      </c>
      <c r="X1852" s="43">
        <f>X1851+Учет!S1852-S1852</f>
        <v>500</v>
      </c>
      <c r="Y1852" s="43">
        <f>Y1851+Учет!T1852-T1852</f>
        <v>1150</v>
      </c>
      <c r="Z1852" s="43">
        <f>Z1851+Учет!U1852-U1852</f>
        <v>500000</v>
      </c>
      <c r="AA1852" s="45">
        <f>Учет!X1852</f>
        <v>500</v>
      </c>
    </row>
    <row r="1853" spans="1:27" ht="15" customHeight="1" x14ac:dyDescent="0.25">
      <c r="A1853" s="1"/>
      <c r="B1853" s="17"/>
      <c r="C1853" s="17"/>
      <c r="D1853" s="17"/>
      <c r="E1853" s="17"/>
      <c r="F1853" s="17"/>
      <c r="G1853" s="4">
        <f t="shared" si="81"/>
        <v>0</v>
      </c>
      <c r="H1853" s="17"/>
      <c r="I1853" s="4">
        <f t="shared" si="83"/>
        <v>349526.07999999996</v>
      </c>
      <c r="J1853" s="32" t="str">
        <f t="shared" si="82"/>
        <v/>
      </c>
      <c r="K1853" s="72"/>
      <c r="L1853" s="72"/>
      <c r="M1853" s="2"/>
      <c r="N1853" s="5"/>
      <c r="O1853" s="3"/>
      <c r="P1853" s="6"/>
      <c r="Q1853" s="48">
        <f>IF(Учет!$O1853=Справочники!$F$2,Учет!$H1853,0)</f>
        <v>0</v>
      </c>
      <c r="R1853" s="48">
        <f>IF(Учет!$O1853=Справочники!$F$3,Учет!$H1853,0)</f>
        <v>0</v>
      </c>
      <c r="S1853" s="48">
        <f>IF(Учет!$O1853=Справочники!$F$4,Учет!$H1853,0)</f>
        <v>0</v>
      </c>
      <c r="T1853" s="48">
        <f>IF(Учет!$O1853=Справочники!$F$5,Учет!$H1853,0)</f>
        <v>0</v>
      </c>
      <c r="U1853" s="48">
        <f>IF(Учет!$O1853=Справочники!$F$6,Учет!$H1853,0)</f>
        <v>0</v>
      </c>
      <c r="V1853" s="43">
        <f>V1852+Учет!Q1853-Q1853</f>
        <v>-488978.92000000004</v>
      </c>
      <c r="W1853" s="43">
        <f>W1852+Учет!R1853-R1853</f>
        <v>336855</v>
      </c>
      <c r="X1853" s="43">
        <f>X1852+Учет!S1853-S1853</f>
        <v>500</v>
      </c>
      <c r="Y1853" s="43">
        <f>Y1852+Учет!T1853-T1853</f>
        <v>1150</v>
      </c>
      <c r="Z1853" s="43">
        <f>Z1852+Учет!U1853-U1853</f>
        <v>500000</v>
      </c>
      <c r="AA1853" s="45">
        <f>Учет!X1853</f>
        <v>500</v>
      </c>
    </row>
    <row r="1854" spans="1:27" ht="15" customHeight="1" x14ac:dyDescent="0.25">
      <c r="A1854" s="1"/>
      <c r="B1854" s="17"/>
      <c r="C1854" s="17"/>
      <c r="D1854" s="17"/>
      <c r="E1854" s="17"/>
      <c r="F1854" s="17"/>
      <c r="G1854" s="4">
        <f t="shared" si="81"/>
        <v>0</v>
      </c>
      <c r="H1854" s="17"/>
      <c r="I1854" s="4">
        <f t="shared" si="83"/>
        <v>349526.07999999996</v>
      </c>
      <c r="J1854" s="32" t="str">
        <f t="shared" si="82"/>
        <v/>
      </c>
      <c r="K1854" s="72"/>
      <c r="L1854" s="72"/>
      <c r="M1854" s="2"/>
      <c r="N1854" s="5"/>
      <c r="O1854" s="3"/>
      <c r="P1854" s="6"/>
      <c r="Q1854" s="48">
        <f>IF(Учет!$O1854=Справочники!$F$2,Учет!$H1854,0)</f>
        <v>0</v>
      </c>
      <c r="R1854" s="48">
        <f>IF(Учет!$O1854=Справочники!$F$3,Учет!$H1854,0)</f>
        <v>0</v>
      </c>
      <c r="S1854" s="48">
        <f>IF(Учет!$O1854=Справочники!$F$4,Учет!$H1854,0)</f>
        <v>0</v>
      </c>
      <c r="T1854" s="48">
        <f>IF(Учет!$O1854=Справочники!$F$5,Учет!$H1854,0)</f>
        <v>0</v>
      </c>
      <c r="U1854" s="48">
        <f>IF(Учет!$O1854=Справочники!$F$6,Учет!$H1854,0)</f>
        <v>0</v>
      </c>
      <c r="V1854" s="43">
        <f>V1853+Учет!Q1854-Q1854</f>
        <v>-488978.92000000004</v>
      </c>
      <c r="W1854" s="43">
        <f>W1853+Учет!R1854-R1854</f>
        <v>336855</v>
      </c>
      <c r="X1854" s="43">
        <f>X1853+Учет!S1854-S1854</f>
        <v>500</v>
      </c>
      <c r="Y1854" s="43">
        <f>Y1853+Учет!T1854-T1854</f>
        <v>1150</v>
      </c>
      <c r="Z1854" s="43">
        <f>Z1853+Учет!U1854-U1854</f>
        <v>500000</v>
      </c>
      <c r="AA1854" s="45">
        <f>Учет!X1854</f>
        <v>500</v>
      </c>
    </row>
    <row r="1855" spans="1:27" ht="15" customHeight="1" x14ac:dyDescent="0.25">
      <c r="A1855" s="1"/>
      <c r="B1855" s="17"/>
      <c r="C1855" s="17"/>
      <c r="D1855" s="17"/>
      <c r="E1855" s="17"/>
      <c r="F1855" s="17"/>
      <c r="G1855" s="4">
        <f t="shared" si="81"/>
        <v>0</v>
      </c>
      <c r="H1855" s="17"/>
      <c r="I1855" s="4">
        <f t="shared" si="83"/>
        <v>349526.07999999996</v>
      </c>
      <c r="J1855" s="32" t="str">
        <f t="shared" si="82"/>
        <v/>
      </c>
      <c r="K1855" s="72"/>
      <c r="L1855" s="72"/>
      <c r="M1855" s="2"/>
      <c r="N1855" s="5"/>
      <c r="O1855" s="3"/>
      <c r="P1855" s="6"/>
      <c r="Q1855" s="48">
        <f>IF(Учет!$O1855=Справочники!$F$2,Учет!$H1855,0)</f>
        <v>0</v>
      </c>
      <c r="R1855" s="48">
        <f>IF(Учет!$O1855=Справочники!$F$3,Учет!$H1855,0)</f>
        <v>0</v>
      </c>
      <c r="S1855" s="48">
        <f>IF(Учет!$O1855=Справочники!$F$4,Учет!$H1855,0)</f>
        <v>0</v>
      </c>
      <c r="T1855" s="48">
        <f>IF(Учет!$O1855=Справочники!$F$5,Учет!$H1855,0)</f>
        <v>0</v>
      </c>
      <c r="U1855" s="48">
        <f>IF(Учет!$O1855=Справочники!$F$6,Учет!$H1855,0)</f>
        <v>0</v>
      </c>
      <c r="V1855" s="43">
        <f>V1854+Учет!Q1855-Q1855</f>
        <v>-488978.92000000004</v>
      </c>
      <c r="W1855" s="43">
        <f>W1854+Учет!R1855-R1855</f>
        <v>336855</v>
      </c>
      <c r="X1855" s="43">
        <f>X1854+Учет!S1855-S1855</f>
        <v>500</v>
      </c>
      <c r="Y1855" s="43">
        <f>Y1854+Учет!T1855-T1855</f>
        <v>1150</v>
      </c>
      <c r="Z1855" s="43">
        <f>Z1854+Учет!U1855-U1855</f>
        <v>500000</v>
      </c>
      <c r="AA1855" s="45">
        <f>Учет!X1855</f>
        <v>500</v>
      </c>
    </row>
    <row r="1856" spans="1:27" ht="15" customHeight="1" x14ac:dyDescent="0.25">
      <c r="A1856" s="1"/>
      <c r="B1856" s="17"/>
      <c r="C1856" s="17"/>
      <c r="D1856" s="17"/>
      <c r="E1856" s="17"/>
      <c r="F1856" s="17"/>
      <c r="G1856" s="4">
        <f t="shared" si="81"/>
        <v>0</v>
      </c>
      <c r="H1856" s="17"/>
      <c r="I1856" s="4">
        <f t="shared" si="83"/>
        <v>349526.07999999996</v>
      </c>
      <c r="J1856" s="32" t="str">
        <f t="shared" si="82"/>
        <v/>
      </c>
      <c r="K1856" s="72"/>
      <c r="L1856" s="72"/>
      <c r="M1856" s="2"/>
      <c r="N1856" s="5"/>
      <c r="O1856" s="3"/>
      <c r="P1856" s="6"/>
      <c r="Q1856" s="48">
        <f>IF(Учет!$O1856=Справочники!$F$2,Учет!$H1856,0)</f>
        <v>0</v>
      </c>
      <c r="R1856" s="48">
        <f>IF(Учет!$O1856=Справочники!$F$3,Учет!$H1856,0)</f>
        <v>0</v>
      </c>
      <c r="S1856" s="48">
        <f>IF(Учет!$O1856=Справочники!$F$4,Учет!$H1856,0)</f>
        <v>0</v>
      </c>
      <c r="T1856" s="48">
        <f>IF(Учет!$O1856=Справочники!$F$5,Учет!$H1856,0)</f>
        <v>0</v>
      </c>
      <c r="U1856" s="48">
        <f>IF(Учет!$O1856=Справочники!$F$6,Учет!$H1856,0)</f>
        <v>0</v>
      </c>
      <c r="V1856" s="43">
        <f>V1855+Учет!Q1856-Q1856</f>
        <v>-488978.92000000004</v>
      </c>
      <c r="W1856" s="43">
        <f>W1855+Учет!R1856-R1856</f>
        <v>336855</v>
      </c>
      <c r="X1856" s="43">
        <f>X1855+Учет!S1856-S1856</f>
        <v>500</v>
      </c>
      <c r="Y1856" s="43">
        <f>Y1855+Учет!T1856-T1856</f>
        <v>1150</v>
      </c>
      <c r="Z1856" s="43">
        <f>Z1855+Учет!U1856-U1856</f>
        <v>500000</v>
      </c>
      <c r="AA1856" s="45">
        <f>Учет!X1856</f>
        <v>500</v>
      </c>
    </row>
    <row r="1857" spans="1:27" ht="15" customHeight="1" x14ac:dyDescent="0.25">
      <c r="A1857" s="1"/>
      <c r="B1857" s="17"/>
      <c r="C1857" s="17"/>
      <c r="D1857" s="17"/>
      <c r="E1857" s="17"/>
      <c r="F1857" s="17"/>
      <c r="G1857" s="4">
        <f t="shared" si="81"/>
        <v>0</v>
      </c>
      <c r="H1857" s="17"/>
      <c r="I1857" s="4">
        <f t="shared" si="83"/>
        <v>349526.07999999996</v>
      </c>
      <c r="J1857" s="32" t="str">
        <f t="shared" si="82"/>
        <v/>
      </c>
      <c r="K1857" s="72"/>
      <c r="L1857" s="72"/>
      <c r="M1857" s="2"/>
      <c r="N1857" s="5"/>
      <c r="O1857" s="3"/>
      <c r="P1857" s="6"/>
      <c r="Q1857" s="48">
        <f>IF(Учет!$O1857=Справочники!$F$2,Учет!$H1857,0)</f>
        <v>0</v>
      </c>
      <c r="R1857" s="48">
        <f>IF(Учет!$O1857=Справочники!$F$3,Учет!$H1857,0)</f>
        <v>0</v>
      </c>
      <c r="S1857" s="48">
        <f>IF(Учет!$O1857=Справочники!$F$4,Учет!$H1857,0)</f>
        <v>0</v>
      </c>
      <c r="T1857" s="48">
        <f>IF(Учет!$O1857=Справочники!$F$5,Учет!$H1857,0)</f>
        <v>0</v>
      </c>
      <c r="U1857" s="48">
        <f>IF(Учет!$O1857=Справочники!$F$6,Учет!$H1857,0)</f>
        <v>0</v>
      </c>
      <c r="V1857" s="43">
        <f>V1856+Учет!Q1857-Q1857</f>
        <v>-488978.92000000004</v>
      </c>
      <c r="W1857" s="43">
        <f>W1856+Учет!R1857-R1857</f>
        <v>336855</v>
      </c>
      <c r="X1857" s="43">
        <f>X1856+Учет!S1857-S1857</f>
        <v>500</v>
      </c>
      <c r="Y1857" s="43">
        <f>Y1856+Учет!T1857-T1857</f>
        <v>1150</v>
      </c>
      <c r="Z1857" s="43">
        <f>Z1856+Учет!U1857-U1857</f>
        <v>500000</v>
      </c>
      <c r="AA1857" s="45">
        <f>Учет!X1857</f>
        <v>500</v>
      </c>
    </row>
    <row r="1858" spans="1:27" ht="15" customHeight="1" x14ac:dyDescent="0.25">
      <c r="A1858" s="1"/>
      <c r="B1858" s="17"/>
      <c r="C1858" s="17"/>
      <c r="D1858" s="17"/>
      <c r="E1858" s="17"/>
      <c r="F1858" s="17"/>
      <c r="G1858" s="4">
        <f t="shared" ref="G1858:G1921" si="84">SUM($B1858:$F1858)</f>
        <v>0</v>
      </c>
      <c r="H1858" s="17"/>
      <c r="I1858" s="4">
        <f t="shared" si="83"/>
        <v>349526.07999999996</v>
      </c>
      <c r="J1858" s="32" t="str">
        <f t="shared" ref="J1858:J1921" si="85">IF($A1859&lt;&gt;$A1858,$I1858,"")</f>
        <v/>
      </c>
      <c r="K1858" s="72"/>
      <c r="L1858" s="72"/>
      <c r="M1858" s="2"/>
      <c r="N1858" s="5"/>
      <c r="O1858" s="3"/>
      <c r="P1858" s="6"/>
      <c r="Q1858" s="48">
        <f>IF(Учет!$O1858=Справочники!$F$2,Учет!$H1858,0)</f>
        <v>0</v>
      </c>
      <c r="R1858" s="48">
        <f>IF(Учет!$O1858=Справочники!$F$3,Учет!$H1858,0)</f>
        <v>0</v>
      </c>
      <c r="S1858" s="48">
        <f>IF(Учет!$O1858=Справочники!$F$4,Учет!$H1858,0)</f>
        <v>0</v>
      </c>
      <c r="T1858" s="48">
        <f>IF(Учет!$O1858=Справочники!$F$5,Учет!$H1858,0)</f>
        <v>0</v>
      </c>
      <c r="U1858" s="48">
        <f>IF(Учет!$O1858=Справочники!$F$6,Учет!$H1858,0)</f>
        <v>0</v>
      </c>
      <c r="V1858" s="43">
        <f>V1857+Учет!Q1858-Q1858</f>
        <v>-488978.92000000004</v>
      </c>
      <c r="W1858" s="43">
        <f>W1857+Учет!R1858-R1858</f>
        <v>336855</v>
      </c>
      <c r="X1858" s="43">
        <f>X1857+Учет!S1858-S1858</f>
        <v>500</v>
      </c>
      <c r="Y1858" s="43">
        <f>Y1857+Учет!T1858-T1858</f>
        <v>1150</v>
      </c>
      <c r="Z1858" s="43">
        <f>Z1857+Учет!U1858-U1858</f>
        <v>500000</v>
      </c>
      <c r="AA1858" s="45">
        <f>Учет!X1858</f>
        <v>500</v>
      </c>
    </row>
    <row r="1859" spans="1:27" ht="15" customHeight="1" x14ac:dyDescent="0.25">
      <c r="A1859" s="1"/>
      <c r="B1859" s="17"/>
      <c r="C1859" s="17"/>
      <c r="D1859" s="17"/>
      <c r="E1859" s="17"/>
      <c r="F1859" s="17"/>
      <c r="G1859" s="4">
        <f t="shared" si="84"/>
        <v>0</v>
      </c>
      <c r="H1859" s="17"/>
      <c r="I1859" s="4">
        <f t="shared" ref="I1859:I1922" si="86">$I1858+$G1859-$H1859</f>
        <v>349526.07999999996</v>
      </c>
      <c r="J1859" s="32" t="str">
        <f t="shared" si="85"/>
        <v/>
      </c>
      <c r="K1859" s="72"/>
      <c r="L1859" s="72"/>
      <c r="M1859" s="2"/>
      <c r="N1859" s="5"/>
      <c r="O1859" s="3"/>
      <c r="P1859" s="6"/>
      <c r="Q1859" s="48">
        <f>IF(Учет!$O1859=Справочники!$F$2,Учет!$H1859,0)</f>
        <v>0</v>
      </c>
      <c r="R1859" s="48">
        <f>IF(Учет!$O1859=Справочники!$F$3,Учет!$H1859,0)</f>
        <v>0</v>
      </c>
      <c r="S1859" s="48">
        <f>IF(Учет!$O1859=Справочники!$F$4,Учет!$H1859,0)</f>
        <v>0</v>
      </c>
      <c r="T1859" s="48">
        <f>IF(Учет!$O1859=Справочники!$F$5,Учет!$H1859,0)</f>
        <v>0</v>
      </c>
      <c r="U1859" s="48">
        <f>IF(Учет!$O1859=Справочники!$F$6,Учет!$H1859,0)</f>
        <v>0</v>
      </c>
      <c r="V1859" s="43">
        <f>V1858+Учет!Q1859-Q1859</f>
        <v>-488978.92000000004</v>
      </c>
      <c r="W1859" s="43">
        <f>W1858+Учет!R1859-R1859</f>
        <v>336855</v>
      </c>
      <c r="X1859" s="43">
        <f>X1858+Учет!S1859-S1859</f>
        <v>500</v>
      </c>
      <c r="Y1859" s="43">
        <f>Y1858+Учет!T1859-T1859</f>
        <v>1150</v>
      </c>
      <c r="Z1859" s="43">
        <f>Z1858+Учет!U1859-U1859</f>
        <v>500000</v>
      </c>
      <c r="AA1859" s="45">
        <f>Учет!X1859</f>
        <v>500</v>
      </c>
    </row>
    <row r="1860" spans="1:27" ht="15" customHeight="1" x14ac:dyDescent="0.25">
      <c r="A1860" s="1"/>
      <c r="B1860" s="17"/>
      <c r="C1860" s="17"/>
      <c r="D1860" s="17"/>
      <c r="E1860" s="17"/>
      <c r="F1860" s="17"/>
      <c r="G1860" s="4">
        <f t="shared" si="84"/>
        <v>0</v>
      </c>
      <c r="H1860" s="17"/>
      <c r="I1860" s="4">
        <f t="shared" si="86"/>
        <v>349526.07999999996</v>
      </c>
      <c r="J1860" s="32" t="str">
        <f t="shared" si="85"/>
        <v/>
      </c>
      <c r="K1860" s="72"/>
      <c r="L1860" s="72"/>
      <c r="M1860" s="2"/>
      <c r="N1860" s="5"/>
      <c r="O1860" s="3"/>
      <c r="P1860" s="6"/>
      <c r="Q1860" s="48">
        <f>IF(Учет!$O1860=Справочники!$F$2,Учет!$H1860,0)</f>
        <v>0</v>
      </c>
      <c r="R1860" s="48">
        <f>IF(Учет!$O1860=Справочники!$F$3,Учет!$H1860,0)</f>
        <v>0</v>
      </c>
      <c r="S1860" s="48">
        <f>IF(Учет!$O1860=Справочники!$F$4,Учет!$H1860,0)</f>
        <v>0</v>
      </c>
      <c r="T1860" s="48">
        <f>IF(Учет!$O1860=Справочники!$F$5,Учет!$H1860,0)</f>
        <v>0</v>
      </c>
      <c r="U1860" s="48">
        <f>IF(Учет!$O1860=Справочники!$F$6,Учет!$H1860,0)</f>
        <v>0</v>
      </c>
      <c r="V1860" s="43">
        <f>V1859+Учет!Q1860-Q1860</f>
        <v>-488978.92000000004</v>
      </c>
      <c r="W1860" s="43">
        <f>W1859+Учет!R1860-R1860</f>
        <v>336855</v>
      </c>
      <c r="X1860" s="43">
        <f>X1859+Учет!S1860-S1860</f>
        <v>500</v>
      </c>
      <c r="Y1860" s="43">
        <f>Y1859+Учет!T1860-T1860</f>
        <v>1150</v>
      </c>
      <c r="Z1860" s="43">
        <f>Z1859+Учет!U1860-U1860</f>
        <v>500000</v>
      </c>
      <c r="AA1860" s="45">
        <f>Учет!X1860</f>
        <v>500</v>
      </c>
    </row>
    <row r="1861" spans="1:27" ht="15" customHeight="1" x14ac:dyDescent="0.25">
      <c r="A1861" s="1"/>
      <c r="B1861" s="17"/>
      <c r="C1861" s="17"/>
      <c r="D1861" s="17"/>
      <c r="E1861" s="17"/>
      <c r="F1861" s="17"/>
      <c r="G1861" s="4">
        <f t="shared" si="84"/>
        <v>0</v>
      </c>
      <c r="H1861" s="17"/>
      <c r="I1861" s="4">
        <f t="shared" si="86"/>
        <v>349526.07999999996</v>
      </c>
      <c r="J1861" s="32" t="str">
        <f t="shared" si="85"/>
        <v/>
      </c>
      <c r="K1861" s="72"/>
      <c r="L1861" s="72"/>
      <c r="M1861" s="2"/>
      <c r="N1861" s="5"/>
      <c r="O1861" s="3"/>
      <c r="P1861" s="6"/>
      <c r="Q1861" s="48">
        <f>IF(Учет!$O1861=Справочники!$F$2,Учет!$H1861,0)</f>
        <v>0</v>
      </c>
      <c r="R1861" s="48">
        <f>IF(Учет!$O1861=Справочники!$F$3,Учет!$H1861,0)</f>
        <v>0</v>
      </c>
      <c r="S1861" s="48">
        <f>IF(Учет!$O1861=Справочники!$F$4,Учет!$H1861,0)</f>
        <v>0</v>
      </c>
      <c r="T1861" s="48">
        <f>IF(Учет!$O1861=Справочники!$F$5,Учет!$H1861,0)</f>
        <v>0</v>
      </c>
      <c r="U1861" s="48">
        <f>IF(Учет!$O1861=Справочники!$F$6,Учет!$H1861,0)</f>
        <v>0</v>
      </c>
      <c r="V1861" s="43">
        <f>V1860+Учет!Q1861-Q1861</f>
        <v>-488978.92000000004</v>
      </c>
      <c r="W1861" s="43">
        <f>W1860+Учет!R1861-R1861</f>
        <v>336855</v>
      </c>
      <c r="X1861" s="43">
        <f>X1860+Учет!S1861-S1861</f>
        <v>500</v>
      </c>
      <c r="Y1861" s="43">
        <f>Y1860+Учет!T1861-T1861</f>
        <v>1150</v>
      </c>
      <c r="Z1861" s="43">
        <f>Z1860+Учет!U1861-U1861</f>
        <v>500000</v>
      </c>
      <c r="AA1861" s="45">
        <f>Учет!X1861</f>
        <v>500</v>
      </c>
    </row>
    <row r="1862" spans="1:27" ht="15" customHeight="1" x14ac:dyDescent="0.25">
      <c r="A1862" s="1"/>
      <c r="B1862" s="17"/>
      <c r="C1862" s="17"/>
      <c r="D1862" s="17"/>
      <c r="E1862" s="17"/>
      <c r="F1862" s="17"/>
      <c r="G1862" s="4">
        <f t="shared" si="84"/>
        <v>0</v>
      </c>
      <c r="H1862" s="17"/>
      <c r="I1862" s="4">
        <f t="shared" si="86"/>
        <v>349526.07999999996</v>
      </c>
      <c r="J1862" s="32" t="str">
        <f t="shared" si="85"/>
        <v/>
      </c>
      <c r="K1862" s="72"/>
      <c r="L1862" s="72"/>
      <c r="M1862" s="2"/>
      <c r="N1862" s="5"/>
      <c r="O1862" s="3"/>
      <c r="P1862" s="6"/>
      <c r="Q1862" s="48">
        <f>IF(Учет!$O1862=Справочники!$F$2,Учет!$H1862,0)</f>
        <v>0</v>
      </c>
      <c r="R1862" s="48">
        <f>IF(Учет!$O1862=Справочники!$F$3,Учет!$H1862,0)</f>
        <v>0</v>
      </c>
      <c r="S1862" s="48">
        <f>IF(Учет!$O1862=Справочники!$F$4,Учет!$H1862,0)</f>
        <v>0</v>
      </c>
      <c r="T1862" s="48">
        <f>IF(Учет!$O1862=Справочники!$F$5,Учет!$H1862,0)</f>
        <v>0</v>
      </c>
      <c r="U1862" s="48">
        <f>IF(Учет!$O1862=Справочники!$F$6,Учет!$H1862,0)</f>
        <v>0</v>
      </c>
      <c r="V1862" s="43">
        <f>V1861+Учет!Q1862-Q1862</f>
        <v>-488978.92000000004</v>
      </c>
      <c r="W1862" s="43">
        <f>W1861+Учет!R1862-R1862</f>
        <v>336855</v>
      </c>
      <c r="X1862" s="43">
        <f>X1861+Учет!S1862-S1862</f>
        <v>500</v>
      </c>
      <c r="Y1862" s="43">
        <f>Y1861+Учет!T1862-T1862</f>
        <v>1150</v>
      </c>
      <c r="Z1862" s="43">
        <f>Z1861+Учет!U1862-U1862</f>
        <v>500000</v>
      </c>
      <c r="AA1862" s="45">
        <f>Учет!X1862</f>
        <v>500</v>
      </c>
    </row>
    <row r="1863" spans="1:27" ht="15" customHeight="1" x14ac:dyDescent="0.25">
      <c r="A1863" s="1"/>
      <c r="B1863" s="17"/>
      <c r="C1863" s="17"/>
      <c r="D1863" s="17"/>
      <c r="E1863" s="17"/>
      <c r="F1863" s="17"/>
      <c r="G1863" s="4">
        <f t="shared" si="84"/>
        <v>0</v>
      </c>
      <c r="H1863" s="17"/>
      <c r="I1863" s="4">
        <f t="shared" si="86"/>
        <v>349526.07999999996</v>
      </c>
      <c r="J1863" s="32" t="str">
        <f t="shared" si="85"/>
        <v/>
      </c>
      <c r="K1863" s="72"/>
      <c r="L1863" s="72"/>
      <c r="M1863" s="2"/>
      <c r="N1863" s="5"/>
      <c r="O1863" s="3"/>
      <c r="P1863" s="6"/>
      <c r="Q1863" s="48">
        <f>IF(Учет!$O1863=Справочники!$F$2,Учет!$H1863,0)</f>
        <v>0</v>
      </c>
      <c r="R1863" s="48">
        <f>IF(Учет!$O1863=Справочники!$F$3,Учет!$H1863,0)</f>
        <v>0</v>
      </c>
      <c r="S1863" s="48">
        <f>IF(Учет!$O1863=Справочники!$F$4,Учет!$H1863,0)</f>
        <v>0</v>
      </c>
      <c r="T1863" s="48">
        <f>IF(Учет!$O1863=Справочники!$F$5,Учет!$H1863,0)</f>
        <v>0</v>
      </c>
      <c r="U1863" s="48">
        <f>IF(Учет!$O1863=Справочники!$F$6,Учет!$H1863,0)</f>
        <v>0</v>
      </c>
      <c r="V1863" s="43">
        <f>V1862+Учет!Q1863-Q1863</f>
        <v>-488978.92000000004</v>
      </c>
      <c r="W1863" s="43">
        <f>W1862+Учет!R1863-R1863</f>
        <v>336855</v>
      </c>
      <c r="X1863" s="43">
        <f>X1862+Учет!S1863-S1863</f>
        <v>500</v>
      </c>
      <c r="Y1863" s="43">
        <f>Y1862+Учет!T1863-T1863</f>
        <v>1150</v>
      </c>
      <c r="Z1863" s="43">
        <f>Z1862+Учет!U1863-U1863</f>
        <v>500000</v>
      </c>
      <c r="AA1863" s="45">
        <f>Учет!X1863</f>
        <v>500</v>
      </c>
    </row>
    <row r="1864" spans="1:27" ht="15" customHeight="1" x14ac:dyDescent="0.25">
      <c r="A1864" s="1"/>
      <c r="B1864" s="17"/>
      <c r="C1864" s="17"/>
      <c r="D1864" s="17"/>
      <c r="E1864" s="17"/>
      <c r="F1864" s="17"/>
      <c r="G1864" s="4">
        <f t="shared" si="84"/>
        <v>0</v>
      </c>
      <c r="H1864" s="17"/>
      <c r="I1864" s="4">
        <f t="shared" si="86"/>
        <v>349526.07999999996</v>
      </c>
      <c r="J1864" s="32" t="str">
        <f t="shared" si="85"/>
        <v/>
      </c>
      <c r="K1864" s="72"/>
      <c r="L1864" s="72"/>
      <c r="M1864" s="2"/>
      <c r="N1864" s="5"/>
      <c r="O1864" s="3"/>
      <c r="P1864" s="6"/>
      <c r="Q1864" s="48">
        <f>IF(Учет!$O1864=Справочники!$F$2,Учет!$H1864,0)</f>
        <v>0</v>
      </c>
      <c r="R1864" s="48">
        <f>IF(Учет!$O1864=Справочники!$F$3,Учет!$H1864,0)</f>
        <v>0</v>
      </c>
      <c r="S1864" s="48">
        <f>IF(Учет!$O1864=Справочники!$F$4,Учет!$H1864,0)</f>
        <v>0</v>
      </c>
      <c r="T1864" s="48">
        <f>IF(Учет!$O1864=Справочники!$F$5,Учет!$H1864,0)</f>
        <v>0</v>
      </c>
      <c r="U1864" s="48">
        <f>IF(Учет!$O1864=Справочники!$F$6,Учет!$H1864,0)</f>
        <v>0</v>
      </c>
      <c r="V1864" s="43">
        <f>V1863+Учет!Q1864-Q1864</f>
        <v>-488978.92000000004</v>
      </c>
      <c r="W1864" s="43">
        <f>W1863+Учет!R1864-R1864</f>
        <v>336855</v>
      </c>
      <c r="X1864" s="43">
        <f>X1863+Учет!S1864-S1864</f>
        <v>500</v>
      </c>
      <c r="Y1864" s="43">
        <f>Y1863+Учет!T1864-T1864</f>
        <v>1150</v>
      </c>
      <c r="Z1864" s="43">
        <f>Z1863+Учет!U1864-U1864</f>
        <v>500000</v>
      </c>
      <c r="AA1864" s="45">
        <f>Учет!X1864</f>
        <v>500</v>
      </c>
    </row>
    <row r="1865" spans="1:27" ht="15" customHeight="1" x14ac:dyDescent="0.25">
      <c r="A1865" s="1"/>
      <c r="B1865" s="17"/>
      <c r="C1865" s="17"/>
      <c r="D1865" s="17"/>
      <c r="E1865" s="17"/>
      <c r="F1865" s="17"/>
      <c r="G1865" s="4">
        <f t="shared" si="84"/>
        <v>0</v>
      </c>
      <c r="H1865" s="17"/>
      <c r="I1865" s="4">
        <f t="shared" si="86"/>
        <v>349526.07999999996</v>
      </c>
      <c r="J1865" s="32" t="str">
        <f t="shared" si="85"/>
        <v/>
      </c>
      <c r="K1865" s="72"/>
      <c r="L1865" s="72"/>
      <c r="M1865" s="2"/>
      <c r="N1865" s="5"/>
      <c r="O1865" s="3"/>
      <c r="P1865" s="6"/>
      <c r="Q1865" s="48">
        <f>IF(Учет!$O1865=Справочники!$F$2,Учет!$H1865,0)</f>
        <v>0</v>
      </c>
      <c r="R1865" s="48">
        <f>IF(Учет!$O1865=Справочники!$F$3,Учет!$H1865,0)</f>
        <v>0</v>
      </c>
      <c r="S1865" s="48">
        <f>IF(Учет!$O1865=Справочники!$F$4,Учет!$H1865,0)</f>
        <v>0</v>
      </c>
      <c r="T1865" s="48">
        <f>IF(Учет!$O1865=Справочники!$F$5,Учет!$H1865,0)</f>
        <v>0</v>
      </c>
      <c r="U1865" s="48">
        <f>IF(Учет!$O1865=Справочники!$F$6,Учет!$H1865,0)</f>
        <v>0</v>
      </c>
      <c r="V1865" s="43">
        <f>V1864+Учет!Q1865-Q1865</f>
        <v>-488978.92000000004</v>
      </c>
      <c r="W1865" s="43">
        <f>W1864+Учет!R1865-R1865</f>
        <v>336855</v>
      </c>
      <c r="X1865" s="43">
        <f>X1864+Учет!S1865-S1865</f>
        <v>500</v>
      </c>
      <c r="Y1865" s="43">
        <f>Y1864+Учет!T1865-T1865</f>
        <v>1150</v>
      </c>
      <c r="Z1865" s="43">
        <f>Z1864+Учет!U1865-U1865</f>
        <v>500000</v>
      </c>
      <c r="AA1865" s="45">
        <f>Учет!X1865</f>
        <v>500</v>
      </c>
    </row>
    <row r="1866" spans="1:27" ht="15" customHeight="1" x14ac:dyDescent="0.25">
      <c r="A1866" s="1"/>
      <c r="B1866" s="17"/>
      <c r="C1866" s="17"/>
      <c r="D1866" s="17"/>
      <c r="E1866" s="17"/>
      <c r="F1866" s="17"/>
      <c r="G1866" s="4">
        <f t="shared" si="84"/>
        <v>0</v>
      </c>
      <c r="H1866" s="17"/>
      <c r="I1866" s="4">
        <f t="shared" si="86"/>
        <v>349526.07999999996</v>
      </c>
      <c r="J1866" s="32" t="str">
        <f t="shared" si="85"/>
        <v/>
      </c>
      <c r="K1866" s="72"/>
      <c r="L1866" s="72"/>
      <c r="M1866" s="2"/>
      <c r="N1866" s="5"/>
      <c r="O1866" s="3"/>
      <c r="P1866" s="6"/>
      <c r="Q1866" s="48">
        <f>IF(Учет!$O1866=Справочники!$F$2,Учет!$H1866,0)</f>
        <v>0</v>
      </c>
      <c r="R1866" s="48">
        <f>IF(Учет!$O1866=Справочники!$F$3,Учет!$H1866,0)</f>
        <v>0</v>
      </c>
      <c r="S1866" s="48">
        <f>IF(Учет!$O1866=Справочники!$F$4,Учет!$H1866,0)</f>
        <v>0</v>
      </c>
      <c r="T1866" s="48">
        <f>IF(Учет!$O1866=Справочники!$F$5,Учет!$H1866,0)</f>
        <v>0</v>
      </c>
      <c r="U1866" s="48">
        <f>IF(Учет!$O1866=Справочники!$F$6,Учет!$H1866,0)</f>
        <v>0</v>
      </c>
      <c r="V1866" s="43">
        <f>V1865+Учет!Q1866-Q1866</f>
        <v>-488978.92000000004</v>
      </c>
      <c r="W1866" s="43">
        <f>W1865+Учет!R1866-R1866</f>
        <v>336855</v>
      </c>
      <c r="X1866" s="43">
        <f>X1865+Учет!S1866-S1866</f>
        <v>500</v>
      </c>
      <c r="Y1866" s="43">
        <f>Y1865+Учет!T1866-T1866</f>
        <v>1150</v>
      </c>
      <c r="Z1866" s="43">
        <f>Z1865+Учет!U1866-U1866</f>
        <v>500000</v>
      </c>
      <c r="AA1866" s="45">
        <f>Учет!X1866</f>
        <v>500</v>
      </c>
    </row>
    <row r="1867" spans="1:27" ht="15" customHeight="1" x14ac:dyDescent="0.25">
      <c r="A1867" s="1"/>
      <c r="B1867" s="17"/>
      <c r="C1867" s="17"/>
      <c r="D1867" s="17"/>
      <c r="E1867" s="17"/>
      <c r="F1867" s="17"/>
      <c r="G1867" s="4">
        <f t="shared" si="84"/>
        <v>0</v>
      </c>
      <c r="H1867" s="17"/>
      <c r="I1867" s="4">
        <f t="shared" si="86"/>
        <v>349526.07999999996</v>
      </c>
      <c r="J1867" s="32" t="str">
        <f t="shared" si="85"/>
        <v/>
      </c>
      <c r="K1867" s="72"/>
      <c r="L1867" s="72"/>
      <c r="M1867" s="2"/>
      <c r="N1867" s="5"/>
      <c r="O1867" s="3"/>
      <c r="P1867" s="6"/>
      <c r="Q1867" s="48">
        <f>IF(Учет!$O1867=Справочники!$F$2,Учет!$H1867,0)</f>
        <v>0</v>
      </c>
      <c r="R1867" s="48">
        <f>IF(Учет!$O1867=Справочники!$F$3,Учет!$H1867,0)</f>
        <v>0</v>
      </c>
      <c r="S1867" s="48">
        <f>IF(Учет!$O1867=Справочники!$F$4,Учет!$H1867,0)</f>
        <v>0</v>
      </c>
      <c r="T1867" s="48">
        <f>IF(Учет!$O1867=Справочники!$F$5,Учет!$H1867,0)</f>
        <v>0</v>
      </c>
      <c r="U1867" s="48">
        <f>IF(Учет!$O1867=Справочники!$F$6,Учет!$H1867,0)</f>
        <v>0</v>
      </c>
      <c r="V1867" s="43">
        <f>V1866+Учет!Q1867-Q1867</f>
        <v>-488978.92000000004</v>
      </c>
      <c r="W1867" s="43">
        <f>W1866+Учет!R1867-R1867</f>
        <v>336855</v>
      </c>
      <c r="X1867" s="43">
        <f>X1866+Учет!S1867-S1867</f>
        <v>500</v>
      </c>
      <c r="Y1867" s="43">
        <f>Y1866+Учет!T1867-T1867</f>
        <v>1150</v>
      </c>
      <c r="Z1867" s="43">
        <f>Z1866+Учет!U1867-U1867</f>
        <v>500000</v>
      </c>
      <c r="AA1867" s="45">
        <f>Учет!X1867</f>
        <v>500</v>
      </c>
    </row>
    <row r="1868" spans="1:27" ht="15" customHeight="1" x14ac:dyDescent="0.25">
      <c r="A1868" s="1"/>
      <c r="B1868" s="17"/>
      <c r="C1868" s="17"/>
      <c r="D1868" s="17"/>
      <c r="E1868" s="17"/>
      <c r="F1868" s="17"/>
      <c r="G1868" s="4">
        <f t="shared" si="84"/>
        <v>0</v>
      </c>
      <c r="H1868" s="17"/>
      <c r="I1868" s="4">
        <f t="shared" si="86"/>
        <v>349526.07999999996</v>
      </c>
      <c r="J1868" s="32" t="str">
        <f t="shared" si="85"/>
        <v/>
      </c>
      <c r="K1868" s="72"/>
      <c r="L1868" s="72"/>
      <c r="M1868" s="2"/>
      <c r="N1868" s="5"/>
      <c r="O1868" s="3"/>
      <c r="P1868" s="6"/>
      <c r="Q1868" s="48">
        <f>IF(Учет!$O1868=Справочники!$F$2,Учет!$H1868,0)</f>
        <v>0</v>
      </c>
      <c r="R1868" s="48">
        <f>IF(Учет!$O1868=Справочники!$F$3,Учет!$H1868,0)</f>
        <v>0</v>
      </c>
      <c r="S1868" s="48">
        <f>IF(Учет!$O1868=Справочники!$F$4,Учет!$H1868,0)</f>
        <v>0</v>
      </c>
      <c r="T1868" s="48">
        <f>IF(Учет!$O1868=Справочники!$F$5,Учет!$H1868,0)</f>
        <v>0</v>
      </c>
      <c r="U1868" s="48">
        <f>IF(Учет!$O1868=Справочники!$F$6,Учет!$H1868,0)</f>
        <v>0</v>
      </c>
      <c r="V1868" s="43">
        <f>V1867+Учет!Q1868-Q1868</f>
        <v>-488978.92000000004</v>
      </c>
      <c r="W1868" s="43">
        <f>W1867+Учет!R1868-R1868</f>
        <v>336855</v>
      </c>
      <c r="X1868" s="43">
        <f>X1867+Учет!S1868-S1868</f>
        <v>500</v>
      </c>
      <c r="Y1868" s="43">
        <f>Y1867+Учет!T1868-T1868</f>
        <v>1150</v>
      </c>
      <c r="Z1868" s="43">
        <f>Z1867+Учет!U1868-U1868</f>
        <v>500000</v>
      </c>
      <c r="AA1868" s="45">
        <f>Учет!X1868</f>
        <v>500</v>
      </c>
    </row>
    <row r="1869" spans="1:27" ht="15" customHeight="1" x14ac:dyDescent="0.25">
      <c r="A1869" s="1"/>
      <c r="B1869" s="17"/>
      <c r="C1869" s="17"/>
      <c r="D1869" s="17"/>
      <c r="E1869" s="17"/>
      <c r="F1869" s="17"/>
      <c r="G1869" s="4">
        <f t="shared" si="84"/>
        <v>0</v>
      </c>
      <c r="H1869" s="17"/>
      <c r="I1869" s="4">
        <f t="shared" si="86"/>
        <v>349526.07999999996</v>
      </c>
      <c r="J1869" s="32" t="str">
        <f t="shared" si="85"/>
        <v/>
      </c>
      <c r="K1869" s="72"/>
      <c r="L1869" s="72"/>
      <c r="M1869" s="2"/>
      <c r="N1869" s="5"/>
      <c r="O1869" s="3"/>
      <c r="P1869" s="6"/>
      <c r="Q1869" s="48">
        <f>IF(Учет!$O1869=Справочники!$F$2,Учет!$H1869,0)</f>
        <v>0</v>
      </c>
      <c r="R1869" s="48">
        <f>IF(Учет!$O1869=Справочники!$F$3,Учет!$H1869,0)</f>
        <v>0</v>
      </c>
      <c r="S1869" s="48">
        <f>IF(Учет!$O1869=Справочники!$F$4,Учет!$H1869,0)</f>
        <v>0</v>
      </c>
      <c r="T1869" s="48">
        <f>IF(Учет!$O1869=Справочники!$F$5,Учет!$H1869,0)</f>
        <v>0</v>
      </c>
      <c r="U1869" s="48">
        <f>IF(Учет!$O1869=Справочники!$F$6,Учет!$H1869,0)</f>
        <v>0</v>
      </c>
      <c r="V1869" s="43">
        <f>V1868+Учет!Q1869-Q1869</f>
        <v>-488978.92000000004</v>
      </c>
      <c r="W1869" s="43">
        <f>W1868+Учет!R1869-R1869</f>
        <v>336855</v>
      </c>
      <c r="X1869" s="43">
        <f>X1868+Учет!S1869-S1869</f>
        <v>500</v>
      </c>
      <c r="Y1869" s="43">
        <f>Y1868+Учет!T1869-T1869</f>
        <v>1150</v>
      </c>
      <c r="Z1869" s="43">
        <f>Z1868+Учет!U1869-U1869</f>
        <v>500000</v>
      </c>
      <c r="AA1869" s="45">
        <f>Учет!X1869</f>
        <v>500</v>
      </c>
    </row>
    <row r="1870" spans="1:27" ht="15" customHeight="1" x14ac:dyDescent="0.25">
      <c r="A1870" s="1"/>
      <c r="B1870" s="17"/>
      <c r="C1870" s="17"/>
      <c r="D1870" s="17"/>
      <c r="E1870" s="17"/>
      <c r="F1870" s="17"/>
      <c r="G1870" s="4">
        <f t="shared" si="84"/>
        <v>0</v>
      </c>
      <c r="H1870" s="17"/>
      <c r="I1870" s="4">
        <f t="shared" si="86"/>
        <v>349526.07999999996</v>
      </c>
      <c r="J1870" s="32" t="str">
        <f t="shared" si="85"/>
        <v/>
      </c>
      <c r="K1870" s="72"/>
      <c r="L1870" s="72"/>
      <c r="M1870" s="2"/>
      <c r="N1870" s="5"/>
      <c r="O1870" s="3"/>
      <c r="P1870" s="6"/>
      <c r="Q1870" s="48">
        <f>IF(Учет!$O1870=Справочники!$F$2,Учет!$H1870,0)</f>
        <v>0</v>
      </c>
      <c r="R1870" s="48">
        <f>IF(Учет!$O1870=Справочники!$F$3,Учет!$H1870,0)</f>
        <v>0</v>
      </c>
      <c r="S1870" s="48">
        <f>IF(Учет!$O1870=Справочники!$F$4,Учет!$H1870,0)</f>
        <v>0</v>
      </c>
      <c r="T1870" s="48">
        <f>IF(Учет!$O1870=Справочники!$F$5,Учет!$H1870,0)</f>
        <v>0</v>
      </c>
      <c r="U1870" s="48">
        <f>IF(Учет!$O1870=Справочники!$F$6,Учет!$H1870,0)</f>
        <v>0</v>
      </c>
      <c r="V1870" s="43">
        <f>V1869+Учет!Q1870-Q1870</f>
        <v>-488978.92000000004</v>
      </c>
      <c r="W1870" s="43">
        <f>W1869+Учет!R1870-R1870</f>
        <v>336855</v>
      </c>
      <c r="X1870" s="43">
        <f>X1869+Учет!S1870-S1870</f>
        <v>500</v>
      </c>
      <c r="Y1870" s="43">
        <f>Y1869+Учет!T1870-T1870</f>
        <v>1150</v>
      </c>
      <c r="Z1870" s="43">
        <f>Z1869+Учет!U1870-U1870</f>
        <v>500000</v>
      </c>
      <c r="AA1870" s="45">
        <f>Учет!X1870</f>
        <v>500</v>
      </c>
    </row>
    <row r="1871" spans="1:27" ht="15" customHeight="1" x14ac:dyDescent="0.25">
      <c r="A1871" s="1"/>
      <c r="B1871" s="17"/>
      <c r="C1871" s="17"/>
      <c r="D1871" s="17"/>
      <c r="E1871" s="17"/>
      <c r="F1871" s="17"/>
      <c r="G1871" s="4">
        <f t="shared" si="84"/>
        <v>0</v>
      </c>
      <c r="H1871" s="17"/>
      <c r="I1871" s="4">
        <f t="shared" si="86"/>
        <v>349526.07999999996</v>
      </c>
      <c r="J1871" s="32" t="str">
        <f t="shared" si="85"/>
        <v/>
      </c>
      <c r="K1871" s="72"/>
      <c r="L1871" s="72"/>
      <c r="M1871" s="2"/>
      <c r="N1871" s="5"/>
      <c r="O1871" s="3"/>
      <c r="P1871" s="6"/>
      <c r="Q1871" s="48">
        <f>IF(Учет!$O1871=Справочники!$F$2,Учет!$H1871,0)</f>
        <v>0</v>
      </c>
      <c r="R1871" s="48">
        <f>IF(Учет!$O1871=Справочники!$F$3,Учет!$H1871,0)</f>
        <v>0</v>
      </c>
      <c r="S1871" s="48">
        <f>IF(Учет!$O1871=Справочники!$F$4,Учет!$H1871,0)</f>
        <v>0</v>
      </c>
      <c r="T1871" s="48">
        <f>IF(Учет!$O1871=Справочники!$F$5,Учет!$H1871,0)</f>
        <v>0</v>
      </c>
      <c r="U1871" s="48">
        <f>IF(Учет!$O1871=Справочники!$F$6,Учет!$H1871,0)</f>
        <v>0</v>
      </c>
      <c r="V1871" s="43">
        <f>V1870+Учет!Q1871-Q1871</f>
        <v>-488978.92000000004</v>
      </c>
      <c r="W1871" s="43">
        <f>W1870+Учет!R1871-R1871</f>
        <v>336855</v>
      </c>
      <c r="X1871" s="43">
        <f>X1870+Учет!S1871-S1871</f>
        <v>500</v>
      </c>
      <c r="Y1871" s="43">
        <f>Y1870+Учет!T1871-T1871</f>
        <v>1150</v>
      </c>
      <c r="Z1871" s="43">
        <f>Z1870+Учет!U1871-U1871</f>
        <v>500000</v>
      </c>
      <c r="AA1871" s="45">
        <f>Учет!X1871</f>
        <v>500</v>
      </c>
    </row>
    <row r="1872" spans="1:27" ht="15" customHeight="1" x14ac:dyDescent="0.25">
      <c r="A1872" s="1"/>
      <c r="B1872" s="17"/>
      <c r="C1872" s="17"/>
      <c r="D1872" s="17"/>
      <c r="E1872" s="17"/>
      <c r="F1872" s="17"/>
      <c r="G1872" s="4">
        <f t="shared" si="84"/>
        <v>0</v>
      </c>
      <c r="H1872" s="17"/>
      <c r="I1872" s="4">
        <f t="shared" si="86"/>
        <v>349526.07999999996</v>
      </c>
      <c r="J1872" s="32" t="str">
        <f t="shared" si="85"/>
        <v/>
      </c>
      <c r="K1872" s="72"/>
      <c r="L1872" s="72"/>
      <c r="M1872" s="2"/>
      <c r="N1872" s="5"/>
      <c r="O1872" s="3"/>
      <c r="P1872" s="6"/>
      <c r="Q1872" s="48">
        <f>IF(Учет!$O1872=Справочники!$F$2,Учет!$H1872,0)</f>
        <v>0</v>
      </c>
      <c r="R1872" s="48">
        <f>IF(Учет!$O1872=Справочники!$F$3,Учет!$H1872,0)</f>
        <v>0</v>
      </c>
      <c r="S1872" s="48">
        <f>IF(Учет!$O1872=Справочники!$F$4,Учет!$H1872,0)</f>
        <v>0</v>
      </c>
      <c r="T1872" s="48">
        <f>IF(Учет!$O1872=Справочники!$F$5,Учет!$H1872,0)</f>
        <v>0</v>
      </c>
      <c r="U1872" s="48">
        <f>IF(Учет!$O1872=Справочники!$F$6,Учет!$H1872,0)</f>
        <v>0</v>
      </c>
      <c r="V1872" s="43">
        <f>V1871+Учет!Q1872-Q1872</f>
        <v>-488978.92000000004</v>
      </c>
      <c r="W1872" s="43">
        <f>W1871+Учет!R1872-R1872</f>
        <v>336855</v>
      </c>
      <c r="X1872" s="43">
        <f>X1871+Учет!S1872-S1872</f>
        <v>500</v>
      </c>
      <c r="Y1872" s="43">
        <f>Y1871+Учет!T1872-T1872</f>
        <v>1150</v>
      </c>
      <c r="Z1872" s="43">
        <f>Z1871+Учет!U1872-U1872</f>
        <v>500000</v>
      </c>
      <c r="AA1872" s="45">
        <f>Учет!X1872</f>
        <v>500</v>
      </c>
    </row>
    <row r="1873" spans="1:27" ht="15" customHeight="1" x14ac:dyDescent="0.25">
      <c r="A1873" s="1"/>
      <c r="B1873" s="17"/>
      <c r="C1873" s="17"/>
      <c r="D1873" s="17"/>
      <c r="E1873" s="17"/>
      <c r="F1873" s="17"/>
      <c r="G1873" s="4">
        <f t="shared" si="84"/>
        <v>0</v>
      </c>
      <c r="H1873" s="17"/>
      <c r="I1873" s="4">
        <f t="shared" si="86"/>
        <v>349526.07999999996</v>
      </c>
      <c r="J1873" s="32" t="str">
        <f t="shared" si="85"/>
        <v/>
      </c>
      <c r="K1873" s="72"/>
      <c r="L1873" s="72"/>
      <c r="M1873" s="2"/>
      <c r="N1873" s="5"/>
      <c r="O1873" s="3"/>
      <c r="P1873" s="6"/>
      <c r="Q1873" s="48">
        <f>IF(Учет!$O1873=Справочники!$F$2,Учет!$H1873,0)</f>
        <v>0</v>
      </c>
      <c r="R1873" s="48">
        <f>IF(Учет!$O1873=Справочники!$F$3,Учет!$H1873,0)</f>
        <v>0</v>
      </c>
      <c r="S1873" s="48">
        <f>IF(Учет!$O1873=Справочники!$F$4,Учет!$H1873,0)</f>
        <v>0</v>
      </c>
      <c r="T1873" s="48">
        <f>IF(Учет!$O1873=Справочники!$F$5,Учет!$H1873,0)</f>
        <v>0</v>
      </c>
      <c r="U1873" s="48">
        <f>IF(Учет!$O1873=Справочники!$F$6,Учет!$H1873,0)</f>
        <v>0</v>
      </c>
      <c r="V1873" s="43">
        <f>V1872+Учет!Q1873-Q1873</f>
        <v>-488978.92000000004</v>
      </c>
      <c r="W1873" s="43">
        <f>W1872+Учет!R1873-R1873</f>
        <v>336855</v>
      </c>
      <c r="X1873" s="43">
        <f>X1872+Учет!S1873-S1873</f>
        <v>500</v>
      </c>
      <c r="Y1873" s="43">
        <f>Y1872+Учет!T1873-T1873</f>
        <v>1150</v>
      </c>
      <c r="Z1873" s="43">
        <f>Z1872+Учет!U1873-U1873</f>
        <v>500000</v>
      </c>
      <c r="AA1873" s="45">
        <f>Учет!X1873</f>
        <v>500</v>
      </c>
    </row>
    <row r="1874" spans="1:27" ht="15" customHeight="1" x14ac:dyDescent="0.25">
      <c r="A1874" s="1"/>
      <c r="B1874" s="17"/>
      <c r="C1874" s="17"/>
      <c r="D1874" s="17"/>
      <c r="E1874" s="17"/>
      <c r="F1874" s="17"/>
      <c r="G1874" s="4">
        <f t="shared" si="84"/>
        <v>0</v>
      </c>
      <c r="H1874" s="17"/>
      <c r="I1874" s="4">
        <f t="shared" si="86"/>
        <v>349526.07999999996</v>
      </c>
      <c r="J1874" s="32" t="str">
        <f t="shared" si="85"/>
        <v/>
      </c>
      <c r="K1874" s="72"/>
      <c r="L1874" s="72"/>
      <c r="M1874" s="2"/>
      <c r="N1874" s="5"/>
      <c r="O1874" s="3"/>
      <c r="P1874" s="6"/>
      <c r="Q1874" s="48">
        <f>IF(Учет!$O1874=Справочники!$F$2,Учет!$H1874,0)</f>
        <v>0</v>
      </c>
      <c r="R1874" s="48">
        <f>IF(Учет!$O1874=Справочники!$F$3,Учет!$H1874,0)</f>
        <v>0</v>
      </c>
      <c r="S1874" s="48">
        <f>IF(Учет!$O1874=Справочники!$F$4,Учет!$H1874,0)</f>
        <v>0</v>
      </c>
      <c r="T1874" s="48">
        <f>IF(Учет!$O1874=Справочники!$F$5,Учет!$H1874,0)</f>
        <v>0</v>
      </c>
      <c r="U1874" s="48">
        <f>IF(Учет!$O1874=Справочники!$F$6,Учет!$H1874,0)</f>
        <v>0</v>
      </c>
      <c r="V1874" s="43">
        <f>V1873+Учет!Q1874-Q1874</f>
        <v>-488978.92000000004</v>
      </c>
      <c r="W1874" s="43">
        <f>W1873+Учет!R1874-R1874</f>
        <v>336855</v>
      </c>
      <c r="X1874" s="43">
        <f>X1873+Учет!S1874-S1874</f>
        <v>500</v>
      </c>
      <c r="Y1874" s="43">
        <f>Y1873+Учет!T1874-T1874</f>
        <v>1150</v>
      </c>
      <c r="Z1874" s="43">
        <f>Z1873+Учет!U1874-U1874</f>
        <v>500000</v>
      </c>
      <c r="AA1874" s="45">
        <f>Учет!X1874</f>
        <v>500</v>
      </c>
    </row>
    <row r="1875" spans="1:27" ht="15" customHeight="1" x14ac:dyDescent="0.25">
      <c r="A1875" s="1"/>
      <c r="B1875" s="17"/>
      <c r="C1875" s="17"/>
      <c r="D1875" s="17"/>
      <c r="E1875" s="17"/>
      <c r="F1875" s="17"/>
      <c r="G1875" s="4">
        <f t="shared" si="84"/>
        <v>0</v>
      </c>
      <c r="H1875" s="17"/>
      <c r="I1875" s="4">
        <f t="shared" si="86"/>
        <v>349526.07999999996</v>
      </c>
      <c r="J1875" s="32" t="str">
        <f t="shared" si="85"/>
        <v/>
      </c>
      <c r="K1875" s="72"/>
      <c r="L1875" s="72"/>
      <c r="M1875" s="2"/>
      <c r="N1875" s="5"/>
      <c r="O1875" s="3"/>
      <c r="P1875" s="6"/>
      <c r="Q1875" s="48">
        <f>IF(Учет!$O1875=Справочники!$F$2,Учет!$H1875,0)</f>
        <v>0</v>
      </c>
      <c r="R1875" s="48">
        <f>IF(Учет!$O1875=Справочники!$F$3,Учет!$H1875,0)</f>
        <v>0</v>
      </c>
      <c r="S1875" s="48">
        <f>IF(Учет!$O1875=Справочники!$F$4,Учет!$H1875,0)</f>
        <v>0</v>
      </c>
      <c r="T1875" s="48">
        <f>IF(Учет!$O1875=Справочники!$F$5,Учет!$H1875,0)</f>
        <v>0</v>
      </c>
      <c r="U1875" s="48">
        <f>IF(Учет!$O1875=Справочники!$F$6,Учет!$H1875,0)</f>
        <v>0</v>
      </c>
      <c r="V1875" s="43">
        <f>V1874+Учет!Q1875-Q1875</f>
        <v>-488978.92000000004</v>
      </c>
      <c r="W1875" s="43">
        <f>W1874+Учет!R1875-R1875</f>
        <v>336855</v>
      </c>
      <c r="X1875" s="43">
        <f>X1874+Учет!S1875-S1875</f>
        <v>500</v>
      </c>
      <c r="Y1875" s="43">
        <f>Y1874+Учет!T1875-T1875</f>
        <v>1150</v>
      </c>
      <c r="Z1875" s="43">
        <f>Z1874+Учет!U1875-U1875</f>
        <v>500000</v>
      </c>
      <c r="AA1875" s="45">
        <f>Учет!X1875</f>
        <v>500</v>
      </c>
    </row>
    <row r="1876" spans="1:27" ht="15" customHeight="1" x14ac:dyDescent="0.25">
      <c r="A1876" s="1"/>
      <c r="B1876" s="17"/>
      <c r="C1876" s="17"/>
      <c r="D1876" s="17"/>
      <c r="E1876" s="17"/>
      <c r="F1876" s="17"/>
      <c r="G1876" s="4">
        <f t="shared" si="84"/>
        <v>0</v>
      </c>
      <c r="H1876" s="17"/>
      <c r="I1876" s="4">
        <f t="shared" si="86"/>
        <v>349526.07999999996</v>
      </c>
      <c r="J1876" s="32" t="str">
        <f t="shared" si="85"/>
        <v/>
      </c>
      <c r="K1876" s="72"/>
      <c r="L1876" s="72"/>
      <c r="M1876" s="2"/>
      <c r="N1876" s="5"/>
      <c r="O1876" s="3"/>
      <c r="P1876" s="6"/>
      <c r="Q1876" s="48">
        <f>IF(Учет!$O1876=Справочники!$F$2,Учет!$H1876,0)</f>
        <v>0</v>
      </c>
      <c r="R1876" s="48">
        <f>IF(Учет!$O1876=Справочники!$F$3,Учет!$H1876,0)</f>
        <v>0</v>
      </c>
      <c r="S1876" s="48">
        <f>IF(Учет!$O1876=Справочники!$F$4,Учет!$H1876,0)</f>
        <v>0</v>
      </c>
      <c r="T1876" s="48">
        <f>IF(Учет!$O1876=Справочники!$F$5,Учет!$H1876,0)</f>
        <v>0</v>
      </c>
      <c r="U1876" s="48">
        <f>IF(Учет!$O1876=Справочники!$F$6,Учет!$H1876,0)</f>
        <v>0</v>
      </c>
      <c r="V1876" s="43">
        <f>V1875+Учет!Q1876-Q1876</f>
        <v>-488978.92000000004</v>
      </c>
      <c r="W1876" s="43">
        <f>W1875+Учет!R1876-R1876</f>
        <v>336855</v>
      </c>
      <c r="X1876" s="43">
        <f>X1875+Учет!S1876-S1876</f>
        <v>500</v>
      </c>
      <c r="Y1876" s="43">
        <f>Y1875+Учет!T1876-T1876</f>
        <v>1150</v>
      </c>
      <c r="Z1876" s="43">
        <f>Z1875+Учет!U1876-U1876</f>
        <v>500000</v>
      </c>
      <c r="AA1876" s="45">
        <f>Учет!X1876</f>
        <v>500</v>
      </c>
    </row>
    <row r="1877" spans="1:27" ht="15" customHeight="1" x14ac:dyDescent="0.25">
      <c r="A1877" s="1"/>
      <c r="B1877" s="17"/>
      <c r="C1877" s="17"/>
      <c r="D1877" s="17"/>
      <c r="E1877" s="17"/>
      <c r="F1877" s="17"/>
      <c r="G1877" s="4">
        <f t="shared" si="84"/>
        <v>0</v>
      </c>
      <c r="H1877" s="17"/>
      <c r="I1877" s="4">
        <f t="shared" si="86"/>
        <v>349526.07999999996</v>
      </c>
      <c r="J1877" s="32" t="str">
        <f t="shared" si="85"/>
        <v/>
      </c>
      <c r="K1877" s="72"/>
      <c r="L1877" s="72"/>
      <c r="M1877" s="2"/>
      <c r="N1877" s="5"/>
      <c r="O1877" s="3"/>
      <c r="P1877" s="6"/>
      <c r="Q1877" s="48">
        <f>IF(Учет!$O1877=Справочники!$F$2,Учет!$H1877,0)</f>
        <v>0</v>
      </c>
      <c r="R1877" s="48">
        <f>IF(Учет!$O1877=Справочники!$F$3,Учет!$H1877,0)</f>
        <v>0</v>
      </c>
      <c r="S1877" s="48">
        <f>IF(Учет!$O1877=Справочники!$F$4,Учет!$H1877,0)</f>
        <v>0</v>
      </c>
      <c r="T1877" s="48">
        <f>IF(Учет!$O1877=Справочники!$F$5,Учет!$H1877,0)</f>
        <v>0</v>
      </c>
      <c r="U1877" s="48">
        <f>IF(Учет!$O1877=Справочники!$F$6,Учет!$H1877,0)</f>
        <v>0</v>
      </c>
      <c r="V1877" s="43">
        <f>V1876+Учет!Q1877-Q1877</f>
        <v>-488978.92000000004</v>
      </c>
      <c r="W1877" s="43">
        <f>W1876+Учет!R1877-R1877</f>
        <v>336855</v>
      </c>
      <c r="X1877" s="43">
        <f>X1876+Учет!S1877-S1877</f>
        <v>500</v>
      </c>
      <c r="Y1877" s="43">
        <f>Y1876+Учет!T1877-T1877</f>
        <v>1150</v>
      </c>
      <c r="Z1877" s="43">
        <f>Z1876+Учет!U1877-U1877</f>
        <v>500000</v>
      </c>
      <c r="AA1877" s="45">
        <f>Учет!X1877</f>
        <v>500</v>
      </c>
    </row>
    <row r="1878" spans="1:27" ht="15" customHeight="1" x14ac:dyDescent="0.25">
      <c r="A1878" s="1"/>
      <c r="B1878" s="17"/>
      <c r="C1878" s="17"/>
      <c r="D1878" s="17"/>
      <c r="E1878" s="17"/>
      <c r="F1878" s="17"/>
      <c r="G1878" s="4">
        <f t="shared" si="84"/>
        <v>0</v>
      </c>
      <c r="H1878" s="17"/>
      <c r="I1878" s="4">
        <f t="shared" si="86"/>
        <v>349526.07999999996</v>
      </c>
      <c r="J1878" s="32" t="str">
        <f t="shared" si="85"/>
        <v/>
      </c>
      <c r="K1878" s="72"/>
      <c r="L1878" s="72"/>
      <c r="M1878" s="2"/>
      <c r="N1878" s="5"/>
      <c r="O1878" s="3"/>
      <c r="P1878" s="6"/>
      <c r="Q1878" s="48">
        <f>IF(Учет!$O1878=Справочники!$F$2,Учет!$H1878,0)</f>
        <v>0</v>
      </c>
      <c r="R1878" s="48">
        <f>IF(Учет!$O1878=Справочники!$F$3,Учет!$H1878,0)</f>
        <v>0</v>
      </c>
      <c r="S1878" s="48">
        <f>IF(Учет!$O1878=Справочники!$F$4,Учет!$H1878,0)</f>
        <v>0</v>
      </c>
      <c r="T1878" s="48">
        <f>IF(Учет!$O1878=Справочники!$F$5,Учет!$H1878,0)</f>
        <v>0</v>
      </c>
      <c r="U1878" s="48">
        <f>IF(Учет!$O1878=Справочники!$F$6,Учет!$H1878,0)</f>
        <v>0</v>
      </c>
      <c r="V1878" s="43">
        <f>V1877+Учет!Q1878-Q1878</f>
        <v>-488978.92000000004</v>
      </c>
      <c r="W1878" s="43">
        <f>W1877+Учет!R1878-R1878</f>
        <v>336855</v>
      </c>
      <c r="X1878" s="43">
        <f>X1877+Учет!S1878-S1878</f>
        <v>500</v>
      </c>
      <c r="Y1878" s="43">
        <f>Y1877+Учет!T1878-T1878</f>
        <v>1150</v>
      </c>
      <c r="Z1878" s="43">
        <f>Z1877+Учет!U1878-U1878</f>
        <v>500000</v>
      </c>
      <c r="AA1878" s="45">
        <f>Учет!X1878</f>
        <v>500</v>
      </c>
    </row>
    <row r="1879" spans="1:27" ht="15" customHeight="1" x14ac:dyDescent="0.25">
      <c r="A1879" s="1"/>
      <c r="B1879" s="17"/>
      <c r="C1879" s="17"/>
      <c r="D1879" s="17"/>
      <c r="E1879" s="17"/>
      <c r="F1879" s="17"/>
      <c r="G1879" s="4">
        <f t="shared" si="84"/>
        <v>0</v>
      </c>
      <c r="H1879" s="17"/>
      <c r="I1879" s="4">
        <f t="shared" si="86"/>
        <v>349526.07999999996</v>
      </c>
      <c r="J1879" s="32" t="str">
        <f t="shared" si="85"/>
        <v/>
      </c>
      <c r="K1879" s="72"/>
      <c r="L1879" s="72"/>
      <c r="M1879" s="2"/>
      <c r="N1879" s="5"/>
      <c r="O1879" s="3"/>
      <c r="P1879" s="6"/>
      <c r="Q1879" s="48">
        <f>IF(Учет!$O1879=Справочники!$F$2,Учет!$H1879,0)</f>
        <v>0</v>
      </c>
      <c r="R1879" s="48">
        <f>IF(Учет!$O1879=Справочники!$F$3,Учет!$H1879,0)</f>
        <v>0</v>
      </c>
      <c r="S1879" s="48">
        <f>IF(Учет!$O1879=Справочники!$F$4,Учет!$H1879,0)</f>
        <v>0</v>
      </c>
      <c r="T1879" s="48">
        <f>IF(Учет!$O1879=Справочники!$F$5,Учет!$H1879,0)</f>
        <v>0</v>
      </c>
      <c r="U1879" s="48">
        <f>IF(Учет!$O1879=Справочники!$F$6,Учет!$H1879,0)</f>
        <v>0</v>
      </c>
      <c r="V1879" s="43">
        <f>V1878+Учет!Q1879-Q1879</f>
        <v>-488978.92000000004</v>
      </c>
      <c r="W1879" s="43">
        <f>W1878+Учет!R1879-R1879</f>
        <v>336855</v>
      </c>
      <c r="X1879" s="43">
        <f>X1878+Учет!S1879-S1879</f>
        <v>500</v>
      </c>
      <c r="Y1879" s="43">
        <f>Y1878+Учет!T1879-T1879</f>
        <v>1150</v>
      </c>
      <c r="Z1879" s="43">
        <f>Z1878+Учет!U1879-U1879</f>
        <v>500000</v>
      </c>
      <c r="AA1879" s="45">
        <f>Учет!X1879</f>
        <v>500</v>
      </c>
    </row>
    <row r="1880" spans="1:27" ht="15" customHeight="1" x14ac:dyDescent="0.25">
      <c r="A1880" s="1"/>
      <c r="B1880" s="17"/>
      <c r="C1880" s="17"/>
      <c r="D1880" s="17"/>
      <c r="E1880" s="17"/>
      <c r="F1880" s="17"/>
      <c r="G1880" s="4">
        <f t="shared" si="84"/>
        <v>0</v>
      </c>
      <c r="H1880" s="17"/>
      <c r="I1880" s="4">
        <f t="shared" si="86"/>
        <v>349526.07999999996</v>
      </c>
      <c r="J1880" s="32" t="str">
        <f t="shared" si="85"/>
        <v/>
      </c>
      <c r="K1880" s="72"/>
      <c r="L1880" s="72"/>
      <c r="M1880" s="2"/>
      <c r="N1880" s="5"/>
      <c r="O1880" s="3"/>
      <c r="P1880" s="6"/>
      <c r="Q1880" s="48">
        <f>IF(Учет!$O1880=Справочники!$F$2,Учет!$H1880,0)</f>
        <v>0</v>
      </c>
      <c r="R1880" s="48">
        <f>IF(Учет!$O1880=Справочники!$F$3,Учет!$H1880,0)</f>
        <v>0</v>
      </c>
      <c r="S1880" s="48">
        <f>IF(Учет!$O1880=Справочники!$F$4,Учет!$H1880,0)</f>
        <v>0</v>
      </c>
      <c r="T1880" s="48">
        <f>IF(Учет!$O1880=Справочники!$F$5,Учет!$H1880,0)</f>
        <v>0</v>
      </c>
      <c r="U1880" s="48">
        <f>IF(Учет!$O1880=Справочники!$F$6,Учет!$H1880,0)</f>
        <v>0</v>
      </c>
      <c r="V1880" s="43">
        <f>V1879+Учет!Q1880-Q1880</f>
        <v>-488978.92000000004</v>
      </c>
      <c r="W1880" s="43">
        <f>W1879+Учет!R1880-R1880</f>
        <v>336855</v>
      </c>
      <c r="X1880" s="43">
        <f>X1879+Учет!S1880-S1880</f>
        <v>500</v>
      </c>
      <c r="Y1880" s="43">
        <f>Y1879+Учет!T1880-T1880</f>
        <v>1150</v>
      </c>
      <c r="Z1880" s="43">
        <f>Z1879+Учет!U1880-U1880</f>
        <v>500000</v>
      </c>
      <c r="AA1880" s="45">
        <f>Учет!X1880</f>
        <v>500</v>
      </c>
    </row>
    <row r="1881" spans="1:27" ht="15" customHeight="1" x14ac:dyDescent="0.25">
      <c r="A1881" s="1"/>
      <c r="B1881" s="17"/>
      <c r="C1881" s="17"/>
      <c r="D1881" s="17"/>
      <c r="E1881" s="17"/>
      <c r="F1881" s="17"/>
      <c r="G1881" s="4">
        <f t="shared" si="84"/>
        <v>0</v>
      </c>
      <c r="H1881" s="17"/>
      <c r="I1881" s="4">
        <f t="shared" si="86"/>
        <v>349526.07999999996</v>
      </c>
      <c r="J1881" s="32" t="str">
        <f t="shared" si="85"/>
        <v/>
      </c>
      <c r="K1881" s="72"/>
      <c r="L1881" s="72"/>
      <c r="M1881" s="2"/>
      <c r="N1881" s="5"/>
      <c r="O1881" s="3"/>
      <c r="P1881" s="6"/>
      <c r="Q1881" s="48">
        <f>IF(Учет!$O1881=Справочники!$F$2,Учет!$H1881,0)</f>
        <v>0</v>
      </c>
      <c r="R1881" s="48">
        <f>IF(Учет!$O1881=Справочники!$F$3,Учет!$H1881,0)</f>
        <v>0</v>
      </c>
      <c r="S1881" s="48">
        <f>IF(Учет!$O1881=Справочники!$F$4,Учет!$H1881,0)</f>
        <v>0</v>
      </c>
      <c r="T1881" s="48">
        <f>IF(Учет!$O1881=Справочники!$F$5,Учет!$H1881,0)</f>
        <v>0</v>
      </c>
      <c r="U1881" s="48">
        <f>IF(Учет!$O1881=Справочники!$F$6,Учет!$H1881,0)</f>
        <v>0</v>
      </c>
      <c r="V1881" s="43">
        <f>V1880+Учет!Q1881-Q1881</f>
        <v>-488978.92000000004</v>
      </c>
      <c r="W1881" s="43">
        <f>W1880+Учет!R1881-R1881</f>
        <v>336855</v>
      </c>
      <c r="X1881" s="43">
        <f>X1880+Учет!S1881-S1881</f>
        <v>500</v>
      </c>
      <c r="Y1881" s="43">
        <f>Y1880+Учет!T1881-T1881</f>
        <v>1150</v>
      </c>
      <c r="Z1881" s="43">
        <f>Z1880+Учет!U1881-U1881</f>
        <v>500000</v>
      </c>
      <c r="AA1881" s="45">
        <f>Учет!X1881</f>
        <v>500</v>
      </c>
    </row>
    <row r="1882" spans="1:27" ht="15" customHeight="1" x14ac:dyDescent="0.25">
      <c r="A1882" s="1"/>
      <c r="B1882" s="17"/>
      <c r="C1882" s="17"/>
      <c r="D1882" s="17"/>
      <c r="E1882" s="17"/>
      <c r="F1882" s="17"/>
      <c r="G1882" s="4">
        <f t="shared" si="84"/>
        <v>0</v>
      </c>
      <c r="H1882" s="17"/>
      <c r="I1882" s="4">
        <f t="shared" si="86"/>
        <v>349526.07999999996</v>
      </c>
      <c r="J1882" s="32" t="str">
        <f t="shared" si="85"/>
        <v/>
      </c>
      <c r="K1882" s="72"/>
      <c r="L1882" s="72"/>
      <c r="M1882" s="2"/>
      <c r="N1882" s="5"/>
      <c r="O1882" s="3"/>
      <c r="P1882" s="6"/>
      <c r="Q1882" s="48">
        <f>IF(Учет!$O1882=Справочники!$F$2,Учет!$H1882,0)</f>
        <v>0</v>
      </c>
      <c r="R1882" s="48">
        <f>IF(Учет!$O1882=Справочники!$F$3,Учет!$H1882,0)</f>
        <v>0</v>
      </c>
      <c r="S1882" s="48">
        <f>IF(Учет!$O1882=Справочники!$F$4,Учет!$H1882,0)</f>
        <v>0</v>
      </c>
      <c r="T1882" s="48">
        <f>IF(Учет!$O1882=Справочники!$F$5,Учет!$H1882,0)</f>
        <v>0</v>
      </c>
      <c r="U1882" s="48">
        <f>IF(Учет!$O1882=Справочники!$F$6,Учет!$H1882,0)</f>
        <v>0</v>
      </c>
      <c r="V1882" s="43">
        <f>V1881+Учет!Q1882-Q1882</f>
        <v>-488978.92000000004</v>
      </c>
      <c r="W1882" s="43">
        <f>W1881+Учет!R1882-R1882</f>
        <v>336855</v>
      </c>
      <c r="X1882" s="43">
        <f>X1881+Учет!S1882-S1882</f>
        <v>500</v>
      </c>
      <c r="Y1882" s="43">
        <f>Y1881+Учет!T1882-T1882</f>
        <v>1150</v>
      </c>
      <c r="Z1882" s="43">
        <f>Z1881+Учет!U1882-U1882</f>
        <v>500000</v>
      </c>
      <c r="AA1882" s="45">
        <f>Учет!X1882</f>
        <v>500</v>
      </c>
    </row>
    <row r="1883" spans="1:27" ht="15" customHeight="1" x14ac:dyDescent="0.25">
      <c r="A1883" s="1"/>
      <c r="B1883" s="17"/>
      <c r="C1883" s="17"/>
      <c r="D1883" s="17"/>
      <c r="E1883" s="17"/>
      <c r="F1883" s="17"/>
      <c r="G1883" s="4">
        <f t="shared" si="84"/>
        <v>0</v>
      </c>
      <c r="H1883" s="17"/>
      <c r="I1883" s="4">
        <f t="shared" si="86"/>
        <v>349526.07999999996</v>
      </c>
      <c r="J1883" s="32" t="str">
        <f t="shared" si="85"/>
        <v/>
      </c>
      <c r="K1883" s="72"/>
      <c r="L1883" s="72"/>
      <c r="M1883" s="2"/>
      <c r="N1883" s="5"/>
      <c r="O1883" s="3"/>
      <c r="P1883" s="6"/>
      <c r="Q1883" s="48">
        <f>IF(Учет!$O1883=Справочники!$F$2,Учет!$H1883,0)</f>
        <v>0</v>
      </c>
      <c r="R1883" s="48">
        <f>IF(Учет!$O1883=Справочники!$F$3,Учет!$H1883,0)</f>
        <v>0</v>
      </c>
      <c r="S1883" s="48">
        <f>IF(Учет!$O1883=Справочники!$F$4,Учет!$H1883,0)</f>
        <v>0</v>
      </c>
      <c r="T1883" s="48">
        <f>IF(Учет!$O1883=Справочники!$F$5,Учет!$H1883,0)</f>
        <v>0</v>
      </c>
      <c r="U1883" s="48">
        <f>IF(Учет!$O1883=Справочники!$F$6,Учет!$H1883,0)</f>
        <v>0</v>
      </c>
      <c r="V1883" s="43">
        <f>V1882+Учет!Q1883-Q1883</f>
        <v>-488978.92000000004</v>
      </c>
      <c r="W1883" s="43">
        <f>W1882+Учет!R1883-R1883</f>
        <v>336855</v>
      </c>
      <c r="X1883" s="43">
        <f>X1882+Учет!S1883-S1883</f>
        <v>500</v>
      </c>
      <c r="Y1883" s="43">
        <f>Y1882+Учет!T1883-T1883</f>
        <v>1150</v>
      </c>
      <c r="Z1883" s="43">
        <f>Z1882+Учет!U1883-U1883</f>
        <v>500000</v>
      </c>
      <c r="AA1883" s="45">
        <f>Учет!X1883</f>
        <v>500</v>
      </c>
    </row>
    <row r="1884" spans="1:27" ht="15" customHeight="1" x14ac:dyDescent="0.25">
      <c r="A1884" s="1"/>
      <c r="B1884" s="17"/>
      <c r="C1884" s="17"/>
      <c r="D1884" s="17"/>
      <c r="E1884" s="17"/>
      <c r="F1884" s="17"/>
      <c r="G1884" s="4">
        <f t="shared" si="84"/>
        <v>0</v>
      </c>
      <c r="H1884" s="17"/>
      <c r="I1884" s="4">
        <f t="shared" si="86"/>
        <v>349526.07999999996</v>
      </c>
      <c r="J1884" s="32" t="str">
        <f t="shared" si="85"/>
        <v/>
      </c>
      <c r="K1884" s="72"/>
      <c r="L1884" s="72"/>
      <c r="M1884" s="2"/>
      <c r="N1884" s="5"/>
      <c r="O1884" s="3"/>
      <c r="P1884" s="6"/>
      <c r="Q1884" s="48">
        <f>IF(Учет!$O1884=Справочники!$F$2,Учет!$H1884,0)</f>
        <v>0</v>
      </c>
      <c r="R1884" s="48">
        <f>IF(Учет!$O1884=Справочники!$F$3,Учет!$H1884,0)</f>
        <v>0</v>
      </c>
      <c r="S1884" s="48">
        <f>IF(Учет!$O1884=Справочники!$F$4,Учет!$H1884,0)</f>
        <v>0</v>
      </c>
      <c r="T1884" s="48">
        <f>IF(Учет!$O1884=Справочники!$F$5,Учет!$H1884,0)</f>
        <v>0</v>
      </c>
      <c r="U1884" s="48">
        <f>IF(Учет!$O1884=Справочники!$F$6,Учет!$H1884,0)</f>
        <v>0</v>
      </c>
      <c r="V1884" s="43">
        <f>V1883+Учет!Q1884-Q1884</f>
        <v>-488978.92000000004</v>
      </c>
      <c r="W1884" s="43">
        <f>W1883+Учет!R1884-R1884</f>
        <v>336855</v>
      </c>
      <c r="X1884" s="43">
        <f>X1883+Учет!S1884-S1884</f>
        <v>500</v>
      </c>
      <c r="Y1884" s="43">
        <f>Y1883+Учет!T1884-T1884</f>
        <v>1150</v>
      </c>
      <c r="Z1884" s="43">
        <f>Z1883+Учет!U1884-U1884</f>
        <v>500000</v>
      </c>
      <c r="AA1884" s="45">
        <f>Учет!X1884</f>
        <v>500</v>
      </c>
    </row>
    <row r="1885" spans="1:27" ht="15" customHeight="1" x14ac:dyDescent="0.25">
      <c r="A1885" s="1"/>
      <c r="B1885" s="17"/>
      <c r="C1885" s="17"/>
      <c r="D1885" s="17"/>
      <c r="E1885" s="17"/>
      <c r="F1885" s="17"/>
      <c r="G1885" s="4">
        <f t="shared" si="84"/>
        <v>0</v>
      </c>
      <c r="H1885" s="17"/>
      <c r="I1885" s="4">
        <f t="shared" si="86"/>
        <v>349526.07999999996</v>
      </c>
      <c r="J1885" s="32" t="str">
        <f t="shared" si="85"/>
        <v/>
      </c>
      <c r="K1885" s="72"/>
      <c r="L1885" s="72"/>
      <c r="M1885" s="2"/>
      <c r="N1885" s="5"/>
      <c r="O1885" s="3"/>
      <c r="P1885" s="6"/>
      <c r="Q1885" s="48">
        <f>IF(Учет!$O1885=Справочники!$F$2,Учет!$H1885,0)</f>
        <v>0</v>
      </c>
      <c r="R1885" s="48">
        <f>IF(Учет!$O1885=Справочники!$F$3,Учет!$H1885,0)</f>
        <v>0</v>
      </c>
      <c r="S1885" s="48">
        <f>IF(Учет!$O1885=Справочники!$F$4,Учет!$H1885,0)</f>
        <v>0</v>
      </c>
      <c r="T1885" s="48">
        <f>IF(Учет!$O1885=Справочники!$F$5,Учет!$H1885,0)</f>
        <v>0</v>
      </c>
      <c r="U1885" s="48">
        <f>IF(Учет!$O1885=Справочники!$F$6,Учет!$H1885,0)</f>
        <v>0</v>
      </c>
      <c r="V1885" s="43">
        <f>V1884+Учет!Q1885-Q1885</f>
        <v>-488978.92000000004</v>
      </c>
      <c r="W1885" s="43">
        <f>W1884+Учет!R1885-R1885</f>
        <v>336855</v>
      </c>
      <c r="X1885" s="43">
        <f>X1884+Учет!S1885-S1885</f>
        <v>500</v>
      </c>
      <c r="Y1885" s="43">
        <f>Y1884+Учет!T1885-T1885</f>
        <v>1150</v>
      </c>
      <c r="Z1885" s="43">
        <f>Z1884+Учет!U1885-U1885</f>
        <v>500000</v>
      </c>
      <c r="AA1885" s="45">
        <f>Учет!X1885</f>
        <v>500</v>
      </c>
    </row>
    <row r="1886" spans="1:27" ht="15" customHeight="1" x14ac:dyDescent="0.25">
      <c r="A1886" s="1"/>
      <c r="B1886" s="17"/>
      <c r="C1886" s="17"/>
      <c r="D1886" s="17"/>
      <c r="E1886" s="17"/>
      <c r="F1886" s="17"/>
      <c r="G1886" s="4">
        <f t="shared" si="84"/>
        <v>0</v>
      </c>
      <c r="H1886" s="17"/>
      <c r="I1886" s="4">
        <f t="shared" si="86"/>
        <v>349526.07999999996</v>
      </c>
      <c r="J1886" s="32" t="str">
        <f t="shared" si="85"/>
        <v/>
      </c>
      <c r="K1886" s="72"/>
      <c r="L1886" s="72"/>
      <c r="M1886" s="2"/>
      <c r="N1886" s="5"/>
      <c r="O1886" s="3"/>
      <c r="P1886" s="6"/>
      <c r="Q1886" s="48">
        <f>IF(Учет!$O1886=Справочники!$F$2,Учет!$H1886,0)</f>
        <v>0</v>
      </c>
      <c r="R1886" s="48">
        <f>IF(Учет!$O1886=Справочники!$F$3,Учет!$H1886,0)</f>
        <v>0</v>
      </c>
      <c r="S1886" s="48">
        <f>IF(Учет!$O1886=Справочники!$F$4,Учет!$H1886,0)</f>
        <v>0</v>
      </c>
      <c r="T1886" s="48">
        <f>IF(Учет!$O1886=Справочники!$F$5,Учет!$H1886,0)</f>
        <v>0</v>
      </c>
      <c r="U1886" s="48">
        <f>IF(Учет!$O1886=Справочники!$F$6,Учет!$H1886,0)</f>
        <v>0</v>
      </c>
      <c r="V1886" s="43">
        <f>V1885+Учет!Q1886-Q1886</f>
        <v>-488978.92000000004</v>
      </c>
      <c r="W1886" s="43">
        <f>W1885+Учет!R1886-R1886</f>
        <v>336855</v>
      </c>
      <c r="X1886" s="43">
        <f>X1885+Учет!S1886-S1886</f>
        <v>500</v>
      </c>
      <c r="Y1886" s="43">
        <f>Y1885+Учет!T1886-T1886</f>
        <v>1150</v>
      </c>
      <c r="Z1886" s="43">
        <f>Z1885+Учет!U1886-U1886</f>
        <v>500000</v>
      </c>
      <c r="AA1886" s="45">
        <f>Учет!X1886</f>
        <v>500</v>
      </c>
    </row>
    <row r="1887" spans="1:27" ht="15" customHeight="1" x14ac:dyDescent="0.25">
      <c r="A1887" s="1"/>
      <c r="B1887" s="17"/>
      <c r="C1887" s="17"/>
      <c r="D1887" s="17"/>
      <c r="E1887" s="17"/>
      <c r="F1887" s="17"/>
      <c r="G1887" s="4">
        <f t="shared" si="84"/>
        <v>0</v>
      </c>
      <c r="H1887" s="17"/>
      <c r="I1887" s="4">
        <f t="shared" si="86"/>
        <v>349526.07999999996</v>
      </c>
      <c r="J1887" s="32" t="str">
        <f t="shared" si="85"/>
        <v/>
      </c>
      <c r="K1887" s="72"/>
      <c r="L1887" s="72"/>
      <c r="M1887" s="2"/>
      <c r="N1887" s="5"/>
      <c r="O1887" s="3"/>
      <c r="P1887" s="6"/>
      <c r="Q1887" s="48">
        <f>IF(Учет!$O1887=Справочники!$F$2,Учет!$H1887,0)</f>
        <v>0</v>
      </c>
      <c r="R1887" s="48">
        <f>IF(Учет!$O1887=Справочники!$F$3,Учет!$H1887,0)</f>
        <v>0</v>
      </c>
      <c r="S1887" s="48">
        <f>IF(Учет!$O1887=Справочники!$F$4,Учет!$H1887,0)</f>
        <v>0</v>
      </c>
      <c r="T1887" s="48">
        <f>IF(Учет!$O1887=Справочники!$F$5,Учет!$H1887,0)</f>
        <v>0</v>
      </c>
      <c r="U1887" s="48">
        <f>IF(Учет!$O1887=Справочники!$F$6,Учет!$H1887,0)</f>
        <v>0</v>
      </c>
      <c r="V1887" s="43">
        <f>V1886+Учет!Q1887-Q1887</f>
        <v>-488978.92000000004</v>
      </c>
      <c r="W1887" s="43">
        <f>W1886+Учет!R1887-R1887</f>
        <v>336855</v>
      </c>
      <c r="X1887" s="43">
        <f>X1886+Учет!S1887-S1887</f>
        <v>500</v>
      </c>
      <c r="Y1887" s="43">
        <f>Y1886+Учет!T1887-T1887</f>
        <v>1150</v>
      </c>
      <c r="Z1887" s="43">
        <f>Z1886+Учет!U1887-U1887</f>
        <v>500000</v>
      </c>
      <c r="AA1887" s="45">
        <f>Учет!X1887</f>
        <v>500</v>
      </c>
    </row>
    <row r="1888" spans="1:27" ht="15" customHeight="1" x14ac:dyDescent="0.25">
      <c r="A1888" s="1"/>
      <c r="B1888" s="17"/>
      <c r="C1888" s="17"/>
      <c r="D1888" s="17"/>
      <c r="E1888" s="17"/>
      <c r="F1888" s="17"/>
      <c r="G1888" s="4">
        <f t="shared" si="84"/>
        <v>0</v>
      </c>
      <c r="H1888" s="17"/>
      <c r="I1888" s="4">
        <f t="shared" si="86"/>
        <v>349526.07999999996</v>
      </c>
      <c r="J1888" s="32" t="str">
        <f t="shared" si="85"/>
        <v/>
      </c>
      <c r="K1888" s="72"/>
      <c r="L1888" s="72"/>
      <c r="M1888" s="2"/>
      <c r="N1888" s="5"/>
      <c r="O1888" s="3"/>
      <c r="P1888" s="6"/>
      <c r="Q1888" s="48">
        <f>IF(Учет!$O1888=Справочники!$F$2,Учет!$H1888,0)</f>
        <v>0</v>
      </c>
      <c r="R1888" s="48">
        <f>IF(Учет!$O1888=Справочники!$F$3,Учет!$H1888,0)</f>
        <v>0</v>
      </c>
      <c r="S1888" s="48">
        <f>IF(Учет!$O1888=Справочники!$F$4,Учет!$H1888,0)</f>
        <v>0</v>
      </c>
      <c r="T1888" s="48">
        <f>IF(Учет!$O1888=Справочники!$F$5,Учет!$H1888,0)</f>
        <v>0</v>
      </c>
      <c r="U1888" s="48">
        <f>IF(Учет!$O1888=Справочники!$F$6,Учет!$H1888,0)</f>
        <v>0</v>
      </c>
      <c r="V1888" s="43">
        <f>V1887+Учет!Q1888-Q1888</f>
        <v>-488978.92000000004</v>
      </c>
      <c r="W1888" s="43">
        <f>W1887+Учет!R1888-R1888</f>
        <v>336855</v>
      </c>
      <c r="X1888" s="43">
        <f>X1887+Учет!S1888-S1888</f>
        <v>500</v>
      </c>
      <c r="Y1888" s="43">
        <f>Y1887+Учет!T1888-T1888</f>
        <v>1150</v>
      </c>
      <c r="Z1888" s="43">
        <f>Z1887+Учет!U1888-U1888</f>
        <v>500000</v>
      </c>
      <c r="AA1888" s="45">
        <f>Учет!X1888</f>
        <v>500</v>
      </c>
    </row>
    <row r="1889" spans="1:27" ht="15" customHeight="1" x14ac:dyDescent="0.25">
      <c r="A1889" s="1"/>
      <c r="B1889" s="17"/>
      <c r="C1889" s="17"/>
      <c r="D1889" s="17"/>
      <c r="E1889" s="17"/>
      <c r="F1889" s="17"/>
      <c r="G1889" s="4">
        <f t="shared" si="84"/>
        <v>0</v>
      </c>
      <c r="H1889" s="17"/>
      <c r="I1889" s="4">
        <f t="shared" si="86"/>
        <v>349526.07999999996</v>
      </c>
      <c r="J1889" s="32" t="str">
        <f t="shared" si="85"/>
        <v/>
      </c>
      <c r="K1889" s="72"/>
      <c r="L1889" s="72"/>
      <c r="M1889" s="2"/>
      <c r="N1889" s="5"/>
      <c r="O1889" s="3"/>
      <c r="P1889" s="6"/>
      <c r="Q1889" s="48">
        <f>IF(Учет!$O1889=Справочники!$F$2,Учет!$H1889,0)</f>
        <v>0</v>
      </c>
      <c r="R1889" s="48">
        <f>IF(Учет!$O1889=Справочники!$F$3,Учет!$H1889,0)</f>
        <v>0</v>
      </c>
      <c r="S1889" s="48">
        <f>IF(Учет!$O1889=Справочники!$F$4,Учет!$H1889,0)</f>
        <v>0</v>
      </c>
      <c r="T1889" s="48">
        <f>IF(Учет!$O1889=Справочники!$F$5,Учет!$H1889,0)</f>
        <v>0</v>
      </c>
      <c r="U1889" s="48">
        <f>IF(Учет!$O1889=Справочники!$F$6,Учет!$H1889,0)</f>
        <v>0</v>
      </c>
      <c r="V1889" s="43">
        <f>V1888+Учет!Q1889-Q1889</f>
        <v>-488978.92000000004</v>
      </c>
      <c r="W1889" s="43">
        <f>W1888+Учет!R1889-R1889</f>
        <v>336855</v>
      </c>
      <c r="X1889" s="43">
        <f>X1888+Учет!S1889-S1889</f>
        <v>500</v>
      </c>
      <c r="Y1889" s="43">
        <f>Y1888+Учет!T1889-T1889</f>
        <v>1150</v>
      </c>
      <c r="Z1889" s="43">
        <f>Z1888+Учет!U1889-U1889</f>
        <v>500000</v>
      </c>
      <c r="AA1889" s="45">
        <f>Учет!X1889</f>
        <v>500</v>
      </c>
    </row>
    <row r="1890" spans="1:27" ht="15" customHeight="1" x14ac:dyDescent="0.25">
      <c r="A1890" s="1"/>
      <c r="B1890" s="17"/>
      <c r="C1890" s="17"/>
      <c r="D1890" s="17"/>
      <c r="E1890" s="17"/>
      <c r="F1890" s="17"/>
      <c r="G1890" s="4">
        <f t="shared" si="84"/>
        <v>0</v>
      </c>
      <c r="H1890" s="17"/>
      <c r="I1890" s="4">
        <f t="shared" si="86"/>
        <v>349526.07999999996</v>
      </c>
      <c r="J1890" s="32" t="str">
        <f t="shared" si="85"/>
        <v/>
      </c>
      <c r="K1890" s="72"/>
      <c r="L1890" s="72"/>
      <c r="M1890" s="2"/>
      <c r="N1890" s="5"/>
      <c r="O1890" s="3"/>
      <c r="P1890" s="6"/>
      <c r="Q1890" s="48">
        <f>IF(Учет!$O1890=Справочники!$F$2,Учет!$H1890,0)</f>
        <v>0</v>
      </c>
      <c r="R1890" s="48">
        <f>IF(Учет!$O1890=Справочники!$F$3,Учет!$H1890,0)</f>
        <v>0</v>
      </c>
      <c r="S1890" s="48">
        <f>IF(Учет!$O1890=Справочники!$F$4,Учет!$H1890,0)</f>
        <v>0</v>
      </c>
      <c r="T1890" s="48">
        <f>IF(Учет!$O1890=Справочники!$F$5,Учет!$H1890,0)</f>
        <v>0</v>
      </c>
      <c r="U1890" s="48">
        <f>IF(Учет!$O1890=Справочники!$F$6,Учет!$H1890,0)</f>
        <v>0</v>
      </c>
      <c r="V1890" s="43">
        <f>V1889+Учет!Q1890-Q1890</f>
        <v>-488978.92000000004</v>
      </c>
      <c r="W1890" s="43">
        <f>W1889+Учет!R1890-R1890</f>
        <v>336855</v>
      </c>
      <c r="X1890" s="43">
        <f>X1889+Учет!S1890-S1890</f>
        <v>500</v>
      </c>
      <c r="Y1890" s="43">
        <f>Y1889+Учет!T1890-T1890</f>
        <v>1150</v>
      </c>
      <c r="Z1890" s="43">
        <f>Z1889+Учет!U1890-U1890</f>
        <v>500000</v>
      </c>
      <c r="AA1890" s="45">
        <f>Учет!X1890</f>
        <v>500</v>
      </c>
    </row>
    <row r="1891" spans="1:27" ht="15" customHeight="1" x14ac:dyDescent="0.25">
      <c r="A1891" s="1"/>
      <c r="B1891" s="17"/>
      <c r="C1891" s="17"/>
      <c r="D1891" s="17"/>
      <c r="E1891" s="17"/>
      <c r="F1891" s="17"/>
      <c r="G1891" s="4">
        <f t="shared" si="84"/>
        <v>0</v>
      </c>
      <c r="H1891" s="17"/>
      <c r="I1891" s="4">
        <f t="shared" si="86"/>
        <v>349526.07999999996</v>
      </c>
      <c r="J1891" s="32" t="str">
        <f t="shared" si="85"/>
        <v/>
      </c>
      <c r="K1891" s="72"/>
      <c r="L1891" s="72"/>
      <c r="M1891" s="2"/>
      <c r="N1891" s="5"/>
      <c r="O1891" s="3"/>
      <c r="P1891" s="6"/>
      <c r="Q1891" s="48">
        <f>IF(Учет!$O1891=Справочники!$F$2,Учет!$H1891,0)</f>
        <v>0</v>
      </c>
      <c r="R1891" s="48">
        <f>IF(Учет!$O1891=Справочники!$F$3,Учет!$H1891,0)</f>
        <v>0</v>
      </c>
      <c r="S1891" s="48">
        <f>IF(Учет!$O1891=Справочники!$F$4,Учет!$H1891,0)</f>
        <v>0</v>
      </c>
      <c r="T1891" s="48">
        <f>IF(Учет!$O1891=Справочники!$F$5,Учет!$H1891,0)</f>
        <v>0</v>
      </c>
      <c r="U1891" s="48">
        <f>IF(Учет!$O1891=Справочники!$F$6,Учет!$H1891,0)</f>
        <v>0</v>
      </c>
      <c r="V1891" s="43">
        <f>V1890+Учет!Q1891-Q1891</f>
        <v>-488978.92000000004</v>
      </c>
      <c r="W1891" s="43">
        <f>W1890+Учет!R1891-R1891</f>
        <v>336855</v>
      </c>
      <c r="X1891" s="43">
        <f>X1890+Учет!S1891-S1891</f>
        <v>500</v>
      </c>
      <c r="Y1891" s="43">
        <f>Y1890+Учет!T1891-T1891</f>
        <v>1150</v>
      </c>
      <c r="Z1891" s="43">
        <f>Z1890+Учет!U1891-U1891</f>
        <v>500000</v>
      </c>
      <c r="AA1891" s="45">
        <f>Учет!X1891</f>
        <v>500</v>
      </c>
    </row>
    <row r="1892" spans="1:27" ht="15" customHeight="1" x14ac:dyDescent="0.25">
      <c r="A1892" s="1"/>
      <c r="B1892" s="17"/>
      <c r="C1892" s="17"/>
      <c r="D1892" s="17"/>
      <c r="E1892" s="17"/>
      <c r="F1892" s="17"/>
      <c r="G1892" s="4">
        <f t="shared" si="84"/>
        <v>0</v>
      </c>
      <c r="H1892" s="17"/>
      <c r="I1892" s="4">
        <f t="shared" si="86"/>
        <v>349526.07999999996</v>
      </c>
      <c r="J1892" s="32" t="str">
        <f t="shared" si="85"/>
        <v/>
      </c>
      <c r="K1892" s="72"/>
      <c r="L1892" s="72"/>
      <c r="M1892" s="2"/>
      <c r="N1892" s="5"/>
      <c r="O1892" s="3"/>
      <c r="P1892" s="6"/>
      <c r="Q1892" s="48">
        <f>IF(Учет!$O1892=Справочники!$F$2,Учет!$H1892,0)</f>
        <v>0</v>
      </c>
      <c r="R1892" s="48">
        <f>IF(Учет!$O1892=Справочники!$F$3,Учет!$H1892,0)</f>
        <v>0</v>
      </c>
      <c r="S1892" s="48">
        <f>IF(Учет!$O1892=Справочники!$F$4,Учет!$H1892,0)</f>
        <v>0</v>
      </c>
      <c r="T1892" s="48">
        <f>IF(Учет!$O1892=Справочники!$F$5,Учет!$H1892,0)</f>
        <v>0</v>
      </c>
      <c r="U1892" s="48">
        <f>IF(Учет!$O1892=Справочники!$F$6,Учет!$H1892,0)</f>
        <v>0</v>
      </c>
      <c r="V1892" s="43">
        <f>V1891+Учет!Q1892-Q1892</f>
        <v>-488978.92000000004</v>
      </c>
      <c r="W1892" s="43">
        <f>W1891+Учет!R1892-R1892</f>
        <v>336855</v>
      </c>
      <c r="X1892" s="43">
        <f>X1891+Учет!S1892-S1892</f>
        <v>500</v>
      </c>
      <c r="Y1892" s="43">
        <f>Y1891+Учет!T1892-T1892</f>
        <v>1150</v>
      </c>
      <c r="Z1892" s="43">
        <f>Z1891+Учет!U1892-U1892</f>
        <v>500000</v>
      </c>
      <c r="AA1892" s="45">
        <f>Учет!X1892</f>
        <v>500</v>
      </c>
    </row>
    <row r="1893" spans="1:27" ht="15" customHeight="1" x14ac:dyDescent="0.25">
      <c r="A1893" s="1"/>
      <c r="B1893" s="17"/>
      <c r="C1893" s="17"/>
      <c r="D1893" s="17"/>
      <c r="E1893" s="17"/>
      <c r="F1893" s="17"/>
      <c r="G1893" s="4">
        <f t="shared" si="84"/>
        <v>0</v>
      </c>
      <c r="H1893" s="17"/>
      <c r="I1893" s="4">
        <f t="shared" si="86"/>
        <v>349526.07999999996</v>
      </c>
      <c r="J1893" s="32" t="str">
        <f t="shared" si="85"/>
        <v/>
      </c>
      <c r="K1893" s="72"/>
      <c r="L1893" s="72"/>
      <c r="M1893" s="2"/>
      <c r="N1893" s="5"/>
      <c r="O1893" s="3"/>
      <c r="P1893" s="6"/>
      <c r="Q1893" s="48">
        <f>IF(Учет!$O1893=Справочники!$F$2,Учет!$H1893,0)</f>
        <v>0</v>
      </c>
      <c r="R1893" s="48">
        <f>IF(Учет!$O1893=Справочники!$F$3,Учет!$H1893,0)</f>
        <v>0</v>
      </c>
      <c r="S1893" s="48">
        <f>IF(Учет!$O1893=Справочники!$F$4,Учет!$H1893,0)</f>
        <v>0</v>
      </c>
      <c r="T1893" s="48">
        <f>IF(Учет!$O1893=Справочники!$F$5,Учет!$H1893,0)</f>
        <v>0</v>
      </c>
      <c r="U1893" s="48">
        <f>IF(Учет!$O1893=Справочники!$F$6,Учет!$H1893,0)</f>
        <v>0</v>
      </c>
      <c r="V1893" s="43">
        <f>V1892+Учет!Q1893-Q1893</f>
        <v>-488978.92000000004</v>
      </c>
      <c r="W1893" s="43">
        <f>W1892+Учет!R1893-R1893</f>
        <v>336855</v>
      </c>
      <c r="X1893" s="43">
        <f>X1892+Учет!S1893-S1893</f>
        <v>500</v>
      </c>
      <c r="Y1893" s="43">
        <f>Y1892+Учет!T1893-T1893</f>
        <v>1150</v>
      </c>
      <c r="Z1893" s="43">
        <f>Z1892+Учет!U1893-U1893</f>
        <v>500000</v>
      </c>
      <c r="AA1893" s="45">
        <f>Учет!X1893</f>
        <v>500</v>
      </c>
    </row>
    <row r="1894" spans="1:27" ht="15" customHeight="1" x14ac:dyDescent="0.25">
      <c r="A1894" s="1"/>
      <c r="B1894" s="17"/>
      <c r="C1894" s="17"/>
      <c r="D1894" s="17"/>
      <c r="E1894" s="17"/>
      <c r="F1894" s="17"/>
      <c r="G1894" s="4">
        <f t="shared" si="84"/>
        <v>0</v>
      </c>
      <c r="H1894" s="17"/>
      <c r="I1894" s="4">
        <f t="shared" si="86"/>
        <v>349526.07999999996</v>
      </c>
      <c r="J1894" s="32" t="str">
        <f t="shared" si="85"/>
        <v/>
      </c>
      <c r="K1894" s="72"/>
      <c r="L1894" s="72"/>
      <c r="M1894" s="2"/>
      <c r="N1894" s="5"/>
      <c r="O1894" s="3"/>
      <c r="P1894" s="6"/>
      <c r="Q1894" s="48">
        <f>IF(Учет!$O1894=Справочники!$F$2,Учет!$H1894,0)</f>
        <v>0</v>
      </c>
      <c r="R1894" s="48">
        <f>IF(Учет!$O1894=Справочники!$F$3,Учет!$H1894,0)</f>
        <v>0</v>
      </c>
      <c r="S1894" s="48">
        <f>IF(Учет!$O1894=Справочники!$F$4,Учет!$H1894,0)</f>
        <v>0</v>
      </c>
      <c r="T1894" s="48">
        <f>IF(Учет!$O1894=Справочники!$F$5,Учет!$H1894,0)</f>
        <v>0</v>
      </c>
      <c r="U1894" s="48">
        <f>IF(Учет!$O1894=Справочники!$F$6,Учет!$H1894,0)</f>
        <v>0</v>
      </c>
      <c r="V1894" s="43">
        <f>V1893+Учет!Q1894-Q1894</f>
        <v>-488978.92000000004</v>
      </c>
      <c r="W1894" s="43">
        <f>W1893+Учет!R1894-R1894</f>
        <v>336855</v>
      </c>
      <c r="X1894" s="43">
        <f>X1893+Учет!S1894-S1894</f>
        <v>500</v>
      </c>
      <c r="Y1894" s="43">
        <f>Y1893+Учет!T1894-T1894</f>
        <v>1150</v>
      </c>
      <c r="Z1894" s="43">
        <f>Z1893+Учет!U1894-U1894</f>
        <v>500000</v>
      </c>
      <c r="AA1894" s="45">
        <f>Учет!X1894</f>
        <v>500</v>
      </c>
    </row>
    <row r="1895" spans="1:27" ht="15" customHeight="1" x14ac:dyDescent="0.25">
      <c r="A1895" s="1"/>
      <c r="B1895" s="17"/>
      <c r="C1895" s="17"/>
      <c r="D1895" s="17"/>
      <c r="E1895" s="17"/>
      <c r="F1895" s="17"/>
      <c r="G1895" s="4">
        <f t="shared" si="84"/>
        <v>0</v>
      </c>
      <c r="H1895" s="17"/>
      <c r="I1895" s="4">
        <f t="shared" si="86"/>
        <v>349526.07999999996</v>
      </c>
      <c r="J1895" s="32" t="str">
        <f t="shared" si="85"/>
        <v/>
      </c>
      <c r="K1895" s="72"/>
      <c r="L1895" s="72"/>
      <c r="M1895" s="2"/>
      <c r="N1895" s="5"/>
      <c r="O1895" s="3"/>
      <c r="P1895" s="6"/>
      <c r="Q1895" s="48">
        <f>IF(Учет!$O1895=Справочники!$F$2,Учет!$H1895,0)</f>
        <v>0</v>
      </c>
      <c r="R1895" s="48">
        <f>IF(Учет!$O1895=Справочники!$F$3,Учет!$H1895,0)</f>
        <v>0</v>
      </c>
      <c r="S1895" s="48">
        <f>IF(Учет!$O1895=Справочники!$F$4,Учет!$H1895,0)</f>
        <v>0</v>
      </c>
      <c r="T1895" s="48">
        <f>IF(Учет!$O1895=Справочники!$F$5,Учет!$H1895,0)</f>
        <v>0</v>
      </c>
      <c r="U1895" s="48">
        <f>IF(Учет!$O1895=Справочники!$F$6,Учет!$H1895,0)</f>
        <v>0</v>
      </c>
      <c r="V1895" s="43">
        <f>V1894+Учет!Q1895-Q1895</f>
        <v>-488978.92000000004</v>
      </c>
      <c r="W1895" s="43">
        <f>W1894+Учет!R1895-R1895</f>
        <v>336855</v>
      </c>
      <c r="X1895" s="43">
        <f>X1894+Учет!S1895-S1895</f>
        <v>500</v>
      </c>
      <c r="Y1895" s="43">
        <f>Y1894+Учет!T1895-T1895</f>
        <v>1150</v>
      </c>
      <c r="Z1895" s="43">
        <f>Z1894+Учет!U1895-U1895</f>
        <v>500000</v>
      </c>
      <c r="AA1895" s="45">
        <f>Учет!X1895</f>
        <v>500</v>
      </c>
    </row>
    <row r="1896" spans="1:27" ht="15" customHeight="1" x14ac:dyDescent="0.25">
      <c r="A1896" s="1"/>
      <c r="B1896" s="17"/>
      <c r="C1896" s="17"/>
      <c r="D1896" s="17"/>
      <c r="E1896" s="17"/>
      <c r="F1896" s="17"/>
      <c r="G1896" s="4">
        <f t="shared" si="84"/>
        <v>0</v>
      </c>
      <c r="H1896" s="17"/>
      <c r="I1896" s="4">
        <f t="shared" si="86"/>
        <v>349526.07999999996</v>
      </c>
      <c r="J1896" s="32" t="str">
        <f t="shared" si="85"/>
        <v/>
      </c>
      <c r="K1896" s="72"/>
      <c r="L1896" s="72"/>
      <c r="M1896" s="2"/>
      <c r="N1896" s="5"/>
      <c r="O1896" s="3"/>
      <c r="P1896" s="6"/>
      <c r="Q1896" s="48">
        <f>IF(Учет!$O1896=Справочники!$F$2,Учет!$H1896,0)</f>
        <v>0</v>
      </c>
      <c r="R1896" s="48">
        <f>IF(Учет!$O1896=Справочники!$F$3,Учет!$H1896,0)</f>
        <v>0</v>
      </c>
      <c r="S1896" s="48">
        <f>IF(Учет!$O1896=Справочники!$F$4,Учет!$H1896,0)</f>
        <v>0</v>
      </c>
      <c r="T1896" s="48">
        <f>IF(Учет!$O1896=Справочники!$F$5,Учет!$H1896,0)</f>
        <v>0</v>
      </c>
      <c r="U1896" s="48">
        <f>IF(Учет!$O1896=Справочники!$F$6,Учет!$H1896,0)</f>
        <v>0</v>
      </c>
      <c r="V1896" s="43">
        <f>V1895+Учет!Q1896-Q1896</f>
        <v>-488978.92000000004</v>
      </c>
      <c r="W1896" s="43">
        <f>W1895+Учет!R1896-R1896</f>
        <v>336855</v>
      </c>
      <c r="X1896" s="43">
        <f>X1895+Учет!S1896-S1896</f>
        <v>500</v>
      </c>
      <c r="Y1896" s="43">
        <f>Y1895+Учет!T1896-T1896</f>
        <v>1150</v>
      </c>
      <c r="Z1896" s="43">
        <f>Z1895+Учет!U1896-U1896</f>
        <v>500000</v>
      </c>
      <c r="AA1896" s="45">
        <f>Учет!X1896</f>
        <v>500</v>
      </c>
    </row>
    <row r="1897" spans="1:27" ht="15" customHeight="1" x14ac:dyDescent="0.25">
      <c r="A1897" s="1"/>
      <c r="B1897" s="17"/>
      <c r="C1897" s="17"/>
      <c r="D1897" s="17"/>
      <c r="E1897" s="17"/>
      <c r="F1897" s="17"/>
      <c r="G1897" s="4">
        <f t="shared" si="84"/>
        <v>0</v>
      </c>
      <c r="H1897" s="17"/>
      <c r="I1897" s="4">
        <f t="shared" si="86"/>
        <v>349526.07999999996</v>
      </c>
      <c r="J1897" s="32" t="str">
        <f t="shared" si="85"/>
        <v/>
      </c>
      <c r="K1897" s="72"/>
      <c r="L1897" s="72"/>
      <c r="M1897" s="2"/>
      <c r="N1897" s="5"/>
      <c r="O1897" s="3"/>
      <c r="P1897" s="6"/>
      <c r="Q1897" s="48">
        <f>IF(Учет!$O1897=Справочники!$F$2,Учет!$H1897,0)</f>
        <v>0</v>
      </c>
      <c r="R1897" s="48">
        <f>IF(Учет!$O1897=Справочники!$F$3,Учет!$H1897,0)</f>
        <v>0</v>
      </c>
      <c r="S1897" s="48">
        <f>IF(Учет!$O1897=Справочники!$F$4,Учет!$H1897,0)</f>
        <v>0</v>
      </c>
      <c r="T1897" s="48">
        <f>IF(Учет!$O1897=Справочники!$F$5,Учет!$H1897,0)</f>
        <v>0</v>
      </c>
      <c r="U1897" s="48">
        <f>IF(Учет!$O1897=Справочники!$F$6,Учет!$H1897,0)</f>
        <v>0</v>
      </c>
      <c r="V1897" s="43">
        <f>V1896+Учет!Q1897-Q1897</f>
        <v>-488978.92000000004</v>
      </c>
      <c r="W1897" s="43">
        <f>W1896+Учет!R1897-R1897</f>
        <v>336855</v>
      </c>
      <c r="X1897" s="43">
        <f>X1896+Учет!S1897-S1897</f>
        <v>500</v>
      </c>
      <c r="Y1897" s="43">
        <f>Y1896+Учет!T1897-T1897</f>
        <v>1150</v>
      </c>
      <c r="Z1897" s="43">
        <f>Z1896+Учет!U1897-U1897</f>
        <v>500000</v>
      </c>
      <c r="AA1897" s="45">
        <f>Учет!X1897</f>
        <v>500</v>
      </c>
    </row>
    <row r="1898" spans="1:27" ht="15" customHeight="1" x14ac:dyDescent="0.25">
      <c r="A1898" s="1"/>
      <c r="B1898" s="17"/>
      <c r="C1898" s="17"/>
      <c r="D1898" s="17"/>
      <c r="E1898" s="17"/>
      <c r="F1898" s="17"/>
      <c r="G1898" s="4">
        <f t="shared" si="84"/>
        <v>0</v>
      </c>
      <c r="H1898" s="17"/>
      <c r="I1898" s="4">
        <f t="shared" si="86"/>
        <v>349526.07999999996</v>
      </c>
      <c r="J1898" s="32" t="str">
        <f t="shared" si="85"/>
        <v/>
      </c>
      <c r="K1898" s="72"/>
      <c r="L1898" s="72"/>
      <c r="M1898" s="2"/>
      <c r="N1898" s="5"/>
      <c r="O1898" s="3"/>
      <c r="P1898" s="6"/>
      <c r="Q1898" s="48">
        <f>IF(Учет!$O1898=Справочники!$F$2,Учет!$H1898,0)</f>
        <v>0</v>
      </c>
      <c r="R1898" s="48">
        <f>IF(Учет!$O1898=Справочники!$F$3,Учет!$H1898,0)</f>
        <v>0</v>
      </c>
      <c r="S1898" s="48">
        <f>IF(Учет!$O1898=Справочники!$F$4,Учет!$H1898,0)</f>
        <v>0</v>
      </c>
      <c r="T1898" s="48">
        <f>IF(Учет!$O1898=Справочники!$F$5,Учет!$H1898,0)</f>
        <v>0</v>
      </c>
      <c r="U1898" s="48">
        <f>IF(Учет!$O1898=Справочники!$F$6,Учет!$H1898,0)</f>
        <v>0</v>
      </c>
      <c r="V1898" s="43">
        <f>V1897+Учет!Q1898-Q1898</f>
        <v>-488978.92000000004</v>
      </c>
      <c r="W1898" s="43">
        <f>W1897+Учет!R1898-R1898</f>
        <v>336855</v>
      </c>
      <c r="X1898" s="43">
        <f>X1897+Учет!S1898-S1898</f>
        <v>500</v>
      </c>
      <c r="Y1898" s="43">
        <f>Y1897+Учет!T1898-T1898</f>
        <v>1150</v>
      </c>
      <c r="Z1898" s="43">
        <f>Z1897+Учет!U1898-U1898</f>
        <v>500000</v>
      </c>
      <c r="AA1898" s="45">
        <f>Учет!X1898</f>
        <v>500</v>
      </c>
    </row>
    <row r="1899" spans="1:27" ht="15" customHeight="1" x14ac:dyDescent="0.25">
      <c r="A1899" s="1"/>
      <c r="B1899" s="17"/>
      <c r="C1899" s="17"/>
      <c r="D1899" s="17"/>
      <c r="E1899" s="17"/>
      <c r="F1899" s="17"/>
      <c r="G1899" s="4">
        <f t="shared" si="84"/>
        <v>0</v>
      </c>
      <c r="H1899" s="17"/>
      <c r="I1899" s="4">
        <f t="shared" si="86"/>
        <v>349526.07999999996</v>
      </c>
      <c r="J1899" s="32" t="str">
        <f t="shared" si="85"/>
        <v/>
      </c>
      <c r="K1899" s="72"/>
      <c r="L1899" s="72"/>
      <c r="M1899" s="2"/>
      <c r="N1899" s="5"/>
      <c r="O1899" s="3"/>
      <c r="P1899" s="6"/>
      <c r="Q1899" s="48">
        <f>IF(Учет!$O1899=Справочники!$F$2,Учет!$H1899,0)</f>
        <v>0</v>
      </c>
      <c r="R1899" s="48">
        <f>IF(Учет!$O1899=Справочники!$F$3,Учет!$H1899,0)</f>
        <v>0</v>
      </c>
      <c r="S1899" s="48">
        <f>IF(Учет!$O1899=Справочники!$F$4,Учет!$H1899,0)</f>
        <v>0</v>
      </c>
      <c r="T1899" s="48">
        <f>IF(Учет!$O1899=Справочники!$F$5,Учет!$H1899,0)</f>
        <v>0</v>
      </c>
      <c r="U1899" s="48">
        <f>IF(Учет!$O1899=Справочники!$F$6,Учет!$H1899,0)</f>
        <v>0</v>
      </c>
      <c r="V1899" s="43">
        <f>V1898+Учет!Q1899-Q1899</f>
        <v>-488978.92000000004</v>
      </c>
      <c r="W1899" s="43">
        <f>W1898+Учет!R1899-R1899</f>
        <v>336855</v>
      </c>
      <c r="X1899" s="43">
        <f>X1898+Учет!S1899-S1899</f>
        <v>500</v>
      </c>
      <c r="Y1899" s="43">
        <f>Y1898+Учет!T1899-T1899</f>
        <v>1150</v>
      </c>
      <c r="Z1899" s="43">
        <f>Z1898+Учет!U1899-U1899</f>
        <v>500000</v>
      </c>
      <c r="AA1899" s="45">
        <f>Учет!X1899</f>
        <v>500</v>
      </c>
    </row>
    <row r="1900" spans="1:27" ht="15" customHeight="1" x14ac:dyDescent="0.25">
      <c r="A1900" s="1"/>
      <c r="B1900" s="17"/>
      <c r="C1900" s="17"/>
      <c r="D1900" s="17"/>
      <c r="E1900" s="17"/>
      <c r="F1900" s="17"/>
      <c r="G1900" s="4">
        <f t="shared" si="84"/>
        <v>0</v>
      </c>
      <c r="H1900" s="17"/>
      <c r="I1900" s="4">
        <f t="shared" si="86"/>
        <v>349526.07999999996</v>
      </c>
      <c r="J1900" s="32" t="str">
        <f t="shared" si="85"/>
        <v/>
      </c>
      <c r="K1900" s="72"/>
      <c r="L1900" s="72"/>
      <c r="M1900" s="2"/>
      <c r="N1900" s="5"/>
      <c r="O1900" s="3"/>
      <c r="P1900" s="6"/>
      <c r="Q1900" s="48">
        <f>IF(Учет!$O1900=Справочники!$F$2,Учет!$H1900,0)</f>
        <v>0</v>
      </c>
      <c r="R1900" s="48">
        <f>IF(Учет!$O1900=Справочники!$F$3,Учет!$H1900,0)</f>
        <v>0</v>
      </c>
      <c r="S1900" s="48">
        <f>IF(Учет!$O1900=Справочники!$F$4,Учет!$H1900,0)</f>
        <v>0</v>
      </c>
      <c r="T1900" s="48">
        <f>IF(Учет!$O1900=Справочники!$F$5,Учет!$H1900,0)</f>
        <v>0</v>
      </c>
      <c r="U1900" s="48">
        <f>IF(Учет!$O1900=Справочники!$F$6,Учет!$H1900,0)</f>
        <v>0</v>
      </c>
      <c r="V1900" s="43">
        <f>V1899+Учет!Q1900-Q1900</f>
        <v>-488978.92000000004</v>
      </c>
      <c r="W1900" s="43">
        <f>W1899+Учет!R1900-R1900</f>
        <v>336855</v>
      </c>
      <c r="X1900" s="43">
        <f>X1899+Учет!S1900-S1900</f>
        <v>500</v>
      </c>
      <c r="Y1900" s="43">
        <f>Y1899+Учет!T1900-T1900</f>
        <v>1150</v>
      </c>
      <c r="Z1900" s="43">
        <f>Z1899+Учет!U1900-U1900</f>
        <v>500000</v>
      </c>
      <c r="AA1900" s="45">
        <f>Учет!X1900</f>
        <v>500</v>
      </c>
    </row>
    <row r="1901" spans="1:27" ht="15" customHeight="1" x14ac:dyDescent="0.25">
      <c r="A1901" s="1"/>
      <c r="B1901" s="17"/>
      <c r="C1901" s="17"/>
      <c r="D1901" s="17"/>
      <c r="E1901" s="17"/>
      <c r="F1901" s="17"/>
      <c r="G1901" s="4">
        <f t="shared" si="84"/>
        <v>0</v>
      </c>
      <c r="H1901" s="17"/>
      <c r="I1901" s="4">
        <f t="shared" si="86"/>
        <v>349526.07999999996</v>
      </c>
      <c r="J1901" s="32" t="str">
        <f t="shared" si="85"/>
        <v/>
      </c>
      <c r="K1901" s="72"/>
      <c r="L1901" s="72"/>
      <c r="M1901" s="2"/>
      <c r="N1901" s="5"/>
      <c r="O1901" s="3"/>
      <c r="P1901" s="6"/>
      <c r="Q1901" s="48">
        <f>IF(Учет!$O1901=Справочники!$F$2,Учет!$H1901,0)</f>
        <v>0</v>
      </c>
      <c r="R1901" s="48">
        <f>IF(Учет!$O1901=Справочники!$F$3,Учет!$H1901,0)</f>
        <v>0</v>
      </c>
      <c r="S1901" s="48">
        <f>IF(Учет!$O1901=Справочники!$F$4,Учет!$H1901,0)</f>
        <v>0</v>
      </c>
      <c r="T1901" s="48">
        <f>IF(Учет!$O1901=Справочники!$F$5,Учет!$H1901,0)</f>
        <v>0</v>
      </c>
      <c r="U1901" s="48">
        <f>IF(Учет!$O1901=Справочники!$F$6,Учет!$H1901,0)</f>
        <v>0</v>
      </c>
      <c r="V1901" s="43">
        <f>V1900+Учет!Q1901-Q1901</f>
        <v>-488978.92000000004</v>
      </c>
      <c r="W1901" s="43">
        <f>W1900+Учет!R1901-R1901</f>
        <v>336855</v>
      </c>
      <c r="X1901" s="43">
        <f>X1900+Учет!S1901-S1901</f>
        <v>500</v>
      </c>
      <c r="Y1901" s="43">
        <f>Y1900+Учет!T1901-T1901</f>
        <v>1150</v>
      </c>
      <c r="Z1901" s="43">
        <f>Z1900+Учет!U1901-U1901</f>
        <v>500000</v>
      </c>
      <c r="AA1901" s="45">
        <f>Учет!X1901</f>
        <v>500</v>
      </c>
    </row>
    <row r="1902" spans="1:27" ht="15" customHeight="1" x14ac:dyDescent="0.25">
      <c r="A1902" s="1"/>
      <c r="B1902" s="17"/>
      <c r="C1902" s="17"/>
      <c r="D1902" s="17"/>
      <c r="E1902" s="17"/>
      <c r="F1902" s="17"/>
      <c r="G1902" s="4">
        <f t="shared" si="84"/>
        <v>0</v>
      </c>
      <c r="H1902" s="17"/>
      <c r="I1902" s="4">
        <f t="shared" si="86"/>
        <v>349526.07999999996</v>
      </c>
      <c r="J1902" s="32" t="str">
        <f t="shared" si="85"/>
        <v/>
      </c>
      <c r="K1902" s="72"/>
      <c r="L1902" s="72"/>
      <c r="M1902" s="2"/>
      <c r="N1902" s="5"/>
      <c r="O1902" s="3"/>
      <c r="P1902" s="6"/>
      <c r="Q1902" s="48">
        <f>IF(Учет!$O1902=Справочники!$F$2,Учет!$H1902,0)</f>
        <v>0</v>
      </c>
      <c r="R1902" s="48">
        <f>IF(Учет!$O1902=Справочники!$F$3,Учет!$H1902,0)</f>
        <v>0</v>
      </c>
      <c r="S1902" s="48">
        <f>IF(Учет!$O1902=Справочники!$F$4,Учет!$H1902,0)</f>
        <v>0</v>
      </c>
      <c r="T1902" s="48">
        <f>IF(Учет!$O1902=Справочники!$F$5,Учет!$H1902,0)</f>
        <v>0</v>
      </c>
      <c r="U1902" s="48">
        <f>IF(Учет!$O1902=Справочники!$F$6,Учет!$H1902,0)</f>
        <v>0</v>
      </c>
      <c r="V1902" s="43">
        <f>V1901+Учет!Q1902-Q1902</f>
        <v>-488978.92000000004</v>
      </c>
      <c r="W1902" s="43">
        <f>W1901+Учет!R1902-R1902</f>
        <v>336855</v>
      </c>
      <c r="X1902" s="43">
        <f>X1901+Учет!S1902-S1902</f>
        <v>500</v>
      </c>
      <c r="Y1902" s="43">
        <f>Y1901+Учет!T1902-T1902</f>
        <v>1150</v>
      </c>
      <c r="Z1902" s="43">
        <f>Z1901+Учет!U1902-U1902</f>
        <v>500000</v>
      </c>
      <c r="AA1902" s="45">
        <f>Учет!X1902</f>
        <v>500</v>
      </c>
    </row>
    <row r="1903" spans="1:27" ht="15" customHeight="1" x14ac:dyDescent="0.25">
      <c r="A1903" s="1"/>
      <c r="B1903" s="17"/>
      <c r="C1903" s="17"/>
      <c r="D1903" s="17"/>
      <c r="E1903" s="17"/>
      <c r="F1903" s="17"/>
      <c r="G1903" s="4">
        <f t="shared" si="84"/>
        <v>0</v>
      </c>
      <c r="H1903" s="17"/>
      <c r="I1903" s="4">
        <f t="shared" si="86"/>
        <v>349526.07999999996</v>
      </c>
      <c r="J1903" s="32" t="str">
        <f t="shared" si="85"/>
        <v/>
      </c>
      <c r="K1903" s="72"/>
      <c r="L1903" s="72"/>
      <c r="M1903" s="2"/>
      <c r="N1903" s="5"/>
      <c r="O1903" s="3"/>
      <c r="P1903" s="6"/>
      <c r="Q1903" s="48">
        <f>IF(Учет!$O1903=Справочники!$F$2,Учет!$H1903,0)</f>
        <v>0</v>
      </c>
      <c r="R1903" s="48">
        <f>IF(Учет!$O1903=Справочники!$F$3,Учет!$H1903,0)</f>
        <v>0</v>
      </c>
      <c r="S1903" s="48">
        <f>IF(Учет!$O1903=Справочники!$F$4,Учет!$H1903,0)</f>
        <v>0</v>
      </c>
      <c r="T1903" s="48">
        <f>IF(Учет!$O1903=Справочники!$F$5,Учет!$H1903,0)</f>
        <v>0</v>
      </c>
      <c r="U1903" s="48">
        <f>IF(Учет!$O1903=Справочники!$F$6,Учет!$H1903,0)</f>
        <v>0</v>
      </c>
      <c r="V1903" s="43">
        <f>V1902+Учет!Q1903-Q1903</f>
        <v>-488978.92000000004</v>
      </c>
      <c r="W1903" s="43">
        <f>W1902+Учет!R1903-R1903</f>
        <v>336855</v>
      </c>
      <c r="X1903" s="43">
        <f>X1902+Учет!S1903-S1903</f>
        <v>500</v>
      </c>
      <c r="Y1903" s="43">
        <f>Y1902+Учет!T1903-T1903</f>
        <v>1150</v>
      </c>
      <c r="Z1903" s="43">
        <f>Z1902+Учет!U1903-U1903</f>
        <v>500000</v>
      </c>
      <c r="AA1903" s="45">
        <f>Учет!X1903</f>
        <v>500</v>
      </c>
    </row>
    <row r="1904" spans="1:27" ht="15" customHeight="1" x14ac:dyDescent="0.25">
      <c r="A1904" s="1"/>
      <c r="B1904" s="17"/>
      <c r="C1904" s="17"/>
      <c r="D1904" s="17"/>
      <c r="E1904" s="17"/>
      <c r="F1904" s="17"/>
      <c r="G1904" s="4">
        <f t="shared" si="84"/>
        <v>0</v>
      </c>
      <c r="H1904" s="17"/>
      <c r="I1904" s="4">
        <f t="shared" si="86"/>
        <v>349526.07999999996</v>
      </c>
      <c r="J1904" s="32" t="str">
        <f t="shared" si="85"/>
        <v/>
      </c>
      <c r="K1904" s="72"/>
      <c r="L1904" s="72"/>
      <c r="M1904" s="2"/>
      <c r="N1904" s="5"/>
      <c r="O1904" s="3"/>
      <c r="P1904" s="6"/>
      <c r="Q1904" s="48">
        <f>IF(Учет!$O1904=Справочники!$F$2,Учет!$H1904,0)</f>
        <v>0</v>
      </c>
      <c r="R1904" s="48">
        <f>IF(Учет!$O1904=Справочники!$F$3,Учет!$H1904,0)</f>
        <v>0</v>
      </c>
      <c r="S1904" s="48">
        <f>IF(Учет!$O1904=Справочники!$F$4,Учет!$H1904,0)</f>
        <v>0</v>
      </c>
      <c r="T1904" s="48">
        <f>IF(Учет!$O1904=Справочники!$F$5,Учет!$H1904,0)</f>
        <v>0</v>
      </c>
      <c r="U1904" s="48">
        <f>IF(Учет!$O1904=Справочники!$F$6,Учет!$H1904,0)</f>
        <v>0</v>
      </c>
      <c r="V1904" s="43">
        <f>V1903+Учет!Q1904-Q1904</f>
        <v>-488978.92000000004</v>
      </c>
      <c r="W1904" s="43">
        <f>W1903+Учет!R1904-R1904</f>
        <v>336855</v>
      </c>
      <c r="X1904" s="43">
        <f>X1903+Учет!S1904-S1904</f>
        <v>500</v>
      </c>
      <c r="Y1904" s="43">
        <f>Y1903+Учет!T1904-T1904</f>
        <v>1150</v>
      </c>
      <c r="Z1904" s="43">
        <f>Z1903+Учет!U1904-U1904</f>
        <v>500000</v>
      </c>
      <c r="AA1904" s="45">
        <f>Учет!X1904</f>
        <v>500</v>
      </c>
    </row>
    <row r="1905" spans="1:27" ht="15" customHeight="1" x14ac:dyDescent="0.25">
      <c r="A1905" s="1"/>
      <c r="B1905" s="17"/>
      <c r="C1905" s="17"/>
      <c r="D1905" s="17"/>
      <c r="E1905" s="17"/>
      <c r="F1905" s="17"/>
      <c r="G1905" s="4">
        <f t="shared" si="84"/>
        <v>0</v>
      </c>
      <c r="H1905" s="17"/>
      <c r="I1905" s="4">
        <f t="shared" si="86"/>
        <v>349526.07999999996</v>
      </c>
      <c r="J1905" s="32" t="str">
        <f t="shared" si="85"/>
        <v/>
      </c>
      <c r="K1905" s="72"/>
      <c r="L1905" s="72"/>
      <c r="M1905" s="2"/>
      <c r="N1905" s="5"/>
      <c r="O1905" s="3"/>
      <c r="P1905" s="6"/>
      <c r="Q1905" s="48">
        <f>IF(Учет!$O1905=Справочники!$F$2,Учет!$H1905,0)</f>
        <v>0</v>
      </c>
      <c r="R1905" s="48">
        <f>IF(Учет!$O1905=Справочники!$F$3,Учет!$H1905,0)</f>
        <v>0</v>
      </c>
      <c r="S1905" s="48">
        <f>IF(Учет!$O1905=Справочники!$F$4,Учет!$H1905,0)</f>
        <v>0</v>
      </c>
      <c r="T1905" s="48">
        <f>IF(Учет!$O1905=Справочники!$F$5,Учет!$H1905,0)</f>
        <v>0</v>
      </c>
      <c r="U1905" s="48">
        <f>IF(Учет!$O1905=Справочники!$F$6,Учет!$H1905,0)</f>
        <v>0</v>
      </c>
      <c r="V1905" s="43">
        <f>V1904+Учет!Q1905-Q1905</f>
        <v>-488978.92000000004</v>
      </c>
      <c r="W1905" s="43">
        <f>W1904+Учет!R1905-R1905</f>
        <v>336855</v>
      </c>
      <c r="X1905" s="43">
        <f>X1904+Учет!S1905-S1905</f>
        <v>500</v>
      </c>
      <c r="Y1905" s="43">
        <f>Y1904+Учет!T1905-T1905</f>
        <v>1150</v>
      </c>
      <c r="Z1905" s="43">
        <f>Z1904+Учет!U1905-U1905</f>
        <v>500000</v>
      </c>
      <c r="AA1905" s="45">
        <f>Учет!X1905</f>
        <v>500</v>
      </c>
    </row>
    <row r="1906" spans="1:27" ht="15" customHeight="1" x14ac:dyDescent="0.25">
      <c r="A1906" s="1"/>
      <c r="B1906" s="17"/>
      <c r="C1906" s="17"/>
      <c r="D1906" s="17"/>
      <c r="E1906" s="17"/>
      <c r="F1906" s="17"/>
      <c r="G1906" s="4">
        <f t="shared" si="84"/>
        <v>0</v>
      </c>
      <c r="H1906" s="17"/>
      <c r="I1906" s="4">
        <f t="shared" si="86"/>
        <v>349526.07999999996</v>
      </c>
      <c r="J1906" s="32" t="str">
        <f t="shared" si="85"/>
        <v/>
      </c>
      <c r="K1906" s="72"/>
      <c r="L1906" s="72"/>
      <c r="M1906" s="2"/>
      <c r="N1906" s="5"/>
      <c r="O1906" s="3"/>
      <c r="P1906" s="6"/>
      <c r="Q1906" s="48">
        <f>IF(Учет!$O1906=Справочники!$F$2,Учет!$H1906,0)</f>
        <v>0</v>
      </c>
      <c r="R1906" s="48">
        <f>IF(Учет!$O1906=Справочники!$F$3,Учет!$H1906,0)</f>
        <v>0</v>
      </c>
      <c r="S1906" s="48">
        <f>IF(Учет!$O1906=Справочники!$F$4,Учет!$H1906,0)</f>
        <v>0</v>
      </c>
      <c r="T1906" s="48">
        <f>IF(Учет!$O1906=Справочники!$F$5,Учет!$H1906,0)</f>
        <v>0</v>
      </c>
      <c r="U1906" s="48">
        <f>IF(Учет!$O1906=Справочники!$F$6,Учет!$H1906,0)</f>
        <v>0</v>
      </c>
      <c r="V1906" s="43">
        <f>V1905+Учет!Q1906-Q1906</f>
        <v>-488978.92000000004</v>
      </c>
      <c r="W1906" s="43">
        <f>W1905+Учет!R1906-R1906</f>
        <v>336855</v>
      </c>
      <c r="X1906" s="43">
        <f>X1905+Учет!S1906-S1906</f>
        <v>500</v>
      </c>
      <c r="Y1906" s="43">
        <f>Y1905+Учет!T1906-T1906</f>
        <v>1150</v>
      </c>
      <c r="Z1906" s="43">
        <f>Z1905+Учет!U1906-U1906</f>
        <v>500000</v>
      </c>
      <c r="AA1906" s="45">
        <f>Учет!X1906</f>
        <v>500</v>
      </c>
    </row>
    <row r="1907" spans="1:27" ht="15" customHeight="1" x14ac:dyDescent="0.25">
      <c r="A1907" s="1"/>
      <c r="B1907" s="17"/>
      <c r="C1907" s="17"/>
      <c r="D1907" s="17"/>
      <c r="E1907" s="17"/>
      <c r="F1907" s="17"/>
      <c r="G1907" s="4">
        <f t="shared" si="84"/>
        <v>0</v>
      </c>
      <c r="H1907" s="17"/>
      <c r="I1907" s="4">
        <f t="shared" si="86"/>
        <v>349526.07999999996</v>
      </c>
      <c r="J1907" s="32" t="str">
        <f t="shared" si="85"/>
        <v/>
      </c>
      <c r="K1907" s="72"/>
      <c r="L1907" s="72"/>
      <c r="M1907" s="2"/>
      <c r="N1907" s="5"/>
      <c r="O1907" s="3"/>
      <c r="P1907" s="6"/>
      <c r="Q1907" s="48">
        <f>IF(Учет!$O1907=Справочники!$F$2,Учет!$H1907,0)</f>
        <v>0</v>
      </c>
      <c r="R1907" s="48">
        <f>IF(Учет!$O1907=Справочники!$F$3,Учет!$H1907,0)</f>
        <v>0</v>
      </c>
      <c r="S1907" s="48">
        <f>IF(Учет!$O1907=Справочники!$F$4,Учет!$H1907,0)</f>
        <v>0</v>
      </c>
      <c r="T1907" s="48">
        <f>IF(Учет!$O1907=Справочники!$F$5,Учет!$H1907,0)</f>
        <v>0</v>
      </c>
      <c r="U1907" s="48">
        <f>IF(Учет!$O1907=Справочники!$F$6,Учет!$H1907,0)</f>
        <v>0</v>
      </c>
      <c r="V1907" s="43">
        <f>V1906+Учет!Q1907-Q1907</f>
        <v>-488978.92000000004</v>
      </c>
      <c r="W1907" s="43">
        <f>W1906+Учет!R1907-R1907</f>
        <v>336855</v>
      </c>
      <c r="X1907" s="43">
        <f>X1906+Учет!S1907-S1907</f>
        <v>500</v>
      </c>
      <c r="Y1907" s="43">
        <f>Y1906+Учет!T1907-T1907</f>
        <v>1150</v>
      </c>
      <c r="Z1907" s="43">
        <f>Z1906+Учет!U1907-U1907</f>
        <v>500000</v>
      </c>
      <c r="AA1907" s="45">
        <f>Учет!X1907</f>
        <v>500</v>
      </c>
    </row>
    <row r="1908" spans="1:27" ht="15" customHeight="1" x14ac:dyDescent="0.25">
      <c r="A1908" s="1"/>
      <c r="B1908" s="17"/>
      <c r="C1908" s="17"/>
      <c r="D1908" s="17"/>
      <c r="E1908" s="17"/>
      <c r="F1908" s="17"/>
      <c r="G1908" s="4">
        <f t="shared" si="84"/>
        <v>0</v>
      </c>
      <c r="H1908" s="17"/>
      <c r="I1908" s="4">
        <f t="shared" si="86"/>
        <v>349526.07999999996</v>
      </c>
      <c r="J1908" s="32" t="str">
        <f t="shared" si="85"/>
        <v/>
      </c>
      <c r="K1908" s="72"/>
      <c r="L1908" s="72"/>
      <c r="M1908" s="2"/>
      <c r="N1908" s="5"/>
      <c r="O1908" s="3"/>
      <c r="P1908" s="6"/>
      <c r="Q1908" s="48">
        <f>IF(Учет!$O1908=Справочники!$F$2,Учет!$H1908,0)</f>
        <v>0</v>
      </c>
      <c r="R1908" s="48">
        <f>IF(Учет!$O1908=Справочники!$F$3,Учет!$H1908,0)</f>
        <v>0</v>
      </c>
      <c r="S1908" s="48">
        <f>IF(Учет!$O1908=Справочники!$F$4,Учет!$H1908,0)</f>
        <v>0</v>
      </c>
      <c r="T1908" s="48">
        <f>IF(Учет!$O1908=Справочники!$F$5,Учет!$H1908,0)</f>
        <v>0</v>
      </c>
      <c r="U1908" s="48">
        <f>IF(Учет!$O1908=Справочники!$F$6,Учет!$H1908,0)</f>
        <v>0</v>
      </c>
      <c r="V1908" s="43">
        <f>V1907+Учет!Q1908-Q1908</f>
        <v>-488978.92000000004</v>
      </c>
      <c r="W1908" s="43">
        <f>W1907+Учет!R1908-R1908</f>
        <v>336855</v>
      </c>
      <c r="X1908" s="43">
        <f>X1907+Учет!S1908-S1908</f>
        <v>500</v>
      </c>
      <c r="Y1908" s="43">
        <f>Y1907+Учет!T1908-T1908</f>
        <v>1150</v>
      </c>
      <c r="Z1908" s="43">
        <f>Z1907+Учет!U1908-U1908</f>
        <v>500000</v>
      </c>
      <c r="AA1908" s="45">
        <f>Учет!X1908</f>
        <v>500</v>
      </c>
    </row>
    <row r="1909" spans="1:27" ht="15" customHeight="1" x14ac:dyDescent="0.25">
      <c r="A1909" s="1"/>
      <c r="B1909" s="17"/>
      <c r="C1909" s="17"/>
      <c r="D1909" s="17"/>
      <c r="E1909" s="17"/>
      <c r="F1909" s="17"/>
      <c r="G1909" s="4">
        <f t="shared" si="84"/>
        <v>0</v>
      </c>
      <c r="H1909" s="17"/>
      <c r="I1909" s="4">
        <f t="shared" si="86"/>
        <v>349526.07999999996</v>
      </c>
      <c r="J1909" s="32" t="str">
        <f t="shared" si="85"/>
        <v/>
      </c>
      <c r="K1909" s="72"/>
      <c r="L1909" s="72"/>
      <c r="M1909" s="2"/>
      <c r="N1909" s="5"/>
      <c r="O1909" s="3"/>
      <c r="P1909" s="6"/>
      <c r="Q1909" s="48">
        <f>IF(Учет!$O1909=Справочники!$F$2,Учет!$H1909,0)</f>
        <v>0</v>
      </c>
      <c r="R1909" s="48">
        <f>IF(Учет!$O1909=Справочники!$F$3,Учет!$H1909,0)</f>
        <v>0</v>
      </c>
      <c r="S1909" s="48">
        <f>IF(Учет!$O1909=Справочники!$F$4,Учет!$H1909,0)</f>
        <v>0</v>
      </c>
      <c r="T1909" s="48">
        <f>IF(Учет!$O1909=Справочники!$F$5,Учет!$H1909,0)</f>
        <v>0</v>
      </c>
      <c r="U1909" s="48">
        <f>IF(Учет!$O1909=Справочники!$F$6,Учет!$H1909,0)</f>
        <v>0</v>
      </c>
      <c r="V1909" s="43">
        <f>V1908+Учет!Q1909-Q1909</f>
        <v>-488978.92000000004</v>
      </c>
      <c r="W1909" s="43">
        <f>W1908+Учет!R1909-R1909</f>
        <v>336855</v>
      </c>
      <c r="X1909" s="43">
        <f>X1908+Учет!S1909-S1909</f>
        <v>500</v>
      </c>
      <c r="Y1909" s="43">
        <f>Y1908+Учет!T1909-T1909</f>
        <v>1150</v>
      </c>
      <c r="Z1909" s="43">
        <f>Z1908+Учет!U1909-U1909</f>
        <v>500000</v>
      </c>
      <c r="AA1909" s="45">
        <f>Учет!X1909</f>
        <v>500</v>
      </c>
    </row>
    <row r="1910" spans="1:27" ht="15" customHeight="1" x14ac:dyDescent="0.25">
      <c r="A1910" s="1"/>
      <c r="B1910" s="17"/>
      <c r="C1910" s="17"/>
      <c r="D1910" s="17"/>
      <c r="E1910" s="17"/>
      <c r="F1910" s="17"/>
      <c r="G1910" s="4">
        <f t="shared" si="84"/>
        <v>0</v>
      </c>
      <c r="H1910" s="17"/>
      <c r="I1910" s="4">
        <f t="shared" si="86"/>
        <v>349526.07999999996</v>
      </c>
      <c r="J1910" s="32" t="str">
        <f t="shared" si="85"/>
        <v/>
      </c>
      <c r="K1910" s="72"/>
      <c r="L1910" s="72"/>
      <c r="M1910" s="2"/>
      <c r="N1910" s="5"/>
      <c r="O1910" s="3"/>
      <c r="P1910" s="6"/>
      <c r="Q1910" s="48">
        <f>IF(Учет!$O1910=Справочники!$F$2,Учет!$H1910,0)</f>
        <v>0</v>
      </c>
      <c r="R1910" s="48">
        <f>IF(Учет!$O1910=Справочники!$F$3,Учет!$H1910,0)</f>
        <v>0</v>
      </c>
      <c r="S1910" s="48">
        <f>IF(Учет!$O1910=Справочники!$F$4,Учет!$H1910,0)</f>
        <v>0</v>
      </c>
      <c r="T1910" s="48">
        <f>IF(Учет!$O1910=Справочники!$F$5,Учет!$H1910,0)</f>
        <v>0</v>
      </c>
      <c r="U1910" s="48">
        <f>IF(Учет!$O1910=Справочники!$F$6,Учет!$H1910,0)</f>
        <v>0</v>
      </c>
      <c r="V1910" s="43">
        <f>V1909+Учет!Q1910-Q1910</f>
        <v>-488978.92000000004</v>
      </c>
      <c r="W1910" s="43">
        <f>W1909+Учет!R1910-R1910</f>
        <v>336855</v>
      </c>
      <c r="X1910" s="43">
        <f>X1909+Учет!S1910-S1910</f>
        <v>500</v>
      </c>
      <c r="Y1910" s="43">
        <f>Y1909+Учет!T1910-T1910</f>
        <v>1150</v>
      </c>
      <c r="Z1910" s="43">
        <f>Z1909+Учет!U1910-U1910</f>
        <v>500000</v>
      </c>
      <c r="AA1910" s="45">
        <f>Учет!X1910</f>
        <v>500</v>
      </c>
    </row>
    <row r="1911" spans="1:27" ht="15" customHeight="1" x14ac:dyDescent="0.25">
      <c r="A1911" s="1"/>
      <c r="B1911" s="17"/>
      <c r="C1911" s="17"/>
      <c r="D1911" s="17"/>
      <c r="E1911" s="17"/>
      <c r="F1911" s="17"/>
      <c r="G1911" s="4">
        <f t="shared" si="84"/>
        <v>0</v>
      </c>
      <c r="H1911" s="17"/>
      <c r="I1911" s="4">
        <f t="shared" si="86"/>
        <v>349526.07999999996</v>
      </c>
      <c r="J1911" s="32" t="str">
        <f t="shared" si="85"/>
        <v/>
      </c>
      <c r="K1911" s="72"/>
      <c r="L1911" s="72"/>
      <c r="M1911" s="2"/>
      <c r="N1911" s="5"/>
      <c r="O1911" s="3"/>
      <c r="P1911" s="6"/>
      <c r="Q1911" s="48">
        <f>IF(Учет!$O1911=Справочники!$F$2,Учет!$H1911,0)</f>
        <v>0</v>
      </c>
      <c r="R1911" s="48">
        <f>IF(Учет!$O1911=Справочники!$F$3,Учет!$H1911,0)</f>
        <v>0</v>
      </c>
      <c r="S1911" s="48">
        <f>IF(Учет!$O1911=Справочники!$F$4,Учет!$H1911,0)</f>
        <v>0</v>
      </c>
      <c r="T1911" s="48">
        <f>IF(Учет!$O1911=Справочники!$F$5,Учет!$H1911,0)</f>
        <v>0</v>
      </c>
      <c r="U1911" s="48">
        <f>IF(Учет!$O1911=Справочники!$F$6,Учет!$H1911,0)</f>
        <v>0</v>
      </c>
      <c r="V1911" s="43">
        <f>V1910+Учет!Q1911-Q1911</f>
        <v>-488978.92000000004</v>
      </c>
      <c r="W1911" s="43">
        <f>W1910+Учет!R1911-R1911</f>
        <v>336855</v>
      </c>
      <c r="X1911" s="43">
        <f>X1910+Учет!S1911-S1911</f>
        <v>500</v>
      </c>
      <c r="Y1911" s="43">
        <f>Y1910+Учет!T1911-T1911</f>
        <v>1150</v>
      </c>
      <c r="Z1911" s="43">
        <f>Z1910+Учет!U1911-U1911</f>
        <v>500000</v>
      </c>
      <c r="AA1911" s="45">
        <f>Учет!X1911</f>
        <v>500</v>
      </c>
    </row>
    <row r="1912" spans="1:27" ht="15" customHeight="1" x14ac:dyDescent="0.25">
      <c r="A1912" s="1"/>
      <c r="B1912" s="17"/>
      <c r="C1912" s="17"/>
      <c r="D1912" s="17"/>
      <c r="E1912" s="17"/>
      <c r="F1912" s="17"/>
      <c r="G1912" s="4">
        <f t="shared" si="84"/>
        <v>0</v>
      </c>
      <c r="H1912" s="17"/>
      <c r="I1912" s="4">
        <f t="shared" si="86"/>
        <v>349526.07999999996</v>
      </c>
      <c r="J1912" s="32" t="str">
        <f t="shared" si="85"/>
        <v/>
      </c>
      <c r="K1912" s="72"/>
      <c r="L1912" s="72"/>
      <c r="M1912" s="2"/>
      <c r="N1912" s="5"/>
      <c r="O1912" s="3"/>
      <c r="P1912" s="6"/>
      <c r="Q1912" s="48">
        <f>IF(Учет!$O1912=Справочники!$F$2,Учет!$H1912,0)</f>
        <v>0</v>
      </c>
      <c r="R1912" s="48">
        <f>IF(Учет!$O1912=Справочники!$F$3,Учет!$H1912,0)</f>
        <v>0</v>
      </c>
      <c r="S1912" s="48">
        <f>IF(Учет!$O1912=Справочники!$F$4,Учет!$H1912,0)</f>
        <v>0</v>
      </c>
      <c r="T1912" s="48">
        <f>IF(Учет!$O1912=Справочники!$F$5,Учет!$H1912,0)</f>
        <v>0</v>
      </c>
      <c r="U1912" s="48">
        <f>IF(Учет!$O1912=Справочники!$F$6,Учет!$H1912,0)</f>
        <v>0</v>
      </c>
      <c r="V1912" s="43">
        <f>V1911+Учет!Q1912-Q1912</f>
        <v>-488978.92000000004</v>
      </c>
      <c r="W1912" s="43">
        <f>W1911+Учет!R1912-R1912</f>
        <v>336855</v>
      </c>
      <c r="X1912" s="43">
        <f>X1911+Учет!S1912-S1912</f>
        <v>500</v>
      </c>
      <c r="Y1912" s="43">
        <f>Y1911+Учет!T1912-T1912</f>
        <v>1150</v>
      </c>
      <c r="Z1912" s="43">
        <f>Z1911+Учет!U1912-U1912</f>
        <v>500000</v>
      </c>
      <c r="AA1912" s="45">
        <f>Учет!X1912</f>
        <v>500</v>
      </c>
    </row>
    <row r="1913" spans="1:27" ht="15" customHeight="1" x14ac:dyDescent="0.25">
      <c r="A1913" s="1"/>
      <c r="B1913" s="17"/>
      <c r="C1913" s="17"/>
      <c r="D1913" s="17"/>
      <c r="E1913" s="17"/>
      <c r="F1913" s="17"/>
      <c r="G1913" s="4">
        <f t="shared" si="84"/>
        <v>0</v>
      </c>
      <c r="H1913" s="17"/>
      <c r="I1913" s="4">
        <f t="shared" si="86"/>
        <v>349526.07999999996</v>
      </c>
      <c r="J1913" s="32" t="str">
        <f t="shared" si="85"/>
        <v/>
      </c>
      <c r="K1913" s="72"/>
      <c r="L1913" s="72"/>
      <c r="M1913" s="2"/>
      <c r="N1913" s="5"/>
      <c r="O1913" s="3"/>
      <c r="P1913" s="6"/>
      <c r="Q1913" s="48">
        <f>IF(Учет!$O1913=Справочники!$F$2,Учет!$H1913,0)</f>
        <v>0</v>
      </c>
      <c r="R1913" s="48">
        <f>IF(Учет!$O1913=Справочники!$F$3,Учет!$H1913,0)</f>
        <v>0</v>
      </c>
      <c r="S1913" s="48">
        <f>IF(Учет!$O1913=Справочники!$F$4,Учет!$H1913,0)</f>
        <v>0</v>
      </c>
      <c r="T1913" s="48">
        <f>IF(Учет!$O1913=Справочники!$F$5,Учет!$H1913,0)</f>
        <v>0</v>
      </c>
      <c r="U1913" s="48">
        <f>IF(Учет!$O1913=Справочники!$F$6,Учет!$H1913,0)</f>
        <v>0</v>
      </c>
      <c r="V1913" s="43">
        <f>V1912+Учет!Q1913-Q1913</f>
        <v>-488978.92000000004</v>
      </c>
      <c r="W1913" s="43">
        <f>W1912+Учет!R1913-R1913</f>
        <v>336855</v>
      </c>
      <c r="X1913" s="43">
        <f>X1912+Учет!S1913-S1913</f>
        <v>500</v>
      </c>
      <c r="Y1913" s="43">
        <f>Y1912+Учет!T1913-T1913</f>
        <v>1150</v>
      </c>
      <c r="Z1913" s="43">
        <f>Z1912+Учет!U1913-U1913</f>
        <v>500000</v>
      </c>
      <c r="AA1913" s="45">
        <f>Учет!X1913</f>
        <v>500</v>
      </c>
    </row>
    <row r="1914" spans="1:27" ht="15" customHeight="1" x14ac:dyDescent="0.25">
      <c r="A1914" s="1"/>
      <c r="B1914" s="17"/>
      <c r="C1914" s="17"/>
      <c r="D1914" s="17"/>
      <c r="E1914" s="17"/>
      <c r="F1914" s="17"/>
      <c r="G1914" s="4">
        <f t="shared" si="84"/>
        <v>0</v>
      </c>
      <c r="H1914" s="17"/>
      <c r="I1914" s="4">
        <f t="shared" si="86"/>
        <v>349526.07999999996</v>
      </c>
      <c r="J1914" s="32" t="str">
        <f t="shared" si="85"/>
        <v/>
      </c>
      <c r="K1914" s="72"/>
      <c r="L1914" s="72"/>
      <c r="M1914" s="2"/>
      <c r="N1914" s="5"/>
      <c r="O1914" s="3"/>
      <c r="P1914" s="6"/>
      <c r="Q1914" s="48">
        <f>IF(Учет!$O1914=Справочники!$F$2,Учет!$H1914,0)</f>
        <v>0</v>
      </c>
      <c r="R1914" s="48">
        <f>IF(Учет!$O1914=Справочники!$F$3,Учет!$H1914,0)</f>
        <v>0</v>
      </c>
      <c r="S1914" s="48">
        <f>IF(Учет!$O1914=Справочники!$F$4,Учет!$H1914,0)</f>
        <v>0</v>
      </c>
      <c r="T1914" s="48">
        <f>IF(Учет!$O1914=Справочники!$F$5,Учет!$H1914,0)</f>
        <v>0</v>
      </c>
      <c r="U1914" s="48">
        <f>IF(Учет!$O1914=Справочники!$F$6,Учет!$H1914,0)</f>
        <v>0</v>
      </c>
      <c r="V1914" s="43">
        <f>V1913+Учет!Q1914-Q1914</f>
        <v>-488978.92000000004</v>
      </c>
      <c r="W1914" s="43">
        <f>W1913+Учет!R1914-R1914</f>
        <v>336855</v>
      </c>
      <c r="X1914" s="43">
        <f>X1913+Учет!S1914-S1914</f>
        <v>500</v>
      </c>
      <c r="Y1914" s="43">
        <f>Y1913+Учет!T1914-T1914</f>
        <v>1150</v>
      </c>
      <c r="Z1914" s="43">
        <f>Z1913+Учет!U1914-U1914</f>
        <v>500000</v>
      </c>
      <c r="AA1914" s="45">
        <f>Учет!X1914</f>
        <v>500</v>
      </c>
    </row>
    <row r="1915" spans="1:27" ht="15" customHeight="1" x14ac:dyDescent="0.25">
      <c r="A1915" s="1"/>
      <c r="B1915" s="17"/>
      <c r="C1915" s="17"/>
      <c r="D1915" s="17"/>
      <c r="E1915" s="17"/>
      <c r="F1915" s="17"/>
      <c r="G1915" s="4">
        <f t="shared" si="84"/>
        <v>0</v>
      </c>
      <c r="H1915" s="17"/>
      <c r="I1915" s="4">
        <f t="shared" si="86"/>
        <v>349526.07999999996</v>
      </c>
      <c r="J1915" s="32" t="str">
        <f t="shared" si="85"/>
        <v/>
      </c>
      <c r="K1915" s="72"/>
      <c r="L1915" s="72"/>
      <c r="M1915" s="2"/>
      <c r="N1915" s="5"/>
      <c r="O1915" s="3"/>
      <c r="P1915" s="6"/>
      <c r="Q1915" s="48">
        <f>IF(Учет!$O1915=Справочники!$F$2,Учет!$H1915,0)</f>
        <v>0</v>
      </c>
      <c r="R1915" s="48">
        <f>IF(Учет!$O1915=Справочники!$F$3,Учет!$H1915,0)</f>
        <v>0</v>
      </c>
      <c r="S1915" s="48">
        <f>IF(Учет!$O1915=Справочники!$F$4,Учет!$H1915,0)</f>
        <v>0</v>
      </c>
      <c r="T1915" s="48">
        <f>IF(Учет!$O1915=Справочники!$F$5,Учет!$H1915,0)</f>
        <v>0</v>
      </c>
      <c r="U1915" s="48">
        <f>IF(Учет!$O1915=Справочники!$F$6,Учет!$H1915,0)</f>
        <v>0</v>
      </c>
      <c r="V1915" s="43">
        <f>V1914+Учет!Q1915-Q1915</f>
        <v>-488978.92000000004</v>
      </c>
      <c r="W1915" s="43">
        <f>W1914+Учет!R1915-R1915</f>
        <v>336855</v>
      </c>
      <c r="X1915" s="43">
        <f>X1914+Учет!S1915-S1915</f>
        <v>500</v>
      </c>
      <c r="Y1915" s="43">
        <f>Y1914+Учет!T1915-T1915</f>
        <v>1150</v>
      </c>
      <c r="Z1915" s="43">
        <f>Z1914+Учет!U1915-U1915</f>
        <v>500000</v>
      </c>
      <c r="AA1915" s="45">
        <f>Учет!X1915</f>
        <v>500</v>
      </c>
    </row>
    <row r="1916" spans="1:27" ht="15" customHeight="1" x14ac:dyDescent="0.25">
      <c r="A1916" s="1"/>
      <c r="B1916" s="17"/>
      <c r="C1916" s="17"/>
      <c r="D1916" s="17"/>
      <c r="E1916" s="17"/>
      <c r="F1916" s="17"/>
      <c r="G1916" s="4">
        <f t="shared" si="84"/>
        <v>0</v>
      </c>
      <c r="H1916" s="17"/>
      <c r="I1916" s="4">
        <f t="shared" si="86"/>
        <v>349526.07999999996</v>
      </c>
      <c r="J1916" s="32" t="str">
        <f t="shared" si="85"/>
        <v/>
      </c>
      <c r="K1916" s="72"/>
      <c r="L1916" s="72"/>
      <c r="M1916" s="2"/>
      <c r="N1916" s="5"/>
      <c r="O1916" s="3"/>
      <c r="P1916" s="6"/>
      <c r="Q1916" s="48">
        <f>IF(Учет!$O1916=Справочники!$F$2,Учет!$H1916,0)</f>
        <v>0</v>
      </c>
      <c r="R1916" s="48">
        <f>IF(Учет!$O1916=Справочники!$F$3,Учет!$H1916,0)</f>
        <v>0</v>
      </c>
      <c r="S1916" s="48">
        <f>IF(Учет!$O1916=Справочники!$F$4,Учет!$H1916,0)</f>
        <v>0</v>
      </c>
      <c r="T1916" s="48">
        <f>IF(Учет!$O1916=Справочники!$F$5,Учет!$H1916,0)</f>
        <v>0</v>
      </c>
      <c r="U1916" s="48">
        <f>IF(Учет!$O1916=Справочники!$F$6,Учет!$H1916,0)</f>
        <v>0</v>
      </c>
      <c r="V1916" s="43">
        <f>V1915+Учет!Q1916-Q1916</f>
        <v>-488978.92000000004</v>
      </c>
      <c r="W1916" s="43">
        <f>W1915+Учет!R1916-R1916</f>
        <v>336855</v>
      </c>
      <c r="X1916" s="43">
        <f>X1915+Учет!S1916-S1916</f>
        <v>500</v>
      </c>
      <c r="Y1916" s="43">
        <f>Y1915+Учет!T1916-T1916</f>
        <v>1150</v>
      </c>
      <c r="Z1916" s="43">
        <f>Z1915+Учет!U1916-U1916</f>
        <v>500000</v>
      </c>
      <c r="AA1916" s="45">
        <f>Учет!X1916</f>
        <v>500</v>
      </c>
    </row>
    <row r="1917" spans="1:27" ht="15" customHeight="1" x14ac:dyDescent="0.25">
      <c r="A1917" s="1"/>
      <c r="B1917" s="17"/>
      <c r="C1917" s="17"/>
      <c r="D1917" s="17"/>
      <c r="E1917" s="17"/>
      <c r="F1917" s="17"/>
      <c r="G1917" s="4">
        <f t="shared" si="84"/>
        <v>0</v>
      </c>
      <c r="H1917" s="17"/>
      <c r="I1917" s="4">
        <f t="shared" si="86"/>
        <v>349526.07999999996</v>
      </c>
      <c r="J1917" s="32" t="str">
        <f t="shared" si="85"/>
        <v/>
      </c>
      <c r="K1917" s="72"/>
      <c r="L1917" s="72"/>
      <c r="M1917" s="2"/>
      <c r="N1917" s="5"/>
      <c r="O1917" s="3"/>
      <c r="P1917" s="6"/>
      <c r="Q1917" s="48">
        <f>IF(Учет!$O1917=Справочники!$F$2,Учет!$H1917,0)</f>
        <v>0</v>
      </c>
      <c r="R1917" s="48">
        <f>IF(Учет!$O1917=Справочники!$F$3,Учет!$H1917,0)</f>
        <v>0</v>
      </c>
      <c r="S1917" s="48">
        <f>IF(Учет!$O1917=Справочники!$F$4,Учет!$H1917,0)</f>
        <v>0</v>
      </c>
      <c r="T1917" s="48">
        <f>IF(Учет!$O1917=Справочники!$F$5,Учет!$H1917,0)</f>
        <v>0</v>
      </c>
      <c r="U1917" s="48">
        <f>IF(Учет!$O1917=Справочники!$F$6,Учет!$H1917,0)</f>
        <v>0</v>
      </c>
      <c r="V1917" s="43">
        <f>V1916+Учет!Q1917-Q1917</f>
        <v>-488978.92000000004</v>
      </c>
      <c r="W1917" s="43">
        <f>W1916+Учет!R1917-R1917</f>
        <v>336855</v>
      </c>
      <c r="X1917" s="43">
        <f>X1916+Учет!S1917-S1917</f>
        <v>500</v>
      </c>
      <c r="Y1917" s="43">
        <f>Y1916+Учет!T1917-T1917</f>
        <v>1150</v>
      </c>
      <c r="Z1917" s="43">
        <f>Z1916+Учет!U1917-U1917</f>
        <v>500000</v>
      </c>
      <c r="AA1917" s="45">
        <f>Учет!X1917</f>
        <v>500</v>
      </c>
    </row>
    <row r="1918" spans="1:27" ht="15" customHeight="1" x14ac:dyDescent="0.25">
      <c r="A1918" s="1"/>
      <c r="B1918" s="17"/>
      <c r="C1918" s="17"/>
      <c r="D1918" s="17"/>
      <c r="E1918" s="17"/>
      <c r="F1918" s="17"/>
      <c r="G1918" s="4">
        <f t="shared" si="84"/>
        <v>0</v>
      </c>
      <c r="H1918" s="17"/>
      <c r="I1918" s="4">
        <f t="shared" si="86"/>
        <v>349526.07999999996</v>
      </c>
      <c r="J1918" s="32" t="str">
        <f t="shared" si="85"/>
        <v/>
      </c>
      <c r="K1918" s="72"/>
      <c r="L1918" s="72"/>
      <c r="M1918" s="2"/>
      <c r="N1918" s="5"/>
      <c r="O1918" s="3"/>
      <c r="P1918" s="6"/>
      <c r="Q1918" s="48">
        <f>IF(Учет!$O1918=Справочники!$F$2,Учет!$H1918,0)</f>
        <v>0</v>
      </c>
      <c r="R1918" s="48">
        <f>IF(Учет!$O1918=Справочники!$F$3,Учет!$H1918,0)</f>
        <v>0</v>
      </c>
      <c r="S1918" s="48">
        <f>IF(Учет!$O1918=Справочники!$F$4,Учет!$H1918,0)</f>
        <v>0</v>
      </c>
      <c r="T1918" s="48">
        <f>IF(Учет!$O1918=Справочники!$F$5,Учет!$H1918,0)</f>
        <v>0</v>
      </c>
      <c r="U1918" s="48">
        <f>IF(Учет!$O1918=Справочники!$F$6,Учет!$H1918,0)</f>
        <v>0</v>
      </c>
      <c r="V1918" s="43">
        <f>V1917+Учет!Q1918-Q1918</f>
        <v>-488978.92000000004</v>
      </c>
      <c r="W1918" s="43">
        <f>W1917+Учет!R1918-R1918</f>
        <v>336855</v>
      </c>
      <c r="X1918" s="43">
        <f>X1917+Учет!S1918-S1918</f>
        <v>500</v>
      </c>
      <c r="Y1918" s="43">
        <f>Y1917+Учет!T1918-T1918</f>
        <v>1150</v>
      </c>
      <c r="Z1918" s="43">
        <f>Z1917+Учет!U1918-U1918</f>
        <v>500000</v>
      </c>
      <c r="AA1918" s="45">
        <f>Учет!X1918</f>
        <v>500</v>
      </c>
    </row>
    <row r="1919" spans="1:27" ht="15" customHeight="1" x14ac:dyDescent="0.25">
      <c r="A1919" s="1"/>
      <c r="B1919" s="17"/>
      <c r="C1919" s="17"/>
      <c r="D1919" s="17"/>
      <c r="E1919" s="17"/>
      <c r="F1919" s="17"/>
      <c r="G1919" s="4">
        <f t="shared" si="84"/>
        <v>0</v>
      </c>
      <c r="H1919" s="17"/>
      <c r="I1919" s="4">
        <f t="shared" si="86"/>
        <v>349526.07999999996</v>
      </c>
      <c r="J1919" s="32" t="str">
        <f t="shared" si="85"/>
        <v/>
      </c>
      <c r="K1919" s="72"/>
      <c r="L1919" s="72"/>
      <c r="M1919" s="2"/>
      <c r="N1919" s="5"/>
      <c r="O1919" s="3"/>
      <c r="P1919" s="6"/>
      <c r="Q1919" s="48">
        <f>IF(Учет!$O1919=Справочники!$F$2,Учет!$H1919,0)</f>
        <v>0</v>
      </c>
      <c r="R1919" s="48">
        <f>IF(Учет!$O1919=Справочники!$F$3,Учет!$H1919,0)</f>
        <v>0</v>
      </c>
      <c r="S1919" s="48">
        <f>IF(Учет!$O1919=Справочники!$F$4,Учет!$H1919,0)</f>
        <v>0</v>
      </c>
      <c r="T1919" s="48">
        <f>IF(Учет!$O1919=Справочники!$F$5,Учет!$H1919,0)</f>
        <v>0</v>
      </c>
      <c r="U1919" s="48">
        <f>IF(Учет!$O1919=Справочники!$F$6,Учет!$H1919,0)</f>
        <v>0</v>
      </c>
      <c r="V1919" s="43">
        <f>V1918+Учет!Q1919-Q1919</f>
        <v>-488978.92000000004</v>
      </c>
      <c r="W1919" s="43">
        <f>W1918+Учет!R1919-R1919</f>
        <v>336855</v>
      </c>
      <c r="X1919" s="43">
        <f>X1918+Учет!S1919-S1919</f>
        <v>500</v>
      </c>
      <c r="Y1919" s="43">
        <f>Y1918+Учет!T1919-T1919</f>
        <v>1150</v>
      </c>
      <c r="Z1919" s="43">
        <f>Z1918+Учет!U1919-U1919</f>
        <v>500000</v>
      </c>
      <c r="AA1919" s="45">
        <f>Учет!X1919</f>
        <v>500</v>
      </c>
    </row>
    <row r="1920" spans="1:27" ht="15" customHeight="1" x14ac:dyDescent="0.25">
      <c r="A1920" s="1"/>
      <c r="B1920" s="17"/>
      <c r="C1920" s="17"/>
      <c r="D1920" s="17"/>
      <c r="E1920" s="17"/>
      <c r="F1920" s="17"/>
      <c r="G1920" s="4">
        <f t="shared" si="84"/>
        <v>0</v>
      </c>
      <c r="H1920" s="17"/>
      <c r="I1920" s="4">
        <f t="shared" si="86"/>
        <v>349526.07999999996</v>
      </c>
      <c r="J1920" s="32" t="str">
        <f t="shared" si="85"/>
        <v/>
      </c>
      <c r="K1920" s="72"/>
      <c r="L1920" s="72"/>
      <c r="M1920" s="2"/>
      <c r="N1920" s="5"/>
      <c r="O1920" s="3"/>
      <c r="P1920" s="6"/>
      <c r="Q1920" s="48">
        <f>IF(Учет!$O1920=Справочники!$F$2,Учет!$H1920,0)</f>
        <v>0</v>
      </c>
      <c r="R1920" s="48">
        <f>IF(Учет!$O1920=Справочники!$F$3,Учет!$H1920,0)</f>
        <v>0</v>
      </c>
      <c r="S1920" s="48">
        <f>IF(Учет!$O1920=Справочники!$F$4,Учет!$H1920,0)</f>
        <v>0</v>
      </c>
      <c r="T1920" s="48">
        <f>IF(Учет!$O1920=Справочники!$F$5,Учет!$H1920,0)</f>
        <v>0</v>
      </c>
      <c r="U1920" s="48">
        <f>IF(Учет!$O1920=Справочники!$F$6,Учет!$H1920,0)</f>
        <v>0</v>
      </c>
      <c r="V1920" s="43">
        <f>V1919+Учет!Q1920-Q1920</f>
        <v>-488978.92000000004</v>
      </c>
      <c r="W1920" s="43">
        <f>W1919+Учет!R1920-R1920</f>
        <v>336855</v>
      </c>
      <c r="X1920" s="43">
        <f>X1919+Учет!S1920-S1920</f>
        <v>500</v>
      </c>
      <c r="Y1920" s="43">
        <f>Y1919+Учет!T1920-T1920</f>
        <v>1150</v>
      </c>
      <c r="Z1920" s="43">
        <f>Z1919+Учет!U1920-U1920</f>
        <v>500000</v>
      </c>
      <c r="AA1920" s="45">
        <f>Учет!X1920</f>
        <v>500</v>
      </c>
    </row>
    <row r="1921" spans="1:27" ht="15" customHeight="1" x14ac:dyDescent="0.25">
      <c r="A1921" s="1"/>
      <c r="B1921" s="17"/>
      <c r="C1921" s="17"/>
      <c r="D1921" s="17"/>
      <c r="E1921" s="17"/>
      <c r="F1921" s="17"/>
      <c r="G1921" s="4">
        <f t="shared" si="84"/>
        <v>0</v>
      </c>
      <c r="H1921" s="17"/>
      <c r="I1921" s="4">
        <f t="shared" si="86"/>
        <v>349526.07999999996</v>
      </c>
      <c r="J1921" s="32" t="str">
        <f t="shared" si="85"/>
        <v/>
      </c>
      <c r="K1921" s="72"/>
      <c r="L1921" s="72"/>
      <c r="M1921" s="2"/>
      <c r="N1921" s="5"/>
      <c r="O1921" s="3"/>
      <c r="P1921" s="6"/>
      <c r="Q1921" s="48">
        <f>IF(Учет!$O1921=Справочники!$F$2,Учет!$H1921,0)</f>
        <v>0</v>
      </c>
      <c r="R1921" s="48">
        <f>IF(Учет!$O1921=Справочники!$F$3,Учет!$H1921,0)</f>
        <v>0</v>
      </c>
      <c r="S1921" s="48">
        <f>IF(Учет!$O1921=Справочники!$F$4,Учет!$H1921,0)</f>
        <v>0</v>
      </c>
      <c r="T1921" s="48">
        <f>IF(Учет!$O1921=Справочники!$F$5,Учет!$H1921,0)</f>
        <v>0</v>
      </c>
      <c r="U1921" s="48">
        <f>IF(Учет!$O1921=Справочники!$F$6,Учет!$H1921,0)</f>
        <v>0</v>
      </c>
      <c r="V1921" s="43">
        <f>V1920+Учет!Q1921-Q1921</f>
        <v>-488978.92000000004</v>
      </c>
      <c r="W1921" s="43">
        <f>W1920+Учет!R1921-R1921</f>
        <v>336855</v>
      </c>
      <c r="X1921" s="43">
        <f>X1920+Учет!S1921-S1921</f>
        <v>500</v>
      </c>
      <c r="Y1921" s="43">
        <f>Y1920+Учет!T1921-T1921</f>
        <v>1150</v>
      </c>
      <c r="Z1921" s="43">
        <f>Z1920+Учет!U1921-U1921</f>
        <v>500000</v>
      </c>
      <c r="AA1921" s="45">
        <f>Учет!X1921</f>
        <v>500</v>
      </c>
    </row>
    <row r="1922" spans="1:27" ht="15" customHeight="1" x14ac:dyDescent="0.25">
      <c r="A1922" s="1"/>
      <c r="B1922" s="17"/>
      <c r="C1922" s="17"/>
      <c r="D1922" s="17"/>
      <c r="E1922" s="17"/>
      <c r="F1922" s="17"/>
      <c r="G1922" s="4">
        <f t="shared" ref="G1922:G1985" si="87">SUM($B1922:$F1922)</f>
        <v>0</v>
      </c>
      <c r="H1922" s="17"/>
      <c r="I1922" s="4">
        <f t="shared" si="86"/>
        <v>349526.07999999996</v>
      </c>
      <c r="J1922" s="32" t="str">
        <f t="shared" ref="J1922:J1985" si="88">IF($A1923&lt;&gt;$A1922,$I1922,"")</f>
        <v/>
      </c>
      <c r="K1922" s="72"/>
      <c r="L1922" s="72"/>
      <c r="M1922" s="2"/>
      <c r="N1922" s="5"/>
      <c r="O1922" s="3"/>
      <c r="P1922" s="6"/>
      <c r="Q1922" s="48">
        <f>IF(Учет!$O1922=Справочники!$F$2,Учет!$H1922,0)</f>
        <v>0</v>
      </c>
      <c r="R1922" s="48">
        <f>IF(Учет!$O1922=Справочники!$F$3,Учет!$H1922,0)</f>
        <v>0</v>
      </c>
      <c r="S1922" s="48">
        <f>IF(Учет!$O1922=Справочники!$F$4,Учет!$H1922,0)</f>
        <v>0</v>
      </c>
      <c r="T1922" s="48">
        <f>IF(Учет!$O1922=Справочники!$F$5,Учет!$H1922,0)</f>
        <v>0</v>
      </c>
      <c r="U1922" s="48">
        <f>IF(Учет!$O1922=Справочники!$F$6,Учет!$H1922,0)</f>
        <v>0</v>
      </c>
      <c r="V1922" s="43">
        <f>V1921+Учет!Q1922-Q1922</f>
        <v>-488978.92000000004</v>
      </c>
      <c r="W1922" s="43">
        <f>W1921+Учет!R1922-R1922</f>
        <v>336855</v>
      </c>
      <c r="X1922" s="43">
        <f>X1921+Учет!S1922-S1922</f>
        <v>500</v>
      </c>
      <c r="Y1922" s="43">
        <f>Y1921+Учет!T1922-T1922</f>
        <v>1150</v>
      </c>
      <c r="Z1922" s="43">
        <f>Z1921+Учет!U1922-U1922</f>
        <v>500000</v>
      </c>
      <c r="AA1922" s="45">
        <f>Учет!X1922</f>
        <v>500</v>
      </c>
    </row>
    <row r="1923" spans="1:27" ht="15" customHeight="1" x14ac:dyDescent="0.25">
      <c r="A1923" s="1"/>
      <c r="B1923" s="17"/>
      <c r="C1923" s="17"/>
      <c r="D1923" s="17"/>
      <c r="E1923" s="17"/>
      <c r="F1923" s="17"/>
      <c r="G1923" s="4">
        <f t="shared" si="87"/>
        <v>0</v>
      </c>
      <c r="H1923" s="17"/>
      <c r="I1923" s="4">
        <f t="shared" ref="I1923:I1986" si="89">$I1922+$G1923-$H1923</f>
        <v>349526.07999999996</v>
      </c>
      <c r="J1923" s="32" t="str">
        <f t="shared" si="88"/>
        <v/>
      </c>
      <c r="K1923" s="72"/>
      <c r="L1923" s="72"/>
      <c r="M1923" s="2"/>
      <c r="N1923" s="5"/>
      <c r="O1923" s="3"/>
      <c r="P1923" s="6"/>
      <c r="Q1923" s="48">
        <f>IF(Учет!$O1923=Справочники!$F$2,Учет!$H1923,0)</f>
        <v>0</v>
      </c>
      <c r="R1923" s="48">
        <f>IF(Учет!$O1923=Справочники!$F$3,Учет!$H1923,0)</f>
        <v>0</v>
      </c>
      <c r="S1923" s="48">
        <f>IF(Учет!$O1923=Справочники!$F$4,Учет!$H1923,0)</f>
        <v>0</v>
      </c>
      <c r="T1923" s="48">
        <f>IF(Учет!$O1923=Справочники!$F$5,Учет!$H1923,0)</f>
        <v>0</v>
      </c>
      <c r="U1923" s="48">
        <f>IF(Учет!$O1923=Справочники!$F$6,Учет!$H1923,0)</f>
        <v>0</v>
      </c>
      <c r="V1923" s="43">
        <f>V1922+Учет!Q1923-Q1923</f>
        <v>-488978.92000000004</v>
      </c>
      <c r="W1923" s="43">
        <f>W1922+Учет!R1923-R1923</f>
        <v>336855</v>
      </c>
      <c r="X1923" s="43">
        <f>X1922+Учет!S1923-S1923</f>
        <v>500</v>
      </c>
      <c r="Y1923" s="43">
        <f>Y1922+Учет!T1923-T1923</f>
        <v>1150</v>
      </c>
      <c r="Z1923" s="43">
        <f>Z1922+Учет!U1923-U1923</f>
        <v>500000</v>
      </c>
      <c r="AA1923" s="45">
        <f>Учет!X1923</f>
        <v>500</v>
      </c>
    </row>
    <row r="1924" spans="1:27" ht="15" customHeight="1" x14ac:dyDescent="0.25">
      <c r="A1924" s="1"/>
      <c r="B1924" s="17"/>
      <c r="C1924" s="17"/>
      <c r="D1924" s="17"/>
      <c r="E1924" s="17"/>
      <c r="F1924" s="17"/>
      <c r="G1924" s="4">
        <f t="shared" si="87"/>
        <v>0</v>
      </c>
      <c r="H1924" s="17"/>
      <c r="I1924" s="4">
        <f t="shared" si="89"/>
        <v>349526.07999999996</v>
      </c>
      <c r="J1924" s="32" t="str">
        <f t="shared" si="88"/>
        <v/>
      </c>
      <c r="K1924" s="72"/>
      <c r="L1924" s="72"/>
      <c r="M1924" s="2"/>
      <c r="N1924" s="5"/>
      <c r="O1924" s="3"/>
      <c r="P1924" s="6"/>
      <c r="Q1924" s="48">
        <f>IF(Учет!$O1924=Справочники!$F$2,Учет!$H1924,0)</f>
        <v>0</v>
      </c>
      <c r="R1924" s="48">
        <f>IF(Учет!$O1924=Справочники!$F$3,Учет!$H1924,0)</f>
        <v>0</v>
      </c>
      <c r="S1924" s="48">
        <f>IF(Учет!$O1924=Справочники!$F$4,Учет!$H1924,0)</f>
        <v>0</v>
      </c>
      <c r="T1924" s="48">
        <f>IF(Учет!$O1924=Справочники!$F$5,Учет!$H1924,0)</f>
        <v>0</v>
      </c>
      <c r="U1924" s="48">
        <f>IF(Учет!$O1924=Справочники!$F$6,Учет!$H1924,0)</f>
        <v>0</v>
      </c>
      <c r="V1924" s="43">
        <f>V1923+Учет!Q1924-Q1924</f>
        <v>-488978.92000000004</v>
      </c>
      <c r="W1924" s="43">
        <f>W1923+Учет!R1924-R1924</f>
        <v>336855</v>
      </c>
      <c r="X1924" s="43">
        <f>X1923+Учет!S1924-S1924</f>
        <v>500</v>
      </c>
      <c r="Y1924" s="43">
        <f>Y1923+Учет!T1924-T1924</f>
        <v>1150</v>
      </c>
      <c r="Z1924" s="43">
        <f>Z1923+Учет!U1924-U1924</f>
        <v>500000</v>
      </c>
      <c r="AA1924" s="45">
        <f>Учет!X1924</f>
        <v>500</v>
      </c>
    </row>
    <row r="1925" spans="1:27" ht="15" customHeight="1" x14ac:dyDescent="0.25">
      <c r="A1925" s="1"/>
      <c r="B1925" s="17"/>
      <c r="C1925" s="17"/>
      <c r="D1925" s="17"/>
      <c r="E1925" s="17"/>
      <c r="F1925" s="17"/>
      <c r="G1925" s="4">
        <f t="shared" si="87"/>
        <v>0</v>
      </c>
      <c r="H1925" s="17"/>
      <c r="I1925" s="4">
        <f t="shared" si="89"/>
        <v>349526.07999999996</v>
      </c>
      <c r="J1925" s="32" t="str">
        <f t="shared" si="88"/>
        <v/>
      </c>
      <c r="K1925" s="72"/>
      <c r="L1925" s="72"/>
      <c r="M1925" s="2"/>
      <c r="N1925" s="5"/>
      <c r="O1925" s="3"/>
      <c r="P1925" s="6"/>
      <c r="Q1925" s="48">
        <f>IF(Учет!$O1925=Справочники!$F$2,Учет!$H1925,0)</f>
        <v>0</v>
      </c>
      <c r="R1925" s="48">
        <f>IF(Учет!$O1925=Справочники!$F$3,Учет!$H1925,0)</f>
        <v>0</v>
      </c>
      <c r="S1925" s="48">
        <f>IF(Учет!$O1925=Справочники!$F$4,Учет!$H1925,0)</f>
        <v>0</v>
      </c>
      <c r="T1925" s="48">
        <f>IF(Учет!$O1925=Справочники!$F$5,Учет!$H1925,0)</f>
        <v>0</v>
      </c>
      <c r="U1925" s="48">
        <f>IF(Учет!$O1925=Справочники!$F$6,Учет!$H1925,0)</f>
        <v>0</v>
      </c>
      <c r="V1925" s="43">
        <f>V1924+Учет!Q1925-Q1925</f>
        <v>-488978.92000000004</v>
      </c>
      <c r="W1925" s="43">
        <f>W1924+Учет!R1925-R1925</f>
        <v>336855</v>
      </c>
      <c r="X1925" s="43">
        <f>X1924+Учет!S1925-S1925</f>
        <v>500</v>
      </c>
      <c r="Y1925" s="43">
        <f>Y1924+Учет!T1925-T1925</f>
        <v>1150</v>
      </c>
      <c r="Z1925" s="43">
        <f>Z1924+Учет!U1925-U1925</f>
        <v>500000</v>
      </c>
      <c r="AA1925" s="45">
        <f>Учет!X1925</f>
        <v>500</v>
      </c>
    </row>
    <row r="1926" spans="1:27" ht="15" customHeight="1" x14ac:dyDescent="0.25">
      <c r="A1926" s="1"/>
      <c r="B1926" s="17"/>
      <c r="C1926" s="17"/>
      <c r="D1926" s="17"/>
      <c r="E1926" s="17"/>
      <c r="F1926" s="17"/>
      <c r="G1926" s="4">
        <f t="shared" si="87"/>
        <v>0</v>
      </c>
      <c r="H1926" s="17"/>
      <c r="I1926" s="4">
        <f t="shared" si="89"/>
        <v>349526.07999999996</v>
      </c>
      <c r="J1926" s="32" t="str">
        <f t="shared" si="88"/>
        <v/>
      </c>
      <c r="K1926" s="72"/>
      <c r="L1926" s="72"/>
      <c r="M1926" s="2"/>
      <c r="N1926" s="5"/>
      <c r="O1926" s="3"/>
      <c r="P1926" s="6"/>
      <c r="Q1926" s="48">
        <f>IF(Учет!$O1926=Справочники!$F$2,Учет!$H1926,0)</f>
        <v>0</v>
      </c>
      <c r="R1926" s="48">
        <f>IF(Учет!$O1926=Справочники!$F$3,Учет!$H1926,0)</f>
        <v>0</v>
      </c>
      <c r="S1926" s="48">
        <f>IF(Учет!$O1926=Справочники!$F$4,Учет!$H1926,0)</f>
        <v>0</v>
      </c>
      <c r="T1926" s="48">
        <f>IF(Учет!$O1926=Справочники!$F$5,Учет!$H1926,0)</f>
        <v>0</v>
      </c>
      <c r="U1926" s="48">
        <f>IF(Учет!$O1926=Справочники!$F$6,Учет!$H1926,0)</f>
        <v>0</v>
      </c>
      <c r="V1926" s="43">
        <f>V1925+Учет!Q1926-Q1926</f>
        <v>-488978.92000000004</v>
      </c>
      <c r="W1926" s="43">
        <f>W1925+Учет!R1926-R1926</f>
        <v>336855</v>
      </c>
      <c r="X1926" s="43">
        <f>X1925+Учет!S1926-S1926</f>
        <v>500</v>
      </c>
      <c r="Y1926" s="43">
        <f>Y1925+Учет!T1926-T1926</f>
        <v>1150</v>
      </c>
      <c r="Z1926" s="43">
        <f>Z1925+Учет!U1926-U1926</f>
        <v>500000</v>
      </c>
      <c r="AA1926" s="45">
        <f>Учет!X1926</f>
        <v>500</v>
      </c>
    </row>
    <row r="1927" spans="1:27" ht="15" customHeight="1" x14ac:dyDescent="0.25">
      <c r="A1927" s="1"/>
      <c r="B1927" s="17"/>
      <c r="C1927" s="17"/>
      <c r="D1927" s="17"/>
      <c r="E1927" s="17"/>
      <c r="F1927" s="17"/>
      <c r="G1927" s="4">
        <f t="shared" si="87"/>
        <v>0</v>
      </c>
      <c r="H1927" s="17"/>
      <c r="I1927" s="4">
        <f t="shared" si="89"/>
        <v>349526.07999999996</v>
      </c>
      <c r="J1927" s="32" t="str">
        <f t="shared" si="88"/>
        <v/>
      </c>
      <c r="K1927" s="72"/>
      <c r="L1927" s="72"/>
      <c r="M1927" s="2"/>
      <c r="N1927" s="5"/>
      <c r="O1927" s="3"/>
      <c r="P1927" s="6"/>
      <c r="Q1927" s="48">
        <f>IF(Учет!$O1927=Справочники!$F$2,Учет!$H1927,0)</f>
        <v>0</v>
      </c>
      <c r="R1927" s="48">
        <f>IF(Учет!$O1927=Справочники!$F$3,Учет!$H1927,0)</f>
        <v>0</v>
      </c>
      <c r="S1927" s="48">
        <f>IF(Учет!$O1927=Справочники!$F$4,Учет!$H1927,0)</f>
        <v>0</v>
      </c>
      <c r="T1927" s="48">
        <f>IF(Учет!$O1927=Справочники!$F$5,Учет!$H1927,0)</f>
        <v>0</v>
      </c>
      <c r="U1927" s="48">
        <f>IF(Учет!$O1927=Справочники!$F$6,Учет!$H1927,0)</f>
        <v>0</v>
      </c>
      <c r="V1927" s="43">
        <f>V1926+Учет!Q1927-Q1927</f>
        <v>-488978.92000000004</v>
      </c>
      <c r="W1927" s="43">
        <f>W1926+Учет!R1927-R1927</f>
        <v>336855</v>
      </c>
      <c r="X1927" s="43">
        <f>X1926+Учет!S1927-S1927</f>
        <v>500</v>
      </c>
      <c r="Y1927" s="43">
        <f>Y1926+Учет!T1927-T1927</f>
        <v>1150</v>
      </c>
      <c r="Z1927" s="43">
        <f>Z1926+Учет!U1927-U1927</f>
        <v>500000</v>
      </c>
      <c r="AA1927" s="45">
        <f>Учет!X1927</f>
        <v>500</v>
      </c>
    </row>
    <row r="1928" spans="1:27" ht="15" customHeight="1" x14ac:dyDescent="0.25">
      <c r="A1928" s="1"/>
      <c r="B1928" s="17"/>
      <c r="C1928" s="17"/>
      <c r="D1928" s="17"/>
      <c r="E1928" s="17"/>
      <c r="F1928" s="17"/>
      <c r="G1928" s="4">
        <f t="shared" si="87"/>
        <v>0</v>
      </c>
      <c r="H1928" s="17"/>
      <c r="I1928" s="4">
        <f t="shared" si="89"/>
        <v>349526.07999999996</v>
      </c>
      <c r="J1928" s="32" t="str">
        <f t="shared" si="88"/>
        <v/>
      </c>
      <c r="K1928" s="72"/>
      <c r="L1928" s="72"/>
      <c r="M1928" s="2"/>
      <c r="N1928" s="5"/>
      <c r="O1928" s="3"/>
      <c r="P1928" s="6"/>
      <c r="Q1928" s="48">
        <f>IF(Учет!$O1928=Справочники!$F$2,Учет!$H1928,0)</f>
        <v>0</v>
      </c>
      <c r="R1928" s="48">
        <f>IF(Учет!$O1928=Справочники!$F$3,Учет!$H1928,0)</f>
        <v>0</v>
      </c>
      <c r="S1928" s="48">
        <f>IF(Учет!$O1928=Справочники!$F$4,Учет!$H1928,0)</f>
        <v>0</v>
      </c>
      <c r="T1928" s="48">
        <f>IF(Учет!$O1928=Справочники!$F$5,Учет!$H1928,0)</f>
        <v>0</v>
      </c>
      <c r="U1928" s="48">
        <f>IF(Учет!$O1928=Справочники!$F$6,Учет!$H1928,0)</f>
        <v>0</v>
      </c>
      <c r="V1928" s="43">
        <f>V1927+Учет!Q1928-Q1928</f>
        <v>-488978.92000000004</v>
      </c>
      <c r="W1928" s="43">
        <f>W1927+Учет!R1928-R1928</f>
        <v>336855</v>
      </c>
      <c r="X1928" s="43">
        <f>X1927+Учет!S1928-S1928</f>
        <v>500</v>
      </c>
      <c r="Y1928" s="43">
        <f>Y1927+Учет!T1928-T1928</f>
        <v>1150</v>
      </c>
      <c r="Z1928" s="43">
        <f>Z1927+Учет!U1928-U1928</f>
        <v>500000</v>
      </c>
      <c r="AA1928" s="45">
        <f>Учет!X1928</f>
        <v>500</v>
      </c>
    </row>
    <row r="1929" spans="1:27" ht="15" customHeight="1" x14ac:dyDescent="0.25">
      <c r="A1929" s="1"/>
      <c r="B1929" s="17"/>
      <c r="C1929" s="17"/>
      <c r="D1929" s="17"/>
      <c r="E1929" s="17"/>
      <c r="F1929" s="17"/>
      <c r="G1929" s="4">
        <f t="shared" si="87"/>
        <v>0</v>
      </c>
      <c r="H1929" s="17"/>
      <c r="I1929" s="4">
        <f t="shared" si="89"/>
        <v>349526.07999999996</v>
      </c>
      <c r="J1929" s="32" t="str">
        <f t="shared" si="88"/>
        <v/>
      </c>
      <c r="K1929" s="72"/>
      <c r="L1929" s="72"/>
      <c r="M1929" s="2"/>
      <c r="N1929" s="5"/>
      <c r="O1929" s="3"/>
      <c r="P1929" s="6"/>
      <c r="Q1929" s="48">
        <f>IF(Учет!$O1929=Справочники!$F$2,Учет!$H1929,0)</f>
        <v>0</v>
      </c>
      <c r="R1929" s="48">
        <f>IF(Учет!$O1929=Справочники!$F$3,Учет!$H1929,0)</f>
        <v>0</v>
      </c>
      <c r="S1929" s="48">
        <f>IF(Учет!$O1929=Справочники!$F$4,Учет!$H1929,0)</f>
        <v>0</v>
      </c>
      <c r="T1929" s="48">
        <f>IF(Учет!$O1929=Справочники!$F$5,Учет!$H1929,0)</f>
        <v>0</v>
      </c>
      <c r="U1929" s="48">
        <f>IF(Учет!$O1929=Справочники!$F$6,Учет!$H1929,0)</f>
        <v>0</v>
      </c>
      <c r="V1929" s="43">
        <f>V1928+Учет!Q1929-Q1929</f>
        <v>-488978.92000000004</v>
      </c>
      <c r="W1929" s="43">
        <f>W1928+Учет!R1929-R1929</f>
        <v>336855</v>
      </c>
      <c r="X1929" s="43">
        <f>X1928+Учет!S1929-S1929</f>
        <v>500</v>
      </c>
      <c r="Y1929" s="43">
        <f>Y1928+Учет!T1929-T1929</f>
        <v>1150</v>
      </c>
      <c r="Z1929" s="43">
        <f>Z1928+Учет!U1929-U1929</f>
        <v>500000</v>
      </c>
      <c r="AA1929" s="45">
        <f>Учет!X1929</f>
        <v>500</v>
      </c>
    </row>
    <row r="1930" spans="1:27" ht="15" customHeight="1" x14ac:dyDescent="0.25">
      <c r="A1930" s="1"/>
      <c r="B1930" s="17"/>
      <c r="C1930" s="17"/>
      <c r="D1930" s="17"/>
      <c r="E1930" s="17"/>
      <c r="F1930" s="17"/>
      <c r="G1930" s="4">
        <f t="shared" si="87"/>
        <v>0</v>
      </c>
      <c r="H1930" s="17"/>
      <c r="I1930" s="4">
        <f t="shared" si="89"/>
        <v>349526.07999999996</v>
      </c>
      <c r="J1930" s="32" t="str">
        <f t="shared" si="88"/>
        <v/>
      </c>
      <c r="K1930" s="72"/>
      <c r="L1930" s="72"/>
      <c r="M1930" s="2"/>
      <c r="N1930" s="5"/>
      <c r="O1930" s="3"/>
      <c r="P1930" s="6"/>
      <c r="Q1930" s="48">
        <f>IF(Учет!$O1930=Справочники!$F$2,Учет!$H1930,0)</f>
        <v>0</v>
      </c>
      <c r="R1930" s="48">
        <f>IF(Учет!$O1930=Справочники!$F$3,Учет!$H1930,0)</f>
        <v>0</v>
      </c>
      <c r="S1930" s="48">
        <f>IF(Учет!$O1930=Справочники!$F$4,Учет!$H1930,0)</f>
        <v>0</v>
      </c>
      <c r="T1930" s="48">
        <f>IF(Учет!$O1930=Справочники!$F$5,Учет!$H1930,0)</f>
        <v>0</v>
      </c>
      <c r="U1930" s="48">
        <f>IF(Учет!$O1930=Справочники!$F$6,Учет!$H1930,0)</f>
        <v>0</v>
      </c>
      <c r="V1930" s="43">
        <f>V1929+Учет!Q1930-Q1930</f>
        <v>-488978.92000000004</v>
      </c>
      <c r="W1930" s="43">
        <f>W1929+Учет!R1930-R1930</f>
        <v>336855</v>
      </c>
      <c r="X1930" s="43">
        <f>X1929+Учет!S1930-S1930</f>
        <v>500</v>
      </c>
      <c r="Y1930" s="43">
        <f>Y1929+Учет!T1930-T1930</f>
        <v>1150</v>
      </c>
      <c r="Z1930" s="43">
        <f>Z1929+Учет!U1930-U1930</f>
        <v>500000</v>
      </c>
      <c r="AA1930" s="45">
        <f>Учет!X1930</f>
        <v>500</v>
      </c>
    </row>
    <row r="1931" spans="1:27" ht="15" customHeight="1" x14ac:dyDescent="0.25">
      <c r="A1931" s="1"/>
      <c r="B1931" s="17"/>
      <c r="C1931" s="17"/>
      <c r="D1931" s="17"/>
      <c r="E1931" s="17"/>
      <c r="F1931" s="17"/>
      <c r="G1931" s="4">
        <f t="shared" si="87"/>
        <v>0</v>
      </c>
      <c r="H1931" s="17"/>
      <c r="I1931" s="4">
        <f t="shared" si="89"/>
        <v>349526.07999999996</v>
      </c>
      <c r="J1931" s="32" t="str">
        <f t="shared" si="88"/>
        <v/>
      </c>
      <c r="K1931" s="72"/>
      <c r="L1931" s="72"/>
      <c r="M1931" s="2"/>
      <c r="N1931" s="5"/>
      <c r="O1931" s="3"/>
      <c r="P1931" s="6"/>
      <c r="Q1931" s="48">
        <f>IF(Учет!$O1931=Справочники!$F$2,Учет!$H1931,0)</f>
        <v>0</v>
      </c>
      <c r="R1931" s="48">
        <f>IF(Учет!$O1931=Справочники!$F$3,Учет!$H1931,0)</f>
        <v>0</v>
      </c>
      <c r="S1931" s="48">
        <f>IF(Учет!$O1931=Справочники!$F$4,Учет!$H1931,0)</f>
        <v>0</v>
      </c>
      <c r="T1931" s="48">
        <f>IF(Учет!$O1931=Справочники!$F$5,Учет!$H1931,0)</f>
        <v>0</v>
      </c>
      <c r="U1931" s="48">
        <f>IF(Учет!$O1931=Справочники!$F$6,Учет!$H1931,0)</f>
        <v>0</v>
      </c>
      <c r="V1931" s="43">
        <f>V1930+Учет!Q1931-Q1931</f>
        <v>-488978.92000000004</v>
      </c>
      <c r="W1931" s="43">
        <f>W1930+Учет!R1931-R1931</f>
        <v>336855</v>
      </c>
      <c r="X1931" s="43">
        <f>X1930+Учет!S1931-S1931</f>
        <v>500</v>
      </c>
      <c r="Y1931" s="43">
        <f>Y1930+Учет!T1931-T1931</f>
        <v>1150</v>
      </c>
      <c r="Z1931" s="43">
        <f>Z1930+Учет!U1931-U1931</f>
        <v>500000</v>
      </c>
      <c r="AA1931" s="45">
        <f>Учет!X1931</f>
        <v>500</v>
      </c>
    </row>
    <row r="1932" spans="1:27" ht="15" customHeight="1" x14ac:dyDescent="0.25">
      <c r="A1932" s="1"/>
      <c r="B1932" s="17"/>
      <c r="C1932" s="17"/>
      <c r="D1932" s="17"/>
      <c r="E1932" s="17"/>
      <c r="F1932" s="17"/>
      <c r="G1932" s="4">
        <f t="shared" si="87"/>
        <v>0</v>
      </c>
      <c r="H1932" s="17"/>
      <c r="I1932" s="4">
        <f t="shared" si="89"/>
        <v>349526.07999999996</v>
      </c>
      <c r="J1932" s="32" t="str">
        <f t="shared" si="88"/>
        <v/>
      </c>
      <c r="K1932" s="72"/>
      <c r="L1932" s="72"/>
      <c r="M1932" s="2"/>
      <c r="N1932" s="5"/>
      <c r="O1932" s="3"/>
      <c r="P1932" s="6"/>
      <c r="Q1932" s="48">
        <f>IF(Учет!$O1932=Справочники!$F$2,Учет!$H1932,0)</f>
        <v>0</v>
      </c>
      <c r="R1932" s="48">
        <f>IF(Учет!$O1932=Справочники!$F$3,Учет!$H1932,0)</f>
        <v>0</v>
      </c>
      <c r="S1932" s="48">
        <f>IF(Учет!$O1932=Справочники!$F$4,Учет!$H1932,0)</f>
        <v>0</v>
      </c>
      <c r="T1932" s="48">
        <f>IF(Учет!$O1932=Справочники!$F$5,Учет!$H1932,0)</f>
        <v>0</v>
      </c>
      <c r="U1932" s="48">
        <f>IF(Учет!$O1932=Справочники!$F$6,Учет!$H1932,0)</f>
        <v>0</v>
      </c>
      <c r="V1932" s="43">
        <f>V1931+Учет!Q1932-Q1932</f>
        <v>-488978.92000000004</v>
      </c>
      <c r="W1932" s="43">
        <f>W1931+Учет!R1932-R1932</f>
        <v>336855</v>
      </c>
      <c r="X1932" s="43">
        <f>X1931+Учет!S1932-S1932</f>
        <v>500</v>
      </c>
      <c r="Y1932" s="43">
        <f>Y1931+Учет!T1932-T1932</f>
        <v>1150</v>
      </c>
      <c r="Z1932" s="43">
        <f>Z1931+Учет!U1932-U1932</f>
        <v>500000</v>
      </c>
      <c r="AA1932" s="45">
        <f>Учет!X1932</f>
        <v>500</v>
      </c>
    </row>
    <row r="1933" spans="1:27" ht="15" customHeight="1" x14ac:dyDescent="0.25">
      <c r="A1933" s="1"/>
      <c r="B1933" s="17"/>
      <c r="C1933" s="17"/>
      <c r="D1933" s="17"/>
      <c r="E1933" s="17"/>
      <c r="F1933" s="17"/>
      <c r="G1933" s="4">
        <f t="shared" si="87"/>
        <v>0</v>
      </c>
      <c r="H1933" s="17"/>
      <c r="I1933" s="4">
        <f t="shared" si="89"/>
        <v>349526.07999999996</v>
      </c>
      <c r="J1933" s="32" t="str">
        <f t="shared" si="88"/>
        <v/>
      </c>
      <c r="K1933" s="72"/>
      <c r="L1933" s="72"/>
      <c r="M1933" s="2"/>
      <c r="N1933" s="5"/>
      <c r="O1933" s="3"/>
      <c r="P1933" s="6"/>
      <c r="Q1933" s="48">
        <f>IF(Учет!$O1933=Справочники!$F$2,Учет!$H1933,0)</f>
        <v>0</v>
      </c>
      <c r="R1933" s="48">
        <f>IF(Учет!$O1933=Справочники!$F$3,Учет!$H1933,0)</f>
        <v>0</v>
      </c>
      <c r="S1933" s="48">
        <f>IF(Учет!$O1933=Справочники!$F$4,Учет!$H1933,0)</f>
        <v>0</v>
      </c>
      <c r="T1933" s="48">
        <f>IF(Учет!$O1933=Справочники!$F$5,Учет!$H1933,0)</f>
        <v>0</v>
      </c>
      <c r="U1933" s="48">
        <f>IF(Учет!$O1933=Справочники!$F$6,Учет!$H1933,0)</f>
        <v>0</v>
      </c>
      <c r="V1933" s="43">
        <f>V1932+Учет!Q1933-Q1933</f>
        <v>-488978.92000000004</v>
      </c>
      <c r="W1933" s="43">
        <f>W1932+Учет!R1933-R1933</f>
        <v>336855</v>
      </c>
      <c r="X1933" s="43">
        <f>X1932+Учет!S1933-S1933</f>
        <v>500</v>
      </c>
      <c r="Y1933" s="43">
        <f>Y1932+Учет!T1933-T1933</f>
        <v>1150</v>
      </c>
      <c r="Z1933" s="43">
        <f>Z1932+Учет!U1933-U1933</f>
        <v>500000</v>
      </c>
      <c r="AA1933" s="45">
        <f>Учет!X1933</f>
        <v>500</v>
      </c>
    </row>
    <row r="1934" spans="1:27" ht="15" customHeight="1" x14ac:dyDescent="0.25">
      <c r="A1934" s="1"/>
      <c r="B1934" s="17"/>
      <c r="C1934" s="17"/>
      <c r="D1934" s="17"/>
      <c r="E1934" s="17"/>
      <c r="F1934" s="17"/>
      <c r="G1934" s="4">
        <f t="shared" si="87"/>
        <v>0</v>
      </c>
      <c r="H1934" s="17"/>
      <c r="I1934" s="4">
        <f t="shared" si="89"/>
        <v>349526.07999999996</v>
      </c>
      <c r="J1934" s="32" t="str">
        <f t="shared" si="88"/>
        <v/>
      </c>
      <c r="K1934" s="72"/>
      <c r="L1934" s="72"/>
      <c r="M1934" s="2"/>
      <c r="N1934" s="5"/>
      <c r="O1934" s="3"/>
      <c r="P1934" s="6"/>
      <c r="Q1934" s="48">
        <f>IF(Учет!$O1934=Справочники!$F$2,Учет!$H1934,0)</f>
        <v>0</v>
      </c>
      <c r="R1934" s="48">
        <f>IF(Учет!$O1934=Справочники!$F$3,Учет!$H1934,0)</f>
        <v>0</v>
      </c>
      <c r="S1934" s="48">
        <f>IF(Учет!$O1934=Справочники!$F$4,Учет!$H1934,0)</f>
        <v>0</v>
      </c>
      <c r="T1934" s="48">
        <f>IF(Учет!$O1934=Справочники!$F$5,Учет!$H1934,0)</f>
        <v>0</v>
      </c>
      <c r="U1934" s="48">
        <f>IF(Учет!$O1934=Справочники!$F$6,Учет!$H1934,0)</f>
        <v>0</v>
      </c>
      <c r="V1934" s="43">
        <f>V1933+Учет!Q1934-Q1934</f>
        <v>-488978.92000000004</v>
      </c>
      <c r="W1934" s="43">
        <f>W1933+Учет!R1934-R1934</f>
        <v>336855</v>
      </c>
      <c r="X1934" s="43">
        <f>X1933+Учет!S1934-S1934</f>
        <v>500</v>
      </c>
      <c r="Y1934" s="43">
        <f>Y1933+Учет!T1934-T1934</f>
        <v>1150</v>
      </c>
      <c r="Z1934" s="43">
        <f>Z1933+Учет!U1934-U1934</f>
        <v>500000</v>
      </c>
      <c r="AA1934" s="45">
        <f>Учет!X1934</f>
        <v>500</v>
      </c>
    </row>
    <row r="1935" spans="1:27" ht="15" customHeight="1" x14ac:dyDescent="0.25">
      <c r="A1935" s="1"/>
      <c r="B1935" s="17"/>
      <c r="C1935" s="17"/>
      <c r="D1935" s="17"/>
      <c r="E1935" s="17"/>
      <c r="F1935" s="17"/>
      <c r="G1935" s="4">
        <f t="shared" si="87"/>
        <v>0</v>
      </c>
      <c r="H1935" s="17"/>
      <c r="I1935" s="4">
        <f t="shared" si="89"/>
        <v>349526.07999999996</v>
      </c>
      <c r="J1935" s="32" t="str">
        <f t="shared" si="88"/>
        <v/>
      </c>
      <c r="K1935" s="72"/>
      <c r="L1935" s="72"/>
      <c r="M1935" s="2"/>
      <c r="N1935" s="5"/>
      <c r="O1935" s="3"/>
      <c r="P1935" s="6"/>
      <c r="Q1935" s="48">
        <f>IF(Учет!$O1935=Справочники!$F$2,Учет!$H1935,0)</f>
        <v>0</v>
      </c>
      <c r="R1935" s="48">
        <f>IF(Учет!$O1935=Справочники!$F$3,Учет!$H1935,0)</f>
        <v>0</v>
      </c>
      <c r="S1935" s="48">
        <f>IF(Учет!$O1935=Справочники!$F$4,Учет!$H1935,0)</f>
        <v>0</v>
      </c>
      <c r="T1935" s="48">
        <f>IF(Учет!$O1935=Справочники!$F$5,Учет!$H1935,0)</f>
        <v>0</v>
      </c>
      <c r="U1935" s="48">
        <f>IF(Учет!$O1935=Справочники!$F$6,Учет!$H1935,0)</f>
        <v>0</v>
      </c>
      <c r="V1935" s="43">
        <f>V1934+Учет!Q1935-Q1935</f>
        <v>-488978.92000000004</v>
      </c>
      <c r="W1935" s="43">
        <f>W1934+Учет!R1935-R1935</f>
        <v>336855</v>
      </c>
      <c r="X1935" s="43">
        <f>X1934+Учет!S1935-S1935</f>
        <v>500</v>
      </c>
      <c r="Y1935" s="43">
        <f>Y1934+Учет!T1935-T1935</f>
        <v>1150</v>
      </c>
      <c r="Z1935" s="43">
        <f>Z1934+Учет!U1935-U1935</f>
        <v>500000</v>
      </c>
      <c r="AA1935" s="45">
        <f>Учет!X1935</f>
        <v>500</v>
      </c>
    </row>
    <row r="1936" spans="1:27" ht="15" customHeight="1" x14ac:dyDescent="0.25">
      <c r="A1936" s="1"/>
      <c r="B1936" s="17"/>
      <c r="C1936" s="17"/>
      <c r="D1936" s="17"/>
      <c r="E1936" s="17"/>
      <c r="F1936" s="17"/>
      <c r="G1936" s="4">
        <f t="shared" si="87"/>
        <v>0</v>
      </c>
      <c r="H1936" s="17"/>
      <c r="I1936" s="4">
        <f t="shared" si="89"/>
        <v>349526.07999999996</v>
      </c>
      <c r="J1936" s="32" t="str">
        <f t="shared" si="88"/>
        <v/>
      </c>
      <c r="K1936" s="72"/>
      <c r="L1936" s="72"/>
      <c r="M1936" s="2"/>
      <c r="N1936" s="5"/>
      <c r="O1936" s="3"/>
      <c r="P1936" s="6"/>
      <c r="Q1936" s="48">
        <f>IF(Учет!$O1936=Справочники!$F$2,Учет!$H1936,0)</f>
        <v>0</v>
      </c>
      <c r="R1936" s="48">
        <f>IF(Учет!$O1936=Справочники!$F$3,Учет!$H1936,0)</f>
        <v>0</v>
      </c>
      <c r="S1936" s="48">
        <f>IF(Учет!$O1936=Справочники!$F$4,Учет!$H1936,0)</f>
        <v>0</v>
      </c>
      <c r="T1936" s="48">
        <f>IF(Учет!$O1936=Справочники!$F$5,Учет!$H1936,0)</f>
        <v>0</v>
      </c>
      <c r="U1936" s="48">
        <f>IF(Учет!$O1936=Справочники!$F$6,Учет!$H1936,0)</f>
        <v>0</v>
      </c>
      <c r="V1936" s="43">
        <f>V1935+Учет!Q1936-Q1936</f>
        <v>-488978.92000000004</v>
      </c>
      <c r="W1936" s="43">
        <f>W1935+Учет!R1936-R1936</f>
        <v>336855</v>
      </c>
      <c r="X1936" s="43">
        <f>X1935+Учет!S1936-S1936</f>
        <v>500</v>
      </c>
      <c r="Y1936" s="43">
        <f>Y1935+Учет!T1936-T1936</f>
        <v>1150</v>
      </c>
      <c r="Z1936" s="43">
        <f>Z1935+Учет!U1936-U1936</f>
        <v>500000</v>
      </c>
      <c r="AA1936" s="45">
        <f>Учет!X1936</f>
        <v>500</v>
      </c>
    </row>
    <row r="1937" spans="1:27" ht="15" customHeight="1" x14ac:dyDescent="0.25">
      <c r="A1937" s="1"/>
      <c r="B1937" s="17"/>
      <c r="C1937" s="17"/>
      <c r="D1937" s="17"/>
      <c r="E1937" s="17"/>
      <c r="F1937" s="17"/>
      <c r="G1937" s="4">
        <f t="shared" si="87"/>
        <v>0</v>
      </c>
      <c r="H1937" s="17"/>
      <c r="I1937" s="4">
        <f t="shared" si="89"/>
        <v>349526.07999999996</v>
      </c>
      <c r="J1937" s="32" t="str">
        <f t="shared" si="88"/>
        <v/>
      </c>
      <c r="K1937" s="72"/>
      <c r="L1937" s="72"/>
      <c r="M1937" s="2"/>
      <c r="N1937" s="5"/>
      <c r="O1937" s="3"/>
      <c r="P1937" s="6"/>
      <c r="Q1937" s="48">
        <f>IF(Учет!$O1937=Справочники!$F$2,Учет!$H1937,0)</f>
        <v>0</v>
      </c>
      <c r="R1937" s="48">
        <f>IF(Учет!$O1937=Справочники!$F$3,Учет!$H1937,0)</f>
        <v>0</v>
      </c>
      <c r="S1937" s="48">
        <f>IF(Учет!$O1937=Справочники!$F$4,Учет!$H1937,0)</f>
        <v>0</v>
      </c>
      <c r="T1937" s="48">
        <f>IF(Учет!$O1937=Справочники!$F$5,Учет!$H1937,0)</f>
        <v>0</v>
      </c>
      <c r="U1937" s="48">
        <f>IF(Учет!$O1937=Справочники!$F$6,Учет!$H1937,0)</f>
        <v>0</v>
      </c>
      <c r="V1937" s="43">
        <f>V1936+Учет!Q1937-Q1937</f>
        <v>-488978.92000000004</v>
      </c>
      <c r="W1937" s="43">
        <f>W1936+Учет!R1937-R1937</f>
        <v>336855</v>
      </c>
      <c r="X1937" s="43">
        <f>X1936+Учет!S1937-S1937</f>
        <v>500</v>
      </c>
      <c r="Y1937" s="43">
        <f>Y1936+Учет!T1937-T1937</f>
        <v>1150</v>
      </c>
      <c r="Z1937" s="43">
        <f>Z1936+Учет!U1937-U1937</f>
        <v>500000</v>
      </c>
      <c r="AA1937" s="45">
        <f>Учет!X1937</f>
        <v>500</v>
      </c>
    </row>
    <row r="1938" spans="1:27" ht="15" customHeight="1" x14ac:dyDescent="0.25">
      <c r="A1938" s="1"/>
      <c r="B1938" s="17"/>
      <c r="C1938" s="17"/>
      <c r="D1938" s="17"/>
      <c r="E1938" s="17"/>
      <c r="F1938" s="17"/>
      <c r="G1938" s="4">
        <f t="shared" si="87"/>
        <v>0</v>
      </c>
      <c r="H1938" s="17"/>
      <c r="I1938" s="4">
        <f t="shared" si="89"/>
        <v>349526.07999999996</v>
      </c>
      <c r="J1938" s="32" t="str">
        <f t="shared" si="88"/>
        <v/>
      </c>
      <c r="K1938" s="72"/>
      <c r="L1938" s="72"/>
      <c r="M1938" s="2"/>
      <c r="N1938" s="5"/>
      <c r="O1938" s="3"/>
      <c r="P1938" s="6"/>
      <c r="Q1938" s="48">
        <f>IF(Учет!$O1938=Справочники!$F$2,Учет!$H1938,0)</f>
        <v>0</v>
      </c>
      <c r="R1938" s="48">
        <f>IF(Учет!$O1938=Справочники!$F$3,Учет!$H1938,0)</f>
        <v>0</v>
      </c>
      <c r="S1938" s="48">
        <f>IF(Учет!$O1938=Справочники!$F$4,Учет!$H1938,0)</f>
        <v>0</v>
      </c>
      <c r="T1938" s="48">
        <f>IF(Учет!$O1938=Справочники!$F$5,Учет!$H1938,0)</f>
        <v>0</v>
      </c>
      <c r="U1938" s="48">
        <f>IF(Учет!$O1938=Справочники!$F$6,Учет!$H1938,0)</f>
        <v>0</v>
      </c>
      <c r="V1938" s="43">
        <f>V1937+Учет!Q1938-Q1938</f>
        <v>-488978.92000000004</v>
      </c>
      <c r="W1938" s="43">
        <f>W1937+Учет!R1938-R1938</f>
        <v>336855</v>
      </c>
      <c r="X1938" s="43">
        <f>X1937+Учет!S1938-S1938</f>
        <v>500</v>
      </c>
      <c r="Y1938" s="43">
        <f>Y1937+Учет!T1938-T1938</f>
        <v>1150</v>
      </c>
      <c r="Z1938" s="43">
        <f>Z1937+Учет!U1938-U1938</f>
        <v>500000</v>
      </c>
      <c r="AA1938" s="45">
        <f>Учет!X1938</f>
        <v>500</v>
      </c>
    </row>
    <row r="1939" spans="1:27" ht="15" customHeight="1" x14ac:dyDescent="0.25">
      <c r="A1939" s="1"/>
      <c r="B1939" s="17"/>
      <c r="C1939" s="17"/>
      <c r="D1939" s="17"/>
      <c r="E1939" s="17"/>
      <c r="F1939" s="17"/>
      <c r="G1939" s="4">
        <f t="shared" si="87"/>
        <v>0</v>
      </c>
      <c r="H1939" s="17"/>
      <c r="I1939" s="4">
        <f t="shared" si="89"/>
        <v>349526.07999999996</v>
      </c>
      <c r="J1939" s="32" t="str">
        <f t="shared" si="88"/>
        <v/>
      </c>
      <c r="K1939" s="72"/>
      <c r="L1939" s="72"/>
      <c r="M1939" s="2"/>
      <c r="N1939" s="5"/>
      <c r="O1939" s="3"/>
      <c r="P1939" s="6"/>
      <c r="Q1939" s="48">
        <f>IF(Учет!$O1939=Справочники!$F$2,Учет!$H1939,0)</f>
        <v>0</v>
      </c>
      <c r="R1939" s="48">
        <f>IF(Учет!$O1939=Справочники!$F$3,Учет!$H1939,0)</f>
        <v>0</v>
      </c>
      <c r="S1939" s="48">
        <f>IF(Учет!$O1939=Справочники!$F$4,Учет!$H1939,0)</f>
        <v>0</v>
      </c>
      <c r="T1939" s="48">
        <f>IF(Учет!$O1939=Справочники!$F$5,Учет!$H1939,0)</f>
        <v>0</v>
      </c>
      <c r="U1939" s="48">
        <f>IF(Учет!$O1939=Справочники!$F$6,Учет!$H1939,0)</f>
        <v>0</v>
      </c>
      <c r="V1939" s="43">
        <f>V1938+Учет!Q1939-Q1939</f>
        <v>-488978.92000000004</v>
      </c>
      <c r="W1939" s="43">
        <f>W1938+Учет!R1939-R1939</f>
        <v>336855</v>
      </c>
      <c r="X1939" s="43">
        <f>X1938+Учет!S1939-S1939</f>
        <v>500</v>
      </c>
      <c r="Y1939" s="43">
        <f>Y1938+Учет!T1939-T1939</f>
        <v>1150</v>
      </c>
      <c r="Z1939" s="43">
        <f>Z1938+Учет!U1939-U1939</f>
        <v>500000</v>
      </c>
      <c r="AA1939" s="45">
        <f>Учет!X1939</f>
        <v>500</v>
      </c>
    </row>
    <row r="1940" spans="1:27" ht="15" customHeight="1" x14ac:dyDescent="0.25">
      <c r="A1940" s="1"/>
      <c r="B1940" s="17"/>
      <c r="C1940" s="17"/>
      <c r="D1940" s="17"/>
      <c r="E1940" s="17"/>
      <c r="F1940" s="17"/>
      <c r="G1940" s="4">
        <f t="shared" si="87"/>
        <v>0</v>
      </c>
      <c r="H1940" s="17"/>
      <c r="I1940" s="4">
        <f t="shared" si="89"/>
        <v>349526.07999999996</v>
      </c>
      <c r="J1940" s="32" t="str">
        <f t="shared" si="88"/>
        <v/>
      </c>
      <c r="K1940" s="72"/>
      <c r="L1940" s="72"/>
      <c r="M1940" s="2"/>
      <c r="N1940" s="5"/>
      <c r="O1940" s="3"/>
      <c r="P1940" s="6"/>
      <c r="Q1940" s="48">
        <f>IF(Учет!$O1940=Справочники!$F$2,Учет!$H1940,0)</f>
        <v>0</v>
      </c>
      <c r="R1940" s="48">
        <f>IF(Учет!$O1940=Справочники!$F$3,Учет!$H1940,0)</f>
        <v>0</v>
      </c>
      <c r="S1940" s="48">
        <f>IF(Учет!$O1940=Справочники!$F$4,Учет!$H1940,0)</f>
        <v>0</v>
      </c>
      <c r="T1940" s="48">
        <f>IF(Учет!$O1940=Справочники!$F$5,Учет!$H1940,0)</f>
        <v>0</v>
      </c>
      <c r="U1940" s="48">
        <f>IF(Учет!$O1940=Справочники!$F$6,Учет!$H1940,0)</f>
        <v>0</v>
      </c>
      <c r="V1940" s="43">
        <f>V1939+Учет!Q1940-Q1940</f>
        <v>-488978.92000000004</v>
      </c>
      <c r="W1940" s="43">
        <f>W1939+Учет!R1940-R1940</f>
        <v>336855</v>
      </c>
      <c r="X1940" s="43">
        <f>X1939+Учет!S1940-S1940</f>
        <v>500</v>
      </c>
      <c r="Y1940" s="43">
        <f>Y1939+Учет!T1940-T1940</f>
        <v>1150</v>
      </c>
      <c r="Z1940" s="43">
        <f>Z1939+Учет!U1940-U1940</f>
        <v>500000</v>
      </c>
      <c r="AA1940" s="45">
        <f>Учет!X1940</f>
        <v>500</v>
      </c>
    </row>
    <row r="1941" spans="1:27" ht="15" customHeight="1" x14ac:dyDescent="0.25">
      <c r="A1941" s="1"/>
      <c r="B1941" s="17"/>
      <c r="C1941" s="17"/>
      <c r="D1941" s="17"/>
      <c r="E1941" s="17"/>
      <c r="F1941" s="17"/>
      <c r="G1941" s="4">
        <f t="shared" si="87"/>
        <v>0</v>
      </c>
      <c r="H1941" s="17"/>
      <c r="I1941" s="4">
        <f t="shared" si="89"/>
        <v>349526.07999999996</v>
      </c>
      <c r="J1941" s="32" t="str">
        <f t="shared" si="88"/>
        <v/>
      </c>
      <c r="K1941" s="72"/>
      <c r="L1941" s="72"/>
      <c r="M1941" s="2"/>
      <c r="N1941" s="5"/>
      <c r="O1941" s="3"/>
      <c r="P1941" s="6"/>
      <c r="Q1941" s="48">
        <f>IF(Учет!$O1941=Справочники!$F$2,Учет!$H1941,0)</f>
        <v>0</v>
      </c>
      <c r="R1941" s="48">
        <f>IF(Учет!$O1941=Справочники!$F$3,Учет!$H1941,0)</f>
        <v>0</v>
      </c>
      <c r="S1941" s="48">
        <f>IF(Учет!$O1941=Справочники!$F$4,Учет!$H1941,0)</f>
        <v>0</v>
      </c>
      <c r="T1941" s="48">
        <f>IF(Учет!$O1941=Справочники!$F$5,Учет!$H1941,0)</f>
        <v>0</v>
      </c>
      <c r="U1941" s="48">
        <f>IF(Учет!$O1941=Справочники!$F$6,Учет!$H1941,0)</f>
        <v>0</v>
      </c>
      <c r="V1941" s="43">
        <f>V1940+Учет!Q1941-Q1941</f>
        <v>-488978.92000000004</v>
      </c>
      <c r="W1941" s="43">
        <f>W1940+Учет!R1941-R1941</f>
        <v>336855</v>
      </c>
      <c r="X1941" s="43">
        <f>X1940+Учет!S1941-S1941</f>
        <v>500</v>
      </c>
      <c r="Y1941" s="43">
        <f>Y1940+Учет!T1941-T1941</f>
        <v>1150</v>
      </c>
      <c r="Z1941" s="43">
        <f>Z1940+Учет!U1941-U1941</f>
        <v>500000</v>
      </c>
      <c r="AA1941" s="45">
        <f>Учет!X1941</f>
        <v>500</v>
      </c>
    </row>
    <row r="1942" spans="1:27" ht="15" customHeight="1" x14ac:dyDescent="0.25">
      <c r="A1942" s="1"/>
      <c r="B1942" s="17"/>
      <c r="C1942" s="17"/>
      <c r="D1942" s="17"/>
      <c r="E1942" s="17"/>
      <c r="F1942" s="17"/>
      <c r="G1942" s="4">
        <f t="shared" si="87"/>
        <v>0</v>
      </c>
      <c r="H1942" s="17"/>
      <c r="I1942" s="4">
        <f t="shared" si="89"/>
        <v>349526.07999999996</v>
      </c>
      <c r="J1942" s="32" t="str">
        <f t="shared" si="88"/>
        <v/>
      </c>
      <c r="K1942" s="72"/>
      <c r="L1942" s="72"/>
      <c r="M1942" s="2"/>
      <c r="N1942" s="5"/>
      <c r="O1942" s="3"/>
      <c r="P1942" s="6"/>
      <c r="Q1942" s="48">
        <f>IF(Учет!$O1942=Справочники!$F$2,Учет!$H1942,0)</f>
        <v>0</v>
      </c>
      <c r="R1942" s="48">
        <f>IF(Учет!$O1942=Справочники!$F$3,Учет!$H1942,0)</f>
        <v>0</v>
      </c>
      <c r="S1942" s="48">
        <f>IF(Учет!$O1942=Справочники!$F$4,Учет!$H1942,0)</f>
        <v>0</v>
      </c>
      <c r="T1942" s="48">
        <f>IF(Учет!$O1942=Справочники!$F$5,Учет!$H1942,0)</f>
        <v>0</v>
      </c>
      <c r="U1942" s="48">
        <f>IF(Учет!$O1942=Справочники!$F$6,Учет!$H1942,0)</f>
        <v>0</v>
      </c>
      <c r="V1942" s="43">
        <f>V1941+Учет!Q1942-Q1942</f>
        <v>-488978.92000000004</v>
      </c>
      <c r="W1942" s="43">
        <f>W1941+Учет!R1942-R1942</f>
        <v>336855</v>
      </c>
      <c r="X1942" s="43">
        <f>X1941+Учет!S1942-S1942</f>
        <v>500</v>
      </c>
      <c r="Y1942" s="43">
        <f>Y1941+Учет!T1942-T1942</f>
        <v>1150</v>
      </c>
      <c r="Z1942" s="43">
        <f>Z1941+Учет!U1942-U1942</f>
        <v>500000</v>
      </c>
      <c r="AA1942" s="45">
        <f>Учет!X1942</f>
        <v>500</v>
      </c>
    </row>
    <row r="1943" spans="1:27" ht="15" customHeight="1" x14ac:dyDescent="0.25">
      <c r="A1943" s="1"/>
      <c r="B1943" s="17"/>
      <c r="C1943" s="17"/>
      <c r="D1943" s="17"/>
      <c r="E1943" s="17"/>
      <c r="F1943" s="17"/>
      <c r="G1943" s="4">
        <f t="shared" si="87"/>
        <v>0</v>
      </c>
      <c r="H1943" s="17"/>
      <c r="I1943" s="4">
        <f t="shared" si="89"/>
        <v>349526.07999999996</v>
      </c>
      <c r="J1943" s="32" t="str">
        <f t="shared" si="88"/>
        <v/>
      </c>
      <c r="K1943" s="72"/>
      <c r="L1943" s="72"/>
      <c r="M1943" s="2"/>
      <c r="N1943" s="5"/>
      <c r="O1943" s="3"/>
      <c r="P1943" s="6"/>
      <c r="Q1943" s="48">
        <f>IF(Учет!$O1943=Справочники!$F$2,Учет!$H1943,0)</f>
        <v>0</v>
      </c>
      <c r="R1943" s="48">
        <f>IF(Учет!$O1943=Справочники!$F$3,Учет!$H1943,0)</f>
        <v>0</v>
      </c>
      <c r="S1943" s="48">
        <f>IF(Учет!$O1943=Справочники!$F$4,Учет!$H1943,0)</f>
        <v>0</v>
      </c>
      <c r="T1943" s="48">
        <f>IF(Учет!$O1943=Справочники!$F$5,Учет!$H1943,0)</f>
        <v>0</v>
      </c>
      <c r="U1943" s="48">
        <f>IF(Учет!$O1943=Справочники!$F$6,Учет!$H1943,0)</f>
        <v>0</v>
      </c>
      <c r="V1943" s="43">
        <f>V1942+Учет!Q1943-Q1943</f>
        <v>-488978.92000000004</v>
      </c>
      <c r="W1943" s="43">
        <f>W1942+Учет!R1943-R1943</f>
        <v>336855</v>
      </c>
      <c r="X1943" s="43">
        <f>X1942+Учет!S1943-S1943</f>
        <v>500</v>
      </c>
      <c r="Y1943" s="43">
        <f>Y1942+Учет!T1943-T1943</f>
        <v>1150</v>
      </c>
      <c r="Z1943" s="43">
        <f>Z1942+Учет!U1943-U1943</f>
        <v>500000</v>
      </c>
      <c r="AA1943" s="45">
        <f>Учет!X1943</f>
        <v>500</v>
      </c>
    </row>
    <row r="1944" spans="1:27" ht="15" customHeight="1" x14ac:dyDescent="0.25">
      <c r="A1944" s="1"/>
      <c r="B1944" s="17"/>
      <c r="C1944" s="17"/>
      <c r="D1944" s="17"/>
      <c r="E1944" s="17"/>
      <c r="F1944" s="17"/>
      <c r="G1944" s="4">
        <f t="shared" si="87"/>
        <v>0</v>
      </c>
      <c r="H1944" s="17"/>
      <c r="I1944" s="4">
        <f t="shared" si="89"/>
        <v>349526.07999999996</v>
      </c>
      <c r="J1944" s="32" t="str">
        <f t="shared" si="88"/>
        <v/>
      </c>
      <c r="K1944" s="72"/>
      <c r="L1944" s="72"/>
      <c r="M1944" s="2"/>
      <c r="N1944" s="5"/>
      <c r="O1944" s="3"/>
      <c r="P1944" s="6"/>
      <c r="Q1944" s="48">
        <f>IF(Учет!$O1944=Справочники!$F$2,Учет!$H1944,0)</f>
        <v>0</v>
      </c>
      <c r="R1944" s="48">
        <f>IF(Учет!$O1944=Справочники!$F$3,Учет!$H1944,0)</f>
        <v>0</v>
      </c>
      <c r="S1944" s="48">
        <f>IF(Учет!$O1944=Справочники!$F$4,Учет!$H1944,0)</f>
        <v>0</v>
      </c>
      <c r="T1944" s="48">
        <f>IF(Учет!$O1944=Справочники!$F$5,Учет!$H1944,0)</f>
        <v>0</v>
      </c>
      <c r="U1944" s="48">
        <f>IF(Учет!$O1944=Справочники!$F$6,Учет!$H1944,0)</f>
        <v>0</v>
      </c>
      <c r="V1944" s="43">
        <f>V1943+Учет!Q1944-Q1944</f>
        <v>-488978.92000000004</v>
      </c>
      <c r="W1944" s="43">
        <f>W1943+Учет!R1944-R1944</f>
        <v>336855</v>
      </c>
      <c r="X1944" s="43">
        <f>X1943+Учет!S1944-S1944</f>
        <v>500</v>
      </c>
      <c r="Y1944" s="43">
        <f>Y1943+Учет!T1944-T1944</f>
        <v>1150</v>
      </c>
      <c r="Z1944" s="43">
        <f>Z1943+Учет!U1944-U1944</f>
        <v>500000</v>
      </c>
      <c r="AA1944" s="45">
        <f>Учет!X1944</f>
        <v>500</v>
      </c>
    </row>
    <row r="1945" spans="1:27" ht="15" customHeight="1" x14ac:dyDescent="0.25">
      <c r="A1945" s="1"/>
      <c r="B1945" s="17"/>
      <c r="C1945" s="17"/>
      <c r="D1945" s="17"/>
      <c r="E1945" s="17"/>
      <c r="F1945" s="17"/>
      <c r="G1945" s="4">
        <f t="shared" si="87"/>
        <v>0</v>
      </c>
      <c r="H1945" s="17"/>
      <c r="I1945" s="4">
        <f t="shared" si="89"/>
        <v>349526.07999999996</v>
      </c>
      <c r="J1945" s="32" t="str">
        <f t="shared" si="88"/>
        <v/>
      </c>
      <c r="K1945" s="72"/>
      <c r="L1945" s="72"/>
      <c r="M1945" s="2"/>
      <c r="N1945" s="5"/>
      <c r="O1945" s="3"/>
      <c r="P1945" s="6"/>
      <c r="Q1945" s="48">
        <f>IF(Учет!$O1945=Справочники!$F$2,Учет!$H1945,0)</f>
        <v>0</v>
      </c>
      <c r="R1945" s="48">
        <f>IF(Учет!$O1945=Справочники!$F$3,Учет!$H1945,0)</f>
        <v>0</v>
      </c>
      <c r="S1945" s="48">
        <f>IF(Учет!$O1945=Справочники!$F$4,Учет!$H1945,0)</f>
        <v>0</v>
      </c>
      <c r="T1945" s="48">
        <f>IF(Учет!$O1945=Справочники!$F$5,Учет!$H1945,0)</f>
        <v>0</v>
      </c>
      <c r="U1945" s="48">
        <f>IF(Учет!$O1945=Справочники!$F$6,Учет!$H1945,0)</f>
        <v>0</v>
      </c>
      <c r="V1945" s="43">
        <f>V1944+Учет!Q1945-Q1945</f>
        <v>-488978.92000000004</v>
      </c>
      <c r="W1945" s="43">
        <f>W1944+Учет!R1945-R1945</f>
        <v>336855</v>
      </c>
      <c r="X1945" s="43">
        <f>X1944+Учет!S1945-S1945</f>
        <v>500</v>
      </c>
      <c r="Y1945" s="43">
        <f>Y1944+Учет!T1945-T1945</f>
        <v>1150</v>
      </c>
      <c r="Z1945" s="43">
        <f>Z1944+Учет!U1945-U1945</f>
        <v>500000</v>
      </c>
      <c r="AA1945" s="45">
        <f>Учет!X1945</f>
        <v>500</v>
      </c>
    </row>
    <row r="1946" spans="1:27" ht="15" customHeight="1" x14ac:dyDescent="0.25">
      <c r="A1946" s="1"/>
      <c r="B1946" s="17"/>
      <c r="C1946" s="17"/>
      <c r="D1946" s="17"/>
      <c r="E1946" s="17"/>
      <c r="F1946" s="17"/>
      <c r="G1946" s="4">
        <f t="shared" si="87"/>
        <v>0</v>
      </c>
      <c r="H1946" s="17"/>
      <c r="I1946" s="4">
        <f t="shared" si="89"/>
        <v>349526.07999999996</v>
      </c>
      <c r="J1946" s="32" t="str">
        <f t="shared" si="88"/>
        <v/>
      </c>
      <c r="K1946" s="72"/>
      <c r="L1946" s="72"/>
      <c r="M1946" s="2"/>
      <c r="N1946" s="5"/>
      <c r="O1946" s="3"/>
      <c r="P1946" s="6"/>
      <c r="Q1946" s="48">
        <f>IF(Учет!$O1946=Справочники!$F$2,Учет!$H1946,0)</f>
        <v>0</v>
      </c>
      <c r="R1946" s="48">
        <f>IF(Учет!$O1946=Справочники!$F$3,Учет!$H1946,0)</f>
        <v>0</v>
      </c>
      <c r="S1946" s="48">
        <f>IF(Учет!$O1946=Справочники!$F$4,Учет!$H1946,0)</f>
        <v>0</v>
      </c>
      <c r="T1946" s="48">
        <f>IF(Учет!$O1946=Справочники!$F$5,Учет!$H1946,0)</f>
        <v>0</v>
      </c>
      <c r="U1946" s="48">
        <f>IF(Учет!$O1946=Справочники!$F$6,Учет!$H1946,0)</f>
        <v>0</v>
      </c>
      <c r="V1946" s="43">
        <f>V1945+Учет!Q1946-Q1946</f>
        <v>-488978.92000000004</v>
      </c>
      <c r="W1946" s="43">
        <f>W1945+Учет!R1946-R1946</f>
        <v>336855</v>
      </c>
      <c r="X1946" s="43">
        <f>X1945+Учет!S1946-S1946</f>
        <v>500</v>
      </c>
      <c r="Y1946" s="43">
        <f>Y1945+Учет!T1946-T1946</f>
        <v>1150</v>
      </c>
      <c r="Z1946" s="43">
        <f>Z1945+Учет!U1946-U1946</f>
        <v>500000</v>
      </c>
      <c r="AA1946" s="45">
        <f>Учет!X1946</f>
        <v>500</v>
      </c>
    </row>
    <row r="1947" spans="1:27" ht="15" customHeight="1" x14ac:dyDescent="0.25">
      <c r="A1947" s="1"/>
      <c r="B1947" s="17"/>
      <c r="C1947" s="17"/>
      <c r="D1947" s="17"/>
      <c r="E1947" s="17"/>
      <c r="F1947" s="17"/>
      <c r="G1947" s="4">
        <f t="shared" si="87"/>
        <v>0</v>
      </c>
      <c r="H1947" s="17"/>
      <c r="I1947" s="4">
        <f t="shared" si="89"/>
        <v>349526.07999999996</v>
      </c>
      <c r="J1947" s="32" t="str">
        <f t="shared" si="88"/>
        <v/>
      </c>
      <c r="K1947" s="72"/>
      <c r="L1947" s="72"/>
      <c r="M1947" s="2"/>
      <c r="N1947" s="5"/>
      <c r="O1947" s="3"/>
      <c r="P1947" s="6"/>
      <c r="Q1947" s="48">
        <f>IF(Учет!$O1947=Справочники!$F$2,Учет!$H1947,0)</f>
        <v>0</v>
      </c>
      <c r="R1947" s="48">
        <f>IF(Учет!$O1947=Справочники!$F$3,Учет!$H1947,0)</f>
        <v>0</v>
      </c>
      <c r="S1947" s="48">
        <f>IF(Учет!$O1947=Справочники!$F$4,Учет!$H1947,0)</f>
        <v>0</v>
      </c>
      <c r="T1947" s="48">
        <f>IF(Учет!$O1947=Справочники!$F$5,Учет!$H1947,0)</f>
        <v>0</v>
      </c>
      <c r="U1947" s="48">
        <f>IF(Учет!$O1947=Справочники!$F$6,Учет!$H1947,0)</f>
        <v>0</v>
      </c>
      <c r="V1947" s="43">
        <f>V1946+Учет!Q1947-Q1947</f>
        <v>-488978.92000000004</v>
      </c>
      <c r="W1947" s="43">
        <f>W1946+Учет!R1947-R1947</f>
        <v>336855</v>
      </c>
      <c r="X1947" s="43">
        <f>X1946+Учет!S1947-S1947</f>
        <v>500</v>
      </c>
      <c r="Y1947" s="43">
        <f>Y1946+Учет!T1947-T1947</f>
        <v>1150</v>
      </c>
      <c r="Z1947" s="43">
        <f>Z1946+Учет!U1947-U1947</f>
        <v>500000</v>
      </c>
      <c r="AA1947" s="45">
        <f>Учет!X1947</f>
        <v>500</v>
      </c>
    </row>
    <row r="1948" spans="1:27" ht="15" customHeight="1" x14ac:dyDescent="0.25">
      <c r="A1948" s="1"/>
      <c r="B1948" s="17"/>
      <c r="C1948" s="17"/>
      <c r="D1948" s="17"/>
      <c r="E1948" s="17"/>
      <c r="F1948" s="17"/>
      <c r="G1948" s="4">
        <f t="shared" si="87"/>
        <v>0</v>
      </c>
      <c r="H1948" s="17"/>
      <c r="I1948" s="4">
        <f t="shared" si="89"/>
        <v>349526.07999999996</v>
      </c>
      <c r="J1948" s="32" t="str">
        <f t="shared" si="88"/>
        <v/>
      </c>
      <c r="K1948" s="72"/>
      <c r="L1948" s="72"/>
      <c r="M1948" s="2"/>
      <c r="N1948" s="5"/>
      <c r="O1948" s="3"/>
      <c r="P1948" s="6"/>
      <c r="Q1948" s="48">
        <f>IF(Учет!$O1948=Справочники!$F$2,Учет!$H1948,0)</f>
        <v>0</v>
      </c>
      <c r="R1948" s="48">
        <f>IF(Учет!$O1948=Справочники!$F$3,Учет!$H1948,0)</f>
        <v>0</v>
      </c>
      <c r="S1948" s="48">
        <f>IF(Учет!$O1948=Справочники!$F$4,Учет!$H1948,0)</f>
        <v>0</v>
      </c>
      <c r="T1948" s="48">
        <f>IF(Учет!$O1948=Справочники!$F$5,Учет!$H1948,0)</f>
        <v>0</v>
      </c>
      <c r="U1948" s="48">
        <f>IF(Учет!$O1948=Справочники!$F$6,Учет!$H1948,0)</f>
        <v>0</v>
      </c>
      <c r="V1948" s="43">
        <f>V1947+Учет!Q1948-Q1948</f>
        <v>-488978.92000000004</v>
      </c>
      <c r="W1948" s="43">
        <f>W1947+Учет!R1948-R1948</f>
        <v>336855</v>
      </c>
      <c r="X1948" s="43">
        <f>X1947+Учет!S1948-S1948</f>
        <v>500</v>
      </c>
      <c r="Y1948" s="43">
        <f>Y1947+Учет!T1948-T1948</f>
        <v>1150</v>
      </c>
      <c r="Z1948" s="43">
        <f>Z1947+Учет!U1948-U1948</f>
        <v>500000</v>
      </c>
      <c r="AA1948" s="45">
        <f>Учет!X1948</f>
        <v>500</v>
      </c>
    </row>
    <row r="1949" spans="1:27" ht="15" customHeight="1" x14ac:dyDescent="0.25">
      <c r="A1949" s="1"/>
      <c r="B1949" s="17"/>
      <c r="C1949" s="17"/>
      <c r="D1949" s="17"/>
      <c r="E1949" s="17"/>
      <c r="F1949" s="17"/>
      <c r="G1949" s="4">
        <f t="shared" si="87"/>
        <v>0</v>
      </c>
      <c r="H1949" s="17"/>
      <c r="I1949" s="4">
        <f t="shared" si="89"/>
        <v>349526.07999999996</v>
      </c>
      <c r="J1949" s="32" t="str">
        <f t="shared" si="88"/>
        <v/>
      </c>
      <c r="K1949" s="72"/>
      <c r="L1949" s="72"/>
      <c r="M1949" s="2"/>
      <c r="N1949" s="5"/>
      <c r="O1949" s="3"/>
      <c r="P1949" s="6"/>
      <c r="Q1949" s="48">
        <f>IF(Учет!$O1949=Справочники!$F$2,Учет!$H1949,0)</f>
        <v>0</v>
      </c>
      <c r="R1949" s="48">
        <f>IF(Учет!$O1949=Справочники!$F$3,Учет!$H1949,0)</f>
        <v>0</v>
      </c>
      <c r="S1949" s="48">
        <f>IF(Учет!$O1949=Справочники!$F$4,Учет!$H1949,0)</f>
        <v>0</v>
      </c>
      <c r="T1949" s="48">
        <f>IF(Учет!$O1949=Справочники!$F$5,Учет!$H1949,0)</f>
        <v>0</v>
      </c>
      <c r="U1949" s="48">
        <f>IF(Учет!$O1949=Справочники!$F$6,Учет!$H1949,0)</f>
        <v>0</v>
      </c>
      <c r="V1949" s="43">
        <f>V1948+Учет!Q1949-Q1949</f>
        <v>-488978.92000000004</v>
      </c>
      <c r="W1949" s="43">
        <f>W1948+Учет!R1949-R1949</f>
        <v>336855</v>
      </c>
      <c r="X1949" s="43">
        <f>X1948+Учет!S1949-S1949</f>
        <v>500</v>
      </c>
      <c r="Y1949" s="43">
        <f>Y1948+Учет!T1949-T1949</f>
        <v>1150</v>
      </c>
      <c r="Z1949" s="43">
        <f>Z1948+Учет!U1949-U1949</f>
        <v>500000</v>
      </c>
      <c r="AA1949" s="45">
        <f>Учет!X1949</f>
        <v>500</v>
      </c>
    </row>
    <row r="1950" spans="1:27" ht="15" customHeight="1" x14ac:dyDescent="0.25">
      <c r="A1950" s="1"/>
      <c r="B1950" s="17"/>
      <c r="C1950" s="17"/>
      <c r="D1950" s="17"/>
      <c r="E1950" s="17"/>
      <c r="F1950" s="17"/>
      <c r="G1950" s="4">
        <f t="shared" si="87"/>
        <v>0</v>
      </c>
      <c r="H1950" s="17"/>
      <c r="I1950" s="4">
        <f t="shared" si="89"/>
        <v>349526.07999999996</v>
      </c>
      <c r="J1950" s="32" t="str">
        <f t="shared" si="88"/>
        <v/>
      </c>
      <c r="K1950" s="72"/>
      <c r="L1950" s="72"/>
      <c r="M1950" s="2"/>
      <c r="N1950" s="5"/>
      <c r="O1950" s="3"/>
      <c r="P1950" s="6"/>
      <c r="Q1950" s="48">
        <f>IF(Учет!$O1950=Справочники!$F$2,Учет!$H1950,0)</f>
        <v>0</v>
      </c>
      <c r="R1950" s="48">
        <f>IF(Учет!$O1950=Справочники!$F$3,Учет!$H1950,0)</f>
        <v>0</v>
      </c>
      <c r="S1950" s="48">
        <f>IF(Учет!$O1950=Справочники!$F$4,Учет!$H1950,0)</f>
        <v>0</v>
      </c>
      <c r="T1950" s="48">
        <f>IF(Учет!$O1950=Справочники!$F$5,Учет!$H1950,0)</f>
        <v>0</v>
      </c>
      <c r="U1950" s="48">
        <f>IF(Учет!$O1950=Справочники!$F$6,Учет!$H1950,0)</f>
        <v>0</v>
      </c>
      <c r="V1950" s="43">
        <f>V1949+Учет!Q1950-Q1950</f>
        <v>-488978.92000000004</v>
      </c>
      <c r="W1950" s="43">
        <f>W1949+Учет!R1950-R1950</f>
        <v>336855</v>
      </c>
      <c r="X1950" s="43">
        <f>X1949+Учет!S1950-S1950</f>
        <v>500</v>
      </c>
      <c r="Y1950" s="43">
        <f>Y1949+Учет!T1950-T1950</f>
        <v>1150</v>
      </c>
      <c r="Z1950" s="43">
        <f>Z1949+Учет!U1950-U1950</f>
        <v>500000</v>
      </c>
      <c r="AA1950" s="45">
        <f>Учет!X1950</f>
        <v>500</v>
      </c>
    </row>
    <row r="1951" spans="1:27" ht="15" customHeight="1" x14ac:dyDescent="0.25">
      <c r="A1951" s="1"/>
      <c r="B1951" s="17"/>
      <c r="C1951" s="17"/>
      <c r="D1951" s="17"/>
      <c r="E1951" s="17"/>
      <c r="F1951" s="17"/>
      <c r="G1951" s="4">
        <f t="shared" si="87"/>
        <v>0</v>
      </c>
      <c r="H1951" s="17"/>
      <c r="I1951" s="4">
        <f t="shared" si="89"/>
        <v>349526.07999999996</v>
      </c>
      <c r="J1951" s="32" t="str">
        <f t="shared" si="88"/>
        <v/>
      </c>
      <c r="K1951" s="72"/>
      <c r="L1951" s="72"/>
      <c r="M1951" s="2"/>
      <c r="N1951" s="5"/>
      <c r="O1951" s="3"/>
      <c r="P1951" s="6"/>
      <c r="Q1951" s="48">
        <f>IF(Учет!$O1951=Справочники!$F$2,Учет!$H1951,0)</f>
        <v>0</v>
      </c>
      <c r="R1951" s="48">
        <f>IF(Учет!$O1951=Справочники!$F$3,Учет!$H1951,0)</f>
        <v>0</v>
      </c>
      <c r="S1951" s="48">
        <f>IF(Учет!$O1951=Справочники!$F$4,Учет!$H1951,0)</f>
        <v>0</v>
      </c>
      <c r="T1951" s="48">
        <f>IF(Учет!$O1951=Справочники!$F$5,Учет!$H1951,0)</f>
        <v>0</v>
      </c>
      <c r="U1951" s="48">
        <f>IF(Учет!$O1951=Справочники!$F$6,Учет!$H1951,0)</f>
        <v>0</v>
      </c>
      <c r="V1951" s="43">
        <f>V1950+Учет!Q1951-Q1951</f>
        <v>-488978.92000000004</v>
      </c>
      <c r="W1951" s="43">
        <f>W1950+Учет!R1951-R1951</f>
        <v>336855</v>
      </c>
      <c r="X1951" s="43">
        <f>X1950+Учет!S1951-S1951</f>
        <v>500</v>
      </c>
      <c r="Y1951" s="43">
        <f>Y1950+Учет!T1951-T1951</f>
        <v>1150</v>
      </c>
      <c r="Z1951" s="43">
        <f>Z1950+Учет!U1951-U1951</f>
        <v>500000</v>
      </c>
      <c r="AA1951" s="45">
        <f>Учет!X1951</f>
        <v>500</v>
      </c>
    </row>
    <row r="1952" spans="1:27" ht="15" customHeight="1" x14ac:dyDescent="0.25">
      <c r="A1952" s="1"/>
      <c r="B1952" s="17"/>
      <c r="C1952" s="17"/>
      <c r="D1952" s="17"/>
      <c r="E1952" s="17"/>
      <c r="F1952" s="17"/>
      <c r="G1952" s="4">
        <f t="shared" si="87"/>
        <v>0</v>
      </c>
      <c r="H1952" s="17"/>
      <c r="I1952" s="4">
        <f t="shared" si="89"/>
        <v>349526.07999999996</v>
      </c>
      <c r="J1952" s="32" t="str">
        <f t="shared" si="88"/>
        <v/>
      </c>
      <c r="K1952" s="72"/>
      <c r="L1952" s="72"/>
      <c r="M1952" s="2"/>
      <c r="N1952" s="5"/>
      <c r="O1952" s="3"/>
      <c r="P1952" s="6"/>
      <c r="Q1952" s="48">
        <f>IF(Учет!$O1952=Справочники!$F$2,Учет!$H1952,0)</f>
        <v>0</v>
      </c>
      <c r="R1952" s="48">
        <f>IF(Учет!$O1952=Справочники!$F$3,Учет!$H1952,0)</f>
        <v>0</v>
      </c>
      <c r="S1952" s="48">
        <f>IF(Учет!$O1952=Справочники!$F$4,Учет!$H1952,0)</f>
        <v>0</v>
      </c>
      <c r="T1952" s="48">
        <f>IF(Учет!$O1952=Справочники!$F$5,Учет!$H1952,0)</f>
        <v>0</v>
      </c>
      <c r="U1952" s="48">
        <f>IF(Учет!$O1952=Справочники!$F$6,Учет!$H1952,0)</f>
        <v>0</v>
      </c>
      <c r="V1952" s="43">
        <f>V1951+Учет!Q1952-Q1952</f>
        <v>-488978.92000000004</v>
      </c>
      <c r="W1952" s="43">
        <f>W1951+Учет!R1952-R1952</f>
        <v>336855</v>
      </c>
      <c r="X1952" s="43">
        <f>X1951+Учет!S1952-S1952</f>
        <v>500</v>
      </c>
      <c r="Y1952" s="43">
        <f>Y1951+Учет!T1952-T1952</f>
        <v>1150</v>
      </c>
      <c r="Z1952" s="43">
        <f>Z1951+Учет!U1952-U1952</f>
        <v>500000</v>
      </c>
      <c r="AA1952" s="45">
        <f>Учет!X1952</f>
        <v>500</v>
      </c>
    </row>
    <row r="1953" spans="1:27" ht="15" customHeight="1" x14ac:dyDescent="0.25">
      <c r="A1953" s="1"/>
      <c r="B1953" s="17"/>
      <c r="C1953" s="17"/>
      <c r="D1953" s="17"/>
      <c r="E1953" s="17"/>
      <c r="F1953" s="17"/>
      <c r="G1953" s="4">
        <f t="shared" si="87"/>
        <v>0</v>
      </c>
      <c r="H1953" s="17"/>
      <c r="I1953" s="4">
        <f t="shared" si="89"/>
        <v>349526.07999999996</v>
      </c>
      <c r="J1953" s="32" t="str">
        <f t="shared" si="88"/>
        <v/>
      </c>
      <c r="K1953" s="72"/>
      <c r="L1953" s="72"/>
      <c r="M1953" s="2"/>
      <c r="N1953" s="5"/>
      <c r="O1953" s="3"/>
      <c r="P1953" s="6"/>
      <c r="Q1953" s="48">
        <f>IF(Учет!$O1953=Справочники!$F$2,Учет!$H1953,0)</f>
        <v>0</v>
      </c>
      <c r="R1953" s="48">
        <f>IF(Учет!$O1953=Справочники!$F$3,Учет!$H1953,0)</f>
        <v>0</v>
      </c>
      <c r="S1953" s="48">
        <f>IF(Учет!$O1953=Справочники!$F$4,Учет!$H1953,0)</f>
        <v>0</v>
      </c>
      <c r="T1953" s="48">
        <f>IF(Учет!$O1953=Справочники!$F$5,Учет!$H1953,0)</f>
        <v>0</v>
      </c>
      <c r="U1953" s="48">
        <f>IF(Учет!$O1953=Справочники!$F$6,Учет!$H1953,0)</f>
        <v>0</v>
      </c>
      <c r="V1953" s="43">
        <f>V1952+Учет!Q1953-Q1953</f>
        <v>-488978.92000000004</v>
      </c>
      <c r="W1953" s="43">
        <f>W1952+Учет!R1953-R1953</f>
        <v>336855</v>
      </c>
      <c r="X1953" s="43">
        <f>X1952+Учет!S1953-S1953</f>
        <v>500</v>
      </c>
      <c r="Y1953" s="43">
        <f>Y1952+Учет!T1953-T1953</f>
        <v>1150</v>
      </c>
      <c r="Z1953" s="43">
        <f>Z1952+Учет!U1953-U1953</f>
        <v>500000</v>
      </c>
      <c r="AA1953" s="45">
        <f>Учет!X1953</f>
        <v>500</v>
      </c>
    </row>
    <row r="1954" spans="1:27" ht="15" customHeight="1" x14ac:dyDescent="0.25">
      <c r="A1954" s="1"/>
      <c r="B1954" s="17"/>
      <c r="C1954" s="17"/>
      <c r="D1954" s="17"/>
      <c r="E1954" s="17"/>
      <c r="F1954" s="17"/>
      <c r="G1954" s="4">
        <f t="shared" si="87"/>
        <v>0</v>
      </c>
      <c r="H1954" s="17"/>
      <c r="I1954" s="4">
        <f t="shared" si="89"/>
        <v>349526.07999999996</v>
      </c>
      <c r="J1954" s="32" t="str">
        <f t="shared" si="88"/>
        <v/>
      </c>
      <c r="K1954" s="72"/>
      <c r="L1954" s="72"/>
      <c r="M1954" s="2"/>
      <c r="N1954" s="5"/>
      <c r="O1954" s="3"/>
      <c r="P1954" s="6"/>
      <c r="Q1954" s="48">
        <f>IF(Учет!$O1954=Справочники!$F$2,Учет!$H1954,0)</f>
        <v>0</v>
      </c>
      <c r="R1954" s="48">
        <f>IF(Учет!$O1954=Справочники!$F$3,Учет!$H1954,0)</f>
        <v>0</v>
      </c>
      <c r="S1954" s="48">
        <f>IF(Учет!$O1954=Справочники!$F$4,Учет!$H1954,0)</f>
        <v>0</v>
      </c>
      <c r="T1954" s="48">
        <f>IF(Учет!$O1954=Справочники!$F$5,Учет!$H1954,0)</f>
        <v>0</v>
      </c>
      <c r="U1954" s="48">
        <f>IF(Учет!$O1954=Справочники!$F$6,Учет!$H1954,0)</f>
        <v>0</v>
      </c>
      <c r="V1954" s="43">
        <f>V1953+Учет!Q1954-Q1954</f>
        <v>-488978.92000000004</v>
      </c>
      <c r="W1954" s="43">
        <f>W1953+Учет!R1954-R1954</f>
        <v>336855</v>
      </c>
      <c r="X1954" s="43">
        <f>X1953+Учет!S1954-S1954</f>
        <v>500</v>
      </c>
      <c r="Y1954" s="43">
        <f>Y1953+Учет!T1954-T1954</f>
        <v>1150</v>
      </c>
      <c r="Z1954" s="43">
        <f>Z1953+Учет!U1954-U1954</f>
        <v>500000</v>
      </c>
      <c r="AA1954" s="45">
        <f>Учет!X1954</f>
        <v>500</v>
      </c>
    </row>
    <row r="1955" spans="1:27" ht="15" customHeight="1" x14ac:dyDescent="0.25">
      <c r="A1955" s="1"/>
      <c r="B1955" s="17"/>
      <c r="C1955" s="17"/>
      <c r="D1955" s="17"/>
      <c r="E1955" s="17"/>
      <c r="F1955" s="17"/>
      <c r="G1955" s="4">
        <f t="shared" si="87"/>
        <v>0</v>
      </c>
      <c r="H1955" s="17"/>
      <c r="I1955" s="4">
        <f t="shared" si="89"/>
        <v>349526.07999999996</v>
      </c>
      <c r="J1955" s="32" t="str">
        <f t="shared" si="88"/>
        <v/>
      </c>
      <c r="K1955" s="72"/>
      <c r="L1955" s="72"/>
      <c r="M1955" s="2"/>
      <c r="N1955" s="5"/>
      <c r="O1955" s="3"/>
      <c r="P1955" s="6"/>
      <c r="Q1955" s="48">
        <f>IF(Учет!$O1955=Справочники!$F$2,Учет!$H1955,0)</f>
        <v>0</v>
      </c>
      <c r="R1955" s="48">
        <f>IF(Учет!$O1955=Справочники!$F$3,Учет!$H1955,0)</f>
        <v>0</v>
      </c>
      <c r="S1955" s="48">
        <f>IF(Учет!$O1955=Справочники!$F$4,Учет!$H1955,0)</f>
        <v>0</v>
      </c>
      <c r="T1955" s="48">
        <f>IF(Учет!$O1955=Справочники!$F$5,Учет!$H1955,0)</f>
        <v>0</v>
      </c>
      <c r="U1955" s="48">
        <f>IF(Учет!$O1955=Справочники!$F$6,Учет!$H1955,0)</f>
        <v>0</v>
      </c>
      <c r="V1955" s="43">
        <f>V1954+Учет!Q1955-Q1955</f>
        <v>-488978.92000000004</v>
      </c>
      <c r="W1955" s="43">
        <f>W1954+Учет!R1955-R1955</f>
        <v>336855</v>
      </c>
      <c r="X1955" s="43">
        <f>X1954+Учет!S1955-S1955</f>
        <v>500</v>
      </c>
      <c r="Y1955" s="43">
        <f>Y1954+Учет!T1955-T1955</f>
        <v>1150</v>
      </c>
      <c r="Z1955" s="43">
        <f>Z1954+Учет!U1955-U1955</f>
        <v>500000</v>
      </c>
      <c r="AA1955" s="45">
        <f>Учет!X1955</f>
        <v>500</v>
      </c>
    </row>
    <row r="1956" spans="1:27" ht="15" customHeight="1" x14ac:dyDescent="0.25">
      <c r="A1956" s="1"/>
      <c r="B1956" s="17"/>
      <c r="C1956" s="17"/>
      <c r="D1956" s="17"/>
      <c r="E1956" s="17"/>
      <c r="F1956" s="17"/>
      <c r="G1956" s="4">
        <f t="shared" si="87"/>
        <v>0</v>
      </c>
      <c r="H1956" s="17"/>
      <c r="I1956" s="4">
        <f t="shared" si="89"/>
        <v>349526.07999999996</v>
      </c>
      <c r="J1956" s="32" t="str">
        <f t="shared" si="88"/>
        <v/>
      </c>
      <c r="K1956" s="72"/>
      <c r="L1956" s="72"/>
      <c r="M1956" s="2"/>
      <c r="N1956" s="5"/>
      <c r="O1956" s="3"/>
      <c r="P1956" s="6"/>
      <c r="Q1956" s="48">
        <f>IF(Учет!$O1956=Справочники!$F$2,Учет!$H1956,0)</f>
        <v>0</v>
      </c>
      <c r="R1956" s="48">
        <f>IF(Учет!$O1956=Справочники!$F$3,Учет!$H1956,0)</f>
        <v>0</v>
      </c>
      <c r="S1956" s="48">
        <f>IF(Учет!$O1956=Справочники!$F$4,Учет!$H1956,0)</f>
        <v>0</v>
      </c>
      <c r="T1956" s="48">
        <f>IF(Учет!$O1956=Справочники!$F$5,Учет!$H1956,0)</f>
        <v>0</v>
      </c>
      <c r="U1956" s="48">
        <f>IF(Учет!$O1956=Справочники!$F$6,Учет!$H1956,0)</f>
        <v>0</v>
      </c>
      <c r="V1956" s="43">
        <f>V1955+Учет!Q1956-Q1956</f>
        <v>-488978.92000000004</v>
      </c>
      <c r="W1956" s="43">
        <f>W1955+Учет!R1956-R1956</f>
        <v>336855</v>
      </c>
      <c r="X1956" s="43">
        <f>X1955+Учет!S1956-S1956</f>
        <v>500</v>
      </c>
      <c r="Y1956" s="43">
        <f>Y1955+Учет!T1956-T1956</f>
        <v>1150</v>
      </c>
      <c r="Z1956" s="43">
        <f>Z1955+Учет!U1956-U1956</f>
        <v>500000</v>
      </c>
      <c r="AA1956" s="45">
        <f>Учет!X1956</f>
        <v>500</v>
      </c>
    </row>
    <row r="1957" spans="1:27" ht="15" customHeight="1" x14ac:dyDescent="0.25">
      <c r="A1957" s="1"/>
      <c r="B1957" s="17"/>
      <c r="C1957" s="17"/>
      <c r="D1957" s="17"/>
      <c r="E1957" s="17"/>
      <c r="F1957" s="17"/>
      <c r="G1957" s="4">
        <f t="shared" si="87"/>
        <v>0</v>
      </c>
      <c r="H1957" s="17"/>
      <c r="I1957" s="4">
        <f t="shared" si="89"/>
        <v>349526.07999999996</v>
      </c>
      <c r="J1957" s="32" t="str">
        <f t="shared" si="88"/>
        <v/>
      </c>
      <c r="K1957" s="72"/>
      <c r="L1957" s="72"/>
      <c r="M1957" s="2"/>
      <c r="N1957" s="5"/>
      <c r="O1957" s="3"/>
      <c r="P1957" s="6"/>
      <c r="Q1957" s="48">
        <f>IF(Учет!$O1957=Справочники!$F$2,Учет!$H1957,0)</f>
        <v>0</v>
      </c>
      <c r="R1957" s="48">
        <f>IF(Учет!$O1957=Справочники!$F$3,Учет!$H1957,0)</f>
        <v>0</v>
      </c>
      <c r="S1957" s="48">
        <f>IF(Учет!$O1957=Справочники!$F$4,Учет!$H1957,0)</f>
        <v>0</v>
      </c>
      <c r="T1957" s="48">
        <f>IF(Учет!$O1957=Справочники!$F$5,Учет!$H1957,0)</f>
        <v>0</v>
      </c>
      <c r="U1957" s="48">
        <f>IF(Учет!$O1957=Справочники!$F$6,Учет!$H1957,0)</f>
        <v>0</v>
      </c>
      <c r="V1957" s="43">
        <f>V1956+Учет!Q1957-Q1957</f>
        <v>-488978.92000000004</v>
      </c>
      <c r="W1957" s="43">
        <f>W1956+Учет!R1957-R1957</f>
        <v>336855</v>
      </c>
      <c r="X1957" s="43">
        <f>X1956+Учет!S1957-S1957</f>
        <v>500</v>
      </c>
      <c r="Y1957" s="43">
        <f>Y1956+Учет!T1957-T1957</f>
        <v>1150</v>
      </c>
      <c r="Z1957" s="43">
        <f>Z1956+Учет!U1957-U1957</f>
        <v>500000</v>
      </c>
      <c r="AA1957" s="45">
        <f>Учет!X1957</f>
        <v>500</v>
      </c>
    </row>
    <row r="1958" spans="1:27" ht="15" customHeight="1" x14ac:dyDescent="0.25">
      <c r="A1958" s="1"/>
      <c r="B1958" s="17"/>
      <c r="C1958" s="17"/>
      <c r="D1958" s="17"/>
      <c r="E1958" s="17"/>
      <c r="F1958" s="17"/>
      <c r="G1958" s="4">
        <f t="shared" si="87"/>
        <v>0</v>
      </c>
      <c r="H1958" s="17"/>
      <c r="I1958" s="4">
        <f t="shared" si="89"/>
        <v>349526.07999999996</v>
      </c>
      <c r="J1958" s="32" t="str">
        <f t="shared" si="88"/>
        <v/>
      </c>
      <c r="K1958" s="72"/>
      <c r="L1958" s="72"/>
      <c r="M1958" s="2"/>
      <c r="N1958" s="5"/>
      <c r="O1958" s="3"/>
      <c r="P1958" s="6"/>
      <c r="Q1958" s="48">
        <f>IF(Учет!$O1958=Справочники!$F$2,Учет!$H1958,0)</f>
        <v>0</v>
      </c>
      <c r="R1958" s="48">
        <f>IF(Учет!$O1958=Справочники!$F$3,Учет!$H1958,0)</f>
        <v>0</v>
      </c>
      <c r="S1958" s="48">
        <f>IF(Учет!$O1958=Справочники!$F$4,Учет!$H1958,0)</f>
        <v>0</v>
      </c>
      <c r="T1958" s="48">
        <f>IF(Учет!$O1958=Справочники!$F$5,Учет!$H1958,0)</f>
        <v>0</v>
      </c>
      <c r="U1958" s="48">
        <f>IF(Учет!$O1958=Справочники!$F$6,Учет!$H1958,0)</f>
        <v>0</v>
      </c>
      <c r="V1958" s="43">
        <f>V1957+Учет!Q1958-Q1958</f>
        <v>-488978.92000000004</v>
      </c>
      <c r="W1958" s="43">
        <f>W1957+Учет!R1958-R1958</f>
        <v>336855</v>
      </c>
      <c r="X1958" s="43">
        <f>X1957+Учет!S1958-S1958</f>
        <v>500</v>
      </c>
      <c r="Y1958" s="43">
        <f>Y1957+Учет!T1958-T1958</f>
        <v>1150</v>
      </c>
      <c r="Z1958" s="43">
        <f>Z1957+Учет!U1958-U1958</f>
        <v>500000</v>
      </c>
      <c r="AA1958" s="45">
        <f>Учет!X1958</f>
        <v>500</v>
      </c>
    </row>
    <row r="1959" spans="1:27" ht="15" customHeight="1" x14ac:dyDescent="0.25">
      <c r="A1959" s="1"/>
      <c r="B1959" s="17"/>
      <c r="C1959" s="17"/>
      <c r="D1959" s="17"/>
      <c r="E1959" s="17"/>
      <c r="F1959" s="17"/>
      <c r="G1959" s="4">
        <f t="shared" si="87"/>
        <v>0</v>
      </c>
      <c r="H1959" s="17"/>
      <c r="I1959" s="4">
        <f t="shared" si="89"/>
        <v>349526.07999999996</v>
      </c>
      <c r="J1959" s="32" t="str">
        <f t="shared" si="88"/>
        <v/>
      </c>
      <c r="K1959" s="72"/>
      <c r="L1959" s="72"/>
      <c r="M1959" s="2"/>
      <c r="N1959" s="5"/>
      <c r="O1959" s="3"/>
      <c r="P1959" s="6"/>
      <c r="Q1959" s="48">
        <f>IF(Учет!$O1959=Справочники!$F$2,Учет!$H1959,0)</f>
        <v>0</v>
      </c>
      <c r="R1959" s="48">
        <f>IF(Учет!$O1959=Справочники!$F$3,Учет!$H1959,0)</f>
        <v>0</v>
      </c>
      <c r="S1959" s="48">
        <f>IF(Учет!$O1959=Справочники!$F$4,Учет!$H1959,0)</f>
        <v>0</v>
      </c>
      <c r="T1959" s="48">
        <f>IF(Учет!$O1959=Справочники!$F$5,Учет!$H1959,0)</f>
        <v>0</v>
      </c>
      <c r="U1959" s="48">
        <f>IF(Учет!$O1959=Справочники!$F$6,Учет!$H1959,0)</f>
        <v>0</v>
      </c>
      <c r="V1959" s="43">
        <f>V1958+Учет!Q1959-Q1959</f>
        <v>-488978.92000000004</v>
      </c>
      <c r="W1959" s="43">
        <f>W1958+Учет!R1959-R1959</f>
        <v>336855</v>
      </c>
      <c r="X1959" s="43">
        <f>X1958+Учет!S1959-S1959</f>
        <v>500</v>
      </c>
      <c r="Y1959" s="43">
        <f>Y1958+Учет!T1959-T1959</f>
        <v>1150</v>
      </c>
      <c r="Z1959" s="43">
        <f>Z1958+Учет!U1959-U1959</f>
        <v>500000</v>
      </c>
      <c r="AA1959" s="45">
        <f>Учет!X1959</f>
        <v>500</v>
      </c>
    </row>
    <row r="1960" spans="1:27" ht="15" customHeight="1" x14ac:dyDescent="0.25">
      <c r="A1960" s="1"/>
      <c r="B1960" s="17"/>
      <c r="C1960" s="17"/>
      <c r="D1960" s="17"/>
      <c r="E1960" s="17"/>
      <c r="F1960" s="17"/>
      <c r="G1960" s="4">
        <f t="shared" si="87"/>
        <v>0</v>
      </c>
      <c r="H1960" s="17"/>
      <c r="I1960" s="4">
        <f t="shared" si="89"/>
        <v>349526.07999999996</v>
      </c>
      <c r="J1960" s="32" t="str">
        <f t="shared" si="88"/>
        <v/>
      </c>
      <c r="K1960" s="72"/>
      <c r="L1960" s="72"/>
      <c r="M1960" s="2"/>
      <c r="N1960" s="5"/>
      <c r="O1960" s="3"/>
      <c r="P1960" s="6"/>
      <c r="Q1960" s="48">
        <f>IF(Учет!$O1960=Справочники!$F$2,Учет!$H1960,0)</f>
        <v>0</v>
      </c>
      <c r="R1960" s="48">
        <f>IF(Учет!$O1960=Справочники!$F$3,Учет!$H1960,0)</f>
        <v>0</v>
      </c>
      <c r="S1960" s="48">
        <f>IF(Учет!$O1960=Справочники!$F$4,Учет!$H1960,0)</f>
        <v>0</v>
      </c>
      <c r="T1960" s="48">
        <f>IF(Учет!$O1960=Справочники!$F$5,Учет!$H1960,0)</f>
        <v>0</v>
      </c>
      <c r="U1960" s="48">
        <f>IF(Учет!$O1960=Справочники!$F$6,Учет!$H1960,0)</f>
        <v>0</v>
      </c>
      <c r="V1960" s="43">
        <f>V1959+Учет!Q1960-Q1960</f>
        <v>-488978.92000000004</v>
      </c>
      <c r="W1960" s="43">
        <f>W1959+Учет!R1960-R1960</f>
        <v>336855</v>
      </c>
      <c r="X1960" s="43">
        <f>X1959+Учет!S1960-S1960</f>
        <v>500</v>
      </c>
      <c r="Y1960" s="43">
        <f>Y1959+Учет!T1960-T1960</f>
        <v>1150</v>
      </c>
      <c r="Z1960" s="43">
        <f>Z1959+Учет!U1960-U1960</f>
        <v>500000</v>
      </c>
      <c r="AA1960" s="45">
        <f>Учет!X1960</f>
        <v>500</v>
      </c>
    </row>
    <row r="1961" spans="1:27" ht="15" customHeight="1" x14ac:dyDescent="0.25">
      <c r="A1961" s="1"/>
      <c r="B1961" s="17"/>
      <c r="C1961" s="17"/>
      <c r="D1961" s="17"/>
      <c r="E1961" s="17"/>
      <c r="F1961" s="17"/>
      <c r="G1961" s="4">
        <f t="shared" si="87"/>
        <v>0</v>
      </c>
      <c r="H1961" s="17"/>
      <c r="I1961" s="4">
        <f t="shared" si="89"/>
        <v>349526.07999999996</v>
      </c>
      <c r="J1961" s="32" t="str">
        <f t="shared" si="88"/>
        <v/>
      </c>
      <c r="K1961" s="72"/>
      <c r="L1961" s="72"/>
      <c r="M1961" s="2"/>
      <c r="N1961" s="5"/>
      <c r="O1961" s="3"/>
      <c r="P1961" s="6"/>
      <c r="Q1961" s="48">
        <f>IF(Учет!$O1961=Справочники!$F$2,Учет!$H1961,0)</f>
        <v>0</v>
      </c>
      <c r="R1961" s="48">
        <f>IF(Учет!$O1961=Справочники!$F$3,Учет!$H1961,0)</f>
        <v>0</v>
      </c>
      <c r="S1961" s="48">
        <f>IF(Учет!$O1961=Справочники!$F$4,Учет!$H1961,0)</f>
        <v>0</v>
      </c>
      <c r="T1961" s="48">
        <f>IF(Учет!$O1961=Справочники!$F$5,Учет!$H1961,0)</f>
        <v>0</v>
      </c>
      <c r="U1961" s="48">
        <f>IF(Учет!$O1961=Справочники!$F$6,Учет!$H1961,0)</f>
        <v>0</v>
      </c>
      <c r="V1961" s="43">
        <f>V1960+Учет!Q1961-Q1961</f>
        <v>-488978.92000000004</v>
      </c>
      <c r="W1961" s="43">
        <f>W1960+Учет!R1961-R1961</f>
        <v>336855</v>
      </c>
      <c r="X1961" s="43">
        <f>X1960+Учет!S1961-S1961</f>
        <v>500</v>
      </c>
      <c r="Y1961" s="43">
        <f>Y1960+Учет!T1961-T1961</f>
        <v>1150</v>
      </c>
      <c r="Z1961" s="43">
        <f>Z1960+Учет!U1961-U1961</f>
        <v>500000</v>
      </c>
      <c r="AA1961" s="45">
        <f>Учет!X1961</f>
        <v>500</v>
      </c>
    </row>
    <row r="1962" spans="1:27" ht="15" customHeight="1" x14ac:dyDescent="0.25">
      <c r="A1962" s="1"/>
      <c r="B1962" s="17"/>
      <c r="C1962" s="17"/>
      <c r="D1962" s="17"/>
      <c r="E1962" s="17"/>
      <c r="F1962" s="17"/>
      <c r="G1962" s="4">
        <f t="shared" si="87"/>
        <v>0</v>
      </c>
      <c r="H1962" s="17"/>
      <c r="I1962" s="4">
        <f t="shared" si="89"/>
        <v>349526.07999999996</v>
      </c>
      <c r="J1962" s="32" t="str">
        <f t="shared" si="88"/>
        <v/>
      </c>
      <c r="K1962" s="72"/>
      <c r="L1962" s="72"/>
      <c r="M1962" s="2"/>
      <c r="N1962" s="5"/>
      <c r="O1962" s="3"/>
      <c r="P1962" s="6"/>
      <c r="Q1962" s="48">
        <f>IF(Учет!$O1962=Справочники!$F$2,Учет!$H1962,0)</f>
        <v>0</v>
      </c>
      <c r="R1962" s="48">
        <f>IF(Учет!$O1962=Справочники!$F$3,Учет!$H1962,0)</f>
        <v>0</v>
      </c>
      <c r="S1962" s="48">
        <f>IF(Учет!$O1962=Справочники!$F$4,Учет!$H1962,0)</f>
        <v>0</v>
      </c>
      <c r="T1962" s="48">
        <f>IF(Учет!$O1962=Справочники!$F$5,Учет!$H1962,0)</f>
        <v>0</v>
      </c>
      <c r="U1962" s="48">
        <f>IF(Учет!$O1962=Справочники!$F$6,Учет!$H1962,0)</f>
        <v>0</v>
      </c>
      <c r="V1962" s="43">
        <f>V1961+Учет!Q1962-Q1962</f>
        <v>-488978.92000000004</v>
      </c>
      <c r="W1962" s="43">
        <f>W1961+Учет!R1962-R1962</f>
        <v>336855</v>
      </c>
      <c r="X1962" s="43">
        <f>X1961+Учет!S1962-S1962</f>
        <v>500</v>
      </c>
      <c r="Y1962" s="43">
        <f>Y1961+Учет!T1962-T1962</f>
        <v>1150</v>
      </c>
      <c r="Z1962" s="43">
        <f>Z1961+Учет!U1962-U1962</f>
        <v>500000</v>
      </c>
      <c r="AA1962" s="45">
        <f>Учет!X1962</f>
        <v>500</v>
      </c>
    </row>
    <row r="1963" spans="1:27" ht="15" customHeight="1" x14ac:dyDescent="0.25">
      <c r="A1963" s="1"/>
      <c r="B1963" s="17"/>
      <c r="C1963" s="17"/>
      <c r="D1963" s="17"/>
      <c r="E1963" s="17"/>
      <c r="F1963" s="17"/>
      <c r="G1963" s="4">
        <f t="shared" si="87"/>
        <v>0</v>
      </c>
      <c r="H1963" s="17"/>
      <c r="I1963" s="4">
        <f t="shared" si="89"/>
        <v>349526.07999999996</v>
      </c>
      <c r="J1963" s="32" t="str">
        <f t="shared" si="88"/>
        <v/>
      </c>
      <c r="K1963" s="72"/>
      <c r="L1963" s="72"/>
      <c r="M1963" s="2"/>
      <c r="N1963" s="5"/>
      <c r="O1963" s="3"/>
      <c r="P1963" s="6"/>
      <c r="Q1963" s="48">
        <f>IF(Учет!$O1963=Справочники!$F$2,Учет!$H1963,0)</f>
        <v>0</v>
      </c>
      <c r="R1963" s="48">
        <f>IF(Учет!$O1963=Справочники!$F$3,Учет!$H1963,0)</f>
        <v>0</v>
      </c>
      <c r="S1963" s="48">
        <f>IF(Учет!$O1963=Справочники!$F$4,Учет!$H1963,0)</f>
        <v>0</v>
      </c>
      <c r="T1963" s="48">
        <f>IF(Учет!$O1963=Справочники!$F$5,Учет!$H1963,0)</f>
        <v>0</v>
      </c>
      <c r="U1963" s="48">
        <f>IF(Учет!$O1963=Справочники!$F$6,Учет!$H1963,0)</f>
        <v>0</v>
      </c>
      <c r="V1963" s="43">
        <f>V1962+Учет!Q1963-Q1963</f>
        <v>-488978.92000000004</v>
      </c>
      <c r="W1963" s="43">
        <f>W1962+Учет!R1963-R1963</f>
        <v>336855</v>
      </c>
      <c r="X1963" s="43">
        <f>X1962+Учет!S1963-S1963</f>
        <v>500</v>
      </c>
      <c r="Y1963" s="43">
        <f>Y1962+Учет!T1963-T1963</f>
        <v>1150</v>
      </c>
      <c r="Z1963" s="43">
        <f>Z1962+Учет!U1963-U1963</f>
        <v>500000</v>
      </c>
      <c r="AA1963" s="45">
        <f>Учет!X1963</f>
        <v>500</v>
      </c>
    </row>
    <row r="1964" spans="1:27" ht="15" customHeight="1" x14ac:dyDescent="0.25">
      <c r="A1964" s="1"/>
      <c r="B1964" s="17"/>
      <c r="C1964" s="17"/>
      <c r="D1964" s="17"/>
      <c r="E1964" s="17"/>
      <c r="F1964" s="17"/>
      <c r="G1964" s="4">
        <f t="shared" si="87"/>
        <v>0</v>
      </c>
      <c r="H1964" s="17"/>
      <c r="I1964" s="4">
        <f t="shared" si="89"/>
        <v>349526.07999999996</v>
      </c>
      <c r="J1964" s="32" t="str">
        <f t="shared" si="88"/>
        <v/>
      </c>
      <c r="K1964" s="72"/>
      <c r="L1964" s="72"/>
      <c r="M1964" s="2"/>
      <c r="N1964" s="5"/>
      <c r="O1964" s="3"/>
      <c r="P1964" s="6"/>
      <c r="Q1964" s="48">
        <f>IF(Учет!$O1964=Справочники!$F$2,Учет!$H1964,0)</f>
        <v>0</v>
      </c>
      <c r="R1964" s="48">
        <f>IF(Учет!$O1964=Справочники!$F$3,Учет!$H1964,0)</f>
        <v>0</v>
      </c>
      <c r="S1964" s="48">
        <f>IF(Учет!$O1964=Справочники!$F$4,Учет!$H1964,0)</f>
        <v>0</v>
      </c>
      <c r="T1964" s="48">
        <f>IF(Учет!$O1964=Справочники!$F$5,Учет!$H1964,0)</f>
        <v>0</v>
      </c>
      <c r="U1964" s="48">
        <f>IF(Учет!$O1964=Справочники!$F$6,Учет!$H1964,0)</f>
        <v>0</v>
      </c>
      <c r="V1964" s="43">
        <f>V1963+Учет!Q1964-Q1964</f>
        <v>-488978.92000000004</v>
      </c>
      <c r="W1964" s="43">
        <f>W1963+Учет!R1964-R1964</f>
        <v>336855</v>
      </c>
      <c r="X1964" s="43">
        <f>X1963+Учет!S1964-S1964</f>
        <v>500</v>
      </c>
      <c r="Y1964" s="43">
        <f>Y1963+Учет!T1964-T1964</f>
        <v>1150</v>
      </c>
      <c r="Z1964" s="43">
        <f>Z1963+Учет!U1964-U1964</f>
        <v>500000</v>
      </c>
      <c r="AA1964" s="45">
        <f>Учет!X1964</f>
        <v>500</v>
      </c>
    </row>
    <row r="1965" spans="1:27" ht="15" customHeight="1" x14ac:dyDescent="0.25">
      <c r="A1965" s="1"/>
      <c r="B1965" s="17"/>
      <c r="C1965" s="17"/>
      <c r="D1965" s="17"/>
      <c r="E1965" s="17"/>
      <c r="F1965" s="17"/>
      <c r="G1965" s="4">
        <f t="shared" si="87"/>
        <v>0</v>
      </c>
      <c r="H1965" s="17"/>
      <c r="I1965" s="4">
        <f t="shared" si="89"/>
        <v>349526.07999999996</v>
      </c>
      <c r="J1965" s="32" t="str">
        <f t="shared" si="88"/>
        <v/>
      </c>
      <c r="K1965" s="72"/>
      <c r="L1965" s="72"/>
      <c r="M1965" s="2"/>
      <c r="N1965" s="5"/>
      <c r="O1965" s="3"/>
      <c r="P1965" s="6"/>
      <c r="Q1965" s="48">
        <f>IF(Учет!$O1965=Справочники!$F$2,Учет!$H1965,0)</f>
        <v>0</v>
      </c>
      <c r="R1965" s="48">
        <f>IF(Учет!$O1965=Справочники!$F$3,Учет!$H1965,0)</f>
        <v>0</v>
      </c>
      <c r="S1965" s="48">
        <f>IF(Учет!$O1965=Справочники!$F$4,Учет!$H1965,0)</f>
        <v>0</v>
      </c>
      <c r="T1965" s="48">
        <f>IF(Учет!$O1965=Справочники!$F$5,Учет!$H1965,0)</f>
        <v>0</v>
      </c>
      <c r="U1965" s="48">
        <f>IF(Учет!$O1965=Справочники!$F$6,Учет!$H1965,0)</f>
        <v>0</v>
      </c>
      <c r="V1965" s="43">
        <f>V1964+Учет!Q1965-Q1965</f>
        <v>-488978.92000000004</v>
      </c>
      <c r="W1965" s="43">
        <f>W1964+Учет!R1965-R1965</f>
        <v>336855</v>
      </c>
      <c r="X1965" s="43">
        <f>X1964+Учет!S1965-S1965</f>
        <v>500</v>
      </c>
      <c r="Y1965" s="43">
        <f>Y1964+Учет!T1965-T1965</f>
        <v>1150</v>
      </c>
      <c r="Z1965" s="43">
        <f>Z1964+Учет!U1965-U1965</f>
        <v>500000</v>
      </c>
      <c r="AA1965" s="45">
        <f>Учет!X1965</f>
        <v>500</v>
      </c>
    </row>
    <row r="1966" spans="1:27" ht="15" customHeight="1" x14ac:dyDescent="0.25">
      <c r="A1966" s="1"/>
      <c r="B1966" s="17"/>
      <c r="C1966" s="17"/>
      <c r="D1966" s="17"/>
      <c r="E1966" s="17"/>
      <c r="F1966" s="17"/>
      <c r="G1966" s="4">
        <f t="shared" si="87"/>
        <v>0</v>
      </c>
      <c r="H1966" s="17"/>
      <c r="I1966" s="4">
        <f t="shared" si="89"/>
        <v>349526.07999999996</v>
      </c>
      <c r="J1966" s="32" t="str">
        <f t="shared" si="88"/>
        <v/>
      </c>
      <c r="K1966" s="72"/>
      <c r="L1966" s="72"/>
      <c r="M1966" s="2"/>
      <c r="N1966" s="5"/>
      <c r="O1966" s="3"/>
      <c r="P1966" s="6"/>
      <c r="Q1966" s="48">
        <f>IF(Учет!$O1966=Справочники!$F$2,Учет!$H1966,0)</f>
        <v>0</v>
      </c>
      <c r="R1966" s="48">
        <f>IF(Учет!$O1966=Справочники!$F$3,Учет!$H1966,0)</f>
        <v>0</v>
      </c>
      <c r="S1966" s="48">
        <f>IF(Учет!$O1966=Справочники!$F$4,Учет!$H1966,0)</f>
        <v>0</v>
      </c>
      <c r="T1966" s="48">
        <f>IF(Учет!$O1966=Справочники!$F$5,Учет!$H1966,0)</f>
        <v>0</v>
      </c>
      <c r="U1966" s="48">
        <f>IF(Учет!$O1966=Справочники!$F$6,Учет!$H1966,0)</f>
        <v>0</v>
      </c>
      <c r="V1966" s="43">
        <f>V1965+Учет!Q1966-Q1966</f>
        <v>-488978.92000000004</v>
      </c>
      <c r="W1966" s="43">
        <f>W1965+Учет!R1966-R1966</f>
        <v>336855</v>
      </c>
      <c r="X1966" s="43">
        <f>X1965+Учет!S1966-S1966</f>
        <v>500</v>
      </c>
      <c r="Y1966" s="43">
        <f>Y1965+Учет!T1966-T1966</f>
        <v>1150</v>
      </c>
      <c r="Z1966" s="43">
        <f>Z1965+Учет!U1966-U1966</f>
        <v>500000</v>
      </c>
      <c r="AA1966" s="45">
        <f>Учет!X1966</f>
        <v>500</v>
      </c>
    </row>
    <row r="1967" spans="1:27" ht="15" customHeight="1" x14ac:dyDescent="0.25">
      <c r="A1967" s="1"/>
      <c r="B1967" s="17"/>
      <c r="C1967" s="17"/>
      <c r="D1967" s="17"/>
      <c r="E1967" s="17"/>
      <c r="F1967" s="17"/>
      <c r="G1967" s="4">
        <f t="shared" si="87"/>
        <v>0</v>
      </c>
      <c r="H1967" s="17"/>
      <c r="I1967" s="4">
        <f t="shared" si="89"/>
        <v>349526.07999999996</v>
      </c>
      <c r="J1967" s="32" t="str">
        <f t="shared" si="88"/>
        <v/>
      </c>
      <c r="K1967" s="72"/>
      <c r="L1967" s="72"/>
      <c r="M1967" s="2"/>
      <c r="N1967" s="5"/>
      <c r="O1967" s="3"/>
      <c r="P1967" s="6"/>
      <c r="Q1967" s="48">
        <f>IF(Учет!$O1967=Справочники!$F$2,Учет!$H1967,0)</f>
        <v>0</v>
      </c>
      <c r="R1967" s="48">
        <f>IF(Учет!$O1967=Справочники!$F$3,Учет!$H1967,0)</f>
        <v>0</v>
      </c>
      <c r="S1967" s="48">
        <f>IF(Учет!$O1967=Справочники!$F$4,Учет!$H1967,0)</f>
        <v>0</v>
      </c>
      <c r="T1967" s="48">
        <f>IF(Учет!$O1967=Справочники!$F$5,Учет!$H1967,0)</f>
        <v>0</v>
      </c>
      <c r="U1967" s="48">
        <f>IF(Учет!$O1967=Справочники!$F$6,Учет!$H1967,0)</f>
        <v>0</v>
      </c>
      <c r="V1967" s="43">
        <f>V1966+Учет!Q1967-Q1967</f>
        <v>-488978.92000000004</v>
      </c>
      <c r="W1967" s="43">
        <f>W1966+Учет!R1967-R1967</f>
        <v>336855</v>
      </c>
      <c r="X1967" s="43">
        <f>X1966+Учет!S1967-S1967</f>
        <v>500</v>
      </c>
      <c r="Y1967" s="43">
        <f>Y1966+Учет!T1967-T1967</f>
        <v>1150</v>
      </c>
      <c r="Z1967" s="43">
        <f>Z1966+Учет!U1967-U1967</f>
        <v>500000</v>
      </c>
      <c r="AA1967" s="45">
        <f>Учет!X1967</f>
        <v>500</v>
      </c>
    </row>
    <row r="1968" spans="1:27" ht="15" customHeight="1" x14ac:dyDescent="0.25">
      <c r="A1968" s="1"/>
      <c r="B1968" s="17"/>
      <c r="C1968" s="17"/>
      <c r="D1968" s="17"/>
      <c r="E1968" s="17"/>
      <c r="F1968" s="17"/>
      <c r="G1968" s="4">
        <f t="shared" si="87"/>
        <v>0</v>
      </c>
      <c r="H1968" s="17"/>
      <c r="I1968" s="4">
        <f t="shared" si="89"/>
        <v>349526.07999999996</v>
      </c>
      <c r="J1968" s="32" t="str">
        <f t="shared" si="88"/>
        <v/>
      </c>
      <c r="K1968" s="72"/>
      <c r="L1968" s="72"/>
      <c r="M1968" s="2"/>
      <c r="N1968" s="5"/>
      <c r="O1968" s="3"/>
      <c r="P1968" s="6"/>
      <c r="Q1968" s="48">
        <f>IF(Учет!$O1968=Справочники!$F$2,Учет!$H1968,0)</f>
        <v>0</v>
      </c>
      <c r="R1968" s="48">
        <f>IF(Учет!$O1968=Справочники!$F$3,Учет!$H1968,0)</f>
        <v>0</v>
      </c>
      <c r="S1968" s="48">
        <f>IF(Учет!$O1968=Справочники!$F$4,Учет!$H1968,0)</f>
        <v>0</v>
      </c>
      <c r="T1968" s="48">
        <f>IF(Учет!$O1968=Справочники!$F$5,Учет!$H1968,0)</f>
        <v>0</v>
      </c>
      <c r="U1968" s="48">
        <f>IF(Учет!$O1968=Справочники!$F$6,Учет!$H1968,0)</f>
        <v>0</v>
      </c>
      <c r="V1968" s="43">
        <f>V1967+Учет!Q1968-Q1968</f>
        <v>-488978.92000000004</v>
      </c>
      <c r="W1968" s="43">
        <f>W1967+Учет!R1968-R1968</f>
        <v>336855</v>
      </c>
      <c r="X1968" s="43">
        <f>X1967+Учет!S1968-S1968</f>
        <v>500</v>
      </c>
      <c r="Y1968" s="43">
        <f>Y1967+Учет!T1968-T1968</f>
        <v>1150</v>
      </c>
      <c r="Z1968" s="43">
        <f>Z1967+Учет!U1968-U1968</f>
        <v>500000</v>
      </c>
      <c r="AA1968" s="45">
        <f>Учет!X1968</f>
        <v>500</v>
      </c>
    </row>
    <row r="1969" spans="1:27" ht="15" customHeight="1" x14ac:dyDescent="0.25">
      <c r="A1969" s="1"/>
      <c r="B1969" s="17"/>
      <c r="C1969" s="17"/>
      <c r="D1969" s="17"/>
      <c r="E1969" s="17"/>
      <c r="F1969" s="17"/>
      <c r="G1969" s="4">
        <f t="shared" si="87"/>
        <v>0</v>
      </c>
      <c r="H1969" s="17"/>
      <c r="I1969" s="4">
        <f t="shared" si="89"/>
        <v>349526.07999999996</v>
      </c>
      <c r="J1969" s="32" t="str">
        <f t="shared" si="88"/>
        <v/>
      </c>
      <c r="K1969" s="72"/>
      <c r="L1969" s="72"/>
      <c r="M1969" s="2"/>
      <c r="N1969" s="5"/>
      <c r="O1969" s="3"/>
      <c r="P1969" s="6"/>
      <c r="Q1969" s="48">
        <f>IF(Учет!$O1969=Справочники!$F$2,Учет!$H1969,0)</f>
        <v>0</v>
      </c>
      <c r="R1969" s="48">
        <f>IF(Учет!$O1969=Справочники!$F$3,Учет!$H1969,0)</f>
        <v>0</v>
      </c>
      <c r="S1969" s="48">
        <f>IF(Учет!$O1969=Справочники!$F$4,Учет!$H1969,0)</f>
        <v>0</v>
      </c>
      <c r="T1969" s="48">
        <f>IF(Учет!$O1969=Справочники!$F$5,Учет!$H1969,0)</f>
        <v>0</v>
      </c>
      <c r="U1969" s="48">
        <f>IF(Учет!$O1969=Справочники!$F$6,Учет!$H1969,0)</f>
        <v>0</v>
      </c>
      <c r="V1969" s="43">
        <f>V1968+Учет!Q1969-Q1969</f>
        <v>-488978.92000000004</v>
      </c>
      <c r="W1969" s="43">
        <f>W1968+Учет!R1969-R1969</f>
        <v>336855</v>
      </c>
      <c r="X1969" s="43">
        <f>X1968+Учет!S1969-S1969</f>
        <v>500</v>
      </c>
      <c r="Y1969" s="43">
        <f>Y1968+Учет!T1969-T1969</f>
        <v>1150</v>
      </c>
      <c r="Z1969" s="43">
        <f>Z1968+Учет!U1969-U1969</f>
        <v>500000</v>
      </c>
      <c r="AA1969" s="45">
        <f>Учет!X1969</f>
        <v>500</v>
      </c>
    </row>
    <row r="1970" spans="1:27" ht="15" customHeight="1" x14ac:dyDescent="0.25">
      <c r="A1970" s="1"/>
      <c r="B1970" s="17"/>
      <c r="C1970" s="17"/>
      <c r="D1970" s="17"/>
      <c r="E1970" s="17"/>
      <c r="F1970" s="17"/>
      <c r="G1970" s="4">
        <f t="shared" si="87"/>
        <v>0</v>
      </c>
      <c r="H1970" s="17"/>
      <c r="I1970" s="4">
        <f t="shared" si="89"/>
        <v>349526.07999999996</v>
      </c>
      <c r="J1970" s="32" t="str">
        <f t="shared" si="88"/>
        <v/>
      </c>
      <c r="K1970" s="72"/>
      <c r="L1970" s="72"/>
      <c r="M1970" s="2"/>
      <c r="N1970" s="5"/>
      <c r="O1970" s="3"/>
      <c r="P1970" s="6"/>
      <c r="Q1970" s="48">
        <f>IF(Учет!$O1970=Справочники!$F$2,Учет!$H1970,0)</f>
        <v>0</v>
      </c>
      <c r="R1970" s="48">
        <f>IF(Учет!$O1970=Справочники!$F$3,Учет!$H1970,0)</f>
        <v>0</v>
      </c>
      <c r="S1970" s="48">
        <f>IF(Учет!$O1970=Справочники!$F$4,Учет!$H1970,0)</f>
        <v>0</v>
      </c>
      <c r="T1970" s="48">
        <f>IF(Учет!$O1970=Справочники!$F$5,Учет!$H1970,0)</f>
        <v>0</v>
      </c>
      <c r="U1970" s="48">
        <f>IF(Учет!$O1970=Справочники!$F$6,Учет!$H1970,0)</f>
        <v>0</v>
      </c>
      <c r="V1970" s="43">
        <f>V1969+Учет!Q1970-Q1970</f>
        <v>-488978.92000000004</v>
      </c>
      <c r="W1970" s="43">
        <f>W1969+Учет!R1970-R1970</f>
        <v>336855</v>
      </c>
      <c r="X1970" s="43">
        <f>X1969+Учет!S1970-S1970</f>
        <v>500</v>
      </c>
      <c r="Y1970" s="43">
        <f>Y1969+Учет!T1970-T1970</f>
        <v>1150</v>
      </c>
      <c r="Z1970" s="43">
        <f>Z1969+Учет!U1970-U1970</f>
        <v>500000</v>
      </c>
      <c r="AA1970" s="45">
        <f>Учет!X1970</f>
        <v>500</v>
      </c>
    </row>
    <row r="1971" spans="1:27" ht="15" customHeight="1" x14ac:dyDescent="0.25">
      <c r="A1971" s="1"/>
      <c r="B1971" s="17"/>
      <c r="C1971" s="17"/>
      <c r="D1971" s="17"/>
      <c r="E1971" s="17"/>
      <c r="F1971" s="17"/>
      <c r="G1971" s="4">
        <f t="shared" si="87"/>
        <v>0</v>
      </c>
      <c r="H1971" s="17"/>
      <c r="I1971" s="4">
        <f t="shared" si="89"/>
        <v>349526.07999999996</v>
      </c>
      <c r="J1971" s="32" t="str">
        <f t="shared" si="88"/>
        <v/>
      </c>
      <c r="K1971" s="72"/>
      <c r="L1971" s="72"/>
      <c r="M1971" s="2"/>
      <c r="N1971" s="5"/>
      <c r="O1971" s="3"/>
      <c r="P1971" s="6"/>
      <c r="Q1971" s="48">
        <f>IF(Учет!$O1971=Справочники!$F$2,Учет!$H1971,0)</f>
        <v>0</v>
      </c>
      <c r="R1971" s="48">
        <f>IF(Учет!$O1971=Справочники!$F$3,Учет!$H1971,0)</f>
        <v>0</v>
      </c>
      <c r="S1971" s="48">
        <f>IF(Учет!$O1971=Справочники!$F$4,Учет!$H1971,0)</f>
        <v>0</v>
      </c>
      <c r="T1971" s="48">
        <f>IF(Учет!$O1971=Справочники!$F$5,Учет!$H1971,0)</f>
        <v>0</v>
      </c>
      <c r="U1971" s="48">
        <f>IF(Учет!$O1971=Справочники!$F$6,Учет!$H1971,0)</f>
        <v>0</v>
      </c>
      <c r="V1971" s="43">
        <f>V1970+Учет!Q1971-Q1971</f>
        <v>-488978.92000000004</v>
      </c>
      <c r="W1971" s="43">
        <f>W1970+Учет!R1971-R1971</f>
        <v>336855</v>
      </c>
      <c r="X1971" s="43">
        <f>X1970+Учет!S1971-S1971</f>
        <v>500</v>
      </c>
      <c r="Y1971" s="43">
        <f>Y1970+Учет!T1971-T1971</f>
        <v>1150</v>
      </c>
      <c r="Z1971" s="43">
        <f>Z1970+Учет!U1971-U1971</f>
        <v>500000</v>
      </c>
      <c r="AA1971" s="45">
        <f>Учет!X1971</f>
        <v>500</v>
      </c>
    </row>
    <row r="1972" spans="1:27" ht="15" customHeight="1" x14ac:dyDescent="0.25">
      <c r="A1972" s="1"/>
      <c r="B1972" s="17"/>
      <c r="C1972" s="17"/>
      <c r="D1972" s="17"/>
      <c r="E1972" s="17"/>
      <c r="F1972" s="17"/>
      <c r="G1972" s="4">
        <f t="shared" si="87"/>
        <v>0</v>
      </c>
      <c r="H1972" s="17"/>
      <c r="I1972" s="4">
        <f t="shared" si="89"/>
        <v>349526.07999999996</v>
      </c>
      <c r="J1972" s="32" t="str">
        <f t="shared" si="88"/>
        <v/>
      </c>
      <c r="K1972" s="72"/>
      <c r="L1972" s="72"/>
      <c r="M1972" s="2"/>
      <c r="N1972" s="5"/>
      <c r="O1972" s="3"/>
      <c r="P1972" s="6"/>
      <c r="Q1972" s="48">
        <f>IF(Учет!$O1972=Справочники!$F$2,Учет!$H1972,0)</f>
        <v>0</v>
      </c>
      <c r="R1972" s="48">
        <f>IF(Учет!$O1972=Справочники!$F$3,Учет!$H1972,0)</f>
        <v>0</v>
      </c>
      <c r="S1972" s="48">
        <f>IF(Учет!$O1972=Справочники!$F$4,Учет!$H1972,0)</f>
        <v>0</v>
      </c>
      <c r="T1972" s="48">
        <f>IF(Учет!$O1972=Справочники!$F$5,Учет!$H1972,0)</f>
        <v>0</v>
      </c>
      <c r="U1972" s="48">
        <f>IF(Учет!$O1972=Справочники!$F$6,Учет!$H1972,0)</f>
        <v>0</v>
      </c>
      <c r="V1972" s="43">
        <f>V1971+Учет!Q1972-Q1972</f>
        <v>-488978.92000000004</v>
      </c>
      <c r="W1972" s="43">
        <f>W1971+Учет!R1972-R1972</f>
        <v>336855</v>
      </c>
      <c r="X1972" s="43">
        <f>X1971+Учет!S1972-S1972</f>
        <v>500</v>
      </c>
      <c r="Y1972" s="43">
        <f>Y1971+Учет!T1972-T1972</f>
        <v>1150</v>
      </c>
      <c r="Z1972" s="43">
        <f>Z1971+Учет!U1972-U1972</f>
        <v>500000</v>
      </c>
      <c r="AA1972" s="45">
        <f>Учет!X1972</f>
        <v>500</v>
      </c>
    </row>
    <row r="1973" spans="1:27" ht="15" customHeight="1" x14ac:dyDescent="0.25">
      <c r="A1973" s="1"/>
      <c r="B1973" s="17"/>
      <c r="C1973" s="17"/>
      <c r="D1973" s="17"/>
      <c r="E1973" s="17"/>
      <c r="F1973" s="17"/>
      <c r="G1973" s="4">
        <f t="shared" si="87"/>
        <v>0</v>
      </c>
      <c r="H1973" s="17"/>
      <c r="I1973" s="4">
        <f t="shared" si="89"/>
        <v>349526.07999999996</v>
      </c>
      <c r="J1973" s="32" t="str">
        <f t="shared" si="88"/>
        <v/>
      </c>
      <c r="K1973" s="72"/>
      <c r="L1973" s="72"/>
      <c r="M1973" s="2"/>
      <c r="N1973" s="5"/>
      <c r="O1973" s="3"/>
      <c r="P1973" s="6"/>
      <c r="Q1973" s="48">
        <f>IF(Учет!$O1973=Справочники!$F$2,Учет!$H1973,0)</f>
        <v>0</v>
      </c>
      <c r="R1973" s="48">
        <f>IF(Учет!$O1973=Справочники!$F$3,Учет!$H1973,0)</f>
        <v>0</v>
      </c>
      <c r="S1973" s="48">
        <f>IF(Учет!$O1973=Справочники!$F$4,Учет!$H1973,0)</f>
        <v>0</v>
      </c>
      <c r="T1973" s="48">
        <f>IF(Учет!$O1973=Справочники!$F$5,Учет!$H1973,0)</f>
        <v>0</v>
      </c>
      <c r="U1973" s="48">
        <f>IF(Учет!$O1973=Справочники!$F$6,Учет!$H1973,0)</f>
        <v>0</v>
      </c>
      <c r="V1973" s="43">
        <f>V1972+Учет!Q1973-Q1973</f>
        <v>-488978.92000000004</v>
      </c>
      <c r="W1973" s="43">
        <f>W1972+Учет!R1973-R1973</f>
        <v>336855</v>
      </c>
      <c r="X1973" s="43">
        <f>X1972+Учет!S1973-S1973</f>
        <v>500</v>
      </c>
      <c r="Y1973" s="43">
        <f>Y1972+Учет!T1973-T1973</f>
        <v>1150</v>
      </c>
      <c r="Z1973" s="43">
        <f>Z1972+Учет!U1973-U1973</f>
        <v>500000</v>
      </c>
      <c r="AA1973" s="45">
        <f>Учет!X1973</f>
        <v>500</v>
      </c>
    </row>
    <row r="1974" spans="1:27" ht="15" customHeight="1" x14ac:dyDescent="0.25">
      <c r="A1974" s="1"/>
      <c r="B1974" s="17"/>
      <c r="C1974" s="17"/>
      <c r="D1974" s="17"/>
      <c r="E1974" s="17"/>
      <c r="F1974" s="17"/>
      <c r="G1974" s="4">
        <f t="shared" si="87"/>
        <v>0</v>
      </c>
      <c r="H1974" s="17"/>
      <c r="I1974" s="4">
        <f t="shared" si="89"/>
        <v>349526.07999999996</v>
      </c>
      <c r="J1974" s="32" t="str">
        <f t="shared" si="88"/>
        <v/>
      </c>
      <c r="K1974" s="72"/>
      <c r="L1974" s="72"/>
      <c r="M1974" s="2"/>
      <c r="N1974" s="5"/>
      <c r="O1974" s="3"/>
      <c r="P1974" s="6"/>
      <c r="Q1974" s="48">
        <f>IF(Учет!$O1974=Справочники!$F$2,Учет!$H1974,0)</f>
        <v>0</v>
      </c>
      <c r="R1974" s="48">
        <f>IF(Учет!$O1974=Справочники!$F$3,Учет!$H1974,0)</f>
        <v>0</v>
      </c>
      <c r="S1974" s="48">
        <f>IF(Учет!$O1974=Справочники!$F$4,Учет!$H1974,0)</f>
        <v>0</v>
      </c>
      <c r="T1974" s="48">
        <f>IF(Учет!$O1974=Справочники!$F$5,Учет!$H1974,0)</f>
        <v>0</v>
      </c>
      <c r="U1974" s="48">
        <f>IF(Учет!$O1974=Справочники!$F$6,Учет!$H1974,0)</f>
        <v>0</v>
      </c>
      <c r="V1974" s="43">
        <f>V1973+Учет!Q1974-Q1974</f>
        <v>-488978.92000000004</v>
      </c>
      <c r="W1974" s="43">
        <f>W1973+Учет!R1974-R1974</f>
        <v>336855</v>
      </c>
      <c r="X1974" s="43">
        <f>X1973+Учет!S1974-S1974</f>
        <v>500</v>
      </c>
      <c r="Y1974" s="43">
        <f>Y1973+Учет!T1974-T1974</f>
        <v>1150</v>
      </c>
      <c r="Z1974" s="43">
        <f>Z1973+Учет!U1974-U1974</f>
        <v>500000</v>
      </c>
      <c r="AA1974" s="45">
        <f>Учет!X1974</f>
        <v>500</v>
      </c>
    </row>
    <row r="1975" spans="1:27" ht="15" customHeight="1" x14ac:dyDescent="0.25">
      <c r="A1975" s="1"/>
      <c r="B1975" s="17"/>
      <c r="C1975" s="17"/>
      <c r="D1975" s="17"/>
      <c r="E1975" s="17"/>
      <c r="F1975" s="17"/>
      <c r="G1975" s="4">
        <f t="shared" si="87"/>
        <v>0</v>
      </c>
      <c r="H1975" s="17"/>
      <c r="I1975" s="4">
        <f t="shared" si="89"/>
        <v>349526.07999999996</v>
      </c>
      <c r="J1975" s="32" t="str">
        <f t="shared" si="88"/>
        <v/>
      </c>
      <c r="K1975" s="72"/>
      <c r="L1975" s="72"/>
      <c r="M1975" s="2"/>
      <c r="N1975" s="5"/>
      <c r="O1975" s="3"/>
      <c r="P1975" s="6"/>
      <c r="Q1975" s="48">
        <f>IF(Учет!$O1975=Справочники!$F$2,Учет!$H1975,0)</f>
        <v>0</v>
      </c>
      <c r="R1975" s="48">
        <f>IF(Учет!$O1975=Справочники!$F$3,Учет!$H1975,0)</f>
        <v>0</v>
      </c>
      <c r="S1975" s="48">
        <f>IF(Учет!$O1975=Справочники!$F$4,Учет!$H1975,0)</f>
        <v>0</v>
      </c>
      <c r="T1975" s="48">
        <f>IF(Учет!$O1975=Справочники!$F$5,Учет!$H1975,0)</f>
        <v>0</v>
      </c>
      <c r="U1975" s="48">
        <f>IF(Учет!$O1975=Справочники!$F$6,Учет!$H1975,0)</f>
        <v>0</v>
      </c>
      <c r="V1975" s="43">
        <f>V1974+Учет!Q1975-Q1975</f>
        <v>-488978.92000000004</v>
      </c>
      <c r="W1975" s="43">
        <f>W1974+Учет!R1975-R1975</f>
        <v>336855</v>
      </c>
      <c r="X1975" s="43">
        <f>X1974+Учет!S1975-S1975</f>
        <v>500</v>
      </c>
      <c r="Y1975" s="43">
        <f>Y1974+Учет!T1975-T1975</f>
        <v>1150</v>
      </c>
      <c r="Z1975" s="43">
        <f>Z1974+Учет!U1975-U1975</f>
        <v>500000</v>
      </c>
      <c r="AA1975" s="45">
        <f>Учет!X1975</f>
        <v>500</v>
      </c>
    </row>
    <row r="1976" spans="1:27" ht="15" customHeight="1" x14ac:dyDescent="0.25">
      <c r="A1976" s="1"/>
      <c r="B1976" s="17"/>
      <c r="C1976" s="17"/>
      <c r="D1976" s="17"/>
      <c r="E1976" s="17"/>
      <c r="F1976" s="17"/>
      <c r="G1976" s="4">
        <f t="shared" si="87"/>
        <v>0</v>
      </c>
      <c r="H1976" s="17"/>
      <c r="I1976" s="4">
        <f t="shared" si="89"/>
        <v>349526.07999999996</v>
      </c>
      <c r="J1976" s="32" t="str">
        <f t="shared" si="88"/>
        <v/>
      </c>
      <c r="K1976" s="72"/>
      <c r="L1976" s="72"/>
      <c r="M1976" s="2"/>
      <c r="N1976" s="5"/>
      <c r="O1976" s="3"/>
      <c r="P1976" s="6"/>
      <c r="Q1976" s="48">
        <f>IF(Учет!$O1976=Справочники!$F$2,Учет!$H1976,0)</f>
        <v>0</v>
      </c>
      <c r="R1976" s="48">
        <f>IF(Учет!$O1976=Справочники!$F$3,Учет!$H1976,0)</f>
        <v>0</v>
      </c>
      <c r="S1976" s="48">
        <f>IF(Учет!$O1976=Справочники!$F$4,Учет!$H1976,0)</f>
        <v>0</v>
      </c>
      <c r="T1976" s="48">
        <f>IF(Учет!$O1976=Справочники!$F$5,Учет!$H1976,0)</f>
        <v>0</v>
      </c>
      <c r="U1976" s="48">
        <f>IF(Учет!$O1976=Справочники!$F$6,Учет!$H1976,0)</f>
        <v>0</v>
      </c>
      <c r="V1976" s="43">
        <f>V1975+Учет!Q1976-Q1976</f>
        <v>-488978.92000000004</v>
      </c>
      <c r="W1976" s="43">
        <f>W1975+Учет!R1976-R1976</f>
        <v>336855</v>
      </c>
      <c r="X1976" s="43">
        <f>X1975+Учет!S1976-S1976</f>
        <v>500</v>
      </c>
      <c r="Y1976" s="43">
        <f>Y1975+Учет!T1976-T1976</f>
        <v>1150</v>
      </c>
      <c r="Z1976" s="43">
        <f>Z1975+Учет!U1976-U1976</f>
        <v>500000</v>
      </c>
      <c r="AA1976" s="45">
        <f>Учет!X1976</f>
        <v>500</v>
      </c>
    </row>
    <row r="1977" spans="1:27" ht="15" customHeight="1" x14ac:dyDescent="0.25">
      <c r="A1977" s="1"/>
      <c r="B1977" s="17"/>
      <c r="C1977" s="17"/>
      <c r="D1977" s="17"/>
      <c r="E1977" s="17"/>
      <c r="F1977" s="17"/>
      <c r="G1977" s="4">
        <f t="shared" si="87"/>
        <v>0</v>
      </c>
      <c r="H1977" s="17"/>
      <c r="I1977" s="4">
        <f t="shared" si="89"/>
        <v>349526.07999999996</v>
      </c>
      <c r="J1977" s="32" t="str">
        <f t="shared" si="88"/>
        <v/>
      </c>
      <c r="K1977" s="72"/>
      <c r="L1977" s="72"/>
      <c r="M1977" s="2"/>
      <c r="N1977" s="5"/>
      <c r="O1977" s="3"/>
      <c r="P1977" s="6"/>
      <c r="Q1977" s="48">
        <f>IF(Учет!$O1977=Справочники!$F$2,Учет!$H1977,0)</f>
        <v>0</v>
      </c>
      <c r="R1977" s="48">
        <f>IF(Учет!$O1977=Справочники!$F$3,Учет!$H1977,0)</f>
        <v>0</v>
      </c>
      <c r="S1977" s="48">
        <f>IF(Учет!$O1977=Справочники!$F$4,Учет!$H1977,0)</f>
        <v>0</v>
      </c>
      <c r="T1977" s="48">
        <f>IF(Учет!$O1977=Справочники!$F$5,Учет!$H1977,0)</f>
        <v>0</v>
      </c>
      <c r="U1977" s="48">
        <f>IF(Учет!$O1977=Справочники!$F$6,Учет!$H1977,0)</f>
        <v>0</v>
      </c>
      <c r="V1977" s="43">
        <f>V1976+Учет!Q1977-Q1977</f>
        <v>-488978.92000000004</v>
      </c>
      <c r="W1977" s="43">
        <f>W1976+Учет!R1977-R1977</f>
        <v>336855</v>
      </c>
      <c r="X1977" s="43">
        <f>X1976+Учет!S1977-S1977</f>
        <v>500</v>
      </c>
      <c r="Y1977" s="43">
        <f>Y1976+Учет!T1977-T1977</f>
        <v>1150</v>
      </c>
      <c r="Z1977" s="43">
        <f>Z1976+Учет!U1977-U1977</f>
        <v>500000</v>
      </c>
      <c r="AA1977" s="45">
        <f>Учет!X1977</f>
        <v>500</v>
      </c>
    </row>
    <row r="1978" spans="1:27" ht="15" customHeight="1" x14ac:dyDescent="0.25">
      <c r="A1978" s="1"/>
      <c r="B1978" s="17"/>
      <c r="C1978" s="17"/>
      <c r="D1978" s="17"/>
      <c r="E1978" s="17"/>
      <c r="F1978" s="17"/>
      <c r="G1978" s="4">
        <f t="shared" si="87"/>
        <v>0</v>
      </c>
      <c r="H1978" s="17"/>
      <c r="I1978" s="4">
        <f t="shared" si="89"/>
        <v>349526.07999999996</v>
      </c>
      <c r="J1978" s="32" t="str">
        <f t="shared" si="88"/>
        <v/>
      </c>
      <c r="K1978" s="72"/>
      <c r="L1978" s="72"/>
      <c r="M1978" s="2"/>
      <c r="N1978" s="5"/>
      <c r="O1978" s="3"/>
      <c r="P1978" s="6"/>
      <c r="Q1978" s="48">
        <f>IF(Учет!$O1978=Справочники!$F$2,Учет!$H1978,0)</f>
        <v>0</v>
      </c>
      <c r="R1978" s="48">
        <f>IF(Учет!$O1978=Справочники!$F$3,Учет!$H1978,0)</f>
        <v>0</v>
      </c>
      <c r="S1978" s="48">
        <f>IF(Учет!$O1978=Справочники!$F$4,Учет!$H1978,0)</f>
        <v>0</v>
      </c>
      <c r="T1978" s="48">
        <f>IF(Учет!$O1978=Справочники!$F$5,Учет!$H1978,0)</f>
        <v>0</v>
      </c>
      <c r="U1978" s="48">
        <f>IF(Учет!$O1978=Справочники!$F$6,Учет!$H1978,0)</f>
        <v>0</v>
      </c>
      <c r="V1978" s="43">
        <f>V1977+Учет!Q1978-Q1978</f>
        <v>-488978.92000000004</v>
      </c>
      <c r="W1978" s="43">
        <f>W1977+Учет!R1978-R1978</f>
        <v>336855</v>
      </c>
      <c r="X1978" s="43">
        <f>X1977+Учет!S1978-S1978</f>
        <v>500</v>
      </c>
      <c r="Y1978" s="43">
        <f>Y1977+Учет!T1978-T1978</f>
        <v>1150</v>
      </c>
      <c r="Z1978" s="43">
        <f>Z1977+Учет!U1978-U1978</f>
        <v>500000</v>
      </c>
      <c r="AA1978" s="45">
        <f>Учет!X1978</f>
        <v>500</v>
      </c>
    </row>
    <row r="1979" spans="1:27" ht="15" customHeight="1" x14ac:dyDescent="0.25">
      <c r="A1979" s="1"/>
      <c r="B1979" s="17"/>
      <c r="C1979" s="17"/>
      <c r="D1979" s="17"/>
      <c r="E1979" s="17"/>
      <c r="F1979" s="17"/>
      <c r="G1979" s="4">
        <f t="shared" si="87"/>
        <v>0</v>
      </c>
      <c r="H1979" s="17"/>
      <c r="I1979" s="4">
        <f t="shared" si="89"/>
        <v>349526.07999999996</v>
      </c>
      <c r="J1979" s="32" t="str">
        <f t="shared" si="88"/>
        <v/>
      </c>
      <c r="K1979" s="72"/>
      <c r="L1979" s="72"/>
      <c r="M1979" s="2"/>
      <c r="N1979" s="5"/>
      <c r="O1979" s="3"/>
      <c r="P1979" s="6"/>
      <c r="Q1979" s="48">
        <f>IF(Учет!$O1979=Справочники!$F$2,Учет!$H1979,0)</f>
        <v>0</v>
      </c>
      <c r="R1979" s="48">
        <f>IF(Учет!$O1979=Справочники!$F$3,Учет!$H1979,0)</f>
        <v>0</v>
      </c>
      <c r="S1979" s="48">
        <f>IF(Учет!$O1979=Справочники!$F$4,Учет!$H1979,0)</f>
        <v>0</v>
      </c>
      <c r="T1979" s="48">
        <f>IF(Учет!$O1979=Справочники!$F$5,Учет!$H1979,0)</f>
        <v>0</v>
      </c>
      <c r="U1979" s="48">
        <f>IF(Учет!$O1979=Справочники!$F$6,Учет!$H1979,0)</f>
        <v>0</v>
      </c>
      <c r="V1979" s="43">
        <f>V1978+Учет!Q1979-Q1979</f>
        <v>-488978.92000000004</v>
      </c>
      <c r="W1979" s="43">
        <f>W1978+Учет!R1979-R1979</f>
        <v>336855</v>
      </c>
      <c r="X1979" s="43">
        <f>X1978+Учет!S1979-S1979</f>
        <v>500</v>
      </c>
      <c r="Y1979" s="43">
        <f>Y1978+Учет!T1979-T1979</f>
        <v>1150</v>
      </c>
      <c r="Z1979" s="43">
        <f>Z1978+Учет!U1979-U1979</f>
        <v>500000</v>
      </c>
      <c r="AA1979" s="45">
        <f>Учет!X1979</f>
        <v>500</v>
      </c>
    </row>
    <row r="1980" spans="1:27" ht="15" customHeight="1" x14ac:dyDescent="0.25">
      <c r="A1980" s="1"/>
      <c r="B1980" s="17"/>
      <c r="C1980" s="17"/>
      <c r="D1980" s="17"/>
      <c r="E1980" s="17"/>
      <c r="F1980" s="17"/>
      <c r="G1980" s="4">
        <f t="shared" si="87"/>
        <v>0</v>
      </c>
      <c r="H1980" s="17"/>
      <c r="I1980" s="4">
        <f t="shared" si="89"/>
        <v>349526.07999999996</v>
      </c>
      <c r="J1980" s="32" t="str">
        <f t="shared" si="88"/>
        <v/>
      </c>
      <c r="K1980" s="72"/>
      <c r="L1980" s="72"/>
      <c r="M1980" s="2"/>
      <c r="N1980" s="5"/>
      <c r="O1980" s="3"/>
      <c r="P1980" s="6"/>
      <c r="Q1980" s="48">
        <f>IF(Учет!$O1980=Справочники!$F$2,Учет!$H1980,0)</f>
        <v>0</v>
      </c>
      <c r="R1980" s="48">
        <f>IF(Учет!$O1980=Справочники!$F$3,Учет!$H1980,0)</f>
        <v>0</v>
      </c>
      <c r="S1980" s="48">
        <f>IF(Учет!$O1980=Справочники!$F$4,Учет!$H1980,0)</f>
        <v>0</v>
      </c>
      <c r="T1980" s="48">
        <f>IF(Учет!$O1980=Справочники!$F$5,Учет!$H1980,0)</f>
        <v>0</v>
      </c>
      <c r="U1980" s="48">
        <f>IF(Учет!$O1980=Справочники!$F$6,Учет!$H1980,0)</f>
        <v>0</v>
      </c>
      <c r="V1980" s="43">
        <f>V1979+Учет!Q1980-Q1980</f>
        <v>-488978.92000000004</v>
      </c>
      <c r="W1980" s="43">
        <f>W1979+Учет!R1980-R1980</f>
        <v>336855</v>
      </c>
      <c r="X1980" s="43">
        <f>X1979+Учет!S1980-S1980</f>
        <v>500</v>
      </c>
      <c r="Y1980" s="43">
        <f>Y1979+Учет!T1980-T1980</f>
        <v>1150</v>
      </c>
      <c r="Z1980" s="43">
        <f>Z1979+Учет!U1980-U1980</f>
        <v>500000</v>
      </c>
      <c r="AA1980" s="45">
        <f>Учет!X1980</f>
        <v>500</v>
      </c>
    </row>
    <row r="1981" spans="1:27" ht="15" customHeight="1" x14ac:dyDescent="0.25">
      <c r="A1981" s="1"/>
      <c r="B1981" s="17"/>
      <c r="C1981" s="17"/>
      <c r="D1981" s="17"/>
      <c r="E1981" s="17"/>
      <c r="F1981" s="17"/>
      <c r="G1981" s="4">
        <f t="shared" si="87"/>
        <v>0</v>
      </c>
      <c r="H1981" s="17"/>
      <c r="I1981" s="4">
        <f t="shared" si="89"/>
        <v>349526.07999999996</v>
      </c>
      <c r="J1981" s="32" t="str">
        <f t="shared" si="88"/>
        <v/>
      </c>
      <c r="K1981" s="72"/>
      <c r="L1981" s="72"/>
      <c r="M1981" s="2"/>
      <c r="N1981" s="5"/>
      <c r="O1981" s="3"/>
      <c r="P1981" s="6"/>
      <c r="Q1981" s="48">
        <f>IF(Учет!$O1981=Справочники!$F$2,Учет!$H1981,0)</f>
        <v>0</v>
      </c>
      <c r="R1981" s="48">
        <f>IF(Учет!$O1981=Справочники!$F$3,Учет!$H1981,0)</f>
        <v>0</v>
      </c>
      <c r="S1981" s="48">
        <f>IF(Учет!$O1981=Справочники!$F$4,Учет!$H1981,0)</f>
        <v>0</v>
      </c>
      <c r="T1981" s="48">
        <f>IF(Учет!$O1981=Справочники!$F$5,Учет!$H1981,0)</f>
        <v>0</v>
      </c>
      <c r="U1981" s="48">
        <f>IF(Учет!$O1981=Справочники!$F$6,Учет!$H1981,0)</f>
        <v>0</v>
      </c>
      <c r="V1981" s="43">
        <f>V1980+Учет!Q1981-Q1981</f>
        <v>-488978.92000000004</v>
      </c>
      <c r="W1981" s="43">
        <f>W1980+Учет!R1981-R1981</f>
        <v>336855</v>
      </c>
      <c r="X1981" s="43">
        <f>X1980+Учет!S1981-S1981</f>
        <v>500</v>
      </c>
      <c r="Y1981" s="43">
        <f>Y1980+Учет!T1981-T1981</f>
        <v>1150</v>
      </c>
      <c r="Z1981" s="43">
        <f>Z1980+Учет!U1981-U1981</f>
        <v>500000</v>
      </c>
      <c r="AA1981" s="45">
        <f>Учет!X1981</f>
        <v>500</v>
      </c>
    </row>
    <row r="1982" spans="1:27" ht="15" customHeight="1" x14ac:dyDescent="0.25">
      <c r="A1982" s="1"/>
      <c r="B1982" s="17"/>
      <c r="C1982" s="17"/>
      <c r="D1982" s="17"/>
      <c r="E1982" s="17"/>
      <c r="F1982" s="17"/>
      <c r="G1982" s="4">
        <f t="shared" si="87"/>
        <v>0</v>
      </c>
      <c r="H1982" s="17"/>
      <c r="I1982" s="4">
        <f t="shared" si="89"/>
        <v>349526.07999999996</v>
      </c>
      <c r="J1982" s="32" t="str">
        <f t="shared" si="88"/>
        <v/>
      </c>
      <c r="K1982" s="72"/>
      <c r="L1982" s="72"/>
      <c r="M1982" s="2"/>
      <c r="N1982" s="5"/>
      <c r="O1982" s="3"/>
      <c r="P1982" s="6"/>
      <c r="Q1982" s="48">
        <f>IF(Учет!$O1982=Справочники!$F$2,Учет!$H1982,0)</f>
        <v>0</v>
      </c>
      <c r="R1982" s="48">
        <f>IF(Учет!$O1982=Справочники!$F$3,Учет!$H1982,0)</f>
        <v>0</v>
      </c>
      <c r="S1982" s="48">
        <f>IF(Учет!$O1982=Справочники!$F$4,Учет!$H1982,0)</f>
        <v>0</v>
      </c>
      <c r="T1982" s="48">
        <f>IF(Учет!$O1982=Справочники!$F$5,Учет!$H1982,0)</f>
        <v>0</v>
      </c>
      <c r="U1982" s="48">
        <f>IF(Учет!$O1982=Справочники!$F$6,Учет!$H1982,0)</f>
        <v>0</v>
      </c>
      <c r="V1982" s="43">
        <f>V1981+Учет!Q1982-Q1982</f>
        <v>-488978.92000000004</v>
      </c>
      <c r="W1982" s="43">
        <f>W1981+Учет!R1982-R1982</f>
        <v>336855</v>
      </c>
      <c r="X1982" s="43">
        <f>X1981+Учет!S1982-S1982</f>
        <v>500</v>
      </c>
      <c r="Y1982" s="43">
        <f>Y1981+Учет!T1982-T1982</f>
        <v>1150</v>
      </c>
      <c r="Z1982" s="43">
        <f>Z1981+Учет!U1982-U1982</f>
        <v>500000</v>
      </c>
      <c r="AA1982" s="45">
        <f>Учет!X1982</f>
        <v>500</v>
      </c>
    </row>
    <row r="1983" spans="1:27" ht="15" customHeight="1" x14ac:dyDescent="0.25">
      <c r="A1983" s="1"/>
      <c r="B1983" s="17"/>
      <c r="C1983" s="17"/>
      <c r="D1983" s="17"/>
      <c r="E1983" s="17"/>
      <c r="F1983" s="17"/>
      <c r="G1983" s="4">
        <f t="shared" si="87"/>
        <v>0</v>
      </c>
      <c r="H1983" s="17"/>
      <c r="I1983" s="4">
        <f t="shared" si="89"/>
        <v>349526.07999999996</v>
      </c>
      <c r="J1983" s="32" t="str">
        <f t="shared" si="88"/>
        <v/>
      </c>
      <c r="K1983" s="72"/>
      <c r="L1983" s="72"/>
      <c r="M1983" s="2"/>
      <c r="N1983" s="5"/>
      <c r="O1983" s="3"/>
      <c r="P1983" s="6"/>
      <c r="Q1983" s="48">
        <f>IF(Учет!$O1983=Справочники!$F$2,Учет!$H1983,0)</f>
        <v>0</v>
      </c>
      <c r="R1983" s="48">
        <f>IF(Учет!$O1983=Справочники!$F$3,Учет!$H1983,0)</f>
        <v>0</v>
      </c>
      <c r="S1983" s="48">
        <f>IF(Учет!$O1983=Справочники!$F$4,Учет!$H1983,0)</f>
        <v>0</v>
      </c>
      <c r="T1983" s="48">
        <f>IF(Учет!$O1983=Справочники!$F$5,Учет!$H1983,0)</f>
        <v>0</v>
      </c>
      <c r="U1983" s="48">
        <f>IF(Учет!$O1983=Справочники!$F$6,Учет!$H1983,0)</f>
        <v>0</v>
      </c>
      <c r="V1983" s="43">
        <f>V1982+Учет!Q1983-Q1983</f>
        <v>-488978.92000000004</v>
      </c>
      <c r="W1983" s="43">
        <f>W1982+Учет!R1983-R1983</f>
        <v>336855</v>
      </c>
      <c r="X1983" s="43">
        <f>X1982+Учет!S1983-S1983</f>
        <v>500</v>
      </c>
      <c r="Y1983" s="43">
        <f>Y1982+Учет!T1983-T1983</f>
        <v>1150</v>
      </c>
      <c r="Z1983" s="43">
        <f>Z1982+Учет!U1983-U1983</f>
        <v>500000</v>
      </c>
      <c r="AA1983" s="45">
        <f>Учет!X1983</f>
        <v>500</v>
      </c>
    </row>
    <row r="1984" spans="1:27" ht="15" customHeight="1" x14ac:dyDescent="0.25">
      <c r="A1984" s="1"/>
      <c r="B1984" s="17"/>
      <c r="C1984" s="17"/>
      <c r="D1984" s="17"/>
      <c r="E1984" s="17"/>
      <c r="F1984" s="17"/>
      <c r="G1984" s="4">
        <f t="shared" si="87"/>
        <v>0</v>
      </c>
      <c r="H1984" s="17"/>
      <c r="I1984" s="4">
        <f t="shared" si="89"/>
        <v>349526.07999999996</v>
      </c>
      <c r="J1984" s="32" t="str">
        <f t="shared" si="88"/>
        <v/>
      </c>
      <c r="K1984" s="72"/>
      <c r="L1984" s="72"/>
      <c r="M1984" s="2"/>
      <c r="N1984" s="5"/>
      <c r="O1984" s="3"/>
      <c r="P1984" s="6"/>
      <c r="Q1984" s="48">
        <f>IF(Учет!$O1984=Справочники!$F$2,Учет!$H1984,0)</f>
        <v>0</v>
      </c>
      <c r="R1984" s="48">
        <f>IF(Учет!$O1984=Справочники!$F$3,Учет!$H1984,0)</f>
        <v>0</v>
      </c>
      <c r="S1984" s="48">
        <f>IF(Учет!$O1984=Справочники!$F$4,Учет!$H1984,0)</f>
        <v>0</v>
      </c>
      <c r="T1984" s="48">
        <f>IF(Учет!$O1984=Справочники!$F$5,Учет!$H1984,0)</f>
        <v>0</v>
      </c>
      <c r="U1984" s="48">
        <f>IF(Учет!$O1984=Справочники!$F$6,Учет!$H1984,0)</f>
        <v>0</v>
      </c>
      <c r="V1984" s="43">
        <f>V1983+Учет!Q1984-Q1984</f>
        <v>-488978.92000000004</v>
      </c>
      <c r="W1984" s="43">
        <f>W1983+Учет!R1984-R1984</f>
        <v>336855</v>
      </c>
      <c r="X1984" s="43">
        <f>X1983+Учет!S1984-S1984</f>
        <v>500</v>
      </c>
      <c r="Y1984" s="43">
        <f>Y1983+Учет!T1984-T1984</f>
        <v>1150</v>
      </c>
      <c r="Z1984" s="43">
        <f>Z1983+Учет!U1984-U1984</f>
        <v>500000</v>
      </c>
      <c r="AA1984" s="45">
        <f>Учет!X1984</f>
        <v>500</v>
      </c>
    </row>
    <row r="1985" spans="1:27" ht="15" customHeight="1" x14ac:dyDescent="0.25">
      <c r="A1985" s="1"/>
      <c r="B1985" s="17"/>
      <c r="C1985" s="17"/>
      <c r="D1985" s="17"/>
      <c r="E1985" s="17"/>
      <c r="F1985" s="17"/>
      <c r="G1985" s="4">
        <f t="shared" si="87"/>
        <v>0</v>
      </c>
      <c r="H1985" s="17"/>
      <c r="I1985" s="4">
        <f t="shared" si="89"/>
        <v>349526.07999999996</v>
      </c>
      <c r="J1985" s="32" t="str">
        <f t="shared" si="88"/>
        <v/>
      </c>
      <c r="K1985" s="72"/>
      <c r="L1985" s="72"/>
      <c r="M1985" s="2"/>
      <c r="N1985" s="5"/>
      <c r="O1985" s="3"/>
      <c r="P1985" s="6"/>
      <c r="Q1985" s="48">
        <f>IF(Учет!$O1985=Справочники!$F$2,Учет!$H1985,0)</f>
        <v>0</v>
      </c>
      <c r="R1985" s="48">
        <f>IF(Учет!$O1985=Справочники!$F$3,Учет!$H1985,0)</f>
        <v>0</v>
      </c>
      <c r="S1985" s="48">
        <f>IF(Учет!$O1985=Справочники!$F$4,Учет!$H1985,0)</f>
        <v>0</v>
      </c>
      <c r="T1985" s="48">
        <f>IF(Учет!$O1985=Справочники!$F$5,Учет!$H1985,0)</f>
        <v>0</v>
      </c>
      <c r="U1985" s="48">
        <f>IF(Учет!$O1985=Справочники!$F$6,Учет!$H1985,0)</f>
        <v>0</v>
      </c>
      <c r="V1985" s="43">
        <f>V1984+Учет!Q1985-Q1985</f>
        <v>-488978.92000000004</v>
      </c>
      <c r="W1985" s="43">
        <f>W1984+Учет!R1985-R1985</f>
        <v>336855</v>
      </c>
      <c r="X1985" s="43">
        <f>X1984+Учет!S1985-S1985</f>
        <v>500</v>
      </c>
      <c r="Y1985" s="43">
        <f>Y1984+Учет!T1985-T1985</f>
        <v>1150</v>
      </c>
      <c r="Z1985" s="43">
        <f>Z1984+Учет!U1985-U1985</f>
        <v>500000</v>
      </c>
      <c r="AA1985" s="45">
        <f>Учет!X1985</f>
        <v>500</v>
      </c>
    </row>
    <row r="1986" spans="1:27" ht="15" customHeight="1" x14ac:dyDescent="0.25">
      <c r="A1986" s="1"/>
      <c r="B1986" s="17"/>
      <c r="C1986" s="17"/>
      <c r="D1986" s="17"/>
      <c r="E1986" s="17"/>
      <c r="F1986" s="17"/>
      <c r="G1986" s="4">
        <f t="shared" ref="G1986:G2049" si="90">SUM($B1986:$F1986)</f>
        <v>0</v>
      </c>
      <c r="H1986" s="17"/>
      <c r="I1986" s="4">
        <f t="shared" si="89"/>
        <v>349526.07999999996</v>
      </c>
      <c r="J1986" s="32" t="str">
        <f t="shared" ref="J1986:J2049" si="91">IF($A1987&lt;&gt;$A1986,$I1986,"")</f>
        <v/>
      </c>
      <c r="K1986" s="72"/>
      <c r="L1986" s="72"/>
      <c r="M1986" s="2"/>
      <c r="N1986" s="5"/>
      <c r="O1986" s="3"/>
      <c r="P1986" s="6"/>
      <c r="Q1986" s="48">
        <f>IF(Учет!$O1986=Справочники!$F$2,Учет!$H1986,0)</f>
        <v>0</v>
      </c>
      <c r="R1986" s="48">
        <f>IF(Учет!$O1986=Справочники!$F$3,Учет!$H1986,0)</f>
        <v>0</v>
      </c>
      <c r="S1986" s="48">
        <f>IF(Учет!$O1986=Справочники!$F$4,Учет!$H1986,0)</f>
        <v>0</v>
      </c>
      <c r="T1986" s="48">
        <f>IF(Учет!$O1986=Справочники!$F$5,Учет!$H1986,0)</f>
        <v>0</v>
      </c>
      <c r="U1986" s="48">
        <f>IF(Учет!$O1986=Справочники!$F$6,Учет!$H1986,0)</f>
        <v>0</v>
      </c>
      <c r="V1986" s="43">
        <f>V1985+Учет!Q1986-Q1986</f>
        <v>-488978.92000000004</v>
      </c>
      <c r="W1986" s="43">
        <f>W1985+Учет!R1986-R1986</f>
        <v>336855</v>
      </c>
      <c r="X1986" s="43">
        <f>X1985+Учет!S1986-S1986</f>
        <v>500</v>
      </c>
      <c r="Y1986" s="43">
        <f>Y1985+Учет!T1986-T1986</f>
        <v>1150</v>
      </c>
      <c r="Z1986" s="43">
        <f>Z1985+Учет!U1986-U1986</f>
        <v>500000</v>
      </c>
      <c r="AA1986" s="45">
        <f>Учет!X1986</f>
        <v>500</v>
      </c>
    </row>
    <row r="1987" spans="1:27" ht="15" customHeight="1" x14ac:dyDescent="0.25">
      <c r="A1987" s="1"/>
      <c r="B1987" s="17"/>
      <c r="C1987" s="17"/>
      <c r="D1987" s="17"/>
      <c r="E1987" s="17"/>
      <c r="F1987" s="17"/>
      <c r="G1987" s="4">
        <f t="shared" si="90"/>
        <v>0</v>
      </c>
      <c r="H1987" s="17"/>
      <c r="I1987" s="4">
        <f t="shared" ref="I1987:I2050" si="92">$I1986+$G1987-$H1987</f>
        <v>349526.07999999996</v>
      </c>
      <c r="J1987" s="32" t="str">
        <f t="shared" si="91"/>
        <v/>
      </c>
      <c r="K1987" s="72"/>
      <c r="L1987" s="72"/>
      <c r="M1987" s="2"/>
      <c r="N1987" s="5"/>
      <c r="O1987" s="3"/>
      <c r="P1987" s="6"/>
      <c r="Q1987" s="48">
        <f>IF(Учет!$O1987=Справочники!$F$2,Учет!$H1987,0)</f>
        <v>0</v>
      </c>
      <c r="R1987" s="48">
        <f>IF(Учет!$O1987=Справочники!$F$3,Учет!$H1987,0)</f>
        <v>0</v>
      </c>
      <c r="S1987" s="48">
        <f>IF(Учет!$O1987=Справочники!$F$4,Учет!$H1987,0)</f>
        <v>0</v>
      </c>
      <c r="T1987" s="48">
        <f>IF(Учет!$O1987=Справочники!$F$5,Учет!$H1987,0)</f>
        <v>0</v>
      </c>
      <c r="U1987" s="48">
        <f>IF(Учет!$O1987=Справочники!$F$6,Учет!$H1987,0)</f>
        <v>0</v>
      </c>
      <c r="V1987" s="43">
        <f>V1986+Учет!Q1987-Q1987</f>
        <v>-488978.92000000004</v>
      </c>
      <c r="W1987" s="43">
        <f>W1986+Учет!R1987-R1987</f>
        <v>336855</v>
      </c>
      <c r="X1987" s="43">
        <f>X1986+Учет!S1987-S1987</f>
        <v>500</v>
      </c>
      <c r="Y1987" s="43">
        <f>Y1986+Учет!T1987-T1987</f>
        <v>1150</v>
      </c>
      <c r="Z1987" s="43">
        <f>Z1986+Учет!U1987-U1987</f>
        <v>500000</v>
      </c>
      <c r="AA1987" s="45">
        <f>Учет!X1987</f>
        <v>500</v>
      </c>
    </row>
    <row r="1988" spans="1:27" ht="15" customHeight="1" x14ac:dyDescent="0.25">
      <c r="A1988" s="1"/>
      <c r="B1988" s="17"/>
      <c r="C1988" s="17"/>
      <c r="D1988" s="17"/>
      <c r="E1988" s="17"/>
      <c r="F1988" s="17"/>
      <c r="G1988" s="4">
        <f t="shared" si="90"/>
        <v>0</v>
      </c>
      <c r="H1988" s="17"/>
      <c r="I1988" s="4">
        <f t="shared" si="92"/>
        <v>349526.07999999996</v>
      </c>
      <c r="J1988" s="32" t="str">
        <f t="shared" si="91"/>
        <v/>
      </c>
      <c r="K1988" s="72"/>
      <c r="L1988" s="72"/>
      <c r="M1988" s="2"/>
      <c r="N1988" s="5"/>
      <c r="O1988" s="3"/>
      <c r="P1988" s="6"/>
      <c r="Q1988" s="48">
        <f>IF(Учет!$O1988=Справочники!$F$2,Учет!$H1988,0)</f>
        <v>0</v>
      </c>
      <c r="R1988" s="48">
        <f>IF(Учет!$O1988=Справочники!$F$3,Учет!$H1988,0)</f>
        <v>0</v>
      </c>
      <c r="S1988" s="48">
        <f>IF(Учет!$O1988=Справочники!$F$4,Учет!$H1988,0)</f>
        <v>0</v>
      </c>
      <c r="T1988" s="48">
        <f>IF(Учет!$O1988=Справочники!$F$5,Учет!$H1988,0)</f>
        <v>0</v>
      </c>
      <c r="U1988" s="48">
        <f>IF(Учет!$O1988=Справочники!$F$6,Учет!$H1988,0)</f>
        <v>0</v>
      </c>
      <c r="V1988" s="43">
        <f>V1987+Учет!Q1988-Q1988</f>
        <v>-488978.92000000004</v>
      </c>
      <c r="W1988" s="43">
        <f>W1987+Учет!R1988-R1988</f>
        <v>336855</v>
      </c>
      <c r="X1988" s="43">
        <f>X1987+Учет!S1988-S1988</f>
        <v>500</v>
      </c>
      <c r="Y1988" s="43">
        <f>Y1987+Учет!T1988-T1988</f>
        <v>1150</v>
      </c>
      <c r="Z1988" s="43">
        <f>Z1987+Учет!U1988-U1988</f>
        <v>500000</v>
      </c>
      <c r="AA1988" s="45">
        <f>Учет!X1988</f>
        <v>500</v>
      </c>
    </row>
    <row r="1989" spans="1:27" ht="15" customHeight="1" x14ac:dyDescent="0.25">
      <c r="A1989" s="1"/>
      <c r="B1989" s="17"/>
      <c r="C1989" s="17"/>
      <c r="D1989" s="17"/>
      <c r="E1989" s="17"/>
      <c r="F1989" s="17"/>
      <c r="G1989" s="4">
        <f t="shared" si="90"/>
        <v>0</v>
      </c>
      <c r="H1989" s="17"/>
      <c r="I1989" s="4">
        <f t="shared" si="92"/>
        <v>349526.07999999996</v>
      </c>
      <c r="J1989" s="32" t="str">
        <f t="shared" si="91"/>
        <v/>
      </c>
      <c r="K1989" s="72"/>
      <c r="L1989" s="72"/>
      <c r="M1989" s="2"/>
      <c r="N1989" s="5"/>
      <c r="O1989" s="3"/>
      <c r="P1989" s="6"/>
      <c r="Q1989" s="48">
        <f>IF(Учет!$O1989=Справочники!$F$2,Учет!$H1989,0)</f>
        <v>0</v>
      </c>
      <c r="R1989" s="48">
        <f>IF(Учет!$O1989=Справочники!$F$3,Учет!$H1989,0)</f>
        <v>0</v>
      </c>
      <c r="S1989" s="48">
        <f>IF(Учет!$O1989=Справочники!$F$4,Учет!$H1989,0)</f>
        <v>0</v>
      </c>
      <c r="T1989" s="48">
        <f>IF(Учет!$O1989=Справочники!$F$5,Учет!$H1989,0)</f>
        <v>0</v>
      </c>
      <c r="U1989" s="48">
        <f>IF(Учет!$O1989=Справочники!$F$6,Учет!$H1989,0)</f>
        <v>0</v>
      </c>
      <c r="V1989" s="43">
        <f>V1988+Учет!Q1989-Q1989</f>
        <v>-488978.92000000004</v>
      </c>
      <c r="W1989" s="43">
        <f>W1988+Учет!R1989-R1989</f>
        <v>336855</v>
      </c>
      <c r="X1989" s="43">
        <f>X1988+Учет!S1989-S1989</f>
        <v>500</v>
      </c>
      <c r="Y1989" s="43">
        <f>Y1988+Учет!T1989-T1989</f>
        <v>1150</v>
      </c>
      <c r="Z1989" s="43">
        <f>Z1988+Учет!U1989-U1989</f>
        <v>500000</v>
      </c>
      <c r="AA1989" s="45">
        <f>Учет!X1989</f>
        <v>500</v>
      </c>
    </row>
    <row r="1990" spans="1:27" ht="15" customHeight="1" x14ac:dyDescent="0.25">
      <c r="A1990" s="1"/>
      <c r="B1990" s="17"/>
      <c r="C1990" s="17"/>
      <c r="D1990" s="17"/>
      <c r="E1990" s="17"/>
      <c r="F1990" s="17"/>
      <c r="G1990" s="4">
        <f t="shared" si="90"/>
        <v>0</v>
      </c>
      <c r="H1990" s="17"/>
      <c r="I1990" s="4">
        <f t="shared" si="92"/>
        <v>349526.07999999996</v>
      </c>
      <c r="J1990" s="32" t="str">
        <f t="shared" si="91"/>
        <v/>
      </c>
      <c r="K1990" s="72"/>
      <c r="L1990" s="72"/>
      <c r="M1990" s="2"/>
      <c r="N1990" s="5"/>
      <c r="O1990" s="3"/>
      <c r="P1990" s="6"/>
      <c r="Q1990" s="48">
        <f>IF(Учет!$O1990=Справочники!$F$2,Учет!$H1990,0)</f>
        <v>0</v>
      </c>
      <c r="R1990" s="48">
        <f>IF(Учет!$O1990=Справочники!$F$3,Учет!$H1990,0)</f>
        <v>0</v>
      </c>
      <c r="S1990" s="48">
        <f>IF(Учет!$O1990=Справочники!$F$4,Учет!$H1990,0)</f>
        <v>0</v>
      </c>
      <c r="T1990" s="48">
        <f>IF(Учет!$O1990=Справочники!$F$5,Учет!$H1990,0)</f>
        <v>0</v>
      </c>
      <c r="U1990" s="48">
        <f>IF(Учет!$O1990=Справочники!$F$6,Учет!$H1990,0)</f>
        <v>0</v>
      </c>
      <c r="V1990" s="43">
        <f>V1989+Учет!Q1990-Q1990</f>
        <v>-488978.92000000004</v>
      </c>
      <c r="W1990" s="43">
        <f>W1989+Учет!R1990-R1990</f>
        <v>336855</v>
      </c>
      <c r="X1990" s="43">
        <f>X1989+Учет!S1990-S1990</f>
        <v>500</v>
      </c>
      <c r="Y1990" s="43">
        <f>Y1989+Учет!T1990-T1990</f>
        <v>1150</v>
      </c>
      <c r="Z1990" s="43">
        <f>Z1989+Учет!U1990-U1990</f>
        <v>500000</v>
      </c>
      <c r="AA1990" s="45">
        <f>Учет!X1990</f>
        <v>500</v>
      </c>
    </row>
    <row r="1991" spans="1:27" ht="15" customHeight="1" x14ac:dyDescent="0.25">
      <c r="A1991" s="1"/>
      <c r="B1991" s="17"/>
      <c r="C1991" s="17"/>
      <c r="D1991" s="17"/>
      <c r="E1991" s="17"/>
      <c r="F1991" s="17"/>
      <c r="G1991" s="4">
        <f t="shared" si="90"/>
        <v>0</v>
      </c>
      <c r="H1991" s="17"/>
      <c r="I1991" s="4">
        <f t="shared" si="92"/>
        <v>349526.07999999996</v>
      </c>
      <c r="J1991" s="32" t="str">
        <f t="shared" si="91"/>
        <v/>
      </c>
      <c r="K1991" s="72"/>
      <c r="L1991" s="72"/>
      <c r="M1991" s="2"/>
      <c r="N1991" s="5"/>
      <c r="O1991" s="3"/>
      <c r="P1991" s="6"/>
      <c r="Q1991" s="48">
        <f>IF(Учет!$O1991=Справочники!$F$2,Учет!$H1991,0)</f>
        <v>0</v>
      </c>
      <c r="R1991" s="48">
        <f>IF(Учет!$O1991=Справочники!$F$3,Учет!$H1991,0)</f>
        <v>0</v>
      </c>
      <c r="S1991" s="48">
        <f>IF(Учет!$O1991=Справочники!$F$4,Учет!$H1991,0)</f>
        <v>0</v>
      </c>
      <c r="T1991" s="48">
        <f>IF(Учет!$O1991=Справочники!$F$5,Учет!$H1991,0)</f>
        <v>0</v>
      </c>
      <c r="U1991" s="48">
        <f>IF(Учет!$O1991=Справочники!$F$6,Учет!$H1991,0)</f>
        <v>0</v>
      </c>
      <c r="V1991" s="43">
        <f>V1990+Учет!Q1991-Q1991</f>
        <v>-488978.92000000004</v>
      </c>
      <c r="W1991" s="43">
        <f>W1990+Учет!R1991-R1991</f>
        <v>336855</v>
      </c>
      <c r="X1991" s="43">
        <f>X1990+Учет!S1991-S1991</f>
        <v>500</v>
      </c>
      <c r="Y1991" s="43">
        <f>Y1990+Учет!T1991-T1991</f>
        <v>1150</v>
      </c>
      <c r="Z1991" s="43">
        <f>Z1990+Учет!U1991-U1991</f>
        <v>500000</v>
      </c>
      <c r="AA1991" s="45">
        <f>Учет!X1991</f>
        <v>500</v>
      </c>
    </row>
    <row r="1992" spans="1:27" ht="15" customHeight="1" x14ac:dyDescent="0.25">
      <c r="A1992" s="1"/>
      <c r="B1992" s="17"/>
      <c r="C1992" s="17"/>
      <c r="D1992" s="17"/>
      <c r="E1992" s="17"/>
      <c r="F1992" s="17"/>
      <c r="G1992" s="4">
        <f t="shared" si="90"/>
        <v>0</v>
      </c>
      <c r="H1992" s="17"/>
      <c r="I1992" s="4">
        <f t="shared" si="92"/>
        <v>349526.07999999996</v>
      </c>
      <c r="J1992" s="32" t="str">
        <f t="shared" si="91"/>
        <v/>
      </c>
      <c r="K1992" s="72"/>
      <c r="L1992" s="72"/>
      <c r="M1992" s="2"/>
      <c r="N1992" s="5"/>
      <c r="O1992" s="3"/>
      <c r="P1992" s="6"/>
      <c r="Q1992" s="48">
        <f>IF(Учет!$O1992=Справочники!$F$2,Учет!$H1992,0)</f>
        <v>0</v>
      </c>
      <c r="R1992" s="48">
        <f>IF(Учет!$O1992=Справочники!$F$3,Учет!$H1992,0)</f>
        <v>0</v>
      </c>
      <c r="S1992" s="48">
        <f>IF(Учет!$O1992=Справочники!$F$4,Учет!$H1992,0)</f>
        <v>0</v>
      </c>
      <c r="T1992" s="48">
        <f>IF(Учет!$O1992=Справочники!$F$5,Учет!$H1992,0)</f>
        <v>0</v>
      </c>
      <c r="U1992" s="48">
        <f>IF(Учет!$O1992=Справочники!$F$6,Учет!$H1992,0)</f>
        <v>0</v>
      </c>
      <c r="V1992" s="43">
        <f>V1991+Учет!Q1992-Q1992</f>
        <v>-488978.92000000004</v>
      </c>
      <c r="W1992" s="43">
        <f>W1991+Учет!R1992-R1992</f>
        <v>336855</v>
      </c>
      <c r="X1992" s="43">
        <f>X1991+Учет!S1992-S1992</f>
        <v>500</v>
      </c>
      <c r="Y1992" s="43">
        <f>Y1991+Учет!T1992-T1992</f>
        <v>1150</v>
      </c>
      <c r="Z1992" s="43">
        <f>Z1991+Учет!U1992-U1992</f>
        <v>500000</v>
      </c>
      <c r="AA1992" s="45">
        <f>Учет!X1992</f>
        <v>500</v>
      </c>
    </row>
    <row r="1993" spans="1:27" ht="15" customHeight="1" x14ac:dyDescent="0.25">
      <c r="A1993" s="1"/>
      <c r="B1993" s="17"/>
      <c r="C1993" s="17"/>
      <c r="D1993" s="17"/>
      <c r="E1993" s="17"/>
      <c r="F1993" s="17"/>
      <c r="G1993" s="4">
        <f t="shared" si="90"/>
        <v>0</v>
      </c>
      <c r="H1993" s="17"/>
      <c r="I1993" s="4">
        <f t="shared" si="92"/>
        <v>349526.07999999996</v>
      </c>
      <c r="J1993" s="32" t="str">
        <f t="shared" si="91"/>
        <v/>
      </c>
      <c r="K1993" s="72"/>
      <c r="L1993" s="72"/>
      <c r="M1993" s="2"/>
      <c r="N1993" s="5"/>
      <c r="O1993" s="3"/>
      <c r="P1993" s="6"/>
      <c r="Q1993" s="48">
        <f>IF(Учет!$O1993=Справочники!$F$2,Учет!$H1993,0)</f>
        <v>0</v>
      </c>
      <c r="R1993" s="48">
        <f>IF(Учет!$O1993=Справочники!$F$3,Учет!$H1993,0)</f>
        <v>0</v>
      </c>
      <c r="S1993" s="48">
        <f>IF(Учет!$O1993=Справочники!$F$4,Учет!$H1993,0)</f>
        <v>0</v>
      </c>
      <c r="T1993" s="48">
        <f>IF(Учет!$O1993=Справочники!$F$5,Учет!$H1993,0)</f>
        <v>0</v>
      </c>
      <c r="U1993" s="48">
        <f>IF(Учет!$O1993=Справочники!$F$6,Учет!$H1993,0)</f>
        <v>0</v>
      </c>
      <c r="V1993" s="43">
        <f>V1992+Учет!Q1993-Q1993</f>
        <v>-488978.92000000004</v>
      </c>
      <c r="W1993" s="43">
        <f>W1992+Учет!R1993-R1993</f>
        <v>336855</v>
      </c>
      <c r="X1993" s="43">
        <f>X1992+Учет!S1993-S1993</f>
        <v>500</v>
      </c>
      <c r="Y1993" s="43">
        <f>Y1992+Учет!T1993-T1993</f>
        <v>1150</v>
      </c>
      <c r="Z1993" s="43">
        <f>Z1992+Учет!U1993-U1993</f>
        <v>500000</v>
      </c>
      <c r="AA1993" s="45">
        <f>Учет!X1993</f>
        <v>500</v>
      </c>
    </row>
    <row r="1994" spans="1:27" ht="15" customHeight="1" x14ac:dyDescent="0.25">
      <c r="A1994" s="1"/>
      <c r="B1994" s="17"/>
      <c r="C1994" s="17"/>
      <c r="D1994" s="17"/>
      <c r="E1994" s="17"/>
      <c r="F1994" s="17"/>
      <c r="G1994" s="4">
        <f t="shared" si="90"/>
        <v>0</v>
      </c>
      <c r="H1994" s="17"/>
      <c r="I1994" s="4">
        <f t="shared" si="92"/>
        <v>349526.07999999996</v>
      </c>
      <c r="J1994" s="32" t="str">
        <f t="shared" si="91"/>
        <v/>
      </c>
      <c r="K1994" s="72"/>
      <c r="L1994" s="72"/>
      <c r="M1994" s="2"/>
      <c r="N1994" s="5"/>
      <c r="O1994" s="3"/>
      <c r="P1994" s="6"/>
      <c r="Q1994" s="48">
        <f>IF(Учет!$O1994=Справочники!$F$2,Учет!$H1994,0)</f>
        <v>0</v>
      </c>
      <c r="R1994" s="48">
        <f>IF(Учет!$O1994=Справочники!$F$3,Учет!$H1994,0)</f>
        <v>0</v>
      </c>
      <c r="S1994" s="48">
        <f>IF(Учет!$O1994=Справочники!$F$4,Учет!$H1994,0)</f>
        <v>0</v>
      </c>
      <c r="T1994" s="48">
        <f>IF(Учет!$O1994=Справочники!$F$5,Учет!$H1994,0)</f>
        <v>0</v>
      </c>
      <c r="U1994" s="48">
        <f>IF(Учет!$O1994=Справочники!$F$6,Учет!$H1994,0)</f>
        <v>0</v>
      </c>
      <c r="V1994" s="43">
        <f>V1993+Учет!Q1994-Q1994</f>
        <v>-488978.92000000004</v>
      </c>
      <c r="W1994" s="43">
        <f>W1993+Учет!R1994-R1994</f>
        <v>336855</v>
      </c>
      <c r="X1994" s="43">
        <f>X1993+Учет!S1994-S1994</f>
        <v>500</v>
      </c>
      <c r="Y1994" s="43">
        <f>Y1993+Учет!T1994-T1994</f>
        <v>1150</v>
      </c>
      <c r="Z1994" s="43">
        <f>Z1993+Учет!U1994-U1994</f>
        <v>500000</v>
      </c>
      <c r="AA1994" s="45">
        <f>Учет!X1994</f>
        <v>500</v>
      </c>
    </row>
    <row r="1995" spans="1:27" ht="15" customHeight="1" x14ac:dyDescent="0.25">
      <c r="A1995" s="1"/>
      <c r="B1995" s="17"/>
      <c r="C1995" s="17"/>
      <c r="D1995" s="17"/>
      <c r="E1995" s="17"/>
      <c r="F1995" s="17"/>
      <c r="G1995" s="4">
        <f t="shared" si="90"/>
        <v>0</v>
      </c>
      <c r="H1995" s="17"/>
      <c r="I1995" s="4">
        <f t="shared" si="92"/>
        <v>349526.07999999996</v>
      </c>
      <c r="J1995" s="32" t="str">
        <f t="shared" si="91"/>
        <v/>
      </c>
      <c r="K1995" s="72"/>
      <c r="L1995" s="72"/>
      <c r="M1995" s="2"/>
      <c r="N1995" s="5"/>
      <c r="O1995" s="3"/>
      <c r="P1995" s="6"/>
      <c r="Q1995" s="48">
        <f>IF(Учет!$O1995=Справочники!$F$2,Учет!$H1995,0)</f>
        <v>0</v>
      </c>
      <c r="R1995" s="48">
        <f>IF(Учет!$O1995=Справочники!$F$3,Учет!$H1995,0)</f>
        <v>0</v>
      </c>
      <c r="S1995" s="48">
        <f>IF(Учет!$O1995=Справочники!$F$4,Учет!$H1995,0)</f>
        <v>0</v>
      </c>
      <c r="T1995" s="48">
        <f>IF(Учет!$O1995=Справочники!$F$5,Учет!$H1995,0)</f>
        <v>0</v>
      </c>
      <c r="U1995" s="48">
        <f>IF(Учет!$O1995=Справочники!$F$6,Учет!$H1995,0)</f>
        <v>0</v>
      </c>
      <c r="V1995" s="43">
        <f>V1994+Учет!Q1995-Q1995</f>
        <v>-488978.92000000004</v>
      </c>
      <c r="W1995" s="43">
        <f>W1994+Учет!R1995-R1995</f>
        <v>336855</v>
      </c>
      <c r="X1995" s="43">
        <f>X1994+Учет!S1995-S1995</f>
        <v>500</v>
      </c>
      <c r="Y1995" s="43">
        <f>Y1994+Учет!T1995-T1995</f>
        <v>1150</v>
      </c>
      <c r="Z1995" s="43">
        <f>Z1994+Учет!U1995-U1995</f>
        <v>500000</v>
      </c>
      <c r="AA1995" s="45">
        <f>Учет!X1995</f>
        <v>500</v>
      </c>
    </row>
    <row r="1996" spans="1:27" ht="15" customHeight="1" x14ac:dyDescent="0.25">
      <c r="A1996" s="1"/>
      <c r="B1996" s="17"/>
      <c r="C1996" s="17"/>
      <c r="D1996" s="17"/>
      <c r="E1996" s="17"/>
      <c r="F1996" s="17"/>
      <c r="G1996" s="4">
        <f t="shared" si="90"/>
        <v>0</v>
      </c>
      <c r="H1996" s="17"/>
      <c r="I1996" s="4">
        <f t="shared" si="92"/>
        <v>349526.07999999996</v>
      </c>
      <c r="J1996" s="32" t="str">
        <f t="shared" si="91"/>
        <v/>
      </c>
      <c r="K1996" s="72"/>
      <c r="L1996" s="72"/>
      <c r="M1996" s="2"/>
      <c r="N1996" s="5"/>
      <c r="O1996" s="3"/>
      <c r="P1996" s="6"/>
      <c r="Q1996" s="48">
        <f>IF(Учет!$O1996=Справочники!$F$2,Учет!$H1996,0)</f>
        <v>0</v>
      </c>
      <c r="R1996" s="48">
        <f>IF(Учет!$O1996=Справочники!$F$3,Учет!$H1996,0)</f>
        <v>0</v>
      </c>
      <c r="S1996" s="48">
        <f>IF(Учет!$O1996=Справочники!$F$4,Учет!$H1996,0)</f>
        <v>0</v>
      </c>
      <c r="T1996" s="48">
        <f>IF(Учет!$O1996=Справочники!$F$5,Учет!$H1996,0)</f>
        <v>0</v>
      </c>
      <c r="U1996" s="48">
        <f>IF(Учет!$O1996=Справочники!$F$6,Учет!$H1996,0)</f>
        <v>0</v>
      </c>
      <c r="V1996" s="43">
        <f>V1995+Учет!Q1996-Q1996</f>
        <v>-488978.92000000004</v>
      </c>
      <c r="W1996" s="43">
        <f>W1995+Учет!R1996-R1996</f>
        <v>336855</v>
      </c>
      <c r="X1996" s="43">
        <f>X1995+Учет!S1996-S1996</f>
        <v>500</v>
      </c>
      <c r="Y1996" s="43">
        <f>Y1995+Учет!T1996-T1996</f>
        <v>1150</v>
      </c>
      <c r="Z1996" s="43">
        <f>Z1995+Учет!U1996-U1996</f>
        <v>500000</v>
      </c>
      <c r="AA1996" s="45">
        <f>Учет!X1996</f>
        <v>500</v>
      </c>
    </row>
    <row r="1997" spans="1:27" ht="15" customHeight="1" x14ac:dyDescent="0.25">
      <c r="A1997" s="1"/>
      <c r="B1997" s="17"/>
      <c r="C1997" s="17"/>
      <c r="D1997" s="17"/>
      <c r="E1997" s="17"/>
      <c r="F1997" s="17"/>
      <c r="G1997" s="4">
        <f t="shared" si="90"/>
        <v>0</v>
      </c>
      <c r="H1997" s="17"/>
      <c r="I1997" s="4">
        <f t="shared" si="92"/>
        <v>349526.07999999996</v>
      </c>
      <c r="J1997" s="32" t="str">
        <f t="shared" si="91"/>
        <v/>
      </c>
      <c r="K1997" s="72"/>
      <c r="L1997" s="72"/>
      <c r="M1997" s="2"/>
      <c r="N1997" s="5"/>
      <c r="O1997" s="3"/>
      <c r="P1997" s="6"/>
      <c r="Q1997" s="48">
        <f>IF(Учет!$O1997=Справочники!$F$2,Учет!$H1997,0)</f>
        <v>0</v>
      </c>
      <c r="R1997" s="48">
        <f>IF(Учет!$O1997=Справочники!$F$3,Учет!$H1997,0)</f>
        <v>0</v>
      </c>
      <c r="S1997" s="48">
        <f>IF(Учет!$O1997=Справочники!$F$4,Учет!$H1997,0)</f>
        <v>0</v>
      </c>
      <c r="T1997" s="48">
        <f>IF(Учет!$O1997=Справочники!$F$5,Учет!$H1997,0)</f>
        <v>0</v>
      </c>
      <c r="U1997" s="48">
        <f>IF(Учет!$O1997=Справочники!$F$6,Учет!$H1997,0)</f>
        <v>0</v>
      </c>
      <c r="V1997" s="43">
        <f>V1996+Учет!Q1997-Q1997</f>
        <v>-488978.92000000004</v>
      </c>
      <c r="W1997" s="43">
        <f>W1996+Учет!R1997-R1997</f>
        <v>336855</v>
      </c>
      <c r="X1997" s="43">
        <f>X1996+Учет!S1997-S1997</f>
        <v>500</v>
      </c>
      <c r="Y1997" s="43">
        <f>Y1996+Учет!T1997-T1997</f>
        <v>1150</v>
      </c>
      <c r="Z1997" s="43">
        <f>Z1996+Учет!U1997-U1997</f>
        <v>500000</v>
      </c>
      <c r="AA1997" s="45">
        <f>Учет!X1997</f>
        <v>500</v>
      </c>
    </row>
    <row r="1998" spans="1:27" ht="15" customHeight="1" x14ac:dyDescent="0.25">
      <c r="A1998" s="1"/>
      <c r="B1998" s="17"/>
      <c r="C1998" s="17"/>
      <c r="D1998" s="17"/>
      <c r="E1998" s="17"/>
      <c r="F1998" s="17"/>
      <c r="G1998" s="4">
        <f t="shared" si="90"/>
        <v>0</v>
      </c>
      <c r="H1998" s="17"/>
      <c r="I1998" s="4">
        <f t="shared" si="92"/>
        <v>349526.07999999996</v>
      </c>
      <c r="J1998" s="32" t="str">
        <f t="shared" si="91"/>
        <v/>
      </c>
      <c r="K1998" s="72"/>
      <c r="L1998" s="72"/>
      <c r="M1998" s="2"/>
      <c r="N1998" s="5"/>
      <c r="O1998" s="3"/>
      <c r="P1998" s="6"/>
      <c r="Q1998" s="48">
        <f>IF(Учет!$O1998=Справочники!$F$2,Учет!$H1998,0)</f>
        <v>0</v>
      </c>
      <c r="R1998" s="48">
        <f>IF(Учет!$O1998=Справочники!$F$3,Учет!$H1998,0)</f>
        <v>0</v>
      </c>
      <c r="S1998" s="48">
        <f>IF(Учет!$O1998=Справочники!$F$4,Учет!$H1998,0)</f>
        <v>0</v>
      </c>
      <c r="T1998" s="48">
        <f>IF(Учет!$O1998=Справочники!$F$5,Учет!$H1998,0)</f>
        <v>0</v>
      </c>
      <c r="U1998" s="48">
        <f>IF(Учет!$O1998=Справочники!$F$6,Учет!$H1998,0)</f>
        <v>0</v>
      </c>
      <c r="V1998" s="43">
        <f>V1997+Учет!Q1998-Q1998</f>
        <v>-488978.92000000004</v>
      </c>
      <c r="W1998" s="43">
        <f>W1997+Учет!R1998-R1998</f>
        <v>336855</v>
      </c>
      <c r="X1998" s="43">
        <f>X1997+Учет!S1998-S1998</f>
        <v>500</v>
      </c>
      <c r="Y1998" s="43">
        <f>Y1997+Учет!T1998-T1998</f>
        <v>1150</v>
      </c>
      <c r="Z1998" s="43">
        <f>Z1997+Учет!U1998-U1998</f>
        <v>500000</v>
      </c>
      <c r="AA1998" s="45">
        <f>Учет!X1998</f>
        <v>500</v>
      </c>
    </row>
    <row r="1999" spans="1:27" ht="15" customHeight="1" x14ac:dyDescent="0.25">
      <c r="A1999" s="1"/>
      <c r="B1999" s="17"/>
      <c r="C1999" s="17"/>
      <c r="D1999" s="17"/>
      <c r="E1999" s="17"/>
      <c r="F1999" s="17"/>
      <c r="G1999" s="4">
        <f t="shared" si="90"/>
        <v>0</v>
      </c>
      <c r="H1999" s="17"/>
      <c r="I1999" s="4">
        <f t="shared" si="92"/>
        <v>349526.07999999996</v>
      </c>
      <c r="J1999" s="32" t="str">
        <f t="shared" si="91"/>
        <v/>
      </c>
      <c r="K1999" s="72"/>
      <c r="L1999" s="72"/>
      <c r="M1999" s="2"/>
      <c r="N1999" s="5"/>
      <c r="O1999" s="3"/>
      <c r="P1999" s="6"/>
      <c r="Q1999" s="48">
        <f>IF(Учет!$O1999=Справочники!$F$2,Учет!$H1999,0)</f>
        <v>0</v>
      </c>
      <c r="R1999" s="48">
        <f>IF(Учет!$O1999=Справочники!$F$3,Учет!$H1999,0)</f>
        <v>0</v>
      </c>
      <c r="S1999" s="48">
        <f>IF(Учет!$O1999=Справочники!$F$4,Учет!$H1999,0)</f>
        <v>0</v>
      </c>
      <c r="T1999" s="48">
        <f>IF(Учет!$O1999=Справочники!$F$5,Учет!$H1999,0)</f>
        <v>0</v>
      </c>
      <c r="U1999" s="48">
        <f>IF(Учет!$O1999=Справочники!$F$6,Учет!$H1999,0)</f>
        <v>0</v>
      </c>
      <c r="V1999" s="43">
        <f>V1998+Учет!Q1999-Q1999</f>
        <v>-488978.92000000004</v>
      </c>
      <c r="W1999" s="43">
        <f>W1998+Учет!R1999-R1999</f>
        <v>336855</v>
      </c>
      <c r="X1999" s="43">
        <f>X1998+Учет!S1999-S1999</f>
        <v>500</v>
      </c>
      <c r="Y1999" s="43">
        <f>Y1998+Учет!T1999-T1999</f>
        <v>1150</v>
      </c>
      <c r="Z1999" s="43">
        <f>Z1998+Учет!U1999-U1999</f>
        <v>500000</v>
      </c>
      <c r="AA1999" s="45">
        <f>Учет!X1999</f>
        <v>500</v>
      </c>
    </row>
    <row r="2000" spans="1:27" ht="15" customHeight="1" x14ac:dyDescent="0.25">
      <c r="A2000" s="1"/>
      <c r="B2000" s="17"/>
      <c r="C2000" s="17"/>
      <c r="D2000" s="17"/>
      <c r="E2000" s="17"/>
      <c r="F2000" s="17"/>
      <c r="G2000" s="4">
        <f t="shared" si="90"/>
        <v>0</v>
      </c>
      <c r="H2000" s="17"/>
      <c r="I2000" s="4">
        <f t="shared" si="92"/>
        <v>349526.07999999996</v>
      </c>
      <c r="J2000" s="32" t="str">
        <f t="shared" si="91"/>
        <v/>
      </c>
      <c r="K2000" s="72"/>
      <c r="L2000" s="72"/>
      <c r="M2000" s="2"/>
      <c r="N2000" s="5"/>
      <c r="O2000" s="3"/>
      <c r="P2000" s="6"/>
      <c r="Q2000" s="48">
        <f>IF(Учет!$O2000=Справочники!$F$2,Учет!$H2000,0)</f>
        <v>0</v>
      </c>
      <c r="R2000" s="48">
        <f>IF(Учет!$O2000=Справочники!$F$3,Учет!$H2000,0)</f>
        <v>0</v>
      </c>
      <c r="S2000" s="48">
        <f>IF(Учет!$O2000=Справочники!$F$4,Учет!$H2000,0)</f>
        <v>0</v>
      </c>
      <c r="T2000" s="48">
        <f>IF(Учет!$O2000=Справочники!$F$5,Учет!$H2000,0)</f>
        <v>0</v>
      </c>
      <c r="U2000" s="48">
        <f>IF(Учет!$O2000=Справочники!$F$6,Учет!$H2000,0)</f>
        <v>0</v>
      </c>
      <c r="V2000" s="43">
        <f>V1999+Учет!Q2000-Q2000</f>
        <v>-488978.92000000004</v>
      </c>
      <c r="W2000" s="43">
        <f>W1999+Учет!R2000-R2000</f>
        <v>336855</v>
      </c>
      <c r="X2000" s="43">
        <f>X1999+Учет!S2000-S2000</f>
        <v>500</v>
      </c>
      <c r="Y2000" s="43">
        <f>Y1999+Учет!T2000-T2000</f>
        <v>1150</v>
      </c>
      <c r="Z2000" s="43">
        <f>Z1999+Учет!U2000-U2000</f>
        <v>500000</v>
      </c>
      <c r="AA2000" s="45">
        <f>Учет!X2000</f>
        <v>500</v>
      </c>
    </row>
    <row r="2001" spans="1:27" ht="15" customHeight="1" x14ac:dyDescent="0.25">
      <c r="A2001" s="1"/>
      <c r="B2001" s="17"/>
      <c r="C2001" s="17"/>
      <c r="D2001" s="17"/>
      <c r="E2001" s="17"/>
      <c r="F2001" s="17"/>
      <c r="G2001" s="4">
        <f t="shared" si="90"/>
        <v>0</v>
      </c>
      <c r="H2001" s="17"/>
      <c r="I2001" s="4">
        <f t="shared" si="92"/>
        <v>349526.07999999996</v>
      </c>
      <c r="J2001" s="32" t="str">
        <f t="shared" si="91"/>
        <v/>
      </c>
      <c r="K2001" s="72"/>
      <c r="L2001" s="72"/>
      <c r="M2001" s="2"/>
      <c r="N2001" s="5"/>
      <c r="O2001" s="3"/>
      <c r="P2001" s="6"/>
      <c r="Q2001" s="48">
        <f>IF(Учет!$O2001=Справочники!$F$2,Учет!$H2001,0)</f>
        <v>0</v>
      </c>
      <c r="R2001" s="48">
        <f>IF(Учет!$O2001=Справочники!$F$3,Учет!$H2001,0)</f>
        <v>0</v>
      </c>
      <c r="S2001" s="48">
        <f>IF(Учет!$O2001=Справочники!$F$4,Учет!$H2001,0)</f>
        <v>0</v>
      </c>
      <c r="T2001" s="48">
        <f>IF(Учет!$O2001=Справочники!$F$5,Учет!$H2001,0)</f>
        <v>0</v>
      </c>
      <c r="U2001" s="48">
        <f>IF(Учет!$O2001=Справочники!$F$6,Учет!$H2001,0)</f>
        <v>0</v>
      </c>
      <c r="V2001" s="43">
        <f>V2000+Учет!Q2001-Q2001</f>
        <v>-488978.92000000004</v>
      </c>
      <c r="W2001" s="43">
        <f>W2000+Учет!R2001-R2001</f>
        <v>336855</v>
      </c>
      <c r="X2001" s="43">
        <f>X2000+Учет!S2001-S2001</f>
        <v>500</v>
      </c>
      <c r="Y2001" s="43">
        <f>Y2000+Учет!T2001-T2001</f>
        <v>1150</v>
      </c>
      <c r="Z2001" s="43">
        <f>Z2000+Учет!U2001-U2001</f>
        <v>500000</v>
      </c>
      <c r="AA2001" s="45">
        <f>Учет!X2001</f>
        <v>500</v>
      </c>
    </row>
    <row r="2002" spans="1:27" ht="15" customHeight="1" x14ac:dyDescent="0.25">
      <c r="A2002" s="1"/>
      <c r="B2002" s="17"/>
      <c r="C2002" s="17"/>
      <c r="D2002" s="17"/>
      <c r="E2002" s="17"/>
      <c r="F2002" s="17"/>
      <c r="G2002" s="4">
        <f t="shared" si="90"/>
        <v>0</v>
      </c>
      <c r="H2002" s="17"/>
      <c r="I2002" s="4">
        <f t="shared" si="92"/>
        <v>349526.07999999996</v>
      </c>
      <c r="J2002" s="32" t="str">
        <f t="shared" si="91"/>
        <v/>
      </c>
      <c r="K2002" s="72"/>
      <c r="L2002" s="72"/>
      <c r="M2002" s="2"/>
      <c r="N2002" s="5"/>
      <c r="O2002" s="3"/>
      <c r="P2002" s="6"/>
      <c r="Q2002" s="48">
        <f>IF(Учет!$O2002=Справочники!$F$2,Учет!$H2002,0)</f>
        <v>0</v>
      </c>
      <c r="R2002" s="48">
        <f>IF(Учет!$O2002=Справочники!$F$3,Учет!$H2002,0)</f>
        <v>0</v>
      </c>
      <c r="S2002" s="48">
        <f>IF(Учет!$O2002=Справочники!$F$4,Учет!$H2002,0)</f>
        <v>0</v>
      </c>
      <c r="T2002" s="48">
        <f>IF(Учет!$O2002=Справочники!$F$5,Учет!$H2002,0)</f>
        <v>0</v>
      </c>
      <c r="U2002" s="48">
        <f>IF(Учет!$O2002=Справочники!$F$6,Учет!$H2002,0)</f>
        <v>0</v>
      </c>
      <c r="V2002" s="43">
        <f>V2001+Учет!Q2002-Q2002</f>
        <v>-488978.92000000004</v>
      </c>
      <c r="W2002" s="43">
        <f>W2001+Учет!R2002-R2002</f>
        <v>336855</v>
      </c>
      <c r="X2002" s="43">
        <f>X2001+Учет!S2002-S2002</f>
        <v>500</v>
      </c>
      <c r="Y2002" s="43">
        <f>Y2001+Учет!T2002-T2002</f>
        <v>1150</v>
      </c>
      <c r="Z2002" s="43">
        <f>Z2001+Учет!U2002-U2002</f>
        <v>500000</v>
      </c>
      <c r="AA2002" s="45">
        <f>Учет!X2002</f>
        <v>500</v>
      </c>
    </row>
    <row r="2003" spans="1:27" ht="15" customHeight="1" x14ac:dyDescent="0.25">
      <c r="A2003" s="1"/>
      <c r="B2003" s="17"/>
      <c r="C2003" s="17"/>
      <c r="D2003" s="17"/>
      <c r="E2003" s="17"/>
      <c r="F2003" s="17"/>
      <c r="G2003" s="4">
        <f t="shared" si="90"/>
        <v>0</v>
      </c>
      <c r="H2003" s="17"/>
      <c r="I2003" s="4">
        <f t="shared" si="92"/>
        <v>349526.07999999996</v>
      </c>
      <c r="J2003" s="32" t="str">
        <f t="shared" si="91"/>
        <v/>
      </c>
      <c r="K2003" s="72"/>
      <c r="L2003" s="72"/>
      <c r="M2003" s="2"/>
      <c r="N2003" s="5"/>
      <c r="O2003" s="3"/>
      <c r="P2003" s="6"/>
      <c r="Q2003" s="48">
        <f>IF(Учет!$O2003=Справочники!$F$2,Учет!$H2003,0)</f>
        <v>0</v>
      </c>
      <c r="R2003" s="48">
        <f>IF(Учет!$O2003=Справочники!$F$3,Учет!$H2003,0)</f>
        <v>0</v>
      </c>
      <c r="S2003" s="48">
        <f>IF(Учет!$O2003=Справочники!$F$4,Учет!$H2003,0)</f>
        <v>0</v>
      </c>
      <c r="T2003" s="48">
        <f>IF(Учет!$O2003=Справочники!$F$5,Учет!$H2003,0)</f>
        <v>0</v>
      </c>
      <c r="U2003" s="48">
        <f>IF(Учет!$O2003=Справочники!$F$6,Учет!$H2003,0)</f>
        <v>0</v>
      </c>
      <c r="V2003" s="43">
        <f>V2002+Учет!Q2003-Q2003</f>
        <v>-488978.92000000004</v>
      </c>
      <c r="W2003" s="43">
        <f>W2002+Учет!R2003-R2003</f>
        <v>336855</v>
      </c>
      <c r="X2003" s="43">
        <f>X2002+Учет!S2003-S2003</f>
        <v>500</v>
      </c>
      <c r="Y2003" s="43">
        <f>Y2002+Учет!T2003-T2003</f>
        <v>1150</v>
      </c>
      <c r="Z2003" s="43">
        <f>Z2002+Учет!U2003-U2003</f>
        <v>500000</v>
      </c>
      <c r="AA2003" s="45">
        <f>Учет!X2003</f>
        <v>500</v>
      </c>
    </row>
    <row r="2004" spans="1:27" ht="15" customHeight="1" x14ac:dyDescent="0.25">
      <c r="A2004" s="1"/>
      <c r="B2004" s="17"/>
      <c r="C2004" s="17"/>
      <c r="D2004" s="17"/>
      <c r="E2004" s="17"/>
      <c r="F2004" s="17"/>
      <c r="G2004" s="4">
        <f t="shared" si="90"/>
        <v>0</v>
      </c>
      <c r="H2004" s="17"/>
      <c r="I2004" s="4">
        <f t="shared" si="92"/>
        <v>349526.07999999996</v>
      </c>
      <c r="J2004" s="32" t="str">
        <f t="shared" si="91"/>
        <v/>
      </c>
      <c r="K2004" s="72"/>
      <c r="L2004" s="72"/>
      <c r="M2004" s="2"/>
      <c r="N2004" s="5"/>
      <c r="O2004" s="3"/>
      <c r="P2004" s="6"/>
      <c r="Q2004" s="48">
        <f>IF(Учет!$O2004=Справочники!$F$2,Учет!$H2004,0)</f>
        <v>0</v>
      </c>
      <c r="R2004" s="48">
        <f>IF(Учет!$O2004=Справочники!$F$3,Учет!$H2004,0)</f>
        <v>0</v>
      </c>
      <c r="S2004" s="48">
        <f>IF(Учет!$O2004=Справочники!$F$4,Учет!$H2004,0)</f>
        <v>0</v>
      </c>
      <c r="T2004" s="48">
        <f>IF(Учет!$O2004=Справочники!$F$5,Учет!$H2004,0)</f>
        <v>0</v>
      </c>
      <c r="U2004" s="48">
        <f>IF(Учет!$O2004=Справочники!$F$6,Учет!$H2004,0)</f>
        <v>0</v>
      </c>
      <c r="V2004" s="43">
        <f>V2003+Учет!Q2004-Q2004</f>
        <v>-488978.92000000004</v>
      </c>
      <c r="W2004" s="43">
        <f>W2003+Учет!R2004-R2004</f>
        <v>336855</v>
      </c>
      <c r="X2004" s="43">
        <f>X2003+Учет!S2004-S2004</f>
        <v>500</v>
      </c>
      <c r="Y2004" s="43">
        <f>Y2003+Учет!T2004-T2004</f>
        <v>1150</v>
      </c>
      <c r="Z2004" s="43">
        <f>Z2003+Учет!U2004-U2004</f>
        <v>500000</v>
      </c>
      <c r="AA2004" s="45">
        <f>Учет!X2004</f>
        <v>500</v>
      </c>
    </row>
    <row r="2005" spans="1:27" ht="15" customHeight="1" x14ac:dyDescent="0.25">
      <c r="A2005" s="1"/>
      <c r="B2005" s="17"/>
      <c r="C2005" s="17"/>
      <c r="D2005" s="17"/>
      <c r="E2005" s="17"/>
      <c r="F2005" s="17"/>
      <c r="G2005" s="4">
        <f t="shared" si="90"/>
        <v>0</v>
      </c>
      <c r="H2005" s="17"/>
      <c r="I2005" s="4">
        <f t="shared" si="92"/>
        <v>349526.07999999996</v>
      </c>
      <c r="J2005" s="32" t="str">
        <f t="shared" si="91"/>
        <v/>
      </c>
      <c r="K2005" s="72"/>
      <c r="L2005" s="72"/>
      <c r="M2005" s="2"/>
      <c r="N2005" s="5"/>
      <c r="O2005" s="3"/>
      <c r="P2005" s="6"/>
      <c r="Q2005" s="48">
        <f>IF(Учет!$O2005=Справочники!$F$2,Учет!$H2005,0)</f>
        <v>0</v>
      </c>
      <c r="R2005" s="48">
        <f>IF(Учет!$O2005=Справочники!$F$3,Учет!$H2005,0)</f>
        <v>0</v>
      </c>
      <c r="S2005" s="48">
        <f>IF(Учет!$O2005=Справочники!$F$4,Учет!$H2005,0)</f>
        <v>0</v>
      </c>
      <c r="T2005" s="48">
        <f>IF(Учет!$O2005=Справочники!$F$5,Учет!$H2005,0)</f>
        <v>0</v>
      </c>
      <c r="U2005" s="48">
        <f>IF(Учет!$O2005=Справочники!$F$6,Учет!$H2005,0)</f>
        <v>0</v>
      </c>
      <c r="V2005" s="43">
        <f>V2004+Учет!Q2005-Q2005</f>
        <v>-488978.92000000004</v>
      </c>
      <c r="W2005" s="43">
        <f>W2004+Учет!R2005-R2005</f>
        <v>336855</v>
      </c>
      <c r="X2005" s="43">
        <f>X2004+Учет!S2005-S2005</f>
        <v>500</v>
      </c>
      <c r="Y2005" s="43">
        <f>Y2004+Учет!T2005-T2005</f>
        <v>1150</v>
      </c>
      <c r="Z2005" s="43">
        <f>Z2004+Учет!U2005-U2005</f>
        <v>500000</v>
      </c>
      <c r="AA2005" s="45">
        <f>Учет!X2005</f>
        <v>500</v>
      </c>
    </row>
    <row r="2006" spans="1:27" ht="15" customHeight="1" x14ac:dyDescent="0.25">
      <c r="A2006" s="1"/>
      <c r="B2006" s="17"/>
      <c r="C2006" s="17"/>
      <c r="D2006" s="17"/>
      <c r="E2006" s="17"/>
      <c r="F2006" s="17"/>
      <c r="G2006" s="4">
        <f t="shared" si="90"/>
        <v>0</v>
      </c>
      <c r="H2006" s="17"/>
      <c r="I2006" s="4">
        <f t="shared" si="92"/>
        <v>349526.07999999996</v>
      </c>
      <c r="J2006" s="32" t="str">
        <f t="shared" si="91"/>
        <v/>
      </c>
      <c r="K2006" s="72"/>
      <c r="L2006" s="72"/>
      <c r="M2006" s="2"/>
      <c r="N2006" s="5"/>
      <c r="O2006" s="3"/>
      <c r="P2006" s="6"/>
      <c r="Q2006" s="48">
        <f>IF(Учет!$O2006=Справочники!$F$2,Учет!$H2006,0)</f>
        <v>0</v>
      </c>
      <c r="R2006" s="48">
        <f>IF(Учет!$O2006=Справочники!$F$3,Учет!$H2006,0)</f>
        <v>0</v>
      </c>
      <c r="S2006" s="48">
        <f>IF(Учет!$O2006=Справочники!$F$4,Учет!$H2006,0)</f>
        <v>0</v>
      </c>
      <c r="T2006" s="48">
        <f>IF(Учет!$O2006=Справочники!$F$5,Учет!$H2006,0)</f>
        <v>0</v>
      </c>
      <c r="U2006" s="48">
        <f>IF(Учет!$O2006=Справочники!$F$6,Учет!$H2006,0)</f>
        <v>0</v>
      </c>
      <c r="V2006" s="43">
        <f>V2005+Учет!Q2006-Q2006</f>
        <v>-488978.92000000004</v>
      </c>
      <c r="W2006" s="43">
        <f>W2005+Учет!R2006-R2006</f>
        <v>336855</v>
      </c>
      <c r="X2006" s="43">
        <f>X2005+Учет!S2006-S2006</f>
        <v>500</v>
      </c>
      <c r="Y2006" s="43">
        <f>Y2005+Учет!T2006-T2006</f>
        <v>1150</v>
      </c>
      <c r="Z2006" s="43">
        <f>Z2005+Учет!U2006-U2006</f>
        <v>500000</v>
      </c>
      <c r="AA2006" s="45">
        <f>Учет!X2006</f>
        <v>500</v>
      </c>
    </row>
    <row r="2007" spans="1:27" ht="15" customHeight="1" x14ac:dyDescent="0.25">
      <c r="A2007" s="1"/>
      <c r="B2007" s="17"/>
      <c r="C2007" s="17"/>
      <c r="D2007" s="17"/>
      <c r="E2007" s="17"/>
      <c r="F2007" s="17"/>
      <c r="G2007" s="4">
        <f t="shared" si="90"/>
        <v>0</v>
      </c>
      <c r="H2007" s="17"/>
      <c r="I2007" s="4">
        <f t="shared" si="92"/>
        <v>349526.07999999996</v>
      </c>
      <c r="J2007" s="32" t="str">
        <f t="shared" si="91"/>
        <v/>
      </c>
      <c r="K2007" s="72"/>
      <c r="L2007" s="72"/>
      <c r="M2007" s="2"/>
      <c r="N2007" s="5"/>
      <c r="O2007" s="3"/>
      <c r="P2007" s="6"/>
      <c r="Q2007" s="48">
        <f>IF(Учет!$O2007=Справочники!$F$2,Учет!$H2007,0)</f>
        <v>0</v>
      </c>
      <c r="R2007" s="48">
        <f>IF(Учет!$O2007=Справочники!$F$3,Учет!$H2007,0)</f>
        <v>0</v>
      </c>
      <c r="S2007" s="48">
        <f>IF(Учет!$O2007=Справочники!$F$4,Учет!$H2007,0)</f>
        <v>0</v>
      </c>
      <c r="T2007" s="48">
        <f>IF(Учет!$O2007=Справочники!$F$5,Учет!$H2007,0)</f>
        <v>0</v>
      </c>
      <c r="U2007" s="48">
        <f>IF(Учет!$O2007=Справочники!$F$6,Учет!$H2007,0)</f>
        <v>0</v>
      </c>
      <c r="V2007" s="43">
        <f>V2006+Учет!Q2007-Q2007</f>
        <v>-488978.92000000004</v>
      </c>
      <c r="W2007" s="43">
        <f>W2006+Учет!R2007-R2007</f>
        <v>336855</v>
      </c>
      <c r="X2007" s="43">
        <f>X2006+Учет!S2007-S2007</f>
        <v>500</v>
      </c>
      <c r="Y2007" s="43">
        <f>Y2006+Учет!T2007-T2007</f>
        <v>1150</v>
      </c>
      <c r="Z2007" s="43">
        <f>Z2006+Учет!U2007-U2007</f>
        <v>500000</v>
      </c>
      <c r="AA2007" s="45">
        <f>Учет!X2007</f>
        <v>500</v>
      </c>
    </row>
    <row r="2008" spans="1:27" ht="15" customHeight="1" x14ac:dyDescent="0.25">
      <c r="A2008" s="1"/>
      <c r="B2008" s="17"/>
      <c r="C2008" s="17"/>
      <c r="D2008" s="17"/>
      <c r="E2008" s="17"/>
      <c r="F2008" s="17"/>
      <c r="G2008" s="4">
        <f t="shared" si="90"/>
        <v>0</v>
      </c>
      <c r="H2008" s="17"/>
      <c r="I2008" s="4">
        <f t="shared" si="92"/>
        <v>349526.07999999996</v>
      </c>
      <c r="J2008" s="32" t="str">
        <f t="shared" si="91"/>
        <v/>
      </c>
      <c r="K2008" s="72"/>
      <c r="L2008" s="72"/>
      <c r="M2008" s="2"/>
      <c r="N2008" s="5"/>
      <c r="O2008" s="3"/>
      <c r="P2008" s="6"/>
      <c r="Q2008" s="48">
        <f>IF(Учет!$O2008=Справочники!$F$2,Учет!$H2008,0)</f>
        <v>0</v>
      </c>
      <c r="R2008" s="48">
        <f>IF(Учет!$O2008=Справочники!$F$3,Учет!$H2008,0)</f>
        <v>0</v>
      </c>
      <c r="S2008" s="48">
        <f>IF(Учет!$O2008=Справочники!$F$4,Учет!$H2008,0)</f>
        <v>0</v>
      </c>
      <c r="T2008" s="48">
        <f>IF(Учет!$O2008=Справочники!$F$5,Учет!$H2008,0)</f>
        <v>0</v>
      </c>
      <c r="U2008" s="48">
        <f>IF(Учет!$O2008=Справочники!$F$6,Учет!$H2008,0)</f>
        <v>0</v>
      </c>
      <c r="V2008" s="43">
        <f>V2007+Учет!Q2008-Q2008</f>
        <v>-488978.92000000004</v>
      </c>
      <c r="W2008" s="43">
        <f>W2007+Учет!R2008-R2008</f>
        <v>336855</v>
      </c>
      <c r="X2008" s="43">
        <f>X2007+Учет!S2008-S2008</f>
        <v>500</v>
      </c>
      <c r="Y2008" s="43">
        <f>Y2007+Учет!T2008-T2008</f>
        <v>1150</v>
      </c>
      <c r="Z2008" s="43">
        <f>Z2007+Учет!U2008-U2008</f>
        <v>500000</v>
      </c>
      <c r="AA2008" s="45">
        <f>Учет!X2008</f>
        <v>500</v>
      </c>
    </row>
    <row r="2009" spans="1:27" ht="15" customHeight="1" x14ac:dyDescent="0.25">
      <c r="A2009" s="1"/>
      <c r="B2009" s="17"/>
      <c r="C2009" s="17"/>
      <c r="D2009" s="17"/>
      <c r="E2009" s="17"/>
      <c r="F2009" s="17"/>
      <c r="G2009" s="4">
        <f t="shared" si="90"/>
        <v>0</v>
      </c>
      <c r="H2009" s="17"/>
      <c r="I2009" s="4">
        <f t="shared" si="92"/>
        <v>349526.07999999996</v>
      </c>
      <c r="J2009" s="32" t="str">
        <f t="shared" si="91"/>
        <v/>
      </c>
      <c r="K2009" s="72"/>
      <c r="L2009" s="72"/>
      <c r="M2009" s="2"/>
      <c r="N2009" s="5"/>
      <c r="O2009" s="3"/>
      <c r="P2009" s="6"/>
      <c r="Q2009" s="48">
        <f>IF(Учет!$O2009=Справочники!$F$2,Учет!$H2009,0)</f>
        <v>0</v>
      </c>
      <c r="R2009" s="48">
        <f>IF(Учет!$O2009=Справочники!$F$3,Учет!$H2009,0)</f>
        <v>0</v>
      </c>
      <c r="S2009" s="48">
        <f>IF(Учет!$O2009=Справочники!$F$4,Учет!$H2009,0)</f>
        <v>0</v>
      </c>
      <c r="T2009" s="48">
        <f>IF(Учет!$O2009=Справочники!$F$5,Учет!$H2009,0)</f>
        <v>0</v>
      </c>
      <c r="U2009" s="48">
        <f>IF(Учет!$O2009=Справочники!$F$6,Учет!$H2009,0)</f>
        <v>0</v>
      </c>
      <c r="V2009" s="43">
        <f>V2008+Учет!Q2009-Q2009</f>
        <v>-488978.92000000004</v>
      </c>
      <c r="W2009" s="43">
        <f>W2008+Учет!R2009-R2009</f>
        <v>336855</v>
      </c>
      <c r="X2009" s="43">
        <f>X2008+Учет!S2009-S2009</f>
        <v>500</v>
      </c>
      <c r="Y2009" s="43">
        <f>Y2008+Учет!T2009-T2009</f>
        <v>1150</v>
      </c>
      <c r="Z2009" s="43">
        <f>Z2008+Учет!U2009-U2009</f>
        <v>500000</v>
      </c>
      <c r="AA2009" s="45">
        <f>Учет!X2009</f>
        <v>500</v>
      </c>
    </row>
    <row r="2010" spans="1:27" ht="15" customHeight="1" x14ac:dyDescent="0.25">
      <c r="A2010" s="1"/>
      <c r="B2010" s="17"/>
      <c r="C2010" s="17"/>
      <c r="D2010" s="17"/>
      <c r="E2010" s="17"/>
      <c r="F2010" s="17"/>
      <c r="G2010" s="4">
        <f t="shared" si="90"/>
        <v>0</v>
      </c>
      <c r="H2010" s="17"/>
      <c r="I2010" s="4">
        <f t="shared" si="92"/>
        <v>349526.07999999996</v>
      </c>
      <c r="J2010" s="32" t="str">
        <f t="shared" si="91"/>
        <v/>
      </c>
      <c r="K2010" s="72"/>
      <c r="L2010" s="72"/>
      <c r="M2010" s="2"/>
      <c r="N2010" s="5"/>
      <c r="O2010" s="3"/>
      <c r="P2010" s="6"/>
      <c r="Q2010" s="48">
        <f>IF(Учет!$O2010=Справочники!$F$2,Учет!$H2010,0)</f>
        <v>0</v>
      </c>
      <c r="R2010" s="48">
        <f>IF(Учет!$O2010=Справочники!$F$3,Учет!$H2010,0)</f>
        <v>0</v>
      </c>
      <c r="S2010" s="48">
        <f>IF(Учет!$O2010=Справочники!$F$4,Учет!$H2010,0)</f>
        <v>0</v>
      </c>
      <c r="T2010" s="48">
        <f>IF(Учет!$O2010=Справочники!$F$5,Учет!$H2010,0)</f>
        <v>0</v>
      </c>
      <c r="U2010" s="48">
        <f>IF(Учет!$O2010=Справочники!$F$6,Учет!$H2010,0)</f>
        <v>0</v>
      </c>
      <c r="V2010" s="43">
        <f>V2009+Учет!Q2010-Q2010</f>
        <v>-488978.92000000004</v>
      </c>
      <c r="W2010" s="43">
        <f>W2009+Учет!R2010-R2010</f>
        <v>336855</v>
      </c>
      <c r="X2010" s="43">
        <f>X2009+Учет!S2010-S2010</f>
        <v>500</v>
      </c>
      <c r="Y2010" s="43">
        <f>Y2009+Учет!T2010-T2010</f>
        <v>1150</v>
      </c>
      <c r="Z2010" s="43">
        <f>Z2009+Учет!U2010-U2010</f>
        <v>500000</v>
      </c>
      <c r="AA2010" s="45">
        <f>Учет!X2010</f>
        <v>500</v>
      </c>
    </row>
    <row r="2011" spans="1:27" ht="15" customHeight="1" x14ac:dyDescent="0.25">
      <c r="A2011" s="1"/>
      <c r="B2011" s="17"/>
      <c r="C2011" s="17"/>
      <c r="D2011" s="17"/>
      <c r="E2011" s="17"/>
      <c r="F2011" s="17"/>
      <c r="G2011" s="4">
        <f t="shared" si="90"/>
        <v>0</v>
      </c>
      <c r="H2011" s="17"/>
      <c r="I2011" s="4">
        <f t="shared" si="92"/>
        <v>349526.07999999996</v>
      </c>
      <c r="J2011" s="32" t="str">
        <f t="shared" si="91"/>
        <v/>
      </c>
      <c r="K2011" s="72"/>
      <c r="L2011" s="72"/>
      <c r="M2011" s="2"/>
      <c r="N2011" s="5"/>
      <c r="O2011" s="3"/>
      <c r="P2011" s="6"/>
      <c r="Q2011" s="48">
        <f>IF(Учет!$O2011=Справочники!$F$2,Учет!$H2011,0)</f>
        <v>0</v>
      </c>
      <c r="R2011" s="48">
        <f>IF(Учет!$O2011=Справочники!$F$3,Учет!$H2011,0)</f>
        <v>0</v>
      </c>
      <c r="S2011" s="48">
        <f>IF(Учет!$O2011=Справочники!$F$4,Учет!$H2011,0)</f>
        <v>0</v>
      </c>
      <c r="T2011" s="48">
        <f>IF(Учет!$O2011=Справочники!$F$5,Учет!$H2011,0)</f>
        <v>0</v>
      </c>
      <c r="U2011" s="48">
        <f>IF(Учет!$O2011=Справочники!$F$6,Учет!$H2011,0)</f>
        <v>0</v>
      </c>
      <c r="V2011" s="43">
        <f>V2010+Учет!Q2011-Q2011</f>
        <v>-488978.92000000004</v>
      </c>
      <c r="W2011" s="43">
        <f>W2010+Учет!R2011-R2011</f>
        <v>336855</v>
      </c>
      <c r="X2011" s="43">
        <f>X2010+Учет!S2011-S2011</f>
        <v>500</v>
      </c>
      <c r="Y2011" s="43">
        <f>Y2010+Учет!T2011-T2011</f>
        <v>1150</v>
      </c>
      <c r="Z2011" s="43">
        <f>Z2010+Учет!U2011-U2011</f>
        <v>500000</v>
      </c>
      <c r="AA2011" s="45">
        <f>Учет!X2011</f>
        <v>500</v>
      </c>
    </row>
    <row r="2012" spans="1:27" ht="15" customHeight="1" x14ac:dyDescent="0.25">
      <c r="A2012" s="1"/>
      <c r="B2012" s="17"/>
      <c r="C2012" s="17"/>
      <c r="D2012" s="17"/>
      <c r="E2012" s="17"/>
      <c r="F2012" s="17"/>
      <c r="G2012" s="4">
        <f t="shared" si="90"/>
        <v>0</v>
      </c>
      <c r="H2012" s="17"/>
      <c r="I2012" s="4">
        <f t="shared" si="92"/>
        <v>349526.07999999996</v>
      </c>
      <c r="J2012" s="32" t="str">
        <f t="shared" si="91"/>
        <v/>
      </c>
      <c r="K2012" s="72"/>
      <c r="L2012" s="72"/>
      <c r="M2012" s="2"/>
      <c r="N2012" s="5"/>
      <c r="O2012" s="3"/>
      <c r="P2012" s="6"/>
      <c r="Q2012" s="48">
        <f>IF(Учет!$O2012=Справочники!$F$2,Учет!$H2012,0)</f>
        <v>0</v>
      </c>
      <c r="R2012" s="48">
        <f>IF(Учет!$O2012=Справочники!$F$3,Учет!$H2012,0)</f>
        <v>0</v>
      </c>
      <c r="S2012" s="48">
        <f>IF(Учет!$O2012=Справочники!$F$4,Учет!$H2012,0)</f>
        <v>0</v>
      </c>
      <c r="T2012" s="48">
        <f>IF(Учет!$O2012=Справочники!$F$5,Учет!$H2012,0)</f>
        <v>0</v>
      </c>
      <c r="U2012" s="48">
        <f>IF(Учет!$O2012=Справочники!$F$6,Учет!$H2012,0)</f>
        <v>0</v>
      </c>
      <c r="V2012" s="43">
        <f>V2011+Учет!Q2012-Q2012</f>
        <v>-488978.92000000004</v>
      </c>
      <c r="W2012" s="43">
        <f>W2011+Учет!R2012-R2012</f>
        <v>336855</v>
      </c>
      <c r="X2012" s="43">
        <f>X2011+Учет!S2012-S2012</f>
        <v>500</v>
      </c>
      <c r="Y2012" s="43">
        <f>Y2011+Учет!T2012-T2012</f>
        <v>1150</v>
      </c>
      <c r="Z2012" s="43">
        <f>Z2011+Учет!U2012-U2012</f>
        <v>500000</v>
      </c>
      <c r="AA2012" s="45">
        <f>Учет!X2012</f>
        <v>500</v>
      </c>
    </row>
    <row r="2013" spans="1:27" ht="15" customHeight="1" x14ac:dyDescent="0.25">
      <c r="A2013" s="1"/>
      <c r="B2013" s="17"/>
      <c r="C2013" s="17"/>
      <c r="D2013" s="17"/>
      <c r="E2013" s="17"/>
      <c r="F2013" s="17"/>
      <c r="G2013" s="4">
        <f t="shared" si="90"/>
        <v>0</v>
      </c>
      <c r="H2013" s="17"/>
      <c r="I2013" s="4">
        <f t="shared" si="92"/>
        <v>349526.07999999996</v>
      </c>
      <c r="J2013" s="32" t="str">
        <f t="shared" si="91"/>
        <v/>
      </c>
      <c r="K2013" s="72"/>
      <c r="L2013" s="72"/>
      <c r="M2013" s="2"/>
      <c r="N2013" s="5"/>
      <c r="O2013" s="3"/>
      <c r="P2013" s="6"/>
      <c r="Q2013" s="48">
        <f>IF(Учет!$O2013=Справочники!$F$2,Учет!$H2013,0)</f>
        <v>0</v>
      </c>
      <c r="R2013" s="48">
        <f>IF(Учет!$O2013=Справочники!$F$3,Учет!$H2013,0)</f>
        <v>0</v>
      </c>
      <c r="S2013" s="48">
        <f>IF(Учет!$O2013=Справочники!$F$4,Учет!$H2013,0)</f>
        <v>0</v>
      </c>
      <c r="T2013" s="48">
        <f>IF(Учет!$O2013=Справочники!$F$5,Учет!$H2013,0)</f>
        <v>0</v>
      </c>
      <c r="U2013" s="48">
        <f>IF(Учет!$O2013=Справочники!$F$6,Учет!$H2013,0)</f>
        <v>0</v>
      </c>
      <c r="V2013" s="43">
        <f>V2012+Учет!Q2013-Q2013</f>
        <v>-488978.92000000004</v>
      </c>
      <c r="W2013" s="43">
        <f>W2012+Учет!R2013-R2013</f>
        <v>336855</v>
      </c>
      <c r="X2013" s="43">
        <f>X2012+Учет!S2013-S2013</f>
        <v>500</v>
      </c>
      <c r="Y2013" s="43">
        <f>Y2012+Учет!T2013-T2013</f>
        <v>1150</v>
      </c>
      <c r="Z2013" s="43">
        <f>Z2012+Учет!U2013-U2013</f>
        <v>500000</v>
      </c>
      <c r="AA2013" s="45">
        <f>Учет!X2013</f>
        <v>500</v>
      </c>
    </row>
    <row r="2014" spans="1:27" ht="15" customHeight="1" x14ac:dyDescent="0.25">
      <c r="A2014" s="1"/>
      <c r="B2014" s="17"/>
      <c r="C2014" s="17"/>
      <c r="D2014" s="17"/>
      <c r="E2014" s="17"/>
      <c r="F2014" s="17"/>
      <c r="G2014" s="4">
        <f t="shared" si="90"/>
        <v>0</v>
      </c>
      <c r="H2014" s="17"/>
      <c r="I2014" s="4">
        <f t="shared" si="92"/>
        <v>349526.07999999996</v>
      </c>
      <c r="J2014" s="32" t="str">
        <f t="shared" si="91"/>
        <v/>
      </c>
      <c r="K2014" s="72"/>
      <c r="L2014" s="72"/>
      <c r="M2014" s="2"/>
      <c r="N2014" s="5"/>
      <c r="O2014" s="3"/>
      <c r="P2014" s="6"/>
      <c r="Q2014" s="48">
        <f>IF(Учет!$O2014=Справочники!$F$2,Учет!$H2014,0)</f>
        <v>0</v>
      </c>
      <c r="R2014" s="48">
        <f>IF(Учет!$O2014=Справочники!$F$3,Учет!$H2014,0)</f>
        <v>0</v>
      </c>
      <c r="S2014" s="48">
        <f>IF(Учет!$O2014=Справочники!$F$4,Учет!$H2014,0)</f>
        <v>0</v>
      </c>
      <c r="T2014" s="48">
        <f>IF(Учет!$O2014=Справочники!$F$5,Учет!$H2014,0)</f>
        <v>0</v>
      </c>
      <c r="U2014" s="48">
        <f>IF(Учет!$O2014=Справочники!$F$6,Учет!$H2014,0)</f>
        <v>0</v>
      </c>
      <c r="V2014" s="43">
        <f>V2013+Учет!Q2014-Q2014</f>
        <v>-488978.92000000004</v>
      </c>
      <c r="W2014" s="43">
        <f>W2013+Учет!R2014-R2014</f>
        <v>336855</v>
      </c>
      <c r="X2014" s="43">
        <f>X2013+Учет!S2014-S2014</f>
        <v>500</v>
      </c>
      <c r="Y2014" s="43">
        <f>Y2013+Учет!T2014-T2014</f>
        <v>1150</v>
      </c>
      <c r="Z2014" s="43">
        <f>Z2013+Учет!U2014-U2014</f>
        <v>500000</v>
      </c>
      <c r="AA2014" s="45">
        <f>Учет!X2014</f>
        <v>500</v>
      </c>
    </row>
    <row r="2015" spans="1:27" ht="15" customHeight="1" x14ac:dyDescent="0.25">
      <c r="A2015" s="1"/>
      <c r="B2015" s="17"/>
      <c r="C2015" s="17"/>
      <c r="D2015" s="17"/>
      <c r="E2015" s="17"/>
      <c r="F2015" s="17"/>
      <c r="G2015" s="4">
        <f t="shared" si="90"/>
        <v>0</v>
      </c>
      <c r="H2015" s="17"/>
      <c r="I2015" s="4">
        <f t="shared" si="92"/>
        <v>349526.07999999996</v>
      </c>
      <c r="J2015" s="32" t="str">
        <f t="shared" si="91"/>
        <v/>
      </c>
      <c r="K2015" s="72"/>
      <c r="L2015" s="72"/>
      <c r="M2015" s="2"/>
      <c r="N2015" s="5"/>
      <c r="O2015" s="3"/>
      <c r="P2015" s="6"/>
      <c r="Q2015" s="48">
        <f>IF(Учет!$O2015=Справочники!$F$2,Учет!$H2015,0)</f>
        <v>0</v>
      </c>
      <c r="R2015" s="48">
        <f>IF(Учет!$O2015=Справочники!$F$3,Учет!$H2015,0)</f>
        <v>0</v>
      </c>
      <c r="S2015" s="48">
        <f>IF(Учет!$O2015=Справочники!$F$4,Учет!$H2015,0)</f>
        <v>0</v>
      </c>
      <c r="T2015" s="48">
        <f>IF(Учет!$O2015=Справочники!$F$5,Учет!$H2015,0)</f>
        <v>0</v>
      </c>
      <c r="U2015" s="48">
        <f>IF(Учет!$O2015=Справочники!$F$6,Учет!$H2015,0)</f>
        <v>0</v>
      </c>
      <c r="V2015" s="43">
        <f>V2014+Учет!Q2015-Q2015</f>
        <v>-488978.92000000004</v>
      </c>
      <c r="W2015" s="43">
        <f>W2014+Учет!R2015-R2015</f>
        <v>336855</v>
      </c>
      <c r="X2015" s="43">
        <f>X2014+Учет!S2015-S2015</f>
        <v>500</v>
      </c>
      <c r="Y2015" s="43">
        <f>Y2014+Учет!T2015-T2015</f>
        <v>1150</v>
      </c>
      <c r="Z2015" s="43">
        <f>Z2014+Учет!U2015-U2015</f>
        <v>500000</v>
      </c>
      <c r="AA2015" s="45">
        <f>Учет!X2015</f>
        <v>500</v>
      </c>
    </row>
    <row r="2016" spans="1:27" ht="15" customHeight="1" x14ac:dyDescent="0.25">
      <c r="A2016" s="1"/>
      <c r="B2016" s="17"/>
      <c r="C2016" s="17"/>
      <c r="D2016" s="17"/>
      <c r="E2016" s="17"/>
      <c r="F2016" s="17"/>
      <c r="G2016" s="4">
        <f t="shared" si="90"/>
        <v>0</v>
      </c>
      <c r="H2016" s="17"/>
      <c r="I2016" s="4">
        <f t="shared" si="92"/>
        <v>349526.07999999996</v>
      </c>
      <c r="J2016" s="32" t="str">
        <f t="shared" si="91"/>
        <v/>
      </c>
      <c r="K2016" s="72"/>
      <c r="L2016" s="72"/>
      <c r="M2016" s="2"/>
      <c r="N2016" s="5"/>
      <c r="O2016" s="3"/>
      <c r="P2016" s="6"/>
      <c r="Q2016" s="48">
        <f>IF(Учет!$O2016=Справочники!$F$2,Учет!$H2016,0)</f>
        <v>0</v>
      </c>
      <c r="R2016" s="48">
        <f>IF(Учет!$O2016=Справочники!$F$3,Учет!$H2016,0)</f>
        <v>0</v>
      </c>
      <c r="S2016" s="48">
        <f>IF(Учет!$O2016=Справочники!$F$4,Учет!$H2016,0)</f>
        <v>0</v>
      </c>
      <c r="T2016" s="48">
        <f>IF(Учет!$O2016=Справочники!$F$5,Учет!$H2016,0)</f>
        <v>0</v>
      </c>
      <c r="U2016" s="48">
        <f>IF(Учет!$O2016=Справочники!$F$6,Учет!$H2016,0)</f>
        <v>0</v>
      </c>
      <c r="V2016" s="43">
        <f>V2015+Учет!Q2016-Q2016</f>
        <v>-488978.92000000004</v>
      </c>
      <c r="W2016" s="43">
        <f>W2015+Учет!R2016-R2016</f>
        <v>336855</v>
      </c>
      <c r="X2016" s="43">
        <f>X2015+Учет!S2016-S2016</f>
        <v>500</v>
      </c>
      <c r="Y2016" s="43">
        <f>Y2015+Учет!T2016-T2016</f>
        <v>1150</v>
      </c>
      <c r="Z2016" s="43">
        <f>Z2015+Учет!U2016-U2016</f>
        <v>500000</v>
      </c>
      <c r="AA2016" s="45">
        <f>Учет!X2016</f>
        <v>500</v>
      </c>
    </row>
    <row r="2017" spans="1:27" ht="15" customHeight="1" x14ac:dyDescent="0.25">
      <c r="A2017" s="1"/>
      <c r="B2017" s="17"/>
      <c r="C2017" s="17"/>
      <c r="D2017" s="17"/>
      <c r="E2017" s="17"/>
      <c r="F2017" s="17"/>
      <c r="G2017" s="4">
        <f t="shared" si="90"/>
        <v>0</v>
      </c>
      <c r="H2017" s="17"/>
      <c r="I2017" s="4">
        <f t="shared" si="92"/>
        <v>349526.07999999996</v>
      </c>
      <c r="J2017" s="32" t="str">
        <f t="shared" si="91"/>
        <v/>
      </c>
      <c r="K2017" s="72"/>
      <c r="L2017" s="72"/>
      <c r="M2017" s="2"/>
      <c r="N2017" s="5"/>
      <c r="O2017" s="3"/>
      <c r="P2017" s="6"/>
      <c r="Q2017" s="48">
        <f>IF(Учет!$O2017=Справочники!$F$2,Учет!$H2017,0)</f>
        <v>0</v>
      </c>
      <c r="R2017" s="48">
        <f>IF(Учет!$O2017=Справочники!$F$3,Учет!$H2017,0)</f>
        <v>0</v>
      </c>
      <c r="S2017" s="48">
        <f>IF(Учет!$O2017=Справочники!$F$4,Учет!$H2017,0)</f>
        <v>0</v>
      </c>
      <c r="T2017" s="48">
        <f>IF(Учет!$O2017=Справочники!$F$5,Учет!$H2017,0)</f>
        <v>0</v>
      </c>
      <c r="U2017" s="48">
        <f>IF(Учет!$O2017=Справочники!$F$6,Учет!$H2017,0)</f>
        <v>0</v>
      </c>
      <c r="V2017" s="43">
        <f>V2016+Учет!Q2017-Q2017</f>
        <v>-488978.92000000004</v>
      </c>
      <c r="W2017" s="43">
        <f>W2016+Учет!R2017-R2017</f>
        <v>336855</v>
      </c>
      <c r="X2017" s="43">
        <f>X2016+Учет!S2017-S2017</f>
        <v>500</v>
      </c>
      <c r="Y2017" s="43">
        <f>Y2016+Учет!T2017-T2017</f>
        <v>1150</v>
      </c>
      <c r="Z2017" s="43">
        <f>Z2016+Учет!U2017-U2017</f>
        <v>500000</v>
      </c>
      <c r="AA2017" s="45">
        <f>Учет!X2017</f>
        <v>500</v>
      </c>
    </row>
    <row r="2018" spans="1:27" ht="15" customHeight="1" x14ac:dyDescent="0.25">
      <c r="A2018" s="1"/>
      <c r="B2018" s="17"/>
      <c r="C2018" s="17"/>
      <c r="D2018" s="17"/>
      <c r="E2018" s="17"/>
      <c r="F2018" s="17"/>
      <c r="G2018" s="4">
        <f t="shared" si="90"/>
        <v>0</v>
      </c>
      <c r="H2018" s="17"/>
      <c r="I2018" s="4">
        <f t="shared" si="92"/>
        <v>349526.07999999996</v>
      </c>
      <c r="J2018" s="32" t="str">
        <f t="shared" si="91"/>
        <v/>
      </c>
      <c r="K2018" s="72"/>
      <c r="L2018" s="72"/>
      <c r="M2018" s="2"/>
      <c r="N2018" s="5"/>
      <c r="O2018" s="3"/>
      <c r="P2018" s="6"/>
      <c r="Q2018" s="48">
        <f>IF(Учет!$O2018=Справочники!$F$2,Учет!$H2018,0)</f>
        <v>0</v>
      </c>
      <c r="R2018" s="48">
        <f>IF(Учет!$O2018=Справочники!$F$3,Учет!$H2018,0)</f>
        <v>0</v>
      </c>
      <c r="S2018" s="48">
        <f>IF(Учет!$O2018=Справочники!$F$4,Учет!$H2018,0)</f>
        <v>0</v>
      </c>
      <c r="T2018" s="48">
        <f>IF(Учет!$O2018=Справочники!$F$5,Учет!$H2018,0)</f>
        <v>0</v>
      </c>
      <c r="U2018" s="48">
        <f>IF(Учет!$O2018=Справочники!$F$6,Учет!$H2018,0)</f>
        <v>0</v>
      </c>
      <c r="V2018" s="43">
        <f>V2017+Учет!Q2018-Q2018</f>
        <v>-488978.92000000004</v>
      </c>
      <c r="W2018" s="43">
        <f>W2017+Учет!R2018-R2018</f>
        <v>336855</v>
      </c>
      <c r="X2018" s="43">
        <f>X2017+Учет!S2018-S2018</f>
        <v>500</v>
      </c>
      <c r="Y2018" s="43">
        <f>Y2017+Учет!T2018-T2018</f>
        <v>1150</v>
      </c>
      <c r="Z2018" s="43">
        <f>Z2017+Учет!U2018-U2018</f>
        <v>500000</v>
      </c>
      <c r="AA2018" s="45">
        <f>Учет!X2018</f>
        <v>500</v>
      </c>
    </row>
    <row r="2019" spans="1:27" ht="15" customHeight="1" x14ac:dyDescent="0.25">
      <c r="A2019" s="1"/>
      <c r="B2019" s="17"/>
      <c r="C2019" s="17"/>
      <c r="D2019" s="17"/>
      <c r="E2019" s="17"/>
      <c r="F2019" s="17"/>
      <c r="G2019" s="4">
        <f t="shared" si="90"/>
        <v>0</v>
      </c>
      <c r="H2019" s="17"/>
      <c r="I2019" s="4">
        <f t="shared" si="92"/>
        <v>349526.07999999996</v>
      </c>
      <c r="J2019" s="32" t="str">
        <f t="shared" si="91"/>
        <v/>
      </c>
      <c r="K2019" s="72"/>
      <c r="L2019" s="72"/>
      <c r="M2019" s="2"/>
      <c r="N2019" s="5"/>
      <c r="O2019" s="3"/>
      <c r="P2019" s="6"/>
      <c r="Q2019" s="48">
        <f>IF(Учет!$O2019=Справочники!$F$2,Учет!$H2019,0)</f>
        <v>0</v>
      </c>
      <c r="R2019" s="48">
        <f>IF(Учет!$O2019=Справочники!$F$3,Учет!$H2019,0)</f>
        <v>0</v>
      </c>
      <c r="S2019" s="48">
        <f>IF(Учет!$O2019=Справочники!$F$4,Учет!$H2019,0)</f>
        <v>0</v>
      </c>
      <c r="T2019" s="48">
        <f>IF(Учет!$O2019=Справочники!$F$5,Учет!$H2019,0)</f>
        <v>0</v>
      </c>
      <c r="U2019" s="48">
        <f>IF(Учет!$O2019=Справочники!$F$6,Учет!$H2019,0)</f>
        <v>0</v>
      </c>
      <c r="V2019" s="43">
        <f>V2018+Учет!Q2019-Q2019</f>
        <v>-488978.92000000004</v>
      </c>
      <c r="W2019" s="43">
        <f>W2018+Учет!R2019-R2019</f>
        <v>336855</v>
      </c>
      <c r="X2019" s="43">
        <f>X2018+Учет!S2019-S2019</f>
        <v>500</v>
      </c>
      <c r="Y2019" s="43">
        <f>Y2018+Учет!T2019-T2019</f>
        <v>1150</v>
      </c>
      <c r="Z2019" s="43">
        <f>Z2018+Учет!U2019-U2019</f>
        <v>500000</v>
      </c>
      <c r="AA2019" s="45">
        <f>Учет!X2019</f>
        <v>500</v>
      </c>
    </row>
    <row r="2020" spans="1:27" ht="15" customHeight="1" x14ac:dyDescent="0.25">
      <c r="A2020" s="1"/>
      <c r="B2020" s="17"/>
      <c r="C2020" s="17"/>
      <c r="D2020" s="17"/>
      <c r="E2020" s="17"/>
      <c r="F2020" s="17"/>
      <c r="G2020" s="4">
        <f t="shared" si="90"/>
        <v>0</v>
      </c>
      <c r="H2020" s="17"/>
      <c r="I2020" s="4">
        <f t="shared" si="92"/>
        <v>349526.07999999996</v>
      </c>
      <c r="J2020" s="32" t="str">
        <f t="shared" si="91"/>
        <v/>
      </c>
      <c r="K2020" s="72"/>
      <c r="L2020" s="72"/>
      <c r="M2020" s="2"/>
      <c r="N2020" s="5"/>
      <c r="O2020" s="3"/>
      <c r="P2020" s="6"/>
      <c r="Q2020" s="48">
        <f>IF(Учет!$O2020=Справочники!$F$2,Учет!$H2020,0)</f>
        <v>0</v>
      </c>
      <c r="R2020" s="48">
        <f>IF(Учет!$O2020=Справочники!$F$3,Учет!$H2020,0)</f>
        <v>0</v>
      </c>
      <c r="S2020" s="48">
        <f>IF(Учет!$O2020=Справочники!$F$4,Учет!$H2020,0)</f>
        <v>0</v>
      </c>
      <c r="T2020" s="48">
        <f>IF(Учет!$O2020=Справочники!$F$5,Учет!$H2020,0)</f>
        <v>0</v>
      </c>
      <c r="U2020" s="48">
        <f>IF(Учет!$O2020=Справочники!$F$6,Учет!$H2020,0)</f>
        <v>0</v>
      </c>
      <c r="V2020" s="43">
        <f>V2019+Учет!Q2020-Q2020</f>
        <v>-488978.92000000004</v>
      </c>
      <c r="W2020" s="43">
        <f>W2019+Учет!R2020-R2020</f>
        <v>336855</v>
      </c>
      <c r="X2020" s="43">
        <f>X2019+Учет!S2020-S2020</f>
        <v>500</v>
      </c>
      <c r="Y2020" s="43">
        <f>Y2019+Учет!T2020-T2020</f>
        <v>1150</v>
      </c>
      <c r="Z2020" s="43">
        <f>Z2019+Учет!U2020-U2020</f>
        <v>500000</v>
      </c>
      <c r="AA2020" s="45">
        <f>Учет!X2020</f>
        <v>500</v>
      </c>
    </row>
    <row r="2021" spans="1:27" ht="15" customHeight="1" x14ac:dyDescent="0.25">
      <c r="A2021" s="1"/>
      <c r="B2021" s="17"/>
      <c r="C2021" s="17"/>
      <c r="D2021" s="17"/>
      <c r="E2021" s="17"/>
      <c r="F2021" s="17"/>
      <c r="G2021" s="4">
        <f t="shared" si="90"/>
        <v>0</v>
      </c>
      <c r="H2021" s="17"/>
      <c r="I2021" s="4">
        <f t="shared" si="92"/>
        <v>349526.07999999996</v>
      </c>
      <c r="J2021" s="32" t="str">
        <f t="shared" si="91"/>
        <v/>
      </c>
      <c r="K2021" s="72"/>
      <c r="L2021" s="72"/>
      <c r="M2021" s="2"/>
      <c r="N2021" s="5"/>
      <c r="O2021" s="3"/>
      <c r="P2021" s="6"/>
      <c r="Q2021" s="48">
        <f>IF(Учет!$O2021=Справочники!$F$2,Учет!$H2021,0)</f>
        <v>0</v>
      </c>
      <c r="R2021" s="48">
        <f>IF(Учет!$O2021=Справочники!$F$3,Учет!$H2021,0)</f>
        <v>0</v>
      </c>
      <c r="S2021" s="48">
        <f>IF(Учет!$O2021=Справочники!$F$4,Учет!$H2021,0)</f>
        <v>0</v>
      </c>
      <c r="T2021" s="48">
        <f>IF(Учет!$O2021=Справочники!$F$5,Учет!$H2021,0)</f>
        <v>0</v>
      </c>
      <c r="U2021" s="48">
        <f>IF(Учет!$O2021=Справочники!$F$6,Учет!$H2021,0)</f>
        <v>0</v>
      </c>
      <c r="V2021" s="43">
        <f>V2020+Учет!Q2021-Q2021</f>
        <v>-488978.92000000004</v>
      </c>
      <c r="W2021" s="43">
        <f>W2020+Учет!R2021-R2021</f>
        <v>336855</v>
      </c>
      <c r="X2021" s="43">
        <f>X2020+Учет!S2021-S2021</f>
        <v>500</v>
      </c>
      <c r="Y2021" s="43">
        <f>Y2020+Учет!T2021-T2021</f>
        <v>1150</v>
      </c>
      <c r="Z2021" s="43">
        <f>Z2020+Учет!U2021-U2021</f>
        <v>500000</v>
      </c>
      <c r="AA2021" s="45">
        <f>Учет!X2021</f>
        <v>500</v>
      </c>
    </row>
    <row r="2022" spans="1:27" ht="15" customHeight="1" x14ac:dyDescent="0.25">
      <c r="A2022" s="1"/>
      <c r="B2022" s="17"/>
      <c r="C2022" s="17"/>
      <c r="D2022" s="17"/>
      <c r="E2022" s="17"/>
      <c r="F2022" s="17"/>
      <c r="G2022" s="4">
        <f t="shared" si="90"/>
        <v>0</v>
      </c>
      <c r="H2022" s="17"/>
      <c r="I2022" s="4">
        <f t="shared" si="92"/>
        <v>349526.07999999996</v>
      </c>
      <c r="J2022" s="32" t="str">
        <f t="shared" si="91"/>
        <v/>
      </c>
      <c r="K2022" s="72"/>
      <c r="L2022" s="72"/>
      <c r="M2022" s="2"/>
      <c r="N2022" s="5"/>
      <c r="O2022" s="3"/>
      <c r="P2022" s="6"/>
      <c r="Q2022" s="48">
        <f>IF(Учет!$O2022=Справочники!$F$2,Учет!$H2022,0)</f>
        <v>0</v>
      </c>
      <c r="R2022" s="48">
        <f>IF(Учет!$O2022=Справочники!$F$3,Учет!$H2022,0)</f>
        <v>0</v>
      </c>
      <c r="S2022" s="48">
        <f>IF(Учет!$O2022=Справочники!$F$4,Учет!$H2022,0)</f>
        <v>0</v>
      </c>
      <c r="T2022" s="48">
        <f>IF(Учет!$O2022=Справочники!$F$5,Учет!$H2022,0)</f>
        <v>0</v>
      </c>
      <c r="U2022" s="48">
        <f>IF(Учет!$O2022=Справочники!$F$6,Учет!$H2022,0)</f>
        <v>0</v>
      </c>
      <c r="V2022" s="43">
        <f>V2021+Учет!Q2022-Q2022</f>
        <v>-488978.92000000004</v>
      </c>
      <c r="W2022" s="43">
        <f>W2021+Учет!R2022-R2022</f>
        <v>336855</v>
      </c>
      <c r="X2022" s="43">
        <f>X2021+Учет!S2022-S2022</f>
        <v>500</v>
      </c>
      <c r="Y2022" s="43">
        <f>Y2021+Учет!T2022-T2022</f>
        <v>1150</v>
      </c>
      <c r="Z2022" s="43">
        <f>Z2021+Учет!U2022-U2022</f>
        <v>500000</v>
      </c>
      <c r="AA2022" s="45">
        <f>Учет!X2022</f>
        <v>500</v>
      </c>
    </row>
    <row r="2023" spans="1:27" ht="15" customHeight="1" x14ac:dyDescent="0.25">
      <c r="A2023" s="1"/>
      <c r="B2023" s="17"/>
      <c r="C2023" s="17"/>
      <c r="D2023" s="17"/>
      <c r="E2023" s="17"/>
      <c r="F2023" s="17"/>
      <c r="G2023" s="4">
        <f t="shared" si="90"/>
        <v>0</v>
      </c>
      <c r="H2023" s="17"/>
      <c r="I2023" s="4">
        <f t="shared" si="92"/>
        <v>349526.07999999996</v>
      </c>
      <c r="J2023" s="32" t="str">
        <f t="shared" si="91"/>
        <v/>
      </c>
      <c r="K2023" s="72"/>
      <c r="L2023" s="72"/>
      <c r="M2023" s="2"/>
      <c r="N2023" s="5"/>
      <c r="O2023" s="3"/>
      <c r="P2023" s="6"/>
      <c r="Q2023" s="48">
        <f>IF(Учет!$O2023=Справочники!$F$2,Учет!$H2023,0)</f>
        <v>0</v>
      </c>
      <c r="R2023" s="48">
        <f>IF(Учет!$O2023=Справочники!$F$3,Учет!$H2023,0)</f>
        <v>0</v>
      </c>
      <c r="S2023" s="48">
        <f>IF(Учет!$O2023=Справочники!$F$4,Учет!$H2023,0)</f>
        <v>0</v>
      </c>
      <c r="T2023" s="48">
        <f>IF(Учет!$O2023=Справочники!$F$5,Учет!$H2023,0)</f>
        <v>0</v>
      </c>
      <c r="U2023" s="48">
        <f>IF(Учет!$O2023=Справочники!$F$6,Учет!$H2023,0)</f>
        <v>0</v>
      </c>
      <c r="V2023" s="43">
        <f>V2022+Учет!Q2023-Q2023</f>
        <v>-488978.92000000004</v>
      </c>
      <c r="W2023" s="43">
        <f>W2022+Учет!R2023-R2023</f>
        <v>336855</v>
      </c>
      <c r="X2023" s="43">
        <f>X2022+Учет!S2023-S2023</f>
        <v>500</v>
      </c>
      <c r="Y2023" s="43">
        <f>Y2022+Учет!T2023-T2023</f>
        <v>1150</v>
      </c>
      <c r="Z2023" s="43">
        <f>Z2022+Учет!U2023-U2023</f>
        <v>500000</v>
      </c>
      <c r="AA2023" s="45">
        <f>Учет!X2023</f>
        <v>500</v>
      </c>
    </row>
    <row r="2024" spans="1:27" ht="15" customHeight="1" x14ac:dyDescent="0.25">
      <c r="A2024" s="1"/>
      <c r="B2024" s="17"/>
      <c r="C2024" s="17"/>
      <c r="D2024" s="17"/>
      <c r="E2024" s="17"/>
      <c r="F2024" s="17"/>
      <c r="G2024" s="4">
        <f t="shared" si="90"/>
        <v>0</v>
      </c>
      <c r="H2024" s="17"/>
      <c r="I2024" s="4">
        <f t="shared" si="92"/>
        <v>349526.07999999996</v>
      </c>
      <c r="J2024" s="32" t="str">
        <f t="shared" si="91"/>
        <v/>
      </c>
      <c r="K2024" s="72"/>
      <c r="L2024" s="72"/>
      <c r="M2024" s="2"/>
      <c r="N2024" s="5"/>
      <c r="O2024" s="3"/>
      <c r="P2024" s="6"/>
      <c r="Q2024" s="48">
        <f>IF(Учет!$O2024=Справочники!$F$2,Учет!$H2024,0)</f>
        <v>0</v>
      </c>
      <c r="R2024" s="48">
        <f>IF(Учет!$O2024=Справочники!$F$3,Учет!$H2024,0)</f>
        <v>0</v>
      </c>
      <c r="S2024" s="48">
        <f>IF(Учет!$O2024=Справочники!$F$4,Учет!$H2024,0)</f>
        <v>0</v>
      </c>
      <c r="T2024" s="48">
        <f>IF(Учет!$O2024=Справочники!$F$5,Учет!$H2024,0)</f>
        <v>0</v>
      </c>
      <c r="U2024" s="48">
        <f>IF(Учет!$O2024=Справочники!$F$6,Учет!$H2024,0)</f>
        <v>0</v>
      </c>
      <c r="V2024" s="43">
        <f>V2023+Учет!Q2024-Q2024</f>
        <v>-488978.92000000004</v>
      </c>
      <c r="W2024" s="43">
        <f>W2023+Учет!R2024-R2024</f>
        <v>336855</v>
      </c>
      <c r="X2024" s="43">
        <f>X2023+Учет!S2024-S2024</f>
        <v>500</v>
      </c>
      <c r="Y2024" s="43">
        <f>Y2023+Учет!T2024-T2024</f>
        <v>1150</v>
      </c>
      <c r="Z2024" s="43">
        <f>Z2023+Учет!U2024-U2024</f>
        <v>500000</v>
      </c>
      <c r="AA2024" s="45">
        <f>Учет!X2024</f>
        <v>500</v>
      </c>
    </row>
    <row r="2025" spans="1:27" ht="15" customHeight="1" x14ac:dyDescent="0.25">
      <c r="A2025" s="1"/>
      <c r="B2025" s="17"/>
      <c r="C2025" s="17"/>
      <c r="D2025" s="17"/>
      <c r="E2025" s="17"/>
      <c r="F2025" s="17"/>
      <c r="G2025" s="4">
        <f t="shared" si="90"/>
        <v>0</v>
      </c>
      <c r="H2025" s="17"/>
      <c r="I2025" s="4">
        <f t="shared" si="92"/>
        <v>349526.07999999996</v>
      </c>
      <c r="J2025" s="32" t="str">
        <f t="shared" si="91"/>
        <v/>
      </c>
      <c r="K2025" s="72"/>
      <c r="L2025" s="72"/>
      <c r="M2025" s="2"/>
      <c r="N2025" s="5"/>
      <c r="O2025" s="3"/>
      <c r="P2025" s="6"/>
      <c r="Q2025" s="48">
        <f>IF(Учет!$O2025=Справочники!$F$2,Учет!$H2025,0)</f>
        <v>0</v>
      </c>
      <c r="R2025" s="48">
        <f>IF(Учет!$O2025=Справочники!$F$3,Учет!$H2025,0)</f>
        <v>0</v>
      </c>
      <c r="S2025" s="48">
        <f>IF(Учет!$O2025=Справочники!$F$4,Учет!$H2025,0)</f>
        <v>0</v>
      </c>
      <c r="T2025" s="48">
        <f>IF(Учет!$O2025=Справочники!$F$5,Учет!$H2025,0)</f>
        <v>0</v>
      </c>
      <c r="U2025" s="48">
        <f>IF(Учет!$O2025=Справочники!$F$6,Учет!$H2025,0)</f>
        <v>0</v>
      </c>
      <c r="V2025" s="43">
        <f>V2024+Учет!Q2025-Q2025</f>
        <v>-488978.92000000004</v>
      </c>
      <c r="W2025" s="43">
        <f>W2024+Учет!R2025-R2025</f>
        <v>336855</v>
      </c>
      <c r="X2025" s="43">
        <f>X2024+Учет!S2025-S2025</f>
        <v>500</v>
      </c>
      <c r="Y2025" s="43">
        <f>Y2024+Учет!T2025-T2025</f>
        <v>1150</v>
      </c>
      <c r="Z2025" s="43">
        <f>Z2024+Учет!U2025-U2025</f>
        <v>500000</v>
      </c>
      <c r="AA2025" s="45">
        <f>Учет!X2025</f>
        <v>500</v>
      </c>
    </row>
    <row r="2026" spans="1:27" ht="15" customHeight="1" x14ac:dyDescent="0.25">
      <c r="A2026" s="1"/>
      <c r="B2026" s="17"/>
      <c r="C2026" s="17"/>
      <c r="D2026" s="17"/>
      <c r="E2026" s="17"/>
      <c r="F2026" s="17"/>
      <c r="G2026" s="4">
        <f t="shared" si="90"/>
        <v>0</v>
      </c>
      <c r="H2026" s="17"/>
      <c r="I2026" s="4">
        <f t="shared" si="92"/>
        <v>349526.07999999996</v>
      </c>
      <c r="J2026" s="32" t="str">
        <f t="shared" si="91"/>
        <v/>
      </c>
      <c r="K2026" s="72"/>
      <c r="L2026" s="72"/>
      <c r="M2026" s="2"/>
      <c r="N2026" s="5"/>
      <c r="O2026" s="3"/>
      <c r="P2026" s="6"/>
      <c r="Q2026" s="48">
        <f>IF(Учет!$O2026=Справочники!$F$2,Учет!$H2026,0)</f>
        <v>0</v>
      </c>
      <c r="R2026" s="48">
        <f>IF(Учет!$O2026=Справочники!$F$3,Учет!$H2026,0)</f>
        <v>0</v>
      </c>
      <c r="S2026" s="48">
        <f>IF(Учет!$O2026=Справочники!$F$4,Учет!$H2026,0)</f>
        <v>0</v>
      </c>
      <c r="T2026" s="48">
        <f>IF(Учет!$O2026=Справочники!$F$5,Учет!$H2026,0)</f>
        <v>0</v>
      </c>
      <c r="U2026" s="48">
        <f>IF(Учет!$O2026=Справочники!$F$6,Учет!$H2026,0)</f>
        <v>0</v>
      </c>
      <c r="V2026" s="43">
        <f>V2025+Учет!Q2026-Q2026</f>
        <v>-488978.92000000004</v>
      </c>
      <c r="W2026" s="43">
        <f>W2025+Учет!R2026-R2026</f>
        <v>336855</v>
      </c>
      <c r="X2026" s="43">
        <f>X2025+Учет!S2026-S2026</f>
        <v>500</v>
      </c>
      <c r="Y2026" s="43">
        <f>Y2025+Учет!T2026-T2026</f>
        <v>1150</v>
      </c>
      <c r="Z2026" s="43">
        <f>Z2025+Учет!U2026-U2026</f>
        <v>500000</v>
      </c>
      <c r="AA2026" s="45">
        <f>Учет!X2026</f>
        <v>500</v>
      </c>
    </row>
    <row r="2027" spans="1:27" ht="15" customHeight="1" x14ac:dyDescent="0.25">
      <c r="A2027" s="1"/>
      <c r="B2027" s="17"/>
      <c r="C2027" s="17"/>
      <c r="D2027" s="17"/>
      <c r="E2027" s="17"/>
      <c r="F2027" s="17"/>
      <c r="G2027" s="4">
        <f t="shared" si="90"/>
        <v>0</v>
      </c>
      <c r="H2027" s="17"/>
      <c r="I2027" s="4">
        <f t="shared" si="92"/>
        <v>349526.07999999996</v>
      </c>
      <c r="J2027" s="32" t="str">
        <f t="shared" si="91"/>
        <v/>
      </c>
      <c r="K2027" s="72"/>
      <c r="L2027" s="72"/>
      <c r="M2027" s="2"/>
      <c r="N2027" s="5"/>
      <c r="O2027" s="3"/>
      <c r="P2027" s="6"/>
      <c r="Q2027" s="48">
        <f>IF(Учет!$O2027=Справочники!$F$2,Учет!$H2027,0)</f>
        <v>0</v>
      </c>
      <c r="R2027" s="48">
        <f>IF(Учет!$O2027=Справочники!$F$3,Учет!$H2027,0)</f>
        <v>0</v>
      </c>
      <c r="S2027" s="48">
        <f>IF(Учет!$O2027=Справочники!$F$4,Учет!$H2027,0)</f>
        <v>0</v>
      </c>
      <c r="T2027" s="48">
        <f>IF(Учет!$O2027=Справочники!$F$5,Учет!$H2027,0)</f>
        <v>0</v>
      </c>
      <c r="U2027" s="48">
        <f>IF(Учет!$O2027=Справочники!$F$6,Учет!$H2027,0)</f>
        <v>0</v>
      </c>
      <c r="V2027" s="43">
        <f>V2026+Учет!Q2027-Q2027</f>
        <v>-488978.92000000004</v>
      </c>
      <c r="W2027" s="43">
        <f>W2026+Учет!R2027-R2027</f>
        <v>336855</v>
      </c>
      <c r="X2027" s="43">
        <f>X2026+Учет!S2027-S2027</f>
        <v>500</v>
      </c>
      <c r="Y2027" s="43">
        <f>Y2026+Учет!T2027-T2027</f>
        <v>1150</v>
      </c>
      <c r="Z2027" s="43">
        <f>Z2026+Учет!U2027-U2027</f>
        <v>500000</v>
      </c>
      <c r="AA2027" s="45">
        <f>Учет!X2027</f>
        <v>500</v>
      </c>
    </row>
    <row r="2028" spans="1:27" ht="15" customHeight="1" x14ac:dyDescent="0.25">
      <c r="A2028" s="1"/>
      <c r="B2028" s="17"/>
      <c r="C2028" s="17"/>
      <c r="D2028" s="17"/>
      <c r="E2028" s="17"/>
      <c r="F2028" s="17"/>
      <c r="G2028" s="4">
        <f t="shared" si="90"/>
        <v>0</v>
      </c>
      <c r="H2028" s="17"/>
      <c r="I2028" s="4">
        <f t="shared" si="92"/>
        <v>349526.07999999996</v>
      </c>
      <c r="J2028" s="32" t="str">
        <f t="shared" si="91"/>
        <v/>
      </c>
      <c r="K2028" s="72"/>
      <c r="L2028" s="72"/>
      <c r="M2028" s="2"/>
      <c r="N2028" s="5"/>
      <c r="O2028" s="3"/>
      <c r="P2028" s="6"/>
      <c r="Q2028" s="48">
        <f>IF(Учет!$O2028=Справочники!$F$2,Учет!$H2028,0)</f>
        <v>0</v>
      </c>
      <c r="R2028" s="48">
        <f>IF(Учет!$O2028=Справочники!$F$3,Учет!$H2028,0)</f>
        <v>0</v>
      </c>
      <c r="S2028" s="48">
        <f>IF(Учет!$O2028=Справочники!$F$4,Учет!$H2028,0)</f>
        <v>0</v>
      </c>
      <c r="T2028" s="48">
        <f>IF(Учет!$O2028=Справочники!$F$5,Учет!$H2028,0)</f>
        <v>0</v>
      </c>
      <c r="U2028" s="48">
        <f>IF(Учет!$O2028=Справочники!$F$6,Учет!$H2028,0)</f>
        <v>0</v>
      </c>
      <c r="V2028" s="43">
        <f>V2027+Учет!Q2028-Q2028</f>
        <v>-488978.92000000004</v>
      </c>
      <c r="W2028" s="43">
        <f>W2027+Учет!R2028-R2028</f>
        <v>336855</v>
      </c>
      <c r="X2028" s="43">
        <f>X2027+Учет!S2028-S2028</f>
        <v>500</v>
      </c>
      <c r="Y2028" s="43">
        <f>Y2027+Учет!T2028-T2028</f>
        <v>1150</v>
      </c>
      <c r="Z2028" s="43">
        <f>Z2027+Учет!U2028-U2028</f>
        <v>500000</v>
      </c>
      <c r="AA2028" s="45">
        <f>Учет!X2028</f>
        <v>500</v>
      </c>
    </row>
    <row r="2029" spans="1:27" ht="15" customHeight="1" x14ac:dyDescent="0.25">
      <c r="A2029" s="1"/>
      <c r="B2029" s="17"/>
      <c r="C2029" s="17"/>
      <c r="D2029" s="17"/>
      <c r="E2029" s="17"/>
      <c r="F2029" s="17"/>
      <c r="G2029" s="4">
        <f t="shared" si="90"/>
        <v>0</v>
      </c>
      <c r="H2029" s="17"/>
      <c r="I2029" s="4">
        <f t="shared" si="92"/>
        <v>349526.07999999996</v>
      </c>
      <c r="J2029" s="32" t="str">
        <f t="shared" si="91"/>
        <v/>
      </c>
      <c r="K2029" s="72"/>
      <c r="L2029" s="72"/>
      <c r="M2029" s="2"/>
      <c r="N2029" s="5"/>
      <c r="O2029" s="3"/>
      <c r="P2029" s="6"/>
      <c r="Q2029" s="48">
        <f>IF(Учет!$O2029=Справочники!$F$2,Учет!$H2029,0)</f>
        <v>0</v>
      </c>
      <c r="R2029" s="48">
        <f>IF(Учет!$O2029=Справочники!$F$3,Учет!$H2029,0)</f>
        <v>0</v>
      </c>
      <c r="S2029" s="48">
        <f>IF(Учет!$O2029=Справочники!$F$4,Учет!$H2029,0)</f>
        <v>0</v>
      </c>
      <c r="T2029" s="48">
        <f>IF(Учет!$O2029=Справочники!$F$5,Учет!$H2029,0)</f>
        <v>0</v>
      </c>
      <c r="U2029" s="48">
        <f>IF(Учет!$O2029=Справочники!$F$6,Учет!$H2029,0)</f>
        <v>0</v>
      </c>
      <c r="V2029" s="43">
        <f>V2028+Учет!Q2029-Q2029</f>
        <v>-488978.92000000004</v>
      </c>
      <c r="W2029" s="43">
        <f>W2028+Учет!R2029-R2029</f>
        <v>336855</v>
      </c>
      <c r="X2029" s="43">
        <f>X2028+Учет!S2029-S2029</f>
        <v>500</v>
      </c>
      <c r="Y2029" s="43">
        <f>Y2028+Учет!T2029-T2029</f>
        <v>1150</v>
      </c>
      <c r="Z2029" s="43">
        <f>Z2028+Учет!U2029-U2029</f>
        <v>500000</v>
      </c>
      <c r="AA2029" s="45">
        <f>Учет!X2029</f>
        <v>500</v>
      </c>
    </row>
    <row r="2030" spans="1:27" ht="15" customHeight="1" x14ac:dyDescent="0.25">
      <c r="A2030" s="1"/>
      <c r="B2030" s="17"/>
      <c r="C2030" s="17"/>
      <c r="D2030" s="17"/>
      <c r="E2030" s="17"/>
      <c r="F2030" s="17"/>
      <c r="G2030" s="4">
        <f t="shared" si="90"/>
        <v>0</v>
      </c>
      <c r="H2030" s="17"/>
      <c r="I2030" s="4">
        <f t="shared" si="92"/>
        <v>349526.07999999996</v>
      </c>
      <c r="J2030" s="32" t="str">
        <f t="shared" si="91"/>
        <v/>
      </c>
      <c r="K2030" s="72"/>
      <c r="L2030" s="72"/>
      <c r="M2030" s="2"/>
      <c r="N2030" s="5"/>
      <c r="O2030" s="3"/>
      <c r="P2030" s="6"/>
      <c r="Q2030" s="48">
        <f>IF(Учет!$O2030=Справочники!$F$2,Учет!$H2030,0)</f>
        <v>0</v>
      </c>
      <c r="R2030" s="48">
        <f>IF(Учет!$O2030=Справочники!$F$3,Учет!$H2030,0)</f>
        <v>0</v>
      </c>
      <c r="S2030" s="48">
        <f>IF(Учет!$O2030=Справочники!$F$4,Учет!$H2030,0)</f>
        <v>0</v>
      </c>
      <c r="T2030" s="48">
        <f>IF(Учет!$O2030=Справочники!$F$5,Учет!$H2030,0)</f>
        <v>0</v>
      </c>
      <c r="U2030" s="48">
        <f>IF(Учет!$O2030=Справочники!$F$6,Учет!$H2030,0)</f>
        <v>0</v>
      </c>
      <c r="V2030" s="43">
        <f>V2029+Учет!Q2030-Q2030</f>
        <v>-488978.92000000004</v>
      </c>
      <c r="W2030" s="43">
        <f>W2029+Учет!R2030-R2030</f>
        <v>336855</v>
      </c>
      <c r="X2030" s="43">
        <f>X2029+Учет!S2030-S2030</f>
        <v>500</v>
      </c>
      <c r="Y2030" s="43">
        <f>Y2029+Учет!T2030-T2030</f>
        <v>1150</v>
      </c>
      <c r="Z2030" s="43">
        <f>Z2029+Учет!U2030-U2030</f>
        <v>500000</v>
      </c>
      <c r="AA2030" s="45">
        <f>Учет!X2030</f>
        <v>500</v>
      </c>
    </row>
    <row r="2031" spans="1:27" ht="15" customHeight="1" x14ac:dyDescent="0.25">
      <c r="A2031" s="1"/>
      <c r="B2031" s="17"/>
      <c r="C2031" s="17"/>
      <c r="D2031" s="17"/>
      <c r="E2031" s="17"/>
      <c r="F2031" s="17"/>
      <c r="G2031" s="4">
        <f t="shared" si="90"/>
        <v>0</v>
      </c>
      <c r="H2031" s="17"/>
      <c r="I2031" s="4">
        <f t="shared" si="92"/>
        <v>349526.07999999996</v>
      </c>
      <c r="J2031" s="32" t="str">
        <f t="shared" si="91"/>
        <v/>
      </c>
      <c r="K2031" s="72"/>
      <c r="L2031" s="72"/>
      <c r="M2031" s="2"/>
      <c r="N2031" s="5"/>
      <c r="O2031" s="3"/>
      <c r="P2031" s="6"/>
      <c r="Q2031" s="48">
        <f>IF(Учет!$O2031=Справочники!$F$2,Учет!$H2031,0)</f>
        <v>0</v>
      </c>
      <c r="R2031" s="48">
        <f>IF(Учет!$O2031=Справочники!$F$3,Учет!$H2031,0)</f>
        <v>0</v>
      </c>
      <c r="S2031" s="48">
        <f>IF(Учет!$O2031=Справочники!$F$4,Учет!$H2031,0)</f>
        <v>0</v>
      </c>
      <c r="T2031" s="48">
        <f>IF(Учет!$O2031=Справочники!$F$5,Учет!$H2031,0)</f>
        <v>0</v>
      </c>
      <c r="U2031" s="48">
        <f>IF(Учет!$O2031=Справочники!$F$6,Учет!$H2031,0)</f>
        <v>0</v>
      </c>
      <c r="V2031" s="43">
        <f>V2030+Учет!Q2031-Q2031</f>
        <v>-488978.92000000004</v>
      </c>
      <c r="W2031" s="43">
        <f>W2030+Учет!R2031-R2031</f>
        <v>336855</v>
      </c>
      <c r="X2031" s="43">
        <f>X2030+Учет!S2031-S2031</f>
        <v>500</v>
      </c>
      <c r="Y2031" s="43">
        <f>Y2030+Учет!T2031-T2031</f>
        <v>1150</v>
      </c>
      <c r="Z2031" s="43">
        <f>Z2030+Учет!U2031-U2031</f>
        <v>500000</v>
      </c>
      <c r="AA2031" s="45">
        <f>Учет!X2031</f>
        <v>500</v>
      </c>
    </row>
    <row r="2032" spans="1:27" ht="15" customHeight="1" x14ac:dyDescent="0.25">
      <c r="A2032" s="1"/>
      <c r="B2032" s="17"/>
      <c r="C2032" s="17"/>
      <c r="D2032" s="17"/>
      <c r="E2032" s="17"/>
      <c r="F2032" s="17"/>
      <c r="G2032" s="4">
        <f t="shared" si="90"/>
        <v>0</v>
      </c>
      <c r="H2032" s="17"/>
      <c r="I2032" s="4">
        <f t="shared" si="92"/>
        <v>349526.07999999996</v>
      </c>
      <c r="J2032" s="32" t="str">
        <f t="shared" si="91"/>
        <v/>
      </c>
      <c r="K2032" s="72"/>
      <c r="L2032" s="72"/>
      <c r="M2032" s="2"/>
      <c r="N2032" s="5"/>
      <c r="O2032" s="3"/>
      <c r="P2032" s="6"/>
      <c r="Q2032" s="48">
        <f>IF(Учет!$O2032=Справочники!$F$2,Учет!$H2032,0)</f>
        <v>0</v>
      </c>
      <c r="R2032" s="48">
        <f>IF(Учет!$O2032=Справочники!$F$3,Учет!$H2032,0)</f>
        <v>0</v>
      </c>
      <c r="S2032" s="48">
        <f>IF(Учет!$O2032=Справочники!$F$4,Учет!$H2032,0)</f>
        <v>0</v>
      </c>
      <c r="T2032" s="48">
        <f>IF(Учет!$O2032=Справочники!$F$5,Учет!$H2032,0)</f>
        <v>0</v>
      </c>
      <c r="U2032" s="48">
        <f>IF(Учет!$O2032=Справочники!$F$6,Учет!$H2032,0)</f>
        <v>0</v>
      </c>
      <c r="V2032" s="43">
        <f>V2031+Учет!Q2032-Q2032</f>
        <v>-488978.92000000004</v>
      </c>
      <c r="W2032" s="43">
        <f>W2031+Учет!R2032-R2032</f>
        <v>336855</v>
      </c>
      <c r="X2032" s="43">
        <f>X2031+Учет!S2032-S2032</f>
        <v>500</v>
      </c>
      <c r="Y2032" s="43">
        <f>Y2031+Учет!T2032-T2032</f>
        <v>1150</v>
      </c>
      <c r="Z2032" s="43">
        <f>Z2031+Учет!U2032-U2032</f>
        <v>500000</v>
      </c>
      <c r="AA2032" s="45">
        <f>Учет!X2032</f>
        <v>500</v>
      </c>
    </row>
    <row r="2033" spans="1:27" ht="15" customHeight="1" x14ac:dyDescent="0.25">
      <c r="A2033" s="1"/>
      <c r="B2033" s="17"/>
      <c r="C2033" s="17"/>
      <c r="D2033" s="17"/>
      <c r="E2033" s="17"/>
      <c r="F2033" s="17"/>
      <c r="G2033" s="4">
        <f t="shared" si="90"/>
        <v>0</v>
      </c>
      <c r="H2033" s="17"/>
      <c r="I2033" s="4">
        <f t="shared" si="92"/>
        <v>349526.07999999996</v>
      </c>
      <c r="J2033" s="32" t="str">
        <f t="shared" si="91"/>
        <v/>
      </c>
      <c r="K2033" s="72"/>
      <c r="L2033" s="72"/>
      <c r="M2033" s="2"/>
      <c r="N2033" s="5"/>
      <c r="O2033" s="3"/>
      <c r="P2033" s="6"/>
      <c r="Q2033" s="48">
        <f>IF(Учет!$O2033=Справочники!$F$2,Учет!$H2033,0)</f>
        <v>0</v>
      </c>
      <c r="R2033" s="48">
        <f>IF(Учет!$O2033=Справочники!$F$3,Учет!$H2033,0)</f>
        <v>0</v>
      </c>
      <c r="S2033" s="48">
        <f>IF(Учет!$O2033=Справочники!$F$4,Учет!$H2033,0)</f>
        <v>0</v>
      </c>
      <c r="T2033" s="48">
        <f>IF(Учет!$O2033=Справочники!$F$5,Учет!$H2033,0)</f>
        <v>0</v>
      </c>
      <c r="U2033" s="48">
        <f>IF(Учет!$O2033=Справочники!$F$6,Учет!$H2033,0)</f>
        <v>0</v>
      </c>
      <c r="V2033" s="43">
        <f>V2032+Учет!Q2033-Q2033</f>
        <v>-488978.92000000004</v>
      </c>
      <c r="W2033" s="43">
        <f>W2032+Учет!R2033-R2033</f>
        <v>336855</v>
      </c>
      <c r="X2033" s="43">
        <f>X2032+Учет!S2033-S2033</f>
        <v>500</v>
      </c>
      <c r="Y2033" s="43">
        <f>Y2032+Учет!T2033-T2033</f>
        <v>1150</v>
      </c>
      <c r="Z2033" s="43">
        <f>Z2032+Учет!U2033-U2033</f>
        <v>500000</v>
      </c>
      <c r="AA2033" s="45">
        <f>Учет!X2033</f>
        <v>500</v>
      </c>
    </row>
    <row r="2034" spans="1:27" ht="15" customHeight="1" x14ac:dyDescent="0.25">
      <c r="A2034" s="1"/>
      <c r="B2034" s="17"/>
      <c r="C2034" s="17"/>
      <c r="D2034" s="17"/>
      <c r="E2034" s="17"/>
      <c r="F2034" s="17"/>
      <c r="G2034" s="4">
        <f t="shared" si="90"/>
        <v>0</v>
      </c>
      <c r="H2034" s="17"/>
      <c r="I2034" s="4">
        <f t="shared" si="92"/>
        <v>349526.07999999996</v>
      </c>
      <c r="J2034" s="32" t="str">
        <f t="shared" si="91"/>
        <v/>
      </c>
      <c r="K2034" s="72"/>
      <c r="L2034" s="72"/>
      <c r="M2034" s="2"/>
      <c r="N2034" s="5"/>
      <c r="O2034" s="3"/>
      <c r="P2034" s="6"/>
      <c r="Q2034" s="48">
        <f>IF(Учет!$O2034=Справочники!$F$2,Учет!$H2034,0)</f>
        <v>0</v>
      </c>
      <c r="R2034" s="48">
        <f>IF(Учет!$O2034=Справочники!$F$3,Учет!$H2034,0)</f>
        <v>0</v>
      </c>
      <c r="S2034" s="48">
        <f>IF(Учет!$O2034=Справочники!$F$4,Учет!$H2034,0)</f>
        <v>0</v>
      </c>
      <c r="T2034" s="48">
        <f>IF(Учет!$O2034=Справочники!$F$5,Учет!$H2034,0)</f>
        <v>0</v>
      </c>
      <c r="U2034" s="48">
        <f>IF(Учет!$O2034=Справочники!$F$6,Учет!$H2034,0)</f>
        <v>0</v>
      </c>
      <c r="V2034" s="43">
        <f>V2033+Учет!Q2034-Q2034</f>
        <v>-488978.92000000004</v>
      </c>
      <c r="W2034" s="43">
        <f>W2033+Учет!R2034-R2034</f>
        <v>336855</v>
      </c>
      <c r="X2034" s="43">
        <f>X2033+Учет!S2034-S2034</f>
        <v>500</v>
      </c>
      <c r="Y2034" s="43">
        <f>Y2033+Учет!T2034-T2034</f>
        <v>1150</v>
      </c>
      <c r="Z2034" s="43">
        <f>Z2033+Учет!U2034-U2034</f>
        <v>500000</v>
      </c>
      <c r="AA2034" s="45">
        <f>Учет!X2034</f>
        <v>500</v>
      </c>
    </row>
    <row r="2035" spans="1:27" ht="15" customHeight="1" x14ac:dyDescent="0.25">
      <c r="A2035" s="1"/>
      <c r="B2035" s="17"/>
      <c r="C2035" s="17"/>
      <c r="D2035" s="17"/>
      <c r="E2035" s="17"/>
      <c r="F2035" s="17"/>
      <c r="G2035" s="4">
        <f t="shared" si="90"/>
        <v>0</v>
      </c>
      <c r="H2035" s="17"/>
      <c r="I2035" s="4">
        <f t="shared" si="92"/>
        <v>349526.07999999996</v>
      </c>
      <c r="J2035" s="32" t="str">
        <f t="shared" si="91"/>
        <v/>
      </c>
      <c r="K2035" s="72"/>
      <c r="L2035" s="72"/>
      <c r="M2035" s="2"/>
      <c r="N2035" s="5"/>
      <c r="O2035" s="3"/>
      <c r="P2035" s="6"/>
      <c r="Q2035" s="48">
        <f>IF(Учет!$O2035=Справочники!$F$2,Учет!$H2035,0)</f>
        <v>0</v>
      </c>
      <c r="R2035" s="48">
        <f>IF(Учет!$O2035=Справочники!$F$3,Учет!$H2035,0)</f>
        <v>0</v>
      </c>
      <c r="S2035" s="48">
        <f>IF(Учет!$O2035=Справочники!$F$4,Учет!$H2035,0)</f>
        <v>0</v>
      </c>
      <c r="T2035" s="48">
        <f>IF(Учет!$O2035=Справочники!$F$5,Учет!$H2035,0)</f>
        <v>0</v>
      </c>
      <c r="U2035" s="48">
        <f>IF(Учет!$O2035=Справочники!$F$6,Учет!$H2035,0)</f>
        <v>0</v>
      </c>
      <c r="V2035" s="43">
        <f>V2034+Учет!Q2035-Q2035</f>
        <v>-488978.92000000004</v>
      </c>
      <c r="W2035" s="43">
        <f>W2034+Учет!R2035-R2035</f>
        <v>336855</v>
      </c>
      <c r="X2035" s="43">
        <f>X2034+Учет!S2035-S2035</f>
        <v>500</v>
      </c>
      <c r="Y2035" s="43">
        <f>Y2034+Учет!T2035-T2035</f>
        <v>1150</v>
      </c>
      <c r="Z2035" s="43">
        <f>Z2034+Учет!U2035-U2035</f>
        <v>500000</v>
      </c>
      <c r="AA2035" s="45">
        <f>Учет!X2035</f>
        <v>500</v>
      </c>
    </row>
    <row r="2036" spans="1:27" ht="15" customHeight="1" x14ac:dyDescent="0.25">
      <c r="A2036" s="1"/>
      <c r="B2036" s="17"/>
      <c r="C2036" s="17"/>
      <c r="D2036" s="17"/>
      <c r="E2036" s="17"/>
      <c r="F2036" s="17"/>
      <c r="G2036" s="4">
        <f t="shared" si="90"/>
        <v>0</v>
      </c>
      <c r="H2036" s="17"/>
      <c r="I2036" s="4">
        <f t="shared" si="92"/>
        <v>349526.07999999996</v>
      </c>
      <c r="J2036" s="32" t="str">
        <f t="shared" si="91"/>
        <v/>
      </c>
      <c r="K2036" s="72"/>
      <c r="L2036" s="72"/>
      <c r="M2036" s="2"/>
      <c r="N2036" s="5"/>
      <c r="O2036" s="3"/>
      <c r="P2036" s="6"/>
      <c r="Q2036" s="48">
        <f>IF(Учет!$O2036=Справочники!$F$2,Учет!$H2036,0)</f>
        <v>0</v>
      </c>
      <c r="R2036" s="48">
        <f>IF(Учет!$O2036=Справочники!$F$3,Учет!$H2036,0)</f>
        <v>0</v>
      </c>
      <c r="S2036" s="48">
        <f>IF(Учет!$O2036=Справочники!$F$4,Учет!$H2036,0)</f>
        <v>0</v>
      </c>
      <c r="T2036" s="48">
        <f>IF(Учет!$O2036=Справочники!$F$5,Учет!$H2036,0)</f>
        <v>0</v>
      </c>
      <c r="U2036" s="48">
        <f>IF(Учет!$O2036=Справочники!$F$6,Учет!$H2036,0)</f>
        <v>0</v>
      </c>
      <c r="V2036" s="43">
        <f>V2035+Учет!Q2036-Q2036</f>
        <v>-488978.92000000004</v>
      </c>
      <c r="W2036" s="43">
        <f>W2035+Учет!R2036-R2036</f>
        <v>336855</v>
      </c>
      <c r="X2036" s="43">
        <f>X2035+Учет!S2036-S2036</f>
        <v>500</v>
      </c>
      <c r="Y2036" s="43">
        <f>Y2035+Учет!T2036-T2036</f>
        <v>1150</v>
      </c>
      <c r="Z2036" s="43">
        <f>Z2035+Учет!U2036-U2036</f>
        <v>500000</v>
      </c>
      <c r="AA2036" s="45">
        <f>Учет!X2036</f>
        <v>500</v>
      </c>
    </row>
    <row r="2037" spans="1:27" ht="15" customHeight="1" x14ac:dyDescent="0.25">
      <c r="A2037" s="1"/>
      <c r="B2037" s="17"/>
      <c r="C2037" s="17"/>
      <c r="D2037" s="17"/>
      <c r="E2037" s="17"/>
      <c r="F2037" s="17"/>
      <c r="G2037" s="4">
        <f t="shared" si="90"/>
        <v>0</v>
      </c>
      <c r="H2037" s="17"/>
      <c r="I2037" s="4">
        <f t="shared" si="92"/>
        <v>349526.07999999996</v>
      </c>
      <c r="J2037" s="32" t="str">
        <f t="shared" si="91"/>
        <v/>
      </c>
      <c r="K2037" s="72"/>
      <c r="L2037" s="72"/>
      <c r="M2037" s="2"/>
      <c r="N2037" s="5"/>
      <c r="O2037" s="3"/>
      <c r="P2037" s="6"/>
      <c r="Q2037" s="48">
        <f>IF(Учет!$O2037=Справочники!$F$2,Учет!$H2037,0)</f>
        <v>0</v>
      </c>
      <c r="R2037" s="48">
        <f>IF(Учет!$O2037=Справочники!$F$3,Учет!$H2037,0)</f>
        <v>0</v>
      </c>
      <c r="S2037" s="48">
        <f>IF(Учет!$O2037=Справочники!$F$4,Учет!$H2037,0)</f>
        <v>0</v>
      </c>
      <c r="T2037" s="48">
        <f>IF(Учет!$O2037=Справочники!$F$5,Учет!$H2037,0)</f>
        <v>0</v>
      </c>
      <c r="U2037" s="48">
        <f>IF(Учет!$O2037=Справочники!$F$6,Учет!$H2037,0)</f>
        <v>0</v>
      </c>
      <c r="V2037" s="43">
        <f>V2036+Учет!Q2037-Q2037</f>
        <v>-488978.92000000004</v>
      </c>
      <c r="W2037" s="43">
        <f>W2036+Учет!R2037-R2037</f>
        <v>336855</v>
      </c>
      <c r="X2037" s="43">
        <f>X2036+Учет!S2037-S2037</f>
        <v>500</v>
      </c>
      <c r="Y2037" s="43">
        <f>Y2036+Учет!T2037-T2037</f>
        <v>1150</v>
      </c>
      <c r="Z2037" s="43">
        <f>Z2036+Учет!U2037-U2037</f>
        <v>500000</v>
      </c>
      <c r="AA2037" s="45">
        <f>Учет!X2037</f>
        <v>500</v>
      </c>
    </row>
    <row r="2038" spans="1:27" ht="15" customHeight="1" x14ac:dyDescent="0.25">
      <c r="A2038" s="1"/>
      <c r="B2038" s="17"/>
      <c r="C2038" s="17"/>
      <c r="D2038" s="17"/>
      <c r="E2038" s="17"/>
      <c r="F2038" s="17"/>
      <c r="G2038" s="4">
        <f t="shared" si="90"/>
        <v>0</v>
      </c>
      <c r="H2038" s="17"/>
      <c r="I2038" s="4">
        <f t="shared" si="92"/>
        <v>349526.07999999996</v>
      </c>
      <c r="J2038" s="32" t="str">
        <f t="shared" si="91"/>
        <v/>
      </c>
      <c r="K2038" s="72"/>
      <c r="L2038" s="72"/>
      <c r="M2038" s="2"/>
      <c r="N2038" s="5"/>
      <c r="O2038" s="3"/>
      <c r="P2038" s="6"/>
      <c r="Q2038" s="48">
        <f>IF(Учет!$O2038=Справочники!$F$2,Учет!$H2038,0)</f>
        <v>0</v>
      </c>
      <c r="R2038" s="48">
        <f>IF(Учет!$O2038=Справочники!$F$3,Учет!$H2038,0)</f>
        <v>0</v>
      </c>
      <c r="S2038" s="48">
        <f>IF(Учет!$O2038=Справочники!$F$4,Учет!$H2038,0)</f>
        <v>0</v>
      </c>
      <c r="T2038" s="48">
        <f>IF(Учет!$O2038=Справочники!$F$5,Учет!$H2038,0)</f>
        <v>0</v>
      </c>
      <c r="U2038" s="48">
        <f>IF(Учет!$O2038=Справочники!$F$6,Учет!$H2038,0)</f>
        <v>0</v>
      </c>
      <c r="V2038" s="43">
        <f>V2037+Учет!Q2038-Q2038</f>
        <v>-488978.92000000004</v>
      </c>
      <c r="W2038" s="43">
        <f>W2037+Учет!R2038-R2038</f>
        <v>336855</v>
      </c>
      <c r="X2038" s="43">
        <f>X2037+Учет!S2038-S2038</f>
        <v>500</v>
      </c>
      <c r="Y2038" s="43">
        <f>Y2037+Учет!T2038-T2038</f>
        <v>1150</v>
      </c>
      <c r="Z2038" s="43">
        <f>Z2037+Учет!U2038-U2038</f>
        <v>500000</v>
      </c>
      <c r="AA2038" s="45">
        <f>Учет!X2038</f>
        <v>500</v>
      </c>
    </row>
    <row r="2039" spans="1:27" ht="15" customHeight="1" x14ac:dyDescent="0.25">
      <c r="A2039" s="1"/>
      <c r="B2039" s="17"/>
      <c r="C2039" s="17"/>
      <c r="D2039" s="17"/>
      <c r="E2039" s="17"/>
      <c r="F2039" s="17"/>
      <c r="G2039" s="4">
        <f t="shared" si="90"/>
        <v>0</v>
      </c>
      <c r="H2039" s="17"/>
      <c r="I2039" s="4">
        <f t="shared" si="92"/>
        <v>349526.07999999996</v>
      </c>
      <c r="J2039" s="32" t="str">
        <f t="shared" si="91"/>
        <v/>
      </c>
      <c r="K2039" s="72"/>
      <c r="L2039" s="72"/>
      <c r="M2039" s="2"/>
      <c r="N2039" s="5"/>
      <c r="O2039" s="3"/>
      <c r="P2039" s="6"/>
      <c r="Q2039" s="48">
        <f>IF(Учет!$O2039=Справочники!$F$2,Учет!$H2039,0)</f>
        <v>0</v>
      </c>
      <c r="R2039" s="48">
        <f>IF(Учет!$O2039=Справочники!$F$3,Учет!$H2039,0)</f>
        <v>0</v>
      </c>
      <c r="S2039" s="48">
        <f>IF(Учет!$O2039=Справочники!$F$4,Учет!$H2039,0)</f>
        <v>0</v>
      </c>
      <c r="T2039" s="48">
        <f>IF(Учет!$O2039=Справочники!$F$5,Учет!$H2039,0)</f>
        <v>0</v>
      </c>
      <c r="U2039" s="48">
        <f>IF(Учет!$O2039=Справочники!$F$6,Учет!$H2039,0)</f>
        <v>0</v>
      </c>
      <c r="V2039" s="43">
        <f>V2038+Учет!Q2039-Q2039</f>
        <v>-488978.92000000004</v>
      </c>
      <c r="W2039" s="43">
        <f>W2038+Учет!R2039-R2039</f>
        <v>336855</v>
      </c>
      <c r="X2039" s="43">
        <f>X2038+Учет!S2039-S2039</f>
        <v>500</v>
      </c>
      <c r="Y2039" s="43">
        <f>Y2038+Учет!T2039-T2039</f>
        <v>1150</v>
      </c>
      <c r="Z2039" s="43">
        <f>Z2038+Учет!U2039-U2039</f>
        <v>500000</v>
      </c>
      <c r="AA2039" s="45">
        <f>Учет!X2039</f>
        <v>500</v>
      </c>
    </row>
    <row r="2040" spans="1:27" ht="15" customHeight="1" x14ac:dyDescent="0.25">
      <c r="A2040" s="1"/>
      <c r="B2040" s="17"/>
      <c r="C2040" s="17"/>
      <c r="D2040" s="17"/>
      <c r="E2040" s="17"/>
      <c r="F2040" s="17"/>
      <c r="G2040" s="4">
        <f t="shared" si="90"/>
        <v>0</v>
      </c>
      <c r="H2040" s="17"/>
      <c r="I2040" s="4">
        <f t="shared" si="92"/>
        <v>349526.07999999996</v>
      </c>
      <c r="J2040" s="32" t="str">
        <f t="shared" si="91"/>
        <v/>
      </c>
      <c r="K2040" s="72"/>
      <c r="L2040" s="72"/>
      <c r="M2040" s="2"/>
      <c r="N2040" s="5"/>
      <c r="O2040" s="3"/>
      <c r="P2040" s="6"/>
      <c r="Q2040" s="48">
        <f>IF(Учет!$O2040=Справочники!$F$2,Учет!$H2040,0)</f>
        <v>0</v>
      </c>
      <c r="R2040" s="48">
        <f>IF(Учет!$O2040=Справочники!$F$3,Учет!$H2040,0)</f>
        <v>0</v>
      </c>
      <c r="S2040" s="48">
        <f>IF(Учет!$O2040=Справочники!$F$4,Учет!$H2040,0)</f>
        <v>0</v>
      </c>
      <c r="T2040" s="48">
        <f>IF(Учет!$O2040=Справочники!$F$5,Учет!$H2040,0)</f>
        <v>0</v>
      </c>
      <c r="U2040" s="48">
        <f>IF(Учет!$O2040=Справочники!$F$6,Учет!$H2040,0)</f>
        <v>0</v>
      </c>
      <c r="V2040" s="43">
        <f>V2039+Учет!Q2040-Q2040</f>
        <v>-488978.92000000004</v>
      </c>
      <c r="W2040" s="43">
        <f>W2039+Учет!R2040-R2040</f>
        <v>336855</v>
      </c>
      <c r="X2040" s="43">
        <f>X2039+Учет!S2040-S2040</f>
        <v>500</v>
      </c>
      <c r="Y2040" s="43">
        <f>Y2039+Учет!T2040-T2040</f>
        <v>1150</v>
      </c>
      <c r="Z2040" s="43">
        <f>Z2039+Учет!U2040-U2040</f>
        <v>500000</v>
      </c>
      <c r="AA2040" s="45">
        <f>Учет!X2040</f>
        <v>500</v>
      </c>
    </row>
    <row r="2041" spans="1:27" ht="15" customHeight="1" x14ac:dyDescent="0.25">
      <c r="A2041" s="1"/>
      <c r="B2041" s="17"/>
      <c r="C2041" s="17"/>
      <c r="D2041" s="17"/>
      <c r="E2041" s="17"/>
      <c r="F2041" s="17"/>
      <c r="G2041" s="4">
        <f t="shared" si="90"/>
        <v>0</v>
      </c>
      <c r="H2041" s="17"/>
      <c r="I2041" s="4">
        <f t="shared" si="92"/>
        <v>349526.07999999996</v>
      </c>
      <c r="J2041" s="32" t="str">
        <f t="shared" si="91"/>
        <v/>
      </c>
      <c r="K2041" s="72"/>
      <c r="L2041" s="72"/>
      <c r="M2041" s="2"/>
      <c r="N2041" s="5"/>
      <c r="O2041" s="3"/>
      <c r="P2041" s="6"/>
      <c r="Q2041" s="48">
        <f>IF(Учет!$O2041=Справочники!$F$2,Учет!$H2041,0)</f>
        <v>0</v>
      </c>
      <c r="R2041" s="48">
        <f>IF(Учет!$O2041=Справочники!$F$3,Учет!$H2041,0)</f>
        <v>0</v>
      </c>
      <c r="S2041" s="48">
        <f>IF(Учет!$O2041=Справочники!$F$4,Учет!$H2041,0)</f>
        <v>0</v>
      </c>
      <c r="T2041" s="48">
        <f>IF(Учет!$O2041=Справочники!$F$5,Учет!$H2041,0)</f>
        <v>0</v>
      </c>
      <c r="U2041" s="48">
        <f>IF(Учет!$O2041=Справочники!$F$6,Учет!$H2041,0)</f>
        <v>0</v>
      </c>
      <c r="V2041" s="43">
        <f>V2040+Учет!Q2041-Q2041</f>
        <v>-488978.92000000004</v>
      </c>
      <c r="W2041" s="43">
        <f>W2040+Учет!R2041-R2041</f>
        <v>336855</v>
      </c>
      <c r="X2041" s="43">
        <f>X2040+Учет!S2041-S2041</f>
        <v>500</v>
      </c>
      <c r="Y2041" s="43">
        <f>Y2040+Учет!T2041-T2041</f>
        <v>1150</v>
      </c>
      <c r="Z2041" s="43">
        <f>Z2040+Учет!U2041-U2041</f>
        <v>500000</v>
      </c>
      <c r="AA2041" s="45">
        <f>Учет!X2041</f>
        <v>500</v>
      </c>
    </row>
    <row r="2042" spans="1:27" ht="15" customHeight="1" x14ac:dyDescent="0.25">
      <c r="A2042" s="1"/>
      <c r="B2042" s="17"/>
      <c r="C2042" s="17"/>
      <c r="D2042" s="17"/>
      <c r="E2042" s="17"/>
      <c r="F2042" s="17"/>
      <c r="G2042" s="4">
        <f t="shared" si="90"/>
        <v>0</v>
      </c>
      <c r="H2042" s="17"/>
      <c r="I2042" s="4">
        <f t="shared" si="92"/>
        <v>349526.07999999996</v>
      </c>
      <c r="J2042" s="32" t="str">
        <f t="shared" si="91"/>
        <v/>
      </c>
      <c r="K2042" s="72"/>
      <c r="L2042" s="72"/>
      <c r="M2042" s="2"/>
      <c r="N2042" s="5"/>
      <c r="O2042" s="3"/>
      <c r="P2042" s="6"/>
      <c r="Q2042" s="48">
        <f>IF(Учет!$O2042=Справочники!$F$2,Учет!$H2042,0)</f>
        <v>0</v>
      </c>
      <c r="R2042" s="48">
        <f>IF(Учет!$O2042=Справочники!$F$3,Учет!$H2042,0)</f>
        <v>0</v>
      </c>
      <c r="S2042" s="48">
        <f>IF(Учет!$O2042=Справочники!$F$4,Учет!$H2042,0)</f>
        <v>0</v>
      </c>
      <c r="T2042" s="48">
        <f>IF(Учет!$O2042=Справочники!$F$5,Учет!$H2042,0)</f>
        <v>0</v>
      </c>
      <c r="U2042" s="48">
        <f>IF(Учет!$O2042=Справочники!$F$6,Учет!$H2042,0)</f>
        <v>0</v>
      </c>
      <c r="V2042" s="43">
        <f>V2041+Учет!Q2042-Q2042</f>
        <v>-488978.92000000004</v>
      </c>
      <c r="W2042" s="43">
        <f>W2041+Учет!R2042-R2042</f>
        <v>336855</v>
      </c>
      <c r="X2042" s="43">
        <f>X2041+Учет!S2042-S2042</f>
        <v>500</v>
      </c>
      <c r="Y2042" s="43">
        <f>Y2041+Учет!T2042-T2042</f>
        <v>1150</v>
      </c>
      <c r="Z2042" s="43">
        <f>Z2041+Учет!U2042-U2042</f>
        <v>500000</v>
      </c>
      <c r="AA2042" s="45">
        <f>Учет!X2042</f>
        <v>500</v>
      </c>
    </row>
    <row r="2043" spans="1:27" ht="15" customHeight="1" x14ac:dyDescent="0.25">
      <c r="A2043" s="1"/>
      <c r="B2043" s="17"/>
      <c r="C2043" s="17"/>
      <c r="D2043" s="17"/>
      <c r="E2043" s="17"/>
      <c r="F2043" s="17"/>
      <c r="G2043" s="4">
        <f t="shared" si="90"/>
        <v>0</v>
      </c>
      <c r="H2043" s="17"/>
      <c r="I2043" s="4">
        <f t="shared" si="92"/>
        <v>349526.07999999996</v>
      </c>
      <c r="J2043" s="32" t="str">
        <f t="shared" si="91"/>
        <v/>
      </c>
      <c r="K2043" s="72"/>
      <c r="L2043" s="72"/>
      <c r="M2043" s="2"/>
      <c r="N2043" s="5"/>
      <c r="O2043" s="3"/>
      <c r="P2043" s="6"/>
      <c r="Q2043" s="48">
        <f>IF(Учет!$O2043=Справочники!$F$2,Учет!$H2043,0)</f>
        <v>0</v>
      </c>
      <c r="R2043" s="48">
        <f>IF(Учет!$O2043=Справочники!$F$3,Учет!$H2043,0)</f>
        <v>0</v>
      </c>
      <c r="S2043" s="48">
        <f>IF(Учет!$O2043=Справочники!$F$4,Учет!$H2043,0)</f>
        <v>0</v>
      </c>
      <c r="T2043" s="48">
        <f>IF(Учет!$O2043=Справочники!$F$5,Учет!$H2043,0)</f>
        <v>0</v>
      </c>
      <c r="U2043" s="48">
        <f>IF(Учет!$O2043=Справочники!$F$6,Учет!$H2043,0)</f>
        <v>0</v>
      </c>
      <c r="V2043" s="43">
        <f>V2042+Учет!Q2043-Q2043</f>
        <v>-488978.92000000004</v>
      </c>
      <c r="W2043" s="43">
        <f>W2042+Учет!R2043-R2043</f>
        <v>336855</v>
      </c>
      <c r="X2043" s="43">
        <f>X2042+Учет!S2043-S2043</f>
        <v>500</v>
      </c>
      <c r="Y2043" s="43">
        <f>Y2042+Учет!T2043-T2043</f>
        <v>1150</v>
      </c>
      <c r="Z2043" s="43">
        <f>Z2042+Учет!U2043-U2043</f>
        <v>500000</v>
      </c>
      <c r="AA2043" s="45">
        <f>Учет!X2043</f>
        <v>500</v>
      </c>
    </row>
    <row r="2044" spans="1:27" ht="15" customHeight="1" x14ac:dyDescent="0.25">
      <c r="A2044" s="1"/>
      <c r="B2044" s="17"/>
      <c r="C2044" s="17"/>
      <c r="D2044" s="17"/>
      <c r="E2044" s="17"/>
      <c r="F2044" s="17"/>
      <c r="G2044" s="4">
        <f t="shared" si="90"/>
        <v>0</v>
      </c>
      <c r="H2044" s="17"/>
      <c r="I2044" s="4">
        <f t="shared" si="92"/>
        <v>349526.07999999996</v>
      </c>
      <c r="J2044" s="32" t="str">
        <f t="shared" si="91"/>
        <v/>
      </c>
      <c r="K2044" s="72"/>
      <c r="L2044" s="72"/>
      <c r="M2044" s="2"/>
      <c r="N2044" s="5"/>
      <c r="O2044" s="3"/>
      <c r="P2044" s="6"/>
      <c r="Q2044" s="48">
        <f>IF(Учет!$O2044=Справочники!$F$2,Учет!$H2044,0)</f>
        <v>0</v>
      </c>
      <c r="R2044" s="48">
        <f>IF(Учет!$O2044=Справочники!$F$3,Учет!$H2044,0)</f>
        <v>0</v>
      </c>
      <c r="S2044" s="48">
        <f>IF(Учет!$O2044=Справочники!$F$4,Учет!$H2044,0)</f>
        <v>0</v>
      </c>
      <c r="T2044" s="48">
        <f>IF(Учет!$O2044=Справочники!$F$5,Учет!$H2044,0)</f>
        <v>0</v>
      </c>
      <c r="U2044" s="48">
        <f>IF(Учет!$O2044=Справочники!$F$6,Учет!$H2044,0)</f>
        <v>0</v>
      </c>
      <c r="V2044" s="43">
        <f>V2043+Учет!Q2044-Q2044</f>
        <v>-488978.92000000004</v>
      </c>
      <c r="W2044" s="43">
        <f>W2043+Учет!R2044-R2044</f>
        <v>336855</v>
      </c>
      <c r="X2044" s="43">
        <f>X2043+Учет!S2044-S2044</f>
        <v>500</v>
      </c>
      <c r="Y2044" s="43">
        <f>Y2043+Учет!T2044-T2044</f>
        <v>1150</v>
      </c>
      <c r="Z2044" s="43">
        <f>Z2043+Учет!U2044-U2044</f>
        <v>500000</v>
      </c>
      <c r="AA2044" s="45">
        <f>Учет!X2044</f>
        <v>500</v>
      </c>
    </row>
    <row r="2045" spans="1:27" ht="15" customHeight="1" x14ac:dyDescent="0.25">
      <c r="A2045" s="1"/>
      <c r="B2045" s="17"/>
      <c r="C2045" s="17"/>
      <c r="D2045" s="17"/>
      <c r="E2045" s="17"/>
      <c r="F2045" s="17"/>
      <c r="G2045" s="4">
        <f t="shared" si="90"/>
        <v>0</v>
      </c>
      <c r="H2045" s="17"/>
      <c r="I2045" s="4">
        <f t="shared" si="92"/>
        <v>349526.07999999996</v>
      </c>
      <c r="J2045" s="32" t="str">
        <f t="shared" si="91"/>
        <v/>
      </c>
      <c r="K2045" s="72"/>
      <c r="L2045" s="72"/>
      <c r="M2045" s="2"/>
      <c r="N2045" s="5"/>
      <c r="O2045" s="3"/>
      <c r="P2045" s="6"/>
      <c r="Q2045" s="48">
        <f>IF(Учет!$O2045=Справочники!$F$2,Учет!$H2045,0)</f>
        <v>0</v>
      </c>
      <c r="R2045" s="48">
        <f>IF(Учет!$O2045=Справочники!$F$3,Учет!$H2045,0)</f>
        <v>0</v>
      </c>
      <c r="S2045" s="48">
        <f>IF(Учет!$O2045=Справочники!$F$4,Учет!$H2045,0)</f>
        <v>0</v>
      </c>
      <c r="T2045" s="48">
        <f>IF(Учет!$O2045=Справочники!$F$5,Учет!$H2045,0)</f>
        <v>0</v>
      </c>
      <c r="U2045" s="48">
        <f>IF(Учет!$O2045=Справочники!$F$6,Учет!$H2045,0)</f>
        <v>0</v>
      </c>
      <c r="V2045" s="43">
        <f>V2044+Учет!Q2045-Q2045</f>
        <v>-488978.92000000004</v>
      </c>
      <c r="W2045" s="43">
        <f>W2044+Учет!R2045-R2045</f>
        <v>336855</v>
      </c>
      <c r="X2045" s="43">
        <f>X2044+Учет!S2045-S2045</f>
        <v>500</v>
      </c>
      <c r="Y2045" s="43">
        <f>Y2044+Учет!T2045-T2045</f>
        <v>1150</v>
      </c>
      <c r="Z2045" s="43">
        <f>Z2044+Учет!U2045-U2045</f>
        <v>500000</v>
      </c>
      <c r="AA2045" s="45">
        <f>Учет!X2045</f>
        <v>500</v>
      </c>
    </row>
    <row r="2046" spans="1:27" ht="15" customHeight="1" x14ac:dyDescent="0.25">
      <c r="A2046" s="1"/>
      <c r="B2046" s="17"/>
      <c r="C2046" s="17"/>
      <c r="D2046" s="17"/>
      <c r="E2046" s="17"/>
      <c r="F2046" s="17"/>
      <c r="G2046" s="4">
        <f t="shared" si="90"/>
        <v>0</v>
      </c>
      <c r="H2046" s="17"/>
      <c r="I2046" s="4">
        <f t="shared" si="92"/>
        <v>349526.07999999996</v>
      </c>
      <c r="J2046" s="32" t="str">
        <f t="shared" si="91"/>
        <v/>
      </c>
      <c r="K2046" s="72"/>
      <c r="L2046" s="72"/>
      <c r="M2046" s="2"/>
      <c r="N2046" s="5"/>
      <c r="O2046" s="3"/>
      <c r="P2046" s="6"/>
      <c r="Q2046" s="48">
        <f>IF(Учет!$O2046=Справочники!$F$2,Учет!$H2046,0)</f>
        <v>0</v>
      </c>
      <c r="R2046" s="48">
        <f>IF(Учет!$O2046=Справочники!$F$3,Учет!$H2046,0)</f>
        <v>0</v>
      </c>
      <c r="S2046" s="48">
        <f>IF(Учет!$O2046=Справочники!$F$4,Учет!$H2046,0)</f>
        <v>0</v>
      </c>
      <c r="T2046" s="48">
        <f>IF(Учет!$O2046=Справочники!$F$5,Учет!$H2046,0)</f>
        <v>0</v>
      </c>
      <c r="U2046" s="48">
        <f>IF(Учет!$O2046=Справочники!$F$6,Учет!$H2046,0)</f>
        <v>0</v>
      </c>
      <c r="V2046" s="43">
        <f>V2045+Учет!Q2046-Q2046</f>
        <v>-488978.92000000004</v>
      </c>
      <c r="W2046" s="43">
        <f>W2045+Учет!R2046-R2046</f>
        <v>336855</v>
      </c>
      <c r="X2046" s="43">
        <f>X2045+Учет!S2046-S2046</f>
        <v>500</v>
      </c>
      <c r="Y2046" s="43">
        <f>Y2045+Учет!T2046-T2046</f>
        <v>1150</v>
      </c>
      <c r="Z2046" s="43">
        <f>Z2045+Учет!U2046-U2046</f>
        <v>500000</v>
      </c>
      <c r="AA2046" s="45">
        <f>Учет!X2046</f>
        <v>500</v>
      </c>
    </row>
    <row r="2047" spans="1:27" ht="15" customHeight="1" x14ac:dyDescent="0.25">
      <c r="A2047" s="1"/>
      <c r="B2047" s="17"/>
      <c r="C2047" s="17"/>
      <c r="D2047" s="17"/>
      <c r="E2047" s="17"/>
      <c r="F2047" s="17"/>
      <c r="G2047" s="4">
        <f t="shared" si="90"/>
        <v>0</v>
      </c>
      <c r="H2047" s="17"/>
      <c r="I2047" s="4">
        <f t="shared" si="92"/>
        <v>349526.07999999996</v>
      </c>
      <c r="J2047" s="32" t="str">
        <f t="shared" si="91"/>
        <v/>
      </c>
      <c r="K2047" s="72"/>
      <c r="L2047" s="72"/>
      <c r="M2047" s="2"/>
      <c r="N2047" s="5"/>
      <c r="O2047" s="3"/>
      <c r="P2047" s="6"/>
      <c r="Q2047" s="48">
        <f>IF(Учет!$O2047=Справочники!$F$2,Учет!$H2047,0)</f>
        <v>0</v>
      </c>
      <c r="R2047" s="48">
        <f>IF(Учет!$O2047=Справочники!$F$3,Учет!$H2047,0)</f>
        <v>0</v>
      </c>
      <c r="S2047" s="48">
        <f>IF(Учет!$O2047=Справочники!$F$4,Учет!$H2047,0)</f>
        <v>0</v>
      </c>
      <c r="T2047" s="48">
        <f>IF(Учет!$O2047=Справочники!$F$5,Учет!$H2047,0)</f>
        <v>0</v>
      </c>
      <c r="U2047" s="48">
        <f>IF(Учет!$O2047=Справочники!$F$6,Учет!$H2047,0)</f>
        <v>0</v>
      </c>
      <c r="V2047" s="43">
        <f>V2046+Учет!Q2047-Q2047</f>
        <v>-488978.92000000004</v>
      </c>
      <c r="W2047" s="43">
        <f>W2046+Учет!R2047-R2047</f>
        <v>336855</v>
      </c>
      <c r="X2047" s="43">
        <f>X2046+Учет!S2047-S2047</f>
        <v>500</v>
      </c>
      <c r="Y2047" s="43">
        <f>Y2046+Учет!T2047-T2047</f>
        <v>1150</v>
      </c>
      <c r="Z2047" s="43">
        <f>Z2046+Учет!U2047-U2047</f>
        <v>500000</v>
      </c>
      <c r="AA2047" s="45">
        <f>Учет!X2047</f>
        <v>500</v>
      </c>
    </row>
    <row r="2048" spans="1:27" ht="15" customHeight="1" x14ac:dyDescent="0.25">
      <c r="A2048" s="1"/>
      <c r="B2048" s="17"/>
      <c r="C2048" s="17"/>
      <c r="D2048" s="17"/>
      <c r="E2048" s="17"/>
      <c r="F2048" s="17"/>
      <c r="G2048" s="4">
        <f t="shared" si="90"/>
        <v>0</v>
      </c>
      <c r="H2048" s="17"/>
      <c r="I2048" s="4">
        <f t="shared" si="92"/>
        <v>349526.07999999996</v>
      </c>
      <c r="J2048" s="32" t="str">
        <f t="shared" si="91"/>
        <v/>
      </c>
      <c r="K2048" s="72"/>
      <c r="L2048" s="72"/>
      <c r="M2048" s="2"/>
      <c r="N2048" s="5"/>
      <c r="O2048" s="3"/>
      <c r="P2048" s="6"/>
      <c r="Q2048" s="48">
        <f>IF(Учет!$O2048=Справочники!$F$2,Учет!$H2048,0)</f>
        <v>0</v>
      </c>
      <c r="R2048" s="48">
        <f>IF(Учет!$O2048=Справочники!$F$3,Учет!$H2048,0)</f>
        <v>0</v>
      </c>
      <c r="S2048" s="48">
        <f>IF(Учет!$O2048=Справочники!$F$4,Учет!$H2048,0)</f>
        <v>0</v>
      </c>
      <c r="T2048" s="48">
        <f>IF(Учет!$O2048=Справочники!$F$5,Учет!$H2048,0)</f>
        <v>0</v>
      </c>
      <c r="U2048" s="48">
        <f>IF(Учет!$O2048=Справочники!$F$6,Учет!$H2048,0)</f>
        <v>0</v>
      </c>
      <c r="V2048" s="43">
        <f>V2047+Учет!Q2048-Q2048</f>
        <v>-488978.92000000004</v>
      </c>
      <c r="W2048" s="43">
        <f>W2047+Учет!R2048-R2048</f>
        <v>336855</v>
      </c>
      <c r="X2048" s="43">
        <f>X2047+Учет!S2048-S2048</f>
        <v>500</v>
      </c>
      <c r="Y2048" s="43">
        <f>Y2047+Учет!T2048-T2048</f>
        <v>1150</v>
      </c>
      <c r="Z2048" s="43">
        <f>Z2047+Учет!U2048-U2048</f>
        <v>500000</v>
      </c>
      <c r="AA2048" s="45">
        <f>Учет!X2048</f>
        <v>500</v>
      </c>
    </row>
    <row r="2049" spans="1:27" ht="15" customHeight="1" x14ac:dyDescent="0.25">
      <c r="A2049" s="1"/>
      <c r="B2049" s="17"/>
      <c r="C2049" s="17"/>
      <c r="D2049" s="17"/>
      <c r="E2049" s="17"/>
      <c r="F2049" s="17"/>
      <c r="G2049" s="4">
        <f t="shared" si="90"/>
        <v>0</v>
      </c>
      <c r="H2049" s="17"/>
      <c r="I2049" s="4">
        <f t="shared" si="92"/>
        <v>349526.07999999996</v>
      </c>
      <c r="J2049" s="32" t="str">
        <f t="shared" si="91"/>
        <v/>
      </c>
      <c r="K2049" s="72"/>
      <c r="L2049" s="72"/>
      <c r="M2049" s="2"/>
      <c r="N2049" s="5"/>
      <c r="O2049" s="3"/>
      <c r="P2049" s="6"/>
      <c r="Q2049" s="48">
        <f>IF(Учет!$O2049=Справочники!$F$2,Учет!$H2049,0)</f>
        <v>0</v>
      </c>
      <c r="R2049" s="48">
        <f>IF(Учет!$O2049=Справочники!$F$3,Учет!$H2049,0)</f>
        <v>0</v>
      </c>
      <c r="S2049" s="48">
        <f>IF(Учет!$O2049=Справочники!$F$4,Учет!$H2049,0)</f>
        <v>0</v>
      </c>
      <c r="T2049" s="48">
        <f>IF(Учет!$O2049=Справочники!$F$5,Учет!$H2049,0)</f>
        <v>0</v>
      </c>
      <c r="U2049" s="48">
        <f>IF(Учет!$O2049=Справочники!$F$6,Учет!$H2049,0)</f>
        <v>0</v>
      </c>
      <c r="V2049" s="43">
        <f>V2048+Учет!Q2049-Q2049</f>
        <v>-488978.92000000004</v>
      </c>
      <c r="W2049" s="43">
        <f>W2048+Учет!R2049-R2049</f>
        <v>336855</v>
      </c>
      <c r="X2049" s="43">
        <f>X2048+Учет!S2049-S2049</f>
        <v>500</v>
      </c>
      <c r="Y2049" s="43">
        <f>Y2048+Учет!T2049-T2049</f>
        <v>1150</v>
      </c>
      <c r="Z2049" s="43">
        <f>Z2048+Учет!U2049-U2049</f>
        <v>500000</v>
      </c>
      <c r="AA2049" s="45">
        <f>Учет!X2049</f>
        <v>500</v>
      </c>
    </row>
    <row r="2050" spans="1:27" ht="15" customHeight="1" x14ac:dyDescent="0.25">
      <c r="A2050" s="1"/>
      <c r="B2050" s="17"/>
      <c r="C2050" s="17"/>
      <c r="D2050" s="17"/>
      <c r="E2050" s="17"/>
      <c r="F2050" s="17"/>
      <c r="G2050" s="4">
        <f t="shared" ref="G2050:G2113" si="93">SUM($B2050:$F2050)</f>
        <v>0</v>
      </c>
      <c r="H2050" s="17"/>
      <c r="I2050" s="4">
        <f t="shared" si="92"/>
        <v>349526.07999999996</v>
      </c>
      <c r="J2050" s="32" t="str">
        <f t="shared" ref="J2050:J2113" si="94">IF($A2051&lt;&gt;$A2050,$I2050,"")</f>
        <v/>
      </c>
      <c r="K2050" s="72"/>
      <c r="L2050" s="72"/>
      <c r="M2050" s="2"/>
      <c r="N2050" s="5"/>
      <c r="O2050" s="3"/>
      <c r="P2050" s="6"/>
      <c r="Q2050" s="48">
        <f>IF(Учет!$O2050=Справочники!$F$2,Учет!$H2050,0)</f>
        <v>0</v>
      </c>
      <c r="R2050" s="48">
        <f>IF(Учет!$O2050=Справочники!$F$3,Учет!$H2050,0)</f>
        <v>0</v>
      </c>
      <c r="S2050" s="48">
        <f>IF(Учет!$O2050=Справочники!$F$4,Учет!$H2050,0)</f>
        <v>0</v>
      </c>
      <c r="T2050" s="48">
        <f>IF(Учет!$O2050=Справочники!$F$5,Учет!$H2050,0)</f>
        <v>0</v>
      </c>
      <c r="U2050" s="48">
        <f>IF(Учет!$O2050=Справочники!$F$6,Учет!$H2050,0)</f>
        <v>0</v>
      </c>
      <c r="V2050" s="43">
        <f>V2049+Учет!Q2050-Q2050</f>
        <v>-488978.92000000004</v>
      </c>
      <c r="W2050" s="43">
        <f>W2049+Учет!R2050-R2050</f>
        <v>336855</v>
      </c>
      <c r="X2050" s="43">
        <f>X2049+Учет!S2050-S2050</f>
        <v>500</v>
      </c>
      <c r="Y2050" s="43">
        <f>Y2049+Учет!T2050-T2050</f>
        <v>1150</v>
      </c>
      <c r="Z2050" s="43">
        <f>Z2049+Учет!U2050-U2050</f>
        <v>500000</v>
      </c>
      <c r="AA2050" s="45">
        <f>Учет!X2050</f>
        <v>500</v>
      </c>
    </row>
    <row r="2051" spans="1:27" ht="15" customHeight="1" x14ac:dyDescent="0.25">
      <c r="A2051" s="1"/>
      <c r="B2051" s="17"/>
      <c r="C2051" s="17"/>
      <c r="D2051" s="17"/>
      <c r="E2051" s="17"/>
      <c r="F2051" s="17"/>
      <c r="G2051" s="4">
        <f t="shared" si="93"/>
        <v>0</v>
      </c>
      <c r="H2051" s="17"/>
      <c r="I2051" s="4">
        <f t="shared" ref="I2051:I2114" si="95">$I2050+$G2051-$H2051</f>
        <v>349526.07999999996</v>
      </c>
      <c r="J2051" s="32" t="str">
        <f t="shared" si="94"/>
        <v/>
      </c>
      <c r="K2051" s="72"/>
      <c r="L2051" s="72"/>
      <c r="M2051" s="2"/>
      <c r="N2051" s="5"/>
      <c r="O2051" s="3"/>
      <c r="P2051" s="6"/>
      <c r="Q2051" s="48">
        <f>IF(Учет!$O2051=Справочники!$F$2,Учет!$H2051,0)</f>
        <v>0</v>
      </c>
      <c r="R2051" s="48">
        <f>IF(Учет!$O2051=Справочники!$F$3,Учет!$H2051,0)</f>
        <v>0</v>
      </c>
      <c r="S2051" s="48">
        <f>IF(Учет!$O2051=Справочники!$F$4,Учет!$H2051,0)</f>
        <v>0</v>
      </c>
      <c r="T2051" s="48">
        <f>IF(Учет!$O2051=Справочники!$F$5,Учет!$H2051,0)</f>
        <v>0</v>
      </c>
      <c r="U2051" s="48">
        <f>IF(Учет!$O2051=Справочники!$F$6,Учет!$H2051,0)</f>
        <v>0</v>
      </c>
      <c r="V2051" s="43">
        <f>V2050+Учет!Q2051-Q2051</f>
        <v>-488978.92000000004</v>
      </c>
      <c r="W2051" s="43">
        <f>W2050+Учет!R2051-R2051</f>
        <v>336855</v>
      </c>
      <c r="X2051" s="43">
        <f>X2050+Учет!S2051-S2051</f>
        <v>500</v>
      </c>
      <c r="Y2051" s="43">
        <f>Y2050+Учет!T2051-T2051</f>
        <v>1150</v>
      </c>
      <c r="Z2051" s="43">
        <f>Z2050+Учет!U2051-U2051</f>
        <v>500000</v>
      </c>
      <c r="AA2051" s="45">
        <f>Учет!X2051</f>
        <v>500</v>
      </c>
    </row>
    <row r="2052" spans="1:27" ht="15" customHeight="1" x14ac:dyDescent="0.25">
      <c r="A2052" s="1"/>
      <c r="B2052" s="17"/>
      <c r="C2052" s="17"/>
      <c r="D2052" s="17"/>
      <c r="E2052" s="17"/>
      <c r="F2052" s="17"/>
      <c r="G2052" s="4">
        <f t="shared" si="93"/>
        <v>0</v>
      </c>
      <c r="H2052" s="17"/>
      <c r="I2052" s="4">
        <f t="shared" si="95"/>
        <v>349526.07999999996</v>
      </c>
      <c r="J2052" s="32" t="str">
        <f t="shared" si="94"/>
        <v/>
      </c>
      <c r="K2052" s="72"/>
      <c r="L2052" s="72"/>
      <c r="M2052" s="2"/>
      <c r="N2052" s="5"/>
      <c r="O2052" s="3"/>
      <c r="P2052" s="6"/>
      <c r="Q2052" s="48">
        <f>IF(Учет!$O2052=Справочники!$F$2,Учет!$H2052,0)</f>
        <v>0</v>
      </c>
      <c r="R2052" s="48">
        <f>IF(Учет!$O2052=Справочники!$F$3,Учет!$H2052,0)</f>
        <v>0</v>
      </c>
      <c r="S2052" s="48">
        <f>IF(Учет!$O2052=Справочники!$F$4,Учет!$H2052,0)</f>
        <v>0</v>
      </c>
      <c r="T2052" s="48">
        <f>IF(Учет!$O2052=Справочники!$F$5,Учет!$H2052,0)</f>
        <v>0</v>
      </c>
      <c r="U2052" s="48">
        <f>IF(Учет!$O2052=Справочники!$F$6,Учет!$H2052,0)</f>
        <v>0</v>
      </c>
      <c r="V2052" s="43">
        <f>V2051+Учет!Q2052-Q2052</f>
        <v>-488978.92000000004</v>
      </c>
      <c r="W2052" s="43">
        <f>W2051+Учет!R2052-R2052</f>
        <v>336855</v>
      </c>
      <c r="X2052" s="43">
        <f>X2051+Учет!S2052-S2052</f>
        <v>500</v>
      </c>
      <c r="Y2052" s="43">
        <f>Y2051+Учет!T2052-T2052</f>
        <v>1150</v>
      </c>
      <c r="Z2052" s="43">
        <f>Z2051+Учет!U2052-U2052</f>
        <v>500000</v>
      </c>
      <c r="AA2052" s="45">
        <f>Учет!X2052</f>
        <v>500</v>
      </c>
    </row>
    <row r="2053" spans="1:27" ht="15" customHeight="1" x14ac:dyDescent="0.25">
      <c r="A2053" s="1"/>
      <c r="B2053" s="17"/>
      <c r="C2053" s="17"/>
      <c r="D2053" s="17"/>
      <c r="E2053" s="17"/>
      <c r="F2053" s="17"/>
      <c r="G2053" s="4">
        <f t="shared" si="93"/>
        <v>0</v>
      </c>
      <c r="H2053" s="17"/>
      <c r="I2053" s="4">
        <f t="shared" si="95"/>
        <v>349526.07999999996</v>
      </c>
      <c r="J2053" s="32" t="str">
        <f t="shared" si="94"/>
        <v/>
      </c>
      <c r="K2053" s="72"/>
      <c r="L2053" s="72"/>
      <c r="M2053" s="2"/>
      <c r="N2053" s="5"/>
      <c r="O2053" s="3"/>
      <c r="P2053" s="6"/>
      <c r="Q2053" s="48">
        <f>IF(Учет!$O2053=Справочники!$F$2,Учет!$H2053,0)</f>
        <v>0</v>
      </c>
      <c r="R2053" s="48">
        <f>IF(Учет!$O2053=Справочники!$F$3,Учет!$H2053,0)</f>
        <v>0</v>
      </c>
      <c r="S2053" s="48">
        <f>IF(Учет!$O2053=Справочники!$F$4,Учет!$H2053,0)</f>
        <v>0</v>
      </c>
      <c r="T2053" s="48">
        <f>IF(Учет!$O2053=Справочники!$F$5,Учет!$H2053,0)</f>
        <v>0</v>
      </c>
      <c r="U2053" s="48">
        <f>IF(Учет!$O2053=Справочники!$F$6,Учет!$H2053,0)</f>
        <v>0</v>
      </c>
      <c r="V2053" s="43">
        <f>V2052+Учет!Q2053-Q2053</f>
        <v>-488978.92000000004</v>
      </c>
      <c r="W2053" s="43">
        <f>W2052+Учет!R2053-R2053</f>
        <v>336855</v>
      </c>
      <c r="X2053" s="43">
        <f>X2052+Учет!S2053-S2053</f>
        <v>500</v>
      </c>
      <c r="Y2053" s="43">
        <f>Y2052+Учет!T2053-T2053</f>
        <v>1150</v>
      </c>
      <c r="Z2053" s="43">
        <f>Z2052+Учет!U2053-U2053</f>
        <v>500000</v>
      </c>
      <c r="AA2053" s="45">
        <f>Учет!X2053</f>
        <v>500</v>
      </c>
    </row>
    <row r="2054" spans="1:27" ht="15" customHeight="1" x14ac:dyDescent="0.25">
      <c r="A2054" s="1"/>
      <c r="B2054" s="17"/>
      <c r="C2054" s="17"/>
      <c r="D2054" s="17"/>
      <c r="E2054" s="17"/>
      <c r="F2054" s="17"/>
      <c r="G2054" s="4">
        <f t="shared" si="93"/>
        <v>0</v>
      </c>
      <c r="H2054" s="17"/>
      <c r="I2054" s="4">
        <f t="shared" si="95"/>
        <v>349526.07999999996</v>
      </c>
      <c r="J2054" s="32" t="str">
        <f t="shared" si="94"/>
        <v/>
      </c>
      <c r="K2054" s="72"/>
      <c r="L2054" s="72"/>
      <c r="M2054" s="2"/>
      <c r="N2054" s="5"/>
      <c r="O2054" s="3"/>
      <c r="P2054" s="6"/>
      <c r="Q2054" s="48">
        <f>IF(Учет!$O2054=Справочники!$F$2,Учет!$H2054,0)</f>
        <v>0</v>
      </c>
      <c r="R2054" s="48">
        <f>IF(Учет!$O2054=Справочники!$F$3,Учет!$H2054,0)</f>
        <v>0</v>
      </c>
      <c r="S2054" s="48">
        <f>IF(Учет!$O2054=Справочники!$F$4,Учет!$H2054,0)</f>
        <v>0</v>
      </c>
      <c r="T2054" s="48">
        <f>IF(Учет!$O2054=Справочники!$F$5,Учет!$H2054,0)</f>
        <v>0</v>
      </c>
      <c r="U2054" s="48">
        <f>IF(Учет!$O2054=Справочники!$F$6,Учет!$H2054,0)</f>
        <v>0</v>
      </c>
      <c r="V2054" s="43">
        <f>V2053+Учет!Q2054-Q2054</f>
        <v>-488978.92000000004</v>
      </c>
      <c r="W2054" s="43">
        <f>W2053+Учет!R2054-R2054</f>
        <v>336855</v>
      </c>
      <c r="X2054" s="43">
        <f>X2053+Учет!S2054-S2054</f>
        <v>500</v>
      </c>
      <c r="Y2054" s="43">
        <f>Y2053+Учет!T2054-T2054</f>
        <v>1150</v>
      </c>
      <c r="Z2054" s="43">
        <f>Z2053+Учет!U2054-U2054</f>
        <v>500000</v>
      </c>
      <c r="AA2054" s="45">
        <f>Учет!X2054</f>
        <v>500</v>
      </c>
    </row>
    <row r="2055" spans="1:27" ht="15" customHeight="1" x14ac:dyDescent="0.25">
      <c r="A2055" s="1"/>
      <c r="B2055" s="17"/>
      <c r="C2055" s="17"/>
      <c r="D2055" s="17"/>
      <c r="E2055" s="17"/>
      <c r="F2055" s="17"/>
      <c r="G2055" s="4">
        <f t="shared" si="93"/>
        <v>0</v>
      </c>
      <c r="H2055" s="17"/>
      <c r="I2055" s="4">
        <f t="shared" si="95"/>
        <v>349526.07999999996</v>
      </c>
      <c r="J2055" s="32" t="str">
        <f t="shared" si="94"/>
        <v/>
      </c>
      <c r="K2055" s="72"/>
      <c r="L2055" s="72"/>
      <c r="M2055" s="2"/>
      <c r="N2055" s="5"/>
      <c r="O2055" s="3"/>
      <c r="P2055" s="6"/>
      <c r="Q2055" s="48">
        <f>IF(Учет!$O2055=Справочники!$F$2,Учет!$H2055,0)</f>
        <v>0</v>
      </c>
      <c r="R2055" s="48">
        <f>IF(Учет!$O2055=Справочники!$F$3,Учет!$H2055,0)</f>
        <v>0</v>
      </c>
      <c r="S2055" s="48">
        <f>IF(Учет!$O2055=Справочники!$F$4,Учет!$H2055,0)</f>
        <v>0</v>
      </c>
      <c r="T2055" s="48">
        <f>IF(Учет!$O2055=Справочники!$F$5,Учет!$H2055,0)</f>
        <v>0</v>
      </c>
      <c r="U2055" s="48">
        <f>IF(Учет!$O2055=Справочники!$F$6,Учет!$H2055,0)</f>
        <v>0</v>
      </c>
      <c r="V2055" s="43">
        <f>V2054+Учет!Q2055-Q2055</f>
        <v>-488978.92000000004</v>
      </c>
      <c r="W2055" s="43">
        <f>W2054+Учет!R2055-R2055</f>
        <v>336855</v>
      </c>
      <c r="X2055" s="43">
        <f>X2054+Учет!S2055-S2055</f>
        <v>500</v>
      </c>
      <c r="Y2055" s="43">
        <f>Y2054+Учет!T2055-T2055</f>
        <v>1150</v>
      </c>
      <c r="Z2055" s="43">
        <f>Z2054+Учет!U2055-U2055</f>
        <v>500000</v>
      </c>
      <c r="AA2055" s="45">
        <f>Учет!X2055</f>
        <v>500</v>
      </c>
    </row>
    <row r="2056" spans="1:27" ht="15" customHeight="1" x14ac:dyDescent="0.25">
      <c r="A2056" s="1"/>
      <c r="B2056" s="17"/>
      <c r="C2056" s="17"/>
      <c r="D2056" s="17"/>
      <c r="E2056" s="17"/>
      <c r="F2056" s="17"/>
      <c r="G2056" s="4">
        <f t="shared" si="93"/>
        <v>0</v>
      </c>
      <c r="H2056" s="17"/>
      <c r="I2056" s="4">
        <f t="shared" si="95"/>
        <v>349526.07999999996</v>
      </c>
      <c r="J2056" s="32" t="str">
        <f t="shared" si="94"/>
        <v/>
      </c>
      <c r="K2056" s="72"/>
      <c r="L2056" s="72"/>
      <c r="M2056" s="2"/>
      <c r="N2056" s="5"/>
      <c r="O2056" s="3"/>
      <c r="P2056" s="6"/>
      <c r="Q2056" s="48">
        <f>IF(Учет!$O2056=Справочники!$F$2,Учет!$H2056,0)</f>
        <v>0</v>
      </c>
      <c r="R2056" s="48">
        <f>IF(Учет!$O2056=Справочники!$F$3,Учет!$H2056,0)</f>
        <v>0</v>
      </c>
      <c r="S2056" s="48">
        <f>IF(Учет!$O2056=Справочники!$F$4,Учет!$H2056,0)</f>
        <v>0</v>
      </c>
      <c r="T2056" s="48">
        <f>IF(Учет!$O2056=Справочники!$F$5,Учет!$H2056,0)</f>
        <v>0</v>
      </c>
      <c r="U2056" s="48">
        <f>IF(Учет!$O2056=Справочники!$F$6,Учет!$H2056,0)</f>
        <v>0</v>
      </c>
      <c r="V2056" s="43">
        <f>V2055+Учет!Q2056-Q2056</f>
        <v>-488978.92000000004</v>
      </c>
      <c r="W2056" s="43">
        <f>W2055+Учет!R2056-R2056</f>
        <v>336855</v>
      </c>
      <c r="X2056" s="43">
        <f>X2055+Учет!S2056-S2056</f>
        <v>500</v>
      </c>
      <c r="Y2056" s="43">
        <f>Y2055+Учет!T2056-T2056</f>
        <v>1150</v>
      </c>
      <c r="Z2056" s="43">
        <f>Z2055+Учет!U2056-U2056</f>
        <v>500000</v>
      </c>
      <c r="AA2056" s="45">
        <f>Учет!X2056</f>
        <v>500</v>
      </c>
    </row>
    <row r="2057" spans="1:27" ht="15" customHeight="1" x14ac:dyDescent="0.25">
      <c r="A2057" s="1"/>
      <c r="B2057" s="17"/>
      <c r="C2057" s="17"/>
      <c r="D2057" s="17"/>
      <c r="E2057" s="17"/>
      <c r="F2057" s="17"/>
      <c r="G2057" s="4">
        <f t="shared" si="93"/>
        <v>0</v>
      </c>
      <c r="H2057" s="17"/>
      <c r="I2057" s="4">
        <f t="shared" si="95"/>
        <v>349526.07999999996</v>
      </c>
      <c r="J2057" s="32" t="str">
        <f t="shared" si="94"/>
        <v/>
      </c>
      <c r="K2057" s="72"/>
      <c r="L2057" s="72"/>
      <c r="M2057" s="2"/>
      <c r="N2057" s="5"/>
      <c r="O2057" s="3"/>
      <c r="P2057" s="6"/>
      <c r="Q2057" s="48">
        <f>IF(Учет!$O2057=Справочники!$F$2,Учет!$H2057,0)</f>
        <v>0</v>
      </c>
      <c r="R2057" s="48">
        <f>IF(Учет!$O2057=Справочники!$F$3,Учет!$H2057,0)</f>
        <v>0</v>
      </c>
      <c r="S2057" s="48">
        <f>IF(Учет!$O2057=Справочники!$F$4,Учет!$H2057,0)</f>
        <v>0</v>
      </c>
      <c r="T2057" s="48">
        <f>IF(Учет!$O2057=Справочники!$F$5,Учет!$H2057,0)</f>
        <v>0</v>
      </c>
      <c r="U2057" s="48">
        <f>IF(Учет!$O2057=Справочники!$F$6,Учет!$H2057,0)</f>
        <v>0</v>
      </c>
      <c r="V2057" s="43">
        <f>V2056+Учет!Q2057-Q2057</f>
        <v>-488978.92000000004</v>
      </c>
      <c r="W2057" s="43">
        <f>W2056+Учет!R2057-R2057</f>
        <v>336855</v>
      </c>
      <c r="X2057" s="43">
        <f>X2056+Учет!S2057-S2057</f>
        <v>500</v>
      </c>
      <c r="Y2057" s="43">
        <f>Y2056+Учет!T2057-T2057</f>
        <v>1150</v>
      </c>
      <c r="Z2057" s="43">
        <f>Z2056+Учет!U2057-U2057</f>
        <v>500000</v>
      </c>
      <c r="AA2057" s="45">
        <f>Учет!X2057</f>
        <v>500</v>
      </c>
    </row>
    <row r="2058" spans="1:27" ht="15" customHeight="1" x14ac:dyDescent="0.25">
      <c r="A2058" s="1"/>
      <c r="B2058" s="17"/>
      <c r="C2058" s="17"/>
      <c r="D2058" s="17"/>
      <c r="E2058" s="17"/>
      <c r="F2058" s="17"/>
      <c r="G2058" s="4">
        <f t="shared" si="93"/>
        <v>0</v>
      </c>
      <c r="H2058" s="17"/>
      <c r="I2058" s="4">
        <f t="shared" si="95"/>
        <v>349526.07999999996</v>
      </c>
      <c r="J2058" s="32" t="str">
        <f t="shared" si="94"/>
        <v/>
      </c>
      <c r="K2058" s="72"/>
      <c r="L2058" s="72"/>
      <c r="M2058" s="2"/>
      <c r="N2058" s="5"/>
      <c r="O2058" s="3"/>
      <c r="P2058" s="6"/>
      <c r="Q2058" s="48">
        <f>IF(Учет!$O2058=Справочники!$F$2,Учет!$H2058,0)</f>
        <v>0</v>
      </c>
      <c r="R2058" s="48">
        <f>IF(Учет!$O2058=Справочники!$F$3,Учет!$H2058,0)</f>
        <v>0</v>
      </c>
      <c r="S2058" s="48">
        <f>IF(Учет!$O2058=Справочники!$F$4,Учет!$H2058,0)</f>
        <v>0</v>
      </c>
      <c r="T2058" s="48">
        <f>IF(Учет!$O2058=Справочники!$F$5,Учет!$H2058,0)</f>
        <v>0</v>
      </c>
      <c r="U2058" s="48">
        <f>IF(Учет!$O2058=Справочники!$F$6,Учет!$H2058,0)</f>
        <v>0</v>
      </c>
      <c r="V2058" s="43">
        <f>V2057+Учет!Q2058-Q2058</f>
        <v>-488978.92000000004</v>
      </c>
      <c r="W2058" s="43">
        <f>W2057+Учет!R2058-R2058</f>
        <v>336855</v>
      </c>
      <c r="X2058" s="43">
        <f>X2057+Учет!S2058-S2058</f>
        <v>500</v>
      </c>
      <c r="Y2058" s="43">
        <f>Y2057+Учет!T2058-T2058</f>
        <v>1150</v>
      </c>
      <c r="Z2058" s="43">
        <f>Z2057+Учет!U2058-U2058</f>
        <v>500000</v>
      </c>
      <c r="AA2058" s="45">
        <f>Учет!X2058</f>
        <v>500</v>
      </c>
    </row>
    <row r="2059" spans="1:27" ht="15" customHeight="1" x14ac:dyDescent="0.25">
      <c r="A2059" s="1"/>
      <c r="B2059" s="17"/>
      <c r="C2059" s="17"/>
      <c r="D2059" s="17"/>
      <c r="E2059" s="17"/>
      <c r="F2059" s="17"/>
      <c r="G2059" s="4">
        <f t="shared" si="93"/>
        <v>0</v>
      </c>
      <c r="H2059" s="17"/>
      <c r="I2059" s="4">
        <f t="shared" si="95"/>
        <v>349526.07999999996</v>
      </c>
      <c r="J2059" s="32" t="str">
        <f t="shared" si="94"/>
        <v/>
      </c>
      <c r="K2059" s="72"/>
      <c r="L2059" s="72"/>
      <c r="M2059" s="2"/>
      <c r="N2059" s="5"/>
      <c r="O2059" s="3"/>
      <c r="P2059" s="6"/>
      <c r="Q2059" s="48">
        <f>IF(Учет!$O2059=Справочники!$F$2,Учет!$H2059,0)</f>
        <v>0</v>
      </c>
      <c r="R2059" s="48">
        <f>IF(Учет!$O2059=Справочники!$F$3,Учет!$H2059,0)</f>
        <v>0</v>
      </c>
      <c r="S2059" s="48">
        <f>IF(Учет!$O2059=Справочники!$F$4,Учет!$H2059,0)</f>
        <v>0</v>
      </c>
      <c r="T2059" s="48">
        <f>IF(Учет!$O2059=Справочники!$F$5,Учет!$H2059,0)</f>
        <v>0</v>
      </c>
      <c r="U2059" s="48">
        <f>IF(Учет!$O2059=Справочники!$F$6,Учет!$H2059,0)</f>
        <v>0</v>
      </c>
      <c r="V2059" s="43">
        <f>V2058+Учет!Q2059-Q2059</f>
        <v>-488978.92000000004</v>
      </c>
      <c r="W2059" s="43">
        <f>W2058+Учет!R2059-R2059</f>
        <v>336855</v>
      </c>
      <c r="X2059" s="43">
        <f>X2058+Учет!S2059-S2059</f>
        <v>500</v>
      </c>
      <c r="Y2059" s="43">
        <f>Y2058+Учет!T2059-T2059</f>
        <v>1150</v>
      </c>
      <c r="Z2059" s="43">
        <f>Z2058+Учет!U2059-U2059</f>
        <v>500000</v>
      </c>
      <c r="AA2059" s="45">
        <f>Учет!X2059</f>
        <v>500</v>
      </c>
    </row>
    <row r="2060" spans="1:27" ht="15" customHeight="1" x14ac:dyDescent="0.25">
      <c r="A2060" s="1"/>
      <c r="B2060" s="17"/>
      <c r="C2060" s="17"/>
      <c r="D2060" s="17"/>
      <c r="E2060" s="17"/>
      <c r="F2060" s="17"/>
      <c r="G2060" s="4">
        <f t="shared" si="93"/>
        <v>0</v>
      </c>
      <c r="H2060" s="17"/>
      <c r="I2060" s="4">
        <f t="shared" si="95"/>
        <v>349526.07999999996</v>
      </c>
      <c r="J2060" s="32" t="str">
        <f t="shared" si="94"/>
        <v/>
      </c>
      <c r="K2060" s="72"/>
      <c r="L2060" s="72"/>
      <c r="M2060" s="2"/>
      <c r="N2060" s="5"/>
      <c r="O2060" s="3"/>
      <c r="P2060" s="6"/>
      <c r="Q2060" s="48">
        <f>IF(Учет!$O2060=Справочники!$F$2,Учет!$H2060,0)</f>
        <v>0</v>
      </c>
      <c r="R2060" s="48">
        <f>IF(Учет!$O2060=Справочники!$F$3,Учет!$H2060,0)</f>
        <v>0</v>
      </c>
      <c r="S2060" s="48">
        <f>IF(Учет!$O2060=Справочники!$F$4,Учет!$H2060,0)</f>
        <v>0</v>
      </c>
      <c r="T2060" s="48">
        <f>IF(Учет!$O2060=Справочники!$F$5,Учет!$H2060,0)</f>
        <v>0</v>
      </c>
      <c r="U2060" s="48">
        <f>IF(Учет!$O2060=Справочники!$F$6,Учет!$H2060,0)</f>
        <v>0</v>
      </c>
      <c r="V2060" s="43">
        <f>V2059+Учет!Q2060-Q2060</f>
        <v>-488978.92000000004</v>
      </c>
      <c r="W2060" s="43">
        <f>W2059+Учет!R2060-R2060</f>
        <v>336855</v>
      </c>
      <c r="X2060" s="43">
        <f>X2059+Учет!S2060-S2060</f>
        <v>500</v>
      </c>
      <c r="Y2060" s="43">
        <f>Y2059+Учет!T2060-T2060</f>
        <v>1150</v>
      </c>
      <c r="Z2060" s="43">
        <f>Z2059+Учет!U2060-U2060</f>
        <v>500000</v>
      </c>
      <c r="AA2060" s="45">
        <f>Учет!X2060</f>
        <v>500</v>
      </c>
    </row>
    <row r="2061" spans="1:27" ht="15" customHeight="1" x14ac:dyDescent="0.25">
      <c r="A2061" s="1"/>
      <c r="B2061" s="17"/>
      <c r="C2061" s="17"/>
      <c r="D2061" s="17"/>
      <c r="E2061" s="17"/>
      <c r="F2061" s="17"/>
      <c r="G2061" s="4">
        <f t="shared" si="93"/>
        <v>0</v>
      </c>
      <c r="H2061" s="17"/>
      <c r="I2061" s="4">
        <f t="shared" si="95"/>
        <v>349526.07999999996</v>
      </c>
      <c r="J2061" s="32" t="str">
        <f t="shared" si="94"/>
        <v/>
      </c>
      <c r="K2061" s="72"/>
      <c r="L2061" s="72"/>
      <c r="M2061" s="2"/>
      <c r="N2061" s="5"/>
      <c r="O2061" s="3"/>
      <c r="P2061" s="6"/>
      <c r="Q2061" s="48">
        <f>IF(Учет!$O2061=Справочники!$F$2,Учет!$H2061,0)</f>
        <v>0</v>
      </c>
      <c r="R2061" s="48">
        <f>IF(Учет!$O2061=Справочники!$F$3,Учет!$H2061,0)</f>
        <v>0</v>
      </c>
      <c r="S2061" s="48">
        <f>IF(Учет!$O2061=Справочники!$F$4,Учет!$H2061,0)</f>
        <v>0</v>
      </c>
      <c r="T2061" s="48">
        <f>IF(Учет!$O2061=Справочники!$F$5,Учет!$H2061,0)</f>
        <v>0</v>
      </c>
      <c r="U2061" s="48">
        <f>IF(Учет!$O2061=Справочники!$F$6,Учет!$H2061,0)</f>
        <v>0</v>
      </c>
      <c r="V2061" s="43">
        <f>V2060+Учет!Q2061-Q2061</f>
        <v>-488978.92000000004</v>
      </c>
      <c r="W2061" s="43">
        <f>W2060+Учет!R2061-R2061</f>
        <v>336855</v>
      </c>
      <c r="X2061" s="43">
        <f>X2060+Учет!S2061-S2061</f>
        <v>500</v>
      </c>
      <c r="Y2061" s="43">
        <f>Y2060+Учет!T2061-T2061</f>
        <v>1150</v>
      </c>
      <c r="Z2061" s="43">
        <f>Z2060+Учет!U2061-U2061</f>
        <v>500000</v>
      </c>
      <c r="AA2061" s="45">
        <f>Учет!X2061</f>
        <v>500</v>
      </c>
    </row>
    <row r="2062" spans="1:27" ht="15" customHeight="1" x14ac:dyDescent="0.25">
      <c r="A2062" s="1"/>
      <c r="B2062" s="17"/>
      <c r="C2062" s="17"/>
      <c r="D2062" s="17"/>
      <c r="E2062" s="17"/>
      <c r="F2062" s="17"/>
      <c r="G2062" s="4">
        <f t="shared" si="93"/>
        <v>0</v>
      </c>
      <c r="H2062" s="17"/>
      <c r="I2062" s="4">
        <f t="shared" si="95"/>
        <v>349526.07999999996</v>
      </c>
      <c r="J2062" s="32" t="str">
        <f t="shared" si="94"/>
        <v/>
      </c>
      <c r="K2062" s="72"/>
      <c r="L2062" s="72"/>
      <c r="M2062" s="2"/>
      <c r="N2062" s="5"/>
      <c r="O2062" s="3"/>
      <c r="P2062" s="6"/>
      <c r="Q2062" s="48">
        <f>IF(Учет!$O2062=Справочники!$F$2,Учет!$H2062,0)</f>
        <v>0</v>
      </c>
      <c r="R2062" s="48">
        <f>IF(Учет!$O2062=Справочники!$F$3,Учет!$H2062,0)</f>
        <v>0</v>
      </c>
      <c r="S2062" s="48">
        <f>IF(Учет!$O2062=Справочники!$F$4,Учет!$H2062,0)</f>
        <v>0</v>
      </c>
      <c r="T2062" s="48">
        <f>IF(Учет!$O2062=Справочники!$F$5,Учет!$H2062,0)</f>
        <v>0</v>
      </c>
      <c r="U2062" s="48">
        <f>IF(Учет!$O2062=Справочники!$F$6,Учет!$H2062,0)</f>
        <v>0</v>
      </c>
      <c r="V2062" s="43">
        <f>V2061+Учет!Q2062-Q2062</f>
        <v>-488978.92000000004</v>
      </c>
      <c r="W2062" s="43">
        <f>W2061+Учет!R2062-R2062</f>
        <v>336855</v>
      </c>
      <c r="X2062" s="43">
        <f>X2061+Учет!S2062-S2062</f>
        <v>500</v>
      </c>
      <c r="Y2062" s="43">
        <f>Y2061+Учет!T2062-T2062</f>
        <v>1150</v>
      </c>
      <c r="Z2062" s="43">
        <f>Z2061+Учет!U2062-U2062</f>
        <v>500000</v>
      </c>
      <c r="AA2062" s="45">
        <f>Учет!X2062</f>
        <v>500</v>
      </c>
    </row>
    <row r="2063" spans="1:27" ht="15" customHeight="1" x14ac:dyDescent="0.25">
      <c r="A2063" s="1"/>
      <c r="B2063" s="17"/>
      <c r="C2063" s="17"/>
      <c r="D2063" s="17"/>
      <c r="E2063" s="17"/>
      <c r="F2063" s="17"/>
      <c r="G2063" s="4">
        <f t="shared" si="93"/>
        <v>0</v>
      </c>
      <c r="H2063" s="17"/>
      <c r="I2063" s="4">
        <f t="shared" si="95"/>
        <v>349526.07999999996</v>
      </c>
      <c r="J2063" s="32" t="str">
        <f t="shared" si="94"/>
        <v/>
      </c>
      <c r="K2063" s="72"/>
      <c r="L2063" s="72"/>
      <c r="M2063" s="2"/>
      <c r="N2063" s="5"/>
      <c r="O2063" s="3"/>
      <c r="P2063" s="6"/>
      <c r="Q2063" s="48">
        <f>IF(Учет!$O2063=Справочники!$F$2,Учет!$H2063,0)</f>
        <v>0</v>
      </c>
      <c r="R2063" s="48">
        <f>IF(Учет!$O2063=Справочники!$F$3,Учет!$H2063,0)</f>
        <v>0</v>
      </c>
      <c r="S2063" s="48">
        <f>IF(Учет!$O2063=Справочники!$F$4,Учет!$H2063,0)</f>
        <v>0</v>
      </c>
      <c r="T2063" s="48">
        <f>IF(Учет!$O2063=Справочники!$F$5,Учет!$H2063,0)</f>
        <v>0</v>
      </c>
      <c r="U2063" s="48">
        <f>IF(Учет!$O2063=Справочники!$F$6,Учет!$H2063,0)</f>
        <v>0</v>
      </c>
      <c r="V2063" s="43">
        <f>V2062+Учет!Q2063-Q2063</f>
        <v>-488978.92000000004</v>
      </c>
      <c r="W2063" s="43">
        <f>W2062+Учет!R2063-R2063</f>
        <v>336855</v>
      </c>
      <c r="X2063" s="43">
        <f>X2062+Учет!S2063-S2063</f>
        <v>500</v>
      </c>
      <c r="Y2063" s="43">
        <f>Y2062+Учет!T2063-T2063</f>
        <v>1150</v>
      </c>
      <c r="Z2063" s="43">
        <f>Z2062+Учет!U2063-U2063</f>
        <v>500000</v>
      </c>
      <c r="AA2063" s="45">
        <f>Учет!X2063</f>
        <v>500</v>
      </c>
    </row>
    <row r="2064" spans="1:27" ht="15" customHeight="1" x14ac:dyDescent="0.25">
      <c r="A2064" s="1"/>
      <c r="B2064" s="17"/>
      <c r="C2064" s="17"/>
      <c r="D2064" s="17"/>
      <c r="E2064" s="17"/>
      <c r="F2064" s="17"/>
      <c r="G2064" s="4">
        <f t="shared" si="93"/>
        <v>0</v>
      </c>
      <c r="H2064" s="17"/>
      <c r="I2064" s="4">
        <f t="shared" si="95"/>
        <v>349526.07999999996</v>
      </c>
      <c r="J2064" s="32" t="str">
        <f t="shared" si="94"/>
        <v/>
      </c>
      <c r="K2064" s="72"/>
      <c r="L2064" s="72"/>
      <c r="M2064" s="2"/>
      <c r="N2064" s="5"/>
      <c r="O2064" s="3"/>
      <c r="P2064" s="6"/>
      <c r="Q2064" s="48">
        <f>IF(Учет!$O2064=Справочники!$F$2,Учет!$H2064,0)</f>
        <v>0</v>
      </c>
      <c r="R2064" s="48">
        <f>IF(Учет!$O2064=Справочники!$F$3,Учет!$H2064,0)</f>
        <v>0</v>
      </c>
      <c r="S2064" s="48">
        <f>IF(Учет!$O2064=Справочники!$F$4,Учет!$H2064,0)</f>
        <v>0</v>
      </c>
      <c r="T2064" s="48">
        <f>IF(Учет!$O2064=Справочники!$F$5,Учет!$H2064,0)</f>
        <v>0</v>
      </c>
      <c r="U2064" s="48">
        <f>IF(Учет!$O2064=Справочники!$F$6,Учет!$H2064,0)</f>
        <v>0</v>
      </c>
      <c r="V2064" s="43">
        <f>V2063+Учет!Q2064-Q2064</f>
        <v>-488978.92000000004</v>
      </c>
      <c r="W2064" s="43">
        <f>W2063+Учет!R2064-R2064</f>
        <v>336855</v>
      </c>
      <c r="X2064" s="43">
        <f>X2063+Учет!S2064-S2064</f>
        <v>500</v>
      </c>
      <c r="Y2064" s="43">
        <f>Y2063+Учет!T2064-T2064</f>
        <v>1150</v>
      </c>
      <c r="Z2064" s="43">
        <f>Z2063+Учет!U2064-U2064</f>
        <v>500000</v>
      </c>
      <c r="AA2064" s="45">
        <f>Учет!X2064</f>
        <v>500</v>
      </c>
    </row>
    <row r="2065" spans="1:27" ht="15" customHeight="1" x14ac:dyDescent="0.25">
      <c r="A2065" s="1"/>
      <c r="B2065" s="17"/>
      <c r="C2065" s="17"/>
      <c r="D2065" s="17"/>
      <c r="E2065" s="17"/>
      <c r="F2065" s="17"/>
      <c r="G2065" s="4">
        <f t="shared" si="93"/>
        <v>0</v>
      </c>
      <c r="H2065" s="17"/>
      <c r="I2065" s="4">
        <f t="shared" si="95"/>
        <v>349526.07999999996</v>
      </c>
      <c r="J2065" s="32" t="str">
        <f t="shared" si="94"/>
        <v/>
      </c>
      <c r="K2065" s="72"/>
      <c r="L2065" s="72"/>
      <c r="M2065" s="2"/>
      <c r="N2065" s="5"/>
      <c r="O2065" s="3"/>
      <c r="P2065" s="6"/>
      <c r="Q2065" s="48">
        <f>IF(Учет!$O2065=Справочники!$F$2,Учет!$H2065,0)</f>
        <v>0</v>
      </c>
      <c r="R2065" s="48">
        <f>IF(Учет!$O2065=Справочники!$F$3,Учет!$H2065,0)</f>
        <v>0</v>
      </c>
      <c r="S2065" s="48">
        <f>IF(Учет!$O2065=Справочники!$F$4,Учет!$H2065,0)</f>
        <v>0</v>
      </c>
      <c r="T2065" s="48">
        <f>IF(Учет!$O2065=Справочники!$F$5,Учет!$H2065,0)</f>
        <v>0</v>
      </c>
      <c r="U2065" s="48">
        <f>IF(Учет!$O2065=Справочники!$F$6,Учет!$H2065,0)</f>
        <v>0</v>
      </c>
      <c r="V2065" s="43">
        <f>V2064+Учет!Q2065-Q2065</f>
        <v>-488978.92000000004</v>
      </c>
      <c r="W2065" s="43">
        <f>W2064+Учет!R2065-R2065</f>
        <v>336855</v>
      </c>
      <c r="X2065" s="43">
        <f>X2064+Учет!S2065-S2065</f>
        <v>500</v>
      </c>
      <c r="Y2065" s="43">
        <f>Y2064+Учет!T2065-T2065</f>
        <v>1150</v>
      </c>
      <c r="Z2065" s="43">
        <f>Z2064+Учет!U2065-U2065</f>
        <v>500000</v>
      </c>
      <c r="AA2065" s="45">
        <f>Учет!X2065</f>
        <v>500</v>
      </c>
    </row>
    <row r="2066" spans="1:27" ht="15" customHeight="1" x14ac:dyDescent="0.25">
      <c r="A2066" s="1"/>
      <c r="B2066" s="17"/>
      <c r="C2066" s="17"/>
      <c r="D2066" s="17"/>
      <c r="E2066" s="17"/>
      <c r="F2066" s="17"/>
      <c r="G2066" s="4">
        <f t="shared" si="93"/>
        <v>0</v>
      </c>
      <c r="H2066" s="17"/>
      <c r="I2066" s="4">
        <f t="shared" si="95"/>
        <v>349526.07999999996</v>
      </c>
      <c r="J2066" s="32" t="str">
        <f t="shared" si="94"/>
        <v/>
      </c>
      <c r="K2066" s="72"/>
      <c r="L2066" s="72"/>
      <c r="M2066" s="2"/>
      <c r="N2066" s="5"/>
      <c r="O2066" s="3"/>
      <c r="P2066" s="6"/>
      <c r="Q2066" s="48">
        <f>IF(Учет!$O2066=Справочники!$F$2,Учет!$H2066,0)</f>
        <v>0</v>
      </c>
      <c r="R2066" s="48">
        <f>IF(Учет!$O2066=Справочники!$F$3,Учет!$H2066,0)</f>
        <v>0</v>
      </c>
      <c r="S2066" s="48">
        <f>IF(Учет!$O2066=Справочники!$F$4,Учет!$H2066,0)</f>
        <v>0</v>
      </c>
      <c r="T2066" s="48">
        <f>IF(Учет!$O2066=Справочники!$F$5,Учет!$H2066,0)</f>
        <v>0</v>
      </c>
      <c r="U2066" s="48">
        <f>IF(Учет!$O2066=Справочники!$F$6,Учет!$H2066,0)</f>
        <v>0</v>
      </c>
      <c r="V2066" s="43">
        <f>V2065+Учет!Q2066-Q2066</f>
        <v>-488978.92000000004</v>
      </c>
      <c r="W2066" s="43">
        <f>W2065+Учет!R2066-R2066</f>
        <v>336855</v>
      </c>
      <c r="X2066" s="43">
        <f>X2065+Учет!S2066-S2066</f>
        <v>500</v>
      </c>
      <c r="Y2066" s="43">
        <f>Y2065+Учет!T2066-T2066</f>
        <v>1150</v>
      </c>
      <c r="Z2066" s="43">
        <f>Z2065+Учет!U2066-U2066</f>
        <v>500000</v>
      </c>
      <c r="AA2066" s="45">
        <f>Учет!X2066</f>
        <v>500</v>
      </c>
    </row>
    <row r="2067" spans="1:27" ht="15" customHeight="1" x14ac:dyDescent="0.25">
      <c r="A2067" s="1"/>
      <c r="B2067" s="17"/>
      <c r="C2067" s="17"/>
      <c r="D2067" s="17"/>
      <c r="E2067" s="17"/>
      <c r="F2067" s="17"/>
      <c r="G2067" s="4">
        <f t="shared" si="93"/>
        <v>0</v>
      </c>
      <c r="H2067" s="17"/>
      <c r="I2067" s="4">
        <f t="shared" si="95"/>
        <v>349526.07999999996</v>
      </c>
      <c r="J2067" s="32" t="str">
        <f t="shared" si="94"/>
        <v/>
      </c>
      <c r="K2067" s="72"/>
      <c r="L2067" s="72"/>
      <c r="M2067" s="2"/>
      <c r="N2067" s="5"/>
      <c r="O2067" s="3"/>
      <c r="P2067" s="6"/>
      <c r="Q2067" s="48">
        <f>IF(Учет!$O2067=Справочники!$F$2,Учет!$H2067,0)</f>
        <v>0</v>
      </c>
      <c r="R2067" s="48">
        <f>IF(Учет!$O2067=Справочники!$F$3,Учет!$H2067,0)</f>
        <v>0</v>
      </c>
      <c r="S2067" s="48">
        <f>IF(Учет!$O2067=Справочники!$F$4,Учет!$H2067,0)</f>
        <v>0</v>
      </c>
      <c r="T2067" s="48">
        <f>IF(Учет!$O2067=Справочники!$F$5,Учет!$H2067,0)</f>
        <v>0</v>
      </c>
      <c r="U2067" s="48">
        <f>IF(Учет!$O2067=Справочники!$F$6,Учет!$H2067,0)</f>
        <v>0</v>
      </c>
      <c r="V2067" s="43">
        <f>V2066+Учет!Q2067-Q2067</f>
        <v>-488978.92000000004</v>
      </c>
      <c r="W2067" s="43">
        <f>W2066+Учет!R2067-R2067</f>
        <v>336855</v>
      </c>
      <c r="X2067" s="43">
        <f>X2066+Учет!S2067-S2067</f>
        <v>500</v>
      </c>
      <c r="Y2067" s="43">
        <f>Y2066+Учет!T2067-T2067</f>
        <v>1150</v>
      </c>
      <c r="Z2067" s="43">
        <f>Z2066+Учет!U2067-U2067</f>
        <v>500000</v>
      </c>
      <c r="AA2067" s="45">
        <f>Учет!X2067</f>
        <v>500</v>
      </c>
    </row>
    <row r="2068" spans="1:27" ht="15" customHeight="1" x14ac:dyDescent="0.25">
      <c r="A2068" s="1"/>
      <c r="B2068" s="17"/>
      <c r="C2068" s="17"/>
      <c r="D2068" s="17"/>
      <c r="E2068" s="17"/>
      <c r="F2068" s="17"/>
      <c r="G2068" s="4">
        <f t="shared" si="93"/>
        <v>0</v>
      </c>
      <c r="H2068" s="17"/>
      <c r="I2068" s="4">
        <f t="shared" si="95"/>
        <v>349526.07999999996</v>
      </c>
      <c r="J2068" s="32" t="str">
        <f t="shared" si="94"/>
        <v/>
      </c>
      <c r="K2068" s="72"/>
      <c r="L2068" s="72"/>
      <c r="M2068" s="2"/>
      <c r="N2068" s="5"/>
      <c r="O2068" s="3"/>
      <c r="P2068" s="6"/>
      <c r="Q2068" s="48">
        <f>IF(Учет!$O2068=Справочники!$F$2,Учет!$H2068,0)</f>
        <v>0</v>
      </c>
      <c r="R2068" s="48">
        <f>IF(Учет!$O2068=Справочники!$F$3,Учет!$H2068,0)</f>
        <v>0</v>
      </c>
      <c r="S2068" s="48">
        <f>IF(Учет!$O2068=Справочники!$F$4,Учет!$H2068,0)</f>
        <v>0</v>
      </c>
      <c r="T2068" s="48">
        <f>IF(Учет!$O2068=Справочники!$F$5,Учет!$H2068,0)</f>
        <v>0</v>
      </c>
      <c r="U2068" s="48">
        <f>IF(Учет!$O2068=Справочники!$F$6,Учет!$H2068,0)</f>
        <v>0</v>
      </c>
      <c r="V2068" s="43">
        <f>V2067+Учет!Q2068-Q2068</f>
        <v>-488978.92000000004</v>
      </c>
      <c r="W2068" s="43">
        <f>W2067+Учет!R2068-R2068</f>
        <v>336855</v>
      </c>
      <c r="X2068" s="43">
        <f>X2067+Учет!S2068-S2068</f>
        <v>500</v>
      </c>
      <c r="Y2068" s="43">
        <f>Y2067+Учет!T2068-T2068</f>
        <v>1150</v>
      </c>
      <c r="Z2068" s="43">
        <f>Z2067+Учет!U2068-U2068</f>
        <v>500000</v>
      </c>
      <c r="AA2068" s="45">
        <f>Учет!X2068</f>
        <v>500</v>
      </c>
    </row>
    <row r="2069" spans="1:27" ht="15" customHeight="1" x14ac:dyDescent="0.25">
      <c r="A2069" s="1"/>
      <c r="B2069" s="17"/>
      <c r="C2069" s="17"/>
      <c r="D2069" s="17"/>
      <c r="E2069" s="17"/>
      <c r="F2069" s="17"/>
      <c r="G2069" s="4">
        <f t="shared" si="93"/>
        <v>0</v>
      </c>
      <c r="H2069" s="17"/>
      <c r="I2069" s="4">
        <f t="shared" si="95"/>
        <v>349526.07999999996</v>
      </c>
      <c r="J2069" s="32" t="str">
        <f t="shared" si="94"/>
        <v/>
      </c>
      <c r="K2069" s="72"/>
      <c r="L2069" s="72"/>
      <c r="M2069" s="2"/>
      <c r="N2069" s="5"/>
      <c r="O2069" s="3"/>
      <c r="P2069" s="6"/>
      <c r="Q2069" s="48">
        <f>IF(Учет!$O2069=Справочники!$F$2,Учет!$H2069,0)</f>
        <v>0</v>
      </c>
      <c r="R2069" s="48">
        <f>IF(Учет!$O2069=Справочники!$F$3,Учет!$H2069,0)</f>
        <v>0</v>
      </c>
      <c r="S2069" s="48">
        <f>IF(Учет!$O2069=Справочники!$F$4,Учет!$H2069,0)</f>
        <v>0</v>
      </c>
      <c r="T2069" s="48">
        <f>IF(Учет!$O2069=Справочники!$F$5,Учет!$H2069,0)</f>
        <v>0</v>
      </c>
      <c r="U2069" s="48">
        <f>IF(Учет!$O2069=Справочники!$F$6,Учет!$H2069,0)</f>
        <v>0</v>
      </c>
      <c r="V2069" s="43">
        <f>V2068+Учет!Q2069-Q2069</f>
        <v>-488978.92000000004</v>
      </c>
      <c r="W2069" s="43">
        <f>W2068+Учет!R2069-R2069</f>
        <v>336855</v>
      </c>
      <c r="X2069" s="43">
        <f>X2068+Учет!S2069-S2069</f>
        <v>500</v>
      </c>
      <c r="Y2069" s="43">
        <f>Y2068+Учет!T2069-T2069</f>
        <v>1150</v>
      </c>
      <c r="Z2069" s="43">
        <f>Z2068+Учет!U2069-U2069</f>
        <v>500000</v>
      </c>
      <c r="AA2069" s="45">
        <f>Учет!X2069</f>
        <v>500</v>
      </c>
    </row>
    <row r="2070" spans="1:27" ht="15" customHeight="1" x14ac:dyDescent="0.25">
      <c r="A2070" s="1"/>
      <c r="B2070" s="17"/>
      <c r="C2070" s="17"/>
      <c r="D2070" s="17"/>
      <c r="E2070" s="17"/>
      <c r="F2070" s="17"/>
      <c r="G2070" s="4">
        <f t="shared" si="93"/>
        <v>0</v>
      </c>
      <c r="H2070" s="17"/>
      <c r="I2070" s="4">
        <f t="shared" si="95"/>
        <v>349526.07999999996</v>
      </c>
      <c r="J2070" s="32" t="str">
        <f t="shared" si="94"/>
        <v/>
      </c>
      <c r="K2070" s="72"/>
      <c r="L2070" s="72"/>
      <c r="M2070" s="2"/>
      <c r="N2070" s="5"/>
      <c r="O2070" s="3"/>
      <c r="P2070" s="6"/>
      <c r="Q2070" s="48">
        <f>IF(Учет!$O2070=Справочники!$F$2,Учет!$H2070,0)</f>
        <v>0</v>
      </c>
      <c r="R2070" s="48">
        <f>IF(Учет!$O2070=Справочники!$F$3,Учет!$H2070,0)</f>
        <v>0</v>
      </c>
      <c r="S2070" s="48">
        <f>IF(Учет!$O2070=Справочники!$F$4,Учет!$H2070,0)</f>
        <v>0</v>
      </c>
      <c r="T2070" s="48">
        <f>IF(Учет!$O2070=Справочники!$F$5,Учет!$H2070,0)</f>
        <v>0</v>
      </c>
      <c r="U2070" s="48">
        <f>IF(Учет!$O2070=Справочники!$F$6,Учет!$H2070,0)</f>
        <v>0</v>
      </c>
      <c r="V2070" s="43">
        <f>V2069+Учет!Q2070-Q2070</f>
        <v>-488978.92000000004</v>
      </c>
      <c r="W2070" s="43">
        <f>W2069+Учет!R2070-R2070</f>
        <v>336855</v>
      </c>
      <c r="X2070" s="43">
        <f>X2069+Учет!S2070-S2070</f>
        <v>500</v>
      </c>
      <c r="Y2070" s="43">
        <f>Y2069+Учет!T2070-T2070</f>
        <v>1150</v>
      </c>
      <c r="Z2070" s="43">
        <f>Z2069+Учет!U2070-U2070</f>
        <v>500000</v>
      </c>
      <c r="AA2070" s="45">
        <f>Учет!X2070</f>
        <v>500</v>
      </c>
    </row>
    <row r="2071" spans="1:27" ht="15" customHeight="1" x14ac:dyDescent="0.25">
      <c r="A2071" s="1"/>
      <c r="B2071" s="17"/>
      <c r="C2071" s="17"/>
      <c r="D2071" s="17"/>
      <c r="E2071" s="17"/>
      <c r="F2071" s="17"/>
      <c r="G2071" s="4">
        <f t="shared" si="93"/>
        <v>0</v>
      </c>
      <c r="H2071" s="17"/>
      <c r="I2071" s="4">
        <f t="shared" si="95"/>
        <v>349526.07999999996</v>
      </c>
      <c r="J2071" s="32" t="str">
        <f t="shared" si="94"/>
        <v/>
      </c>
      <c r="K2071" s="72"/>
      <c r="L2071" s="72"/>
      <c r="M2071" s="2"/>
      <c r="N2071" s="5"/>
      <c r="O2071" s="3"/>
      <c r="P2071" s="6"/>
      <c r="Q2071" s="48">
        <f>IF(Учет!$O2071=Справочники!$F$2,Учет!$H2071,0)</f>
        <v>0</v>
      </c>
      <c r="R2071" s="48">
        <f>IF(Учет!$O2071=Справочники!$F$3,Учет!$H2071,0)</f>
        <v>0</v>
      </c>
      <c r="S2071" s="48">
        <f>IF(Учет!$O2071=Справочники!$F$4,Учет!$H2071,0)</f>
        <v>0</v>
      </c>
      <c r="T2071" s="48">
        <f>IF(Учет!$O2071=Справочники!$F$5,Учет!$H2071,0)</f>
        <v>0</v>
      </c>
      <c r="U2071" s="48">
        <f>IF(Учет!$O2071=Справочники!$F$6,Учет!$H2071,0)</f>
        <v>0</v>
      </c>
      <c r="V2071" s="43">
        <f>V2070+Учет!Q2071-Q2071</f>
        <v>-488978.92000000004</v>
      </c>
      <c r="W2071" s="43">
        <f>W2070+Учет!R2071-R2071</f>
        <v>336855</v>
      </c>
      <c r="X2071" s="43">
        <f>X2070+Учет!S2071-S2071</f>
        <v>500</v>
      </c>
      <c r="Y2071" s="43">
        <f>Y2070+Учет!T2071-T2071</f>
        <v>1150</v>
      </c>
      <c r="Z2071" s="43">
        <f>Z2070+Учет!U2071-U2071</f>
        <v>500000</v>
      </c>
      <c r="AA2071" s="45">
        <f>Учет!X2071</f>
        <v>500</v>
      </c>
    </row>
    <row r="2072" spans="1:27" ht="15" customHeight="1" x14ac:dyDescent="0.25">
      <c r="A2072" s="1"/>
      <c r="B2072" s="17"/>
      <c r="C2072" s="17"/>
      <c r="D2072" s="17"/>
      <c r="E2072" s="17"/>
      <c r="F2072" s="17"/>
      <c r="G2072" s="4">
        <f t="shared" si="93"/>
        <v>0</v>
      </c>
      <c r="H2072" s="17"/>
      <c r="I2072" s="4">
        <f t="shared" si="95"/>
        <v>349526.07999999996</v>
      </c>
      <c r="J2072" s="32" t="str">
        <f t="shared" si="94"/>
        <v/>
      </c>
      <c r="K2072" s="72"/>
      <c r="L2072" s="72"/>
      <c r="M2072" s="2"/>
      <c r="N2072" s="5"/>
      <c r="O2072" s="3"/>
      <c r="P2072" s="6"/>
      <c r="Q2072" s="48">
        <f>IF(Учет!$O2072=Справочники!$F$2,Учет!$H2072,0)</f>
        <v>0</v>
      </c>
      <c r="R2072" s="48">
        <f>IF(Учет!$O2072=Справочники!$F$3,Учет!$H2072,0)</f>
        <v>0</v>
      </c>
      <c r="S2072" s="48">
        <f>IF(Учет!$O2072=Справочники!$F$4,Учет!$H2072,0)</f>
        <v>0</v>
      </c>
      <c r="T2072" s="48">
        <f>IF(Учет!$O2072=Справочники!$F$5,Учет!$H2072,0)</f>
        <v>0</v>
      </c>
      <c r="U2072" s="48">
        <f>IF(Учет!$O2072=Справочники!$F$6,Учет!$H2072,0)</f>
        <v>0</v>
      </c>
      <c r="V2072" s="43">
        <f>V2071+Учет!Q2072-Q2072</f>
        <v>-488978.92000000004</v>
      </c>
      <c r="W2072" s="43">
        <f>W2071+Учет!R2072-R2072</f>
        <v>336855</v>
      </c>
      <c r="X2072" s="43">
        <f>X2071+Учет!S2072-S2072</f>
        <v>500</v>
      </c>
      <c r="Y2072" s="43">
        <f>Y2071+Учет!T2072-T2072</f>
        <v>1150</v>
      </c>
      <c r="Z2072" s="43">
        <f>Z2071+Учет!U2072-U2072</f>
        <v>500000</v>
      </c>
      <c r="AA2072" s="45">
        <f>Учет!X2072</f>
        <v>500</v>
      </c>
    </row>
    <row r="2073" spans="1:27" ht="15" customHeight="1" x14ac:dyDescent="0.25">
      <c r="A2073" s="1"/>
      <c r="B2073" s="17"/>
      <c r="C2073" s="17"/>
      <c r="D2073" s="17"/>
      <c r="E2073" s="17"/>
      <c r="F2073" s="17"/>
      <c r="G2073" s="4">
        <f t="shared" si="93"/>
        <v>0</v>
      </c>
      <c r="H2073" s="17"/>
      <c r="I2073" s="4">
        <f t="shared" si="95"/>
        <v>349526.07999999996</v>
      </c>
      <c r="J2073" s="32" t="str">
        <f t="shared" si="94"/>
        <v/>
      </c>
      <c r="K2073" s="72"/>
      <c r="L2073" s="72"/>
      <c r="M2073" s="2"/>
      <c r="N2073" s="5"/>
      <c r="O2073" s="3"/>
      <c r="P2073" s="6"/>
      <c r="Q2073" s="48">
        <f>IF(Учет!$O2073=Справочники!$F$2,Учет!$H2073,0)</f>
        <v>0</v>
      </c>
      <c r="R2073" s="48">
        <f>IF(Учет!$O2073=Справочники!$F$3,Учет!$H2073,0)</f>
        <v>0</v>
      </c>
      <c r="S2073" s="48">
        <f>IF(Учет!$O2073=Справочники!$F$4,Учет!$H2073,0)</f>
        <v>0</v>
      </c>
      <c r="T2073" s="48">
        <f>IF(Учет!$O2073=Справочники!$F$5,Учет!$H2073,0)</f>
        <v>0</v>
      </c>
      <c r="U2073" s="48">
        <f>IF(Учет!$O2073=Справочники!$F$6,Учет!$H2073,0)</f>
        <v>0</v>
      </c>
      <c r="V2073" s="43">
        <f>V2072+Учет!Q2073-Q2073</f>
        <v>-488978.92000000004</v>
      </c>
      <c r="W2073" s="43">
        <f>W2072+Учет!R2073-R2073</f>
        <v>336855</v>
      </c>
      <c r="X2073" s="43">
        <f>X2072+Учет!S2073-S2073</f>
        <v>500</v>
      </c>
      <c r="Y2073" s="43">
        <f>Y2072+Учет!T2073-T2073</f>
        <v>1150</v>
      </c>
      <c r="Z2073" s="43">
        <f>Z2072+Учет!U2073-U2073</f>
        <v>500000</v>
      </c>
      <c r="AA2073" s="45">
        <f>Учет!X2073</f>
        <v>500</v>
      </c>
    </row>
    <row r="2074" spans="1:27" ht="15" customHeight="1" x14ac:dyDescent="0.25">
      <c r="A2074" s="1"/>
      <c r="B2074" s="17"/>
      <c r="C2074" s="17"/>
      <c r="D2074" s="17"/>
      <c r="E2074" s="17"/>
      <c r="F2074" s="17"/>
      <c r="G2074" s="4">
        <f t="shared" si="93"/>
        <v>0</v>
      </c>
      <c r="H2074" s="17"/>
      <c r="I2074" s="4">
        <f t="shared" si="95"/>
        <v>349526.07999999996</v>
      </c>
      <c r="J2074" s="32" t="str">
        <f t="shared" si="94"/>
        <v/>
      </c>
      <c r="K2074" s="72"/>
      <c r="L2074" s="72"/>
      <c r="M2074" s="2"/>
      <c r="N2074" s="5"/>
      <c r="O2074" s="3"/>
      <c r="P2074" s="6"/>
      <c r="Q2074" s="48">
        <f>IF(Учет!$O2074=Справочники!$F$2,Учет!$H2074,0)</f>
        <v>0</v>
      </c>
      <c r="R2074" s="48">
        <f>IF(Учет!$O2074=Справочники!$F$3,Учет!$H2074,0)</f>
        <v>0</v>
      </c>
      <c r="S2074" s="48">
        <f>IF(Учет!$O2074=Справочники!$F$4,Учет!$H2074,0)</f>
        <v>0</v>
      </c>
      <c r="T2074" s="48">
        <f>IF(Учет!$O2074=Справочники!$F$5,Учет!$H2074,0)</f>
        <v>0</v>
      </c>
      <c r="U2074" s="48">
        <f>IF(Учет!$O2074=Справочники!$F$6,Учет!$H2074,0)</f>
        <v>0</v>
      </c>
      <c r="V2074" s="43">
        <f>V2073+Учет!Q2074-Q2074</f>
        <v>-488978.92000000004</v>
      </c>
      <c r="W2074" s="43">
        <f>W2073+Учет!R2074-R2074</f>
        <v>336855</v>
      </c>
      <c r="X2074" s="43">
        <f>X2073+Учет!S2074-S2074</f>
        <v>500</v>
      </c>
      <c r="Y2074" s="43">
        <f>Y2073+Учет!T2074-T2074</f>
        <v>1150</v>
      </c>
      <c r="Z2074" s="43">
        <f>Z2073+Учет!U2074-U2074</f>
        <v>500000</v>
      </c>
      <c r="AA2074" s="45">
        <f>Учет!X2074</f>
        <v>500</v>
      </c>
    </row>
    <row r="2075" spans="1:27" ht="15" customHeight="1" x14ac:dyDescent="0.25">
      <c r="A2075" s="1"/>
      <c r="B2075" s="17"/>
      <c r="C2075" s="17"/>
      <c r="D2075" s="17"/>
      <c r="E2075" s="17"/>
      <c r="F2075" s="17"/>
      <c r="G2075" s="4">
        <f t="shared" si="93"/>
        <v>0</v>
      </c>
      <c r="H2075" s="17"/>
      <c r="I2075" s="4">
        <f t="shared" si="95"/>
        <v>349526.07999999996</v>
      </c>
      <c r="J2075" s="32" t="str">
        <f t="shared" si="94"/>
        <v/>
      </c>
      <c r="K2075" s="72"/>
      <c r="L2075" s="72"/>
      <c r="M2075" s="2"/>
      <c r="N2075" s="5"/>
      <c r="O2075" s="3"/>
      <c r="P2075" s="6"/>
      <c r="Q2075" s="48">
        <f>IF(Учет!$O2075=Справочники!$F$2,Учет!$H2075,0)</f>
        <v>0</v>
      </c>
      <c r="R2075" s="48">
        <f>IF(Учет!$O2075=Справочники!$F$3,Учет!$H2075,0)</f>
        <v>0</v>
      </c>
      <c r="S2075" s="48">
        <f>IF(Учет!$O2075=Справочники!$F$4,Учет!$H2075,0)</f>
        <v>0</v>
      </c>
      <c r="T2075" s="48">
        <f>IF(Учет!$O2075=Справочники!$F$5,Учет!$H2075,0)</f>
        <v>0</v>
      </c>
      <c r="U2075" s="48">
        <f>IF(Учет!$O2075=Справочники!$F$6,Учет!$H2075,0)</f>
        <v>0</v>
      </c>
      <c r="V2075" s="43">
        <f>V2074+Учет!Q2075-Q2075</f>
        <v>-488978.92000000004</v>
      </c>
      <c r="W2075" s="43">
        <f>W2074+Учет!R2075-R2075</f>
        <v>336855</v>
      </c>
      <c r="X2075" s="43">
        <f>X2074+Учет!S2075-S2075</f>
        <v>500</v>
      </c>
      <c r="Y2075" s="43">
        <f>Y2074+Учет!T2075-T2075</f>
        <v>1150</v>
      </c>
      <c r="Z2075" s="43">
        <f>Z2074+Учет!U2075-U2075</f>
        <v>500000</v>
      </c>
      <c r="AA2075" s="45">
        <f>Учет!X2075</f>
        <v>500</v>
      </c>
    </row>
    <row r="2076" spans="1:27" ht="15" customHeight="1" x14ac:dyDescent="0.25">
      <c r="A2076" s="1"/>
      <c r="B2076" s="17"/>
      <c r="C2076" s="17"/>
      <c r="D2076" s="17"/>
      <c r="E2076" s="17"/>
      <c r="F2076" s="17"/>
      <c r="G2076" s="4">
        <f t="shared" si="93"/>
        <v>0</v>
      </c>
      <c r="H2076" s="17"/>
      <c r="I2076" s="4">
        <f t="shared" si="95"/>
        <v>349526.07999999996</v>
      </c>
      <c r="J2076" s="32" t="str">
        <f t="shared" si="94"/>
        <v/>
      </c>
      <c r="K2076" s="72"/>
      <c r="L2076" s="72"/>
      <c r="M2076" s="2"/>
      <c r="N2076" s="5"/>
      <c r="O2076" s="3"/>
      <c r="P2076" s="6"/>
      <c r="Q2076" s="48">
        <f>IF(Учет!$O2076=Справочники!$F$2,Учет!$H2076,0)</f>
        <v>0</v>
      </c>
      <c r="R2076" s="48">
        <f>IF(Учет!$O2076=Справочники!$F$3,Учет!$H2076,0)</f>
        <v>0</v>
      </c>
      <c r="S2076" s="48">
        <f>IF(Учет!$O2076=Справочники!$F$4,Учет!$H2076,0)</f>
        <v>0</v>
      </c>
      <c r="T2076" s="48">
        <f>IF(Учет!$O2076=Справочники!$F$5,Учет!$H2076,0)</f>
        <v>0</v>
      </c>
      <c r="U2076" s="48">
        <f>IF(Учет!$O2076=Справочники!$F$6,Учет!$H2076,0)</f>
        <v>0</v>
      </c>
      <c r="V2076" s="43">
        <f>V2075+Учет!Q2076-Q2076</f>
        <v>-488978.92000000004</v>
      </c>
      <c r="W2076" s="43">
        <f>W2075+Учет!R2076-R2076</f>
        <v>336855</v>
      </c>
      <c r="X2076" s="43">
        <f>X2075+Учет!S2076-S2076</f>
        <v>500</v>
      </c>
      <c r="Y2076" s="43">
        <f>Y2075+Учет!T2076-T2076</f>
        <v>1150</v>
      </c>
      <c r="Z2076" s="43">
        <f>Z2075+Учет!U2076-U2076</f>
        <v>500000</v>
      </c>
      <c r="AA2076" s="45">
        <f>Учет!X2076</f>
        <v>500</v>
      </c>
    </row>
    <row r="2077" spans="1:27" ht="15" customHeight="1" x14ac:dyDescent="0.25">
      <c r="A2077" s="1"/>
      <c r="B2077" s="17"/>
      <c r="C2077" s="17"/>
      <c r="D2077" s="17"/>
      <c r="E2077" s="17"/>
      <c r="F2077" s="17"/>
      <c r="G2077" s="4">
        <f t="shared" si="93"/>
        <v>0</v>
      </c>
      <c r="H2077" s="17"/>
      <c r="I2077" s="4">
        <f t="shared" si="95"/>
        <v>349526.07999999996</v>
      </c>
      <c r="J2077" s="32" t="str">
        <f t="shared" si="94"/>
        <v/>
      </c>
      <c r="K2077" s="72"/>
      <c r="L2077" s="72"/>
      <c r="M2077" s="2"/>
      <c r="N2077" s="5"/>
      <c r="O2077" s="3"/>
      <c r="P2077" s="6"/>
      <c r="Q2077" s="48">
        <f>IF(Учет!$O2077=Справочники!$F$2,Учет!$H2077,0)</f>
        <v>0</v>
      </c>
      <c r="R2077" s="48">
        <f>IF(Учет!$O2077=Справочники!$F$3,Учет!$H2077,0)</f>
        <v>0</v>
      </c>
      <c r="S2077" s="48">
        <f>IF(Учет!$O2077=Справочники!$F$4,Учет!$H2077,0)</f>
        <v>0</v>
      </c>
      <c r="T2077" s="48">
        <f>IF(Учет!$O2077=Справочники!$F$5,Учет!$H2077,0)</f>
        <v>0</v>
      </c>
      <c r="U2077" s="48">
        <f>IF(Учет!$O2077=Справочники!$F$6,Учет!$H2077,0)</f>
        <v>0</v>
      </c>
      <c r="V2077" s="43">
        <f>V2076+Учет!Q2077-Q2077</f>
        <v>-488978.92000000004</v>
      </c>
      <c r="W2077" s="43">
        <f>W2076+Учет!R2077-R2077</f>
        <v>336855</v>
      </c>
      <c r="X2077" s="43">
        <f>X2076+Учет!S2077-S2077</f>
        <v>500</v>
      </c>
      <c r="Y2077" s="43">
        <f>Y2076+Учет!T2077-T2077</f>
        <v>1150</v>
      </c>
      <c r="Z2077" s="43">
        <f>Z2076+Учет!U2077-U2077</f>
        <v>500000</v>
      </c>
      <c r="AA2077" s="45">
        <f>Учет!X2077</f>
        <v>500</v>
      </c>
    </row>
    <row r="2078" spans="1:27" ht="15" customHeight="1" x14ac:dyDescent="0.25">
      <c r="A2078" s="1"/>
      <c r="B2078" s="17"/>
      <c r="C2078" s="17"/>
      <c r="D2078" s="17"/>
      <c r="E2078" s="17"/>
      <c r="F2078" s="17"/>
      <c r="G2078" s="4">
        <f t="shared" si="93"/>
        <v>0</v>
      </c>
      <c r="H2078" s="17"/>
      <c r="I2078" s="4">
        <f t="shared" si="95"/>
        <v>349526.07999999996</v>
      </c>
      <c r="J2078" s="32" t="str">
        <f t="shared" si="94"/>
        <v/>
      </c>
      <c r="K2078" s="72"/>
      <c r="L2078" s="72"/>
      <c r="M2078" s="2"/>
      <c r="N2078" s="5"/>
      <c r="O2078" s="3"/>
      <c r="P2078" s="6"/>
      <c r="Q2078" s="48">
        <f>IF(Учет!$O2078=Справочники!$F$2,Учет!$H2078,0)</f>
        <v>0</v>
      </c>
      <c r="R2078" s="48">
        <f>IF(Учет!$O2078=Справочники!$F$3,Учет!$H2078,0)</f>
        <v>0</v>
      </c>
      <c r="S2078" s="48">
        <f>IF(Учет!$O2078=Справочники!$F$4,Учет!$H2078,0)</f>
        <v>0</v>
      </c>
      <c r="T2078" s="48">
        <f>IF(Учет!$O2078=Справочники!$F$5,Учет!$H2078,0)</f>
        <v>0</v>
      </c>
      <c r="U2078" s="48">
        <f>IF(Учет!$O2078=Справочники!$F$6,Учет!$H2078,0)</f>
        <v>0</v>
      </c>
      <c r="V2078" s="43">
        <f>V2077+Учет!Q2078-Q2078</f>
        <v>-488978.92000000004</v>
      </c>
      <c r="W2078" s="43">
        <f>W2077+Учет!R2078-R2078</f>
        <v>336855</v>
      </c>
      <c r="X2078" s="43">
        <f>X2077+Учет!S2078-S2078</f>
        <v>500</v>
      </c>
      <c r="Y2078" s="43">
        <f>Y2077+Учет!T2078-T2078</f>
        <v>1150</v>
      </c>
      <c r="Z2078" s="43">
        <f>Z2077+Учет!U2078-U2078</f>
        <v>500000</v>
      </c>
      <c r="AA2078" s="45">
        <f>Учет!X2078</f>
        <v>500</v>
      </c>
    </row>
    <row r="2079" spans="1:27" ht="15" customHeight="1" x14ac:dyDescent="0.25">
      <c r="A2079" s="1"/>
      <c r="B2079" s="17"/>
      <c r="C2079" s="17"/>
      <c r="D2079" s="17"/>
      <c r="E2079" s="17"/>
      <c r="F2079" s="17"/>
      <c r="G2079" s="4">
        <f t="shared" si="93"/>
        <v>0</v>
      </c>
      <c r="H2079" s="17"/>
      <c r="I2079" s="4">
        <f t="shared" si="95"/>
        <v>349526.07999999996</v>
      </c>
      <c r="J2079" s="32" t="str">
        <f t="shared" si="94"/>
        <v/>
      </c>
      <c r="K2079" s="72"/>
      <c r="L2079" s="72"/>
      <c r="M2079" s="2"/>
      <c r="N2079" s="5"/>
      <c r="O2079" s="3"/>
      <c r="P2079" s="6"/>
      <c r="Q2079" s="48">
        <f>IF(Учет!$O2079=Справочники!$F$2,Учет!$H2079,0)</f>
        <v>0</v>
      </c>
      <c r="R2079" s="48">
        <f>IF(Учет!$O2079=Справочники!$F$3,Учет!$H2079,0)</f>
        <v>0</v>
      </c>
      <c r="S2079" s="48">
        <f>IF(Учет!$O2079=Справочники!$F$4,Учет!$H2079,0)</f>
        <v>0</v>
      </c>
      <c r="T2079" s="48">
        <f>IF(Учет!$O2079=Справочники!$F$5,Учет!$H2079,0)</f>
        <v>0</v>
      </c>
      <c r="U2079" s="48">
        <f>IF(Учет!$O2079=Справочники!$F$6,Учет!$H2079,0)</f>
        <v>0</v>
      </c>
      <c r="V2079" s="43">
        <f>V2078+Учет!Q2079-Q2079</f>
        <v>-488978.92000000004</v>
      </c>
      <c r="W2079" s="43">
        <f>W2078+Учет!R2079-R2079</f>
        <v>336855</v>
      </c>
      <c r="X2079" s="43">
        <f>X2078+Учет!S2079-S2079</f>
        <v>500</v>
      </c>
      <c r="Y2079" s="43">
        <f>Y2078+Учет!T2079-T2079</f>
        <v>1150</v>
      </c>
      <c r="Z2079" s="43">
        <f>Z2078+Учет!U2079-U2079</f>
        <v>500000</v>
      </c>
      <c r="AA2079" s="45">
        <f>Учет!X2079</f>
        <v>500</v>
      </c>
    </row>
    <row r="2080" spans="1:27" ht="15" customHeight="1" x14ac:dyDescent="0.25">
      <c r="A2080" s="1"/>
      <c r="B2080" s="17"/>
      <c r="C2080" s="17"/>
      <c r="D2080" s="17"/>
      <c r="E2080" s="17"/>
      <c r="F2080" s="17"/>
      <c r="G2080" s="4">
        <f t="shared" si="93"/>
        <v>0</v>
      </c>
      <c r="H2080" s="17"/>
      <c r="I2080" s="4">
        <f t="shared" si="95"/>
        <v>349526.07999999996</v>
      </c>
      <c r="J2080" s="32" t="str">
        <f t="shared" si="94"/>
        <v/>
      </c>
      <c r="K2080" s="72"/>
      <c r="L2080" s="72"/>
      <c r="M2080" s="2"/>
      <c r="N2080" s="5"/>
      <c r="O2080" s="3"/>
      <c r="P2080" s="6"/>
      <c r="Q2080" s="48">
        <f>IF(Учет!$O2080=Справочники!$F$2,Учет!$H2080,0)</f>
        <v>0</v>
      </c>
      <c r="R2080" s="48">
        <f>IF(Учет!$O2080=Справочники!$F$3,Учет!$H2080,0)</f>
        <v>0</v>
      </c>
      <c r="S2080" s="48">
        <f>IF(Учет!$O2080=Справочники!$F$4,Учет!$H2080,0)</f>
        <v>0</v>
      </c>
      <c r="T2080" s="48">
        <f>IF(Учет!$O2080=Справочники!$F$5,Учет!$H2080,0)</f>
        <v>0</v>
      </c>
      <c r="U2080" s="48">
        <f>IF(Учет!$O2080=Справочники!$F$6,Учет!$H2080,0)</f>
        <v>0</v>
      </c>
      <c r="V2080" s="43">
        <f>V2079+Учет!Q2080-Q2080</f>
        <v>-488978.92000000004</v>
      </c>
      <c r="W2080" s="43">
        <f>W2079+Учет!R2080-R2080</f>
        <v>336855</v>
      </c>
      <c r="X2080" s="43">
        <f>X2079+Учет!S2080-S2080</f>
        <v>500</v>
      </c>
      <c r="Y2080" s="43">
        <f>Y2079+Учет!T2080-T2080</f>
        <v>1150</v>
      </c>
      <c r="Z2080" s="43">
        <f>Z2079+Учет!U2080-U2080</f>
        <v>500000</v>
      </c>
      <c r="AA2080" s="45">
        <f>Учет!X2080</f>
        <v>500</v>
      </c>
    </row>
    <row r="2081" spans="1:27" ht="15" customHeight="1" x14ac:dyDescent="0.25">
      <c r="A2081" s="1"/>
      <c r="B2081" s="17"/>
      <c r="C2081" s="17"/>
      <c r="D2081" s="17"/>
      <c r="E2081" s="17"/>
      <c r="F2081" s="17"/>
      <c r="G2081" s="4">
        <f t="shared" si="93"/>
        <v>0</v>
      </c>
      <c r="H2081" s="17"/>
      <c r="I2081" s="4">
        <f t="shared" si="95"/>
        <v>349526.07999999996</v>
      </c>
      <c r="J2081" s="32" t="str">
        <f t="shared" si="94"/>
        <v/>
      </c>
      <c r="K2081" s="72"/>
      <c r="L2081" s="72"/>
      <c r="M2081" s="2"/>
      <c r="N2081" s="5"/>
      <c r="O2081" s="3"/>
      <c r="P2081" s="6"/>
      <c r="Q2081" s="48">
        <f>IF(Учет!$O2081=Справочники!$F$2,Учет!$H2081,0)</f>
        <v>0</v>
      </c>
      <c r="R2081" s="48">
        <f>IF(Учет!$O2081=Справочники!$F$3,Учет!$H2081,0)</f>
        <v>0</v>
      </c>
      <c r="S2081" s="48">
        <f>IF(Учет!$O2081=Справочники!$F$4,Учет!$H2081,0)</f>
        <v>0</v>
      </c>
      <c r="T2081" s="48">
        <f>IF(Учет!$O2081=Справочники!$F$5,Учет!$H2081,0)</f>
        <v>0</v>
      </c>
      <c r="U2081" s="48">
        <f>IF(Учет!$O2081=Справочники!$F$6,Учет!$H2081,0)</f>
        <v>0</v>
      </c>
      <c r="V2081" s="43">
        <f>V2080+Учет!Q2081-Q2081</f>
        <v>-488978.92000000004</v>
      </c>
      <c r="W2081" s="43">
        <f>W2080+Учет!R2081-R2081</f>
        <v>336855</v>
      </c>
      <c r="X2081" s="43">
        <f>X2080+Учет!S2081-S2081</f>
        <v>500</v>
      </c>
      <c r="Y2081" s="43">
        <f>Y2080+Учет!T2081-T2081</f>
        <v>1150</v>
      </c>
      <c r="Z2081" s="43">
        <f>Z2080+Учет!U2081-U2081</f>
        <v>500000</v>
      </c>
      <c r="AA2081" s="45">
        <f>Учет!X2081</f>
        <v>500</v>
      </c>
    </row>
    <row r="2082" spans="1:27" ht="15" customHeight="1" x14ac:dyDescent="0.25">
      <c r="A2082" s="1"/>
      <c r="B2082" s="17"/>
      <c r="C2082" s="17"/>
      <c r="D2082" s="17"/>
      <c r="E2082" s="17"/>
      <c r="F2082" s="17"/>
      <c r="G2082" s="4">
        <f t="shared" si="93"/>
        <v>0</v>
      </c>
      <c r="H2082" s="17"/>
      <c r="I2082" s="4">
        <f t="shared" si="95"/>
        <v>349526.07999999996</v>
      </c>
      <c r="J2082" s="32" t="str">
        <f t="shared" si="94"/>
        <v/>
      </c>
      <c r="K2082" s="72"/>
      <c r="L2082" s="72"/>
      <c r="M2082" s="2"/>
      <c r="N2082" s="5"/>
      <c r="O2082" s="3"/>
      <c r="P2082" s="6"/>
      <c r="Q2082" s="48">
        <f>IF(Учет!$O2082=Справочники!$F$2,Учет!$H2082,0)</f>
        <v>0</v>
      </c>
      <c r="R2082" s="48">
        <f>IF(Учет!$O2082=Справочники!$F$3,Учет!$H2082,0)</f>
        <v>0</v>
      </c>
      <c r="S2082" s="48">
        <f>IF(Учет!$O2082=Справочники!$F$4,Учет!$H2082,0)</f>
        <v>0</v>
      </c>
      <c r="T2082" s="48">
        <f>IF(Учет!$O2082=Справочники!$F$5,Учет!$H2082,0)</f>
        <v>0</v>
      </c>
      <c r="U2082" s="48">
        <f>IF(Учет!$O2082=Справочники!$F$6,Учет!$H2082,0)</f>
        <v>0</v>
      </c>
      <c r="V2082" s="43">
        <f>V2081+Учет!Q2082-Q2082</f>
        <v>-488978.92000000004</v>
      </c>
      <c r="W2082" s="43">
        <f>W2081+Учет!R2082-R2082</f>
        <v>336855</v>
      </c>
      <c r="X2082" s="43">
        <f>X2081+Учет!S2082-S2082</f>
        <v>500</v>
      </c>
      <c r="Y2082" s="43">
        <f>Y2081+Учет!T2082-T2082</f>
        <v>1150</v>
      </c>
      <c r="Z2082" s="43">
        <f>Z2081+Учет!U2082-U2082</f>
        <v>500000</v>
      </c>
      <c r="AA2082" s="45">
        <f>Учет!X2082</f>
        <v>500</v>
      </c>
    </row>
    <row r="2083" spans="1:27" ht="15" customHeight="1" x14ac:dyDescent="0.25">
      <c r="A2083" s="1"/>
      <c r="B2083" s="17"/>
      <c r="C2083" s="17"/>
      <c r="D2083" s="17"/>
      <c r="E2083" s="17"/>
      <c r="F2083" s="17"/>
      <c r="G2083" s="4">
        <f t="shared" si="93"/>
        <v>0</v>
      </c>
      <c r="H2083" s="17"/>
      <c r="I2083" s="4">
        <f t="shared" si="95"/>
        <v>349526.07999999996</v>
      </c>
      <c r="J2083" s="32" t="str">
        <f t="shared" si="94"/>
        <v/>
      </c>
      <c r="K2083" s="72"/>
      <c r="L2083" s="72"/>
      <c r="M2083" s="2"/>
      <c r="N2083" s="5"/>
      <c r="O2083" s="3"/>
      <c r="P2083" s="6"/>
      <c r="Q2083" s="48">
        <f>IF(Учет!$O2083=Справочники!$F$2,Учет!$H2083,0)</f>
        <v>0</v>
      </c>
      <c r="R2083" s="48">
        <f>IF(Учет!$O2083=Справочники!$F$3,Учет!$H2083,0)</f>
        <v>0</v>
      </c>
      <c r="S2083" s="48">
        <f>IF(Учет!$O2083=Справочники!$F$4,Учет!$H2083,0)</f>
        <v>0</v>
      </c>
      <c r="T2083" s="48">
        <f>IF(Учет!$O2083=Справочники!$F$5,Учет!$H2083,0)</f>
        <v>0</v>
      </c>
      <c r="U2083" s="48">
        <f>IF(Учет!$O2083=Справочники!$F$6,Учет!$H2083,0)</f>
        <v>0</v>
      </c>
      <c r="V2083" s="43">
        <f>V2082+Учет!Q2083-Q2083</f>
        <v>-488978.92000000004</v>
      </c>
      <c r="W2083" s="43">
        <f>W2082+Учет!R2083-R2083</f>
        <v>336855</v>
      </c>
      <c r="X2083" s="43">
        <f>X2082+Учет!S2083-S2083</f>
        <v>500</v>
      </c>
      <c r="Y2083" s="43">
        <f>Y2082+Учет!T2083-T2083</f>
        <v>1150</v>
      </c>
      <c r="Z2083" s="43">
        <f>Z2082+Учет!U2083-U2083</f>
        <v>500000</v>
      </c>
      <c r="AA2083" s="45">
        <f>Учет!X2083</f>
        <v>500</v>
      </c>
    </row>
    <row r="2084" spans="1:27" ht="15" customHeight="1" x14ac:dyDescent="0.25">
      <c r="A2084" s="1"/>
      <c r="B2084" s="17"/>
      <c r="C2084" s="17"/>
      <c r="D2084" s="17"/>
      <c r="E2084" s="17"/>
      <c r="F2084" s="17"/>
      <c r="G2084" s="4">
        <f t="shared" si="93"/>
        <v>0</v>
      </c>
      <c r="H2084" s="17"/>
      <c r="I2084" s="4">
        <f t="shared" si="95"/>
        <v>349526.07999999996</v>
      </c>
      <c r="J2084" s="32" t="str">
        <f t="shared" si="94"/>
        <v/>
      </c>
      <c r="K2084" s="72"/>
      <c r="L2084" s="72"/>
      <c r="M2084" s="2"/>
      <c r="N2084" s="5"/>
      <c r="O2084" s="3"/>
      <c r="P2084" s="6"/>
      <c r="Q2084" s="48">
        <f>IF(Учет!$O2084=Справочники!$F$2,Учет!$H2084,0)</f>
        <v>0</v>
      </c>
      <c r="R2084" s="48">
        <f>IF(Учет!$O2084=Справочники!$F$3,Учет!$H2084,0)</f>
        <v>0</v>
      </c>
      <c r="S2084" s="48">
        <f>IF(Учет!$O2084=Справочники!$F$4,Учет!$H2084,0)</f>
        <v>0</v>
      </c>
      <c r="T2084" s="48">
        <f>IF(Учет!$O2084=Справочники!$F$5,Учет!$H2084,0)</f>
        <v>0</v>
      </c>
      <c r="U2084" s="48">
        <f>IF(Учет!$O2084=Справочники!$F$6,Учет!$H2084,0)</f>
        <v>0</v>
      </c>
      <c r="V2084" s="43">
        <f>V2083+Учет!Q2084-Q2084</f>
        <v>-488978.92000000004</v>
      </c>
      <c r="W2084" s="43">
        <f>W2083+Учет!R2084-R2084</f>
        <v>336855</v>
      </c>
      <c r="X2084" s="43">
        <f>X2083+Учет!S2084-S2084</f>
        <v>500</v>
      </c>
      <c r="Y2084" s="43">
        <f>Y2083+Учет!T2084-T2084</f>
        <v>1150</v>
      </c>
      <c r="Z2084" s="43">
        <f>Z2083+Учет!U2084-U2084</f>
        <v>500000</v>
      </c>
      <c r="AA2084" s="45">
        <f>Учет!X2084</f>
        <v>500</v>
      </c>
    </row>
    <row r="2085" spans="1:27" ht="15" customHeight="1" x14ac:dyDescent="0.25">
      <c r="A2085" s="1"/>
      <c r="B2085" s="17"/>
      <c r="C2085" s="17"/>
      <c r="D2085" s="17"/>
      <c r="E2085" s="17"/>
      <c r="F2085" s="17"/>
      <c r="G2085" s="4">
        <f t="shared" si="93"/>
        <v>0</v>
      </c>
      <c r="H2085" s="17"/>
      <c r="I2085" s="4">
        <f t="shared" si="95"/>
        <v>349526.07999999996</v>
      </c>
      <c r="J2085" s="32" t="str">
        <f t="shared" si="94"/>
        <v/>
      </c>
      <c r="K2085" s="72"/>
      <c r="L2085" s="72"/>
      <c r="M2085" s="2"/>
      <c r="N2085" s="5"/>
      <c r="O2085" s="3"/>
      <c r="P2085" s="6"/>
      <c r="Q2085" s="48">
        <f>IF(Учет!$O2085=Справочники!$F$2,Учет!$H2085,0)</f>
        <v>0</v>
      </c>
      <c r="R2085" s="48">
        <f>IF(Учет!$O2085=Справочники!$F$3,Учет!$H2085,0)</f>
        <v>0</v>
      </c>
      <c r="S2085" s="48">
        <f>IF(Учет!$O2085=Справочники!$F$4,Учет!$H2085,0)</f>
        <v>0</v>
      </c>
      <c r="T2085" s="48">
        <f>IF(Учет!$O2085=Справочники!$F$5,Учет!$H2085,0)</f>
        <v>0</v>
      </c>
      <c r="U2085" s="48">
        <f>IF(Учет!$O2085=Справочники!$F$6,Учет!$H2085,0)</f>
        <v>0</v>
      </c>
      <c r="V2085" s="43">
        <f>V2084+Учет!Q2085-Q2085</f>
        <v>-488978.92000000004</v>
      </c>
      <c r="W2085" s="43">
        <f>W2084+Учет!R2085-R2085</f>
        <v>336855</v>
      </c>
      <c r="X2085" s="43">
        <f>X2084+Учет!S2085-S2085</f>
        <v>500</v>
      </c>
      <c r="Y2085" s="43">
        <f>Y2084+Учет!T2085-T2085</f>
        <v>1150</v>
      </c>
      <c r="Z2085" s="43">
        <f>Z2084+Учет!U2085-U2085</f>
        <v>500000</v>
      </c>
      <c r="AA2085" s="45">
        <f>Учет!X2085</f>
        <v>500</v>
      </c>
    </row>
    <row r="2086" spans="1:27" ht="15" customHeight="1" x14ac:dyDescent="0.25">
      <c r="A2086" s="1"/>
      <c r="B2086" s="17"/>
      <c r="C2086" s="17"/>
      <c r="D2086" s="17"/>
      <c r="E2086" s="17"/>
      <c r="F2086" s="17"/>
      <c r="G2086" s="4">
        <f t="shared" si="93"/>
        <v>0</v>
      </c>
      <c r="H2086" s="17"/>
      <c r="I2086" s="4">
        <f t="shared" si="95"/>
        <v>349526.07999999996</v>
      </c>
      <c r="J2086" s="32" t="str">
        <f t="shared" si="94"/>
        <v/>
      </c>
      <c r="K2086" s="72"/>
      <c r="L2086" s="72"/>
      <c r="M2086" s="2"/>
      <c r="N2086" s="5"/>
      <c r="O2086" s="3"/>
      <c r="P2086" s="6"/>
      <c r="Q2086" s="48">
        <f>IF(Учет!$O2086=Справочники!$F$2,Учет!$H2086,0)</f>
        <v>0</v>
      </c>
      <c r="R2086" s="48">
        <f>IF(Учет!$O2086=Справочники!$F$3,Учет!$H2086,0)</f>
        <v>0</v>
      </c>
      <c r="S2086" s="48">
        <f>IF(Учет!$O2086=Справочники!$F$4,Учет!$H2086,0)</f>
        <v>0</v>
      </c>
      <c r="T2086" s="48">
        <f>IF(Учет!$O2086=Справочники!$F$5,Учет!$H2086,0)</f>
        <v>0</v>
      </c>
      <c r="U2086" s="48">
        <f>IF(Учет!$O2086=Справочники!$F$6,Учет!$H2086,0)</f>
        <v>0</v>
      </c>
      <c r="V2086" s="43">
        <f>V2085+Учет!Q2086-Q2086</f>
        <v>-488978.92000000004</v>
      </c>
      <c r="W2086" s="43">
        <f>W2085+Учет!R2086-R2086</f>
        <v>336855</v>
      </c>
      <c r="X2086" s="43">
        <f>X2085+Учет!S2086-S2086</f>
        <v>500</v>
      </c>
      <c r="Y2086" s="43">
        <f>Y2085+Учет!T2086-T2086</f>
        <v>1150</v>
      </c>
      <c r="Z2086" s="43">
        <f>Z2085+Учет!U2086-U2086</f>
        <v>500000</v>
      </c>
      <c r="AA2086" s="45">
        <f>Учет!X2086</f>
        <v>500</v>
      </c>
    </row>
    <row r="2087" spans="1:27" ht="15" customHeight="1" x14ac:dyDescent="0.25">
      <c r="A2087" s="1"/>
      <c r="B2087" s="17"/>
      <c r="C2087" s="17"/>
      <c r="D2087" s="17"/>
      <c r="E2087" s="17"/>
      <c r="F2087" s="17"/>
      <c r="G2087" s="4">
        <f t="shared" si="93"/>
        <v>0</v>
      </c>
      <c r="H2087" s="17"/>
      <c r="I2087" s="4">
        <f t="shared" si="95"/>
        <v>349526.07999999996</v>
      </c>
      <c r="J2087" s="32" t="str">
        <f t="shared" si="94"/>
        <v/>
      </c>
      <c r="K2087" s="72"/>
      <c r="L2087" s="72"/>
      <c r="M2087" s="2"/>
      <c r="N2087" s="5"/>
      <c r="O2087" s="3"/>
      <c r="P2087" s="6"/>
      <c r="Q2087" s="48">
        <f>IF(Учет!$O2087=Справочники!$F$2,Учет!$H2087,0)</f>
        <v>0</v>
      </c>
      <c r="R2087" s="48">
        <f>IF(Учет!$O2087=Справочники!$F$3,Учет!$H2087,0)</f>
        <v>0</v>
      </c>
      <c r="S2087" s="48">
        <f>IF(Учет!$O2087=Справочники!$F$4,Учет!$H2087,0)</f>
        <v>0</v>
      </c>
      <c r="T2087" s="48">
        <f>IF(Учет!$O2087=Справочники!$F$5,Учет!$H2087,0)</f>
        <v>0</v>
      </c>
      <c r="U2087" s="48">
        <f>IF(Учет!$O2087=Справочники!$F$6,Учет!$H2087,0)</f>
        <v>0</v>
      </c>
      <c r="V2087" s="43">
        <f>V2086+Учет!Q2087-Q2087</f>
        <v>-488978.92000000004</v>
      </c>
      <c r="W2087" s="43">
        <f>W2086+Учет!R2087-R2087</f>
        <v>336855</v>
      </c>
      <c r="X2087" s="43">
        <f>X2086+Учет!S2087-S2087</f>
        <v>500</v>
      </c>
      <c r="Y2087" s="43">
        <f>Y2086+Учет!T2087-T2087</f>
        <v>1150</v>
      </c>
      <c r="Z2087" s="43">
        <f>Z2086+Учет!U2087-U2087</f>
        <v>500000</v>
      </c>
      <c r="AA2087" s="45">
        <f>Учет!X2087</f>
        <v>500</v>
      </c>
    </row>
    <row r="2088" spans="1:27" ht="15" customHeight="1" x14ac:dyDescent="0.25">
      <c r="A2088" s="1"/>
      <c r="B2088" s="17"/>
      <c r="C2088" s="17"/>
      <c r="D2088" s="17"/>
      <c r="E2088" s="17"/>
      <c r="F2088" s="17"/>
      <c r="G2088" s="4">
        <f t="shared" si="93"/>
        <v>0</v>
      </c>
      <c r="H2088" s="17"/>
      <c r="I2088" s="4">
        <f t="shared" si="95"/>
        <v>349526.07999999996</v>
      </c>
      <c r="J2088" s="32" t="str">
        <f t="shared" si="94"/>
        <v/>
      </c>
      <c r="K2088" s="72"/>
      <c r="L2088" s="72"/>
      <c r="M2088" s="2"/>
      <c r="N2088" s="5"/>
      <c r="O2088" s="3"/>
      <c r="P2088" s="6"/>
      <c r="Q2088" s="48">
        <f>IF(Учет!$O2088=Справочники!$F$2,Учет!$H2088,0)</f>
        <v>0</v>
      </c>
      <c r="R2088" s="48">
        <f>IF(Учет!$O2088=Справочники!$F$3,Учет!$H2088,0)</f>
        <v>0</v>
      </c>
      <c r="S2088" s="48">
        <f>IF(Учет!$O2088=Справочники!$F$4,Учет!$H2088,0)</f>
        <v>0</v>
      </c>
      <c r="T2088" s="48">
        <f>IF(Учет!$O2088=Справочники!$F$5,Учет!$H2088,0)</f>
        <v>0</v>
      </c>
      <c r="U2088" s="48">
        <f>IF(Учет!$O2088=Справочники!$F$6,Учет!$H2088,0)</f>
        <v>0</v>
      </c>
      <c r="V2088" s="43">
        <f>V2087+Учет!Q2088-Q2088</f>
        <v>-488978.92000000004</v>
      </c>
      <c r="W2088" s="43">
        <f>W2087+Учет!R2088-R2088</f>
        <v>336855</v>
      </c>
      <c r="X2088" s="43">
        <f>X2087+Учет!S2088-S2088</f>
        <v>500</v>
      </c>
      <c r="Y2088" s="43">
        <f>Y2087+Учет!T2088-T2088</f>
        <v>1150</v>
      </c>
      <c r="Z2088" s="43">
        <f>Z2087+Учет!U2088-U2088</f>
        <v>500000</v>
      </c>
      <c r="AA2088" s="45">
        <f>Учет!X2088</f>
        <v>500</v>
      </c>
    </row>
    <row r="2089" spans="1:27" ht="15" customHeight="1" x14ac:dyDescent="0.25">
      <c r="A2089" s="1"/>
      <c r="B2089" s="17"/>
      <c r="C2089" s="17"/>
      <c r="D2089" s="17"/>
      <c r="E2089" s="17"/>
      <c r="F2089" s="17"/>
      <c r="G2089" s="4">
        <f t="shared" si="93"/>
        <v>0</v>
      </c>
      <c r="H2089" s="17"/>
      <c r="I2089" s="4">
        <f t="shared" si="95"/>
        <v>349526.07999999996</v>
      </c>
      <c r="J2089" s="32" t="str">
        <f t="shared" si="94"/>
        <v/>
      </c>
      <c r="K2089" s="72"/>
      <c r="L2089" s="72"/>
      <c r="M2089" s="2"/>
      <c r="N2089" s="5"/>
      <c r="O2089" s="3"/>
      <c r="P2089" s="6"/>
      <c r="Q2089" s="48">
        <f>IF(Учет!$O2089=Справочники!$F$2,Учет!$H2089,0)</f>
        <v>0</v>
      </c>
      <c r="R2089" s="48">
        <f>IF(Учет!$O2089=Справочники!$F$3,Учет!$H2089,0)</f>
        <v>0</v>
      </c>
      <c r="S2089" s="48">
        <f>IF(Учет!$O2089=Справочники!$F$4,Учет!$H2089,0)</f>
        <v>0</v>
      </c>
      <c r="T2089" s="48">
        <f>IF(Учет!$O2089=Справочники!$F$5,Учет!$H2089,0)</f>
        <v>0</v>
      </c>
      <c r="U2089" s="48">
        <f>IF(Учет!$O2089=Справочники!$F$6,Учет!$H2089,0)</f>
        <v>0</v>
      </c>
      <c r="V2089" s="43">
        <f>V2088+Учет!Q2089-Q2089</f>
        <v>-488978.92000000004</v>
      </c>
      <c r="W2089" s="43">
        <f>W2088+Учет!R2089-R2089</f>
        <v>336855</v>
      </c>
      <c r="X2089" s="43">
        <f>X2088+Учет!S2089-S2089</f>
        <v>500</v>
      </c>
      <c r="Y2089" s="43">
        <f>Y2088+Учет!T2089-T2089</f>
        <v>1150</v>
      </c>
      <c r="Z2089" s="43">
        <f>Z2088+Учет!U2089-U2089</f>
        <v>500000</v>
      </c>
      <c r="AA2089" s="45">
        <f>Учет!X2089</f>
        <v>500</v>
      </c>
    </row>
    <row r="2090" spans="1:27" ht="15" customHeight="1" x14ac:dyDescent="0.25">
      <c r="A2090" s="1"/>
      <c r="B2090" s="17"/>
      <c r="C2090" s="17"/>
      <c r="D2090" s="17"/>
      <c r="E2090" s="17"/>
      <c r="F2090" s="17"/>
      <c r="G2090" s="4">
        <f t="shared" si="93"/>
        <v>0</v>
      </c>
      <c r="H2090" s="17"/>
      <c r="I2090" s="4">
        <f t="shared" si="95"/>
        <v>349526.07999999996</v>
      </c>
      <c r="J2090" s="32" t="str">
        <f t="shared" si="94"/>
        <v/>
      </c>
      <c r="K2090" s="72"/>
      <c r="L2090" s="72"/>
      <c r="M2090" s="2"/>
      <c r="N2090" s="5"/>
      <c r="O2090" s="3"/>
      <c r="P2090" s="6"/>
      <c r="Q2090" s="48">
        <f>IF(Учет!$O2090=Справочники!$F$2,Учет!$H2090,0)</f>
        <v>0</v>
      </c>
      <c r="R2090" s="48">
        <f>IF(Учет!$O2090=Справочники!$F$3,Учет!$H2090,0)</f>
        <v>0</v>
      </c>
      <c r="S2090" s="48">
        <f>IF(Учет!$O2090=Справочники!$F$4,Учет!$H2090,0)</f>
        <v>0</v>
      </c>
      <c r="T2090" s="48">
        <f>IF(Учет!$O2090=Справочники!$F$5,Учет!$H2090,0)</f>
        <v>0</v>
      </c>
      <c r="U2090" s="48">
        <f>IF(Учет!$O2090=Справочники!$F$6,Учет!$H2090,0)</f>
        <v>0</v>
      </c>
      <c r="V2090" s="43">
        <f>V2089+Учет!Q2090-Q2090</f>
        <v>-488978.92000000004</v>
      </c>
      <c r="W2090" s="43">
        <f>W2089+Учет!R2090-R2090</f>
        <v>336855</v>
      </c>
      <c r="X2090" s="43">
        <f>X2089+Учет!S2090-S2090</f>
        <v>500</v>
      </c>
      <c r="Y2090" s="43">
        <f>Y2089+Учет!T2090-T2090</f>
        <v>1150</v>
      </c>
      <c r="Z2090" s="43">
        <f>Z2089+Учет!U2090-U2090</f>
        <v>500000</v>
      </c>
      <c r="AA2090" s="45">
        <f>Учет!X2090</f>
        <v>500</v>
      </c>
    </row>
    <row r="2091" spans="1:27" ht="15" customHeight="1" x14ac:dyDescent="0.25">
      <c r="A2091" s="1"/>
      <c r="B2091" s="17"/>
      <c r="C2091" s="17"/>
      <c r="D2091" s="17"/>
      <c r="E2091" s="17"/>
      <c r="F2091" s="17"/>
      <c r="G2091" s="4">
        <f t="shared" si="93"/>
        <v>0</v>
      </c>
      <c r="H2091" s="17"/>
      <c r="I2091" s="4">
        <f t="shared" si="95"/>
        <v>349526.07999999996</v>
      </c>
      <c r="J2091" s="32" t="str">
        <f t="shared" si="94"/>
        <v/>
      </c>
      <c r="K2091" s="72"/>
      <c r="L2091" s="72"/>
      <c r="M2091" s="2"/>
      <c r="N2091" s="5"/>
      <c r="O2091" s="3"/>
      <c r="P2091" s="6"/>
      <c r="Q2091" s="48">
        <f>IF(Учет!$O2091=Справочники!$F$2,Учет!$H2091,0)</f>
        <v>0</v>
      </c>
      <c r="R2091" s="48">
        <f>IF(Учет!$O2091=Справочники!$F$3,Учет!$H2091,0)</f>
        <v>0</v>
      </c>
      <c r="S2091" s="48">
        <f>IF(Учет!$O2091=Справочники!$F$4,Учет!$H2091,0)</f>
        <v>0</v>
      </c>
      <c r="T2091" s="48">
        <f>IF(Учет!$O2091=Справочники!$F$5,Учет!$H2091,0)</f>
        <v>0</v>
      </c>
      <c r="U2091" s="48">
        <f>IF(Учет!$O2091=Справочники!$F$6,Учет!$H2091,0)</f>
        <v>0</v>
      </c>
      <c r="V2091" s="43">
        <f>V2090+Учет!Q2091-Q2091</f>
        <v>-488978.92000000004</v>
      </c>
      <c r="W2091" s="43">
        <f>W2090+Учет!R2091-R2091</f>
        <v>336855</v>
      </c>
      <c r="X2091" s="43">
        <f>X2090+Учет!S2091-S2091</f>
        <v>500</v>
      </c>
      <c r="Y2091" s="43">
        <f>Y2090+Учет!T2091-T2091</f>
        <v>1150</v>
      </c>
      <c r="Z2091" s="43">
        <f>Z2090+Учет!U2091-U2091</f>
        <v>500000</v>
      </c>
      <c r="AA2091" s="45">
        <f>Учет!X2091</f>
        <v>500</v>
      </c>
    </row>
    <row r="2092" spans="1:27" ht="15" customHeight="1" x14ac:dyDescent="0.25">
      <c r="A2092" s="1"/>
      <c r="B2092" s="17"/>
      <c r="C2092" s="17"/>
      <c r="D2092" s="17"/>
      <c r="E2092" s="17"/>
      <c r="F2092" s="17"/>
      <c r="G2092" s="4">
        <f t="shared" si="93"/>
        <v>0</v>
      </c>
      <c r="H2092" s="17"/>
      <c r="I2092" s="4">
        <f t="shared" si="95"/>
        <v>349526.07999999996</v>
      </c>
      <c r="J2092" s="32" t="str">
        <f t="shared" si="94"/>
        <v/>
      </c>
      <c r="K2092" s="72"/>
      <c r="L2092" s="72"/>
      <c r="M2092" s="2"/>
      <c r="N2092" s="5"/>
      <c r="O2092" s="3"/>
      <c r="P2092" s="6"/>
      <c r="Q2092" s="48">
        <f>IF(Учет!$O2092=Справочники!$F$2,Учет!$H2092,0)</f>
        <v>0</v>
      </c>
      <c r="R2092" s="48">
        <f>IF(Учет!$O2092=Справочники!$F$3,Учет!$H2092,0)</f>
        <v>0</v>
      </c>
      <c r="S2092" s="48">
        <f>IF(Учет!$O2092=Справочники!$F$4,Учет!$H2092,0)</f>
        <v>0</v>
      </c>
      <c r="T2092" s="48">
        <f>IF(Учет!$O2092=Справочники!$F$5,Учет!$H2092,0)</f>
        <v>0</v>
      </c>
      <c r="U2092" s="48">
        <f>IF(Учет!$O2092=Справочники!$F$6,Учет!$H2092,0)</f>
        <v>0</v>
      </c>
      <c r="V2092" s="43">
        <f>V2091+Учет!Q2092-Q2092</f>
        <v>-488978.92000000004</v>
      </c>
      <c r="W2092" s="43">
        <f>W2091+Учет!R2092-R2092</f>
        <v>336855</v>
      </c>
      <c r="X2092" s="43">
        <f>X2091+Учет!S2092-S2092</f>
        <v>500</v>
      </c>
      <c r="Y2092" s="43">
        <f>Y2091+Учет!T2092-T2092</f>
        <v>1150</v>
      </c>
      <c r="Z2092" s="43">
        <f>Z2091+Учет!U2092-U2092</f>
        <v>500000</v>
      </c>
      <c r="AA2092" s="45">
        <f>Учет!X2092</f>
        <v>500</v>
      </c>
    </row>
    <row r="2093" spans="1:27" ht="15" customHeight="1" x14ac:dyDescent="0.25">
      <c r="A2093" s="1"/>
      <c r="B2093" s="17"/>
      <c r="C2093" s="17"/>
      <c r="D2093" s="17"/>
      <c r="E2093" s="17"/>
      <c r="F2093" s="17"/>
      <c r="G2093" s="4">
        <f t="shared" si="93"/>
        <v>0</v>
      </c>
      <c r="H2093" s="17"/>
      <c r="I2093" s="4">
        <f t="shared" si="95"/>
        <v>349526.07999999996</v>
      </c>
      <c r="J2093" s="32" t="str">
        <f t="shared" si="94"/>
        <v/>
      </c>
      <c r="K2093" s="72"/>
      <c r="L2093" s="72"/>
      <c r="M2093" s="2"/>
      <c r="N2093" s="5"/>
      <c r="O2093" s="3"/>
      <c r="P2093" s="6"/>
      <c r="Q2093" s="48">
        <f>IF(Учет!$O2093=Справочники!$F$2,Учет!$H2093,0)</f>
        <v>0</v>
      </c>
      <c r="R2093" s="48">
        <f>IF(Учет!$O2093=Справочники!$F$3,Учет!$H2093,0)</f>
        <v>0</v>
      </c>
      <c r="S2093" s="48">
        <f>IF(Учет!$O2093=Справочники!$F$4,Учет!$H2093,0)</f>
        <v>0</v>
      </c>
      <c r="T2093" s="48">
        <f>IF(Учет!$O2093=Справочники!$F$5,Учет!$H2093,0)</f>
        <v>0</v>
      </c>
      <c r="U2093" s="48">
        <f>IF(Учет!$O2093=Справочники!$F$6,Учет!$H2093,0)</f>
        <v>0</v>
      </c>
      <c r="V2093" s="43">
        <f>V2092+Учет!Q2093-Q2093</f>
        <v>-488978.92000000004</v>
      </c>
      <c r="W2093" s="43">
        <f>W2092+Учет!R2093-R2093</f>
        <v>336855</v>
      </c>
      <c r="X2093" s="43">
        <f>X2092+Учет!S2093-S2093</f>
        <v>500</v>
      </c>
      <c r="Y2093" s="43">
        <f>Y2092+Учет!T2093-T2093</f>
        <v>1150</v>
      </c>
      <c r="Z2093" s="43">
        <f>Z2092+Учет!U2093-U2093</f>
        <v>500000</v>
      </c>
      <c r="AA2093" s="45">
        <f>Учет!X2093</f>
        <v>500</v>
      </c>
    </row>
    <row r="2094" spans="1:27" ht="15" customHeight="1" x14ac:dyDescent="0.25">
      <c r="A2094" s="1"/>
      <c r="B2094" s="17"/>
      <c r="C2094" s="17"/>
      <c r="D2094" s="17"/>
      <c r="E2094" s="17"/>
      <c r="F2094" s="17"/>
      <c r="G2094" s="4">
        <f t="shared" si="93"/>
        <v>0</v>
      </c>
      <c r="H2094" s="17"/>
      <c r="I2094" s="4">
        <f t="shared" si="95"/>
        <v>349526.07999999996</v>
      </c>
      <c r="J2094" s="32" t="str">
        <f t="shared" si="94"/>
        <v/>
      </c>
      <c r="K2094" s="72"/>
      <c r="L2094" s="72"/>
      <c r="M2094" s="2"/>
      <c r="N2094" s="5"/>
      <c r="O2094" s="3"/>
      <c r="P2094" s="6"/>
      <c r="Q2094" s="48">
        <f>IF(Учет!$O2094=Справочники!$F$2,Учет!$H2094,0)</f>
        <v>0</v>
      </c>
      <c r="R2094" s="48">
        <f>IF(Учет!$O2094=Справочники!$F$3,Учет!$H2094,0)</f>
        <v>0</v>
      </c>
      <c r="S2094" s="48">
        <f>IF(Учет!$O2094=Справочники!$F$4,Учет!$H2094,0)</f>
        <v>0</v>
      </c>
      <c r="T2094" s="48">
        <f>IF(Учет!$O2094=Справочники!$F$5,Учет!$H2094,0)</f>
        <v>0</v>
      </c>
      <c r="U2094" s="48">
        <f>IF(Учет!$O2094=Справочники!$F$6,Учет!$H2094,0)</f>
        <v>0</v>
      </c>
      <c r="V2094" s="43">
        <f>V2093+Учет!Q2094-Q2094</f>
        <v>-488978.92000000004</v>
      </c>
      <c r="W2094" s="43">
        <f>W2093+Учет!R2094-R2094</f>
        <v>336855</v>
      </c>
      <c r="X2094" s="43">
        <f>X2093+Учет!S2094-S2094</f>
        <v>500</v>
      </c>
      <c r="Y2094" s="43">
        <f>Y2093+Учет!T2094-T2094</f>
        <v>1150</v>
      </c>
      <c r="Z2094" s="43">
        <f>Z2093+Учет!U2094-U2094</f>
        <v>500000</v>
      </c>
      <c r="AA2094" s="45">
        <f>Учет!X2094</f>
        <v>500</v>
      </c>
    </row>
    <row r="2095" spans="1:27" ht="15" customHeight="1" x14ac:dyDescent="0.25">
      <c r="A2095" s="1"/>
      <c r="B2095" s="17"/>
      <c r="C2095" s="17"/>
      <c r="D2095" s="17"/>
      <c r="E2095" s="17"/>
      <c r="F2095" s="17"/>
      <c r="G2095" s="4">
        <f t="shared" si="93"/>
        <v>0</v>
      </c>
      <c r="H2095" s="17"/>
      <c r="I2095" s="4">
        <f t="shared" si="95"/>
        <v>349526.07999999996</v>
      </c>
      <c r="J2095" s="32" t="str">
        <f t="shared" si="94"/>
        <v/>
      </c>
      <c r="K2095" s="72"/>
      <c r="L2095" s="72"/>
      <c r="M2095" s="2"/>
      <c r="N2095" s="5"/>
      <c r="O2095" s="3"/>
      <c r="P2095" s="6"/>
      <c r="Q2095" s="48">
        <f>IF(Учет!$O2095=Справочники!$F$2,Учет!$H2095,0)</f>
        <v>0</v>
      </c>
      <c r="R2095" s="48">
        <f>IF(Учет!$O2095=Справочники!$F$3,Учет!$H2095,0)</f>
        <v>0</v>
      </c>
      <c r="S2095" s="48">
        <f>IF(Учет!$O2095=Справочники!$F$4,Учет!$H2095,0)</f>
        <v>0</v>
      </c>
      <c r="T2095" s="48">
        <f>IF(Учет!$O2095=Справочники!$F$5,Учет!$H2095,0)</f>
        <v>0</v>
      </c>
      <c r="U2095" s="48">
        <f>IF(Учет!$O2095=Справочники!$F$6,Учет!$H2095,0)</f>
        <v>0</v>
      </c>
      <c r="V2095" s="43">
        <f>V2094+Учет!Q2095-Q2095</f>
        <v>-488978.92000000004</v>
      </c>
      <c r="W2095" s="43">
        <f>W2094+Учет!R2095-R2095</f>
        <v>336855</v>
      </c>
      <c r="X2095" s="43">
        <f>X2094+Учет!S2095-S2095</f>
        <v>500</v>
      </c>
      <c r="Y2095" s="43">
        <f>Y2094+Учет!T2095-T2095</f>
        <v>1150</v>
      </c>
      <c r="Z2095" s="43">
        <f>Z2094+Учет!U2095-U2095</f>
        <v>500000</v>
      </c>
      <c r="AA2095" s="45">
        <f>Учет!X2095</f>
        <v>500</v>
      </c>
    </row>
    <row r="2096" spans="1:27" ht="15" customHeight="1" x14ac:dyDescent="0.25">
      <c r="A2096" s="1"/>
      <c r="B2096" s="17"/>
      <c r="C2096" s="17"/>
      <c r="D2096" s="17"/>
      <c r="E2096" s="17"/>
      <c r="F2096" s="17"/>
      <c r="G2096" s="4">
        <f t="shared" si="93"/>
        <v>0</v>
      </c>
      <c r="H2096" s="17"/>
      <c r="I2096" s="4">
        <f t="shared" si="95"/>
        <v>349526.07999999996</v>
      </c>
      <c r="J2096" s="32" t="str">
        <f t="shared" si="94"/>
        <v/>
      </c>
      <c r="K2096" s="72"/>
      <c r="L2096" s="72"/>
      <c r="M2096" s="2"/>
      <c r="N2096" s="5"/>
      <c r="O2096" s="3"/>
      <c r="P2096" s="6"/>
      <c r="Q2096" s="48">
        <f>IF(Учет!$O2096=Справочники!$F$2,Учет!$H2096,0)</f>
        <v>0</v>
      </c>
      <c r="R2096" s="48">
        <f>IF(Учет!$O2096=Справочники!$F$3,Учет!$H2096,0)</f>
        <v>0</v>
      </c>
      <c r="S2096" s="48">
        <f>IF(Учет!$O2096=Справочники!$F$4,Учет!$H2096,0)</f>
        <v>0</v>
      </c>
      <c r="T2096" s="48">
        <f>IF(Учет!$O2096=Справочники!$F$5,Учет!$H2096,0)</f>
        <v>0</v>
      </c>
      <c r="U2096" s="48">
        <f>IF(Учет!$O2096=Справочники!$F$6,Учет!$H2096,0)</f>
        <v>0</v>
      </c>
      <c r="V2096" s="43">
        <f>V2095+Учет!Q2096-Q2096</f>
        <v>-488978.92000000004</v>
      </c>
      <c r="W2096" s="43">
        <f>W2095+Учет!R2096-R2096</f>
        <v>336855</v>
      </c>
      <c r="X2096" s="43">
        <f>X2095+Учет!S2096-S2096</f>
        <v>500</v>
      </c>
      <c r="Y2096" s="43">
        <f>Y2095+Учет!T2096-T2096</f>
        <v>1150</v>
      </c>
      <c r="Z2096" s="43">
        <f>Z2095+Учет!U2096-U2096</f>
        <v>500000</v>
      </c>
      <c r="AA2096" s="45">
        <f>Учет!X2096</f>
        <v>500</v>
      </c>
    </row>
    <row r="2097" spans="1:27" ht="15" customHeight="1" x14ac:dyDescent="0.25">
      <c r="A2097" s="1"/>
      <c r="B2097" s="17"/>
      <c r="C2097" s="17"/>
      <c r="D2097" s="17"/>
      <c r="E2097" s="17"/>
      <c r="F2097" s="17"/>
      <c r="G2097" s="4">
        <f t="shared" si="93"/>
        <v>0</v>
      </c>
      <c r="H2097" s="17"/>
      <c r="I2097" s="4">
        <f t="shared" si="95"/>
        <v>349526.07999999996</v>
      </c>
      <c r="J2097" s="32" t="str">
        <f t="shared" si="94"/>
        <v/>
      </c>
      <c r="K2097" s="72"/>
      <c r="L2097" s="72"/>
      <c r="M2097" s="2"/>
      <c r="N2097" s="5"/>
      <c r="O2097" s="3"/>
      <c r="P2097" s="6"/>
      <c r="Q2097" s="48">
        <f>IF(Учет!$O2097=Справочники!$F$2,Учет!$H2097,0)</f>
        <v>0</v>
      </c>
      <c r="R2097" s="48">
        <f>IF(Учет!$O2097=Справочники!$F$3,Учет!$H2097,0)</f>
        <v>0</v>
      </c>
      <c r="S2097" s="48">
        <f>IF(Учет!$O2097=Справочники!$F$4,Учет!$H2097,0)</f>
        <v>0</v>
      </c>
      <c r="T2097" s="48">
        <f>IF(Учет!$O2097=Справочники!$F$5,Учет!$H2097,0)</f>
        <v>0</v>
      </c>
      <c r="U2097" s="48">
        <f>IF(Учет!$O2097=Справочники!$F$6,Учет!$H2097,0)</f>
        <v>0</v>
      </c>
      <c r="V2097" s="43">
        <f>V2096+Учет!Q2097-Q2097</f>
        <v>-488978.92000000004</v>
      </c>
      <c r="W2097" s="43">
        <f>W2096+Учет!R2097-R2097</f>
        <v>336855</v>
      </c>
      <c r="X2097" s="43">
        <f>X2096+Учет!S2097-S2097</f>
        <v>500</v>
      </c>
      <c r="Y2097" s="43">
        <f>Y2096+Учет!T2097-T2097</f>
        <v>1150</v>
      </c>
      <c r="Z2097" s="43">
        <f>Z2096+Учет!U2097-U2097</f>
        <v>500000</v>
      </c>
      <c r="AA2097" s="45">
        <f>Учет!X2097</f>
        <v>500</v>
      </c>
    </row>
    <row r="2098" spans="1:27" ht="15" customHeight="1" x14ac:dyDescent="0.25">
      <c r="A2098" s="1"/>
      <c r="B2098" s="17"/>
      <c r="C2098" s="17"/>
      <c r="D2098" s="17"/>
      <c r="E2098" s="17"/>
      <c r="F2098" s="17"/>
      <c r="G2098" s="4">
        <f t="shared" si="93"/>
        <v>0</v>
      </c>
      <c r="H2098" s="17"/>
      <c r="I2098" s="4">
        <f t="shared" si="95"/>
        <v>349526.07999999996</v>
      </c>
      <c r="J2098" s="32" t="str">
        <f t="shared" si="94"/>
        <v/>
      </c>
      <c r="K2098" s="72"/>
      <c r="L2098" s="72"/>
      <c r="M2098" s="2"/>
      <c r="N2098" s="5"/>
      <c r="O2098" s="3"/>
      <c r="P2098" s="6"/>
      <c r="Q2098" s="48">
        <f>IF(Учет!$O2098=Справочники!$F$2,Учет!$H2098,0)</f>
        <v>0</v>
      </c>
      <c r="R2098" s="48">
        <f>IF(Учет!$O2098=Справочники!$F$3,Учет!$H2098,0)</f>
        <v>0</v>
      </c>
      <c r="S2098" s="48">
        <f>IF(Учет!$O2098=Справочники!$F$4,Учет!$H2098,0)</f>
        <v>0</v>
      </c>
      <c r="T2098" s="48">
        <f>IF(Учет!$O2098=Справочники!$F$5,Учет!$H2098,0)</f>
        <v>0</v>
      </c>
      <c r="U2098" s="48">
        <f>IF(Учет!$O2098=Справочники!$F$6,Учет!$H2098,0)</f>
        <v>0</v>
      </c>
      <c r="V2098" s="43">
        <f>V2097+Учет!Q2098-Q2098</f>
        <v>-488978.92000000004</v>
      </c>
      <c r="W2098" s="43">
        <f>W2097+Учет!R2098-R2098</f>
        <v>336855</v>
      </c>
      <c r="X2098" s="43">
        <f>X2097+Учет!S2098-S2098</f>
        <v>500</v>
      </c>
      <c r="Y2098" s="43">
        <f>Y2097+Учет!T2098-T2098</f>
        <v>1150</v>
      </c>
      <c r="Z2098" s="43">
        <f>Z2097+Учет!U2098-U2098</f>
        <v>500000</v>
      </c>
      <c r="AA2098" s="45">
        <f>Учет!X2098</f>
        <v>500</v>
      </c>
    </row>
    <row r="2099" spans="1:27" ht="15" customHeight="1" x14ac:dyDescent="0.25">
      <c r="A2099" s="1"/>
      <c r="B2099" s="17"/>
      <c r="C2099" s="17"/>
      <c r="D2099" s="17"/>
      <c r="E2099" s="17"/>
      <c r="F2099" s="17"/>
      <c r="G2099" s="4">
        <f t="shared" si="93"/>
        <v>0</v>
      </c>
      <c r="H2099" s="17"/>
      <c r="I2099" s="4">
        <f t="shared" si="95"/>
        <v>349526.07999999996</v>
      </c>
      <c r="J2099" s="32" t="str">
        <f t="shared" si="94"/>
        <v/>
      </c>
      <c r="K2099" s="72"/>
      <c r="L2099" s="72"/>
      <c r="M2099" s="2"/>
      <c r="N2099" s="5"/>
      <c r="O2099" s="3"/>
      <c r="P2099" s="6"/>
      <c r="Q2099" s="48">
        <f>IF(Учет!$O2099=Справочники!$F$2,Учет!$H2099,0)</f>
        <v>0</v>
      </c>
      <c r="R2099" s="48">
        <f>IF(Учет!$O2099=Справочники!$F$3,Учет!$H2099,0)</f>
        <v>0</v>
      </c>
      <c r="S2099" s="48">
        <f>IF(Учет!$O2099=Справочники!$F$4,Учет!$H2099,0)</f>
        <v>0</v>
      </c>
      <c r="T2099" s="48">
        <f>IF(Учет!$O2099=Справочники!$F$5,Учет!$H2099,0)</f>
        <v>0</v>
      </c>
      <c r="U2099" s="48">
        <f>IF(Учет!$O2099=Справочники!$F$6,Учет!$H2099,0)</f>
        <v>0</v>
      </c>
      <c r="V2099" s="43">
        <f>V2098+Учет!Q2099-Q2099</f>
        <v>-488978.92000000004</v>
      </c>
      <c r="W2099" s="43">
        <f>W2098+Учет!R2099-R2099</f>
        <v>336855</v>
      </c>
      <c r="X2099" s="43">
        <f>X2098+Учет!S2099-S2099</f>
        <v>500</v>
      </c>
      <c r="Y2099" s="43">
        <f>Y2098+Учет!T2099-T2099</f>
        <v>1150</v>
      </c>
      <c r="Z2099" s="43">
        <f>Z2098+Учет!U2099-U2099</f>
        <v>500000</v>
      </c>
      <c r="AA2099" s="45">
        <f>Учет!X2099</f>
        <v>500</v>
      </c>
    </row>
    <row r="2100" spans="1:27" ht="15" customHeight="1" x14ac:dyDescent="0.25">
      <c r="A2100" s="1"/>
      <c r="B2100" s="17"/>
      <c r="C2100" s="17"/>
      <c r="D2100" s="17"/>
      <c r="E2100" s="17"/>
      <c r="F2100" s="17"/>
      <c r="G2100" s="4">
        <f t="shared" si="93"/>
        <v>0</v>
      </c>
      <c r="H2100" s="17"/>
      <c r="I2100" s="4">
        <f t="shared" si="95"/>
        <v>349526.07999999996</v>
      </c>
      <c r="J2100" s="32" t="str">
        <f t="shared" si="94"/>
        <v/>
      </c>
      <c r="K2100" s="72"/>
      <c r="L2100" s="72"/>
      <c r="M2100" s="2"/>
      <c r="N2100" s="5"/>
      <c r="O2100" s="3"/>
      <c r="P2100" s="6"/>
      <c r="Q2100" s="48">
        <f>IF(Учет!$O2100=Справочники!$F$2,Учет!$H2100,0)</f>
        <v>0</v>
      </c>
      <c r="R2100" s="48">
        <f>IF(Учет!$O2100=Справочники!$F$3,Учет!$H2100,0)</f>
        <v>0</v>
      </c>
      <c r="S2100" s="48">
        <f>IF(Учет!$O2100=Справочники!$F$4,Учет!$H2100,0)</f>
        <v>0</v>
      </c>
      <c r="T2100" s="48">
        <f>IF(Учет!$O2100=Справочники!$F$5,Учет!$H2100,0)</f>
        <v>0</v>
      </c>
      <c r="U2100" s="48">
        <f>IF(Учет!$O2100=Справочники!$F$6,Учет!$H2100,0)</f>
        <v>0</v>
      </c>
      <c r="V2100" s="43">
        <f>V2099+Учет!Q2100-Q2100</f>
        <v>-488978.92000000004</v>
      </c>
      <c r="W2100" s="43">
        <f>W2099+Учет!R2100-R2100</f>
        <v>336855</v>
      </c>
      <c r="X2100" s="43">
        <f>X2099+Учет!S2100-S2100</f>
        <v>500</v>
      </c>
      <c r="Y2100" s="43">
        <f>Y2099+Учет!T2100-T2100</f>
        <v>1150</v>
      </c>
      <c r="Z2100" s="43">
        <f>Z2099+Учет!U2100-U2100</f>
        <v>500000</v>
      </c>
      <c r="AA2100" s="45">
        <f>Учет!X2100</f>
        <v>500</v>
      </c>
    </row>
    <row r="2101" spans="1:27" ht="15" customHeight="1" x14ac:dyDescent="0.25">
      <c r="A2101" s="1"/>
      <c r="B2101" s="17"/>
      <c r="C2101" s="17"/>
      <c r="D2101" s="17"/>
      <c r="E2101" s="17"/>
      <c r="F2101" s="17"/>
      <c r="G2101" s="4">
        <f t="shared" si="93"/>
        <v>0</v>
      </c>
      <c r="H2101" s="17"/>
      <c r="I2101" s="4">
        <f t="shared" si="95"/>
        <v>349526.07999999996</v>
      </c>
      <c r="J2101" s="32" t="str">
        <f t="shared" si="94"/>
        <v/>
      </c>
      <c r="K2101" s="72"/>
      <c r="L2101" s="72"/>
      <c r="M2101" s="2"/>
      <c r="N2101" s="5"/>
      <c r="O2101" s="3"/>
      <c r="P2101" s="6"/>
      <c r="Q2101" s="48">
        <f>IF(Учет!$O2101=Справочники!$F$2,Учет!$H2101,0)</f>
        <v>0</v>
      </c>
      <c r="R2101" s="48">
        <f>IF(Учет!$O2101=Справочники!$F$3,Учет!$H2101,0)</f>
        <v>0</v>
      </c>
      <c r="S2101" s="48">
        <f>IF(Учет!$O2101=Справочники!$F$4,Учет!$H2101,0)</f>
        <v>0</v>
      </c>
      <c r="T2101" s="48">
        <f>IF(Учет!$O2101=Справочники!$F$5,Учет!$H2101,0)</f>
        <v>0</v>
      </c>
      <c r="U2101" s="48">
        <f>IF(Учет!$O2101=Справочники!$F$6,Учет!$H2101,0)</f>
        <v>0</v>
      </c>
      <c r="V2101" s="43">
        <f>V2100+Учет!Q2101-Q2101</f>
        <v>-488978.92000000004</v>
      </c>
      <c r="W2101" s="43">
        <f>W2100+Учет!R2101-R2101</f>
        <v>336855</v>
      </c>
      <c r="X2101" s="43">
        <f>X2100+Учет!S2101-S2101</f>
        <v>500</v>
      </c>
      <c r="Y2101" s="43">
        <f>Y2100+Учет!T2101-T2101</f>
        <v>1150</v>
      </c>
      <c r="Z2101" s="43">
        <f>Z2100+Учет!U2101-U2101</f>
        <v>500000</v>
      </c>
      <c r="AA2101" s="45">
        <f>Учет!X2101</f>
        <v>500</v>
      </c>
    </row>
    <row r="2102" spans="1:27" ht="15" customHeight="1" x14ac:dyDescent="0.25">
      <c r="A2102" s="1"/>
      <c r="B2102" s="17"/>
      <c r="C2102" s="17"/>
      <c r="D2102" s="17"/>
      <c r="E2102" s="17"/>
      <c r="F2102" s="17"/>
      <c r="G2102" s="4">
        <f t="shared" si="93"/>
        <v>0</v>
      </c>
      <c r="H2102" s="17"/>
      <c r="I2102" s="4">
        <f t="shared" si="95"/>
        <v>349526.07999999996</v>
      </c>
      <c r="J2102" s="32" t="str">
        <f t="shared" si="94"/>
        <v/>
      </c>
      <c r="K2102" s="72"/>
      <c r="L2102" s="72"/>
      <c r="M2102" s="2"/>
      <c r="N2102" s="5"/>
      <c r="O2102" s="3"/>
      <c r="P2102" s="6"/>
      <c r="Q2102" s="48">
        <f>IF(Учет!$O2102=Справочники!$F$2,Учет!$H2102,0)</f>
        <v>0</v>
      </c>
      <c r="R2102" s="48">
        <f>IF(Учет!$O2102=Справочники!$F$3,Учет!$H2102,0)</f>
        <v>0</v>
      </c>
      <c r="S2102" s="48">
        <f>IF(Учет!$O2102=Справочники!$F$4,Учет!$H2102,0)</f>
        <v>0</v>
      </c>
      <c r="T2102" s="48">
        <f>IF(Учет!$O2102=Справочники!$F$5,Учет!$H2102,0)</f>
        <v>0</v>
      </c>
      <c r="U2102" s="48">
        <f>IF(Учет!$O2102=Справочники!$F$6,Учет!$H2102,0)</f>
        <v>0</v>
      </c>
      <c r="V2102" s="43">
        <f>V2101+Учет!Q2102-Q2102</f>
        <v>-488978.92000000004</v>
      </c>
      <c r="W2102" s="43">
        <f>W2101+Учет!R2102-R2102</f>
        <v>336855</v>
      </c>
      <c r="X2102" s="43">
        <f>X2101+Учет!S2102-S2102</f>
        <v>500</v>
      </c>
      <c r="Y2102" s="43">
        <f>Y2101+Учет!T2102-T2102</f>
        <v>1150</v>
      </c>
      <c r="Z2102" s="43">
        <f>Z2101+Учет!U2102-U2102</f>
        <v>500000</v>
      </c>
      <c r="AA2102" s="45">
        <f>Учет!X2102</f>
        <v>500</v>
      </c>
    </row>
    <row r="2103" spans="1:27" ht="15" customHeight="1" x14ac:dyDescent="0.25">
      <c r="A2103" s="1"/>
      <c r="B2103" s="17"/>
      <c r="C2103" s="17"/>
      <c r="D2103" s="17"/>
      <c r="E2103" s="17"/>
      <c r="F2103" s="17"/>
      <c r="G2103" s="4">
        <f t="shared" si="93"/>
        <v>0</v>
      </c>
      <c r="H2103" s="17"/>
      <c r="I2103" s="4">
        <f t="shared" si="95"/>
        <v>349526.07999999996</v>
      </c>
      <c r="J2103" s="32" t="str">
        <f t="shared" si="94"/>
        <v/>
      </c>
      <c r="K2103" s="72"/>
      <c r="L2103" s="72"/>
      <c r="M2103" s="2"/>
      <c r="N2103" s="5"/>
      <c r="O2103" s="3"/>
      <c r="P2103" s="6"/>
      <c r="Q2103" s="48">
        <f>IF(Учет!$O2103=Справочники!$F$2,Учет!$H2103,0)</f>
        <v>0</v>
      </c>
      <c r="R2103" s="48">
        <f>IF(Учет!$O2103=Справочники!$F$3,Учет!$H2103,0)</f>
        <v>0</v>
      </c>
      <c r="S2103" s="48">
        <f>IF(Учет!$O2103=Справочники!$F$4,Учет!$H2103,0)</f>
        <v>0</v>
      </c>
      <c r="T2103" s="48">
        <f>IF(Учет!$O2103=Справочники!$F$5,Учет!$H2103,0)</f>
        <v>0</v>
      </c>
      <c r="U2103" s="48">
        <f>IF(Учет!$O2103=Справочники!$F$6,Учет!$H2103,0)</f>
        <v>0</v>
      </c>
      <c r="V2103" s="43">
        <f>V2102+Учет!Q2103-Q2103</f>
        <v>-488978.92000000004</v>
      </c>
      <c r="W2103" s="43">
        <f>W2102+Учет!R2103-R2103</f>
        <v>336855</v>
      </c>
      <c r="X2103" s="43">
        <f>X2102+Учет!S2103-S2103</f>
        <v>500</v>
      </c>
      <c r="Y2103" s="43">
        <f>Y2102+Учет!T2103-T2103</f>
        <v>1150</v>
      </c>
      <c r="Z2103" s="43">
        <f>Z2102+Учет!U2103-U2103</f>
        <v>500000</v>
      </c>
      <c r="AA2103" s="45">
        <f>Учет!X2103</f>
        <v>500</v>
      </c>
    </row>
    <row r="2104" spans="1:27" ht="15" customHeight="1" x14ac:dyDescent="0.25">
      <c r="A2104" s="1"/>
      <c r="B2104" s="17"/>
      <c r="C2104" s="17"/>
      <c r="D2104" s="17"/>
      <c r="E2104" s="17"/>
      <c r="F2104" s="17"/>
      <c r="G2104" s="4">
        <f t="shared" si="93"/>
        <v>0</v>
      </c>
      <c r="H2104" s="17"/>
      <c r="I2104" s="4">
        <f t="shared" si="95"/>
        <v>349526.07999999996</v>
      </c>
      <c r="J2104" s="32" t="str">
        <f t="shared" si="94"/>
        <v/>
      </c>
      <c r="K2104" s="72"/>
      <c r="L2104" s="72"/>
      <c r="M2104" s="2"/>
      <c r="N2104" s="5"/>
      <c r="O2104" s="3"/>
      <c r="P2104" s="6"/>
      <c r="Q2104" s="48">
        <f>IF(Учет!$O2104=Справочники!$F$2,Учет!$H2104,0)</f>
        <v>0</v>
      </c>
      <c r="R2104" s="48">
        <f>IF(Учет!$O2104=Справочники!$F$3,Учет!$H2104,0)</f>
        <v>0</v>
      </c>
      <c r="S2104" s="48">
        <f>IF(Учет!$O2104=Справочники!$F$4,Учет!$H2104,0)</f>
        <v>0</v>
      </c>
      <c r="T2104" s="48">
        <f>IF(Учет!$O2104=Справочники!$F$5,Учет!$H2104,0)</f>
        <v>0</v>
      </c>
      <c r="U2104" s="48">
        <f>IF(Учет!$O2104=Справочники!$F$6,Учет!$H2104,0)</f>
        <v>0</v>
      </c>
      <c r="V2104" s="43">
        <f>V2103+Учет!Q2104-Q2104</f>
        <v>-488978.92000000004</v>
      </c>
      <c r="W2104" s="43">
        <f>W2103+Учет!R2104-R2104</f>
        <v>336855</v>
      </c>
      <c r="X2104" s="43">
        <f>X2103+Учет!S2104-S2104</f>
        <v>500</v>
      </c>
      <c r="Y2104" s="43">
        <f>Y2103+Учет!T2104-T2104</f>
        <v>1150</v>
      </c>
      <c r="Z2104" s="43">
        <f>Z2103+Учет!U2104-U2104</f>
        <v>500000</v>
      </c>
      <c r="AA2104" s="45">
        <f>Учет!X2104</f>
        <v>500</v>
      </c>
    </row>
    <row r="2105" spans="1:27" ht="15" customHeight="1" x14ac:dyDescent="0.25">
      <c r="A2105" s="1"/>
      <c r="B2105" s="17"/>
      <c r="C2105" s="17"/>
      <c r="D2105" s="17"/>
      <c r="E2105" s="17"/>
      <c r="F2105" s="17"/>
      <c r="G2105" s="4">
        <f t="shared" si="93"/>
        <v>0</v>
      </c>
      <c r="H2105" s="17"/>
      <c r="I2105" s="4">
        <f t="shared" si="95"/>
        <v>349526.07999999996</v>
      </c>
      <c r="J2105" s="32" t="str">
        <f t="shared" si="94"/>
        <v/>
      </c>
      <c r="K2105" s="72"/>
      <c r="L2105" s="72"/>
      <c r="M2105" s="2"/>
      <c r="N2105" s="5"/>
      <c r="O2105" s="3"/>
      <c r="P2105" s="6"/>
      <c r="Q2105" s="48">
        <f>IF(Учет!$O2105=Справочники!$F$2,Учет!$H2105,0)</f>
        <v>0</v>
      </c>
      <c r="R2105" s="48">
        <f>IF(Учет!$O2105=Справочники!$F$3,Учет!$H2105,0)</f>
        <v>0</v>
      </c>
      <c r="S2105" s="48">
        <f>IF(Учет!$O2105=Справочники!$F$4,Учет!$H2105,0)</f>
        <v>0</v>
      </c>
      <c r="T2105" s="48">
        <f>IF(Учет!$O2105=Справочники!$F$5,Учет!$H2105,0)</f>
        <v>0</v>
      </c>
      <c r="U2105" s="48">
        <f>IF(Учет!$O2105=Справочники!$F$6,Учет!$H2105,0)</f>
        <v>0</v>
      </c>
      <c r="V2105" s="43">
        <f>V2104+Учет!Q2105-Q2105</f>
        <v>-488978.92000000004</v>
      </c>
      <c r="W2105" s="43">
        <f>W2104+Учет!R2105-R2105</f>
        <v>336855</v>
      </c>
      <c r="X2105" s="43">
        <f>X2104+Учет!S2105-S2105</f>
        <v>500</v>
      </c>
      <c r="Y2105" s="43">
        <f>Y2104+Учет!T2105-T2105</f>
        <v>1150</v>
      </c>
      <c r="Z2105" s="43">
        <f>Z2104+Учет!U2105-U2105</f>
        <v>500000</v>
      </c>
      <c r="AA2105" s="45">
        <f>Учет!X2105</f>
        <v>500</v>
      </c>
    </row>
    <row r="2106" spans="1:27" ht="15" customHeight="1" x14ac:dyDescent="0.25">
      <c r="A2106" s="1"/>
      <c r="B2106" s="17"/>
      <c r="C2106" s="17"/>
      <c r="D2106" s="17"/>
      <c r="E2106" s="17"/>
      <c r="F2106" s="17"/>
      <c r="G2106" s="4">
        <f t="shared" si="93"/>
        <v>0</v>
      </c>
      <c r="H2106" s="17"/>
      <c r="I2106" s="4">
        <f t="shared" si="95"/>
        <v>349526.07999999996</v>
      </c>
      <c r="J2106" s="32" t="str">
        <f t="shared" si="94"/>
        <v/>
      </c>
      <c r="K2106" s="72"/>
      <c r="L2106" s="72"/>
      <c r="M2106" s="2"/>
      <c r="N2106" s="5"/>
      <c r="O2106" s="3"/>
      <c r="P2106" s="6"/>
      <c r="Q2106" s="48">
        <f>IF(Учет!$O2106=Справочники!$F$2,Учет!$H2106,0)</f>
        <v>0</v>
      </c>
      <c r="R2106" s="48">
        <f>IF(Учет!$O2106=Справочники!$F$3,Учет!$H2106,0)</f>
        <v>0</v>
      </c>
      <c r="S2106" s="48">
        <f>IF(Учет!$O2106=Справочники!$F$4,Учет!$H2106,0)</f>
        <v>0</v>
      </c>
      <c r="T2106" s="48">
        <f>IF(Учет!$O2106=Справочники!$F$5,Учет!$H2106,0)</f>
        <v>0</v>
      </c>
      <c r="U2106" s="48">
        <f>IF(Учет!$O2106=Справочники!$F$6,Учет!$H2106,0)</f>
        <v>0</v>
      </c>
      <c r="V2106" s="43">
        <f>V2105+Учет!Q2106-Q2106</f>
        <v>-488978.92000000004</v>
      </c>
      <c r="W2106" s="43">
        <f>W2105+Учет!R2106-R2106</f>
        <v>336855</v>
      </c>
      <c r="X2106" s="43">
        <f>X2105+Учет!S2106-S2106</f>
        <v>500</v>
      </c>
      <c r="Y2106" s="43">
        <f>Y2105+Учет!T2106-T2106</f>
        <v>1150</v>
      </c>
      <c r="Z2106" s="43">
        <f>Z2105+Учет!U2106-U2106</f>
        <v>500000</v>
      </c>
      <c r="AA2106" s="45">
        <f>Учет!X2106</f>
        <v>500</v>
      </c>
    </row>
    <row r="2107" spans="1:27" ht="15" customHeight="1" x14ac:dyDescent="0.25">
      <c r="A2107" s="1"/>
      <c r="B2107" s="17"/>
      <c r="C2107" s="17"/>
      <c r="D2107" s="17"/>
      <c r="E2107" s="17"/>
      <c r="F2107" s="17"/>
      <c r="G2107" s="4">
        <f t="shared" si="93"/>
        <v>0</v>
      </c>
      <c r="H2107" s="17"/>
      <c r="I2107" s="4">
        <f t="shared" si="95"/>
        <v>349526.07999999996</v>
      </c>
      <c r="J2107" s="32" t="str">
        <f t="shared" si="94"/>
        <v/>
      </c>
      <c r="K2107" s="72"/>
      <c r="L2107" s="72"/>
      <c r="M2107" s="2"/>
      <c r="N2107" s="5"/>
      <c r="O2107" s="3"/>
      <c r="P2107" s="6"/>
      <c r="Q2107" s="48">
        <f>IF(Учет!$O2107=Справочники!$F$2,Учет!$H2107,0)</f>
        <v>0</v>
      </c>
      <c r="R2107" s="48">
        <f>IF(Учет!$O2107=Справочники!$F$3,Учет!$H2107,0)</f>
        <v>0</v>
      </c>
      <c r="S2107" s="48">
        <f>IF(Учет!$O2107=Справочники!$F$4,Учет!$H2107,0)</f>
        <v>0</v>
      </c>
      <c r="T2107" s="48">
        <f>IF(Учет!$O2107=Справочники!$F$5,Учет!$H2107,0)</f>
        <v>0</v>
      </c>
      <c r="U2107" s="48">
        <f>IF(Учет!$O2107=Справочники!$F$6,Учет!$H2107,0)</f>
        <v>0</v>
      </c>
      <c r="V2107" s="43">
        <f>V2106+Учет!Q2107-Q2107</f>
        <v>-488978.92000000004</v>
      </c>
      <c r="W2107" s="43">
        <f>W2106+Учет!R2107-R2107</f>
        <v>336855</v>
      </c>
      <c r="X2107" s="43">
        <f>X2106+Учет!S2107-S2107</f>
        <v>500</v>
      </c>
      <c r="Y2107" s="43">
        <f>Y2106+Учет!T2107-T2107</f>
        <v>1150</v>
      </c>
      <c r="Z2107" s="43">
        <f>Z2106+Учет!U2107-U2107</f>
        <v>500000</v>
      </c>
      <c r="AA2107" s="45">
        <f>Учет!X2107</f>
        <v>500</v>
      </c>
    </row>
    <row r="2108" spans="1:27" ht="15" customHeight="1" x14ac:dyDescent="0.25">
      <c r="A2108" s="1"/>
      <c r="B2108" s="17"/>
      <c r="C2108" s="17"/>
      <c r="D2108" s="17"/>
      <c r="E2108" s="17"/>
      <c r="F2108" s="17"/>
      <c r="G2108" s="4">
        <f t="shared" si="93"/>
        <v>0</v>
      </c>
      <c r="H2108" s="17"/>
      <c r="I2108" s="4">
        <f t="shared" si="95"/>
        <v>349526.07999999996</v>
      </c>
      <c r="J2108" s="32" t="str">
        <f t="shared" si="94"/>
        <v/>
      </c>
      <c r="K2108" s="72"/>
      <c r="L2108" s="72"/>
      <c r="M2108" s="2"/>
      <c r="N2108" s="5"/>
      <c r="O2108" s="3"/>
      <c r="P2108" s="6"/>
      <c r="Q2108" s="48">
        <f>IF(Учет!$O2108=Справочники!$F$2,Учет!$H2108,0)</f>
        <v>0</v>
      </c>
      <c r="R2108" s="48">
        <f>IF(Учет!$O2108=Справочники!$F$3,Учет!$H2108,0)</f>
        <v>0</v>
      </c>
      <c r="S2108" s="48">
        <f>IF(Учет!$O2108=Справочники!$F$4,Учет!$H2108,0)</f>
        <v>0</v>
      </c>
      <c r="T2108" s="48">
        <f>IF(Учет!$O2108=Справочники!$F$5,Учет!$H2108,0)</f>
        <v>0</v>
      </c>
      <c r="U2108" s="48">
        <f>IF(Учет!$O2108=Справочники!$F$6,Учет!$H2108,0)</f>
        <v>0</v>
      </c>
      <c r="V2108" s="43">
        <f>V2107+Учет!Q2108-Q2108</f>
        <v>-488978.92000000004</v>
      </c>
      <c r="W2108" s="43">
        <f>W2107+Учет!R2108-R2108</f>
        <v>336855</v>
      </c>
      <c r="X2108" s="43">
        <f>X2107+Учет!S2108-S2108</f>
        <v>500</v>
      </c>
      <c r="Y2108" s="43">
        <f>Y2107+Учет!T2108-T2108</f>
        <v>1150</v>
      </c>
      <c r="Z2108" s="43">
        <f>Z2107+Учет!U2108-U2108</f>
        <v>500000</v>
      </c>
      <c r="AA2108" s="45">
        <f>Учет!X2108</f>
        <v>500</v>
      </c>
    </row>
    <row r="2109" spans="1:27" ht="15" customHeight="1" x14ac:dyDescent="0.25">
      <c r="A2109" s="1"/>
      <c r="B2109" s="17"/>
      <c r="C2109" s="17"/>
      <c r="D2109" s="17"/>
      <c r="E2109" s="17"/>
      <c r="F2109" s="17"/>
      <c r="G2109" s="4">
        <f t="shared" si="93"/>
        <v>0</v>
      </c>
      <c r="H2109" s="17"/>
      <c r="I2109" s="4">
        <f t="shared" si="95"/>
        <v>349526.07999999996</v>
      </c>
      <c r="J2109" s="32" t="str">
        <f t="shared" si="94"/>
        <v/>
      </c>
      <c r="K2109" s="72"/>
      <c r="L2109" s="72"/>
      <c r="M2109" s="2"/>
      <c r="N2109" s="5"/>
      <c r="O2109" s="3"/>
      <c r="P2109" s="6"/>
      <c r="Q2109" s="48">
        <f>IF(Учет!$O2109=Справочники!$F$2,Учет!$H2109,0)</f>
        <v>0</v>
      </c>
      <c r="R2109" s="48">
        <f>IF(Учет!$O2109=Справочники!$F$3,Учет!$H2109,0)</f>
        <v>0</v>
      </c>
      <c r="S2109" s="48">
        <f>IF(Учет!$O2109=Справочники!$F$4,Учет!$H2109,0)</f>
        <v>0</v>
      </c>
      <c r="T2109" s="48">
        <f>IF(Учет!$O2109=Справочники!$F$5,Учет!$H2109,0)</f>
        <v>0</v>
      </c>
      <c r="U2109" s="48">
        <f>IF(Учет!$O2109=Справочники!$F$6,Учет!$H2109,0)</f>
        <v>0</v>
      </c>
      <c r="V2109" s="43">
        <f>V2108+Учет!Q2109-Q2109</f>
        <v>-488978.92000000004</v>
      </c>
      <c r="W2109" s="43">
        <f>W2108+Учет!R2109-R2109</f>
        <v>336855</v>
      </c>
      <c r="X2109" s="43">
        <f>X2108+Учет!S2109-S2109</f>
        <v>500</v>
      </c>
      <c r="Y2109" s="43">
        <f>Y2108+Учет!T2109-T2109</f>
        <v>1150</v>
      </c>
      <c r="Z2109" s="43">
        <f>Z2108+Учет!U2109-U2109</f>
        <v>500000</v>
      </c>
      <c r="AA2109" s="45">
        <f>Учет!X2109</f>
        <v>500</v>
      </c>
    </row>
    <row r="2110" spans="1:27" ht="15" customHeight="1" x14ac:dyDescent="0.25">
      <c r="A2110" s="1"/>
      <c r="B2110" s="17"/>
      <c r="C2110" s="17"/>
      <c r="D2110" s="17"/>
      <c r="E2110" s="17"/>
      <c r="F2110" s="17"/>
      <c r="G2110" s="4">
        <f t="shared" si="93"/>
        <v>0</v>
      </c>
      <c r="H2110" s="17"/>
      <c r="I2110" s="4">
        <f t="shared" si="95"/>
        <v>349526.07999999996</v>
      </c>
      <c r="J2110" s="32" t="str">
        <f t="shared" si="94"/>
        <v/>
      </c>
      <c r="K2110" s="72"/>
      <c r="L2110" s="72"/>
      <c r="M2110" s="2"/>
      <c r="N2110" s="5"/>
      <c r="O2110" s="3"/>
      <c r="P2110" s="6"/>
      <c r="Q2110" s="48">
        <f>IF(Учет!$O2110=Справочники!$F$2,Учет!$H2110,0)</f>
        <v>0</v>
      </c>
      <c r="R2110" s="48">
        <f>IF(Учет!$O2110=Справочники!$F$3,Учет!$H2110,0)</f>
        <v>0</v>
      </c>
      <c r="S2110" s="48">
        <f>IF(Учет!$O2110=Справочники!$F$4,Учет!$H2110,0)</f>
        <v>0</v>
      </c>
      <c r="T2110" s="48">
        <f>IF(Учет!$O2110=Справочники!$F$5,Учет!$H2110,0)</f>
        <v>0</v>
      </c>
      <c r="U2110" s="48">
        <f>IF(Учет!$O2110=Справочники!$F$6,Учет!$H2110,0)</f>
        <v>0</v>
      </c>
      <c r="V2110" s="43">
        <f>V2109+Учет!Q2110-Q2110</f>
        <v>-488978.92000000004</v>
      </c>
      <c r="W2110" s="43">
        <f>W2109+Учет!R2110-R2110</f>
        <v>336855</v>
      </c>
      <c r="X2110" s="43">
        <f>X2109+Учет!S2110-S2110</f>
        <v>500</v>
      </c>
      <c r="Y2110" s="43">
        <f>Y2109+Учет!T2110-T2110</f>
        <v>1150</v>
      </c>
      <c r="Z2110" s="43">
        <f>Z2109+Учет!U2110-U2110</f>
        <v>500000</v>
      </c>
      <c r="AA2110" s="45">
        <f>Учет!X2110</f>
        <v>500</v>
      </c>
    </row>
    <row r="2111" spans="1:27" ht="15" customHeight="1" x14ac:dyDescent="0.25">
      <c r="A2111" s="1"/>
      <c r="B2111" s="17"/>
      <c r="C2111" s="17"/>
      <c r="D2111" s="17"/>
      <c r="E2111" s="17"/>
      <c r="F2111" s="17"/>
      <c r="G2111" s="4">
        <f t="shared" si="93"/>
        <v>0</v>
      </c>
      <c r="H2111" s="17"/>
      <c r="I2111" s="4">
        <f t="shared" si="95"/>
        <v>349526.07999999996</v>
      </c>
      <c r="J2111" s="32" t="str">
        <f t="shared" si="94"/>
        <v/>
      </c>
      <c r="K2111" s="72"/>
      <c r="L2111" s="72"/>
      <c r="M2111" s="2"/>
      <c r="N2111" s="5"/>
      <c r="O2111" s="3"/>
      <c r="P2111" s="6"/>
      <c r="Q2111" s="48">
        <f>IF(Учет!$O2111=Справочники!$F$2,Учет!$H2111,0)</f>
        <v>0</v>
      </c>
      <c r="R2111" s="48">
        <f>IF(Учет!$O2111=Справочники!$F$3,Учет!$H2111,0)</f>
        <v>0</v>
      </c>
      <c r="S2111" s="48">
        <f>IF(Учет!$O2111=Справочники!$F$4,Учет!$H2111,0)</f>
        <v>0</v>
      </c>
      <c r="T2111" s="48">
        <f>IF(Учет!$O2111=Справочники!$F$5,Учет!$H2111,0)</f>
        <v>0</v>
      </c>
      <c r="U2111" s="48">
        <f>IF(Учет!$O2111=Справочники!$F$6,Учет!$H2111,0)</f>
        <v>0</v>
      </c>
      <c r="V2111" s="43">
        <f>V2110+Учет!Q2111-Q2111</f>
        <v>-488978.92000000004</v>
      </c>
      <c r="W2111" s="43">
        <f>W2110+Учет!R2111-R2111</f>
        <v>336855</v>
      </c>
      <c r="X2111" s="43">
        <f>X2110+Учет!S2111-S2111</f>
        <v>500</v>
      </c>
      <c r="Y2111" s="43">
        <f>Y2110+Учет!T2111-T2111</f>
        <v>1150</v>
      </c>
      <c r="Z2111" s="43">
        <f>Z2110+Учет!U2111-U2111</f>
        <v>500000</v>
      </c>
      <c r="AA2111" s="45">
        <f>Учет!X2111</f>
        <v>500</v>
      </c>
    </row>
    <row r="2112" spans="1:27" ht="15" customHeight="1" x14ac:dyDescent="0.25">
      <c r="A2112" s="1"/>
      <c r="B2112" s="17"/>
      <c r="C2112" s="17"/>
      <c r="D2112" s="17"/>
      <c r="E2112" s="17"/>
      <c r="F2112" s="17"/>
      <c r="G2112" s="4">
        <f t="shared" si="93"/>
        <v>0</v>
      </c>
      <c r="H2112" s="17"/>
      <c r="I2112" s="4">
        <f t="shared" si="95"/>
        <v>349526.07999999996</v>
      </c>
      <c r="J2112" s="32" t="str">
        <f t="shared" si="94"/>
        <v/>
      </c>
      <c r="K2112" s="72"/>
      <c r="L2112" s="72"/>
      <c r="M2112" s="2"/>
      <c r="N2112" s="5"/>
      <c r="O2112" s="3"/>
      <c r="P2112" s="6"/>
      <c r="Q2112" s="48">
        <f>IF(Учет!$O2112=Справочники!$F$2,Учет!$H2112,0)</f>
        <v>0</v>
      </c>
      <c r="R2112" s="48">
        <f>IF(Учет!$O2112=Справочники!$F$3,Учет!$H2112,0)</f>
        <v>0</v>
      </c>
      <c r="S2112" s="48">
        <f>IF(Учет!$O2112=Справочники!$F$4,Учет!$H2112,0)</f>
        <v>0</v>
      </c>
      <c r="T2112" s="48">
        <f>IF(Учет!$O2112=Справочники!$F$5,Учет!$H2112,0)</f>
        <v>0</v>
      </c>
      <c r="U2112" s="48">
        <f>IF(Учет!$O2112=Справочники!$F$6,Учет!$H2112,0)</f>
        <v>0</v>
      </c>
      <c r="V2112" s="43">
        <f>V2111+Учет!Q2112-Q2112</f>
        <v>-488978.92000000004</v>
      </c>
      <c r="W2112" s="43">
        <f>W2111+Учет!R2112-R2112</f>
        <v>336855</v>
      </c>
      <c r="X2112" s="43">
        <f>X2111+Учет!S2112-S2112</f>
        <v>500</v>
      </c>
      <c r="Y2112" s="43">
        <f>Y2111+Учет!T2112-T2112</f>
        <v>1150</v>
      </c>
      <c r="Z2112" s="43">
        <f>Z2111+Учет!U2112-U2112</f>
        <v>500000</v>
      </c>
      <c r="AA2112" s="45">
        <f>Учет!X2112</f>
        <v>500</v>
      </c>
    </row>
    <row r="2113" spans="1:27" ht="15" customHeight="1" x14ac:dyDescent="0.25">
      <c r="A2113" s="1"/>
      <c r="B2113" s="17"/>
      <c r="C2113" s="17"/>
      <c r="D2113" s="17"/>
      <c r="E2113" s="17"/>
      <c r="F2113" s="17"/>
      <c r="G2113" s="4">
        <f t="shared" si="93"/>
        <v>0</v>
      </c>
      <c r="H2113" s="17"/>
      <c r="I2113" s="4">
        <f t="shared" si="95"/>
        <v>349526.07999999996</v>
      </c>
      <c r="J2113" s="32" t="str">
        <f t="shared" si="94"/>
        <v/>
      </c>
      <c r="K2113" s="72"/>
      <c r="L2113" s="72"/>
      <c r="M2113" s="2"/>
      <c r="N2113" s="5"/>
      <c r="O2113" s="3"/>
      <c r="P2113" s="6"/>
      <c r="Q2113" s="48">
        <f>IF(Учет!$O2113=Справочники!$F$2,Учет!$H2113,0)</f>
        <v>0</v>
      </c>
      <c r="R2113" s="48">
        <f>IF(Учет!$O2113=Справочники!$F$3,Учет!$H2113,0)</f>
        <v>0</v>
      </c>
      <c r="S2113" s="48">
        <f>IF(Учет!$O2113=Справочники!$F$4,Учет!$H2113,0)</f>
        <v>0</v>
      </c>
      <c r="T2113" s="48">
        <f>IF(Учет!$O2113=Справочники!$F$5,Учет!$H2113,0)</f>
        <v>0</v>
      </c>
      <c r="U2113" s="48">
        <f>IF(Учет!$O2113=Справочники!$F$6,Учет!$H2113,0)</f>
        <v>0</v>
      </c>
      <c r="V2113" s="43">
        <f>V2112+Учет!Q2113-Q2113</f>
        <v>-488978.92000000004</v>
      </c>
      <c r="W2113" s="43">
        <f>W2112+Учет!R2113-R2113</f>
        <v>336855</v>
      </c>
      <c r="X2113" s="43">
        <f>X2112+Учет!S2113-S2113</f>
        <v>500</v>
      </c>
      <c r="Y2113" s="43">
        <f>Y2112+Учет!T2113-T2113</f>
        <v>1150</v>
      </c>
      <c r="Z2113" s="43">
        <f>Z2112+Учет!U2113-U2113</f>
        <v>500000</v>
      </c>
      <c r="AA2113" s="45">
        <f>Учет!X2113</f>
        <v>500</v>
      </c>
    </row>
    <row r="2114" spans="1:27" ht="15" customHeight="1" x14ac:dyDescent="0.25">
      <c r="A2114" s="1"/>
      <c r="B2114" s="17"/>
      <c r="C2114" s="17"/>
      <c r="D2114" s="17"/>
      <c r="E2114" s="17"/>
      <c r="F2114" s="17"/>
      <c r="G2114" s="4">
        <f t="shared" ref="G2114:G2177" si="96">SUM($B2114:$F2114)</f>
        <v>0</v>
      </c>
      <c r="H2114" s="17"/>
      <c r="I2114" s="4">
        <f t="shared" si="95"/>
        <v>349526.07999999996</v>
      </c>
      <c r="J2114" s="32" t="str">
        <f t="shared" ref="J2114:J2177" si="97">IF($A2115&lt;&gt;$A2114,$I2114,"")</f>
        <v/>
      </c>
      <c r="K2114" s="72"/>
      <c r="L2114" s="72"/>
      <c r="M2114" s="2"/>
      <c r="N2114" s="5"/>
      <c r="O2114" s="3"/>
      <c r="P2114" s="6"/>
      <c r="Q2114" s="48">
        <f>IF(Учет!$O2114=Справочники!$F$2,Учет!$H2114,0)</f>
        <v>0</v>
      </c>
      <c r="R2114" s="48">
        <f>IF(Учет!$O2114=Справочники!$F$3,Учет!$H2114,0)</f>
        <v>0</v>
      </c>
      <c r="S2114" s="48">
        <f>IF(Учет!$O2114=Справочники!$F$4,Учет!$H2114,0)</f>
        <v>0</v>
      </c>
      <c r="T2114" s="48">
        <f>IF(Учет!$O2114=Справочники!$F$5,Учет!$H2114,0)</f>
        <v>0</v>
      </c>
      <c r="U2114" s="48">
        <f>IF(Учет!$O2114=Справочники!$F$6,Учет!$H2114,0)</f>
        <v>0</v>
      </c>
      <c r="V2114" s="43">
        <f>V2113+Учет!Q2114-Q2114</f>
        <v>-488978.92000000004</v>
      </c>
      <c r="W2114" s="43">
        <f>W2113+Учет!R2114-R2114</f>
        <v>336855</v>
      </c>
      <c r="X2114" s="43">
        <f>X2113+Учет!S2114-S2114</f>
        <v>500</v>
      </c>
      <c r="Y2114" s="43">
        <f>Y2113+Учет!T2114-T2114</f>
        <v>1150</v>
      </c>
      <c r="Z2114" s="43">
        <f>Z2113+Учет!U2114-U2114</f>
        <v>500000</v>
      </c>
      <c r="AA2114" s="45">
        <f>Учет!X2114</f>
        <v>500</v>
      </c>
    </row>
    <row r="2115" spans="1:27" ht="15" customHeight="1" x14ac:dyDescent="0.25">
      <c r="A2115" s="1"/>
      <c r="B2115" s="17"/>
      <c r="C2115" s="17"/>
      <c r="D2115" s="17"/>
      <c r="E2115" s="17"/>
      <c r="F2115" s="17"/>
      <c r="G2115" s="4">
        <f t="shared" si="96"/>
        <v>0</v>
      </c>
      <c r="H2115" s="17"/>
      <c r="I2115" s="4">
        <f t="shared" ref="I2115:I2178" si="98">$I2114+$G2115-$H2115</f>
        <v>349526.07999999996</v>
      </c>
      <c r="J2115" s="32" t="str">
        <f t="shared" si="97"/>
        <v/>
      </c>
      <c r="K2115" s="72"/>
      <c r="L2115" s="72"/>
      <c r="M2115" s="2"/>
      <c r="N2115" s="5"/>
      <c r="O2115" s="3"/>
      <c r="P2115" s="6"/>
      <c r="Q2115" s="48">
        <f>IF(Учет!$O2115=Справочники!$F$2,Учет!$H2115,0)</f>
        <v>0</v>
      </c>
      <c r="R2115" s="48">
        <f>IF(Учет!$O2115=Справочники!$F$3,Учет!$H2115,0)</f>
        <v>0</v>
      </c>
      <c r="S2115" s="48">
        <f>IF(Учет!$O2115=Справочники!$F$4,Учет!$H2115,0)</f>
        <v>0</v>
      </c>
      <c r="T2115" s="48">
        <f>IF(Учет!$O2115=Справочники!$F$5,Учет!$H2115,0)</f>
        <v>0</v>
      </c>
      <c r="U2115" s="48">
        <f>IF(Учет!$O2115=Справочники!$F$6,Учет!$H2115,0)</f>
        <v>0</v>
      </c>
      <c r="V2115" s="43">
        <f>V2114+Учет!Q2115-Q2115</f>
        <v>-488978.92000000004</v>
      </c>
      <c r="W2115" s="43">
        <f>W2114+Учет!R2115-R2115</f>
        <v>336855</v>
      </c>
      <c r="X2115" s="43">
        <f>X2114+Учет!S2115-S2115</f>
        <v>500</v>
      </c>
      <c r="Y2115" s="43">
        <f>Y2114+Учет!T2115-T2115</f>
        <v>1150</v>
      </c>
      <c r="Z2115" s="43">
        <f>Z2114+Учет!U2115-U2115</f>
        <v>500000</v>
      </c>
      <c r="AA2115" s="45">
        <f>Учет!X2115</f>
        <v>500</v>
      </c>
    </row>
    <row r="2116" spans="1:27" ht="15" customHeight="1" x14ac:dyDescent="0.25">
      <c r="A2116" s="1"/>
      <c r="B2116" s="17"/>
      <c r="C2116" s="17"/>
      <c r="D2116" s="17"/>
      <c r="E2116" s="17"/>
      <c r="F2116" s="17"/>
      <c r="G2116" s="4">
        <f t="shared" si="96"/>
        <v>0</v>
      </c>
      <c r="H2116" s="17"/>
      <c r="I2116" s="4">
        <f t="shared" si="98"/>
        <v>349526.07999999996</v>
      </c>
      <c r="J2116" s="32" t="str">
        <f t="shared" si="97"/>
        <v/>
      </c>
      <c r="K2116" s="72"/>
      <c r="L2116" s="72"/>
      <c r="M2116" s="2"/>
      <c r="N2116" s="5"/>
      <c r="O2116" s="3"/>
      <c r="P2116" s="6"/>
      <c r="Q2116" s="48">
        <f>IF(Учет!$O2116=Справочники!$F$2,Учет!$H2116,0)</f>
        <v>0</v>
      </c>
      <c r="R2116" s="48">
        <f>IF(Учет!$O2116=Справочники!$F$3,Учет!$H2116,0)</f>
        <v>0</v>
      </c>
      <c r="S2116" s="48">
        <f>IF(Учет!$O2116=Справочники!$F$4,Учет!$H2116,0)</f>
        <v>0</v>
      </c>
      <c r="T2116" s="48">
        <f>IF(Учет!$O2116=Справочники!$F$5,Учет!$H2116,0)</f>
        <v>0</v>
      </c>
      <c r="U2116" s="48">
        <f>IF(Учет!$O2116=Справочники!$F$6,Учет!$H2116,0)</f>
        <v>0</v>
      </c>
      <c r="V2116" s="43">
        <f>V2115+Учет!Q2116-Q2116</f>
        <v>-488978.92000000004</v>
      </c>
      <c r="W2116" s="43">
        <f>W2115+Учет!R2116-R2116</f>
        <v>336855</v>
      </c>
      <c r="X2116" s="43">
        <f>X2115+Учет!S2116-S2116</f>
        <v>500</v>
      </c>
      <c r="Y2116" s="43">
        <f>Y2115+Учет!T2116-T2116</f>
        <v>1150</v>
      </c>
      <c r="Z2116" s="43">
        <f>Z2115+Учет!U2116-U2116</f>
        <v>500000</v>
      </c>
      <c r="AA2116" s="45">
        <f>Учет!X2116</f>
        <v>500</v>
      </c>
    </row>
    <row r="2117" spans="1:27" ht="15" customHeight="1" x14ac:dyDescent="0.25">
      <c r="A2117" s="1"/>
      <c r="B2117" s="17"/>
      <c r="C2117" s="17"/>
      <c r="D2117" s="17"/>
      <c r="E2117" s="17"/>
      <c r="F2117" s="17"/>
      <c r="G2117" s="4">
        <f t="shared" si="96"/>
        <v>0</v>
      </c>
      <c r="H2117" s="17"/>
      <c r="I2117" s="4">
        <f t="shared" si="98"/>
        <v>349526.07999999996</v>
      </c>
      <c r="J2117" s="32" t="str">
        <f t="shared" si="97"/>
        <v/>
      </c>
      <c r="K2117" s="72"/>
      <c r="L2117" s="72"/>
      <c r="M2117" s="2"/>
      <c r="N2117" s="5"/>
      <c r="O2117" s="3"/>
      <c r="P2117" s="6"/>
      <c r="Q2117" s="48">
        <f>IF(Учет!$O2117=Справочники!$F$2,Учет!$H2117,0)</f>
        <v>0</v>
      </c>
      <c r="R2117" s="48">
        <f>IF(Учет!$O2117=Справочники!$F$3,Учет!$H2117,0)</f>
        <v>0</v>
      </c>
      <c r="S2117" s="48">
        <f>IF(Учет!$O2117=Справочники!$F$4,Учет!$H2117,0)</f>
        <v>0</v>
      </c>
      <c r="T2117" s="48">
        <f>IF(Учет!$O2117=Справочники!$F$5,Учет!$H2117,0)</f>
        <v>0</v>
      </c>
      <c r="U2117" s="48">
        <f>IF(Учет!$O2117=Справочники!$F$6,Учет!$H2117,0)</f>
        <v>0</v>
      </c>
      <c r="V2117" s="43">
        <f>V2116+Учет!Q2117-Q2117</f>
        <v>-488978.92000000004</v>
      </c>
      <c r="W2117" s="43">
        <f>W2116+Учет!R2117-R2117</f>
        <v>336855</v>
      </c>
      <c r="X2117" s="43">
        <f>X2116+Учет!S2117-S2117</f>
        <v>500</v>
      </c>
      <c r="Y2117" s="43">
        <f>Y2116+Учет!T2117-T2117</f>
        <v>1150</v>
      </c>
      <c r="Z2117" s="43">
        <f>Z2116+Учет!U2117-U2117</f>
        <v>500000</v>
      </c>
      <c r="AA2117" s="45">
        <f>Учет!X2117</f>
        <v>500</v>
      </c>
    </row>
    <row r="2118" spans="1:27" ht="15" customHeight="1" x14ac:dyDescent="0.25">
      <c r="A2118" s="1"/>
      <c r="B2118" s="17"/>
      <c r="C2118" s="17"/>
      <c r="D2118" s="17"/>
      <c r="E2118" s="17"/>
      <c r="F2118" s="17"/>
      <c r="G2118" s="4">
        <f t="shared" si="96"/>
        <v>0</v>
      </c>
      <c r="H2118" s="17"/>
      <c r="I2118" s="4">
        <f t="shared" si="98"/>
        <v>349526.07999999996</v>
      </c>
      <c r="J2118" s="32" t="str">
        <f t="shared" si="97"/>
        <v/>
      </c>
      <c r="K2118" s="72"/>
      <c r="L2118" s="72"/>
      <c r="M2118" s="2"/>
      <c r="N2118" s="5"/>
      <c r="O2118" s="3"/>
      <c r="P2118" s="6"/>
      <c r="Q2118" s="48">
        <f>IF(Учет!$O2118=Справочники!$F$2,Учет!$H2118,0)</f>
        <v>0</v>
      </c>
      <c r="R2118" s="48">
        <f>IF(Учет!$O2118=Справочники!$F$3,Учет!$H2118,0)</f>
        <v>0</v>
      </c>
      <c r="S2118" s="48">
        <f>IF(Учет!$O2118=Справочники!$F$4,Учет!$H2118,0)</f>
        <v>0</v>
      </c>
      <c r="T2118" s="48">
        <f>IF(Учет!$O2118=Справочники!$F$5,Учет!$H2118,0)</f>
        <v>0</v>
      </c>
      <c r="U2118" s="48">
        <f>IF(Учет!$O2118=Справочники!$F$6,Учет!$H2118,0)</f>
        <v>0</v>
      </c>
      <c r="V2118" s="43">
        <f>V2117+Учет!Q2118-Q2118</f>
        <v>-488978.92000000004</v>
      </c>
      <c r="W2118" s="43">
        <f>W2117+Учет!R2118-R2118</f>
        <v>336855</v>
      </c>
      <c r="X2118" s="43">
        <f>X2117+Учет!S2118-S2118</f>
        <v>500</v>
      </c>
      <c r="Y2118" s="43">
        <f>Y2117+Учет!T2118-T2118</f>
        <v>1150</v>
      </c>
      <c r="Z2118" s="43">
        <f>Z2117+Учет!U2118-U2118</f>
        <v>500000</v>
      </c>
      <c r="AA2118" s="45">
        <f>Учет!X2118</f>
        <v>500</v>
      </c>
    </row>
    <row r="2119" spans="1:27" ht="15" customHeight="1" x14ac:dyDescent="0.25">
      <c r="A2119" s="1"/>
      <c r="B2119" s="17"/>
      <c r="C2119" s="17"/>
      <c r="D2119" s="17"/>
      <c r="E2119" s="17"/>
      <c r="F2119" s="17"/>
      <c r="G2119" s="4">
        <f t="shared" si="96"/>
        <v>0</v>
      </c>
      <c r="H2119" s="17"/>
      <c r="I2119" s="4">
        <f t="shared" si="98"/>
        <v>349526.07999999996</v>
      </c>
      <c r="J2119" s="32" t="str">
        <f t="shared" si="97"/>
        <v/>
      </c>
      <c r="K2119" s="72"/>
      <c r="L2119" s="72"/>
      <c r="M2119" s="2"/>
      <c r="N2119" s="5"/>
      <c r="O2119" s="3"/>
      <c r="P2119" s="6"/>
      <c r="Q2119" s="48">
        <f>IF(Учет!$O2119=Справочники!$F$2,Учет!$H2119,0)</f>
        <v>0</v>
      </c>
      <c r="R2119" s="48">
        <f>IF(Учет!$O2119=Справочники!$F$3,Учет!$H2119,0)</f>
        <v>0</v>
      </c>
      <c r="S2119" s="48">
        <f>IF(Учет!$O2119=Справочники!$F$4,Учет!$H2119,0)</f>
        <v>0</v>
      </c>
      <c r="T2119" s="48">
        <f>IF(Учет!$O2119=Справочники!$F$5,Учет!$H2119,0)</f>
        <v>0</v>
      </c>
      <c r="U2119" s="48">
        <f>IF(Учет!$O2119=Справочники!$F$6,Учет!$H2119,0)</f>
        <v>0</v>
      </c>
      <c r="V2119" s="43">
        <f>V2118+Учет!Q2119-Q2119</f>
        <v>-488978.92000000004</v>
      </c>
      <c r="W2119" s="43">
        <f>W2118+Учет!R2119-R2119</f>
        <v>336855</v>
      </c>
      <c r="X2119" s="43">
        <f>X2118+Учет!S2119-S2119</f>
        <v>500</v>
      </c>
      <c r="Y2119" s="43">
        <f>Y2118+Учет!T2119-T2119</f>
        <v>1150</v>
      </c>
      <c r="Z2119" s="43">
        <f>Z2118+Учет!U2119-U2119</f>
        <v>500000</v>
      </c>
      <c r="AA2119" s="45">
        <f>Учет!X2119</f>
        <v>500</v>
      </c>
    </row>
    <row r="2120" spans="1:27" ht="15" customHeight="1" x14ac:dyDescent="0.25">
      <c r="A2120" s="1"/>
      <c r="B2120" s="17"/>
      <c r="C2120" s="17"/>
      <c r="D2120" s="17"/>
      <c r="E2120" s="17"/>
      <c r="F2120" s="17"/>
      <c r="G2120" s="4">
        <f t="shared" si="96"/>
        <v>0</v>
      </c>
      <c r="H2120" s="17"/>
      <c r="I2120" s="4">
        <f t="shared" si="98"/>
        <v>349526.07999999996</v>
      </c>
      <c r="J2120" s="32" t="str">
        <f t="shared" si="97"/>
        <v/>
      </c>
      <c r="K2120" s="72"/>
      <c r="L2120" s="72"/>
      <c r="M2120" s="2"/>
      <c r="N2120" s="5"/>
      <c r="O2120" s="3"/>
      <c r="P2120" s="6"/>
      <c r="Q2120" s="48">
        <f>IF(Учет!$O2120=Справочники!$F$2,Учет!$H2120,0)</f>
        <v>0</v>
      </c>
      <c r="R2120" s="48">
        <f>IF(Учет!$O2120=Справочники!$F$3,Учет!$H2120,0)</f>
        <v>0</v>
      </c>
      <c r="S2120" s="48">
        <f>IF(Учет!$O2120=Справочники!$F$4,Учет!$H2120,0)</f>
        <v>0</v>
      </c>
      <c r="T2120" s="48">
        <f>IF(Учет!$O2120=Справочники!$F$5,Учет!$H2120,0)</f>
        <v>0</v>
      </c>
      <c r="U2120" s="48">
        <f>IF(Учет!$O2120=Справочники!$F$6,Учет!$H2120,0)</f>
        <v>0</v>
      </c>
      <c r="V2120" s="43">
        <f>V2119+Учет!Q2120-Q2120</f>
        <v>-488978.92000000004</v>
      </c>
      <c r="W2120" s="43">
        <f>W2119+Учет!R2120-R2120</f>
        <v>336855</v>
      </c>
      <c r="X2120" s="43">
        <f>X2119+Учет!S2120-S2120</f>
        <v>500</v>
      </c>
      <c r="Y2120" s="43">
        <f>Y2119+Учет!T2120-T2120</f>
        <v>1150</v>
      </c>
      <c r="Z2120" s="43">
        <f>Z2119+Учет!U2120-U2120</f>
        <v>500000</v>
      </c>
      <c r="AA2120" s="45">
        <f>Учет!X2120</f>
        <v>500</v>
      </c>
    </row>
    <row r="2121" spans="1:27" ht="15" customHeight="1" x14ac:dyDescent="0.25">
      <c r="A2121" s="1"/>
      <c r="B2121" s="17"/>
      <c r="C2121" s="17"/>
      <c r="D2121" s="17"/>
      <c r="E2121" s="17"/>
      <c r="F2121" s="17"/>
      <c r="G2121" s="4">
        <f t="shared" si="96"/>
        <v>0</v>
      </c>
      <c r="H2121" s="17"/>
      <c r="I2121" s="4">
        <f t="shared" si="98"/>
        <v>349526.07999999996</v>
      </c>
      <c r="J2121" s="32" t="str">
        <f t="shared" si="97"/>
        <v/>
      </c>
      <c r="K2121" s="72"/>
      <c r="L2121" s="72"/>
      <c r="M2121" s="2"/>
      <c r="N2121" s="5"/>
      <c r="O2121" s="3"/>
      <c r="P2121" s="6"/>
      <c r="Q2121" s="48">
        <f>IF(Учет!$O2121=Справочники!$F$2,Учет!$H2121,0)</f>
        <v>0</v>
      </c>
      <c r="R2121" s="48">
        <f>IF(Учет!$O2121=Справочники!$F$3,Учет!$H2121,0)</f>
        <v>0</v>
      </c>
      <c r="S2121" s="48">
        <f>IF(Учет!$O2121=Справочники!$F$4,Учет!$H2121,0)</f>
        <v>0</v>
      </c>
      <c r="T2121" s="48">
        <f>IF(Учет!$O2121=Справочники!$F$5,Учет!$H2121,0)</f>
        <v>0</v>
      </c>
      <c r="U2121" s="48">
        <f>IF(Учет!$O2121=Справочники!$F$6,Учет!$H2121,0)</f>
        <v>0</v>
      </c>
      <c r="V2121" s="43">
        <f>V2120+Учет!Q2121-Q2121</f>
        <v>-488978.92000000004</v>
      </c>
      <c r="W2121" s="43">
        <f>W2120+Учет!R2121-R2121</f>
        <v>336855</v>
      </c>
      <c r="X2121" s="43">
        <f>X2120+Учет!S2121-S2121</f>
        <v>500</v>
      </c>
      <c r="Y2121" s="43">
        <f>Y2120+Учет!T2121-T2121</f>
        <v>1150</v>
      </c>
      <c r="Z2121" s="43">
        <f>Z2120+Учет!U2121-U2121</f>
        <v>500000</v>
      </c>
      <c r="AA2121" s="45">
        <f>Учет!X2121</f>
        <v>500</v>
      </c>
    </row>
    <row r="2122" spans="1:27" ht="15" customHeight="1" x14ac:dyDescent="0.25">
      <c r="A2122" s="1"/>
      <c r="B2122" s="17"/>
      <c r="C2122" s="17"/>
      <c r="D2122" s="17"/>
      <c r="E2122" s="17"/>
      <c r="F2122" s="17"/>
      <c r="G2122" s="4">
        <f t="shared" si="96"/>
        <v>0</v>
      </c>
      <c r="H2122" s="17"/>
      <c r="I2122" s="4">
        <f t="shared" si="98"/>
        <v>349526.07999999996</v>
      </c>
      <c r="J2122" s="32" t="str">
        <f t="shared" si="97"/>
        <v/>
      </c>
      <c r="K2122" s="72"/>
      <c r="L2122" s="72"/>
      <c r="M2122" s="2"/>
      <c r="N2122" s="5"/>
      <c r="O2122" s="3"/>
      <c r="P2122" s="6"/>
      <c r="Q2122" s="48">
        <f>IF(Учет!$O2122=Справочники!$F$2,Учет!$H2122,0)</f>
        <v>0</v>
      </c>
      <c r="R2122" s="48">
        <f>IF(Учет!$O2122=Справочники!$F$3,Учет!$H2122,0)</f>
        <v>0</v>
      </c>
      <c r="S2122" s="48">
        <f>IF(Учет!$O2122=Справочники!$F$4,Учет!$H2122,0)</f>
        <v>0</v>
      </c>
      <c r="T2122" s="48">
        <f>IF(Учет!$O2122=Справочники!$F$5,Учет!$H2122,0)</f>
        <v>0</v>
      </c>
      <c r="U2122" s="48">
        <f>IF(Учет!$O2122=Справочники!$F$6,Учет!$H2122,0)</f>
        <v>0</v>
      </c>
      <c r="V2122" s="43">
        <f>V2121+Учет!Q2122-Q2122</f>
        <v>-488978.92000000004</v>
      </c>
      <c r="W2122" s="43">
        <f>W2121+Учет!R2122-R2122</f>
        <v>336855</v>
      </c>
      <c r="X2122" s="43">
        <f>X2121+Учет!S2122-S2122</f>
        <v>500</v>
      </c>
      <c r="Y2122" s="43">
        <f>Y2121+Учет!T2122-T2122</f>
        <v>1150</v>
      </c>
      <c r="Z2122" s="43">
        <f>Z2121+Учет!U2122-U2122</f>
        <v>500000</v>
      </c>
      <c r="AA2122" s="45">
        <f>Учет!X2122</f>
        <v>500</v>
      </c>
    </row>
    <row r="2123" spans="1:27" ht="15" customHeight="1" x14ac:dyDescent="0.25">
      <c r="A2123" s="1"/>
      <c r="B2123" s="17"/>
      <c r="C2123" s="17"/>
      <c r="D2123" s="17"/>
      <c r="E2123" s="17"/>
      <c r="F2123" s="17"/>
      <c r="G2123" s="4">
        <f t="shared" si="96"/>
        <v>0</v>
      </c>
      <c r="H2123" s="17"/>
      <c r="I2123" s="4">
        <f t="shared" si="98"/>
        <v>349526.07999999996</v>
      </c>
      <c r="J2123" s="32" t="str">
        <f t="shared" si="97"/>
        <v/>
      </c>
      <c r="K2123" s="72"/>
      <c r="L2123" s="72"/>
      <c r="M2123" s="2"/>
      <c r="N2123" s="5"/>
      <c r="O2123" s="3"/>
      <c r="P2123" s="6"/>
      <c r="Q2123" s="48">
        <f>IF(Учет!$O2123=Справочники!$F$2,Учет!$H2123,0)</f>
        <v>0</v>
      </c>
      <c r="R2123" s="48">
        <f>IF(Учет!$O2123=Справочники!$F$3,Учет!$H2123,0)</f>
        <v>0</v>
      </c>
      <c r="S2123" s="48">
        <f>IF(Учет!$O2123=Справочники!$F$4,Учет!$H2123,0)</f>
        <v>0</v>
      </c>
      <c r="T2123" s="48">
        <f>IF(Учет!$O2123=Справочники!$F$5,Учет!$H2123,0)</f>
        <v>0</v>
      </c>
      <c r="U2123" s="48">
        <f>IF(Учет!$O2123=Справочники!$F$6,Учет!$H2123,0)</f>
        <v>0</v>
      </c>
      <c r="V2123" s="43">
        <f>V2122+Учет!Q2123-Q2123</f>
        <v>-488978.92000000004</v>
      </c>
      <c r="W2123" s="43">
        <f>W2122+Учет!R2123-R2123</f>
        <v>336855</v>
      </c>
      <c r="X2123" s="43">
        <f>X2122+Учет!S2123-S2123</f>
        <v>500</v>
      </c>
      <c r="Y2123" s="43">
        <f>Y2122+Учет!T2123-T2123</f>
        <v>1150</v>
      </c>
      <c r="Z2123" s="43">
        <f>Z2122+Учет!U2123-U2123</f>
        <v>500000</v>
      </c>
      <c r="AA2123" s="45">
        <f>Учет!X2123</f>
        <v>500</v>
      </c>
    </row>
    <row r="2124" spans="1:27" ht="15" customHeight="1" x14ac:dyDescent="0.25">
      <c r="A2124" s="1"/>
      <c r="B2124" s="17"/>
      <c r="C2124" s="17"/>
      <c r="D2124" s="17"/>
      <c r="E2124" s="17"/>
      <c r="F2124" s="17"/>
      <c r="G2124" s="4">
        <f t="shared" si="96"/>
        <v>0</v>
      </c>
      <c r="H2124" s="17"/>
      <c r="I2124" s="4">
        <f t="shared" si="98"/>
        <v>349526.07999999996</v>
      </c>
      <c r="J2124" s="32" t="str">
        <f t="shared" si="97"/>
        <v/>
      </c>
      <c r="K2124" s="72"/>
      <c r="L2124" s="72"/>
      <c r="M2124" s="2"/>
      <c r="N2124" s="5"/>
      <c r="O2124" s="3"/>
      <c r="P2124" s="6"/>
      <c r="Q2124" s="48">
        <f>IF(Учет!$O2124=Справочники!$F$2,Учет!$H2124,0)</f>
        <v>0</v>
      </c>
      <c r="R2124" s="48">
        <f>IF(Учет!$O2124=Справочники!$F$3,Учет!$H2124,0)</f>
        <v>0</v>
      </c>
      <c r="S2124" s="48">
        <f>IF(Учет!$O2124=Справочники!$F$4,Учет!$H2124,0)</f>
        <v>0</v>
      </c>
      <c r="T2124" s="48">
        <f>IF(Учет!$O2124=Справочники!$F$5,Учет!$H2124,0)</f>
        <v>0</v>
      </c>
      <c r="U2124" s="48">
        <f>IF(Учет!$O2124=Справочники!$F$6,Учет!$H2124,0)</f>
        <v>0</v>
      </c>
      <c r="V2124" s="43">
        <f>V2123+Учет!Q2124-Q2124</f>
        <v>-488978.92000000004</v>
      </c>
      <c r="W2124" s="43">
        <f>W2123+Учет!R2124-R2124</f>
        <v>336855</v>
      </c>
      <c r="X2124" s="43">
        <f>X2123+Учет!S2124-S2124</f>
        <v>500</v>
      </c>
      <c r="Y2124" s="43">
        <f>Y2123+Учет!T2124-T2124</f>
        <v>1150</v>
      </c>
      <c r="Z2124" s="43">
        <f>Z2123+Учет!U2124-U2124</f>
        <v>500000</v>
      </c>
      <c r="AA2124" s="45">
        <f>Учет!X2124</f>
        <v>500</v>
      </c>
    </row>
    <row r="2125" spans="1:27" ht="15" customHeight="1" x14ac:dyDescent="0.25">
      <c r="A2125" s="1"/>
      <c r="B2125" s="17"/>
      <c r="C2125" s="17"/>
      <c r="D2125" s="17"/>
      <c r="E2125" s="17"/>
      <c r="F2125" s="17"/>
      <c r="G2125" s="4">
        <f t="shared" si="96"/>
        <v>0</v>
      </c>
      <c r="H2125" s="17"/>
      <c r="I2125" s="4">
        <f t="shared" si="98"/>
        <v>349526.07999999996</v>
      </c>
      <c r="J2125" s="32" t="str">
        <f t="shared" si="97"/>
        <v/>
      </c>
      <c r="K2125" s="72"/>
      <c r="L2125" s="72"/>
      <c r="M2125" s="2"/>
      <c r="N2125" s="5"/>
      <c r="O2125" s="3"/>
      <c r="P2125" s="6"/>
      <c r="Q2125" s="48">
        <f>IF(Учет!$O2125=Справочники!$F$2,Учет!$H2125,0)</f>
        <v>0</v>
      </c>
      <c r="R2125" s="48">
        <f>IF(Учет!$O2125=Справочники!$F$3,Учет!$H2125,0)</f>
        <v>0</v>
      </c>
      <c r="S2125" s="48">
        <f>IF(Учет!$O2125=Справочники!$F$4,Учет!$H2125,0)</f>
        <v>0</v>
      </c>
      <c r="T2125" s="48">
        <f>IF(Учет!$O2125=Справочники!$F$5,Учет!$H2125,0)</f>
        <v>0</v>
      </c>
      <c r="U2125" s="48">
        <f>IF(Учет!$O2125=Справочники!$F$6,Учет!$H2125,0)</f>
        <v>0</v>
      </c>
      <c r="V2125" s="43">
        <f>V2124+Учет!Q2125-Q2125</f>
        <v>-488978.92000000004</v>
      </c>
      <c r="W2125" s="43">
        <f>W2124+Учет!R2125-R2125</f>
        <v>336855</v>
      </c>
      <c r="X2125" s="43">
        <f>X2124+Учет!S2125-S2125</f>
        <v>500</v>
      </c>
      <c r="Y2125" s="43">
        <f>Y2124+Учет!T2125-T2125</f>
        <v>1150</v>
      </c>
      <c r="Z2125" s="43">
        <f>Z2124+Учет!U2125-U2125</f>
        <v>500000</v>
      </c>
      <c r="AA2125" s="45">
        <f>Учет!X2125</f>
        <v>500</v>
      </c>
    </row>
    <row r="2126" spans="1:27" ht="15" customHeight="1" x14ac:dyDescent="0.25">
      <c r="A2126" s="1"/>
      <c r="B2126" s="17"/>
      <c r="C2126" s="17"/>
      <c r="D2126" s="17"/>
      <c r="E2126" s="17"/>
      <c r="F2126" s="17"/>
      <c r="G2126" s="4">
        <f t="shared" si="96"/>
        <v>0</v>
      </c>
      <c r="H2126" s="17"/>
      <c r="I2126" s="4">
        <f t="shared" si="98"/>
        <v>349526.07999999996</v>
      </c>
      <c r="J2126" s="32" t="str">
        <f t="shared" si="97"/>
        <v/>
      </c>
      <c r="K2126" s="72"/>
      <c r="L2126" s="72"/>
      <c r="M2126" s="2"/>
      <c r="N2126" s="5"/>
      <c r="O2126" s="3"/>
      <c r="P2126" s="6"/>
      <c r="Q2126" s="48">
        <f>IF(Учет!$O2126=Справочники!$F$2,Учет!$H2126,0)</f>
        <v>0</v>
      </c>
      <c r="R2126" s="48">
        <f>IF(Учет!$O2126=Справочники!$F$3,Учет!$H2126,0)</f>
        <v>0</v>
      </c>
      <c r="S2126" s="48">
        <f>IF(Учет!$O2126=Справочники!$F$4,Учет!$H2126,0)</f>
        <v>0</v>
      </c>
      <c r="T2126" s="48">
        <f>IF(Учет!$O2126=Справочники!$F$5,Учет!$H2126,0)</f>
        <v>0</v>
      </c>
      <c r="U2126" s="48">
        <f>IF(Учет!$O2126=Справочники!$F$6,Учет!$H2126,0)</f>
        <v>0</v>
      </c>
      <c r="V2126" s="43">
        <f>V2125+Учет!Q2126-Q2126</f>
        <v>-488978.92000000004</v>
      </c>
      <c r="W2126" s="43">
        <f>W2125+Учет!R2126-R2126</f>
        <v>336855</v>
      </c>
      <c r="X2126" s="43">
        <f>X2125+Учет!S2126-S2126</f>
        <v>500</v>
      </c>
      <c r="Y2126" s="43">
        <f>Y2125+Учет!T2126-T2126</f>
        <v>1150</v>
      </c>
      <c r="Z2126" s="43">
        <f>Z2125+Учет!U2126-U2126</f>
        <v>500000</v>
      </c>
      <c r="AA2126" s="45">
        <f>Учет!X2126</f>
        <v>500</v>
      </c>
    </row>
    <row r="2127" spans="1:27" ht="15" customHeight="1" x14ac:dyDescent="0.25">
      <c r="A2127" s="1"/>
      <c r="B2127" s="17"/>
      <c r="C2127" s="17"/>
      <c r="D2127" s="17"/>
      <c r="E2127" s="17"/>
      <c r="F2127" s="17"/>
      <c r="G2127" s="4">
        <f t="shared" si="96"/>
        <v>0</v>
      </c>
      <c r="H2127" s="17"/>
      <c r="I2127" s="4">
        <f t="shared" si="98"/>
        <v>349526.07999999996</v>
      </c>
      <c r="J2127" s="32" t="str">
        <f t="shared" si="97"/>
        <v/>
      </c>
      <c r="K2127" s="72"/>
      <c r="L2127" s="72"/>
      <c r="M2127" s="2"/>
      <c r="N2127" s="5"/>
      <c r="O2127" s="3"/>
      <c r="P2127" s="6"/>
      <c r="Q2127" s="48">
        <f>IF(Учет!$O2127=Справочники!$F$2,Учет!$H2127,0)</f>
        <v>0</v>
      </c>
      <c r="R2127" s="48">
        <f>IF(Учет!$O2127=Справочники!$F$3,Учет!$H2127,0)</f>
        <v>0</v>
      </c>
      <c r="S2127" s="48">
        <f>IF(Учет!$O2127=Справочники!$F$4,Учет!$H2127,0)</f>
        <v>0</v>
      </c>
      <c r="T2127" s="48">
        <f>IF(Учет!$O2127=Справочники!$F$5,Учет!$H2127,0)</f>
        <v>0</v>
      </c>
      <c r="U2127" s="48">
        <f>IF(Учет!$O2127=Справочники!$F$6,Учет!$H2127,0)</f>
        <v>0</v>
      </c>
      <c r="V2127" s="43">
        <f>V2126+Учет!Q2127-Q2127</f>
        <v>-488978.92000000004</v>
      </c>
      <c r="W2127" s="43">
        <f>W2126+Учет!R2127-R2127</f>
        <v>336855</v>
      </c>
      <c r="X2127" s="43">
        <f>X2126+Учет!S2127-S2127</f>
        <v>500</v>
      </c>
      <c r="Y2127" s="43">
        <f>Y2126+Учет!T2127-T2127</f>
        <v>1150</v>
      </c>
      <c r="Z2127" s="43">
        <f>Z2126+Учет!U2127-U2127</f>
        <v>500000</v>
      </c>
      <c r="AA2127" s="45">
        <f>Учет!X2127</f>
        <v>500</v>
      </c>
    </row>
    <row r="2128" spans="1:27" ht="15" customHeight="1" x14ac:dyDescent="0.25">
      <c r="A2128" s="1"/>
      <c r="B2128" s="17"/>
      <c r="C2128" s="17"/>
      <c r="D2128" s="17"/>
      <c r="E2128" s="17"/>
      <c r="F2128" s="17"/>
      <c r="G2128" s="4">
        <f t="shared" si="96"/>
        <v>0</v>
      </c>
      <c r="H2128" s="17"/>
      <c r="I2128" s="4">
        <f t="shared" si="98"/>
        <v>349526.07999999996</v>
      </c>
      <c r="J2128" s="32" t="str">
        <f t="shared" si="97"/>
        <v/>
      </c>
      <c r="K2128" s="72"/>
      <c r="L2128" s="72"/>
      <c r="M2128" s="2"/>
      <c r="N2128" s="5"/>
      <c r="O2128" s="3"/>
      <c r="P2128" s="6"/>
      <c r="Q2128" s="48">
        <f>IF(Учет!$O2128=Справочники!$F$2,Учет!$H2128,0)</f>
        <v>0</v>
      </c>
      <c r="R2128" s="48">
        <f>IF(Учет!$O2128=Справочники!$F$3,Учет!$H2128,0)</f>
        <v>0</v>
      </c>
      <c r="S2128" s="48">
        <f>IF(Учет!$O2128=Справочники!$F$4,Учет!$H2128,0)</f>
        <v>0</v>
      </c>
      <c r="T2128" s="48">
        <f>IF(Учет!$O2128=Справочники!$F$5,Учет!$H2128,0)</f>
        <v>0</v>
      </c>
      <c r="U2128" s="48">
        <f>IF(Учет!$O2128=Справочники!$F$6,Учет!$H2128,0)</f>
        <v>0</v>
      </c>
      <c r="V2128" s="43">
        <f>V2127+Учет!Q2128-Q2128</f>
        <v>-488978.92000000004</v>
      </c>
      <c r="W2128" s="43">
        <f>W2127+Учет!R2128-R2128</f>
        <v>336855</v>
      </c>
      <c r="X2128" s="43">
        <f>X2127+Учет!S2128-S2128</f>
        <v>500</v>
      </c>
      <c r="Y2128" s="43">
        <f>Y2127+Учет!T2128-T2128</f>
        <v>1150</v>
      </c>
      <c r="Z2128" s="43">
        <f>Z2127+Учет!U2128-U2128</f>
        <v>500000</v>
      </c>
      <c r="AA2128" s="45">
        <f>Учет!X2128</f>
        <v>500</v>
      </c>
    </row>
    <row r="2129" spans="1:27" ht="15" customHeight="1" x14ac:dyDescent="0.25">
      <c r="A2129" s="1"/>
      <c r="B2129" s="17"/>
      <c r="C2129" s="17"/>
      <c r="D2129" s="17"/>
      <c r="E2129" s="17"/>
      <c r="F2129" s="17"/>
      <c r="G2129" s="4">
        <f t="shared" si="96"/>
        <v>0</v>
      </c>
      <c r="H2129" s="17"/>
      <c r="I2129" s="4">
        <f t="shared" si="98"/>
        <v>349526.07999999996</v>
      </c>
      <c r="J2129" s="32" t="str">
        <f t="shared" si="97"/>
        <v/>
      </c>
      <c r="K2129" s="72"/>
      <c r="L2129" s="72"/>
      <c r="M2129" s="2"/>
      <c r="N2129" s="5"/>
      <c r="O2129" s="3"/>
      <c r="P2129" s="6"/>
      <c r="Q2129" s="48">
        <f>IF(Учет!$O2129=Справочники!$F$2,Учет!$H2129,0)</f>
        <v>0</v>
      </c>
      <c r="R2129" s="48">
        <f>IF(Учет!$O2129=Справочники!$F$3,Учет!$H2129,0)</f>
        <v>0</v>
      </c>
      <c r="S2129" s="48">
        <f>IF(Учет!$O2129=Справочники!$F$4,Учет!$H2129,0)</f>
        <v>0</v>
      </c>
      <c r="T2129" s="48">
        <f>IF(Учет!$O2129=Справочники!$F$5,Учет!$H2129,0)</f>
        <v>0</v>
      </c>
      <c r="U2129" s="48">
        <f>IF(Учет!$O2129=Справочники!$F$6,Учет!$H2129,0)</f>
        <v>0</v>
      </c>
      <c r="V2129" s="43">
        <f>V2128+Учет!Q2129-Q2129</f>
        <v>-488978.92000000004</v>
      </c>
      <c r="W2129" s="43">
        <f>W2128+Учет!R2129-R2129</f>
        <v>336855</v>
      </c>
      <c r="X2129" s="43">
        <f>X2128+Учет!S2129-S2129</f>
        <v>500</v>
      </c>
      <c r="Y2129" s="43">
        <f>Y2128+Учет!T2129-T2129</f>
        <v>1150</v>
      </c>
      <c r="Z2129" s="43">
        <f>Z2128+Учет!U2129-U2129</f>
        <v>500000</v>
      </c>
      <c r="AA2129" s="45">
        <f>Учет!X2129</f>
        <v>500</v>
      </c>
    </row>
    <row r="2130" spans="1:27" ht="15" customHeight="1" x14ac:dyDescent="0.25">
      <c r="A2130" s="1"/>
      <c r="B2130" s="17"/>
      <c r="C2130" s="17"/>
      <c r="D2130" s="17"/>
      <c r="E2130" s="17"/>
      <c r="F2130" s="17"/>
      <c r="G2130" s="4">
        <f t="shared" si="96"/>
        <v>0</v>
      </c>
      <c r="H2130" s="17"/>
      <c r="I2130" s="4">
        <f t="shared" si="98"/>
        <v>349526.07999999996</v>
      </c>
      <c r="J2130" s="32" t="str">
        <f t="shared" si="97"/>
        <v/>
      </c>
      <c r="K2130" s="72"/>
      <c r="L2130" s="72"/>
      <c r="M2130" s="2"/>
      <c r="N2130" s="5"/>
      <c r="O2130" s="3"/>
      <c r="P2130" s="6"/>
      <c r="Q2130" s="48">
        <f>IF(Учет!$O2130=Справочники!$F$2,Учет!$H2130,0)</f>
        <v>0</v>
      </c>
      <c r="R2130" s="48">
        <f>IF(Учет!$O2130=Справочники!$F$3,Учет!$H2130,0)</f>
        <v>0</v>
      </c>
      <c r="S2130" s="48">
        <f>IF(Учет!$O2130=Справочники!$F$4,Учет!$H2130,0)</f>
        <v>0</v>
      </c>
      <c r="T2130" s="48">
        <f>IF(Учет!$O2130=Справочники!$F$5,Учет!$H2130,0)</f>
        <v>0</v>
      </c>
      <c r="U2130" s="48">
        <f>IF(Учет!$O2130=Справочники!$F$6,Учет!$H2130,0)</f>
        <v>0</v>
      </c>
      <c r="V2130" s="43">
        <f>V2129+Учет!Q2130-Q2130</f>
        <v>-488978.92000000004</v>
      </c>
      <c r="W2130" s="43">
        <f>W2129+Учет!R2130-R2130</f>
        <v>336855</v>
      </c>
      <c r="X2130" s="43">
        <f>X2129+Учет!S2130-S2130</f>
        <v>500</v>
      </c>
      <c r="Y2130" s="43">
        <f>Y2129+Учет!T2130-T2130</f>
        <v>1150</v>
      </c>
      <c r="Z2130" s="43">
        <f>Z2129+Учет!U2130-U2130</f>
        <v>500000</v>
      </c>
      <c r="AA2130" s="45">
        <f>Учет!X2130</f>
        <v>500</v>
      </c>
    </row>
    <row r="2131" spans="1:27" ht="15" customHeight="1" x14ac:dyDescent="0.25">
      <c r="A2131" s="1"/>
      <c r="B2131" s="17"/>
      <c r="C2131" s="17"/>
      <c r="D2131" s="17"/>
      <c r="E2131" s="17"/>
      <c r="F2131" s="17"/>
      <c r="G2131" s="4">
        <f t="shared" si="96"/>
        <v>0</v>
      </c>
      <c r="H2131" s="17"/>
      <c r="I2131" s="4">
        <f t="shared" si="98"/>
        <v>349526.07999999996</v>
      </c>
      <c r="J2131" s="32" t="str">
        <f t="shared" si="97"/>
        <v/>
      </c>
      <c r="K2131" s="72"/>
      <c r="L2131" s="72"/>
      <c r="M2131" s="2"/>
      <c r="N2131" s="5"/>
      <c r="O2131" s="3"/>
      <c r="P2131" s="6"/>
      <c r="Q2131" s="48">
        <f>IF(Учет!$O2131=Справочники!$F$2,Учет!$H2131,0)</f>
        <v>0</v>
      </c>
      <c r="R2131" s="48">
        <f>IF(Учет!$O2131=Справочники!$F$3,Учет!$H2131,0)</f>
        <v>0</v>
      </c>
      <c r="S2131" s="48">
        <f>IF(Учет!$O2131=Справочники!$F$4,Учет!$H2131,0)</f>
        <v>0</v>
      </c>
      <c r="T2131" s="48">
        <f>IF(Учет!$O2131=Справочники!$F$5,Учет!$H2131,0)</f>
        <v>0</v>
      </c>
      <c r="U2131" s="48">
        <f>IF(Учет!$O2131=Справочники!$F$6,Учет!$H2131,0)</f>
        <v>0</v>
      </c>
      <c r="V2131" s="43">
        <f>V2130+Учет!Q2131-Q2131</f>
        <v>-488978.92000000004</v>
      </c>
      <c r="W2131" s="43">
        <f>W2130+Учет!R2131-R2131</f>
        <v>336855</v>
      </c>
      <c r="X2131" s="43">
        <f>X2130+Учет!S2131-S2131</f>
        <v>500</v>
      </c>
      <c r="Y2131" s="43">
        <f>Y2130+Учет!T2131-T2131</f>
        <v>1150</v>
      </c>
      <c r="Z2131" s="43">
        <f>Z2130+Учет!U2131-U2131</f>
        <v>500000</v>
      </c>
      <c r="AA2131" s="45">
        <f>Учет!X2131</f>
        <v>500</v>
      </c>
    </row>
    <row r="2132" spans="1:27" ht="15" customHeight="1" x14ac:dyDescent="0.25">
      <c r="A2132" s="1"/>
      <c r="B2132" s="17"/>
      <c r="C2132" s="17"/>
      <c r="D2132" s="17"/>
      <c r="E2132" s="17"/>
      <c r="F2132" s="17"/>
      <c r="G2132" s="4">
        <f t="shared" si="96"/>
        <v>0</v>
      </c>
      <c r="H2132" s="17"/>
      <c r="I2132" s="4">
        <f t="shared" si="98"/>
        <v>349526.07999999996</v>
      </c>
      <c r="J2132" s="32" t="str">
        <f t="shared" si="97"/>
        <v/>
      </c>
      <c r="K2132" s="72"/>
      <c r="L2132" s="72"/>
      <c r="M2132" s="2"/>
      <c r="N2132" s="5"/>
      <c r="O2132" s="3"/>
      <c r="P2132" s="6"/>
      <c r="Q2132" s="48">
        <f>IF(Учет!$O2132=Справочники!$F$2,Учет!$H2132,0)</f>
        <v>0</v>
      </c>
      <c r="R2132" s="48">
        <f>IF(Учет!$O2132=Справочники!$F$3,Учет!$H2132,0)</f>
        <v>0</v>
      </c>
      <c r="S2132" s="48">
        <f>IF(Учет!$O2132=Справочники!$F$4,Учет!$H2132,0)</f>
        <v>0</v>
      </c>
      <c r="T2132" s="48">
        <f>IF(Учет!$O2132=Справочники!$F$5,Учет!$H2132,0)</f>
        <v>0</v>
      </c>
      <c r="U2132" s="48">
        <f>IF(Учет!$O2132=Справочники!$F$6,Учет!$H2132,0)</f>
        <v>0</v>
      </c>
      <c r="V2132" s="43">
        <f>V2131+Учет!Q2132-Q2132</f>
        <v>-488978.92000000004</v>
      </c>
      <c r="W2132" s="43">
        <f>W2131+Учет!R2132-R2132</f>
        <v>336855</v>
      </c>
      <c r="X2132" s="43">
        <f>X2131+Учет!S2132-S2132</f>
        <v>500</v>
      </c>
      <c r="Y2132" s="43">
        <f>Y2131+Учет!T2132-T2132</f>
        <v>1150</v>
      </c>
      <c r="Z2132" s="43">
        <f>Z2131+Учет!U2132-U2132</f>
        <v>500000</v>
      </c>
      <c r="AA2132" s="45">
        <f>Учет!X2132</f>
        <v>500</v>
      </c>
    </row>
    <row r="2133" spans="1:27" ht="15" customHeight="1" x14ac:dyDescent="0.25">
      <c r="A2133" s="1"/>
      <c r="B2133" s="17"/>
      <c r="C2133" s="17"/>
      <c r="D2133" s="17"/>
      <c r="E2133" s="17"/>
      <c r="F2133" s="17"/>
      <c r="G2133" s="4">
        <f t="shared" si="96"/>
        <v>0</v>
      </c>
      <c r="H2133" s="17"/>
      <c r="I2133" s="4">
        <f t="shared" si="98"/>
        <v>349526.07999999996</v>
      </c>
      <c r="J2133" s="32" t="str">
        <f t="shared" si="97"/>
        <v/>
      </c>
      <c r="K2133" s="72"/>
      <c r="L2133" s="72"/>
      <c r="M2133" s="2"/>
      <c r="N2133" s="5"/>
      <c r="O2133" s="3"/>
      <c r="P2133" s="6"/>
      <c r="Q2133" s="48">
        <f>IF(Учет!$O2133=Справочники!$F$2,Учет!$H2133,0)</f>
        <v>0</v>
      </c>
      <c r="R2133" s="48">
        <f>IF(Учет!$O2133=Справочники!$F$3,Учет!$H2133,0)</f>
        <v>0</v>
      </c>
      <c r="S2133" s="48">
        <f>IF(Учет!$O2133=Справочники!$F$4,Учет!$H2133,0)</f>
        <v>0</v>
      </c>
      <c r="T2133" s="48">
        <f>IF(Учет!$O2133=Справочники!$F$5,Учет!$H2133,0)</f>
        <v>0</v>
      </c>
      <c r="U2133" s="48">
        <f>IF(Учет!$O2133=Справочники!$F$6,Учет!$H2133,0)</f>
        <v>0</v>
      </c>
      <c r="V2133" s="43">
        <f>V2132+Учет!Q2133-Q2133</f>
        <v>-488978.92000000004</v>
      </c>
      <c r="W2133" s="43">
        <f>W2132+Учет!R2133-R2133</f>
        <v>336855</v>
      </c>
      <c r="X2133" s="43">
        <f>X2132+Учет!S2133-S2133</f>
        <v>500</v>
      </c>
      <c r="Y2133" s="43">
        <f>Y2132+Учет!T2133-T2133</f>
        <v>1150</v>
      </c>
      <c r="Z2133" s="43">
        <f>Z2132+Учет!U2133-U2133</f>
        <v>500000</v>
      </c>
      <c r="AA2133" s="45">
        <f>Учет!X2133</f>
        <v>500</v>
      </c>
    </row>
    <row r="2134" spans="1:27" ht="15" customHeight="1" x14ac:dyDescent="0.25">
      <c r="A2134" s="1"/>
      <c r="B2134" s="17"/>
      <c r="C2134" s="17"/>
      <c r="D2134" s="17"/>
      <c r="E2134" s="17"/>
      <c r="F2134" s="17"/>
      <c r="G2134" s="4">
        <f t="shared" si="96"/>
        <v>0</v>
      </c>
      <c r="H2134" s="17"/>
      <c r="I2134" s="4">
        <f t="shared" si="98"/>
        <v>349526.07999999996</v>
      </c>
      <c r="J2134" s="32" t="str">
        <f t="shared" si="97"/>
        <v/>
      </c>
      <c r="K2134" s="72"/>
      <c r="L2134" s="72"/>
      <c r="M2134" s="2"/>
      <c r="N2134" s="5"/>
      <c r="O2134" s="3"/>
      <c r="P2134" s="6"/>
      <c r="Q2134" s="48">
        <f>IF(Учет!$O2134=Справочники!$F$2,Учет!$H2134,0)</f>
        <v>0</v>
      </c>
      <c r="R2134" s="48">
        <f>IF(Учет!$O2134=Справочники!$F$3,Учет!$H2134,0)</f>
        <v>0</v>
      </c>
      <c r="S2134" s="48">
        <f>IF(Учет!$O2134=Справочники!$F$4,Учет!$H2134,0)</f>
        <v>0</v>
      </c>
      <c r="T2134" s="48">
        <f>IF(Учет!$O2134=Справочники!$F$5,Учет!$H2134,0)</f>
        <v>0</v>
      </c>
      <c r="U2134" s="48">
        <f>IF(Учет!$O2134=Справочники!$F$6,Учет!$H2134,0)</f>
        <v>0</v>
      </c>
      <c r="V2134" s="43">
        <f>V2133+Учет!Q2134-Q2134</f>
        <v>-488978.92000000004</v>
      </c>
      <c r="W2134" s="43">
        <f>W2133+Учет!R2134-R2134</f>
        <v>336855</v>
      </c>
      <c r="X2134" s="43">
        <f>X2133+Учет!S2134-S2134</f>
        <v>500</v>
      </c>
      <c r="Y2134" s="43">
        <f>Y2133+Учет!T2134-T2134</f>
        <v>1150</v>
      </c>
      <c r="Z2134" s="43">
        <f>Z2133+Учет!U2134-U2134</f>
        <v>500000</v>
      </c>
      <c r="AA2134" s="45">
        <f>Учет!X2134</f>
        <v>500</v>
      </c>
    </row>
    <row r="2135" spans="1:27" ht="15" customHeight="1" x14ac:dyDescent="0.25">
      <c r="A2135" s="1"/>
      <c r="B2135" s="17"/>
      <c r="C2135" s="17"/>
      <c r="D2135" s="17"/>
      <c r="E2135" s="17"/>
      <c r="F2135" s="17"/>
      <c r="G2135" s="4">
        <f t="shared" si="96"/>
        <v>0</v>
      </c>
      <c r="H2135" s="17"/>
      <c r="I2135" s="4">
        <f t="shared" si="98"/>
        <v>349526.07999999996</v>
      </c>
      <c r="J2135" s="32" t="str">
        <f t="shared" si="97"/>
        <v/>
      </c>
      <c r="K2135" s="72"/>
      <c r="L2135" s="72"/>
      <c r="M2135" s="2"/>
      <c r="N2135" s="5"/>
      <c r="O2135" s="3"/>
      <c r="P2135" s="6"/>
      <c r="Q2135" s="48">
        <f>IF(Учет!$O2135=Справочники!$F$2,Учет!$H2135,0)</f>
        <v>0</v>
      </c>
      <c r="R2135" s="48">
        <f>IF(Учет!$O2135=Справочники!$F$3,Учет!$H2135,0)</f>
        <v>0</v>
      </c>
      <c r="S2135" s="48">
        <f>IF(Учет!$O2135=Справочники!$F$4,Учет!$H2135,0)</f>
        <v>0</v>
      </c>
      <c r="T2135" s="48">
        <f>IF(Учет!$O2135=Справочники!$F$5,Учет!$H2135,0)</f>
        <v>0</v>
      </c>
      <c r="U2135" s="48">
        <f>IF(Учет!$O2135=Справочники!$F$6,Учет!$H2135,0)</f>
        <v>0</v>
      </c>
      <c r="V2135" s="43">
        <f>V2134+Учет!Q2135-Q2135</f>
        <v>-488978.92000000004</v>
      </c>
      <c r="W2135" s="43">
        <f>W2134+Учет!R2135-R2135</f>
        <v>336855</v>
      </c>
      <c r="X2135" s="43">
        <f>X2134+Учет!S2135-S2135</f>
        <v>500</v>
      </c>
      <c r="Y2135" s="43">
        <f>Y2134+Учет!T2135-T2135</f>
        <v>1150</v>
      </c>
      <c r="Z2135" s="43">
        <f>Z2134+Учет!U2135-U2135</f>
        <v>500000</v>
      </c>
      <c r="AA2135" s="45">
        <f>Учет!X2135</f>
        <v>500</v>
      </c>
    </row>
    <row r="2136" spans="1:27" ht="15" customHeight="1" x14ac:dyDescent="0.25">
      <c r="A2136" s="1"/>
      <c r="B2136" s="17"/>
      <c r="C2136" s="17"/>
      <c r="D2136" s="17"/>
      <c r="E2136" s="17"/>
      <c r="F2136" s="17"/>
      <c r="G2136" s="4">
        <f t="shared" si="96"/>
        <v>0</v>
      </c>
      <c r="H2136" s="17"/>
      <c r="I2136" s="4">
        <f t="shared" si="98"/>
        <v>349526.07999999996</v>
      </c>
      <c r="J2136" s="32" t="str">
        <f t="shared" si="97"/>
        <v/>
      </c>
      <c r="K2136" s="72"/>
      <c r="L2136" s="72"/>
      <c r="M2136" s="2"/>
      <c r="N2136" s="5"/>
      <c r="O2136" s="3"/>
      <c r="P2136" s="6"/>
      <c r="Q2136" s="48">
        <f>IF(Учет!$O2136=Справочники!$F$2,Учет!$H2136,0)</f>
        <v>0</v>
      </c>
      <c r="R2136" s="48">
        <f>IF(Учет!$O2136=Справочники!$F$3,Учет!$H2136,0)</f>
        <v>0</v>
      </c>
      <c r="S2136" s="48">
        <f>IF(Учет!$O2136=Справочники!$F$4,Учет!$H2136,0)</f>
        <v>0</v>
      </c>
      <c r="T2136" s="48">
        <f>IF(Учет!$O2136=Справочники!$F$5,Учет!$H2136,0)</f>
        <v>0</v>
      </c>
      <c r="U2136" s="48">
        <f>IF(Учет!$O2136=Справочники!$F$6,Учет!$H2136,0)</f>
        <v>0</v>
      </c>
      <c r="V2136" s="43">
        <f>V2135+Учет!Q2136-Q2136</f>
        <v>-488978.92000000004</v>
      </c>
      <c r="W2136" s="43">
        <f>W2135+Учет!R2136-R2136</f>
        <v>336855</v>
      </c>
      <c r="X2136" s="43">
        <f>X2135+Учет!S2136-S2136</f>
        <v>500</v>
      </c>
      <c r="Y2136" s="43">
        <f>Y2135+Учет!T2136-T2136</f>
        <v>1150</v>
      </c>
      <c r="Z2136" s="43">
        <f>Z2135+Учет!U2136-U2136</f>
        <v>500000</v>
      </c>
      <c r="AA2136" s="45">
        <f>Учет!X2136</f>
        <v>500</v>
      </c>
    </row>
    <row r="2137" spans="1:27" ht="15" customHeight="1" x14ac:dyDescent="0.25">
      <c r="A2137" s="1"/>
      <c r="B2137" s="17"/>
      <c r="C2137" s="17"/>
      <c r="D2137" s="17"/>
      <c r="E2137" s="17"/>
      <c r="F2137" s="17"/>
      <c r="G2137" s="4">
        <f t="shared" si="96"/>
        <v>0</v>
      </c>
      <c r="H2137" s="17"/>
      <c r="I2137" s="4">
        <f t="shared" si="98"/>
        <v>349526.07999999996</v>
      </c>
      <c r="J2137" s="32" t="str">
        <f t="shared" si="97"/>
        <v/>
      </c>
      <c r="K2137" s="72"/>
      <c r="L2137" s="72"/>
      <c r="M2137" s="2"/>
      <c r="N2137" s="5"/>
      <c r="O2137" s="3"/>
      <c r="P2137" s="6"/>
      <c r="Q2137" s="48">
        <f>IF(Учет!$O2137=Справочники!$F$2,Учет!$H2137,0)</f>
        <v>0</v>
      </c>
      <c r="R2137" s="48">
        <f>IF(Учет!$O2137=Справочники!$F$3,Учет!$H2137,0)</f>
        <v>0</v>
      </c>
      <c r="S2137" s="48">
        <f>IF(Учет!$O2137=Справочники!$F$4,Учет!$H2137,0)</f>
        <v>0</v>
      </c>
      <c r="T2137" s="48">
        <f>IF(Учет!$O2137=Справочники!$F$5,Учет!$H2137,0)</f>
        <v>0</v>
      </c>
      <c r="U2137" s="48">
        <f>IF(Учет!$O2137=Справочники!$F$6,Учет!$H2137,0)</f>
        <v>0</v>
      </c>
      <c r="V2137" s="43">
        <f>V2136+Учет!Q2137-Q2137</f>
        <v>-488978.92000000004</v>
      </c>
      <c r="W2137" s="43">
        <f>W2136+Учет!R2137-R2137</f>
        <v>336855</v>
      </c>
      <c r="X2137" s="43">
        <f>X2136+Учет!S2137-S2137</f>
        <v>500</v>
      </c>
      <c r="Y2137" s="43">
        <f>Y2136+Учет!T2137-T2137</f>
        <v>1150</v>
      </c>
      <c r="Z2137" s="43">
        <f>Z2136+Учет!U2137-U2137</f>
        <v>500000</v>
      </c>
      <c r="AA2137" s="45">
        <f>Учет!X2137</f>
        <v>500</v>
      </c>
    </row>
    <row r="2138" spans="1:27" ht="15" customHeight="1" x14ac:dyDescent="0.25">
      <c r="A2138" s="1"/>
      <c r="B2138" s="17"/>
      <c r="C2138" s="17"/>
      <c r="D2138" s="17"/>
      <c r="E2138" s="17"/>
      <c r="F2138" s="17"/>
      <c r="G2138" s="4">
        <f t="shared" si="96"/>
        <v>0</v>
      </c>
      <c r="H2138" s="17"/>
      <c r="I2138" s="4">
        <f t="shared" si="98"/>
        <v>349526.07999999996</v>
      </c>
      <c r="J2138" s="32" t="str">
        <f t="shared" si="97"/>
        <v/>
      </c>
      <c r="K2138" s="72"/>
      <c r="L2138" s="72"/>
      <c r="M2138" s="2"/>
      <c r="N2138" s="5"/>
      <c r="O2138" s="3"/>
      <c r="P2138" s="6"/>
      <c r="Q2138" s="48">
        <f>IF(Учет!$O2138=Справочники!$F$2,Учет!$H2138,0)</f>
        <v>0</v>
      </c>
      <c r="R2138" s="48">
        <f>IF(Учет!$O2138=Справочники!$F$3,Учет!$H2138,0)</f>
        <v>0</v>
      </c>
      <c r="S2138" s="48">
        <f>IF(Учет!$O2138=Справочники!$F$4,Учет!$H2138,0)</f>
        <v>0</v>
      </c>
      <c r="T2138" s="48">
        <f>IF(Учет!$O2138=Справочники!$F$5,Учет!$H2138,0)</f>
        <v>0</v>
      </c>
      <c r="U2138" s="48">
        <f>IF(Учет!$O2138=Справочники!$F$6,Учет!$H2138,0)</f>
        <v>0</v>
      </c>
      <c r="V2138" s="43">
        <f>V2137+Учет!Q2138-Q2138</f>
        <v>-488978.92000000004</v>
      </c>
      <c r="W2138" s="43">
        <f>W2137+Учет!R2138-R2138</f>
        <v>336855</v>
      </c>
      <c r="X2138" s="43">
        <f>X2137+Учет!S2138-S2138</f>
        <v>500</v>
      </c>
      <c r="Y2138" s="43">
        <f>Y2137+Учет!T2138-T2138</f>
        <v>1150</v>
      </c>
      <c r="Z2138" s="43">
        <f>Z2137+Учет!U2138-U2138</f>
        <v>500000</v>
      </c>
      <c r="AA2138" s="45">
        <f>Учет!X2138</f>
        <v>500</v>
      </c>
    </row>
    <row r="2139" spans="1:27" ht="15" customHeight="1" x14ac:dyDescent="0.25">
      <c r="A2139" s="1"/>
      <c r="B2139" s="17"/>
      <c r="C2139" s="17"/>
      <c r="D2139" s="17"/>
      <c r="E2139" s="17"/>
      <c r="F2139" s="17"/>
      <c r="G2139" s="4">
        <f t="shared" si="96"/>
        <v>0</v>
      </c>
      <c r="H2139" s="17"/>
      <c r="I2139" s="4">
        <f t="shared" si="98"/>
        <v>349526.07999999996</v>
      </c>
      <c r="J2139" s="32" t="str">
        <f t="shared" si="97"/>
        <v/>
      </c>
      <c r="K2139" s="72"/>
      <c r="L2139" s="72"/>
      <c r="M2139" s="2"/>
      <c r="N2139" s="5"/>
      <c r="O2139" s="3"/>
      <c r="P2139" s="6"/>
      <c r="Q2139" s="48">
        <f>IF(Учет!$O2139=Справочники!$F$2,Учет!$H2139,0)</f>
        <v>0</v>
      </c>
      <c r="R2139" s="48">
        <f>IF(Учет!$O2139=Справочники!$F$3,Учет!$H2139,0)</f>
        <v>0</v>
      </c>
      <c r="S2139" s="48">
        <f>IF(Учет!$O2139=Справочники!$F$4,Учет!$H2139,0)</f>
        <v>0</v>
      </c>
      <c r="T2139" s="48">
        <f>IF(Учет!$O2139=Справочники!$F$5,Учет!$H2139,0)</f>
        <v>0</v>
      </c>
      <c r="U2139" s="48">
        <f>IF(Учет!$O2139=Справочники!$F$6,Учет!$H2139,0)</f>
        <v>0</v>
      </c>
      <c r="V2139" s="43">
        <f>V2138+Учет!Q2139-Q2139</f>
        <v>-488978.92000000004</v>
      </c>
      <c r="W2139" s="43">
        <f>W2138+Учет!R2139-R2139</f>
        <v>336855</v>
      </c>
      <c r="X2139" s="43">
        <f>X2138+Учет!S2139-S2139</f>
        <v>500</v>
      </c>
      <c r="Y2139" s="43">
        <f>Y2138+Учет!T2139-T2139</f>
        <v>1150</v>
      </c>
      <c r="Z2139" s="43">
        <f>Z2138+Учет!U2139-U2139</f>
        <v>500000</v>
      </c>
      <c r="AA2139" s="45">
        <f>Учет!X2139</f>
        <v>500</v>
      </c>
    </row>
    <row r="2140" spans="1:27" ht="15" customHeight="1" x14ac:dyDescent="0.25">
      <c r="A2140" s="1"/>
      <c r="B2140" s="17"/>
      <c r="C2140" s="17"/>
      <c r="D2140" s="17"/>
      <c r="E2140" s="17"/>
      <c r="F2140" s="17"/>
      <c r="G2140" s="4">
        <f t="shared" si="96"/>
        <v>0</v>
      </c>
      <c r="H2140" s="17"/>
      <c r="I2140" s="4">
        <f t="shared" si="98"/>
        <v>349526.07999999996</v>
      </c>
      <c r="J2140" s="32" t="str">
        <f t="shared" si="97"/>
        <v/>
      </c>
      <c r="K2140" s="72"/>
      <c r="L2140" s="72"/>
      <c r="M2140" s="2"/>
      <c r="N2140" s="5"/>
      <c r="O2140" s="3"/>
      <c r="P2140" s="6"/>
      <c r="Q2140" s="48">
        <f>IF(Учет!$O2140=Справочники!$F$2,Учет!$H2140,0)</f>
        <v>0</v>
      </c>
      <c r="R2140" s="48">
        <f>IF(Учет!$O2140=Справочники!$F$3,Учет!$H2140,0)</f>
        <v>0</v>
      </c>
      <c r="S2140" s="48">
        <f>IF(Учет!$O2140=Справочники!$F$4,Учет!$H2140,0)</f>
        <v>0</v>
      </c>
      <c r="T2140" s="48">
        <f>IF(Учет!$O2140=Справочники!$F$5,Учет!$H2140,0)</f>
        <v>0</v>
      </c>
      <c r="U2140" s="48">
        <f>IF(Учет!$O2140=Справочники!$F$6,Учет!$H2140,0)</f>
        <v>0</v>
      </c>
      <c r="V2140" s="43">
        <f>V2139+Учет!Q2140-Q2140</f>
        <v>-488978.92000000004</v>
      </c>
      <c r="W2140" s="43">
        <f>W2139+Учет!R2140-R2140</f>
        <v>336855</v>
      </c>
      <c r="X2140" s="43">
        <f>X2139+Учет!S2140-S2140</f>
        <v>500</v>
      </c>
      <c r="Y2140" s="43">
        <f>Y2139+Учет!T2140-T2140</f>
        <v>1150</v>
      </c>
      <c r="Z2140" s="43">
        <f>Z2139+Учет!U2140-U2140</f>
        <v>500000</v>
      </c>
      <c r="AA2140" s="45">
        <f>Учет!X2140</f>
        <v>500</v>
      </c>
    </row>
    <row r="2141" spans="1:27" ht="15" customHeight="1" x14ac:dyDescent="0.25">
      <c r="A2141" s="1"/>
      <c r="B2141" s="17"/>
      <c r="C2141" s="17"/>
      <c r="D2141" s="17"/>
      <c r="E2141" s="17"/>
      <c r="F2141" s="17"/>
      <c r="G2141" s="4">
        <f t="shared" si="96"/>
        <v>0</v>
      </c>
      <c r="H2141" s="17"/>
      <c r="I2141" s="4">
        <f t="shared" si="98"/>
        <v>349526.07999999996</v>
      </c>
      <c r="J2141" s="32" t="str">
        <f t="shared" si="97"/>
        <v/>
      </c>
      <c r="K2141" s="72"/>
      <c r="L2141" s="72"/>
      <c r="M2141" s="2"/>
      <c r="N2141" s="5"/>
      <c r="O2141" s="3"/>
      <c r="P2141" s="6"/>
      <c r="Q2141" s="48">
        <f>IF(Учет!$O2141=Справочники!$F$2,Учет!$H2141,0)</f>
        <v>0</v>
      </c>
      <c r="R2141" s="48">
        <f>IF(Учет!$O2141=Справочники!$F$3,Учет!$H2141,0)</f>
        <v>0</v>
      </c>
      <c r="S2141" s="48">
        <f>IF(Учет!$O2141=Справочники!$F$4,Учет!$H2141,0)</f>
        <v>0</v>
      </c>
      <c r="T2141" s="48">
        <f>IF(Учет!$O2141=Справочники!$F$5,Учет!$H2141,0)</f>
        <v>0</v>
      </c>
      <c r="U2141" s="48">
        <f>IF(Учет!$O2141=Справочники!$F$6,Учет!$H2141,0)</f>
        <v>0</v>
      </c>
      <c r="V2141" s="43">
        <f>V2140+Учет!Q2141-Q2141</f>
        <v>-488978.92000000004</v>
      </c>
      <c r="W2141" s="43">
        <f>W2140+Учет!R2141-R2141</f>
        <v>336855</v>
      </c>
      <c r="X2141" s="43">
        <f>X2140+Учет!S2141-S2141</f>
        <v>500</v>
      </c>
      <c r="Y2141" s="43">
        <f>Y2140+Учет!T2141-T2141</f>
        <v>1150</v>
      </c>
      <c r="Z2141" s="43">
        <f>Z2140+Учет!U2141-U2141</f>
        <v>500000</v>
      </c>
      <c r="AA2141" s="45">
        <f>Учет!X2141</f>
        <v>500</v>
      </c>
    </row>
    <row r="2142" spans="1:27" ht="15" customHeight="1" x14ac:dyDescent="0.25">
      <c r="A2142" s="1"/>
      <c r="B2142" s="17"/>
      <c r="C2142" s="17"/>
      <c r="D2142" s="17"/>
      <c r="E2142" s="17"/>
      <c r="F2142" s="17"/>
      <c r="G2142" s="4">
        <f t="shared" si="96"/>
        <v>0</v>
      </c>
      <c r="H2142" s="17"/>
      <c r="I2142" s="4">
        <f t="shared" si="98"/>
        <v>349526.07999999996</v>
      </c>
      <c r="J2142" s="32" t="str">
        <f t="shared" si="97"/>
        <v/>
      </c>
      <c r="K2142" s="72"/>
      <c r="L2142" s="72"/>
      <c r="M2142" s="2"/>
      <c r="N2142" s="5"/>
      <c r="O2142" s="3"/>
      <c r="P2142" s="6"/>
      <c r="Q2142" s="48">
        <f>IF(Учет!$O2142=Справочники!$F$2,Учет!$H2142,0)</f>
        <v>0</v>
      </c>
      <c r="R2142" s="48">
        <f>IF(Учет!$O2142=Справочники!$F$3,Учет!$H2142,0)</f>
        <v>0</v>
      </c>
      <c r="S2142" s="48">
        <f>IF(Учет!$O2142=Справочники!$F$4,Учет!$H2142,0)</f>
        <v>0</v>
      </c>
      <c r="T2142" s="48">
        <f>IF(Учет!$O2142=Справочники!$F$5,Учет!$H2142,0)</f>
        <v>0</v>
      </c>
      <c r="U2142" s="48">
        <f>IF(Учет!$O2142=Справочники!$F$6,Учет!$H2142,0)</f>
        <v>0</v>
      </c>
      <c r="V2142" s="43">
        <f>V2141+Учет!Q2142-Q2142</f>
        <v>-488978.92000000004</v>
      </c>
      <c r="W2142" s="43">
        <f>W2141+Учет!R2142-R2142</f>
        <v>336855</v>
      </c>
      <c r="X2142" s="43">
        <f>X2141+Учет!S2142-S2142</f>
        <v>500</v>
      </c>
      <c r="Y2142" s="43">
        <f>Y2141+Учет!T2142-T2142</f>
        <v>1150</v>
      </c>
      <c r="Z2142" s="43">
        <f>Z2141+Учет!U2142-U2142</f>
        <v>500000</v>
      </c>
      <c r="AA2142" s="45">
        <f>Учет!X2142</f>
        <v>500</v>
      </c>
    </row>
    <row r="2143" spans="1:27" ht="15" customHeight="1" x14ac:dyDescent="0.25">
      <c r="A2143" s="1"/>
      <c r="B2143" s="17"/>
      <c r="C2143" s="17"/>
      <c r="D2143" s="17"/>
      <c r="E2143" s="17"/>
      <c r="F2143" s="17"/>
      <c r="G2143" s="4">
        <f t="shared" si="96"/>
        <v>0</v>
      </c>
      <c r="H2143" s="17"/>
      <c r="I2143" s="4">
        <f t="shared" si="98"/>
        <v>349526.07999999996</v>
      </c>
      <c r="J2143" s="32" t="str">
        <f t="shared" si="97"/>
        <v/>
      </c>
      <c r="K2143" s="72"/>
      <c r="L2143" s="72"/>
      <c r="M2143" s="2"/>
      <c r="N2143" s="5"/>
      <c r="O2143" s="3"/>
      <c r="P2143" s="6"/>
      <c r="Q2143" s="48">
        <f>IF(Учет!$O2143=Справочники!$F$2,Учет!$H2143,0)</f>
        <v>0</v>
      </c>
      <c r="R2143" s="48">
        <f>IF(Учет!$O2143=Справочники!$F$3,Учет!$H2143,0)</f>
        <v>0</v>
      </c>
      <c r="S2143" s="48">
        <f>IF(Учет!$O2143=Справочники!$F$4,Учет!$H2143,0)</f>
        <v>0</v>
      </c>
      <c r="T2143" s="48">
        <f>IF(Учет!$O2143=Справочники!$F$5,Учет!$H2143,0)</f>
        <v>0</v>
      </c>
      <c r="U2143" s="48">
        <f>IF(Учет!$O2143=Справочники!$F$6,Учет!$H2143,0)</f>
        <v>0</v>
      </c>
      <c r="V2143" s="43">
        <f>V2142+Учет!Q2143-Q2143</f>
        <v>-488978.92000000004</v>
      </c>
      <c r="W2143" s="43">
        <f>W2142+Учет!R2143-R2143</f>
        <v>336855</v>
      </c>
      <c r="X2143" s="43">
        <f>X2142+Учет!S2143-S2143</f>
        <v>500</v>
      </c>
      <c r="Y2143" s="43">
        <f>Y2142+Учет!T2143-T2143</f>
        <v>1150</v>
      </c>
      <c r="Z2143" s="43">
        <f>Z2142+Учет!U2143-U2143</f>
        <v>500000</v>
      </c>
      <c r="AA2143" s="45">
        <f>Учет!X2143</f>
        <v>500</v>
      </c>
    </row>
    <row r="2144" spans="1:27" ht="15" customHeight="1" x14ac:dyDescent="0.25">
      <c r="A2144" s="1"/>
      <c r="B2144" s="17"/>
      <c r="C2144" s="17"/>
      <c r="D2144" s="17"/>
      <c r="E2144" s="17"/>
      <c r="F2144" s="17"/>
      <c r="G2144" s="4">
        <f t="shared" si="96"/>
        <v>0</v>
      </c>
      <c r="H2144" s="17"/>
      <c r="I2144" s="4">
        <f t="shared" si="98"/>
        <v>349526.07999999996</v>
      </c>
      <c r="J2144" s="32" t="str">
        <f t="shared" si="97"/>
        <v/>
      </c>
      <c r="K2144" s="72"/>
      <c r="L2144" s="72"/>
      <c r="M2144" s="2"/>
      <c r="N2144" s="5"/>
      <c r="O2144" s="3"/>
      <c r="P2144" s="6"/>
      <c r="Q2144" s="48">
        <f>IF(Учет!$O2144=Справочники!$F$2,Учет!$H2144,0)</f>
        <v>0</v>
      </c>
      <c r="R2144" s="48">
        <f>IF(Учет!$O2144=Справочники!$F$3,Учет!$H2144,0)</f>
        <v>0</v>
      </c>
      <c r="S2144" s="48">
        <f>IF(Учет!$O2144=Справочники!$F$4,Учет!$H2144,0)</f>
        <v>0</v>
      </c>
      <c r="T2144" s="48">
        <f>IF(Учет!$O2144=Справочники!$F$5,Учет!$H2144,0)</f>
        <v>0</v>
      </c>
      <c r="U2144" s="48">
        <f>IF(Учет!$O2144=Справочники!$F$6,Учет!$H2144,0)</f>
        <v>0</v>
      </c>
      <c r="V2144" s="43">
        <f>V2143+Учет!Q2144-Q2144</f>
        <v>-488978.92000000004</v>
      </c>
      <c r="W2144" s="43">
        <f>W2143+Учет!R2144-R2144</f>
        <v>336855</v>
      </c>
      <c r="X2144" s="43">
        <f>X2143+Учет!S2144-S2144</f>
        <v>500</v>
      </c>
      <c r="Y2144" s="43">
        <f>Y2143+Учет!T2144-T2144</f>
        <v>1150</v>
      </c>
      <c r="Z2144" s="43">
        <f>Z2143+Учет!U2144-U2144</f>
        <v>500000</v>
      </c>
      <c r="AA2144" s="45">
        <f>Учет!X2144</f>
        <v>500</v>
      </c>
    </row>
    <row r="2145" spans="1:27" ht="15" customHeight="1" x14ac:dyDescent="0.25">
      <c r="A2145" s="1"/>
      <c r="B2145" s="17"/>
      <c r="C2145" s="17"/>
      <c r="D2145" s="17"/>
      <c r="E2145" s="17"/>
      <c r="F2145" s="17"/>
      <c r="G2145" s="4">
        <f t="shared" si="96"/>
        <v>0</v>
      </c>
      <c r="H2145" s="17"/>
      <c r="I2145" s="4">
        <f t="shared" si="98"/>
        <v>349526.07999999996</v>
      </c>
      <c r="J2145" s="32" t="str">
        <f t="shared" si="97"/>
        <v/>
      </c>
      <c r="K2145" s="72"/>
      <c r="L2145" s="72"/>
      <c r="M2145" s="2"/>
      <c r="N2145" s="5"/>
      <c r="O2145" s="3"/>
      <c r="P2145" s="6"/>
      <c r="Q2145" s="48">
        <f>IF(Учет!$O2145=Справочники!$F$2,Учет!$H2145,0)</f>
        <v>0</v>
      </c>
      <c r="R2145" s="48">
        <f>IF(Учет!$O2145=Справочники!$F$3,Учет!$H2145,0)</f>
        <v>0</v>
      </c>
      <c r="S2145" s="48">
        <f>IF(Учет!$O2145=Справочники!$F$4,Учет!$H2145,0)</f>
        <v>0</v>
      </c>
      <c r="T2145" s="48">
        <f>IF(Учет!$O2145=Справочники!$F$5,Учет!$H2145,0)</f>
        <v>0</v>
      </c>
      <c r="U2145" s="48">
        <f>IF(Учет!$O2145=Справочники!$F$6,Учет!$H2145,0)</f>
        <v>0</v>
      </c>
      <c r="V2145" s="43">
        <f>V2144+Учет!Q2145-Q2145</f>
        <v>-488978.92000000004</v>
      </c>
      <c r="W2145" s="43">
        <f>W2144+Учет!R2145-R2145</f>
        <v>336855</v>
      </c>
      <c r="X2145" s="43">
        <f>X2144+Учет!S2145-S2145</f>
        <v>500</v>
      </c>
      <c r="Y2145" s="43">
        <f>Y2144+Учет!T2145-T2145</f>
        <v>1150</v>
      </c>
      <c r="Z2145" s="43">
        <f>Z2144+Учет!U2145-U2145</f>
        <v>500000</v>
      </c>
      <c r="AA2145" s="45">
        <f>Учет!X2145</f>
        <v>500</v>
      </c>
    </row>
    <row r="2146" spans="1:27" ht="15" customHeight="1" x14ac:dyDescent="0.25">
      <c r="A2146" s="1"/>
      <c r="B2146" s="17"/>
      <c r="C2146" s="17"/>
      <c r="D2146" s="17"/>
      <c r="E2146" s="17"/>
      <c r="F2146" s="17"/>
      <c r="G2146" s="4">
        <f t="shared" si="96"/>
        <v>0</v>
      </c>
      <c r="H2146" s="17"/>
      <c r="I2146" s="4">
        <f t="shared" si="98"/>
        <v>349526.07999999996</v>
      </c>
      <c r="J2146" s="32" t="str">
        <f t="shared" si="97"/>
        <v/>
      </c>
      <c r="K2146" s="72"/>
      <c r="L2146" s="72"/>
      <c r="M2146" s="2"/>
      <c r="N2146" s="5"/>
      <c r="O2146" s="3"/>
      <c r="P2146" s="6"/>
      <c r="Q2146" s="48">
        <f>IF(Учет!$O2146=Справочники!$F$2,Учет!$H2146,0)</f>
        <v>0</v>
      </c>
      <c r="R2146" s="48">
        <f>IF(Учет!$O2146=Справочники!$F$3,Учет!$H2146,0)</f>
        <v>0</v>
      </c>
      <c r="S2146" s="48">
        <f>IF(Учет!$O2146=Справочники!$F$4,Учет!$H2146,0)</f>
        <v>0</v>
      </c>
      <c r="T2146" s="48">
        <f>IF(Учет!$O2146=Справочники!$F$5,Учет!$H2146,0)</f>
        <v>0</v>
      </c>
      <c r="U2146" s="48">
        <f>IF(Учет!$O2146=Справочники!$F$6,Учет!$H2146,0)</f>
        <v>0</v>
      </c>
      <c r="V2146" s="43">
        <f>V2145+Учет!Q2146-Q2146</f>
        <v>-488978.92000000004</v>
      </c>
      <c r="W2146" s="43">
        <f>W2145+Учет!R2146-R2146</f>
        <v>336855</v>
      </c>
      <c r="X2146" s="43">
        <f>X2145+Учет!S2146-S2146</f>
        <v>500</v>
      </c>
      <c r="Y2146" s="43">
        <f>Y2145+Учет!T2146-T2146</f>
        <v>1150</v>
      </c>
      <c r="Z2146" s="43">
        <f>Z2145+Учет!U2146-U2146</f>
        <v>500000</v>
      </c>
      <c r="AA2146" s="45">
        <f>Учет!X2146</f>
        <v>500</v>
      </c>
    </row>
    <row r="2147" spans="1:27" ht="15" customHeight="1" x14ac:dyDescent="0.25">
      <c r="A2147" s="1"/>
      <c r="B2147" s="17"/>
      <c r="C2147" s="17"/>
      <c r="D2147" s="17"/>
      <c r="E2147" s="17"/>
      <c r="F2147" s="17"/>
      <c r="G2147" s="4">
        <f t="shared" si="96"/>
        <v>0</v>
      </c>
      <c r="H2147" s="17"/>
      <c r="I2147" s="4">
        <f t="shared" si="98"/>
        <v>349526.07999999996</v>
      </c>
      <c r="J2147" s="32" t="str">
        <f t="shared" si="97"/>
        <v/>
      </c>
      <c r="K2147" s="72"/>
      <c r="L2147" s="72"/>
      <c r="M2147" s="2"/>
      <c r="N2147" s="5"/>
      <c r="O2147" s="3"/>
      <c r="P2147" s="6"/>
      <c r="Q2147" s="48">
        <f>IF(Учет!$O2147=Справочники!$F$2,Учет!$H2147,0)</f>
        <v>0</v>
      </c>
      <c r="R2147" s="48">
        <f>IF(Учет!$O2147=Справочники!$F$3,Учет!$H2147,0)</f>
        <v>0</v>
      </c>
      <c r="S2147" s="48">
        <f>IF(Учет!$O2147=Справочники!$F$4,Учет!$H2147,0)</f>
        <v>0</v>
      </c>
      <c r="T2147" s="48">
        <f>IF(Учет!$O2147=Справочники!$F$5,Учет!$H2147,0)</f>
        <v>0</v>
      </c>
      <c r="U2147" s="48">
        <f>IF(Учет!$O2147=Справочники!$F$6,Учет!$H2147,0)</f>
        <v>0</v>
      </c>
      <c r="V2147" s="43">
        <f>V2146+Учет!Q2147-Q2147</f>
        <v>-488978.92000000004</v>
      </c>
      <c r="W2147" s="43">
        <f>W2146+Учет!R2147-R2147</f>
        <v>336855</v>
      </c>
      <c r="X2147" s="43">
        <f>X2146+Учет!S2147-S2147</f>
        <v>500</v>
      </c>
      <c r="Y2147" s="43">
        <f>Y2146+Учет!T2147-T2147</f>
        <v>1150</v>
      </c>
      <c r="Z2147" s="43">
        <f>Z2146+Учет!U2147-U2147</f>
        <v>500000</v>
      </c>
      <c r="AA2147" s="45">
        <f>Учет!X2147</f>
        <v>500</v>
      </c>
    </row>
    <row r="2148" spans="1:27" ht="15" customHeight="1" x14ac:dyDescent="0.25">
      <c r="A2148" s="1"/>
      <c r="B2148" s="17"/>
      <c r="C2148" s="17"/>
      <c r="D2148" s="17"/>
      <c r="E2148" s="17"/>
      <c r="F2148" s="17"/>
      <c r="G2148" s="4">
        <f t="shared" si="96"/>
        <v>0</v>
      </c>
      <c r="H2148" s="17"/>
      <c r="I2148" s="4">
        <f t="shared" si="98"/>
        <v>349526.07999999996</v>
      </c>
      <c r="J2148" s="32" t="str">
        <f t="shared" si="97"/>
        <v/>
      </c>
      <c r="K2148" s="72"/>
      <c r="L2148" s="72"/>
      <c r="M2148" s="2"/>
      <c r="N2148" s="5"/>
      <c r="O2148" s="3"/>
      <c r="P2148" s="6"/>
      <c r="Q2148" s="48">
        <f>IF(Учет!$O2148=Справочники!$F$2,Учет!$H2148,0)</f>
        <v>0</v>
      </c>
      <c r="R2148" s="48">
        <f>IF(Учет!$O2148=Справочники!$F$3,Учет!$H2148,0)</f>
        <v>0</v>
      </c>
      <c r="S2148" s="48">
        <f>IF(Учет!$O2148=Справочники!$F$4,Учет!$H2148,0)</f>
        <v>0</v>
      </c>
      <c r="T2148" s="48">
        <f>IF(Учет!$O2148=Справочники!$F$5,Учет!$H2148,0)</f>
        <v>0</v>
      </c>
      <c r="U2148" s="48">
        <f>IF(Учет!$O2148=Справочники!$F$6,Учет!$H2148,0)</f>
        <v>0</v>
      </c>
      <c r="V2148" s="43">
        <f>V2147+Учет!Q2148-Q2148</f>
        <v>-488978.92000000004</v>
      </c>
      <c r="W2148" s="43">
        <f>W2147+Учет!R2148-R2148</f>
        <v>336855</v>
      </c>
      <c r="X2148" s="43">
        <f>X2147+Учет!S2148-S2148</f>
        <v>500</v>
      </c>
      <c r="Y2148" s="43">
        <f>Y2147+Учет!T2148-T2148</f>
        <v>1150</v>
      </c>
      <c r="Z2148" s="43">
        <f>Z2147+Учет!U2148-U2148</f>
        <v>500000</v>
      </c>
      <c r="AA2148" s="45">
        <f>Учет!X2148</f>
        <v>500</v>
      </c>
    </row>
    <row r="2149" spans="1:27" ht="15" customHeight="1" x14ac:dyDescent="0.25">
      <c r="A2149" s="1"/>
      <c r="B2149" s="17"/>
      <c r="C2149" s="17"/>
      <c r="D2149" s="17"/>
      <c r="E2149" s="17"/>
      <c r="F2149" s="17"/>
      <c r="G2149" s="4">
        <f t="shared" si="96"/>
        <v>0</v>
      </c>
      <c r="H2149" s="17"/>
      <c r="I2149" s="4">
        <f t="shared" si="98"/>
        <v>349526.07999999996</v>
      </c>
      <c r="J2149" s="32" t="str">
        <f t="shared" si="97"/>
        <v/>
      </c>
      <c r="K2149" s="72"/>
      <c r="L2149" s="72"/>
      <c r="M2149" s="2"/>
      <c r="N2149" s="5"/>
      <c r="O2149" s="3"/>
      <c r="P2149" s="6"/>
      <c r="Q2149" s="48">
        <f>IF(Учет!$O2149=Справочники!$F$2,Учет!$H2149,0)</f>
        <v>0</v>
      </c>
      <c r="R2149" s="48">
        <f>IF(Учет!$O2149=Справочники!$F$3,Учет!$H2149,0)</f>
        <v>0</v>
      </c>
      <c r="S2149" s="48">
        <f>IF(Учет!$O2149=Справочники!$F$4,Учет!$H2149,0)</f>
        <v>0</v>
      </c>
      <c r="T2149" s="48">
        <f>IF(Учет!$O2149=Справочники!$F$5,Учет!$H2149,0)</f>
        <v>0</v>
      </c>
      <c r="U2149" s="48">
        <f>IF(Учет!$O2149=Справочники!$F$6,Учет!$H2149,0)</f>
        <v>0</v>
      </c>
      <c r="V2149" s="43">
        <f>V2148+Учет!Q2149-Q2149</f>
        <v>-488978.92000000004</v>
      </c>
      <c r="W2149" s="43">
        <f>W2148+Учет!R2149-R2149</f>
        <v>336855</v>
      </c>
      <c r="X2149" s="43">
        <f>X2148+Учет!S2149-S2149</f>
        <v>500</v>
      </c>
      <c r="Y2149" s="43">
        <f>Y2148+Учет!T2149-T2149</f>
        <v>1150</v>
      </c>
      <c r="Z2149" s="43">
        <f>Z2148+Учет!U2149-U2149</f>
        <v>500000</v>
      </c>
      <c r="AA2149" s="45">
        <f>Учет!X2149</f>
        <v>500</v>
      </c>
    </row>
    <row r="2150" spans="1:27" ht="15" customHeight="1" x14ac:dyDescent="0.25">
      <c r="A2150" s="1"/>
      <c r="B2150" s="17"/>
      <c r="C2150" s="17"/>
      <c r="D2150" s="17"/>
      <c r="E2150" s="17"/>
      <c r="F2150" s="17"/>
      <c r="G2150" s="4">
        <f t="shared" si="96"/>
        <v>0</v>
      </c>
      <c r="H2150" s="17"/>
      <c r="I2150" s="4">
        <f t="shared" si="98"/>
        <v>349526.07999999996</v>
      </c>
      <c r="J2150" s="32" t="str">
        <f t="shared" si="97"/>
        <v/>
      </c>
      <c r="K2150" s="72"/>
      <c r="L2150" s="72"/>
      <c r="M2150" s="2"/>
      <c r="N2150" s="5"/>
      <c r="O2150" s="3"/>
      <c r="P2150" s="6"/>
      <c r="Q2150" s="48">
        <f>IF(Учет!$O2150=Справочники!$F$2,Учет!$H2150,0)</f>
        <v>0</v>
      </c>
      <c r="R2150" s="48">
        <f>IF(Учет!$O2150=Справочники!$F$3,Учет!$H2150,0)</f>
        <v>0</v>
      </c>
      <c r="S2150" s="48">
        <f>IF(Учет!$O2150=Справочники!$F$4,Учет!$H2150,0)</f>
        <v>0</v>
      </c>
      <c r="T2150" s="48">
        <f>IF(Учет!$O2150=Справочники!$F$5,Учет!$H2150,0)</f>
        <v>0</v>
      </c>
      <c r="U2150" s="48">
        <f>IF(Учет!$O2150=Справочники!$F$6,Учет!$H2150,0)</f>
        <v>0</v>
      </c>
      <c r="V2150" s="43">
        <f>V2149+Учет!Q2150-Q2150</f>
        <v>-488978.92000000004</v>
      </c>
      <c r="W2150" s="43">
        <f>W2149+Учет!R2150-R2150</f>
        <v>336855</v>
      </c>
      <c r="X2150" s="43">
        <f>X2149+Учет!S2150-S2150</f>
        <v>500</v>
      </c>
      <c r="Y2150" s="43">
        <f>Y2149+Учет!T2150-T2150</f>
        <v>1150</v>
      </c>
      <c r="Z2150" s="43">
        <f>Z2149+Учет!U2150-U2150</f>
        <v>500000</v>
      </c>
      <c r="AA2150" s="45">
        <f>Учет!X2150</f>
        <v>500</v>
      </c>
    </row>
    <row r="2151" spans="1:27" ht="15" customHeight="1" x14ac:dyDescent="0.25">
      <c r="A2151" s="1"/>
      <c r="B2151" s="17"/>
      <c r="C2151" s="17"/>
      <c r="D2151" s="17"/>
      <c r="E2151" s="17"/>
      <c r="F2151" s="17"/>
      <c r="G2151" s="4">
        <f t="shared" si="96"/>
        <v>0</v>
      </c>
      <c r="H2151" s="17"/>
      <c r="I2151" s="4">
        <f t="shared" si="98"/>
        <v>349526.07999999996</v>
      </c>
      <c r="J2151" s="32" t="str">
        <f t="shared" si="97"/>
        <v/>
      </c>
      <c r="K2151" s="72"/>
      <c r="L2151" s="72"/>
      <c r="M2151" s="2"/>
      <c r="N2151" s="5"/>
      <c r="O2151" s="3"/>
      <c r="P2151" s="6"/>
      <c r="Q2151" s="48">
        <f>IF(Учет!$O2151=Справочники!$F$2,Учет!$H2151,0)</f>
        <v>0</v>
      </c>
      <c r="R2151" s="48">
        <f>IF(Учет!$O2151=Справочники!$F$3,Учет!$H2151,0)</f>
        <v>0</v>
      </c>
      <c r="S2151" s="48">
        <f>IF(Учет!$O2151=Справочники!$F$4,Учет!$H2151,0)</f>
        <v>0</v>
      </c>
      <c r="T2151" s="48">
        <f>IF(Учет!$O2151=Справочники!$F$5,Учет!$H2151,0)</f>
        <v>0</v>
      </c>
      <c r="U2151" s="48">
        <f>IF(Учет!$O2151=Справочники!$F$6,Учет!$H2151,0)</f>
        <v>0</v>
      </c>
      <c r="V2151" s="43">
        <f>V2150+Учет!Q2151-Q2151</f>
        <v>-488978.92000000004</v>
      </c>
      <c r="W2151" s="43">
        <f>W2150+Учет!R2151-R2151</f>
        <v>336855</v>
      </c>
      <c r="X2151" s="43">
        <f>X2150+Учет!S2151-S2151</f>
        <v>500</v>
      </c>
      <c r="Y2151" s="43">
        <f>Y2150+Учет!T2151-T2151</f>
        <v>1150</v>
      </c>
      <c r="Z2151" s="43">
        <f>Z2150+Учет!U2151-U2151</f>
        <v>500000</v>
      </c>
      <c r="AA2151" s="45">
        <f>Учет!X2151</f>
        <v>500</v>
      </c>
    </row>
    <row r="2152" spans="1:27" ht="15" customHeight="1" x14ac:dyDescent="0.25">
      <c r="A2152" s="1"/>
      <c r="B2152" s="17"/>
      <c r="C2152" s="17"/>
      <c r="D2152" s="17"/>
      <c r="E2152" s="17"/>
      <c r="F2152" s="17"/>
      <c r="G2152" s="4">
        <f t="shared" si="96"/>
        <v>0</v>
      </c>
      <c r="H2152" s="17"/>
      <c r="I2152" s="4">
        <f t="shared" si="98"/>
        <v>349526.07999999996</v>
      </c>
      <c r="J2152" s="32" t="str">
        <f t="shared" si="97"/>
        <v/>
      </c>
      <c r="K2152" s="72"/>
      <c r="L2152" s="72"/>
      <c r="M2152" s="2"/>
      <c r="N2152" s="5"/>
      <c r="O2152" s="3"/>
      <c r="P2152" s="6"/>
      <c r="Q2152" s="48">
        <f>IF(Учет!$O2152=Справочники!$F$2,Учет!$H2152,0)</f>
        <v>0</v>
      </c>
      <c r="R2152" s="48">
        <f>IF(Учет!$O2152=Справочники!$F$3,Учет!$H2152,0)</f>
        <v>0</v>
      </c>
      <c r="S2152" s="48">
        <f>IF(Учет!$O2152=Справочники!$F$4,Учет!$H2152,0)</f>
        <v>0</v>
      </c>
      <c r="T2152" s="48">
        <f>IF(Учет!$O2152=Справочники!$F$5,Учет!$H2152,0)</f>
        <v>0</v>
      </c>
      <c r="U2152" s="48">
        <f>IF(Учет!$O2152=Справочники!$F$6,Учет!$H2152,0)</f>
        <v>0</v>
      </c>
      <c r="V2152" s="43">
        <f>V2151+Учет!Q2152-Q2152</f>
        <v>-488978.92000000004</v>
      </c>
      <c r="W2152" s="43">
        <f>W2151+Учет!R2152-R2152</f>
        <v>336855</v>
      </c>
      <c r="X2152" s="43">
        <f>X2151+Учет!S2152-S2152</f>
        <v>500</v>
      </c>
      <c r="Y2152" s="43">
        <f>Y2151+Учет!T2152-T2152</f>
        <v>1150</v>
      </c>
      <c r="Z2152" s="43">
        <f>Z2151+Учет!U2152-U2152</f>
        <v>500000</v>
      </c>
      <c r="AA2152" s="45">
        <f>Учет!X2152</f>
        <v>500</v>
      </c>
    </row>
    <row r="2153" spans="1:27" ht="15" customHeight="1" x14ac:dyDescent="0.25">
      <c r="A2153" s="1"/>
      <c r="B2153" s="17"/>
      <c r="C2153" s="17"/>
      <c r="D2153" s="17"/>
      <c r="E2153" s="17"/>
      <c r="F2153" s="17"/>
      <c r="G2153" s="4">
        <f t="shared" si="96"/>
        <v>0</v>
      </c>
      <c r="H2153" s="17"/>
      <c r="I2153" s="4">
        <f t="shared" si="98"/>
        <v>349526.07999999996</v>
      </c>
      <c r="J2153" s="32" t="str">
        <f t="shared" si="97"/>
        <v/>
      </c>
      <c r="K2153" s="72"/>
      <c r="L2153" s="72"/>
      <c r="M2153" s="2"/>
      <c r="N2153" s="5"/>
      <c r="O2153" s="3"/>
      <c r="P2153" s="6"/>
      <c r="Q2153" s="48">
        <f>IF(Учет!$O2153=Справочники!$F$2,Учет!$H2153,0)</f>
        <v>0</v>
      </c>
      <c r="R2153" s="48">
        <f>IF(Учет!$O2153=Справочники!$F$3,Учет!$H2153,0)</f>
        <v>0</v>
      </c>
      <c r="S2153" s="48">
        <f>IF(Учет!$O2153=Справочники!$F$4,Учет!$H2153,0)</f>
        <v>0</v>
      </c>
      <c r="T2153" s="48">
        <f>IF(Учет!$O2153=Справочники!$F$5,Учет!$H2153,0)</f>
        <v>0</v>
      </c>
      <c r="U2153" s="48">
        <f>IF(Учет!$O2153=Справочники!$F$6,Учет!$H2153,0)</f>
        <v>0</v>
      </c>
      <c r="V2153" s="43">
        <f>V2152+Учет!Q2153-Q2153</f>
        <v>-488978.92000000004</v>
      </c>
      <c r="W2153" s="43">
        <f>W2152+Учет!R2153-R2153</f>
        <v>336855</v>
      </c>
      <c r="X2153" s="43">
        <f>X2152+Учет!S2153-S2153</f>
        <v>500</v>
      </c>
      <c r="Y2153" s="43">
        <f>Y2152+Учет!T2153-T2153</f>
        <v>1150</v>
      </c>
      <c r="Z2153" s="43">
        <f>Z2152+Учет!U2153-U2153</f>
        <v>500000</v>
      </c>
      <c r="AA2153" s="45">
        <f>Учет!X2153</f>
        <v>500</v>
      </c>
    </row>
    <row r="2154" spans="1:27" ht="15" customHeight="1" x14ac:dyDescent="0.25">
      <c r="A2154" s="1"/>
      <c r="B2154" s="17"/>
      <c r="C2154" s="17"/>
      <c r="D2154" s="17"/>
      <c r="E2154" s="17"/>
      <c r="F2154" s="17"/>
      <c r="G2154" s="4">
        <f t="shared" si="96"/>
        <v>0</v>
      </c>
      <c r="H2154" s="17"/>
      <c r="I2154" s="4">
        <f t="shared" si="98"/>
        <v>349526.07999999996</v>
      </c>
      <c r="J2154" s="32" t="str">
        <f t="shared" si="97"/>
        <v/>
      </c>
      <c r="K2154" s="72"/>
      <c r="L2154" s="72"/>
      <c r="M2154" s="2"/>
      <c r="N2154" s="5"/>
      <c r="O2154" s="3"/>
      <c r="P2154" s="6"/>
      <c r="Q2154" s="48">
        <f>IF(Учет!$O2154=Справочники!$F$2,Учет!$H2154,0)</f>
        <v>0</v>
      </c>
      <c r="R2154" s="48">
        <f>IF(Учет!$O2154=Справочники!$F$3,Учет!$H2154,0)</f>
        <v>0</v>
      </c>
      <c r="S2154" s="48">
        <f>IF(Учет!$O2154=Справочники!$F$4,Учет!$H2154,0)</f>
        <v>0</v>
      </c>
      <c r="T2154" s="48">
        <f>IF(Учет!$O2154=Справочники!$F$5,Учет!$H2154,0)</f>
        <v>0</v>
      </c>
      <c r="U2154" s="48">
        <f>IF(Учет!$O2154=Справочники!$F$6,Учет!$H2154,0)</f>
        <v>0</v>
      </c>
      <c r="V2154" s="43">
        <f>V2153+Учет!Q2154-Q2154</f>
        <v>-488978.92000000004</v>
      </c>
      <c r="W2154" s="43">
        <f>W2153+Учет!R2154-R2154</f>
        <v>336855</v>
      </c>
      <c r="X2154" s="43">
        <f>X2153+Учет!S2154-S2154</f>
        <v>500</v>
      </c>
      <c r="Y2154" s="43">
        <f>Y2153+Учет!T2154-T2154</f>
        <v>1150</v>
      </c>
      <c r="Z2154" s="43">
        <f>Z2153+Учет!U2154-U2154</f>
        <v>500000</v>
      </c>
      <c r="AA2154" s="45">
        <f>Учет!X2154</f>
        <v>500</v>
      </c>
    </row>
    <row r="2155" spans="1:27" ht="15" customHeight="1" x14ac:dyDescent="0.25">
      <c r="A2155" s="1"/>
      <c r="B2155" s="17"/>
      <c r="C2155" s="17"/>
      <c r="D2155" s="17"/>
      <c r="E2155" s="17"/>
      <c r="F2155" s="17"/>
      <c r="G2155" s="4">
        <f t="shared" si="96"/>
        <v>0</v>
      </c>
      <c r="H2155" s="17"/>
      <c r="I2155" s="4">
        <f t="shared" si="98"/>
        <v>349526.07999999996</v>
      </c>
      <c r="J2155" s="32" t="str">
        <f t="shared" si="97"/>
        <v/>
      </c>
      <c r="K2155" s="72"/>
      <c r="L2155" s="72"/>
      <c r="M2155" s="2"/>
      <c r="N2155" s="5"/>
      <c r="O2155" s="3"/>
      <c r="P2155" s="6"/>
      <c r="Q2155" s="48">
        <f>IF(Учет!$O2155=Справочники!$F$2,Учет!$H2155,0)</f>
        <v>0</v>
      </c>
      <c r="R2155" s="48">
        <f>IF(Учет!$O2155=Справочники!$F$3,Учет!$H2155,0)</f>
        <v>0</v>
      </c>
      <c r="S2155" s="48">
        <f>IF(Учет!$O2155=Справочники!$F$4,Учет!$H2155,0)</f>
        <v>0</v>
      </c>
      <c r="T2155" s="48">
        <f>IF(Учет!$O2155=Справочники!$F$5,Учет!$H2155,0)</f>
        <v>0</v>
      </c>
      <c r="U2155" s="48">
        <f>IF(Учет!$O2155=Справочники!$F$6,Учет!$H2155,0)</f>
        <v>0</v>
      </c>
      <c r="V2155" s="43">
        <f>V2154+Учет!Q2155-Q2155</f>
        <v>-488978.92000000004</v>
      </c>
      <c r="W2155" s="43">
        <f>W2154+Учет!R2155-R2155</f>
        <v>336855</v>
      </c>
      <c r="X2155" s="43">
        <f>X2154+Учет!S2155-S2155</f>
        <v>500</v>
      </c>
      <c r="Y2155" s="43">
        <f>Y2154+Учет!T2155-T2155</f>
        <v>1150</v>
      </c>
      <c r="Z2155" s="43">
        <f>Z2154+Учет!U2155-U2155</f>
        <v>500000</v>
      </c>
      <c r="AA2155" s="45">
        <f>Учет!X2155</f>
        <v>500</v>
      </c>
    </row>
    <row r="2156" spans="1:27" ht="15" customHeight="1" x14ac:dyDescent="0.25">
      <c r="A2156" s="1"/>
      <c r="B2156" s="17"/>
      <c r="C2156" s="17"/>
      <c r="D2156" s="17"/>
      <c r="E2156" s="17"/>
      <c r="F2156" s="17"/>
      <c r="G2156" s="4">
        <f t="shared" si="96"/>
        <v>0</v>
      </c>
      <c r="H2156" s="17"/>
      <c r="I2156" s="4">
        <f t="shared" si="98"/>
        <v>349526.07999999996</v>
      </c>
      <c r="J2156" s="32" t="str">
        <f t="shared" si="97"/>
        <v/>
      </c>
      <c r="K2156" s="72"/>
      <c r="L2156" s="72"/>
      <c r="M2156" s="2"/>
      <c r="N2156" s="5"/>
      <c r="O2156" s="3"/>
      <c r="P2156" s="6"/>
      <c r="Q2156" s="48">
        <f>IF(Учет!$O2156=Справочники!$F$2,Учет!$H2156,0)</f>
        <v>0</v>
      </c>
      <c r="R2156" s="48">
        <f>IF(Учет!$O2156=Справочники!$F$3,Учет!$H2156,0)</f>
        <v>0</v>
      </c>
      <c r="S2156" s="48">
        <f>IF(Учет!$O2156=Справочники!$F$4,Учет!$H2156,0)</f>
        <v>0</v>
      </c>
      <c r="T2156" s="48">
        <f>IF(Учет!$O2156=Справочники!$F$5,Учет!$H2156,0)</f>
        <v>0</v>
      </c>
      <c r="U2156" s="48">
        <f>IF(Учет!$O2156=Справочники!$F$6,Учет!$H2156,0)</f>
        <v>0</v>
      </c>
      <c r="V2156" s="43">
        <f>V2155+Учет!Q2156-Q2156</f>
        <v>-488978.92000000004</v>
      </c>
      <c r="W2156" s="43">
        <f>W2155+Учет!R2156-R2156</f>
        <v>336855</v>
      </c>
      <c r="X2156" s="43">
        <f>X2155+Учет!S2156-S2156</f>
        <v>500</v>
      </c>
      <c r="Y2156" s="43">
        <f>Y2155+Учет!T2156-T2156</f>
        <v>1150</v>
      </c>
      <c r="Z2156" s="43">
        <f>Z2155+Учет!U2156-U2156</f>
        <v>500000</v>
      </c>
      <c r="AA2156" s="45">
        <f>Учет!X2156</f>
        <v>500</v>
      </c>
    </row>
    <row r="2157" spans="1:27" ht="15" customHeight="1" x14ac:dyDescent="0.25">
      <c r="A2157" s="1"/>
      <c r="B2157" s="17"/>
      <c r="C2157" s="17"/>
      <c r="D2157" s="17"/>
      <c r="E2157" s="17"/>
      <c r="F2157" s="17"/>
      <c r="G2157" s="4">
        <f t="shared" si="96"/>
        <v>0</v>
      </c>
      <c r="H2157" s="17"/>
      <c r="I2157" s="4">
        <f t="shared" si="98"/>
        <v>349526.07999999996</v>
      </c>
      <c r="J2157" s="32" t="str">
        <f t="shared" si="97"/>
        <v/>
      </c>
      <c r="K2157" s="72"/>
      <c r="L2157" s="72"/>
      <c r="M2157" s="2"/>
      <c r="N2157" s="5"/>
      <c r="O2157" s="3"/>
      <c r="P2157" s="6"/>
      <c r="Q2157" s="48">
        <f>IF(Учет!$O2157=Справочники!$F$2,Учет!$H2157,0)</f>
        <v>0</v>
      </c>
      <c r="R2157" s="48">
        <f>IF(Учет!$O2157=Справочники!$F$3,Учет!$H2157,0)</f>
        <v>0</v>
      </c>
      <c r="S2157" s="48">
        <f>IF(Учет!$O2157=Справочники!$F$4,Учет!$H2157,0)</f>
        <v>0</v>
      </c>
      <c r="T2157" s="48">
        <f>IF(Учет!$O2157=Справочники!$F$5,Учет!$H2157,0)</f>
        <v>0</v>
      </c>
      <c r="U2157" s="48">
        <f>IF(Учет!$O2157=Справочники!$F$6,Учет!$H2157,0)</f>
        <v>0</v>
      </c>
      <c r="V2157" s="43">
        <f>V2156+Учет!Q2157-Q2157</f>
        <v>-488978.92000000004</v>
      </c>
      <c r="W2157" s="43">
        <f>W2156+Учет!R2157-R2157</f>
        <v>336855</v>
      </c>
      <c r="X2157" s="43">
        <f>X2156+Учет!S2157-S2157</f>
        <v>500</v>
      </c>
      <c r="Y2157" s="43">
        <f>Y2156+Учет!T2157-T2157</f>
        <v>1150</v>
      </c>
      <c r="Z2157" s="43">
        <f>Z2156+Учет!U2157-U2157</f>
        <v>500000</v>
      </c>
      <c r="AA2157" s="45">
        <f>Учет!X2157</f>
        <v>500</v>
      </c>
    </row>
    <row r="2158" spans="1:27" ht="15" customHeight="1" x14ac:dyDescent="0.25">
      <c r="A2158" s="1"/>
      <c r="B2158" s="17"/>
      <c r="C2158" s="17"/>
      <c r="D2158" s="17"/>
      <c r="E2158" s="17"/>
      <c r="F2158" s="17"/>
      <c r="G2158" s="4">
        <f t="shared" si="96"/>
        <v>0</v>
      </c>
      <c r="H2158" s="17"/>
      <c r="I2158" s="4">
        <f t="shared" si="98"/>
        <v>349526.07999999996</v>
      </c>
      <c r="J2158" s="32" t="str">
        <f t="shared" si="97"/>
        <v/>
      </c>
      <c r="K2158" s="72"/>
      <c r="L2158" s="72"/>
      <c r="M2158" s="2"/>
      <c r="N2158" s="5"/>
      <c r="O2158" s="3"/>
      <c r="P2158" s="6"/>
      <c r="Q2158" s="48">
        <f>IF(Учет!$O2158=Справочники!$F$2,Учет!$H2158,0)</f>
        <v>0</v>
      </c>
      <c r="R2158" s="48">
        <f>IF(Учет!$O2158=Справочники!$F$3,Учет!$H2158,0)</f>
        <v>0</v>
      </c>
      <c r="S2158" s="48">
        <f>IF(Учет!$O2158=Справочники!$F$4,Учет!$H2158,0)</f>
        <v>0</v>
      </c>
      <c r="T2158" s="48">
        <f>IF(Учет!$O2158=Справочники!$F$5,Учет!$H2158,0)</f>
        <v>0</v>
      </c>
      <c r="U2158" s="48">
        <f>IF(Учет!$O2158=Справочники!$F$6,Учет!$H2158,0)</f>
        <v>0</v>
      </c>
      <c r="V2158" s="43">
        <f>V2157+Учет!Q2158-Q2158</f>
        <v>-488978.92000000004</v>
      </c>
      <c r="W2158" s="43">
        <f>W2157+Учет!R2158-R2158</f>
        <v>336855</v>
      </c>
      <c r="X2158" s="43">
        <f>X2157+Учет!S2158-S2158</f>
        <v>500</v>
      </c>
      <c r="Y2158" s="43">
        <f>Y2157+Учет!T2158-T2158</f>
        <v>1150</v>
      </c>
      <c r="Z2158" s="43">
        <f>Z2157+Учет!U2158-U2158</f>
        <v>500000</v>
      </c>
      <c r="AA2158" s="45">
        <f>Учет!X2158</f>
        <v>500</v>
      </c>
    </row>
    <row r="2159" spans="1:27" ht="15" customHeight="1" x14ac:dyDescent="0.25">
      <c r="A2159" s="1"/>
      <c r="B2159" s="17"/>
      <c r="C2159" s="17"/>
      <c r="D2159" s="17"/>
      <c r="E2159" s="17"/>
      <c r="F2159" s="17"/>
      <c r="G2159" s="4">
        <f t="shared" si="96"/>
        <v>0</v>
      </c>
      <c r="H2159" s="17"/>
      <c r="I2159" s="4">
        <f t="shared" si="98"/>
        <v>349526.07999999996</v>
      </c>
      <c r="J2159" s="32" t="str">
        <f t="shared" si="97"/>
        <v/>
      </c>
      <c r="K2159" s="72"/>
      <c r="L2159" s="72"/>
      <c r="M2159" s="2"/>
      <c r="N2159" s="5"/>
      <c r="O2159" s="3"/>
      <c r="P2159" s="6"/>
      <c r="Q2159" s="48">
        <f>IF(Учет!$O2159=Справочники!$F$2,Учет!$H2159,0)</f>
        <v>0</v>
      </c>
      <c r="R2159" s="48">
        <f>IF(Учет!$O2159=Справочники!$F$3,Учет!$H2159,0)</f>
        <v>0</v>
      </c>
      <c r="S2159" s="48">
        <f>IF(Учет!$O2159=Справочники!$F$4,Учет!$H2159,0)</f>
        <v>0</v>
      </c>
      <c r="T2159" s="48">
        <f>IF(Учет!$O2159=Справочники!$F$5,Учет!$H2159,0)</f>
        <v>0</v>
      </c>
      <c r="U2159" s="48">
        <f>IF(Учет!$O2159=Справочники!$F$6,Учет!$H2159,0)</f>
        <v>0</v>
      </c>
      <c r="V2159" s="43">
        <f>V2158+Учет!Q2159-Q2159</f>
        <v>-488978.92000000004</v>
      </c>
      <c r="W2159" s="43">
        <f>W2158+Учет!R2159-R2159</f>
        <v>336855</v>
      </c>
      <c r="X2159" s="43">
        <f>X2158+Учет!S2159-S2159</f>
        <v>500</v>
      </c>
      <c r="Y2159" s="43">
        <f>Y2158+Учет!T2159-T2159</f>
        <v>1150</v>
      </c>
      <c r="Z2159" s="43">
        <f>Z2158+Учет!U2159-U2159</f>
        <v>500000</v>
      </c>
      <c r="AA2159" s="45">
        <f>Учет!X2159</f>
        <v>500</v>
      </c>
    </row>
    <row r="2160" spans="1:27" ht="15" customHeight="1" x14ac:dyDescent="0.25">
      <c r="A2160" s="1"/>
      <c r="B2160" s="17"/>
      <c r="C2160" s="17"/>
      <c r="D2160" s="17"/>
      <c r="E2160" s="17"/>
      <c r="F2160" s="17"/>
      <c r="G2160" s="4">
        <f t="shared" si="96"/>
        <v>0</v>
      </c>
      <c r="H2160" s="17"/>
      <c r="I2160" s="4">
        <f t="shared" si="98"/>
        <v>349526.07999999996</v>
      </c>
      <c r="J2160" s="32" t="str">
        <f t="shared" si="97"/>
        <v/>
      </c>
      <c r="K2160" s="72"/>
      <c r="L2160" s="72"/>
      <c r="M2160" s="2"/>
      <c r="N2160" s="5"/>
      <c r="O2160" s="3"/>
      <c r="P2160" s="6"/>
      <c r="Q2160" s="48">
        <f>IF(Учет!$O2160=Справочники!$F$2,Учет!$H2160,0)</f>
        <v>0</v>
      </c>
      <c r="R2160" s="48">
        <f>IF(Учет!$O2160=Справочники!$F$3,Учет!$H2160,0)</f>
        <v>0</v>
      </c>
      <c r="S2160" s="48">
        <f>IF(Учет!$O2160=Справочники!$F$4,Учет!$H2160,0)</f>
        <v>0</v>
      </c>
      <c r="T2160" s="48">
        <f>IF(Учет!$O2160=Справочники!$F$5,Учет!$H2160,0)</f>
        <v>0</v>
      </c>
      <c r="U2160" s="48">
        <f>IF(Учет!$O2160=Справочники!$F$6,Учет!$H2160,0)</f>
        <v>0</v>
      </c>
      <c r="V2160" s="43">
        <f>V2159+Учет!Q2160-Q2160</f>
        <v>-488978.92000000004</v>
      </c>
      <c r="W2160" s="43">
        <f>W2159+Учет!R2160-R2160</f>
        <v>336855</v>
      </c>
      <c r="X2160" s="43">
        <f>X2159+Учет!S2160-S2160</f>
        <v>500</v>
      </c>
      <c r="Y2160" s="43">
        <f>Y2159+Учет!T2160-T2160</f>
        <v>1150</v>
      </c>
      <c r="Z2160" s="43">
        <f>Z2159+Учет!U2160-U2160</f>
        <v>500000</v>
      </c>
      <c r="AA2160" s="45">
        <f>Учет!X2160</f>
        <v>500</v>
      </c>
    </row>
    <row r="2161" spans="1:27" ht="15" customHeight="1" x14ac:dyDescent="0.25">
      <c r="A2161" s="1"/>
      <c r="B2161" s="17"/>
      <c r="C2161" s="17"/>
      <c r="D2161" s="17"/>
      <c r="E2161" s="17"/>
      <c r="F2161" s="17"/>
      <c r="G2161" s="4">
        <f t="shared" si="96"/>
        <v>0</v>
      </c>
      <c r="H2161" s="17"/>
      <c r="I2161" s="4">
        <f t="shared" si="98"/>
        <v>349526.07999999996</v>
      </c>
      <c r="J2161" s="32" t="str">
        <f t="shared" si="97"/>
        <v/>
      </c>
      <c r="K2161" s="72"/>
      <c r="L2161" s="72"/>
      <c r="M2161" s="2"/>
      <c r="N2161" s="5"/>
      <c r="O2161" s="3"/>
      <c r="P2161" s="6"/>
      <c r="Q2161" s="48">
        <f>IF(Учет!$O2161=Справочники!$F$2,Учет!$H2161,0)</f>
        <v>0</v>
      </c>
      <c r="R2161" s="48">
        <f>IF(Учет!$O2161=Справочники!$F$3,Учет!$H2161,0)</f>
        <v>0</v>
      </c>
      <c r="S2161" s="48">
        <f>IF(Учет!$O2161=Справочники!$F$4,Учет!$H2161,0)</f>
        <v>0</v>
      </c>
      <c r="T2161" s="48">
        <f>IF(Учет!$O2161=Справочники!$F$5,Учет!$H2161,0)</f>
        <v>0</v>
      </c>
      <c r="U2161" s="48">
        <f>IF(Учет!$O2161=Справочники!$F$6,Учет!$H2161,0)</f>
        <v>0</v>
      </c>
      <c r="V2161" s="43">
        <f>V2160+Учет!Q2161-Q2161</f>
        <v>-488978.92000000004</v>
      </c>
      <c r="W2161" s="43">
        <f>W2160+Учет!R2161-R2161</f>
        <v>336855</v>
      </c>
      <c r="X2161" s="43">
        <f>X2160+Учет!S2161-S2161</f>
        <v>500</v>
      </c>
      <c r="Y2161" s="43">
        <f>Y2160+Учет!T2161-T2161</f>
        <v>1150</v>
      </c>
      <c r="Z2161" s="43">
        <f>Z2160+Учет!U2161-U2161</f>
        <v>500000</v>
      </c>
      <c r="AA2161" s="45">
        <f>Учет!X2161</f>
        <v>500</v>
      </c>
    </row>
    <row r="2162" spans="1:27" ht="15" customHeight="1" x14ac:dyDescent="0.25">
      <c r="A2162" s="1"/>
      <c r="B2162" s="17"/>
      <c r="C2162" s="17"/>
      <c r="D2162" s="17"/>
      <c r="E2162" s="17"/>
      <c r="F2162" s="17"/>
      <c r="G2162" s="4">
        <f t="shared" si="96"/>
        <v>0</v>
      </c>
      <c r="H2162" s="17"/>
      <c r="I2162" s="4">
        <f t="shared" si="98"/>
        <v>349526.07999999996</v>
      </c>
      <c r="J2162" s="32" t="str">
        <f t="shared" si="97"/>
        <v/>
      </c>
      <c r="K2162" s="72"/>
      <c r="L2162" s="72"/>
      <c r="M2162" s="2"/>
      <c r="N2162" s="5"/>
      <c r="O2162" s="3"/>
      <c r="P2162" s="6"/>
      <c r="Q2162" s="48">
        <f>IF(Учет!$O2162=Справочники!$F$2,Учет!$H2162,0)</f>
        <v>0</v>
      </c>
      <c r="R2162" s="48">
        <f>IF(Учет!$O2162=Справочники!$F$3,Учет!$H2162,0)</f>
        <v>0</v>
      </c>
      <c r="S2162" s="48">
        <f>IF(Учет!$O2162=Справочники!$F$4,Учет!$H2162,0)</f>
        <v>0</v>
      </c>
      <c r="T2162" s="48">
        <f>IF(Учет!$O2162=Справочники!$F$5,Учет!$H2162,0)</f>
        <v>0</v>
      </c>
      <c r="U2162" s="48">
        <f>IF(Учет!$O2162=Справочники!$F$6,Учет!$H2162,0)</f>
        <v>0</v>
      </c>
      <c r="V2162" s="43">
        <f>V2161+Учет!Q2162-Q2162</f>
        <v>-488978.92000000004</v>
      </c>
      <c r="W2162" s="43">
        <f>W2161+Учет!R2162-R2162</f>
        <v>336855</v>
      </c>
      <c r="X2162" s="43">
        <f>X2161+Учет!S2162-S2162</f>
        <v>500</v>
      </c>
      <c r="Y2162" s="43">
        <f>Y2161+Учет!T2162-T2162</f>
        <v>1150</v>
      </c>
      <c r="Z2162" s="43">
        <f>Z2161+Учет!U2162-U2162</f>
        <v>500000</v>
      </c>
      <c r="AA2162" s="45">
        <f>Учет!X2162</f>
        <v>500</v>
      </c>
    </row>
    <row r="2163" spans="1:27" ht="15" customHeight="1" x14ac:dyDescent="0.25">
      <c r="A2163" s="1"/>
      <c r="B2163" s="17"/>
      <c r="C2163" s="17"/>
      <c r="D2163" s="17"/>
      <c r="E2163" s="17"/>
      <c r="F2163" s="17"/>
      <c r="G2163" s="4">
        <f t="shared" si="96"/>
        <v>0</v>
      </c>
      <c r="H2163" s="17"/>
      <c r="I2163" s="4">
        <f t="shared" si="98"/>
        <v>349526.07999999996</v>
      </c>
      <c r="J2163" s="32" t="str">
        <f t="shared" si="97"/>
        <v/>
      </c>
      <c r="K2163" s="72"/>
      <c r="L2163" s="72"/>
      <c r="M2163" s="2"/>
      <c r="N2163" s="5"/>
      <c r="O2163" s="3"/>
      <c r="P2163" s="6"/>
      <c r="Q2163" s="48">
        <f>IF(Учет!$O2163=Справочники!$F$2,Учет!$H2163,0)</f>
        <v>0</v>
      </c>
      <c r="R2163" s="48">
        <f>IF(Учет!$O2163=Справочники!$F$3,Учет!$H2163,0)</f>
        <v>0</v>
      </c>
      <c r="S2163" s="48">
        <f>IF(Учет!$O2163=Справочники!$F$4,Учет!$H2163,0)</f>
        <v>0</v>
      </c>
      <c r="T2163" s="48">
        <f>IF(Учет!$O2163=Справочники!$F$5,Учет!$H2163,0)</f>
        <v>0</v>
      </c>
      <c r="U2163" s="48">
        <f>IF(Учет!$O2163=Справочники!$F$6,Учет!$H2163,0)</f>
        <v>0</v>
      </c>
      <c r="V2163" s="43">
        <f>V2162+Учет!Q2163-Q2163</f>
        <v>-488978.92000000004</v>
      </c>
      <c r="W2163" s="43">
        <f>W2162+Учет!R2163-R2163</f>
        <v>336855</v>
      </c>
      <c r="X2163" s="43">
        <f>X2162+Учет!S2163-S2163</f>
        <v>500</v>
      </c>
      <c r="Y2163" s="43">
        <f>Y2162+Учет!T2163-T2163</f>
        <v>1150</v>
      </c>
      <c r="Z2163" s="43">
        <f>Z2162+Учет!U2163-U2163</f>
        <v>500000</v>
      </c>
      <c r="AA2163" s="45">
        <f>Учет!X2163</f>
        <v>500</v>
      </c>
    </row>
    <row r="2164" spans="1:27" ht="15" customHeight="1" x14ac:dyDescent="0.25">
      <c r="A2164" s="1"/>
      <c r="B2164" s="17"/>
      <c r="C2164" s="17"/>
      <c r="D2164" s="17"/>
      <c r="E2164" s="17"/>
      <c r="F2164" s="17"/>
      <c r="G2164" s="4">
        <f t="shared" si="96"/>
        <v>0</v>
      </c>
      <c r="H2164" s="17"/>
      <c r="I2164" s="4">
        <f t="shared" si="98"/>
        <v>349526.07999999996</v>
      </c>
      <c r="J2164" s="32" t="str">
        <f t="shared" si="97"/>
        <v/>
      </c>
      <c r="K2164" s="72"/>
      <c r="L2164" s="72"/>
      <c r="M2164" s="2"/>
      <c r="N2164" s="5"/>
      <c r="O2164" s="3"/>
      <c r="P2164" s="6"/>
      <c r="Q2164" s="48">
        <f>IF(Учет!$O2164=Справочники!$F$2,Учет!$H2164,0)</f>
        <v>0</v>
      </c>
      <c r="R2164" s="48">
        <f>IF(Учет!$O2164=Справочники!$F$3,Учет!$H2164,0)</f>
        <v>0</v>
      </c>
      <c r="S2164" s="48">
        <f>IF(Учет!$O2164=Справочники!$F$4,Учет!$H2164,0)</f>
        <v>0</v>
      </c>
      <c r="T2164" s="48">
        <f>IF(Учет!$O2164=Справочники!$F$5,Учет!$H2164,0)</f>
        <v>0</v>
      </c>
      <c r="U2164" s="48">
        <f>IF(Учет!$O2164=Справочники!$F$6,Учет!$H2164,0)</f>
        <v>0</v>
      </c>
      <c r="V2164" s="43">
        <f>V2163+Учет!Q2164-Q2164</f>
        <v>-488978.92000000004</v>
      </c>
      <c r="W2164" s="43">
        <f>W2163+Учет!R2164-R2164</f>
        <v>336855</v>
      </c>
      <c r="X2164" s="43">
        <f>X2163+Учет!S2164-S2164</f>
        <v>500</v>
      </c>
      <c r="Y2164" s="43">
        <f>Y2163+Учет!T2164-T2164</f>
        <v>1150</v>
      </c>
      <c r="Z2164" s="43">
        <f>Z2163+Учет!U2164-U2164</f>
        <v>500000</v>
      </c>
      <c r="AA2164" s="45">
        <f>Учет!X2164</f>
        <v>500</v>
      </c>
    </row>
    <row r="2165" spans="1:27" ht="15" customHeight="1" x14ac:dyDescent="0.25">
      <c r="A2165" s="1"/>
      <c r="B2165" s="17"/>
      <c r="C2165" s="17"/>
      <c r="D2165" s="17"/>
      <c r="E2165" s="17"/>
      <c r="F2165" s="17"/>
      <c r="G2165" s="4">
        <f t="shared" si="96"/>
        <v>0</v>
      </c>
      <c r="H2165" s="17"/>
      <c r="I2165" s="4">
        <f t="shared" si="98"/>
        <v>349526.07999999996</v>
      </c>
      <c r="J2165" s="32" t="str">
        <f t="shared" si="97"/>
        <v/>
      </c>
      <c r="K2165" s="72"/>
      <c r="L2165" s="72"/>
      <c r="M2165" s="2"/>
      <c r="N2165" s="5"/>
      <c r="O2165" s="3"/>
      <c r="P2165" s="6"/>
      <c r="Q2165" s="48">
        <f>IF(Учет!$O2165=Справочники!$F$2,Учет!$H2165,0)</f>
        <v>0</v>
      </c>
      <c r="R2165" s="48">
        <f>IF(Учет!$O2165=Справочники!$F$3,Учет!$H2165,0)</f>
        <v>0</v>
      </c>
      <c r="S2165" s="48">
        <f>IF(Учет!$O2165=Справочники!$F$4,Учет!$H2165,0)</f>
        <v>0</v>
      </c>
      <c r="T2165" s="48">
        <f>IF(Учет!$O2165=Справочники!$F$5,Учет!$H2165,0)</f>
        <v>0</v>
      </c>
      <c r="U2165" s="48">
        <f>IF(Учет!$O2165=Справочники!$F$6,Учет!$H2165,0)</f>
        <v>0</v>
      </c>
      <c r="V2165" s="43">
        <f>V2164+Учет!Q2165-Q2165</f>
        <v>-488978.92000000004</v>
      </c>
      <c r="W2165" s="43">
        <f>W2164+Учет!R2165-R2165</f>
        <v>336855</v>
      </c>
      <c r="X2165" s="43">
        <f>X2164+Учет!S2165-S2165</f>
        <v>500</v>
      </c>
      <c r="Y2165" s="43">
        <f>Y2164+Учет!T2165-T2165</f>
        <v>1150</v>
      </c>
      <c r="Z2165" s="43">
        <f>Z2164+Учет!U2165-U2165</f>
        <v>500000</v>
      </c>
      <c r="AA2165" s="45">
        <f>Учет!X2165</f>
        <v>500</v>
      </c>
    </row>
    <row r="2166" spans="1:27" ht="15" customHeight="1" x14ac:dyDescent="0.25">
      <c r="A2166" s="1"/>
      <c r="B2166" s="17"/>
      <c r="C2166" s="17"/>
      <c r="D2166" s="17"/>
      <c r="E2166" s="17"/>
      <c r="F2166" s="17"/>
      <c r="G2166" s="4">
        <f t="shared" si="96"/>
        <v>0</v>
      </c>
      <c r="H2166" s="17"/>
      <c r="I2166" s="4">
        <f t="shared" si="98"/>
        <v>349526.07999999996</v>
      </c>
      <c r="J2166" s="32" t="str">
        <f t="shared" si="97"/>
        <v/>
      </c>
      <c r="K2166" s="72"/>
      <c r="L2166" s="72"/>
      <c r="M2166" s="2"/>
      <c r="N2166" s="5"/>
      <c r="O2166" s="3"/>
      <c r="P2166" s="6"/>
      <c r="Q2166" s="48">
        <f>IF(Учет!$O2166=Справочники!$F$2,Учет!$H2166,0)</f>
        <v>0</v>
      </c>
      <c r="R2166" s="48">
        <f>IF(Учет!$O2166=Справочники!$F$3,Учет!$H2166,0)</f>
        <v>0</v>
      </c>
      <c r="S2166" s="48">
        <f>IF(Учет!$O2166=Справочники!$F$4,Учет!$H2166,0)</f>
        <v>0</v>
      </c>
      <c r="T2166" s="48">
        <f>IF(Учет!$O2166=Справочники!$F$5,Учет!$H2166,0)</f>
        <v>0</v>
      </c>
      <c r="U2166" s="48">
        <f>IF(Учет!$O2166=Справочники!$F$6,Учет!$H2166,0)</f>
        <v>0</v>
      </c>
      <c r="V2166" s="43">
        <f>V2165+Учет!Q2166-Q2166</f>
        <v>-488978.92000000004</v>
      </c>
      <c r="W2166" s="43">
        <f>W2165+Учет!R2166-R2166</f>
        <v>336855</v>
      </c>
      <c r="X2166" s="43">
        <f>X2165+Учет!S2166-S2166</f>
        <v>500</v>
      </c>
      <c r="Y2166" s="43">
        <f>Y2165+Учет!T2166-T2166</f>
        <v>1150</v>
      </c>
      <c r="Z2166" s="43">
        <f>Z2165+Учет!U2166-U2166</f>
        <v>500000</v>
      </c>
      <c r="AA2166" s="45">
        <f>Учет!X2166</f>
        <v>500</v>
      </c>
    </row>
    <row r="2167" spans="1:27" ht="15" customHeight="1" x14ac:dyDescent="0.25">
      <c r="A2167" s="1"/>
      <c r="B2167" s="17"/>
      <c r="C2167" s="17"/>
      <c r="D2167" s="17"/>
      <c r="E2167" s="17"/>
      <c r="F2167" s="17"/>
      <c r="G2167" s="4">
        <f t="shared" si="96"/>
        <v>0</v>
      </c>
      <c r="H2167" s="17"/>
      <c r="I2167" s="4">
        <f t="shared" si="98"/>
        <v>349526.07999999996</v>
      </c>
      <c r="J2167" s="32" t="str">
        <f t="shared" si="97"/>
        <v/>
      </c>
      <c r="K2167" s="72"/>
      <c r="L2167" s="72"/>
      <c r="M2167" s="2"/>
      <c r="N2167" s="5"/>
      <c r="O2167" s="3"/>
      <c r="P2167" s="6"/>
      <c r="Q2167" s="48">
        <f>IF(Учет!$O2167=Справочники!$F$2,Учет!$H2167,0)</f>
        <v>0</v>
      </c>
      <c r="R2167" s="48">
        <f>IF(Учет!$O2167=Справочники!$F$3,Учет!$H2167,0)</f>
        <v>0</v>
      </c>
      <c r="S2167" s="48">
        <f>IF(Учет!$O2167=Справочники!$F$4,Учет!$H2167,0)</f>
        <v>0</v>
      </c>
      <c r="T2167" s="48">
        <f>IF(Учет!$O2167=Справочники!$F$5,Учет!$H2167,0)</f>
        <v>0</v>
      </c>
      <c r="U2167" s="48">
        <f>IF(Учет!$O2167=Справочники!$F$6,Учет!$H2167,0)</f>
        <v>0</v>
      </c>
      <c r="V2167" s="43">
        <f>V2166+Учет!Q2167-Q2167</f>
        <v>-488978.92000000004</v>
      </c>
      <c r="W2167" s="43">
        <f>W2166+Учет!R2167-R2167</f>
        <v>336855</v>
      </c>
      <c r="X2167" s="43">
        <f>X2166+Учет!S2167-S2167</f>
        <v>500</v>
      </c>
      <c r="Y2167" s="43">
        <f>Y2166+Учет!T2167-T2167</f>
        <v>1150</v>
      </c>
      <c r="Z2167" s="43">
        <f>Z2166+Учет!U2167-U2167</f>
        <v>500000</v>
      </c>
      <c r="AA2167" s="45">
        <f>Учет!X2167</f>
        <v>500</v>
      </c>
    </row>
    <row r="2168" spans="1:27" ht="15" customHeight="1" x14ac:dyDescent="0.25">
      <c r="A2168" s="1"/>
      <c r="B2168" s="17"/>
      <c r="C2168" s="17"/>
      <c r="D2168" s="17"/>
      <c r="E2168" s="17"/>
      <c r="F2168" s="17"/>
      <c r="G2168" s="4">
        <f t="shared" si="96"/>
        <v>0</v>
      </c>
      <c r="H2168" s="17"/>
      <c r="I2168" s="4">
        <f t="shared" si="98"/>
        <v>349526.07999999996</v>
      </c>
      <c r="J2168" s="32" t="str">
        <f t="shared" si="97"/>
        <v/>
      </c>
      <c r="K2168" s="72"/>
      <c r="L2168" s="72"/>
      <c r="M2168" s="2"/>
      <c r="N2168" s="5"/>
      <c r="O2168" s="3"/>
      <c r="P2168" s="6"/>
      <c r="Q2168" s="48">
        <f>IF(Учет!$O2168=Справочники!$F$2,Учет!$H2168,0)</f>
        <v>0</v>
      </c>
      <c r="R2168" s="48">
        <f>IF(Учет!$O2168=Справочники!$F$3,Учет!$H2168,0)</f>
        <v>0</v>
      </c>
      <c r="S2168" s="48">
        <f>IF(Учет!$O2168=Справочники!$F$4,Учет!$H2168,0)</f>
        <v>0</v>
      </c>
      <c r="T2168" s="48">
        <f>IF(Учет!$O2168=Справочники!$F$5,Учет!$H2168,0)</f>
        <v>0</v>
      </c>
      <c r="U2168" s="48">
        <f>IF(Учет!$O2168=Справочники!$F$6,Учет!$H2168,0)</f>
        <v>0</v>
      </c>
      <c r="V2168" s="43">
        <f>V2167+Учет!Q2168-Q2168</f>
        <v>-488978.92000000004</v>
      </c>
      <c r="W2168" s="43">
        <f>W2167+Учет!R2168-R2168</f>
        <v>336855</v>
      </c>
      <c r="X2168" s="43">
        <f>X2167+Учет!S2168-S2168</f>
        <v>500</v>
      </c>
      <c r="Y2168" s="43">
        <f>Y2167+Учет!T2168-T2168</f>
        <v>1150</v>
      </c>
      <c r="Z2168" s="43">
        <f>Z2167+Учет!U2168-U2168</f>
        <v>500000</v>
      </c>
      <c r="AA2168" s="45">
        <f>Учет!X2168</f>
        <v>500</v>
      </c>
    </row>
    <row r="2169" spans="1:27" ht="15" customHeight="1" x14ac:dyDescent="0.25">
      <c r="A2169" s="1"/>
      <c r="B2169" s="17"/>
      <c r="C2169" s="17"/>
      <c r="D2169" s="17"/>
      <c r="E2169" s="17"/>
      <c r="F2169" s="17"/>
      <c r="G2169" s="4">
        <f t="shared" si="96"/>
        <v>0</v>
      </c>
      <c r="H2169" s="17"/>
      <c r="I2169" s="4">
        <f t="shared" si="98"/>
        <v>349526.07999999996</v>
      </c>
      <c r="J2169" s="32" t="str">
        <f t="shared" si="97"/>
        <v/>
      </c>
      <c r="K2169" s="72"/>
      <c r="L2169" s="72"/>
      <c r="M2169" s="2"/>
      <c r="N2169" s="5"/>
      <c r="O2169" s="3"/>
      <c r="P2169" s="6"/>
      <c r="Q2169" s="48">
        <f>IF(Учет!$O2169=Справочники!$F$2,Учет!$H2169,0)</f>
        <v>0</v>
      </c>
      <c r="R2169" s="48">
        <f>IF(Учет!$O2169=Справочники!$F$3,Учет!$H2169,0)</f>
        <v>0</v>
      </c>
      <c r="S2169" s="48">
        <f>IF(Учет!$O2169=Справочники!$F$4,Учет!$H2169,0)</f>
        <v>0</v>
      </c>
      <c r="T2169" s="48">
        <f>IF(Учет!$O2169=Справочники!$F$5,Учет!$H2169,0)</f>
        <v>0</v>
      </c>
      <c r="U2169" s="48">
        <f>IF(Учет!$O2169=Справочники!$F$6,Учет!$H2169,0)</f>
        <v>0</v>
      </c>
      <c r="V2169" s="43">
        <f>V2168+Учет!Q2169-Q2169</f>
        <v>-488978.92000000004</v>
      </c>
      <c r="W2169" s="43">
        <f>W2168+Учет!R2169-R2169</f>
        <v>336855</v>
      </c>
      <c r="X2169" s="43">
        <f>X2168+Учет!S2169-S2169</f>
        <v>500</v>
      </c>
      <c r="Y2169" s="43">
        <f>Y2168+Учет!T2169-T2169</f>
        <v>1150</v>
      </c>
      <c r="Z2169" s="43">
        <f>Z2168+Учет!U2169-U2169</f>
        <v>500000</v>
      </c>
      <c r="AA2169" s="45">
        <f>Учет!X2169</f>
        <v>500</v>
      </c>
    </row>
    <row r="2170" spans="1:27" ht="15" customHeight="1" x14ac:dyDescent="0.25">
      <c r="A2170" s="1"/>
      <c r="B2170" s="17"/>
      <c r="C2170" s="17"/>
      <c r="D2170" s="17"/>
      <c r="E2170" s="17"/>
      <c r="F2170" s="17"/>
      <c r="G2170" s="4">
        <f t="shared" si="96"/>
        <v>0</v>
      </c>
      <c r="H2170" s="17"/>
      <c r="I2170" s="4">
        <f t="shared" si="98"/>
        <v>349526.07999999996</v>
      </c>
      <c r="J2170" s="32" t="str">
        <f t="shared" si="97"/>
        <v/>
      </c>
      <c r="K2170" s="72"/>
      <c r="L2170" s="72"/>
      <c r="M2170" s="2"/>
      <c r="N2170" s="5"/>
      <c r="O2170" s="3"/>
      <c r="P2170" s="6"/>
      <c r="Q2170" s="48">
        <f>IF(Учет!$O2170=Справочники!$F$2,Учет!$H2170,0)</f>
        <v>0</v>
      </c>
      <c r="R2170" s="48">
        <f>IF(Учет!$O2170=Справочники!$F$3,Учет!$H2170,0)</f>
        <v>0</v>
      </c>
      <c r="S2170" s="48">
        <f>IF(Учет!$O2170=Справочники!$F$4,Учет!$H2170,0)</f>
        <v>0</v>
      </c>
      <c r="T2170" s="48">
        <f>IF(Учет!$O2170=Справочники!$F$5,Учет!$H2170,0)</f>
        <v>0</v>
      </c>
      <c r="U2170" s="48">
        <f>IF(Учет!$O2170=Справочники!$F$6,Учет!$H2170,0)</f>
        <v>0</v>
      </c>
      <c r="V2170" s="43">
        <f>V2169+Учет!Q2170-Q2170</f>
        <v>-488978.92000000004</v>
      </c>
      <c r="W2170" s="43">
        <f>W2169+Учет!R2170-R2170</f>
        <v>336855</v>
      </c>
      <c r="X2170" s="43">
        <f>X2169+Учет!S2170-S2170</f>
        <v>500</v>
      </c>
      <c r="Y2170" s="43">
        <f>Y2169+Учет!T2170-T2170</f>
        <v>1150</v>
      </c>
      <c r="Z2170" s="43">
        <f>Z2169+Учет!U2170-U2170</f>
        <v>500000</v>
      </c>
      <c r="AA2170" s="45">
        <f>Учет!X2170</f>
        <v>500</v>
      </c>
    </row>
    <row r="2171" spans="1:27" ht="15" customHeight="1" x14ac:dyDescent="0.25">
      <c r="A2171" s="1"/>
      <c r="B2171" s="17"/>
      <c r="C2171" s="17"/>
      <c r="D2171" s="17"/>
      <c r="E2171" s="17"/>
      <c r="F2171" s="17"/>
      <c r="G2171" s="4">
        <f t="shared" si="96"/>
        <v>0</v>
      </c>
      <c r="H2171" s="17"/>
      <c r="I2171" s="4">
        <f t="shared" si="98"/>
        <v>349526.07999999996</v>
      </c>
      <c r="J2171" s="32" t="str">
        <f t="shared" si="97"/>
        <v/>
      </c>
      <c r="K2171" s="72"/>
      <c r="L2171" s="72"/>
      <c r="M2171" s="2"/>
      <c r="N2171" s="5"/>
      <c r="O2171" s="3"/>
      <c r="P2171" s="6"/>
      <c r="Q2171" s="48">
        <f>IF(Учет!$O2171=Справочники!$F$2,Учет!$H2171,0)</f>
        <v>0</v>
      </c>
      <c r="R2171" s="48">
        <f>IF(Учет!$O2171=Справочники!$F$3,Учет!$H2171,0)</f>
        <v>0</v>
      </c>
      <c r="S2171" s="48">
        <f>IF(Учет!$O2171=Справочники!$F$4,Учет!$H2171,0)</f>
        <v>0</v>
      </c>
      <c r="T2171" s="48">
        <f>IF(Учет!$O2171=Справочники!$F$5,Учет!$H2171,0)</f>
        <v>0</v>
      </c>
      <c r="U2171" s="48">
        <f>IF(Учет!$O2171=Справочники!$F$6,Учет!$H2171,0)</f>
        <v>0</v>
      </c>
      <c r="V2171" s="43">
        <f>V2170+Учет!Q2171-Q2171</f>
        <v>-488978.92000000004</v>
      </c>
      <c r="W2171" s="43">
        <f>W2170+Учет!R2171-R2171</f>
        <v>336855</v>
      </c>
      <c r="X2171" s="43">
        <f>X2170+Учет!S2171-S2171</f>
        <v>500</v>
      </c>
      <c r="Y2171" s="43">
        <f>Y2170+Учет!T2171-T2171</f>
        <v>1150</v>
      </c>
      <c r="Z2171" s="43">
        <f>Z2170+Учет!U2171-U2171</f>
        <v>500000</v>
      </c>
      <c r="AA2171" s="45">
        <f>Учет!X2171</f>
        <v>500</v>
      </c>
    </row>
    <row r="2172" spans="1:27" ht="15" customHeight="1" x14ac:dyDescent="0.25">
      <c r="A2172" s="1"/>
      <c r="B2172" s="17"/>
      <c r="C2172" s="17"/>
      <c r="D2172" s="17"/>
      <c r="E2172" s="17"/>
      <c r="F2172" s="17"/>
      <c r="G2172" s="4">
        <f t="shared" si="96"/>
        <v>0</v>
      </c>
      <c r="H2172" s="17"/>
      <c r="I2172" s="4">
        <f t="shared" si="98"/>
        <v>349526.07999999996</v>
      </c>
      <c r="J2172" s="32" t="str">
        <f t="shared" si="97"/>
        <v/>
      </c>
      <c r="K2172" s="72"/>
      <c r="L2172" s="72"/>
      <c r="M2172" s="2"/>
      <c r="N2172" s="5"/>
      <c r="O2172" s="3"/>
      <c r="P2172" s="6"/>
      <c r="Q2172" s="48">
        <f>IF(Учет!$O2172=Справочники!$F$2,Учет!$H2172,0)</f>
        <v>0</v>
      </c>
      <c r="R2172" s="48">
        <f>IF(Учет!$O2172=Справочники!$F$3,Учет!$H2172,0)</f>
        <v>0</v>
      </c>
      <c r="S2172" s="48">
        <f>IF(Учет!$O2172=Справочники!$F$4,Учет!$H2172,0)</f>
        <v>0</v>
      </c>
      <c r="T2172" s="48">
        <f>IF(Учет!$O2172=Справочники!$F$5,Учет!$H2172,0)</f>
        <v>0</v>
      </c>
      <c r="U2172" s="48">
        <f>IF(Учет!$O2172=Справочники!$F$6,Учет!$H2172,0)</f>
        <v>0</v>
      </c>
      <c r="V2172" s="43">
        <f>V2171+Учет!Q2172-Q2172</f>
        <v>-488978.92000000004</v>
      </c>
      <c r="W2172" s="43">
        <f>W2171+Учет!R2172-R2172</f>
        <v>336855</v>
      </c>
      <c r="X2172" s="43">
        <f>X2171+Учет!S2172-S2172</f>
        <v>500</v>
      </c>
      <c r="Y2172" s="43">
        <f>Y2171+Учет!T2172-T2172</f>
        <v>1150</v>
      </c>
      <c r="Z2172" s="43">
        <f>Z2171+Учет!U2172-U2172</f>
        <v>500000</v>
      </c>
      <c r="AA2172" s="45">
        <f>Учет!X2172</f>
        <v>500</v>
      </c>
    </row>
    <row r="2173" spans="1:27" ht="15" customHeight="1" x14ac:dyDescent="0.25">
      <c r="A2173" s="1"/>
      <c r="B2173" s="17"/>
      <c r="C2173" s="17"/>
      <c r="D2173" s="17"/>
      <c r="E2173" s="17"/>
      <c r="F2173" s="17"/>
      <c r="G2173" s="4">
        <f t="shared" si="96"/>
        <v>0</v>
      </c>
      <c r="H2173" s="17"/>
      <c r="I2173" s="4">
        <f t="shared" si="98"/>
        <v>349526.07999999996</v>
      </c>
      <c r="J2173" s="32" t="str">
        <f t="shared" si="97"/>
        <v/>
      </c>
      <c r="K2173" s="72"/>
      <c r="L2173" s="72"/>
      <c r="M2173" s="2"/>
      <c r="N2173" s="5"/>
      <c r="O2173" s="3"/>
      <c r="P2173" s="6"/>
      <c r="Q2173" s="48">
        <f>IF(Учет!$O2173=Справочники!$F$2,Учет!$H2173,0)</f>
        <v>0</v>
      </c>
      <c r="R2173" s="48">
        <f>IF(Учет!$O2173=Справочники!$F$3,Учет!$H2173,0)</f>
        <v>0</v>
      </c>
      <c r="S2173" s="48">
        <f>IF(Учет!$O2173=Справочники!$F$4,Учет!$H2173,0)</f>
        <v>0</v>
      </c>
      <c r="T2173" s="48">
        <f>IF(Учет!$O2173=Справочники!$F$5,Учет!$H2173,0)</f>
        <v>0</v>
      </c>
      <c r="U2173" s="48">
        <f>IF(Учет!$O2173=Справочники!$F$6,Учет!$H2173,0)</f>
        <v>0</v>
      </c>
      <c r="V2173" s="43">
        <f>V2172+Учет!Q2173-Q2173</f>
        <v>-488978.92000000004</v>
      </c>
      <c r="W2173" s="43">
        <f>W2172+Учет!R2173-R2173</f>
        <v>336855</v>
      </c>
      <c r="X2173" s="43">
        <f>X2172+Учет!S2173-S2173</f>
        <v>500</v>
      </c>
      <c r="Y2173" s="43">
        <f>Y2172+Учет!T2173-T2173</f>
        <v>1150</v>
      </c>
      <c r="Z2173" s="43">
        <f>Z2172+Учет!U2173-U2173</f>
        <v>500000</v>
      </c>
      <c r="AA2173" s="45">
        <f>Учет!X2173</f>
        <v>500</v>
      </c>
    </row>
    <row r="2174" spans="1:27" ht="15" customHeight="1" x14ac:dyDescent="0.25">
      <c r="A2174" s="1"/>
      <c r="B2174" s="17"/>
      <c r="C2174" s="17"/>
      <c r="D2174" s="17"/>
      <c r="E2174" s="17"/>
      <c r="F2174" s="17"/>
      <c r="G2174" s="4">
        <f t="shared" si="96"/>
        <v>0</v>
      </c>
      <c r="H2174" s="17"/>
      <c r="I2174" s="4">
        <f t="shared" si="98"/>
        <v>349526.07999999996</v>
      </c>
      <c r="J2174" s="32" t="str">
        <f t="shared" si="97"/>
        <v/>
      </c>
      <c r="K2174" s="72"/>
      <c r="L2174" s="72"/>
      <c r="M2174" s="2"/>
      <c r="N2174" s="5"/>
      <c r="O2174" s="3"/>
      <c r="P2174" s="6"/>
      <c r="Q2174" s="48">
        <f>IF(Учет!$O2174=Справочники!$F$2,Учет!$H2174,0)</f>
        <v>0</v>
      </c>
      <c r="R2174" s="48">
        <f>IF(Учет!$O2174=Справочники!$F$3,Учет!$H2174,0)</f>
        <v>0</v>
      </c>
      <c r="S2174" s="48">
        <f>IF(Учет!$O2174=Справочники!$F$4,Учет!$H2174,0)</f>
        <v>0</v>
      </c>
      <c r="T2174" s="48">
        <f>IF(Учет!$O2174=Справочники!$F$5,Учет!$H2174,0)</f>
        <v>0</v>
      </c>
      <c r="U2174" s="48">
        <f>IF(Учет!$O2174=Справочники!$F$6,Учет!$H2174,0)</f>
        <v>0</v>
      </c>
      <c r="V2174" s="43">
        <f>V2173+Учет!Q2174-Q2174</f>
        <v>-488978.92000000004</v>
      </c>
      <c r="W2174" s="43">
        <f>W2173+Учет!R2174-R2174</f>
        <v>336855</v>
      </c>
      <c r="X2174" s="43">
        <f>X2173+Учет!S2174-S2174</f>
        <v>500</v>
      </c>
      <c r="Y2174" s="43">
        <f>Y2173+Учет!T2174-T2174</f>
        <v>1150</v>
      </c>
      <c r="Z2174" s="43">
        <f>Z2173+Учет!U2174-U2174</f>
        <v>500000</v>
      </c>
      <c r="AA2174" s="45">
        <f>Учет!X2174</f>
        <v>500</v>
      </c>
    </row>
    <row r="2175" spans="1:27" ht="15" customHeight="1" x14ac:dyDescent="0.25">
      <c r="A2175" s="1"/>
      <c r="B2175" s="17"/>
      <c r="C2175" s="17"/>
      <c r="D2175" s="17"/>
      <c r="E2175" s="17"/>
      <c r="F2175" s="17"/>
      <c r="G2175" s="4">
        <f t="shared" si="96"/>
        <v>0</v>
      </c>
      <c r="H2175" s="17"/>
      <c r="I2175" s="4">
        <f t="shared" si="98"/>
        <v>349526.07999999996</v>
      </c>
      <c r="J2175" s="32" t="str">
        <f t="shared" si="97"/>
        <v/>
      </c>
      <c r="K2175" s="72"/>
      <c r="L2175" s="72"/>
      <c r="M2175" s="2"/>
      <c r="N2175" s="5"/>
      <c r="O2175" s="3"/>
      <c r="P2175" s="6"/>
      <c r="Q2175" s="48">
        <f>IF(Учет!$O2175=Справочники!$F$2,Учет!$H2175,0)</f>
        <v>0</v>
      </c>
      <c r="R2175" s="48">
        <f>IF(Учет!$O2175=Справочники!$F$3,Учет!$H2175,0)</f>
        <v>0</v>
      </c>
      <c r="S2175" s="48">
        <f>IF(Учет!$O2175=Справочники!$F$4,Учет!$H2175,0)</f>
        <v>0</v>
      </c>
      <c r="T2175" s="48">
        <f>IF(Учет!$O2175=Справочники!$F$5,Учет!$H2175,0)</f>
        <v>0</v>
      </c>
      <c r="U2175" s="48">
        <f>IF(Учет!$O2175=Справочники!$F$6,Учет!$H2175,0)</f>
        <v>0</v>
      </c>
      <c r="V2175" s="43">
        <f>V2174+Учет!Q2175-Q2175</f>
        <v>-488978.92000000004</v>
      </c>
      <c r="W2175" s="43">
        <f>W2174+Учет!R2175-R2175</f>
        <v>336855</v>
      </c>
      <c r="X2175" s="43">
        <f>X2174+Учет!S2175-S2175</f>
        <v>500</v>
      </c>
      <c r="Y2175" s="43">
        <f>Y2174+Учет!T2175-T2175</f>
        <v>1150</v>
      </c>
      <c r="Z2175" s="43">
        <f>Z2174+Учет!U2175-U2175</f>
        <v>500000</v>
      </c>
      <c r="AA2175" s="45">
        <f>Учет!X2175</f>
        <v>500</v>
      </c>
    </row>
    <row r="2176" spans="1:27" ht="15" customHeight="1" x14ac:dyDescent="0.25">
      <c r="A2176" s="1"/>
      <c r="B2176" s="17"/>
      <c r="C2176" s="17"/>
      <c r="D2176" s="17"/>
      <c r="E2176" s="17"/>
      <c r="F2176" s="17"/>
      <c r="G2176" s="4">
        <f t="shared" si="96"/>
        <v>0</v>
      </c>
      <c r="H2176" s="17"/>
      <c r="I2176" s="4">
        <f t="shared" si="98"/>
        <v>349526.07999999996</v>
      </c>
      <c r="J2176" s="32" t="str">
        <f t="shared" si="97"/>
        <v/>
      </c>
      <c r="K2176" s="72"/>
      <c r="L2176" s="72"/>
      <c r="M2176" s="2"/>
      <c r="N2176" s="5"/>
      <c r="O2176" s="3"/>
      <c r="P2176" s="6"/>
      <c r="Q2176" s="48">
        <f>IF(Учет!$O2176=Справочники!$F$2,Учет!$H2176,0)</f>
        <v>0</v>
      </c>
      <c r="R2176" s="48">
        <f>IF(Учет!$O2176=Справочники!$F$3,Учет!$H2176,0)</f>
        <v>0</v>
      </c>
      <c r="S2176" s="48">
        <f>IF(Учет!$O2176=Справочники!$F$4,Учет!$H2176,0)</f>
        <v>0</v>
      </c>
      <c r="T2176" s="48">
        <f>IF(Учет!$O2176=Справочники!$F$5,Учет!$H2176,0)</f>
        <v>0</v>
      </c>
      <c r="U2176" s="48">
        <f>IF(Учет!$O2176=Справочники!$F$6,Учет!$H2176,0)</f>
        <v>0</v>
      </c>
      <c r="V2176" s="43">
        <f>V2175+Учет!Q2176-Q2176</f>
        <v>-488978.92000000004</v>
      </c>
      <c r="W2176" s="43">
        <f>W2175+Учет!R2176-R2176</f>
        <v>336855</v>
      </c>
      <c r="X2176" s="43">
        <f>X2175+Учет!S2176-S2176</f>
        <v>500</v>
      </c>
      <c r="Y2176" s="43">
        <f>Y2175+Учет!T2176-T2176</f>
        <v>1150</v>
      </c>
      <c r="Z2176" s="43">
        <f>Z2175+Учет!U2176-U2176</f>
        <v>500000</v>
      </c>
      <c r="AA2176" s="45">
        <f>Учет!X2176</f>
        <v>500</v>
      </c>
    </row>
    <row r="2177" spans="1:27" ht="15" customHeight="1" x14ac:dyDescent="0.25">
      <c r="A2177" s="1"/>
      <c r="B2177" s="17"/>
      <c r="C2177" s="17"/>
      <c r="D2177" s="17"/>
      <c r="E2177" s="17"/>
      <c r="F2177" s="17"/>
      <c r="G2177" s="4">
        <f t="shared" si="96"/>
        <v>0</v>
      </c>
      <c r="H2177" s="17"/>
      <c r="I2177" s="4">
        <f t="shared" si="98"/>
        <v>349526.07999999996</v>
      </c>
      <c r="J2177" s="32" t="str">
        <f t="shared" si="97"/>
        <v/>
      </c>
      <c r="K2177" s="72"/>
      <c r="L2177" s="72"/>
      <c r="M2177" s="2"/>
      <c r="N2177" s="5"/>
      <c r="O2177" s="3"/>
      <c r="P2177" s="6"/>
      <c r="Q2177" s="48">
        <f>IF(Учет!$O2177=Справочники!$F$2,Учет!$H2177,0)</f>
        <v>0</v>
      </c>
      <c r="R2177" s="48">
        <f>IF(Учет!$O2177=Справочники!$F$3,Учет!$H2177,0)</f>
        <v>0</v>
      </c>
      <c r="S2177" s="48">
        <f>IF(Учет!$O2177=Справочники!$F$4,Учет!$H2177,0)</f>
        <v>0</v>
      </c>
      <c r="T2177" s="48">
        <f>IF(Учет!$O2177=Справочники!$F$5,Учет!$H2177,0)</f>
        <v>0</v>
      </c>
      <c r="U2177" s="48">
        <f>IF(Учет!$O2177=Справочники!$F$6,Учет!$H2177,0)</f>
        <v>0</v>
      </c>
      <c r="V2177" s="43">
        <f>V2176+Учет!Q2177-Q2177</f>
        <v>-488978.92000000004</v>
      </c>
      <c r="W2177" s="43">
        <f>W2176+Учет!R2177-R2177</f>
        <v>336855</v>
      </c>
      <c r="X2177" s="43">
        <f>X2176+Учет!S2177-S2177</f>
        <v>500</v>
      </c>
      <c r="Y2177" s="43">
        <f>Y2176+Учет!T2177-T2177</f>
        <v>1150</v>
      </c>
      <c r="Z2177" s="43">
        <f>Z2176+Учет!U2177-U2177</f>
        <v>500000</v>
      </c>
      <c r="AA2177" s="45">
        <f>Учет!X2177</f>
        <v>500</v>
      </c>
    </row>
    <row r="2178" spans="1:27" ht="15" customHeight="1" x14ac:dyDescent="0.25">
      <c r="A2178" s="1"/>
      <c r="B2178" s="17"/>
      <c r="C2178" s="17"/>
      <c r="D2178" s="17"/>
      <c r="E2178" s="17"/>
      <c r="F2178" s="17"/>
      <c r="G2178" s="4">
        <f t="shared" ref="G2178:G2241" si="99">SUM($B2178:$F2178)</f>
        <v>0</v>
      </c>
      <c r="H2178" s="17"/>
      <c r="I2178" s="4">
        <f t="shared" si="98"/>
        <v>349526.07999999996</v>
      </c>
      <c r="J2178" s="32" t="str">
        <f t="shared" ref="J2178:J2241" si="100">IF($A2179&lt;&gt;$A2178,$I2178,"")</f>
        <v/>
      </c>
      <c r="K2178" s="72"/>
      <c r="L2178" s="72"/>
      <c r="M2178" s="2"/>
      <c r="N2178" s="5"/>
      <c r="O2178" s="3"/>
      <c r="P2178" s="6"/>
      <c r="Q2178" s="48">
        <f>IF(Учет!$O2178=Справочники!$F$2,Учет!$H2178,0)</f>
        <v>0</v>
      </c>
      <c r="R2178" s="48">
        <f>IF(Учет!$O2178=Справочники!$F$3,Учет!$H2178,0)</f>
        <v>0</v>
      </c>
      <c r="S2178" s="48">
        <f>IF(Учет!$O2178=Справочники!$F$4,Учет!$H2178,0)</f>
        <v>0</v>
      </c>
      <c r="T2178" s="48">
        <f>IF(Учет!$O2178=Справочники!$F$5,Учет!$H2178,0)</f>
        <v>0</v>
      </c>
      <c r="U2178" s="48">
        <f>IF(Учет!$O2178=Справочники!$F$6,Учет!$H2178,0)</f>
        <v>0</v>
      </c>
      <c r="V2178" s="43">
        <f>V2177+Учет!Q2178-Q2178</f>
        <v>-488978.92000000004</v>
      </c>
      <c r="W2178" s="43">
        <f>W2177+Учет!R2178-R2178</f>
        <v>336855</v>
      </c>
      <c r="X2178" s="43">
        <f>X2177+Учет!S2178-S2178</f>
        <v>500</v>
      </c>
      <c r="Y2178" s="43">
        <f>Y2177+Учет!T2178-T2178</f>
        <v>1150</v>
      </c>
      <c r="Z2178" s="43">
        <f>Z2177+Учет!U2178-U2178</f>
        <v>500000</v>
      </c>
      <c r="AA2178" s="45">
        <f>Учет!X2178</f>
        <v>500</v>
      </c>
    </row>
    <row r="2179" spans="1:27" ht="15" customHeight="1" x14ac:dyDescent="0.25">
      <c r="A2179" s="1"/>
      <c r="B2179" s="17"/>
      <c r="C2179" s="17"/>
      <c r="D2179" s="17"/>
      <c r="E2179" s="17"/>
      <c r="F2179" s="17"/>
      <c r="G2179" s="4">
        <f t="shared" si="99"/>
        <v>0</v>
      </c>
      <c r="H2179" s="17"/>
      <c r="I2179" s="4">
        <f t="shared" ref="I2179:I2242" si="101">$I2178+$G2179-$H2179</f>
        <v>349526.07999999996</v>
      </c>
      <c r="J2179" s="32" t="str">
        <f t="shared" si="100"/>
        <v/>
      </c>
      <c r="K2179" s="72"/>
      <c r="L2179" s="72"/>
      <c r="M2179" s="2"/>
      <c r="N2179" s="5"/>
      <c r="O2179" s="3"/>
      <c r="P2179" s="6"/>
      <c r="Q2179" s="48">
        <f>IF(Учет!$O2179=Справочники!$F$2,Учет!$H2179,0)</f>
        <v>0</v>
      </c>
      <c r="R2179" s="48">
        <f>IF(Учет!$O2179=Справочники!$F$3,Учет!$H2179,0)</f>
        <v>0</v>
      </c>
      <c r="S2179" s="48">
        <f>IF(Учет!$O2179=Справочники!$F$4,Учет!$H2179,0)</f>
        <v>0</v>
      </c>
      <c r="T2179" s="48">
        <f>IF(Учет!$O2179=Справочники!$F$5,Учет!$H2179,0)</f>
        <v>0</v>
      </c>
      <c r="U2179" s="48">
        <f>IF(Учет!$O2179=Справочники!$F$6,Учет!$H2179,0)</f>
        <v>0</v>
      </c>
      <c r="V2179" s="43">
        <f>V2178+Учет!Q2179-Q2179</f>
        <v>-488978.92000000004</v>
      </c>
      <c r="W2179" s="43">
        <f>W2178+Учет!R2179-R2179</f>
        <v>336855</v>
      </c>
      <c r="X2179" s="43">
        <f>X2178+Учет!S2179-S2179</f>
        <v>500</v>
      </c>
      <c r="Y2179" s="43">
        <f>Y2178+Учет!T2179-T2179</f>
        <v>1150</v>
      </c>
      <c r="Z2179" s="43">
        <f>Z2178+Учет!U2179-U2179</f>
        <v>500000</v>
      </c>
      <c r="AA2179" s="45">
        <f>Учет!X2179</f>
        <v>500</v>
      </c>
    </row>
    <row r="2180" spans="1:27" ht="15" customHeight="1" x14ac:dyDescent="0.25">
      <c r="A2180" s="1"/>
      <c r="B2180" s="17"/>
      <c r="C2180" s="17"/>
      <c r="D2180" s="17"/>
      <c r="E2180" s="17"/>
      <c r="F2180" s="17"/>
      <c r="G2180" s="4">
        <f t="shared" si="99"/>
        <v>0</v>
      </c>
      <c r="H2180" s="17"/>
      <c r="I2180" s="4">
        <f t="shared" si="101"/>
        <v>349526.07999999996</v>
      </c>
      <c r="J2180" s="32" t="str">
        <f t="shared" si="100"/>
        <v/>
      </c>
      <c r="K2180" s="72"/>
      <c r="L2180" s="72"/>
      <c r="M2180" s="2"/>
      <c r="N2180" s="5"/>
      <c r="O2180" s="3"/>
      <c r="P2180" s="6"/>
      <c r="Q2180" s="48">
        <f>IF(Учет!$O2180=Справочники!$F$2,Учет!$H2180,0)</f>
        <v>0</v>
      </c>
      <c r="R2180" s="48">
        <f>IF(Учет!$O2180=Справочники!$F$3,Учет!$H2180,0)</f>
        <v>0</v>
      </c>
      <c r="S2180" s="48">
        <f>IF(Учет!$O2180=Справочники!$F$4,Учет!$H2180,0)</f>
        <v>0</v>
      </c>
      <c r="T2180" s="48">
        <f>IF(Учет!$O2180=Справочники!$F$5,Учет!$H2180,0)</f>
        <v>0</v>
      </c>
      <c r="U2180" s="48">
        <f>IF(Учет!$O2180=Справочники!$F$6,Учет!$H2180,0)</f>
        <v>0</v>
      </c>
      <c r="V2180" s="43">
        <f>V2179+Учет!Q2180-Q2180</f>
        <v>-488978.92000000004</v>
      </c>
      <c r="W2180" s="43">
        <f>W2179+Учет!R2180-R2180</f>
        <v>336855</v>
      </c>
      <c r="X2180" s="43">
        <f>X2179+Учет!S2180-S2180</f>
        <v>500</v>
      </c>
      <c r="Y2180" s="43">
        <f>Y2179+Учет!T2180-T2180</f>
        <v>1150</v>
      </c>
      <c r="Z2180" s="43">
        <f>Z2179+Учет!U2180-U2180</f>
        <v>500000</v>
      </c>
      <c r="AA2180" s="45">
        <f>Учет!X2180</f>
        <v>500</v>
      </c>
    </row>
    <row r="2181" spans="1:27" ht="15" customHeight="1" x14ac:dyDescent="0.25">
      <c r="A2181" s="1"/>
      <c r="B2181" s="17"/>
      <c r="C2181" s="17"/>
      <c r="D2181" s="17"/>
      <c r="E2181" s="17"/>
      <c r="F2181" s="17"/>
      <c r="G2181" s="4">
        <f t="shared" si="99"/>
        <v>0</v>
      </c>
      <c r="H2181" s="17"/>
      <c r="I2181" s="4">
        <f t="shared" si="101"/>
        <v>349526.07999999996</v>
      </c>
      <c r="J2181" s="32" t="str">
        <f t="shared" si="100"/>
        <v/>
      </c>
      <c r="K2181" s="72"/>
      <c r="L2181" s="72"/>
      <c r="M2181" s="2"/>
      <c r="N2181" s="5"/>
      <c r="O2181" s="3"/>
      <c r="P2181" s="6"/>
      <c r="Q2181" s="48">
        <f>IF(Учет!$O2181=Справочники!$F$2,Учет!$H2181,0)</f>
        <v>0</v>
      </c>
      <c r="R2181" s="48">
        <f>IF(Учет!$O2181=Справочники!$F$3,Учет!$H2181,0)</f>
        <v>0</v>
      </c>
      <c r="S2181" s="48">
        <f>IF(Учет!$O2181=Справочники!$F$4,Учет!$H2181,0)</f>
        <v>0</v>
      </c>
      <c r="T2181" s="48">
        <f>IF(Учет!$O2181=Справочники!$F$5,Учет!$H2181,0)</f>
        <v>0</v>
      </c>
      <c r="U2181" s="48">
        <f>IF(Учет!$O2181=Справочники!$F$6,Учет!$H2181,0)</f>
        <v>0</v>
      </c>
      <c r="V2181" s="43">
        <f>V2180+Учет!Q2181-Q2181</f>
        <v>-488978.92000000004</v>
      </c>
      <c r="W2181" s="43">
        <f>W2180+Учет!R2181-R2181</f>
        <v>336855</v>
      </c>
      <c r="X2181" s="43">
        <f>X2180+Учет!S2181-S2181</f>
        <v>500</v>
      </c>
      <c r="Y2181" s="43">
        <f>Y2180+Учет!T2181-T2181</f>
        <v>1150</v>
      </c>
      <c r="Z2181" s="43">
        <f>Z2180+Учет!U2181-U2181</f>
        <v>500000</v>
      </c>
      <c r="AA2181" s="45">
        <f>Учет!X2181</f>
        <v>500</v>
      </c>
    </row>
    <row r="2182" spans="1:27" ht="15" customHeight="1" x14ac:dyDescent="0.25">
      <c r="A2182" s="1"/>
      <c r="B2182" s="17"/>
      <c r="C2182" s="17"/>
      <c r="D2182" s="17"/>
      <c r="E2182" s="17"/>
      <c r="F2182" s="17"/>
      <c r="G2182" s="4">
        <f t="shared" si="99"/>
        <v>0</v>
      </c>
      <c r="H2182" s="17"/>
      <c r="I2182" s="4">
        <f t="shared" si="101"/>
        <v>349526.07999999996</v>
      </c>
      <c r="J2182" s="32" t="str">
        <f t="shared" si="100"/>
        <v/>
      </c>
      <c r="K2182" s="72"/>
      <c r="L2182" s="72"/>
      <c r="M2182" s="2"/>
      <c r="N2182" s="5"/>
      <c r="O2182" s="3"/>
      <c r="P2182" s="6"/>
      <c r="Q2182" s="48">
        <f>IF(Учет!$O2182=Справочники!$F$2,Учет!$H2182,0)</f>
        <v>0</v>
      </c>
      <c r="R2182" s="48">
        <f>IF(Учет!$O2182=Справочники!$F$3,Учет!$H2182,0)</f>
        <v>0</v>
      </c>
      <c r="S2182" s="48">
        <f>IF(Учет!$O2182=Справочники!$F$4,Учет!$H2182,0)</f>
        <v>0</v>
      </c>
      <c r="T2182" s="48">
        <f>IF(Учет!$O2182=Справочники!$F$5,Учет!$H2182,0)</f>
        <v>0</v>
      </c>
      <c r="U2182" s="48">
        <f>IF(Учет!$O2182=Справочники!$F$6,Учет!$H2182,0)</f>
        <v>0</v>
      </c>
      <c r="V2182" s="43">
        <f>V2181+Учет!Q2182-Q2182</f>
        <v>-488978.92000000004</v>
      </c>
      <c r="W2182" s="43">
        <f>W2181+Учет!R2182-R2182</f>
        <v>336855</v>
      </c>
      <c r="X2182" s="43">
        <f>X2181+Учет!S2182-S2182</f>
        <v>500</v>
      </c>
      <c r="Y2182" s="43">
        <f>Y2181+Учет!T2182-T2182</f>
        <v>1150</v>
      </c>
      <c r="Z2182" s="43">
        <f>Z2181+Учет!U2182-U2182</f>
        <v>500000</v>
      </c>
      <c r="AA2182" s="45">
        <f>Учет!X2182</f>
        <v>500</v>
      </c>
    </row>
    <row r="2183" spans="1:27" ht="15" customHeight="1" x14ac:dyDescent="0.25">
      <c r="A2183" s="1"/>
      <c r="B2183" s="17"/>
      <c r="C2183" s="17"/>
      <c r="D2183" s="17"/>
      <c r="E2183" s="17"/>
      <c r="F2183" s="17"/>
      <c r="G2183" s="4">
        <f t="shared" si="99"/>
        <v>0</v>
      </c>
      <c r="H2183" s="17"/>
      <c r="I2183" s="4">
        <f t="shared" si="101"/>
        <v>349526.07999999996</v>
      </c>
      <c r="J2183" s="32" t="str">
        <f t="shared" si="100"/>
        <v/>
      </c>
      <c r="K2183" s="72"/>
      <c r="L2183" s="72"/>
      <c r="M2183" s="2"/>
      <c r="N2183" s="5"/>
      <c r="O2183" s="3"/>
      <c r="P2183" s="6"/>
      <c r="Q2183" s="48">
        <f>IF(Учет!$O2183=Справочники!$F$2,Учет!$H2183,0)</f>
        <v>0</v>
      </c>
      <c r="R2183" s="48">
        <f>IF(Учет!$O2183=Справочники!$F$3,Учет!$H2183,0)</f>
        <v>0</v>
      </c>
      <c r="S2183" s="48">
        <f>IF(Учет!$O2183=Справочники!$F$4,Учет!$H2183,0)</f>
        <v>0</v>
      </c>
      <c r="T2183" s="48">
        <f>IF(Учет!$O2183=Справочники!$F$5,Учет!$H2183,0)</f>
        <v>0</v>
      </c>
      <c r="U2183" s="48">
        <f>IF(Учет!$O2183=Справочники!$F$6,Учет!$H2183,0)</f>
        <v>0</v>
      </c>
      <c r="V2183" s="43">
        <f>V2182+Учет!Q2183-Q2183</f>
        <v>-488978.92000000004</v>
      </c>
      <c r="W2183" s="43">
        <f>W2182+Учет!R2183-R2183</f>
        <v>336855</v>
      </c>
      <c r="X2183" s="43">
        <f>X2182+Учет!S2183-S2183</f>
        <v>500</v>
      </c>
      <c r="Y2183" s="43">
        <f>Y2182+Учет!T2183-T2183</f>
        <v>1150</v>
      </c>
      <c r="Z2183" s="43">
        <f>Z2182+Учет!U2183-U2183</f>
        <v>500000</v>
      </c>
      <c r="AA2183" s="45">
        <f>Учет!X2183</f>
        <v>500</v>
      </c>
    </row>
    <row r="2184" spans="1:27" ht="15" customHeight="1" x14ac:dyDescent="0.25">
      <c r="A2184" s="1"/>
      <c r="B2184" s="17"/>
      <c r="C2184" s="17"/>
      <c r="D2184" s="17"/>
      <c r="E2184" s="17"/>
      <c r="F2184" s="17"/>
      <c r="G2184" s="4">
        <f t="shared" si="99"/>
        <v>0</v>
      </c>
      <c r="H2184" s="17"/>
      <c r="I2184" s="4">
        <f t="shared" si="101"/>
        <v>349526.07999999996</v>
      </c>
      <c r="J2184" s="32" t="str">
        <f t="shared" si="100"/>
        <v/>
      </c>
      <c r="K2184" s="72"/>
      <c r="L2184" s="72"/>
      <c r="M2184" s="2"/>
      <c r="N2184" s="5"/>
      <c r="O2184" s="3"/>
      <c r="P2184" s="6"/>
      <c r="Q2184" s="48">
        <f>IF(Учет!$O2184=Справочники!$F$2,Учет!$H2184,0)</f>
        <v>0</v>
      </c>
      <c r="R2184" s="48">
        <f>IF(Учет!$O2184=Справочники!$F$3,Учет!$H2184,0)</f>
        <v>0</v>
      </c>
      <c r="S2184" s="48">
        <f>IF(Учет!$O2184=Справочники!$F$4,Учет!$H2184,0)</f>
        <v>0</v>
      </c>
      <c r="T2184" s="48">
        <f>IF(Учет!$O2184=Справочники!$F$5,Учет!$H2184,0)</f>
        <v>0</v>
      </c>
      <c r="U2184" s="48">
        <f>IF(Учет!$O2184=Справочники!$F$6,Учет!$H2184,0)</f>
        <v>0</v>
      </c>
      <c r="V2184" s="43">
        <f>V2183+Учет!Q2184-Q2184</f>
        <v>-488978.92000000004</v>
      </c>
      <c r="W2184" s="43">
        <f>W2183+Учет!R2184-R2184</f>
        <v>336855</v>
      </c>
      <c r="X2184" s="43">
        <f>X2183+Учет!S2184-S2184</f>
        <v>500</v>
      </c>
      <c r="Y2184" s="43">
        <f>Y2183+Учет!T2184-T2184</f>
        <v>1150</v>
      </c>
      <c r="Z2184" s="43">
        <f>Z2183+Учет!U2184-U2184</f>
        <v>500000</v>
      </c>
      <c r="AA2184" s="45">
        <f>Учет!X2184</f>
        <v>500</v>
      </c>
    </row>
    <row r="2185" spans="1:27" ht="15" customHeight="1" x14ac:dyDescent="0.25">
      <c r="A2185" s="1"/>
      <c r="B2185" s="17"/>
      <c r="C2185" s="17"/>
      <c r="D2185" s="17"/>
      <c r="E2185" s="17"/>
      <c r="F2185" s="17"/>
      <c r="G2185" s="4">
        <f t="shared" si="99"/>
        <v>0</v>
      </c>
      <c r="H2185" s="17"/>
      <c r="I2185" s="4">
        <f t="shared" si="101"/>
        <v>349526.07999999996</v>
      </c>
      <c r="J2185" s="32" t="str">
        <f t="shared" si="100"/>
        <v/>
      </c>
      <c r="K2185" s="72"/>
      <c r="L2185" s="72"/>
      <c r="M2185" s="2"/>
      <c r="N2185" s="5"/>
      <c r="O2185" s="3"/>
      <c r="P2185" s="6"/>
      <c r="Q2185" s="48">
        <f>IF(Учет!$O2185=Справочники!$F$2,Учет!$H2185,0)</f>
        <v>0</v>
      </c>
      <c r="R2185" s="48">
        <f>IF(Учет!$O2185=Справочники!$F$3,Учет!$H2185,0)</f>
        <v>0</v>
      </c>
      <c r="S2185" s="48">
        <f>IF(Учет!$O2185=Справочники!$F$4,Учет!$H2185,0)</f>
        <v>0</v>
      </c>
      <c r="T2185" s="48">
        <f>IF(Учет!$O2185=Справочники!$F$5,Учет!$H2185,0)</f>
        <v>0</v>
      </c>
      <c r="U2185" s="48">
        <f>IF(Учет!$O2185=Справочники!$F$6,Учет!$H2185,0)</f>
        <v>0</v>
      </c>
      <c r="V2185" s="43">
        <f>V2184+Учет!Q2185-Q2185</f>
        <v>-488978.92000000004</v>
      </c>
      <c r="W2185" s="43">
        <f>W2184+Учет!R2185-R2185</f>
        <v>336855</v>
      </c>
      <c r="X2185" s="43">
        <f>X2184+Учет!S2185-S2185</f>
        <v>500</v>
      </c>
      <c r="Y2185" s="43">
        <f>Y2184+Учет!T2185-T2185</f>
        <v>1150</v>
      </c>
      <c r="Z2185" s="43">
        <f>Z2184+Учет!U2185-U2185</f>
        <v>500000</v>
      </c>
      <c r="AA2185" s="45">
        <f>Учет!X2185</f>
        <v>500</v>
      </c>
    </row>
    <row r="2186" spans="1:27" ht="15" customHeight="1" x14ac:dyDescent="0.25">
      <c r="A2186" s="1"/>
      <c r="B2186" s="17"/>
      <c r="C2186" s="17"/>
      <c r="D2186" s="17"/>
      <c r="E2186" s="17"/>
      <c r="F2186" s="17"/>
      <c r="G2186" s="4">
        <f t="shared" si="99"/>
        <v>0</v>
      </c>
      <c r="H2186" s="17"/>
      <c r="I2186" s="4">
        <f t="shared" si="101"/>
        <v>349526.07999999996</v>
      </c>
      <c r="J2186" s="32" t="str">
        <f t="shared" si="100"/>
        <v/>
      </c>
      <c r="K2186" s="72"/>
      <c r="L2186" s="72"/>
      <c r="M2186" s="2"/>
      <c r="N2186" s="5"/>
      <c r="O2186" s="3"/>
      <c r="P2186" s="6"/>
      <c r="Q2186" s="48">
        <f>IF(Учет!$O2186=Справочники!$F$2,Учет!$H2186,0)</f>
        <v>0</v>
      </c>
      <c r="R2186" s="48">
        <f>IF(Учет!$O2186=Справочники!$F$3,Учет!$H2186,0)</f>
        <v>0</v>
      </c>
      <c r="S2186" s="48">
        <f>IF(Учет!$O2186=Справочники!$F$4,Учет!$H2186,0)</f>
        <v>0</v>
      </c>
      <c r="T2186" s="48">
        <f>IF(Учет!$O2186=Справочники!$F$5,Учет!$H2186,0)</f>
        <v>0</v>
      </c>
      <c r="U2186" s="48">
        <f>IF(Учет!$O2186=Справочники!$F$6,Учет!$H2186,0)</f>
        <v>0</v>
      </c>
      <c r="V2186" s="43">
        <f>V2185+Учет!Q2186-Q2186</f>
        <v>-488978.92000000004</v>
      </c>
      <c r="W2186" s="43">
        <f>W2185+Учет!R2186-R2186</f>
        <v>336855</v>
      </c>
      <c r="X2186" s="43">
        <f>X2185+Учет!S2186-S2186</f>
        <v>500</v>
      </c>
      <c r="Y2186" s="43">
        <f>Y2185+Учет!T2186-T2186</f>
        <v>1150</v>
      </c>
      <c r="Z2186" s="43">
        <f>Z2185+Учет!U2186-U2186</f>
        <v>500000</v>
      </c>
      <c r="AA2186" s="45">
        <f>Учет!X2186</f>
        <v>500</v>
      </c>
    </row>
    <row r="2187" spans="1:27" ht="15" customHeight="1" x14ac:dyDescent="0.25">
      <c r="A2187" s="1"/>
      <c r="B2187" s="17"/>
      <c r="C2187" s="17"/>
      <c r="D2187" s="17"/>
      <c r="E2187" s="17"/>
      <c r="F2187" s="17"/>
      <c r="G2187" s="4">
        <f t="shared" si="99"/>
        <v>0</v>
      </c>
      <c r="H2187" s="17"/>
      <c r="I2187" s="4">
        <f t="shared" si="101"/>
        <v>349526.07999999996</v>
      </c>
      <c r="J2187" s="32" t="str">
        <f t="shared" si="100"/>
        <v/>
      </c>
      <c r="K2187" s="72"/>
      <c r="L2187" s="72"/>
      <c r="M2187" s="2"/>
      <c r="N2187" s="5"/>
      <c r="O2187" s="3"/>
      <c r="P2187" s="6"/>
      <c r="Q2187" s="48">
        <f>IF(Учет!$O2187=Справочники!$F$2,Учет!$H2187,0)</f>
        <v>0</v>
      </c>
      <c r="R2187" s="48">
        <f>IF(Учет!$O2187=Справочники!$F$3,Учет!$H2187,0)</f>
        <v>0</v>
      </c>
      <c r="S2187" s="48">
        <f>IF(Учет!$O2187=Справочники!$F$4,Учет!$H2187,0)</f>
        <v>0</v>
      </c>
      <c r="T2187" s="48">
        <f>IF(Учет!$O2187=Справочники!$F$5,Учет!$H2187,0)</f>
        <v>0</v>
      </c>
      <c r="U2187" s="48">
        <f>IF(Учет!$O2187=Справочники!$F$6,Учет!$H2187,0)</f>
        <v>0</v>
      </c>
      <c r="V2187" s="43">
        <f>V2186+Учет!Q2187-Q2187</f>
        <v>-488978.92000000004</v>
      </c>
      <c r="W2187" s="43">
        <f>W2186+Учет!R2187-R2187</f>
        <v>336855</v>
      </c>
      <c r="X2187" s="43">
        <f>X2186+Учет!S2187-S2187</f>
        <v>500</v>
      </c>
      <c r="Y2187" s="43">
        <f>Y2186+Учет!T2187-T2187</f>
        <v>1150</v>
      </c>
      <c r="Z2187" s="43">
        <f>Z2186+Учет!U2187-U2187</f>
        <v>500000</v>
      </c>
      <c r="AA2187" s="45">
        <f>Учет!X2187</f>
        <v>500</v>
      </c>
    </row>
    <row r="2188" spans="1:27" ht="15" customHeight="1" x14ac:dyDescent="0.25">
      <c r="A2188" s="1"/>
      <c r="B2188" s="17"/>
      <c r="C2188" s="17"/>
      <c r="D2188" s="17"/>
      <c r="E2188" s="17"/>
      <c r="F2188" s="17"/>
      <c r="G2188" s="4">
        <f t="shared" si="99"/>
        <v>0</v>
      </c>
      <c r="H2188" s="17"/>
      <c r="I2188" s="4">
        <f t="shared" si="101"/>
        <v>349526.07999999996</v>
      </c>
      <c r="J2188" s="32" t="str">
        <f t="shared" si="100"/>
        <v/>
      </c>
      <c r="K2188" s="72"/>
      <c r="L2188" s="72"/>
      <c r="M2188" s="2"/>
      <c r="N2188" s="5"/>
      <c r="O2188" s="3"/>
      <c r="P2188" s="6"/>
      <c r="Q2188" s="48">
        <f>IF(Учет!$O2188=Справочники!$F$2,Учет!$H2188,0)</f>
        <v>0</v>
      </c>
      <c r="R2188" s="48">
        <f>IF(Учет!$O2188=Справочники!$F$3,Учет!$H2188,0)</f>
        <v>0</v>
      </c>
      <c r="S2188" s="48">
        <f>IF(Учет!$O2188=Справочники!$F$4,Учет!$H2188,0)</f>
        <v>0</v>
      </c>
      <c r="T2188" s="48">
        <f>IF(Учет!$O2188=Справочники!$F$5,Учет!$H2188,0)</f>
        <v>0</v>
      </c>
      <c r="U2188" s="48">
        <f>IF(Учет!$O2188=Справочники!$F$6,Учет!$H2188,0)</f>
        <v>0</v>
      </c>
      <c r="V2188" s="43">
        <f>V2187+Учет!Q2188-Q2188</f>
        <v>-488978.92000000004</v>
      </c>
      <c r="W2188" s="43">
        <f>W2187+Учет!R2188-R2188</f>
        <v>336855</v>
      </c>
      <c r="X2188" s="43">
        <f>X2187+Учет!S2188-S2188</f>
        <v>500</v>
      </c>
      <c r="Y2188" s="43">
        <f>Y2187+Учет!T2188-T2188</f>
        <v>1150</v>
      </c>
      <c r="Z2188" s="43">
        <f>Z2187+Учет!U2188-U2188</f>
        <v>500000</v>
      </c>
      <c r="AA2188" s="45">
        <f>Учет!X2188</f>
        <v>500</v>
      </c>
    </row>
    <row r="2189" spans="1:27" ht="15" customHeight="1" x14ac:dyDescent="0.25">
      <c r="A2189" s="1"/>
      <c r="B2189" s="17"/>
      <c r="C2189" s="17"/>
      <c r="D2189" s="17"/>
      <c r="E2189" s="17"/>
      <c r="F2189" s="17"/>
      <c r="G2189" s="4">
        <f t="shared" si="99"/>
        <v>0</v>
      </c>
      <c r="H2189" s="17"/>
      <c r="I2189" s="4">
        <f t="shared" si="101"/>
        <v>349526.07999999996</v>
      </c>
      <c r="J2189" s="32" t="str">
        <f t="shared" si="100"/>
        <v/>
      </c>
      <c r="K2189" s="72"/>
      <c r="L2189" s="72"/>
      <c r="M2189" s="2"/>
      <c r="N2189" s="5"/>
      <c r="O2189" s="3"/>
      <c r="P2189" s="6"/>
      <c r="Q2189" s="48">
        <f>IF(Учет!$O2189=Справочники!$F$2,Учет!$H2189,0)</f>
        <v>0</v>
      </c>
      <c r="R2189" s="48">
        <f>IF(Учет!$O2189=Справочники!$F$3,Учет!$H2189,0)</f>
        <v>0</v>
      </c>
      <c r="S2189" s="48">
        <f>IF(Учет!$O2189=Справочники!$F$4,Учет!$H2189,0)</f>
        <v>0</v>
      </c>
      <c r="T2189" s="48">
        <f>IF(Учет!$O2189=Справочники!$F$5,Учет!$H2189,0)</f>
        <v>0</v>
      </c>
      <c r="U2189" s="48">
        <f>IF(Учет!$O2189=Справочники!$F$6,Учет!$H2189,0)</f>
        <v>0</v>
      </c>
      <c r="V2189" s="43">
        <f>V2188+Учет!Q2189-Q2189</f>
        <v>-488978.92000000004</v>
      </c>
      <c r="W2189" s="43">
        <f>W2188+Учет!R2189-R2189</f>
        <v>336855</v>
      </c>
      <c r="X2189" s="43">
        <f>X2188+Учет!S2189-S2189</f>
        <v>500</v>
      </c>
      <c r="Y2189" s="43">
        <f>Y2188+Учет!T2189-T2189</f>
        <v>1150</v>
      </c>
      <c r="Z2189" s="43">
        <f>Z2188+Учет!U2189-U2189</f>
        <v>500000</v>
      </c>
      <c r="AA2189" s="45">
        <f>Учет!X2189</f>
        <v>500</v>
      </c>
    </row>
    <row r="2190" spans="1:27" ht="15" customHeight="1" x14ac:dyDescent="0.25">
      <c r="A2190" s="1"/>
      <c r="B2190" s="17"/>
      <c r="C2190" s="17"/>
      <c r="D2190" s="17"/>
      <c r="E2190" s="17"/>
      <c r="F2190" s="17"/>
      <c r="G2190" s="4">
        <f t="shared" si="99"/>
        <v>0</v>
      </c>
      <c r="H2190" s="17"/>
      <c r="I2190" s="4">
        <f t="shared" si="101"/>
        <v>349526.07999999996</v>
      </c>
      <c r="J2190" s="32" t="str">
        <f t="shared" si="100"/>
        <v/>
      </c>
      <c r="K2190" s="72"/>
      <c r="L2190" s="72"/>
      <c r="M2190" s="2"/>
      <c r="N2190" s="5"/>
      <c r="O2190" s="3"/>
      <c r="P2190" s="6"/>
      <c r="Q2190" s="48">
        <f>IF(Учет!$O2190=Справочники!$F$2,Учет!$H2190,0)</f>
        <v>0</v>
      </c>
      <c r="R2190" s="48">
        <f>IF(Учет!$O2190=Справочники!$F$3,Учет!$H2190,0)</f>
        <v>0</v>
      </c>
      <c r="S2190" s="48">
        <f>IF(Учет!$O2190=Справочники!$F$4,Учет!$H2190,0)</f>
        <v>0</v>
      </c>
      <c r="T2190" s="48">
        <f>IF(Учет!$O2190=Справочники!$F$5,Учет!$H2190,0)</f>
        <v>0</v>
      </c>
      <c r="U2190" s="48">
        <f>IF(Учет!$O2190=Справочники!$F$6,Учет!$H2190,0)</f>
        <v>0</v>
      </c>
      <c r="V2190" s="43">
        <f>V2189+Учет!Q2190-Q2190</f>
        <v>-488978.92000000004</v>
      </c>
      <c r="W2190" s="43">
        <f>W2189+Учет!R2190-R2190</f>
        <v>336855</v>
      </c>
      <c r="X2190" s="43">
        <f>X2189+Учет!S2190-S2190</f>
        <v>500</v>
      </c>
      <c r="Y2190" s="43">
        <f>Y2189+Учет!T2190-T2190</f>
        <v>1150</v>
      </c>
      <c r="Z2190" s="43">
        <f>Z2189+Учет!U2190-U2190</f>
        <v>500000</v>
      </c>
      <c r="AA2190" s="45">
        <f>Учет!X2190</f>
        <v>500</v>
      </c>
    </row>
    <row r="2191" spans="1:27" ht="15" customHeight="1" x14ac:dyDescent="0.25">
      <c r="A2191" s="1"/>
      <c r="B2191" s="17"/>
      <c r="C2191" s="17"/>
      <c r="D2191" s="17"/>
      <c r="E2191" s="17"/>
      <c r="F2191" s="17"/>
      <c r="G2191" s="4">
        <f t="shared" si="99"/>
        <v>0</v>
      </c>
      <c r="H2191" s="17"/>
      <c r="I2191" s="4">
        <f t="shared" si="101"/>
        <v>349526.07999999996</v>
      </c>
      <c r="J2191" s="32" t="str">
        <f t="shared" si="100"/>
        <v/>
      </c>
      <c r="K2191" s="72"/>
      <c r="L2191" s="72"/>
      <c r="M2191" s="2"/>
      <c r="N2191" s="5"/>
      <c r="O2191" s="3"/>
      <c r="P2191" s="6"/>
      <c r="Q2191" s="48">
        <f>IF(Учет!$O2191=Справочники!$F$2,Учет!$H2191,0)</f>
        <v>0</v>
      </c>
      <c r="R2191" s="48">
        <f>IF(Учет!$O2191=Справочники!$F$3,Учет!$H2191,0)</f>
        <v>0</v>
      </c>
      <c r="S2191" s="48">
        <f>IF(Учет!$O2191=Справочники!$F$4,Учет!$H2191,0)</f>
        <v>0</v>
      </c>
      <c r="T2191" s="48">
        <f>IF(Учет!$O2191=Справочники!$F$5,Учет!$H2191,0)</f>
        <v>0</v>
      </c>
      <c r="U2191" s="48">
        <f>IF(Учет!$O2191=Справочники!$F$6,Учет!$H2191,0)</f>
        <v>0</v>
      </c>
      <c r="V2191" s="43">
        <f>V2190+Учет!Q2191-Q2191</f>
        <v>-488978.92000000004</v>
      </c>
      <c r="W2191" s="43">
        <f>W2190+Учет!R2191-R2191</f>
        <v>336855</v>
      </c>
      <c r="X2191" s="43">
        <f>X2190+Учет!S2191-S2191</f>
        <v>500</v>
      </c>
      <c r="Y2191" s="43">
        <f>Y2190+Учет!T2191-T2191</f>
        <v>1150</v>
      </c>
      <c r="Z2191" s="43">
        <f>Z2190+Учет!U2191-U2191</f>
        <v>500000</v>
      </c>
      <c r="AA2191" s="45">
        <f>Учет!X2191</f>
        <v>500</v>
      </c>
    </row>
    <row r="2192" spans="1:27" ht="15" customHeight="1" x14ac:dyDescent="0.25">
      <c r="A2192" s="1"/>
      <c r="B2192" s="17"/>
      <c r="C2192" s="17"/>
      <c r="D2192" s="17"/>
      <c r="E2192" s="17"/>
      <c r="F2192" s="17"/>
      <c r="G2192" s="4">
        <f t="shared" si="99"/>
        <v>0</v>
      </c>
      <c r="H2192" s="17"/>
      <c r="I2192" s="4">
        <f t="shared" si="101"/>
        <v>349526.07999999996</v>
      </c>
      <c r="J2192" s="32" t="str">
        <f t="shared" si="100"/>
        <v/>
      </c>
      <c r="K2192" s="72"/>
      <c r="L2192" s="72"/>
      <c r="M2192" s="2"/>
      <c r="N2192" s="5"/>
      <c r="O2192" s="3"/>
      <c r="P2192" s="6"/>
      <c r="Q2192" s="48">
        <f>IF(Учет!$O2192=Справочники!$F$2,Учет!$H2192,0)</f>
        <v>0</v>
      </c>
      <c r="R2192" s="48">
        <f>IF(Учет!$O2192=Справочники!$F$3,Учет!$H2192,0)</f>
        <v>0</v>
      </c>
      <c r="S2192" s="48">
        <f>IF(Учет!$O2192=Справочники!$F$4,Учет!$H2192,0)</f>
        <v>0</v>
      </c>
      <c r="T2192" s="48">
        <f>IF(Учет!$O2192=Справочники!$F$5,Учет!$H2192,0)</f>
        <v>0</v>
      </c>
      <c r="U2192" s="48">
        <f>IF(Учет!$O2192=Справочники!$F$6,Учет!$H2192,0)</f>
        <v>0</v>
      </c>
      <c r="V2192" s="43">
        <f>V2191+Учет!Q2192-Q2192</f>
        <v>-488978.92000000004</v>
      </c>
      <c r="W2192" s="43">
        <f>W2191+Учет!R2192-R2192</f>
        <v>336855</v>
      </c>
      <c r="X2192" s="43">
        <f>X2191+Учет!S2192-S2192</f>
        <v>500</v>
      </c>
      <c r="Y2192" s="43">
        <f>Y2191+Учет!T2192-T2192</f>
        <v>1150</v>
      </c>
      <c r="Z2192" s="43">
        <f>Z2191+Учет!U2192-U2192</f>
        <v>500000</v>
      </c>
      <c r="AA2192" s="45">
        <f>Учет!X2192</f>
        <v>500</v>
      </c>
    </row>
    <row r="2193" spans="1:27" ht="15" customHeight="1" x14ac:dyDescent="0.25">
      <c r="A2193" s="1"/>
      <c r="B2193" s="17"/>
      <c r="C2193" s="17"/>
      <c r="D2193" s="17"/>
      <c r="E2193" s="17"/>
      <c r="F2193" s="17"/>
      <c r="G2193" s="4">
        <f t="shared" si="99"/>
        <v>0</v>
      </c>
      <c r="H2193" s="17"/>
      <c r="I2193" s="4">
        <f t="shared" si="101"/>
        <v>349526.07999999996</v>
      </c>
      <c r="J2193" s="32" t="str">
        <f t="shared" si="100"/>
        <v/>
      </c>
      <c r="K2193" s="72"/>
      <c r="L2193" s="72"/>
      <c r="M2193" s="2"/>
      <c r="N2193" s="5"/>
      <c r="O2193" s="3"/>
      <c r="P2193" s="6"/>
      <c r="Q2193" s="48">
        <f>IF(Учет!$O2193=Справочники!$F$2,Учет!$H2193,0)</f>
        <v>0</v>
      </c>
      <c r="R2193" s="48">
        <f>IF(Учет!$O2193=Справочники!$F$3,Учет!$H2193,0)</f>
        <v>0</v>
      </c>
      <c r="S2193" s="48">
        <f>IF(Учет!$O2193=Справочники!$F$4,Учет!$H2193,0)</f>
        <v>0</v>
      </c>
      <c r="T2193" s="48">
        <f>IF(Учет!$O2193=Справочники!$F$5,Учет!$H2193,0)</f>
        <v>0</v>
      </c>
      <c r="U2193" s="48">
        <f>IF(Учет!$O2193=Справочники!$F$6,Учет!$H2193,0)</f>
        <v>0</v>
      </c>
      <c r="V2193" s="43">
        <f>V2192+Учет!Q2193-Q2193</f>
        <v>-488978.92000000004</v>
      </c>
      <c r="W2193" s="43">
        <f>W2192+Учет!R2193-R2193</f>
        <v>336855</v>
      </c>
      <c r="X2193" s="43">
        <f>X2192+Учет!S2193-S2193</f>
        <v>500</v>
      </c>
      <c r="Y2193" s="43">
        <f>Y2192+Учет!T2193-T2193</f>
        <v>1150</v>
      </c>
      <c r="Z2193" s="43">
        <f>Z2192+Учет!U2193-U2193</f>
        <v>500000</v>
      </c>
      <c r="AA2193" s="45">
        <f>Учет!X2193</f>
        <v>500</v>
      </c>
    </row>
    <row r="2194" spans="1:27" ht="15" customHeight="1" x14ac:dyDescent="0.25">
      <c r="A2194" s="1"/>
      <c r="B2194" s="17"/>
      <c r="C2194" s="17"/>
      <c r="D2194" s="17"/>
      <c r="E2194" s="17"/>
      <c r="F2194" s="17"/>
      <c r="G2194" s="4">
        <f t="shared" si="99"/>
        <v>0</v>
      </c>
      <c r="H2194" s="17"/>
      <c r="I2194" s="4">
        <f t="shared" si="101"/>
        <v>349526.07999999996</v>
      </c>
      <c r="J2194" s="32" t="str">
        <f t="shared" si="100"/>
        <v/>
      </c>
      <c r="K2194" s="72"/>
      <c r="L2194" s="72"/>
      <c r="M2194" s="2"/>
      <c r="N2194" s="5"/>
      <c r="O2194" s="3"/>
      <c r="P2194" s="6"/>
      <c r="Q2194" s="48">
        <f>IF(Учет!$O2194=Справочники!$F$2,Учет!$H2194,0)</f>
        <v>0</v>
      </c>
      <c r="R2194" s="48">
        <f>IF(Учет!$O2194=Справочники!$F$3,Учет!$H2194,0)</f>
        <v>0</v>
      </c>
      <c r="S2194" s="48">
        <f>IF(Учет!$O2194=Справочники!$F$4,Учет!$H2194,0)</f>
        <v>0</v>
      </c>
      <c r="T2194" s="48">
        <f>IF(Учет!$O2194=Справочники!$F$5,Учет!$H2194,0)</f>
        <v>0</v>
      </c>
      <c r="U2194" s="48">
        <f>IF(Учет!$O2194=Справочники!$F$6,Учет!$H2194,0)</f>
        <v>0</v>
      </c>
      <c r="V2194" s="43">
        <f>V2193+Учет!Q2194-Q2194</f>
        <v>-488978.92000000004</v>
      </c>
      <c r="W2194" s="43">
        <f>W2193+Учет!R2194-R2194</f>
        <v>336855</v>
      </c>
      <c r="X2194" s="43">
        <f>X2193+Учет!S2194-S2194</f>
        <v>500</v>
      </c>
      <c r="Y2194" s="43">
        <f>Y2193+Учет!T2194-T2194</f>
        <v>1150</v>
      </c>
      <c r="Z2194" s="43">
        <f>Z2193+Учет!U2194-U2194</f>
        <v>500000</v>
      </c>
      <c r="AA2194" s="45">
        <f>Учет!X2194</f>
        <v>500</v>
      </c>
    </row>
    <row r="2195" spans="1:27" ht="15" customHeight="1" x14ac:dyDescent="0.25">
      <c r="A2195" s="1"/>
      <c r="B2195" s="17"/>
      <c r="C2195" s="17"/>
      <c r="D2195" s="17"/>
      <c r="E2195" s="17"/>
      <c r="F2195" s="17"/>
      <c r="G2195" s="4">
        <f t="shared" si="99"/>
        <v>0</v>
      </c>
      <c r="H2195" s="17"/>
      <c r="I2195" s="4">
        <f t="shared" si="101"/>
        <v>349526.07999999996</v>
      </c>
      <c r="J2195" s="32" t="str">
        <f t="shared" si="100"/>
        <v/>
      </c>
      <c r="K2195" s="72"/>
      <c r="L2195" s="72"/>
      <c r="M2195" s="2"/>
      <c r="N2195" s="5"/>
      <c r="O2195" s="3"/>
      <c r="P2195" s="6"/>
      <c r="Q2195" s="48">
        <f>IF(Учет!$O2195=Справочники!$F$2,Учет!$H2195,0)</f>
        <v>0</v>
      </c>
      <c r="R2195" s="48">
        <f>IF(Учет!$O2195=Справочники!$F$3,Учет!$H2195,0)</f>
        <v>0</v>
      </c>
      <c r="S2195" s="48">
        <f>IF(Учет!$O2195=Справочники!$F$4,Учет!$H2195,0)</f>
        <v>0</v>
      </c>
      <c r="T2195" s="48">
        <f>IF(Учет!$O2195=Справочники!$F$5,Учет!$H2195,0)</f>
        <v>0</v>
      </c>
      <c r="U2195" s="48">
        <f>IF(Учет!$O2195=Справочники!$F$6,Учет!$H2195,0)</f>
        <v>0</v>
      </c>
      <c r="V2195" s="43">
        <f>V2194+Учет!Q2195-Q2195</f>
        <v>-488978.92000000004</v>
      </c>
      <c r="W2195" s="43">
        <f>W2194+Учет!R2195-R2195</f>
        <v>336855</v>
      </c>
      <c r="X2195" s="43">
        <f>X2194+Учет!S2195-S2195</f>
        <v>500</v>
      </c>
      <c r="Y2195" s="43">
        <f>Y2194+Учет!T2195-T2195</f>
        <v>1150</v>
      </c>
      <c r="Z2195" s="43">
        <f>Z2194+Учет!U2195-U2195</f>
        <v>500000</v>
      </c>
      <c r="AA2195" s="45">
        <f>Учет!X2195</f>
        <v>500</v>
      </c>
    </row>
    <row r="2196" spans="1:27" ht="15" customHeight="1" x14ac:dyDescent="0.25">
      <c r="A2196" s="1"/>
      <c r="B2196" s="17"/>
      <c r="C2196" s="17"/>
      <c r="D2196" s="17"/>
      <c r="E2196" s="17"/>
      <c r="F2196" s="17"/>
      <c r="G2196" s="4">
        <f t="shared" si="99"/>
        <v>0</v>
      </c>
      <c r="H2196" s="17"/>
      <c r="I2196" s="4">
        <f t="shared" si="101"/>
        <v>349526.07999999996</v>
      </c>
      <c r="J2196" s="32" t="str">
        <f t="shared" si="100"/>
        <v/>
      </c>
      <c r="K2196" s="72"/>
      <c r="L2196" s="72"/>
      <c r="M2196" s="2"/>
      <c r="N2196" s="5"/>
      <c r="O2196" s="3"/>
      <c r="P2196" s="6"/>
      <c r="Q2196" s="48">
        <f>IF(Учет!$O2196=Справочники!$F$2,Учет!$H2196,0)</f>
        <v>0</v>
      </c>
      <c r="R2196" s="48">
        <f>IF(Учет!$O2196=Справочники!$F$3,Учет!$H2196,0)</f>
        <v>0</v>
      </c>
      <c r="S2196" s="48">
        <f>IF(Учет!$O2196=Справочники!$F$4,Учет!$H2196,0)</f>
        <v>0</v>
      </c>
      <c r="T2196" s="48">
        <f>IF(Учет!$O2196=Справочники!$F$5,Учет!$H2196,0)</f>
        <v>0</v>
      </c>
      <c r="U2196" s="48">
        <f>IF(Учет!$O2196=Справочники!$F$6,Учет!$H2196,0)</f>
        <v>0</v>
      </c>
      <c r="V2196" s="43">
        <f>V2195+Учет!Q2196-Q2196</f>
        <v>-488978.92000000004</v>
      </c>
      <c r="W2196" s="43">
        <f>W2195+Учет!R2196-R2196</f>
        <v>336855</v>
      </c>
      <c r="X2196" s="43">
        <f>X2195+Учет!S2196-S2196</f>
        <v>500</v>
      </c>
      <c r="Y2196" s="43">
        <f>Y2195+Учет!T2196-T2196</f>
        <v>1150</v>
      </c>
      <c r="Z2196" s="43">
        <f>Z2195+Учет!U2196-U2196</f>
        <v>500000</v>
      </c>
      <c r="AA2196" s="45">
        <f>Учет!X2196</f>
        <v>500</v>
      </c>
    </row>
    <row r="2197" spans="1:27" ht="15" customHeight="1" x14ac:dyDescent="0.25">
      <c r="A2197" s="1"/>
      <c r="B2197" s="17"/>
      <c r="C2197" s="17"/>
      <c r="D2197" s="17"/>
      <c r="E2197" s="17"/>
      <c r="F2197" s="17"/>
      <c r="G2197" s="4">
        <f t="shared" si="99"/>
        <v>0</v>
      </c>
      <c r="H2197" s="17"/>
      <c r="I2197" s="4">
        <f t="shared" si="101"/>
        <v>349526.07999999996</v>
      </c>
      <c r="J2197" s="32" t="str">
        <f t="shared" si="100"/>
        <v/>
      </c>
      <c r="K2197" s="72"/>
      <c r="L2197" s="72"/>
      <c r="M2197" s="2"/>
      <c r="N2197" s="5"/>
      <c r="O2197" s="3"/>
      <c r="P2197" s="6"/>
      <c r="Q2197" s="48">
        <f>IF(Учет!$O2197=Справочники!$F$2,Учет!$H2197,0)</f>
        <v>0</v>
      </c>
      <c r="R2197" s="48">
        <f>IF(Учет!$O2197=Справочники!$F$3,Учет!$H2197,0)</f>
        <v>0</v>
      </c>
      <c r="S2197" s="48">
        <f>IF(Учет!$O2197=Справочники!$F$4,Учет!$H2197,0)</f>
        <v>0</v>
      </c>
      <c r="T2197" s="48">
        <f>IF(Учет!$O2197=Справочники!$F$5,Учет!$H2197,0)</f>
        <v>0</v>
      </c>
      <c r="U2197" s="48">
        <f>IF(Учет!$O2197=Справочники!$F$6,Учет!$H2197,0)</f>
        <v>0</v>
      </c>
      <c r="V2197" s="43">
        <f>V2196+Учет!Q2197-Q2197</f>
        <v>-488978.92000000004</v>
      </c>
      <c r="W2197" s="43">
        <f>W2196+Учет!R2197-R2197</f>
        <v>336855</v>
      </c>
      <c r="X2197" s="43">
        <f>X2196+Учет!S2197-S2197</f>
        <v>500</v>
      </c>
      <c r="Y2197" s="43">
        <f>Y2196+Учет!T2197-T2197</f>
        <v>1150</v>
      </c>
      <c r="Z2197" s="43">
        <f>Z2196+Учет!U2197-U2197</f>
        <v>500000</v>
      </c>
      <c r="AA2197" s="45">
        <f>Учет!X2197</f>
        <v>500</v>
      </c>
    </row>
    <row r="2198" spans="1:27" ht="15" customHeight="1" x14ac:dyDescent="0.25">
      <c r="A2198" s="1"/>
      <c r="B2198" s="17"/>
      <c r="C2198" s="17"/>
      <c r="D2198" s="17"/>
      <c r="E2198" s="17"/>
      <c r="F2198" s="17"/>
      <c r="G2198" s="4">
        <f t="shared" si="99"/>
        <v>0</v>
      </c>
      <c r="H2198" s="17"/>
      <c r="I2198" s="4">
        <f t="shared" si="101"/>
        <v>349526.07999999996</v>
      </c>
      <c r="J2198" s="32" t="str">
        <f t="shared" si="100"/>
        <v/>
      </c>
      <c r="K2198" s="72"/>
      <c r="L2198" s="72"/>
      <c r="M2198" s="2"/>
      <c r="N2198" s="5"/>
      <c r="O2198" s="3"/>
      <c r="P2198" s="6"/>
      <c r="Q2198" s="48">
        <f>IF(Учет!$O2198=Справочники!$F$2,Учет!$H2198,0)</f>
        <v>0</v>
      </c>
      <c r="R2198" s="48">
        <f>IF(Учет!$O2198=Справочники!$F$3,Учет!$H2198,0)</f>
        <v>0</v>
      </c>
      <c r="S2198" s="48">
        <f>IF(Учет!$O2198=Справочники!$F$4,Учет!$H2198,0)</f>
        <v>0</v>
      </c>
      <c r="T2198" s="48">
        <f>IF(Учет!$O2198=Справочники!$F$5,Учет!$H2198,0)</f>
        <v>0</v>
      </c>
      <c r="U2198" s="48">
        <f>IF(Учет!$O2198=Справочники!$F$6,Учет!$H2198,0)</f>
        <v>0</v>
      </c>
      <c r="V2198" s="43">
        <f>V2197+Учет!Q2198-Q2198</f>
        <v>-488978.92000000004</v>
      </c>
      <c r="W2198" s="43">
        <f>W2197+Учет!R2198-R2198</f>
        <v>336855</v>
      </c>
      <c r="X2198" s="43">
        <f>X2197+Учет!S2198-S2198</f>
        <v>500</v>
      </c>
      <c r="Y2198" s="43">
        <f>Y2197+Учет!T2198-T2198</f>
        <v>1150</v>
      </c>
      <c r="Z2198" s="43">
        <f>Z2197+Учет!U2198-U2198</f>
        <v>500000</v>
      </c>
      <c r="AA2198" s="45">
        <f>Учет!X2198</f>
        <v>500</v>
      </c>
    </row>
    <row r="2199" spans="1:27" ht="15" customHeight="1" x14ac:dyDescent="0.25">
      <c r="A2199" s="1"/>
      <c r="B2199" s="17"/>
      <c r="C2199" s="17"/>
      <c r="D2199" s="17"/>
      <c r="E2199" s="17"/>
      <c r="F2199" s="17"/>
      <c r="G2199" s="4">
        <f t="shared" si="99"/>
        <v>0</v>
      </c>
      <c r="H2199" s="17"/>
      <c r="I2199" s="4">
        <f t="shared" si="101"/>
        <v>349526.07999999996</v>
      </c>
      <c r="J2199" s="32" t="str">
        <f t="shared" si="100"/>
        <v/>
      </c>
      <c r="K2199" s="72"/>
      <c r="L2199" s="72"/>
      <c r="M2199" s="2"/>
      <c r="N2199" s="5"/>
      <c r="O2199" s="3"/>
      <c r="P2199" s="6"/>
      <c r="Q2199" s="48">
        <f>IF(Учет!$O2199=Справочники!$F$2,Учет!$H2199,0)</f>
        <v>0</v>
      </c>
      <c r="R2199" s="48">
        <f>IF(Учет!$O2199=Справочники!$F$3,Учет!$H2199,0)</f>
        <v>0</v>
      </c>
      <c r="S2199" s="48">
        <f>IF(Учет!$O2199=Справочники!$F$4,Учет!$H2199,0)</f>
        <v>0</v>
      </c>
      <c r="T2199" s="48">
        <f>IF(Учет!$O2199=Справочники!$F$5,Учет!$H2199,0)</f>
        <v>0</v>
      </c>
      <c r="U2199" s="48">
        <f>IF(Учет!$O2199=Справочники!$F$6,Учет!$H2199,0)</f>
        <v>0</v>
      </c>
      <c r="V2199" s="43">
        <f>V2198+Учет!Q2199-Q2199</f>
        <v>-488978.92000000004</v>
      </c>
      <c r="W2199" s="43">
        <f>W2198+Учет!R2199-R2199</f>
        <v>336855</v>
      </c>
      <c r="X2199" s="43">
        <f>X2198+Учет!S2199-S2199</f>
        <v>500</v>
      </c>
      <c r="Y2199" s="43">
        <f>Y2198+Учет!T2199-T2199</f>
        <v>1150</v>
      </c>
      <c r="Z2199" s="43">
        <f>Z2198+Учет!U2199-U2199</f>
        <v>500000</v>
      </c>
      <c r="AA2199" s="45">
        <f>Учет!X2199</f>
        <v>500</v>
      </c>
    </row>
    <row r="2200" spans="1:27" ht="15" customHeight="1" x14ac:dyDescent="0.25">
      <c r="A2200" s="1"/>
      <c r="B2200" s="17"/>
      <c r="C2200" s="17"/>
      <c r="D2200" s="17"/>
      <c r="E2200" s="17"/>
      <c r="F2200" s="17"/>
      <c r="G2200" s="4">
        <f t="shared" si="99"/>
        <v>0</v>
      </c>
      <c r="H2200" s="17"/>
      <c r="I2200" s="4">
        <f t="shared" si="101"/>
        <v>349526.07999999996</v>
      </c>
      <c r="J2200" s="32" t="str">
        <f t="shared" si="100"/>
        <v/>
      </c>
      <c r="K2200" s="72"/>
      <c r="L2200" s="72"/>
      <c r="M2200" s="2"/>
      <c r="N2200" s="5"/>
      <c r="O2200" s="3"/>
      <c r="P2200" s="6"/>
      <c r="Q2200" s="48">
        <f>IF(Учет!$O2200=Справочники!$F$2,Учет!$H2200,0)</f>
        <v>0</v>
      </c>
      <c r="R2200" s="48">
        <f>IF(Учет!$O2200=Справочники!$F$3,Учет!$H2200,0)</f>
        <v>0</v>
      </c>
      <c r="S2200" s="48">
        <f>IF(Учет!$O2200=Справочники!$F$4,Учет!$H2200,0)</f>
        <v>0</v>
      </c>
      <c r="T2200" s="48">
        <f>IF(Учет!$O2200=Справочники!$F$5,Учет!$H2200,0)</f>
        <v>0</v>
      </c>
      <c r="U2200" s="48">
        <f>IF(Учет!$O2200=Справочники!$F$6,Учет!$H2200,0)</f>
        <v>0</v>
      </c>
      <c r="V2200" s="43">
        <f>V2199+Учет!Q2200-Q2200</f>
        <v>-488978.92000000004</v>
      </c>
      <c r="W2200" s="43">
        <f>W2199+Учет!R2200-R2200</f>
        <v>336855</v>
      </c>
      <c r="X2200" s="43">
        <f>X2199+Учет!S2200-S2200</f>
        <v>500</v>
      </c>
      <c r="Y2200" s="43">
        <f>Y2199+Учет!T2200-T2200</f>
        <v>1150</v>
      </c>
      <c r="Z2200" s="43">
        <f>Z2199+Учет!U2200-U2200</f>
        <v>500000</v>
      </c>
      <c r="AA2200" s="45">
        <f>Учет!X2200</f>
        <v>500</v>
      </c>
    </row>
    <row r="2201" spans="1:27" ht="15" customHeight="1" x14ac:dyDescent="0.25">
      <c r="A2201" s="1"/>
      <c r="B2201" s="17"/>
      <c r="C2201" s="17"/>
      <c r="D2201" s="17"/>
      <c r="E2201" s="17"/>
      <c r="F2201" s="17"/>
      <c r="G2201" s="4">
        <f t="shared" si="99"/>
        <v>0</v>
      </c>
      <c r="H2201" s="17"/>
      <c r="I2201" s="4">
        <f t="shared" si="101"/>
        <v>349526.07999999996</v>
      </c>
      <c r="J2201" s="32" t="str">
        <f t="shared" si="100"/>
        <v/>
      </c>
      <c r="K2201" s="72"/>
      <c r="L2201" s="72"/>
      <c r="M2201" s="2"/>
      <c r="N2201" s="5"/>
      <c r="O2201" s="3"/>
      <c r="P2201" s="6"/>
      <c r="Q2201" s="48">
        <f>IF(Учет!$O2201=Справочники!$F$2,Учет!$H2201,0)</f>
        <v>0</v>
      </c>
      <c r="R2201" s="48">
        <f>IF(Учет!$O2201=Справочники!$F$3,Учет!$H2201,0)</f>
        <v>0</v>
      </c>
      <c r="S2201" s="48">
        <f>IF(Учет!$O2201=Справочники!$F$4,Учет!$H2201,0)</f>
        <v>0</v>
      </c>
      <c r="T2201" s="48">
        <f>IF(Учет!$O2201=Справочники!$F$5,Учет!$H2201,0)</f>
        <v>0</v>
      </c>
      <c r="U2201" s="48">
        <f>IF(Учет!$O2201=Справочники!$F$6,Учет!$H2201,0)</f>
        <v>0</v>
      </c>
      <c r="V2201" s="43">
        <f>V2200+Учет!Q2201-Q2201</f>
        <v>-488978.92000000004</v>
      </c>
      <c r="W2201" s="43">
        <f>W2200+Учет!R2201-R2201</f>
        <v>336855</v>
      </c>
      <c r="X2201" s="43">
        <f>X2200+Учет!S2201-S2201</f>
        <v>500</v>
      </c>
      <c r="Y2201" s="43">
        <f>Y2200+Учет!T2201-T2201</f>
        <v>1150</v>
      </c>
      <c r="Z2201" s="43">
        <f>Z2200+Учет!U2201-U2201</f>
        <v>500000</v>
      </c>
      <c r="AA2201" s="45">
        <f>Учет!X2201</f>
        <v>500</v>
      </c>
    </row>
    <row r="2202" spans="1:27" ht="15" customHeight="1" x14ac:dyDescent="0.25">
      <c r="A2202" s="1"/>
      <c r="B2202" s="17"/>
      <c r="C2202" s="17"/>
      <c r="D2202" s="17"/>
      <c r="E2202" s="17"/>
      <c r="F2202" s="17"/>
      <c r="G2202" s="4">
        <f t="shared" si="99"/>
        <v>0</v>
      </c>
      <c r="H2202" s="17"/>
      <c r="I2202" s="4">
        <f t="shared" si="101"/>
        <v>349526.07999999996</v>
      </c>
      <c r="J2202" s="32" t="str">
        <f t="shared" si="100"/>
        <v/>
      </c>
      <c r="K2202" s="72"/>
      <c r="L2202" s="72"/>
      <c r="M2202" s="2"/>
      <c r="N2202" s="5"/>
      <c r="O2202" s="3"/>
      <c r="P2202" s="6"/>
      <c r="Q2202" s="48">
        <f>IF(Учет!$O2202=Справочники!$F$2,Учет!$H2202,0)</f>
        <v>0</v>
      </c>
      <c r="R2202" s="48">
        <f>IF(Учет!$O2202=Справочники!$F$3,Учет!$H2202,0)</f>
        <v>0</v>
      </c>
      <c r="S2202" s="48">
        <f>IF(Учет!$O2202=Справочники!$F$4,Учет!$H2202,0)</f>
        <v>0</v>
      </c>
      <c r="T2202" s="48">
        <f>IF(Учет!$O2202=Справочники!$F$5,Учет!$H2202,0)</f>
        <v>0</v>
      </c>
      <c r="U2202" s="48">
        <f>IF(Учет!$O2202=Справочники!$F$6,Учет!$H2202,0)</f>
        <v>0</v>
      </c>
      <c r="V2202" s="43">
        <f>V2201+Учет!Q2202-Q2202</f>
        <v>-488978.92000000004</v>
      </c>
      <c r="W2202" s="43">
        <f>W2201+Учет!R2202-R2202</f>
        <v>336855</v>
      </c>
      <c r="X2202" s="43">
        <f>X2201+Учет!S2202-S2202</f>
        <v>500</v>
      </c>
      <c r="Y2202" s="43">
        <f>Y2201+Учет!T2202-T2202</f>
        <v>1150</v>
      </c>
      <c r="Z2202" s="43">
        <f>Z2201+Учет!U2202-U2202</f>
        <v>500000</v>
      </c>
      <c r="AA2202" s="45">
        <f>Учет!X2202</f>
        <v>500</v>
      </c>
    </row>
    <row r="2203" spans="1:27" ht="15" customHeight="1" x14ac:dyDescent="0.25">
      <c r="A2203" s="1"/>
      <c r="B2203" s="17"/>
      <c r="C2203" s="17"/>
      <c r="D2203" s="17"/>
      <c r="E2203" s="17"/>
      <c r="F2203" s="17"/>
      <c r="G2203" s="4">
        <f t="shared" si="99"/>
        <v>0</v>
      </c>
      <c r="H2203" s="17"/>
      <c r="I2203" s="4">
        <f t="shared" si="101"/>
        <v>349526.07999999996</v>
      </c>
      <c r="J2203" s="32" t="str">
        <f t="shared" si="100"/>
        <v/>
      </c>
      <c r="K2203" s="72"/>
      <c r="L2203" s="72"/>
      <c r="M2203" s="2"/>
      <c r="N2203" s="5"/>
      <c r="O2203" s="3"/>
      <c r="P2203" s="6"/>
      <c r="Q2203" s="48">
        <f>IF(Учет!$O2203=Справочники!$F$2,Учет!$H2203,0)</f>
        <v>0</v>
      </c>
      <c r="R2203" s="48">
        <f>IF(Учет!$O2203=Справочники!$F$3,Учет!$H2203,0)</f>
        <v>0</v>
      </c>
      <c r="S2203" s="48">
        <f>IF(Учет!$O2203=Справочники!$F$4,Учет!$H2203,0)</f>
        <v>0</v>
      </c>
      <c r="T2203" s="48">
        <f>IF(Учет!$O2203=Справочники!$F$5,Учет!$H2203,0)</f>
        <v>0</v>
      </c>
      <c r="U2203" s="48">
        <f>IF(Учет!$O2203=Справочники!$F$6,Учет!$H2203,0)</f>
        <v>0</v>
      </c>
      <c r="V2203" s="43">
        <f>V2202+Учет!Q2203-Q2203</f>
        <v>-488978.92000000004</v>
      </c>
      <c r="W2203" s="43">
        <f>W2202+Учет!R2203-R2203</f>
        <v>336855</v>
      </c>
      <c r="X2203" s="43">
        <f>X2202+Учет!S2203-S2203</f>
        <v>500</v>
      </c>
      <c r="Y2203" s="43">
        <f>Y2202+Учет!T2203-T2203</f>
        <v>1150</v>
      </c>
      <c r="Z2203" s="43">
        <f>Z2202+Учет!U2203-U2203</f>
        <v>500000</v>
      </c>
      <c r="AA2203" s="45">
        <f>Учет!X2203</f>
        <v>500</v>
      </c>
    </row>
    <row r="2204" spans="1:27" ht="15" customHeight="1" x14ac:dyDescent="0.25">
      <c r="A2204" s="1"/>
      <c r="B2204" s="17"/>
      <c r="C2204" s="17"/>
      <c r="D2204" s="17"/>
      <c r="E2204" s="17"/>
      <c r="F2204" s="17"/>
      <c r="G2204" s="4">
        <f t="shared" si="99"/>
        <v>0</v>
      </c>
      <c r="H2204" s="17"/>
      <c r="I2204" s="4">
        <f t="shared" si="101"/>
        <v>349526.07999999996</v>
      </c>
      <c r="J2204" s="32" t="str">
        <f t="shared" si="100"/>
        <v/>
      </c>
      <c r="K2204" s="72"/>
      <c r="L2204" s="72"/>
      <c r="M2204" s="2"/>
      <c r="N2204" s="5"/>
      <c r="O2204" s="3"/>
      <c r="P2204" s="6"/>
      <c r="Q2204" s="48">
        <f>IF(Учет!$O2204=Справочники!$F$2,Учет!$H2204,0)</f>
        <v>0</v>
      </c>
      <c r="R2204" s="48">
        <f>IF(Учет!$O2204=Справочники!$F$3,Учет!$H2204,0)</f>
        <v>0</v>
      </c>
      <c r="S2204" s="48">
        <f>IF(Учет!$O2204=Справочники!$F$4,Учет!$H2204,0)</f>
        <v>0</v>
      </c>
      <c r="T2204" s="48">
        <f>IF(Учет!$O2204=Справочники!$F$5,Учет!$H2204,0)</f>
        <v>0</v>
      </c>
      <c r="U2204" s="48">
        <f>IF(Учет!$O2204=Справочники!$F$6,Учет!$H2204,0)</f>
        <v>0</v>
      </c>
      <c r="V2204" s="43">
        <f>V2203+Учет!Q2204-Q2204</f>
        <v>-488978.92000000004</v>
      </c>
      <c r="W2204" s="43">
        <f>W2203+Учет!R2204-R2204</f>
        <v>336855</v>
      </c>
      <c r="X2204" s="43">
        <f>X2203+Учет!S2204-S2204</f>
        <v>500</v>
      </c>
      <c r="Y2204" s="43">
        <f>Y2203+Учет!T2204-T2204</f>
        <v>1150</v>
      </c>
      <c r="Z2204" s="43">
        <f>Z2203+Учет!U2204-U2204</f>
        <v>500000</v>
      </c>
      <c r="AA2204" s="45">
        <f>Учет!X2204</f>
        <v>500</v>
      </c>
    </row>
    <row r="2205" spans="1:27" ht="15" customHeight="1" x14ac:dyDescent="0.25">
      <c r="A2205" s="1"/>
      <c r="B2205" s="17"/>
      <c r="C2205" s="17"/>
      <c r="D2205" s="17"/>
      <c r="E2205" s="17"/>
      <c r="F2205" s="17"/>
      <c r="G2205" s="4">
        <f t="shared" si="99"/>
        <v>0</v>
      </c>
      <c r="H2205" s="17"/>
      <c r="I2205" s="4">
        <f t="shared" si="101"/>
        <v>349526.07999999996</v>
      </c>
      <c r="J2205" s="32" t="str">
        <f t="shared" si="100"/>
        <v/>
      </c>
      <c r="K2205" s="72"/>
      <c r="L2205" s="72"/>
      <c r="M2205" s="2"/>
      <c r="N2205" s="5"/>
      <c r="O2205" s="3"/>
      <c r="P2205" s="6"/>
      <c r="Q2205" s="48">
        <f>IF(Учет!$O2205=Справочники!$F$2,Учет!$H2205,0)</f>
        <v>0</v>
      </c>
      <c r="R2205" s="48">
        <f>IF(Учет!$O2205=Справочники!$F$3,Учет!$H2205,0)</f>
        <v>0</v>
      </c>
      <c r="S2205" s="48">
        <f>IF(Учет!$O2205=Справочники!$F$4,Учет!$H2205,0)</f>
        <v>0</v>
      </c>
      <c r="T2205" s="48">
        <f>IF(Учет!$O2205=Справочники!$F$5,Учет!$H2205,0)</f>
        <v>0</v>
      </c>
      <c r="U2205" s="48">
        <f>IF(Учет!$O2205=Справочники!$F$6,Учет!$H2205,0)</f>
        <v>0</v>
      </c>
      <c r="V2205" s="43">
        <f>V2204+Учет!Q2205-Q2205</f>
        <v>-488978.92000000004</v>
      </c>
      <c r="W2205" s="43">
        <f>W2204+Учет!R2205-R2205</f>
        <v>336855</v>
      </c>
      <c r="X2205" s="43">
        <f>X2204+Учет!S2205-S2205</f>
        <v>500</v>
      </c>
      <c r="Y2205" s="43">
        <f>Y2204+Учет!T2205-T2205</f>
        <v>1150</v>
      </c>
      <c r="Z2205" s="43">
        <f>Z2204+Учет!U2205-U2205</f>
        <v>500000</v>
      </c>
      <c r="AA2205" s="45">
        <f>Учет!X2205</f>
        <v>500</v>
      </c>
    </row>
    <row r="2206" spans="1:27" ht="15" customHeight="1" x14ac:dyDescent="0.25">
      <c r="A2206" s="1"/>
      <c r="B2206" s="17"/>
      <c r="C2206" s="17"/>
      <c r="D2206" s="17"/>
      <c r="E2206" s="17"/>
      <c r="F2206" s="17"/>
      <c r="G2206" s="4">
        <f t="shared" si="99"/>
        <v>0</v>
      </c>
      <c r="H2206" s="17"/>
      <c r="I2206" s="4">
        <f t="shared" si="101"/>
        <v>349526.07999999996</v>
      </c>
      <c r="J2206" s="32" t="str">
        <f t="shared" si="100"/>
        <v/>
      </c>
      <c r="K2206" s="72"/>
      <c r="L2206" s="72"/>
      <c r="M2206" s="2"/>
      <c r="N2206" s="5"/>
      <c r="O2206" s="3"/>
      <c r="P2206" s="6"/>
      <c r="Q2206" s="48">
        <f>IF(Учет!$O2206=Справочники!$F$2,Учет!$H2206,0)</f>
        <v>0</v>
      </c>
      <c r="R2206" s="48">
        <f>IF(Учет!$O2206=Справочники!$F$3,Учет!$H2206,0)</f>
        <v>0</v>
      </c>
      <c r="S2206" s="48">
        <f>IF(Учет!$O2206=Справочники!$F$4,Учет!$H2206,0)</f>
        <v>0</v>
      </c>
      <c r="T2206" s="48">
        <f>IF(Учет!$O2206=Справочники!$F$5,Учет!$H2206,0)</f>
        <v>0</v>
      </c>
      <c r="U2206" s="48">
        <f>IF(Учет!$O2206=Справочники!$F$6,Учет!$H2206,0)</f>
        <v>0</v>
      </c>
      <c r="V2206" s="43">
        <f>V2205+Учет!Q2206-Q2206</f>
        <v>-488978.92000000004</v>
      </c>
      <c r="W2206" s="43">
        <f>W2205+Учет!R2206-R2206</f>
        <v>336855</v>
      </c>
      <c r="X2206" s="43">
        <f>X2205+Учет!S2206-S2206</f>
        <v>500</v>
      </c>
      <c r="Y2206" s="43">
        <f>Y2205+Учет!T2206-T2206</f>
        <v>1150</v>
      </c>
      <c r="Z2206" s="43">
        <f>Z2205+Учет!U2206-U2206</f>
        <v>500000</v>
      </c>
      <c r="AA2206" s="45">
        <f>Учет!X2206</f>
        <v>500</v>
      </c>
    </row>
    <row r="2207" spans="1:27" ht="15" customHeight="1" x14ac:dyDescent="0.25">
      <c r="A2207" s="1"/>
      <c r="B2207" s="17"/>
      <c r="C2207" s="17"/>
      <c r="D2207" s="17"/>
      <c r="E2207" s="17"/>
      <c r="F2207" s="17"/>
      <c r="G2207" s="4">
        <f t="shared" si="99"/>
        <v>0</v>
      </c>
      <c r="H2207" s="17"/>
      <c r="I2207" s="4">
        <f t="shared" si="101"/>
        <v>349526.07999999996</v>
      </c>
      <c r="J2207" s="32" t="str">
        <f t="shared" si="100"/>
        <v/>
      </c>
      <c r="K2207" s="72"/>
      <c r="L2207" s="72"/>
      <c r="M2207" s="2"/>
      <c r="N2207" s="5"/>
      <c r="O2207" s="3"/>
      <c r="P2207" s="6"/>
      <c r="Q2207" s="48">
        <f>IF(Учет!$O2207=Справочники!$F$2,Учет!$H2207,0)</f>
        <v>0</v>
      </c>
      <c r="R2207" s="48">
        <f>IF(Учет!$O2207=Справочники!$F$3,Учет!$H2207,0)</f>
        <v>0</v>
      </c>
      <c r="S2207" s="48">
        <f>IF(Учет!$O2207=Справочники!$F$4,Учет!$H2207,0)</f>
        <v>0</v>
      </c>
      <c r="T2207" s="48">
        <f>IF(Учет!$O2207=Справочники!$F$5,Учет!$H2207,0)</f>
        <v>0</v>
      </c>
      <c r="U2207" s="48">
        <f>IF(Учет!$O2207=Справочники!$F$6,Учет!$H2207,0)</f>
        <v>0</v>
      </c>
      <c r="V2207" s="43">
        <f>V2206+Учет!Q2207-Q2207</f>
        <v>-488978.92000000004</v>
      </c>
      <c r="W2207" s="43">
        <f>W2206+Учет!R2207-R2207</f>
        <v>336855</v>
      </c>
      <c r="X2207" s="43">
        <f>X2206+Учет!S2207-S2207</f>
        <v>500</v>
      </c>
      <c r="Y2207" s="43">
        <f>Y2206+Учет!T2207-T2207</f>
        <v>1150</v>
      </c>
      <c r="Z2207" s="43">
        <f>Z2206+Учет!U2207-U2207</f>
        <v>500000</v>
      </c>
      <c r="AA2207" s="45">
        <f>Учет!X2207</f>
        <v>500</v>
      </c>
    </row>
    <row r="2208" spans="1:27" ht="15" customHeight="1" x14ac:dyDescent="0.25">
      <c r="A2208" s="1"/>
      <c r="B2208" s="17"/>
      <c r="C2208" s="17"/>
      <c r="D2208" s="17"/>
      <c r="E2208" s="17"/>
      <c r="F2208" s="17"/>
      <c r="G2208" s="4">
        <f t="shared" si="99"/>
        <v>0</v>
      </c>
      <c r="H2208" s="17"/>
      <c r="I2208" s="4">
        <f t="shared" si="101"/>
        <v>349526.07999999996</v>
      </c>
      <c r="J2208" s="32" t="str">
        <f t="shared" si="100"/>
        <v/>
      </c>
      <c r="K2208" s="72"/>
      <c r="L2208" s="72"/>
      <c r="M2208" s="2"/>
      <c r="N2208" s="5"/>
      <c r="O2208" s="3"/>
      <c r="P2208" s="6"/>
      <c r="Q2208" s="48">
        <f>IF(Учет!$O2208=Справочники!$F$2,Учет!$H2208,0)</f>
        <v>0</v>
      </c>
      <c r="R2208" s="48">
        <f>IF(Учет!$O2208=Справочники!$F$3,Учет!$H2208,0)</f>
        <v>0</v>
      </c>
      <c r="S2208" s="48">
        <f>IF(Учет!$O2208=Справочники!$F$4,Учет!$H2208,0)</f>
        <v>0</v>
      </c>
      <c r="T2208" s="48">
        <f>IF(Учет!$O2208=Справочники!$F$5,Учет!$H2208,0)</f>
        <v>0</v>
      </c>
      <c r="U2208" s="48">
        <f>IF(Учет!$O2208=Справочники!$F$6,Учет!$H2208,0)</f>
        <v>0</v>
      </c>
      <c r="V2208" s="43">
        <f>V2207+Учет!Q2208-Q2208</f>
        <v>-488978.92000000004</v>
      </c>
      <c r="W2208" s="43">
        <f>W2207+Учет!R2208-R2208</f>
        <v>336855</v>
      </c>
      <c r="X2208" s="43">
        <f>X2207+Учет!S2208-S2208</f>
        <v>500</v>
      </c>
      <c r="Y2208" s="43">
        <f>Y2207+Учет!T2208-T2208</f>
        <v>1150</v>
      </c>
      <c r="Z2208" s="43">
        <f>Z2207+Учет!U2208-U2208</f>
        <v>500000</v>
      </c>
      <c r="AA2208" s="45">
        <f>Учет!X2208</f>
        <v>500</v>
      </c>
    </row>
    <row r="2209" spans="1:27" ht="15" customHeight="1" x14ac:dyDescent="0.25">
      <c r="A2209" s="1"/>
      <c r="B2209" s="17"/>
      <c r="C2209" s="17"/>
      <c r="D2209" s="17"/>
      <c r="E2209" s="17"/>
      <c r="F2209" s="17"/>
      <c r="G2209" s="4">
        <f t="shared" si="99"/>
        <v>0</v>
      </c>
      <c r="H2209" s="17"/>
      <c r="I2209" s="4">
        <f t="shared" si="101"/>
        <v>349526.07999999996</v>
      </c>
      <c r="J2209" s="32" t="str">
        <f t="shared" si="100"/>
        <v/>
      </c>
      <c r="K2209" s="72"/>
      <c r="L2209" s="72"/>
      <c r="M2209" s="2"/>
      <c r="N2209" s="5"/>
      <c r="O2209" s="3"/>
      <c r="P2209" s="6"/>
      <c r="Q2209" s="48">
        <f>IF(Учет!$O2209=Справочники!$F$2,Учет!$H2209,0)</f>
        <v>0</v>
      </c>
      <c r="R2209" s="48">
        <f>IF(Учет!$O2209=Справочники!$F$3,Учет!$H2209,0)</f>
        <v>0</v>
      </c>
      <c r="S2209" s="48">
        <f>IF(Учет!$O2209=Справочники!$F$4,Учет!$H2209,0)</f>
        <v>0</v>
      </c>
      <c r="T2209" s="48">
        <f>IF(Учет!$O2209=Справочники!$F$5,Учет!$H2209,0)</f>
        <v>0</v>
      </c>
      <c r="U2209" s="48">
        <f>IF(Учет!$O2209=Справочники!$F$6,Учет!$H2209,0)</f>
        <v>0</v>
      </c>
      <c r="V2209" s="43">
        <f>V2208+Учет!Q2209-Q2209</f>
        <v>-488978.92000000004</v>
      </c>
      <c r="W2209" s="43">
        <f>W2208+Учет!R2209-R2209</f>
        <v>336855</v>
      </c>
      <c r="X2209" s="43">
        <f>X2208+Учет!S2209-S2209</f>
        <v>500</v>
      </c>
      <c r="Y2209" s="43">
        <f>Y2208+Учет!T2209-T2209</f>
        <v>1150</v>
      </c>
      <c r="Z2209" s="43">
        <f>Z2208+Учет!U2209-U2209</f>
        <v>500000</v>
      </c>
      <c r="AA2209" s="45">
        <f>Учет!X2209</f>
        <v>500</v>
      </c>
    </row>
    <row r="2210" spans="1:27" ht="15" customHeight="1" x14ac:dyDescent="0.25">
      <c r="A2210" s="1"/>
      <c r="B2210" s="17"/>
      <c r="C2210" s="17"/>
      <c r="D2210" s="17"/>
      <c r="E2210" s="17"/>
      <c r="F2210" s="17"/>
      <c r="G2210" s="4">
        <f t="shared" si="99"/>
        <v>0</v>
      </c>
      <c r="H2210" s="17"/>
      <c r="I2210" s="4">
        <f t="shared" si="101"/>
        <v>349526.07999999996</v>
      </c>
      <c r="J2210" s="32" t="str">
        <f t="shared" si="100"/>
        <v/>
      </c>
      <c r="K2210" s="72"/>
      <c r="L2210" s="72"/>
      <c r="M2210" s="2"/>
      <c r="N2210" s="5"/>
      <c r="O2210" s="3"/>
      <c r="P2210" s="6"/>
      <c r="Q2210" s="48">
        <f>IF(Учет!$O2210=Справочники!$F$2,Учет!$H2210,0)</f>
        <v>0</v>
      </c>
      <c r="R2210" s="48">
        <f>IF(Учет!$O2210=Справочники!$F$3,Учет!$H2210,0)</f>
        <v>0</v>
      </c>
      <c r="S2210" s="48">
        <f>IF(Учет!$O2210=Справочники!$F$4,Учет!$H2210,0)</f>
        <v>0</v>
      </c>
      <c r="T2210" s="48">
        <f>IF(Учет!$O2210=Справочники!$F$5,Учет!$H2210,0)</f>
        <v>0</v>
      </c>
      <c r="U2210" s="48">
        <f>IF(Учет!$O2210=Справочники!$F$6,Учет!$H2210,0)</f>
        <v>0</v>
      </c>
      <c r="V2210" s="43">
        <f>V2209+Учет!Q2210-Q2210</f>
        <v>-488978.92000000004</v>
      </c>
      <c r="W2210" s="43">
        <f>W2209+Учет!R2210-R2210</f>
        <v>336855</v>
      </c>
      <c r="X2210" s="43">
        <f>X2209+Учет!S2210-S2210</f>
        <v>500</v>
      </c>
      <c r="Y2210" s="43">
        <f>Y2209+Учет!T2210-T2210</f>
        <v>1150</v>
      </c>
      <c r="Z2210" s="43">
        <f>Z2209+Учет!U2210-U2210</f>
        <v>500000</v>
      </c>
      <c r="AA2210" s="45">
        <f>Учет!X2210</f>
        <v>500</v>
      </c>
    </row>
    <row r="2211" spans="1:27" ht="15" customHeight="1" x14ac:dyDescent="0.25">
      <c r="A2211" s="1"/>
      <c r="B2211" s="17"/>
      <c r="C2211" s="17"/>
      <c r="D2211" s="17"/>
      <c r="E2211" s="17"/>
      <c r="F2211" s="17"/>
      <c r="G2211" s="4">
        <f t="shared" si="99"/>
        <v>0</v>
      </c>
      <c r="H2211" s="17"/>
      <c r="I2211" s="4">
        <f t="shared" si="101"/>
        <v>349526.07999999996</v>
      </c>
      <c r="J2211" s="32" t="str">
        <f t="shared" si="100"/>
        <v/>
      </c>
      <c r="K2211" s="72"/>
      <c r="L2211" s="72"/>
      <c r="M2211" s="2"/>
      <c r="N2211" s="5"/>
      <c r="O2211" s="3"/>
      <c r="P2211" s="6"/>
      <c r="Q2211" s="48">
        <f>IF(Учет!$O2211=Справочники!$F$2,Учет!$H2211,0)</f>
        <v>0</v>
      </c>
      <c r="R2211" s="48">
        <f>IF(Учет!$O2211=Справочники!$F$3,Учет!$H2211,0)</f>
        <v>0</v>
      </c>
      <c r="S2211" s="48">
        <f>IF(Учет!$O2211=Справочники!$F$4,Учет!$H2211,0)</f>
        <v>0</v>
      </c>
      <c r="T2211" s="48">
        <f>IF(Учет!$O2211=Справочники!$F$5,Учет!$H2211,0)</f>
        <v>0</v>
      </c>
      <c r="U2211" s="48">
        <f>IF(Учет!$O2211=Справочники!$F$6,Учет!$H2211,0)</f>
        <v>0</v>
      </c>
      <c r="V2211" s="43">
        <f>V2210+Учет!Q2211-Q2211</f>
        <v>-488978.92000000004</v>
      </c>
      <c r="W2211" s="43">
        <f>W2210+Учет!R2211-R2211</f>
        <v>336855</v>
      </c>
      <c r="X2211" s="43">
        <f>X2210+Учет!S2211-S2211</f>
        <v>500</v>
      </c>
      <c r="Y2211" s="43">
        <f>Y2210+Учет!T2211-T2211</f>
        <v>1150</v>
      </c>
      <c r="Z2211" s="43">
        <f>Z2210+Учет!U2211-U2211</f>
        <v>500000</v>
      </c>
      <c r="AA2211" s="45">
        <f>Учет!X2211</f>
        <v>500</v>
      </c>
    </row>
    <row r="2212" spans="1:27" ht="15" customHeight="1" x14ac:dyDescent="0.25">
      <c r="A2212" s="1"/>
      <c r="B2212" s="17"/>
      <c r="C2212" s="17"/>
      <c r="D2212" s="17"/>
      <c r="E2212" s="17"/>
      <c r="F2212" s="17"/>
      <c r="G2212" s="4">
        <f t="shared" si="99"/>
        <v>0</v>
      </c>
      <c r="H2212" s="17"/>
      <c r="I2212" s="4">
        <f t="shared" si="101"/>
        <v>349526.07999999996</v>
      </c>
      <c r="J2212" s="32" t="str">
        <f t="shared" si="100"/>
        <v/>
      </c>
      <c r="K2212" s="72"/>
      <c r="L2212" s="72"/>
      <c r="M2212" s="2"/>
      <c r="N2212" s="5"/>
      <c r="O2212" s="3"/>
      <c r="P2212" s="6"/>
      <c r="Q2212" s="48">
        <f>IF(Учет!$O2212=Справочники!$F$2,Учет!$H2212,0)</f>
        <v>0</v>
      </c>
      <c r="R2212" s="48">
        <f>IF(Учет!$O2212=Справочники!$F$3,Учет!$H2212,0)</f>
        <v>0</v>
      </c>
      <c r="S2212" s="48">
        <f>IF(Учет!$O2212=Справочники!$F$4,Учет!$H2212,0)</f>
        <v>0</v>
      </c>
      <c r="T2212" s="48">
        <f>IF(Учет!$O2212=Справочники!$F$5,Учет!$H2212,0)</f>
        <v>0</v>
      </c>
      <c r="U2212" s="48">
        <f>IF(Учет!$O2212=Справочники!$F$6,Учет!$H2212,0)</f>
        <v>0</v>
      </c>
      <c r="V2212" s="43">
        <f>V2211+Учет!Q2212-Q2212</f>
        <v>-488978.92000000004</v>
      </c>
      <c r="W2212" s="43">
        <f>W2211+Учет!R2212-R2212</f>
        <v>336855</v>
      </c>
      <c r="X2212" s="43">
        <f>X2211+Учет!S2212-S2212</f>
        <v>500</v>
      </c>
      <c r="Y2212" s="43">
        <f>Y2211+Учет!T2212-T2212</f>
        <v>1150</v>
      </c>
      <c r="Z2212" s="43">
        <f>Z2211+Учет!U2212-U2212</f>
        <v>500000</v>
      </c>
      <c r="AA2212" s="45">
        <f>Учет!X2212</f>
        <v>500</v>
      </c>
    </row>
    <row r="2213" spans="1:27" ht="15" customHeight="1" x14ac:dyDescent="0.25">
      <c r="A2213" s="1"/>
      <c r="B2213" s="17"/>
      <c r="C2213" s="17"/>
      <c r="D2213" s="17"/>
      <c r="E2213" s="17"/>
      <c r="F2213" s="17"/>
      <c r="G2213" s="4">
        <f t="shared" si="99"/>
        <v>0</v>
      </c>
      <c r="H2213" s="17"/>
      <c r="I2213" s="4">
        <f t="shared" si="101"/>
        <v>349526.07999999996</v>
      </c>
      <c r="J2213" s="32" t="str">
        <f t="shared" si="100"/>
        <v/>
      </c>
      <c r="K2213" s="72"/>
      <c r="L2213" s="72"/>
      <c r="M2213" s="2"/>
      <c r="N2213" s="5"/>
      <c r="O2213" s="3"/>
      <c r="P2213" s="6"/>
      <c r="Q2213" s="48">
        <f>IF(Учет!$O2213=Справочники!$F$2,Учет!$H2213,0)</f>
        <v>0</v>
      </c>
      <c r="R2213" s="48">
        <f>IF(Учет!$O2213=Справочники!$F$3,Учет!$H2213,0)</f>
        <v>0</v>
      </c>
      <c r="S2213" s="48">
        <f>IF(Учет!$O2213=Справочники!$F$4,Учет!$H2213,0)</f>
        <v>0</v>
      </c>
      <c r="T2213" s="48">
        <f>IF(Учет!$O2213=Справочники!$F$5,Учет!$H2213,0)</f>
        <v>0</v>
      </c>
      <c r="U2213" s="48">
        <f>IF(Учет!$O2213=Справочники!$F$6,Учет!$H2213,0)</f>
        <v>0</v>
      </c>
      <c r="V2213" s="43">
        <f>V2212+Учет!Q2213-Q2213</f>
        <v>-488978.92000000004</v>
      </c>
      <c r="W2213" s="43">
        <f>W2212+Учет!R2213-R2213</f>
        <v>336855</v>
      </c>
      <c r="X2213" s="43">
        <f>X2212+Учет!S2213-S2213</f>
        <v>500</v>
      </c>
      <c r="Y2213" s="43">
        <f>Y2212+Учет!T2213-T2213</f>
        <v>1150</v>
      </c>
      <c r="Z2213" s="43">
        <f>Z2212+Учет!U2213-U2213</f>
        <v>500000</v>
      </c>
      <c r="AA2213" s="45">
        <f>Учет!X2213</f>
        <v>500</v>
      </c>
    </row>
    <row r="2214" spans="1:27" ht="15" customHeight="1" x14ac:dyDescent="0.25">
      <c r="A2214" s="1"/>
      <c r="B2214" s="17"/>
      <c r="C2214" s="17"/>
      <c r="D2214" s="17"/>
      <c r="E2214" s="17"/>
      <c r="F2214" s="17"/>
      <c r="G2214" s="4">
        <f t="shared" si="99"/>
        <v>0</v>
      </c>
      <c r="H2214" s="17"/>
      <c r="I2214" s="4">
        <f t="shared" si="101"/>
        <v>349526.07999999996</v>
      </c>
      <c r="J2214" s="32" t="str">
        <f t="shared" si="100"/>
        <v/>
      </c>
      <c r="K2214" s="72"/>
      <c r="L2214" s="72"/>
      <c r="M2214" s="2"/>
      <c r="N2214" s="5"/>
      <c r="O2214" s="3"/>
      <c r="P2214" s="6"/>
      <c r="Q2214" s="48">
        <f>IF(Учет!$O2214=Справочники!$F$2,Учет!$H2214,0)</f>
        <v>0</v>
      </c>
      <c r="R2214" s="48">
        <f>IF(Учет!$O2214=Справочники!$F$3,Учет!$H2214,0)</f>
        <v>0</v>
      </c>
      <c r="S2214" s="48">
        <f>IF(Учет!$O2214=Справочники!$F$4,Учет!$H2214,0)</f>
        <v>0</v>
      </c>
      <c r="T2214" s="48">
        <f>IF(Учет!$O2214=Справочники!$F$5,Учет!$H2214,0)</f>
        <v>0</v>
      </c>
      <c r="U2214" s="48">
        <f>IF(Учет!$O2214=Справочники!$F$6,Учет!$H2214,0)</f>
        <v>0</v>
      </c>
      <c r="V2214" s="43">
        <f>V2213+Учет!Q2214-Q2214</f>
        <v>-488978.92000000004</v>
      </c>
      <c r="W2214" s="43">
        <f>W2213+Учет!R2214-R2214</f>
        <v>336855</v>
      </c>
      <c r="X2214" s="43">
        <f>X2213+Учет!S2214-S2214</f>
        <v>500</v>
      </c>
      <c r="Y2214" s="43">
        <f>Y2213+Учет!T2214-T2214</f>
        <v>1150</v>
      </c>
      <c r="Z2214" s="43">
        <f>Z2213+Учет!U2214-U2214</f>
        <v>500000</v>
      </c>
      <c r="AA2214" s="45">
        <f>Учет!X2214</f>
        <v>500</v>
      </c>
    </row>
    <row r="2215" spans="1:27" ht="15" customHeight="1" x14ac:dyDescent="0.25">
      <c r="A2215" s="1"/>
      <c r="B2215" s="17"/>
      <c r="C2215" s="17"/>
      <c r="D2215" s="17"/>
      <c r="E2215" s="17"/>
      <c r="F2215" s="17"/>
      <c r="G2215" s="4">
        <f t="shared" si="99"/>
        <v>0</v>
      </c>
      <c r="H2215" s="17"/>
      <c r="I2215" s="4">
        <f t="shared" si="101"/>
        <v>349526.07999999996</v>
      </c>
      <c r="J2215" s="32" t="str">
        <f t="shared" si="100"/>
        <v/>
      </c>
      <c r="K2215" s="72"/>
      <c r="L2215" s="72"/>
      <c r="M2215" s="2"/>
      <c r="N2215" s="5"/>
      <c r="O2215" s="3"/>
      <c r="P2215" s="6"/>
      <c r="Q2215" s="48">
        <f>IF(Учет!$O2215=Справочники!$F$2,Учет!$H2215,0)</f>
        <v>0</v>
      </c>
      <c r="R2215" s="48">
        <f>IF(Учет!$O2215=Справочники!$F$3,Учет!$H2215,0)</f>
        <v>0</v>
      </c>
      <c r="S2215" s="48">
        <f>IF(Учет!$O2215=Справочники!$F$4,Учет!$H2215,0)</f>
        <v>0</v>
      </c>
      <c r="T2215" s="48">
        <f>IF(Учет!$O2215=Справочники!$F$5,Учет!$H2215,0)</f>
        <v>0</v>
      </c>
      <c r="U2215" s="48">
        <f>IF(Учет!$O2215=Справочники!$F$6,Учет!$H2215,0)</f>
        <v>0</v>
      </c>
      <c r="V2215" s="43">
        <f>V2214+Учет!Q2215-Q2215</f>
        <v>-488978.92000000004</v>
      </c>
      <c r="W2215" s="43">
        <f>W2214+Учет!R2215-R2215</f>
        <v>336855</v>
      </c>
      <c r="X2215" s="43">
        <f>X2214+Учет!S2215-S2215</f>
        <v>500</v>
      </c>
      <c r="Y2215" s="43">
        <f>Y2214+Учет!T2215-T2215</f>
        <v>1150</v>
      </c>
      <c r="Z2215" s="43">
        <f>Z2214+Учет!U2215-U2215</f>
        <v>500000</v>
      </c>
      <c r="AA2215" s="45">
        <f>Учет!X2215</f>
        <v>500</v>
      </c>
    </row>
    <row r="2216" spans="1:27" ht="15" customHeight="1" x14ac:dyDescent="0.25">
      <c r="A2216" s="1"/>
      <c r="B2216" s="17"/>
      <c r="C2216" s="17"/>
      <c r="D2216" s="17"/>
      <c r="E2216" s="17"/>
      <c r="F2216" s="17"/>
      <c r="G2216" s="4">
        <f t="shared" si="99"/>
        <v>0</v>
      </c>
      <c r="H2216" s="17"/>
      <c r="I2216" s="4">
        <f t="shared" si="101"/>
        <v>349526.07999999996</v>
      </c>
      <c r="J2216" s="32" t="str">
        <f t="shared" si="100"/>
        <v/>
      </c>
      <c r="K2216" s="72"/>
      <c r="L2216" s="72"/>
      <c r="M2216" s="2"/>
      <c r="N2216" s="5"/>
      <c r="O2216" s="3"/>
      <c r="P2216" s="6"/>
      <c r="Q2216" s="48">
        <f>IF(Учет!$O2216=Справочники!$F$2,Учет!$H2216,0)</f>
        <v>0</v>
      </c>
      <c r="R2216" s="48">
        <f>IF(Учет!$O2216=Справочники!$F$3,Учет!$H2216,0)</f>
        <v>0</v>
      </c>
      <c r="S2216" s="48">
        <f>IF(Учет!$O2216=Справочники!$F$4,Учет!$H2216,0)</f>
        <v>0</v>
      </c>
      <c r="T2216" s="48">
        <f>IF(Учет!$O2216=Справочники!$F$5,Учет!$H2216,0)</f>
        <v>0</v>
      </c>
      <c r="U2216" s="48">
        <f>IF(Учет!$O2216=Справочники!$F$6,Учет!$H2216,0)</f>
        <v>0</v>
      </c>
      <c r="V2216" s="43">
        <f>V2215+Учет!Q2216-Q2216</f>
        <v>-488978.92000000004</v>
      </c>
      <c r="W2216" s="43">
        <f>W2215+Учет!R2216-R2216</f>
        <v>336855</v>
      </c>
      <c r="X2216" s="43">
        <f>X2215+Учет!S2216-S2216</f>
        <v>500</v>
      </c>
      <c r="Y2216" s="43">
        <f>Y2215+Учет!T2216-T2216</f>
        <v>1150</v>
      </c>
      <c r="Z2216" s="43">
        <f>Z2215+Учет!U2216-U2216</f>
        <v>500000</v>
      </c>
      <c r="AA2216" s="45">
        <f>Учет!X2216</f>
        <v>500</v>
      </c>
    </row>
    <row r="2217" spans="1:27" ht="15" customHeight="1" x14ac:dyDescent="0.25">
      <c r="A2217" s="1"/>
      <c r="B2217" s="17"/>
      <c r="C2217" s="17"/>
      <c r="D2217" s="17"/>
      <c r="E2217" s="17"/>
      <c r="F2217" s="17"/>
      <c r="G2217" s="4">
        <f t="shared" si="99"/>
        <v>0</v>
      </c>
      <c r="H2217" s="17"/>
      <c r="I2217" s="4">
        <f t="shared" si="101"/>
        <v>349526.07999999996</v>
      </c>
      <c r="J2217" s="32" t="str">
        <f t="shared" si="100"/>
        <v/>
      </c>
      <c r="K2217" s="72"/>
      <c r="L2217" s="72"/>
      <c r="M2217" s="2"/>
      <c r="N2217" s="5"/>
      <c r="O2217" s="3"/>
      <c r="P2217" s="6"/>
      <c r="Q2217" s="48">
        <f>IF(Учет!$O2217=Справочники!$F$2,Учет!$H2217,0)</f>
        <v>0</v>
      </c>
      <c r="R2217" s="48">
        <f>IF(Учет!$O2217=Справочники!$F$3,Учет!$H2217,0)</f>
        <v>0</v>
      </c>
      <c r="S2217" s="48">
        <f>IF(Учет!$O2217=Справочники!$F$4,Учет!$H2217,0)</f>
        <v>0</v>
      </c>
      <c r="T2217" s="48">
        <f>IF(Учет!$O2217=Справочники!$F$5,Учет!$H2217,0)</f>
        <v>0</v>
      </c>
      <c r="U2217" s="48">
        <f>IF(Учет!$O2217=Справочники!$F$6,Учет!$H2217,0)</f>
        <v>0</v>
      </c>
      <c r="V2217" s="43">
        <f>V2216+Учет!Q2217-Q2217</f>
        <v>-488978.92000000004</v>
      </c>
      <c r="W2217" s="43">
        <f>W2216+Учет!R2217-R2217</f>
        <v>336855</v>
      </c>
      <c r="X2217" s="43">
        <f>X2216+Учет!S2217-S2217</f>
        <v>500</v>
      </c>
      <c r="Y2217" s="43">
        <f>Y2216+Учет!T2217-T2217</f>
        <v>1150</v>
      </c>
      <c r="Z2217" s="43">
        <f>Z2216+Учет!U2217-U2217</f>
        <v>500000</v>
      </c>
      <c r="AA2217" s="45">
        <f>Учет!X2217</f>
        <v>500</v>
      </c>
    </row>
    <row r="2218" spans="1:27" ht="15" customHeight="1" x14ac:dyDescent="0.25">
      <c r="A2218" s="1"/>
      <c r="B2218" s="17"/>
      <c r="C2218" s="17"/>
      <c r="D2218" s="17"/>
      <c r="E2218" s="17"/>
      <c r="F2218" s="17"/>
      <c r="G2218" s="4">
        <f t="shared" si="99"/>
        <v>0</v>
      </c>
      <c r="H2218" s="17"/>
      <c r="I2218" s="4">
        <f t="shared" si="101"/>
        <v>349526.07999999996</v>
      </c>
      <c r="J2218" s="32" t="str">
        <f t="shared" si="100"/>
        <v/>
      </c>
      <c r="K2218" s="72"/>
      <c r="L2218" s="72"/>
      <c r="M2218" s="2"/>
      <c r="N2218" s="5"/>
      <c r="O2218" s="3"/>
      <c r="P2218" s="6"/>
      <c r="Q2218" s="48">
        <f>IF(Учет!$O2218=Справочники!$F$2,Учет!$H2218,0)</f>
        <v>0</v>
      </c>
      <c r="R2218" s="48">
        <f>IF(Учет!$O2218=Справочники!$F$3,Учет!$H2218,0)</f>
        <v>0</v>
      </c>
      <c r="S2218" s="48">
        <f>IF(Учет!$O2218=Справочники!$F$4,Учет!$H2218,0)</f>
        <v>0</v>
      </c>
      <c r="T2218" s="48">
        <f>IF(Учет!$O2218=Справочники!$F$5,Учет!$H2218,0)</f>
        <v>0</v>
      </c>
      <c r="U2218" s="48">
        <f>IF(Учет!$O2218=Справочники!$F$6,Учет!$H2218,0)</f>
        <v>0</v>
      </c>
      <c r="V2218" s="43">
        <f>V2217+Учет!Q2218-Q2218</f>
        <v>-488978.92000000004</v>
      </c>
      <c r="W2218" s="43">
        <f>W2217+Учет!R2218-R2218</f>
        <v>336855</v>
      </c>
      <c r="X2218" s="43">
        <f>X2217+Учет!S2218-S2218</f>
        <v>500</v>
      </c>
      <c r="Y2218" s="43">
        <f>Y2217+Учет!T2218-T2218</f>
        <v>1150</v>
      </c>
      <c r="Z2218" s="43">
        <f>Z2217+Учет!U2218-U2218</f>
        <v>500000</v>
      </c>
      <c r="AA2218" s="45">
        <f>Учет!X2218</f>
        <v>500</v>
      </c>
    </row>
    <row r="2219" spans="1:27" ht="15" customHeight="1" x14ac:dyDescent="0.25">
      <c r="A2219" s="1"/>
      <c r="B2219" s="17"/>
      <c r="C2219" s="17"/>
      <c r="D2219" s="17"/>
      <c r="E2219" s="17"/>
      <c r="F2219" s="17"/>
      <c r="G2219" s="4">
        <f t="shared" si="99"/>
        <v>0</v>
      </c>
      <c r="H2219" s="17"/>
      <c r="I2219" s="4">
        <f t="shared" si="101"/>
        <v>349526.07999999996</v>
      </c>
      <c r="J2219" s="32" t="str">
        <f t="shared" si="100"/>
        <v/>
      </c>
      <c r="K2219" s="72"/>
      <c r="L2219" s="72"/>
      <c r="M2219" s="2"/>
      <c r="N2219" s="5"/>
      <c r="O2219" s="3"/>
      <c r="P2219" s="6"/>
      <c r="Q2219" s="48">
        <f>IF(Учет!$O2219=Справочники!$F$2,Учет!$H2219,0)</f>
        <v>0</v>
      </c>
      <c r="R2219" s="48">
        <f>IF(Учет!$O2219=Справочники!$F$3,Учет!$H2219,0)</f>
        <v>0</v>
      </c>
      <c r="S2219" s="48">
        <f>IF(Учет!$O2219=Справочники!$F$4,Учет!$H2219,0)</f>
        <v>0</v>
      </c>
      <c r="T2219" s="48">
        <f>IF(Учет!$O2219=Справочники!$F$5,Учет!$H2219,0)</f>
        <v>0</v>
      </c>
      <c r="U2219" s="48">
        <f>IF(Учет!$O2219=Справочники!$F$6,Учет!$H2219,0)</f>
        <v>0</v>
      </c>
      <c r="V2219" s="43">
        <f>V2218+Учет!Q2219-Q2219</f>
        <v>-488978.92000000004</v>
      </c>
      <c r="W2219" s="43">
        <f>W2218+Учет!R2219-R2219</f>
        <v>336855</v>
      </c>
      <c r="X2219" s="43">
        <f>X2218+Учет!S2219-S2219</f>
        <v>500</v>
      </c>
      <c r="Y2219" s="43">
        <f>Y2218+Учет!T2219-T2219</f>
        <v>1150</v>
      </c>
      <c r="Z2219" s="43">
        <f>Z2218+Учет!U2219-U2219</f>
        <v>500000</v>
      </c>
      <c r="AA2219" s="45">
        <f>Учет!X2219</f>
        <v>500</v>
      </c>
    </row>
    <row r="2220" spans="1:27" ht="15" customHeight="1" x14ac:dyDescent="0.25">
      <c r="A2220" s="1"/>
      <c r="B2220" s="17"/>
      <c r="C2220" s="17"/>
      <c r="D2220" s="17"/>
      <c r="E2220" s="17"/>
      <c r="F2220" s="17"/>
      <c r="G2220" s="4">
        <f t="shared" si="99"/>
        <v>0</v>
      </c>
      <c r="H2220" s="17"/>
      <c r="I2220" s="4">
        <f t="shared" si="101"/>
        <v>349526.07999999996</v>
      </c>
      <c r="J2220" s="32" t="str">
        <f t="shared" si="100"/>
        <v/>
      </c>
      <c r="K2220" s="72"/>
      <c r="L2220" s="72"/>
      <c r="M2220" s="2"/>
      <c r="N2220" s="5"/>
      <c r="O2220" s="3"/>
      <c r="P2220" s="6"/>
      <c r="Q2220" s="48">
        <f>IF(Учет!$O2220=Справочники!$F$2,Учет!$H2220,0)</f>
        <v>0</v>
      </c>
      <c r="R2220" s="48">
        <f>IF(Учет!$O2220=Справочники!$F$3,Учет!$H2220,0)</f>
        <v>0</v>
      </c>
      <c r="S2220" s="48">
        <f>IF(Учет!$O2220=Справочники!$F$4,Учет!$H2220,0)</f>
        <v>0</v>
      </c>
      <c r="T2220" s="48">
        <f>IF(Учет!$O2220=Справочники!$F$5,Учет!$H2220,0)</f>
        <v>0</v>
      </c>
      <c r="U2220" s="48">
        <f>IF(Учет!$O2220=Справочники!$F$6,Учет!$H2220,0)</f>
        <v>0</v>
      </c>
      <c r="V2220" s="43">
        <f>V2219+Учет!Q2220-Q2220</f>
        <v>-488978.92000000004</v>
      </c>
      <c r="W2220" s="43">
        <f>W2219+Учет!R2220-R2220</f>
        <v>336855</v>
      </c>
      <c r="X2220" s="43">
        <f>X2219+Учет!S2220-S2220</f>
        <v>500</v>
      </c>
      <c r="Y2220" s="43">
        <f>Y2219+Учет!T2220-T2220</f>
        <v>1150</v>
      </c>
      <c r="Z2220" s="43">
        <f>Z2219+Учет!U2220-U2220</f>
        <v>500000</v>
      </c>
      <c r="AA2220" s="45">
        <f>Учет!X2220</f>
        <v>500</v>
      </c>
    </row>
    <row r="2221" spans="1:27" ht="15" customHeight="1" x14ac:dyDescent="0.25">
      <c r="A2221" s="1"/>
      <c r="B2221" s="17"/>
      <c r="C2221" s="17"/>
      <c r="D2221" s="17"/>
      <c r="E2221" s="17"/>
      <c r="F2221" s="17"/>
      <c r="G2221" s="4">
        <f t="shared" si="99"/>
        <v>0</v>
      </c>
      <c r="H2221" s="17"/>
      <c r="I2221" s="4">
        <f t="shared" si="101"/>
        <v>349526.07999999996</v>
      </c>
      <c r="J2221" s="32" t="str">
        <f t="shared" si="100"/>
        <v/>
      </c>
      <c r="K2221" s="72"/>
      <c r="L2221" s="72"/>
      <c r="M2221" s="2"/>
      <c r="N2221" s="5"/>
      <c r="O2221" s="3"/>
      <c r="P2221" s="6"/>
      <c r="Q2221" s="48">
        <f>IF(Учет!$O2221=Справочники!$F$2,Учет!$H2221,0)</f>
        <v>0</v>
      </c>
      <c r="R2221" s="48">
        <f>IF(Учет!$O2221=Справочники!$F$3,Учет!$H2221,0)</f>
        <v>0</v>
      </c>
      <c r="S2221" s="48">
        <f>IF(Учет!$O2221=Справочники!$F$4,Учет!$H2221,0)</f>
        <v>0</v>
      </c>
      <c r="T2221" s="48">
        <f>IF(Учет!$O2221=Справочники!$F$5,Учет!$H2221,0)</f>
        <v>0</v>
      </c>
      <c r="U2221" s="48">
        <f>IF(Учет!$O2221=Справочники!$F$6,Учет!$H2221,0)</f>
        <v>0</v>
      </c>
      <c r="V2221" s="43">
        <f>V2220+Учет!Q2221-Q2221</f>
        <v>-488978.92000000004</v>
      </c>
      <c r="W2221" s="43">
        <f>W2220+Учет!R2221-R2221</f>
        <v>336855</v>
      </c>
      <c r="X2221" s="43">
        <f>X2220+Учет!S2221-S2221</f>
        <v>500</v>
      </c>
      <c r="Y2221" s="43">
        <f>Y2220+Учет!T2221-T2221</f>
        <v>1150</v>
      </c>
      <c r="Z2221" s="43">
        <f>Z2220+Учет!U2221-U2221</f>
        <v>500000</v>
      </c>
      <c r="AA2221" s="45">
        <f>Учет!X2221</f>
        <v>500</v>
      </c>
    </row>
    <row r="2222" spans="1:27" ht="15" customHeight="1" x14ac:dyDescent="0.25">
      <c r="A2222" s="1"/>
      <c r="B2222" s="17"/>
      <c r="C2222" s="17"/>
      <c r="D2222" s="17"/>
      <c r="E2222" s="17"/>
      <c r="F2222" s="17"/>
      <c r="G2222" s="4">
        <f t="shared" si="99"/>
        <v>0</v>
      </c>
      <c r="H2222" s="17"/>
      <c r="I2222" s="4">
        <f t="shared" si="101"/>
        <v>349526.07999999996</v>
      </c>
      <c r="J2222" s="32" t="str">
        <f t="shared" si="100"/>
        <v/>
      </c>
      <c r="K2222" s="72"/>
      <c r="L2222" s="72"/>
      <c r="M2222" s="2"/>
      <c r="N2222" s="5"/>
      <c r="O2222" s="3"/>
      <c r="P2222" s="6"/>
      <c r="Q2222" s="48">
        <f>IF(Учет!$O2222=Справочники!$F$2,Учет!$H2222,0)</f>
        <v>0</v>
      </c>
      <c r="R2222" s="48">
        <f>IF(Учет!$O2222=Справочники!$F$3,Учет!$H2222,0)</f>
        <v>0</v>
      </c>
      <c r="S2222" s="48">
        <f>IF(Учет!$O2222=Справочники!$F$4,Учет!$H2222,0)</f>
        <v>0</v>
      </c>
      <c r="T2222" s="48">
        <f>IF(Учет!$O2222=Справочники!$F$5,Учет!$H2222,0)</f>
        <v>0</v>
      </c>
      <c r="U2222" s="48">
        <f>IF(Учет!$O2222=Справочники!$F$6,Учет!$H2222,0)</f>
        <v>0</v>
      </c>
      <c r="V2222" s="43">
        <f>V2221+Учет!Q2222-Q2222</f>
        <v>-488978.92000000004</v>
      </c>
      <c r="W2222" s="43">
        <f>W2221+Учет!R2222-R2222</f>
        <v>336855</v>
      </c>
      <c r="X2222" s="43">
        <f>X2221+Учет!S2222-S2222</f>
        <v>500</v>
      </c>
      <c r="Y2222" s="43">
        <f>Y2221+Учет!T2222-T2222</f>
        <v>1150</v>
      </c>
      <c r="Z2222" s="43">
        <f>Z2221+Учет!U2222-U2222</f>
        <v>500000</v>
      </c>
      <c r="AA2222" s="45">
        <f>Учет!X2222</f>
        <v>500</v>
      </c>
    </row>
    <row r="2223" spans="1:27" ht="15" customHeight="1" x14ac:dyDescent="0.25">
      <c r="A2223" s="1"/>
      <c r="B2223" s="17"/>
      <c r="C2223" s="17"/>
      <c r="D2223" s="17"/>
      <c r="E2223" s="17"/>
      <c r="F2223" s="17"/>
      <c r="G2223" s="4">
        <f t="shared" si="99"/>
        <v>0</v>
      </c>
      <c r="H2223" s="17"/>
      <c r="I2223" s="4">
        <f t="shared" si="101"/>
        <v>349526.07999999996</v>
      </c>
      <c r="J2223" s="32" t="str">
        <f t="shared" si="100"/>
        <v/>
      </c>
      <c r="K2223" s="72"/>
      <c r="L2223" s="72"/>
      <c r="M2223" s="2"/>
      <c r="N2223" s="5"/>
      <c r="O2223" s="3"/>
      <c r="P2223" s="6"/>
      <c r="Q2223" s="48">
        <f>IF(Учет!$O2223=Справочники!$F$2,Учет!$H2223,0)</f>
        <v>0</v>
      </c>
      <c r="R2223" s="48">
        <f>IF(Учет!$O2223=Справочники!$F$3,Учет!$H2223,0)</f>
        <v>0</v>
      </c>
      <c r="S2223" s="48">
        <f>IF(Учет!$O2223=Справочники!$F$4,Учет!$H2223,0)</f>
        <v>0</v>
      </c>
      <c r="T2223" s="48">
        <f>IF(Учет!$O2223=Справочники!$F$5,Учет!$H2223,0)</f>
        <v>0</v>
      </c>
      <c r="U2223" s="48">
        <f>IF(Учет!$O2223=Справочники!$F$6,Учет!$H2223,0)</f>
        <v>0</v>
      </c>
      <c r="V2223" s="43">
        <f>V2222+Учет!Q2223-Q2223</f>
        <v>-488978.92000000004</v>
      </c>
      <c r="W2223" s="43">
        <f>W2222+Учет!R2223-R2223</f>
        <v>336855</v>
      </c>
      <c r="X2223" s="43">
        <f>X2222+Учет!S2223-S2223</f>
        <v>500</v>
      </c>
      <c r="Y2223" s="43">
        <f>Y2222+Учет!T2223-T2223</f>
        <v>1150</v>
      </c>
      <c r="Z2223" s="43">
        <f>Z2222+Учет!U2223-U2223</f>
        <v>500000</v>
      </c>
      <c r="AA2223" s="45">
        <f>Учет!X2223</f>
        <v>500</v>
      </c>
    </row>
    <row r="2224" spans="1:27" ht="15" customHeight="1" x14ac:dyDescent="0.25">
      <c r="A2224" s="1"/>
      <c r="B2224" s="17"/>
      <c r="C2224" s="17"/>
      <c r="D2224" s="17"/>
      <c r="E2224" s="17"/>
      <c r="F2224" s="17"/>
      <c r="G2224" s="4">
        <f t="shared" si="99"/>
        <v>0</v>
      </c>
      <c r="H2224" s="17"/>
      <c r="I2224" s="4">
        <f t="shared" si="101"/>
        <v>349526.07999999996</v>
      </c>
      <c r="J2224" s="32" t="str">
        <f t="shared" si="100"/>
        <v/>
      </c>
      <c r="K2224" s="72"/>
      <c r="L2224" s="72"/>
      <c r="M2224" s="2"/>
      <c r="N2224" s="5"/>
      <c r="O2224" s="3"/>
      <c r="P2224" s="6"/>
      <c r="Q2224" s="48">
        <f>IF(Учет!$O2224=Справочники!$F$2,Учет!$H2224,0)</f>
        <v>0</v>
      </c>
      <c r="R2224" s="48">
        <f>IF(Учет!$O2224=Справочники!$F$3,Учет!$H2224,0)</f>
        <v>0</v>
      </c>
      <c r="S2224" s="48">
        <f>IF(Учет!$O2224=Справочники!$F$4,Учет!$H2224,0)</f>
        <v>0</v>
      </c>
      <c r="T2224" s="48">
        <f>IF(Учет!$O2224=Справочники!$F$5,Учет!$H2224,0)</f>
        <v>0</v>
      </c>
      <c r="U2224" s="48">
        <f>IF(Учет!$O2224=Справочники!$F$6,Учет!$H2224,0)</f>
        <v>0</v>
      </c>
      <c r="V2224" s="43">
        <f>V2223+Учет!Q2224-Q2224</f>
        <v>-488978.92000000004</v>
      </c>
      <c r="W2224" s="43">
        <f>W2223+Учет!R2224-R2224</f>
        <v>336855</v>
      </c>
      <c r="X2224" s="43">
        <f>X2223+Учет!S2224-S2224</f>
        <v>500</v>
      </c>
      <c r="Y2224" s="43">
        <f>Y2223+Учет!T2224-T2224</f>
        <v>1150</v>
      </c>
      <c r="Z2224" s="43">
        <f>Z2223+Учет!U2224-U2224</f>
        <v>500000</v>
      </c>
      <c r="AA2224" s="45">
        <f>Учет!X2224</f>
        <v>500</v>
      </c>
    </row>
    <row r="2225" spans="1:27" ht="15" customHeight="1" x14ac:dyDescent="0.25">
      <c r="A2225" s="1"/>
      <c r="B2225" s="17"/>
      <c r="C2225" s="17"/>
      <c r="D2225" s="17"/>
      <c r="E2225" s="17"/>
      <c r="F2225" s="17"/>
      <c r="G2225" s="4">
        <f t="shared" si="99"/>
        <v>0</v>
      </c>
      <c r="H2225" s="17"/>
      <c r="I2225" s="4">
        <f t="shared" si="101"/>
        <v>349526.07999999996</v>
      </c>
      <c r="J2225" s="32" t="str">
        <f t="shared" si="100"/>
        <v/>
      </c>
      <c r="K2225" s="72"/>
      <c r="L2225" s="72"/>
      <c r="M2225" s="2"/>
      <c r="N2225" s="5"/>
      <c r="O2225" s="3"/>
      <c r="P2225" s="6"/>
      <c r="Q2225" s="48">
        <f>IF(Учет!$O2225=Справочники!$F$2,Учет!$H2225,0)</f>
        <v>0</v>
      </c>
      <c r="R2225" s="48">
        <f>IF(Учет!$O2225=Справочники!$F$3,Учет!$H2225,0)</f>
        <v>0</v>
      </c>
      <c r="S2225" s="48">
        <f>IF(Учет!$O2225=Справочники!$F$4,Учет!$H2225,0)</f>
        <v>0</v>
      </c>
      <c r="T2225" s="48">
        <f>IF(Учет!$O2225=Справочники!$F$5,Учет!$H2225,0)</f>
        <v>0</v>
      </c>
      <c r="U2225" s="48">
        <f>IF(Учет!$O2225=Справочники!$F$6,Учет!$H2225,0)</f>
        <v>0</v>
      </c>
      <c r="V2225" s="43">
        <f>V2224+Учет!Q2225-Q2225</f>
        <v>-488978.92000000004</v>
      </c>
      <c r="W2225" s="43">
        <f>W2224+Учет!R2225-R2225</f>
        <v>336855</v>
      </c>
      <c r="X2225" s="43">
        <f>X2224+Учет!S2225-S2225</f>
        <v>500</v>
      </c>
      <c r="Y2225" s="43">
        <f>Y2224+Учет!T2225-T2225</f>
        <v>1150</v>
      </c>
      <c r="Z2225" s="43">
        <f>Z2224+Учет!U2225-U2225</f>
        <v>500000</v>
      </c>
      <c r="AA2225" s="45">
        <f>Учет!X2225</f>
        <v>500</v>
      </c>
    </row>
    <row r="2226" spans="1:27" ht="15" customHeight="1" x14ac:dyDescent="0.25">
      <c r="A2226" s="1"/>
      <c r="B2226" s="17"/>
      <c r="C2226" s="17"/>
      <c r="D2226" s="17"/>
      <c r="E2226" s="17"/>
      <c r="F2226" s="17"/>
      <c r="G2226" s="4">
        <f t="shared" si="99"/>
        <v>0</v>
      </c>
      <c r="H2226" s="17"/>
      <c r="I2226" s="4">
        <f t="shared" si="101"/>
        <v>349526.07999999996</v>
      </c>
      <c r="J2226" s="32" t="str">
        <f t="shared" si="100"/>
        <v/>
      </c>
      <c r="K2226" s="72"/>
      <c r="L2226" s="72"/>
      <c r="M2226" s="2"/>
      <c r="N2226" s="5"/>
      <c r="O2226" s="3"/>
      <c r="P2226" s="6"/>
      <c r="Q2226" s="48">
        <f>IF(Учет!$O2226=Справочники!$F$2,Учет!$H2226,0)</f>
        <v>0</v>
      </c>
      <c r="R2226" s="48">
        <f>IF(Учет!$O2226=Справочники!$F$3,Учет!$H2226,0)</f>
        <v>0</v>
      </c>
      <c r="S2226" s="48">
        <f>IF(Учет!$O2226=Справочники!$F$4,Учет!$H2226,0)</f>
        <v>0</v>
      </c>
      <c r="T2226" s="48">
        <f>IF(Учет!$O2226=Справочники!$F$5,Учет!$H2226,0)</f>
        <v>0</v>
      </c>
      <c r="U2226" s="48">
        <f>IF(Учет!$O2226=Справочники!$F$6,Учет!$H2226,0)</f>
        <v>0</v>
      </c>
      <c r="V2226" s="43">
        <f>V2225+Учет!Q2226-Q2226</f>
        <v>-488978.92000000004</v>
      </c>
      <c r="W2226" s="43">
        <f>W2225+Учет!R2226-R2226</f>
        <v>336855</v>
      </c>
      <c r="X2226" s="43">
        <f>X2225+Учет!S2226-S2226</f>
        <v>500</v>
      </c>
      <c r="Y2226" s="43">
        <f>Y2225+Учет!T2226-T2226</f>
        <v>1150</v>
      </c>
      <c r="Z2226" s="43">
        <f>Z2225+Учет!U2226-U2226</f>
        <v>500000</v>
      </c>
      <c r="AA2226" s="45">
        <f>Учет!X2226</f>
        <v>500</v>
      </c>
    </row>
    <row r="2227" spans="1:27" ht="15" customHeight="1" x14ac:dyDescent="0.25">
      <c r="A2227" s="1"/>
      <c r="B2227" s="17"/>
      <c r="C2227" s="17"/>
      <c r="D2227" s="17"/>
      <c r="E2227" s="17"/>
      <c r="F2227" s="17"/>
      <c r="G2227" s="4">
        <f t="shared" si="99"/>
        <v>0</v>
      </c>
      <c r="H2227" s="17"/>
      <c r="I2227" s="4">
        <f t="shared" si="101"/>
        <v>349526.07999999996</v>
      </c>
      <c r="J2227" s="32" t="str">
        <f t="shared" si="100"/>
        <v/>
      </c>
      <c r="K2227" s="72"/>
      <c r="L2227" s="72"/>
      <c r="M2227" s="2"/>
      <c r="N2227" s="5"/>
      <c r="O2227" s="3"/>
      <c r="P2227" s="6"/>
      <c r="Q2227" s="48">
        <f>IF(Учет!$O2227=Справочники!$F$2,Учет!$H2227,0)</f>
        <v>0</v>
      </c>
      <c r="R2227" s="48">
        <f>IF(Учет!$O2227=Справочники!$F$3,Учет!$H2227,0)</f>
        <v>0</v>
      </c>
      <c r="S2227" s="48">
        <f>IF(Учет!$O2227=Справочники!$F$4,Учет!$H2227,0)</f>
        <v>0</v>
      </c>
      <c r="T2227" s="48">
        <f>IF(Учет!$O2227=Справочники!$F$5,Учет!$H2227,0)</f>
        <v>0</v>
      </c>
      <c r="U2227" s="48">
        <f>IF(Учет!$O2227=Справочники!$F$6,Учет!$H2227,0)</f>
        <v>0</v>
      </c>
      <c r="V2227" s="43">
        <f>V2226+Учет!Q2227-Q2227</f>
        <v>-488978.92000000004</v>
      </c>
      <c r="W2227" s="43">
        <f>W2226+Учет!R2227-R2227</f>
        <v>336855</v>
      </c>
      <c r="X2227" s="43">
        <f>X2226+Учет!S2227-S2227</f>
        <v>500</v>
      </c>
      <c r="Y2227" s="43">
        <f>Y2226+Учет!T2227-T2227</f>
        <v>1150</v>
      </c>
      <c r="Z2227" s="43">
        <f>Z2226+Учет!U2227-U2227</f>
        <v>500000</v>
      </c>
      <c r="AA2227" s="45">
        <f>Учет!X2227</f>
        <v>500</v>
      </c>
    </row>
    <row r="2228" spans="1:27" ht="15" customHeight="1" x14ac:dyDescent="0.25">
      <c r="A2228" s="1"/>
      <c r="B2228" s="17"/>
      <c r="C2228" s="17"/>
      <c r="D2228" s="17"/>
      <c r="E2228" s="17"/>
      <c r="F2228" s="17"/>
      <c r="G2228" s="4">
        <f t="shared" si="99"/>
        <v>0</v>
      </c>
      <c r="H2228" s="17"/>
      <c r="I2228" s="4">
        <f t="shared" si="101"/>
        <v>349526.07999999996</v>
      </c>
      <c r="J2228" s="32" t="str">
        <f t="shared" si="100"/>
        <v/>
      </c>
      <c r="K2228" s="72"/>
      <c r="L2228" s="72"/>
      <c r="M2228" s="2"/>
      <c r="N2228" s="5"/>
      <c r="O2228" s="3"/>
      <c r="P2228" s="6"/>
      <c r="Q2228" s="48">
        <f>IF(Учет!$O2228=Справочники!$F$2,Учет!$H2228,0)</f>
        <v>0</v>
      </c>
      <c r="R2228" s="48">
        <f>IF(Учет!$O2228=Справочники!$F$3,Учет!$H2228,0)</f>
        <v>0</v>
      </c>
      <c r="S2228" s="48">
        <f>IF(Учет!$O2228=Справочники!$F$4,Учет!$H2228,0)</f>
        <v>0</v>
      </c>
      <c r="T2228" s="48">
        <f>IF(Учет!$O2228=Справочники!$F$5,Учет!$H2228,0)</f>
        <v>0</v>
      </c>
      <c r="U2228" s="48">
        <f>IF(Учет!$O2228=Справочники!$F$6,Учет!$H2228,0)</f>
        <v>0</v>
      </c>
      <c r="V2228" s="43">
        <f>V2227+Учет!Q2228-Q2228</f>
        <v>-488978.92000000004</v>
      </c>
      <c r="W2228" s="43">
        <f>W2227+Учет!R2228-R2228</f>
        <v>336855</v>
      </c>
      <c r="X2228" s="43">
        <f>X2227+Учет!S2228-S2228</f>
        <v>500</v>
      </c>
      <c r="Y2228" s="43">
        <f>Y2227+Учет!T2228-T2228</f>
        <v>1150</v>
      </c>
      <c r="Z2228" s="43">
        <f>Z2227+Учет!U2228-U2228</f>
        <v>500000</v>
      </c>
      <c r="AA2228" s="45">
        <f>Учет!X2228</f>
        <v>500</v>
      </c>
    </row>
    <row r="2229" spans="1:27" ht="15" customHeight="1" x14ac:dyDescent="0.25">
      <c r="A2229" s="1"/>
      <c r="B2229" s="17"/>
      <c r="C2229" s="17"/>
      <c r="D2229" s="17"/>
      <c r="E2229" s="17"/>
      <c r="F2229" s="17"/>
      <c r="G2229" s="4">
        <f t="shared" si="99"/>
        <v>0</v>
      </c>
      <c r="H2229" s="17"/>
      <c r="I2229" s="4">
        <f t="shared" si="101"/>
        <v>349526.07999999996</v>
      </c>
      <c r="J2229" s="32" t="str">
        <f t="shared" si="100"/>
        <v/>
      </c>
      <c r="K2229" s="72"/>
      <c r="L2229" s="72"/>
      <c r="M2229" s="2"/>
      <c r="N2229" s="5"/>
      <c r="O2229" s="3"/>
      <c r="P2229" s="6"/>
      <c r="Q2229" s="48">
        <f>IF(Учет!$O2229=Справочники!$F$2,Учет!$H2229,0)</f>
        <v>0</v>
      </c>
      <c r="R2229" s="48">
        <f>IF(Учет!$O2229=Справочники!$F$3,Учет!$H2229,0)</f>
        <v>0</v>
      </c>
      <c r="S2229" s="48">
        <f>IF(Учет!$O2229=Справочники!$F$4,Учет!$H2229,0)</f>
        <v>0</v>
      </c>
      <c r="T2229" s="48">
        <f>IF(Учет!$O2229=Справочники!$F$5,Учет!$H2229,0)</f>
        <v>0</v>
      </c>
      <c r="U2229" s="48">
        <f>IF(Учет!$O2229=Справочники!$F$6,Учет!$H2229,0)</f>
        <v>0</v>
      </c>
      <c r="V2229" s="43">
        <f>V2228+Учет!Q2229-Q2229</f>
        <v>-488978.92000000004</v>
      </c>
      <c r="W2229" s="43">
        <f>W2228+Учет!R2229-R2229</f>
        <v>336855</v>
      </c>
      <c r="X2229" s="43">
        <f>X2228+Учет!S2229-S2229</f>
        <v>500</v>
      </c>
      <c r="Y2229" s="43">
        <f>Y2228+Учет!T2229-T2229</f>
        <v>1150</v>
      </c>
      <c r="Z2229" s="43">
        <f>Z2228+Учет!U2229-U2229</f>
        <v>500000</v>
      </c>
      <c r="AA2229" s="45">
        <f>Учет!X2229</f>
        <v>500</v>
      </c>
    </row>
    <row r="2230" spans="1:27" ht="15" customHeight="1" x14ac:dyDescent="0.25">
      <c r="A2230" s="1"/>
      <c r="B2230" s="17"/>
      <c r="C2230" s="17"/>
      <c r="D2230" s="17"/>
      <c r="E2230" s="17"/>
      <c r="F2230" s="17"/>
      <c r="G2230" s="4">
        <f t="shared" si="99"/>
        <v>0</v>
      </c>
      <c r="H2230" s="17"/>
      <c r="I2230" s="4">
        <f t="shared" si="101"/>
        <v>349526.07999999996</v>
      </c>
      <c r="J2230" s="32" t="str">
        <f t="shared" si="100"/>
        <v/>
      </c>
      <c r="K2230" s="72"/>
      <c r="L2230" s="72"/>
      <c r="M2230" s="2"/>
      <c r="N2230" s="5"/>
      <c r="O2230" s="3"/>
      <c r="P2230" s="6"/>
      <c r="Q2230" s="48">
        <f>IF(Учет!$O2230=Справочники!$F$2,Учет!$H2230,0)</f>
        <v>0</v>
      </c>
      <c r="R2230" s="48">
        <f>IF(Учет!$O2230=Справочники!$F$3,Учет!$H2230,0)</f>
        <v>0</v>
      </c>
      <c r="S2230" s="48">
        <f>IF(Учет!$O2230=Справочники!$F$4,Учет!$H2230,0)</f>
        <v>0</v>
      </c>
      <c r="T2230" s="48">
        <f>IF(Учет!$O2230=Справочники!$F$5,Учет!$H2230,0)</f>
        <v>0</v>
      </c>
      <c r="U2230" s="48">
        <f>IF(Учет!$O2230=Справочники!$F$6,Учет!$H2230,0)</f>
        <v>0</v>
      </c>
      <c r="V2230" s="43">
        <f>V2229+Учет!Q2230-Q2230</f>
        <v>-488978.92000000004</v>
      </c>
      <c r="W2230" s="43">
        <f>W2229+Учет!R2230-R2230</f>
        <v>336855</v>
      </c>
      <c r="X2230" s="43">
        <f>X2229+Учет!S2230-S2230</f>
        <v>500</v>
      </c>
      <c r="Y2230" s="43">
        <f>Y2229+Учет!T2230-T2230</f>
        <v>1150</v>
      </c>
      <c r="Z2230" s="43">
        <f>Z2229+Учет!U2230-U2230</f>
        <v>500000</v>
      </c>
      <c r="AA2230" s="45">
        <f>Учет!X2230</f>
        <v>500</v>
      </c>
    </row>
    <row r="2231" spans="1:27" ht="15" customHeight="1" x14ac:dyDescent="0.25">
      <c r="A2231" s="1"/>
      <c r="B2231" s="17"/>
      <c r="C2231" s="17"/>
      <c r="D2231" s="17"/>
      <c r="E2231" s="17"/>
      <c r="F2231" s="17"/>
      <c r="G2231" s="4">
        <f t="shared" si="99"/>
        <v>0</v>
      </c>
      <c r="H2231" s="17"/>
      <c r="I2231" s="4">
        <f t="shared" si="101"/>
        <v>349526.07999999996</v>
      </c>
      <c r="J2231" s="32" t="str">
        <f t="shared" si="100"/>
        <v/>
      </c>
      <c r="K2231" s="72"/>
      <c r="L2231" s="72"/>
      <c r="M2231" s="2"/>
      <c r="N2231" s="5"/>
      <c r="O2231" s="3"/>
      <c r="P2231" s="6"/>
      <c r="Q2231" s="48">
        <f>IF(Учет!$O2231=Справочники!$F$2,Учет!$H2231,0)</f>
        <v>0</v>
      </c>
      <c r="R2231" s="48">
        <f>IF(Учет!$O2231=Справочники!$F$3,Учет!$H2231,0)</f>
        <v>0</v>
      </c>
      <c r="S2231" s="48">
        <f>IF(Учет!$O2231=Справочники!$F$4,Учет!$H2231,0)</f>
        <v>0</v>
      </c>
      <c r="T2231" s="48">
        <f>IF(Учет!$O2231=Справочники!$F$5,Учет!$H2231,0)</f>
        <v>0</v>
      </c>
      <c r="U2231" s="48">
        <f>IF(Учет!$O2231=Справочники!$F$6,Учет!$H2231,0)</f>
        <v>0</v>
      </c>
      <c r="V2231" s="43">
        <f>V2230+Учет!Q2231-Q2231</f>
        <v>-488978.92000000004</v>
      </c>
      <c r="W2231" s="43">
        <f>W2230+Учет!R2231-R2231</f>
        <v>336855</v>
      </c>
      <c r="X2231" s="43">
        <f>X2230+Учет!S2231-S2231</f>
        <v>500</v>
      </c>
      <c r="Y2231" s="43">
        <f>Y2230+Учет!T2231-T2231</f>
        <v>1150</v>
      </c>
      <c r="Z2231" s="43">
        <f>Z2230+Учет!U2231-U2231</f>
        <v>500000</v>
      </c>
      <c r="AA2231" s="45">
        <f>Учет!X2231</f>
        <v>500</v>
      </c>
    </row>
    <row r="2232" spans="1:27" ht="15" customHeight="1" x14ac:dyDescent="0.25">
      <c r="A2232" s="1"/>
      <c r="B2232" s="17"/>
      <c r="C2232" s="17"/>
      <c r="D2232" s="17"/>
      <c r="E2232" s="17"/>
      <c r="F2232" s="17"/>
      <c r="G2232" s="4">
        <f t="shared" si="99"/>
        <v>0</v>
      </c>
      <c r="H2232" s="17"/>
      <c r="I2232" s="4">
        <f t="shared" si="101"/>
        <v>349526.07999999996</v>
      </c>
      <c r="J2232" s="32" t="str">
        <f t="shared" si="100"/>
        <v/>
      </c>
      <c r="K2232" s="72"/>
      <c r="L2232" s="72"/>
      <c r="M2232" s="2"/>
      <c r="N2232" s="5"/>
      <c r="O2232" s="3"/>
      <c r="P2232" s="6"/>
      <c r="Q2232" s="48">
        <f>IF(Учет!$O2232=Справочники!$F$2,Учет!$H2232,0)</f>
        <v>0</v>
      </c>
      <c r="R2232" s="48">
        <f>IF(Учет!$O2232=Справочники!$F$3,Учет!$H2232,0)</f>
        <v>0</v>
      </c>
      <c r="S2232" s="48">
        <f>IF(Учет!$O2232=Справочники!$F$4,Учет!$H2232,0)</f>
        <v>0</v>
      </c>
      <c r="T2232" s="48">
        <f>IF(Учет!$O2232=Справочники!$F$5,Учет!$H2232,0)</f>
        <v>0</v>
      </c>
      <c r="U2232" s="48">
        <f>IF(Учет!$O2232=Справочники!$F$6,Учет!$H2232,0)</f>
        <v>0</v>
      </c>
      <c r="V2232" s="43">
        <f>V2231+Учет!Q2232-Q2232</f>
        <v>-488978.92000000004</v>
      </c>
      <c r="W2232" s="43">
        <f>W2231+Учет!R2232-R2232</f>
        <v>336855</v>
      </c>
      <c r="X2232" s="43">
        <f>X2231+Учет!S2232-S2232</f>
        <v>500</v>
      </c>
      <c r="Y2232" s="43">
        <f>Y2231+Учет!T2232-T2232</f>
        <v>1150</v>
      </c>
      <c r="Z2232" s="43">
        <f>Z2231+Учет!U2232-U2232</f>
        <v>500000</v>
      </c>
      <c r="AA2232" s="45">
        <f>Учет!X2232</f>
        <v>500</v>
      </c>
    </row>
    <row r="2233" spans="1:27" ht="15" customHeight="1" x14ac:dyDescent="0.25">
      <c r="A2233" s="1"/>
      <c r="B2233" s="17"/>
      <c r="C2233" s="17"/>
      <c r="D2233" s="17"/>
      <c r="E2233" s="17"/>
      <c r="F2233" s="17"/>
      <c r="G2233" s="4">
        <f t="shared" si="99"/>
        <v>0</v>
      </c>
      <c r="H2233" s="17"/>
      <c r="I2233" s="4">
        <f t="shared" si="101"/>
        <v>349526.07999999996</v>
      </c>
      <c r="J2233" s="32" t="str">
        <f t="shared" si="100"/>
        <v/>
      </c>
      <c r="K2233" s="72"/>
      <c r="L2233" s="72"/>
      <c r="M2233" s="2"/>
      <c r="N2233" s="5"/>
      <c r="O2233" s="3"/>
      <c r="P2233" s="6"/>
      <c r="Q2233" s="48">
        <f>IF(Учет!$O2233=Справочники!$F$2,Учет!$H2233,0)</f>
        <v>0</v>
      </c>
      <c r="R2233" s="48">
        <f>IF(Учет!$O2233=Справочники!$F$3,Учет!$H2233,0)</f>
        <v>0</v>
      </c>
      <c r="S2233" s="48">
        <f>IF(Учет!$O2233=Справочники!$F$4,Учет!$H2233,0)</f>
        <v>0</v>
      </c>
      <c r="T2233" s="48">
        <f>IF(Учет!$O2233=Справочники!$F$5,Учет!$H2233,0)</f>
        <v>0</v>
      </c>
      <c r="U2233" s="48">
        <f>IF(Учет!$O2233=Справочники!$F$6,Учет!$H2233,0)</f>
        <v>0</v>
      </c>
      <c r="V2233" s="43">
        <f>V2232+Учет!Q2233-Q2233</f>
        <v>-488978.92000000004</v>
      </c>
      <c r="W2233" s="43">
        <f>W2232+Учет!R2233-R2233</f>
        <v>336855</v>
      </c>
      <c r="X2233" s="43">
        <f>X2232+Учет!S2233-S2233</f>
        <v>500</v>
      </c>
      <c r="Y2233" s="43">
        <f>Y2232+Учет!T2233-T2233</f>
        <v>1150</v>
      </c>
      <c r="Z2233" s="43">
        <f>Z2232+Учет!U2233-U2233</f>
        <v>500000</v>
      </c>
      <c r="AA2233" s="45">
        <f>Учет!X2233</f>
        <v>500</v>
      </c>
    </row>
    <row r="2234" spans="1:27" ht="15" customHeight="1" x14ac:dyDescent="0.25">
      <c r="A2234" s="1"/>
      <c r="B2234" s="17"/>
      <c r="C2234" s="17"/>
      <c r="D2234" s="17"/>
      <c r="E2234" s="17"/>
      <c r="F2234" s="17"/>
      <c r="G2234" s="4">
        <f t="shared" si="99"/>
        <v>0</v>
      </c>
      <c r="H2234" s="17"/>
      <c r="I2234" s="4">
        <f t="shared" si="101"/>
        <v>349526.07999999996</v>
      </c>
      <c r="J2234" s="32" t="str">
        <f t="shared" si="100"/>
        <v/>
      </c>
      <c r="K2234" s="72"/>
      <c r="L2234" s="72"/>
      <c r="M2234" s="2"/>
      <c r="N2234" s="5"/>
      <c r="O2234" s="3"/>
      <c r="P2234" s="6"/>
      <c r="Q2234" s="48">
        <f>IF(Учет!$O2234=Справочники!$F$2,Учет!$H2234,0)</f>
        <v>0</v>
      </c>
      <c r="R2234" s="48">
        <f>IF(Учет!$O2234=Справочники!$F$3,Учет!$H2234,0)</f>
        <v>0</v>
      </c>
      <c r="S2234" s="48">
        <f>IF(Учет!$O2234=Справочники!$F$4,Учет!$H2234,0)</f>
        <v>0</v>
      </c>
      <c r="T2234" s="48">
        <f>IF(Учет!$O2234=Справочники!$F$5,Учет!$H2234,0)</f>
        <v>0</v>
      </c>
      <c r="U2234" s="48">
        <f>IF(Учет!$O2234=Справочники!$F$6,Учет!$H2234,0)</f>
        <v>0</v>
      </c>
      <c r="V2234" s="43">
        <f>V2233+Учет!Q2234-Q2234</f>
        <v>-488978.92000000004</v>
      </c>
      <c r="W2234" s="43">
        <f>W2233+Учет!R2234-R2234</f>
        <v>336855</v>
      </c>
      <c r="X2234" s="43">
        <f>X2233+Учет!S2234-S2234</f>
        <v>500</v>
      </c>
      <c r="Y2234" s="43">
        <f>Y2233+Учет!T2234-T2234</f>
        <v>1150</v>
      </c>
      <c r="Z2234" s="43">
        <f>Z2233+Учет!U2234-U2234</f>
        <v>500000</v>
      </c>
      <c r="AA2234" s="45">
        <f>Учет!X2234</f>
        <v>500</v>
      </c>
    </row>
    <row r="2235" spans="1:27" ht="15" customHeight="1" x14ac:dyDescent="0.25">
      <c r="A2235" s="1"/>
      <c r="B2235" s="17"/>
      <c r="C2235" s="17"/>
      <c r="D2235" s="17"/>
      <c r="E2235" s="17"/>
      <c r="F2235" s="17"/>
      <c r="G2235" s="4">
        <f t="shared" si="99"/>
        <v>0</v>
      </c>
      <c r="H2235" s="17"/>
      <c r="I2235" s="4">
        <f t="shared" si="101"/>
        <v>349526.07999999996</v>
      </c>
      <c r="J2235" s="32" t="str">
        <f t="shared" si="100"/>
        <v/>
      </c>
      <c r="K2235" s="72"/>
      <c r="L2235" s="72"/>
      <c r="M2235" s="2"/>
      <c r="N2235" s="5"/>
      <c r="O2235" s="3"/>
      <c r="P2235" s="6"/>
      <c r="Q2235" s="48">
        <f>IF(Учет!$O2235=Справочники!$F$2,Учет!$H2235,0)</f>
        <v>0</v>
      </c>
      <c r="R2235" s="48">
        <f>IF(Учет!$O2235=Справочники!$F$3,Учет!$H2235,0)</f>
        <v>0</v>
      </c>
      <c r="S2235" s="48">
        <f>IF(Учет!$O2235=Справочники!$F$4,Учет!$H2235,0)</f>
        <v>0</v>
      </c>
      <c r="T2235" s="48">
        <f>IF(Учет!$O2235=Справочники!$F$5,Учет!$H2235,0)</f>
        <v>0</v>
      </c>
      <c r="U2235" s="48">
        <f>IF(Учет!$O2235=Справочники!$F$6,Учет!$H2235,0)</f>
        <v>0</v>
      </c>
      <c r="V2235" s="43">
        <f>V2234+Учет!Q2235-Q2235</f>
        <v>-488978.92000000004</v>
      </c>
      <c r="W2235" s="43">
        <f>W2234+Учет!R2235-R2235</f>
        <v>336855</v>
      </c>
      <c r="X2235" s="43">
        <f>X2234+Учет!S2235-S2235</f>
        <v>500</v>
      </c>
      <c r="Y2235" s="43">
        <f>Y2234+Учет!T2235-T2235</f>
        <v>1150</v>
      </c>
      <c r="Z2235" s="43">
        <f>Z2234+Учет!U2235-U2235</f>
        <v>500000</v>
      </c>
      <c r="AA2235" s="45">
        <f>Учет!X2235</f>
        <v>500</v>
      </c>
    </row>
    <row r="2236" spans="1:27" ht="15" customHeight="1" x14ac:dyDescent="0.25">
      <c r="A2236" s="1"/>
      <c r="B2236" s="17"/>
      <c r="C2236" s="17"/>
      <c r="D2236" s="17"/>
      <c r="E2236" s="17"/>
      <c r="F2236" s="17"/>
      <c r="G2236" s="4">
        <f t="shared" si="99"/>
        <v>0</v>
      </c>
      <c r="H2236" s="17"/>
      <c r="I2236" s="4">
        <f t="shared" si="101"/>
        <v>349526.07999999996</v>
      </c>
      <c r="J2236" s="32" t="str">
        <f t="shared" si="100"/>
        <v/>
      </c>
      <c r="K2236" s="72"/>
      <c r="L2236" s="72"/>
      <c r="M2236" s="2"/>
      <c r="N2236" s="5"/>
      <c r="O2236" s="3"/>
      <c r="P2236" s="6"/>
      <c r="Q2236" s="48">
        <f>IF(Учет!$O2236=Справочники!$F$2,Учет!$H2236,0)</f>
        <v>0</v>
      </c>
      <c r="R2236" s="48">
        <f>IF(Учет!$O2236=Справочники!$F$3,Учет!$H2236,0)</f>
        <v>0</v>
      </c>
      <c r="S2236" s="48">
        <f>IF(Учет!$O2236=Справочники!$F$4,Учет!$H2236,0)</f>
        <v>0</v>
      </c>
      <c r="T2236" s="48">
        <f>IF(Учет!$O2236=Справочники!$F$5,Учет!$H2236,0)</f>
        <v>0</v>
      </c>
      <c r="U2236" s="48">
        <f>IF(Учет!$O2236=Справочники!$F$6,Учет!$H2236,0)</f>
        <v>0</v>
      </c>
      <c r="V2236" s="43">
        <f>V2235+Учет!Q2236-Q2236</f>
        <v>-488978.92000000004</v>
      </c>
      <c r="W2236" s="43">
        <f>W2235+Учет!R2236-R2236</f>
        <v>336855</v>
      </c>
      <c r="X2236" s="43">
        <f>X2235+Учет!S2236-S2236</f>
        <v>500</v>
      </c>
      <c r="Y2236" s="43">
        <f>Y2235+Учет!T2236-T2236</f>
        <v>1150</v>
      </c>
      <c r="Z2236" s="43">
        <f>Z2235+Учет!U2236-U2236</f>
        <v>500000</v>
      </c>
      <c r="AA2236" s="45">
        <f>Учет!X2236</f>
        <v>500</v>
      </c>
    </row>
    <row r="2237" spans="1:27" ht="15" customHeight="1" x14ac:dyDescent="0.25">
      <c r="A2237" s="1"/>
      <c r="B2237" s="17"/>
      <c r="C2237" s="17"/>
      <c r="D2237" s="17"/>
      <c r="E2237" s="17"/>
      <c r="F2237" s="17"/>
      <c r="G2237" s="4">
        <f t="shared" si="99"/>
        <v>0</v>
      </c>
      <c r="H2237" s="17"/>
      <c r="I2237" s="4">
        <f t="shared" si="101"/>
        <v>349526.07999999996</v>
      </c>
      <c r="J2237" s="32" t="str">
        <f t="shared" si="100"/>
        <v/>
      </c>
      <c r="K2237" s="72"/>
      <c r="L2237" s="72"/>
      <c r="M2237" s="2"/>
      <c r="N2237" s="5"/>
      <c r="O2237" s="3"/>
      <c r="P2237" s="6"/>
      <c r="Q2237" s="48">
        <f>IF(Учет!$O2237=Справочники!$F$2,Учет!$H2237,0)</f>
        <v>0</v>
      </c>
      <c r="R2237" s="48">
        <f>IF(Учет!$O2237=Справочники!$F$3,Учет!$H2237,0)</f>
        <v>0</v>
      </c>
      <c r="S2237" s="48">
        <f>IF(Учет!$O2237=Справочники!$F$4,Учет!$H2237,0)</f>
        <v>0</v>
      </c>
      <c r="T2237" s="48">
        <f>IF(Учет!$O2237=Справочники!$F$5,Учет!$H2237,0)</f>
        <v>0</v>
      </c>
      <c r="U2237" s="48">
        <f>IF(Учет!$O2237=Справочники!$F$6,Учет!$H2237,0)</f>
        <v>0</v>
      </c>
      <c r="V2237" s="43">
        <f>V2236+Учет!Q2237-Q2237</f>
        <v>-488978.92000000004</v>
      </c>
      <c r="W2237" s="43">
        <f>W2236+Учет!R2237-R2237</f>
        <v>336855</v>
      </c>
      <c r="X2237" s="43">
        <f>X2236+Учет!S2237-S2237</f>
        <v>500</v>
      </c>
      <c r="Y2237" s="43">
        <f>Y2236+Учет!T2237-T2237</f>
        <v>1150</v>
      </c>
      <c r="Z2237" s="43">
        <f>Z2236+Учет!U2237-U2237</f>
        <v>500000</v>
      </c>
      <c r="AA2237" s="45">
        <f>Учет!X2237</f>
        <v>500</v>
      </c>
    </row>
    <row r="2238" spans="1:27" ht="15" customHeight="1" x14ac:dyDescent="0.25">
      <c r="A2238" s="1"/>
      <c r="B2238" s="17"/>
      <c r="C2238" s="17"/>
      <c r="D2238" s="17"/>
      <c r="E2238" s="17"/>
      <c r="F2238" s="17"/>
      <c r="G2238" s="4">
        <f t="shared" si="99"/>
        <v>0</v>
      </c>
      <c r="H2238" s="17"/>
      <c r="I2238" s="4">
        <f t="shared" si="101"/>
        <v>349526.07999999996</v>
      </c>
      <c r="J2238" s="32" t="str">
        <f t="shared" si="100"/>
        <v/>
      </c>
      <c r="K2238" s="72"/>
      <c r="L2238" s="72"/>
      <c r="M2238" s="2"/>
      <c r="N2238" s="5"/>
      <c r="O2238" s="3"/>
      <c r="P2238" s="6"/>
      <c r="Q2238" s="48">
        <f>IF(Учет!$O2238=Справочники!$F$2,Учет!$H2238,0)</f>
        <v>0</v>
      </c>
      <c r="R2238" s="48">
        <f>IF(Учет!$O2238=Справочники!$F$3,Учет!$H2238,0)</f>
        <v>0</v>
      </c>
      <c r="S2238" s="48">
        <f>IF(Учет!$O2238=Справочники!$F$4,Учет!$H2238,0)</f>
        <v>0</v>
      </c>
      <c r="T2238" s="48">
        <f>IF(Учет!$O2238=Справочники!$F$5,Учет!$H2238,0)</f>
        <v>0</v>
      </c>
      <c r="U2238" s="48">
        <f>IF(Учет!$O2238=Справочники!$F$6,Учет!$H2238,0)</f>
        <v>0</v>
      </c>
      <c r="V2238" s="43">
        <f>V2237+Учет!Q2238-Q2238</f>
        <v>-488978.92000000004</v>
      </c>
      <c r="W2238" s="43">
        <f>W2237+Учет!R2238-R2238</f>
        <v>336855</v>
      </c>
      <c r="X2238" s="43">
        <f>X2237+Учет!S2238-S2238</f>
        <v>500</v>
      </c>
      <c r="Y2238" s="43">
        <f>Y2237+Учет!T2238-T2238</f>
        <v>1150</v>
      </c>
      <c r="Z2238" s="43">
        <f>Z2237+Учет!U2238-U2238</f>
        <v>500000</v>
      </c>
      <c r="AA2238" s="45">
        <f>Учет!X2238</f>
        <v>500</v>
      </c>
    </row>
    <row r="2239" spans="1:27" ht="15" customHeight="1" x14ac:dyDescent="0.25">
      <c r="A2239" s="1"/>
      <c r="B2239" s="17"/>
      <c r="C2239" s="17"/>
      <c r="D2239" s="17"/>
      <c r="E2239" s="17"/>
      <c r="F2239" s="17"/>
      <c r="G2239" s="4">
        <f t="shared" si="99"/>
        <v>0</v>
      </c>
      <c r="H2239" s="17"/>
      <c r="I2239" s="4">
        <f t="shared" si="101"/>
        <v>349526.07999999996</v>
      </c>
      <c r="J2239" s="32" t="str">
        <f t="shared" si="100"/>
        <v/>
      </c>
      <c r="K2239" s="72"/>
      <c r="L2239" s="72"/>
      <c r="M2239" s="2"/>
      <c r="N2239" s="5"/>
      <c r="O2239" s="3"/>
      <c r="P2239" s="6"/>
      <c r="Q2239" s="48">
        <f>IF(Учет!$O2239=Справочники!$F$2,Учет!$H2239,0)</f>
        <v>0</v>
      </c>
      <c r="R2239" s="48">
        <f>IF(Учет!$O2239=Справочники!$F$3,Учет!$H2239,0)</f>
        <v>0</v>
      </c>
      <c r="S2239" s="48">
        <f>IF(Учет!$O2239=Справочники!$F$4,Учет!$H2239,0)</f>
        <v>0</v>
      </c>
      <c r="T2239" s="48">
        <f>IF(Учет!$O2239=Справочники!$F$5,Учет!$H2239,0)</f>
        <v>0</v>
      </c>
      <c r="U2239" s="48">
        <f>IF(Учет!$O2239=Справочники!$F$6,Учет!$H2239,0)</f>
        <v>0</v>
      </c>
      <c r="V2239" s="43">
        <f>V2238+Учет!Q2239-Q2239</f>
        <v>-488978.92000000004</v>
      </c>
      <c r="W2239" s="43">
        <f>W2238+Учет!R2239-R2239</f>
        <v>336855</v>
      </c>
      <c r="X2239" s="43">
        <f>X2238+Учет!S2239-S2239</f>
        <v>500</v>
      </c>
      <c r="Y2239" s="43">
        <f>Y2238+Учет!T2239-T2239</f>
        <v>1150</v>
      </c>
      <c r="Z2239" s="43">
        <f>Z2238+Учет!U2239-U2239</f>
        <v>500000</v>
      </c>
      <c r="AA2239" s="45">
        <f>Учет!X2239</f>
        <v>500</v>
      </c>
    </row>
    <row r="2240" spans="1:27" ht="15" customHeight="1" x14ac:dyDescent="0.25">
      <c r="A2240" s="1"/>
      <c r="B2240" s="17"/>
      <c r="C2240" s="17"/>
      <c r="D2240" s="17"/>
      <c r="E2240" s="17"/>
      <c r="F2240" s="17"/>
      <c r="G2240" s="4">
        <f t="shared" si="99"/>
        <v>0</v>
      </c>
      <c r="H2240" s="17"/>
      <c r="I2240" s="4">
        <f t="shared" si="101"/>
        <v>349526.07999999996</v>
      </c>
      <c r="J2240" s="32" t="str">
        <f t="shared" si="100"/>
        <v/>
      </c>
      <c r="K2240" s="72"/>
      <c r="L2240" s="72"/>
      <c r="M2240" s="2"/>
      <c r="N2240" s="5"/>
      <c r="O2240" s="3"/>
      <c r="P2240" s="6"/>
      <c r="Q2240" s="48">
        <f>IF(Учет!$O2240=Справочники!$F$2,Учет!$H2240,0)</f>
        <v>0</v>
      </c>
      <c r="R2240" s="48">
        <f>IF(Учет!$O2240=Справочники!$F$3,Учет!$H2240,0)</f>
        <v>0</v>
      </c>
      <c r="S2240" s="48">
        <f>IF(Учет!$O2240=Справочники!$F$4,Учет!$H2240,0)</f>
        <v>0</v>
      </c>
      <c r="T2240" s="48">
        <f>IF(Учет!$O2240=Справочники!$F$5,Учет!$H2240,0)</f>
        <v>0</v>
      </c>
      <c r="U2240" s="48">
        <f>IF(Учет!$O2240=Справочники!$F$6,Учет!$H2240,0)</f>
        <v>0</v>
      </c>
      <c r="V2240" s="43">
        <f>V2239+Учет!Q2240-Q2240</f>
        <v>-488978.92000000004</v>
      </c>
      <c r="W2240" s="43">
        <f>W2239+Учет!R2240-R2240</f>
        <v>336855</v>
      </c>
      <c r="X2240" s="43">
        <f>X2239+Учет!S2240-S2240</f>
        <v>500</v>
      </c>
      <c r="Y2240" s="43">
        <f>Y2239+Учет!T2240-T2240</f>
        <v>1150</v>
      </c>
      <c r="Z2240" s="43">
        <f>Z2239+Учет!U2240-U2240</f>
        <v>500000</v>
      </c>
      <c r="AA2240" s="45">
        <f>Учет!X2240</f>
        <v>500</v>
      </c>
    </row>
    <row r="2241" spans="1:27" ht="15" customHeight="1" x14ac:dyDescent="0.25">
      <c r="A2241" s="1"/>
      <c r="B2241" s="17"/>
      <c r="C2241" s="17"/>
      <c r="D2241" s="17"/>
      <c r="E2241" s="17"/>
      <c r="F2241" s="17"/>
      <c r="G2241" s="4">
        <f t="shared" si="99"/>
        <v>0</v>
      </c>
      <c r="H2241" s="17"/>
      <c r="I2241" s="4">
        <f t="shared" si="101"/>
        <v>349526.07999999996</v>
      </c>
      <c r="J2241" s="32" t="str">
        <f t="shared" si="100"/>
        <v/>
      </c>
      <c r="K2241" s="72"/>
      <c r="L2241" s="72"/>
      <c r="M2241" s="2"/>
      <c r="N2241" s="5"/>
      <c r="O2241" s="3"/>
      <c r="P2241" s="6"/>
      <c r="Q2241" s="48">
        <f>IF(Учет!$O2241=Справочники!$F$2,Учет!$H2241,0)</f>
        <v>0</v>
      </c>
      <c r="R2241" s="48">
        <f>IF(Учет!$O2241=Справочники!$F$3,Учет!$H2241,0)</f>
        <v>0</v>
      </c>
      <c r="S2241" s="48">
        <f>IF(Учет!$O2241=Справочники!$F$4,Учет!$H2241,0)</f>
        <v>0</v>
      </c>
      <c r="T2241" s="48">
        <f>IF(Учет!$O2241=Справочники!$F$5,Учет!$H2241,0)</f>
        <v>0</v>
      </c>
      <c r="U2241" s="48">
        <f>IF(Учет!$O2241=Справочники!$F$6,Учет!$H2241,0)</f>
        <v>0</v>
      </c>
      <c r="V2241" s="43">
        <f>V2240+Учет!Q2241-Q2241</f>
        <v>-488978.92000000004</v>
      </c>
      <c r="W2241" s="43">
        <f>W2240+Учет!R2241-R2241</f>
        <v>336855</v>
      </c>
      <c r="X2241" s="43">
        <f>X2240+Учет!S2241-S2241</f>
        <v>500</v>
      </c>
      <c r="Y2241" s="43">
        <f>Y2240+Учет!T2241-T2241</f>
        <v>1150</v>
      </c>
      <c r="Z2241" s="43">
        <f>Z2240+Учет!U2241-U2241</f>
        <v>500000</v>
      </c>
      <c r="AA2241" s="45">
        <f>Учет!X2241</f>
        <v>500</v>
      </c>
    </row>
    <row r="2242" spans="1:27" ht="15" customHeight="1" x14ac:dyDescent="0.25">
      <c r="A2242" s="1"/>
      <c r="B2242" s="17"/>
      <c r="C2242" s="17"/>
      <c r="D2242" s="17"/>
      <c r="E2242" s="17"/>
      <c r="F2242" s="17"/>
      <c r="G2242" s="4">
        <f t="shared" ref="G2242:G2305" si="102">SUM($B2242:$F2242)</f>
        <v>0</v>
      </c>
      <c r="H2242" s="17"/>
      <c r="I2242" s="4">
        <f t="shared" si="101"/>
        <v>349526.07999999996</v>
      </c>
      <c r="J2242" s="32" t="str">
        <f t="shared" ref="J2242:J2305" si="103">IF($A2243&lt;&gt;$A2242,$I2242,"")</f>
        <v/>
      </c>
      <c r="K2242" s="72"/>
      <c r="L2242" s="72"/>
      <c r="M2242" s="2"/>
      <c r="N2242" s="5"/>
      <c r="O2242" s="3"/>
      <c r="P2242" s="6"/>
      <c r="Q2242" s="48">
        <f>IF(Учет!$O2242=Справочники!$F$2,Учет!$H2242,0)</f>
        <v>0</v>
      </c>
      <c r="R2242" s="48">
        <f>IF(Учет!$O2242=Справочники!$F$3,Учет!$H2242,0)</f>
        <v>0</v>
      </c>
      <c r="S2242" s="48">
        <f>IF(Учет!$O2242=Справочники!$F$4,Учет!$H2242,0)</f>
        <v>0</v>
      </c>
      <c r="T2242" s="48">
        <f>IF(Учет!$O2242=Справочники!$F$5,Учет!$H2242,0)</f>
        <v>0</v>
      </c>
      <c r="U2242" s="48">
        <f>IF(Учет!$O2242=Справочники!$F$6,Учет!$H2242,0)</f>
        <v>0</v>
      </c>
      <c r="V2242" s="43">
        <f>V2241+Учет!Q2242-Q2242</f>
        <v>-488978.92000000004</v>
      </c>
      <c r="W2242" s="43">
        <f>W2241+Учет!R2242-R2242</f>
        <v>336855</v>
      </c>
      <c r="X2242" s="43">
        <f>X2241+Учет!S2242-S2242</f>
        <v>500</v>
      </c>
      <c r="Y2242" s="43">
        <f>Y2241+Учет!T2242-T2242</f>
        <v>1150</v>
      </c>
      <c r="Z2242" s="43">
        <f>Z2241+Учет!U2242-U2242</f>
        <v>500000</v>
      </c>
      <c r="AA2242" s="45">
        <f>Учет!X2242</f>
        <v>500</v>
      </c>
    </row>
    <row r="2243" spans="1:27" ht="15" customHeight="1" x14ac:dyDescent="0.25">
      <c r="A2243" s="1"/>
      <c r="B2243" s="17"/>
      <c r="C2243" s="17"/>
      <c r="D2243" s="17"/>
      <c r="E2243" s="17"/>
      <c r="F2243" s="17"/>
      <c r="G2243" s="4">
        <f t="shared" si="102"/>
        <v>0</v>
      </c>
      <c r="H2243" s="17"/>
      <c r="I2243" s="4">
        <f t="shared" ref="I2243:I2306" si="104">$I2242+$G2243-$H2243</f>
        <v>349526.07999999996</v>
      </c>
      <c r="J2243" s="32" t="str">
        <f t="shared" si="103"/>
        <v/>
      </c>
      <c r="K2243" s="72"/>
      <c r="L2243" s="72"/>
      <c r="M2243" s="2"/>
      <c r="N2243" s="5"/>
      <c r="O2243" s="3"/>
      <c r="P2243" s="6"/>
      <c r="Q2243" s="48">
        <f>IF(Учет!$O2243=Справочники!$F$2,Учет!$H2243,0)</f>
        <v>0</v>
      </c>
      <c r="R2243" s="48">
        <f>IF(Учет!$O2243=Справочники!$F$3,Учет!$H2243,0)</f>
        <v>0</v>
      </c>
      <c r="S2243" s="48">
        <f>IF(Учет!$O2243=Справочники!$F$4,Учет!$H2243,0)</f>
        <v>0</v>
      </c>
      <c r="T2243" s="48">
        <f>IF(Учет!$O2243=Справочники!$F$5,Учет!$H2243,0)</f>
        <v>0</v>
      </c>
      <c r="U2243" s="48">
        <f>IF(Учет!$O2243=Справочники!$F$6,Учет!$H2243,0)</f>
        <v>0</v>
      </c>
      <c r="V2243" s="43">
        <f>V2242+Учет!Q2243-Q2243</f>
        <v>-488978.92000000004</v>
      </c>
      <c r="W2243" s="43">
        <f>W2242+Учет!R2243-R2243</f>
        <v>336855</v>
      </c>
      <c r="X2243" s="43">
        <f>X2242+Учет!S2243-S2243</f>
        <v>500</v>
      </c>
      <c r="Y2243" s="43">
        <f>Y2242+Учет!T2243-T2243</f>
        <v>1150</v>
      </c>
      <c r="Z2243" s="43">
        <f>Z2242+Учет!U2243-U2243</f>
        <v>500000</v>
      </c>
      <c r="AA2243" s="45">
        <f>Учет!X2243</f>
        <v>500</v>
      </c>
    </row>
    <row r="2244" spans="1:27" ht="15" customHeight="1" x14ac:dyDescent="0.25">
      <c r="A2244" s="1"/>
      <c r="B2244" s="17"/>
      <c r="C2244" s="17"/>
      <c r="D2244" s="17"/>
      <c r="E2244" s="17"/>
      <c r="F2244" s="17"/>
      <c r="G2244" s="4">
        <f t="shared" si="102"/>
        <v>0</v>
      </c>
      <c r="H2244" s="17"/>
      <c r="I2244" s="4">
        <f t="shared" si="104"/>
        <v>349526.07999999996</v>
      </c>
      <c r="J2244" s="32" t="str">
        <f t="shared" si="103"/>
        <v/>
      </c>
      <c r="K2244" s="72"/>
      <c r="L2244" s="72"/>
      <c r="M2244" s="2"/>
      <c r="N2244" s="5"/>
      <c r="O2244" s="3"/>
      <c r="P2244" s="6"/>
      <c r="Q2244" s="48">
        <f>IF(Учет!$O2244=Справочники!$F$2,Учет!$H2244,0)</f>
        <v>0</v>
      </c>
      <c r="R2244" s="48">
        <f>IF(Учет!$O2244=Справочники!$F$3,Учет!$H2244,0)</f>
        <v>0</v>
      </c>
      <c r="S2244" s="48">
        <f>IF(Учет!$O2244=Справочники!$F$4,Учет!$H2244,0)</f>
        <v>0</v>
      </c>
      <c r="T2244" s="48">
        <f>IF(Учет!$O2244=Справочники!$F$5,Учет!$H2244,0)</f>
        <v>0</v>
      </c>
      <c r="U2244" s="48">
        <f>IF(Учет!$O2244=Справочники!$F$6,Учет!$H2244,0)</f>
        <v>0</v>
      </c>
      <c r="V2244" s="43">
        <f>V2243+Учет!Q2244-Q2244</f>
        <v>-488978.92000000004</v>
      </c>
      <c r="W2244" s="43">
        <f>W2243+Учет!R2244-R2244</f>
        <v>336855</v>
      </c>
      <c r="X2244" s="43">
        <f>X2243+Учет!S2244-S2244</f>
        <v>500</v>
      </c>
      <c r="Y2244" s="43">
        <f>Y2243+Учет!T2244-T2244</f>
        <v>1150</v>
      </c>
      <c r="Z2244" s="43">
        <f>Z2243+Учет!U2244-U2244</f>
        <v>500000</v>
      </c>
      <c r="AA2244" s="45">
        <f>Учет!X2244</f>
        <v>500</v>
      </c>
    </row>
    <row r="2245" spans="1:27" ht="15" customHeight="1" x14ac:dyDescent="0.25">
      <c r="A2245" s="1"/>
      <c r="B2245" s="17"/>
      <c r="C2245" s="17"/>
      <c r="D2245" s="17"/>
      <c r="E2245" s="17"/>
      <c r="F2245" s="17"/>
      <c r="G2245" s="4">
        <f t="shared" si="102"/>
        <v>0</v>
      </c>
      <c r="H2245" s="17"/>
      <c r="I2245" s="4">
        <f t="shared" si="104"/>
        <v>349526.07999999996</v>
      </c>
      <c r="J2245" s="32" t="str">
        <f t="shared" si="103"/>
        <v/>
      </c>
      <c r="K2245" s="72"/>
      <c r="L2245" s="72"/>
      <c r="M2245" s="2"/>
      <c r="N2245" s="5"/>
      <c r="O2245" s="3"/>
      <c r="P2245" s="6"/>
      <c r="Q2245" s="48">
        <f>IF(Учет!$O2245=Справочники!$F$2,Учет!$H2245,0)</f>
        <v>0</v>
      </c>
      <c r="R2245" s="48">
        <f>IF(Учет!$O2245=Справочники!$F$3,Учет!$H2245,0)</f>
        <v>0</v>
      </c>
      <c r="S2245" s="48">
        <f>IF(Учет!$O2245=Справочники!$F$4,Учет!$H2245,0)</f>
        <v>0</v>
      </c>
      <c r="T2245" s="48">
        <f>IF(Учет!$O2245=Справочники!$F$5,Учет!$H2245,0)</f>
        <v>0</v>
      </c>
      <c r="U2245" s="48">
        <f>IF(Учет!$O2245=Справочники!$F$6,Учет!$H2245,0)</f>
        <v>0</v>
      </c>
      <c r="V2245" s="43">
        <f>V2244+Учет!Q2245-Q2245</f>
        <v>-488978.92000000004</v>
      </c>
      <c r="W2245" s="43">
        <f>W2244+Учет!R2245-R2245</f>
        <v>336855</v>
      </c>
      <c r="X2245" s="43">
        <f>X2244+Учет!S2245-S2245</f>
        <v>500</v>
      </c>
      <c r="Y2245" s="43">
        <f>Y2244+Учет!T2245-T2245</f>
        <v>1150</v>
      </c>
      <c r="Z2245" s="43">
        <f>Z2244+Учет!U2245-U2245</f>
        <v>500000</v>
      </c>
      <c r="AA2245" s="45">
        <f>Учет!X2245</f>
        <v>500</v>
      </c>
    </row>
    <row r="2246" spans="1:27" ht="15" customHeight="1" x14ac:dyDescent="0.25">
      <c r="A2246" s="1"/>
      <c r="B2246" s="17"/>
      <c r="C2246" s="17"/>
      <c r="D2246" s="17"/>
      <c r="E2246" s="17"/>
      <c r="F2246" s="17"/>
      <c r="G2246" s="4">
        <f t="shared" si="102"/>
        <v>0</v>
      </c>
      <c r="H2246" s="17"/>
      <c r="I2246" s="4">
        <f t="shared" si="104"/>
        <v>349526.07999999996</v>
      </c>
      <c r="J2246" s="32" t="str">
        <f t="shared" si="103"/>
        <v/>
      </c>
      <c r="K2246" s="72"/>
      <c r="L2246" s="72"/>
      <c r="M2246" s="2"/>
      <c r="N2246" s="5"/>
      <c r="O2246" s="3"/>
      <c r="P2246" s="6"/>
      <c r="Q2246" s="48">
        <f>IF(Учет!$O2246=Справочники!$F$2,Учет!$H2246,0)</f>
        <v>0</v>
      </c>
      <c r="R2246" s="48">
        <f>IF(Учет!$O2246=Справочники!$F$3,Учет!$H2246,0)</f>
        <v>0</v>
      </c>
      <c r="S2246" s="48">
        <f>IF(Учет!$O2246=Справочники!$F$4,Учет!$H2246,0)</f>
        <v>0</v>
      </c>
      <c r="T2246" s="48">
        <f>IF(Учет!$O2246=Справочники!$F$5,Учет!$H2246,0)</f>
        <v>0</v>
      </c>
      <c r="U2246" s="48">
        <f>IF(Учет!$O2246=Справочники!$F$6,Учет!$H2246,0)</f>
        <v>0</v>
      </c>
      <c r="V2246" s="43">
        <f>V2245+Учет!Q2246-Q2246</f>
        <v>-488978.92000000004</v>
      </c>
      <c r="W2246" s="43">
        <f>W2245+Учет!R2246-R2246</f>
        <v>336855</v>
      </c>
      <c r="X2246" s="43">
        <f>X2245+Учет!S2246-S2246</f>
        <v>500</v>
      </c>
      <c r="Y2246" s="43">
        <f>Y2245+Учет!T2246-T2246</f>
        <v>1150</v>
      </c>
      <c r="Z2246" s="43">
        <f>Z2245+Учет!U2246-U2246</f>
        <v>500000</v>
      </c>
      <c r="AA2246" s="45">
        <f>Учет!X2246</f>
        <v>500</v>
      </c>
    </row>
    <row r="2247" spans="1:27" ht="15" customHeight="1" x14ac:dyDescent="0.25">
      <c r="A2247" s="1"/>
      <c r="B2247" s="17"/>
      <c r="C2247" s="17"/>
      <c r="D2247" s="17"/>
      <c r="E2247" s="17"/>
      <c r="F2247" s="17"/>
      <c r="G2247" s="4">
        <f t="shared" si="102"/>
        <v>0</v>
      </c>
      <c r="H2247" s="17"/>
      <c r="I2247" s="4">
        <f t="shared" si="104"/>
        <v>349526.07999999996</v>
      </c>
      <c r="J2247" s="32" t="str">
        <f t="shared" si="103"/>
        <v/>
      </c>
      <c r="K2247" s="72"/>
      <c r="L2247" s="72"/>
      <c r="M2247" s="2"/>
      <c r="N2247" s="5"/>
      <c r="O2247" s="3"/>
      <c r="P2247" s="6"/>
      <c r="Q2247" s="48">
        <f>IF(Учет!$O2247=Справочники!$F$2,Учет!$H2247,0)</f>
        <v>0</v>
      </c>
      <c r="R2247" s="48">
        <f>IF(Учет!$O2247=Справочники!$F$3,Учет!$H2247,0)</f>
        <v>0</v>
      </c>
      <c r="S2247" s="48">
        <f>IF(Учет!$O2247=Справочники!$F$4,Учет!$H2247,0)</f>
        <v>0</v>
      </c>
      <c r="T2247" s="48">
        <f>IF(Учет!$O2247=Справочники!$F$5,Учет!$H2247,0)</f>
        <v>0</v>
      </c>
      <c r="U2247" s="48">
        <f>IF(Учет!$O2247=Справочники!$F$6,Учет!$H2247,0)</f>
        <v>0</v>
      </c>
      <c r="V2247" s="43">
        <f>V2246+Учет!Q2247-Q2247</f>
        <v>-488978.92000000004</v>
      </c>
      <c r="W2247" s="43">
        <f>W2246+Учет!R2247-R2247</f>
        <v>336855</v>
      </c>
      <c r="X2247" s="43">
        <f>X2246+Учет!S2247-S2247</f>
        <v>500</v>
      </c>
      <c r="Y2247" s="43">
        <f>Y2246+Учет!T2247-T2247</f>
        <v>1150</v>
      </c>
      <c r="Z2247" s="43">
        <f>Z2246+Учет!U2247-U2247</f>
        <v>500000</v>
      </c>
      <c r="AA2247" s="45">
        <f>Учет!X2247</f>
        <v>500</v>
      </c>
    </row>
    <row r="2248" spans="1:27" ht="15" customHeight="1" x14ac:dyDescent="0.25">
      <c r="A2248" s="1"/>
      <c r="B2248" s="17"/>
      <c r="C2248" s="17"/>
      <c r="D2248" s="17"/>
      <c r="E2248" s="17"/>
      <c r="F2248" s="17"/>
      <c r="G2248" s="4">
        <f t="shared" si="102"/>
        <v>0</v>
      </c>
      <c r="H2248" s="17"/>
      <c r="I2248" s="4">
        <f t="shared" si="104"/>
        <v>349526.07999999996</v>
      </c>
      <c r="J2248" s="32" t="str">
        <f t="shared" si="103"/>
        <v/>
      </c>
      <c r="K2248" s="72"/>
      <c r="L2248" s="72"/>
      <c r="M2248" s="2"/>
      <c r="N2248" s="5"/>
      <c r="O2248" s="3"/>
      <c r="P2248" s="6"/>
      <c r="Q2248" s="48">
        <f>IF(Учет!$O2248=Справочники!$F$2,Учет!$H2248,0)</f>
        <v>0</v>
      </c>
      <c r="R2248" s="48">
        <f>IF(Учет!$O2248=Справочники!$F$3,Учет!$H2248,0)</f>
        <v>0</v>
      </c>
      <c r="S2248" s="48">
        <f>IF(Учет!$O2248=Справочники!$F$4,Учет!$H2248,0)</f>
        <v>0</v>
      </c>
      <c r="T2248" s="48">
        <f>IF(Учет!$O2248=Справочники!$F$5,Учет!$H2248,0)</f>
        <v>0</v>
      </c>
      <c r="U2248" s="48">
        <f>IF(Учет!$O2248=Справочники!$F$6,Учет!$H2248,0)</f>
        <v>0</v>
      </c>
      <c r="V2248" s="43">
        <f>V2247+Учет!Q2248-Q2248</f>
        <v>-488978.92000000004</v>
      </c>
      <c r="W2248" s="43">
        <f>W2247+Учет!R2248-R2248</f>
        <v>336855</v>
      </c>
      <c r="X2248" s="43">
        <f>X2247+Учет!S2248-S2248</f>
        <v>500</v>
      </c>
      <c r="Y2248" s="43">
        <f>Y2247+Учет!T2248-T2248</f>
        <v>1150</v>
      </c>
      <c r="Z2248" s="43">
        <f>Z2247+Учет!U2248-U2248</f>
        <v>500000</v>
      </c>
      <c r="AA2248" s="45">
        <f>Учет!X2248</f>
        <v>500</v>
      </c>
    </row>
    <row r="2249" spans="1:27" ht="15" customHeight="1" x14ac:dyDescent="0.25">
      <c r="A2249" s="1"/>
      <c r="B2249" s="17"/>
      <c r="C2249" s="17"/>
      <c r="D2249" s="17"/>
      <c r="E2249" s="17"/>
      <c r="F2249" s="17"/>
      <c r="G2249" s="4">
        <f t="shared" si="102"/>
        <v>0</v>
      </c>
      <c r="H2249" s="17"/>
      <c r="I2249" s="4">
        <f t="shared" si="104"/>
        <v>349526.07999999996</v>
      </c>
      <c r="J2249" s="32" t="str">
        <f t="shared" si="103"/>
        <v/>
      </c>
      <c r="K2249" s="72"/>
      <c r="L2249" s="72"/>
      <c r="M2249" s="2"/>
      <c r="N2249" s="5"/>
      <c r="O2249" s="3"/>
      <c r="P2249" s="6"/>
      <c r="Q2249" s="48">
        <f>IF(Учет!$O2249=Справочники!$F$2,Учет!$H2249,0)</f>
        <v>0</v>
      </c>
      <c r="R2249" s="48">
        <f>IF(Учет!$O2249=Справочники!$F$3,Учет!$H2249,0)</f>
        <v>0</v>
      </c>
      <c r="S2249" s="48">
        <f>IF(Учет!$O2249=Справочники!$F$4,Учет!$H2249,0)</f>
        <v>0</v>
      </c>
      <c r="T2249" s="48">
        <f>IF(Учет!$O2249=Справочники!$F$5,Учет!$H2249,0)</f>
        <v>0</v>
      </c>
      <c r="U2249" s="48">
        <f>IF(Учет!$O2249=Справочники!$F$6,Учет!$H2249,0)</f>
        <v>0</v>
      </c>
      <c r="V2249" s="43">
        <f>V2248+Учет!Q2249-Q2249</f>
        <v>-488978.92000000004</v>
      </c>
      <c r="W2249" s="43">
        <f>W2248+Учет!R2249-R2249</f>
        <v>336855</v>
      </c>
      <c r="X2249" s="43">
        <f>X2248+Учет!S2249-S2249</f>
        <v>500</v>
      </c>
      <c r="Y2249" s="43">
        <f>Y2248+Учет!T2249-T2249</f>
        <v>1150</v>
      </c>
      <c r="Z2249" s="43">
        <f>Z2248+Учет!U2249-U2249</f>
        <v>500000</v>
      </c>
      <c r="AA2249" s="45">
        <f>Учет!X2249</f>
        <v>500</v>
      </c>
    </row>
    <row r="2250" spans="1:27" ht="15" customHeight="1" x14ac:dyDescent="0.25">
      <c r="A2250" s="1"/>
      <c r="B2250" s="17"/>
      <c r="C2250" s="17"/>
      <c r="D2250" s="17"/>
      <c r="E2250" s="17"/>
      <c r="F2250" s="17"/>
      <c r="G2250" s="4">
        <f t="shared" si="102"/>
        <v>0</v>
      </c>
      <c r="H2250" s="17"/>
      <c r="I2250" s="4">
        <f t="shared" si="104"/>
        <v>349526.07999999996</v>
      </c>
      <c r="J2250" s="32" t="str">
        <f t="shared" si="103"/>
        <v/>
      </c>
      <c r="K2250" s="72"/>
      <c r="L2250" s="72"/>
      <c r="M2250" s="2"/>
      <c r="N2250" s="5"/>
      <c r="O2250" s="3"/>
      <c r="P2250" s="6"/>
      <c r="Q2250" s="48">
        <f>IF(Учет!$O2250=Справочники!$F$2,Учет!$H2250,0)</f>
        <v>0</v>
      </c>
      <c r="R2250" s="48">
        <f>IF(Учет!$O2250=Справочники!$F$3,Учет!$H2250,0)</f>
        <v>0</v>
      </c>
      <c r="S2250" s="48">
        <f>IF(Учет!$O2250=Справочники!$F$4,Учет!$H2250,0)</f>
        <v>0</v>
      </c>
      <c r="T2250" s="48">
        <f>IF(Учет!$O2250=Справочники!$F$5,Учет!$H2250,0)</f>
        <v>0</v>
      </c>
      <c r="U2250" s="48">
        <f>IF(Учет!$O2250=Справочники!$F$6,Учет!$H2250,0)</f>
        <v>0</v>
      </c>
      <c r="V2250" s="43">
        <f>V2249+Учет!Q2250-Q2250</f>
        <v>-488978.92000000004</v>
      </c>
      <c r="W2250" s="43">
        <f>W2249+Учет!R2250-R2250</f>
        <v>336855</v>
      </c>
      <c r="X2250" s="43">
        <f>X2249+Учет!S2250-S2250</f>
        <v>500</v>
      </c>
      <c r="Y2250" s="43">
        <f>Y2249+Учет!T2250-T2250</f>
        <v>1150</v>
      </c>
      <c r="Z2250" s="43">
        <f>Z2249+Учет!U2250-U2250</f>
        <v>500000</v>
      </c>
      <c r="AA2250" s="45">
        <f>Учет!X2250</f>
        <v>500</v>
      </c>
    </row>
    <row r="2251" spans="1:27" ht="15" customHeight="1" x14ac:dyDescent="0.25">
      <c r="A2251" s="1"/>
      <c r="B2251" s="17"/>
      <c r="C2251" s="17"/>
      <c r="D2251" s="17"/>
      <c r="E2251" s="17"/>
      <c r="F2251" s="17"/>
      <c r="G2251" s="4">
        <f t="shared" si="102"/>
        <v>0</v>
      </c>
      <c r="H2251" s="17"/>
      <c r="I2251" s="4">
        <f t="shared" si="104"/>
        <v>349526.07999999996</v>
      </c>
      <c r="J2251" s="32" t="str">
        <f t="shared" si="103"/>
        <v/>
      </c>
      <c r="K2251" s="72"/>
      <c r="L2251" s="72"/>
      <c r="M2251" s="2"/>
      <c r="N2251" s="5"/>
      <c r="O2251" s="3"/>
      <c r="P2251" s="6"/>
      <c r="Q2251" s="48">
        <f>IF(Учет!$O2251=Справочники!$F$2,Учет!$H2251,0)</f>
        <v>0</v>
      </c>
      <c r="R2251" s="48">
        <f>IF(Учет!$O2251=Справочники!$F$3,Учет!$H2251,0)</f>
        <v>0</v>
      </c>
      <c r="S2251" s="48">
        <f>IF(Учет!$O2251=Справочники!$F$4,Учет!$H2251,0)</f>
        <v>0</v>
      </c>
      <c r="T2251" s="48">
        <f>IF(Учет!$O2251=Справочники!$F$5,Учет!$H2251,0)</f>
        <v>0</v>
      </c>
      <c r="U2251" s="48">
        <f>IF(Учет!$O2251=Справочники!$F$6,Учет!$H2251,0)</f>
        <v>0</v>
      </c>
      <c r="V2251" s="43">
        <f>V2250+Учет!Q2251-Q2251</f>
        <v>-488978.92000000004</v>
      </c>
      <c r="W2251" s="43">
        <f>W2250+Учет!R2251-R2251</f>
        <v>336855</v>
      </c>
      <c r="X2251" s="43">
        <f>X2250+Учет!S2251-S2251</f>
        <v>500</v>
      </c>
      <c r="Y2251" s="43">
        <f>Y2250+Учет!T2251-T2251</f>
        <v>1150</v>
      </c>
      <c r="Z2251" s="43">
        <f>Z2250+Учет!U2251-U2251</f>
        <v>500000</v>
      </c>
      <c r="AA2251" s="45">
        <f>Учет!X2251</f>
        <v>500</v>
      </c>
    </row>
    <row r="2252" spans="1:27" ht="15" customHeight="1" x14ac:dyDescent="0.25">
      <c r="A2252" s="1"/>
      <c r="B2252" s="17"/>
      <c r="C2252" s="17"/>
      <c r="D2252" s="17"/>
      <c r="E2252" s="17"/>
      <c r="F2252" s="17"/>
      <c r="G2252" s="4">
        <f t="shared" si="102"/>
        <v>0</v>
      </c>
      <c r="H2252" s="17"/>
      <c r="I2252" s="4">
        <f t="shared" si="104"/>
        <v>349526.07999999996</v>
      </c>
      <c r="J2252" s="32" t="str">
        <f t="shared" si="103"/>
        <v/>
      </c>
      <c r="K2252" s="72"/>
      <c r="L2252" s="72"/>
      <c r="M2252" s="2"/>
      <c r="N2252" s="5"/>
      <c r="O2252" s="3"/>
      <c r="P2252" s="6"/>
      <c r="Q2252" s="48">
        <f>IF(Учет!$O2252=Справочники!$F$2,Учет!$H2252,0)</f>
        <v>0</v>
      </c>
      <c r="R2252" s="48">
        <f>IF(Учет!$O2252=Справочники!$F$3,Учет!$H2252,0)</f>
        <v>0</v>
      </c>
      <c r="S2252" s="48">
        <f>IF(Учет!$O2252=Справочники!$F$4,Учет!$H2252,0)</f>
        <v>0</v>
      </c>
      <c r="T2252" s="48">
        <f>IF(Учет!$O2252=Справочники!$F$5,Учет!$H2252,0)</f>
        <v>0</v>
      </c>
      <c r="U2252" s="48">
        <f>IF(Учет!$O2252=Справочники!$F$6,Учет!$H2252,0)</f>
        <v>0</v>
      </c>
      <c r="V2252" s="43">
        <f>V2251+Учет!Q2252-Q2252</f>
        <v>-488978.92000000004</v>
      </c>
      <c r="W2252" s="43">
        <f>W2251+Учет!R2252-R2252</f>
        <v>336855</v>
      </c>
      <c r="X2252" s="43">
        <f>X2251+Учет!S2252-S2252</f>
        <v>500</v>
      </c>
      <c r="Y2252" s="43">
        <f>Y2251+Учет!T2252-T2252</f>
        <v>1150</v>
      </c>
      <c r="Z2252" s="43">
        <f>Z2251+Учет!U2252-U2252</f>
        <v>500000</v>
      </c>
      <c r="AA2252" s="45">
        <f>Учет!X2252</f>
        <v>500</v>
      </c>
    </row>
    <row r="2253" spans="1:27" ht="15" customHeight="1" x14ac:dyDescent="0.25">
      <c r="A2253" s="1"/>
      <c r="B2253" s="17"/>
      <c r="C2253" s="17"/>
      <c r="D2253" s="17"/>
      <c r="E2253" s="17"/>
      <c r="F2253" s="17"/>
      <c r="G2253" s="4">
        <f t="shared" si="102"/>
        <v>0</v>
      </c>
      <c r="H2253" s="17"/>
      <c r="I2253" s="4">
        <f t="shared" si="104"/>
        <v>349526.07999999996</v>
      </c>
      <c r="J2253" s="32" t="str">
        <f t="shared" si="103"/>
        <v/>
      </c>
      <c r="K2253" s="72"/>
      <c r="L2253" s="72"/>
      <c r="M2253" s="2"/>
      <c r="N2253" s="5"/>
      <c r="O2253" s="3"/>
      <c r="P2253" s="6"/>
      <c r="Q2253" s="48">
        <f>IF(Учет!$O2253=Справочники!$F$2,Учет!$H2253,0)</f>
        <v>0</v>
      </c>
      <c r="R2253" s="48">
        <f>IF(Учет!$O2253=Справочники!$F$3,Учет!$H2253,0)</f>
        <v>0</v>
      </c>
      <c r="S2253" s="48">
        <f>IF(Учет!$O2253=Справочники!$F$4,Учет!$H2253,0)</f>
        <v>0</v>
      </c>
      <c r="T2253" s="48">
        <f>IF(Учет!$O2253=Справочники!$F$5,Учет!$H2253,0)</f>
        <v>0</v>
      </c>
      <c r="U2253" s="48">
        <f>IF(Учет!$O2253=Справочники!$F$6,Учет!$H2253,0)</f>
        <v>0</v>
      </c>
      <c r="V2253" s="43">
        <f>V2252+Учет!Q2253-Q2253</f>
        <v>-488978.92000000004</v>
      </c>
      <c r="W2253" s="43">
        <f>W2252+Учет!R2253-R2253</f>
        <v>336855</v>
      </c>
      <c r="X2253" s="43">
        <f>X2252+Учет!S2253-S2253</f>
        <v>500</v>
      </c>
      <c r="Y2253" s="43">
        <f>Y2252+Учет!T2253-T2253</f>
        <v>1150</v>
      </c>
      <c r="Z2253" s="43">
        <f>Z2252+Учет!U2253-U2253</f>
        <v>500000</v>
      </c>
      <c r="AA2253" s="45">
        <f>Учет!X2253</f>
        <v>500</v>
      </c>
    </row>
    <row r="2254" spans="1:27" ht="15" customHeight="1" x14ac:dyDescent="0.25">
      <c r="A2254" s="1"/>
      <c r="B2254" s="17"/>
      <c r="C2254" s="17"/>
      <c r="D2254" s="17"/>
      <c r="E2254" s="17"/>
      <c r="F2254" s="17"/>
      <c r="G2254" s="4">
        <f t="shared" si="102"/>
        <v>0</v>
      </c>
      <c r="H2254" s="17"/>
      <c r="I2254" s="4">
        <f t="shared" si="104"/>
        <v>349526.07999999996</v>
      </c>
      <c r="J2254" s="32" t="str">
        <f t="shared" si="103"/>
        <v/>
      </c>
      <c r="K2254" s="72"/>
      <c r="L2254" s="72"/>
      <c r="M2254" s="2"/>
      <c r="N2254" s="5"/>
      <c r="O2254" s="3"/>
      <c r="P2254" s="6"/>
      <c r="Q2254" s="48">
        <f>IF(Учет!$O2254=Справочники!$F$2,Учет!$H2254,0)</f>
        <v>0</v>
      </c>
      <c r="R2254" s="48">
        <f>IF(Учет!$O2254=Справочники!$F$3,Учет!$H2254,0)</f>
        <v>0</v>
      </c>
      <c r="S2254" s="48">
        <f>IF(Учет!$O2254=Справочники!$F$4,Учет!$H2254,0)</f>
        <v>0</v>
      </c>
      <c r="T2254" s="48">
        <f>IF(Учет!$O2254=Справочники!$F$5,Учет!$H2254,0)</f>
        <v>0</v>
      </c>
      <c r="U2254" s="48">
        <f>IF(Учет!$O2254=Справочники!$F$6,Учет!$H2254,0)</f>
        <v>0</v>
      </c>
      <c r="V2254" s="43">
        <f>V2253+Учет!Q2254-Q2254</f>
        <v>-488978.92000000004</v>
      </c>
      <c r="W2254" s="43">
        <f>W2253+Учет!R2254-R2254</f>
        <v>336855</v>
      </c>
      <c r="X2254" s="43">
        <f>X2253+Учет!S2254-S2254</f>
        <v>500</v>
      </c>
      <c r="Y2254" s="43">
        <f>Y2253+Учет!T2254-T2254</f>
        <v>1150</v>
      </c>
      <c r="Z2254" s="43">
        <f>Z2253+Учет!U2254-U2254</f>
        <v>500000</v>
      </c>
      <c r="AA2254" s="45">
        <f>Учет!X2254</f>
        <v>500</v>
      </c>
    </row>
    <row r="2255" spans="1:27" ht="15" customHeight="1" x14ac:dyDescent="0.25">
      <c r="A2255" s="1"/>
      <c r="B2255" s="17"/>
      <c r="C2255" s="17"/>
      <c r="D2255" s="17"/>
      <c r="E2255" s="17"/>
      <c r="F2255" s="17"/>
      <c r="G2255" s="4">
        <f t="shared" si="102"/>
        <v>0</v>
      </c>
      <c r="H2255" s="17"/>
      <c r="I2255" s="4">
        <f t="shared" si="104"/>
        <v>349526.07999999996</v>
      </c>
      <c r="J2255" s="32" t="str">
        <f t="shared" si="103"/>
        <v/>
      </c>
      <c r="K2255" s="72"/>
      <c r="L2255" s="72"/>
      <c r="M2255" s="2"/>
      <c r="N2255" s="5"/>
      <c r="O2255" s="3"/>
      <c r="P2255" s="6"/>
      <c r="Q2255" s="48">
        <f>IF(Учет!$O2255=Справочники!$F$2,Учет!$H2255,0)</f>
        <v>0</v>
      </c>
      <c r="R2255" s="48">
        <f>IF(Учет!$O2255=Справочники!$F$3,Учет!$H2255,0)</f>
        <v>0</v>
      </c>
      <c r="S2255" s="48">
        <f>IF(Учет!$O2255=Справочники!$F$4,Учет!$H2255,0)</f>
        <v>0</v>
      </c>
      <c r="T2255" s="48">
        <f>IF(Учет!$O2255=Справочники!$F$5,Учет!$H2255,0)</f>
        <v>0</v>
      </c>
      <c r="U2255" s="48">
        <f>IF(Учет!$O2255=Справочники!$F$6,Учет!$H2255,0)</f>
        <v>0</v>
      </c>
      <c r="V2255" s="43">
        <f>V2254+Учет!Q2255-Q2255</f>
        <v>-488978.92000000004</v>
      </c>
      <c r="W2255" s="43">
        <f>W2254+Учет!R2255-R2255</f>
        <v>336855</v>
      </c>
      <c r="X2255" s="43">
        <f>X2254+Учет!S2255-S2255</f>
        <v>500</v>
      </c>
      <c r="Y2255" s="43">
        <f>Y2254+Учет!T2255-T2255</f>
        <v>1150</v>
      </c>
      <c r="Z2255" s="43">
        <f>Z2254+Учет!U2255-U2255</f>
        <v>500000</v>
      </c>
      <c r="AA2255" s="45">
        <f>Учет!X2255</f>
        <v>500</v>
      </c>
    </row>
    <row r="2256" spans="1:27" ht="15" customHeight="1" x14ac:dyDescent="0.25">
      <c r="A2256" s="1"/>
      <c r="B2256" s="17"/>
      <c r="C2256" s="17"/>
      <c r="D2256" s="17"/>
      <c r="E2256" s="17"/>
      <c r="F2256" s="17"/>
      <c r="G2256" s="4">
        <f t="shared" si="102"/>
        <v>0</v>
      </c>
      <c r="H2256" s="17"/>
      <c r="I2256" s="4">
        <f t="shared" si="104"/>
        <v>349526.07999999996</v>
      </c>
      <c r="J2256" s="32" t="str">
        <f t="shared" si="103"/>
        <v/>
      </c>
      <c r="K2256" s="72"/>
      <c r="L2256" s="72"/>
      <c r="M2256" s="2"/>
      <c r="N2256" s="5"/>
      <c r="O2256" s="3"/>
      <c r="P2256" s="6"/>
      <c r="Q2256" s="48">
        <f>IF(Учет!$O2256=Справочники!$F$2,Учет!$H2256,0)</f>
        <v>0</v>
      </c>
      <c r="R2256" s="48">
        <f>IF(Учет!$O2256=Справочники!$F$3,Учет!$H2256,0)</f>
        <v>0</v>
      </c>
      <c r="S2256" s="48">
        <f>IF(Учет!$O2256=Справочники!$F$4,Учет!$H2256,0)</f>
        <v>0</v>
      </c>
      <c r="T2256" s="48">
        <f>IF(Учет!$O2256=Справочники!$F$5,Учет!$H2256,0)</f>
        <v>0</v>
      </c>
      <c r="U2256" s="48">
        <f>IF(Учет!$O2256=Справочники!$F$6,Учет!$H2256,0)</f>
        <v>0</v>
      </c>
      <c r="V2256" s="43">
        <f>V2255+Учет!Q2256-Q2256</f>
        <v>-488978.92000000004</v>
      </c>
      <c r="W2256" s="43">
        <f>W2255+Учет!R2256-R2256</f>
        <v>336855</v>
      </c>
      <c r="X2256" s="43">
        <f>X2255+Учет!S2256-S2256</f>
        <v>500</v>
      </c>
      <c r="Y2256" s="43">
        <f>Y2255+Учет!T2256-T2256</f>
        <v>1150</v>
      </c>
      <c r="Z2256" s="43">
        <f>Z2255+Учет!U2256-U2256</f>
        <v>500000</v>
      </c>
      <c r="AA2256" s="45">
        <f>Учет!X2256</f>
        <v>500</v>
      </c>
    </row>
    <row r="2257" spans="1:27" ht="15" customHeight="1" x14ac:dyDescent="0.25">
      <c r="A2257" s="1"/>
      <c r="B2257" s="17"/>
      <c r="C2257" s="17"/>
      <c r="D2257" s="17"/>
      <c r="E2257" s="17"/>
      <c r="F2257" s="17"/>
      <c r="G2257" s="4">
        <f t="shared" si="102"/>
        <v>0</v>
      </c>
      <c r="H2257" s="17"/>
      <c r="I2257" s="4">
        <f t="shared" si="104"/>
        <v>349526.07999999996</v>
      </c>
      <c r="J2257" s="32" t="str">
        <f t="shared" si="103"/>
        <v/>
      </c>
      <c r="K2257" s="72"/>
      <c r="L2257" s="72"/>
      <c r="M2257" s="2"/>
      <c r="N2257" s="5"/>
      <c r="O2257" s="3"/>
      <c r="P2257" s="6"/>
      <c r="Q2257" s="48">
        <f>IF(Учет!$O2257=Справочники!$F$2,Учет!$H2257,0)</f>
        <v>0</v>
      </c>
      <c r="R2257" s="48">
        <f>IF(Учет!$O2257=Справочники!$F$3,Учет!$H2257,0)</f>
        <v>0</v>
      </c>
      <c r="S2257" s="48">
        <f>IF(Учет!$O2257=Справочники!$F$4,Учет!$H2257,0)</f>
        <v>0</v>
      </c>
      <c r="T2257" s="48">
        <f>IF(Учет!$O2257=Справочники!$F$5,Учет!$H2257,0)</f>
        <v>0</v>
      </c>
      <c r="U2257" s="48">
        <f>IF(Учет!$O2257=Справочники!$F$6,Учет!$H2257,0)</f>
        <v>0</v>
      </c>
      <c r="V2257" s="43">
        <f>V2256+Учет!Q2257-Q2257</f>
        <v>-488978.92000000004</v>
      </c>
      <c r="W2257" s="43">
        <f>W2256+Учет!R2257-R2257</f>
        <v>336855</v>
      </c>
      <c r="X2257" s="43">
        <f>X2256+Учет!S2257-S2257</f>
        <v>500</v>
      </c>
      <c r="Y2257" s="43">
        <f>Y2256+Учет!T2257-T2257</f>
        <v>1150</v>
      </c>
      <c r="Z2257" s="43">
        <f>Z2256+Учет!U2257-U2257</f>
        <v>500000</v>
      </c>
      <c r="AA2257" s="45">
        <f>Учет!X2257</f>
        <v>500</v>
      </c>
    </row>
    <row r="2258" spans="1:27" ht="15" customHeight="1" x14ac:dyDescent="0.25">
      <c r="A2258" s="1"/>
      <c r="B2258" s="17"/>
      <c r="C2258" s="17"/>
      <c r="D2258" s="17"/>
      <c r="E2258" s="17"/>
      <c r="F2258" s="17"/>
      <c r="G2258" s="4">
        <f t="shared" si="102"/>
        <v>0</v>
      </c>
      <c r="H2258" s="17"/>
      <c r="I2258" s="4">
        <f t="shared" si="104"/>
        <v>349526.07999999996</v>
      </c>
      <c r="J2258" s="32" t="str">
        <f t="shared" si="103"/>
        <v/>
      </c>
      <c r="K2258" s="72"/>
      <c r="L2258" s="72"/>
      <c r="M2258" s="2"/>
      <c r="N2258" s="5"/>
      <c r="O2258" s="3"/>
      <c r="P2258" s="6"/>
      <c r="Q2258" s="48">
        <f>IF(Учет!$O2258=Справочники!$F$2,Учет!$H2258,0)</f>
        <v>0</v>
      </c>
      <c r="R2258" s="48">
        <f>IF(Учет!$O2258=Справочники!$F$3,Учет!$H2258,0)</f>
        <v>0</v>
      </c>
      <c r="S2258" s="48">
        <f>IF(Учет!$O2258=Справочники!$F$4,Учет!$H2258,0)</f>
        <v>0</v>
      </c>
      <c r="T2258" s="48">
        <f>IF(Учет!$O2258=Справочники!$F$5,Учет!$H2258,0)</f>
        <v>0</v>
      </c>
      <c r="U2258" s="48">
        <f>IF(Учет!$O2258=Справочники!$F$6,Учет!$H2258,0)</f>
        <v>0</v>
      </c>
      <c r="V2258" s="43">
        <f>V2257+Учет!Q2258-Q2258</f>
        <v>-488978.92000000004</v>
      </c>
      <c r="W2258" s="43">
        <f>W2257+Учет!R2258-R2258</f>
        <v>336855</v>
      </c>
      <c r="X2258" s="43">
        <f>X2257+Учет!S2258-S2258</f>
        <v>500</v>
      </c>
      <c r="Y2258" s="43">
        <f>Y2257+Учет!T2258-T2258</f>
        <v>1150</v>
      </c>
      <c r="Z2258" s="43">
        <f>Z2257+Учет!U2258-U2258</f>
        <v>500000</v>
      </c>
      <c r="AA2258" s="45">
        <f>Учет!X2258</f>
        <v>500</v>
      </c>
    </row>
    <row r="2259" spans="1:27" ht="15" customHeight="1" x14ac:dyDescent="0.25">
      <c r="A2259" s="1"/>
      <c r="B2259" s="17"/>
      <c r="C2259" s="17"/>
      <c r="D2259" s="17"/>
      <c r="E2259" s="17"/>
      <c r="F2259" s="17"/>
      <c r="G2259" s="4">
        <f t="shared" si="102"/>
        <v>0</v>
      </c>
      <c r="H2259" s="17"/>
      <c r="I2259" s="4">
        <f t="shared" si="104"/>
        <v>349526.07999999996</v>
      </c>
      <c r="J2259" s="32" t="str">
        <f t="shared" si="103"/>
        <v/>
      </c>
      <c r="K2259" s="72"/>
      <c r="L2259" s="72"/>
      <c r="M2259" s="2"/>
      <c r="N2259" s="5"/>
      <c r="O2259" s="3"/>
      <c r="P2259" s="6"/>
      <c r="Q2259" s="48">
        <f>IF(Учет!$O2259=Справочники!$F$2,Учет!$H2259,0)</f>
        <v>0</v>
      </c>
      <c r="R2259" s="48">
        <f>IF(Учет!$O2259=Справочники!$F$3,Учет!$H2259,0)</f>
        <v>0</v>
      </c>
      <c r="S2259" s="48">
        <f>IF(Учет!$O2259=Справочники!$F$4,Учет!$H2259,0)</f>
        <v>0</v>
      </c>
      <c r="T2259" s="48">
        <f>IF(Учет!$O2259=Справочники!$F$5,Учет!$H2259,0)</f>
        <v>0</v>
      </c>
      <c r="U2259" s="48">
        <f>IF(Учет!$O2259=Справочники!$F$6,Учет!$H2259,0)</f>
        <v>0</v>
      </c>
      <c r="V2259" s="43">
        <f>V2258+Учет!Q2259-Q2259</f>
        <v>-488978.92000000004</v>
      </c>
      <c r="W2259" s="43">
        <f>W2258+Учет!R2259-R2259</f>
        <v>336855</v>
      </c>
      <c r="X2259" s="43">
        <f>X2258+Учет!S2259-S2259</f>
        <v>500</v>
      </c>
      <c r="Y2259" s="43">
        <f>Y2258+Учет!T2259-T2259</f>
        <v>1150</v>
      </c>
      <c r="Z2259" s="43">
        <f>Z2258+Учет!U2259-U2259</f>
        <v>500000</v>
      </c>
      <c r="AA2259" s="45">
        <f>Учет!X2259</f>
        <v>500</v>
      </c>
    </row>
    <row r="2260" spans="1:27" ht="15" customHeight="1" x14ac:dyDescent="0.25">
      <c r="A2260" s="1"/>
      <c r="B2260" s="17"/>
      <c r="C2260" s="17"/>
      <c r="D2260" s="17"/>
      <c r="E2260" s="17"/>
      <c r="F2260" s="17"/>
      <c r="G2260" s="4">
        <f t="shared" si="102"/>
        <v>0</v>
      </c>
      <c r="H2260" s="17"/>
      <c r="I2260" s="4">
        <f t="shared" si="104"/>
        <v>349526.07999999996</v>
      </c>
      <c r="J2260" s="32" t="str">
        <f t="shared" si="103"/>
        <v/>
      </c>
      <c r="K2260" s="72"/>
      <c r="L2260" s="72"/>
      <c r="M2260" s="2"/>
      <c r="N2260" s="5"/>
      <c r="O2260" s="3"/>
      <c r="P2260" s="6"/>
      <c r="Q2260" s="48">
        <f>IF(Учет!$O2260=Справочники!$F$2,Учет!$H2260,0)</f>
        <v>0</v>
      </c>
      <c r="R2260" s="48">
        <f>IF(Учет!$O2260=Справочники!$F$3,Учет!$H2260,0)</f>
        <v>0</v>
      </c>
      <c r="S2260" s="48">
        <f>IF(Учет!$O2260=Справочники!$F$4,Учет!$H2260,0)</f>
        <v>0</v>
      </c>
      <c r="T2260" s="48">
        <f>IF(Учет!$O2260=Справочники!$F$5,Учет!$H2260,0)</f>
        <v>0</v>
      </c>
      <c r="U2260" s="48">
        <f>IF(Учет!$O2260=Справочники!$F$6,Учет!$H2260,0)</f>
        <v>0</v>
      </c>
      <c r="V2260" s="43">
        <f>V2259+Учет!Q2260-Q2260</f>
        <v>-488978.92000000004</v>
      </c>
      <c r="W2260" s="43">
        <f>W2259+Учет!R2260-R2260</f>
        <v>336855</v>
      </c>
      <c r="X2260" s="43">
        <f>X2259+Учет!S2260-S2260</f>
        <v>500</v>
      </c>
      <c r="Y2260" s="43">
        <f>Y2259+Учет!T2260-T2260</f>
        <v>1150</v>
      </c>
      <c r="Z2260" s="43">
        <f>Z2259+Учет!U2260-U2260</f>
        <v>500000</v>
      </c>
      <c r="AA2260" s="45">
        <f>Учет!X2260</f>
        <v>500</v>
      </c>
    </row>
    <row r="2261" spans="1:27" ht="15" customHeight="1" x14ac:dyDescent="0.25">
      <c r="A2261" s="1"/>
      <c r="B2261" s="17"/>
      <c r="C2261" s="17"/>
      <c r="D2261" s="17"/>
      <c r="E2261" s="17"/>
      <c r="F2261" s="17"/>
      <c r="G2261" s="4">
        <f t="shared" si="102"/>
        <v>0</v>
      </c>
      <c r="H2261" s="17"/>
      <c r="I2261" s="4">
        <f t="shared" si="104"/>
        <v>349526.07999999996</v>
      </c>
      <c r="J2261" s="32" t="str">
        <f t="shared" si="103"/>
        <v/>
      </c>
      <c r="K2261" s="72"/>
      <c r="L2261" s="72"/>
      <c r="M2261" s="2"/>
      <c r="N2261" s="5"/>
      <c r="O2261" s="3"/>
      <c r="P2261" s="6"/>
      <c r="Q2261" s="48">
        <f>IF(Учет!$O2261=Справочники!$F$2,Учет!$H2261,0)</f>
        <v>0</v>
      </c>
      <c r="R2261" s="48">
        <f>IF(Учет!$O2261=Справочники!$F$3,Учет!$H2261,0)</f>
        <v>0</v>
      </c>
      <c r="S2261" s="48">
        <f>IF(Учет!$O2261=Справочники!$F$4,Учет!$H2261,0)</f>
        <v>0</v>
      </c>
      <c r="T2261" s="48">
        <f>IF(Учет!$O2261=Справочники!$F$5,Учет!$H2261,0)</f>
        <v>0</v>
      </c>
      <c r="U2261" s="48">
        <f>IF(Учет!$O2261=Справочники!$F$6,Учет!$H2261,0)</f>
        <v>0</v>
      </c>
      <c r="V2261" s="43">
        <f>V2260+Учет!Q2261-Q2261</f>
        <v>-488978.92000000004</v>
      </c>
      <c r="W2261" s="43">
        <f>W2260+Учет!R2261-R2261</f>
        <v>336855</v>
      </c>
      <c r="X2261" s="43">
        <f>X2260+Учет!S2261-S2261</f>
        <v>500</v>
      </c>
      <c r="Y2261" s="43">
        <f>Y2260+Учет!T2261-T2261</f>
        <v>1150</v>
      </c>
      <c r="Z2261" s="43">
        <f>Z2260+Учет!U2261-U2261</f>
        <v>500000</v>
      </c>
      <c r="AA2261" s="45">
        <f>Учет!X2261</f>
        <v>500</v>
      </c>
    </row>
    <row r="2262" spans="1:27" ht="15" customHeight="1" x14ac:dyDescent="0.25">
      <c r="A2262" s="1"/>
      <c r="B2262" s="17"/>
      <c r="C2262" s="17"/>
      <c r="D2262" s="17"/>
      <c r="E2262" s="17"/>
      <c r="F2262" s="17"/>
      <c r="G2262" s="4">
        <f t="shared" si="102"/>
        <v>0</v>
      </c>
      <c r="H2262" s="17"/>
      <c r="I2262" s="4">
        <f t="shared" si="104"/>
        <v>349526.07999999996</v>
      </c>
      <c r="J2262" s="32" t="str">
        <f t="shared" si="103"/>
        <v/>
      </c>
      <c r="K2262" s="72"/>
      <c r="L2262" s="72"/>
      <c r="M2262" s="2"/>
      <c r="N2262" s="5"/>
      <c r="O2262" s="3"/>
      <c r="P2262" s="6"/>
      <c r="Q2262" s="48">
        <f>IF(Учет!$O2262=Справочники!$F$2,Учет!$H2262,0)</f>
        <v>0</v>
      </c>
      <c r="R2262" s="48">
        <f>IF(Учет!$O2262=Справочники!$F$3,Учет!$H2262,0)</f>
        <v>0</v>
      </c>
      <c r="S2262" s="48">
        <f>IF(Учет!$O2262=Справочники!$F$4,Учет!$H2262,0)</f>
        <v>0</v>
      </c>
      <c r="T2262" s="48">
        <f>IF(Учет!$O2262=Справочники!$F$5,Учет!$H2262,0)</f>
        <v>0</v>
      </c>
      <c r="U2262" s="48">
        <f>IF(Учет!$O2262=Справочники!$F$6,Учет!$H2262,0)</f>
        <v>0</v>
      </c>
      <c r="V2262" s="43">
        <f>V2261+Учет!Q2262-Q2262</f>
        <v>-488978.92000000004</v>
      </c>
      <c r="W2262" s="43">
        <f>W2261+Учет!R2262-R2262</f>
        <v>336855</v>
      </c>
      <c r="X2262" s="43">
        <f>X2261+Учет!S2262-S2262</f>
        <v>500</v>
      </c>
      <c r="Y2262" s="43">
        <f>Y2261+Учет!T2262-T2262</f>
        <v>1150</v>
      </c>
      <c r="Z2262" s="43">
        <f>Z2261+Учет!U2262-U2262</f>
        <v>500000</v>
      </c>
      <c r="AA2262" s="45">
        <f>Учет!X2262</f>
        <v>500</v>
      </c>
    </row>
    <row r="2263" spans="1:27" ht="15" customHeight="1" x14ac:dyDescent="0.25">
      <c r="A2263" s="1"/>
      <c r="B2263" s="17"/>
      <c r="C2263" s="17"/>
      <c r="D2263" s="17"/>
      <c r="E2263" s="17"/>
      <c r="F2263" s="17"/>
      <c r="G2263" s="4">
        <f t="shared" si="102"/>
        <v>0</v>
      </c>
      <c r="H2263" s="17"/>
      <c r="I2263" s="4">
        <f t="shared" si="104"/>
        <v>349526.07999999996</v>
      </c>
      <c r="J2263" s="32" t="str">
        <f t="shared" si="103"/>
        <v/>
      </c>
      <c r="K2263" s="72"/>
      <c r="L2263" s="72"/>
      <c r="M2263" s="2"/>
      <c r="N2263" s="5"/>
      <c r="O2263" s="3"/>
      <c r="P2263" s="6"/>
      <c r="Q2263" s="48">
        <f>IF(Учет!$O2263=Справочники!$F$2,Учет!$H2263,0)</f>
        <v>0</v>
      </c>
      <c r="R2263" s="48">
        <f>IF(Учет!$O2263=Справочники!$F$3,Учет!$H2263,0)</f>
        <v>0</v>
      </c>
      <c r="S2263" s="48">
        <f>IF(Учет!$O2263=Справочники!$F$4,Учет!$H2263,0)</f>
        <v>0</v>
      </c>
      <c r="T2263" s="48">
        <f>IF(Учет!$O2263=Справочники!$F$5,Учет!$H2263,0)</f>
        <v>0</v>
      </c>
      <c r="U2263" s="48">
        <f>IF(Учет!$O2263=Справочники!$F$6,Учет!$H2263,0)</f>
        <v>0</v>
      </c>
      <c r="V2263" s="43">
        <f>V2262+Учет!Q2263-Q2263</f>
        <v>-488978.92000000004</v>
      </c>
      <c r="W2263" s="43">
        <f>W2262+Учет!R2263-R2263</f>
        <v>336855</v>
      </c>
      <c r="X2263" s="43">
        <f>X2262+Учет!S2263-S2263</f>
        <v>500</v>
      </c>
      <c r="Y2263" s="43">
        <f>Y2262+Учет!T2263-T2263</f>
        <v>1150</v>
      </c>
      <c r="Z2263" s="43">
        <f>Z2262+Учет!U2263-U2263</f>
        <v>500000</v>
      </c>
      <c r="AA2263" s="45">
        <f>Учет!X2263</f>
        <v>500</v>
      </c>
    </row>
    <row r="2264" spans="1:27" ht="15" customHeight="1" x14ac:dyDescent="0.25">
      <c r="A2264" s="1"/>
      <c r="B2264" s="17"/>
      <c r="C2264" s="17"/>
      <c r="D2264" s="17"/>
      <c r="E2264" s="17"/>
      <c r="F2264" s="17"/>
      <c r="G2264" s="4">
        <f t="shared" si="102"/>
        <v>0</v>
      </c>
      <c r="H2264" s="17"/>
      <c r="I2264" s="4">
        <f t="shared" si="104"/>
        <v>349526.07999999996</v>
      </c>
      <c r="J2264" s="32" t="str">
        <f t="shared" si="103"/>
        <v/>
      </c>
      <c r="K2264" s="72"/>
      <c r="L2264" s="72"/>
      <c r="M2264" s="2"/>
      <c r="N2264" s="5"/>
      <c r="O2264" s="3"/>
      <c r="P2264" s="6"/>
      <c r="Q2264" s="48">
        <f>IF(Учет!$O2264=Справочники!$F$2,Учет!$H2264,0)</f>
        <v>0</v>
      </c>
      <c r="R2264" s="48">
        <f>IF(Учет!$O2264=Справочники!$F$3,Учет!$H2264,0)</f>
        <v>0</v>
      </c>
      <c r="S2264" s="48">
        <f>IF(Учет!$O2264=Справочники!$F$4,Учет!$H2264,0)</f>
        <v>0</v>
      </c>
      <c r="T2264" s="48">
        <f>IF(Учет!$O2264=Справочники!$F$5,Учет!$H2264,0)</f>
        <v>0</v>
      </c>
      <c r="U2264" s="48">
        <f>IF(Учет!$O2264=Справочники!$F$6,Учет!$H2264,0)</f>
        <v>0</v>
      </c>
      <c r="V2264" s="43">
        <f>V2263+Учет!Q2264-Q2264</f>
        <v>-488978.92000000004</v>
      </c>
      <c r="W2264" s="43">
        <f>W2263+Учет!R2264-R2264</f>
        <v>336855</v>
      </c>
      <c r="X2264" s="43">
        <f>X2263+Учет!S2264-S2264</f>
        <v>500</v>
      </c>
      <c r="Y2264" s="43">
        <f>Y2263+Учет!T2264-T2264</f>
        <v>1150</v>
      </c>
      <c r="Z2264" s="43">
        <f>Z2263+Учет!U2264-U2264</f>
        <v>500000</v>
      </c>
      <c r="AA2264" s="45">
        <f>Учет!X2264</f>
        <v>500</v>
      </c>
    </row>
    <row r="2265" spans="1:27" ht="15" customHeight="1" x14ac:dyDescent="0.25">
      <c r="A2265" s="1"/>
      <c r="B2265" s="17"/>
      <c r="C2265" s="17"/>
      <c r="D2265" s="17"/>
      <c r="E2265" s="17"/>
      <c r="F2265" s="17"/>
      <c r="G2265" s="4">
        <f t="shared" si="102"/>
        <v>0</v>
      </c>
      <c r="H2265" s="17"/>
      <c r="I2265" s="4">
        <f t="shared" si="104"/>
        <v>349526.07999999996</v>
      </c>
      <c r="J2265" s="32" t="str">
        <f t="shared" si="103"/>
        <v/>
      </c>
      <c r="K2265" s="72"/>
      <c r="L2265" s="72"/>
      <c r="M2265" s="2"/>
      <c r="N2265" s="5"/>
      <c r="O2265" s="3"/>
      <c r="P2265" s="6"/>
      <c r="Q2265" s="48">
        <f>IF(Учет!$O2265=Справочники!$F$2,Учет!$H2265,0)</f>
        <v>0</v>
      </c>
      <c r="R2265" s="48">
        <f>IF(Учет!$O2265=Справочники!$F$3,Учет!$H2265,0)</f>
        <v>0</v>
      </c>
      <c r="S2265" s="48">
        <f>IF(Учет!$O2265=Справочники!$F$4,Учет!$H2265,0)</f>
        <v>0</v>
      </c>
      <c r="T2265" s="48">
        <f>IF(Учет!$O2265=Справочники!$F$5,Учет!$H2265,0)</f>
        <v>0</v>
      </c>
      <c r="U2265" s="48">
        <f>IF(Учет!$O2265=Справочники!$F$6,Учет!$H2265,0)</f>
        <v>0</v>
      </c>
      <c r="V2265" s="43">
        <f>V2264+Учет!Q2265-Q2265</f>
        <v>-488978.92000000004</v>
      </c>
      <c r="W2265" s="43">
        <f>W2264+Учет!R2265-R2265</f>
        <v>336855</v>
      </c>
      <c r="X2265" s="43">
        <f>X2264+Учет!S2265-S2265</f>
        <v>500</v>
      </c>
      <c r="Y2265" s="43">
        <f>Y2264+Учет!T2265-T2265</f>
        <v>1150</v>
      </c>
      <c r="Z2265" s="43">
        <f>Z2264+Учет!U2265-U2265</f>
        <v>500000</v>
      </c>
      <c r="AA2265" s="45">
        <f>Учет!X2265</f>
        <v>500</v>
      </c>
    </row>
    <row r="2266" spans="1:27" ht="15" customHeight="1" x14ac:dyDescent="0.25">
      <c r="A2266" s="1"/>
      <c r="B2266" s="17"/>
      <c r="C2266" s="17"/>
      <c r="D2266" s="17"/>
      <c r="E2266" s="17"/>
      <c r="F2266" s="17"/>
      <c r="G2266" s="4">
        <f t="shared" si="102"/>
        <v>0</v>
      </c>
      <c r="H2266" s="17"/>
      <c r="I2266" s="4">
        <f t="shared" si="104"/>
        <v>349526.07999999996</v>
      </c>
      <c r="J2266" s="32" t="str">
        <f t="shared" si="103"/>
        <v/>
      </c>
      <c r="K2266" s="72"/>
      <c r="L2266" s="72"/>
      <c r="M2266" s="2"/>
      <c r="N2266" s="5"/>
      <c r="O2266" s="3"/>
      <c r="P2266" s="6"/>
      <c r="Q2266" s="48">
        <f>IF(Учет!$O2266=Справочники!$F$2,Учет!$H2266,0)</f>
        <v>0</v>
      </c>
      <c r="R2266" s="48">
        <f>IF(Учет!$O2266=Справочники!$F$3,Учет!$H2266,0)</f>
        <v>0</v>
      </c>
      <c r="S2266" s="48">
        <f>IF(Учет!$O2266=Справочники!$F$4,Учет!$H2266,0)</f>
        <v>0</v>
      </c>
      <c r="T2266" s="48">
        <f>IF(Учет!$O2266=Справочники!$F$5,Учет!$H2266,0)</f>
        <v>0</v>
      </c>
      <c r="U2266" s="48">
        <f>IF(Учет!$O2266=Справочники!$F$6,Учет!$H2266,0)</f>
        <v>0</v>
      </c>
      <c r="V2266" s="43">
        <f>V2265+Учет!Q2266-Q2266</f>
        <v>-488978.92000000004</v>
      </c>
      <c r="W2266" s="43">
        <f>W2265+Учет!R2266-R2266</f>
        <v>336855</v>
      </c>
      <c r="X2266" s="43">
        <f>X2265+Учет!S2266-S2266</f>
        <v>500</v>
      </c>
      <c r="Y2266" s="43">
        <f>Y2265+Учет!T2266-T2266</f>
        <v>1150</v>
      </c>
      <c r="Z2266" s="43">
        <f>Z2265+Учет!U2266-U2266</f>
        <v>500000</v>
      </c>
      <c r="AA2266" s="45">
        <f>Учет!X2266</f>
        <v>500</v>
      </c>
    </row>
    <row r="2267" spans="1:27" ht="15" customHeight="1" x14ac:dyDescent="0.25">
      <c r="A2267" s="1"/>
      <c r="B2267" s="17"/>
      <c r="C2267" s="17"/>
      <c r="D2267" s="17"/>
      <c r="E2267" s="17"/>
      <c r="F2267" s="17"/>
      <c r="G2267" s="4">
        <f t="shared" si="102"/>
        <v>0</v>
      </c>
      <c r="H2267" s="17"/>
      <c r="I2267" s="4">
        <f t="shared" si="104"/>
        <v>349526.07999999996</v>
      </c>
      <c r="J2267" s="32" t="str">
        <f t="shared" si="103"/>
        <v/>
      </c>
      <c r="K2267" s="72"/>
      <c r="L2267" s="72"/>
      <c r="M2267" s="2"/>
      <c r="N2267" s="5"/>
      <c r="O2267" s="3"/>
      <c r="P2267" s="6"/>
      <c r="Q2267" s="48">
        <f>IF(Учет!$O2267=Справочники!$F$2,Учет!$H2267,0)</f>
        <v>0</v>
      </c>
      <c r="R2267" s="48">
        <f>IF(Учет!$O2267=Справочники!$F$3,Учет!$H2267,0)</f>
        <v>0</v>
      </c>
      <c r="S2267" s="48">
        <f>IF(Учет!$O2267=Справочники!$F$4,Учет!$H2267,0)</f>
        <v>0</v>
      </c>
      <c r="T2267" s="48">
        <f>IF(Учет!$O2267=Справочники!$F$5,Учет!$H2267,0)</f>
        <v>0</v>
      </c>
      <c r="U2267" s="48">
        <f>IF(Учет!$O2267=Справочники!$F$6,Учет!$H2267,0)</f>
        <v>0</v>
      </c>
      <c r="V2267" s="43">
        <f>V2266+Учет!Q2267-Q2267</f>
        <v>-488978.92000000004</v>
      </c>
      <c r="W2267" s="43">
        <f>W2266+Учет!R2267-R2267</f>
        <v>336855</v>
      </c>
      <c r="X2267" s="43">
        <f>X2266+Учет!S2267-S2267</f>
        <v>500</v>
      </c>
      <c r="Y2267" s="43">
        <f>Y2266+Учет!T2267-T2267</f>
        <v>1150</v>
      </c>
      <c r="Z2267" s="43">
        <f>Z2266+Учет!U2267-U2267</f>
        <v>500000</v>
      </c>
      <c r="AA2267" s="45">
        <f>Учет!X2267</f>
        <v>500</v>
      </c>
    </row>
    <row r="2268" spans="1:27" ht="15" customHeight="1" x14ac:dyDescent="0.25">
      <c r="A2268" s="1"/>
      <c r="B2268" s="17"/>
      <c r="C2268" s="17"/>
      <c r="D2268" s="17"/>
      <c r="E2268" s="17"/>
      <c r="F2268" s="17"/>
      <c r="G2268" s="4">
        <f t="shared" si="102"/>
        <v>0</v>
      </c>
      <c r="H2268" s="17"/>
      <c r="I2268" s="4">
        <f t="shared" si="104"/>
        <v>349526.07999999996</v>
      </c>
      <c r="J2268" s="32" t="str">
        <f t="shared" si="103"/>
        <v/>
      </c>
      <c r="K2268" s="72"/>
      <c r="L2268" s="72"/>
      <c r="M2268" s="2"/>
      <c r="N2268" s="5"/>
      <c r="O2268" s="3"/>
      <c r="P2268" s="6"/>
      <c r="Q2268" s="48">
        <f>IF(Учет!$O2268=Справочники!$F$2,Учет!$H2268,0)</f>
        <v>0</v>
      </c>
      <c r="R2268" s="48">
        <f>IF(Учет!$O2268=Справочники!$F$3,Учет!$H2268,0)</f>
        <v>0</v>
      </c>
      <c r="S2268" s="48">
        <f>IF(Учет!$O2268=Справочники!$F$4,Учет!$H2268,0)</f>
        <v>0</v>
      </c>
      <c r="T2268" s="48">
        <f>IF(Учет!$O2268=Справочники!$F$5,Учет!$H2268,0)</f>
        <v>0</v>
      </c>
      <c r="U2268" s="48">
        <f>IF(Учет!$O2268=Справочники!$F$6,Учет!$H2268,0)</f>
        <v>0</v>
      </c>
      <c r="V2268" s="43">
        <f>V2267+Учет!Q2268-Q2268</f>
        <v>-488978.92000000004</v>
      </c>
      <c r="W2268" s="43">
        <f>W2267+Учет!R2268-R2268</f>
        <v>336855</v>
      </c>
      <c r="X2268" s="43">
        <f>X2267+Учет!S2268-S2268</f>
        <v>500</v>
      </c>
      <c r="Y2268" s="43">
        <f>Y2267+Учет!T2268-T2268</f>
        <v>1150</v>
      </c>
      <c r="Z2268" s="43">
        <f>Z2267+Учет!U2268-U2268</f>
        <v>500000</v>
      </c>
      <c r="AA2268" s="45">
        <f>Учет!X2268</f>
        <v>500</v>
      </c>
    </row>
    <row r="2269" spans="1:27" ht="15" customHeight="1" x14ac:dyDescent="0.25">
      <c r="A2269" s="1"/>
      <c r="B2269" s="17"/>
      <c r="C2269" s="17"/>
      <c r="D2269" s="17"/>
      <c r="E2269" s="17"/>
      <c r="F2269" s="17"/>
      <c r="G2269" s="4">
        <f t="shared" si="102"/>
        <v>0</v>
      </c>
      <c r="H2269" s="17"/>
      <c r="I2269" s="4">
        <f t="shared" si="104"/>
        <v>349526.07999999996</v>
      </c>
      <c r="J2269" s="32" t="str">
        <f t="shared" si="103"/>
        <v/>
      </c>
      <c r="K2269" s="72"/>
      <c r="L2269" s="72"/>
      <c r="M2269" s="2"/>
      <c r="N2269" s="5"/>
      <c r="O2269" s="3"/>
      <c r="P2269" s="6"/>
      <c r="Q2269" s="48">
        <f>IF(Учет!$O2269=Справочники!$F$2,Учет!$H2269,0)</f>
        <v>0</v>
      </c>
      <c r="R2269" s="48">
        <f>IF(Учет!$O2269=Справочники!$F$3,Учет!$H2269,0)</f>
        <v>0</v>
      </c>
      <c r="S2269" s="48">
        <f>IF(Учет!$O2269=Справочники!$F$4,Учет!$H2269,0)</f>
        <v>0</v>
      </c>
      <c r="T2269" s="48">
        <f>IF(Учет!$O2269=Справочники!$F$5,Учет!$H2269,0)</f>
        <v>0</v>
      </c>
      <c r="U2269" s="48">
        <f>IF(Учет!$O2269=Справочники!$F$6,Учет!$H2269,0)</f>
        <v>0</v>
      </c>
      <c r="V2269" s="43">
        <f>V2268+Учет!Q2269-Q2269</f>
        <v>-488978.92000000004</v>
      </c>
      <c r="W2269" s="43">
        <f>W2268+Учет!R2269-R2269</f>
        <v>336855</v>
      </c>
      <c r="X2269" s="43">
        <f>X2268+Учет!S2269-S2269</f>
        <v>500</v>
      </c>
      <c r="Y2269" s="43">
        <f>Y2268+Учет!T2269-T2269</f>
        <v>1150</v>
      </c>
      <c r="Z2269" s="43">
        <f>Z2268+Учет!U2269-U2269</f>
        <v>500000</v>
      </c>
      <c r="AA2269" s="45">
        <f>Учет!X2269</f>
        <v>500</v>
      </c>
    </row>
    <row r="2270" spans="1:27" ht="15" customHeight="1" x14ac:dyDescent="0.25">
      <c r="A2270" s="1"/>
      <c r="B2270" s="17"/>
      <c r="C2270" s="17"/>
      <c r="D2270" s="17"/>
      <c r="E2270" s="17"/>
      <c r="F2270" s="17"/>
      <c r="G2270" s="4">
        <f t="shared" si="102"/>
        <v>0</v>
      </c>
      <c r="H2270" s="17"/>
      <c r="I2270" s="4">
        <f t="shared" si="104"/>
        <v>349526.07999999996</v>
      </c>
      <c r="J2270" s="32" t="str">
        <f t="shared" si="103"/>
        <v/>
      </c>
      <c r="K2270" s="72"/>
      <c r="L2270" s="72"/>
      <c r="M2270" s="2"/>
      <c r="N2270" s="5"/>
      <c r="O2270" s="3"/>
      <c r="P2270" s="6"/>
      <c r="Q2270" s="48">
        <f>IF(Учет!$O2270=Справочники!$F$2,Учет!$H2270,0)</f>
        <v>0</v>
      </c>
      <c r="R2270" s="48">
        <f>IF(Учет!$O2270=Справочники!$F$3,Учет!$H2270,0)</f>
        <v>0</v>
      </c>
      <c r="S2270" s="48">
        <f>IF(Учет!$O2270=Справочники!$F$4,Учет!$H2270,0)</f>
        <v>0</v>
      </c>
      <c r="T2270" s="48">
        <f>IF(Учет!$O2270=Справочники!$F$5,Учет!$H2270,0)</f>
        <v>0</v>
      </c>
      <c r="U2270" s="48">
        <f>IF(Учет!$O2270=Справочники!$F$6,Учет!$H2270,0)</f>
        <v>0</v>
      </c>
      <c r="V2270" s="43">
        <f>V2269+Учет!Q2270-Q2270</f>
        <v>-488978.92000000004</v>
      </c>
      <c r="W2270" s="43">
        <f>W2269+Учет!R2270-R2270</f>
        <v>336855</v>
      </c>
      <c r="X2270" s="43">
        <f>X2269+Учет!S2270-S2270</f>
        <v>500</v>
      </c>
      <c r="Y2270" s="43">
        <f>Y2269+Учет!T2270-T2270</f>
        <v>1150</v>
      </c>
      <c r="Z2270" s="43">
        <f>Z2269+Учет!U2270-U2270</f>
        <v>500000</v>
      </c>
      <c r="AA2270" s="45">
        <f>Учет!X2270</f>
        <v>500</v>
      </c>
    </row>
    <row r="2271" spans="1:27" ht="15" customHeight="1" x14ac:dyDescent="0.25">
      <c r="A2271" s="1"/>
      <c r="B2271" s="17"/>
      <c r="C2271" s="17"/>
      <c r="D2271" s="17"/>
      <c r="E2271" s="17"/>
      <c r="F2271" s="17"/>
      <c r="G2271" s="4">
        <f t="shared" si="102"/>
        <v>0</v>
      </c>
      <c r="H2271" s="17"/>
      <c r="I2271" s="4">
        <f t="shared" si="104"/>
        <v>349526.07999999996</v>
      </c>
      <c r="J2271" s="32" t="str">
        <f t="shared" si="103"/>
        <v/>
      </c>
      <c r="K2271" s="72"/>
      <c r="L2271" s="72"/>
      <c r="M2271" s="2"/>
      <c r="N2271" s="5"/>
      <c r="O2271" s="3"/>
      <c r="P2271" s="6"/>
      <c r="Q2271" s="48">
        <f>IF(Учет!$O2271=Справочники!$F$2,Учет!$H2271,0)</f>
        <v>0</v>
      </c>
      <c r="R2271" s="48">
        <f>IF(Учет!$O2271=Справочники!$F$3,Учет!$H2271,0)</f>
        <v>0</v>
      </c>
      <c r="S2271" s="48">
        <f>IF(Учет!$O2271=Справочники!$F$4,Учет!$H2271,0)</f>
        <v>0</v>
      </c>
      <c r="T2271" s="48">
        <f>IF(Учет!$O2271=Справочники!$F$5,Учет!$H2271,0)</f>
        <v>0</v>
      </c>
      <c r="U2271" s="48">
        <f>IF(Учет!$O2271=Справочники!$F$6,Учет!$H2271,0)</f>
        <v>0</v>
      </c>
      <c r="V2271" s="43">
        <f>V2270+Учет!Q2271-Q2271</f>
        <v>-488978.92000000004</v>
      </c>
      <c r="W2271" s="43">
        <f>W2270+Учет!R2271-R2271</f>
        <v>336855</v>
      </c>
      <c r="X2271" s="43">
        <f>X2270+Учет!S2271-S2271</f>
        <v>500</v>
      </c>
      <c r="Y2271" s="43">
        <f>Y2270+Учет!T2271-T2271</f>
        <v>1150</v>
      </c>
      <c r="Z2271" s="43">
        <f>Z2270+Учет!U2271-U2271</f>
        <v>500000</v>
      </c>
      <c r="AA2271" s="45">
        <f>Учет!X2271</f>
        <v>500</v>
      </c>
    </row>
    <row r="2272" spans="1:27" ht="15" customHeight="1" x14ac:dyDescent="0.25">
      <c r="A2272" s="1"/>
      <c r="B2272" s="17"/>
      <c r="C2272" s="17"/>
      <c r="D2272" s="17"/>
      <c r="E2272" s="17"/>
      <c r="F2272" s="17"/>
      <c r="G2272" s="4">
        <f t="shared" si="102"/>
        <v>0</v>
      </c>
      <c r="H2272" s="17"/>
      <c r="I2272" s="4">
        <f t="shared" si="104"/>
        <v>349526.07999999996</v>
      </c>
      <c r="J2272" s="32" t="str">
        <f t="shared" si="103"/>
        <v/>
      </c>
      <c r="K2272" s="72"/>
      <c r="L2272" s="72"/>
      <c r="M2272" s="2"/>
      <c r="N2272" s="5"/>
      <c r="O2272" s="3"/>
      <c r="P2272" s="6"/>
      <c r="Q2272" s="48">
        <f>IF(Учет!$O2272=Справочники!$F$2,Учет!$H2272,0)</f>
        <v>0</v>
      </c>
      <c r="R2272" s="48">
        <f>IF(Учет!$O2272=Справочники!$F$3,Учет!$H2272,0)</f>
        <v>0</v>
      </c>
      <c r="S2272" s="48">
        <f>IF(Учет!$O2272=Справочники!$F$4,Учет!$H2272,0)</f>
        <v>0</v>
      </c>
      <c r="T2272" s="48">
        <f>IF(Учет!$O2272=Справочники!$F$5,Учет!$H2272,0)</f>
        <v>0</v>
      </c>
      <c r="U2272" s="48">
        <f>IF(Учет!$O2272=Справочники!$F$6,Учет!$H2272,0)</f>
        <v>0</v>
      </c>
      <c r="V2272" s="43">
        <f>V2271+Учет!Q2272-Q2272</f>
        <v>-488978.92000000004</v>
      </c>
      <c r="W2272" s="43">
        <f>W2271+Учет!R2272-R2272</f>
        <v>336855</v>
      </c>
      <c r="X2272" s="43">
        <f>X2271+Учет!S2272-S2272</f>
        <v>500</v>
      </c>
      <c r="Y2272" s="43">
        <f>Y2271+Учет!T2272-T2272</f>
        <v>1150</v>
      </c>
      <c r="Z2272" s="43">
        <f>Z2271+Учет!U2272-U2272</f>
        <v>500000</v>
      </c>
      <c r="AA2272" s="45">
        <f>Учет!X2272</f>
        <v>500</v>
      </c>
    </row>
    <row r="2273" spans="1:27" ht="15" customHeight="1" x14ac:dyDescent="0.25">
      <c r="A2273" s="1"/>
      <c r="B2273" s="17"/>
      <c r="C2273" s="17"/>
      <c r="D2273" s="17"/>
      <c r="E2273" s="17"/>
      <c r="F2273" s="17"/>
      <c r="G2273" s="4">
        <f t="shared" si="102"/>
        <v>0</v>
      </c>
      <c r="H2273" s="17"/>
      <c r="I2273" s="4">
        <f t="shared" si="104"/>
        <v>349526.07999999996</v>
      </c>
      <c r="J2273" s="32" t="str">
        <f t="shared" si="103"/>
        <v/>
      </c>
      <c r="K2273" s="72"/>
      <c r="L2273" s="72"/>
      <c r="M2273" s="2"/>
      <c r="N2273" s="5"/>
      <c r="O2273" s="3"/>
      <c r="P2273" s="6"/>
      <c r="Q2273" s="48">
        <f>IF(Учет!$O2273=Справочники!$F$2,Учет!$H2273,0)</f>
        <v>0</v>
      </c>
      <c r="R2273" s="48">
        <f>IF(Учет!$O2273=Справочники!$F$3,Учет!$H2273,0)</f>
        <v>0</v>
      </c>
      <c r="S2273" s="48">
        <f>IF(Учет!$O2273=Справочники!$F$4,Учет!$H2273,0)</f>
        <v>0</v>
      </c>
      <c r="T2273" s="48">
        <f>IF(Учет!$O2273=Справочники!$F$5,Учет!$H2273,0)</f>
        <v>0</v>
      </c>
      <c r="U2273" s="48">
        <f>IF(Учет!$O2273=Справочники!$F$6,Учет!$H2273,0)</f>
        <v>0</v>
      </c>
      <c r="V2273" s="43">
        <f>V2272+Учет!Q2273-Q2273</f>
        <v>-488978.92000000004</v>
      </c>
      <c r="W2273" s="43">
        <f>W2272+Учет!R2273-R2273</f>
        <v>336855</v>
      </c>
      <c r="X2273" s="43">
        <f>X2272+Учет!S2273-S2273</f>
        <v>500</v>
      </c>
      <c r="Y2273" s="43">
        <f>Y2272+Учет!T2273-T2273</f>
        <v>1150</v>
      </c>
      <c r="Z2273" s="43">
        <f>Z2272+Учет!U2273-U2273</f>
        <v>500000</v>
      </c>
      <c r="AA2273" s="45">
        <f>Учет!X2273</f>
        <v>500</v>
      </c>
    </row>
    <row r="2274" spans="1:27" ht="15" customHeight="1" x14ac:dyDescent="0.25">
      <c r="A2274" s="1"/>
      <c r="B2274" s="17"/>
      <c r="C2274" s="17"/>
      <c r="D2274" s="17"/>
      <c r="E2274" s="17"/>
      <c r="F2274" s="17"/>
      <c r="G2274" s="4">
        <f t="shared" si="102"/>
        <v>0</v>
      </c>
      <c r="H2274" s="17"/>
      <c r="I2274" s="4">
        <f t="shared" si="104"/>
        <v>349526.07999999996</v>
      </c>
      <c r="J2274" s="32" t="str">
        <f t="shared" si="103"/>
        <v/>
      </c>
      <c r="K2274" s="72"/>
      <c r="L2274" s="72"/>
      <c r="M2274" s="2"/>
      <c r="N2274" s="5"/>
      <c r="O2274" s="3"/>
      <c r="P2274" s="6"/>
      <c r="Q2274" s="48">
        <f>IF(Учет!$O2274=Справочники!$F$2,Учет!$H2274,0)</f>
        <v>0</v>
      </c>
      <c r="R2274" s="48">
        <f>IF(Учет!$O2274=Справочники!$F$3,Учет!$H2274,0)</f>
        <v>0</v>
      </c>
      <c r="S2274" s="48">
        <f>IF(Учет!$O2274=Справочники!$F$4,Учет!$H2274,0)</f>
        <v>0</v>
      </c>
      <c r="T2274" s="48">
        <f>IF(Учет!$O2274=Справочники!$F$5,Учет!$H2274,0)</f>
        <v>0</v>
      </c>
      <c r="U2274" s="48">
        <f>IF(Учет!$O2274=Справочники!$F$6,Учет!$H2274,0)</f>
        <v>0</v>
      </c>
      <c r="V2274" s="43">
        <f>V2273+Учет!Q2274-Q2274</f>
        <v>-488978.92000000004</v>
      </c>
      <c r="W2274" s="43">
        <f>W2273+Учет!R2274-R2274</f>
        <v>336855</v>
      </c>
      <c r="X2274" s="43">
        <f>X2273+Учет!S2274-S2274</f>
        <v>500</v>
      </c>
      <c r="Y2274" s="43">
        <f>Y2273+Учет!T2274-T2274</f>
        <v>1150</v>
      </c>
      <c r="Z2274" s="43">
        <f>Z2273+Учет!U2274-U2274</f>
        <v>500000</v>
      </c>
      <c r="AA2274" s="45">
        <f>Учет!X2274</f>
        <v>500</v>
      </c>
    </row>
    <row r="2275" spans="1:27" ht="15" customHeight="1" x14ac:dyDescent="0.25">
      <c r="A2275" s="1"/>
      <c r="B2275" s="17"/>
      <c r="C2275" s="17"/>
      <c r="D2275" s="17"/>
      <c r="E2275" s="17"/>
      <c r="F2275" s="17"/>
      <c r="G2275" s="4">
        <f t="shared" si="102"/>
        <v>0</v>
      </c>
      <c r="H2275" s="17"/>
      <c r="I2275" s="4">
        <f t="shared" si="104"/>
        <v>349526.07999999996</v>
      </c>
      <c r="J2275" s="32" t="str">
        <f t="shared" si="103"/>
        <v/>
      </c>
      <c r="K2275" s="72"/>
      <c r="L2275" s="72"/>
      <c r="M2275" s="2"/>
      <c r="N2275" s="5"/>
      <c r="O2275" s="3"/>
      <c r="P2275" s="6"/>
      <c r="Q2275" s="48">
        <f>IF(Учет!$O2275=Справочники!$F$2,Учет!$H2275,0)</f>
        <v>0</v>
      </c>
      <c r="R2275" s="48">
        <f>IF(Учет!$O2275=Справочники!$F$3,Учет!$H2275,0)</f>
        <v>0</v>
      </c>
      <c r="S2275" s="48">
        <f>IF(Учет!$O2275=Справочники!$F$4,Учет!$H2275,0)</f>
        <v>0</v>
      </c>
      <c r="T2275" s="48">
        <f>IF(Учет!$O2275=Справочники!$F$5,Учет!$H2275,0)</f>
        <v>0</v>
      </c>
      <c r="U2275" s="48">
        <f>IF(Учет!$O2275=Справочники!$F$6,Учет!$H2275,0)</f>
        <v>0</v>
      </c>
      <c r="V2275" s="43">
        <f>V2274+Учет!Q2275-Q2275</f>
        <v>-488978.92000000004</v>
      </c>
      <c r="W2275" s="43">
        <f>W2274+Учет!R2275-R2275</f>
        <v>336855</v>
      </c>
      <c r="X2275" s="43">
        <f>X2274+Учет!S2275-S2275</f>
        <v>500</v>
      </c>
      <c r="Y2275" s="43">
        <f>Y2274+Учет!T2275-T2275</f>
        <v>1150</v>
      </c>
      <c r="Z2275" s="43">
        <f>Z2274+Учет!U2275-U2275</f>
        <v>500000</v>
      </c>
      <c r="AA2275" s="45">
        <f>Учет!X2275</f>
        <v>500</v>
      </c>
    </row>
    <row r="2276" spans="1:27" ht="15" customHeight="1" x14ac:dyDescent="0.25">
      <c r="A2276" s="1"/>
      <c r="B2276" s="17"/>
      <c r="C2276" s="17"/>
      <c r="D2276" s="17"/>
      <c r="E2276" s="17"/>
      <c r="F2276" s="17"/>
      <c r="G2276" s="4">
        <f t="shared" si="102"/>
        <v>0</v>
      </c>
      <c r="H2276" s="17"/>
      <c r="I2276" s="4">
        <f t="shared" si="104"/>
        <v>349526.07999999996</v>
      </c>
      <c r="J2276" s="32" t="str">
        <f t="shared" si="103"/>
        <v/>
      </c>
      <c r="K2276" s="72"/>
      <c r="L2276" s="72"/>
      <c r="M2276" s="2"/>
      <c r="N2276" s="5"/>
      <c r="O2276" s="3"/>
      <c r="P2276" s="6"/>
      <c r="Q2276" s="48">
        <f>IF(Учет!$O2276=Справочники!$F$2,Учет!$H2276,0)</f>
        <v>0</v>
      </c>
      <c r="R2276" s="48">
        <f>IF(Учет!$O2276=Справочники!$F$3,Учет!$H2276,0)</f>
        <v>0</v>
      </c>
      <c r="S2276" s="48">
        <f>IF(Учет!$O2276=Справочники!$F$4,Учет!$H2276,0)</f>
        <v>0</v>
      </c>
      <c r="T2276" s="48">
        <f>IF(Учет!$O2276=Справочники!$F$5,Учет!$H2276,0)</f>
        <v>0</v>
      </c>
      <c r="U2276" s="48">
        <f>IF(Учет!$O2276=Справочники!$F$6,Учет!$H2276,0)</f>
        <v>0</v>
      </c>
      <c r="V2276" s="43">
        <f>V2275+Учет!Q2276-Q2276</f>
        <v>-488978.92000000004</v>
      </c>
      <c r="W2276" s="43">
        <f>W2275+Учет!R2276-R2276</f>
        <v>336855</v>
      </c>
      <c r="X2276" s="43">
        <f>X2275+Учет!S2276-S2276</f>
        <v>500</v>
      </c>
      <c r="Y2276" s="43">
        <f>Y2275+Учет!T2276-T2276</f>
        <v>1150</v>
      </c>
      <c r="Z2276" s="43">
        <f>Z2275+Учет!U2276-U2276</f>
        <v>500000</v>
      </c>
      <c r="AA2276" s="45">
        <f>Учет!X2276</f>
        <v>500</v>
      </c>
    </row>
    <row r="2277" spans="1:27" ht="15" customHeight="1" x14ac:dyDescent="0.25">
      <c r="A2277" s="1"/>
      <c r="B2277" s="17"/>
      <c r="C2277" s="17"/>
      <c r="D2277" s="17"/>
      <c r="E2277" s="17"/>
      <c r="F2277" s="17"/>
      <c r="G2277" s="4">
        <f t="shared" si="102"/>
        <v>0</v>
      </c>
      <c r="H2277" s="17"/>
      <c r="I2277" s="4">
        <f t="shared" si="104"/>
        <v>349526.07999999996</v>
      </c>
      <c r="J2277" s="32" t="str">
        <f t="shared" si="103"/>
        <v/>
      </c>
      <c r="K2277" s="72"/>
      <c r="L2277" s="72"/>
      <c r="M2277" s="2"/>
      <c r="N2277" s="5"/>
      <c r="O2277" s="3"/>
      <c r="P2277" s="6"/>
      <c r="Q2277" s="48">
        <f>IF(Учет!$O2277=Справочники!$F$2,Учет!$H2277,0)</f>
        <v>0</v>
      </c>
      <c r="R2277" s="48">
        <f>IF(Учет!$O2277=Справочники!$F$3,Учет!$H2277,0)</f>
        <v>0</v>
      </c>
      <c r="S2277" s="48">
        <f>IF(Учет!$O2277=Справочники!$F$4,Учет!$H2277,0)</f>
        <v>0</v>
      </c>
      <c r="T2277" s="48">
        <f>IF(Учет!$O2277=Справочники!$F$5,Учет!$H2277,0)</f>
        <v>0</v>
      </c>
      <c r="U2277" s="48">
        <f>IF(Учет!$O2277=Справочники!$F$6,Учет!$H2277,0)</f>
        <v>0</v>
      </c>
      <c r="V2277" s="43">
        <f>V2276+Учет!Q2277-Q2277</f>
        <v>-488978.92000000004</v>
      </c>
      <c r="W2277" s="43">
        <f>W2276+Учет!R2277-R2277</f>
        <v>336855</v>
      </c>
      <c r="X2277" s="43">
        <f>X2276+Учет!S2277-S2277</f>
        <v>500</v>
      </c>
      <c r="Y2277" s="43">
        <f>Y2276+Учет!T2277-T2277</f>
        <v>1150</v>
      </c>
      <c r="Z2277" s="43">
        <f>Z2276+Учет!U2277-U2277</f>
        <v>500000</v>
      </c>
      <c r="AA2277" s="45">
        <f>Учет!X2277</f>
        <v>500</v>
      </c>
    </row>
    <row r="2278" spans="1:27" ht="15" customHeight="1" x14ac:dyDescent="0.25">
      <c r="A2278" s="1"/>
      <c r="B2278" s="17"/>
      <c r="C2278" s="17"/>
      <c r="D2278" s="17"/>
      <c r="E2278" s="17"/>
      <c r="F2278" s="17"/>
      <c r="G2278" s="4">
        <f t="shared" si="102"/>
        <v>0</v>
      </c>
      <c r="H2278" s="17"/>
      <c r="I2278" s="4">
        <f t="shared" si="104"/>
        <v>349526.07999999996</v>
      </c>
      <c r="J2278" s="32" t="str">
        <f t="shared" si="103"/>
        <v/>
      </c>
      <c r="K2278" s="72"/>
      <c r="L2278" s="72"/>
      <c r="M2278" s="2"/>
      <c r="N2278" s="5"/>
      <c r="O2278" s="3"/>
      <c r="P2278" s="6"/>
      <c r="Q2278" s="48">
        <f>IF(Учет!$O2278=Справочники!$F$2,Учет!$H2278,0)</f>
        <v>0</v>
      </c>
      <c r="R2278" s="48">
        <f>IF(Учет!$O2278=Справочники!$F$3,Учет!$H2278,0)</f>
        <v>0</v>
      </c>
      <c r="S2278" s="48">
        <f>IF(Учет!$O2278=Справочники!$F$4,Учет!$H2278,0)</f>
        <v>0</v>
      </c>
      <c r="T2278" s="48">
        <f>IF(Учет!$O2278=Справочники!$F$5,Учет!$H2278,0)</f>
        <v>0</v>
      </c>
      <c r="U2278" s="48">
        <f>IF(Учет!$O2278=Справочники!$F$6,Учет!$H2278,0)</f>
        <v>0</v>
      </c>
      <c r="V2278" s="43">
        <f>V2277+Учет!Q2278-Q2278</f>
        <v>-488978.92000000004</v>
      </c>
      <c r="W2278" s="43">
        <f>W2277+Учет!R2278-R2278</f>
        <v>336855</v>
      </c>
      <c r="X2278" s="43">
        <f>X2277+Учет!S2278-S2278</f>
        <v>500</v>
      </c>
      <c r="Y2278" s="43">
        <f>Y2277+Учет!T2278-T2278</f>
        <v>1150</v>
      </c>
      <c r="Z2278" s="43">
        <f>Z2277+Учет!U2278-U2278</f>
        <v>500000</v>
      </c>
      <c r="AA2278" s="45">
        <f>Учет!X2278</f>
        <v>500</v>
      </c>
    </row>
    <row r="2279" spans="1:27" ht="15" customHeight="1" x14ac:dyDescent="0.25">
      <c r="A2279" s="1"/>
      <c r="B2279" s="17"/>
      <c r="C2279" s="17"/>
      <c r="D2279" s="17"/>
      <c r="E2279" s="17"/>
      <c r="F2279" s="17"/>
      <c r="G2279" s="4">
        <f t="shared" si="102"/>
        <v>0</v>
      </c>
      <c r="H2279" s="17"/>
      <c r="I2279" s="4">
        <f t="shared" si="104"/>
        <v>349526.07999999996</v>
      </c>
      <c r="J2279" s="32" t="str">
        <f t="shared" si="103"/>
        <v/>
      </c>
      <c r="K2279" s="72"/>
      <c r="L2279" s="72"/>
      <c r="M2279" s="2"/>
      <c r="N2279" s="5"/>
      <c r="O2279" s="3"/>
      <c r="P2279" s="6"/>
      <c r="Q2279" s="48">
        <f>IF(Учет!$O2279=Справочники!$F$2,Учет!$H2279,0)</f>
        <v>0</v>
      </c>
      <c r="R2279" s="48">
        <f>IF(Учет!$O2279=Справочники!$F$3,Учет!$H2279,0)</f>
        <v>0</v>
      </c>
      <c r="S2279" s="48">
        <f>IF(Учет!$O2279=Справочники!$F$4,Учет!$H2279,0)</f>
        <v>0</v>
      </c>
      <c r="T2279" s="48">
        <f>IF(Учет!$O2279=Справочники!$F$5,Учет!$H2279,0)</f>
        <v>0</v>
      </c>
      <c r="U2279" s="48">
        <f>IF(Учет!$O2279=Справочники!$F$6,Учет!$H2279,0)</f>
        <v>0</v>
      </c>
      <c r="V2279" s="43">
        <f>V2278+Учет!Q2279-Q2279</f>
        <v>-488978.92000000004</v>
      </c>
      <c r="W2279" s="43">
        <f>W2278+Учет!R2279-R2279</f>
        <v>336855</v>
      </c>
      <c r="X2279" s="43">
        <f>X2278+Учет!S2279-S2279</f>
        <v>500</v>
      </c>
      <c r="Y2279" s="43">
        <f>Y2278+Учет!T2279-T2279</f>
        <v>1150</v>
      </c>
      <c r="Z2279" s="43">
        <f>Z2278+Учет!U2279-U2279</f>
        <v>500000</v>
      </c>
      <c r="AA2279" s="45">
        <f>Учет!X2279</f>
        <v>500</v>
      </c>
    </row>
    <row r="2280" spans="1:27" ht="15" customHeight="1" x14ac:dyDescent="0.25">
      <c r="A2280" s="1"/>
      <c r="B2280" s="17"/>
      <c r="C2280" s="17"/>
      <c r="D2280" s="17"/>
      <c r="E2280" s="17"/>
      <c r="F2280" s="17"/>
      <c r="G2280" s="4">
        <f t="shared" si="102"/>
        <v>0</v>
      </c>
      <c r="H2280" s="17"/>
      <c r="I2280" s="4">
        <f t="shared" si="104"/>
        <v>349526.07999999996</v>
      </c>
      <c r="J2280" s="32" t="str">
        <f t="shared" si="103"/>
        <v/>
      </c>
      <c r="K2280" s="72"/>
      <c r="L2280" s="72"/>
      <c r="M2280" s="2"/>
      <c r="N2280" s="5"/>
      <c r="O2280" s="3"/>
      <c r="P2280" s="6"/>
      <c r="Q2280" s="48">
        <f>IF(Учет!$O2280=Справочники!$F$2,Учет!$H2280,0)</f>
        <v>0</v>
      </c>
      <c r="R2280" s="48">
        <f>IF(Учет!$O2280=Справочники!$F$3,Учет!$H2280,0)</f>
        <v>0</v>
      </c>
      <c r="S2280" s="48">
        <f>IF(Учет!$O2280=Справочники!$F$4,Учет!$H2280,0)</f>
        <v>0</v>
      </c>
      <c r="T2280" s="48">
        <f>IF(Учет!$O2280=Справочники!$F$5,Учет!$H2280,0)</f>
        <v>0</v>
      </c>
      <c r="U2280" s="48">
        <f>IF(Учет!$O2280=Справочники!$F$6,Учет!$H2280,0)</f>
        <v>0</v>
      </c>
      <c r="V2280" s="43">
        <f>V2279+Учет!Q2280-Q2280</f>
        <v>-488978.92000000004</v>
      </c>
      <c r="W2280" s="43">
        <f>W2279+Учет!R2280-R2280</f>
        <v>336855</v>
      </c>
      <c r="X2280" s="43">
        <f>X2279+Учет!S2280-S2280</f>
        <v>500</v>
      </c>
      <c r="Y2280" s="43">
        <f>Y2279+Учет!T2280-T2280</f>
        <v>1150</v>
      </c>
      <c r="Z2280" s="43">
        <f>Z2279+Учет!U2280-U2280</f>
        <v>500000</v>
      </c>
      <c r="AA2280" s="45">
        <f>Учет!X2280</f>
        <v>500</v>
      </c>
    </row>
    <row r="2281" spans="1:27" ht="15" customHeight="1" x14ac:dyDescent="0.25">
      <c r="A2281" s="1"/>
      <c r="B2281" s="17"/>
      <c r="C2281" s="17"/>
      <c r="D2281" s="17"/>
      <c r="E2281" s="17"/>
      <c r="F2281" s="17"/>
      <c r="G2281" s="4">
        <f t="shared" si="102"/>
        <v>0</v>
      </c>
      <c r="H2281" s="17"/>
      <c r="I2281" s="4">
        <f t="shared" si="104"/>
        <v>349526.07999999996</v>
      </c>
      <c r="J2281" s="32" t="str">
        <f t="shared" si="103"/>
        <v/>
      </c>
      <c r="K2281" s="72"/>
      <c r="L2281" s="72"/>
      <c r="M2281" s="2"/>
      <c r="N2281" s="5"/>
      <c r="O2281" s="3"/>
      <c r="P2281" s="6"/>
      <c r="Q2281" s="48">
        <f>IF(Учет!$O2281=Справочники!$F$2,Учет!$H2281,0)</f>
        <v>0</v>
      </c>
      <c r="R2281" s="48">
        <f>IF(Учет!$O2281=Справочники!$F$3,Учет!$H2281,0)</f>
        <v>0</v>
      </c>
      <c r="S2281" s="48">
        <f>IF(Учет!$O2281=Справочники!$F$4,Учет!$H2281,0)</f>
        <v>0</v>
      </c>
      <c r="T2281" s="48">
        <f>IF(Учет!$O2281=Справочники!$F$5,Учет!$H2281,0)</f>
        <v>0</v>
      </c>
      <c r="U2281" s="48">
        <f>IF(Учет!$O2281=Справочники!$F$6,Учет!$H2281,0)</f>
        <v>0</v>
      </c>
      <c r="V2281" s="43">
        <f>V2280+Учет!Q2281-Q2281</f>
        <v>-488978.92000000004</v>
      </c>
      <c r="W2281" s="43">
        <f>W2280+Учет!R2281-R2281</f>
        <v>336855</v>
      </c>
      <c r="X2281" s="43">
        <f>X2280+Учет!S2281-S2281</f>
        <v>500</v>
      </c>
      <c r="Y2281" s="43">
        <f>Y2280+Учет!T2281-T2281</f>
        <v>1150</v>
      </c>
      <c r="Z2281" s="43">
        <f>Z2280+Учет!U2281-U2281</f>
        <v>500000</v>
      </c>
      <c r="AA2281" s="45">
        <f>Учет!X2281</f>
        <v>500</v>
      </c>
    </row>
    <row r="2282" spans="1:27" ht="15" customHeight="1" x14ac:dyDescent="0.25">
      <c r="A2282" s="1"/>
      <c r="B2282" s="17"/>
      <c r="C2282" s="17"/>
      <c r="D2282" s="17"/>
      <c r="E2282" s="17"/>
      <c r="F2282" s="17"/>
      <c r="G2282" s="4">
        <f t="shared" si="102"/>
        <v>0</v>
      </c>
      <c r="H2282" s="17"/>
      <c r="I2282" s="4">
        <f t="shared" si="104"/>
        <v>349526.07999999996</v>
      </c>
      <c r="J2282" s="32" t="str">
        <f t="shared" si="103"/>
        <v/>
      </c>
      <c r="K2282" s="72"/>
      <c r="L2282" s="72"/>
      <c r="M2282" s="2"/>
      <c r="N2282" s="5"/>
      <c r="O2282" s="3"/>
      <c r="P2282" s="6"/>
      <c r="Q2282" s="48">
        <f>IF(Учет!$O2282=Справочники!$F$2,Учет!$H2282,0)</f>
        <v>0</v>
      </c>
      <c r="R2282" s="48">
        <f>IF(Учет!$O2282=Справочники!$F$3,Учет!$H2282,0)</f>
        <v>0</v>
      </c>
      <c r="S2282" s="48">
        <f>IF(Учет!$O2282=Справочники!$F$4,Учет!$H2282,0)</f>
        <v>0</v>
      </c>
      <c r="T2282" s="48">
        <f>IF(Учет!$O2282=Справочники!$F$5,Учет!$H2282,0)</f>
        <v>0</v>
      </c>
      <c r="U2282" s="48">
        <f>IF(Учет!$O2282=Справочники!$F$6,Учет!$H2282,0)</f>
        <v>0</v>
      </c>
      <c r="V2282" s="43">
        <f>V2281+Учет!Q2282-Q2282</f>
        <v>-488978.92000000004</v>
      </c>
      <c r="W2282" s="43">
        <f>W2281+Учет!R2282-R2282</f>
        <v>336855</v>
      </c>
      <c r="X2282" s="43">
        <f>X2281+Учет!S2282-S2282</f>
        <v>500</v>
      </c>
      <c r="Y2282" s="43">
        <f>Y2281+Учет!T2282-T2282</f>
        <v>1150</v>
      </c>
      <c r="Z2282" s="43">
        <f>Z2281+Учет!U2282-U2282</f>
        <v>500000</v>
      </c>
      <c r="AA2282" s="45">
        <f>Учет!X2282</f>
        <v>500</v>
      </c>
    </row>
    <row r="2283" spans="1:27" ht="15" customHeight="1" x14ac:dyDescent="0.25">
      <c r="A2283" s="1"/>
      <c r="B2283" s="17"/>
      <c r="C2283" s="17"/>
      <c r="D2283" s="17"/>
      <c r="E2283" s="17"/>
      <c r="F2283" s="17"/>
      <c r="G2283" s="4">
        <f t="shared" si="102"/>
        <v>0</v>
      </c>
      <c r="H2283" s="17"/>
      <c r="I2283" s="4">
        <f t="shared" si="104"/>
        <v>349526.07999999996</v>
      </c>
      <c r="J2283" s="32" t="str">
        <f t="shared" si="103"/>
        <v/>
      </c>
      <c r="K2283" s="72"/>
      <c r="L2283" s="72"/>
      <c r="M2283" s="2"/>
      <c r="N2283" s="5"/>
      <c r="O2283" s="3"/>
      <c r="P2283" s="6"/>
      <c r="Q2283" s="48">
        <f>IF(Учет!$O2283=Справочники!$F$2,Учет!$H2283,0)</f>
        <v>0</v>
      </c>
      <c r="R2283" s="48">
        <f>IF(Учет!$O2283=Справочники!$F$3,Учет!$H2283,0)</f>
        <v>0</v>
      </c>
      <c r="S2283" s="48">
        <f>IF(Учет!$O2283=Справочники!$F$4,Учет!$H2283,0)</f>
        <v>0</v>
      </c>
      <c r="T2283" s="48">
        <f>IF(Учет!$O2283=Справочники!$F$5,Учет!$H2283,0)</f>
        <v>0</v>
      </c>
      <c r="U2283" s="48">
        <f>IF(Учет!$O2283=Справочники!$F$6,Учет!$H2283,0)</f>
        <v>0</v>
      </c>
      <c r="V2283" s="43">
        <f>V2282+Учет!Q2283-Q2283</f>
        <v>-488978.92000000004</v>
      </c>
      <c r="W2283" s="43">
        <f>W2282+Учет!R2283-R2283</f>
        <v>336855</v>
      </c>
      <c r="X2283" s="43">
        <f>X2282+Учет!S2283-S2283</f>
        <v>500</v>
      </c>
      <c r="Y2283" s="43">
        <f>Y2282+Учет!T2283-T2283</f>
        <v>1150</v>
      </c>
      <c r="Z2283" s="43">
        <f>Z2282+Учет!U2283-U2283</f>
        <v>500000</v>
      </c>
      <c r="AA2283" s="45">
        <f>Учет!X2283</f>
        <v>500</v>
      </c>
    </row>
    <row r="2284" spans="1:27" ht="15" customHeight="1" x14ac:dyDescent="0.25">
      <c r="A2284" s="1"/>
      <c r="B2284" s="17"/>
      <c r="C2284" s="17"/>
      <c r="D2284" s="17"/>
      <c r="E2284" s="17"/>
      <c r="F2284" s="17"/>
      <c r="G2284" s="4">
        <f t="shared" si="102"/>
        <v>0</v>
      </c>
      <c r="H2284" s="17"/>
      <c r="I2284" s="4">
        <f t="shared" si="104"/>
        <v>349526.07999999996</v>
      </c>
      <c r="J2284" s="32" t="str">
        <f t="shared" si="103"/>
        <v/>
      </c>
      <c r="K2284" s="72"/>
      <c r="L2284" s="72"/>
      <c r="M2284" s="2"/>
      <c r="N2284" s="5"/>
      <c r="O2284" s="3"/>
      <c r="P2284" s="6"/>
      <c r="Q2284" s="48">
        <f>IF(Учет!$O2284=Справочники!$F$2,Учет!$H2284,0)</f>
        <v>0</v>
      </c>
      <c r="R2284" s="48">
        <f>IF(Учет!$O2284=Справочники!$F$3,Учет!$H2284,0)</f>
        <v>0</v>
      </c>
      <c r="S2284" s="48">
        <f>IF(Учет!$O2284=Справочники!$F$4,Учет!$H2284,0)</f>
        <v>0</v>
      </c>
      <c r="T2284" s="48">
        <f>IF(Учет!$O2284=Справочники!$F$5,Учет!$H2284,0)</f>
        <v>0</v>
      </c>
      <c r="U2284" s="48">
        <f>IF(Учет!$O2284=Справочники!$F$6,Учет!$H2284,0)</f>
        <v>0</v>
      </c>
      <c r="V2284" s="43">
        <f>V2283+Учет!Q2284-Q2284</f>
        <v>-488978.92000000004</v>
      </c>
      <c r="W2284" s="43">
        <f>W2283+Учет!R2284-R2284</f>
        <v>336855</v>
      </c>
      <c r="X2284" s="43">
        <f>X2283+Учет!S2284-S2284</f>
        <v>500</v>
      </c>
      <c r="Y2284" s="43">
        <f>Y2283+Учет!T2284-T2284</f>
        <v>1150</v>
      </c>
      <c r="Z2284" s="43">
        <f>Z2283+Учет!U2284-U2284</f>
        <v>500000</v>
      </c>
      <c r="AA2284" s="45">
        <f>Учет!X2284</f>
        <v>500</v>
      </c>
    </row>
    <row r="2285" spans="1:27" ht="15" customHeight="1" x14ac:dyDescent="0.25">
      <c r="A2285" s="1"/>
      <c r="B2285" s="17"/>
      <c r="C2285" s="17"/>
      <c r="D2285" s="17"/>
      <c r="E2285" s="17"/>
      <c r="F2285" s="17"/>
      <c r="G2285" s="4">
        <f t="shared" si="102"/>
        <v>0</v>
      </c>
      <c r="H2285" s="17"/>
      <c r="I2285" s="4">
        <f t="shared" si="104"/>
        <v>349526.07999999996</v>
      </c>
      <c r="J2285" s="32" t="str">
        <f t="shared" si="103"/>
        <v/>
      </c>
      <c r="K2285" s="72"/>
      <c r="L2285" s="72"/>
      <c r="M2285" s="2"/>
      <c r="N2285" s="5"/>
      <c r="O2285" s="3"/>
      <c r="P2285" s="6"/>
      <c r="Q2285" s="48">
        <f>IF(Учет!$O2285=Справочники!$F$2,Учет!$H2285,0)</f>
        <v>0</v>
      </c>
      <c r="R2285" s="48">
        <f>IF(Учет!$O2285=Справочники!$F$3,Учет!$H2285,0)</f>
        <v>0</v>
      </c>
      <c r="S2285" s="48">
        <f>IF(Учет!$O2285=Справочники!$F$4,Учет!$H2285,0)</f>
        <v>0</v>
      </c>
      <c r="T2285" s="48">
        <f>IF(Учет!$O2285=Справочники!$F$5,Учет!$H2285,0)</f>
        <v>0</v>
      </c>
      <c r="U2285" s="48">
        <f>IF(Учет!$O2285=Справочники!$F$6,Учет!$H2285,0)</f>
        <v>0</v>
      </c>
      <c r="V2285" s="43">
        <f>V2284+Учет!Q2285-Q2285</f>
        <v>-488978.92000000004</v>
      </c>
      <c r="W2285" s="43">
        <f>W2284+Учет!R2285-R2285</f>
        <v>336855</v>
      </c>
      <c r="X2285" s="43">
        <f>X2284+Учет!S2285-S2285</f>
        <v>500</v>
      </c>
      <c r="Y2285" s="43">
        <f>Y2284+Учет!T2285-T2285</f>
        <v>1150</v>
      </c>
      <c r="Z2285" s="43">
        <f>Z2284+Учет!U2285-U2285</f>
        <v>500000</v>
      </c>
      <c r="AA2285" s="45">
        <f>Учет!X2285</f>
        <v>500</v>
      </c>
    </row>
    <row r="2286" spans="1:27" ht="15" customHeight="1" x14ac:dyDescent="0.25">
      <c r="A2286" s="1"/>
      <c r="B2286" s="17"/>
      <c r="C2286" s="17"/>
      <c r="D2286" s="17"/>
      <c r="E2286" s="17"/>
      <c r="F2286" s="17"/>
      <c r="G2286" s="4">
        <f t="shared" si="102"/>
        <v>0</v>
      </c>
      <c r="H2286" s="17"/>
      <c r="I2286" s="4">
        <f t="shared" si="104"/>
        <v>349526.07999999996</v>
      </c>
      <c r="J2286" s="32" t="str">
        <f t="shared" si="103"/>
        <v/>
      </c>
      <c r="K2286" s="72"/>
      <c r="L2286" s="72"/>
      <c r="M2286" s="2"/>
      <c r="N2286" s="5"/>
      <c r="O2286" s="3"/>
      <c r="P2286" s="6"/>
      <c r="Q2286" s="48">
        <f>IF(Учет!$O2286=Справочники!$F$2,Учет!$H2286,0)</f>
        <v>0</v>
      </c>
      <c r="R2286" s="48">
        <f>IF(Учет!$O2286=Справочники!$F$3,Учет!$H2286,0)</f>
        <v>0</v>
      </c>
      <c r="S2286" s="48">
        <f>IF(Учет!$O2286=Справочники!$F$4,Учет!$H2286,0)</f>
        <v>0</v>
      </c>
      <c r="T2286" s="48">
        <f>IF(Учет!$O2286=Справочники!$F$5,Учет!$H2286,0)</f>
        <v>0</v>
      </c>
      <c r="U2286" s="48">
        <f>IF(Учет!$O2286=Справочники!$F$6,Учет!$H2286,0)</f>
        <v>0</v>
      </c>
      <c r="V2286" s="43">
        <f>V2285+Учет!Q2286-Q2286</f>
        <v>-488978.92000000004</v>
      </c>
      <c r="W2286" s="43">
        <f>W2285+Учет!R2286-R2286</f>
        <v>336855</v>
      </c>
      <c r="X2286" s="43">
        <f>X2285+Учет!S2286-S2286</f>
        <v>500</v>
      </c>
      <c r="Y2286" s="43">
        <f>Y2285+Учет!T2286-T2286</f>
        <v>1150</v>
      </c>
      <c r="Z2286" s="43">
        <f>Z2285+Учет!U2286-U2286</f>
        <v>500000</v>
      </c>
      <c r="AA2286" s="45">
        <f>Учет!X2286</f>
        <v>500</v>
      </c>
    </row>
    <row r="2287" spans="1:27" ht="15" customHeight="1" x14ac:dyDescent="0.25">
      <c r="A2287" s="1"/>
      <c r="B2287" s="17"/>
      <c r="C2287" s="17"/>
      <c r="D2287" s="17"/>
      <c r="E2287" s="17"/>
      <c r="F2287" s="17"/>
      <c r="G2287" s="4">
        <f t="shared" si="102"/>
        <v>0</v>
      </c>
      <c r="H2287" s="17"/>
      <c r="I2287" s="4">
        <f t="shared" si="104"/>
        <v>349526.07999999996</v>
      </c>
      <c r="J2287" s="32" t="str">
        <f t="shared" si="103"/>
        <v/>
      </c>
      <c r="K2287" s="72"/>
      <c r="L2287" s="72"/>
      <c r="M2287" s="2"/>
      <c r="N2287" s="5"/>
      <c r="O2287" s="3"/>
      <c r="P2287" s="6"/>
      <c r="Q2287" s="48">
        <f>IF(Учет!$O2287=Справочники!$F$2,Учет!$H2287,0)</f>
        <v>0</v>
      </c>
      <c r="R2287" s="48">
        <f>IF(Учет!$O2287=Справочники!$F$3,Учет!$H2287,0)</f>
        <v>0</v>
      </c>
      <c r="S2287" s="48">
        <f>IF(Учет!$O2287=Справочники!$F$4,Учет!$H2287,0)</f>
        <v>0</v>
      </c>
      <c r="T2287" s="48">
        <f>IF(Учет!$O2287=Справочники!$F$5,Учет!$H2287,0)</f>
        <v>0</v>
      </c>
      <c r="U2287" s="48">
        <f>IF(Учет!$O2287=Справочники!$F$6,Учет!$H2287,0)</f>
        <v>0</v>
      </c>
      <c r="V2287" s="43">
        <f>V2286+Учет!Q2287-Q2287</f>
        <v>-488978.92000000004</v>
      </c>
      <c r="W2287" s="43">
        <f>W2286+Учет!R2287-R2287</f>
        <v>336855</v>
      </c>
      <c r="X2287" s="43">
        <f>X2286+Учет!S2287-S2287</f>
        <v>500</v>
      </c>
      <c r="Y2287" s="43">
        <f>Y2286+Учет!T2287-T2287</f>
        <v>1150</v>
      </c>
      <c r="Z2287" s="43">
        <f>Z2286+Учет!U2287-U2287</f>
        <v>500000</v>
      </c>
      <c r="AA2287" s="45">
        <f>Учет!X2287</f>
        <v>500</v>
      </c>
    </row>
    <row r="2288" spans="1:27" ht="15" customHeight="1" x14ac:dyDescent="0.25">
      <c r="A2288" s="1"/>
      <c r="B2288" s="17"/>
      <c r="C2288" s="17"/>
      <c r="D2288" s="17"/>
      <c r="E2288" s="17"/>
      <c r="F2288" s="17"/>
      <c r="G2288" s="4">
        <f t="shared" si="102"/>
        <v>0</v>
      </c>
      <c r="H2288" s="17"/>
      <c r="I2288" s="4">
        <f t="shared" si="104"/>
        <v>349526.07999999996</v>
      </c>
      <c r="J2288" s="32" t="str">
        <f t="shared" si="103"/>
        <v/>
      </c>
      <c r="K2288" s="72"/>
      <c r="L2288" s="72"/>
      <c r="M2288" s="2"/>
      <c r="N2288" s="5"/>
      <c r="O2288" s="3"/>
      <c r="P2288" s="6"/>
      <c r="Q2288" s="48">
        <f>IF(Учет!$O2288=Справочники!$F$2,Учет!$H2288,0)</f>
        <v>0</v>
      </c>
      <c r="R2288" s="48">
        <f>IF(Учет!$O2288=Справочники!$F$3,Учет!$H2288,0)</f>
        <v>0</v>
      </c>
      <c r="S2288" s="48">
        <f>IF(Учет!$O2288=Справочники!$F$4,Учет!$H2288,0)</f>
        <v>0</v>
      </c>
      <c r="T2288" s="48">
        <f>IF(Учет!$O2288=Справочники!$F$5,Учет!$H2288,0)</f>
        <v>0</v>
      </c>
      <c r="U2288" s="48">
        <f>IF(Учет!$O2288=Справочники!$F$6,Учет!$H2288,0)</f>
        <v>0</v>
      </c>
      <c r="V2288" s="43">
        <f>V2287+Учет!Q2288-Q2288</f>
        <v>-488978.92000000004</v>
      </c>
      <c r="W2288" s="43">
        <f>W2287+Учет!R2288-R2288</f>
        <v>336855</v>
      </c>
      <c r="X2288" s="43">
        <f>X2287+Учет!S2288-S2288</f>
        <v>500</v>
      </c>
      <c r="Y2288" s="43">
        <f>Y2287+Учет!T2288-T2288</f>
        <v>1150</v>
      </c>
      <c r="Z2288" s="43">
        <f>Z2287+Учет!U2288-U2288</f>
        <v>500000</v>
      </c>
      <c r="AA2288" s="45">
        <f>Учет!X2288</f>
        <v>500</v>
      </c>
    </row>
    <row r="2289" spans="1:27" ht="15" customHeight="1" x14ac:dyDescent="0.25">
      <c r="A2289" s="1"/>
      <c r="B2289" s="17"/>
      <c r="C2289" s="17"/>
      <c r="D2289" s="17"/>
      <c r="E2289" s="17"/>
      <c r="F2289" s="17"/>
      <c r="G2289" s="4">
        <f t="shared" si="102"/>
        <v>0</v>
      </c>
      <c r="H2289" s="17"/>
      <c r="I2289" s="4">
        <f t="shared" si="104"/>
        <v>349526.07999999996</v>
      </c>
      <c r="J2289" s="32" t="str">
        <f t="shared" si="103"/>
        <v/>
      </c>
      <c r="K2289" s="72"/>
      <c r="L2289" s="72"/>
      <c r="M2289" s="2"/>
      <c r="N2289" s="5"/>
      <c r="O2289" s="3"/>
      <c r="P2289" s="6"/>
      <c r="Q2289" s="48">
        <f>IF(Учет!$O2289=Справочники!$F$2,Учет!$H2289,0)</f>
        <v>0</v>
      </c>
      <c r="R2289" s="48">
        <f>IF(Учет!$O2289=Справочники!$F$3,Учет!$H2289,0)</f>
        <v>0</v>
      </c>
      <c r="S2289" s="48">
        <f>IF(Учет!$O2289=Справочники!$F$4,Учет!$H2289,0)</f>
        <v>0</v>
      </c>
      <c r="T2289" s="48">
        <f>IF(Учет!$O2289=Справочники!$F$5,Учет!$H2289,0)</f>
        <v>0</v>
      </c>
      <c r="U2289" s="48">
        <f>IF(Учет!$O2289=Справочники!$F$6,Учет!$H2289,0)</f>
        <v>0</v>
      </c>
      <c r="V2289" s="43">
        <f>V2288+Учет!Q2289-Q2289</f>
        <v>-488978.92000000004</v>
      </c>
      <c r="W2289" s="43">
        <f>W2288+Учет!R2289-R2289</f>
        <v>336855</v>
      </c>
      <c r="X2289" s="43">
        <f>X2288+Учет!S2289-S2289</f>
        <v>500</v>
      </c>
      <c r="Y2289" s="43">
        <f>Y2288+Учет!T2289-T2289</f>
        <v>1150</v>
      </c>
      <c r="Z2289" s="43">
        <f>Z2288+Учет!U2289-U2289</f>
        <v>500000</v>
      </c>
      <c r="AA2289" s="45">
        <f>Учет!X2289</f>
        <v>500</v>
      </c>
    </row>
    <row r="2290" spans="1:27" ht="15" customHeight="1" x14ac:dyDescent="0.25">
      <c r="A2290" s="1"/>
      <c r="B2290" s="17"/>
      <c r="C2290" s="17"/>
      <c r="D2290" s="17"/>
      <c r="E2290" s="17"/>
      <c r="F2290" s="17"/>
      <c r="G2290" s="4">
        <f t="shared" si="102"/>
        <v>0</v>
      </c>
      <c r="H2290" s="17"/>
      <c r="I2290" s="4">
        <f t="shared" si="104"/>
        <v>349526.07999999996</v>
      </c>
      <c r="J2290" s="32" t="str">
        <f t="shared" si="103"/>
        <v/>
      </c>
      <c r="K2290" s="72"/>
      <c r="L2290" s="72"/>
      <c r="M2290" s="2"/>
      <c r="N2290" s="5"/>
      <c r="O2290" s="3"/>
      <c r="P2290" s="6"/>
      <c r="Q2290" s="48">
        <f>IF(Учет!$O2290=Справочники!$F$2,Учет!$H2290,0)</f>
        <v>0</v>
      </c>
      <c r="R2290" s="48">
        <f>IF(Учет!$O2290=Справочники!$F$3,Учет!$H2290,0)</f>
        <v>0</v>
      </c>
      <c r="S2290" s="48">
        <f>IF(Учет!$O2290=Справочники!$F$4,Учет!$H2290,0)</f>
        <v>0</v>
      </c>
      <c r="T2290" s="48">
        <f>IF(Учет!$O2290=Справочники!$F$5,Учет!$H2290,0)</f>
        <v>0</v>
      </c>
      <c r="U2290" s="48">
        <f>IF(Учет!$O2290=Справочники!$F$6,Учет!$H2290,0)</f>
        <v>0</v>
      </c>
      <c r="V2290" s="43">
        <f>V2289+Учет!Q2290-Q2290</f>
        <v>-488978.92000000004</v>
      </c>
      <c r="W2290" s="43">
        <f>W2289+Учет!R2290-R2290</f>
        <v>336855</v>
      </c>
      <c r="X2290" s="43">
        <f>X2289+Учет!S2290-S2290</f>
        <v>500</v>
      </c>
      <c r="Y2290" s="43">
        <f>Y2289+Учет!T2290-T2290</f>
        <v>1150</v>
      </c>
      <c r="Z2290" s="43">
        <f>Z2289+Учет!U2290-U2290</f>
        <v>500000</v>
      </c>
      <c r="AA2290" s="45">
        <f>Учет!X2290</f>
        <v>500</v>
      </c>
    </row>
    <row r="2291" spans="1:27" ht="15" customHeight="1" x14ac:dyDescent="0.25">
      <c r="A2291" s="1"/>
      <c r="B2291" s="17"/>
      <c r="C2291" s="17"/>
      <c r="D2291" s="17"/>
      <c r="E2291" s="17"/>
      <c r="F2291" s="17"/>
      <c r="G2291" s="4">
        <f t="shared" si="102"/>
        <v>0</v>
      </c>
      <c r="H2291" s="17"/>
      <c r="I2291" s="4">
        <f t="shared" si="104"/>
        <v>349526.07999999996</v>
      </c>
      <c r="J2291" s="32" t="str">
        <f t="shared" si="103"/>
        <v/>
      </c>
      <c r="K2291" s="72"/>
      <c r="L2291" s="72"/>
      <c r="M2291" s="2"/>
      <c r="N2291" s="5"/>
      <c r="O2291" s="3"/>
      <c r="P2291" s="6"/>
      <c r="Q2291" s="48">
        <f>IF(Учет!$O2291=Справочники!$F$2,Учет!$H2291,0)</f>
        <v>0</v>
      </c>
      <c r="R2291" s="48">
        <f>IF(Учет!$O2291=Справочники!$F$3,Учет!$H2291,0)</f>
        <v>0</v>
      </c>
      <c r="S2291" s="48">
        <f>IF(Учет!$O2291=Справочники!$F$4,Учет!$H2291,0)</f>
        <v>0</v>
      </c>
      <c r="T2291" s="48">
        <f>IF(Учет!$O2291=Справочники!$F$5,Учет!$H2291,0)</f>
        <v>0</v>
      </c>
      <c r="U2291" s="48">
        <f>IF(Учет!$O2291=Справочники!$F$6,Учет!$H2291,0)</f>
        <v>0</v>
      </c>
      <c r="V2291" s="43">
        <f>V2290+Учет!Q2291-Q2291</f>
        <v>-488978.92000000004</v>
      </c>
      <c r="W2291" s="43">
        <f>W2290+Учет!R2291-R2291</f>
        <v>336855</v>
      </c>
      <c r="X2291" s="43">
        <f>X2290+Учет!S2291-S2291</f>
        <v>500</v>
      </c>
      <c r="Y2291" s="43">
        <f>Y2290+Учет!T2291-T2291</f>
        <v>1150</v>
      </c>
      <c r="Z2291" s="43">
        <f>Z2290+Учет!U2291-U2291</f>
        <v>500000</v>
      </c>
      <c r="AA2291" s="45">
        <f>Учет!X2291</f>
        <v>500</v>
      </c>
    </row>
    <row r="2292" spans="1:27" ht="15" customHeight="1" x14ac:dyDescent="0.25">
      <c r="A2292" s="1"/>
      <c r="B2292" s="17"/>
      <c r="C2292" s="17"/>
      <c r="D2292" s="17"/>
      <c r="E2292" s="17"/>
      <c r="F2292" s="17"/>
      <c r="G2292" s="4">
        <f t="shared" si="102"/>
        <v>0</v>
      </c>
      <c r="H2292" s="17"/>
      <c r="I2292" s="4">
        <f t="shared" si="104"/>
        <v>349526.07999999996</v>
      </c>
      <c r="J2292" s="32" t="str">
        <f t="shared" si="103"/>
        <v/>
      </c>
      <c r="K2292" s="72"/>
      <c r="L2292" s="72"/>
      <c r="M2292" s="2"/>
      <c r="N2292" s="5"/>
      <c r="O2292" s="3"/>
      <c r="P2292" s="6"/>
      <c r="Q2292" s="48">
        <f>IF(Учет!$O2292=Справочники!$F$2,Учет!$H2292,0)</f>
        <v>0</v>
      </c>
      <c r="R2292" s="48">
        <f>IF(Учет!$O2292=Справочники!$F$3,Учет!$H2292,0)</f>
        <v>0</v>
      </c>
      <c r="S2292" s="48">
        <f>IF(Учет!$O2292=Справочники!$F$4,Учет!$H2292,0)</f>
        <v>0</v>
      </c>
      <c r="T2292" s="48">
        <f>IF(Учет!$O2292=Справочники!$F$5,Учет!$H2292,0)</f>
        <v>0</v>
      </c>
      <c r="U2292" s="48">
        <f>IF(Учет!$O2292=Справочники!$F$6,Учет!$H2292,0)</f>
        <v>0</v>
      </c>
      <c r="V2292" s="43">
        <f>V2291+Учет!Q2292-Q2292</f>
        <v>-488978.92000000004</v>
      </c>
      <c r="W2292" s="43">
        <f>W2291+Учет!R2292-R2292</f>
        <v>336855</v>
      </c>
      <c r="X2292" s="43">
        <f>X2291+Учет!S2292-S2292</f>
        <v>500</v>
      </c>
      <c r="Y2292" s="43">
        <f>Y2291+Учет!T2292-T2292</f>
        <v>1150</v>
      </c>
      <c r="Z2292" s="43">
        <f>Z2291+Учет!U2292-U2292</f>
        <v>500000</v>
      </c>
      <c r="AA2292" s="45">
        <f>Учет!X2292</f>
        <v>500</v>
      </c>
    </row>
    <row r="2293" spans="1:27" ht="15" customHeight="1" x14ac:dyDescent="0.25">
      <c r="A2293" s="1"/>
      <c r="B2293" s="17"/>
      <c r="C2293" s="17"/>
      <c r="D2293" s="17"/>
      <c r="E2293" s="17"/>
      <c r="F2293" s="17"/>
      <c r="G2293" s="4">
        <f t="shared" si="102"/>
        <v>0</v>
      </c>
      <c r="H2293" s="17"/>
      <c r="I2293" s="4">
        <f t="shared" si="104"/>
        <v>349526.07999999996</v>
      </c>
      <c r="J2293" s="32" t="str">
        <f t="shared" si="103"/>
        <v/>
      </c>
      <c r="K2293" s="72"/>
      <c r="L2293" s="72"/>
      <c r="M2293" s="2"/>
      <c r="N2293" s="5"/>
      <c r="O2293" s="3"/>
      <c r="P2293" s="6"/>
      <c r="Q2293" s="48">
        <f>IF(Учет!$O2293=Справочники!$F$2,Учет!$H2293,0)</f>
        <v>0</v>
      </c>
      <c r="R2293" s="48">
        <f>IF(Учет!$O2293=Справочники!$F$3,Учет!$H2293,0)</f>
        <v>0</v>
      </c>
      <c r="S2293" s="48">
        <f>IF(Учет!$O2293=Справочники!$F$4,Учет!$H2293,0)</f>
        <v>0</v>
      </c>
      <c r="T2293" s="48">
        <f>IF(Учет!$O2293=Справочники!$F$5,Учет!$H2293,0)</f>
        <v>0</v>
      </c>
      <c r="U2293" s="48">
        <f>IF(Учет!$O2293=Справочники!$F$6,Учет!$H2293,0)</f>
        <v>0</v>
      </c>
      <c r="V2293" s="43">
        <f>V2292+Учет!Q2293-Q2293</f>
        <v>-488978.92000000004</v>
      </c>
      <c r="W2293" s="43">
        <f>W2292+Учет!R2293-R2293</f>
        <v>336855</v>
      </c>
      <c r="X2293" s="43">
        <f>X2292+Учет!S2293-S2293</f>
        <v>500</v>
      </c>
      <c r="Y2293" s="43">
        <f>Y2292+Учет!T2293-T2293</f>
        <v>1150</v>
      </c>
      <c r="Z2293" s="43">
        <f>Z2292+Учет!U2293-U2293</f>
        <v>500000</v>
      </c>
      <c r="AA2293" s="45">
        <f>Учет!X2293</f>
        <v>500</v>
      </c>
    </row>
    <row r="2294" spans="1:27" ht="15" customHeight="1" x14ac:dyDescent="0.25">
      <c r="A2294" s="1"/>
      <c r="B2294" s="17"/>
      <c r="C2294" s="17"/>
      <c r="D2294" s="17"/>
      <c r="E2294" s="17"/>
      <c r="F2294" s="17"/>
      <c r="G2294" s="4">
        <f t="shared" si="102"/>
        <v>0</v>
      </c>
      <c r="H2294" s="17"/>
      <c r="I2294" s="4">
        <f t="shared" si="104"/>
        <v>349526.07999999996</v>
      </c>
      <c r="J2294" s="32" t="str">
        <f t="shared" si="103"/>
        <v/>
      </c>
      <c r="K2294" s="72"/>
      <c r="L2294" s="72"/>
      <c r="M2294" s="2"/>
      <c r="N2294" s="5"/>
      <c r="O2294" s="3"/>
      <c r="P2294" s="6"/>
      <c r="Q2294" s="48">
        <f>IF(Учет!$O2294=Справочники!$F$2,Учет!$H2294,0)</f>
        <v>0</v>
      </c>
      <c r="R2294" s="48">
        <f>IF(Учет!$O2294=Справочники!$F$3,Учет!$H2294,0)</f>
        <v>0</v>
      </c>
      <c r="S2294" s="48">
        <f>IF(Учет!$O2294=Справочники!$F$4,Учет!$H2294,0)</f>
        <v>0</v>
      </c>
      <c r="T2294" s="48">
        <f>IF(Учет!$O2294=Справочники!$F$5,Учет!$H2294,0)</f>
        <v>0</v>
      </c>
      <c r="U2294" s="48">
        <f>IF(Учет!$O2294=Справочники!$F$6,Учет!$H2294,0)</f>
        <v>0</v>
      </c>
      <c r="V2294" s="43">
        <f>V2293+Учет!Q2294-Q2294</f>
        <v>-488978.92000000004</v>
      </c>
      <c r="W2294" s="43">
        <f>W2293+Учет!R2294-R2294</f>
        <v>336855</v>
      </c>
      <c r="X2294" s="43">
        <f>X2293+Учет!S2294-S2294</f>
        <v>500</v>
      </c>
      <c r="Y2294" s="43">
        <f>Y2293+Учет!T2294-T2294</f>
        <v>1150</v>
      </c>
      <c r="Z2294" s="43">
        <f>Z2293+Учет!U2294-U2294</f>
        <v>500000</v>
      </c>
      <c r="AA2294" s="45">
        <f>Учет!X2294</f>
        <v>500</v>
      </c>
    </row>
    <row r="2295" spans="1:27" ht="15" customHeight="1" x14ac:dyDescent="0.25">
      <c r="A2295" s="1"/>
      <c r="B2295" s="17"/>
      <c r="C2295" s="17"/>
      <c r="D2295" s="17"/>
      <c r="E2295" s="17"/>
      <c r="F2295" s="17"/>
      <c r="G2295" s="4">
        <f t="shared" si="102"/>
        <v>0</v>
      </c>
      <c r="H2295" s="17"/>
      <c r="I2295" s="4">
        <f t="shared" si="104"/>
        <v>349526.07999999996</v>
      </c>
      <c r="J2295" s="32" t="str">
        <f t="shared" si="103"/>
        <v/>
      </c>
      <c r="K2295" s="72"/>
      <c r="L2295" s="72"/>
      <c r="M2295" s="2"/>
      <c r="N2295" s="5"/>
      <c r="O2295" s="3"/>
      <c r="P2295" s="6"/>
      <c r="Q2295" s="48">
        <f>IF(Учет!$O2295=Справочники!$F$2,Учет!$H2295,0)</f>
        <v>0</v>
      </c>
      <c r="R2295" s="48">
        <f>IF(Учет!$O2295=Справочники!$F$3,Учет!$H2295,0)</f>
        <v>0</v>
      </c>
      <c r="S2295" s="48">
        <f>IF(Учет!$O2295=Справочники!$F$4,Учет!$H2295,0)</f>
        <v>0</v>
      </c>
      <c r="T2295" s="48">
        <f>IF(Учет!$O2295=Справочники!$F$5,Учет!$H2295,0)</f>
        <v>0</v>
      </c>
      <c r="U2295" s="48">
        <f>IF(Учет!$O2295=Справочники!$F$6,Учет!$H2295,0)</f>
        <v>0</v>
      </c>
      <c r="V2295" s="43">
        <f>V2294+Учет!Q2295-Q2295</f>
        <v>-488978.92000000004</v>
      </c>
      <c r="W2295" s="43">
        <f>W2294+Учет!R2295-R2295</f>
        <v>336855</v>
      </c>
      <c r="X2295" s="43">
        <f>X2294+Учет!S2295-S2295</f>
        <v>500</v>
      </c>
      <c r="Y2295" s="43">
        <f>Y2294+Учет!T2295-T2295</f>
        <v>1150</v>
      </c>
      <c r="Z2295" s="43">
        <f>Z2294+Учет!U2295-U2295</f>
        <v>500000</v>
      </c>
      <c r="AA2295" s="45">
        <f>Учет!X2295</f>
        <v>500</v>
      </c>
    </row>
    <row r="2296" spans="1:27" ht="15" customHeight="1" x14ac:dyDescent="0.25">
      <c r="A2296" s="1"/>
      <c r="B2296" s="17"/>
      <c r="C2296" s="17"/>
      <c r="D2296" s="17"/>
      <c r="E2296" s="17"/>
      <c r="F2296" s="17"/>
      <c r="G2296" s="4">
        <f t="shared" si="102"/>
        <v>0</v>
      </c>
      <c r="H2296" s="17"/>
      <c r="I2296" s="4">
        <f t="shared" si="104"/>
        <v>349526.07999999996</v>
      </c>
      <c r="J2296" s="32" t="str">
        <f t="shared" si="103"/>
        <v/>
      </c>
      <c r="K2296" s="72"/>
      <c r="L2296" s="72"/>
      <c r="M2296" s="2"/>
      <c r="N2296" s="5"/>
      <c r="O2296" s="3"/>
      <c r="P2296" s="6"/>
      <c r="Q2296" s="48">
        <f>IF(Учет!$O2296=Справочники!$F$2,Учет!$H2296,0)</f>
        <v>0</v>
      </c>
      <c r="R2296" s="48">
        <f>IF(Учет!$O2296=Справочники!$F$3,Учет!$H2296,0)</f>
        <v>0</v>
      </c>
      <c r="S2296" s="48">
        <f>IF(Учет!$O2296=Справочники!$F$4,Учет!$H2296,0)</f>
        <v>0</v>
      </c>
      <c r="T2296" s="48">
        <f>IF(Учет!$O2296=Справочники!$F$5,Учет!$H2296,0)</f>
        <v>0</v>
      </c>
      <c r="U2296" s="48">
        <f>IF(Учет!$O2296=Справочники!$F$6,Учет!$H2296,0)</f>
        <v>0</v>
      </c>
      <c r="V2296" s="43">
        <f>V2295+Учет!Q2296-Q2296</f>
        <v>-488978.92000000004</v>
      </c>
      <c r="W2296" s="43">
        <f>W2295+Учет!R2296-R2296</f>
        <v>336855</v>
      </c>
      <c r="X2296" s="43">
        <f>X2295+Учет!S2296-S2296</f>
        <v>500</v>
      </c>
      <c r="Y2296" s="43">
        <f>Y2295+Учет!T2296-T2296</f>
        <v>1150</v>
      </c>
      <c r="Z2296" s="43">
        <f>Z2295+Учет!U2296-U2296</f>
        <v>500000</v>
      </c>
      <c r="AA2296" s="45">
        <f>Учет!X2296</f>
        <v>500</v>
      </c>
    </row>
    <row r="2297" spans="1:27" ht="15" customHeight="1" x14ac:dyDescent="0.25">
      <c r="A2297" s="1"/>
      <c r="B2297" s="17"/>
      <c r="C2297" s="17"/>
      <c r="D2297" s="17"/>
      <c r="E2297" s="17"/>
      <c r="F2297" s="17"/>
      <c r="G2297" s="4">
        <f t="shared" si="102"/>
        <v>0</v>
      </c>
      <c r="H2297" s="17"/>
      <c r="I2297" s="4">
        <f t="shared" si="104"/>
        <v>349526.07999999996</v>
      </c>
      <c r="J2297" s="32" t="str">
        <f t="shared" si="103"/>
        <v/>
      </c>
      <c r="K2297" s="72"/>
      <c r="L2297" s="72"/>
      <c r="M2297" s="2"/>
      <c r="N2297" s="5"/>
      <c r="O2297" s="3"/>
      <c r="P2297" s="6"/>
      <c r="Q2297" s="48">
        <f>IF(Учет!$O2297=Справочники!$F$2,Учет!$H2297,0)</f>
        <v>0</v>
      </c>
      <c r="R2297" s="48">
        <f>IF(Учет!$O2297=Справочники!$F$3,Учет!$H2297,0)</f>
        <v>0</v>
      </c>
      <c r="S2297" s="48">
        <f>IF(Учет!$O2297=Справочники!$F$4,Учет!$H2297,0)</f>
        <v>0</v>
      </c>
      <c r="T2297" s="48">
        <f>IF(Учет!$O2297=Справочники!$F$5,Учет!$H2297,0)</f>
        <v>0</v>
      </c>
      <c r="U2297" s="48">
        <f>IF(Учет!$O2297=Справочники!$F$6,Учет!$H2297,0)</f>
        <v>0</v>
      </c>
      <c r="V2297" s="43">
        <f>V2296+Учет!Q2297-Q2297</f>
        <v>-488978.92000000004</v>
      </c>
      <c r="W2297" s="43">
        <f>W2296+Учет!R2297-R2297</f>
        <v>336855</v>
      </c>
      <c r="X2297" s="43">
        <f>X2296+Учет!S2297-S2297</f>
        <v>500</v>
      </c>
      <c r="Y2297" s="43">
        <f>Y2296+Учет!T2297-T2297</f>
        <v>1150</v>
      </c>
      <c r="Z2297" s="43">
        <f>Z2296+Учет!U2297-U2297</f>
        <v>500000</v>
      </c>
      <c r="AA2297" s="45">
        <f>Учет!X2297</f>
        <v>500</v>
      </c>
    </row>
    <row r="2298" spans="1:27" ht="15" customHeight="1" x14ac:dyDescent="0.25">
      <c r="A2298" s="1"/>
      <c r="B2298" s="17"/>
      <c r="C2298" s="17"/>
      <c r="D2298" s="17"/>
      <c r="E2298" s="17"/>
      <c r="F2298" s="17"/>
      <c r="G2298" s="4">
        <f t="shared" si="102"/>
        <v>0</v>
      </c>
      <c r="H2298" s="17"/>
      <c r="I2298" s="4">
        <f t="shared" si="104"/>
        <v>349526.07999999996</v>
      </c>
      <c r="J2298" s="32" t="str">
        <f t="shared" si="103"/>
        <v/>
      </c>
      <c r="K2298" s="72"/>
      <c r="L2298" s="72"/>
      <c r="M2298" s="2"/>
      <c r="N2298" s="5"/>
      <c r="O2298" s="3"/>
      <c r="P2298" s="6"/>
      <c r="Q2298" s="48">
        <f>IF(Учет!$O2298=Справочники!$F$2,Учет!$H2298,0)</f>
        <v>0</v>
      </c>
      <c r="R2298" s="48">
        <f>IF(Учет!$O2298=Справочники!$F$3,Учет!$H2298,0)</f>
        <v>0</v>
      </c>
      <c r="S2298" s="48">
        <f>IF(Учет!$O2298=Справочники!$F$4,Учет!$H2298,0)</f>
        <v>0</v>
      </c>
      <c r="T2298" s="48">
        <f>IF(Учет!$O2298=Справочники!$F$5,Учет!$H2298,0)</f>
        <v>0</v>
      </c>
      <c r="U2298" s="48">
        <f>IF(Учет!$O2298=Справочники!$F$6,Учет!$H2298,0)</f>
        <v>0</v>
      </c>
      <c r="V2298" s="43">
        <f>V2297+Учет!Q2298-Q2298</f>
        <v>-488978.92000000004</v>
      </c>
      <c r="W2298" s="43">
        <f>W2297+Учет!R2298-R2298</f>
        <v>336855</v>
      </c>
      <c r="X2298" s="43">
        <f>X2297+Учет!S2298-S2298</f>
        <v>500</v>
      </c>
      <c r="Y2298" s="43">
        <f>Y2297+Учет!T2298-T2298</f>
        <v>1150</v>
      </c>
      <c r="Z2298" s="43">
        <f>Z2297+Учет!U2298-U2298</f>
        <v>500000</v>
      </c>
      <c r="AA2298" s="45">
        <f>Учет!X2298</f>
        <v>500</v>
      </c>
    </row>
    <row r="2299" spans="1:27" ht="15" customHeight="1" x14ac:dyDescent="0.25">
      <c r="A2299" s="1"/>
      <c r="B2299" s="17"/>
      <c r="C2299" s="17"/>
      <c r="D2299" s="17"/>
      <c r="E2299" s="17"/>
      <c r="F2299" s="17"/>
      <c r="G2299" s="4">
        <f t="shared" si="102"/>
        <v>0</v>
      </c>
      <c r="H2299" s="17"/>
      <c r="I2299" s="4">
        <f t="shared" si="104"/>
        <v>349526.07999999996</v>
      </c>
      <c r="J2299" s="32" t="str">
        <f t="shared" si="103"/>
        <v/>
      </c>
      <c r="K2299" s="72"/>
      <c r="L2299" s="72"/>
      <c r="M2299" s="2"/>
      <c r="N2299" s="5"/>
      <c r="O2299" s="3"/>
      <c r="P2299" s="6"/>
      <c r="Q2299" s="48">
        <f>IF(Учет!$O2299=Справочники!$F$2,Учет!$H2299,0)</f>
        <v>0</v>
      </c>
      <c r="R2299" s="48">
        <f>IF(Учет!$O2299=Справочники!$F$3,Учет!$H2299,0)</f>
        <v>0</v>
      </c>
      <c r="S2299" s="48">
        <f>IF(Учет!$O2299=Справочники!$F$4,Учет!$H2299,0)</f>
        <v>0</v>
      </c>
      <c r="T2299" s="48">
        <f>IF(Учет!$O2299=Справочники!$F$5,Учет!$H2299,0)</f>
        <v>0</v>
      </c>
      <c r="U2299" s="48">
        <f>IF(Учет!$O2299=Справочники!$F$6,Учет!$H2299,0)</f>
        <v>0</v>
      </c>
      <c r="V2299" s="43">
        <f>V2298+Учет!Q2299-Q2299</f>
        <v>-488978.92000000004</v>
      </c>
      <c r="W2299" s="43">
        <f>W2298+Учет!R2299-R2299</f>
        <v>336855</v>
      </c>
      <c r="X2299" s="43">
        <f>X2298+Учет!S2299-S2299</f>
        <v>500</v>
      </c>
      <c r="Y2299" s="43">
        <f>Y2298+Учет!T2299-T2299</f>
        <v>1150</v>
      </c>
      <c r="Z2299" s="43">
        <f>Z2298+Учет!U2299-U2299</f>
        <v>500000</v>
      </c>
      <c r="AA2299" s="45">
        <f>Учет!X2299</f>
        <v>500</v>
      </c>
    </row>
    <row r="2300" spans="1:27" ht="15" customHeight="1" x14ac:dyDescent="0.25">
      <c r="A2300" s="1"/>
      <c r="B2300" s="17"/>
      <c r="C2300" s="17"/>
      <c r="D2300" s="17"/>
      <c r="E2300" s="17"/>
      <c r="F2300" s="17"/>
      <c r="G2300" s="4">
        <f t="shared" si="102"/>
        <v>0</v>
      </c>
      <c r="H2300" s="17"/>
      <c r="I2300" s="4">
        <f t="shared" si="104"/>
        <v>349526.07999999996</v>
      </c>
      <c r="J2300" s="32" t="str">
        <f t="shared" si="103"/>
        <v/>
      </c>
      <c r="K2300" s="72"/>
      <c r="L2300" s="72"/>
      <c r="M2300" s="2"/>
      <c r="N2300" s="5"/>
      <c r="O2300" s="3"/>
      <c r="P2300" s="6"/>
      <c r="Q2300" s="48">
        <f>IF(Учет!$O2300=Справочники!$F$2,Учет!$H2300,0)</f>
        <v>0</v>
      </c>
      <c r="R2300" s="48">
        <f>IF(Учет!$O2300=Справочники!$F$3,Учет!$H2300,0)</f>
        <v>0</v>
      </c>
      <c r="S2300" s="48">
        <f>IF(Учет!$O2300=Справочники!$F$4,Учет!$H2300,0)</f>
        <v>0</v>
      </c>
      <c r="T2300" s="48">
        <f>IF(Учет!$O2300=Справочники!$F$5,Учет!$H2300,0)</f>
        <v>0</v>
      </c>
      <c r="U2300" s="48">
        <f>IF(Учет!$O2300=Справочники!$F$6,Учет!$H2300,0)</f>
        <v>0</v>
      </c>
      <c r="V2300" s="43">
        <f>V2299+Учет!Q2300-Q2300</f>
        <v>-488978.92000000004</v>
      </c>
      <c r="W2300" s="43">
        <f>W2299+Учет!R2300-R2300</f>
        <v>336855</v>
      </c>
      <c r="X2300" s="43">
        <f>X2299+Учет!S2300-S2300</f>
        <v>500</v>
      </c>
      <c r="Y2300" s="43">
        <f>Y2299+Учет!T2300-T2300</f>
        <v>1150</v>
      </c>
      <c r="Z2300" s="43">
        <f>Z2299+Учет!U2300-U2300</f>
        <v>500000</v>
      </c>
      <c r="AA2300" s="45">
        <f>Учет!X2300</f>
        <v>500</v>
      </c>
    </row>
    <row r="2301" spans="1:27" ht="15" customHeight="1" x14ac:dyDescent="0.25">
      <c r="A2301" s="1"/>
      <c r="B2301" s="17"/>
      <c r="C2301" s="17"/>
      <c r="D2301" s="17"/>
      <c r="E2301" s="17"/>
      <c r="F2301" s="17"/>
      <c r="G2301" s="4">
        <f t="shared" si="102"/>
        <v>0</v>
      </c>
      <c r="H2301" s="17"/>
      <c r="I2301" s="4">
        <f t="shared" si="104"/>
        <v>349526.07999999996</v>
      </c>
      <c r="J2301" s="32" t="str">
        <f t="shared" si="103"/>
        <v/>
      </c>
      <c r="K2301" s="72"/>
      <c r="L2301" s="72"/>
      <c r="M2301" s="2"/>
      <c r="N2301" s="5"/>
      <c r="O2301" s="3"/>
      <c r="P2301" s="6"/>
      <c r="Q2301" s="48">
        <f>IF(Учет!$O2301=Справочники!$F$2,Учет!$H2301,0)</f>
        <v>0</v>
      </c>
      <c r="R2301" s="48">
        <f>IF(Учет!$O2301=Справочники!$F$3,Учет!$H2301,0)</f>
        <v>0</v>
      </c>
      <c r="S2301" s="48">
        <f>IF(Учет!$O2301=Справочники!$F$4,Учет!$H2301,0)</f>
        <v>0</v>
      </c>
      <c r="T2301" s="48">
        <f>IF(Учет!$O2301=Справочники!$F$5,Учет!$H2301,0)</f>
        <v>0</v>
      </c>
      <c r="U2301" s="48">
        <f>IF(Учет!$O2301=Справочники!$F$6,Учет!$H2301,0)</f>
        <v>0</v>
      </c>
      <c r="V2301" s="43">
        <f>V2300+Учет!Q2301-Q2301</f>
        <v>-488978.92000000004</v>
      </c>
      <c r="W2301" s="43">
        <f>W2300+Учет!R2301-R2301</f>
        <v>336855</v>
      </c>
      <c r="X2301" s="43">
        <f>X2300+Учет!S2301-S2301</f>
        <v>500</v>
      </c>
      <c r="Y2301" s="43">
        <f>Y2300+Учет!T2301-T2301</f>
        <v>1150</v>
      </c>
      <c r="Z2301" s="43">
        <f>Z2300+Учет!U2301-U2301</f>
        <v>500000</v>
      </c>
      <c r="AA2301" s="45">
        <f>Учет!X2301</f>
        <v>500</v>
      </c>
    </row>
    <row r="2302" spans="1:27" ht="15" customHeight="1" x14ac:dyDescent="0.25">
      <c r="A2302" s="1"/>
      <c r="B2302" s="17"/>
      <c r="C2302" s="17"/>
      <c r="D2302" s="17"/>
      <c r="E2302" s="17"/>
      <c r="F2302" s="17"/>
      <c r="G2302" s="4">
        <f t="shared" si="102"/>
        <v>0</v>
      </c>
      <c r="H2302" s="17"/>
      <c r="I2302" s="4">
        <f t="shared" si="104"/>
        <v>349526.07999999996</v>
      </c>
      <c r="J2302" s="32" t="str">
        <f t="shared" si="103"/>
        <v/>
      </c>
      <c r="K2302" s="72"/>
      <c r="L2302" s="72"/>
      <c r="M2302" s="2"/>
      <c r="N2302" s="5"/>
      <c r="O2302" s="3"/>
      <c r="P2302" s="6"/>
      <c r="Q2302" s="48">
        <f>IF(Учет!$O2302=Справочники!$F$2,Учет!$H2302,0)</f>
        <v>0</v>
      </c>
      <c r="R2302" s="48">
        <f>IF(Учет!$O2302=Справочники!$F$3,Учет!$H2302,0)</f>
        <v>0</v>
      </c>
      <c r="S2302" s="48">
        <f>IF(Учет!$O2302=Справочники!$F$4,Учет!$H2302,0)</f>
        <v>0</v>
      </c>
      <c r="T2302" s="48">
        <f>IF(Учет!$O2302=Справочники!$F$5,Учет!$H2302,0)</f>
        <v>0</v>
      </c>
      <c r="U2302" s="48">
        <f>IF(Учет!$O2302=Справочники!$F$6,Учет!$H2302,0)</f>
        <v>0</v>
      </c>
      <c r="V2302" s="43">
        <f>V2301+Учет!Q2302-Q2302</f>
        <v>-488978.92000000004</v>
      </c>
      <c r="W2302" s="43">
        <f>W2301+Учет!R2302-R2302</f>
        <v>336855</v>
      </c>
      <c r="X2302" s="43">
        <f>X2301+Учет!S2302-S2302</f>
        <v>500</v>
      </c>
      <c r="Y2302" s="43">
        <f>Y2301+Учет!T2302-T2302</f>
        <v>1150</v>
      </c>
      <c r="Z2302" s="43">
        <f>Z2301+Учет!U2302-U2302</f>
        <v>500000</v>
      </c>
      <c r="AA2302" s="45">
        <f>Учет!X2302</f>
        <v>500</v>
      </c>
    </row>
    <row r="2303" spans="1:27" ht="15" customHeight="1" x14ac:dyDescent="0.25">
      <c r="A2303" s="1"/>
      <c r="B2303" s="17"/>
      <c r="C2303" s="17"/>
      <c r="D2303" s="17"/>
      <c r="E2303" s="17"/>
      <c r="F2303" s="17"/>
      <c r="G2303" s="4">
        <f t="shared" si="102"/>
        <v>0</v>
      </c>
      <c r="H2303" s="17"/>
      <c r="I2303" s="4">
        <f t="shared" si="104"/>
        <v>349526.07999999996</v>
      </c>
      <c r="J2303" s="32" t="str">
        <f t="shared" si="103"/>
        <v/>
      </c>
      <c r="K2303" s="72"/>
      <c r="L2303" s="72"/>
      <c r="M2303" s="2"/>
      <c r="N2303" s="5"/>
      <c r="O2303" s="3"/>
      <c r="P2303" s="6"/>
      <c r="Q2303" s="48">
        <f>IF(Учет!$O2303=Справочники!$F$2,Учет!$H2303,0)</f>
        <v>0</v>
      </c>
      <c r="R2303" s="48">
        <f>IF(Учет!$O2303=Справочники!$F$3,Учет!$H2303,0)</f>
        <v>0</v>
      </c>
      <c r="S2303" s="48">
        <f>IF(Учет!$O2303=Справочники!$F$4,Учет!$H2303,0)</f>
        <v>0</v>
      </c>
      <c r="T2303" s="48">
        <f>IF(Учет!$O2303=Справочники!$F$5,Учет!$H2303,0)</f>
        <v>0</v>
      </c>
      <c r="U2303" s="48">
        <f>IF(Учет!$O2303=Справочники!$F$6,Учет!$H2303,0)</f>
        <v>0</v>
      </c>
      <c r="V2303" s="43">
        <f>V2302+Учет!Q2303-Q2303</f>
        <v>-488978.92000000004</v>
      </c>
      <c r="W2303" s="43">
        <f>W2302+Учет!R2303-R2303</f>
        <v>336855</v>
      </c>
      <c r="X2303" s="43">
        <f>X2302+Учет!S2303-S2303</f>
        <v>500</v>
      </c>
      <c r="Y2303" s="43">
        <f>Y2302+Учет!T2303-T2303</f>
        <v>1150</v>
      </c>
      <c r="Z2303" s="43">
        <f>Z2302+Учет!U2303-U2303</f>
        <v>500000</v>
      </c>
      <c r="AA2303" s="45">
        <f>Учет!X2303</f>
        <v>500</v>
      </c>
    </row>
    <row r="2304" spans="1:27" ht="15" customHeight="1" x14ac:dyDescent="0.25">
      <c r="A2304" s="1"/>
      <c r="B2304" s="17"/>
      <c r="C2304" s="17"/>
      <c r="D2304" s="17"/>
      <c r="E2304" s="17"/>
      <c r="F2304" s="17"/>
      <c r="G2304" s="4">
        <f t="shared" si="102"/>
        <v>0</v>
      </c>
      <c r="H2304" s="17"/>
      <c r="I2304" s="4">
        <f t="shared" si="104"/>
        <v>349526.07999999996</v>
      </c>
      <c r="J2304" s="32" t="str">
        <f t="shared" si="103"/>
        <v/>
      </c>
      <c r="K2304" s="72"/>
      <c r="L2304" s="72"/>
      <c r="M2304" s="2"/>
      <c r="N2304" s="5"/>
      <c r="O2304" s="3"/>
      <c r="P2304" s="6"/>
      <c r="Q2304" s="48">
        <f>IF(Учет!$O2304=Справочники!$F$2,Учет!$H2304,0)</f>
        <v>0</v>
      </c>
      <c r="R2304" s="48">
        <f>IF(Учет!$O2304=Справочники!$F$3,Учет!$H2304,0)</f>
        <v>0</v>
      </c>
      <c r="S2304" s="48">
        <f>IF(Учет!$O2304=Справочники!$F$4,Учет!$H2304,0)</f>
        <v>0</v>
      </c>
      <c r="T2304" s="48">
        <f>IF(Учет!$O2304=Справочники!$F$5,Учет!$H2304,0)</f>
        <v>0</v>
      </c>
      <c r="U2304" s="48">
        <f>IF(Учет!$O2304=Справочники!$F$6,Учет!$H2304,0)</f>
        <v>0</v>
      </c>
      <c r="V2304" s="43">
        <f>V2303+Учет!Q2304-Q2304</f>
        <v>-488978.92000000004</v>
      </c>
      <c r="W2304" s="43">
        <f>W2303+Учет!R2304-R2304</f>
        <v>336855</v>
      </c>
      <c r="X2304" s="43">
        <f>X2303+Учет!S2304-S2304</f>
        <v>500</v>
      </c>
      <c r="Y2304" s="43">
        <f>Y2303+Учет!T2304-T2304</f>
        <v>1150</v>
      </c>
      <c r="Z2304" s="43">
        <f>Z2303+Учет!U2304-U2304</f>
        <v>500000</v>
      </c>
      <c r="AA2304" s="45">
        <f>Учет!X2304</f>
        <v>500</v>
      </c>
    </row>
    <row r="2305" spans="1:27" ht="15" customHeight="1" x14ac:dyDescent="0.25">
      <c r="A2305" s="1"/>
      <c r="B2305" s="17"/>
      <c r="C2305" s="17"/>
      <c r="D2305" s="17"/>
      <c r="E2305" s="17"/>
      <c r="F2305" s="17"/>
      <c r="G2305" s="4">
        <f t="shared" si="102"/>
        <v>0</v>
      </c>
      <c r="H2305" s="17"/>
      <c r="I2305" s="4">
        <f t="shared" si="104"/>
        <v>349526.07999999996</v>
      </c>
      <c r="J2305" s="32" t="str">
        <f t="shared" si="103"/>
        <v/>
      </c>
      <c r="K2305" s="72"/>
      <c r="L2305" s="72"/>
      <c r="M2305" s="2"/>
      <c r="N2305" s="5"/>
      <c r="O2305" s="3"/>
      <c r="P2305" s="6"/>
      <c r="Q2305" s="48">
        <f>IF(Учет!$O2305=Справочники!$F$2,Учет!$H2305,0)</f>
        <v>0</v>
      </c>
      <c r="R2305" s="48">
        <f>IF(Учет!$O2305=Справочники!$F$3,Учет!$H2305,0)</f>
        <v>0</v>
      </c>
      <c r="S2305" s="48">
        <f>IF(Учет!$O2305=Справочники!$F$4,Учет!$H2305,0)</f>
        <v>0</v>
      </c>
      <c r="T2305" s="48">
        <f>IF(Учет!$O2305=Справочники!$F$5,Учет!$H2305,0)</f>
        <v>0</v>
      </c>
      <c r="U2305" s="48">
        <f>IF(Учет!$O2305=Справочники!$F$6,Учет!$H2305,0)</f>
        <v>0</v>
      </c>
      <c r="V2305" s="43">
        <f>V2304+Учет!Q2305-Q2305</f>
        <v>-488978.92000000004</v>
      </c>
      <c r="W2305" s="43">
        <f>W2304+Учет!R2305-R2305</f>
        <v>336855</v>
      </c>
      <c r="X2305" s="43">
        <f>X2304+Учет!S2305-S2305</f>
        <v>500</v>
      </c>
      <c r="Y2305" s="43">
        <f>Y2304+Учет!T2305-T2305</f>
        <v>1150</v>
      </c>
      <c r="Z2305" s="43">
        <f>Z2304+Учет!U2305-U2305</f>
        <v>500000</v>
      </c>
      <c r="AA2305" s="45">
        <f>Учет!X2305</f>
        <v>500</v>
      </c>
    </row>
    <row r="2306" spans="1:27" ht="15" customHeight="1" x14ac:dyDescent="0.25">
      <c r="A2306" s="1"/>
      <c r="B2306" s="17"/>
      <c r="C2306" s="17"/>
      <c r="D2306" s="17"/>
      <c r="E2306" s="17"/>
      <c r="F2306" s="17"/>
      <c r="G2306" s="4">
        <f t="shared" ref="G2306:G2369" si="105">SUM($B2306:$F2306)</f>
        <v>0</v>
      </c>
      <c r="H2306" s="17"/>
      <c r="I2306" s="4">
        <f t="shared" si="104"/>
        <v>349526.07999999996</v>
      </c>
      <c r="J2306" s="32" t="str">
        <f t="shared" ref="J2306:J2369" si="106">IF($A2307&lt;&gt;$A2306,$I2306,"")</f>
        <v/>
      </c>
      <c r="K2306" s="72"/>
      <c r="L2306" s="72"/>
      <c r="M2306" s="2"/>
      <c r="N2306" s="5"/>
      <c r="O2306" s="3"/>
      <c r="P2306" s="6"/>
      <c r="Q2306" s="48">
        <f>IF(Учет!$O2306=Справочники!$F$2,Учет!$H2306,0)</f>
        <v>0</v>
      </c>
      <c r="R2306" s="48">
        <f>IF(Учет!$O2306=Справочники!$F$3,Учет!$H2306,0)</f>
        <v>0</v>
      </c>
      <c r="S2306" s="48">
        <f>IF(Учет!$O2306=Справочники!$F$4,Учет!$H2306,0)</f>
        <v>0</v>
      </c>
      <c r="T2306" s="48">
        <f>IF(Учет!$O2306=Справочники!$F$5,Учет!$H2306,0)</f>
        <v>0</v>
      </c>
      <c r="U2306" s="48">
        <f>IF(Учет!$O2306=Справочники!$F$6,Учет!$H2306,0)</f>
        <v>0</v>
      </c>
      <c r="V2306" s="43">
        <f>V2305+Учет!Q2306-Q2306</f>
        <v>-488978.92000000004</v>
      </c>
      <c r="W2306" s="43">
        <f>W2305+Учет!R2306-R2306</f>
        <v>336855</v>
      </c>
      <c r="X2306" s="43">
        <f>X2305+Учет!S2306-S2306</f>
        <v>500</v>
      </c>
      <c r="Y2306" s="43">
        <f>Y2305+Учет!T2306-T2306</f>
        <v>1150</v>
      </c>
      <c r="Z2306" s="43">
        <f>Z2305+Учет!U2306-U2306</f>
        <v>500000</v>
      </c>
      <c r="AA2306" s="45">
        <f>Учет!X2306</f>
        <v>500</v>
      </c>
    </row>
    <row r="2307" spans="1:27" ht="15" customHeight="1" x14ac:dyDescent="0.25">
      <c r="A2307" s="1"/>
      <c r="B2307" s="17"/>
      <c r="C2307" s="17"/>
      <c r="D2307" s="17"/>
      <c r="E2307" s="17"/>
      <c r="F2307" s="17"/>
      <c r="G2307" s="4">
        <f t="shared" si="105"/>
        <v>0</v>
      </c>
      <c r="H2307" s="17"/>
      <c r="I2307" s="4">
        <f t="shared" ref="I2307:I2370" si="107">$I2306+$G2307-$H2307</f>
        <v>349526.07999999996</v>
      </c>
      <c r="J2307" s="32" t="str">
        <f t="shared" si="106"/>
        <v/>
      </c>
      <c r="K2307" s="72"/>
      <c r="L2307" s="72"/>
      <c r="M2307" s="2"/>
      <c r="N2307" s="5"/>
      <c r="O2307" s="3"/>
      <c r="P2307" s="6"/>
      <c r="Q2307" s="48">
        <f>IF(Учет!$O2307=Справочники!$F$2,Учет!$H2307,0)</f>
        <v>0</v>
      </c>
      <c r="R2307" s="48">
        <f>IF(Учет!$O2307=Справочники!$F$3,Учет!$H2307,0)</f>
        <v>0</v>
      </c>
      <c r="S2307" s="48">
        <f>IF(Учет!$O2307=Справочники!$F$4,Учет!$H2307,0)</f>
        <v>0</v>
      </c>
      <c r="T2307" s="48">
        <f>IF(Учет!$O2307=Справочники!$F$5,Учет!$H2307,0)</f>
        <v>0</v>
      </c>
      <c r="U2307" s="48">
        <f>IF(Учет!$O2307=Справочники!$F$6,Учет!$H2307,0)</f>
        <v>0</v>
      </c>
      <c r="V2307" s="43">
        <f>V2306+Учет!Q2307-Q2307</f>
        <v>-488978.92000000004</v>
      </c>
      <c r="W2307" s="43">
        <f>W2306+Учет!R2307-R2307</f>
        <v>336855</v>
      </c>
      <c r="X2307" s="43">
        <f>X2306+Учет!S2307-S2307</f>
        <v>500</v>
      </c>
      <c r="Y2307" s="43">
        <f>Y2306+Учет!T2307-T2307</f>
        <v>1150</v>
      </c>
      <c r="Z2307" s="43">
        <f>Z2306+Учет!U2307-U2307</f>
        <v>500000</v>
      </c>
      <c r="AA2307" s="45">
        <f>Учет!X2307</f>
        <v>500</v>
      </c>
    </row>
    <row r="2308" spans="1:27" ht="15" customHeight="1" x14ac:dyDescent="0.25">
      <c r="A2308" s="1"/>
      <c r="B2308" s="17"/>
      <c r="C2308" s="17"/>
      <c r="D2308" s="17"/>
      <c r="E2308" s="17"/>
      <c r="F2308" s="17"/>
      <c r="G2308" s="4">
        <f t="shared" si="105"/>
        <v>0</v>
      </c>
      <c r="H2308" s="17"/>
      <c r="I2308" s="4">
        <f t="shared" si="107"/>
        <v>349526.07999999996</v>
      </c>
      <c r="J2308" s="32" t="str">
        <f t="shared" si="106"/>
        <v/>
      </c>
      <c r="K2308" s="72"/>
      <c r="L2308" s="72"/>
      <c r="M2308" s="2"/>
      <c r="N2308" s="5"/>
      <c r="O2308" s="3"/>
      <c r="P2308" s="6"/>
      <c r="Q2308" s="48">
        <f>IF(Учет!$O2308=Справочники!$F$2,Учет!$H2308,0)</f>
        <v>0</v>
      </c>
      <c r="R2308" s="48">
        <f>IF(Учет!$O2308=Справочники!$F$3,Учет!$H2308,0)</f>
        <v>0</v>
      </c>
      <c r="S2308" s="48">
        <f>IF(Учет!$O2308=Справочники!$F$4,Учет!$H2308,0)</f>
        <v>0</v>
      </c>
      <c r="T2308" s="48">
        <f>IF(Учет!$O2308=Справочники!$F$5,Учет!$H2308,0)</f>
        <v>0</v>
      </c>
      <c r="U2308" s="48">
        <f>IF(Учет!$O2308=Справочники!$F$6,Учет!$H2308,0)</f>
        <v>0</v>
      </c>
      <c r="V2308" s="43">
        <f>V2307+Учет!Q2308-Q2308</f>
        <v>-488978.92000000004</v>
      </c>
      <c r="W2308" s="43">
        <f>W2307+Учет!R2308-R2308</f>
        <v>336855</v>
      </c>
      <c r="X2308" s="43">
        <f>X2307+Учет!S2308-S2308</f>
        <v>500</v>
      </c>
      <c r="Y2308" s="43">
        <f>Y2307+Учет!T2308-T2308</f>
        <v>1150</v>
      </c>
      <c r="Z2308" s="43">
        <f>Z2307+Учет!U2308-U2308</f>
        <v>500000</v>
      </c>
      <c r="AA2308" s="45">
        <f>Учет!X2308</f>
        <v>500</v>
      </c>
    </row>
    <row r="2309" spans="1:27" ht="15" customHeight="1" x14ac:dyDescent="0.25">
      <c r="A2309" s="1"/>
      <c r="B2309" s="17"/>
      <c r="C2309" s="17"/>
      <c r="D2309" s="17"/>
      <c r="E2309" s="17"/>
      <c r="F2309" s="17"/>
      <c r="G2309" s="4">
        <f t="shared" si="105"/>
        <v>0</v>
      </c>
      <c r="H2309" s="17"/>
      <c r="I2309" s="4">
        <f t="shared" si="107"/>
        <v>349526.07999999996</v>
      </c>
      <c r="J2309" s="32" t="str">
        <f t="shared" si="106"/>
        <v/>
      </c>
      <c r="K2309" s="72"/>
      <c r="L2309" s="72"/>
      <c r="M2309" s="2"/>
      <c r="N2309" s="5"/>
      <c r="O2309" s="3"/>
      <c r="P2309" s="6"/>
      <c r="Q2309" s="48">
        <f>IF(Учет!$O2309=Справочники!$F$2,Учет!$H2309,0)</f>
        <v>0</v>
      </c>
      <c r="R2309" s="48">
        <f>IF(Учет!$O2309=Справочники!$F$3,Учет!$H2309,0)</f>
        <v>0</v>
      </c>
      <c r="S2309" s="48">
        <f>IF(Учет!$O2309=Справочники!$F$4,Учет!$H2309,0)</f>
        <v>0</v>
      </c>
      <c r="T2309" s="48">
        <f>IF(Учет!$O2309=Справочники!$F$5,Учет!$H2309,0)</f>
        <v>0</v>
      </c>
      <c r="U2309" s="48">
        <f>IF(Учет!$O2309=Справочники!$F$6,Учет!$H2309,0)</f>
        <v>0</v>
      </c>
      <c r="V2309" s="43">
        <f>V2308+Учет!Q2309-Q2309</f>
        <v>-488978.92000000004</v>
      </c>
      <c r="W2309" s="43">
        <f>W2308+Учет!R2309-R2309</f>
        <v>336855</v>
      </c>
      <c r="X2309" s="43">
        <f>X2308+Учет!S2309-S2309</f>
        <v>500</v>
      </c>
      <c r="Y2309" s="43">
        <f>Y2308+Учет!T2309-T2309</f>
        <v>1150</v>
      </c>
      <c r="Z2309" s="43">
        <f>Z2308+Учет!U2309-U2309</f>
        <v>500000</v>
      </c>
      <c r="AA2309" s="45">
        <f>Учет!X2309</f>
        <v>500</v>
      </c>
    </row>
    <row r="2310" spans="1:27" ht="15" customHeight="1" x14ac:dyDescent="0.25">
      <c r="A2310" s="1"/>
      <c r="B2310" s="17"/>
      <c r="C2310" s="17"/>
      <c r="D2310" s="17"/>
      <c r="E2310" s="17"/>
      <c r="F2310" s="17"/>
      <c r="G2310" s="4">
        <f t="shared" si="105"/>
        <v>0</v>
      </c>
      <c r="H2310" s="17"/>
      <c r="I2310" s="4">
        <f t="shared" si="107"/>
        <v>349526.07999999996</v>
      </c>
      <c r="J2310" s="32" t="str">
        <f t="shared" si="106"/>
        <v/>
      </c>
      <c r="K2310" s="72"/>
      <c r="L2310" s="72"/>
      <c r="M2310" s="2"/>
      <c r="N2310" s="5"/>
      <c r="O2310" s="3"/>
      <c r="P2310" s="6"/>
      <c r="Q2310" s="48">
        <f>IF(Учет!$O2310=Справочники!$F$2,Учет!$H2310,0)</f>
        <v>0</v>
      </c>
      <c r="R2310" s="48">
        <f>IF(Учет!$O2310=Справочники!$F$3,Учет!$H2310,0)</f>
        <v>0</v>
      </c>
      <c r="S2310" s="48">
        <f>IF(Учет!$O2310=Справочники!$F$4,Учет!$H2310,0)</f>
        <v>0</v>
      </c>
      <c r="T2310" s="48">
        <f>IF(Учет!$O2310=Справочники!$F$5,Учет!$H2310,0)</f>
        <v>0</v>
      </c>
      <c r="U2310" s="48">
        <f>IF(Учет!$O2310=Справочники!$F$6,Учет!$H2310,0)</f>
        <v>0</v>
      </c>
      <c r="V2310" s="43">
        <f>V2309+Учет!Q2310-Q2310</f>
        <v>-488978.92000000004</v>
      </c>
      <c r="W2310" s="43">
        <f>W2309+Учет!R2310-R2310</f>
        <v>336855</v>
      </c>
      <c r="X2310" s="43">
        <f>X2309+Учет!S2310-S2310</f>
        <v>500</v>
      </c>
      <c r="Y2310" s="43">
        <f>Y2309+Учет!T2310-T2310</f>
        <v>1150</v>
      </c>
      <c r="Z2310" s="43">
        <f>Z2309+Учет!U2310-U2310</f>
        <v>500000</v>
      </c>
      <c r="AA2310" s="45">
        <f>Учет!X2310</f>
        <v>500</v>
      </c>
    </row>
    <row r="2311" spans="1:27" ht="15" customHeight="1" x14ac:dyDescent="0.25">
      <c r="A2311" s="1"/>
      <c r="B2311" s="17"/>
      <c r="C2311" s="17"/>
      <c r="D2311" s="17"/>
      <c r="E2311" s="17"/>
      <c r="F2311" s="17"/>
      <c r="G2311" s="4">
        <f t="shared" si="105"/>
        <v>0</v>
      </c>
      <c r="H2311" s="17"/>
      <c r="I2311" s="4">
        <f t="shared" si="107"/>
        <v>349526.07999999996</v>
      </c>
      <c r="J2311" s="32" t="str">
        <f t="shared" si="106"/>
        <v/>
      </c>
      <c r="K2311" s="72"/>
      <c r="L2311" s="72"/>
      <c r="M2311" s="2"/>
      <c r="N2311" s="5"/>
      <c r="O2311" s="3"/>
      <c r="P2311" s="6"/>
      <c r="Q2311" s="48">
        <f>IF(Учет!$O2311=Справочники!$F$2,Учет!$H2311,0)</f>
        <v>0</v>
      </c>
      <c r="R2311" s="48">
        <f>IF(Учет!$O2311=Справочники!$F$3,Учет!$H2311,0)</f>
        <v>0</v>
      </c>
      <c r="S2311" s="48">
        <f>IF(Учет!$O2311=Справочники!$F$4,Учет!$H2311,0)</f>
        <v>0</v>
      </c>
      <c r="T2311" s="48">
        <f>IF(Учет!$O2311=Справочники!$F$5,Учет!$H2311,0)</f>
        <v>0</v>
      </c>
      <c r="U2311" s="48">
        <f>IF(Учет!$O2311=Справочники!$F$6,Учет!$H2311,0)</f>
        <v>0</v>
      </c>
      <c r="V2311" s="43">
        <f>V2310+Учет!Q2311-Q2311</f>
        <v>-488978.92000000004</v>
      </c>
      <c r="W2311" s="43">
        <f>W2310+Учет!R2311-R2311</f>
        <v>336855</v>
      </c>
      <c r="X2311" s="43">
        <f>X2310+Учет!S2311-S2311</f>
        <v>500</v>
      </c>
      <c r="Y2311" s="43">
        <f>Y2310+Учет!T2311-T2311</f>
        <v>1150</v>
      </c>
      <c r="Z2311" s="43">
        <f>Z2310+Учет!U2311-U2311</f>
        <v>500000</v>
      </c>
      <c r="AA2311" s="45">
        <f>Учет!X2311</f>
        <v>500</v>
      </c>
    </row>
    <row r="2312" spans="1:27" ht="15" customHeight="1" x14ac:dyDescent="0.25">
      <c r="A2312" s="1"/>
      <c r="B2312" s="17"/>
      <c r="C2312" s="17"/>
      <c r="D2312" s="17"/>
      <c r="E2312" s="17"/>
      <c r="F2312" s="17"/>
      <c r="G2312" s="4">
        <f t="shared" si="105"/>
        <v>0</v>
      </c>
      <c r="H2312" s="17"/>
      <c r="I2312" s="4">
        <f t="shared" si="107"/>
        <v>349526.07999999996</v>
      </c>
      <c r="J2312" s="32" t="str">
        <f t="shared" si="106"/>
        <v/>
      </c>
      <c r="K2312" s="72"/>
      <c r="L2312" s="72"/>
      <c r="M2312" s="2"/>
      <c r="N2312" s="5"/>
      <c r="O2312" s="3"/>
      <c r="P2312" s="6"/>
      <c r="Q2312" s="48">
        <f>IF(Учет!$O2312=Справочники!$F$2,Учет!$H2312,0)</f>
        <v>0</v>
      </c>
      <c r="R2312" s="48">
        <f>IF(Учет!$O2312=Справочники!$F$3,Учет!$H2312,0)</f>
        <v>0</v>
      </c>
      <c r="S2312" s="48">
        <f>IF(Учет!$O2312=Справочники!$F$4,Учет!$H2312,0)</f>
        <v>0</v>
      </c>
      <c r="T2312" s="48">
        <f>IF(Учет!$O2312=Справочники!$F$5,Учет!$H2312,0)</f>
        <v>0</v>
      </c>
      <c r="U2312" s="48">
        <f>IF(Учет!$O2312=Справочники!$F$6,Учет!$H2312,0)</f>
        <v>0</v>
      </c>
      <c r="V2312" s="43">
        <f>V2311+Учет!Q2312-Q2312</f>
        <v>-488978.92000000004</v>
      </c>
      <c r="W2312" s="43">
        <f>W2311+Учет!R2312-R2312</f>
        <v>336855</v>
      </c>
      <c r="X2312" s="43">
        <f>X2311+Учет!S2312-S2312</f>
        <v>500</v>
      </c>
      <c r="Y2312" s="43">
        <f>Y2311+Учет!T2312-T2312</f>
        <v>1150</v>
      </c>
      <c r="Z2312" s="43">
        <f>Z2311+Учет!U2312-U2312</f>
        <v>500000</v>
      </c>
      <c r="AA2312" s="45">
        <f>Учет!X2312</f>
        <v>500</v>
      </c>
    </row>
    <row r="2313" spans="1:27" ht="15" customHeight="1" x14ac:dyDescent="0.25">
      <c r="A2313" s="1"/>
      <c r="B2313" s="17"/>
      <c r="C2313" s="17"/>
      <c r="D2313" s="17"/>
      <c r="E2313" s="17"/>
      <c r="F2313" s="17"/>
      <c r="G2313" s="4">
        <f t="shared" si="105"/>
        <v>0</v>
      </c>
      <c r="H2313" s="17"/>
      <c r="I2313" s="4">
        <f t="shared" si="107"/>
        <v>349526.07999999996</v>
      </c>
      <c r="J2313" s="32" t="str">
        <f t="shared" si="106"/>
        <v/>
      </c>
      <c r="K2313" s="72"/>
      <c r="L2313" s="72"/>
      <c r="M2313" s="2"/>
      <c r="N2313" s="5"/>
      <c r="O2313" s="3"/>
      <c r="P2313" s="6"/>
      <c r="Q2313" s="48">
        <f>IF(Учет!$O2313=Справочники!$F$2,Учет!$H2313,0)</f>
        <v>0</v>
      </c>
      <c r="R2313" s="48">
        <f>IF(Учет!$O2313=Справочники!$F$3,Учет!$H2313,0)</f>
        <v>0</v>
      </c>
      <c r="S2313" s="48">
        <f>IF(Учет!$O2313=Справочники!$F$4,Учет!$H2313,0)</f>
        <v>0</v>
      </c>
      <c r="T2313" s="48">
        <f>IF(Учет!$O2313=Справочники!$F$5,Учет!$H2313,0)</f>
        <v>0</v>
      </c>
      <c r="U2313" s="48">
        <f>IF(Учет!$O2313=Справочники!$F$6,Учет!$H2313,0)</f>
        <v>0</v>
      </c>
      <c r="V2313" s="43">
        <f>V2312+Учет!Q2313-Q2313</f>
        <v>-488978.92000000004</v>
      </c>
      <c r="W2313" s="43">
        <f>W2312+Учет!R2313-R2313</f>
        <v>336855</v>
      </c>
      <c r="X2313" s="43">
        <f>X2312+Учет!S2313-S2313</f>
        <v>500</v>
      </c>
      <c r="Y2313" s="43">
        <f>Y2312+Учет!T2313-T2313</f>
        <v>1150</v>
      </c>
      <c r="Z2313" s="43">
        <f>Z2312+Учет!U2313-U2313</f>
        <v>500000</v>
      </c>
      <c r="AA2313" s="45">
        <f>Учет!X2313</f>
        <v>500</v>
      </c>
    </row>
    <row r="2314" spans="1:27" ht="15" customHeight="1" x14ac:dyDescent="0.25">
      <c r="A2314" s="1"/>
      <c r="B2314" s="17"/>
      <c r="C2314" s="17"/>
      <c r="D2314" s="17"/>
      <c r="E2314" s="17"/>
      <c r="F2314" s="17"/>
      <c r="G2314" s="4">
        <f t="shared" si="105"/>
        <v>0</v>
      </c>
      <c r="H2314" s="17"/>
      <c r="I2314" s="4">
        <f t="shared" si="107"/>
        <v>349526.07999999996</v>
      </c>
      <c r="J2314" s="32" t="str">
        <f t="shared" si="106"/>
        <v/>
      </c>
      <c r="K2314" s="72"/>
      <c r="L2314" s="72"/>
      <c r="M2314" s="2"/>
      <c r="N2314" s="5"/>
      <c r="O2314" s="3"/>
      <c r="P2314" s="6"/>
      <c r="Q2314" s="48">
        <f>IF(Учет!$O2314=Справочники!$F$2,Учет!$H2314,0)</f>
        <v>0</v>
      </c>
      <c r="R2314" s="48">
        <f>IF(Учет!$O2314=Справочники!$F$3,Учет!$H2314,0)</f>
        <v>0</v>
      </c>
      <c r="S2314" s="48">
        <f>IF(Учет!$O2314=Справочники!$F$4,Учет!$H2314,0)</f>
        <v>0</v>
      </c>
      <c r="T2314" s="48">
        <f>IF(Учет!$O2314=Справочники!$F$5,Учет!$H2314,0)</f>
        <v>0</v>
      </c>
      <c r="U2314" s="48">
        <f>IF(Учет!$O2314=Справочники!$F$6,Учет!$H2314,0)</f>
        <v>0</v>
      </c>
      <c r="V2314" s="43">
        <f>V2313+Учет!Q2314-Q2314</f>
        <v>-488978.92000000004</v>
      </c>
      <c r="W2314" s="43">
        <f>W2313+Учет!R2314-R2314</f>
        <v>336855</v>
      </c>
      <c r="X2314" s="43">
        <f>X2313+Учет!S2314-S2314</f>
        <v>500</v>
      </c>
      <c r="Y2314" s="43">
        <f>Y2313+Учет!T2314-T2314</f>
        <v>1150</v>
      </c>
      <c r="Z2314" s="43">
        <f>Z2313+Учет!U2314-U2314</f>
        <v>500000</v>
      </c>
      <c r="AA2314" s="45">
        <f>Учет!X2314</f>
        <v>500</v>
      </c>
    </row>
    <row r="2315" spans="1:27" ht="15" customHeight="1" x14ac:dyDescent="0.25">
      <c r="A2315" s="1"/>
      <c r="B2315" s="17"/>
      <c r="C2315" s="17"/>
      <c r="D2315" s="17"/>
      <c r="E2315" s="17"/>
      <c r="F2315" s="17"/>
      <c r="G2315" s="4">
        <f t="shared" si="105"/>
        <v>0</v>
      </c>
      <c r="H2315" s="17"/>
      <c r="I2315" s="4">
        <f t="shared" si="107"/>
        <v>349526.07999999996</v>
      </c>
      <c r="J2315" s="32" t="str">
        <f t="shared" si="106"/>
        <v/>
      </c>
      <c r="K2315" s="72"/>
      <c r="L2315" s="72"/>
      <c r="M2315" s="2"/>
      <c r="N2315" s="5"/>
      <c r="O2315" s="3"/>
      <c r="P2315" s="6"/>
      <c r="Q2315" s="48">
        <f>IF(Учет!$O2315=Справочники!$F$2,Учет!$H2315,0)</f>
        <v>0</v>
      </c>
      <c r="R2315" s="48">
        <f>IF(Учет!$O2315=Справочники!$F$3,Учет!$H2315,0)</f>
        <v>0</v>
      </c>
      <c r="S2315" s="48">
        <f>IF(Учет!$O2315=Справочники!$F$4,Учет!$H2315,0)</f>
        <v>0</v>
      </c>
      <c r="T2315" s="48">
        <f>IF(Учет!$O2315=Справочники!$F$5,Учет!$H2315,0)</f>
        <v>0</v>
      </c>
      <c r="U2315" s="48">
        <f>IF(Учет!$O2315=Справочники!$F$6,Учет!$H2315,0)</f>
        <v>0</v>
      </c>
      <c r="V2315" s="43">
        <f>V2314+Учет!Q2315-Q2315</f>
        <v>-488978.92000000004</v>
      </c>
      <c r="W2315" s="43">
        <f>W2314+Учет!R2315-R2315</f>
        <v>336855</v>
      </c>
      <c r="X2315" s="43">
        <f>X2314+Учет!S2315-S2315</f>
        <v>500</v>
      </c>
      <c r="Y2315" s="43">
        <f>Y2314+Учет!T2315-T2315</f>
        <v>1150</v>
      </c>
      <c r="Z2315" s="43">
        <f>Z2314+Учет!U2315-U2315</f>
        <v>500000</v>
      </c>
      <c r="AA2315" s="45">
        <f>Учет!X2315</f>
        <v>500</v>
      </c>
    </row>
    <row r="2316" spans="1:27" ht="15" customHeight="1" x14ac:dyDescent="0.25">
      <c r="A2316" s="1"/>
      <c r="B2316" s="17"/>
      <c r="C2316" s="17"/>
      <c r="D2316" s="17"/>
      <c r="E2316" s="17"/>
      <c r="F2316" s="17"/>
      <c r="G2316" s="4">
        <f t="shared" si="105"/>
        <v>0</v>
      </c>
      <c r="H2316" s="17"/>
      <c r="I2316" s="4">
        <f t="shared" si="107"/>
        <v>349526.07999999996</v>
      </c>
      <c r="J2316" s="32" t="str">
        <f t="shared" si="106"/>
        <v/>
      </c>
      <c r="K2316" s="72"/>
      <c r="L2316" s="72"/>
      <c r="M2316" s="2"/>
      <c r="N2316" s="5"/>
      <c r="O2316" s="3"/>
      <c r="P2316" s="6"/>
      <c r="Q2316" s="48">
        <f>IF(Учет!$O2316=Справочники!$F$2,Учет!$H2316,0)</f>
        <v>0</v>
      </c>
      <c r="R2316" s="48">
        <f>IF(Учет!$O2316=Справочники!$F$3,Учет!$H2316,0)</f>
        <v>0</v>
      </c>
      <c r="S2316" s="48">
        <f>IF(Учет!$O2316=Справочники!$F$4,Учет!$H2316,0)</f>
        <v>0</v>
      </c>
      <c r="T2316" s="48">
        <f>IF(Учет!$O2316=Справочники!$F$5,Учет!$H2316,0)</f>
        <v>0</v>
      </c>
      <c r="U2316" s="48">
        <f>IF(Учет!$O2316=Справочники!$F$6,Учет!$H2316,0)</f>
        <v>0</v>
      </c>
      <c r="V2316" s="43">
        <f>V2315+Учет!Q2316-Q2316</f>
        <v>-488978.92000000004</v>
      </c>
      <c r="W2316" s="43">
        <f>W2315+Учет!R2316-R2316</f>
        <v>336855</v>
      </c>
      <c r="X2316" s="43">
        <f>X2315+Учет!S2316-S2316</f>
        <v>500</v>
      </c>
      <c r="Y2316" s="43">
        <f>Y2315+Учет!T2316-T2316</f>
        <v>1150</v>
      </c>
      <c r="Z2316" s="43">
        <f>Z2315+Учет!U2316-U2316</f>
        <v>500000</v>
      </c>
      <c r="AA2316" s="45">
        <f>Учет!X2316</f>
        <v>500</v>
      </c>
    </row>
    <row r="2317" spans="1:27" ht="15" customHeight="1" x14ac:dyDescent="0.25">
      <c r="A2317" s="1"/>
      <c r="B2317" s="17"/>
      <c r="C2317" s="17"/>
      <c r="D2317" s="17"/>
      <c r="E2317" s="17"/>
      <c r="F2317" s="17"/>
      <c r="G2317" s="4">
        <f t="shared" si="105"/>
        <v>0</v>
      </c>
      <c r="H2317" s="17"/>
      <c r="I2317" s="4">
        <f t="shared" si="107"/>
        <v>349526.07999999996</v>
      </c>
      <c r="J2317" s="32" t="str">
        <f t="shared" si="106"/>
        <v/>
      </c>
      <c r="K2317" s="72"/>
      <c r="L2317" s="72"/>
      <c r="M2317" s="2"/>
      <c r="N2317" s="5"/>
      <c r="O2317" s="3"/>
      <c r="P2317" s="6"/>
      <c r="Q2317" s="48">
        <f>IF(Учет!$O2317=Справочники!$F$2,Учет!$H2317,0)</f>
        <v>0</v>
      </c>
      <c r="R2317" s="48">
        <f>IF(Учет!$O2317=Справочники!$F$3,Учет!$H2317,0)</f>
        <v>0</v>
      </c>
      <c r="S2317" s="48">
        <f>IF(Учет!$O2317=Справочники!$F$4,Учет!$H2317,0)</f>
        <v>0</v>
      </c>
      <c r="T2317" s="48">
        <f>IF(Учет!$O2317=Справочники!$F$5,Учет!$H2317,0)</f>
        <v>0</v>
      </c>
      <c r="U2317" s="48">
        <f>IF(Учет!$O2317=Справочники!$F$6,Учет!$H2317,0)</f>
        <v>0</v>
      </c>
      <c r="V2317" s="43">
        <f>V2316+Учет!Q2317-Q2317</f>
        <v>-488978.92000000004</v>
      </c>
      <c r="W2317" s="43">
        <f>W2316+Учет!R2317-R2317</f>
        <v>336855</v>
      </c>
      <c r="X2317" s="43">
        <f>X2316+Учет!S2317-S2317</f>
        <v>500</v>
      </c>
      <c r="Y2317" s="43">
        <f>Y2316+Учет!T2317-T2317</f>
        <v>1150</v>
      </c>
      <c r="Z2317" s="43">
        <f>Z2316+Учет!U2317-U2317</f>
        <v>500000</v>
      </c>
      <c r="AA2317" s="45">
        <f>Учет!X2317</f>
        <v>500</v>
      </c>
    </row>
    <row r="2318" spans="1:27" ht="15" customHeight="1" x14ac:dyDescent="0.25">
      <c r="A2318" s="1"/>
      <c r="B2318" s="17"/>
      <c r="C2318" s="17"/>
      <c r="D2318" s="17"/>
      <c r="E2318" s="17"/>
      <c r="F2318" s="17"/>
      <c r="G2318" s="4">
        <f t="shared" si="105"/>
        <v>0</v>
      </c>
      <c r="H2318" s="17"/>
      <c r="I2318" s="4">
        <f t="shared" si="107"/>
        <v>349526.07999999996</v>
      </c>
      <c r="J2318" s="32" t="str">
        <f t="shared" si="106"/>
        <v/>
      </c>
      <c r="K2318" s="72"/>
      <c r="L2318" s="72"/>
      <c r="M2318" s="2"/>
      <c r="N2318" s="5"/>
      <c r="O2318" s="3"/>
      <c r="P2318" s="6"/>
      <c r="Q2318" s="48">
        <f>IF(Учет!$O2318=Справочники!$F$2,Учет!$H2318,0)</f>
        <v>0</v>
      </c>
      <c r="R2318" s="48">
        <f>IF(Учет!$O2318=Справочники!$F$3,Учет!$H2318,0)</f>
        <v>0</v>
      </c>
      <c r="S2318" s="48">
        <f>IF(Учет!$O2318=Справочники!$F$4,Учет!$H2318,0)</f>
        <v>0</v>
      </c>
      <c r="T2318" s="48">
        <f>IF(Учет!$O2318=Справочники!$F$5,Учет!$H2318,0)</f>
        <v>0</v>
      </c>
      <c r="U2318" s="48">
        <f>IF(Учет!$O2318=Справочники!$F$6,Учет!$H2318,0)</f>
        <v>0</v>
      </c>
      <c r="V2318" s="43">
        <f>V2317+Учет!Q2318-Q2318</f>
        <v>-488978.92000000004</v>
      </c>
      <c r="W2318" s="43">
        <f>W2317+Учет!R2318-R2318</f>
        <v>336855</v>
      </c>
      <c r="X2318" s="43">
        <f>X2317+Учет!S2318-S2318</f>
        <v>500</v>
      </c>
      <c r="Y2318" s="43">
        <f>Y2317+Учет!T2318-T2318</f>
        <v>1150</v>
      </c>
      <c r="Z2318" s="43">
        <f>Z2317+Учет!U2318-U2318</f>
        <v>500000</v>
      </c>
      <c r="AA2318" s="45">
        <f>Учет!X2318</f>
        <v>500</v>
      </c>
    </row>
    <row r="2319" spans="1:27" ht="15" customHeight="1" x14ac:dyDescent="0.25">
      <c r="A2319" s="1"/>
      <c r="B2319" s="17"/>
      <c r="C2319" s="17"/>
      <c r="D2319" s="17"/>
      <c r="E2319" s="17"/>
      <c r="F2319" s="17"/>
      <c r="G2319" s="4">
        <f t="shared" si="105"/>
        <v>0</v>
      </c>
      <c r="H2319" s="17"/>
      <c r="I2319" s="4">
        <f t="shared" si="107"/>
        <v>349526.07999999996</v>
      </c>
      <c r="J2319" s="32" t="str">
        <f t="shared" si="106"/>
        <v/>
      </c>
      <c r="K2319" s="72"/>
      <c r="L2319" s="72"/>
      <c r="M2319" s="2"/>
      <c r="N2319" s="5"/>
      <c r="O2319" s="3"/>
      <c r="P2319" s="6"/>
      <c r="Q2319" s="48">
        <f>IF(Учет!$O2319=Справочники!$F$2,Учет!$H2319,0)</f>
        <v>0</v>
      </c>
      <c r="R2319" s="48">
        <f>IF(Учет!$O2319=Справочники!$F$3,Учет!$H2319,0)</f>
        <v>0</v>
      </c>
      <c r="S2319" s="48">
        <f>IF(Учет!$O2319=Справочники!$F$4,Учет!$H2319,0)</f>
        <v>0</v>
      </c>
      <c r="T2319" s="48">
        <f>IF(Учет!$O2319=Справочники!$F$5,Учет!$H2319,0)</f>
        <v>0</v>
      </c>
      <c r="U2319" s="48">
        <f>IF(Учет!$O2319=Справочники!$F$6,Учет!$H2319,0)</f>
        <v>0</v>
      </c>
      <c r="V2319" s="43">
        <f>V2318+Учет!Q2319-Q2319</f>
        <v>-488978.92000000004</v>
      </c>
      <c r="W2319" s="43">
        <f>W2318+Учет!R2319-R2319</f>
        <v>336855</v>
      </c>
      <c r="X2319" s="43">
        <f>X2318+Учет!S2319-S2319</f>
        <v>500</v>
      </c>
      <c r="Y2319" s="43">
        <f>Y2318+Учет!T2319-T2319</f>
        <v>1150</v>
      </c>
      <c r="Z2319" s="43">
        <f>Z2318+Учет!U2319-U2319</f>
        <v>500000</v>
      </c>
      <c r="AA2319" s="45">
        <f>Учет!X2319</f>
        <v>500</v>
      </c>
    </row>
    <row r="2320" spans="1:27" ht="15" customHeight="1" x14ac:dyDescent="0.25">
      <c r="A2320" s="1"/>
      <c r="B2320" s="17"/>
      <c r="C2320" s="17"/>
      <c r="D2320" s="17"/>
      <c r="E2320" s="17"/>
      <c r="F2320" s="17"/>
      <c r="G2320" s="4">
        <f t="shared" si="105"/>
        <v>0</v>
      </c>
      <c r="H2320" s="17"/>
      <c r="I2320" s="4">
        <f t="shared" si="107"/>
        <v>349526.07999999996</v>
      </c>
      <c r="J2320" s="32" t="str">
        <f t="shared" si="106"/>
        <v/>
      </c>
      <c r="K2320" s="72"/>
      <c r="L2320" s="72"/>
      <c r="M2320" s="2"/>
      <c r="N2320" s="5"/>
      <c r="O2320" s="3"/>
      <c r="P2320" s="6"/>
      <c r="Q2320" s="48">
        <f>IF(Учет!$O2320=Справочники!$F$2,Учет!$H2320,0)</f>
        <v>0</v>
      </c>
      <c r="R2320" s="48">
        <f>IF(Учет!$O2320=Справочники!$F$3,Учет!$H2320,0)</f>
        <v>0</v>
      </c>
      <c r="S2320" s="48">
        <f>IF(Учет!$O2320=Справочники!$F$4,Учет!$H2320,0)</f>
        <v>0</v>
      </c>
      <c r="T2320" s="48">
        <f>IF(Учет!$O2320=Справочники!$F$5,Учет!$H2320,0)</f>
        <v>0</v>
      </c>
      <c r="U2320" s="48">
        <f>IF(Учет!$O2320=Справочники!$F$6,Учет!$H2320,0)</f>
        <v>0</v>
      </c>
      <c r="V2320" s="43">
        <f>V2319+Учет!Q2320-Q2320</f>
        <v>-488978.92000000004</v>
      </c>
      <c r="W2320" s="43">
        <f>W2319+Учет!R2320-R2320</f>
        <v>336855</v>
      </c>
      <c r="X2320" s="43">
        <f>X2319+Учет!S2320-S2320</f>
        <v>500</v>
      </c>
      <c r="Y2320" s="43">
        <f>Y2319+Учет!T2320-T2320</f>
        <v>1150</v>
      </c>
      <c r="Z2320" s="43">
        <f>Z2319+Учет!U2320-U2320</f>
        <v>500000</v>
      </c>
      <c r="AA2320" s="45">
        <f>Учет!X2320</f>
        <v>500</v>
      </c>
    </row>
    <row r="2321" spans="1:27" ht="15" customHeight="1" x14ac:dyDescent="0.25">
      <c r="A2321" s="1"/>
      <c r="B2321" s="17"/>
      <c r="C2321" s="17"/>
      <c r="D2321" s="17"/>
      <c r="E2321" s="17"/>
      <c r="F2321" s="17"/>
      <c r="G2321" s="4">
        <f t="shared" si="105"/>
        <v>0</v>
      </c>
      <c r="H2321" s="17"/>
      <c r="I2321" s="4">
        <f t="shared" si="107"/>
        <v>349526.07999999996</v>
      </c>
      <c r="J2321" s="32" t="str">
        <f t="shared" si="106"/>
        <v/>
      </c>
      <c r="K2321" s="72"/>
      <c r="L2321" s="72"/>
      <c r="M2321" s="2"/>
      <c r="N2321" s="5"/>
      <c r="O2321" s="3"/>
      <c r="P2321" s="6"/>
      <c r="Q2321" s="48">
        <f>IF(Учет!$O2321=Справочники!$F$2,Учет!$H2321,0)</f>
        <v>0</v>
      </c>
      <c r="R2321" s="48">
        <f>IF(Учет!$O2321=Справочники!$F$3,Учет!$H2321,0)</f>
        <v>0</v>
      </c>
      <c r="S2321" s="48">
        <f>IF(Учет!$O2321=Справочники!$F$4,Учет!$H2321,0)</f>
        <v>0</v>
      </c>
      <c r="T2321" s="48">
        <f>IF(Учет!$O2321=Справочники!$F$5,Учет!$H2321,0)</f>
        <v>0</v>
      </c>
      <c r="U2321" s="48">
        <f>IF(Учет!$O2321=Справочники!$F$6,Учет!$H2321,0)</f>
        <v>0</v>
      </c>
      <c r="V2321" s="43">
        <f>V2320+Учет!Q2321-Q2321</f>
        <v>-488978.92000000004</v>
      </c>
      <c r="W2321" s="43">
        <f>W2320+Учет!R2321-R2321</f>
        <v>336855</v>
      </c>
      <c r="X2321" s="43">
        <f>X2320+Учет!S2321-S2321</f>
        <v>500</v>
      </c>
      <c r="Y2321" s="43">
        <f>Y2320+Учет!T2321-T2321</f>
        <v>1150</v>
      </c>
      <c r="Z2321" s="43">
        <f>Z2320+Учет!U2321-U2321</f>
        <v>500000</v>
      </c>
      <c r="AA2321" s="45">
        <f>Учет!X2321</f>
        <v>500</v>
      </c>
    </row>
    <row r="2322" spans="1:27" ht="15" customHeight="1" x14ac:dyDescent="0.25">
      <c r="A2322" s="1"/>
      <c r="B2322" s="17"/>
      <c r="C2322" s="17"/>
      <c r="D2322" s="17"/>
      <c r="E2322" s="17"/>
      <c r="F2322" s="17"/>
      <c r="G2322" s="4">
        <f t="shared" si="105"/>
        <v>0</v>
      </c>
      <c r="H2322" s="17"/>
      <c r="I2322" s="4">
        <f t="shared" si="107"/>
        <v>349526.07999999996</v>
      </c>
      <c r="J2322" s="32" t="str">
        <f t="shared" si="106"/>
        <v/>
      </c>
      <c r="K2322" s="72"/>
      <c r="L2322" s="72"/>
      <c r="M2322" s="2"/>
      <c r="N2322" s="5"/>
      <c r="O2322" s="3"/>
      <c r="P2322" s="6"/>
      <c r="Q2322" s="48">
        <f>IF(Учет!$O2322=Справочники!$F$2,Учет!$H2322,0)</f>
        <v>0</v>
      </c>
      <c r="R2322" s="48">
        <f>IF(Учет!$O2322=Справочники!$F$3,Учет!$H2322,0)</f>
        <v>0</v>
      </c>
      <c r="S2322" s="48">
        <f>IF(Учет!$O2322=Справочники!$F$4,Учет!$H2322,0)</f>
        <v>0</v>
      </c>
      <c r="T2322" s="48">
        <f>IF(Учет!$O2322=Справочники!$F$5,Учет!$H2322,0)</f>
        <v>0</v>
      </c>
      <c r="U2322" s="48">
        <f>IF(Учет!$O2322=Справочники!$F$6,Учет!$H2322,0)</f>
        <v>0</v>
      </c>
      <c r="V2322" s="43">
        <f>V2321+Учет!Q2322-Q2322</f>
        <v>-488978.92000000004</v>
      </c>
      <c r="W2322" s="43">
        <f>W2321+Учет!R2322-R2322</f>
        <v>336855</v>
      </c>
      <c r="X2322" s="43">
        <f>X2321+Учет!S2322-S2322</f>
        <v>500</v>
      </c>
      <c r="Y2322" s="43">
        <f>Y2321+Учет!T2322-T2322</f>
        <v>1150</v>
      </c>
      <c r="Z2322" s="43">
        <f>Z2321+Учет!U2322-U2322</f>
        <v>500000</v>
      </c>
      <c r="AA2322" s="45">
        <f>Учет!X2322</f>
        <v>500</v>
      </c>
    </row>
    <row r="2323" spans="1:27" ht="15" customHeight="1" x14ac:dyDescent="0.25">
      <c r="A2323" s="1"/>
      <c r="B2323" s="17"/>
      <c r="C2323" s="17"/>
      <c r="D2323" s="17"/>
      <c r="E2323" s="17"/>
      <c r="F2323" s="17"/>
      <c r="G2323" s="4">
        <f t="shared" si="105"/>
        <v>0</v>
      </c>
      <c r="H2323" s="17"/>
      <c r="I2323" s="4">
        <f t="shared" si="107"/>
        <v>349526.07999999996</v>
      </c>
      <c r="J2323" s="32" t="str">
        <f t="shared" si="106"/>
        <v/>
      </c>
      <c r="K2323" s="72"/>
      <c r="L2323" s="72"/>
      <c r="M2323" s="2"/>
      <c r="N2323" s="5"/>
      <c r="O2323" s="3"/>
      <c r="P2323" s="6"/>
      <c r="Q2323" s="48">
        <f>IF(Учет!$O2323=Справочники!$F$2,Учет!$H2323,0)</f>
        <v>0</v>
      </c>
      <c r="R2323" s="48">
        <f>IF(Учет!$O2323=Справочники!$F$3,Учет!$H2323,0)</f>
        <v>0</v>
      </c>
      <c r="S2323" s="48">
        <f>IF(Учет!$O2323=Справочники!$F$4,Учет!$H2323,0)</f>
        <v>0</v>
      </c>
      <c r="T2323" s="48">
        <f>IF(Учет!$O2323=Справочники!$F$5,Учет!$H2323,0)</f>
        <v>0</v>
      </c>
      <c r="U2323" s="48">
        <f>IF(Учет!$O2323=Справочники!$F$6,Учет!$H2323,0)</f>
        <v>0</v>
      </c>
      <c r="V2323" s="43">
        <f>V2322+Учет!Q2323-Q2323</f>
        <v>-488978.92000000004</v>
      </c>
      <c r="W2323" s="43">
        <f>W2322+Учет!R2323-R2323</f>
        <v>336855</v>
      </c>
      <c r="X2323" s="43">
        <f>X2322+Учет!S2323-S2323</f>
        <v>500</v>
      </c>
      <c r="Y2323" s="43">
        <f>Y2322+Учет!T2323-T2323</f>
        <v>1150</v>
      </c>
      <c r="Z2323" s="43">
        <f>Z2322+Учет!U2323-U2323</f>
        <v>500000</v>
      </c>
      <c r="AA2323" s="45">
        <f>Учет!X2323</f>
        <v>500</v>
      </c>
    </row>
    <row r="2324" spans="1:27" ht="15" customHeight="1" x14ac:dyDescent="0.25">
      <c r="A2324" s="1"/>
      <c r="B2324" s="17"/>
      <c r="C2324" s="17"/>
      <c r="D2324" s="17"/>
      <c r="E2324" s="17"/>
      <c r="F2324" s="17"/>
      <c r="G2324" s="4">
        <f t="shared" si="105"/>
        <v>0</v>
      </c>
      <c r="H2324" s="17"/>
      <c r="I2324" s="4">
        <f t="shared" si="107"/>
        <v>349526.07999999996</v>
      </c>
      <c r="J2324" s="32" t="str">
        <f t="shared" si="106"/>
        <v/>
      </c>
      <c r="K2324" s="72"/>
      <c r="L2324" s="72"/>
      <c r="M2324" s="2"/>
      <c r="N2324" s="5"/>
      <c r="O2324" s="3"/>
      <c r="P2324" s="6"/>
      <c r="Q2324" s="48">
        <f>IF(Учет!$O2324=Справочники!$F$2,Учет!$H2324,0)</f>
        <v>0</v>
      </c>
      <c r="R2324" s="48">
        <f>IF(Учет!$O2324=Справочники!$F$3,Учет!$H2324,0)</f>
        <v>0</v>
      </c>
      <c r="S2324" s="48">
        <f>IF(Учет!$O2324=Справочники!$F$4,Учет!$H2324,0)</f>
        <v>0</v>
      </c>
      <c r="T2324" s="48">
        <f>IF(Учет!$O2324=Справочники!$F$5,Учет!$H2324,0)</f>
        <v>0</v>
      </c>
      <c r="U2324" s="48">
        <f>IF(Учет!$O2324=Справочники!$F$6,Учет!$H2324,0)</f>
        <v>0</v>
      </c>
      <c r="V2324" s="43">
        <f>V2323+Учет!Q2324-Q2324</f>
        <v>-488978.92000000004</v>
      </c>
      <c r="W2324" s="43">
        <f>W2323+Учет!R2324-R2324</f>
        <v>336855</v>
      </c>
      <c r="X2324" s="43">
        <f>X2323+Учет!S2324-S2324</f>
        <v>500</v>
      </c>
      <c r="Y2324" s="43">
        <f>Y2323+Учет!T2324-T2324</f>
        <v>1150</v>
      </c>
      <c r="Z2324" s="43">
        <f>Z2323+Учет!U2324-U2324</f>
        <v>500000</v>
      </c>
      <c r="AA2324" s="45">
        <f>Учет!X2324</f>
        <v>500</v>
      </c>
    </row>
    <row r="2325" spans="1:27" ht="15" customHeight="1" x14ac:dyDescent="0.25">
      <c r="A2325" s="1"/>
      <c r="B2325" s="17"/>
      <c r="C2325" s="17"/>
      <c r="D2325" s="17"/>
      <c r="E2325" s="17"/>
      <c r="F2325" s="17"/>
      <c r="G2325" s="4">
        <f t="shared" si="105"/>
        <v>0</v>
      </c>
      <c r="H2325" s="17"/>
      <c r="I2325" s="4">
        <f t="shared" si="107"/>
        <v>349526.07999999996</v>
      </c>
      <c r="J2325" s="32" t="str">
        <f t="shared" si="106"/>
        <v/>
      </c>
      <c r="K2325" s="72"/>
      <c r="L2325" s="72"/>
      <c r="M2325" s="2"/>
      <c r="N2325" s="5"/>
      <c r="O2325" s="3"/>
      <c r="P2325" s="6"/>
      <c r="Q2325" s="48">
        <f>IF(Учет!$O2325=Справочники!$F$2,Учет!$H2325,0)</f>
        <v>0</v>
      </c>
      <c r="R2325" s="48">
        <f>IF(Учет!$O2325=Справочники!$F$3,Учет!$H2325,0)</f>
        <v>0</v>
      </c>
      <c r="S2325" s="48">
        <f>IF(Учет!$O2325=Справочники!$F$4,Учет!$H2325,0)</f>
        <v>0</v>
      </c>
      <c r="T2325" s="48">
        <f>IF(Учет!$O2325=Справочники!$F$5,Учет!$H2325,0)</f>
        <v>0</v>
      </c>
      <c r="U2325" s="48">
        <f>IF(Учет!$O2325=Справочники!$F$6,Учет!$H2325,0)</f>
        <v>0</v>
      </c>
      <c r="V2325" s="43">
        <f>V2324+Учет!Q2325-Q2325</f>
        <v>-488978.92000000004</v>
      </c>
      <c r="W2325" s="43">
        <f>W2324+Учет!R2325-R2325</f>
        <v>336855</v>
      </c>
      <c r="X2325" s="43">
        <f>X2324+Учет!S2325-S2325</f>
        <v>500</v>
      </c>
      <c r="Y2325" s="43">
        <f>Y2324+Учет!T2325-T2325</f>
        <v>1150</v>
      </c>
      <c r="Z2325" s="43">
        <f>Z2324+Учет!U2325-U2325</f>
        <v>500000</v>
      </c>
      <c r="AA2325" s="45">
        <f>Учет!X2325</f>
        <v>500</v>
      </c>
    </row>
    <row r="2326" spans="1:27" ht="15" customHeight="1" x14ac:dyDescent="0.25">
      <c r="A2326" s="1"/>
      <c r="B2326" s="17"/>
      <c r="C2326" s="17"/>
      <c r="D2326" s="17"/>
      <c r="E2326" s="17"/>
      <c r="F2326" s="17"/>
      <c r="G2326" s="4">
        <f t="shared" si="105"/>
        <v>0</v>
      </c>
      <c r="H2326" s="17"/>
      <c r="I2326" s="4">
        <f t="shared" si="107"/>
        <v>349526.07999999996</v>
      </c>
      <c r="J2326" s="32" t="str">
        <f t="shared" si="106"/>
        <v/>
      </c>
      <c r="K2326" s="72"/>
      <c r="L2326" s="72"/>
      <c r="M2326" s="2"/>
      <c r="N2326" s="5"/>
      <c r="O2326" s="3"/>
      <c r="P2326" s="6"/>
      <c r="Q2326" s="48">
        <f>IF(Учет!$O2326=Справочники!$F$2,Учет!$H2326,0)</f>
        <v>0</v>
      </c>
      <c r="R2326" s="48">
        <f>IF(Учет!$O2326=Справочники!$F$3,Учет!$H2326,0)</f>
        <v>0</v>
      </c>
      <c r="S2326" s="48">
        <f>IF(Учет!$O2326=Справочники!$F$4,Учет!$H2326,0)</f>
        <v>0</v>
      </c>
      <c r="T2326" s="48">
        <f>IF(Учет!$O2326=Справочники!$F$5,Учет!$H2326,0)</f>
        <v>0</v>
      </c>
      <c r="U2326" s="48">
        <f>IF(Учет!$O2326=Справочники!$F$6,Учет!$H2326,0)</f>
        <v>0</v>
      </c>
      <c r="V2326" s="43">
        <f>V2325+Учет!Q2326-Q2326</f>
        <v>-488978.92000000004</v>
      </c>
      <c r="W2326" s="43">
        <f>W2325+Учет!R2326-R2326</f>
        <v>336855</v>
      </c>
      <c r="X2326" s="43">
        <f>X2325+Учет!S2326-S2326</f>
        <v>500</v>
      </c>
      <c r="Y2326" s="43">
        <f>Y2325+Учет!T2326-T2326</f>
        <v>1150</v>
      </c>
      <c r="Z2326" s="43">
        <f>Z2325+Учет!U2326-U2326</f>
        <v>500000</v>
      </c>
      <c r="AA2326" s="45">
        <f>Учет!X2326</f>
        <v>500</v>
      </c>
    </row>
    <row r="2327" spans="1:27" ht="15" customHeight="1" x14ac:dyDescent="0.25">
      <c r="A2327" s="1"/>
      <c r="B2327" s="17"/>
      <c r="C2327" s="17"/>
      <c r="D2327" s="17"/>
      <c r="E2327" s="17"/>
      <c r="F2327" s="17"/>
      <c r="G2327" s="4">
        <f t="shared" si="105"/>
        <v>0</v>
      </c>
      <c r="H2327" s="17"/>
      <c r="I2327" s="4">
        <f t="shared" si="107"/>
        <v>349526.07999999996</v>
      </c>
      <c r="J2327" s="32" t="str">
        <f t="shared" si="106"/>
        <v/>
      </c>
      <c r="K2327" s="72"/>
      <c r="L2327" s="72"/>
      <c r="M2327" s="2"/>
      <c r="N2327" s="5"/>
      <c r="O2327" s="3"/>
      <c r="P2327" s="6"/>
      <c r="Q2327" s="48">
        <f>IF(Учет!$O2327=Справочники!$F$2,Учет!$H2327,0)</f>
        <v>0</v>
      </c>
      <c r="R2327" s="48">
        <f>IF(Учет!$O2327=Справочники!$F$3,Учет!$H2327,0)</f>
        <v>0</v>
      </c>
      <c r="S2327" s="48">
        <f>IF(Учет!$O2327=Справочники!$F$4,Учет!$H2327,0)</f>
        <v>0</v>
      </c>
      <c r="T2327" s="48">
        <f>IF(Учет!$O2327=Справочники!$F$5,Учет!$H2327,0)</f>
        <v>0</v>
      </c>
      <c r="U2327" s="48">
        <f>IF(Учет!$O2327=Справочники!$F$6,Учет!$H2327,0)</f>
        <v>0</v>
      </c>
      <c r="V2327" s="43">
        <f>V2326+Учет!Q2327-Q2327</f>
        <v>-488978.92000000004</v>
      </c>
      <c r="W2327" s="43">
        <f>W2326+Учет!R2327-R2327</f>
        <v>336855</v>
      </c>
      <c r="X2327" s="43">
        <f>X2326+Учет!S2327-S2327</f>
        <v>500</v>
      </c>
      <c r="Y2327" s="43">
        <f>Y2326+Учет!T2327-T2327</f>
        <v>1150</v>
      </c>
      <c r="Z2327" s="43">
        <f>Z2326+Учет!U2327-U2327</f>
        <v>500000</v>
      </c>
      <c r="AA2327" s="45">
        <f>Учет!X2327</f>
        <v>500</v>
      </c>
    </row>
    <row r="2328" spans="1:27" ht="15" customHeight="1" x14ac:dyDescent="0.25">
      <c r="A2328" s="1"/>
      <c r="B2328" s="17"/>
      <c r="C2328" s="17"/>
      <c r="D2328" s="17"/>
      <c r="E2328" s="17"/>
      <c r="F2328" s="17"/>
      <c r="G2328" s="4">
        <f t="shared" si="105"/>
        <v>0</v>
      </c>
      <c r="H2328" s="17"/>
      <c r="I2328" s="4">
        <f t="shared" si="107"/>
        <v>349526.07999999996</v>
      </c>
      <c r="J2328" s="32" t="str">
        <f t="shared" si="106"/>
        <v/>
      </c>
      <c r="K2328" s="72"/>
      <c r="L2328" s="72"/>
      <c r="M2328" s="2"/>
      <c r="N2328" s="5"/>
      <c r="O2328" s="3"/>
      <c r="P2328" s="6"/>
      <c r="Q2328" s="48">
        <f>IF(Учет!$O2328=Справочники!$F$2,Учет!$H2328,0)</f>
        <v>0</v>
      </c>
      <c r="R2328" s="48">
        <f>IF(Учет!$O2328=Справочники!$F$3,Учет!$H2328,0)</f>
        <v>0</v>
      </c>
      <c r="S2328" s="48">
        <f>IF(Учет!$O2328=Справочники!$F$4,Учет!$H2328,0)</f>
        <v>0</v>
      </c>
      <c r="T2328" s="48">
        <f>IF(Учет!$O2328=Справочники!$F$5,Учет!$H2328,0)</f>
        <v>0</v>
      </c>
      <c r="U2328" s="48">
        <f>IF(Учет!$O2328=Справочники!$F$6,Учет!$H2328,0)</f>
        <v>0</v>
      </c>
      <c r="V2328" s="43">
        <f>V2327+Учет!Q2328-Q2328</f>
        <v>-488978.92000000004</v>
      </c>
      <c r="W2328" s="43">
        <f>W2327+Учет!R2328-R2328</f>
        <v>336855</v>
      </c>
      <c r="X2328" s="43">
        <f>X2327+Учет!S2328-S2328</f>
        <v>500</v>
      </c>
      <c r="Y2328" s="43">
        <f>Y2327+Учет!T2328-T2328</f>
        <v>1150</v>
      </c>
      <c r="Z2328" s="43">
        <f>Z2327+Учет!U2328-U2328</f>
        <v>500000</v>
      </c>
      <c r="AA2328" s="45">
        <f>Учет!X2328</f>
        <v>500</v>
      </c>
    </row>
    <row r="2329" spans="1:27" ht="15" customHeight="1" x14ac:dyDescent="0.25">
      <c r="A2329" s="1"/>
      <c r="B2329" s="17"/>
      <c r="C2329" s="17"/>
      <c r="D2329" s="17"/>
      <c r="E2329" s="17"/>
      <c r="F2329" s="17"/>
      <c r="G2329" s="4">
        <f t="shared" si="105"/>
        <v>0</v>
      </c>
      <c r="H2329" s="17"/>
      <c r="I2329" s="4">
        <f t="shared" si="107"/>
        <v>349526.07999999996</v>
      </c>
      <c r="J2329" s="32" t="str">
        <f t="shared" si="106"/>
        <v/>
      </c>
      <c r="K2329" s="72"/>
      <c r="L2329" s="72"/>
      <c r="M2329" s="2"/>
      <c r="N2329" s="5"/>
      <c r="O2329" s="3"/>
      <c r="P2329" s="6"/>
      <c r="Q2329" s="48">
        <f>IF(Учет!$O2329=Справочники!$F$2,Учет!$H2329,0)</f>
        <v>0</v>
      </c>
      <c r="R2329" s="48">
        <f>IF(Учет!$O2329=Справочники!$F$3,Учет!$H2329,0)</f>
        <v>0</v>
      </c>
      <c r="S2329" s="48">
        <f>IF(Учет!$O2329=Справочники!$F$4,Учет!$H2329,0)</f>
        <v>0</v>
      </c>
      <c r="T2329" s="48">
        <f>IF(Учет!$O2329=Справочники!$F$5,Учет!$H2329,0)</f>
        <v>0</v>
      </c>
      <c r="U2329" s="48">
        <f>IF(Учет!$O2329=Справочники!$F$6,Учет!$H2329,0)</f>
        <v>0</v>
      </c>
      <c r="V2329" s="43">
        <f>V2328+Учет!Q2329-Q2329</f>
        <v>-488978.92000000004</v>
      </c>
      <c r="W2329" s="43">
        <f>W2328+Учет!R2329-R2329</f>
        <v>336855</v>
      </c>
      <c r="X2329" s="43">
        <f>X2328+Учет!S2329-S2329</f>
        <v>500</v>
      </c>
      <c r="Y2329" s="43">
        <f>Y2328+Учет!T2329-T2329</f>
        <v>1150</v>
      </c>
      <c r="Z2329" s="43">
        <f>Z2328+Учет!U2329-U2329</f>
        <v>500000</v>
      </c>
      <c r="AA2329" s="45">
        <f>Учет!X2329</f>
        <v>500</v>
      </c>
    </row>
    <row r="2330" spans="1:27" ht="15" customHeight="1" x14ac:dyDescent="0.25">
      <c r="A2330" s="1"/>
      <c r="B2330" s="17"/>
      <c r="C2330" s="17"/>
      <c r="D2330" s="17"/>
      <c r="E2330" s="17"/>
      <c r="F2330" s="17"/>
      <c r="G2330" s="4">
        <f t="shared" si="105"/>
        <v>0</v>
      </c>
      <c r="H2330" s="17"/>
      <c r="I2330" s="4">
        <f t="shared" si="107"/>
        <v>349526.07999999996</v>
      </c>
      <c r="J2330" s="32" t="str">
        <f t="shared" si="106"/>
        <v/>
      </c>
      <c r="K2330" s="72"/>
      <c r="L2330" s="72"/>
      <c r="M2330" s="2"/>
      <c r="N2330" s="5"/>
      <c r="O2330" s="3"/>
      <c r="P2330" s="6"/>
      <c r="Q2330" s="48">
        <f>IF(Учет!$O2330=Справочники!$F$2,Учет!$H2330,0)</f>
        <v>0</v>
      </c>
      <c r="R2330" s="48">
        <f>IF(Учет!$O2330=Справочники!$F$3,Учет!$H2330,0)</f>
        <v>0</v>
      </c>
      <c r="S2330" s="48">
        <f>IF(Учет!$O2330=Справочники!$F$4,Учет!$H2330,0)</f>
        <v>0</v>
      </c>
      <c r="T2330" s="48">
        <f>IF(Учет!$O2330=Справочники!$F$5,Учет!$H2330,0)</f>
        <v>0</v>
      </c>
      <c r="U2330" s="48">
        <f>IF(Учет!$O2330=Справочники!$F$6,Учет!$H2330,0)</f>
        <v>0</v>
      </c>
      <c r="V2330" s="43">
        <f>V2329+Учет!Q2330-Q2330</f>
        <v>-488978.92000000004</v>
      </c>
      <c r="W2330" s="43">
        <f>W2329+Учет!R2330-R2330</f>
        <v>336855</v>
      </c>
      <c r="X2330" s="43">
        <f>X2329+Учет!S2330-S2330</f>
        <v>500</v>
      </c>
      <c r="Y2330" s="43">
        <f>Y2329+Учет!T2330-T2330</f>
        <v>1150</v>
      </c>
      <c r="Z2330" s="43">
        <f>Z2329+Учет!U2330-U2330</f>
        <v>500000</v>
      </c>
      <c r="AA2330" s="45">
        <f>Учет!X2330</f>
        <v>500</v>
      </c>
    </row>
    <row r="2331" spans="1:27" ht="15" customHeight="1" x14ac:dyDescent="0.25">
      <c r="A2331" s="1"/>
      <c r="B2331" s="17"/>
      <c r="C2331" s="17"/>
      <c r="D2331" s="17"/>
      <c r="E2331" s="17"/>
      <c r="F2331" s="17"/>
      <c r="G2331" s="4">
        <f t="shared" si="105"/>
        <v>0</v>
      </c>
      <c r="H2331" s="17"/>
      <c r="I2331" s="4">
        <f t="shared" si="107"/>
        <v>349526.07999999996</v>
      </c>
      <c r="J2331" s="32" t="str">
        <f t="shared" si="106"/>
        <v/>
      </c>
      <c r="K2331" s="72"/>
      <c r="L2331" s="72"/>
      <c r="M2331" s="2"/>
      <c r="N2331" s="5"/>
      <c r="O2331" s="3"/>
      <c r="P2331" s="6"/>
      <c r="Q2331" s="48">
        <f>IF(Учет!$O2331=Справочники!$F$2,Учет!$H2331,0)</f>
        <v>0</v>
      </c>
      <c r="R2331" s="48">
        <f>IF(Учет!$O2331=Справочники!$F$3,Учет!$H2331,0)</f>
        <v>0</v>
      </c>
      <c r="S2331" s="48">
        <f>IF(Учет!$O2331=Справочники!$F$4,Учет!$H2331,0)</f>
        <v>0</v>
      </c>
      <c r="T2331" s="48">
        <f>IF(Учет!$O2331=Справочники!$F$5,Учет!$H2331,0)</f>
        <v>0</v>
      </c>
      <c r="U2331" s="48">
        <f>IF(Учет!$O2331=Справочники!$F$6,Учет!$H2331,0)</f>
        <v>0</v>
      </c>
      <c r="V2331" s="43">
        <f>V2330+Учет!Q2331-Q2331</f>
        <v>-488978.92000000004</v>
      </c>
      <c r="W2331" s="43">
        <f>W2330+Учет!R2331-R2331</f>
        <v>336855</v>
      </c>
      <c r="X2331" s="43">
        <f>X2330+Учет!S2331-S2331</f>
        <v>500</v>
      </c>
      <c r="Y2331" s="43">
        <f>Y2330+Учет!T2331-T2331</f>
        <v>1150</v>
      </c>
      <c r="Z2331" s="43">
        <f>Z2330+Учет!U2331-U2331</f>
        <v>500000</v>
      </c>
      <c r="AA2331" s="45">
        <f>Учет!X2331</f>
        <v>500</v>
      </c>
    </row>
    <row r="2332" spans="1:27" ht="15" customHeight="1" x14ac:dyDescent="0.25">
      <c r="A2332" s="1"/>
      <c r="B2332" s="17"/>
      <c r="C2332" s="17"/>
      <c r="D2332" s="17"/>
      <c r="E2332" s="17"/>
      <c r="F2332" s="17"/>
      <c r="G2332" s="4">
        <f t="shared" si="105"/>
        <v>0</v>
      </c>
      <c r="H2332" s="17"/>
      <c r="I2332" s="4">
        <f t="shared" si="107"/>
        <v>349526.07999999996</v>
      </c>
      <c r="J2332" s="32" t="str">
        <f t="shared" si="106"/>
        <v/>
      </c>
      <c r="K2332" s="72"/>
      <c r="L2332" s="72"/>
      <c r="M2332" s="2"/>
      <c r="N2332" s="5"/>
      <c r="O2332" s="3"/>
      <c r="P2332" s="6"/>
      <c r="Q2332" s="48">
        <f>IF(Учет!$O2332=Справочники!$F$2,Учет!$H2332,0)</f>
        <v>0</v>
      </c>
      <c r="R2332" s="48">
        <f>IF(Учет!$O2332=Справочники!$F$3,Учет!$H2332,0)</f>
        <v>0</v>
      </c>
      <c r="S2332" s="48">
        <f>IF(Учет!$O2332=Справочники!$F$4,Учет!$H2332,0)</f>
        <v>0</v>
      </c>
      <c r="T2332" s="48">
        <f>IF(Учет!$O2332=Справочники!$F$5,Учет!$H2332,0)</f>
        <v>0</v>
      </c>
      <c r="U2332" s="48">
        <f>IF(Учет!$O2332=Справочники!$F$6,Учет!$H2332,0)</f>
        <v>0</v>
      </c>
      <c r="V2332" s="43">
        <f>V2331+Учет!Q2332-Q2332</f>
        <v>-488978.92000000004</v>
      </c>
      <c r="W2332" s="43">
        <f>W2331+Учет!R2332-R2332</f>
        <v>336855</v>
      </c>
      <c r="X2332" s="43">
        <f>X2331+Учет!S2332-S2332</f>
        <v>500</v>
      </c>
      <c r="Y2332" s="43">
        <f>Y2331+Учет!T2332-T2332</f>
        <v>1150</v>
      </c>
      <c r="Z2332" s="43">
        <f>Z2331+Учет!U2332-U2332</f>
        <v>500000</v>
      </c>
      <c r="AA2332" s="45">
        <f>Учет!X2332</f>
        <v>500</v>
      </c>
    </row>
    <row r="2333" spans="1:27" ht="15" customHeight="1" x14ac:dyDescent="0.25">
      <c r="A2333" s="1"/>
      <c r="B2333" s="17"/>
      <c r="C2333" s="17"/>
      <c r="D2333" s="17"/>
      <c r="E2333" s="17"/>
      <c r="F2333" s="17"/>
      <c r="G2333" s="4">
        <f t="shared" si="105"/>
        <v>0</v>
      </c>
      <c r="H2333" s="17"/>
      <c r="I2333" s="4">
        <f t="shared" si="107"/>
        <v>349526.07999999996</v>
      </c>
      <c r="J2333" s="32" t="str">
        <f t="shared" si="106"/>
        <v/>
      </c>
      <c r="K2333" s="72"/>
      <c r="L2333" s="72"/>
      <c r="M2333" s="2"/>
      <c r="N2333" s="5"/>
      <c r="O2333" s="3"/>
      <c r="P2333" s="6"/>
      <c r="Q2333" s="48">
        <f>IF(Учет!$O2333=Справочники!$F$2,Учет!$H2333,0)</f>
        <v>0</v>
      </c>
      <c r="R2333" s="48">
        <f>IF(Учет!$O2333=Справочники!$F$3,Учет!$H2333,0)</f>
        <v>0</v>
      </c>
      <c r="S2333" s="48">
        <f>IF(Учет!$O2333=Справочники!$F$4,Учет!$H2333,0)</f>
        <v>0</v>
      </c>
      <c r="T2333" s="48">
        <f>IF(Учет!$O2333=Справочники!$F$5,Учет!$H2333,0)</f>
        <v>0</v>
      </c>
      <c r="U2333" s="48">
        <f>IF(Учет!$O2333=Справочники!$F$6,Учет!$H2333,0)</f>
        <v>0</v>
      </c>
      <c r="V2333" s="43">
        <f>V2332+Учет!Q2333-Q2333</f>
        <v>-488978.92000000004</v>
      </c>
      <c r="W2333" s="43">
        <f>W2332+Учет!R2333-R2333</f>
        <v>336855</v>
      </c>
      <c r="X2333" s="43">
        <f>X2332+Учет!S2333-S2333</f>
        <v>500</v>
      </c>
      <c r="Y2333" s="43">
        <f>Y2332+Учет!T2333-T2333</f>
        <v>1150</v>
      </c>
      <c r="Z2333" s="43">
        <f>Z2332+Учет!U2333-U2333</f>
        <v>500000</v>
      </c>
      <c r="AA2333" s="45">
        <f>Учет!X2333</f>
        <v>500</v>
      </c>
    </row>
    <row r="2334" spans="1:27" ht="15" customHeight="1" x14ac:dyDescent="0.25">
      <c r="A2334" s="1"/>
      <c r="B2334" s="17"/>
      <c r="C2334" s="17"/>
      <c r="D2334" s="17"/>
      <c r="E2334" s="17"/>
      <c r="F2334" s="17"/>
      <c r="G2334" s="4">
        <f t="shared" si="105"/>
        <v>0</v>
      </c>
      <c r="H2334" s="17"/>
      <c r="I2334" s="4">
        <f t="shared" si="107"/>
        <v>349526.07999999996</v>
      </c>
      <c r="J2334" s="32" t="str">
        <f t="shared" si="106"/>
        <v/>
      </c>
      <c r="K2334" s="72"/>
      <c r="L2334" s="72"/>
      <c r="M2334" s="2"/>
      <c r="N2334" s="5"/>
      <c r="O2334" s="3"/>
      <c r="P2334" s="6"/>
      <c r="Q2334" s="48">
        <f>IF(Учет!$O2334=Справочники!$F$2,Учет!$H2334,0)</f>
        <v>0</v>
      </c>
      <c r="R2334" s="48">
        <f>IF(Учет!$O2334=Справочники!$F$3,Учет!$H2334,0)</f>
        <v>0</v>
      </c>
      <c r="S2334" s="48">
        <f>IF(Учет!$O2334=Справочники!$F$4,Учет!$H2334,0)</f>
        <v>0</v>
      </c>
      <c r="T2334" s="48">
        <f>IF(Учет!$O2334=Справочники!$F$5,Учет!$H2334,0)</f>
        <v>0</v>
      </c>
      <c r="U2334" s="48">
        <f>IF(Учет!$O2334=Справочники!$F$6,Учет!$H2334,0)</f>
        <v>0</v>
      </c>
      <c r="V2334" s="43">
        <f>V2333+Учет!Q2334-Q2334</f>
        <v>-488978.92000000004</v>
      </c>
      <c r="W2334" s="43">
        <f>W2333+Учет!R2334-R2334</f>
        <v>336855</v>
      </c>
      <c r="X2334" s="43">
        <f>X2333+Учет!S2334-S2334</f>
        <v>500</v>
      </c>
      <c r="Y2334" s="43">
        <f>Y2333+Учет!T2334-T2334</f>
        <v>1150</v>
      </c>
      <c r="Z2334" s="43">
        <f>Z2333+Учет!U2334-U2334</f>
        <v>500000</v>
      </c>
      <c r="AA2334" s="45">
        <f>Учет!X2334</f>
        <v>500</v>
      </c>
    </row>
    <row r="2335" spans="1:27" ht="15" customHeight="1" x14ac:dyDescent="0.25">
      <c r="A2335" s="1"/>
      <c r="B2335" s="17"/>
      <c r="C2335" s="17"/>
      <c r="D2335" s="17"/>
      <c r="E2335" s="17"/>
      <c r="F2335" s="17"/>
      <c r="G2335" s="4">
        <f t="shared" si="105"/>
        <v>0</v>
      </c>
      <c r="H2335" s="17"/>
      <c r="I2335" s="4">
        <f t="shared" si="107"/>
        <v>349526.07999999996</v>
      </c>
      <c r="J2335" s="32" t="str">
        <f t="shared" si="106"/>
        <v/>
      </c>
      <c r="K2335" s="72"/>
      <c r="L2335" s="72"/>
      <c r="M2335" s="2"/>
      <c r="N2335" s="5"/>
      <c r="O2335" s="3"/>
      <c r="P2335" s="6"/>
      <c r="Q2335" s="48">
        <f>IF(Учет!$O2335=Справочники!$F$2,Учет!$H2335,0)</f>
        <v>0</v>
      </c>
      <c r="R2335" s="48">
        <f>IF(Учет!$O2335=Справочники!$F$3,Учет!$H2335,0)</f>
        <v>0</v>
      </c>
      <c r="S2335" s="48">
        <f>IF(Учет!$O2335=Справочники!$F$4,Учет!$H2335,0)</f>
        <v>0</v>
      </c>
      <c r="T2335" s="48">
        <f>IF(Учет!$O2335=Справочники!$F$5,Учет!$H2335,0)</f>
        <v>0</v>
      </c>
      <c r="U2335" s="48">
        <f>IF(Учет!$O2335=Справочники!$F$6,Учет!$H2335,0)</f>
        <v>0</v>
      </c>
      <c r="V2335" s="43">
        <f>V2334+Учет!Q2335-Q2335</f>
        <v>-488978.92000000004</v>
      </c>
      <c r="W2335" s="43">
        <f>W2334+Учет!R2335-R2335</f>
        <v>336855</v>
      </c>
      <c r="X2335" s="43">
        <f>X2334+Учет!S2335-S2335</f>
        <v>500</v>
      </c>
      <c r="Y2335" s="43">
        <f>Y2334+Учет!T2335-T2335</f>
        <v>1150</v>
      </c>
      <c r="Z2335" s="43">
        <f>Z2334+Учет!U2335-U2335</f>
        <v>500000</v>
      </c>
      <c r="AA2335" s="45">
        <f>Учет!X2335</f>
        <v>500</v>
      </c>
    </row>
    <row r="2336" spans="1:27" ht="15" customHeight="1" x14ac:dyDescent="0.25">
      <c r="A2336" s="1"/>
      <c r="B2336" s="17"/>
      <c r="C2336" s="17"/>
      <c r="D2336" s="17"/>
      <c r="E2336" s="17"/>
      <c r="F2336" s="17"/>
      <c r="G2336" s="4">
        <f t="shared" si="105"/>
        <v>0</v>
      </c>
      <c r="H2336" s="17"/>
      <c r="I2336" s="4">
        <f t="shared" si="107"/>
        <v>349526.07999999996</v>
      </c>
      <c r="J2336" s="32" t="str">
        <f t="shared" si="106"/>
        <v/>
      </c>
      <c r="K2336" s="72"/>
      <c r="L2336" s="72"/>
      <c r="M2336" s="2"/>
      <c r="N2336" s="5"/>
      <c r="O2336" s="3"/>
      <c r="P2336" s="6"/>
      <c r="Q2336" s="48">
        <f>IF(Учет!$O2336=Справочники!$F$2,Учет!$H2336,0)</f>
        <v>0</v>
      </c>
      <c r="R2336" s="48">
        <f>IF(Учет!$O2336=Справочники!$F$3,Учет!$H2336,0)</f>
        <v>0</v>
      </c>
      <c r="S2336" s="48">
        <f>IF(Учет!$O2336=Справочники!$F$4,Учет!$H2336,0)</f>
        <v>0</v>
      </c>
      <c r="T2336" s="48">
        <f>IF(Учет!$O2336=Справочники!$F$5,Учет!$H2336,0)</f>
        <v>0</v>
      </c>
      <c r="U2336" s="48">
        <f>IF(Учет!$O2336=Справочники!$F$6,Учет!$H2336,0)</f>
        <v>0</v>
      </c>
      <c r="V2336" s="43">
        <f>V2335+Учет!Q2336-Q2336</f>
        <v>-488978.92000000004</v>
      </c>
      <c r="W2336" s="43">
        <f>W2335+Учет!R2336-R2336</f>
        <v>336855</v>
      </c>
      <c r="X2336" s="43">
        <f>X2335+Учет!S2336-S2336</f>
        <v>500</v>
      </c>
      <c r="Y2336" s="43">
        <f>Y2335+Учет!T2336-T2336</f>
        <v>1150</v>
      </c>
      <c r="Z2336" s="43">
        <f>Z2335+Учет!U2336-U2336</f>
        <v>500000</v>
      </c>
      <c r="AA2336" s="45">
        <f>Учет!X2336</f>
        <v>500</v>
      </c>
    </row>
    <row r="2337" spans="1:27" ht="15" customHeight="1" x14ac:dyDescent="0.25">
      <c r="A2337" s="1"/>
      <c r="B2337" s="17"/>
      <c r="C2337" s="17"/>
      <c r="D2337" s="17"/>
      <c r="E2337" s="17"/>
      <c r="F2337" s="17"/>
      <c r="G2337" s="4">
        <f t="shared" si="105"/>
        <v>0</v>
      </c>
      <c r="H2337" s="17"/>
      <c r="I2337" s="4">
        <f t="shared" si="107"/>
        <v>349526.07999999996</v>
      </c>
      <c r="J2337" s="32" t="str">
        <f t="shared" si="106"/>
        <v/>
      </c>
      <c r="K2337" s="72"/>
      <c r="L2337" s="72"/>
      <c r="M2337" s="2"/>
      <c r="N2337" s="5"/>
      <c r="O2337" s="3"/>
      <c r="P2337" s="6"/>
      <c r="Q2337" s="48">
        <f>IF(Учет!$O2337=Справочники!$F$2,Учет!$H2337,0)</f>
        <v>0</v>
      </c>
      <c r="R2337" s="48">
        <f>IF(Учет!$O2337=Справочники!$F$3,Учет!$H2337,0)</f>
        <v>0</v>
      </c>
      <c r="S2337" s="48">
        <f>IF(Учет!$O2337=Справочники!$F$4,Учет!$H2337,0)</f>
        <v>0</v>
      </c>
      <c r="T2337" s="48">
        <f>IF(Учет!$O2337=Справочники!$F$5,Учет!$H2337,0)</f>
        <v>0</v>
      </c>
      <c r="U2337" s="48">
        <f>IF(Учет!$O2337=Справочники!$F$6,Учет!$H2337,0)</f>
        <v>0</v>
      </c>
      <c r="V2337" s="43">
        <f>V2336+Учет!Q2337-Q2337</f>
        <v>-488978.92000000004</v>
      </c>
      <c r="W2337" s="43">
        <f>W2336+Учет!R2337-R2337</f>
        <v>336855</v>
      </c>
      <c r="X2337" s="43">
        <f>X2336+Учет!S2337-S2337</f>
        <v>500</v>
      </c>
      <c r="Y2337" s="43">
        <f>Y2336+Учет!T2337-T2337</f>
        <v>1150</v>
      </c>
      <c r="Z2337" s="43">
        <f>Z2336+Учет!U2337-U2337</f>
        <v>500000</v>
      </c>
      <c r="AA2337" s="45">
        <f>Учет!X2337</f>
        <v>500</v>
      </c>
    </row>
    <row r="2338" spans="1:27" ht="15" customHeight="1" x14ac:dyDescent="0.25">
      <c r="A2338" s="1"/>
      <c r="B2338" s="17"/>
      <c r="C2338" s="17"/>
      <c r="D2338" s="17"/>
      <c r="E2338" s="17"/>
      <c r="F2338" s="17"/>
      <c r="G2338" s="4">
        <f t="shared" si="105"/>
        <v>0</v>
      </c>
      <c r="H2338" s="17"/>
      <c r="I2338" s="4">
        <f t="shared" si="107"/>
        <v>349526.07999999996</v>
      </c>
      <c r="J2338" s="32" t="str">
        <f t="shared" si="106"/>
        <v/>
      </c>
      <c r="K2338" s="72"/>
      <c r="L2338" s="72"/>
      <c r="M2338" s="2"/>
      <c r="N2338" s="5"/>
      <c r="O2338" s="3"/>
      <c r="P2338" s="6"/>
      <c r="Q2338" s="48">
        <f>IF(Учет!$O2338=Справочники!$F$2,Учет!$H2338,0)</f>
        <v>0</v>
      </c>
      <c r="R2338" s="48">
        <f>IF(Учет!$O2338=Справочники!$F$3,Учет!$H2338,0)</f>
        <v>0</v>
      </c>
      <c r="S2338" s="48">
        <f>IF(Учет!$O2338=Справочники!$F$4,Учет!$H2338,0)</f>
        <v>0</v>
      </c>
      <c r="T2338" s="48">
        <f>IF(Учет!$O2338=Справочники!$F$5,Учет!$H2338,0)</f>
        <v>0</v>
      </c>
      <c r="U2338" s="48">
        <f>IF(Учет!$O2338=Справочники!$F$6,Учет!$H2338,0)</f>
        <v>0</v>
      </c>
      <c r="V2338" s="43">
        <f>V2337+Учет!Q2338-Q2338</f>
        <v>-488978.92000000004</v>
      </c>
      <c r="W2338" s="43">
        <f>W2337+Учет!R2338-R2338</f>
        <v>336855</v>
      </c>
      <c r="X2338" s="43">
        <f>X2337+Учет!S2338-S2338</f>
        <v>500</v>
      </c>
      <c r="Y2338" s="43">
        <f>Y2337+Учет!T2338-T2338</f>
        <v>1150</v>
      </c>
      <c r="Z2338" s="43">
        <f>Z2337+Учет!U2338-U2338</f>
        <v>500000</v>
      </c>
      <c r="AA2338" s="45">
        <f>Учет!X2338</f>
        <v>500</v>
      </c>
    </row>
    <row r="2339" spans="1:27" ht="15" customHeight="1" x14ac:dyDescent="0.25">
      <c r="A2339" s="1"/>
      <c r="B2339" s="17"/>
      <c r="C2339" s="17"/>
      <c r="D2339" s="17"/>
      <c r="E2339" s="17"/>
      <c r="F2339" s="17"/>
      <c r="G2339" s="4">
        <f t="shared" si="105"/>
        <v>0</v>
      </c>
      <c r="H2339" s="17"/>
      <c r="I2339" s="4">
        <f t="shared" si="107"/>
        <v>349526.07999999996</v>
      </c>
      <c r="J2339" s="32" t="str">
        <f t="shared" si="106"/>
        <v/>
      </c>
      <c r="K2339" s="72"/>
      <c r="L2339" s="72"/>
      <c r="M2339" s="2"/>
      <c r="N2339" s="5"/>
      <c r="O2339" s="3"/>
      <c r="P2339" s="6"/>
      <c r="Q2339" s="48">
        <f>IF(Учет!$O2339=Справочники!$F$2,Учет!$H2339,0)</f>
        <v>0</v>
      </c>
      <c r="R2339" s="48">
        <f>IF(Учет!$O2339=Справочники!$F$3,Учет!$H2339,0)</f>
        <v>0</v>
      </c>
      <c r="S2339" s="48">
        <f>IF(Учет!$O2339=Справочники!$F$4,Учет!$H2339,0)</f>
        <v>0</v>
      </c>
      <c r="T2339" s="48">
        <f>IF(Учет!$O2339=Справочники!$F$5,Учет!$H2339,0)</f>
        <v>0</v>
      </c>
      <c r="U2339" s="48">
        <f>IF(Учет!$O2339=Справочники!$F$6,Учет!$H2339,0)</f>
        <v>0</v>
      </c>
      <c r="V2339" s="43">
        <f>V2338+Учет!Q2339-Q2339</f>
        <v>-488978.92000000004</v>
      </c>
      <c r="W2339" s="43">
        <f>W2338+Учет!R2339-R2339</f>
        <v>336855</v>
      </c>
      <c r="X2339" s="43">
        <f>X2338+Учет!S2339-S2339</f>
        <v>500</v>
      </c>
      <c r="Y2339" s="43">
        <f>Y2338+Учет!T2339-T2339</f>
        <v>1150</v>
      </c>
      <c r="Z2339" s="43">
        <f>Z2338+Учет!U2339-U2339</f>
        <v>500000</v>
      </c>
      <c r="AA2339" s="45">
        <f>Учет!X2339</f>
        <v>500</v>
      </c>
    </row>
    <row r="2340" spans="1:27" ht="15" customHeight="1" x14ac:dyDescent="0.25">
      <c r="A2340" s="1"/>
      <c r="B2340" s="17"/>
      <c r="C2340" s="17"/>
      <c r="D2340" s="17"/>
      <c r="E2340" s="17"/>
      <c r="F2340" s="17"/>
      <c r="G2340" s="4">
        <f t="shared" si="105"/>
        <v>0</v>
      </c>
      <c r="H2340" s="17"/>
      <c r="I2340" s="4">
        <f t="shared" si="107"/>
        <v>349526.07999999996</v>
      </c>
      <c r="J2340" s="32" t="str">
        <f t="shared" si="106"/>
        <v/>
      </c>
      <c r="K2340" s="72"/>
      <c r="L2340" s="72"/>
      <c r="M2340" s="2"/>
      <c r="N2340" s="5"/>
      <c r="O2340" s="3"/>
      <c r="P2340" s="6"/>
      <c r="Q2340" s="48">
        <f>IF(Учет!$O2340=Справочники!$F$2,Учет!$H2340,0)</f>
        <v>0</v>
      </c>
      <c r="R2340" s="48">
        <f>IF(Учет!$O2340=Справочники!$F$3,Учет!$H2340,0)</f>
        <v>0</v>
      </c>
      <c r="S2340" s="48">
        <f>IF(Учет!$O2340=Справочники!$F$4,Учет!$H2340,0)</f>
        <v>0</v>
      </c>
      <c r="T2340" s="48">
        <f>IF(Учет!$O2340=Справочники!$F$5,Учет!$H2340,0)</f>
        <v>0</v>
      </c>
      <c r="U2340" s="48">
        <f>IF(Учет!$O2340=Справочники!$F$6,Учет!$H2340,0)</f>
        <v>0</v>
      </c>
      <c r="V2340" s="43">
        <f>V2339+Учет!Q2340-Q2340</f>
        <v>-488978.92000000004</v>
      </c>
      <c r="W2340" s="43">
        <f>W2339+Учет!R2340-R2340</f>
        <v>336855</v>
      </c>
      <c r="X2340" s="43">
        <f>X2339+Учет!S2340-S2340</f>
        <v>500</v>
      </c>
      <c r="Y2340" s="43">
        <f>Y2339+Учет!T2340-T2340</f>
        <v>1150</v>
      </c>
      <c r="Z2340" s="43">
        <f>Z2339+Учет!U2340-U2340</f>
        <v>500000</v>
      </c>
      <c r="AA2340" s="45">
        <f>Учет!X2340</f>
        <v>500</v>
      </c>
    </row>
    <row r="2341" spans="1:27" ht="15" customHeight="1" x14ac:dyDescent="0.25">
      <c r="A2341" s="1"/>
      <c r="B2341" s="17"/>
      <c r="C2341" s="17"/>
      <c r="D2341" s="17"/>
      <c r="E2341" s="17"/>
      <c r="F2341" s="17"/>
      <c r="G2341" s="4">
        <f t="shared" si="105"/>
        <v>0</v>
      </c>
      <c r="H2341" s="17"/>
      <c r="I2341" s="4">
        <f t="shared" si="107"/>
        <v>349526.07999999996</v>
      </c>
      <c r="J2341" s="32" t="str">
        <f t="shared" si="106"/>
        <v/>
      </c>
      <c r="K2341" s="72"/>
      <c r="L2341" s="72"/>
      <c r="M2341" s="2"/>
      <c r="N2341" s="5"/>
      <c r="O2341" s="3"/>
      <c r="P2341" s="6"/>
      <c r="Q2341" s="48">
        <f>IF(Учет!$O2341=Справочники!$F$2,Учет!$H2341,0)</f>
        <v>0</v>
      </c>
      <c r="R2341" s="48">
        <f>IF(Учет!$O2341=Справочники!$F$3,Учет!$H2341,0)</f>
        <v>0</v>
      </c>
      <c r="S2341" s="48">
        <f>IF(Учет!$O2341=Справочники!$F$4,Учет!$H2341,0)</f>
        <v>0</v>
      </c>
      <c r="T2341" s="48">
        <f>IF(Учет!$O2341=Справочники!$F$5,Учет!$H2341,0)</f>
        <v>0</v>
      </c>
      <c r="U2341" s="48">
        <f>IF(Учет!$O2341=Справочники!$F$6,Учет!$H2341,0)</f>
        <v>0</v>
      </c>
      <c r="V2341" s="43">
        <f>V2340+Учет!Q2341-Q2341</f>
        <v>-488978.92000000004</v>
      </c>
      <c r="W2341" s="43">
        <f>W2340+Учет!R2341-R2341</f>
        <v>336855</v>
      </c>
      <c r="X2341" s="43">
        <f>X2340+Учет!S2341-S2341</f>
        <v>500</v>
      </c>
      <c r="Y2341" s="43">
        <f>Y2340+Учет!T2341-T2341</f>
        <v>1150</v>
      </c>
      <c r="Z2341" s="43">
        <f>Z2340+Учет!U2341-U2341</f>
        <v>500000</v>
      </c>
      <c r="AA2341" s="45">
        <f>Учет!X2341</f>
        <v>500</v>
      </c>
    </row>
    <row r="2342" spans="1:27" ht="15" customHeight="1" x14ac:dyDescent="0.25">
      <c r="A2342" s="1"/>
      <c r="B2342" s="17"/>
      <c r="C2342" s="17"/>
      <c r="D2342" s="17"/>
      <c r="E2342" s="17"/>
      <c r="F2342" s="17"/>
      <c r="G2342" s="4">
        <f t="shared" si="105"/>
        <v>0</v>
      </c>
      <c r="H2342" s="17"/>
      <c r="I2342" s="4">
        <f t="shared" si="107"/>
        <v>349526.07999999996</v>
      </c>
      <c r="J2342" s="32" t="str">
        <f t="shared" si="106"/>
        <v/>
      </c>
      <c r="K2342" s="72"/>
      <c r="L2342" s="72"/>
      <c r="M2342" s="2"/>
      <c r="N2342" s="5"/>
      <c r="O2342" s="3"/>
      <c r="P2342" s="6"/>
      <c r="Q2342" s="48">
        <f>IF(Учет!$O2342=Справочники!$F$2,Учет!$H2342,0)</f>
        <v>0</v>
      </c>
      <c r="R2342" s="48">
        <f>IF(Учет!$O2342=Справочники!$F$3,Учет!$H2342,0)</f>
        <v>0</v>
      </c>
      <c r="S2342" s="48">
        <f>IF(Учет!$O2342=Справочники!$F$4,Учет!$H2342,0)</f>
        <v>0</v>
      </c>
      <c r="T2342" s="48">
        <f>IF(Учет!$O2342=Справочники!$F$5,Учет!$H2342,0)</f>
        <v>0</v>
      </c>
      <c r="U2342" s="48">
        <f>IF(Учет!$O2342=Справочники!$F$6,Учет!$H2342,0)</f>
        <v>0</v>
      </c>
      <c r="V2342" s="43">
        <f>V2341+Учет!Q2342-Q2342</f>
        <v>-488978.92000000004</v>
      </c>
      <c r="W2342" s="43">
        <f>W2341+Учет!R2342-R2342</f>
        <v>336855</v>
      </c>
      <c r="X2342" s="43">
        <f>X2341+Учет!S2342-S2342</f>
        <v>500</v>
      </c>
      <c r="Y2342" s="43">
        <f>Y2341+Учет!T2342-T2342</f>
        <v>1150</v>
      </c>
      <c r="Z2342" s="43">
        <f>Z2341+Учет!U2342-U2342</f>
        <v>500000</v>
      </c>
      <c r="AA2342" s="45">
        <f>Учет!X2342</f>
        <v>500</v>
      </c>
    </row>
    <row r="2343" spans="1:27" ht="15" customHeight="1" x14ac:dyDescent="0.25">
      <c r="A2343" s="1"/>
      <c r="B2343" s="17"/>
      <c r="C2343" s="17"/>
      <c r="D2343" s="17"/>
      <c r="E2343" s="17"/>
      <c r="F2343" s="17"/>
      <c r="G2343" s="4">
        <f t="shared" si="105"/>
        <v>0</v>
      </c>
      <c r="H2343" s="17"/>
      <c r="I2343" s="4">
        <f t="shared" si="107"/>
        <v>349526.07999999996</v>
      </c>
      <c r="J2343" s="32" t="str">
        <f t="shared" si="106"/>
        <v/>
      </c>
      <c r="K2343" s="72"/>
      <c r="L2343" s="72"/>
      <c r="M2343" s="2"/>
      <c r="N2343" s="5"/>
      <c r="O2343" s="3"/>
      <c r="P2343" s="6"/>
      <c r="Q2343" s="48">
        <f>IF(Учет!$O2343=Справочники!$F$2,Учет!$H2343,0)</f>
        <v>0</v>
      </c>
      <c r="R2343" s="48">
        <f>IF(Учет!$O2343=Справочники!$F$3,Учет!$H2343,0)</f>
        <v>0</v>
      </c>
      <c r="S2343" s="48">
        <f>IF(Учет!$O2343=Справочники!$F$4,Учет!$H2343,0)</f>
        <v>0</v>
      </c>
      <c r="T2343" s="48">
        <f>IF(Учет!$O2343=Справочники!$F$5,Учет!$H2343,0)</f>
        <v>0</v>
      </c>
      <c r="U2343" s="48">
        <f>IF(Учет!$O2343=Справочники!$F$6,Учет!$H2343,0)</f>
        <v>0</v>
      </c>
      <c r="V2343" s="43">
        <f>V2342+Учет!Q2343-Q2343</f>
        <v>-488978.92000000004</v>
      </c>
      <c r="W2343" s="43">
        <f>W2342+Учет!R2343-R2343</f>
        <v>336855</v>
      </c>
      <c r="X2343" s="43">
        <f>X2342+Учет!S2343-S2343</f>
        <v>500</v>
      </c>
      <c r="Y2343" s="43">
        <f>Y2342+Учет!T2343-T2343</f>
        <v>1150</v>
      </c>
      <c r="Z2343" s="43">
        <f>Z2342+Учет!U2343-U2343</f>
        <v>500000</v>
      </c>
      <c r="AA2343" s="45">
        <f>Учет!X2343</f>
        <v>500</v>
      </c>
    </row>
    <row r="2344" spans="1:27" ht="15" customHeight="1" x14ac:dyDescent="0.25">
      <c r="A2344" s="1"/>
      <c r="B2344" s="17"/>
      <c r="C2344" s="17"/>
      <c r="D2344" s="17"/>
      <c r="E2344" s="17"/>
      <c r="F2344" s="17"/>
      <c r="G2344" s="4">
        <f t="shared" si="105"/>
        <v>0</v>
      </c>
      <c r="H2344" s="17"/>
      <c r="I2344" s="4">
        <f t="shared" si="107"/>
        <v>349526.07999999996</v>
      </c>
      <c r="J2344" s="32" t="str">
        <f t="shared" si="106"/>
        <v/>
      </c>
      <c r="K2344" s="72"/>
      <c r="L2344" s="72"/>
      <c r="M2344" s="2"/>
      <c r="N2344" s="5"/>
      <c r="O2344" s="3"/>
      <c r="P2344" s="6"/>
      <c r="Q2344" s="48">
        <f>IF(Учет!$O2344=Справочники!$F$2,Учет!$H2344,0)</f>
        <v>0</v>
      </c>
      <c r="R2344" s="48">
        <f>IF(Учет!$O2344=Справочники!$F$3,Учет!$H2344,0)</f>
        <v>0</v>
      </c>
      <c r="S2344" s="48">
        <f>IF(Учет!$O2344=Справочники!$F$4,Учет!$H2344,0)</f>
        <v>0</v>
      </c>
      <c r="T2344" s="48">
        <f>IF(Учет!$O2344=Справочники!$F$5,Учет!$H2344,0)</f>
        <v>0</v>
      </c>
      <c r="U2344" s="48">
        <f>IF(Учет!$O2344=Справочники!$F$6,Учет!$H2344,0)</f>
        <v>0</v>
      </c>
      <c r="V2344" s="43">
        <f>V2343+Учет!Q2344-Q2344</f>
        <v>-488978.92000000004</v>
      </c>
      <c r="W2344" s="43">
        <f>W2343+Учет!R2344-R2344</f>
        <v>336855</v>
      </c>
      <c r="X2344" s="43">
        <f>X2343+Учет!S2344-S2344</f>
        <v>500</v>
      </c>
      <c r="Y2344" s="43">
        <f>Y2343+Учет!T2344-T2344</f>
        <v>1150</v>
      </c>
      <c r="Z2344" s="43">
        <f>Z2343+Учет!U2344-U2344</f>
        <v>500000</v>
      </c>
      <c r="AA2344" s="45">
        <f>Учет!X2344</f>
        <v>500</v>
      </c>
    </row>
    <row r="2345" spans="1:27" ht="15" customHeight="1" x14ac:dyDescent="0.25">
      <c r="A2345" s="1"/>
      <c r="B2345" s="17"/>
      <c r="C2345" s="17"/>
      <c r="D2345" s="17"/>
      <c r="E2345" s="17"/>
      <c r="F2345" s="17"/>
      <c r="G2345" s="4">
        <f t="shared" si="105"/>
        <v>0</v>
      </c>
      <c r="H2345" s="17"/>
      <c r="I2345" s="4">
        <f t="shared" si="107"/>
        <v>349526.07999999996</v>
      </c>
      <c r="J2345" s="32" t="str">
        <f t="shared" si="106"/>
        <v/>
      </c>
      <c r="K2345" s="72"/>
      <c r="L2345" s="72"/>
      <c r="M2345" s="2"/>
      <c r="N2345" s="5"/>
      <c r="O2345" s="3"/>
      <c r="P2345" s="6"/>
      <c r="Q2345" s="48">
        <f>IF(Учет!$O2345=Справочники!$F$2,Учет!$H2345,0)</f>
        <v>0</v>
      </c>
      <c r="R2345" s="48">
        <f>IF(Учет!$O2345=Справочники!$F$3,Учет!$H2345,0)</f>
        <v>0</v>
      </c>
      <c r="S2345" s="48">
        <f>IF(Учет!$O2345=Справочники!$F$4,Учет!$H2345,0)</f>
        <v>0</v>
      </c>
      <c r="T2345" s="48">
        <f>IF(Учет!$O2345=Справочники!$F$5,Учет!$H2345,0)</f>
        <v>0</v>
      </c>
      <c r="U2345" s="48">
        <f>IF(Учет!$O2345=Справочники!$F$6,Учет!$H2345,0)</f>
        <v>0</v>
      </c>
      <c r="V2345" s="43">
        <f>V2344+Учет!Q2345-Q2345</f>
        <v>-488978.92000000004</v>
      </c>
      <c r="W2345" s="43">
        <f>W2344+Учет!R2345-R2345</f>
        <v>336855</v>
      </c>
      <c r="X2345" s="43">
        <f>X2344+Учет!S2345-S2345</f>
        <v>500</v>
      </c>
      <c r="Y2345" s="43">
        <f>Y2344+Учет!T2345-T2345</f>
        <v>1150</v>
      </c>
      <c r="Z2345" s="43">
        <f>Z2344+Учет!U2345-U2345</f>
        <v>500000</v>
      </c>
      <c r="AA2345" s="45">
        <f>Учет!X2345</f>
        <v>500</v>
      </c>
    </row>
    <row r="2346" spans="1:27" ht="15" customHeight="1" x14ac:dyDescent="0.25">
      <c r="A2346" s="1"/>
      <c r="B2346" s="17"/>
      <c r="C2346" s="17"/>
      <c r="D2346" s="17"/>
      <c r="E2346" s="17"/>
      <c r="F2346" s="17"/>
      <c r="G2346" s="4">
        <f t="shared" si="105"/>
        <v>0</v>
      </c>
      <c r="H2346" s="17"/>
      <c r="I2346" s="4">
        <f t="shared" si="107"/>
        <v>349526.07999999996</v>
      </c>
      <c r="J2346" s="32" t="str">
        <f t="shared" si="106"/>
        <v/>
      </c>
      <c r="K2346" s="72"/>
      <c r="L2346" s="72"/>
      <c r="M2346" s="2"/>
      <c r="N2346" s="5"/>
      <c r="O2346" s="3"/>
      <c r="P2346" s="6"/>
      <c r="Q2346" s="48">
        <f>IF(Учет!$O2346=Справочники!$F$2,Учет!$H2346,0)</f>
        <v>0</v>
      </c>
      <c r="R2346" s="48">
        <f>IF(Учет!$O2346=Справочники!$F$3,Учет!$H2346,0)</f>
        <v>0</v>
      </c>
      <c r="S2346" s="48">
        <f>IF(Учет!$O2346=Справочники!$F$4,Учет!$H2346,0)</f>
        <v>0</v>
      </c>
      <c r="T2346" s="48">
        <f>IF(Учет!$O2346=Справочники!$F$5,Учет!$H2346,0)</f>
        <v>0</v>
      </c>
      <c r="U2346" s="48">
        <f>IF(Учет!$O2346=Справочники!$F$6,Учет!$H2346,0)</f>
        <v>0</v>
      </c>
      <c r="V2346" s="43">
        <f>V2345+Учет!Q2346-Q2346</f>
        <v>-488978.92000000004</v>
      </c>
      <c r="W2346" s="43">
        <f>W2345+Учет!R2346-R2346</f>
        <v>336855</v>
      </c>
      <c r="X2346" s="43">
        <f>X2345+Учет!S2346-S2346</f>
        <v>500</v>
      </c>
      <c r="Y2346" s="43">
        <f>Y2345+Учет!T2346-T2346</f>
        <v>1150</v>
      </c>
      <c r="Z2346" s="43">
        <f>Z2345+Учет!U2346-U2346</f>
        <v>500000</v>
      </c>
      <c r="AA2346" s="45">
        <f>Учет!X2346</f>
        <v>500</v>
      </c>
    </row>
    <row r="2347" spans="1:27" ht="15" customHeight="1" x14ac:dyDescent="0.25">
      <c r="A2347" s="1"/>
      <c r="B2347" s="17"/>
      <c r="C2347" s="17"/>
      <c r="D2347" s="17"/>
      <c r="E2347" s="17"/>
      <c r="F2347" s="17"/>
      <c r="G2347" s="4">
        <f t="shared" si="105"/>
        <v>0</v>
      </c>
      <c r="H2347" s="17"/>
      <c r="I2347" s="4">
        <f t="shared" si="107"/>
        <v>349526.07999999996</v>
      </c>
      <c r="J2347" s="32" t="str">
        <f t="shared" si="106"/>
        <v/>
      </c>
      <c r="K2347" s="72"/>
      <c r="L2347" s="72"/>
      <c r="M2347" s="2"/>
      <c r="N2347" s="5"/>
      <c r="O2347" s="3"/>
      <c r="P2347" s="6"/>
      <c r="Q2347" s="48">
        <f>IF(Учет!$O2347=Справочники!$F$2,Учет!$H2347,0)</f>
        <v>0</v>
      </c>
      <c r="R2347" s="48">
        <f>IF(Учет!$O2347=Справочники!$F$3,Учет!$H2347,0)</f>
        <v>0</v>
      </c>
      <c r="S2347" s="48">
        <f>IF(Учет!$O2347=Справочники!$F$4,Учет!$H2347,0)</f>
        <v>0</v>
      </c>
      <c r="T2347" s="48">
        <f>IF(Учет!$O2347=Справочники!$F$5,Учет!$H2347,0)</f>
        <v>0</v>
      </c>
      <c r="U2347" s="48">
        <f>IF(Учет!$O2347=Справочники!$F$6,Учет!$H2347,0)</f>
        <v>0</v>
      </c>
      <c r="V2347" s="43">
        <f>V2346+Учет!Q2347-Q2347</f>
        <v>-488978.92000000004</v>
      </c>
      <c r="W2347" s="43">
        <f>W2346+Учет!R2347-R2347</f>
        <v>336855</v>
      </c>
      <c r="X2347" s="43">
        <f>X2346+Учет!S2347-S2347</f>
        <v>500</v>
      </c>
      <c r="Y2347" s="43">
        <f>Y2346+Учет!T2347-T2347</f>
        <v>1150</v>
      </c>
      <c r="Z2347" s="43">
        <f>Z2346+Учет!U2347-U2347</f>
        <v>500000</v>
      </c>
      <c r="AA2347" s="45">
        <f>Учет!X2347</f>
        <v>500</v>
      </c>
    </row>
    <row r="2348" spans="1:27" ht="15" customHeight="1" x14ac:dyDescent="0.25">
      <c r="A2348" s="1"/>
      <c r="B2348" s="17"/>
      <c r="C2348" s="17"/>
      <c r="D2348" s="17"/>
      <c r="E2348" s="17"/>
      <c r="F2348" s="17"/>
      <c r="G2348" s="4">
        <f t="shared" si="105"/>
        <v>0</v>
      </c>
      <c r="H2348" s="17"/>
      <c r="I2348" s="4">
        <f t="shared" si="107"/>
        <v>349526.07999999996</v>
      </c>
      <c r="J2348" s="32" t="str">
        <f t="shared" si="106"/>
        <v/>
      </c>
      <c r="K2348" s="72"/>
      <c r="L2348" s="72"/>
      <c r="M2348" s="2"/>
      <c r="N2348" s="5"/>
      <c r="O2348" s="3"/>
      <c r="P2348" s="6"/>
      <c r="Q2348" s="48">
        <f>IF(Учет!$O2348=Справочники!$F$2,Учет!$H2348,0)</f>
        <v>0</v>
      </c>
      <c r="R2348" s="48">
        <f>IF(Учет!$O2348=Справочники!$F$3,Учет!$H2348,0)</f>
        <v>0</v>
      </c>
      <c r="S2348" s="48">
        <f>IF(Учет!$O2348=Справочники!$F$4,Учет!$H2348,0)</f>
        <v>0</v>
      </c>
      <c r="T2348" s="48">
        <f>IF(Учет!$O2348=Справочники!$F$5,Учет!$H2348,0)</f>
        <v>0</v>
      </c>
      <c r="U2348" s="48">
        <f>IF(Учет!$O2348=Справочники!$F$6,Учет!$H2348,0)</f>
        <v>0</v>
      </c>
      <c r="V2348" s="43">
        <f>V2347+Учет!Q2348-Q2348</f>
        <v>-488978.92000000004</v>
      </c>
      <c r="W2348" s="43">
        <f>W2347+Учет!R2348-R2348</f>
        <v>336855</v>
      </c>
      <c r="X2348" s="43">
        <f>X2347+Учет!S2348-S2348</f>
        <v>500</v>
      </c>
      <c r="Y2348" s="43">
        <f>Y2347+Учет!T2348-T2348</f>
        <v>1150</v>
      </c>
      <c r="Z2348" s="43">
        <f>Z2347+Учет!U2348-U2348</f>
        <v>500000</v>
      </c>
      <c r="AA2348" s="45">
        <f>Учет!X2348</f>
        <v>500</v>
      </c>
    </row>
    <row r="2349" spans="1:27" ht="15" customHeight="1" x14ac:dyDescent="0.25">
      <c r="A2349" s="1"/>
      <c r="B2349" s="17"/>
      <c r="C2349" s="17"/>
      <c r="D2349" s="17"/>
      <c r="E2349" s="17"/>
      <c r="F2349" s="17"/>
      <c r="G2349" s="4">
        <f t="shared" si="105"/>
        <v>0</v>
      </c>
      <c r="H2349" s="17"/>
      <c r="I2349" s="4">
        <f t="shared" si="107"/>
        <v>349526.07999999996</v>
      </c>
      <c r="J2349" s="32" t="str">
        <f t="shared" si="106"/>
        <v/>
      </c>
      <c r="K2349" s="72"/>
      <c r="L2349" s="72"/>
      <c r="M2349" s="2"/>
      <c r="N2349" s="5"/>
      <c r="O2349" s="3"/>
      <c r="P2349" s="6"/>
      <c r="Q2349" s="48">
        <f>IF(Учет!$O2349=Справочники!$F$2,Учет!$H2349,0)</f>
        <v>0</v>
      </c>
      <c r="R2349" s="48">
        <f>IF(Учет!$O2349=Справочники!$F$3,Учет!$H2349,0)</f>
        <v>0</v>
      </c>
      <c r="S2349" s="48">
        <f>IF(Учет!$O2349=Справочники!$F$4,Учет!$H2349,0)</f>
        <v>0</v>
      </c>
      <c r="T2349" s="48">
        <f>IF(Учет!$O2349=Справочники!$F$5,Учет!$H2349,0)</f>
        <v>0</v>
      </c>
      <c r="U2349" s="48">
        <f>IF(Учет!$O2349=Справочники!$F$6,Учет!$H2349,0)</f>
        <v>0</v>
      </c>
      <c r="V2349" s="43">
        <f>V2348+Учет!Q2349-Q2349</f>
        <v>-488978.92000000004</v>
      </c>
      <c r="W2349" s="43">
        <f>W2348+Учет!R2349-R2349</f>
        <v>336855</v>
      </c>
      <c r="X2349" s="43">
        <f>X2348+Учет!S2349-S2349</f>
        <v>500</v>
      </c>
      <c r="Y2349" s="43">
        <f>Y2348+Учет!T2349-T2349</f>
        <v>1150</v>
      </c>
      <c r="Z2349" s="43">
        <f>Z2348+Учет!U2349-U2349</f>
        <v>500000</v>
      </c>
      <c r="AA2349" s="45">
        <f>Учет!X2349</f>
        <v>500</v>
      </c>
    </row>
    <row r="2350" spans="1:27" ht="15" customHeight="1" x14ac:dyDescent="0.25">
      <c r="A2350" s="1"/>
      <c r="B2350" s="17"/>
      <c r="C2350" s="17"/>
      <c r="D2350" s="17"/>
      <c r="E2350" s="17"/>
      <c r="F2350" s="17"/>
      <c r="G2350" s="4">
        <f t="shared" si="105"/>
        <v>0</v>
      </c>
      <c r="H2350" s="17"/>
      <c r="I2350" s="4">
        <f t="shared" si="107"/>
        <v>349526.07999999996</v>
      </c>
      <c r="J2350" s="32" t="str">
        <f t="shared" si="106"/>
        <v/>
      </c>
      <c r="K2350" s="72"/>
      <c r="L2350" s="72"/>
      <c r="M2350" s="2"/>
      <c r="N2350" s="5"/>
      <c r="O2350" s="3"/>
      <c r="P2350" s="6"/>
      <c r="Q2350" s="48">
        <f>IF(Учет!$O2350=Справочники!$F$2,Учет!$H2350,0)</f>
        <v>0</v>
      </c>
      <c r="R2350" s="48">
        <f>IF(Учет!$O2350=Справочники!$F$3,Учет!$H2350,0)</f>
        <v>0</v>
      </c>
      <c r="S2350" s="48">
        <f>IF(Учет!$O2350=Справочники!$F$4,Учет!$H2350,0)</f>
        <v>0</v>
      </c>
      <c r="T2350" s="48">
        <f>IF(Учет!$O2350=Справочники!$F$5,Учет!$H2350,0)</f>
        <v>0</v>
      </c>
      <c r="U2350" s="48">
        <f>IF(Учет!$O2350=Справочники!$F$6,Учет!$H2350,0)</f>
        <v>0</v>
      </c>
      <c r="V2350" s="43">
        <f>V2349+Учет!Q2350-Q2350</f>
        <v>-488978.92000000004</v>
      </c>
      <c r="W2350" s="43">
        <f>W2349+Учет!R2350-R2350</f>
        <v>336855</v>
      </c>
      <c r="X2350" s="43">
        <f>X2349+Учет!S2350-S2350</f>
        <v>500</v>
      </c>
      <c r="Y2350" s="43">
        <f>Y2349+Учет!T2350-T2350</f>
        <v>1150</v>
      </c>
      <c r="Z2350" s="43">
        <f>Z2349+Учет!U2350-U2350</f>
        <v>500000</v>
      </c>
      <c r="AA2350" s="45">
        <f>Учет!X2350</f>
        <v>500</v>
      </c>
    </row>
    <row r="2351" spans="1:27" ht="15" customHeight="1" x14ac:dyDescent="0.25">
      <c r="A2351" s="1"/>
      <c r="B2351" s="17"/>
      <c r="C2351" s="17"/>
      <c r="D2351" s="17"/>
      <c r="E2351" s="17"/>
      <c r="F2351" s="17"/>
      <c r="G2351" s="4">
        <f t="shared" si="105"/>
        <v>0</v>
      </c>
      <c r="H2351" s="17"/>
      <c r="I2351" s="4">
        <f t="shared" si="107"/>
        <v>349526.07999999996</v>
      </c>
      <c r="J2351" s="32" t="str">
        <f t="shared" si="106"/>
        <v/>
      </c>
      <c r="K2351" s="72"/>
      <c r="L2351" s="72"/>
      <c r="M2351" s="2"/>
      <c r="N2351" s="5"/>
      <c r="O2351" s="3"/>
      <c r="P2351" s="6"/>
      <c r="Q2351" s="48">
        <f>IF(Учет!$O2351=Справочники!$F$2,Учет!$H2351,0)</f>
        <v>0</v>
      </c>
      <c r="R2351" s="48">
        <f>IF(Учет!$O2351=Справочники!$F$3,Учет!$H2351,0)</f>
        <v>0</v>
      </c>
      <c r="S2351" s="48">
        <f>IF(Учет!$O2351=Справочники!$F$4,Учет!$H2351,0)</f>
        <v>0</v>
      </c>
      <c r="T2351" s="48">
        <f>IF(Учет!$O2351=Справочники!$F$5,Учет!$H2351,0)</f>
        <v>0</v>
      </c>
      <c r="U2351" s="48">
        <f>IF(Учет!$O2351=Справочники!$F$6,Учет!$H2351,0)</f>
        <v>0</v>
      </c>
      <c r="V2351" s="43">
        <f>V2350+Учет!Q2351-Q2351</f>
        <v>-488978.92000000004</v>
      </c>
      <c r="W2351" s="43">
        <f>W2350+Учет!R2351-R2351</f>
        <v>336855</v>
      </c>
      <c r="X2351" s="43">
        <f>X2350+Учет!S2351-S2351</f>
        <v>500</v>
      </c>
      <c r="Y2351" s="43">
        <f>Y2350+Учет!T2351-T2351</f>
        <v>1150</v>
      </c>
      <c r="Z2351" s="43">
        <f>Z2350+Учет!U2351-U2351</f>
        <v>500000</v>
      </c>
      <c r="AA2351" s="45">
        <f>Учет!X2351</f>
        <v>500</v>
      </c>
    </row>
    <row r="2352" spans="1:27" ht="15" customHeight="1" x14ac:dyDescent="0.25">
      <c r="A2352" s="1"/>
      <c r="B2352" s="17"/>
      <c r="C2352" s="17"/>
      <c r="D2352" s="17"/>
      <c r="E2352" s="17"/>
      <c r="F2352" s="17"/>
      <c r="G2352" s="4">
        <f t="shared" si="105"/>
        <v>0</v>
      </c>
      <c r="H2352" s="17"/>
      <c r="I2352" s="4">
        <f t="shared" si="107"/>
        <v>349526.07999999996</v>
      </c>
      <c r="J2352" s="32" t="str">
        <f t="shared" si="106"/>
        <v/>
      </c>
      <c r="K2352" s="72"/>
      <c r="L2352" s="72"/>
      <c r="M2352" s="2"/>
      <c r="N2352" s="5"/>
      <c r="O2352" s="3"/>
      <c r="P2352" s="6"/>
      <c r="Q2352" s="48">
        <f>IF(Учет!$O2352=Справочники!$F$2,Учет!$H2352,0)</f>
        <v>0</v>
      </c>
      <c r="R2352" s="48">
        <f>IF(Учет!$O2352=Справочники!$F$3,Учет!$H2352,0)</f>
        <v>0</v>
      </c>
      <c r="S2352" s="48">
        <f>IF(Учет!$O2352=Справочники!$F$4,Учет!$H2352,0)</f>
        <v>0</v>
      </c>
      <c r="T2352" s="48">
        <f>IF(Учет!$O2352=Справочники!$F$5,Учет!$H2352,0)</f>
        <v>0</v>
      </c>
      <c r="U2352" s="48">
        <f>IF(Учет!$O2352=Справочники!$F$6,Учет!$H2352,0)</f>
        <v>0</v>
      </c>
      <c r="V2352" s="43">
        <f>V2351+Учет!Q2352-Q2352</f>
        <v>-488978.92000000004</v>
      </c>
      <c r="W2352" s="43">
        <f>W2351+Учет!R2352-R2352</f>
        <v>336855</v>
      </c>
      <c r="X2352" s="43">
        <f>X2351+Учет!S2352-S2352</f>
        <v>500</v>
      </c>
      <c r="Y2352" s="43">
        <f>Y2351+Учет!T2352-T2352</f>
        <v>1150</v>
      </c>
      <c r="Z2352" s="43">
        <f>Z2351+Учет!U2352-U2352</f>
        <v>500000</v>
      </c>
      <c r="AA2352" s="45">
        <f>Учет!X2352</f>
        <v>500</v>
      </c>
    </row>
    <row r="2353" spans="1:27" ht="15" customHeight="1" x14ac:dyDescent="0.25">
      <c r="A2353" s="1"/>
      <c r="B2353" s="17"/>
      <c r="C2353" s="17"/>
      <c r="D2353" s="17"/>
      <c r="E2353" s="17"/>
      <c r="F2353" s="17"/>
      <c r="G2353" s="4">
        <f t="shared" si="105"/>
        <v>0</v>
      </c>
      <c r="H2353" s="17"/>
      <c r="I2353" s="4">
        <f t="shared" si="107"/>
        <v>349526.07999999996</v>
      </c>
      <c r="J2353" s="32" t="str">
        <f t="shared" si="106"/>
        <v/>
      </c>
      <c r="K2353" s="72"/>
      <c r="L2353" s="72"/>
      <c r="M2353" s="2"/>
      <c r="N2353" s="5"/>
      <c r="O2353" s="3"/>
      <c r="P2353" s="6"/>
      <c r="Q2353" s="48">
        <f>IF(Учет!$O2353=Справочники!$F$2,Учет!$H2353,0)</f>
        <v>0</v>
      </c>
      <c r="R2353" s="48">
        <f>IF(Учет!$O2353=Справочники!$F$3,Учет!$H2353,0)</f>
        <v>0</v>
      </c>
      <c r="S2353" s="48">
        <f>IF(Учет!$O2353=Справочники!$F$4,Учет!$H2353,0)</f>
        <v>0</v>
      </c>
      <c r="T2353" s="48">
        <f>IF(Учет!$O2353=Справочники!$F$5,Учет!$H2353,0)</f>
        <v>0</v>
      </c>
      <c r="U2353" s="48">
        <f>IF(Учет!$O2353=Справочники!$F$6,Учет!$H2353,0)</f>
        <v>0</v>
      </c>
      <c r="V2353" s="43">
        <f>V2352+Учет!Q2353-Q2353</f>
        <v>-488978.92000000004</v>
      </c>
      <c r="W2353" s="43">
        <f>W2352+Учет!R2353-R2353</f>
        <v>336855</v>
      </c>
      <c r="X2353" s="43">
        <f>X2352+Учет!S2353-S2353</f>
        <v>500</v>
      </c>
      <c r="Y2353" s="43">
        <f>Y2352+Учет!T2353-T2353</f>
        <v>1150</v>
      </c>
      <c r="Z2353" s="43">
        <f>Z2352+Учет!U2353-U2353</f>
        <v>500000</v>
      </c>
      <c r="AA2353" s="45">
        <f>Учет!X2353</f>
        <v>500</v>
      </c>
    </row>
    <row r="2354" spans="1:27" ht="15" customHeight="1" x14ac:dyDescent="0.25">
      <c r="A2354" s="1"/>
      <c r="B2354" s="17"/>
      <c r="C2354" s="17"/>
      <c r="D2354" s="17"/>
      <c r="E2354" s="17"/>
      <c r="F2354" s="17"/>
      <c r="G2354" s="4">
        <f t="shared" si="105"/>
        <v>0</v>
      </c>
      <c r="H2354" s="17"/>
      <c r="I2354" s="4">
        <f t="shared" si="107"/>
        <v>349526.07999999996</v>
      </c>
      <c r="J2354" s="32" t="str">
        <f t="shared" si="106"/>
        <v/>
      </c>
      <c r="K2354" s="72"/>
      <c r="L2354" s="72"/>
      <c r="M2354" s="2"/>
      <c r="N2354" s="5"/>
      <c r="O2354" s="3"/>
      <c r="P2354" s="6"/>
      <c r="Q2354" s="48">
        <f>IF(Учет!$O2354=Справочники!$F$2,Учет!$H2354,0)</f>
        <v>0</v>
      </c>
      <c r="R2354" s="48">
        <f>IF(Учет!$O2354=Справочники!$F$3,Учет!$H2354,0)</f>
        <v>0</v>
      </c>
      <c r="S2354" s="48">
        <f>IF(Учет!$O2354=Справочники!$F$4,Учет!$H2354,0)</f>
        <v>0</v>
      </c>
      <c r="T2354" s="48">
        <f>IF(Учет!$O2354=Справочники!$F$5,Учет!$H2354,0)</f>
        <v>0</v>
      </c>
      <c r="U2354" s="48">
        <f>IF(Учет!$O2354=Справочники!$F$6,Учет!$H2354,0)</f>
        <v>0</v>
      </c>
      <c r="V2354" s="43">
        <f>V2353+Учет!Q2354-Q2354</f>
        <v>-488978.92000000004</v>
      </c>
      <c r="W2354" s="43">
        <f>W2353+Учет!R2354-R2354</f>
        <v>336855</v>
      </c>
      <c r="X2354" s="43">
        <f>X2353+Учет!S2354-S2354</f>
        <v>500</v>
      </c>
      <c r="Y2354" s="43">
        <f>Y2353+Учет!T2354-T2354</f>
        <v>1150</v>
      </c>
      <c r="Z2354" s="43">
        <f>Z2353+Учет!U2354-U2354</f>
        <v>500000</v>
      </c>
      <c r="AA2354" s="45">
        <f>Учет!X2354</f>
        <v>500</v>
      </c>
    </row>
    <row r="2355" spans="1:27" ht="15" customHeight="1" x14ac:dyDescent="0.25">
      <c r="A2355" s="1"/>
      <c r="B2355" s="17"/>
      <c r="C2355" s="17"/>
      <c r="D2355" s="17"/>
      <c r="E2355" s="17"/>
      <c r="F2355" s="17"/>
      <c r="G2355" s="4">
        <f t="shared" si="105"/>
        <v>0</v>
      </c>
      <c r="H2355" s="17"/>
      <c r="I2355" s="4">
        <f t="shared" si="107"/>
        <v>349526.07999999996</v>
      </c>
      <c r="J2355" s="32" t="str">
        <f t="shared" si="106"/>
        <v/>
      </c>
      <c r="K2355" s="72"/>
      <c r="L2355" s="72"/>
      <c r="M2355" s="2"/>
      <c r="N2355" s="5"/>
      <c r="O2355" s="3"/>
      <c r="P2355" s="6"/>
      <c r="Q2355" s="48">
        <f>IF(Учет!$O2355=Справочники!$F$2,Учет!$H2355,0)</f>
        <v>0</v>
      </c>
      <c r="R2355" s="48">
        <f>IF(Учет!$O2355=Справочники!$F$3,Учет!$H2355,0)</f>
        <v>0</v>
      </c>
      <c r="S2355" s="48">
        <f>IF(Учет!$O2355=Справочники!$F$4,Учет!$H2355,0)</f>
        <v>0</v>
      </c>
      <c r="T2355" s="48">
        <f>IF(Учет!$O2355=Справочники!$F$5,Учет!$H2355,0)</f>
        <v>0</v>
      </c>
      <c r="U2355" s="48">
        <f>IF(Учет!$O2355=Справочники!$F$6,Учет!$H2355,0)</f>
        <v>0</v>
      </c>
      <c r="V2355" s="43">
        <f>V2354+Учет!Q2355-Q2355</f>
        <v>-488978.92000000004</v>
      </c>
      <c r="W2355" s="43">
        <f>W2354+Учет!R2355-R2355</f>
        <v>336855</v>
      </c>
      <c r="X2355" s="43">
        <f>X2354+Учет!S2355-S2355</f>
        <v>500</v>
      </c>
      <c r="Y2355" s="43">
        <f>Y2354+Учет!T2355-T2355</f>
        <v>1150</v>
      </c>
      <c r="Z2355" s="43">
        <f>Z2354+Учет!U2355-U2355</f>
        <v>500000</v>
      </c>
      <c r="AA2355" s="45">
        <f>Учет!X2355</f>
        <v>500</v>
      </c>
    </row>
    <row r="2356" spans="1:27" ht="15" customHeight="1" x14ac:dyDescent="0.25">
      <c r="A2356" s="1"/>
      <c r="B2356" s="17"/>
      <c r="C2356" s="17"/>
      <c r="D2356" s="17"/>
      <c r="E2356" s="17"/>
      <c r="F2356" s="17"/>
      <c r="G2356" s="4">
        <f t="shared" si="105"/>
        <v>0</v>
      </c>
      <c r="H2356" s="17"/>
      <c r="I2356" s="4">
        <f t="shared" si="107"/>
        <v>349526.07999999996</v>
      </c>
      <c r="J2356" s="32" t="str">
        <f t="shared" si="106"/>
        <v/>
      </c>
      <c r="K2356" s="72"/>
      <c r="L2356" s="72"/>
      <c r="M2356" s="2"/>
      <c r="N2356" s="5"/>
      <c r="O2356" s="3"/>
      <c r="P2356" s="6"/>
      <c r="Q2356" s="48">
        <f>IF(Учет!$O2356=Справочники!$F$2,Учет!$H2356,0)</f>
        <v>0</v>
      </c>
      <c r="R2356" s="48">
        <f>IF(Учет!$O2356=Справочники!$F$3,Учет!$H2356,0)</f>
        <v>0</v>
      </c>
      <c r="S2356" s="48">
        <f>IF(Учет!$O2356=Справочники!$F$4,Учет!$H2356,0)</f>
        <v>0</v>
      </c>
      <c r="T2356" s="48">
        <f>IF(Учет!$O2356=Справочники!$F$5,Учет!$H2356,0)</f>
        <v>0</v>
      </c>
      <c r="U2356" s="48">
        <f>IF(Учет!$O2356=Справочники!$F$6,Учет!$H2356,0)</f>
        <v>0</v>
      </c>
      <c r="V2356" s="43">
        <f>V2355+Учет!Q2356-Q2356</f>
        <v>-488978.92000000004</v>
      </c>
      <c r="W2356" s="43">
        <f>W2355+Учет!R2356-R2356</f>
        <v>336855</v>
      </c>
      <c r="X2356" s="43">
        <f>X2355+Учет!S2356-S2356</f>
        <v>500</v>
      </c>
      <c r="Y2356" s="43">
        <f>Y2355+Учет!T2356-T2356</f>
        <v>1150</v>
      </c>
      <c r="Z2356" s="43">
        <f>Z2355+Учет!U2356-U2356</f>
        <v>500000</v>
      </c>
      <c r="AA2356" s="45">
        <f>Учет!X2356</f>
        <v>500</v>
      </c>
    </row>
    <row r="2357" spans="1:27" ht="15" customHeight="1" x14ac:dyDescent="0.25">
      <c r="A2357" s="1"/>
      <c r="B2357" s="17"/>
      <c r="C2357" s="17"/>
      <c r="D2357" s="17"/>
      <c r="E2357" s="17"/>
      <c r="F2357" s="17"/>
      <c r="G2357" s="4">
        <f t="shared" si="105"/>
        <v>0</v>
      </c>
      <c r="H2357" s="17"/>
      <c r="I2357" s="4">
        <f t="shared" si="107"/>
        <v>349526.07999999996</v>
      </c>
      <c r="J2357" s="32" t="str">
        <f t="shared" si="106"/>
        <v/>
      </c>
      <c r="K2357" s="72"/>
      <c r="L2357" s="72"/>
      <c r="M2357" s="2"/>
      <c r="N2357" s="5"/>
      <c r="O2357" s="3"/>
      <c r="P2357" s="6"/>
      <c r="Q2357" s="48">
        <f>IF(Учет!$O2357=Справочники!$F$2,Учет!$H2357,0)</f>
        <v>0</v>
      </c>
      <c r="R2357" s="48">
        <f>IF(Учет!$O2357=Справочники!$F$3,Учет!$H2357,0)</f>
        <v>0</v>
      </c>
      <c r="S2357" s="48">
        <f>IF(Учет!$O2357=Справочники!$F$4,Учет!$H2357,0)</f>
        <v>0</v>
      </c>
      <c r="T2357" s="48">
        <f>IF(Учет!$O2357=Справочники!$F$5,Учет!$H2357,0)</f>
        <v>0</v>
      </c>
      <c r="U2357" s="48">
        <f>IF(Учет!$O2357=Справочники!$F$6,Учет!$H2357,0)</f>
        <v>0</v>
      </c>
      <c r="V2357" s="43">
        <f>V2356+Учет!Q2357-Q2357</f>
        <v>-488978.92000000004</v>
      </c>
      <c r="W2357" s="43">
        <f>W2356+Учет!R2357-R2357</f>
        <v>336855</v>
      </c>
      <c r="X2357" s="43">
        <f>X2356+Учет!S2357-S2357</f>
        <v>500</v>
      </c>
      <c r="Y2357" s="43">
        <f>Y2356+Учет!T2357-T2357</f>
        <v>1150</v>
      </c>
      <c r="Z2357" s="43">
        <f>Z2356+Учет!U2357-U2357</f>
        <v>500000</v>
      </c>
      <c r="AA2357" s="45">
        <f>Учет!X2357</f>
        <v>500</v>
      </c>
    </row>
    <row r="2358" spans="1:27" ht="15" customHeight="1" x14ac:dyDescent="0.25">
      <c r="A2358" s="1"/>
      <c r="B2358" s="17"/>
      <c r="C2358" s="17"/>
      <c r="D2358" s="17"/>
      <c r="E2358" s="17"/>
      <c r="F2358" s="17"/>
      <c r="G2358" s="4">
        <f t="shared" si="105"/>
        <v>0</v>
      </c>
      <c r="H2358" s="17"/>
      <c r="I2358" s="4">
        <f t="shared" si="107"/>
        <v>349526.07999999996</v>
      </c>
      <c r="J2358" s="32" t="str">
        <f t="shared" si="106"/>
        <v/>
      </c>
      <c r="K2358" s="72"/>
      <c r="L2358" s="72"/>
      <c r="M2358" s="2"/>
      <c r="N2358" s="5"/>
      <c r="O2358" s="3"/>
      <c r="P2358" s="6"/>
      <c r="Q2358" s="48">
        <f>IF(Учет!$O2358=Справочники!$F$2,Учет!$H2358,0)</f>
        <v>0</v>
      </c>
      <c r="R2358" s="48">
        <f>IF(Учет!$O2358=Справочники!$F$3,Учет!$H2358,0)</f>
        <v>0</v>
      </c>
      <c r="S2358" s="48">
        <f>IF(Учет!$O2358=Справочники!$F$4,Учет!$H2358,0)</f>
        <v>0</v>
      </c>
      <c r="T2358" s="48">
        <f>IF(Учет!$O2358=Справочники!$F$5,Учет!$H2358,0)</f>
        <v>0</v>
      </c>
      <c r="U2358" s="48">
        <f>IF(Учет!$O2358=Справочники!$F$6,Учет!$H2358,0)</f>
        <v>0</v>
      </c>
      <c r="V2358" s="43">
        <f>V2357+Учет!Q2358-Q2358</f>
        <v>-488978.92000000004</v>
      </c>
      <c r="W2358" s="43">
        <f>W2357+Учет!R2358-R2358</f>
        <v>336855</v>
      </c>
      <c r="X2358" s="43">
        <f>X2357+Учет!S2358-S2358</f>
        <v>500</v>
      </c>
      <c r="Y2358" s="43">
        <f>Y2357+Учет!T2358-T2358</f>
        <v>1150</v>
      </c>
      <c r="Z2358" s="43">
        <f>Z2357+Учет!U2358-U2358</f>
        <v>500000</v>
      </c>
      <c r="AA2358" s="45">
        <f>Учет!X2358</f>
        <v>500</v>
      </c>
    </row>
    <row r="2359" spans="1:27" ht="15" customHeight="1" x14ac:dyDescent="0.25">
      <c r="A2359" s="1"/>
      <c r="B2359" s="17"/>
      <c r="C2359" s="17"/>
      <c r="D2359" s="17"/>
      <c r="E2359" s="17"/>
      <c r="F2359" s="17"/>
      <c r="G2359" s="4">
        <f t="shared" si="105"/>
        <v>0</v>
      </c>
      <c r="H2359" s="17"/>
      <c r="I2359" s="4">
        <f t="shared" si="107"/>
        <v>349526.07999999996</v>
      </c>
      <c r="J2359" s="32" t="str">
        <f t="shared" si="106"/>
        <v/>
      </c>
      <c r="K2359" s="72"/>
      <c r="L2359" s="72"/>
      <c r="M2359" s="2"/>
      <c r="N2359" s="5"/>
      <c r="O2359" s="3"/>
      <c r="P2359" s="6"/>
      <c r="Q2359" s="48">
        <f>IF(Учет!$O2359=Справочники!$F$2,Учет!$H2359,0)</f>
        <v>0</v>
      </c>
      <c r="R2359" s="48">
        <f>IF(Учет!$O2359=Справочники!$F$3,Учет!$H2359,0)</f>
        <v>0</v>
      </c>
      <c r="S2359" s="48">
        <f>IF(Учет!$O2359=Справочники!$F$4,Учет!$H2359,0)</f>
        <v>0</v>
      </c>
      <c r="T2359" s="48">
        <f>IF(Учет!$O2359=Справочники!$F$5,Учет!$H2359,0)</f>
        <v>0</v>
      </c>
      <c r="U2359" s="48">
        <f>IF(Учет!$O2359=Справочники!$F$6,Учет!$H2359,0)</f>
        <v>0</v>
      </c>
      <c r="V2359" s="43">
        <f>V2358+Учет!Q2359-Q2359</f>
        <v>-488978.92000000004</v>
      </c>
      <c r="W2359" s="43">
        <f>W2358+Учет!R2359-R2359</f>
        <v>336855</v>
      </c>
      <c r="X2359" s="43">
        <f>X2358+Учет!S2359-S2359</f>
        <v>500</v>
      </c>
      <c r="Y2359" s="43">
        <f>Y2358+Учет!T2359-T2359</f>
        <v>1150</v>
      </c>
      <c r="Z2359" s="43">
        <f>Z2358+Учет!U2359-U2359</f>
        <v>500000</v>
      </c>
      <c r="AA2359" s="45">
        <f>Учет!X2359</f>
        <v>500</v>
      </c>
    </row>
    <row r="2360" spans="1:27" ht="15" customHeight="1" x14ac:dyDescent="0.25">
      <c r="A2360" s="1"/>
      <c r="B2360" s="17"/>
      <c r="C2360" s="17"/>
      <c r="D2360" s="17"/>
      <c r="E2360" s="17"/>
      <c r="F2360" s="17"/>
      <c r="G2360" s="4">
        <f t="shared" si="105"/>
        <v>0</v>
      </c>
      <c r="H2360" s="17"/>
      <c r="I2360" s="4">
        <f t="shared" si="107"/>
        <v>349526.07999999996</v>
      </c>
      <c r="J2360" s="32" t="str">
        <f t="shared" si="106"/>
        <v/>
      </c>
      <c r="K2360" s="72"/>
      <c r="L2360" s="72"/>
      <c r="M2360" s="2"/>
      <c r="N2360" s="5"/>
      <c r="O2360" s="3"/>
      <c r="P2360" s="6"/>
      <c r="Q2360" s="48">
        <f>IF(Учет!$O2360=Справочники!$F$2,Учет!$H2360,0)</f>
        <v>0</v>
      </c>
      <c r="R2360" s="48">
        <f>IF(Учет!$O2360=Справочники!$F$3,Учет!$H2360,0)</f>
        <v>0</v>
      </c>
      <c r="S2360" s="48">
        <f>IF(Учет!$O2360=Справочники!$F$4,Учет!$H2360,0)</f>
        <v>0</v>
      </c>
      <c r="T2360" s="48">
        <f>IF(Учет!$O2360=Справочники!$F$5,Учет!$H2360,0)</f>
        <v>0</v>
      </c>
      <c r="U2360" s="48">
        <f>IF(Учет!$O2360=Справочники!$F$6,Учет!$H2360,0)</f>
        <v>0</v>
      </c>
      <c r="V2360" s="43">
        <f>V2359+Учет!Q2360-Q2360</f>
        <v>-488978.92000000004</v>
      </c>
      <c r="W2360" s="43">
        <f>W2359+Учет!R2360-R2360</f>
        <v>336855</v>
      </c>
      <c r="X2360" s="43">
        <f>X2359+Учет!S2360-S2360</f>
        <v>500</v>
      </c>
      <c r="Y2360" s="43">
        <f>Y2359+Учет!T2360-T2360</f>
        <v>1150</v>
      </c>
      <c r="Z2360" s="43">
        <f>Z2359+Учет!U2360-U2360</f>
        <v>500000</v>
      </c>
      <c r="AA2360" s="45">
        <f>Учет!X2360</f>
        <v>500</v>
      </c>
    </row>
    <row r="2361" spans="1:27" ht="15" customHeight="1" x14ac:dyDescent="0.25">
      <c r="A2361" s="1"/>
      <c r="B2361" s="17"/>
      <c r="C2361" s="17"/>
      <c r="D2361" s="17"/>
      <c r="E2361" s="17"/>
      <c r="F2361" s="17"/>
      <c r="G2361" s="4">
        <f t="shared" si="105"/>
        <v>0</v>
      </c>
      <c r="H2361" s="17"/>
      <c r="I2361" s="4">
        <f t="shared" si="107"/>
        <v>349526.07999999996</v>
      </c>
      <c r="J2361" s="32" t="str">
        <f t="shared" si="106"/>
        <v/>
      </c>
      <c r="K2361" s="72"/>
      <c r="L2361" s="72"/>
      <c r="M2361" s="2"/>
      <c r="N2361" s="5"/>
      <c r="O2361" s="3"/>
      <c r="P2361" s="6"/>
      <c r="Q2361" s="48">
        <f>IF(Учет!$O2361=Справочники!$F$2,Учет!$H2361,0)</f>
        <v>0</v>
      </c>
      <c r="R2361" s="48">
        <f>IF(Учет!$O2361=Справочники!$F$3,Учет!$H2361,0)</f>
        <v>0</v>
      </c>
      <c r="S2361" s="48">
        <f>IF(Учет!$O2361=Справочники!$F$4,Учет!$H2361,0)</f>
        <v>0</v>
      </c>
      <c r="T2361" s="48">
        <f>IF(Учет!$O2361=Справочники!$F$5,Учет!$H2361,0)</f>
        <v>0</v>
      </c>
      <c r="U2361" s="48">
        <f>IF(Учет!$O2361=Справочники!$F$6,Учет!$H2361,0)</f>
        <v>0</v>
      </c>
      <c r="V2361" s="43">
        <f>V2360+Учет!Q2361-Q2361</f>
        <v>-488978.92000000004</v>
      </c>
      <c r="W2361" s="43">
        <f>W2360+Учет!R2361-R2361</f>
        <v>336855</v>
      </c>
      <c r="X2361" s="43">
        <f>X2360+Учет!S2361-S2361</f>
        <v>500</v>
      </c>
      <c r="Y2361" s="43">
        <f>Y2360+Учет!T2361-T2361</f>
        <v>1150</v>
      </c>
      <c r="Z2361" s="43">
        <f>Z2360+Учет!U2361-U2361</f>
        <v>500000</v>
      </c>
      <c r="AA2361" s="45">
        <f>Учет!X2361</f>
        <v>500</v>
      </c>
    </row>
    <row r="2362" spans="1:27" ht="15" customHeight="1" x14ac:dyDescent="0.25">
      <c r="A2362" s="1"/>
      <c r="B2362" s="17"/>
      <c r="C2362" s="17"/>
      <c r="D2362" s="17"/>
      <c r="E2362" s="17"/>
      <c r="F2362" s="17"/>
      <c r="G2362" s="4">
        <f t="shared" si="105"/>
        <v>0</v>
      </c>
      <c r="H2362" s="17"/>
      <c r="I2362" s="4">
        <f t="shared" si="107"/>
        <v>349526.07999999996</v>
      </c>
      <c r="J2362" s="32" t="str">
        <f t="shared" si="106"/>
        <v/>
      </c>
      <c r="K2362" s="72"/>
      <c r="L2362" s="72"/>
      <c r="M2362" s="2"/>
      <c r="N2362" s="5"/>
      <c r="O2362" s="3"/>
      <c r="P2362" s="6"/>
      <c r="Q2362" s="48">
        <f>IF(Учет!$O2362=Справочники!$F$2,Учет!$H2362,0)</f>
        <v>0</v>
      </c>
      <c r="R2362" s="48">
        <f>IF(Учет!$O2362=Справочники!$F$3,Учет!$H2362,0)</f>
        <v>0</v>
      </c>
      <c r="S2362" s="48">
        <f>IF(Учет!$O2362=Справочники!$F$4,Учет!$H2362,0)</f>
        <v>0</v>
      </c>
      <c r="T2362" s="48">
        <f>IF(Учет!$O2362=Справочники!$F$5,Учет!$H2362,0)</f>
        <v>0</v>
      </c>
      <c r="U2362" s="48">
        <f>IF(Учет!$O2362=Справочники!$F$6,Учет!$H2362,0)</f>
        <v>0</v>
      </c>
      <c r="V2362" s="43">
        <f>V2361+Учет!Q2362-Q2362</f>
        <v>-488978.92000000004</v>
      </c>
      <c r="W2362" s="43">
        <f>W2361+Учет!R2362-R2362</f>
        <v>336855</v>
      </c>
      <c r="X2362" s="43">
        <f>X2361+Учет!S2362-S2362</f>
        <v>500</v>
      </c>
      <c r="Y2362" s="43">
        <f>Y2361+Учет!T2362-T2362</f>
        <v>1150</v>
      </c>
      <c r="Z2362" s="43">
        <f>Z2361+Учет!U2362-U2362</f>
        <v>500000</v>
      </c>
      <c r="AA2362" s="45">
        <f>Учет!X2362</f>
        <v>500</v>
      </c>
    </row>
    <row r="2363" spans="1:27" ht="15" customHeight="1" x14ac:dyDescent="0.25">
      <c r="A2363" s="1"/>
      <c r="B2363" s="17"/>
      <c r="C2363" s="17"/>
      <c r="D2363" s="17"/>
      <c r="E2363" s="17"/>
      <c r="F2363" s="17"/>
      <c r="G2363" s="4">
        <f t="shared" si="105"/>
        <v>0</v>
      </c>
      <c r="H2363" s="17"/>
      <c r="I2363" s="4">
        <f t="shared" si="107"/>
        <v>349526.07999999996</v>
      </c>
      <c r="J2363" s="32" t="str">
        <f t="shared" si="106"/>
        <v/>
      </c>
      <c r="K2363" s="72"/>
      <c r="L2363" s="72"/>
      <c r="M2363" s="2"/>
      <c r="N2363" s="5"/>
      <c r="O2363" s="3"/>
      <c r="P2363" s="6"/>
      <c r="Q2363" s="48">
        <f>IF(Учет!$O2363=Справочники!$F$2,Учет!$H2363,0)</f>
        <v>0</v>
      </c>
      <c r="R2363" s="48">
        <f>IF(Учет!$O2363=Справочники!$F$3,Учет!$H2363,0)</f>
        <v>0</v>
      </c>
      <c r="S2363" s="48">
        <f>IF(Учет!$O2363=Справочники!$F$4,Учет!$H2363,0)</f>
        <v>0</v>
      </c>
      <c r="T2363" s="48">
        <f>IF(Учет!$O2363=Справочники!$F$5,Учет!$H2363,0)</f>
        <v>0</v>
      </c>
      <c r="U2363" s="48">
        <f>IF(Учет!$O2363=Справочники!$F$6,Учет!$H2363,0)</f>
        <v>0</v>
      </c>
      <c r="V2363" s="43">
        <f>V2362+Учет!Q2363-Q2363</f>
        <v>-488978.92000000004</v>
      </c>
      <c r="W2363" s="43">
        <f>W2362+Учет!R2363-R2363</f>
        <v>336855</v>
      </c>
      <c r="X2363" s="43">
        <f>X2362+Учет!S2363-S2363</f>
        <v>500</v>
      </c>
      <c r="Y2363" s="43">
        <f>Y2362+Учет!T2363-T2363</f>
        <v>1150</v>
      </c>
      <c r="Z2363" s="43">
        <f>Z2362+Учет!U2363-U2363</f>
        <v>500000</v>
      </c>
      <c r="AA2363" s="45">
        <f>Учет!X2363</f>
        <v>500</v>
      </c>
    </row>
    <row r="2364" spans="1:27" ht="15" customHeight="1" x14ac:dyDescent="0.25">
      <c r="A2364" s="1"/>
      <c r="B2364" s="17"/>
      <c r="C2364" s="17"/>
      <c r="D2364" s="17"/>
      <c r="E2364" s="17"/>
      <c r="F2364" s="17"/>
      <c r="G2364" s="4">
        <f t="shared" si="105"/>
        <v>0</v>
      </c>
      <c r="H2364" s="17"/>
      <c r="I2364" s="4">
        <f t="shared" si="107"/>
        <v>349526.07999999996</v>
      </c>
      <c r="J2364" s="32" t="str">
        <f t="shared" si="106"/>
        <v/>
      </c>
      <c r="K2364" s="72"/>
      <c r="L2364" s="72"/>
      <c r="M2364" s="2"/>
      <c r="N2364" s="5"/>
      <c r="O2364" s="3"/>
      <c r="P2364" s="6"/>
      <c r="Q2364" s="48">
        <f>IF(Учет!$O2364=Справочники!$F$2,Учет!$H2364,0)</f>
        <v>0</v>
      </c>
      <c r="R2364" s="48">
        <f>IF(Учет!$O2364=Справочники!$F$3,Учет!$H2364,0)</f>
        <v>0</v>
      </c>
      <c r="S2364" s="48">
        <f>IF(Учет!$O2364=Справочники!$F$4,Учет!$H2364,0)</f>
        <v>0</v>
      </c>
      <c r="T2364" s="48">
        <f>IF(Учет!$O2364=Справочники!$F$5,Учет!$H2364,0)</f>
        <v>0</v>
      </c>
      <c r="U2364" s="48">
        <f>IF(Учет!$O2364=Справочники!$F$6,Учет!$H2364,0)</f>
        <v>0</v>
      </c>
      <c r="V2364" s="43">
        <f>V2363+Учет!Q2364-Q2364</f>
        <v>-488978.92000000004</v>
      </c>
      <c r="W2364" s="43">
        <f>W2363+Учет!R2364-R2364</f>
        <v>336855</v>
      </c>
      <c r="X2364" s="43">
        <f>X2363+Учет!S2364-S2364</f>
        <v>500</v>
      </c>
      <c r="Y2364" s="43">
        <f>Y2363+Учет!T2364-T2364</f>
        <v>1150</v>
      </c>
      <c r="Z2364" s="43">
        <f>Z2363+Учет!U2364-U2364</f>
        <v>500000</v>
      </c>
      <c r="AA2364" s="45">
        <f>Учет!X2364</f>
        <v>500</v>
      </c>
    </row>
    <row r="2365" spans="1:27" ht="15" customHeight="1" x14ac:dyDescent="0.25">
      <c r="A2365" s="1"/>
      <c r="B2365" s="17"/>
      <c r="C2365" s="17"/>
      <c r="D2365" s="17"/>
      <c r="E2365" s="17"/>
      <c r="F2365" s="17"/>
      <c r="G2365" s="4">
        <f t="shared" si="105"/>
        <v>0</v>
      </c>
      <c r="H2365" s="17"/>
      <c r="I2365" s="4">
        <f t="shared" si="107"/>
        <v>349526.07999999996</v>
      </c>
      <c r="J2365" s="32" t="str">
        <f t="shared" si="106"/>
        <v/>
      </c>
      <c r="K2365" s="72"/>
      <c r="L2365" s="72"/>
      <c r="M2365" s="2"/>
      <c r="N2365" s="5"/>
      <c r="O2365" s="3"/>
      <c r="P2365" s="6"/>
      <c r="Q2365" s="48">
        <f>IF(Учет!$O2365=Справочники!$F$2,Учет!$H2365,0)</f>
        <v>0</v>
      </c>
      <c r="R2365" s="48">
        <f>IF(Учет!$O2365=Справочники!$F$3,Учет!$H2365,0)</f>
        <v>0</v>
      </c>
      <c r="S2365" s="48">
        <f>IF(Учет!$O2365=Справочники!$F$4,Учет!$H2365,0)</f>
        <v>0</v>
      </c>
      <c r="T2365" s="48">
        <f>IF(Учет!$O2365=Справочники!$F$5,Учет!$H2365,0)</f>
        <v>0</v>
      </c>
      <c r="U2365" s="48">
        <f>IF(Учет!$O2365=Справочники!$F$6,Учет!$H2365,0)</f>
        <v>0</v>
      </c>
      <c r="V2365" s="43">
        <f>V2364+Учет!Q2365-Q2365</f>
        <v>-488978.92000000004</v>
      </c>
      <c r="W2365" s="43">
        <f>W2364+Учет!R2365-R2365</f>
        <v>336855</v>
      </c>
      <c r="X2365" s="43">
        <f>X2364+Учет!S2365-S2365</f>
        <v>500</v>
      </c>
      <c r="Y2365" s="43">
        <f>Y2364+Учет!T2365-T2365</f>
        <v>1150</v>
      </c>
      <c r="Z2365" s="43">
        <f>Z2364+Учет!U2365-U2365</f>
        <v>500000</v>
      </c>
      <c r="AA2365" s="45">
        <f>Учет!X2365</f>
        <v>500</v>
      </c>
    </row>
    <row r="2366" spans="1:27" ht="15" customHeight="1" x14ac:dyDescent="0.25">
      <c r="A2366" s="1"/>
      <c r="B2366" s="17"/>
      <c r="C2366" s="17"/>
      <c r="D2366" s="17"/>
      <c r="E2366" s="17"/>
      <c r="F2366" s="17"/>
      <c r="G2366" s="4">
        <f t="shared" si="105"/>
        <v>0</v>
      </c>
      <c r="H2366" s="17"/>
      <c r="I2366" s="4">
        <f t="shared" si="107"/>
        <v>349526.07999999996</v>
      </c>
      <c r="J2366" s="32" t="str">
        <f t="shared" si="106"/>
        <v/>
      </c>
      <c r="K2366" s="72"/>
      <c r="L2366" s="72"/>
      <c r="M2366" s="2"/>
      <c r="N2366" s="5"/>
      <c r="O2366" s="3"/>
      <c r="P2366" s="6"/>
      <c r="Q2366" s="48">
        <f>IF(Учет!$O2366=Справочники!$F$2,Учет!$H2366,0)</f>
        <v>0</v>
      </c>
      <c r="R2366" s="48">
        <f>IF(Учет!$O2366=Справочники!$F$3,Учет!$H2366,0)</f>
        <v>0</v>
      </c>
      <c r="S2366" s="48">
        <f>IF(Учет!$O2366=Справочники!$F$4,Учет!$H2366,0)</f>
        <v>0</v>
      </c>
      <c r="T2366" s="48">
        <f>IF(Учет!$O2366=Справочники!$F$5,Учет!$H2366,0)</f>
        <v>0</v>
      </c>
      <c r="U2366" s="48">
        <f>IF(Учет!$O2366=Справочники!$F$6,Учет!$H2366,0)</f>
        <v>0</v>
      </c>
      <c r="V2366" s="43">
        <f>V2365+Учет!Q2366-Q2366</f>
        <v>-488978.92000000004</v>
      </c>
      <c r="W2366" s="43">
        <f>W2365+Учет!R2366-R2366</f>
        <v>336855</v>
      </c>
      <c r="X2366" s="43">
        <f>X2365+Учет!S2366-S2366</f>
        <v>500</v>
      </c>
      <c r="Y2366" s="43">
        <f>Y2365+Учет!T2366-T2366</f>
        <v>1150</v>
      </c>
      <c r="Z2366" s="43">
        <f>Z2365+Учет!U2366-U2366</f>
        <v>500000</v>
      </c>
      <c r="AA2366" s="45">
        <f>Учет!X2366</f>
        <v>500</v>
      </c>
    </row>
    <row r="2367" spans="1:27" ht="15" customHeight="1" x14ac:dyDescent="0.25">
      <c r="A2367" s="1"/>
      <c r="B2367" s="17"/>
      <c r="C2367" s="17"/>
      <c r="D2367" s="17"/>
      <c r="E2367" s="17"/>
      <c r="F2367" s="17"/>
      <c r="G2367" s="4">
        <f t="shared" si="105"/>
        <v>0</v>
      </c>
      <c r="H2367" s="17"/>
      <c r="I2367" s="4">
        <f t="shared" si="107"/>
        <v>349526.07999999996</v>
      </c>
      <c r="J2367" s="32" t="str">
        <f t="shared" si="106"/>
        <v/>
      </c>
      <c r="K2367" s="72"/>
      <c r="L2367" s="72"/>
      <c r="M2367" s="2"/>
      <c r="N2367" s="5"/>
      <c r="O2367" s="3"/>
      <c r="P2367" s="6"/>
      <c r="Q2367" s="48">
        <f>IF(Учет!$O2367=Справочники!$F$2,Учет!$H2367,0)</f>
        <v>0</v>
      </c>
      <c r="R2367" s="48">
        <f>IF(Учет!$O2367=Справочники!$F$3,Учет!$H2367,0)</f>
        <v>0</v>
      </c>
      <c r="S2367" s="48">
        <f>IF(Учет!$O2367=Справочники!$F$4,Учет!$H2367,0)</f>
        <v>0</v>
      </c>
      <c r="T2367" s="48">
        <f>IF(Учет!$O2367=Справочники!$F$5,Учет!$H2367,0)</f>
        <v>0</v>
      </c>
      <c r="U2367" s="48">
        <f>IF(Учет!$O2367=Справочники!$F$6,Учет!$H2367,0)</f>
        <v>0</v>
      </c>
      <c r="V2367" s="43">
        <f>V2366+Учет!Q2367-Q2367</f>
        <v>-488978.92000000004</v>
      </c>
      <c r="W2367" s="43">
        <f>W2366+Учет!R2367-R2367</f>
        <v>336855</v>
      </c>
      <c r="X2367" s="43">
        <f>X2366+Учет!S2367-S2367</f>
        <v>500</v>
      </c>
      <c r="Y2367" s="43">
        <f>Y2366+Учет!T2367-T2367</f>
        <v>1150</v>
      </c>
      <c r="Z2367" s="43">
        <f>Z2366+Учет!U2367-U2367</f>
        <v>500000</v>
      </c>
      <c r="AA2367" s="45">
        <f>Учет!X2367</f>
        <v>500</v>
      </c>
    </row>
    <row r="2368" spans="1:27" ht="15" customHeight="1" x14ac:dyDescent="0.25">
      <c r="A2368" s="1"/>
      <c r="B2368" s="17"/>
      <c r="C2368" s="17"/>
      <c r="D2368" s="17"/>
      <c r="E2368" s="17"/>
      <c r="F2368" s="17"/>
      <c r="G2368" s="4">
        <f t="shared" si="105"/>
        <v>0</v>
      </c>
      <c r="H2368" s="17"/>
      <c r="I2368" s="4">
        <f t="shared" si="107"/>
        <v>349526.07999999996</v>
      </c>
      <c r="J2368" s="32" t="str">
        <f t="shared" si="106"/>
        <v/>
      </c>
      <c r="K2368" s="72"/>
      <c r="L2368" s="72"/>
      <c r="M2368" s="2"/>
      <c r="N2368" s="5"/>
      <c r="O2368" s="3"/>
      <c r="P2368" s="6"/>
      <c r="Q2368" s="48">
        <f>IF(Учет!$O2368=Справочники!$F$2,Учет!$H2368,0)</f>
        <v>0</v>
      </c>
      <c r="R2368" s="48">
        <f>IF(Учет!$O2368=Справочники!$F$3,Учет!$H2368,0)</f>
        <v>0</v>
      </c>
      <c r="S2368" s="48">
        <f>IF(Учет!$O2368=Справочники!$F$4,Учет!$H2368,0)</f>
        <v>0</v>
      </c>
      <c r="T2368" s="48">
        <f>IF(Учет!$O2368=Справочники!$F$5,Учет!$H2368,0)</f>
        <v>0</v>
      </c>
      <c r="U2368" s="48">
        <f>IF(Учет!$O2368=Справочники!$F$6,Учет!$H2368,0)</f>
        <v>0</v>
      </c>
      <c r="V2368" s="43">
        <f>V2367+Учет!Q2368-Q2368</f>
        <v>-488978.92000000004</v>
      </c>
      <c r="W2368" s="43">
        <f>W2367+Учет!R2368-R2368</f>
        <v>336855</v>
      </c>
      <c r="X2368" s="43">
        <f>X2367+Учет!S2368-S2368</f>
        <v>500</v>
      </c>
      <c r="Y2368" s="43">
        <f>Y2367+Учет!T2368-T2368</f>
        <v>1150</v>
      </c>
      <c r="Z2368" s="43">
        <f>Z2367+Учет!U2368-U2368</f>
        <v>500000</v>
      </c>
      <c r="AA2368" s="45">
        <f>Учет!X2368</f>
        <v>500</v>
      </c>
    </row>
    <row r="2369" spans="1:27" ht="15" customHeight="1" x14ac:dyDescent="0.25">
      <c r="A2369" s="1"/>
      <c r="B2369" s="17"/>
      <c r="C2369" s="17"/>
      <c r="D2369" s="17"/>
      <c r="E2369" s="17"/>
      <c r="F2369" s="17"/>
      <c r="G2369" s="4">
        <f t="shared" si="105"/>
        <v>0</v>
      </c>
      <c r="H2369" s="17"/>
      <c r="I2369" s="4">
        <f t="shared" si="107"/>
        <v>349526.07999999996</v>
      </c>
      <c r="J2369" s="32" t="str">
        <f t="shared" si="106"/>
        <v/>
      </c>
      <c r="K2369" s="72"/>
      <c r="L2369" s="72"/>
      <c r="M2369" s="2"/>
      <c r="N2369" s="5"/>
      <c r="O2369" s="3"/>
      <c r="P2369" s="6"/>
      <c r="Q2369" s="48">
        <f>IF(Учет!$O2369=Справочники!$F$2,Учет!$H2369,0)</f>
        <v>0</v>
      </c>
      <c r="R2369" s="48">
        <f>IF(Учет!$O2369=Справочники!$F$3,Учет!$H2369,0)</f>
        <v>0</v>
      </c>
      <c r="S2369" s="48">
        <f>IF(Учет!$O2369=Справочники!$F$4,Учет!$H2369,0)</f>
        <v>0</v>
      </c>
      <c r="T2369" s="48">
        <f>IF(Учет!$O2369=Справочники!$F$5,Учет!$H2369,0)</f>
        <v>0</v>
      </c>
      <c r="U2369" s="48">
        <f>IF(Учет!$O2369=Справочники!$F$6,Учет!$H2369,0)</f>
        <v>0</v>
      </c>
      <c r="V2369" s="43">
        <f>V2368+Учет!Q2369-Q2369</f>
        <v>-488978.92000000004</v>
      </c>
      <c r="W2369" s="43">
        <f>W2368+Учет!R2369-R2369</f>
        <v>336855</v>
      </c>
      <c r="X2369" s="43">
        <f>X2368+Учет!S2369-S2369</f>
        <v>500</v>
      </c>
      <c r="Y2369" s="43">
        <f>Y2368+Учет!T2369-T2369</f>
        <v>1150</v>
      </c>
      <c r="Z2369" s="43">
        <f>Z2368+Учет!U2369-U2369</f>
        <v>500000</v>
      </c>
      <c r="AA2369" s="45">
        <f>Учет!X2369</f>
        <v>500</v>
      </c>
    </row>
    <row r="2370" spans="1:27" ht="15" customHeight="1" x14ac:dyDescent="0.25">
      <c r="A2370" s="1"/>
      <c r="B2370" s="17"/>
      <c r="C2370" s="17"/>
      <c r="D2370" s="17"/>
      <c r="E2370" s="17"/>
      <c r="F2370" s="17"/>
      <c r="G2370" s="4">
        <f t="shared" ref="G2370:G2433" si="108">SUM($B2370:$F2370)</f>
        <v>0</v>
      </c>
      <c r="H2370" s="17"/>
      <c r="I2370" s="4">
        <f t="shared" si="107"/>
        <v>349526.07999999996</v>
      </c>
      <c r="J2370" s="32" t="str">
        <f t="shared" ref="J2370:J2433" si="109">IF($A2371&lt;&gt;$A2370,$I2370,"")</f>
        <v/>
      </c>
      <c r="K2370" s="72"/>
      <c r="L2370" s="72"/>
      <c r="M2370" s="2"/>
      <c r="N2370" s="5"/>
      <c r="O2370" s="3"/>
      <c r="P2370" s="6"/>
      <c r="Q2370" s="48">
        <f>IF(Учет!$O2370=Справочники!$F$2,Учет!$H2370,0)</f>
        <v>0</v>
      </c>
      <c r="R2370" s="48">
        <f>IF(Учет!$O2370=Справочники!$F$3,Учет!$H2370,0)</f>
        <v>0</v>
      </c>
      <c r="S2370" s="48">
        <f>IF(Учет!$O2370=Справочники!$F$4,Учет!$H2370,0)</f>
        <v>0</v>
      </c>
      <c r="T2370" s="48">
        <f>IF(Учет!$O2370=Справочники!$F$5,Учет!$H2370,0)</f>
        <v>0</v>
      </c>
      <c r="U2370" s="48">
        <f>IF(Учет!$O2370=Справочники!$F$6,Учет!$H2370,0)</f>
        <v>0</v>
      </c>
      <c r="V2370" s="43">
        <f>V2369+Учет!Q2370-Q2370</f>
        <v>-488978.92000000004</v>
      </c>
      <c r="W2370" s="43">
        <f>W2369+Учет!R2370-R2370</f>
        <v>336855</v>
      </c>
      <c r="X2370" s="43">
        <f>X2369+Учет!S2370-S2370</f>
        <v>500</v>
      </c>
      <c r="Y2370" s="43">
        <f>Y2369+Учет!T2370-T2370</f>
        <v>1150</v>
      </c>
      <c r="Z2370" s="43">
        <f>Z2369+Учет!U2370-U2370</f>
        <v>500000</v>
      </c>
      <c r="AA2370" s="45">
        <f>Учет!X2370</f>
        <v>500</v>
      </c>
    </row>
    <row r="2371" spans="1:27" ht="15" customHeight="1" x14ac:dyDescent="0.25">
      <c r="A2371" s="1"/>
      <c r="B2371" s="17"/>
      <c r="C2371" s="17"/>
      <c r="D2371" s="17"/>
      <c r="E2371" s="17"/>
      <c r="F2371" s="17"/>
      <c r="G2371" s="4">
        <f t="shared" si="108"/>
        <v>0</v>
      </c>
      <c r="H2371" s="17"/>
      <c r="I2371" s="4">
        <f t="shared" ref="I2371:I2434" si="110">$I2370+$G2371-$H2371</f>
        <v>349526.07999999996</v>
      </c>
      <c r="J2371" s="32" t="str">
        <f t="shared" si="109"/>
        <v/>
      </c>
      <c r="K2371" s="72"/>
      <c r="L2371" s="72"/>
      <c r="M2371" s="2"/>
      <c r="N2371" s="5"/>
      <c r="O2371" s="3"/>
      <c r="P2371" s="6"/>
      <c r="Q2371" s="48">
        <f>IF(Учет!$O2371=Справочники!$F$2,Учет!$H2371,0)</f>
        <v>0</v>
      </c>
      <c r="R2371" s="48">
        <f>IF(Учет!$O2371=Справочники!$F$3,Учет!$H2371,0)</f>
        <v>0</v>
      </c>
      <c r="S2371" s="48">
        <f>IF(Учет!$O2371=Справочники!$F$4,Учет!$H2371,0)</f>
        <v>0</v>
      </c>
      <c r="T2371" s="48">
        <f>IF(Учет!$O2371=Справочники!$F$5,Учет!$H2371,0)</f>
        <v>0</v>
      </c>
      <c r="U2371" s="48">
        <f>IF(Учет!$O2371=Справочники!$F$6,Учет!$H2371,0)</f>
        <v>0</v>
      </c>
      <c r="V2371" s="43">
        <f>V2370+Учет!Q2371-Q2371</f>
        <v>-488978.92000000004</v>
      </c>
      <c r="W2371" s="43">
        <f>W2370+Учет!R2371-R2371</f>
        <v>336855</v>
      </c>
      <c r="X2371" s="43">
        <f>X2370+Учет!S2371-S2371</f>
        <v>500</v>
      </c>
      <c r="Y2371" s="43">
        <f>Y2370+Учет!T2371-T2371</f>
        <v>1150</v>
      </c>
      <c r="Z2371" s="43">
        <f>Z2370+Учет!U2371-U2371</f>
        <v>500000</v>
      </c>
      <c r="AA2371" s="45">
        <f>Учет!X2371</f>
        <v>500</v>
      </c>
    </row>
    <row r="2372" spans="1:27" ht="15" customHeight="1" x14ac:dyDescent="0.25">
      <c r="A2372" s="1"/>
      <c r="B2372" s="17"/>
      <c r="C2372" s="17"/>
      <c r="D2372" s="17"/>
      <c r="E2372" s="17"/>
      <c r="F2372" s="17"/>
      <c r="G2372" s="4">
        <f t="shared" si="108"/>
        <v>0</v>
      </c>
      <c r="H2372" s="17"/>
      <c r="I2372" s="4">
        <f t="shared" si="110"/>
        <v>349526.07999999996</v>
      </c>
      <c r="J2372" s="32" t="str">
        <f t="shared" si="109"/>
        <v/>
      </c>
      <c r="K2372" s="72"/>
      <c r="L2372" s="72"/>
      <c r="M2372" s="2"/>
      <c r="N2372" s="5"/>
      <c r="O2372" s="3"/>
      <c r="P2372" s="6"/>
      <c r="Q2372" s="48">
        <f>IF(Учет!$O2372=Справочники!$F$2,Учет!$H2372,0)</f>
        <v>0</v>
      </c>
      <c r="R2372" s="48">
        <f>IF(Учет!$O2372=Справочники!$F$3,Учет!$H2372,0)</f>
        <v>0</v>
      </c>
      <c r="S2372" s="48">
        <f>IF(Учет!$O2372=Справочники!$F$4,Учет!$H2372,0)</f>
        <v>0</v>
      </c>
      <c r="T2372" s="48">
        <f>IF(Учет!$O2372=Справочники!$F$5,Учет!$H2372,0)</f>
        <v>0</v>
      </c>
      <c r="U2372" s="48">
        <f>IF(Учет!$O2372=Справочники!$F$6,Учет!$H2372,0)</f>
        <v>0</v>
      </c>
      <c r="V2372" s="43">
        <f>V2371+Учет!Q2372-Q2372</f>
        <v>-488978.92000000004</v>
      </c>
      <c r="W2372" s="43">
        <f>W2371+Учет!R2372-R2372</f>
        <v>336855</v>
      </c>
      <c r="X2372" s="43">
        <f>X2371+Учет!S2372-S2372</f>
        <v>500</v>
      </c>
      <c r="Y2372" s="43">
        <f>Y2371+Учет!T2372-T2372</f>
        <v>1150</v>
      </c>
      <c r="Z2372" s="43">
        <f>Z2371+Учет!U2372-U2372</f>
        <v>500000</v>
      </c>
      <c r="AA2372" s="45">
        <f>Учет!X2372</f>
        <v>500</v>
      </c>
    </row>
    <row r="2373" spans="1:27" ht="15" customHeight="1" x14ac:dyDescent="0.25">
      <c r="A2373" s="1"/>
      <c r="B2373" s="17"/>
      <c r="C2373" s="17"/>
      <c r="D2373" s="17"/>
      <c r="E2373" s="17"/>
      <c r="F2373" s="17"/>
      <c r="G2373" s="4">
        <f t="shared" si="108"/>
        <v>0</v>
      </c>
      <c r="H2373" s="17"/>
      <c r="I2373" s="4">
        <f t="shared" si="110"/>
        <v>349526.07999999996</v>
      </c>
      <c r="J2373" s="32" t="str">
        <f t="shared" si="109"/>
        <v/>
      </c>
      <c r="K2373" s="72"/>
      <c r="L2373" s="72"/>
      <c r="M2373" s="2"/>
      <c r="N2373" s="5"/>
      <c r="O2373" s="3"/>
      <c r="P2373" s="6"/>
      <c r="Q2373" s="48">
        <f>IF(Учет!$O2373=Справочники!$F$2,Учет!$H2373,0)</f>
        <v>0</v>
      </c>
      <c r="R2373" s="48">
        <f>IF(Учет!$O2373=Справочники!$F$3,Учет!$H2373,0)</f>
        <v>0</v>
      </c>
      <c r="S2373" s="48">
        <f>IF(Учет!$O2373=Справочники!$F$4,Учет!$H2373,0)</f>
        <v>0</v>
      </c>
      <c r="T2373" s="48">
        <f>IF(Учет!$O2373=Справочники!$F$5,Учет!$H2373,0)</f>
        <v>0</v>
      </c>
      <c r="U2373" s="48">
        <f>IF(Учет!$O2373=Справочники!$F$6,Учет!$H2373,0)</f>
        <v>0</v>
      </c>
      <c r="V2373" s="43">
        <f>V2372+Учет!Q2373-Q2373</f>
        <v>-488978.92000000004</v>
      </c>
      <c r="W2373" s="43">
        <f>W2372+Учет!R2373-R2373</f>
        <v>336855</v>
      </c>
      <c r="X2373" s="43">
        <f>X2372+Учет!S2373-S2373</f>
        <v>500</v>
      </c>
      <c r="Y2373" s="43">
        <f>Y2372+Учет!T2373-T2373</f>
        <v>1150</v>
      </c>
      <c r="Z2373" s="43">
        <f>Z2372+Учет!U2373-U2373</f>
        <v>500000</v>
      </c>
      <c r="AA2373" s="45">
        <f>Учет!X2373</f>
        <v>500</v>
      </c>
    </row>
    <row r="2374" spans="1:27" ht="15" customHeight="1" x14ac:dyDescent="0.25">
      <c r="A2374" s="1"/>
      <c r="B2374" s="17"/>
      <c r="C2374" s="17"/>
      <c r="D2374" s="17"/>
      <c r="E2374" s="17"/>
      <c r="F2374" s="17"/>
      <c r="G2374" s="4">
        <f t="shared" si="108"/>
        <v>0</v>
      </c>
      <c r="H2374" s="17"/>
      <c r="I2374" s="4">
        <f t="shared" si="110"/>
        <v>349526.07999999996</v>
      </c>
      <c r="J2374" s="32" t="str">
        <f t="shared" si="109"/>
        <v/>
      </c>
      <c r="K2374" s="72"/>
      <c r="L2374" s="72"/>
      <c r="M2374" s="2"/>
      <c r="N2374" s="5"/>
      <c r="O2374" s="3"/>
      <c r="P2374" s="6"/>
      <c r="Q2374" s="48">
        <f>IF(Учет!$O2374=Справочники!$F$2,Учет!$H2374,0)</f>
        <v>0</v>
      </c>
      <c r="R2374" s="48">
        <f>IF(Учет!$O2374=Справочники!$F$3,Учет!$H2374,0)</f>
        <v>0</v>
      </c>
      <c r="S2374" s="48">
        <f>IF(Учет!$O2374=Справочники!$F$4,Учет!$H2374,0)</f>
        <v>0</v>
      </c>
      <c r="T2374" s="48">
        <f>IF(Учет!$O2374=Справочники!$F$5,Учет!$H2374,0)</f>
        <v>0</v>
      </c>
      <c r="U2374" s="48">
        <f>IF(Учет!$O2374=Справочники!$F$6,Учет!$H2374,0)</f>
        <v>0</v>
      </c>
      <c r="V2374" s="43">
        <f>V2373+Учет!Q2374-Q2374</f>
        <v>-488978.92000000004</v>
      </c>
      <c r="W2374" s="43">
        <f>W2373+Учет!R2374-R2374</f>
        <v>336855</v>
      </c>
      <c r="X2374" s="43">
        <f>X2373+Учет!S2374-S2374</f>
        <v>500</v>
      </c>
      <c r="Y2374" s="43">
        <f>Y2373+Учет!T2374-T2374</f>
        <v>1150</v>
      </c>
      <c r="Z2374" s="43">
        <f>Z2373+Учет!U2374-U2374</f>
        <v>500000</v>
      </c>
      <c r="AA2374" s="45">
        <f>Учет!X2374</f>
        <v>500</v>
      </c>
    </row>
    <row r="2375" spans="1:27" ht="15" customHeight="1" x14ac:dyDescent="0.25">
      <c r="A2375" s="1"/>
      <c r="B2375" s="17"/>
      <c r="C2375" s="17"/>
      <c r="D2375" s="17"/>
      <c r="E2375" s="17"/>
      <c r="F2375" s="17"/>
      <c r="G2375" s="4">
        <f t="shared" si="108"/>
        <v>0</v>
      </c>
      <c r="H2375" s="17"/>
      <c r="I2375" s="4">
        <f t="shared" si="110"/>
        <v>349526.07999999996</v>
      </c>
      <c r="J2375" s="32" t="str">
        <f t="shared" si="109"/>
        <v/>
      </c>
      <c r="K2375" s="72"/>
      <c r="L2375" s="72"/>
      <c r="M2375" s="2"/>
      <c r="N2375" s="5"/>
      <c r="O2375" s="3"/>
      <c r="P2375" s="6"/>
      <c r="Q2375" s="48">
        <f>IF(Учет!$O2375=Справочники!$F$2,Учет!$H2375,0)</f>
        <v>0</v>
      </c>
      <c r="R2375" s="48">
        <f>IF(Учет!$O2375=Справочники!$F$3,Учет!$H2375,0)</f>
        <v>0</v>
      </c>
      <c r="S2375" s="48">
        <f>IF(Учет!$O2375=Справочники!$F$4,Учет!$H2375,0)</f>
        <v>0</v>
      </c>
      <c r="T2375" s="48">
        <f>IF(Учет!$O2375=Справочники!$F$5,Учет!$H2375,0)</f>
        <v>0</v>
      </c>
      <c r="U2375" s="48">
        <f>IF(Учет!$O2375=Справочники!$F$6,Учет!$H2375,0)</f>
        <v>0</v>
      </c>
      <c r="V2375" s="43">
        <f>V2374+Учет!Q2375-Q2375</f>
        <v>-488978.92000000004</v>
      </c>
      <c r="W2375" s="43">
        <f>W2374+Учет!R2375-R2375</f>
        <v>336855</v>
      </c>
      <c r="X2375" s="43">
        <f>X2374+Учет!S2375-S2375</f>
        <v>500</v>
      </c>
      <c r="Y2375" s="43">
        <f>Y2374+Учет!T2375-T2375</f>
        <v>1150</v>
      </c>
      <c r="Z2375" s="43">
        <f>Z2374+Учет!U2375-U2375</f>
        <v>500000</v>
      </c>
      <c r="AA2375" s="45">
        <f>Учет!X2375</f>
        <v>500</v>
      </c>
    </row>
    <row r="2376" spans="1:27" ht="15" customHeight="1" x14ac:dyDescent="0.25">
      <c r="A2376" s="1"/>
      <c r="B2376" s="17"/>
      <c r="C2376" s="17"/>
      <c r="D2376" s="17"/>
      <c r="E2376" s="17"/>
      <c r="F2376" s="17"/>
      <c r="G2376" s="4">
        <f t="shared" si="108"/>
        <v>0</v>
      </c>
      <c r="H2376" s="17"/>
      <c r="I2376" s="4">
        <f t="shared" si="110"/>
        <v>349526.07999999996</v>
      </c>
      <c r="J2376" s="32" t="str">
        <f t="shared" si="109"/>
        <v/>
      </c>
      <c r="K2376" s="72"/>
      <c r="L2376" s="72"/>
      <c r="M2376" s="2"/>
      <c r="N2376" s="5"/>
      <c r="O2376" s="3"/>
      <c r="P2376" s="6"/>
      <c r="Q2376" s="48">
        <f>IF(Учет!$O2376=Справочники!$F$2,Учет!$H2376,0)</f>
        <v>0</v>
      </c>
      <c r="R2376" s="48">
        <f>IF(Учет!$O2376=Справочники!$F$3,Учет!$H2376,0)</f>
        <v>0</v>
      </c>
      <c r="S2376" s="48">
        <f>IF(Учет!$O2376=Справочники!$F$4,Учет!$H2376,0)</f>
        <v>0</v>
      </c>
      <c r="T2376" s="48">
        <f>IF(Учет!$O2376=Справочники!$F$5,Учет!$H2376,0)</f>
        <v>0</v>
      </c>
      <c r="U2376" s="48">
        <f>IF(Учет!$O2376=Справочники!$F$6,Учет!$H2376,0)</f>
        <v>0</v>
      </c>
      <c r="V2376" s="43">
        <f>V2375+Учет!Q2376-Q2376</f>
        <v>-488978.92000000004</v>
      </c>
      <c r="W2376" s="43">
        <f>W2375+Учет!R2376-R2376</f>
        <v>336855</v>
      </c>
      <c r="X2376" s="43">
        <f>X2375+Учет!S2376-S2376</f>
        <v>500</v>
      </c>
      <c r="Y2376" s="43">
        <f>Y2375+Учет!T2376-T2376</f>
        <v>1150</v>
      </c>
      <c r="Z2376" s="43">
        <f>Z2375+Учет!U2376-U2376</f>
        <v>500000</v>
      </c>
      <c r="AA2376" s="45">
        <f>Учет!X2376</f>
        <v>500</v>
      </c>
    </row>
    <row r="2377" spans="1:27" ht="15" customHeight="1" x14ac:dyDescent="0.25">
      <c r="A2377" s="1"/>
      <c r="B2377" s="17"/>
      <c r="C2377" s="17"/>
      <c r="D2377" s="17"/>
      <c r="E2377" s="17"/>
      <c r="F2377" s="17"/>
      <c r="G2377" s="4">
        <f t="shared" si="108"/>
        <v>0</v>
      </c>
      <c r="H2377" s="17"/>
      <c r="I2377" s="4">
        <f t="shared" si="110"/>
        <v>349526.07999999996</v>
      </c>
      <c r="J2377" s="32" t="str">
        <f t="shared" si="109"/>
        <v/>
      </c>
      <c r="K2377" s="72"/>
      <c r="L2377" s="72"/>
      <c r="M2377" s="2"/>
      <c r="N2377" s="5"/>
      <c r="O2377" s="3"/>
      <c r="P2377" s="6"/>
      <c r="Q2377" s="48">
        <f>IF(Учет!$O2377=Справочники!$F$2,Учет!$H2377,0)</f>
        <v>0</v>
      </c>
      <c r="R2377" s="48">
        <f>IF(Учет!$O2377=Справочники!$F$3,Учет!$H2377,0)</f>
        <v>0</v>
      </c>
      <c r="S2377" s="48">
        <f>IF(Учет!$O2377=Справочники!$F$4,Учет!$H2377,0)</f>
        <v>0</v>
      </c>
      <c r="T2377" s="48">
        <f>IF(Учет!$O2377=Справочники!$F$5,Учет!$H2377,0)</f>
        <v>0</v>
      </c>
      <c r="U2377" s="48">
        <f>IF(Учет!$O2377=Справочники!$F$6,Учет!$H2377,0)</f>
        <v>0</v>
      </c>
      <c r="V2377" s="43">
        <f>V2376+Учет!Q2377-Q2377</f>
        <v>-488978.92000000004</v>
      </c>
      <c r="W2377" s="43">
        <f>W2376+Учет!R2377-R2377</f>
        <v>336855</v>
      </c>
      <c r="X2377" s="43">
        <f>X2376+Учет!S2377-S2377</f>
        <v>500</v>
      </c>
      <c r="Y2377" s="43">
        <f>Y2376+Учет!T2377-T2377</f>
        <v>1150</v>
      </c>
      <c r="Z2377" s="43">
        <f>Z2376+Учет!U2377-U2377</f>
        <v>500000</v>
      </c>
      <c r="AA2377" s="45">
        <f>Учет!X2377</f>
        <v>500</v>
      </c>
    </row>
    <row r="2378" spans="1:27" ht="15" customHeight="1" x14ac:dyDescent="0.25">
      <c r="A2378" s="1"/>
      <c r="B2378" s="17"/>
      <c r="C2378" s="17"/>
      <c r="D2378" s="17"/>
      <c r="E2378" s="17"/>
      <c r="F2378" s="17"/>
      <c r="G2378" s="4">
        <f t="shared" si="108"/>
        <v>0</v>
      </c>
      <c r="H2378" s="17"/>
      <c r="I2378" s="4">
        <f t="shared" si="110"/>
        <v>349526.07999999996</v>
      </c>
      <c r="J2378" s="32" t="str">
        <f t="shared" si="109"/>
        <v/>
      </c>
      <c r="K2378" s="72"/>
      <c r="L2378" s="72"/>
      <c r="M2378" s="2"/>
      <c r="N2378" s="5"/>
      <c r="O2378" s="3"/>
      <c r="P2378" s="6"/>
      <c r="Q2378" s="48">
        <f>IF(Учет!$O2378=Справочники!$F$2,Учет!$H2378,0)</f>
        <v>0</v>
      </c>
      <c r="R2378" s="48">
        <f>IF(Учет!$O2378=Справочники!$F$3,Учет!$H2378,0)</f>
        <v>0</v>
      </c>
      <c r="S2378" s="48">
        <f>IF(Учет!$O2378=Справочники!$F$4,Учет!$H2378,0)</f>
        <v>0</v>
      </c>
      <c r="T2378" s="48">
        <f>IF(Учет!$O2378=Справочники!$F$5,Учет!$H2378,0)</f>
        <v>0</v>
      </c>
      <c r="U2378" s="48">
        <f>IF(Учет!$O2378=Справочники!$F$6,Учет!$H2378,0)</f>
        <v>0</v>
      </c>
      <c r="V2378" s="43">
        <f>V2377+Учет!Q2378-Q2378</f>
        <v>-488978.92000000004</v>
      </c>
      <c r="W2378" s="43">
        <f>W2377+Учет!R2378-R2378</f>
        <v>336855</v>
      </c>
      <c r="X2378" s="43">
        <f>X2377+Учет!S2378-S2378</f>
        <v>500</v>
      </c>
      <c r="Y2378" s="43">
        <f>Y2377+Учет!T2378-T2378</f>
        <v>1150</v>
      </c>
      <c r="Z2378" s="43">
        <f>Z2377+Учет!U2378-U2378</f>
        <v>500000</v>
      </c>
      <c r="AA2378" s="45">
        <f>Учет!X2378</f>
        <v>500</v>
      </c>
    </row>
    <row r="2379" spans="1:27" ht="15" customHeight="1" x14ac:dyDescent="0.25">
      <c r="A2379" s="1"/>
      <c r="B2379" s="17"/>
      <c r="C2379" s="17"/>
      <c r="D2379" s="17"/>
      <c r="E2379" s="17"/>
      <c r="F2379" s="17"/>
      <c r="G2379" s="4">
        <f t="shared" si="108"/>
        <v>0</v>
      </c>
      <c r="H2379" s="17"/>
      <c r="I2379" s="4">
        <f t="shared" si="110"/>
        <v>349526.07999999996</v>
      </c>
      <c r="J2379" s="32" t="str">
        <f t="shared" si="109"/>
        <v/>
      </c>
      <c r="K2379" s="72"/>
      <c r="L2379" s="72"/>
      <c r="M2379" s="2"/>
      <c r="N2379" s="5"/>
      <c r="O2379" s="3"/>
      <c r="P2379" s="6"/>
      <c r="Q2379" s="48">
        <f>IF(Учет!$O2379=Справочники!$F$2,Учет!$H2379,0)</f>
        <v>0</v>
      </c>
      <c r="R2379" s="48">
        <f>IF(Учет!$O2379=Справочники!$F$3,Учет!$H2379,0)</f>
        <v>0</v>
      </c>
      <c r="S2379" s="48">
        <f>IF(Учет!$O2379=Справочники!$F$4,Учет!$H2379,0)</f>
        <v>0</v>
      </c>
      <c r="T2379" s="48">
        <f>IF(Учет!$O2379=Справочники!$F$5,Учет!$H2379,0)</f>
        <v>0</v>
      </c>
      <c r="U2379" s="48">
        <f>IF(Учет!$O2379=Справочники!$F$6,Учет!$H2379,0)</f>
        <v>0</v>
      </c>
      <c r="V2379" s="43">
        <f>V2378+Учет!Q2379-Q2379</f>
        <v>-488978.92000000004</v>
      </c>
      <c r="W2379" s="43">
        <f>W2378+Учет!R2379-R2379</f>
        <v>336855</v>
      </c>
      <c r="X2379" s="43">
        <f>X2378+Учет!S2379-S2379</f>
        <v>500</v>
      </c>
      <c r="Y2379" s="43">
        <f>Y2378+Учет!T2379-T2379</f>
        <v>1150</v>
      </c>
      <c r="Z2379" s="43">
        <f>Z2378+Учет!U2379-U2379</f>
        <v>500000</v>
      </c>
      <c r="AA2379" s="45">
        <f>Учет!X2379</f>
        <v>500</v>
      </c>
    </row>
    <row r="2380" spans="1:27" ht="15" customHeight="1" x14ac:dyDescent="0.25">
      <c r="A2380" s="1"/>
      <c r="B2380" s="17"/>
      <c r="C2380" s="17"/>
      <c r="D2380" s="17"/>
      <c r="E2380" s="17"/>
      <c r="F2380" s="17"/>
      <c r="G2380" s="4">
        <f t="shared" si="108"/>
        <v>0</v>
      </c>
      <c r="H2380" s="17"/>
      <c r="I2380" s="4">
        <f t="shared" si="110"/>
        <v>349526.07999999996</v>
      </c>
      <c r="J2380" s="32" t="str">
        <f t="shared" si="109"/>
        <v/>
      </c>
      <c r="K2380" s="72"/>
      <c r="L2380" s="72"/>
      <c r="M2380" s="2"/>
      <c r="N2380" s="5"/>
      <c r="O2380" s="3"/>
      <c r="P2380" s="6"/>
      <c r="Q2380" s="48">
        <f>IF(Учет!$O2380=Справочники!$F$2,Учет!$H2380,0)</f>
        <v>0</v>
      </c>
      <c r="R2380" s="48">
        <f>IF(Учет!$O2380=Справочники!$F$3,Учет!$H2380,0)</f>
        <v>0</v>
      </c>
      <c r="S2380" s="48">
        <f>IF(Учет!$O2380=Справочники!$F$4,Учет!$H2380,0)</f>
        <v>0</v>
      </c>
      <c r="T2380" s="48">
        <f>IF(Учет!$O2380=Справочники!$F$5,Учет!$H2380,0)</f>
        <v>0</v>
      </c>
      <c r="U2380" s="48">
        <f>IF(Учет!$O2380=Справочники!$F$6,Учет!$H2380,0)</f>
        <v>0</v>
      </c>
      <c r="V2380" s="43">
        <f>V2379+Учет!Q2380-Q2380</f>
        <v>-488978.92000000004</v>
      </c>
      <c r="W2380" s="43">
        <f>W2379+Учет!R2380-R2380</f>
        <v>336855</v>
      </c>
      <c r="X2380" s="43">
        <f>X2379+Учет!S2380-S2380</f>
        <v>500</v>
      </c>
      <c r="Y2380" s="43">
        <f>Y2379+Учет!T2380-T2380</f>
        <v>1150</v>
      </c>
      <c r="Z2380" s="43">
        <f>Z2379+Учет!U2380-U2380</f>
        <v>500000</v>
      </c>
      <c r="AA2380" s="45">
        <f>Учет!X2380</f>
        <v>500</v>
      </c>
    </row>
    <row r="2381" spans="1:27" ht="15" customHeight="1" x14ac:dyDescent="0.25">
      <c r="A2381" s="1"/>
      <c r="B2381" s="17"/>
      <c r="C2381" s="17"/>
      <c r="D2381" s="17"/>
      <c r="E2381" s="17"/>
      <c r="F2381" s="17"/>
      <c r="G2381" s="4">
        <f t="shared" si="108"/>
        <v>0</v>
      </c>
      <c r="H2381" s="17"/>
      <c r="I2381" s="4">
        <f t="shared" si="110"/>
        <v>349526.07999999996</v>
      </c>
      <c r="J2381" s="32" t="str">
        <f t="shared" si="109"/>
        <v/>
      </c>
      <c r="K2381" s="72"/>
      <c r="L2381" s="72"/>
      <c r="M2381" s="2"/>
      <c r="N2381" s="5"/>
      <c r="O2381" s="3"/>
      <c r="P2381" s="6"/>
      <c r="Q2381" s="48">
        <f>IF(Учет!$O2381=Справочники!$F$2,Учет!$H2381,0)</f>
        <v>0</v>
      </c>
      <c r="R2381" s="48">
        <f>IF(Учет!$O2381=Справочники!$F$3,Учет!$H2381,0)</f>
        <v>0</v>
      </c>
      <c r="S2381" s="48">
        <f>IF(Учет!$O2381=Справочники!$F$4,Учет!$H2381,0)</f>
        <v>0</v>
      </c>
      <c r="T2381" s="48">
        <f>IF(Учет!$O2381=Справочники!$F$5,Учет!$H2381,0)</f>
        <v>0</v>
      </c>
      <c r="U2381" s="48">
        <f>IF(Учет!$O2381=Справочники!$F$6,Учет!$H2381,0)</f>
        <v>0</v>
      </c>
      <c r="V2381" s="43">
        <f>V2380+Учет!Q2381-Q2381</f>
        <v>-488978.92000000004</v>
      </c>
      <c r="W2381" s="43">
        <f>W2380+Учет!R2381-R2381</f>
        <v>336855</v>
      </c>
      <c r="X2381" s="43">
        <f>X2380+Учет!S2381-S2381</f>
        <v>500</v>
      </c>
      <c r="Y2381" s="43">
        <f>Y2380+Учет!T2381-T2381</f>
        <v>1150</v>
      </c>
      <c r="Z2381" s="43">
        <f>Z2380+Учет!U2381-U2381</f>
        <v>500000</v>
      </c>
      <c r="AA2381" s="45">
        <f>Учет!X2381</f>
        <v>500</v>
      </c>
    </row>
    <row r="2382" spans="1:27" ht="15" customHeight="1" x14ac:dyDescent="0.25">
      <c r="A2382" s="1"/>
      <c r="B2382" s="17"/>
      <c r="C2382" s="17"/>
      <c r="D2382" s="17"/>
      <c r="E2382" s="17"/>
      <c r="F2382" s="17"/>
      <c r="G2382" s="4">
        <f t="shared" si="108"/>
        <v>0</v>
      </c>
      <c r="H2382" s="17"/>
      <c r="I2382" s="4">
        <f t="shared" si="110"/>
        <v>349526.07999999996</v>
      </c>
      <c r="J2382" s="32" t="str">
        <f t="shared" si="109"/>
        <v/>
      </c>
      <c r="K2382" s="72"/>
      <c r="L2382" s="72"/>
      <c r="M2382" s="2"/>
      <c r="N2382" s="5"/>
      <c r="O2382" s="3"/>
      <c r="P2382" s="6"/>
      <c r="Q2382" s="48">
        <f>IF(Учет!$O2382=Справочники!$F$2,Учет!$H2382,0)</f>
        <v>0</v>
      </c>
      <c r="R2382" s="48">
        <f>IF(Учет!$O2382=Справочники!$F$3,Учет!$H2382,0)</f>
        <v>0</v>
      </c>
      <c r="S2382" s="48">
        <f>IF(Учет!$O2382=Справочники!$F$4,Учет!$H2382,0)</f>
        <v>0</v>
      </c>
      <c r="T2382" s="48">
        <f>IF(Учет!$O2382=Справочники!$F$5,Учет!$H2382,0)</f>
        <v>0</v>
      </c>
      <c r="U2382" s="48">
        <f>IF(Учет!$O2382=Справочники!$F$6,Учет!$H2382,0)</f>
        <v>0</v>
      </c>
      <c r="V2382" s="43">
        <f>V2381+Учет!Q2382-Q2382</f>
        <v>-488978.92000000004</v>
      </c>
      <c r="W2382" s="43">
        <f>W2381+Учет!R2382-R2382</f>
        <v>336855</v>
      </c>
      <c r="X2382" s="43">
        <f>X2381+Учет!S2382-S2382</f>
        <v>500</v>
      </c>
      <c r="Y2382" s="43">
        <f>Y2381+Учет!T2382-T2382</f>
        <v>1150</v>
      </c>
      <c r="Z2382" s="43">
        <f>Z2381+Учет!U2382-U2382</f>
        <v>500000</v>
      </c>
      <c r="AA2382" s="45">
        <f>Учет!X2382</f>
        <v>500</v>
      </c>
    </row>
    <row r="2383" spans="1:27" ht="15" customHeight="1" x14ac:dyDescent="0.25">
      <c r="A2383" s="1"/>
      <c r="B2383" s="17"/>
      <c r="C2383" s="17"/>
      <c r="D2383" s="17"/>
      <c r="E2383" s="17"/>
      <c r="F2383" s="17"/>
      <c r="G2383" s="4">
        <f t="shared" si="108"/>
        <v>0</v>
      </c>
      <c r="H2383" s="17"/>
      <c r="I2383" s="4">
        <f t="shared" si="110"/>
        <v>349526.07999999996</v>
      </c>
      <c r="J2383" s="32" t="str">
        <f t="shared" si="109"/>
        <v/>
      </c>
      <c r="K2383" s="72"/>
      <c r="L2383" s="72"/>
      <c r="M2383" s="2"/>
      <c r="N2383" s="5"/>
      <c r="O2383" s="3"/>
      <c r="P2383" s="6"/>
      <c r="Q2383" s="48">
        <f>IF(Учет!$O2383=Справочники!$F$2,Учет!$H2383,0)</f>
        <v>0</v>
      </c>
      <c r="R2383" s="48">
        <f>IF(Учет!$O2383=Справочники!$F$3,Учет!$H2383,0)</f>
        <v>0</v>
      </c>
      <c r="S2383" s="48">
        <f>IF(Учет!$O2383=Справочники!$F$4,Учет!$H2383,0)</f>
        <v>0</v>
      </c>
      <c r="T2383" s="48">
        <f>IF(Учет!$O2383=Справочники!$F$5,Учет!$H2383,0)</f>
        <v>0</v>
      </c>
      <c r="U2383" s="48">
        <f>IF(Учет!$O2383=Справочники!$F$6,Учет!$H2383,0)</f>
        <v>0</v>
      </c>
      <c r="V2383" s="43">
        <f>V2382+Учет!Q2383-Q2383</f>
        <v>-488978.92000000004</v>
      </c>
      <c r="W2383" s="43">
        <f>W2382+Учет!R2383-R2383</f>
        <v>336855</v>
      </c>
      <c r="X2383" s="43">
        <f>X2382+Учет!S2383-S2383</f>
        <v>500</v>
      </c>
      <c r="Y2383" s="43">
        <f>Y2382+Учет!T2383-T2383</f>
        <v>1150</v>
      </c>
      <c r="Z2383" s="43">
        <f>Z2382+Учет!U2383-U2383</f>
        <v>500000</v>
      </c>
      <c r="AA2383" s="45">
        <f>Учет!X2383</f>
        <v>500</v>
      </c>
    </row>
    <row r="2384" spans="1:27" ht="15" customHeight="1" x14ac:dyDescent="0.25">
      <c r="A2384" s="1"/>
      <c r="B2384" s="17"/>
      <c r="C2384" s="17"/>
      <c r="D2384" s="17"/>
      <c r="E2384" s="17"/>
      <c r="F2384" s="17"/>
      <c r="G2384" s="4">
        <f t="shared" si="108"/>
        <v>0</v>
      </c>
      <c r="H2384" s="17"/>
      <c r="I2384" s="4">
        <f t="shared" si="110"/>
        <v>349526.07999999996</v>
      </c>
      <c r="J2384" s="32" t="str">
        <f t="shared" si="109"/>
        <v/>
      </c>
      <c r="K2384" s="72"/>
      <c r="L2384" s="72"/>
      <c r="M2384" s="2"/>
      <c r="N2384" s="5"/>
      <c r="O2384" s="3"/>
      <c r="P2384" s="6"/>
      <c r="Q2384" s="48">
        <f>IF(Учет!$O2384=Справочники!$F$2,Учет!$H2384,0)</f>
        <v>0</v>
      </c>
      <c r="R2384" s="48">
        <f>IF(Учет!$O2384=Справочники!$F$3,Учет!$H2384,0)</f>
        <v>0</v>
      </c>
      <c r="S2384" s="48">
        <f>IF(Учет!$O2384=Справочники!$F$4,Учет!$H2384,0)</f>
        <v>0</v>
      </c>
      <c r="T2384" s="48">
        <f>IF(Учет!$O2384=Справочники!$F$5,Учет!$H2384,0)</f>
        <v>0</v>
      </c>
      <c r="U2384" s="48">
        <f>IF(Учет!$O2384=Справочники!$F$6,Учет!$H2384,0)</f>
        <v>0</v>
      </c>
      <c r="V2384" s="43">
        <f>V2383+Учет!Q2384-Q2384</f>
        <v>-488978.92000000004</v>
      </c>
      <c r="W2384" s="43">
        <f>W2383+Учет!R2384-R2384</f>
        <v>336855</v>
      </c>
      <c r="X2384" s="43">
        <f>X2383+Учет!S2384-S2384</f>
        <v>500</v>
      </c>
      <c r="Y2384" s="43">
        <f>Y2383+Учет!T2384-T2384</f>
        <v>1150</v>
      </c>
      <c r="Z2384" s="43">
        <f>Z2383+Учет!U2384-U2384</f>
        <v>500000</v>
      </c>
      <c r="AA2384" s="45">
        <f>Учет!X2384</f>
        <v>500</v>
      </c>
    </row>
    <row r="2385" spans="1:27" ht="15" customHeight="1" x14ac:dyDescent="0.25">
      <c r="A2385" s="1"/>
      <c r="B2385" s="17"/>
      <c r="C2385" s="17"/>
      <c r="D2385" s="17"/>
      <c r="E2385" s="17"/>
      <c r="F2385" s="17"/>
      <c r="G2385" s="4">
        <f t="shared" si="108"/>
        <v>0</v>
      </c>
      <c r="H2385" s="17"/>
      <c r="I2385" s="4">
        <f t="shared" si="110"/>
        <v>349526.07999999996</v>
      </c>
      <c r="J2385" s="32" t="str">
        <f t="shared" si="109"/>
        <v/>
      </c>
      <c r="K2385" s="72"/>
      <c r="L2385" s="72"/>
      <c r="M2385" s="2"/>
      <c r="N2385" s="5"/>
      <c r="O2385" s="3"/>
      <c r="P2385" s="6"/>
      <c r="Q2385" s="48">
        <f>IF(Учет!$O2385=Справочники!$F$2,Учет!$H2385,0)</f>
        <v>0</v>
      </c>
      <c r="R2385" s="48">
        <f>IF(Учет!$O2385=Справочники!$F$3,Учет!$H2385,0)</f>
        <v>0</v>
      </c>
      <c r="S2385" s="48">
        <f>IF(Учет!$O2385=Справочники!$F$4,Учет!$H2385,0)</f>
        <v>0</v>
      </c>
      <c r="T2385" s="48">
        <f>IF(Учет!$O2385=Справочники!$F$5,Учет!$H2385,0)</f>
        <v>0</v>
      </c>
      <c r="U2385" s="48">
        <f>IF(Учет!$O2385=Справочники!$F$6,Учет!$H2385,0)</f>
        <v>0</v>
      </c>
      <c r="V2385" s="43">
        <f>V2384+Учет!Q2385-Q2385</f>
        <v>-488978.92000000004</v>
      </c>
      <c r="W2385" s="43">
        <f>W2384+Учет!R2385-R2385</f>
        <v>336855</v>
      </c>
      <c r="X2385" s="43">
        <f>X2384+Учет!S2385-S2385</f>
        <v>500</v>
      </c>
      <c r="Y2385" s="43">
        <f>Y2384+Учет!T2385-T2385</f>
        <v>1150</v>
      </c>
      <c r="Z2385" s="43">
        <f>Z2384+Учет!U2385-U2385</f>
        <v>500000</v>
      </c>
      <c r="AA2385" s="45">
        <f>Учет!X2385</f>
        <v>500</v>
      </c>
    </row>
    <row r="2386" spans="1:27" ht="15" customHeight="1" x14ac:dyDescent="0.25">
      <c r="A2386" s="1"/>
      <c r="B2386" s="17"/>
      <c r="C2386" s="17"/>
      <c r="D2386" s="17"/>
      <c r="E2386" s="17"/>
      <c r="F2386" s="17"/>
      <c r="G2386" s="4">
        <f t="shared" si="108"/>
        <v>0</v>
      </c>
      <c r="H2386" s="17"/>
      <c r="I2386" s="4">
        <f t="shared" si="110"/>
        <v>349526.07999999996</v>
      </c>
      <c r="J2386" s="32" t="str">
        <f t="shared" si="109"/>
        <v/>
      </c>
      <c r="K2386" s="72"/>
      <c r="L2386" s="72"/>
      <c r="M2386" s="2"/>
      <c r="N2386" s="5"/>
      <c r="O2386" s="3"/>
      <c r="P2386" s="6"/>
      <c r="Q2386" s="48">
        <f>IF(Учет!$O2386=Справочники!$F$2,Учет!$H2386,0)</f>
        <v>0</v>
      </c>
      <c r="R2386" s="48">
        <f>IF(Учет!$O2386=Справочники!$F$3,Учет!$H2386,0)</f>
        <v>0</v>
      </c>
      <c r="S2386" s="48">
        <f>IF(Учет!$O2386=Справочники!$F$4,Учет!$H2386,0)</f>
        <v>0</v>
      </c>
      <c r="T2386" s="48">
        <f>IF(Учет!$O2386=Справочники!$F$5,Учет!$H2386,0)</f>
        <v>0</v>
      </c>
      <c r="U2386" s="48">
        <f>IF(Учет!$O2386=Справочники!$F$6,Учет!$H2386,0)</f>
        <v>0</v>
      </c>
      <c r="V2386" s="43">
        <f>V2385+Учет!Q2386-Q2386</f>
        <v>-488978.92000000004</v>
      </c>
      <c r="W2386" s="43">
        <f>W2385+Учет!R2386-R2386</f>
        <v>336855</v>
      </c>
      <c r="X2386" s="43">
        <f>X2385+Учет!S2386-S2386</f>
        <v>500</v>
      </c>
      <c r="Y2386" s="43">
        <f>Y2385+Учет!T2386-T2386</f>
        <v>1150</v>
      </c>
      <c r="Z2386" s="43">
        <f>Z2385+Учет!U2386-U2386</f>
        <v>500000</v>
      </c>
      <c r="AA2386" s="45">
        <f>Учет!X2386</f>
        <v>500</v>
      </c>
    </row>
    <row r="2387" spans="1:27" ht="15" customHeight="1" x14ac:dyDescent="0.25">
      <c r="A2387" s="1"/>
      <c r="B2387" s="17"/>
      <c r="C2387" s="17"/>
      <c r="D2387" s="17"/>
      <c r="E2387" s="17"/>
      <c r="F2387" s="17"/>
      <c r="G2387" s="4">
        <f t="shared" si="108"/>
        <v>0</v>
      </c>
      <c r="H2387" s="17"/>
      <c r="I2387" s="4">
        <f t="shared" si="110"/>
        <v>349526.07999999996</v>
      </c>
      <c r="J2387" s="32" t="str">
        <f t="shared" si="109"/>
        <v/>
      </c>
      <c r="K2387" s="72"/>
      <c r="L2387" s="72"/>
      <c r="M2387" s="2"/>
      <c r="N2387" s="5"/>
      <c r="O2387" s="3"/>
      <c r="P2387" s="6"/>
      <c r="Q2387" s="48">
        <f>IF(Учет!$O2387=Справочники!$F$2,Учет!$H2387,0)</f>
        <v>0</v>
      </c>
      <c r="R2387" s="48">
        <f>IF(Учет!$O2387=Справочники!$F$3,Учет!$H2387,0)</f>
        <v>0</v>
      </c>
      <c r="S2387" s="48">
        <f>IF(Учет!$O2387=Справочники!$F$4,Учет!$H2387,0)</f>
        <v>0</v>
      </c>
      <c r="T2387" s="48">
        <f>IF(Учет!$O2387=Справочники!$F$5,Учет!$H2387,0)</f>
        <v>0</v>
      </c>
      <c r="U2387" s="48">
        <f>IF(Учет!$O2387=Справочники!$F$6,Учет!$H2387,0)</f>
        <v>0</v>
      </c>
      <c r="V2387" s="43">
        <f>V2386+Учет!Q2387-Q2387</f>
        <v>-488978.92000000004</v>
      </c>
      <c r="W2387" s="43">
        <f>W2386+Учет!R2387-R2387</f>
        <v>336855</v>
      </c>
      <c r="X2387" s="43">
        <f>X2386+Учет!S2387-S2387</f>
        <v>500</v>
      </c>
      <c r="Y2387" s="43">
        <f>Y2386+Учет!T2387-T2387</f>
        <v>1150</v>
      </c>
      <c r="Z2387" s="43">
        <f>Z2386+Учет!U2387-U2387</f>
        <v>500000</v>
      </c>
      <c r="AA2387" s="45">
        <f>Учет!X2387</f>
        <v>500</v>
      </c>
    </row>
    <row r="2388" spans="1:27" ht="15" customHeight="1" x14ac:dyDescent="0.25">
      <c r="A2388" s="1"/>
      <c r="B2388" s="17"/>
      <c r="C2388" s="17"/>
      <c r="D2388" s="17"/>
      <c r="E2388" s="17"/>
      <c r="F2388" s="17"/>
      <c r="G2388" s="4">
        <f t="shared" si="108"/>
        <v>0</v>
      </c>
      <c r="H2388" s="17"/>
      <c r="I2388" s="4">
        <f t="shared" si="110"/>
        <v>349526.07999999996</v>
      </c>
      <c r="J2388" s="32" t="str">
        <f t="shared" si="109"/>
        <v/>
      </c>
      <c r="K2388" s="72"/>
      <c r="L2388" s="72"/>
      <c r="M2388" s="2"/>
      <c r="N2388" s="5"/>
      <c r="O2388" s="3"/>
      <c r="P2388" s="6"/>
      <c r="Q2388" s="48">
        <f>IF(Учет!$O2388=Справочники!$F$2,Учет!$H2388,0)</f>
        <v>0</v>
      </c>
      <c r="R2388" s="48">
        <f>IF(Учет!$O2388=Справочники!$F$3,Учет!$H2388,0)</f>
        <v>0</v>
      </c>
      <c r="S2388" s="48">
        <f>IF(Учет!$O2388=Справочники!$F$4,Учет!$H2388,0)</f>
        <v>0</v>
      </c>
      <c r="T2388" s="48">
        <f>IF(Учет!$O2388=Справочники!$F$5,Учет!$H2388,0)</f>
        <v>0</v>
      </c>
      <c r="U2388" s="48">
        <f>IF(Учет!$O2388=Справочники!$F$6,Учет!$H2388,0)</f>
        <v>0</v>
      </c>
      <c r="V2388" s="43">
        <f>V2387+Учет!Q2388-Q2388</f>
        <v>-488978.92000000004</v>
      </c>
      <c r="W2388" s="43">
        <f>W2387+Учет!R2388-R2388</f>
        <v>336855</v>
      </c>
      <c r="X2388" s="43">
        <f>X2387+Учет!S2388-S2388</f>
        <v>500</v>
      </c>
      <c r="Y2388" s="43">
        <f>Y2387+Учет!T2388-T2388</f>
        <v>1150</v>
      </c>
      <c r="Z2388" s="43">
        <f>Z2387+Учет!U2388-U2388</f>
        <v>500000</v>
      </c>
      <c r="AA2388" s="45">
        <f>Учет!X2388</f>
        <v>500</v>
      </c>
    </row>
    <row r="2389" spans="1:27" ht="15" customHeight="1" x14ac:dyDescent="0.25">
      <c r="A2389" s="1"/>
      <c r="B2389" s="17"/>
      <c r="C2389" s="17"/>
      <c r="D2389" s="17"/>
      <c r="E2389" s="17"/>
      <c r="F2389" s="17"/>
      <c r="G2389" s="4">
        <f t="shared" si="108"/>
        <v>0</v>
      </c>
      <c r="H2389" s="17"/>
      <c r="I2389" s="4">
        <f t="shared" si="110"/>
        <v>349526.07999999996</v>
      </c>
      <c r="J2389" s="32" t="str">
        <f t="shared" si="109"/>
        <v/>
      </c>
      <c r="K2389" s="72"/>
      <c r="L2389" s="72"/>
      <c r="M2389" s="2"/>
      <c r="N2389" s="5"/>
      <c r="O2389" s="3"/>
      <c r="P2389" s="6"/>
      <c r="Q2389" s="48">
        <f>IF(Учет!$O2389=Справочники!$F$2,Учет!$H2389,0)</f>
        <v>0</v>
      </c>
      <c r="R2389" s="48">
        <f>IF(Учет!$O2389=Справочники!$F$3,Учет!$H2389,0)</f>
        <v>0</v>
      </c>
      <c r="S2389" s="48">
        <f>IF(Учет!$O2389=Справочники!$F$4,Учет!$H2389,0)</f>
        <v>0</v>
      </c>
      <c r="T2389" s="48">
        <f>IF(Учет!$O2389=Справочники!$F$5,Учет!$H2389,0)</f>
        <v>0</v>
      </c>
      <c r="U2389" s="48">
        <f>IF(Учет!$O2389=Справочники!$F$6,Учет!$H2389,0)</f>
        <v>0</v>
      </c>
      <c r="V2389" s="43">
        <f>V2388+Учет!Q2389-Q2389</f>
        <v>-488978.92000000004</v>
      </c>
      <c r="W2389" s="43">
        <f>W2388+Учет!R2389-R2389</f>
        <v>336855</v>
      </c>
      <c r="X2389" s="43">
        <f>X2388+Учет!S2389-S2389</f>
        <v>500</v>
      </c>
      <c r="Y2389" s="43">
        <f>Y2388+Учет!T2389-T2389</f>
        <v>1150</v>
      </c>
      <c r="Z2389" s="43">
        <f>Z2388+Учет!U2389-U2389</f>
        <v>500000</v>
      </c>
      <c r="AA2389" s="45">
        <f>Учет!X2389</f>
        <v>500</v>
      </c>
    </row>
    <row r="2390" spans="1:27" ht="15" customHeight="1" x14ac:dyDescent="0.25">
      <c r="A2390" s="1"/>
      <c r="B2390" s="17"/>
      <c r="C2390" s="17"/>
      <c r="D2390" s="17"/>
      <c r="E2390" s="17"/>
      <c r="F2390" s="17"/>
      <c r="G2390" s="4">
        <f t="shared" si="108"/>
        <v>0</v>
      </c>
      <c r="H2390" s="17"/>
      <c r="I2390" s="4">
        <f t="shared" si="110"/>
        <v>349526.07999999996</v>
      </c>
      <c r="J2390" s="32" t="str">
        <f t="shared" si="109"/>
        <v/>
      </c>
      <c r="K2390" s="72"/>
      <c r="L2390" s="72"/>
      <c r="M2390" s="2"/>
      <c r="N2390" s="5"/>
      <c r="O2390" s="3"/>
      <c r="P2390" s="6"/>
      <c r="Q2390" s="48">
        <f>IF(Учет!$O2390=Справочники!$F$2,Учет!$H2390,0)</f>
        <v>0</v>
      </c>
      <c r="R2390" s="48">
        <f>IF(Учет!$O2390=Справочники!$F$3,Учет!$H2390,0)</f>
        <v>0</v>
      </c>
      <c r="S2390" s="48">
        <f>IF(Учет!$O2390=Справочники!$F$4,Учет!$H2390,0)</f>
        <v>0</v>
      </c>
      <c r="T2390" s="48">
        <f>IF(Учет!$O2390=Справочники!$F$5,Учет!$H2390,0)</f>
        <v>0</v>
      </c>
      <c r="U2390" s="48">
        <f>IF(Учет!$O2390=Справочники!$F$6,Учет!$H2390,0)</f>
        <v>0</v>
      </c>
      <c r="V2390" s="43">
        <f>V2389+Учет!Q2390-Q2390</f>
        <v>-488978.92000000004</v>
      </c>
      <c r="W2390" s="43">
        <f>W2389+Учет!R2390-R2390</f>
        <v>336855</v>
      </c>
      <c r="X2390" s="43">
        <f>X2389+Учет!S2390-S2390</f>
        <v>500</v>
      </c>
      <c r="Y2390" s="43">
        <f>Y2389+Учет!T2390-T2390</f>
        <v>1150</v>
      </c>
      <c r="Z2390" s="43">
        <f>Z2389+Учет!U2390-U2390</f>
        <v>500000</v>
      </c>
      <c r="AA2390" s="45">
        <f>Учет!X2390</f>
        <v>500</v>
      </c>
    </row>
    <row r="2391" spans="1:27" ht="15" customHeight="1" x14ac:dyDescent="0.25">
      <c r="A2391" s="1"/>
      <c r="B2391" s="17"/>
      <c r="C2391" s="17"/>
      <c r="D2391" s="17"/>
      <c r="E2391" s="17"/>
      <c r="F2391" s="17"/>
      <c r="G2391" s="4">
        <f t="shared" si="108"/>
        <v>0</v>
      </c>
      <c r="H2391" s="17"/>
      <c r="I2391" s="4">
        <f t="shared" si="110"/>
        <v>349526.07999999996</v>
      </c>
      <c r="J2391" s="32" t="str">
        <f t="shared" si="109"/>
        <v/>
      </c>
      <c r="K2391" s="72"/>
      <c r="L2391" s="72"/>
      <c r="M2391" s="2"/>
      <c r="N2391" s="5"/>
      <c r="O2391" s="3"/>
      <c r="P2391" s="6"/>
      <c r="Q2391" s="48">
        <f>IF(Учет!$O2391=Справочники!$F$2,Учет!$H2391,0)</f>
        <v>0</v>
      </c>
      <c r="R2391" s="48">
        <f>IF(Учет!$O2391=Справочники!$F$3,Учет!$H2391,0)</f>
        <v>0</v>
      </c>
      <c r="S2391" s="48">
        <f>IF(Учет!$O2391=Справочники!$F$4,Учет!$H2391,0)</f>
        <v>0</v>
      </c>
      <c r="T2391" s="48">
        <f>IF(Учет!$O2391=Справочники!$F$5,Учет!$H2391,0)</f>
        <v>0</v>
      </c>
      <c r="U2391" s="48">
        <f>IF(Учет!$O2391=Справочники!$F$6,Учет!$H2391,0)</f>
        <v>0</v>
      </c>
      <c r="V2391" s="43">
        <f>V2390+Учет!Q2391-Q2391</f>
        <v>-488978.92000000004</v>
      </c>
      <c r="W2391" s="43">
        <f>W2390+Учет!R2391-R2391</f>
        <v>336855</v>
      </c>
      <c r="X2391" s="43">
        <f>X2390+Учет!S2391-S2391</f>
        <v>500</v>
      </c>
      <c r="Y2391" s="43">
        <f>Y2390+Учет!T2391-T2391</f>
        <v>1150</v>
      </c>
      <c r="Z2391" s="43">
        <f>Z2390+Учет!U2391-U2391</f>
        <v>500000</v>
      </c>
      <c r="AA2391" s="45">
        <f>Учет!X2391</f>
        <v>500</v>
      </c>
    </row>
    <row r="2392" spans="1:27" ht="15" customHeight="1" x14ac:dyDescent="0.25">
      <c r="A2392" s="1"/>
      <c r="B2392" s="17"/>
      <c r="C2392" s="17"/>
      <c r="D2392" s="17"/>
      <c r="E2392" s="17"/>
      <c r="F2392" s="17"/>
      <c r="G2392" s="4">
        <f t="shared" si="108"/>
        <v>0</v>
      </c>
      <c r="H2392" s="17"/>
      <c r="I2392" s="4">
        <f t="shared" si="110"/>
        <v>349526.07999999996</v>
      </c>
      <c r="J2392" s="32" t="str">
        <f t="shared" si="109"/>
        <v/>
      </c>
      <c r="K2392" s="72"/>
      <c r="L2392" s="72"/>
      <c r="M2392" s="2"/>
      <c r="N2392" s="5"/>
      <c r="O2392" s="3"/>
      <c r="P2392" s="6"/>
      <c r="Q2392" s="48">
        <f>IF(Учет!$O2392=Справочники!$F$2,Учет!$H2392,0)</f>
        <v>0</v>
      </c>
      <c r="R2392" s="48">
        <f>IF(Учет!$O2392=Справочники!$F$3,Учет!$H2392,0)</f>
        <v>0</v>
      </c>
      <c r="S2392" s="48">
        <f>IF(Учет!$O2392=Справочники!$F$4,Учет!$H2392,0)</f>
        <v>0</v>
      </c>
      <c r="T2392" s="48">
        <f>IF(Учет!$O2392=Справочники!$F$5,Учет!$H2392,0)</f>
        <v>0</v>
      </c>
      <c r="U2392" s="48">
        <f>IF(Учет!$O2392=Справочники!$F$6,Учет!$H2392,0)</f>
        <v>0</v>
      </c>
      <c r="V2392" s="43">
        <f>V2391+Учет!Q2392-Q2392</f>
        <v>-488978.92000000004</v>
      </c>
      <c r="W2392" s="43">
        <f>W2391+Учет!R2392-R2392</f>
        <v>336855</v>
      </c>
      <c r="X2392" s="43">
        <f>X2391+Учет!S2392-S2392</f>
        <v>500</v>
      </c>
      <c r="Y2392" s="43">
        <f>Y2391+Учет!T2392-T2392</f>
        <v>1150</v>
      </c>
      <c r="Z2392" s="43">
        <f>Z2391+Учет!U2392-U2392</f>
        <v>500000</v>
      </c>
      <c r="AA2392" s="45">
        <f>Учет!X2392</f>
        <v>500</v>
      </c>
    </row>
    <row r="2393" spans="1:27" ht="15" customHeight="1" x14ac:dyDescent="0.25">
      <c r="A2393" s="1"/>
      <c r="B2393" s="17"/>
      <c r="C2393" s="17"/>
      <c r="D2393" s="17"/>
      <c r="E2393" s="17"/>
      <c r="F2393" s="17"/>
      <c r="G2393" s="4">
        <f t="shared" si="108"/>
        <v>0</v>
      </c>
      <c r="H2393" s="17"/>
      <c r="I2393" s="4">
        <f t="shared" si="110"/>
        <v>349526.07999999996</v>
      </c>
      <c r="J2393" s="32" t="str">
        <f t="shared" si="109"/>
        <v/>
      </c>
      <c r="K2393" s="72"/>
      <c r="L2393" s="72"/>
      <c r="M2393" s="2"/>
      <c r="N2393" s="5"/>
      <c r="O2393" s="3"/>
      <c r="P2393" s="6"/>
      <c r="Q2393" s="48">
        <f>IF(Учет!$O2393=Справочники!$F$2,Учет!$H2393,0)</f>
        <v>0</v>
      </c>
      <c r="R2393" s="48">
        <f>IF(Учет!$O2393=Справочники!$F$3,Учет!$H2393,0)</f>
        <v>0</v>
      </c>
      <c r="S2393" s="48">
        <f>IF(Учет!$O2393=Справочники!$F$4,Учет!$H2393,0)</f>
        <v>0</v>
      </c>
      <c r="T2393" s="48">
        <f>IF(Учет!$O2393=Справочники!$F$5,Учет!$H2393,0)</f>
        <v>0</v>
      </c>
      <c r="U2393" s="48">
        <f>IF(Учет!$O2393=Справочники!$F$6,Учет!$H2393,0)</f>
        <v>0</v>
      </c>
      <c r="V2393" s="43">
        <f>V2392+Учет!Q2393-Q2393</f>
        <v>-488978.92000000004</v>
      </c>
      <c r="W2393" s="43">
        <f>W2392+Учет!R2393-R2393</f>
        <v>336855</v>
      </c>
      <c r="X2393" s="43">
        <f>X2392+Учет!S2393-S2393</f>
        <v>500</v>
      </c>
      <c r="Y2393" s="43">
        <f>Y2392+Учет!T2393-T2393</f>
        <v>1150</v>
      </c>
      <c r="Z2393" s="43">
        <f>Z2392+Учет!U2393-U2393</f>
        <v>500000</v>
      </c>
      <c r="AA2393" s="45">
        <f>Учет!X2393</f>
        <v>500</v>
      </c>
    </row>
    <row r="2394" spans="1:27" ht="15" customHeight="1" x14ac:dyDescent="0.25">
      <c r="A2394" s="1"/>
      <c r="B2394" s="17"/>
      <c r="C2394" s="17"/>
      <c r="D2394" s="17"/>
      <c r="E2394" s="17"/>
      <c r="F2394" s="17"/>
      <c r="G2394" s="4">
        <f t="shared" si="108"/>
        <v>0</v>
      </c>
      <c r="H2394" s="17"/>
      <c r="I2394" s="4">
        <f t="shared" si="110"/>
        <v>349526.07999999996</v>
      </c>
      <c r="J2394" s="32" t="str">
        <f t="shared" si="109"/>
        <v/>
      </c>
      <c r="K2394" s="72"/>
      <c r="L2394" s="72"/>
      <c r="M2394" s="2"/>
      <c r="N2394" s="5"/>
      <c r="O2394" s="3"/>
      <c r="P2394" s="6"/>
      <c r="Q2394" s="48">
        <f>IF(Учет!$O2394=Справочники!$F$2,Учет!$H2394,0)</f>
        <v>0</v>
      </c>
      <c r="R2394" s="48">
        <f>IF(Учет!$O2394=Справочники!$F$3,Учет!$H2394,0)</f>
        <v>0</v>
      </c>
      <c r="S2394" s="48">
        <f>IF(Учет!$O2394=Справочники!$F$4,Учет!$H2394,0)</f>
        <v>0</v>
      </c>
      <c r="T2394" s="48">
        <f>IF(Учет!$O2394=Справочники!$F$5,Учет!$H2394,0)</f>
        <v>0</v>
      </c>
      <c r="U2394" s="48">
        <f>IF(Учет!$O2394=Справочники!$F$6,Учет!$H2394,0)</f>
        <v>0</v>
      </c>
      <c r="V2394" s="43">
        <f>V2393+Учет!Q2394-Q2394</f>
        <v>-488978.92000000004</v>
      </c>
      <c r="W2394" s="43">
        <f>W2393+Учет!R2394-R2394</f>
        <v>336855</v>
      </c>
      <c r="X2394" s="43">
        <f>X2393+Учет!S2394-S2394</f>
        <v>500</v>
      </c>
      <c r="Y2394" s="43">
        <f>Y2393+Учет!T2394-T2394</f>
        <v>1150</v>
      </c>
      <c r="Z2394" s="43">
        <f>Z2393+Учет!U2394-U2394</f>
        <v>500000</v>
      </c>
      <c r="AA2394" s="45">
        <f>Учет!X2394</f>
        <v>500</v>
      </c>
    </row>
    <row r="2395" spans="1:27" ht="15" customHeight="1" x14ac:dyDescent="0.25">
      <c r="A2395" s="1"/>
      <c r="B2395" s="17"/>
      <c r="C2395" s="17"/>
      <c r="D2395" s="17"/>
      <c r="E2395" s="17"/>
      <c r="F2395" s="17"/>
      <c r="G2395" s="4">
        <f t="shared" si="108"/>
        <v>0</v>
      </c>
      <c r="H2395" s="17"/>
      <c r="I2395" s="4">
        <f t="shared" si="110"/>
        <v>349526.07999999996</v>
      </c>
      <c r="J2395" s="32" t="str">
        <f t="shared" si="109"/>
        <v/>
      </c>
      <c r="K2395" s="72"/>
      <c r="L2395" s="72"/>
      <c r="M2395" s="2"/>
      <c r="N2395" s="5"/>
      <c r="O2395" s="3"/>
      <c r="P2395" s="6"/>
      <c r="Q2395" s="48">
        <f>IF(Учет!$O2395=Справочники!$F$2,Учет!$H2395,0)</f>
        <v>0</v>
      </c>
      <c r="R2395" s="48">
        <f>IF(Учет!$O2395=Справочники!$F$3,Учет!$H2395,0)</f>
        <v>0</v>
      </c>
      <c r="S2395" s="48">
        <f>IF(Учет!$O2395=Справочники!$F$4,Учет!$H2395,0)</f>
        <v>0</v>
      </c>
      <c r="T2395" s="48">
        <f>IF(Учет!$O2395=Справочники!$F$5,Учет!$H2395,0)</f>
        <v>0</v>
      </c>
      <c r="U2395" s="48">
        <f>IF(Учет!$O2395=Справочники!$F$6,Учет!$H2395,0)</f>
        <v>0</v>
      </c>
      <c r="V2395" s="43">
        <f>V2394+Учет!Q2395-Q2395</f>
        <v>-488978.92000000004</v>
      </c>
      <c r="W2395" s="43">
        <f>W2394+Учет!R2395-R2395</f>
        <v>336855</v>
      </c>
      <c r="X2395" s="43">
        <f>X2394+Учет!S2395-S2395</f>
        <v>500</v>
      </c>
      <c r="Y2395" s="43">
        <f>Y2394+Учет!T2395-T2395</f>
        <v>1150</v>
      </c>
      <c r="Z2395" s="43">
        <f>Z2394+Учет!U2395-U2395</f>
        <v>500000</v>
      </c>
      <c r="AA2395" s="45">
        <f>Учет!X2395</f>
        <v>500</v>
      </c>
    </row>
    <row r="2396" spans="1:27" ht="15" customHeight="1" x14ac:dyDescent="0.25">
      <c r="A2396" s="1"/>
      <c r="B2396" s="17"/>
      <c r="C2396" s="17"/>
      <c r="D2396" s="17"/>
      <c r="E2396" s="17"/>
      <c r="F2396" s="17"/>
      <c r="G2396" s="4">
        <f t="shared" si="108"/>
        <v>0</v>
      </c>
      <c r="H2396" s="17"/>
      <c r="I2396" s="4">
        <f t="shared" si="110"/>
        <v>349526.07999999996</v>
      </c>
      <c r="J2396" s="32" t="str">
        <f t="shared" si="109"/>
        <v/>
      </c>
      <c r="K2396" s="72"/>
      <c r="L2396" s="72"/>
      <c r="M2396" s="2"/>
      <c r="N2396" s="5"/>
      <c r="O2396" s="3"/>
      <c r="P2396" s="6"/>
      <c r="Q2396" s="48">
        <f>IF(Учет!$O2396=Справочники!$F$2,Учет!$H2396,0)</f>
        <v>0</v>
      </c>
      <c r="R2396" s="48">
        <f>IF(Учет!$O2396=Справочники!$F$3,Учет!$H2396,0)</f>
        <v>0</v>
      </c>
      <c r="S2396" s="48">
        <f>IF(Учет!$O2396=Справочники!$F$4,Учет!$H2396,0)</f>
        <v>0</v>
      </c>
      <c r="T2396" s="48">
        <f>IF(Учет!$O2396=Справочники!$F$5,Учет!$H2396,0)</f>
        <v>0</v>
      </c>
      <c r="U2396" s="48">
        <f>IF(Учет!$O2396=Справочники!$F$6,Учет!$H2396,0)</f>
        <v>0</v>
      </c>
      <c r="V2396" s="43">
        <f>V2395+Учет!Q2396-Q2396</f>
        <v>-488978.92000000004</v>
      </c>
      <c r="W2396" s="43">
        <f>W2395+Учет!R2396-R2396</f>
        <v>336855</v>
      </c>
      <c r="X2396" s="43">
        <f>X2395+Учет!S2396-S2396</f>
        <v>500</v>
      </c>
      <c r="Y2396" s="43">
        <f>Y2395+Учет!T2396-T2396</f>
        <v>1150</v>
      </c>
      <c r="Z2396" s="43">
        <f>Z2395+Учет!U2396-U2396</f>
        <v>500000</v>
      </c>
      <c r="AA2396" s="45">
        <f>Учет!X2396</f>
        <v>500</v>
      </c>
    </row>
    <row r="2397" spans="1:27" ht="15" customHeight="1" x14ac:dyDescent="0.25">
      <c r="A2397" s="1"/>
      <c r="B2397" s="17"/>
      <c r="C2397" s="17"/>
      <c r="D2397" s="17"/>
      <c r="E2397" s="17"/>
      <c r="F2397" s="17"/>
      <c r="G2397" s="4">
        <f t="shared" si="108"/>
        <v>0</v>
      </c>
      <c r="H2397" s="17"/>
      <c r="I2397" s="4">
        <f t="shared" si="110"/>
        <v>349526.07999999996</v>
      </c>
      <c r="J2397" s="32" t="str">
        <f t="shared" si="109"/>
        <v/>
      </c>
      <c r="K2397" s="72"/>
      <c r="L2397" s="72"/>
      <c r="M2397" s="2"/>
      <c r="N2397" s="5"/>
      <c r="O2397" s="3"/>
      <c r="P2397" s="6"/>
      <c r="Q2397" s="48">
        <f>IF(Учет!$O2397=Справочники!$F$2,Учет!$H2397,0)</f>
        <v>0</v>
      </c>
      <c r="R2397" s="48">
        <f>IF(Учет!$O2397=Справочники!$F$3,Учет!$H2397,0)</f>
        <v>0</v>
      </c>
      <c r="S2397" s="48">
        <f>IF(Учет!$O2397=Справочники!$F$4,Учет!$H2397,0)</f>
        <v>0</v>
      </c>
      <c r="T2397" s="48">
        <f>IF(Учет!$O2397=Справочники!$F$5,Учет!$H2397,0)</f>
        <v>0</v>
      </c>
      <c r="U2397" s="48">
        <f>IF(Учет!$O2397=Справочники!$F$6,Учет!$H2397,0)</f>
        <v>0</v>
      </c>
      <c r="V2397" s="43">
        <f>V2396+Учет!Q2397-Q2397</f>
        <v>-488978.92000000004</v>
      </c>
      <c r="W2397" s="43">
        <f>W2396+Учет!R2397-R2397</f>
        <v>336855</v>
      </c>
      <c r="X2397" s="43">
        <f>X2396+Учет!S2397-S2397</f>
        <v>500</v>
      </c>
      <c r="Y2397" s="43">
        <f>Y2396+Учет!T2397-T2397</f>
        <v>1150</v>
      </c>
      <c r="Z2397" s="43">
        <f>Z2396+Учет!U2397-U2397</f>
        <v>500000</v>
      </c>
      <c r="AA2397" s="45">
        <f>Учет!X2397</f>
        <v>500</v>
      </c>
    </row>
    <row r="2398" spans="1:27" ht="15" customHeight="1" x14ac:dyDescent="0.25">
      <c r="A2398" s="1"/>
      <c r="B2398" s="17"/>
      <c r="C2398" s="17"/>
      <c r="D2398" s="17"/>
      <c r="E2398" s="17"/>
      <c r="F2398" s="17"/>
      <c r="G2398" s="4">
        <f t="shared" si="108"/>
        <v>0</v>
      </c>
      <c r="H2398" s="17"/>
      <c r="I2398" s="4">
        <f t="shared" si="110"/>
        <v>349526.07999999996</v>
      </c>
      <c r="J2398" s="32" t="str">
        <f t="shared" si="109"/>
        <v/>
      </c>
      <c r="K2398" s="72"/>
      <c r="L2398" s="72"/>
      <c r="M2398" s="2"/>
      <c r="N2398" s="5"/>
      <c r="O2398" s="3"/>
      <c r="P2398" s="6"/>
      <c r="Q2398" s="48">
        <f>IF(Учет!$O2398=Справочники!$F$2,Учет!$H2398,0)</f>
        <v>0</v>
      </c>
      <c r="R2398" s="48">
        <f>IF(Учет!$O2398=Справочники!$F$3,Учет!$H2398,0)</f>
        <v>0</v>
      </c>
      <c r="S2398" s="48">
        <f>IF(Учет!$O2398=Справочники!$F$4,Учет!$H2398,0)</f>
        <v>0</v>
      </c>
      <c r="T2398" s="48">
        <f>IF(Учет!$O2398=Справочники!$F$5,Учет!$H2398,0)</f>
        <v>0</v>
      </c>
      <c r="U2398" s="48">
        <f>IF(Учет!$O2398=Справочники!$F$6,Учет!$H2398,0)</f>
        <v>0</v>
      </c>
      <c r="V2398" s="43">
        <f>V2397+Учет!Q2398-Q2398</f>
        <v>-488978.92000000004</v>
      </c>
      <c r="W2398" s="43">
        <f>W2397+Учет!R2398-R2398</f>
        <v>336855</v>
      </c>
      <c r="X2398" s="43">
        <f>X2397+Учет!S2398-S2398</f>
        <v>500</v>
      </c>
      <c r="Y2398" s="43">
        <f>Y2397+Учет!T2398-T2398</f>
        <v>1150</v>
      </c>
      <c r="Z2398" s="43">
        <f>Z2397+Учет!U2398-U2398</f>
        <v>500000</v>
      </c>
      <c r="AA2398" s="45">
        <f>Учет!X2398</f>
        <v>500</v>
      </c>
    </row>
    <row r="2399" spans="1:27" ht="15" customHeight="1" x14ac:dyDescent="0.25">
      <c r="A2399" s="1"/>
      <c r="B2399" s="17"/>
      <c r="C2399" s="17"/>
      <c r="D2399" s="17"/>
      <c r="E2399" s="17"/>
      <c r="F2399" s="17"/>
      <c r="G2399" s="4">
        <f t="shared" si="108"/>
        <v>0</v>
      </c>
      <c r="H2399" s="17"/>
      <c r="I2399" s="4">
        <f t="shared" si="110"/>
        <v>349526.07999999996</v>
      </c>
      <c r="J2399" s="32" t="str">
        <f t="shared" si="109"/>
        <v/>
      </c>
      <c r="K2399" s="72"/>
      <c r="L2399" s="72"/>
      <c r="M2399" s="2"/>
      <c r="N2399" s="5"/>
      <c r="O2399" s="3"/>
      <c r="P2399" s="6"/>
      <c r="Q2399" s="48">
        <f>IF(Учет!$O2399=Справочники!$F$2,Учет!$H2399,0)</f>
        <v>0</v>
      </c>
      <c r="R2399" s="48">
        <f>IF(Учет!$O2399=Справочники!$F$3,Учет!$H2399,0)</f>
        <v>0</v>
      </c>
      <c r="S2399" s="48">
        <f>IF(Учет!$O2399=Справочники!$F$4,Учет!$H2399,0)</f>
        <v>0</v>
      </c>
      <c r="T2399" s="48">
        <f>IF(Учет!$O2399=Справочники!$F$5,Учет!$H2399,0)</f>
        <v>0</v>
      </c>
      <c r="U2399" s="48">
        <f>IF(Учет!$O2399=Справочники!$F$6,Учет!$H2399,0)</f>
        <v>0</v>
      </c>
      <c r="V2399" s="43">
        <f>V2398+Учет!Q2399-Q2399</f>
        <v>-488978.92000000004</v>
      </c>
      <c r="W2399" s="43">
        <f>W2398+Учет!R2399-R2399</f>
        <v>336855</v>
      </c>
      <c r="X2399" s="43">
        <f>X2398+Учет!S2399-S2399</f>
        <v>500</v>
      </c>
      <c r="Y2399" s="43">
        <f>Y2398+Учет!T2399-T2399</f>
        <v>1150</v>
      </c>
      <c r="Z2399" s="43">
        <f>Z2398+Учет!U2399-U2399</f>
        <v>500000</v>
      </c>
      <c r="AA2399" s="45">
        <f>Учет!X2399</f>
        <v>500</v>
      </c>
    </row>
    <row r="2400" spans="1:27" ht="15" customHeight="1" x14ac:dyDescent="0.25">
      <c r="A2400" s="1"/>
      <c r="B2400" s="17"/>
      <c r="C2400" s="17"/>
      <c r="D2400" s="17"/>
      <c r="E2400" s="17"/>
      <c r="F2400" s="17"/>
      <c r="G2400" s="4">
        <f t="shared" si="108"/>
        <v>0</v>
      </c>
      <c r="H2400" s="17"/>
      <c r="I2400" s="4">
        <f t="shared" si="110"/>
        <v>349526.07999999996</v>
      </c>
      <c r="J2400" s="32" t="str">
        <f t="shared" si="109"/>
        <v/>
      </c>
      <c r="K2400" s="72"/>
      <c r="L2400" s="72"/>
      <c r="M2400" s="2"/>
      <c r="N2400" s="5"/>
      <c r="O2400" s="3"/>
      <c r="P2400" s="6"/>
      <c r="Q2400" s="48">
        <f>IF(Учет!$O2400=Справочники!$F$2,Учет!$H2400,0)</f>
        <v>0</v>
      </c>
      <c r="R2400" s="48">
        <f>IF(Учет!$O2400=Справочники!$F$3,Учет!$H2400,0)</f>
        <v>0</v>
      </c>
      <c r="S2400" s="48">
        <f>IF(Учет!$O2400=Справочники!$F$4,Учет!$H2400,0)</f>
        <v>0</v>
      </c>
      <c r="T2400" s="48">
        <f>IF(Учет!$O2400=Справочники!$F$5,Учет!$H2400,0)</f>
        <v>0</v>
      </c>
      <c r="U2400" s="48">
        <f>IF(Учет!$O2400=Справочники!$F$6,Учет!$H2400,0)</f>
        <v>0</v>
      </c>
      <c r="V2400" s="43">
        <f>V2399+Учет!Q2400-Q2400</f>
        <v>-488978.92000000004</v>
      </c>
      <c r="W2400" s="43">
        <f>W2399+Учет!R2400-R2400</f>
        <v>336855</v>
      </c>
      <c r="X2400" s="43">
        <f>X2399+Учет!S2400-S2400</f>
        <v>500</v>
      </c>
      <c r="Y2400" s="43">
        <f>Y2399+Учет!T2400-T2400</f>
        <v>1150</v>
      </c>
      <c r="Z2400" s="43">
        <f>Z2399+Учет!U2400-U2400</f>
        <v>500000</v>
      </c>
      <c r="AA2400" s="45">
        <f>Учет!X2400</f>
        <v>500</v>
      </c>
    </row>
    <row r="2401" spans="1:27" ht="15" customHeight="1" x14ac:dyDescent="0.25">
      <c r="A2401" s="1"/>
      <c r="B2401" s="17"/>
      <c r="C2401" s="17"/>
      <c r="D2401" s="17"/>
      <c r="E2401" s="17"/>
      <c r="F2401" s="17"/>
      <c r="G2401" s="4">
        <f t="shared" si="108"/>
        <v>0</v>
      </c>
      <c r="H2401" s="17"/>
      <c r="I2401" s="4">
        <f t="shared" si="110"/>
        <v>349526.07999999996</v>
      </c>
      <c r="J2401" s="32" t="str">
        <f t="shared" si="109"/>
        <v/>
      </c>
      <c r="K2401" s="72"/>
      <c r="L2401" s="72"/>
      <c r="M2401" s="2"/>
      <c r="N2401" s="5"/>
      <c r="O2401" s="3"/>
      <c r="P2401" s="6"/>
      <c r="Q2401" s="48">
        <f>IF(Учет!$O2401=Справочники!$F$2,Учет!$H2401,0)</f>
        <v>0</v>
      </c>
      <c r="R2401" s="48">
        <f>IF(Учет!$O2401=Справочники!$F$3,Учет!$H2401,0)</f>
        <v>0</v>
      </c>
      <c r="S2401" s="48">
        <f>IF(Учет!$O2401=Справочники!$F$4,Учет!$H2401,0)</f>
        <v>0</v>
      </c>
      <c r="T2401" s="48">
        <f>IF(Учет!$O2401=Справочники!$F$5,Учет!$H2401,0)</f>
        <v>0</v>
      </c>
      <c r="U2401" s="48">
        <f>IF(Учет!$O2401=Справочники!$F$6,Учет!$H2401,0)</f>
        <v>0</v>
      </c>
      <c r="V2401" s="43">
        <f>V2400+Учет!Q2401-Q2401</f>
        <v>-488978.92000000004</v>
      </c>
      <c r="W2401" s="43">
        <f>W2400+Учет!R2401-R2401</f>
        <v>336855</v>
      </c>
      <c r="X2401" s="43">
        <f>X2400+Учет!S2401-S2401</f>
        <v>500</v>
      </c>
      <c r="Y2401" s="43">
        <f>Y2400+Учет!T2401-T2401</f>
        <v>1150</v>
      </c>
      <c r="Z2401" s="43">
        <f>Z2400+Учет!U2401-U2401</f>
        <v>500000</v>
      </c>
      <c r="AA2401" s="45">
        <f>Учет!X2401</f>
        <v>500</v>
      </c>
    </row>
    <row r="2402" spans="1:27" ht="15" customHeight="1" x14ac:dyDescent="0.25">
      <c r="A2402" s="1"/>
      <c r="B2402" s="17"/>
      <c r="C2402" s="17"/>
      <c r="D2402" s="17"/>
      <c r="E2402" s="17"/>
      <c r="F2402" s="17"/>
      <c r="G2402" s="4">
        <f t="shared" si="108"/>
        <v>0</v>
      </c>
      <c r="H2402" s="17"/>
      <c r="I2402" s="4">
        <f t="shared" si="110"/>
        <v>349526.07999999996</v>
      </c>
      <c r="J2402" s="32" t="str">
        <f t="shared" si="109"/>
        <v/>
      </c>
      <c r="K2402" s="72"/>
      <c r="L2402" s="72"/>
      <c r="M2402" s="2"/>
      <c r="N2402" s="5"/>
      <c r="O2402" s="3"/>
      <c r="P2402" s="6"/>
      <c r="Q2402" s="48">
        <f>IF(Учет!$O2402=Справочники!$F$2,Учет!$H2402,0)</f>
        <v>0</v>
      </c>
      <c r="R2402" s="48">
        <f>IF(Учет!$O2402=Справочники!$F$3,Учет!$H2402,0)</f>
        <v>0</v>
      </c>
      <c r="S2402" s="48">
        <f>IF(Учет!$O2402=Справочники!$F$4,Учет!$H2402,0)</f>
        <v>0</v>
      </c>
      <c r="T2402" s="48">
        <f>IF(Учет!$O2402=Справочники!$F$5,Учет!$H2402,0)</f>
        <v>0</v>
      </c>
      <c r="U2402" s="48">
        <f>IF(Учет!$O2402=Справочники!$F$6,Учет!$H2402,0)</f>
        <v>0</v>
      </c>
      <c r="V2402" s="43">
        <f>V2401+Учет!Q2402-Q2402</f>
        <v>-488978.92000000004</v>
      </c>
      <c r="W2402" s="43">
        <f>W2401+Учет!R2402-R2402</f>
        <v>336855</v>
      </c>
      <c r="X2402" s="43">
        <f>X2401+Учет!S2402-S2402</f>
        <v>500</v>
      </c>
      <c r="Y2402" s="43">
        <f>Y2401+Учет!T2402-T2402</f>
        <v>1150</v>
      </c>
      <c r="Z2402" s="43">
        <f>Z2401+Учет!U2402-U2402</f>
        <v>500000</v>
      </c>
      <c r="AA2402" s="45">
        <f>Учет!X2402</f>
        <v>500</v>
      </c>
    </row>
    <row r="2403" spans="1:27" ht="15" customHeight="1" x14ac:dyDescent="0.25">
      <c r="A2403" s="1"/>
      <c r="B2403" s="17"/>
      <c r="C2403" s="17"/>
      <c r="D2403" s="17"/>
      <c r="E2403" s="17"/>
      <c r="F2403" s="17"/>
      <c r="G2403" s="4">
        <f t="shared" si="108"/>
        <v>0</v>
      </c>
      <c r="H2403" s="17"/>
      <c r="I2403" s="4">
        <f t="shared" si="110"/>
        <v>349526.07999999996</v>
      </c>
      <c r="J2403" s="32" t="str">
        <f t="shared" si="109"/>
        <v/>
      </c>
      <c r="K2403" s="72"/>
      <c r="L2403" s="72"/>
      <c r="M2403" s="2"/>
      <c r="N2403" s="5"/>
      <c r="O2403" s="3"/>
      <c r="P2403" s="6"/>
      <c r="Q2403" s="48">
        <f>IF(Учет!$O2403=Справочники!$F$2,Учет!$H2403,0)</f>
        <v>0</v>
      </c>
      <c r="R2403" s="48">
        <f>IF(Учет!$O2403=Справочники!$F$3,Учет!$H2403,0)</f>
        <v>0</v>
      </c>
      <c r="S2403" s="48">
        <f>IF(Учет!$O2403=Справочники!$F$4,Учет!$H2403,0)</f>
        <v>0</v>
      </c>
      <c r="T2403" s="48">
        <f>IF(Учет!$O2403=Справочники!$F$5,Учет!$H2403,0)</f>
        <v>0</v>
      </c>
      <c r="U2403" s="48">
        <f>IF(Учет!$O2403=Справочники!$F$6,Учет!$H2403,0)</f>
        <v>0</v>
      </c>
      <c r="V2403" s="43">
        <f>V2402+Учет!Q2403-Q2403</f>
        <v>-488978.92000000004</v>
      </c>
      <c r="W2403" s="43">
        <f>W2402+Учет!R2403-R2403</f>
        <v>336855</v>
      </c>
      <c r="X2403" s="43">
        <f>X2402+Учет!S2403-S2403</f>
        <v>500</v>
      </c>
      <c r="Y2403" s="43">
        <f>Y2402+Учет!T2403-T2403</f>
        <v>1150</v>
      </c>
      <c r="Z2403" s="43">
        <f>Z2402+Учет!U2403-U2403</f>
        <v>500000</v>
      </c>
      <c r="AA2403" s="45">
        <f>Учет!X2403</f>
        <v>500</v>
      </c>
    </row>
    <row r="2404" spans="1:27" ht="15" customHeight="1" x14ac:dyDescent="0.25">
      <c r="A2404" s="1"/>
      <c r="B2404" s="17"/>
      <c r="C2404" s="17"/>
      <c r="D2404" s="17"/>
      <c r="E2404" s="17"/>
      <c r="F2404" s="17"/>
      <c r="G2404" s="4">
        <f t="shared" si="108"/>
        <v>0</v>
      </c>
      <c r="H2404" s="17"/>
      <c r="I2404" s="4">
        <f t="shared" si="110"/>
        <v>349526.07999999996</v>
      </c>
      <c r="J2404" s="32" t="str">
        <f t="shared" si="109"/>
        <v/>
      </c>
      <c r="K2404" s="72"/>
      <c r="L2404" s="72"/>
      <c r="M2404" s="2"/>
      <c r="N2404" s="5"/>
      <c r="O2404" s="3"/>
      <c r="P2404" s="6"/>
      <c r="Q2404" s="48">
        <f>IF(Учет!$O2404=Справочники!$F$2,Учет!$H2404,0)</f>
        <v>0</v>
      </c>
      <c r="R2404" s="48">
        <f>IF(Учет!$O2404=Справочники!$F$3,Учет!$H2404,0)</f>
        <v>0</v>
      </c>
      <c r="S2404" s="48">
        <f>IF(Учет!$O2404=Справочники!$F$4,Учет!$H2404,0)</f>
        <v>0</v>
      </c>
      <c r="T2404" s="48">
        <f>IF(Учет!$O2404=Справочники!$F$5,Учет!$H2404,0)</f>
        <v>0</v>
      </c>
      <c r="U2404" s="48">
        <f>IF(Учет!$O2404=Справочники!$F$6,Учет!$H2404,0)</f>
        <v>0</v>
      </c>
      <c r="V2404" s="43">
        <f>V2403+Учет!Q2404-Q2404</f>
        <v>-488978.92000000004</v>
      </c>
      <c r="W2404" s="43">
        <f>W2403+Учет!R2404-R2404</f>
        <v>336855</v>
      </c>
      <c r="X2404" s="43">
        <f>X2403+Учет!S2404-S2404</f>
        <v>500</v>
      </c>
      <c r="Y2404" s="43">
        <f>Y2403+Учет!T2404-T2404</f>
        <v>1150</v>
      </c>
      <c r="Z2404" s="43">
        <f>Z2403+Учет!U2404-U2404</f>
        <v>500000</v>
      </c>
      <c r="AA2404" s="45">
        <f>Учет!X2404</f>
        <v>500</v>
      </c>
    </row>
    <row r="2405" spans="1:27" ht="15" customHeight="1" x14ac:dyDescent="0.25">
      <c r="A2405" s="1"/>
      <c r="B2405" s="17"/>
      <c r="C2405" s="17"/>
      <c r="D2405" s="17"/>
      <c r="E2405" s="17"/>
      <c r="F2405" s="17"/>
      <c r="G2405" s="4">
        <f t="shared" si="108"/>
        <v>0</v>
      </c>
      <c r="H2405" s="17"/>
      <c r="I2405" s="4">
        <f t="shared" si="110"/>
        <v>349526.07999999996</v>
      </c>
      <c r="J2405" s="32" t="str">
        <f t="shared" si="109"/>
        <v/>
      </c>
      <c r="K2405" s="72"/>
      <c r="L2405" s="72"/>
      <c r="M2405" s="2"/>
      <c r="N2405" s="5"/>
      <c r="O2405" s="3"/>
      <c r="P2405" s="6"/>
      <c r="Q2405" s="48">
        <f>IF(Учет!$O2405=Справочники!$F$2,Учет!$H2405,0)</f>
        <v>0</v>
      </c>
      <c r="R2405" s="48">
        <f>IF(Учет!$O2405=Справочники!$F$3,Учет!$H2405,0)</f>
        <v>0</v>
      </c>
      <c r="S2405" s="48">
        <f>IF(Учет!$O2405=Справочники!$F$4,Учет!$H2405,0)</f>
        <v>0</v>
      </c>
      <c r="T2405" s="48">
        <f>IF(Учет!$O2405=Справочники!$F$5,Учет!$H2405,0)</f>
        <v>0</v>
      </c>
      <c r="U2405" s="48">
        <f>IF(Учет!$O2405=Справочники!$F$6,Учет!$H2405,0)</f>
        <v>0</v>
      </c>
      <c r="V2405" s="43">
        <f>V2404+Учет!Q2405-Q2405</f>
        <v>-488978.92000000004</v>
      </c>
      <c r="W2405" s="43">
        <f>W2404+Учет!R2405-R2405</f>
        <v>336855</v>
      </c>
      <c r="X2405" s="43">
        <f>X2404+Учет!S2405-S2405</f>
        <v>500</v>
      </c>
      <c r="Y2405" s="43">
        <f>Y2404+Учет!T2405-T2405</f>
        <v>1150</v>
      </c>
      <c r="Z2405" s="43">
        <f>Z2404+Учет!U2405-U2405</f>
        <v>500000</v>
      </c>
      <c r="AA2405" s="45">
        <f>Учет!X2405</f>
        <v>500</v>
      </c>
    </row>
    <row r="2406" spans="1:27" ht="15" customHeight="1" x14ac:dyDescent="0.25">
      <c r="A2406" s="1"/>
      <c r="B2406" s="17"/>
      <c r="C2406" s="17"/>
      <c r="D2406" s="17"/>
      <c r="E2406" s="17"/>
      <c r="F2406" s="17"/>
      <c r="G2406" s="4">
        <f t="shared" si="108"/>
        <v>0</v>
      </c>
      <c r="H2406" s="17"/>
      <c r="I2406" s="4">
        <f t="shared" si="110"/>
        <v>349526.07999999996</v>
      </c>
      <c r="J2406" s="32" t="str">
        <f t="shared" si="109"/>
        <v/>
      </c>
      <c r="K2406" s="72"/>
      <c r="L2406" s="72"/>
      <c r="M2406" s="2"/>
      <c r="N2406" s="5"/>
      <c r="O2406" s="3"/>
      <c r="P2406" s="6"/>
      <c r="Q2406" s="48">
        <f>IF(Учет!$O2406=Справочники!$F$2,Учет!$H2406,0)</f>
        <v>0</v>
      </c>
      <c r="R2406" s="48">
        <f>IF(Учет!$O2406=Справочники!$F$3,Учет!$H2406,0)</f>
        <v>0</v>
      </c>
      <c r="S2406" s="48">
        <f>IF(Учет!$O2406=Справочники!$F$4,Учет!$H2406,0)</f>
        <v>0</v>
      </c>
      <c r="T2406" s="48">
        <f>IF(Учет!$O2406=Справочники!$F$5,Учет!$H2406,0)</f>
        <v>0</v>
      </c>
      <c r="U2406" s="48">
        <f>IF(Учет!$O2406=Справочники!$F$6,Учет!$H2406,0)</f>
        <v>0</v>
      </c>
      <c r="V2406" s="43">
        <f>V2405+Учет!Q2406-Q2406</f>
        <v>-488978.92000000004</v>
      </c>
      <c r="W2406" s="43">
        <f>W2405+Учет!R2406-R2406</f>
        <v>336855</v>
      </c>
      <c r="X2406" s="43">
        <f>X2405+Учет!S2406-S2406</f>
        <v>500</v>
      </c>
      <c r="Y2406" s="43">
        <f>Y2405+Учет!T2406-T2406</f>
        <v>1150</v>
      </c>
      <c r="Z2406" s="43">
        <f>Z2405+Учет!U2406-U2406</f>
        <v>500000</v>
      </c>
      <c r="AA2406" s="45">
        <f>Учет!X2406</f>
        <v>500</v>
      </c>
    </row>
    <row r="2407" spans="1:27" ht="15" customHeight="1" x14ac:dyDescent="0.25">
      <c r="A2407" s="1"/>
      <c r="B2407" s="17"/>
      <c r="C2407" s="17"/>
      <c r="D2407" s="17"/>
      <c r="E2407" s="17"/>
      <c r="F2407" s="17"/>
      <c r="G2407" s="4">
        <f t="shared" si="108"/>
        <v>0</v>
      </c>
      <c r="H2407" s="17"/>
      <c r="I2407" s="4">
        <f t="shared" si="110"/>
        <v>349526.07999999996</v>
      </c>
      <c r="J2407" s="32" t="str">
        <f t="shared" si="109"/>
        <v/>
      </c>
      <c r="K2407" s="72"/>
      <c r="L2407" s="72"/>
      <c r="M2407" s="2"/>
      <c r="N2407" s="5"/>
      <c r="O2407" s="3"/>
      <c r="P2407" s="6"/>
      <c r="Q2407" s="48">
        <f>IF(Учет!$O2407=Справочники!$F$2,Учет!$H2407,0)</f>
        <v>0</v>
      </c>
      <c r="R2407" s="48">
        <f>IF(Учет!$O2407=Справочники!$F$3,Учет!$H2407,0)</f>
        <v>0</v>
      </c>
      <c r="S2407" s="48">
        <f>IF(Учет!$O2407=Справочники!$F$4,Учет!$H2407,0)</f>
        <v>0</v>
      </c>
      <c r="T2407" s="48">
        <f>IF(Учет!$O2407=Справочники!$F$5,Учет!$H2407,0)</f>
        <v>0</v>
      </c>
      <c r="U2407" s="48">
        <f>IF(Учет!$O2407=Справочники!$F$6,Учет!$H2407,0)</f>
        <v>0</v>
      </c>
      <c r="V2407" s="43">
        <f>V2406+Учет!Q2407-Q2407</f>
        <v>-488978.92000000004</v>
      </c>
      <c r="W2407" s="43">
        <f>W2406+Учет!R2407-R2407</f>
        <v>336855</v>
      </c>
      <c r="X2407" s="43">
        <f>X2406+Учет!S2407-S2407</f>
        <v>500</v>
      </c>
      <c r="Y2407" s="43">
        <f>Y2406+Учет!T2407-T2407</f>
        <v>1150</v>
      </c>
      <c r="Z2407" s="43">
        <f>Z2406+Учет!U2407-U2407</f>
        <v>500000</v>
      </c>
      <c r="AA2407" s="45">
        <f>Учет!X2407</f>
        <v>500</v>
      </c>
    </row>
    <row r="2408" spans="1:27" ht="15" customHeight="1" x14ac:dyDescent="0.25">
      <c r="A2408" s="1"/>
      <c r="B2408" s="17"/>
      <c r="C2408" s="17"/>
      <c r="D2408" s="17"/>
      <c r="E2408" s="17"/>
      <c r="F2408" s="17"/>
      <c r="G2408" s="4">
        <f t="shared" si="108"/>
        <v>0</v>
      </c>
      <c r="H2408" s="17"/>
      <c r="I2408" s="4">
        <f t="shared" si="110"/>
        <v>349526.07999999996</v>
      </c>
      <c r="J2408" s="32" t="str">
        <f t="shared" si="109"/>
        <v/>
      </c>
      <c r="K2408" s="72"/>
      <c r="L2408" s="72"/>
      <c r="M2408" s="2"/>
      <c r="N2408" s="5"/>
      <c r="O2408" s="3"/>
      <c r="P2408" s="6"/>
      <c r="Q2408" s="48">
        <f>IF(Учет!$O2408=Справочники!$F$2,Учет!$H2408,0)</f>
        <v>0</v>
      </c>
      <c r="R2408" s="48">
        <f>IF(Учет!$O2408=Справочники!$F$3,Учет!$H2408,0)</f>
        <v>0</v>
      </c>
      <c r="S2408" s="48">
        <f>IF(Учет!$O2408=Справочники!$F$4,Учет!$H2408,0)</f>
        <v>0</v>
      </c>
      <c r="T2408" s="48">
        <f>IF(Учет!$O2408=Справочники!$F$5,Учет!$H2408,0)</f>
        <v>0</v>
      </c>
      <c r="U2408" s="48">
        <f>IF(Учет!$O2408=Справочники!$F$6,Учет!$H2408,0)</f>
        <v>0</v>
      </c>
      <c r="V2408" s="43">
        <f>V2407+Учет!Q2408-Q2408</f>
        <v>-488978.92000000004</v>
      </c>
      <c r="W2408" s="43">
        <f>W2407+Учет!R2408-R2408</f>
        <v>336855</v>
      </c>
      <c r="X2408" s="43">
        <f>X2407+Учет!S2408-S2408</f>
        <v>500</v>
      </c>
      <c r="Y2408" s="43">
        <f>Y2407+Учет!T2408-T2408</f>
        <v>1150</v>
      </c>
      <c r="Z2408" s="43">
        <f>Z2407+Учет!U2408-U2408</f>
        <v>500000</v>
      </c>
      <c r="AA2408" s="45">
        <f>Учет!X2408</f>
        <v>500</v>
      </c>
    </row>
    <row r="2409" spans="1:27" ht="15" customHeight="1" x14ac:dyDescent="0.25">
      <c r="A2409" s="1"/>
      <c r="B2409" s="17"/>
      <c r="C2409" s="17"/>
      <c r="D2409" s="17"/>
      <c r="E2409" s="17"/>
      <c r="F2409" s="17"/>
      <c r="G2409" s="4">
        <f t="shared" si="108"/>
        <v>0</v>
      </c>
      <c r="H2409" s="17"/>
      <c r="I2409" s="4">
        <f t="shared" si="110"/>
        <v>349526.07999999996</v>
      </c>
      <c r="J2409" s="32" t="str">
        <f t="shared" si="109"/>
        <v/>
      </c>
      <c r="K2409" s="72"/>
      <c r="L2409" s="72"/>
      <c r="M2409" s="2"/>
      <c r="N2409" s="5"/>
      <c r="O2409" s="3"/>
      <c r="P2409" s="6"/>
      <c r="Q2409" s="48">
        <f>IF(Учет!$O2409=Справочники!$F$2,Учет!$H2409,0)</f>
        <v>0</v>
      </c>
      <c r="R2409" s="48">
        <f>IF(Учет!$O2409=Справочники!$F$3,Учет!$H2409,0)</f>
        <v>0</v>
      </c>
      <c r="S2409" s="48">
        <f>IF(Учет!$O2409=Справочники!$F$4,Учет!$H2409,0)</f>
        <v>0</v>
      </c>
      <c r="T2409" s="48">
        <f>IF(Учет!$O2409=Справочники!$F$5,Учет!$H2409,0)</f>
        <v>0</v>
      </c>
      <c r="U2409" s="48">
        <f>IF(Учет!$O2409=Справочники!$F$6,Учет!$H2409,0)</f>
        <v>0</v>
      </c>
      <c r="V2409" s="43">
        <f>V2408+Учет!Q2409-Q2409</f>
        <v>-488978.92000000004</v>
      </c>
      <c r="W2409" s="43">
        <f>W2408+Учет!R2409-R2409</f>
        <v>336855</v>
      </c>
      <c r="X2409" s="43">
        <f>X2408+Учет!S2409-S2409</f>
        <v>500</v>
      </c>
      <c r="Y2409" s="43">
        <f>Y2408+Учет!T2409-T2409</f>
        <v>1150</v>
      </c>
      <c r="Z2409" s="43">
        <f>Z2408+Учет!U2409-U2409</f>
        <v>500000</v>
      </c>
      <c r="AA2409" s="45">
        <f>Учет!X2409</f>
        <v>500</v>
      </c>
    </row>
    <row r="2410" spans="1:27" ht="15" customHeight="1" x14ac:dyDescent="0.25">
      <c r="A2410" s="1"/>
      <c r="B2410" s="17"/>
      <c r="C2410" s="17"/>
      <c r="D2410" s="17"/>
      <c r="E2410" s="17"/>
      <c r="F2410" s="17"/>
      <c r="G2410" s="4">
        <f t="shared" si="108"/>
        <v>0</v>
      </c>
      <c r="H2410" s="17"/>
      <c r="I2410" s="4">
        <f t="shared" si="110"/>
        <v>349526.07999999996</v>
      </c>
      <c r="J2410" s="32" t="str">
        <f t="shared" si="109"/>
        <v/>
      </c>
      <c r="K2410" s="72"/>
      <c r="L2410" s="72"/>
      <c r="M2410" s="2"/>
      <c r="N2410" s="5"/>
      <c r="O2410" s="3"/>
      <c r="P2410" s="6"/>
      <c r="Q2410" s="48">
        <f>IF(Учет!$O2410=Справочники!$F$2,Учет!$H2410,0)</f>
        <v>0</v>
      </c>
      <c r="R2410" s="48">
        <f>IF(Учет!$O2410=Справочники!$F$3,Учет!$H2410,0)</f>
        <v>0</v>
      </c>
      <c r="S2410" s="48">
        <f>IF(Учет!$O2410=Справочники!$F$4,Учет!$H2410,0)</f>
        <v>0</v>
      </c>
      <c r="T2410" s="48">
        <f>IF(Учет!$O2410=Справочники!$F$5,Учет!$H2410,0)</f>
        <v>0</v>
      </c>
      <c r="U2410" s="48">
        <f>IF(Учет!$O2410=Справочники!$F$6,Учет!$H2410,0)</f>
        <v>0</v>
      </c>
      <c r="V2410" s="43">
        <f>V2409+Учет!Q2410-Q2410</f>
        <v>-488978.92000000004</v>
      </c>
      <c r="W2410" s="43">
        <f>W2409+Учет!R2410-R2410</f>
        <v>336855</v>
      </c>
      <c r="X2410" s="43">
        <f>X2409+Учет!S2410-S2410</f>
        <v>500</v>
      </c>
      <c r="Y2410" s="43">
        <f>Y2409+Учет!T2410-T2410</f>
        <v>1150</v>
      </c>
      <c r="Z2410" s="43">
        <f>Z2409+Учет!U2410-U2410</f>
        <v>500000</v>
      </c>
      <c r="AA2410" s="45">
        <f>Учет!X2410</f>
        <v>500</v>
      </c>
    </row>
    <row r="2411" spans="1:27" ht="15" customHeight="1" x14ac:dyDescent="0.25">
      <c r="A2411" s="1"/>
      <c r="B2411" s="17"/>
      <c r="C2411" s="17"/>
      <c r="D2411" s="17"/>
      <c r="E2411" s="17"/>
      <c r="F2411" s="17"/>
      <c r="G2411" s="4">
        <f t="shared" si="108"/>
        <v>0</v>
      </c>
      <c r="H2411" s="17"/>
      <c r="I2411" s="4">
        <f t="shared" si="110"/>
        <v>349526.07999999996</v>
      </c>
      <c r="J2411" s="32" t="str">
        <f t="shared" si="109"/>
        <v/>
      </c>
      <c r="K2411" s="72"/>
      <c r="L2411" s="72"/>
      <c r="M2411" s="2"/>
      <c r="N2411" s="5"/>
      <c r="O2411" s="3"/>
      <c r="P2411" s="6"/>
      <c r="Q2411" s="48">
        <f>IF(Учет!$O2411=Справочники!$F$2,Учет!$H2411,0)</f>
        <v>0</v>
      </c>
      <c r="R2411" s="48">
        <f>IF(Учет!$O2411=Справочники!$F$3,Учет!$H2411,0)</f>
        <v>0</v>
      </c>
      <c r="S2411" s="48">
        <f>IF(Учет!$O2411=Справочники!$F$4,Учет!$H2411,0)</f>
        <v>0</v>
      </c>
      <c r="T2411" s="48">
        <f>IF(Учет!$O2411=Справочники!$F$5,Учет!$H2411,0)</f>
        <v>0</v>
      </c>
      <c r="U2411" s="48">
        <f>IF(Учет!$O2411=Справочники!$F$6,Учет!$H2411,0)</f>
        <v>0</v>
      </c>
      <c r="V2411" s="43">
        <f>V2410+Учет!Q2411-Q2411</f>
        <v>-488978.92000000004</v>
      </c>
      <c r="W2411" s="43">
        <f>W2410+Учет!R2411-R2411</f>
        <v>336855</v>
      </c>
      <c r="X2411" s="43">
        <f>X2410+Учет!S2411-S2411</f>
        <v>500</v>
      </c>
      <c r="Y2411" s="43">
        <f>Y2410+Учет!T2411-T2411</f>
        <v>1150</v>
      </c>
      <c r="Z2411" s="43">
        <f>Z2410+Учет!U2411-U2411</f>
        <v>500000</v>
      </c>
      <c r="AA2411" s="45">
        <f>Учет!X2411</f>
        <v>500</v>
      </c>
    </row>
    <row r="2412" spans="1:27" ht="15" customHeight="1" x14ac:dyDescent="0.25">
      <c r="A2412" s="1"/>
      <c r="B2412" s="17"/>
      <c r="C2412" s="17"/>
      <c r="D2412" s="17"/>
      <c r="E2412" s="17"/>
      <c r="F2412" s="17"/>
      <c r="G2412" s="4">
        <f t="shared" si="108"/>
        <v>0</v>
      </c>
      <c r="H2412" s="17"/>
      <c r="I2412" s="4">
        <f t="shared" si="110"/>
        <v>349526.07999999996</v>
      </c>
      <c r="J2412" s="32" t="str">
        <f t="shared" si="109"/>
        <v/>
      </c>
      <c r="K2412" s="72"/>
      <c r="L2412" s="72"/>
      <c r="M2412" s="2"/>
      <c r="N2412" s="5"/>
      <c r="O2412" s="3"/>
      <c r="P2412" s="6"/>
      <c r="Q2412" s="48">
        <f>IF(Учет!$O2412=Справочники!$F$2,Учет!$H2412,0)</f>
        <v>0</v>
      </c>
      <c r="R2412" s="48">
        <f>IF(Учет!$O2412=Справочники!$F$3,Учет!$H2412,0)</f>
        <v>0</v>
      </c>
      <c r="S2412" s="48">
        <f>IF(Учет!$O2412=Справочники!$F$4,Учет!$H2412,0)</f>
        <v>0</v>
      </c>
      <c r="T2412" s="48">
        <f>IF(Учет!$O2412=Справочники!$F$5,Учет!$H2412,0)</f>
        <v>0</v>
      </c>
      <c r="U2412" s="48">
        <f>IF(Учет!$O2412=Справочники!$F$6,Учет!$H2412,0)</f>
        <v>0</v>
      </c>
      <c r="V2412" s="43">
        <f>V2411+Учет!Q2412-Q2412</f>
        <v>-488978.92000000004</v>
      </c>
      <c r="W2412" s="43">
        <f>W2411+Учет!R2412-R2412</f>
        <v>336855</v>
      </c>
      <c r="X2412" s="43">
        <f>X2411+Учет!S2412-S2412</f>
        <v>500</v>
      </c>
      <c r="Y2412" s="43">
        <f>Y2411+Учет!T2412-T2412</f>
        <v>1150</v>
      </c>
      <c r="Z2412" s="43">
        <f>Z2411+Учет!U2412-U2412</f>
        <v>500000</v>
      </c>
      <c r="AA2412" s="45">
        <f>Учет!X2412</f>
        <v>500</v>
      </c>
    </row>
    <row r="2413" spans="1:27" ht="15" customHeight="1" x14ac:dyDescent="0.25">
      <c r="A2413" s="1"/>
      <c r="B2413" s="17"/>
      <c r="C2413" s="17"/>
      <c r="D2413" s="17"/>
      <c r="E2413" s="17"/>
      <c r="F2413" s="17"/>
      <c r="G2413" s="4">
        <f t="shared" si="108"/>
        <v>0</v>
      </c>
      <c r="H2413" s="17"/>
      <c r="I2413" s="4">
        <f t="shared" si="110"/>
        <v>349526.07999999996</v>
      </c>
      <c r="J2413" s="32" t="str">
        <f t="shared" si="109"/>
        <v/>
      </c>
      <c r="K2413" s="72"/>
      <c r="L2413" s="72"/>
      <c r="M2413" s="2"/>
      <c r="N2413" s="5"/>
      <c r="O2413" s="3"/>
      <c r="P2413" s="6"/>
      <c r="Q2413" s="48">
        <f>IF(Учет!$O2413=Справочники!$F$2,Учет!$H2413,0)</f>
        <v>0</v>
      </c>
      <c r="R2413" s="48">
        <f>IF(Учет!$O2413=Справочники!$F$3,Учет!$H2413,0)</f>
        <v>0</v>
      </c>
      <c r="S2413" s="48">
        <f>IF(Учет!$O2413=Справочники!$F$4,Учет!$H2413,0)</f>
        <v>0</v>
      </c>
      <c r="T2413" s="48">
        <f>IF(Учет!$O2413=Справочники!$F$5,Учет!$H2413,0)</f>
        <v>0</v>
      </c>
      <c r="U2413" s="48">
        <f>IF(Учет!$O2413=Справочники!$F$6,Учет!$H2413,0)</f>
        <v>0</v>
      </c>
      <c r="V2413" s="43">
        <f>V2412+Учет!Q2413-Q2413</f>
        <v>-488978.92000000004</v>
      </c>
      <c r="W2413" s="43">
        <f>W2412+Учет!R2413-R2413</f>
        <v>336855</v>
      </c>
      <c r="X2413" s="43">
        <f>X2412+Учет!S2413-S2413</f>
        <v>500</v>
      </c>
      <c r="Y2413" s="43">
        <f>Y2412+Учет!T2413-T2413</f>
        <v>1150</v>
      </c>
      <c r="Z2413" s="43">
        <f>Z2412+Учет!U2413-U2413</f>
        <v>500000</v>
      </c>
      <c r="AA2413" s="45">
        <f>Учет!X2413</f>
        <v>500</v>
      </c>
    </row>
    <row r="2414" spans="1:27" ht="15" customHeight="1" x14ac:dyDescent="0.25">
      <c r="A2414" s="1"/>
      <c r="B2414" s="17"/>
      <c r="C2414" s="17"/>
      <c r="D2414" s="17"/>
      <c r="E2414" s="17"/>
      <c r="F2414" s="17"/>
      <c r="G2414" s="4">
        <f t="shared" si="108"/>
        <v>0</v>
      </c>
      <c r="H2414" s="17"/>
      <c r="I2414" s="4">
        <f t="shared" si="110"/>
        <v>349526.07999999996</v>
      </c>
      <c r="J2414" s="32" t="str">
        <f t="shared" si="109"/>
        <v/>
      </c>
      <c r="K2414" s="72"/>
      <c r="L2414" s="72"/>
      <c r="M2414" s="2"/>
      <c r="N2414" s="5"/>
      <c r="O2414" s="3"/>
      <c r="P2414" s="6"/>
      <c r="Q2414" s="48">
        <f>IF(Учет!$O2414=Справочники!$F$2,Учет!$H2414,0)</f>
        <v>0</v>
      </c>
      <c r="R2414" s="48">
        <f>IF(Учет!$O2414=Справочники!$F$3,Учет!$H2414,0)</f>
        <v>0</v>
      </c>
      <c r="S2414" s="48">
        <f>IF(Учет!$O2414=Справочники!$F$4,Учет!$H2414,0)</f>
        <v>0</v>
      </c>
      <c r="T2414" s="48">
        <f>IF(Учет!$O2414=Справочники!$F$5,Учет!$H2414,0)</f>
        <v>0</v>
      </c>
      <c r="U2414" s="48">
        <f>IF(Учет!$O2414=Справочники!$F$6,Учет!$H2414,0)</f>
        <v>0</v>
      </c>
      <c r="V2414" s="43">
        <f>V2413+Учет!Q2414-Q2414</f>
        <v>-488978.92000000004</v>
      </c>
      <c r="W2414" s="43">
        <f>W2413+Учет!R2414-R2414</f>
        <v>336855</v>
      </c>
      <c r="X2414" s="43">
        <f>X2413+Учет!S2414-S2414</f>
        <v>500</v>
      </c>
      <c r="Y2414" s="43">
        <f>Y2413+Учет!T2414-T2414</f>
        <v>1150</v>
      </c>
      <c r="Z2414" s="43">
        <f>Z2413+Учет!U2414-U2414</f>
        <v>500000</v>
      </c>
      <c r="AA2414" s="45">
        <f>Учет!X2414</f>
        <v>500</v>
      </c>
    </row>
    <row r="2415" spans="1:27" ht="15" customHeight="1" x14ac:dyDescent="0.25">
      <c r="A2415" s="1"/>
      <c r="B2415" s="17"/>
      <c r="C2415" s="17"/>
      <c r="D2415" s="17"/>
      <c r="E2415" s="17"/>
      <c r="F2415" s="17"/>
      <c r="G2415" s="4">
        <f t="shared" si="108"/>
        <v>0</v>
      </c>
      <c r="H2415" s="17"/>
      <c r="I2415" s="4">
        <f t="shared" si="110"/>
        <v>349526.07999999996</v>
      </c>
      <c r="J2415" s="32" t="str">
        <f t="shared" si="109"/>
        <v/>
      </c>
      <c r="K2415" s="72"/>
      <c r="L2415" s="72"/>
      <c r="M2415" s="2"/>
      <c r="N2415" s="5"/>
      <c r="O2415" s="3"/>
      <c r="P2415" s="6"/>
      <c r="Q2415" s="48">
        <f>IF(Учет!$O2415=Справочники!$F$2,Учет!$H2415,0)</f>
        <v>0</v>
      </c>
      <c r="R2415" s="48">
        <f>IF(Учет!$O2415=Справочники!$F$3,Учет!$H2415,0)</f>
        <v>0</v>
      </c>
      <c r="S2415" s="48">
        <f>IF(Учет!$O2415=Справочники!$F$4,Учет!$H2415,0)</f>
        <v>0</v>
      </c>
      <c r="T2415" s="48">
        <f>IF(Учет!$O2415=Справочники!$F$5,Учет!$H2415,0)</f>
        <v>0</v>
      </c>
      <c r="U2415" s="48">
        <f>IF(Учет!$O2415=Справочники!$F$6,Учет!$H2415,0)</f>
        <v>0</v>
      </c>
      <c r="V2415" s="43">
        <f>V2414+Учет!Q2415-Q2415</f>
        <v>-488978.92000000004</v>
      </c>
      <c r="W2415" s="43">
        <f>W2414+Учет!R2415-R2415</f>
        <v>336855</v>
      </c>
      <c r="X2415" s="43">
        <f>X2414+Учет!S2415-S2415</f>
        <v>500</v>
      </c>
      <c r="Y2415" s="43">
        <f>Y2414+Учет!T2415-T2415</f>
        <v>1150</v>
      </c>
      <c r="Z2415" s="43">
        <f>Z2414+Учет!U2415-U2415</f>
        <v>500000</v>
      </c>
      <c r="AA2415" s="45">
        <f>Учет!X2415</f>
        <v>500</v>
      </c>
    </row>
    <row r="2416" spans="1:27" ht="15" customHeight="1" x14ac:dyDescent="0.25">
      <c r="A2416" s="1"/>
      <c r="B2416" s="17"/>
      <c r="C2416" s="17"/>
      <c r="D2416" s="17"/>
      <c r="E2416" s="17"/>
      <c r="F2416" s="17"/>
      <c r="G2416" s="4">
        <f t="shared" si="108"/>
        <v>0</v>
      </c>
      <c r="H2416" s="17"/>
      <c r="I2416" s="4">
        <f t="shared" si="110"/>
        <v>349526.07999999996</v>
      </c>
      <c r="J2416" s="32" t="str">
        <f t="shared" si="109"/>
        <v/>
      </c>
      <c r="K2416" s="72"/>
      <c r="L2416" s="72"/>
      <c r="M2416" s="2"/>
      <c r="N2416" s="5"/>
      <c r="O2416" s="3"/>
      <c r="P2416" s="6"/>
      <c r="Q2416" s="48">
        <f>IF(Учет!$O2416=Справочники!$F$2,Учет!$H2416,0)</f>
        <v>0</v>
      </c>
      <c r="R2416" s="48">
        <f>IF(Учет!$O2416=Справочники!$F$3,Учет!$H2416,0)</f>
        <v>0</v>
      </c>
      <c r="S2416" s="48">
        <f>IF(Учет!$O2416=Справочники!$F$4,Учет!$H2416,0)</f>
        <v>0</v>
      </c>
      <c r="T2416" s="48">
        <f>IF(Учет!$O2416=Справочники!$F$5,Учет!$H2416,0)</f>
        <v>0</v>
      </c>
      <c r="U2416" s="48">
        <f>IF(Учет!$O2416=Справочники!$F$6,Учет!$H2416,0)</f>
        <v>0</v>
      </c>
      <c r="V2416" s="43">
        <f>V2415+Учет!Q2416-Q2416</f>
        <v>-488978.92000000004</v>
      </c>
      <c r="W2416" s="43">
        <f>W2415+Учет!R2416-R2416</f>
        <v>336855</v>
      </c>
      <c r="X2416" s="43">
        <f>X2415+Учет!S2416-S2416</f>
        <v>500</v>
      </c>
      <c r="Y2416" s="43">
        <f>Y2415+Учет!T2416-T2416</f>
        <v>1150</v>
      </c>
      <c r="Z2416" s="43">
        <f>Z2415+Учет!U2416-U2416</f>
        <v>500000</v>
      </c>
      <c r="AA2416" s="45">
        <f>Учет!X2416</f>
        <v>500</v>
      </c>
    </row>
    <row r="2417" spans="1:27" ht="15" customHeight="1" x14ac:dyDescent="0.25">
      <c r="A2417" s="1"/>
      <c r="B2417" s="17"/>
      <c r="C2417" s="17"/>
      <c r="D2417" s="17"/>
      <c r="E2417" s="17"/>
      <c r="F2417" s="17"/>
      <c r="G2417" s="4">
        <f t="shared" si="108"/>
        <v>0</v>
      </c>
      <c r="H2417" s="17"/>
      <c r="I2417" s="4">
        <f t="shared" si="110"/>
        <v>349526.07999999996</v>
      </c>
      <c r="J2417" s="32" t="str">
        <f t="shared" si="109"/>
        <v/>
      </c>
      <c r="K2417" s="72"/>
      <c r="L2417" s="72"/>
      <c r="M2417" s="2"/>
      <c r="N2417" s="5"/>
      <c r="O2417" s="3"/>
      <c r="P2417" s="6"/>
      <c r="Q2417" s="48">
        <f>IF(Учет!$O2417=Справочники!$F$2,Учет!$H2417,0)</f>
        <v>0</v>
      </c>
      <c r="R2417" s="48">
        <f>IF(Учет!$O2417=Справочники!$F$3,Учет!$H2417,0)</f>
        <v>0</v>
      </c>
      <c r="S2417" s="48">
        <f>IF(Учет!$O2417=Справочники!$F$4,Учет!$H2417,0)</f>
        <v>0</v>
      </c>
      <c r="T2417" s="48">
        <f>IF(Учет!$O2417=Справочники!$F$5,Учет!$H2417,0)</f>
        <v>0</v>
      </c>
      <c r="U2417" s="48">
        <f>IF(Учет!$O2417=Справочники!$F$6,Учет!$H2417,0)</f>
        <v>0</v>
      </c>
      <c r="V2417" s="43">
        <f>V2416+Учет!Q2417-Q2417</f>
        <v>-488978.92000000004</v>
      </c>
      <c r="W2417" s="43">
        <f>W2416+Учет!R2417-R2417</f>
        <v>336855</v>
      </c>
      <c r="X2417" s="43">
        <f>X2416+Учет!S2417-S2417</f>
        <v>500</v>
      </c>
      <c r="Y2417" s="43">
        <f>Y2416+Учет!T2417-T2417</f>
        <v>1150</v>
      </c>
      <c r="Z2417" s="43">
        <f>Z2416+Учет!U2417-U2417</f>
        <v>500000</v>
      </c>
      <c r="AA2417" s="45">
        <f>Учет!X2417</f>
        <v>500</v>
      </c>
    </row>
    <row r="2418" spans="1:27" ht="15" customHeight="1" x14ac:dyDescent="0.25">
      <c r="A2418" s="1"/>
      <c r="B2418" s="17"/>
      <c r="C2418" s="17"/>
      <c r="D2418" s="17"/>
      <c r="E2418" s="17"/>
      <c r="F2418" s="17"/>
      <c r="G2418" s="4">
        <f t="shared" si="108"/>
        <v>0</v>
      </c>
      <c r="H2418" s="17"/>
      <c r="I2418" s="4">
        <f t="shared" si="110"/>
        <v>349526.07999999996</v>
      </c>
      <c r="J2418" s="32" t="str">
        <f t="shared" si="109"/>
        <v/>
      </c>
      <c r="K2418" s="72"/>
      <c r="L2418" s="72"/>
      <c r="M2418" s="2"/>
      <c r="N2418" s="5"/>
      <c r="O2418" s="3"/>
      <c r="P2418" s="6"/>
      <c r="Q2418" s="48">
        <f>IF(Учет!$O2418=Справочники!$F$2,Учет!$H2418,0)</f>
        <v>0</v>
      </c>
      <c r="R2418" s="48">
        <f>IF(Учет!$O2418=Справочники!$F$3,Учет!$H2418,0)</f>
        <v>0</v>
      </c>
      <c r="S2418" s="48">
        <f>IF(Учет!$O2418=Справочники!$F$4,Учет!$H2418,0)</f>
        <v>0</v>
      </c>
      <c r="T2418" s="48">
        <f>IF(Учет!$O2418=Справочники!$F$5,Учет!$H2418,0)</f>
        <v>0</v>
      </c>
      <c r="U2418" s="48">
        <f>IF(Учет!$O2418=Справочники!$F$6,Учет!$H2418,0)</f>
        <v>0</v>
      </c>
      <c r="V2418" s="43">
        <f>V2417+Учет!Q2418-Q2418</f>
        <v>-488978.92000000004</v>
      </c>
      <c r="W2418" s="43">
        <f>W2417+Учет!R2418-R2418</f>
        <v>336855</v>
      </c>
      <c r="X2418" s="43">
        <f>X2417+Учет!S2418-S2418</f>
        <v>500</v>
      </c>
      <c r="Y2418" s="43">
        <f>Y2417+Учет!T2418-T2418</f>
        <v>1150</v>
      </c>
      <c r="Z2418" s="43">
        <f>Z2417+Учет!U2418-U2418</f>
        <v>500000</v>
      </c>
      <c r="AA2418" s="45">
        <f>Учет!X2418</f>
        <v>500</v>
      </c>
    </row>
    <row r="2419" spans="1:27" ht="15" customHeight="1" x14ac:dyDescent="0.25">
      <c r="A2419" s="1"/>
      <c r="B2419" s="17"/>
      <c r="C2419" s="17"/>
      <c r="D2419" s="17"/>
      <c r="E2419" s="17"/>
      <c r="F2419" s="17"/>
      <c r="G2419" s="4">
        <f t="shared" si="108"/>
        <v>0</v>
      </c>
      <c r="H2419" s="17"/>
      <c r="I2419" s="4">
        <f t="shared" si="110"/>
        <v>349526.07999999996</v>
      </c>
      <c r="J2419" s="32" t="str">
        <f t="shared" si="109"/>
        <v/>
      </c>
      <c r="K2419" s="72"/>
      <c r="L2419" s="72"/>
      <c r="M2419" s="2"/>
      <c r="N2419" s="5"/>
      <c r="O2419" s="3"/>
      <c r="P2419" s="6"/>
      <c r="Q2419" s="48">
        <f>IF(Учет!$O2419=Справочники!$F$2,Учет!$H2419,0)</f>
        <v>0</v>
      </c>
      <c r="R2419" s="48">
        <f>IF(Учет!$O2419=Справочники!$F$3,Учет!$H2419,0)</f>
        <v>0</v>
      </c>
      <c r="S2419" s="48">
        <f>IF(Учет!$O2419=Справочники!$F$4,Учет!$H2419,0)</f>
        <v>0</v>
      </c>
      <c r="T2419" s="48">
        <f>IF(Учет!$O2419=Справочники!$F$5,Учет!$H2419,0)</f>
        <v>0</v>
      </c>
      <c r="U2419" s="48">
        <f>IF(Учет!$O2419=Справочники!$F$6,Учет!$H2419,0)</f>
        <v>0</v>
      </c>
      <c r="V2419" s="43">
        <f>V2418+Учет!Q2419-Q2419</f>
        <v>-488978.92000000004</v>
      </c>
      <c r="W2419" s="43">
        <f>W2418+Учет!R2419-R2419</f>
        <v>336855</v>
      </c>
      <c r="X2419" s="43">
        <f>X2418+Учет!S2419-S2419</f>
        <v>500</v>
      </c>
      <c r="Y2419" s="43">
        <f>Y2418+Учет!T2419-T2419</f>
        <v>1150</v>
      </c>
      <c r="Z2419" s="43">
        <f>Z2418+Учет!U2419-U2419</f>
        <v>500000</v>
      </c>
      <c r="AA2419" s="45">
        <f>Учет!X2419</f>
        <v>500</v>
      </c>
    </row>
    <row r="2420" spans="1:27" ht="15" customHeight="1" x14ac:dyDescent="0.25">
      <c r="A2420" s="1"/>
      <c r="B2420" s="17"/>
      <c r="C2420" s="17"/>
      <c r="D2420" s="17"/>
      <c r="E2420" s="17"/>
      <c r="F2420" s="17"/>
      <c r="G2420" s="4">
        <f t="shared" si="108"/>
        <v>0</v>
      </c>
      <c r="H2420" s="17"/>
      <c r="I2420" s="4">
        <f t="shared" si="110"/>
        <v>349526.07999999996</v>
      </c>
      <c r="J2420" s="32" t="str">
        <f t="shared" si="109"/>
        <v/>
      </c>
      <c r="K2420" s="72"/>
      <c r="L2420" s="72"/>
      <c r="M2420" s="2"/>
      <c r="N2420" s="5"/>
      <c r="O2420" s="3"/>
      <c r="P2420" s="6"/>
      <c r="Q2420" s="48">
        <f>IF(Учет!$O2420=Справочники!$F$2,Учет!$H2420,0)</f>
        <v>0</v>
      </c>
      <c r="R2420" s="48">
        <f>IF(Учет!$O2420=Справочники!$F$3,Учет!$H2420,0)</f>
        <v>0</v>
      </c>
      <c r="S2420" s="48">
        <f>IF(Учет!$O2420=Справочники!$F$4,Учет!$H2420,0)</f>
        <v>0</v>
      </c>
      <c r="T2420" s="48">
        <f>IF(Учет!$O2420=Справочники!$F$5,Учет!$H2420,0)</f>
        <v>0</v>
      </c>
      <c r="U2420" s="48">
        <f>IF(Учет!$O2420=Справочники!$F$6,Учет!$H2420,0)</f>
        <v>0</v>
      </c>
      <c r="V2420" s="43">
        <f>V2419+Учет!Q2420-Q2420</f>
        <v>-488978.92000000004</v>
      </c>
      <c r="W2420" s="43">
        <f>W2419+Учет!R2420-R2420</f>
        <v>336855</v>
      </c>
      <c r="X2420" s="43">
        <f>X2419+Учет!S2420-S2420</f>
        <v>500</v>
      </c>
      <c r="Y2420" s="43">
        <f>Y2419+Учет!T2420-T2420</f>
        <v>1150</v>
      </c>
      <c r="Z2420" s="43">
        <f>Z2419+Учет!U2420-U2420</f>
        <v>500000</v>
      </c>
      <c r="AA2420" s="45">
        <f>Учет!X2420</f>
        <v>500</v>
      </c>
    </row>
    <row r="2421" spans="1:27" ht="15" customHeight="1" x14ac:dyDescent="0.25">
      <c r="A2421" s="1"/>
      <c r="B2421" s="17"/>
      <c r="C2421" s="17"/>
      <c r="D2421" s="17"/>
      <c r="E2421" s="17"/>
      <c r="F2421" s="17"/>
      <c r="G2421" s="4">
        <f t="shared" si="108"/>
        <v>0</v>
      </c>
      <c r="H2421" s="17"/>
      <c r="I2421" s="4">
        <f t="shared" si="110"/>
        <v>349526.07999999996</v>
      </c>
      <c r="J2421" s="32" t="str">
        <f t="shared" si="109"/>
        <v/>
      </c>
      <c r="K2421" s="72"/>
      <c r="L2421" s="72"/>
      <c r="M2421" s="2"/>
      <c r="N2421" s="5"/>
      <c r="O2421" s="3"/>
      <c r="P2421" s="6"/>
      <c r="Q2421" s="48">
        <f>IF(Учет!$O2421=Справочники!$F$2,Учет!$H2421,0)</f>
        <v>0</v>
      </c>
      <c r="R2421" s="48">
        <f>IF(Учет!$O2421=Справочники!$F$3,Учет!$H2421,0)</f>
        <v>0</v>
      </c>
      <c r="S2421" s="48">
        <f>IF(Учет!$O2421=Справочники!$F$4,Учет!$H2421,0)</f>
        <v>0</v>
      </c>
      <c r="T2421" s="48">
        <f>IF(Учет!$O2421=Справочники!$F$5,Учет!$H2421,0)</f>
        <v>0</v>
      </c>
      <c r="U2421" s="48">
        <f>IF(Учет!$O2421=Справочники!$F$6,Учет!$H2421,0)</f>
        <v>0</v>
      </c>
      <c r="V2421" s="43">
        <f>V2420+Учет!Q2421-Q2421</f>
        <v>-488978.92000000004</v>
      </c>
      <c r="W2421" s="43">
        <f>W2420+Учет!R2421-R2421</f>
        <v>336855</v>
      </c>
      <c r="X2421" s="43">
        <f>X2420+Учет!S2421-S2421</f>
        <v>500</v>
      </c>
      <c r="Y2421" s="43">
        <f>Y2420+Учет!T2421-T2421</f>
        <v>1150</v>
      </c>
      <c r="Z2421" s="43">
        <f>Z2420+Учет!U2421-U2421</f>
        <v>500000</v>
      </c>
      <c r="AA2421" s="45">
        <f>Учет!X2421</f>
        <v>500</v>
      </c>
    </row>
    <row r="2422" spans="1:27" ht="15" customHeight="1" x14ac:dyDescent="0.25">
      <c r="A2422" s="1"/>
      <c r="B2422" s="17"/>
      <c r="C2422" s="17"/>
      <c r="D2422" s="17"/>
      <c r="E2422" s="17"/>
      <c r="F2422" s="17"/>
      <c r="G2422" s="4">
        <f t="shared" si="108"/>
        <v>0</v>
      </c>
      <c r="H2422" s="17"/>
      <c r="I2422" s="4">
        <f t="shared" si="110"/>
        <v>349526.07999999996</v>
      </c>
      <c r="J2422" s="32" t="str">
        <f t="shared" si="109"/>
        <v/>
      </c>
      <c r="K2422" s="72"/>
      <c r="L2422" s="72"/>
      <c r="M2422" s="2"/>
      <c r="N2422" s="5"/>
      <c r="O2422" s="3"/>
      <c r="P2422" s="6"/>
      <c r="Q2422" s="48">
        <f>IF(Учет!$O2422=Справочники!$F$2,Учет!$H2422,0)</f>
        <v>0</v>
      </c>
      <c r="R2422" s="48">
        <f>IF(Учет!$O2422=Справочники!$F$3,Учет!$H2422,0)</f>
        <v>0</v>
      </c>
      <c r="S2422" s="48">
        <f>IF(Учет!$O2422=Справочники!$F$4,Учет!$H2422,0)</f>
        <v>0</v>
      </c>
      <c r="T2422" s="48">
        <f>IF(Учет!$O2422=Справочники!$F$5,Учет!$H2422,0)</f>
        <v>0</v>
      </c>
      <c r="U2422" s="48">
        <f>IF(Учет!$O2422=Справочники!$F$6,Учет!$H2422,0)</f>
        <v>0</v>
      </c>
      <c r="V2422" s="43">
        <f>V2421+Учет!Q2422-Q2422</f>
        <v>-488978.92000000004</v>
      </c>
      <c r="W2422" s="43">
        <f>W2421+Учет!R2422-R2422</f>
        <v>336855</v>
      </c>
      <c r="X2422" s="43">
        <f>X2421+Учет!S2422-S2422</f>
        <v>500</v>
      </c>
      <c r="Y2422" s="43">
        <f>Y2421+Учет!T2422-T2422</f>
        <v>1150</v>
      </c>
      <c r="Z2422" s="43">
        <f>Z2421+Учет!U2422-U2422</f>
        <v>500000</v>
      </c>
      <c r="AA2422" s="45">
        <f>Учет!X2422</f>
        <v>500</v>
      </c>
    </row>
    <row r="2423" spans="1:27" ht="15" customHeight="1" x14ac:dyDescent="0.25">
      <c r="A2423" s="1"/>
      <c r="B2423" s="17"/>
      <c r="C2423" s="17"/>
      <c r="D2423" s="17"/>
      <c r="E2423" s="17"/>
      <c r="F2423" s="17"/>
      <c r="G2423" s="4">
        <f t="shared" si="108"/>
        <v>0</v>
      </c>
      <c r="H2423" s="17"/>
      <c r="I2423" s="4">
        <f t="shared" si="110"/>
        <v>349526.07999999996</v>
      </c>
      <c r="J2423" s="32" t="str">
        <f t="shared" si="109"/>
        <v/>
      </c>
      <c r="K2423" s="72"/>
      <c r="L2423" s="72"/>
      <c r="M2423" s="2"/>
      <c r="N2423" s="5"/>
      <c r="O2423" s="3"/>
      <c r="P2423" s="6"/>
      <c r="Q2423" s="48">
        <f>IF(Учет!$O2423=Справочники!$F$2,Учет!$H2423,0)</f>
        <v>0</v>
      </c>
      <c r="R2423" s="48">
        <f>IF(Учет!$O2423=Справочники!$F$3,Учет!$H2423,0)</f>
        <v>0</v>
      </c>
      <c r="S2423" s="48">
        <f>IF(Учет!$O2423=Справочники!$F$4,Учет!$H2423,0)</f>
        <v>0</v>
      </c>
      <c r="T2423" s="48">
        <f>IF(Учет!$O2423=Справочники!$F$5,Учет!$H2423,0)</f>
        <v>0</v>
      </c>
      <c r="U2423" s="48">
        <f>IF(Учет!$O2423=Справочники!$F$6,Учет!$H2423,0)</f>
        <v>0</v>
      </c>
      <c r="V2423" s="43">
        <f>V2422+Учет!Q2423-Q2423</f>
        <v>-488978.92000000004</v>
      </c>
      <c r="W2423" s="43">
        <f>W2422+Учет!R2423-R2423</f>
        <v>336855</v>
      </c>
      <c r="X2423" s="43">
        <f>X2422+Учет!S2423-S2423</f>
        <v>500</v>
      </c>
      <c r="Y2423" s="43">
        <f>Y2422+Учет!T2423-T2423</f>
        <v>1150</v>
      </c>
      <c r="Z2423" s="43">
        <f>Z2422+Учет!U2423-U2423</f>
        <v>500000</v>
      </c>
      <c r="AA2423" s="45">
        <f>Учет!X2423</f>
        <v>500</v>
      </c>
    </row>
    <row r="2424" spans="1:27" ht="15" customHeight="1" x14ac:dyDescent="0.25">
      <c r="A2424" s="1"/>
      <c r="B2424" s="17"/>
      <c r="C2424" s="17"/>
      <c r="D2424" s="17"/>
      <c r="E2424" s="17"/>
      <c r="F2424" s="17"/>
      <c r="G2424" s="4">
        <f t="shared" si="108"/>
        <v>0</v>
      </c>
      <c r="H2424" s="17"/>
      <c r="I2424" s="4">
        <f t="shared" si="110"/>
        <v>349526.07999999996</v>
      </c>
      <c r="J2424" s="32" t="str">
        <f t="shared" si="109"/>
        <v/>
      </c>
      <c r="K2424" s="72"/>
      <c r="L2424" s="72"/>
      <c r="M2424" s="2"/>
      <c r="N2424" s="5"/>
      <c r="O2424" s="3"/>
      <c r="P2424" s="6"/>
      <c r="Q2424" s="48">
        <f>IF(Учет!$O2424=Справочники!$F$2,Учет!$H2424,0)</f>
        <v>0</v>
      </c>
      <c r="R2424" s="48">
        <f>IF(Учет!$O2424=Справочники!$F$3,Учет!$H2424,0)</f>
        <v>0</v>
      </c>
      <c r="S2424" s="48">
        <f>IF(Учет!$O2424=Справочники!$F$4,Учет!$H2424,0)</f>
        <v>0</v>
      </c>
      <c r="T2424" s="48">
        <f>IF(Учет!$O2424=Справочники!$F$5,Учет!$H2424,0)</f>
        <v>0</v>
      </c>
      <c r="U2424" s="48">
        <f>IF(Учет!$O2424=Справочники!$F$6,Учет!$H2424,0)</f>
        <v>0</v>
      </c>
      <c r="V2424" s="43">
        <f>V2423+Учет!Q2424-Q2424</f>
        <v>-488978.92000000004</v>
      </c>
      <c r="W2424" s="43">
        <f>W2423+Учет!R2424-R2424</f>
        <v>336855</v>
      </c>
      <c r="X2424" s="43">
        <f>X2423+Учет!S2424-S2424</f>
        <v>500</v>
      </c>
      <c r="Y2424" s="43">
        <f>Y2423+Учет!T2424-T2424</f>
        <v>1150</v>
      </c>
      <c r="Z2424" s="43">
        <f>Z2423+Учет!U2424-U2424</f>
        <v>500000</v>
      </c>
      <c r="AA2424" s="45">
        <f>Учет!X2424</f>
        <v>500</v>
      </c>
    </row>
    <row r="2425" spans="1:27" ht="15" customHeight="1" x14ac:dyDescent="0.25">
      <c r="A2425" s="1"/>
      <c r="B2425" s="17"/>
      <c r="C2425" s="17"/>
      <c r="D2425" s="17"/>
      <c r="E2425" s="17"/>
      <c r="F2425" s="17"/>
      <c r="G2425" s="4">
        <f t="shared" si="108"/>
        <v>0</v>
      </c>
      <c r="H2425" s="17"/>
      <c r="I2425" s="4">
        <f t="shared" si="110"/>
        <v>349526.07999999996</v>
      </c>
      <c r="J2425" s="32" t="str">
        <f t="shared" si="109"/>
        <v/>
      </c>
      <c r="K2425" s="72"/>
      <c r="L2425" s="72"/>
      <c r="M2425" s="2"/>
      <c r="N2425" s="5"/>
      <c r="O2425" s="3"/>
      <c r="P2425" s="6"/>
      <c r="Q2425" s="48">
        <f>IF(Учет!$O2425=Справочники!$F$2,Учет!$H2425,0)</f>
        <v>0</v>
      </c>
      <c r="R2425" s="48">
        <f>IF(Учет!$O2425=Справочники!$F$3,Учет!$H2425,0)</f>
        <v>0</v>
      </c>
      <c r="S2425" s="48">
        <f>IF(Учет!$O2425=Справочники!$F$4,Учет!$H2425,0)</f>
        <v>0</v>
      </c>
      <c r="T2425" s="48">
        <f>IF(Учет!$O2425=Справочники!$F$5,Учет!$H2425,0)</f>
        <v>0</v>
      </c>
      <c r="U2425" s="48">
        <f>IF(Учет!$O2425=Справочники!$F$6,Учет!$H2425,0)</f>
        <v>0</v>
      </c>
      <c r="V2425" s="43">
        <f>V2424+Учет!Q2425-Q2425</f>
        <v>-488978.92000000004</v>
      </c>
      <c r="W2425" s="43">
        <f>W2424+Учет!R2425-R2425</f>
        <v>336855</v>
      </c>
      <c r="X2425" s="43">
        <f>X2424+Учет!S2425-S2425</f>
        <v>500</v>
      </c>
      <c r="Y2425" s="43">
        <f>Y2424+Учет!T2425-T2425</f>
        <v>1150</v>
      </c>
      <c r="Z2425" s="43">
        <f>Z2424+Учет!U2425-U2425</f>
        <v>500000</v>
      </c>
      <c r="AA2425" s="45">
        <f>Учет!X2425</f>
        <v>500</v>
      </c>
    </row>
    <row r="2426" spans="1:27" ht="15" customHeight="1" x14ac:dyDescent="0.25">
      <c r="A2426" s="1"/>
      <c r="B2426" s="17"/>
      <c r="C2426" s="17"/>
      <c r="D2426" s="17"/>
      <c r="E2426" s="17"/>
      <c r="F2426" s="17"/>
      <c r="G2426" s="4">
        <f t="shared" si="108"/>
        <v>0</v>
      </c>
      <c r="H2426" s="17"/>
      <c r="I2426" s="4">
        <f t="shared" si="110"/>
        <v>349526.07999999996</v>
      </c>
      <c r="J2426" s="32" t="str">
        <f t="shared" si="109"/>
        <v/>
      </c>
      <c r="K2426" s="72"/>
      <c r="L2426" s="72"/>
      <c r="M2426" s="2"/>
      <c r="N2426" s="5"/>
      <c r="O2426" s="3"/>
      <c r="P2426" s="6"/>
      <c r="Q2426" s="48">
        <f>IF(Учет!$O2426=Справочники!$F$2,Учет!$H2426,0)</f>
        <v>0</v>
      </c>
      <c r="R2426" s="48">
        <f>IF(Учет!$O2426=Справочники!$F$3,Учет!$H2426,0)</f>
        <v>0</v>
      </c>
      <c r="S2426" s="48">
        <f>IF(Учет!$O2426=Справочники!$F$4,Учет!$H2426,0)</f>
        <v>0</v>
      </c>
      <c r="T2426" s="48">
        <f>IF(Учет!$O2426=Справочники!$F$5,Учет!$H2426,0)</f>
        <v>0</v>
      </c>
      <c r="U2426" s="48">
        <f>IF(Учет!$O2426=Справочники!$F$6,Учет!$H2426,0)</f>
        <v>0</v>
      </c>
      <c r="V2426" s="43">
        <f>V2425+Учет!Q2426-Q2426</f>
        <v>-488978.92000000004</v>
      </c>
      <c r="W2426" s="43">
        <f>W2425+Учет!R2426-R2426</f>
        <v>336855</v>
      </c>
      <c r="X2426" s="43">
        <f>X2425+Учет!S2426-S2426</f>
        <v>500</v>
      </c>
      <c r="Y2426" s="43">
        <f>Y2425+Учет!T2426-T2426</f>
        <v>1150</v>
      </c>
      <c r="Z2426" s="43">
        <f>Z2425+Учет!U2426-U2426</f>
        <v>500000</v>
      </c>
      <c r="AA2426" s="45">
        <f>Учет!X2426</f>
        <v>500</v>
      </c>
    </row>
    <row r="2427" spans="1:27" ht="15" customHeight="1" x14ac:dyDescent="0.25">
      <c r="A2427" s="1"/>
      <c r="B2427" s="17"/>
      <c r="C2427" s="17"/>
      <c r="D2427" s="17"/>
      <c r="E2427" s="17"/>
      <c r="F2427" s="17"/>
      <c r="G2427" s="4">
        <f t="shared" si="108"/>
        <v>0</v>
      </c>
      <c r="H2427" s="17"/>
      <c r="I2427" s="4">
        <f t="shared" si="110"/>
        <v>349526.07999999996</v>
      </c>
      <c r="J2427" s="32" t="str">
        <f t="shared" si="109"/>
        <v/>
      </c>
      <c r="K2427" s="72"/>
      <c r="L2427" s="72"/>
      <c r="M2427" s="2"/>
      <c r="N2427" s="5"/>
      <c r="O2427" s="3"/>
      <c r="P2427" s="6"/>
      <c r="Q2427" s="48">
        <f>IF(Учет!$O2427=Справочники!$F$2,Учет!$H2427,0)</f>
        <v>0</v>
      </c>
      <c r="R2427" s="48">
        <f>IF(Учет!$O2427=Справочники!$F$3,Учет!$H2427,0)</f>
        <v>0</v>
      </c>
      <c r="S2427" s="48">
        <f>IF(Учет!$O2427=Справочники!$F$4,Учет!$H2427,0)</f>
        <v>0</v>
      </c>
      <c r="T2427" s="48">
        <f>IF(Учет!$O2427=Справочники!$F$5,Учет!$H2427,0)</f>
        <v>0</v>
      </c>
      <c r="U2427" s="48">
        <f>IF(Учет!$O2427=Справочники!$F$6,Учет!$H2427,0)</f>
        <v>0</v>
      </c>
      <c r="V2427" s="43">
        <f>V2426+Учет!Q2427-Q2427</f>
        <v>-488978.92000000004</v>
      </c>
      <c r="W2427" s="43">
        <f>W2426+Учет!R2427-R2427</f>
        <v>336855</v>
      </c>
      <c r="X2427" s="43">
        <f>X2426+Учет!S2427-S2427</f>
        <v>500</v>
      </c>
      <c r="Y2427" s="43">
        <f>Y2426+Учет!T2427-T2427</f>
        <v>1150</v>
      </c>
      <c r="Z2427" s="43">
        <f>Z2426+Учет!U2427-U2427</f>
        <v>500000</v>
      </c>
      <c r="AA2427" s="45">
        <f>Учет!X2427</f>
        <v>500</v>
      </c>
    </row>
    <row r="2428" spans="1:27" ht="15" customHeight="1" x14ac:dyDescent="0.25">
      <c r="A2428" s="1"/>
      <c r="B2428" s="17"/>
      <c r="C2428" s="17"/>
      <c r="D2428" s="17"/>
      <c r="E2428" s="17"/>
      <c r="F2428" s="17"/>
      <c r="G2428" s="4">
        <f t="shared" si="108"/>
        <v>0</v>
      </c>
      <c r="H2428" s="17"/>
      <c r="I2428" s="4">
        <f t="shared" si="110"/>
        <v>349526.07999999996</v>
      </c>
      <c r="J2428" s="32" t="str">
        <f t="shared" si="109"/>
        <v/>
      </c>
      <c r="K2428" s="72"/>
      <c r="L2428" s="72"/>
      <c r="M2428" s="2"/>
      <c r="N2428" s="5"/>
      <c r="O2428" s="3"/>
      <c r="P2428" s="6"/>
      <c r="Q2428" s="48">
        <f>IF(Учет!$O2428=Справочники!$F$2,Учет!$H2428,0)</f>
        <v>0</v>
      </c>
      <c r="R2428" s="48">
        <f>IF(Учет!$O2428=Справочники!$F$3,Учет!$H2428,0)</f>
        <v>0</v>
      </c>
      <c r="S2428" s="48">
        <f>IF(Учет!$O2428=Справочники!$F$4,Учет!$H2428,0)</f>
        <v>0</v>
      </c>
      <c r="T2428" s="48">
        <f>IF(Учет!$O2428=Справочники!$F$5,Учет!$H2428,0)</f>
        <v>0</v>
      </c>
      <c r="U2428" s="48">
        <f>IF(Учет!$O2428=Справочники!$F$6,Учет!$H2428,0)</f>
        <v>0</v>
      </c>
      <c r="V2428" s="43">
        <f>V2427+Учет!Q2428-Q2428</f>
        <v>-488978.92000000004</v>
      </c>
      <c r="W2428" s="43">
        <f>W2427+Учет!R2428-R2428</f>
        <v>336855</v>
      </c>
      <c r="X2428" s="43">
        <f>X2427+Учет!S2428-S2428</f>
        <v>500</v>
      </c>
      <c r="Y2428" s="43">
        <f>Y2427+Учет!T2428-T2428</f>
        <v>1150</v>
      </c>
      <c r="Z2428" s="43">
        <f>Z2427+Учет!U2428-U2428</f>
        <v>500000</v>
      </c>
      <c r="AA2428" s="45">
        <f>Учет!X2428</f>
        <v>500</v>
      </c>
    </row>
    <row r="2429" spans="1:27" ht="15" customHeight="1" x14ac:dyDescent="0.25">
      <c r="A2429" s="1"/>
      <c r="B2429" s="17"/>
      <c r="C2429" s="17"/>
      <c r="D2429" s="17"/>
      <c r="E2429" s="17"/>
      <c r="F2429" s="17"/>
      <c r="G2429" s="4">
        <f t="shared" si="108"/>
        <v>0</v>
      </c>
      <c r="H2429" s="17"/>
      <c r="I2429" s="4">
        <f t="shared" si="110"/>
        <v>349526.07999999996</v>
      </c>
      <c r="J2429" s="32" t="str">
        <f t="shared" si="109"/>
        <v/>
      </c>
      <c r="K2429" s="72"/>
      <c r="L2429" s="72"/>
      <c r="M2429" s="2"/>
      <c r="N2429" s="5"/>
      <c r="O2429" s="3"/>
      <c r="P2429" s="6"/>
      <c r="Q2429" s="48">
        <f>IF(Учет!$O2429=Справочники!$F$2,Учет!$H2429,0)</f>
        <v>0</v>
      </c>
      <c r="R2429" s="48">
        <f>IF(Учет!$O2429=Справочники!$F$3,Учет!$H2429,0)</f>
        <v>0</v>
      </c>
      <c r="S2429" s="48">
        <f>IF(Учет!$O2429=Справочники!$F$4,Учет!$H2429,0)</f>
        <v>0</v>
      </c>
      <c r="T2429" s="48">
        <f>IF(Учет!$O2429=Справочники!$F$5,Учет!$H2429,0)</f>
        <v>0</v>
      </c>
      <c r="U2429" s="48">
        <f>IF(Учет!$O2429=Справочники!$F$6,Учет!$H2429,0)</f>
        <v>0</v>
      </c>
      <c r="V2429" s="43">
        <f>V2428+Учет!Q2429-Q2429</f>
        <v>-488978.92000000004</v>
      </c>
      <c r="W2429" s="43">
        <f>W2428+Учет!R2429-R2429</f>
        <v>336855</v>
      </c>
      <c r="X2429" s="43">
        <f>X2428+Учет!S2429-S2429</f>
        <v>500</v>
      </c>
      <c r="Y2429" s="43">
        <f>Y2428+Учет!T2429-T2429</f>
        <v>1150</v>
      </c>
      <c r="Z2429" s="43">
        <f>Z2428+Учет!U2429-U2429</f>
        <v>500000</v>
      </c>
      <c r="AA2429" s="45">
        <f>Учет!X2429</f>
        <v>500</v>
      </c>
    </row>
    <row r="2430" spans="1:27" ht="15" customHeight="1" x14ac:dyDescent="0.25">
      <c r="A2430" s="1"/>
      <c r="B2430" s="17"/>
      <c r="C2430" s="17"/>
      <c r="D2430" s="17"/>
      <c r="E2430" s="17"/>
      <c r="F2430" s="17"/>
      <c r="G2430" s="4">
        <f t="shared" si="108"/>
        <v>0</v>
      </c>
      <c r="H2430" s="17"/>
      <c r="I2430" s="4">
        <f t="shared" si="110"/>
        <v>349526.07999999996</v>
      </c>
      <c r="J2430" s="32" t="str">
        <f t="shared" si="109"/>
        <v/>
      </c>
      <c r="K2430" s="72"/>
      <c r="L2430" s="72"/>
      <c r="M2430" s="2"/>
      <c r="N2430" s="5"/>
      <c r="O2430" s="3"/>
      <c r="P2430" s="6"/>
      <c r="Q2430" s="48">
        <f>IF(Учет!$O2430=Справочники!$F$2,Учет!$H2430,0)</f>
        <v>0</v>
      </c>
      <c r="R2430" s="48">
        <f>IF(Учет!$O2430=Справочники!$F$3,Учет!$H2430,0)</f>
        <v>0</v>
      </c>
      <c r="S2430" s="48">
        <f>IF(Учет!$O2430=Справочники!$F$4,Учет!$H2430,0)</f>
        <v>0</v>
      </c>
      <c r="T2430" s="48">
        <f>IF(Учет!$O2430=Справочники!$F$5,Учет!$H2430,0)</f>
        <v>0</v>
      </c>
      <c r="U2430" s="48">
        <f>IF(Учет!$O2430=Справочники!$F$6,Учет!$H2430,0)</f>
        <v>0</v>
      </c>
      <c r="V2430" s="43">
        <f>V2429+Учет!Q2430-Q2430</f>
        <v>-488978.92000000004</v>
      </c>
      <c r="W2430" s="43">
        <f>W2429+Учет!R2430-R2430</f>
        <v>336855</v>
      </c>
      <c r="X2430" s="43">
        <f>X2429+Учет!S2430-S2430</f>
        <v>500</v>
      </c>
      <c r="Y2430" s="43">
        <f>Y2429+Учет!T2430-T2430</f>
        <v>1150</v>
      </c>
      <c r="Z2430" s="43">
        <f>Z2429+Учет!U2430-U2430</f>
        <v>500000</v>
      </c>
      <c r="AA2430" s="45">
        <f>Учет!X2430</f>
        <v>500</v>
      </c>
    </row>
    <row r="2431" spans="1:27" ht="15" customHeight="1" x14ac:dyDescent="0.25">
      <c r="A2431" s="1"/>
      <c r="B2431" s="17"/>
      <c r="C2431" s="17"/>
      <c r="D2431" s="17"/>
      <c r="E2431" s="17"/>
      <c r="F2431" s="17"/>
      <c r="G2431" s="4">
        <f t="shared" si="108"/>
        <v>0</v>
      </c>
      <c r="H2431" s="17"/>
      <c r="I2431" s="4">
        <f t="shared" si="110"/>
        <v>349526.07999999996</v>
      </c>
      <c r="J2431" s="32" t="str">
        <f t="shared" si="109"/>
        <v/>
      </c>
      <c r="K2431" s="72"/>
      <c r="L2431" s="72"/>
      <c r="M2431" s="2"/>
      <c r="N2431" s="5"/>
      <c r="O2431" s="3"/>
      <c r="P2431" s="6"/>
      <c r="Q2431" s="48">
        <f>IF(Учет!$O2431=Справочники!$F$2,Учет!$H2431,0)</f>
        <v>0</v>
      </c>
      <c r="R2431" s="48">
        <f>IF(Учет!$O2431=Справочники!$F$3,Учет!$H2431,0)</f>
        <v>0</v>
      </c>
      <c r="S2431" s="48">
        <f>IF(Учет!$O2431=Справочники!$F$4,Учет!$H2431,0)</f>
        <v>0</v>
      </c>
      <c r="T2431" s="48">
        <f>IF(Учет!$O2431=Справочники!$F$5,Учет!$H2431,0)</f>
        <v>0</v>
      </c>
      <c r="U2431" s="48">
        <f>IF(Учет!$O2431=Справочники!$F$6,Учет!$H2431,0)</f>
        <v>0</v>
      </c>
      <c r="V2431" s="43">
        <f>V2430+Учет!Q2431-Q2431</f>
        <v>-488978.92000000004</v>
      </c>
      <c r="W2431" s="43">
        <f>W2430+Учет!R2431-R2431</f>
        <v>336855</v>
      </c>
      <c r="X2431" s="43">
        <f>X2430+Учет!S2431-S2431</f>
        <v>500</v>
      </c>
      <c r="Y2431" s="43">
        <f>Y2430+Учет!T2431-T2431</f>
        <v>1150</v>
      </c>
      <c r="Z2431" s="43">
        <f>Z2430+Учет!U2431-U2431</f>
        <v>500000</v>
      </c>
      <c r="AA2431" s="45">
        <f>Учет!X2431</f>
        <v>500</v>
      </c>
    </row>
    <row r="2432" spans="1:27" ht="15" customHeight="1" x14ac:dyDescent="0.25">
      <c r="A2432" s="1"/>
      <c r="B2432" s="17"/>
      <c r="C2432" s="17"/>
      <c r="D2432" s="17"/>
      <c r="E2432" s="17"/>
      <c r="F2432" s="17"/>
      <c r="G2432" s="4">
        <f t="shared" si="108"/>
        <v>0</v>
      </c>
      <c r="H2432" s="17"/>
      <c r="I2432" s="4">
        <f t="shared" si="110"/>
        <v>349526.07999999996</v>
      </c>
      <c r="J2432" s="32" t="str">
        <f t="shared" si="109"/>
        <v/>
      </c>
      <c r="K2432" s="72"/>
      <c r="L2432" s="72"/>
      <c r="M2432" s="2"/>
      <c r="N2432" s="5"/>
      <c r="O2432" s="3"/>
      <c r="P2432" s="6"/>
      <c r="Q2432" s="48">
        <f>IF(Учет!$O2432=Справочники!$F$2,Учет!$H2432,0)</f>
        <v>0</v>
      </c>
      <c r="R2432" s="48">
        <f>IF(Учет!$O2432=Справочники!$F$3,Учет!$H2432,0)</f>
        <v>0</v>
      </c>
      <c r="S2432" s="48">
        <f>IF(Учет!$O2432=Справочники!$F$4,Учет!$H2432,0)</f>
        <v>0</v>
      </c>
      <c r="T2432" s="48">
        <f>IF(Учет!$O2432=Справочники!$F$5,Учет!$H2432,0)</f>
        <v>0</v>
      </c>
      <c r="U2432" s="48">
        <f>IF(Учет!$O2432=Справочники!$F$6,Учет!$H2432,0)</f>
        <v>0</v>
      </c>
      <c r="V2432" s="43">
        <f>V2431+Учет!Q2432-Q2432</f>
        <v>-488978.92000000004</v>
      </c>
      <c r="W2432" s="43">
        <f>W2431+Учет!R2432-R2432</f>
        <v>336855</v>
      </c>
      <c r="X2432" s="43">
        <f>X2431+Учет!S2432-S2432</f>
        <v>500</v>
      </c>
      <c r="Y2432" s="43">
        <f>Y2431+Учет!T2432-T2432</f>
        <v>1150</v>
      </c>
      <c r="Z2432" s="43">
        <f>Z2431+Учет!U2432-U2432</f>
        <v>500000</v>
      </c>
      <c r="AA2432" s="45">
        <f>Учет!X2432</f>
        <v>500</v>
      </c>
    </row>
    <row r="2433" spans="1:27" ht="15" customHeight="1" x14ac:dyDescent="0.25">
      <c r="A2433" s="1"/>
      <c r="B2433" s="17"/>
      <c r="C2433" s="17"/>
      <c r="D2433" s="17"/>
      <c r="E2433" s="17"/>
      <c r="F2433" s="17"/>
      <c r="G2433" s="4">
        <f t="shared" si="108"/>
        <v>0</v>
      </c>
      <c r="H2433" s="17"/>
      <c r="I2433" s="4">
        <f t="shared" si="110"/>
        <v>349526.07999999996</v>
      </c>
      <c r="J2433" s="32" t="str">
        <f t="shared" si="109"/>
        <v/>
      </c>
      <c r="K2433" s="72"/>
      <c r="L2433" s="72"/>
      <c r="M2433" s="2"/>
      <c r="N2433" s="5"/>
      <c r="O2433" s="3"/>
      <c r="P2433" s="6"/>
      <c r="Q2433" s="48">
        <f>IF(Учет!$O2433=Справочники!$F$2,Учет!$H2433,0)</f>
        <v>0</v>
      </c>
      <c r="R2433" s="48">
        <f>IF(Учет!$O2433=Справочники!$F$3,Учет!$H2433,0)</f>
        <v>0</v>
      </c>
      <c r="S2433" s="48">
        <f>IF(Учет!$O2433=Справочники!$F$4,Учет!$H2433,0)</f>
        <v>0</v>
      </c>
      <c r="T2433" s="48">
        <f>IF(Учет!$O2433=Справочники!$F$5,Учет!$H2433,0)</f>
        <v>0</v>
      </c>
      <c r="U2433" s="48">
        <f>IF(Учет!$O2433=Справочники!$F$6,Учет!$H2433,0)</f>
        <v>0</v>
      </c>
      <c r="V2433" s="43">
        <f>V2432+Учет!Q2433-Q2433</f>
        <v>-488978.92000000004</v>
      </c>
      <c r="W2433" s="43">
        <f>W2432+Учет!R2433-R2433</f>
        <v>336855</v>
      </c>
      <c r="X2433" s="43">
        <f>X2432+Учет!S2433-S2433</f>
        <v>500</v>
      </c>
      <c r="Y2433" s="43">
        <f>Y2432+Учет!T2433-T2433</f>
        <v>1150</v>
      </c>
      <c r="Z2433" s="43">
        <f>Z2432+Учет!U2433-U2433</f>
        <v>500000</v>
      </c>
      <c r="AA2433" s="45">
        <f>Учет!X2433</f>
        <v>500</v>
      </c>
    </row>
    <row r="2434" spans="1:27" ht="15" customHeight="1" x14ac:dyDescent="0.25">
      <c r="A2434" s="1"/>
      <c r="B2434" s="17"/>
      <c r="C2434" s="17"/>
      <c r="D2434" s="17"/>
      <c r="E2434" s="17"/>
      <c r="F2434" s="17"/>
      <c r="G2434" s="4">
        <f t="shared" ref="G2434:G2497" si="111">SUM($B2434:$F2434)</f>
        <v>0</v>
      </c>
      <c r="H2434" s="17"/>
      <c r="I2434" s="4">
        <f t="shared" si="110"/>
        <v>349526.07999999996</v>
      </c>
      <c r="J2434" s="32" t="str">
        <f t="shared" ref="J2434:J2497" si="112">IF($A2435&lt;&gt;$A2434,$I2434,"")</f>
        <v/>
      </c>
      <c r="K2434" s="72"/>
      <c r="L2434" s="72"/>
      <c r="M2434" s="2"/>
      <c r="N2434" s="5"/>
      <c r="O2434" s="3"/>
      <c r="P2434" s="6"/>
      <c r="Q2434" s="48">
        <f>IF(Учет!$O2434=Справочники!$F$2,Учет!$H2434,0)</f>
        <v>0</v>
      </c>
      <c r="R2434" s="48">
        <f>IF(Учет!$O2434=Справочники!$F$3,Учет!$H2434,0)</f>
        <v>0</v>
      </c>
      <c r="S2434" s="48">
        <f>IF(Учет!$O2434=Справочники!$F$4,Учет!$H2434,0)</f>
        <v>0</v>
      </c>
      <c r="T2434" s="48">
        <f>IF(Учет!$O2434=Справочники!$F$5,Учет!$H2434,0)</f>
        <v>0</v>
      </c>
      <c r="U2434" s="48">
        <f>IF(Учет!$O2434=Справочники!$F$6,Учет!$H2434,0)</f>
        <v>0</v>
      </c>
      <c r="V2434" s="43">
        <f>V2433+Учет!Q2434-Q2434</f>
        <v>-488978.92000000004</v>
      </c>
      <c r="W2434" s="43">
        <f>W2433+Учет!R2434-R2434</f>
        <v>336855</v>
      </c>
      <c r="X2434" s="43">
        <f>X2433+Учет!S2434-S2434</f>
        <v>500</v>
      </c>
      <c r="Y2434" s="43">
        <f>Y2433+Учет!T2434-T2434</f>
        <v>1150</v>
      </c>
      <c r="Z2434" s="43">
        <f>Z2433+Учет!U2434-U2434</f>
        <v>500000</v>
      </c>
      <c r="AA2434" s="45">
        <f>Учет!X2434</f>
        <v>500</v>
      </c>
    </row>
    <row r="2435" spans="1:27" ht="15" customHeight="1" x14ac:dyDescent="0.25">
      <c r="A2435" s="1"/>
      <c r="B2435" s="17"/>
      <c r="C2435" s="17"/>
      <c r="D2435" s="17"/>
      <c r="E2435" s="17"/>
      <c r="F2435" s="17"/>
      <c r="G2435" s="4">
        <f t="shared" si="111"/>
        <v>0</v>
      </c>
      <c r="H2435" s="17"/>
      <c r="I2435" s="4">
        <f t="shared" ref="I2435:I2498" si="113">$I2434+$G2435-$H2435</f>
        <v>349526.07999999996</v>
      </c>
      <c r="J2435" s="32" t="str">
        <f t="shared" si="112"/>
        <v/>
      </c>
      <c r="K2435" s="72"/>
      <c r="L2435" s="72"/>
      <c r="M2435" s="2"/>
      <c r="N2435" s="5"/>
      <c r="O2435" s="3"/>
      <c r="P2435" s="6"/>
      <c r="Q2435" s="48">
        <f>IF(Учет!$O2435=Справочники!$F$2,Учет!$H2435,0)</f>
        <v>0</v>
      </c>
      <c r="R2435" s="48">
        <f>IF(Учет!$O2435=Справочники!$F$3,Учет!$H2435,0)</f>
        <v>0</v>
      </c>
      <c r="S2435" s="48">
        <f>IF(Учет!$O2435=Справочники!$F$4,Учет!$H2435,0)</f>
        <v>0</v>
      </c>
      <c r="T2435" s="48">
        <f>IF(Учет!$O2435=Справочники!$F$5,Учет!$H2435,0)</f>
        <v>0</v>
      </c>
      <c r="U2435" s="48">
        <f>IF(Учет!$O2435=Справочники!$F$6,Учет!$H2435,0)</f>
        <v>0</v>
      </c>
      <c r="V2435" s="43">
        <f>V2434+Учет!Q2435-Q2435</f>
        <v>-488978.92000000004</v>
      </c>
      <c r="W2435" s="43">
        <f>W2434+Учет!R2435-R2435</f>
        <v>336855</v>
      </c>
      <c r="X2435" s="43">
        <f>X2434+Учет!S2435-S2435</f>
        <v>500</v>
      </c>
      <c r="Y2435" s="43">
        <f>Y2434+Учет!T2435-T2435</f>
        <v>1150</v>
      </c>
      <c r="Z2435" s="43">
        <f>Z2434+Учет!U2435-U2435</f>
        <v>500000</v>
      </c>
      <c r="AA2435" s="45">
        <f>Учет!X2435</f>
        <v>500</v>
      </c>
    </row>
    <row r="2436" spans="1:27" ht="15" customHeight="1" x14ac:dyDescent="0.25">
      <c r="A2436" s="1"/>
      <c r="B2436" s="17"/>
      <c r="C2436" s="17"/>
      <c r="D2436" s="17"/>
      <c r="E2436" s="17"/>
      <c r="F2436" s="17"/>
      <c r="G2436" s="4">
        <f t="shared" si="111"/>
        <v>0</v>
      </c>
      <c r="H2436" s="17"/>
      <c r="I2436" s="4">
        <f t="shared" si="113"/>
        <v>349526.07999999996</v>
      </c>
      <c r="J2436" s="32" t="str">
        <f t="shared" si="112"/>
        <v/>
      </c>
      <c r="K2436" s="72"/>
      <c r="L2436" s="72"/>
      <c r="M2436" s="2"/>
      <c r="N2436" s="5"/>
      <c r="O2436" s="3"/>
      <c r="P2436" s="6"/>
      <c r="Q2436" s="48">
        <f>IF(Учет!$O2436=Справочники!$F$2,Учет!$H2436,0)</f>
        <v>0</v>
      </c>
      <c r="R2436" s="48">
        <f>IF(Учет!$O2436=Справочники!$F$3,Учет!$H2436,0)</f>
        <v>0</v>
      </c>
      <c r="S2436" s="48">
        <f>IF(Учет!$O2436=Справочники!$F$4,Учет!$H2436,0)</f>
        <v>0</v>
      </c>
      <c r="T2436" s="48">
        <f>IF(Учет!$O2436=Справочники!$F$5,Учет!$H2436,0)</f>
        <v>0</v>
      </c>
      <c r="U2436" s="48">
        <f>IF(Учет!$O2436=Справочники!$F$6,Учет!$H2436,0)</f>
        <v>0</v>
      </c>
      <c r="V2436" s="43">
        <f>V2435+Учет!Q2436-Q2436</f>
        <v>-488978.92000000004</v>
      </c>
      <c r="W2436" s="43">
        <f>W2435+Учет!R2436-R2436</f>
        <v>336855</v>
      </c>
      <c r="X2436" s="43">
        <f>X2435+Учет!S2436-S2436</f>
        <v>500</v>
      </c>
      <c r="Y2436" s="43">
        <f>Y2435+Учет!T2436-T2436</f>
        <v>1150</v>
      </c>
      <c r="Z2436" s="43">
        <f>Z2435+Учет!U2436-U2436</f>
        <v>500000</v>
      </c>
      <c r="AA2436" s="45">
        <f>Учет!X2436</f>
        <v>500</v>
      </c>
    </row>
    <row r="2437" spans="1:27" ht="15" customHeight="1" x14ac:dyDescent="0.25">
      <c r="A2437" s="1"/>
      <c r="B2437" s="17"/>
      <c r="C2437" s="17"/>
      <c r="D2437" s="17"/>
      <c r="E2437" s="17"/>
      <c r="F2437" s="17"/>
      <c r="G2437" s="4">
        <f t="shared" si="111"/>
        <v>0</v>
      </c>
      <c r="H2437" s="17"/>
      <c r="I2437" s="4">
        <f t="shared" si="113"/>
        <v>349526.07999999996</v>
      </c>
      <c r="J2437" s="32" t="str">
        <f t="shared" si="112"/>
        <v/>
      </c>
      <c r="K2437" s="72"/>
      <c r="L2437" s="72"/>
      <c r="M2437" s="2"/>
      <c r="N2437" s="5"/>
      <c r="O2437" s="3"/>
      <c r="P2437" s="6"/>
      <c r="Q2437" s="48">
        <f>IF(Учет!$O2437=Справочники!$F$2,Учет!$H2437,0)</f>
        <v>0</v>
      </c>
      <c r="R2437" s="48">
        <f>IF(Учет!$O2437=Справочники!$F$3,Учет!$H2437,0)</f>
        <v>0</v>
      </c>
      <c r="S2437" s="48">
        <f>IF(Учет!$O2437=Справочники!$F$4,Учет!$H2437,0)</f>
        <v>0</v>
      </c>
      <c r="T2437" s="48">
        <f>IF(Учет!$O2437=Справочники!$F$5,Учет!$H2437,0)</f>
        <v>0</v>
      </c>
      <c r="U2437" s="48">
        <f>IF(Учет!$O2437=Справочники!$F$6,Учет!$H2437,0)</f>
        <v>0</v>
      </c>
      <c r="V2437" s="43">
        <f>V2436+Учет!Q2437-Q2437</f>
        <v>-488978.92000000004</v>
      </c>
      <c r="W2437" s="43">
        <f>W2436+Учет!R2437-R2437</f>
        <v>336855</v>
      </c>
      <c r="X2437" s="43">
        <f>X2436+Учет!S2437-S2437</f>
        <v>500</v>
      </c>
      <c r="Y2437" s="43">
        <f>Y2436+Учет!T2437-T2437</f>
        <v>1150</v>
      </c>
      <c r="Z2437" s="43">
        <f>Z2436+Учет!U2437-U2437</f>
        <v>500000</v>
      </c>
      <c r="AA2437" s="45">
        <f>Учет!X2437</f>
        <v>500</v>
      </c>
    </row>
    <row r="2438" spans="1:27" ht="15" customHeight="1" x14ac:dyDescent="0.25">
      <c r="A2438" s="1"/>
      <c r="B2438" s="17"/>
      <c r="C2438" s="17"/>
      <c r="D2438" s="17"/>
      <c r="E2438" s="17"/>
      <c r="F2438" s="17"/>
      <c r="G2438" s="4">
        <f t="shared" si="111"/>
        <v>0</v>
      </c>
      <c r="H2438" s="17"/>
      <c r="I2438" s="4">
        <f t="shared" si="113"/>
        <v>349526.07999999996</v>
      </c>
      <c r="J2438" s="32" t="str">
        <f t="shared" si="112"/>
        <v/>
      </c>
      <c r="K2438" s="72"/>
      <c r="L2438" s="72"/>
      <c r="M2438" s="2"/>
      <c r="N2438" s="5"/>
      <c r="O2438" s="3"/>
      <c r="P2438" s="6"/>
      <c r="Q2438" s="48">
        <f>IF(Учет!$O2438=Справочники!$F$2,Учет!$H2438,0)</f>
        <v>0</v>
      </c>
      <c r="R2438" s="48">
        <f>IF(Учет!$O2438=Справочники!$F$3,Учет!$H2438,0)</f>
        <v>0</v>
      </c>
      <c r="S2438" s="48">
        <f>IF(Учет!$O2438=Справочники!$F$4,Учет!$H2438,0)</f>
        <v>0</v>
      </c>
      <c r="T2438" s="48">
        <f>IF(Учет!$O2438=Справочники!$F$5,Учет!$H2438,0)</f>
        <v>0</v>
      </c>
      <c r="U2438" s="48">
        <f>IF(Учет!$O2438=Справочники!$F$6,Учет!$H2438,0)</f>
        <v>0</v>
      </c>
      <c r="V2438" s="43">
        <f>V2437+Учет!Q2438-Q2438</f>
        <v>-488978.92000000004</v>
      </c>
      <c r="W2438" s="43">
        <f>W2437+Учет!R2438-R2438</f>
        <v>336855</v>
      </c>
      <c r="X2438" s="43">
        <f>X2437+Учет!S2438-S2438</f>
        <v>500</v>
      </c>
      <c r="Y2438" s="43">
        <f>Y2437+Учет!T2438-T2438</f>
        <v>1150</v>
      </c>
      <c r="Z2438" s="43">
        <f>Z2437+Учет!U2438-U2438</f>
        <v>500000</v>
      </c>
      <c r="AA2438" s="45">
        <f>Учет!X2438</f>
        <v>500</v>
      </c>
    </row>
    <row r="2439" spans="1:27" ht="15" customHeight="1" x14ac:dyDescent="0.25">
      <c r="A2439" s="1"/>
      <c r="B2439" s="17"/>
      <c r="C2439" s="17"/>
      <c r="D2439" s="17"/>
      <c r="E2439" s="17"/>
      <c r="F2439" s="17"/>
      <c r="G2439" s="4">
        <f t="shared" si="111"/>
        <v>0</v>
      </c>
      <c r="H2439" s="17"/>
      <c r="I2439" s="4">
        <f t="shared" si="113"/>
        <v>349526.07999999996</v>
      </c>
      <c r="J2439" s="32" t="str">
        <f t="shared" si="112"/>
        <v/>
      </c>
      <c r="K2439" s="72"/>
      <c r="L2439" s="72"/>
      <c r="M2439" s="2"/>
      <c r="N2439" s="5"/>
      <c r="O2439" s="3"/>
      <c r="P2439" s="6"/>
      <c r="Q2439" s="48">
        <f>IF(Учет!$O2439=Справочники!$F$2,Учет!$H2439,0)</f>
        <v>0</v>
      </c>
      <c r="R2439" s="48">
        <f>IF(Учет!$O2439=Справочники!$F$3,Учет!$H2439,0)</f>
        <v>0</v>
      </c>
      <c r="S2439" s="48">
        <f>IF(Учет!$O2439=Справочники!$F$4,Учет!$H2439,0)</f>
        <v>0</v>
      </c>
      <c r="T2439" s="48">
        <f>IF(Учет!$O2439=Справочники!$F$5,Учет!$H2439,0)</f>
        <v>0</v>
      </c>
      <c r="U2439" s="48">
        <f>IF(Учет!$O2439=Справочники!$F$6,Учет!$H2439,0)</f>
        <v>0</v>
      </c>
      <c r="V2439" s="43">
        <f>V2438+Учет!Q2439-Q2439</f>
        <v>-488978.92000000004</v>
      </c>
      <c r="W2439" s="43">
        <f>W2438+Учет!R2439-R2439</f>
        <v>336855</v>
      </c>
      <c r="X2439" s="43">
        <f>X2438+Учет!S2439-S2439</f>
        <v>500</v>
      </c>
      <c r="Y2439" s="43">
        <f>Y2438+Учет!T2439-T2439</f>
        <v>1150</v>
      </c>
      <c r="Z2439" s="43">
        <f>Z2438+Учет!U2439-U2439</f>
        <v>500000</v>
      </c>
      <c r="AA2439" s="45">
        <f>Учет!X2439</f>
        <v>500</v>
      </c>
    </row>
    <row r="2440" spans="1:27" ht="15" customHeight="1" x14ac:dyDescent="0.25">
      <c r="A2440" s="1"/>
      <c r="B2440" s="17"/>
      <c r="C2440" s="17"/>
      <c r="D2440" s="17"/>
      <c r="E2440" s="17"/>
      <c r="F2440" s="17"/>
      <c r="G2440" s="4">
        <f t="shared" si="111"/>
        <v>0</v>
      </c>
      <c r="H2440" s="17"/>
      <c r="I2440" s="4">
        <f t="shared" si="113"/>
        <v>349526.07999999996</v>
      </c>
      <c r="J2440" s="32" t="str">
        <f t="shared" si="112"/>
        <v/>
      </c>
      <c r="K2440" s="72"/>
      <c r="L2440" s="72"/>
      <c r="M2440" s="2"/>
      <c r="N2440" s="5"/>
      <c r="O2440" s="3"/>
      <c r="P2440" s="6"/>
      <c r="Q2440" s="48">
        <f>IF(Учет!$O2440=Справочники!$F$2,Учет!$H2440,0)</f>
        <v>0</v>
      </c>
      <c r="R2440" s="48">
        <f>IF(Учет!$O2440=Справочники!$F$3,Учет!$H2440,0)</f>
        <v>0</v>
      </c>
      <c r="S2440" s="48">
        <f>IF(Учет!$O2440=Справочники!$F$4,Учет!$H2440,0)</f>
        <v>0</v>
      </c>
      <c r="T2440" s="48">
        <f>IF(Учет!$O2440=Справочники!$F$5,Учет!$H2440,0)</f>
        <v>0</v>
      </c>
      <c r="U2440" s="48">
        <f>IF(Учет!$O2440=Справочники!$F$6,Учет!$H2440,0)</f>
        <v>0</v>
      </c>
      <c r="V2440" s="43">
        <f>V2439+Учет!Q2440-Q2440</f>
        <v>-488978.92000000004</v>
      </c>
      <c r="W2440" s="43">
        <f>W2439+Учет!R2440-R2440</f>
        <v>336855</v>
      </c>
      <c r="X2440" s="43">
        <f>X2439+Учет!S2440-S2440</f>
        <v>500</v>
      </c>
      <c r="Y2440" s="43">
        <f>Y2439+Учет!T2440-T2440</f>
        <v>1150</v>
      </c>
      <c r="Z2440" s="43">
        <f>Z2439+Учет!U2440-U2440</f>
        <v>500000</v>
      </c>
      <c r="AA2440" s="45">
        <f>Учет!X2440</f>
        <v>500</v>
      </c>
    </row>
    <row r="2441" spans="1:27" ht="15" customHeight="1" x14ac:dyDescent="0.25">
      <c r="A2441" s="1"/>
      <c r="B2441" s="17"/>
      <c r="C2441" s="17"/>
      <c r="D2441" s="17"/>
      <c r="E2441" s="17"/>
      <c r="F2441" s="17"/>
      <c r="G2441" s="4">
        <f t="shared" si="111"/>
        <v>0</v>
      </c>
      <c r="H2441" s="17"/>
      <c r="I2441" s="4">
        <f t="shared" si="113"/>
        <v>349526.07999999996</v>
      </c>
      <c r="J2441" s="32" t="str">
        <f t="shared" si="112"/>
        <v/>
      </c>
      <c r="K2441" s="72"/>
      <c r="L2441" s="72"/>
      <c r="M2441" s="2"/>
      <c r="N2441" s="5"/>
      <c r="O2441" s="3"/>
      <c r="P2441" s="6"/>
      <c r="Q2441" s="48">
        <f>IF(Учет!$O2441=Справочники!$F$2,Учет!$H2441,0)</f>
        <v>0</v>
      </c>
      <c r="R2441" s="48">
        <f>IF(Учет!$O2441=Справочники!$F$3,Учет!$H2441,0)</f>
        <v>0</v>
      </c>
      <c r="S2441" s="48">
        <f>IF(Учет!$O2441=Справочники!$F$4,Учет!$H2441,0)</f>
        <v>0</v>
      </c>
      <c r="T2441" s="48">
        <f>IF(Учет!$O2441=Справочники!$F$5,Учет!$H2441,0)</f>
        <v>0</v>
      </c>
      <c r="U2441" s="48">
        <f>IF(Учет!$O2441=Справочники!$F$6,Учет!$H2441,0)</f>
        <v>0</v>
      </c>
      <c r="V2441" s="43">
        <f>V2440+Учет!Q2441-Q2441</f>
        <v>-488978.92000000004</v>
      </c>
      <c r="W2441" s="43">
        <f>W2440+Учет!R2441-R2441</f>
        <v>336855</v>
      </c>
      <c r="X2441" s="43">
        <f>X2440+Учет!S2441-S2441</f>
        <v>500</v>
      </c>
      <c r="Y2441" s="43">
        <f>Y2440+Учет!T2441-T2441</f>
        <v>1150</v>
      </c>
      <c r="Z2441" s="43">
        <f>Z2440+Учет!U2441-U2441</f>
        <v>500000</v>
      </c>
      <c r="AA2441" s="45">
        <f>Учет!X2441</f>
        <v>500</v>
      </c>
    </row>
    <row r="2442" spans="1:27" ht="15" customHeight="1" x14ac:dyDescent="0.25">
      <c r="A2442" s="1"/>
      <c r="B2442" s="17"/>
      <c r="C2442" s="17"/>
      <c r="D2442" s="17"/>
      <c r="E2442" s="17"/>
      <c r="F2442" s="17"/>
      <c r="G2442" s="4">
        <f t="shared" si="111"/>
        <v>0</v>
      </c>
      <c r="H2442" s="17"/>
      <c r="I2442" s="4">
        <f t="shared" si="113"/>
        <v>349526.07999999996</v>
      </c>
      <c r="J2442" s="32" t="str">
        <f t="shared" si="112"/>
        <v/>
      </c>
      <c r="K2442" s="72"/>
      <c r="L2442" s="72"/>
      <c r="M2442" s="2"/>
      <c r="N2442" s="5"/>
      <c r="O2442" s="3"/>
      <c r="P2442" s="6"/>
      <c r="Q2442" s="48">
        <f>IF(Учет!$O2442=Справочники!$F$2,Учет!$H2442,0)</f>
        <v>0</v>
      </c>
      <c r="R2442" s="48">
        <f>IF(Учет!$O2442=Справочники!$F$3,Учет!$H2442,0)</f>
        <v>0</v>
      </c>
      <c r="S2442" s="48">
        <f>IF(Учет!$O2442=Справочники!$F$4,Учет!$H2442,0)</f>
        <v>0</v>
      </c>
      <c r="T2442" s="48">
        <f>IF(Учет!$O2442=Справочники!$F$5,Учет!$H2442,0)</f>
        <v>0</v>
      </c>
      <c r="U2442" s="48">
        <f>IF(Учет!$O2442=Справочники!$F$6,Учет!$H2442,0)</f>
        <v>0</v>
      </c>
      <c r="V2442" s="43">
        <f>V2441+Учет!Q2442-Q2442</f>
        <v>-488978.92000000004</v>
      </c>
      <c r="W2442" s="43">
        <f>W2441+Учет!R2442-R2442</f>
        <v>336855</v>
      </c>
      <c r="X2442" s="43">
        <f>X2441+Учет!S2442-S2442</f>
        <v>500</v>
      </c>
      <c r="Y2442" s="43">
        <f>Y2441+Учет!T2442-T2442</f>
        <v>1150</v>
      </c>
      <c r="Z2442" s="43">
        <f>Z2441+Учет!U2442-U2442</f>
        <v>500000</v>
      </c>
      <c r="AA2442" s="45">
        <f>Учет!X2442</f>
        <v>500</v>
      </c>
    </row>
    <row r="2443" spans="1:27" ht="15" customHeight="1" x14ac:dyDescent="0.25">
      <c r="A2443" s="1"/>
      <c r="B2443" s="17"/>
      <c r="C2443" s="17"/>
      <c r="D2443" s="17"/>
      <c r="E2443" s="17"/>
      <c r="F2443" s="17"/>
      <c r="G2443" s="4">
        <f t="shared" si="111"/>
        <v>0</v>
      </c>
      <c r="H2443" s="17"/>
      <c r="I2443" s="4">
        <f t="shared" si="113"/>
        <v>349526.07999999996</v>
      </c>
      <c r="J2443" s="32" t="str">
        <f t="shared" si="112"/>
        <v/>
      </c>
      <c r="K2443" s="72"/>
      <c r="L2443" s="72"/>
      <c r="M2443" s="2"/>
      <c r="N2443" s="5"/>
      <c r="O2443" s="3"/>
      <c r="P2443" s="6"/>
      <c r="Q2443" s="48">
        <f>IF(Учет!$O2443=Справочники!$F$2,Учет!$H2443,0)</f>
        <v>0</v>
      </c>
      <c r="R2443" s="48">
        <f>IF(Учет!$O2443=Справочники!$F$3,Учет!$H2443,0)</f>
        <v>0</v>
      </c>
      <c r="S2443" s="48">
        <f>IF(Учет!$O2443=Справочники!$F$4,Учет!$H2443,0)</f>
        <v>0</v>
      </c>
      <c r="T2443" s="48">
        <f>IF(Учет!$O2443=Справочники!$F$5,Учет!$H2443,0)</f>
        <v>0</v>
      </c>
      <c r="U2443" s="48">
        <f>IF(Учет!$O2443=Справочники!$F$6,Учет!$H2443,0)</f>
        <v>0</v>
      </c>
      <c r="V2443" s="43">
        <f>V2442+Учет!Q2443-Q2443</f>
        <v>-488978.92000000004</v>
      </c>
      <c r="W2443" s="43">
        <f>W2442+Учет!R2443-R2443</f>
        <v>336855</v>
      </c>
      <c r="X2443" s="43">
        <f>X2442+Учет!S2443-S2443</f>
        <v>500</v>
      </c>
      <c r="Y2443" s="43">
        <f>Y2442+Учет!T2443-T2443</f>
        <v>1150</v>
      </c>
      <c r="Z2443" s="43">
        <f>Z2442+Учет!U2443-U2443</f>
        <v>500000</v>
      </c>
      <c r="AA2443" s="45">
        <f>Учет!X2443</f>
        <v>500</v>
      </c>
    </row>
    <row r="2444" spans="1:27" ht="15" customHeight="1" x14ac:dyDescent="0.25">
      <c r="A2444" s="1"/>
      <c r="B2444" s="17"/>
      <c r="C2444" s="17"/>
      <c r="D2444" s="17"/>
      <c r="E2444" s="17"/>
      <c r="F2444" s="17"/>
      <c r="G2444" s="4">
        <f t="shared" si="111"/>
        <v>0</v>
      </c>
      <c r="H2444" s="17"/>
      <c r="I2444" s="4">
        <f t="shared" si="113"/>
        <v>349526.07999999996</v>
      </c>
      <c r="J2444" s="32" t="str">
        <f t="shared" si="112"/>
        <v/>
      </c>
      <c r="K2444" s="72"/>
      <c r="L2444" s="72"/>
      <c r="M2444" s="2"/>
      <c r="N2444" s="5"/>
      <c r="O2444" s="3"/>
      <c r="P2444" s="6"/>
      <c r="Q2444" s="48">
        <f>IF(Учет!$O2444=Справочники!$F$2,Учет!$H2444,0)</f>
        <v>0</v>
      </c>
      <c r="R2444" s="48">
        <f>IF(Учет!$O2444=Справочники!$F$3,Учет!$H2444,0)</f>
        <v>0</v>
      </c>
      <c r="S2444" s="48">
        <f>IF(Учет!$O2444=Справочники!$F$4,Учет!$H2444,0)</f>
        <v>0</v>
      </c>
      <c r="T2444" s="48">
        <f>IF(Учет!$O2444=Справочники!$F$5,Учет!$H2444,0)</f>
        <v>0</v>
      </c>
      <c r="U2444" s="48">
        <f>IF(Учет!$O2444=Справочники!$F$6,Учет!$H2444,0)</f>
        <v>0</v>
      </c>
      <c r="V2444" s="43">
        <f>V2443+Учет!Q2444-Q2444</f>
        <v>-488978.92000000004</v>
      </c>
      <c r="W2444" s="43">
        <f>W2443+Учет!R2444-R2444</f>
        <v>336855</v>
      </c>
      <c r="X2444" s="43">
        <f>X2443+Учет!S2444-S2444</f>
        <v>500</v>
      </c>
      <c r="Y2444" s="43">
        <f>Y2443+Учет!T2444-T2444</f>
        <v>1150</v>
      </c>
      <c r="Z2444" s="43">
        <f>Z2443+Учет!U2444-U2444</f>
        <v>500000</v>
      </c>
      <c r="AA2444" s="45">
        <f>Учет!X2444</f>
        <v>500</v>
      </c>
    </row>
    <row r="2445" spans="1:27" ht="15" customHeight="1" x14ac:dyDescent="0.25">
      <c r="A2445" s="1"/>
      <c r="B2445" s="17"/>
      <c r="C2445" s="17"/>
      <c r="D2445" s="17"/>
      <c r="E2445" s="17"/>
      <c r="F2445" s="17"/>
      <c r="G2445" s="4">
        <f t="shared" si="111"/>
        <v>0</v>
      </c>
      <c r="H2445" s="17"/>
      <c r="I2445" s="4">
        <f t="shared" si="113"/>
        <v>349526.07999999996</v>
      </c>
      <c r="J2445" s="32" t="str">
        <f t="shared" si="112"/>
        <v/>
      </c>
      <c r="K2445" s="72"/>
      <c r="L2445" s="72"/>
      <c r="M2445" s="2"/>
      <c r="N2445" s="5"/>
      <c r="O2445" s="3"/>
      <c r="P2445" s="6"/>
      <c r="Q2445" s="48">
        <f>IF(Учет!$O2445=Справочники!$F$2,Учет!$H2445,0)</f>
        <v>0</v>
      </c>
      <c r="R2445" s="48">
        <f>IF(Учет!$O2445=Справочники!$F$3,Учет!$H2445,0)</f>
        <v>0</v>
      </c>
      <c r="S2445" s="48">
        <f>IF(Учет!$O2445=Справочники!$F$4,Учет!$H2445,0)</f>
        <v>0</v>
      </c>
      <c r="T2445" s="48">
        <f>IF(Учет!$O2445=Справочники!$F$5,Учет!$H2445,0)</f>
        <v>0</v>
      </c>
      <c r="U2445" s="48">
        <f>IF(Учет!$O2445=Справочники!$F$6,Учет!$H2445,0)</f>
        <v>0</v>
      </c>
      <c r="V2445" s="43">
        <f>V2444+Учет!Q2445-Q2445</f>
        <v>-488978.92000000004</v>
      </c>
      <c r="W2445" s="43">
        <f>W2444+Учет!R2445-R2445</f>
        <v>336855</v>
      </c>
      <c r="X2445" s="43">
        <f>X2444+Учет!S2445-S2445</f>
        <v>500</v>
      </c>
      <c r="Y2445" s="43">
        <f>Y2444+Учет!T2445-T2445</f>
        <v>1150</v>
      </c>
      <c r="Z2445" s="43">
        <f>Z2444+Учет!U2445-U2445</f>
        <v>500000</v>
      </c>
      <c r="AA2445" s="45">
        <f>Учет!X2445</f>
        <v>500</v>
      </c>
    </row>
    <row r="2446" spans="1:27" ht="15" customHeight="1" x14ac:dyDescent="0.25">
      <c r="A2446" s="1"/>
      <c r="B2446" s="17"/>
      <c r="C2446" s="17"/>
      <c r="D2446" s="17"/>
      <c r="E2446" s="17"/>
      <c r="F2446" s="17"/>
      <c r="G2446" s="4">
        <f t="shared" si="111"/>
        <v>0</v>
      </c>
      <c r="H2446" s="17"/>
      <c r="I2446" s="4">
        <f t="shared" si="113"/>
        <v>349526.07999999996</v>
      </c>
      <c r="J2446" s="32" t="str">
        <f t="shared" si="112"/>
        <v/>
      </c>
      <c r="K2446" s="72"/>
      <c r="L2446" s="72"/>
      <c r="M2446" s="2"/>
      <c r="N2446" s="5"/>
      <c r="O2446" s="3"/>
      <c r="P2446" s="6"/>
      <c r="Q2446" s="48">
        <f>IF(Учет!$O2446=Справочники!$F$2,Учет!$H2446,0)</f>
        <v>0</v>
      </c>
      <c r="R2446" s="48">
        <f>IF(Учет!$O2446=Справочники!$F$3,Учет!$H2446,0)</f>
        <v>0</v>
      </c>
      <c r="S2446" s="48">
        <f>IF(Учет!$O2446=Справочники!$F$4,Учет!$H2446,0)</f>
        <v>0</v>
      </c>
      <c r="T2446" s="48">
        <f>IF(Учет!$O2446=Справочники!$F$5,Учет!$H2446,0)</f>
        <v>0</v>
      </c>
      <c r="U2446" s="48">
        <f>IF(Учет!$O2446=Справочники!$F$6,Учет!$H2446,0)</f>
        <v>0</v>
      </c>
      <c r="V2446" s="43">
        <f>V2445+Учет!Q2446-Q2446</f>
        <v>-488978.92000000004</v>
      </c>
      <c r="W2446" s="43">
        <f>W2445+Учет!R2446-R2446</f>
        <v>336855</v>
      </c>
      <c r="X2446" s="43">
        <f>X2445+Учет!S2446-S2446</f>
        <v>500</v>
      </c>
      <c r="Y2446" s="43">
        <f>Y2445+Учет!T2446-T2446</f>
        <v>1150</v>
      </c>
      <c r="Z2446" s="43">
        <f>Z2445+Учет!U2446-U2446</f>
        <v>500000</v>
      </c>
      <c r="AA2446" s="45">
        <f>Учет!X2446</f>
        <v>500</v>
      </c>
    </row>
    <row r="2447" spans="1:27" ht="15" customHeight="1" x14ac:dyDescent="0.25">
      <c r="A2447" s="1"/>
      <c r="B2447" s="17"/>
      <c r="C2447" s="17"/>
      <c r="D2447" s="17"/>
      <c r="E2447" s="17"/>
      <c r="F2447" s="17"/>
      <c r="G2447" s="4">
        <f t="shared" si="111"/>
        <v>0</v>
      </c>
      <c r="H2447" s="17"/>
      <c r="I2447" s="4">
        <f t="shared" si="113"/>
        <v>349526.07999999996</v>
      </c>
      <c r="J2447" s="32" t="str">
        <f t="shared" si="112"/>
        <v/>
      </c>
      <c r="K2447" s="72"/>
      <c r="L2447" s="72"/>
      <c r="M2447" s="2"/>
      <c r="N2447" s="5"/>
      <c r="O2447" s="3"/>
      <c r="P2447" s="6"/>
      <c r="Q2447" s="48">
        <f>IF(Учет!$O2447=Справочники!$F$2,Учет!$H2447,0)</f>
        <v>0</v>
      </c>
      <c r="R2447" s="48">
        <f>IF(Учет!$O2447=Справочники!$F$3,Учет!$H2447,0)</f>
        <v>0</v>
      </c>
      <c r="S2447" s="48">
        <f>IF(Учет!$O2447=Справочники!$F$4,Учет!$H2447,0)</f>
        <v>0</v>
      </c>
      <c r="T2447" s="48">
        <f>IF(Учет!$O2447=Справочники!$F$5,Учет!$H2447,0)</f>
        <v>0</v>
      </c>
      <c r="U2447" s="48">
        <f>IF(Учет!$O2447=Справочники!$F$6,Учет!$H2447,0)</f>
        <v>0</v>
      </c>
      <c r="V2447" s="43">
        <f>V2446+Учет!Q2447-Q2447</f>
        <v>-488978.92000000004</v>
      </c>
      <c r="W2447" s="43">
        <f>W2446+Учет!R2447-R2447</f>
        <v>336855</v>
      </c>
      <c r="X2447" s="43">
        <f>X2446+Учет!S2447-S2447</f>
        <v>500</v>
      </c>
      <c r="Y2447" s="43">
        <f>Y2446+Учет!T2447-T2447</f>
        <v>1150</v>
      </c>
      <c r="Z2447" s="43">
        <f>Z2446+Учет!U2447-U2447</f>
        <v>500000</v>
      </c>
      <c r="AA2447" s="45">
        <f>Учет!X2447</f>
        <v>500</v>
      </c>
    </row>
    <row r="2448" spans="1:27" ht="15" customHeight="1" x14ac:dyDescent="0.25">
      <c r="A2448" s="1"/>
      <c r="B2448" s="17"/>
      <c r="C2448" s="17"/>
      <c r="D2448" s="17"/>
      <c r="E2448" s="17"/>
      <c r="F2448" s="17"/>
      <c r="G2448" s="4">
        <f t="shared" si="111"/>
        <v>0</v>
      </c>
      <c r="H2448" s="17"/>
      <c r="I2448" s="4">
        <f t="shared" si="113"/>
        <v>349526.07999999996</v>
      </c>
      <c r="J2448" s="32" t="str">
        <f t="shared" si="112"/>
        <v/>
      </c>
      <c r="K2448" s="72"/>
      <c r="L2448" s="72"/>
      <c r="M2448" s="2"/>
      <c r="N2448" s="5"/>
      <c r="O2448" s="3"/>
      <c r="P2448" s="6"/>
      <c r="Q2448" s="48">
        <f>IF(Учет!$O2448=Справочники!$F$2,Учет!$H2448,0)</f>
        <v>0</v>
      </c>
      <c r="R2448" s="48">
        <f>IF(Учет!$O2448=Справочники!$F$3,Учет!$H2448,0)</f>
        <v>0</v>
      </c>
      <c r="S2448" s="48">
        <f>IF(Учет!$O2448=Справочники!$F$4,Учет!$H2448,0)</f>
        <v>0</v>
      </c>
      <c r="T2448" s="48">
        <f>IF(Учет!$O2448=Справочники!$F$5,Учет!$H2448,0)</f>
        <v>0</v>
      </c>
      <c r="U2448" s="48">
        <f>IF(Учет!$O2448=Справочники!$F$6,Учет!$H2448,0)</f>
        <v>0</v>
      </c>
      <c r="V2448" s="43">
        <f>V2447+Учет!Q2448-Q2448</f>
        <v>-488978.92000000004</v>
      </c>
      <c r="W2448" s="43">
        <f>W2447+Учет!R2448-R2448</f>
        <v>336855</v>
      </c>
      <c r="X2448" s="43">
        <f>X2447+Учет!S2448-S2448</f>
        <v>500</v>
      </c>
      <c r="Y2448" s="43">
        <f>Y2447+Учет!T2448-T2448</f>
        <v>1150</v>
      </c>
      <c r="Z2448" s="43">
        <f>Z2447+Учет!U2448-U2448</f>
        <v>500000</v>
      </c>
      <c r="AA2448" s="45">
        <f>Учет!X2448</f>
        <v>500</v>
      </c>
    </row>
    <row r="2449" spans="1:27" ht="15" customHeight="1" x14ac:dyDescent="0.25">
      <c r="A2449" s="1"/>
      <c r="B2449" s="17"/>
      <c r="C2449" s="17"/>
      <c r="D2449" s="17"/>
      <c r="E2449" s="17"/>
      <c r="F2449" s="17"/>
      <c r="G2449" s="4">
        <f t="shared" si="111"/>
        <v>0</v>
      </c>
      <c r="H2449" s="17"/>
      <c r="I2449" s="4">
        <f t="shared" si="113"/>
        <v>349526.07999999996</v>
      </c>
      <c r="J2449" s="32" t="str">
        <f t="shared" si="112"/>
        <v/>
      </c>
      <c r="K2449" s="72"/>
      <c r="L2449" s="72"/>
      <c r="M2449" s="2"/>
      <c r="N2449" s="5"/>
      <c r="O2449" s="3"/>
      <c r="P2449" s="6"/>
      <c r="Q2449" s="48">
        <f>IF(Учет!$O2449=Справочники!$F$2,Учет!$H2449,0)</f>
        <v>0</v>
      </c>
      <c r="R2449" s="48">
        <f>IF(Учет!$O2449=Справочники!$F$3,Учет!$H2449,0)</f>
        <v>0</v>
      </c>
      <c r="S2449" s="48">
        <f>IF(Учет!$O2449=Справочники!$F$4,Учет!$H2449,0)</f>
        <v>0</v>
      </c>
      <c r="T2449" s="48">
        <f>IF(Учет!$O2449=Справочники!$F$5,Учет!$H2449,0)</f>
        <v>0</v>
      </c>
      <c r="U2449" s="48">
        <f>IF(Учет!$O2449=Справочники!$F$6,Учет!$H2449,0)</f>
        <v>0</v>
      </c>
      <c r="V2449" s="43">
        <f>V2448+Учет!Q2449-Q2449</f>
        <v>-488978.92000000004</v>
      </c>
      <c r="W2449" s="43">
        <f>W2448+Учет!R2449-R2449</f>
        <v>336855</v>
      </c>
      <c r="X2449" s="43">
        <f>X2448+Учет!S2449-S2449</f>
        <v>500</v>
      </c>
      <c r="Y2449" s="43">
        <f>Y2448+Учет!T2449-T2449</f>
        <v>1150</v>
      </c>
      <c r="Z2449" s="43">
        <f>Z2448+Учет!U2449-U2449</f>
        <v>500000</v>
      </c>
      <c r="AA2449" s="45">
        <f>Учет!X2449</f>
        <v>500</v>
      </c>
    </row>
    <row r="2450" spans="1:27" ht="15" customHeight="1" x14ac:dyDescent="0.25">
      <c r="A2450" s="1"/>
      <c r="B2450" s="17"/>
      <c r="C2450" s="17"/>
      <c r="D2450" s="17"/>
      <c r="E2450" s="17"/>
      <c r="F2450" s="17"/>
      <c r="G2450" s="4">
        <f t="shared" si="111"/>
        <v>0</v>
      </c>
      <c r="H2450" s="17"/>
      <c r="I2450" s="4">
        <f t="shared" si="113"/>
        <v>349526.07999999996</v>
      </c>
      <c r="J2450" s="32" t="str">
        <f t="shared" si="112"/>
        <v/>
      </c>
      <c r="K2450" s="72"/>
      <c r="L2450" s="72"/>
      <c r="M2450" s="2"/>
      <c r="N2450" s="5"/>
      <c r="O2450" s="3"/>
      <c r="P2450" s="6"/>
      <c r="Q2450" s="48">
        <f>IF(Учет!$O2450=Справочники!$F$2,Учет!$H2450,0)</f>
        <v>0</v>
      </c>
      <c r="R2450" s="48">
        <f>IF(Учет!$O2450=Справочники!$F$3,Учет!$H2450,0)</f>
        <v>0</v>
      </c>
      <c r="S2450" s="48">
        <f>IF(Учет!$O2450=Справочники!$F$4,Учет!$H2450,0)</f>
        <v>0</v>
      </c>
      <c r="T2450" s="48">
        <f>IF(Учет!$O2450=Справочники!$F$5,Учет!$H2450,0)</f>
        <v>0</v>
      </c>
      <c r="U2450" s="48">
        <f>IF(Учет!$O2450=Справочники!$F$6,Учет!$H2450,0)</f>
        <v>0</v>
      </c>
      <c r="V2450" s="43">
        <f>V2449+Учет!Q2450-Q2450</f>
        <v>-488978.92000000004</v>
      </c>
      <c r="W2450" s="43">
        <f>W2449+Учет!R2450-R2450</f>
        <v>336855</v>
      </c>
      <c r="X2450" s="43">
        <f>X2449+Учет!S2450-S2450</f>
        <v>500</v>
      </c>
      <c r="Y2450" s="43">
        <f>Y2449+Учет!T2450-T2450</f>
        <v>1150</v>
      </c>
      <c r="Z2450" s="43">
        <f>Z2449+Учет!U2450-U2450</f>
        <v>500000</v>
      </c>
      <c r="AA2450" s="45">
        <f>Учет!X2450</f>
        <v>500</v>
      </c>
    </row>
    <row r="2451" spans="1:27" ht="15" customHeight="1" x14ac:dyDescent="0.25">
      <c r="A2451" s="1"/>
      <c r="B2451" s="17"/>
      <c r="C2451" s="17"/>
      <c r="D2451" s="17"/>
      <c r="E2451" s="17"/>
      <c r="F2451" s="17"/>
      <c r="G2451" s="4">
        <f t="shared" si="111"/>
        <v>0</v>
      </c>
      <c r="H2451" s="17"/>
      <c r="I2451" s="4">
        <f t="shared" si="113"/>
        <v>349526.07999999996</v>
      </c>
      <c r="J2451" s="32" t="str">
        <f t="shared" si="112"/>
        <v/>
      </c>
      <c r="K2451" s="72"/>
      <c r="L2451" s="72"/>
      <c r="M2451" s="2"/>
      <c r="N2451" s="5"/>
      <c r="O2451" s="3"/>
      <c r="P2451" s="6"/>
      <c r="Q2451" s="48">
        <f>IF(Учет!$O2451=Справочники!$F$2,Учет!$H2451,0)</f>
        <v>0</v>
      </c>
      <c r="R2451" s="48">
        <f>IF(Учет!$O2451=Справочники!$F$3,Учет!$H2451,0)</f>
        <v>0</v>
      </c>
      <c r="S2451" s="48">
        <f>IF(Учет!$O2451=Справочники!$F$4,Учет!$H2451,0)</f>
        <v>0</v>
      </c>
      <c r="T2451" s="48">
        <f>IF(Учет!$O2451=Справочники!$F$5,Учет!$H2451,0)</f>
        <v>0</v>
      </c>
      <c r="U2451" s="48">
        <f>IF(Учет!$O2451=Справочники!$F$6,Учет!$H2451,0)</f>
        <v>0</v>
      </c>
      <c r="V2451" s="43">
        <f>V2450+Учет!Q2451-Q2451</f>
        <v>-488978.92000000004</v>
      </c>
      <c r="W2451" s="43">
        <f>W2450+Учет!R2451-R2451</f>
        <v>336855</v>
      </c>
      <c r="X2451" s="43">
        <f>X2450+Учет!S2451-S2451</f>
        <v>500</v>
      </c>
      <c r="Y2451" s="43">
        <f>Y2450+Учет!T2451-T2451</f>
        <v>1150</v>
      </c>
      <c r="Z2451" s="43">
        <f>Z2450+Учет!U2451-U2451</f>
        <v>500000</v>
      </c>
      <c r="AA2451" s="45">
        <f>Учет!X2451</f>
        <v>500</v>
      </c>
    </row>
    <row r="2452" spans="1:27" ht="15" customHeight="1" x14ac:dyDescent="0.25">
      <c r="A2452" s="1"/>
      <c r="B2452" s="17"/>
      <c r="C2452" s="17"/>
      <c r="D2452" s="17"/>
      <c r="E2452" s="17"/>
      <c r="F2452" s="17"/>
      <c r="G2452" s="4">
        <f t="shared" si="111"/>
        <v>0</v>
      </c>
      <c r="H2452" s="17"/>
      <c r="I2452" s="4">
        <f t="shared" si="113"/>
        <v>349526.07999999996</v>
      </c>
      <c r="J2452" s="32" t="str">
        <f t="shared" si="112"/>
        <v/>
      </c>
      <c r="K2452" s="72"/>
      <c r="L2452" s="72"/>
      <c r="M2452" s="2"/>
      <c r="N2452" s="5"/>
      <c r="O2452" s="3"/>
      <c r="P2452" s="6"/>
      <c r="Q2452" s="48">
        <f>IF(Учет!$O2452=Справочники!$F$2,Учет!$H2452,0)</f>
        <v>0</v>
      </c>
      <c r="R2452" s="48">
        <f>IF(Учет!$O2452=Справочники!$F$3,Учет!$H2452,0)</f>
        <v>0</v>
      </c>
      <c r="S2452" s="48">
        <f>IF(Учет!$O2452=Справочники!$F$4,Учет!$H2452,0)</f>
        <v>0</v>
      </c>
      <c r="T2452" s="48">
        <f>IF(Учет!$O2452=Справочники!$F$5,Учет!$H2452,0)</f>
        <v>0</v>
      </c>
      <c r="U2452" s="48">
        <f>IF(Учет!$O2452=Справочники!$F$6,Учет!$H2452,0)</f>
        <v>0</v>
      </c>
      <c r="V2452" s="43">
        <f>V2451+Учет!Q2452-Q2452</f>
        <v>-488978.92000000004</v>
      </c>
      <c r="W2452" s="43">
        <f>W2451+Учет!R2452-R2452</f>
        <v>336855</v>
      </c>
      <c r="X2452" s="43">
        <f>X2451+Учет!S2452-S2452</f>
        <v>500</v>
      </c>
      <c r="Y2452" s="43">
        <f>Y2451+Учет!T2452-T2452</f>
        <v>1150</v>
      </c>
      <c r="Z2452" s="43">
        <f>Z2451+Учет!U2452-U2452</f>
        <v>500000</v>
      </c>
      <c r="AA2452" s="45">
        <f>Учет!X2452</f>
        <v>500</v>
      </c>
    </row>
    <row r="2453" spans="1:27" ht="15" customHeight="1" x14ac:dyDescent="0.25">
      <c r="A2453" s="1"/>
      <c r="B2453" s="17"/>
      <c r="C2453" s="17"/>
      <c r="D2453" s="17"/>
      <c r="E2453" s="17"/>
      <c r="F2453" s="17"/>
      <c r="G2453" s="4">
        <f t="shared" si="111"/>
        <v>0</v>
      </c>
      <c r="H2453" s="17"/>
      <c r="I2453" s="4">
        <f t="shared" si="113"/>
        <v>349526.07999999996</v>
      </c>
      <c r="J2453" s="32" t="str">
        <f t="shared" si="112"/>
        <v/>
      </c>
      <c r="K2453" s="72"/>
      <c r="L2453" s="72"/>
      <c r="M2453" s="2"/>
      <c r="N2453" s="5"/>
      <c r="O2453" s="3"/>
      <c r="P2453" s="6"/>
      <c r="Q2453" s="48">
        <f>IF(Учет!$O2453=Справочники!$F$2,Учет!$H2453,0)</f>
        <v>0</v>
      </c>
      <c r="R2453" s="48">
        <f>IF(Учет!$O2453=Справочники!$F$3,Учет!$H2453,0)</f>
        <v>0</v>
      </c>
      <c r="S2453" s="48">
        <f>IF(Учет!$O2453=Справочники!$F$4,Учет!$H2453,0)</f>
        <v>0</v>
      </c>
      <c r="T2453" s="48">
        <f>IF(Учет!$O2453=Справочники!$F$5,Учет!$H2453,0)</f>
        <v>0</v>
      </c>
      <c r="U2453" s="48">
        <f>IF(Учет!$O2453=Справочники!$F$6,Учет!$H2453,0)</f>
        <v>0</v>
      </c>
      <c r="V2453" s="43">
        <f>V2452+Учет!Q2453-Q2453</f>
        <v>-488978.92000000004</v>
      </c>
      <c r="W2453" s="43">
        <f>W2452+Учет!R2453-R2453</f>
        <v>336855</v>
      </c>
      <c r="X2453" s="43">
        <f>X2452+Учет!S2453-S2453</f>
        <v>500</v>
      </c>
      <c r="Y2453" s="43">
        <f>Y2452+Учет!T2453-T2453</f>
        <v>1150</v>
      </c>
      <c r="Z2453" s="43">
        <f>Z2452+Учет!U2453-U2453</f>
        <v>500000</v>
      </c>
      <c r="AA2453" s="45">
        <f>Учет!X2453</f>
        <v>500</v>
      </c>
    </row>
    <row r="2454" spans="1:27" ht="15" customHeight="1" x14ac:dyDescent="0.25">
      <c r="A2454" s="1"/>
      <c r="B2454" s="17"/>
      <c r="C2454" s="17"/>
      <c r="D2454" s="17"/>
      <c r="E2454" s="17"/>
      <c r="F2454" s="17"/>
      <c r="G2454" s="4">
        <f t="shared" si="111"/>
        <v>0</v>
      </c>
      <c r="H2454" s="17"/>
      <c r="I2454" s="4">
        <f t="shared" si="113"/>
        <v>349526.07999999996</v>
      </c>
      <c r="J2454" s="32" t="str">
        <f t="shared" si="112"/>
        <v/>
      </c>
      <c r="K2454" s="72"/>
      <c r="L2454" s="72"/>
      <c r="M2454" s="2"/>
      <c r="N2454" s="5"/>
      <c r="O2454" s="3"/>
      <c r="P2454" s="6"/>
      <c r="Q2454" s="48">
        <f>IF(Учет!$O2454=Справочники!$F$2,Учет!$H2454,0)</f>
        <v>0</v>
      </c>
      <c r="R2454" s="48">
        <f>IF(Учет!$O2454=Справочники!$F$3,Учет!$H2454,0)</f>
        <v>0</v>
      </c>
      <c r="S2454" s="48">
        <f>IF(Учет!$O2454=Справочники!$F$4,Учет!$H2454,0)</f>
        <v>0</v>
      </c>
      <c r="T2454" s="48">
        <f>IF(Учет!$O2454=Справочники!$F$5,Учет!$H2454,0)</f>
        <v>0</v>
      </c>
      <c r="U2454" s="48">
        <f>IF(Учет!$O2454=Справочники!$F$6,Учет!$H2454,0)</f>
        <v>0</v>
      </c>
      <c r="V2454" s="43">
        <f>V2453+Учет!Q2454-Q2454</f>
        <v>-488978.92000000004</v>
      </c>
      <c r="W2454" s="43">
        <f>W2453+Учет!R2454-R2454</f>
        <v>336855</v>
      </c>
      <c r="X2454" s="43">
        <f>X2453+Учет!S2454-S2454</f>
        <v>500</v>
      </c>
      <c r="Y2454" s="43">
        <f>Y2453+Учет!T2454-T2454</f>
        <v>1150</v>
      </c>
      <c r="Z2454" s="43">
        <f>Z2453+Учет!U2454-U2454</f>
        <v>500000</v>
      </c>
      <c r="AA2454" s="45">
        <f>Учет!X2454</f>
        <v>500</v>
      </c>
    </row>
    <row r="2455" spans="1:27" ht="15" customHeight="1" x14ac:dyDescent="0.25">
      <c r="A2455" s="1"/>
      <c r="B2455" s="17"/>
      <c r="C2455" s="17"/>
      <c r="D2455" s="17"/>
      <c r="E2455" s="17"/>
      <c r="F2455" s="17"/>
      <c r="G2455" s="4">
        <f t="shared" si="111"/>
        <v>0</v>
      </c>
      <c r="H2455" s="17"/>
      <c r="I2455" s="4">
        <f t="shared" si="113"/>
        <v>349526.07999999996</v>
      </c>
      <c r="J2455" s="32" t="str">
        <f t="shared" si="112"/>
        <v/>
      </c>
      <c r="K2455" s="72"/>
      <c r="L2455" s="72"/>
      <c r="M2455" s="2"/>
      <c r="N2455" s="5"/>
      <c r="O2455" s="3"/>
      <c r="P2455" s="6"/>
      <c r="Q2455" s="48">
        <f>IF(Учет!$O2455=Справочники!$F$2,Учет!$H2455,0)</f>
        <v>0</v>
      </c>
      <c r="R2455" s="48">
        <f>IF(Учет!$O2455=Справочники!$F$3,Учет!$H2455,0)</f>
        <v>0</v>
      </c>
      <c r="S2455" s="48">
        <f>IF(Учет!$O2455=Справочники!$F$4,Учет!$H2455,0)</f>
        <v>0</v>
      </c>
      <c r="T2455" s="48">
        <f>IF(Учет!$O2455=Справочники!$F$5,Учет!$H2455,0)</f>
        <v>0</v>
      </c>
      <c r="U2455" s="48">
        <f>IF(Учет!$O2455=Справочники!$F$6,Учет!$H2455,0)</f>
        <v>0</v>
      </c>
      <c r="V2455" s="43">
        <f>V2454+Учет!Q2455-Q2455</f>
        <v>-488978.92000000004</v>
      </c>
      <c r="W2455" s="43">
        <f>W2454+Учет!R2455-R2455</f>
        <v>336855</v>
      </c>
      <c r="X2455" s="43">
        <f>X2454+Учет!S2455-S2455</f>
        <v>500</v>
      </c>
      <c r="Y2455" s="43">
        <f>Y2454+Учет!T2455-T2455</f>
        <v>1150</v>
      </c>
      <c r="Z2455" s="43">
        <f>Z2454+Учет!U2455-U2455</f>
        <v>500000</v>
      </c>
      <c r="AA2455" s="45">
        <f>Учет!X2455</f>
        <v>500</v>
      </c>
    </row>
    <row r="2456" spans="1:27" ht="15" customHeight="1" x14ac:dyDescent="0.25">
      <c r="A2456" s="1"/>
      <c r="B2456" s="17"/>
      <c r="C2456" s="17"/>
      <c r="D2456" s="17"/>
      <c r="E2456" s="17"/>
      <c r="F2456" s="17"/>
      <c r="G2456" s="4">
        <f t="shared" si="111"/>
        <v>0</v>
      </c>
      <c r="H2456" s="17"/>
      <c r="I2456" s="4">
        <f t="shared" si="113"/>
        <v>349526.07999999996</v>
      </c>
      <c r="J2456" s="32" t="str">
        <f t="shared" si="112"/>
        <v/>
      </c>
      <c r="K2456" s="72"/>
      <c r="L2456" s="72"/>
      <c r="M2456" s="2"/>
      <c r="N2456" s="5"/>
      <c r="O2456" s="3"/>
      <c r="P2456" s="6"/>
      <c r="Q2456" s="48">
        <f>IF(Учет!$O2456=Справочники!$F$2,Учет!$H2456,0)</f>
        <v>0</v>
      </c>
      <c r="R2456" s="48">
        <f>IF(Учет!$O2456=Справочники!$F$3,Учет!$H2456,0)</f>
        <v>0</v>
      </c>
      <c r="S2456" s="48">
        <f>IF(Учет!$O2456=Справочники!$F$4,Учет!$H2456,0)</f>
        <v>0</v>
      </c>
      <c r="T2456" s="48">
        <f>IF(Учет!$O2456=Справочники!$F$5,Учет!$H2456,0)</f>
        <v>0</v>
      </c>
      <c r="U2456" s="48">
        <f>IF(Учет!$O2456=Справочники!$F$6,Учет!$H2456,0)</f>
        <v>0</v>
      </c>
      <c r="V2456" s="43">
        <f>V2455+Учет!Q2456-Q2456</f>
        <v>-488978.92000000004</v>
      </c>
      <c r="W2456" s="43">
        <f>W2455+Учет!R2456-R2456</f>
        <v>336855</v>
      </c>
      <c r="X2456" s="43">
        <f>X2455+Учет!S2456-S2456</f>
        <v>500</v>
      </c>
      <c r="Y2456" s="43">
        <f>Y2455+Учет!T2456-T2456</f>
        <v>1150</v>
      </c>
      <c r="Z2456" s="43">
        <f>Z2455+Учет!U2456-U2456</f>
        <v>500000</v>
      </c>
      <c r="AA2456" s="45">
        <f>Учет!X2456</f>
        <v>500</v>
      </c>
    </row>
    <row r="2457" spans="1:27" ht="15" customHeight="1" x14ac:dyDescent="0.25">
      <c r="A2457" s="1"/>
      <c r="B2457" s="17"/>
      <c r="C2457" s="17"/>
      <c r="D2457" s="17"/>
      <c r="E2457" s="17"/>
      <c r="F2457" s="17"/>
      <c r="G2457" s="4">
        <f t="shared" si="111"/>
        <v>0</v>
      </c>
      <c r="H2457" s="17"/>
      <c r="I2457" s="4">
        <f t="shared" si="113"/>
        <v>349526.07999999996</v>
      </c>
      <c r="J2457" s="32" t="str">
        <f t="shared" si="112"/>
        <v/>
      </c>
      <c r="K2457" s="72"/>
      <c r="L2457" s="72"/>
      <c r="M2457" s="2"/>
      <c r="N2457" s="5"/>
      <c r="O2457" s="3"/>
      <c r="P2457" s="6"/>
      <c r="Q2457" s="48">
        <f>IF(Учет!$O2457=Справочники!$F$2,Учет!$H2457,0)</f>
        <v>0</v>
      </c>
      <c r="R2457" s="48">
        <f>IF(Учет!$O2457=Справочники!$F$3,Учет!$H2457,0)</f>
        <v>0</v>
      </c>
      <c r="S2457" s="48">
        <f>IF(Учет!$O2457=Справочники!$F$4,Учет!$H2457,0)</f>
        <v>0</v>
      </c>
      <c r="T2457" s="48">
        <f>IF(Учет!$O2457=Справочники!$F$5,Учет!$H2457,0)</f>
        <v>0</v>
      </c>
      <c r="U2457" s="48">
        <f>IF(Учет!$O2457=Справочники!$F$6,Учет!$H2457,0)</f>
        <v>0</v>
      </c>
      <c r="V2457" s="43">
        <f>V2456+Учет!Q2457-Q2457</f>
        <v>-488978.92000000004</v>
      </c>
      <c r="W2457" s="43">
        <f>W2456+Учет!R2457-R2457</f>
        <v>336855</v>
      </c>
      <c r="X2457" s="43">
        <f>X2456+Учет!S2457-S2457</f>
        <v>500</v>
      </c>
      <c r="Y2457" s="43">
        <f>Y2456+Учет!T2457-T2457</f>
        <v>1150</v>
      </c>
      <c r="Z2457" s="43">
        <f>Z2456+Учет!U2457-U2457</f>
        <v>500000</v>
      </c>
      <c r="AA2457" s="45">
        <f>Учет!X2457</f>
        <v>500</v>
      </c>
    </row>
    <row r="2458" spans="1:27" ht="15" customHeight="1" x14ac:dyDescent="0.25">
      <c r="A2458" s="1"/>
      <c r="B2458" s="17"/>
      <c r="C2458" s="17"/>
      <c r="D2458" s="17"/>
      <c r="E2458" s="17"/>
      <c r="F2458" s="17"/>
      <c r="G2458" s="4">
        <f t="shared" si="111"/>
        <v>0</v>
      </c>
      <c r="H2458" s="17"/>
      <c r="I2458" s="4">
        <f t="shared" si="113"/>
        <v>349526.07999999996</v>
      </c>
      <c r="J2458" s="32" t="str">
        <f t="shared" si="112"/>
        <v/>
      </c>
      <c r="K2458" s="72"/>
      <c r="L2458" s="72"/>
      <c r="M2458" s="2"/>
      <c r="N2458" s="5"/>
      <c r="O2458" s="3"/>
      <c r="P2458" s="6"/>
      <c r="Q2458" s="48">
        <f>IF(Учет!$O2458=Справочники!$F$2,Учет!$H2458,0)</f>
        <v>0</v>
      </c>
      <c r="R2458" s="48">
        <f>IF(Учет!$O2458=Справочники!$F$3,Учет!$H2458,0)</f>
        <v>0</v>
      </c>
      <c r="S2458" s="48">
        <f>IF(Учет!$O2458=Справочники!$F$4,Учет!$H2458,0)</f>
        <v>0</v>
      </c>
      <c r="T2458" s="48">
        <f>IF(Учет!$O2458=Справочники!$F$5,Учет!$H2458,0)</f>
        <v>0</v>
      </c>
      <c r="U2458" s="48">
        <f>IF(Учет!$O2458=Справочники!$F$6,Учет!$H2458,0)</f>
        <v>0</v>
      </c>
      <c r="V2458" s="43">
        <f>V2457+Учет!Q2458-Q2458</f>
        <v>-488978.92000000004</v>
      </c>
      <c r="W2458" s="43">
        <f>W2457+Учет!R2458-R2458</f>
        <v>336855</v>
      </c>
      <c r="X2458" s="43">
        <f>X2457+Учет!S2458-S2458</f>
        <v>500</v>
      </c>
      <c r="Y2458" s="43">
        <f>Y2457+Учет!T2458-T2458</f>
        <v>1150</v>
      </c>
      <c r="Z2458" s="43">
        <f>Z2457+Учет!U2458-U2458</f>
        <v>500000</v>
      </c>
      <c r="AA2458" s="45">
        <f>Учет!X2458</f>
        <v>500</v>
      </c>
    </row>
    <row r="2459" spans="1:27" ht="15" customHeight="1" x14ac:dyDescent="0.25">
      <c r="A2459" s="1"/>
      <c r="B2459" s="17"/>
      <c r="C2459" s="17"/>
      <c r="D2459" s="17"/>
      <c r="E2459" s="17"/>
      <c r="F2459" s="17"/>
      <c r="G2459" s="4">
        <f t="shared" si="111"/>
        <v>0</v>
      </c>
      <c r="H2459" s="17"/>
      <c r="I2459" s="4">
        <f t="shared" si="113"/>
        <v>349526.07999999996</v>
      </c>
      <c r="J2459" s="32" t="str">
        <f t="shared" si="112"/>
        <v/>
      </c>
      <c r="K2459" s="72"/>
      <c r="L2459" s="72"/>
      <c r="M2459" s="2"/>
      <c r="N2459" s="5"/>
      <c r="O2459" s="3"/>
      <c r="P2459" s="6"/>
      <c r="Q2459" s="48">
        <f>IF(Учет!$O2459=Справочники!$F$2,Учет!$H2459,0)</f>
        <v>0</v>
      </c>
      <c r="R2459" s="48">
        <f>IF(Учет!$O2459=Справочники!$F$3,Учет!$H2459,0)</f>
        <v>0</v>
      </c>
      <c r="S2459" s="48">
        <f>IF(Учет!$O2459=Справочники!$F$4,Учет!$H2459,0)</f>
        <v>0</v>
      </c>
      <c r="T2459" s="48">
        <f>IF(Учет!$O2459=Справочники!$F$5,Учет!$H2459,0)</f>
        <v>0</v>
      </c>
      <c r="U2459" s="48">
        <f>IF(Учет!$O2459=Справочники!$F$6,Учет!$H2459,0)</f>
        <v>0</v>
      </c>
      <c r="V2459" s="43">
        <f>V2458+Учет!Q2459-Q2459</f>
        <v>-488978.92000000004</v>
      </c>
      <c r="W2459" s="43">
        <f>W2458+Учет!R2459-R2459</f>
        <v>336855</v>
      </c>
      <c r="X2459" s="43">
        <f>X2458+Учет!S2459-S2459</f>
        <v>500</v>
      </c>
      <c r="Y2459" s="43">
        <f>Y2458+Учет!T2459-T2459</f>
        <v>1150</v>
      </c>
      <c r="Z2459" s="43">
        <f>Z2458+Учет!U2459-U2459</f>
        <v>500000</v>
      </c>
      <c r="AA2459" s="45">
        <f>Учет!X2459</f>
        <v>500</v>
      </c>
    </row>
    <row r="2460" spans="1:27" ht="15" customHeight="1" x14ac:dyDescent="0.25">
      <c r="A2460" s="1"/>
      <c r="B2460" s="17"/>
      <c r="C2460" s="17"/>
      <c r="D2460" s="17"/>
      <c r="E2460" s="17"/>
      <c r="F2460" s="17"/>
      <c r="G2460" s="4">
        <f t="shared" si="111"/>
        <v>0</v>
      </c>
      <c r="H2460" s="17"/>
      <c r="I2460" s="4">
        <f t="shared" si="113"/>
        <v>349526.07999999996</v>
      </c>
      <c r="J2460" s="32" t="str">
        <f t="shared" si="112"/>
        <v/>
      </c>
      <c r="K2460" s="72"/>
      <c r="L2460" s="72"/>
      <c r="M2460" s="2"/>
      <c r="N2460" s="5"/>
      <c r="O2460" s="3"/>
      <c r="P2460" s="6"/>
      <c r="Q2460" s="48">
        <f>IF(Учет!$O2460=Справочники!$F$2,Учет!$H2460,0)</f>
        <v>0</v>
      </c>
      <c r="R2460" s="48">
        <f>IF(Учет!$O2460=Справочники!$F$3,Учет!$H2460,0)</f>
        <v>0</v>
      </c>
      <c r="S2460" s="48">
        <f>IF(Учет!$O2460=Справочники!$F$4,Учет!$H2460,0)</f>
        <v>0</v>
      </c>
      <c r="T2460" s="48">
        <f>IF(Учет!$O2460=Справочники!$F$5,Учет!$H2460,0)</f>
        <v>0</v>
      </c>
      <c r="U2460" s="48">
        <f>IF(Учет!$O2460=Справочники!$F$6,Учет!$H2460,0)</f>
        <v>0</v>
      </c>
      <c r="V2460" s="43">
        <f>V2459+Учет!Q2460-Q2460</f>
        <v>-488978.92000000004</v>
      </c>
      <c r="W2460" s="43">
        <f>W2459+Учет!R2460-R2460</f>
        <v>336855</v>
      </c>
      <c r="X2460" s="43">
        <f>X2459+Учет!S2460-S2460</f>
        <v>500</v>
      </c>
      <c r="Y2460" s="43">
        <f>Y2459+Учет!T2460-T2460</f>
        <v>1150</v>
      </c>
      <c r="Z2460" s="43">
        <f>Z2459+Учет!U2460-U2460</f>
        <v>500000</v>
      </c>
      <c r="AA2460" s="45">
        <f>Учет!X2460</f>
        <v>500</v>
      </c>
    </row>
    <row r="2461" spans="1:27" ht="15" customHeight="1" x14ac:dyDescent="0.25">
      <c r="A2461" s="1"/>
      <c r="B2461" s="17"/>
      <c r="C2461" s="17"/>
      <c r="D2461" s="17"/>
      <c r="E2461" s="17"/>
      <c r="F2461" s="17"/>
      <c r="G2461" s="4">
        <f t="shared" si="111"/>
        <v>0</v>
      </c>
      <c r="H2461" s="17"/>
      <c r="I2461" s="4">
        <f t="shared" si="113"/>
        <v>349526.07999999996</v>
      </c>
      <c r="J2461" s="32" t="str">
        <f t="shared" si="112"/>
        <v/>
      </c>
      <c r="K2461" s="72"/>
      <c r="L2461" s="72"/>
      <c r="M2461" s="2"/>
      <c r="N2461" s="5"/>
      <c r="O2461" s="3"/>
      <c r="P2461" s="6"/>
      <c r="Q2461" s="48">
        <f>IF(Учет!$O2461=Справочники!$F$2,Учет!$H2461,0)</f>
        <v>0</v>
      </c>
      <c r="R2461" s="48">
        <f>IF(Учет!$O2461=Справочники!$F$3,Учет!$H2461,0)</f>
        <v>0</v>
      </c>
      <c r="S2461" s="48">
        <f>IF(Учет!$O2461=Справочники!$F$4,Учет!$H2461,0)</f>
        <v>0</v>
      </c>
      <c r="T2461" s="48">
        <f>IF(Учет!$O2461=Справочники!$F$5,Учет!$H2461,0)</f>
        <v>0</v>
      </c>
      <c r="U2461" s="48">
        <f>IF(Учет!$O2461=Справочники!$F$6,Учет!$H2461,0)</f>
        <v>0</v>
      </c>
      <c r="V2461" s="43">
        <f>V2460+Учет!Q2461-Q2461</f>
        <v>-488978.92000000004</v>
      </c>
      <c r="W2461" s="43">
        <f>W2460+Учет!R2461-R2461</f>
        <v>336855</v>
      </c>
      <c r="X2461" s="43">
        <f>X2460+Учет!S2461-S2461</f>
        <v>500</v>
      </c>
      <c r="Y2461" s="43">
        <f>Y2460+Учет!T2461-T2461</f>
        <v>1150</v>
      </c>
      <c r="Z2461" s="43">
        <f>Z2460+Учет!U2461-U2461</f>
        <v>500000</v>
      </c>
      <c r="AA2461" s="45">
        <f>Учет!X2461</f>
        <v>500</v>
      </c>
    </row>
    <row r="2462" spans="1:27" ht="15" customHeight="1" x14ac:dyDescent="0.25">
      <c r="A2462" s="1"/>
      <c r="B2462" s="17"/>
      <c r="C2462" s="17"/>
      <c r="D2462" s="17"/>
      <c r="E2462" s="17"/>
      <c r="F2462" s="17"/>
      <c r="G2462" s="4">
        <f t="shared" si="111"/>
        <v>0</v>
      </c>
      <c r="H2462" s="17"/>
      <c r="I2462" s="4">
        <f t="shared" si="113"/>
        <v>349526.07999999996</v>
      </c>
      <c r="J2462" s="32" t="str">
        <f t="shared" si="112"/>
        <v/>
      </c>
      <c r="K2462" s="72"/>
      <c r="L2462" s="72"/>
      <c r="M2462" s="2"/>
      <c r="N2462" s="5"/>
      <c r="O2462" s="3"/>
      <c r="P2462" s="6"/>
      <c r="Q2462" s="48">
        <f>IF(Учет!$O2462=Справочники!$F$2,Учет!$H2462,0)</f>
        <v>0</v>
      </c>
      <c r="R2462" s="48">
        <f>IF(Учет!$O2462=Справочники!$F$3,Учет!$H2462,0)</f>
        <v>0</v>
      </c>
      <c r="S2462" s="48">
        <f>IF(Учет!$O2462=Справочники!$F$4,Учет!$H2462,0)</f>
        <v>0</v>
      </c>
      <c r="T2462" s="48">
        <f>IF(Учет!$O2462=Справочники!$F$5,Учет!$H2462,0)</f>
        <v>0</v>
      </c>
      <c r="U2462" s="48">
        <f>IF(Учет!$O2462=Справочники!$F$6,Учет!$H2462,0)</f>
        <v>0</v>
      </c>
      <c r="V2462" s="43">
        <f>V2461+Учет!Q2462-Q2462</f>
        <v>-488978.92000000004</v>
      </c>
      <c r="W2462" s="43">
        <f>W2461+Учет!R2462-R2462</f>
        <v>336855</v>
      </c>
      <c r="X2462" s="43">
        <f>X2461+Учет!S2462-S2462</f>
        <v>500</v>
      </c>
      <c r="Y2462" s="43">
        <f>Y2461+Учет!T2462-T2462</f>
        <v>1150</v>
      </c>
      <c r="Z2462" s="43">
        <f>Z2461+Учет!U2462-U2462</f>
        <v>500000</v>
      </c>
      <c r="AA2462" s="45">
        <f>Учет!X2462</f>
        <v>500</v>
      </c>
    </row>
    <row r="2463" spans="1:27" ht="15" customHeight="1" x14ac:dyDescent="0.25">
      <c r="A2463" s="1"/>
      <c r="B2463" s="17"/>
      <c r="C2463" s="17"/>
      <c r="D2463" s="17"/>
      <c r="E2463" s="17"/>
      <c r="F2463" s="17"/>
      <c r="G2463" s="4">
        <f t="shared" si="111"/>
        <v>0</v>
      </c>
      <c r="H2463" s="17"/>
      <c r="I2463" s="4">
        <f t="shared" si="113"/>
        <v>349526.07999999996</v>
      </c>
      <c r="J2463" s="32" t="str">
        <f t="shared" si="112"/>
        <v/>
      </c>
      <c r="K2463" s="72"/>
      <c r="L2463" s="72"/>
      <c r="M2463" s="2"/>
      <c r="N2463" s="5"/>
      <c r="O2463" s="3"/>
      <c r="P2463" s="6"/>
      <c r="Q2463" s="48">
        <f>IF(Учет!$O2463=Справочники!$F$2,Учет!$H2463,0)</f>
        <v>0</v>
      </c>
      <c r="R2463" s="48">
        <f>IF(Учет!$O2463=Справочники!$F$3,Учет!$H2463,0)</f>
        <v>0</v>
      </c>
      <c r="S2463" s="48">
        <f>IF(Учет!$O2463=Справочники!$F$4,Учет!$H2463,0)</f>
        <v>0</v>
      </c>
      <c r="T2463" s="48">
        <f>IF(Учет!$O2463=Справочники!$F$5,Учет!$H2463,0)</f>
        <v>0</v>
      </c>
      <c r="U2463" s="48">
        <f>IF(Учет!$O2463=Справочники!$F$6,Учет!$H2463,0)</f>
        <v>0</v>
      </c>
      <c r="V2463" s="43">
        <f>V2462+Учет!Q2463-Q2463</f>
        <v>-488978.92000000004</v>
      </c>
      <c r="W2463" s="43">
        <f>W2462+Учет!R2463-R2463</f>
        <v>336855</v>
      </c>
      <c r="X2463" s="43">
        <f>X2462+Учет!S2463-S2463</f>
        <v>500</v>
      </c>
      <c r="Y2463" s="43">
        <f>Y2462+Учет!T2463-T2463</f>
        <v>1150</v>
      </c>
      <c r="Z2463" s="43">
        <f>Z2462+Учет!U2463-U2463</f>
        <v>500000</v>
      </c>
      <c r="AA2463" s="45">
        <f>Учет!X2463</f>
        <v>500</v>
      </c>
    </row>
    <row r="2464" spans="1:27" ht="15" customHeight="1" x14ac:dyDescent="0.25">
      <c r="A2464" s="1"/>
      <c r="B2464" s="17"/>
      <c r="C2464" s="17"/>
      <c r="D2464" s="17"/>
      <c r="E2464" s="17"/>
      <c r="F2464" s="17"/>
      <c r="G2464" s="4">
        <f t="shared" si="111"/>
        <v>0</v>
      </c>
      <c r="H2464" s="17"/>
      <c r="I2464" s="4">
        <f t="shared" si="113"/>
        <v>349526.07999999996</v>
      </c>
      <c r="J2464" s="32" t="str">
        <f t="shared" si="112"/>
        <v/>
      </c>
      <c r="K2464" s="72"/>
      <c r="L2464" s="72"/>
      <c r="M2464" s="2"/>
      <c r="N2464" s="5"/>
      <c r="O2464" s="3"/>
      <c r="P2464" s="6"/>
      <c r="Q2464" s="48">
        <f>IF(Учет!$O2464=Справочники!$F$2,Учет!$H2464,0)</f>
        <v>0</v>
      </c>
      <c r="R2464" s="48">
        <f>IF(Учет!$O2464=Справочники!$F$3,Учет!$H2464,0)</f>
        <v>0</v>
      </c>
      <c r="S2464" s="48">
        <f>IF(Учет!$O2464=Справочники!$F$4,Учет!$H2464,0)</f>
        <v>0</v>
      </c>
      <c r="T2464" s="48">
        <f>IF(Учет!$O2464=Справочники!$F$5,Учет!$H2464,0)</f>
        <v>0</v>
      </c>
      <c r="U2464" s="48">
        <f>IF(Учет!$O2464=Справочники!$F$6,Учет!$H2464,0)</f>
        <v>0</v>
      </c>
      <c r="V2464" s="43">
        <f>V2463+Учет!Q2464-Q2464</f>
        <v>-488978.92000000004</v>
      </c>
      <c r="W2464" s="43">
        <f>W2463+Учет!R2464-R2464</f>
        <v>336855</v>
      </c>
      <c r="X2464" s="43">
        <f>X2463+Учет!S2464-S2464</f>
        <v>500</v>
      </c>
      <c r="Y2464" s="43">
        <f>Y2463+Учет!T2464-T2464</f>
        <v>1150</v>
      </c>
      <c r="Z2464" s="43">
        <f>Z2463+Учет!U2464-U2464</f>
        <v>500000</v>
      </c>
      <c r="AA2464" s="45">
        <f>Учет!X2464</f>
        <v>500</v>
      </c>
    </row>
    <row r="2465" spans="1:27" ht="15" customHeight="1" x14ac:dyDescent="0.25">
      <c r="A2465" s="1"/>
      <c r="B2465" s="17"/>
      <c r="C2465" s="17"/>
      <c r="D2465" s="17"/>
      <c r="E2465" s="17"/>
      <c r="F2465" s="17"/>
      <c r="G2465" s="4">
        <f t="shared" si="111"/>
        <v>0</v>
      </c>
      <c r="H2465" s="17"/>
      <c r="I2465" s="4">
        <f t="shared" si="113"/>
        <v>349526.07999999996</v>
      </c>
      <c r="J2465" s="32" t="str">
        <f t="shared" si="112"/>
        <v/>
      </c>
      <c r="K2465" s="72"/>
      <c r="L2465" s="72"/>
      <c r="M2465" s="2"/>
      <c r="N2465" s="5"/>
      <c r="O2465" s="3"/>
      <c r="P2465" s="6"/>
      <c r="Q2465" s="48">
        <f>IF(Учет!$O2465=Справочники!$F$2,Учет!$H2465,0)</f>
        <v>0</v>
      </c>
      <c r="R2465" s="48">
        <f>IF(Учет!$O2465=Справочники!$F$3,Учет!$H2465,0)</f>
        <v>0</v>
      </c>
      <c r="S2465" s="48">
        <f>IF(Учет!$O2465=Справочники!$F$4,Учет!$H2465,0)</f>
        <v>0</v>
      </c>
      <c r="T2465" s="48">
        <f>IF(Учет!$O2465=Справочники!$F$5,Учет!$H2465,0)</f>
        <v>0</v>
      </c>
      <c r="U2465" s="48">
        <f>IF(Учет!$O2465=Справочники!$F$6,Учет!$H2465,0)</f>
        <v>0</v>
      </c>
      <c r="V2465" s="43">
        <f>V2464+Учет!Q2465-Q2465</f>
        <v>-488978.92000000004</v>
      </c>
      <c r="W2465" s="43">
        <f>W2464+Учет!R2465-R2465</f>
        <v>336855</v>
      </c>
      <c r="X2465" s="43">
        <f>X2464+Учет!S2465-S2465</f>
        <v>500</v>
      </c>
      <c r="Y2465" s="43">
        <f>Y2464+Учет!T2465-T2465</f>
        <v>1150</v>
      </c>
      <c r="Z2465" s="43">
        <f>Z2464+Учет!U2465-U2465</f>
        <v>500000</v>
      </c>
      <c r="AA2465" s="45">
        <f>Учет!X2465</f>
        <v>500</v>
      </c>
    </row>
    <row r="2466" spans="1:27" ht="15" customHeight="1" x14ac:dyDescent="0.25">
      <c r="A2466" s="1"/>
      <c r="B2466" s="17"/>
      <c r="C2466" s="17"/>
      <c r="D2466" s="17"/>
      <c r="E2466" s="17"/>
      <c r="F2466" s="17"/>
      <c r="G2466" s="4">
        <f t="shared" si="111"/>
        <v>0</v>
      </c>
      <c r="H2466" s="17"/>
      <c r="I2466" s="4">
        <f t="shared" si="113"/>
        <v>349526.07999999996</v>
      </c>
      <c r="J2466" s="32" t="str">
        <f t="shared" si="112"/>
        <v/>
      </c>
      <c r="K2466" s="72"/>
      <c r="L2466" s="72"/>
      <c r="M2466" s="2"/>
      <c r="N2466" s="5"/>
      <c r="O2466" s="3"/>
      <c r="P2466" s="6"/>
      <c r="Q2466" s="48">
        <f>IF(Учет!$O2466=Справочники!$F$2,Учет!$H2466,0)</f>
        <v>0</v>
      </c>
      <c r="R2466" s="48">
        <f>IF(Учет!$O2466=Справочники!$F$3,Учет!$H2466,0)</f>
        <v>0</v>
      </c>
      <c r="S2466" s="48">
        <f>IF(Учет!$O2466=Справочники!$F$4,Учет!$H2466,0)</f>
        <v>0</v>
      </c>
      <c r="T2466" s="48">
        <f>IF(Учет!$O2466=Справочники!$F$5,Учет!$H2466,0)</f>
        <v>0</v>
      </c>
      <c r="U2466" s="48">
        <f>IF(Учет!$O2466=Справочники!$F$6,Учет!$H2466,0)</f>
        <v>0</v>
      </c>
      <c r="V2466" s="43">
        <f>V2465+Учет!Q2466-Q2466</f>
        <v>-488978.92000000004</v>
      </c>
      <c r="W2466" s="43">
        <f>W2465+Учет!R2466-R2466</f>
        <v>336855</v>
      </c>
      <c r="X2466" s="43">
        <f>X2465+Учет!S2466-S2466</f>
        <v>500</v>
      </c>
      <c r="Y2466" s="43">
        <f>Y2465+Учет!T2466-T2466</f>
        <v>1150</v>
      </c>
      <c r="Z2466" s="43">
        <f>Z2465+Учет!U2466-U2466</f>
        <v>500000</v>
      </c>
      <c r="AA2466" s="45">
        <f>Учет!X2466</f>
        <v>500</v>
      </c>
    </row>
    <row r="2467" spans="1:27" ht="15" customHeight="1" x14ac:dyDescent="0.25">
      <c r="A2467" s="1"/>
      <c r="B2467" s="17"/>
      <c r="C2467" s="17"/>
      <c r="D2467" s="17"/>
      <c r="E2467" s="17"/>
      <c r="F2467" s="17"/>
      <c r="G2467" s="4">
        <f t="shared" si="111"/>
        <v>0</v>
      </c>
      <c r="H2467" s="17"/>
      <c r="I2467" s="4">
        <f t="shared" si="113"/>
        <v>349526.07999999996</v>
      </c>
      <c r="J2467" s="32" t="str">
        <f t="shared" si="112"/>
        <v/>
      </c>
      <c r="K2467" s="72"/>
      <c r="L2467" s="72"/>
      <c r="M2467" s="2"/>
      <c r="N2467" s="5"/>
      <c r="O2467" s="3"/>
      <c r="P2467" s="6"/>
      <c r="Q2467" s="48">
        <f>IF(Учет!$O2467=Справочники!$F$2,Учет!$H2467,0)</f>
        <v>0</v>
      </c>
      <c r="R2467" s="48">
        <f>IF(Учет!$O2467=Справочники!$F$3,Учет!$H2467,0)</f>
        <v>0</v>
      </c>
      <c r="S2467" s="48">
        <f>IF(Учет!$O2467=Справочники!$F$4,Учет!$H2467,0)</f>
        <v>0</v>
      </c>
      <c r="T2467" s="48">
        <f>IF(Учет!$O2467=Справочники!$F$5,Учет!$H2467,0)</f>
        <v>0</v>
      </c>
      <c r="U2467" s="48">
        <f>IF(Учет!$O2467=Справочники!$F$6,Учет!$H2467,0)</f>
        <v>0</v>
      </c>
      <c r="V2467" s="43">
        <f>V2466+Учет!Q2467-Q2467</f>
        <v>-488978.92000000004</v>
      </c>
      <c r="W2467" s="43">
        <f>W2466+Учет!R2467-R2467</f>
        <v>336855</v>
      </c>
      <c r="X2467" s="43">
        <f>X2466+Учет!S2467-S2467</f>
        <v>500</v>
      </c>
      <c r="Y2467" s="43">
        <f>Y2466+Учет!T2467-T2467</f>
        <v>1150</v>
      </c>
      <c r="Z2467" s="43">
        <f>Z2466+Учет!U2467-U2467</f>
        <v>500000</v>
      </c>
      <c r="AA2467" s="45">
        <f>Учет!X2467</f>
        <v>500</v>
      </c>
    </row>
    <row r="2468" spans="1:27" ht="15" customHeight="1" x14ac:dyDescent="0.25">
      <c r="A2468" s="1"/>
      <c r="B2468" s="17"/>
      <c r="C2468" s="17"/>
      <c r="D2468" s="17"/>
      <c r="E2468" s="17"/>
      <c r="F2468" s="17"/>
      <c r="G2468" s="4">
        <f t="shared" si="111"/>
        <v>0</v>
      </c>
      <c r="H2468" s="17"/>
      <c r="I2468" s="4">
        <f t="shared" si="113"/>
        <v>349526.07999999996</v>
      </c>
      <c r="J2468" s="32" t="str">
        <f t="shared" si="112"/>
        <v/>
      </c>
      <c r="K2468" s="72"/>
      <c r="L2468" s="72"/>
      <c r="M2468" s="2"/>
      <c r="N2468" s="5"/>
      <c r="O2468" s="3"/>
      <c r="P2468" s="6"/>
      <c r="Q2468" s="48">
        <f>IF(Учет!$O2468=Справочники!$F$2,Учет!$H2468,0)</f>
        <v>0</v>
      </c>
      <c r="R2468" s="48">
        <f>IF(Учет!$O2468=Справочники!$F$3,Учет!$H2468,0)</f>
        <v>0</v>
      </c>
      <c r="S2468" s="48">
        <f>IF(Учет!$O2468=Справочники!$F$4,Учет!$H2468,0)</f>
        <v>0</v>
      </c>
      <c r="T2468" s="48">
        <f>IF(Учет!$O2468=Справочники!$F$5,Учет!$H2468,0)</f>
        <v>0</v>
      </c>
      <c r="U2468" s="48">
        <f>IF(Учет!$O2468=Справочники!$F$6,Учет!$H2468,0)</f>
        <v>0</v>
      </c>
      <c r="V2468" s="43">
        <f>V2467+Учет!Q2468-Q2468</f>
        <v>-488978.92000000004</v>
      </c>
      <c r="W2468" s="43">
        <f>W2467+Учет!R2468-R2468</f>
        <v>336855</v>
      </c>
      <c r="X2468" s="43">
        <f>X2467+Учет!S2468-S2468</f>
        <v>500</v>
      </c>
      <c r="Y2468" s="43">
        <f>Y2467+Учет!T2468-T2468</f>
        <v>1150</v>
      </c>
      <c r="Z2468" s="43">
        <f>Z2467+Учет!U2468-U2468</f>
        <v>500000</v>
      </c>
      <c r="AA2468" s="45">
        <f>Учет!X2468</f>
        <v>500</v>
      </c>
    </row>
    <row r="2469" spans="1:27" ht="15" customHeight="1" x14ac:dyDescent="0.25">
      <c r="A2469" s="1"/>
      <c r="B2469" s="17"/>
      <c r="C2469" s="17"/>
      <c r="D2469" s="17"/>
      <c r="E2469" s="17"/>
      <c r="F2469" s="17"/>
      <c r="G2469" s="4">
        <f t="shared" si="111"/>
        <v>0</v>
      </c>
      <c r="H2469" s="17"/>
      <c r="I2469" s="4">
        <f t="shared" si="113"/>
        <v>349526.07999999996</v>
      </c>
      <c r="J2469" s="32" t="str">
        <f t="shared" si="112"/>
        <v/>
      </c>
      <c r="K2469" s="72"/>
      <c r="L2469" s="72"/>
      <c r="M2469" s="2"/>
      <c r="N2469" s="5"/>
      <c r="O2469" s="3"/>
      <c r="P2469" s="6"/>
      <c r="Q2469" s="48">
        <f>IF(Учет!$O2469=Справочники!$F$2,Учет!$H2469,0)</f>
        <v>0</v>
      </c>
      <c r="R2469" s="48">
        <f>IF(Учет!$O2469=Справочники!$F$3,Учет!$H2469,0)</f>
        <v>0</v>
      </c>
      <c r="S2469" s="48">
        <f>IF(Учет!$O2469=Справочники!$F$4,Учет!$H2469,0)</f>
        <v>0</v>
      </c>
      <c r="T2469" s="48">
        <f>IF(Учет!$O2469=Справочники!$F$5,Учет!$H2469,0)</f>
        <v>0</v>
      </c>
      <c r="U2469" s="48">
        <f>IF(Учет!$O2469=Справочники!$F$6,Учет!$H2469,0)</f>
        <v>0</v>
      </c>
      <c r="V2469" s="43">
        <f>V2468+Учет!Q2469-Q2469</f>
        <v>-488978.92000000004</v>
      </c>
      <c r="W2469" s="43">
        <f>W2468+Учет!R2469-R2469</f>
        <v>336855</v>
      </c>
      <c r="X2469" s="43">
        <f>X2468+Учет!S2469-S2469</f>
        <v>500</v>
      </c>
      <c r="Y2469" s="43">
        <f>Y2468+Учет!T2469-T2469</f>
        <v>1150</v>
      </c>
      <c r="Z2469" s="43">
        <f>Z2468+Учет!U2469-U2469</f>
        <v>500000</v>
      </c>
      <c r="AA2469" s="45">
        <f>Учет!X2469</f>
        <v>500</v>
      </c>
    </row>
    <row r="2470" spans="1:27" ht="15" customHeight="1" x14ac:dyDescent="0.25">
      <c r="A2470" s="1"/>
      <c r="B2470" s="17"/>
      <c r="C2470" s="17"/>
      <c r="D2470" s="17"/>
      <c r="E2470" s="17"/>
      <c r="F2470" s="17"/>
      <c r="G2470" s="4">
        <f t="shared" si="111"/>
        <v>0</v>
      </c>
      <c r="H2470" s="17"/>
      <c r="I2470" s="4">
        <f t="shared" si="113"/>
        <v>349526.07999999996</v>
      </c>
      <c r="J2470" s="32" t="str">
        <f t="shared" si="112"/>
        <v/>
      </c>
      <c r="K2470" s="72"/>
      <c r="L2470" s="72"/>
      <c r="M2470" s="2"/>
      <c r="N2470" s="5"/>
      <c r="O2470" s="3"/>
      <c r="P2470" s="6"/>
      <c r="Q2470" s="48">
        <f>IF(Учет!$O2470=Справочники!$F$2,Учет!$H2470,0)</f>
        <v>0</v>
      </c>
      <c r="R2470" s="48">
        <f>IF(Учет!$O2470=Справочники!$F$3,Учет!$H2470,0)</f>
        <v>0</v>
      </c>
      <c r="S2470" s="48">
        <f>IF(Учет!$O2470=Справочники!$F$4,Учет!$H2470,0)</f>
        <v>0</v>
      </c>
      <c r="T2470" s="48">
        <f>IF(Учет!$O2470=Справочники!$F$5,Учет!$H2470,0)</f>
        <v>0</v>
      </c>
      <c r="U2470" s="48">
        <f>IF(Учет!$O2470=Справочники!$F$6,Учет!$H2470,0)</f>
        <v>0</v>
      </c>
      <c r="V2470" s="43">
        <f>V2469+Учет!Q2470-Q2470</f>
        <v>-488978.92000000004</v>
      </c>
      <c r="W2470" s="43">
        <f>W2469+Учет!R2470-R2470</f>
        <v>336855</v>
      </c>
      <c r="X2470" s="43">
        <f>X2469+Учет!S2470-S2470</f>
        <v>500</v>
      </c>
      <c r="Y2470" s="43">
        <f>Y2469+Учет!T2470-T2470</f>
        <v>1150</v>
      </c>
      <c r="Z2470" s="43">
        <f>Z2469+Учет!U2470-U2470</f>
        <v>500000</v>
      </c>
      <c r="AA2470" s="45">
        <f>Учет!X2470</f>
        <v>500</v>
      </c>
    </row>
    <row r="2471" spans="1:27" ht="15" customHeight="1" x14ac:dyDescent="0.25">
      <c r="A2471" s="1"/>
      <c r="B2471" s="17"/>
      <c r="C2471" s="17"/>
      <c r="D2471" s="17"/>
      <c r="E2471" s="17"/>
      <c r="F2471" s="17"/>
      <c r="G2471" s="4">
        <f t="shared" si="111"/>
        <v>0</v>
      </c>
      <c r="H2471" s="17"/>
      <c r="I2471" s="4">
        <f t="shared" si="113"/>
        <v>349526.07999999996</v>
      </c>
      <c r="J2471" s="32" t="str">
        <f t="shared" si="112"/>
        <v/>
      </c>
      <c r="K2471" s="72"/>
      <c r="L2471" s="72"/>
      <c r="M2471" s="2"/>
      <c r="N2471" s="5"/>
      <c r="O2471" s="3"/>
      <c r="P2471" s="6"/>
      <c r="Q2471" s="48">
        <f>IF(Учет!$O2471=Справочники!$F$2,Учет!$H2471,0)</f>
        <v>0</v>
      </c>
      <c r="R2471" s="48">
        <f>IF(Учет!$O2471=Справочники!$F$3,Учет!$H2471,0)</f>
        <v>0</v>
      </c>
      <c r="S2471" s="48">
        <f>IF(Учет!$O2471=Справочники!$F$4,Учет!$H2471,0)</f>
        <v>0</v>
      </c>
      <c r="T2471" s="48">
        <f>IF(Учет!$O2471=Справочники!$F$5,Учет!$H2471,0)</f>
        <v>0</v>
      </c>
      <c r="U2471" s="48">
        <f>IF(Учет!$O2471=Справочники!$F$6,Учет!$H2471,0)</f>
        <v>0</v>
      </c>
      <c r="V2471" s="43">
        <f>V2470+Учет!Q2471-Q2471</f>
        <v>-488978.92000000004</v>
      </c>
      <c r="W2471" s="43">
        <f>W2470+Учет!R2471-R2471</f>
        <v>336855</v>
      </c>
      <c r="X2471" s="43">
        <f>X2470+Учет!S2471-S2471</f>
        <v>500</v>
      </c>
      <c r="Y2471" s="43">
        <f>Y2470+Учет!T2471-T2471</f>
        <v>1150</v>
      </c>
      <c r="Z2471" s="43">
        <f>Z2470+Учет!U2471-U2471</f>
        <v>500000</v>
      </c>
      <c r="AA2471" s="45">
        <f>Учет!X2471</f>
        <v>500</v>
      </c>
    </row>
    <row r="2472" spans="1:27" ht="15" customHeight="1" x14ac:dyDescent="0.25">
      <c r="A2472" s="1"/>
      <c r="B2472" s="17"/>
      <c r="C2472" s="17"/>
      <c r="D2472" s="17"/>
      <c r="E2472" s="17"/>
      <c r="F2472" s="17"/>
      <c r="G2472" s="4">
        <f t="shared" si="111"/>
        <v>0</v>
      </c>
      <c r="H2472" s="17"/>
      <c r="I2472" s="4">
        <f t="shared" si="113"/>
        <v>349526.07999999996</v>
      </c>
      <c r="J2472" s="32" t="str">
        <f t="shared" si="112"/>
        <v/>
      </c>
      <c r="K2472" s="72"/>
      <c r="L2472" s="72"/>
      <c r="M2472" s="2"/>
      <c r="N2472" s="5"/>
      <c r="O2472" s="3"/>
      <c r="P2472" s="6"/>
      <c r="Q2472" s="48">
        <f>IF(Учет!$O2472=Справочники!$F$2,Учет!$H2472,0)</f>
        <v>0</v>
      </c>
      <c r="R2472" s="48">
        <f>IF(Учет!$O2472=Справочники!$F$3,Учет!$H2472,0)</f>
        <v>0</v>
      </c>
      <c r="S2472" s="48">
        <f>IF(Учет!$O2472=Справочники!$F$4,Учет!$H2472,0)</f>
        <v>0</v>
      </c>
      <c r="T2472" s="48">
        <f>IF(Учет!$O2472=Справочники!$F$5,Учет!$H2472,0)</f>
        <v>0</v>
      </c>
      <c r="U2472" s="48">
        <f>IF(Учет!$O2472=Справочники!$F$6,Учет!$H2472,0)</f>
        <v>0</v>
      </c>
      <c r="V2472" s="43">
        <f>V2471+Учет!Q2472-Q2472</f>
        <v>-488978.92000000004</v>
      </c>
      <c r="W2472" s="43">
        <f>W2471+Учет!R2472-R2472</f>
        <v>336855</v>
      </c>
      <c r="X2472" s="43">
        <f>X2471+Учет!S2472-S2472</f>
        <v>500</v>
      </c>
      <c r="Y2472" s="43">
        <f>Y2471+Учет!T2472-T2472</f>
        <v>1150</v>
      </c>
      <c r="Z2472" s="43">
        <f>Z2471+Учет!U2472-U2472</f>
        <v>500000</v>
      </c>
      <c r="AA2472" s="45">
        <f>Учет!X2472</f>
        <v>500</v>
      </c>
    </row>
    <row r="2473" spans="1:27" ht="15" customHeight="1" x14ac:dyDescent="0.25">
      <c r="A2473" s="1"/>
      <c r="B2473" s="17"/>
      <c r="C2473" s="17"/>
      <c r="D2473" s="17"/>
      <c r="E2473" s="17"/>
      <c r="F2473" s="17"/>
      <c r="G2473" s="4">
        <f t="shared" si="111"/>
        <v>0</v>
      </c>
      <c r="H2473" s="17"/>
      <c r="I2473" s="4">
        <f t="shared" si="113"/>
        <v>349526.07999999996</v>
      </c>
      <c r="J2473" s="32" t="str">
        <f t="shared" si="112"/>
        <v/>
      </c>
      <c r="K2473" s="72"/>
      <c r="L2473" s="72"/>
      <c r="M2473" s="2"/>
      <c r="N2473" s="5"/>
      <c r="O2473" s="3"/>
      <c r="P2473" s="6"/>
      <c r="Q2473" s="48">
        <f>IF(Учет!$O2473=Справочники!$F$2,Учет!$H2473,0)</f>
        <v>0</v>
      </c>
      <c r="R2473" s="48">
        <f>IF(Учет!$O2473=Справочники!$F$3,Учет!$H2473,0)</f>
        <v>0</v>
      </c>
      <c r="S2473" s="48">
        <f>IF(Учет!$O2473=Справочники!$F$4,Учет!$H2473,0)</f>
        <v>0</v>
      </c>
      <c r="T2473" s="48">
        <f>IF(Учет!$O2473=Справочники!$F$5,Учет!$H2473,0)</f>
        <v>0</v>
      </c>
      <c r="U2473" s="48">
        <f>IF(Учет!$O2473=Справочники!$F$6,Учет!$H2473,0)</f>
        <v>0</v>
      </c>
      <c r="V2473" s="43">
        <f>V2472+Учет!Q2473-Q2473</f>
        <v>-488978.92000000004</v>
      </c>
      <c r="W2473" s="43">
        <f>W2472+Учет!R2473-R2473</f>
        <v>336855</v>
      </c>
      <c r="X2473" s="43">
        <f>X2472+Учет!S2473-S2473</f>
        <v>500</v>
      </c>
      <c r="Y2473" s="43">
        <f>Y2472+Учет!T2473-T2473</f>
        <v>1150</v>
      </c>
      <c r="Z2473" s="43">
        <f>Z2472+Учет!U2473-U2473</f>
        <v>500000</v>
      </c>
      <c r="AA2473" s="45">
        <f>Учет!X2473</f>
        <v>500</v>
      </c>
    </row>
    <row r="2474" spans="1:27" ht="15" customHeight="1" x14ac:dyDescent="0.25">
      <c r="A2474" s="1"/>
      <c r="B2474" s="17"/>
      <c r="C2474" s="17"/>
      <c r="D2474" s="17"/>
      <c r="E2474" s="17"/>
      <c r="F2474" s="17"/>
      <c r="G2474" s="4">
        <f t="shared" si="111"/>
        <v>0</v>
      </c>
      <c r="H2474" s="17"/>
      <c r="I2474" s="4">
        <f t="shared" si="113"/>
        <v>349526.07999999996</v>
      </c>
      <c r="J2474" s="32" t="str">
        <f t="shared" si="112"/>
        <v/>
      </c>
      <c r="K2474" s="72"/>
      <c r="L2474" s="72"/>
      <c r="M2474" s="2"/>
      <c r="N2474" s="5"/>
      <c r="O2474" s="3"/>
      <c r="P2474" s="6"/>
      <c r="Q2474" s="48">
        <f>IF(Учет!$O2474=Справочники!$F$2,Учет!$H2474,0)</f>
        <v>0</v>
      </c>
      <c r="R2474" s="48">
        <f>IF(Учет!$O2474=Справочники!$F$3,Учет!$H2474,0)</f>
        <v>0</v>
      </c>
      <c r="S2474" s="48">
        <f>IF(Учет!$O2474=Справочники!$F$4,Учет!$H2474,0)</f>
        <v>0</v>
      </c>
      <c r="T2474" s="48">
        <f>IF(Учет!$O2474=Справочники!$F$5,Учет!$H2474,0)</f>
        <v>0</v>
      </c>
      <c r="U2474" s="48">
        <f>IF(Учет!$O2474=Справочники!$F$6,Учет!$H2474,0)</f>
        <v>0</v>
      </c>
      <c r="V2474" s="43">
        <f>V2473+Учет!Q2474-Q2474</f>
        <v>-488978.92000000004</v>
      </c>
      <c r="W2474" s="43">
        <f>W2473+Учет!R2474-R2474</f>
        <v>336855</v>
      </c>
      <c r="X2474" s="43">
        <f>X2473+Учет!S2474-S2474</f>
        <v>500</v>
      </c>
      <c r="Y2474" s="43">
        <f>Y2473+Учет!T2474-T2474</f>
        <v>1150</v>
      </c>
      <c r="Z2474" s="43">
        <f>Z2473+Учет!U2474-U2474</f>
        <v>500000</v>
      </c>
      <c r="AA2474" s="45">
        <f>Учет!X2474</f>
        <v>500</v>
      </c>
    </row>
    <row r="2475" spans="1:27" ht="15" customHeight="1" x14ac:dyDescent="0.25">
      <c r="A2475" s="1"/>
      <c r="B2475" s="17"/>
      <c r="C2475" s="17"/>
      <c r="D2475" s="17"/>
      <c r="E2475" s="17"/>
      <c r="F2475" s="17"/>
      <c r="G2475" s="4">
        <f t="shared" si="111"/>
        <v>0</v>
      </c>
      <c r="H2475" s="17"/>
      <c r="I2475" s="4">
        <f t="shared" si="113"/>
        <v>349526.07999999996</v>
      </c>
      <c r="J2475" s="32" t="str">
        <f t="shared" si="112"/>
        <v/>
      </c>
      <c r="K2475" s="72"/>
      <c r="L2475" s="72"/>
      <c r="M2475" s="2"/>
      <c r="N2475" s="5"/>
      <c r="O2475" s="3"/>
      <c r="P2475" s="6"/>
      <c r="Q2475" s="48">
        <f>IF(Учет!$O2475=Справочники!$F$2,Учет!$H2475,0)</f>
        <v>0</v>
      </c>
      <c r="R2475" s="48">
        <f>IF(Учет!$O2475=Справочники!$F$3,Учет!$H2475,0)</f>
        <v>0</v>
      </c>
      <c r="S2475" s="48">
        <f>IF(Учет!$O2475=Справочники!$F$4,Учет!$H2475,0)</f>
        <v>0</v>
      </c>
      <c r="T2475" s="48">
        <f>IF(Учет!$O2475=Справочники!$F$5,Учет!$H2475,0)</f>
        <v>0</v>
      </c>
      <c r="U2475" s="48">
        <f>IF(Учет!$O2475=Справочники!$F$6,Учет!$H2475,0)</f>
        <v>0</v>
      </c>
      <c r="V2475" s="43">
        <f>V2474+Учет!Q2475-Q2475</f>
        <v>-488978.92000000004</v>
      </c>
      <c r="W2475" s="43">
        <f>W2474+Учет!R2475-R2475</f>
        <v>336855</v>
      </c>
      <c r="X2475" s="43">
        <f>X2474+Учет!S2475-S2475</f>
        <v>500</v>
      </c>
      <c r="Y2475" s="43">
        <f>Y2474+Учет!T2475-T2475</f>
        <v>1150</v>
      </c>
      <c r="Z2475" s="43">
        <f>Z2474+Учет!U2475-U2475</f>
        <v>500000</v>
      </c>
      <c r="AA2475" s="45">
        <f>Учет!X2475</f>
        <v>500</v>
      </c>
    </row>
    <row r="2476" spans="1:27" ht="15" customHeight="1" x14ac:dyDescent="0.25">
      <c r="A2476" s="1"/>
      <c r="B2476" s="17"/>
      <c r="C2476" s="17"/>
      <c r="D2476" s="17"/>
      <c r="E2476" s="17"/>
      <c r="F2476" s="17"/>
      <c r="G2476" s="4">
        <f t="shared" si="111"/>
        <v>0</v>
      </c>
      <c r="H2476" s="17"/>
      <c r="I2476" s="4">
        <f t="shared" si="113"/>
        <v>349526.07999999996</v>
      </c>
      <c r="J2476" s="32" t="str">
        <f t="shared" si="112"/>
        <v/>
      </c>
      <c r="K2476" s="72"/>
      <c r="L2476" s="72"/>
      <c r="M2476" s="2"/>
      <c r="N2476" s="5"/>
      <c r="O2476" s="3"/>
      <c r="P2476" s="6"/>
      <c r="Q2476" s="48">
        <f>IF(Учет!$O2476=Справочники!$F$2,Учет!$H2476,0)</f>
        <v>0</v>
      </c>
      <c r="R2476" s="48">
        <f>IF(Учет!$O2476=Справочники!$F$3,Учет!$H2476,0)</f>
        <v>0</v>
      </c>
      <c r="S2476" s="48">
        <f>IF(Учет!$O2476=Справочники!$F$4,Учет!$H2476,0)</f>
        <v>0</v>
      </c>
      <c r="T2476" s="48">
        <f>IF(Учет!$O2476=Справочники!$F$5,Учет!$H2476,0)</f>
        <v>0</v>
      </c>
      <c r="U2476" s="48">
        <f>IF(Учет!$O2476=Справочники!$F$6,Учет!$H2476,0)</f>
        <v>0</v>
      </c>
      <c r="V2476" s="43">
        <f>V2475+Учет!Q2476-Q2476</f>
        <v>-488978.92000000004</v>
      </c>
      <c r="W2476" s="43">
        <f>W2475+Учет!R2476-R2476</f>
        <v>336855</v>
      </c>
      <c r="X2476" s="43">
        <f>X2475+Учет!S2476-S2476</f>
        <v>500</v>
      </c>
      <c r="Y2476" s="43">
        <f>Y2475+Учет!T2476-T2476</f>
        <v>1150</v>
      </c>
      <c r="Z2476" s="43">
        <f>Z2475+Учет!U2476-U2476</f>
        <v>500000</v>
      </c>
      <c r="AA2476" s="45">
        <f>Учет!X2476</f>
        <v>500</v>
      </c>
    </row>
    <row r="2477" spans="1:27" ht="15" customHeight="1" x14ac:dyDescent="0.25">
      <c r="A2477" s="1"/>
      <c r="B2477" s="17"/>
      <c r="C2477" s="17"/>
      <c r="D2477" s="17"/>
      <c r="E2477" s="17"/>
      <c r="F2477" s="17"/>
      <c r="G2477" s="4">
        <f t="shared" si="111"/>
        <v>0</v>
      </c>
      <c r="H2477" s="17"/>
      <c r="I2477" s="4">
        <f t="shared" si="113"/>
        <v>349526.07999999996</v>
      </c>
      <c r="J2477" s="32" t="str">
        <f t="shared" si="112"/>
        <v/>
      </c>
      <c r="K2477" s="72"/>
      <c r="L2477" s="72"/>
      <c r="M2477" s="2"/>
      <c r="N2477" s="5"/>
      <c r="O2477" s="3"/>
      <c r="P2477" s="6"/>
      <c r="Q2477" s="48">
        <f>IF(Учет!$O2477=Справочники!$F$2,Учет!$H2477,0)</f>
        <v>0</v>
      </c>
      <c r="R2477" s="48">
        <f>IF(Учет!$O2477=Справочники!$F$3,Учет!$H2477,0)</f>
        <v>0</v>
      </c>
      <c r="S2477" s="48">
        <f>IF(Учет!$O2477=Справочники!$F$4,Учет!$H2477,0)</f>
        <v>0</v>
      </c>
      <c r="T2477" s="48">
        <f>IF(Учет!$O2477=Справочники!$F$5,Учет!$H2477,0)</f>
        <v>0</v>
      </c>
      <c r="U2477" s="48">
        <f>IF(Учет!$O2477=Справочники!$F$6,Учет!$H2477,0)</f>
        <v>0</v>
      </c>
      <c r="V2477" s="43">
        <f>V2476+Учет!Q2477-Q2477</f>
        <v>-488978.92000000004</v>
      </c>
      <c r="W2477" s="43">
        <f>W2476+Учет!R2477-R2477</f>
        <v>336855</v>
      </c>
      <c r="X2477" s="43">
        <f>X2476+Учет!S2477-S2477</f>
        <v>500</v>
      </c>
      <c r="Y2477" s="43">
        <f>Y2476+Учет!T2477-T2477</f>
        <v>1150</v>
      </c>
      <c r="Z2477" s="43">
        <f>Z2476+Учет!U2477-U2477</f>
        <v>500000</v>
      </c>
      <c r="AA2477" s="45">
        <f>Учет!X2477</f>
        <v>500</v>
      </c>
    </row>
    <row r="2478" spans="1:27" ht="15" customHeight="1" x14ac:dyDescent="0.25">
      <c r="A2478" s="1"/>
      <c r="B2478" s="17"/>
      <c r="C2478" s="17"/>
      <c r="D2478" s="17"/>
      <c r="E2478" s="17"/>
      <c r="F2478" s="17"/>
      <c r="G2478" s="4">
        <f t="shared" si="111"/>
        <v>0</v>
      </c>
      <c r="H2478" s="17"/>
      <c r="I2478" s="4">
        <f t="shared" si="113"/>
        <v>349526.07999999996</v>
      </c>
      <c r="J2478" s="32" t="str">
        <f t="shared" si="112"/>
        <v/>
      </c>
      <c r="K2478" s="72"/>
      <c r="L2478" s="72"/>
      <c r="M2478" s="2"/>
      <c r="N2478" s="5"/>
      <c r="O2478" s="3"/>
      <c r="P2478" s="6"/>
      <c r="Q2478" s="48">
        <f>IF(Учет!$O2478=Справочники!$F$2,Учет!$H2478,0)</f>
        <v>0</v>
      </c>
      <c r="R2478" s="48">
        <f>IF(Учет!$O2478=Справочники!$F$3,Учет!$H2478,0)</f>
        <v>0</v>
      </c>
      <c r="S2478" s="48">
        <f>IF(Учет!$O2478=Справочники!$F$4,Учет!$H2478,0)</f>
        <v>0</v>
      </c>
      <c r="T2478" s="48">
        <f>IF(Учет!$O2478=Справочники!$F$5,Учет!$H2478,0)</f>
        <v>0</v>
      </c>
      <c r="U2478" s="48">
        <f>IF(Учет!$O2478=Справочники!$F$6,Учет!$H2478,0)</f>
        <v>0</v>
      </c>
      <c r="V2478" s="43">
        <f>V2477+Учет!Q2478-Q2478</f>
        <v>-488978.92000000004</v>
      </c>
      <c r="W2478" s="43">
        <f>W2477+Учет!R2478-R2478</f>
        <v>336855</v>
      </c>
      <c r="X2478" s="43">
        <f>X2477+Учет!S2478-S2478</f>
        <v>500</v>
      </c>
      <c r="Y2478" s="43">
        <f>Y2477+Учет!T2478-T2478</f>
        <v>1150</v>
      </c>
      <c r="Z2478" s="43">
        <f>Z2477+Учет!U2478-U2478</f>
        <v>500000</v>
      </c>
      <c r="AA2478" s="45">
        <f>Учет!X2478</f>
        <v>500</v>
      </c>
    </row>
    <row r="2479" spans="1:27" ht="15" customHeight="1" x14ac:dyDescent="0.25">
      <c r="A2479" s="1"/>
      <c r="B2479" s="17"/>
      <c r="C2479" s="17"/>
      <c r="D2479" s="17"/>
      <c r="E2479" s="17"/>
      <c r="F2479" s="17"/>
      <c r="G2479" s="4">
        <f t="shared" si="111"/>
        <v>0</v>
      </c>
      <c r="H2479" s="17"/>
      <c r="I2479" s="4">
        <f t="shared" si="113"/>
        <v>349526.07999999996</v>
      </c>
      <c r="J2479" s="32" t="str">
        <f t="shared" si="112"/>
        <v/>
      </c>
      <c r="K2479" s="72"/>
      <c r="L2479" s="72"/>
      <c r="M2479" s="2"/>
      <c r="N2479" s="5"/>
      <c r="O2479" s="3"/>
      <c r="P2479" s="6"/>
      <c r="Q2479" s="48">
        <f>IF(Учет!$O2479=Справочники!$F$2,Учет!$H2479,0)</f>
        <v>0</v>
      </c>
      <c r="R2479" s="48">
        <f>IF(Учет!$O2479=Справочники!$F$3,Учет!$H2479,0)</f>
        <v>0</v>
      </c>
      <c r="S2479" s="48">
        <f>IF(Учет!$O2479=Справочники!$F$4,Учет!$H2479,0)</f>
        <v>0</v>
      </c>
      <c r="T2479" s="48">
        <f>IF(Учет!$O2479=Справочники!$F$5,Учет!$H2479,0)</f>
        <v>0</v>
      </c>
      <c r="U2479" s="48">
        <f>IF(Учет!$O2479=Справочники!$F$6,Учет!$H2479,0)</f>
        <v>0</v>
      </c>
      <c r="V2479" s="43">
        <f>V2478+Учет!Q2479-Q2479</f>
        <v>-488978.92000000004</v>
      </c>
      <c r="W2479" s="43">
        <f>W2478+Учет!R2479-R2479</f>
        <v>336855</v>
      </c>
      <c r="X2479" s="43">
        <f>X2478+Учет!S2479-S2479</f>
        <v>500</v>
      </c>
      <c r="Y2479" s="43">
        <f>Y2478+Учет!T2479-T2479</f>
        <v>1150</v>
      </c>
      <c r="Z2479" s="43">
        <f>Z2478+Учет!U2479-U2479</f>
        <v>500000</v>
      </c>
      <c r="AA2479" s="45">
        <f>Учет!X2479</f>
        <v>500</v>
      </c>
    </row>
    <row r="2480" spans="1:27" ht="15" customHeight="1" x14ac:dyDescent="0.25">
      <c r="A2480" s="1"/>
      <c r="B2480" s="17"/>
      <c r="C2480" s="17"/>
      <c r="D2480" s="17"/>
      <c r="E2480" s="17"/>
      <c r="F2480" s="17"/>
      <c r="G2480" s="4">
        <f t="shared" si="111"/>
        <v>0</v>
      </c>
      <c r="H2480" s="17"/>
      <c r="I2480" s="4">
        <f t="shared" si="113"/>
        <v>349526.07999999996</v>
      </c>
      <c r="J2480" s="32" t="str">
        <f t="shared" si="112"/>
        <v/>
      </c>
      <c r="K2480" s="72"/>
      <c r="L2480" s="72"/>
      <c r="M2480" s="2"/>
      <c r="N2480" s="5"/>
      <c r="O2480" s="3"/>
      <c r="P2480" s="6"/>
      <c r="Q2480" s="48">
        <f>IF(Учет!$O2480=Справочники!$F$2,Учет!$H2480,0)</f>
        <v>0</v>
      </c>
      <c r="R2480" s="48">
        <f>IF(Учет!$O2480=Справочники!$F$3,Учет!$H2480,0)</f>
        <v>0</v>
      </c>
      <c r="S2480" s="48">
        <f>IF(Учет!$O2480=Справочники!$F$4,Учет!$H2480,0)</f>
        <v>0</v>
      </c>
      <c r="T2480" s="48">
        <f>IF(Учет!$O2480=Справочники!$F$5,Учет!$H2480,0)</f>
        <v>0</v>
      </c>
      <c r="U2480" s="48">
        <f>IF(Учет!$O2480=Справочники!$F$6,Учет!$H2480,0)</f>
        <v>0</v>
      </c>
      <c r="V2480" s="43">
        <f>V2479+Учет!Q2480-Q2480</f>
        <v>-488978.92000000004</v>
      </c>
      <c r="W2480" s="43">
        <f>W2479+Учет!R2480-R2480</f>
        <v>336855</v>
      </c>
      <c r="X2480" s="43">
        <f>X2479+Учет!S2480-S2480</f>
        <v>500</v>
      </c>
      <c r="Y2480" s="43">
        <f>Y2479+Учет!T2480-T2480</f>
        <v>1150</v>
      </c>
      <c r="Z2480" s="43">
        <f>Z2479+Учет!U2480-U2480</f>
        <v>500000</v>
      </c>
      <c r="AA2480" s="45">
        <f>Учет!X2480</f>
        <v>500</v>
      </c>
    </row>
    <row r="2481" spans="1:27" ht="15" customHeight="1" x14ac:dyDescent="0.25">
      <c r="A2481" s="1"/>
      <c r="B2481" s="17"/>
      <c r="C2481" s="17"/>
      <c r="D2481" s="17"/>
      <c r="E2481" s="17"/>
      <c r="F2481" s="17"/>
      <c r="G2481" s="4">
        <f t="shared" si="111"/>
        <v>0</v>
      </c>
      <c r="H2481" s="17"/>
      <c r="I2481" s="4">
        <f t="shared" si="113"/>
        <v>349526.07999999996</v>
      </c>
      <c r="J2481" s="32" t="str">
        <f t="shared" si="112"/>
        <v/>
      </c>
      <c r="K2481" s="72"/>
      <c r="L2481" s="72"/>
      <c r="M2481" s="2"/>
      <c r="N2481" s="5"/>
      <c r="O2481" s="3"/>
      <c r="P2481" s="6"/>
      <c r="Q2481" s="48">
        <f>IF(Учет!$O2481=Справочники!$F$2,Учет!$H2481,0)</f>
        <v>0</v>
      </c>
      <c r="R2481" s="48">
        <f>IF(Учет!$O2481=Справочники!$F$3,Учет!$H2481,0)</f>
        <v>0</v>
      </c>
      <c r="S2481" s="48">
        <f>IF(Учет!$O2481=Справочники!$F$4,Учет!$H2481,0)</f>
        <v>0</v>
      </c>
      <c r="T2481" s="48">
        <f>IF(Учет!$O2481=Справочники!$F$5,Учет!$H2481,0)</f>
        <v>0</v>
      </c>
      <c r="U2481" s="48">
        <f>IF(Учет!$O2481=Справочники!$F$6,Учет!$H2481,0)</f>
        <v>0</v>
      </c>
      <c r="V2481" s="43">
        <f>V2480+Учет!Q2481-Q2481</f>
        <v>-488978.92000000004</v>
      </c>
      <c r="W2481" s="43">
        <f>W2480+Учет!R2481-R2481</f>
        <v>336855</v>
      </c>
      <c r="X2481" s="43">
        <f>X2480+Учет!S2481-S2481</f>
        <v>500</v>
      </c>
      <c r="Y2481" s="43">
        <f>Y2480+Учет!T2481-T2481</f>
        <v>1150</v>
      </c>
      <c r="Z2481" s="43">
        <f>Z2480+Учет!U2481-U2481</f>
        <v>500000</v>
      </c>
      <c r="AA2481" s="45">
        <f>Учет!X2481</f>
        <v>500</v>
      </c>
    </row>
    <row r="2482" spans="1:27" ht="15" customHeight="1" x14ac:dyDescent="0.25">
      <c r="A2482" s="1"/>
      <c r="B2482" s="17"/>
      <c r="C2482" s="17"/>
      <c r="D2482" s="17"/>
      <c r="E2482" s="17"/>
      <c r="F2482" s="17"/>
      <c r="G2482" s="4">
        <f t="shared" si="111"/>
        <v>0</v>
      </c>
      <c r="H2482" s="17"/>
      <c r="I2482" s="4">
        <f t="shared" si="113"/>
        <v>349526.07999999996</v>
      </c>
      <c r="J2482" s="32" t="str">
        <f t="shared" si="112"/>
        <v/>
      </c>
      <c r="K2482" s="72"/>
      <c r="L2482" s="72"/>
      <c r="M2482" s="2"/>
      <c r="N2482" s="5"/>
      <c r="O2482" s="3"/>
      <c r="P2482" s="6"/>
      <c r="Q2482" s="48">
        <f>IF(Учет!$O2482=Справочники!$F$2,Учет!$H2482,0)</f>
        <v>0</v>
      </c>
      <c r="R2482" s="48">
        <f>IF(Учет!$O2482=Справочники!$F$3,Учет!$H2482,0)</f>
        <v>0</v>
      </c>
      <c r="S2482" s="48">
        <f>IF(Учет!$O2482=Справочники!$F$4,Учет!$H2482,0)</f>
        <v>0</v>
      </c>
      <c r="T2482" s="48">
        <f>IF(Учет!$O2482=Справочники!$F$5,Учет!$H2482,0)</f>
        <v>0</v>
      </c>
      <c r="U2482" s="48">
        <f>IF(Учет!$O2482=Справочники!$F$6,Учет!$H2482,0)</f>
        <v>0</v>
      </c>
      <c r="V2482" s="43">
        <f>V2481+Учет!Q2482-Q2482</f>
        <v>-488978.92000000004</v>
      </c>
      <c r="W2482" s="43">
        <f>W2481+Учет!R2482-R2482</f>
        <v>336855</v>
      </c>
      <c r="X2482" s="43">
        <f>X2481+Учет!S2482-S2482</f>
        <v>500</v>
      </c>
      <c r="Y2482" s="43">
        <f>Y2481+Учет!T2482-T2482</f>
        <v>1150</v>
      </c>
      <c r="Z2482" s="43">
        <f>Z2481+Учет!U2482-U2482</f>
        <v>500000</v>
      </c>
      <c r="AA2482" s="45">
        <f>Учет!X2482</f>
        <v>500</v>
      </c>
    </row>
    <row r="2483" spans="1:27" ht="15" customHeight="1" x14ac:dyDescent="0.25">
      <c r="A2483" s="1"/>
      <c r="B2483" s="17"/>
      <c r="C2483" s="17"/>
      <c r="D2483" s="17"/>
      <c r="E2483" s="17"/>
      <c r="F2483" s="17"/>
      <c r="G2483" s="4">
        <f t="shared" si="111"/>
        <v>0</v>
      </c>
      <c r="H2483" s="17"/>
      <c r="I2483" s="4">
        <f t="shared" si="113"/>
        <v>349526.07999999996</v>
      </c>
      <c r="J2483" s="32" t="str">
        <f t="shared" si="112"/>
        <v/>
      </c>
      <c r="K2483" s="72"/>
      <c r="L2483" s="72"/>
      <c r="M2483" s="2"/>
      <c r="N2483" s="5"/>
      <c r="O2483" s="3"/>
      <c r="P2483" s="6"/>
      <c r="Q2483" s="48">
        <f>IF(Учет!$O2483=Справочники!$F$2,Учет!$H2483,0)</f>
        <v>0</v>
      </c>
      <c r="R2483" s="48">
        <f>IF(Учет!$O2483=Справочники!$F$3,Учет!$H2483,0)</f>
        <v>0</v>
      </c>
      <c r="S2483" s="48">
        <f>IF(Учет!$O2483=Справочники!$F$4,Учет!$H2483,0)</f>
        <v>0</v>
      </c>
      <c r="T2483" s="48">
        <f>IF(Учет!$O2483=Справочники!$F$5,Учет!$H2483,0)</f>
        <v>0</v>
      </c>
      <c r="U2483" s="48">
        <f>IF(Учет!$O2483=Справочники!$F$6,Учет!$H2483,0)</f>
        <v>0</v>
      </c>
      <c r="V2483" s="43">
        <f>V2482+Учет!Q2483-Q2483</f>
        <v>-488978.92000000004</v>
      </c>
      <c r="W2483" s="43">
        <f>W2482+Учет!R2483-R2483</f>
        <v>336855</v>
      </c>
      <c r="X2483" s="43">
        <f>X2482+Учет!S2483-S2483</f>
        <v>500</v>
      </c>
      <c r="Y2483" s="43">
        <f>Y2482+Учет!T2483-T2483</f>
        <v>1150</v>
      </c>
      <c r="Z2483" s="43">
        <f>Z2482+Учет!U2483-U2483</f>
        <v>500000</v>
      </c>
      <c r="AA2483" s="45">
        <f>Учет!X2483</f>
        <v>500</v>
      </c>
    </row>
    <row r="2484" spans="1:27" ht="15" customHeight="1" x14ac:dyDescent="0.25">
      <c r="A2484" s="1"/>
      <c r="B2484" s="17"/>
      <c r="C2484" s="17"/>
      <c r="D2484" s="17"/>
      <c r="E2484" s="17"/>
      <c r="F2484" s="17"/>
      <c r="G2484" s="4">
        <f t="shared" si="111"/>
        <v>0</v>
      </c>
      <c r="H2484" s="17"/>
      <c r="I2484" s="4">
        <f t="shared" si="113"/>
        <v>349526.07999999996</v>
      </c>
      <c r="J2484" s="32" t="str">
        <f t="shared" si="112"/>
        <v/>
      </c>
      <c r="K2484" s="72"/>
      <c r="L2484" s="72"/>
      <c r="M2484" s="2"/>
      <c r="N2484" s="5"/>
      <c r="O2484" s="3"/>
      <c r="P2484" s="6"/>
      <c r="Q2484" s="48">
        <f>IF(Учет!$O2484=Справочники!$F$2,Учет!$H2484,0)</f>
        <v>0</v>
      </c>
      <c r="R2484" s="48">
        <f>IF(Учет!$O2484=Справочники!$F$3,Учет!$H2484,0)</f>
        <v>0</v>
      </c>
      <c r="S2484" s="48">
        <f>IF(Учет!$O2484=Справочники!$F$4,Учет!$H2484,0)</f>
        <v>0</v>
      </c>
      <c r="T2484" s="48">
        <f>IF(Учет!$O2484=Справочники!$F$5,Учет!$H2484,0)</f>
        <v>0</v>
      </c>
      <c r="U2484" s="48">
        <f>IF(Учет!$O2484=Справочники!$F$6,Учет!$H2484,0)</f>
        <v>0</v>
      </c>
      <c r="V2484" s="43">
        <f>V2483+Учет!Q2484-Q2484</f>
        <v>-488978.92000000004</v>
      </c>
      <c r="W2484" s="43">
        <f>W2483+Учет!R2484-R2484</f>
        <v>336855</v>
      </c>
      <c r="X2484" s="43">
        <f>X2483+Учет!S2484-S2484</f>
        <v>500</v>
      </c>
      <c r="Y2484" s="43">
        <f>Y2483+Учет!T2484-T2484</f>
        <v>1150</v>
      </c>
      <c r="Z2484" s="43">
        <f>Z2483+Учет!U2484-U2484</f>
        <v>500000</v>
      </c>
      <c r="AA2484" s="45">
        <f>Учет!X2484</f>
        <v>500</v>
      </c>
    </row>
    <row r="2485" spans="1:27" ht="15" customHeight="1" x14ac:dyDescent="0.25">
      <c r="A2485" s="1"/>
      <c r="B2485" s="17"/>
      <c r="C2485" s="17"/>
      <c r="D2485" s="17"/>
      <c r="E2485" s="17"/>
      <c r="F2485" s="17"/>
      <c r="G2485" s="4">
        <f t="shared" si="111"/>
        <v>0</v>
      </c>
      <c r="H2485" s="17"/>
      <c r="I2485" s="4">
        <f t="shared" si="113"/>
        <v>349526.07999999996</v>
      </c>
      <c r="J2485" s="32" t="str">
        <f t="shared" si="112"/>
        <v/>
      </c>
      <c r="K2485" s="72"/>
      <c r="L2485" s="72"/>
      <c r="M2485" s="2"/>
      <c r="N2485" s="5"/>
      <c r="O2485" s="3"/>
      <c r="P2485" s="6"/>
      <c r="Q2485" s="48">
        <f>IF(Учет!$O2485=Справочники!$F$2,Учет!$H2485,0)</f>
        <v>0</v>
      </c>
      <c r="R2485" s="48">
        <f>IF(Учет!$O2485=Справочники!$F$3,Учет!$H2485,0)</f>
        <v>0</v>
      </c>
      <c r="S2485" s="48">
        <f>IF(Учет!$O2485=Справочники!$F$4,Учет!$H2485,0)</f>
        <v>0</v>
      </c>
      <c r="T2485" s="48">
        <f>IF(Учет!$O2485=Справочники!$F$5,Учет!$H2485,0)</f>
        <v>0</v>
      </c>
      <c r="U2485" s="48">
        <f>IF(Учет!$O2485=Справочники!$F$6,Учет!$H2485,0)</f>
        <v>0</v>
      </c>
      <c r="V2485" s="43">
        <f>V2484+Учет!Q2485-Q2485</f>
        <v>-488978.92000000004</v>
      </c>
      <c r="W2485" s="43">
        <f>W2484+Учет!R2485-R2485</f>
        <v>336855</v>
      </c>
      <c r="X2485" s="43">
        <f>X2484+Учет!S2485-S2485</f>
        <v>500</v>
      </c>
      <c r="Y2485" s="43">
        <f>Y2484+Учет!T2485-T2485</f>
        <v>1150</v>
      </c>
      <c r="Z2485" s="43">
        <f>Z2484+Учет!U2485-U2485</f>
        <v>500000</v>
      </c>
      <c r="AA2485" s="45">
        <f>Учет!X2485</f>
        <v>500</v>
      </c>
    </row>
    <row r="2486" spans="1:27" ht="15" customHeight="1" x14ac:dyDescent="0.25">
      <c r="A2486" s="1"/>
      <c r="B2486" s="17"/>
      <c r="C2486" s="17"/>
      <c r="D2486" s="17"/>
      <c r="E2486" s="17"/>
      <c r="F2486" s="17"/>
      <c r="G2486" s="4">
        <f t="shared" si="111"/>
        <v>0</v>
      </c>
      <c r="H2486" s="17"/>
      <c r="I2486" s="4">
        <f t="shared" si="113"/>
        <v>349526.07999999996</v>
      </c>
      <c r="J2486" s="32" t="str">
        <f t="shared" si="112"/>
        <v/>
      </c>
      <c r="K2486" s="72"/>
      <c r="L2486" s="72"/>
      <c r="M2486" s="2"/>
      <c r="N2486" s="5"/>
      <c r="O2486" s="3"/>
      <c r="P2486" s="6"/>
      <c r="Q2486" s="48">
        <f>IF(Учет!$O2486=Справочники!$F$2,Учет!$H2486,0)</f>
        <v>0</v>
      </c>
      <c r="R2486" s="48">
        <f>IF(Учет!$O2486=Справочники!$F$3,Учет!$H2486,0)</f>
        <v>0</v>
      </c>
      <c r="S2486" s="48">
        <f>IF(Учет!$O2486=Справочники!$F$4,Учет!$H2486,0)</f>
        <v>0</v>
      </c>
      <c r="T2486" s="48">
        <f>IF(Учет!$O2486=Справочники!$F$5,Учет!$H2486,0)</f>
        <v>0</v>
      </c>
      <c r="U2486" s="48">
        <f>IF(Учет!$O2486=Справочники!$F$6,Учет!$H2486,0)</f>
        <v>0</v>
      </c>
      <c r="V2486" s="43">
        <f>V2485+Учет!Q2486-Q2486</f>
        <v>-488978.92000000004</v>
      </c>
      <c r="W2486" s="43">
        <f>W2485+Учет!R2486-R2486</f>
        <v>336855</v>
      </c>
      <c r="X2486" s="43">
        <f>X2485+Учет!S2486-S2486</f>
        <v>500</v>
      </c>
      <c r="Y2486" s="43">
        <f>Y2485+Учет!T2486-T2486</f>
        <v>1150</v>
      </c>
      <c r="Z2486" s="43">
        <f>Z2485+Учет!U2486-U2486</f>
        <v>500000</v>
      </c>
      <c r="AA2486" s="45">
        <f>Учет!X2486</f>
        <v>500</v>
      </c>
    </row>
    <row r="2487" spans="1:27" ht="15" customHeight="1" x14ac:dyDescent="0.25">
      <c r="A2487" s="1"/>
      <c r="B2487" s="17"/>
      <c r="C2487" s="17"/>
      <c r="D2487" s="17"/>
      <c r="E2487" s="17"/>
      <c r="F2487" s="17"/>
      <c r="G2487" s="4">
        <f t="shared" si="111"/>
        <v>0</v>
      </c>
      <c r="H2487" s="17"/>
      <c r="I2487" s="4">
        <f t="shared" si="113"/>
        <v>349526.07999999996</v>
      </c>
      <c r="J2487" s="32" t="str">
        <f t="shared" si="112"/>
        <v/>
      </c>
      <c r="K2487" s="72"/>
      <c r="L2487" s="72"/>
      <c r="M2487" s="2"/>
      <c r="N2487" s="5"/>
      <c r="O2487" s="3"/>
      <c r="P2487" s="6"/>
      <c r="Q2487" s="48">
        <f>IF(Учет!$O2487=Справочники!$F$2,Учет!$H2487,0)</f>
        <v>0</v>
      </c>
      <c r="R2487" s="48">
        <f>IF(Учет!$O2487=Справочники!$F$3,Учет!$H2487,0)</f>
        <v>0</v>
      </c>
      <c r="S2487" s="48">
        <f>IF(Учет!$O2487=Справочники!$F$4,Учет!$H2487,0)</f>
        <v>0</v>
      </c>
      <c r="T2487" s="48">
        <f>IF(Учет!$O2487=Справочники!$F$5,Учет!$H2487,0)</f>
        <v>0</v>
      </c>
      <c r="U2487" s="48">
        <f>IF(Учет!$O2487=Справочники!$F$6,Учет!$H2487,0)</f>
        <v>0</v>
      </c>
      <c r="V2487" s="43">
        <f>V2486+Учет!Q2487-Q2487</f>
        <v>-488978.92000000004</v>
      </c>
      <c r="W2487" s="43">
        <f>W2486+Учет!R2487-R2487</f>
        <v>336855</v>
      </c>
      <c r="X2487" s="43">
        <f>X2486+Учет!S2487-S2487</f>
        <v>500</v>
      </c>
      <c r="Y2487" s="43">
        <f>Y2486+Учет!T2487-T2487</f>
        <v>1150</v>
      </c>
      <c r="Z2487" s="43">
        <f>Z2486+Учет!U2487-U2487</f>
        <v>500000</v>
      </c>
      <c r="AA2487" s="45">
        <f>Учет!X2487</f>
        <v>500</v>
      </c>
    </row>
    <row r="2488" spans="1:27" ht="15" customHeight="1" x14ac:dyDescent="0.25">
      <c r="A2488" s="1"/>
      <c r="B2488" s="17"/>
      <c r="C2488" s="17"/>
      <c r="D2488" s="17"/>
      <c r="E2488" s="17"/>
      <c r="F2488" s="17"/>
      <c r="G2488" s="4">
        <f t="shared" si="111"/>
        <v>0</v>
      </c>
      <c r="H2488" s="17"/>
      <c r="I2488" s="4">
        <f t="shared" si="113"/>
        <v>349526.07999999996</v>
      </c>
      <c r="J2488" s="32" t="str">
        <f t="shared" si="112"/>
        <v/>
      </c>
      <c r="K2488" s="72"/>
      <c r="L2488" s="72"/>
      <c r="M2488" s="2"/>
      <c r="N2488" s="5"/>
      <c r="O2488" s="3"/>
      <c r="P2488" s="6"/>
      <c r="Q2488" s="48">
        <f>IF(Учет!$O2488=Справочники!$F$2,Учет!$H2488,0)</f>
        <v>0</v>
      </c>
      <c r="R2488" s="48">
        <f>IF(Учет!$O2488=Справочники!$F$3,Учет!$H2488,0)</f>
        <v>0</v>
      </c>
      <c r="S2488" s="48">
        <f>IF(Учет!$O2488=Справочники!$F$4,Учет!$H2488,0)</f>
        <v>0</v>
      </c>
      <c r="T2488" s="48">
        <f>IF(Учет!$O2488=Справочники!$F$5,Учет!$H2488,0)</f>
        <v>0</v>
      </c>
      <c r="U2488" s="48">
        <f>IF(Учет!$O2488=Справочники!$F$6,Учет!$H2488,0)</f>
        <v>0</v>
      </c>
      <c r="V2488" s="43">
        <f>V2487+Учет!Q2488-Q2488</f>
        <v>-488978.92000000004</v>
      </c>
      <c r="W2488" s="43">
        <f>W2487+Учет!R2488-R2488</f>
        <v>336855</v>
      </c>
      <c r="X2488" s="43">
        <f>X2487+Учет!S2488-S2488</f>
        <v>500</v>
      </c>
      <c r="Y2488" s="43">
        <f>Y2487+Учет!T2488-T2488</f>
        <v>1150</v>
      </c>
      <c r="Z2488" s="43">
        <f>Z2487+Учет!U2488-U2488</f>
        <v>500000</v>
      </c>
      <c r="AA2488" s="45">
        <f>Учет!X2488</f>
        <v>500</v>
      </c>
    </row>
    <row r="2489" spans="1:27" ht="15" customHeight="1" x14ac:dyDescent="0.25">
      <c r="A2489" s="1"/>
      <c r="B2489" s="17"/>
      <c r="C2489" s="17"/>
      <c r="D2489" s="17"/>
      <c r="E2489" s="17"/>
      <c r="F2489" s="17"/>
      <c r="G2489" s="4">
        <f t="shared" si="111"/>
        <v>0</v>
      </c>
      <c r="H2489" s="17"/>
      <c r="I2489" s="4">
        <f t="shared" si="113"/>
        <v>349526.07999999996</v>
      </c>
      <c r="J2489" s="32" t="str">
        <f t="shared" si="112"/>
        <v/>
      </c>
      <c r="K2489" s="72"/>
      <c r="L2489" s="72"/>
      <c r="M2489" s="2"/>
      <c r="N2489" s="5"/>
      <c r="O2489" s="3"/>
      <c r="P2489" s="6"/>
      <c r="Q2489" s="48">
        <f>IF(Учет!$O2489=Справочники!$F$2,Учет!$H2489,0)</f>
        <v>0</v>
      </c>
      <c r="R2489" s="48">
        <f>IF(Учет!$O2489=Справочники!$F$3,Учет!$H2489,0)</f>
        <v>0</v>
      </c>
      <c r="S2489" s="48">
        <f>IF(Учет!$O2489=Справочники!$F$4,Учет!$H2489,0)</f>
        <v>0</v>
      </c>
      <c r="T2489" s="48">
        <f>IF(Учет!$O2489=Справочники!$F$5,Учет!$H2489,0)</f>
        <v>0</v>
      </c>
      <c r="U2489" s="48">
        <f>IF(Учет!$O2489=Справочники!$F$6,Учет!$H2489,0)</f>
        <v>0</v>
      </c>
      <c r="V2489" s="43">
        <f>V2488+Учет!Q2489-Q2489</f>
        <v>-488978.92000000004</v>
      </c>
      <c r="W2489" s="43">
        <f>W2488+Учет!R2489-R2489</f>
        <v>336855</v>
      </c>
      <c r="X2489" s="43">
        <f>X2488+Учет!S2489-S2489</f>
        <v>500</v>
      </c>
      <c r="Y2489" s="43">
        <f>Y2488+Учет!T2489-T2489</f>
        <v>1150</v>
      </c>
      <c r="Z2489" s="43">
        <f>Z2488+Учет!U2489-U2489</f>
        <v>500000</v>
      </c>
      <c r="AA2489" s="45">
        <f>Учет!X2489</f>
        <v>500</v>
      </c>
    </row>
    <row r="2490" spans="1:27" ht="15" customHeight="1" x14ac:dyDescent="0.25">
      <c r="A2490" s="1"/>
      <c r="B2490" s="17"/>
      <c r="C2490" s="17"/>
      <c r="D2490" s="17"/>
      <c r="E2490" s="17"/>
      <c r="F2490" s="17"/>
      <c r="G2490" s="4">
        <f t="shared" si="111"/>
        <v>0</v>
      </c>
      <c r="H2490" s="17"/>
      <c r="I2490" s="4">
        <f t="shared" si="113"/>
        <v>349526.07999999996</v>
      </c>
      <c r="J2490" s="32" t="str">
        <f t="shared" si="112"/>
        <v/>
      </c>
      <c r="K2490" s="72"/>
      <c r="L2490" s="72"/>
      <c r="M2490" s="2"/>
      <c r="N2490" s="5"/>
      <c r="O2490" s="3"/>
      <c r="P2490" s="6"/>
      <c r="Q2490" s="48">
        <f>IF(Учет!$O2490=Справочники!$F$2,Учет!$H2490,0)</f>
        <v>0</v>
      </c>
      <c r="R2490" s="48">
        <f>IF(Учет!$O2490=Справочники!$F$3,Учет!$H2490,0)</f>
        <v>0</v>
      </c>
      <c r="S2490" s="48">
        <f>IF(Учет!$O2490=Справочники!$F$4,Учет!$H2490,0)</f>
        <v>0</v>
      </c>
      <c r="T2490" s="48">
        <f>IF(Учет!$O2490=Справочники!$F$5,Учет!$H2490,0)</f>
        <v>0</v>
      </c>
      <c r="U2490" s="48">
        <f>IF(Учет!$O2490=Справочники!$F$6,Учет!$H2490,0)</f>
        <v>0</v>
      </c>
      <c r="V2490" s="43">
        <f>V2489+Учет!Q2490-Q2490</f>
        <v>-488978.92000000004</v>
      </c>
      <c r="W2490" s="43">
        <f>W2489+Учет!R2490-R2490</f>
        <v>336855</v>
      </c>
      <c r="X2490" s="43">
        <f>X2489+Учет!S2490-S2490</f>
        <v>500</v>
      </c>
      <c r="Y2490" s="43">
        <f>Y2489+Учет!T2490-T2490</f>
        <v>1150</v>
      </c>
      <c r="Z2490" s="43">
        <f>Z2489+Учет!U2490-U2490</f>
        <v>500000</v>
      </c>
      <c r="AA2490" s="45">
        <f>Учет!X2490</f>
        <v>500</v>
      </c>
    </row>
    <row r="2491" spans="1:27" ht="15" customHeight="1" x14ac:dyDescent="0.25">
      <c r="A2491" s="1"/>
      <c r="B2491" s="17"/>
      <c r="C2491" s="17"/>
      <c r="D2491" s="17"/>
      <c r="E2491" s="17"/>
      <c r="F2491" s="17"/>
      <c r="G2491" s="4">
        <f t="shared" si="111"/>
        <v>0</v>
      </c>
      <c r="H2491" s="17"/>
      <c r="I2491" s="4">
        <f t="shared" si="113"/>
        <v>349526.07999999996</v>
      </c>
      <c r="J2491" s="32" t="str">
        <f t="shared" si="112"/>
        <v/>
      </c>
      <c r="K2491" s="72"/>
      <c r="L2491" s="72"/>
      <c r="M2491" s="2"/>
      <c r="N2491" s="5"/>
      <c r="O2491" s="3"/>
      <c r="P2491" s="6"/>
      <c r="Q2491" s="48">
        <f>IF(Учет!$O2491=Справочники!$F$2,Учет!$H2491,0)</f>
        <v>0</v>
      </c>
      <c r="R2491" s="48">
        <f>IF(Учет!$O2491=Справочники!$F$3,Учет!$H2491,0)</f>
        <v>0</v>
      </c>
      <c r="S2491" s="48">
        <f>IF(Учет!$O2491=Справочники!$F$4,Учет!$H2491,0)</f>
        <v>0</v>
      </c>
      <c r="T2491" s="48">
        <f>IF(Учет!$O2491=Справочники!$F$5,Учет!$H2491,0)</f>
        <v>0</v>
      </c>
      <c r="U2491" s="48">
        <f>IF(Учет!$O2491=Справочники!$F$6,Учет!$H2491,0)</f>
        <v>0</v>
      </c>
      <c r="V2491" s="43">
        <f>V2490+Учет!Q2491-Q2491</f>
        <v>-488978.92000000004</v>
      </c>
      <c r="W2491" s="43">
        <f>W2490+Учет!R2491-R2491</f>
        <v>336855</v>
      </c>
      <c r="X2491" s="43">
        <f>X2490+Учет!S2491-S2491</f>
        <v>500</v>
      </c>
      <c r="Y2491" s="43">
        <f>Y2490+Учет!T2491-T2491</f>
        <v>1150</v>
      </c>
      <c r="Z2491" s="43">
        <f>Z2490+Учет!U2491-U2491</f>
        <v>500000</v>
      </c>
      <c r="AA2491" s="45">
        <f>Учет!X2491</f>
        <v>500</v>
      </c>
    </row>
    <row r="2492" spans="1:27" ht="15" customHeight="1" x14ac:dyDescent="0.25">
      <c r="A2492" s="1"/>
      <c r="B2492" s="17"/>
      <c r="C2492" s="17"/>
      <c r="D2492" s="17"/>
      <c r="E2492" s="17"/>
      <c r="F2492" s="17"/>
      <c r="G2492" s="4">
        <f t="shared" si="111"/>
        <v>0</v>
      </c>
      <c r="H2492" s="17"/>
      <c r="I2492" s="4">
        <f t="shared" si="113"/>
        <v>349526.07999999996</v>
      </c>
      <c r="J2492" s="32" t="str">
        <f t="shared" si="112"/>
        <v/>
      </c>
      <c r="K2492" s="72"/>
      <c r="L2492" s="72"/>
      <c r="M2492" s="2"/>
      <c r="N2492" s="5"/>
      <c r="O2492" s="3"/>
      <c r="P2492" s="6"/>
      <c r="Q2492" s="48">
        <f>IF(Учет!$O2492=Справочники!$F$2,Учет!$H2492,0)</f>
        <v>0</v>
      </c>
      <c r="R2492" s="48">
        <f>IF(Учет!$O2492=Справочники!$F$3,Учет!$H2492,0)</f>
        <v>0</v>
      </c>
      <c r="S2492" s="48">
        <f>IF(Учет!$O2492=Справочники!$F$4,Учет!$H2492,0)</f>
        <v>0</v>
      </c>
      <c r="T2492" s="48">
        <f>IF(Учет!$O2492=Справочники!$F$5,Учет!$H2492,0)</f>
        <v>0</v>
      </c>
      <c r="U2492" s="48">
        <f>IF(Учет!$O2492=Справочники!$F$6,Учет!$H2492,0)</f>
        <v>0</v>
      </c>
      <c r="V2492" s="43">
        <f>V2491+Учет!Q2492-Q2492</f>
        <v>-488978.92000000004</v>
      </c>
      <c r="W2492" s="43">
        <f>W2491+Учет!R2492-R2492</f>
        <v>336855</v>
      </c>
      <c r="X2492" s="43">
        <f>X2491+Учет!S2492-S2492</f>
        <v>500</v>
      </c>
      <c r="Y2492" s="43">
        <f>Y2491+Учет!T2492-T2492</f>
        <v>1150</v>
      </c>
      <c r="Z2492" s="43">
        <f>Z2491+Учет!U2492-U2492</f>
        <v>500000</v>
      </c>
      <c r="AA2492" s="45">
        <f>Учет!X2492</f>
        <v>500</v>
      </c>
    </row>
    <row r="2493" spans="1:27" ht="15" customHeight="1" x14ac:dyDescent="0.25">
      <c r="A2493" s="1"/>
      <c r="B2493" s="17"/>
      <c r="C2493" s="17"/>
      <c r="D2493" s="17"/>
      <c r="E2493" s="17"/>
      <c r="F2493" s="17"/>
      <c r="G2493" s="4">
        <f t="shared" si="111"/>
        <v>0</v>
      </c>
      <c r="H2493" s="17"/>
      <c r="I2493" s="4">
        <f t="shared" si="113"/>
        <v>349526.07999999996</v>
      </c>
      <c r="J2493" s="32" t="str">
        <f t="shared" si="112"/>
        <v/>
      </c>
      <c r="K2493" s="72"/>
      <c r="L2493" s="72"/>
      <c r="M2493" s="2"/>
      <c r="N2493" s="5"/>
      <c r="O2493" s="3"/>
      <c r="P2493" s="6"/>
      <c r="Q2493" s="48">
        <f>IF(Учет!$O2493=Справочники!$F$2,Учет!$H2493,0)</f>
        <v>0</v>
      </c>
      <c r="R2493" s="48">
        <f>IF(Учет!$O2493=Справочники!$F$3,Учет!$H2493,0)</f>
        <v>0</v>
      </c>
      <c r="S2493" s="48">
        <f>IF(Учет!$O2493=Справочники!$F$4,Учет!$H2493,0)</f>
        <v>0</v>
      </c>
      <c r="T2493" s="48">
        <f>IF(Учет!$O2493=Справочники!$F$5,Учет!$H2493,0)</f>
        <v>0</v>
      </c>
      <c r="U2493" s="48">
        <f>IF(Учет!$O2493=Справочники!$F$6,Учет!$H2493,0)</f>
        <v>0</v>
      </c>
      <c r="V2493" s="43">
        <f>V2492+Учет!Q2493-Q2493</f>
        <v>-488978.92000000004</v>
      </c>
      <c r="W2493" s="43">
        <f>W2492+Учет!R2493-R2493</f>
        <v>336855</v>
      </c>
      <c r="X2493" s="43">
        <f>X2492+Учет!S2493-S2493</f>
        <v>500</v>
      </c>
      <c r="Y2493" s="43">
        <f>Y2492+Учет!T2493-T2493</f>
        <v>1150</v>
      </c>
      <c r="Z2493" s="43">
        <f>Z2492+Учет!U2493-U2493</f>
        <v>500000</v>
      </c>
      <c r="AA2493" s="45">
        <f>Учет!X2493</f>
        <v>500</v>
      </c>
    </row>
    <row r="2494" spans="1:27" ht="15" customHeight="1" x14ac:dyDescent="0.25">
      <c r="A2494" s="1"/>
      <c r="B2494" s="17"/>
      <c r="C2494" s="17"/>
      <c r="D2494" s="17"/>
      <c r="E2494" s="17"/>
      <c r="F2494" s="17"/>
      <c r="G2494" s="4">
        <f t="shared" si="111"/>
        <v>0</v>
      </c>
      <c r="H2494" s="17"/>
      <c r="I2494" s="4">
        <f t="shared" si="113"/>
        <v>349526.07999999996</v>
      </c>
      <c r="J2494" s="32" t="str">
        <f t="shared" si="112"/>
        <v/>
      </c>
      <c r="K2494" s="72"/>
      <c r="L2494" s="72"/>
      <c r="M2494" s="2"/>
      <c r="N2494" s="5"/>
      <c r="O2494" s="3"/>
      <c r="P2494" s="6"/>
      <c r="Q2494" s="48">
        <f>IF(Учет!$O2494=Справочники!$F$2,Учет!$H2494,0)</f>
        <v>0</v>
      </c>
      <c r="R2494" s="48">
        <f>IF(Учет!$O2494=Справочники!$F$3,Учет!$H2494,0)</f>
        <v>0</v>
      </c>
      <c r="S2494" s="48">
        <f>IF(Учет!$O2494=Справочники!$F$4,Учет!$H2494,0)</f>
        <v>0</v>
      </c>
      <c r="T2494" s="48">
        <f>IF(Учет!$O2494=Справочники!$F$5,Учет!$H2494,0)</f>
        <v>0</v>
      </c>
      <c r="U2494" s="48">
        <f>IF(Учет!$O2494=Справочники!$F$6,Учет!$H2494,0)</f>
        <v>0</v>
      </c>
      <c r="V2494" s="43">
        <f>V2493+Учет!Q2494-Q2494</f>
        <v>-488978.92000000004</v>
      </c>
      <c r="W2494" s="43">
        <f>W2493+Учет!R2494-R2494</f>
        <v>336855</v>
      </c>
      <c r="X2494" s="43">
        <f>X2493+Учет!S2494-S2494</f>
        <v>500</v>
      </c>
      <c r="Y2494" s="43">
        <f>Y2493+Учет!T2494-T2494</f>
        <v>1150</v>
      </c>
      <c r="Z2494" s="43">
        <f>Z2493+Учет!U2494-U2494</f>
        <v>500000</v>
      </c>
      <c r="AA2494" s="45">
        <f>Учет!X2494</f>
        <v>500</v>
      </c>
    </row>
    <row r="2495" spans="1:27" ht="15" customHeight="1" x14ac:dyDescent="0.25">
      <c r="A2495" s="1"/>
      <c r="B2495" s="17"/>
      <c r="C2495" s="17"/>
      <c r="D2495" s="17"/>
      <c r="E2495" s="17"/>
      <c r="F2495" s="17"/>
      <c r="G2495" s="4">
        <f t="shared" si="111"/>
        <v>0</v>
      </c>
      <c r="H2495" s="17"/>
      <c r="I2495" s="4">
        <f t="shared" si="113"/>
        <v>349526.07999999996</v>
      </c>
      <c r="J2495" s="32" t="str">
        <f t="shared" si="112"/>
        <v/>
      </c>
      <c r="K2495" s="72"/>
      <c r="L2495" s="72"/>
      <c r="M2495" s="2"/>
      <c r="N2495" s="5"/>
      <c r="O2495" s="3"/>
      <c r="P2495" s="6"/>
      <c r="Q2495" s="48">
        <f>IF(Учет!$O2495=Справочники!$F$2,Учет!$H2495,0)</f>
        <v>0</v>
      </c>
      <c r="R2495" s="48">
        <f>IF(Учет!$O2495=Справочники!$F$3,Учет!$H2495,0)</f>
        <v>0</v>
      </c>
      <c r="S2495" s="48">
        <f>IF(Учет!$O2495=Справочники!$F$4,Учет!$H2495,0)</f>
        <v>0</v>
      </c>
      <c r="T2495" s="48">
        <f>IF(Учет!$O2495=Справочники!$F$5,Учет!$H2495,0)</f>
        <v>0</v>
      </c>
      <c r="U2495" s="48">
        <f>IF(Учет!$O2495=Справочники!$F$6,Учет!$H2495,0)</f>
        <v>0</v>
      </c>
      <c r="V2495" s="43">
        <f>V2494+Учет!Q2495-Q2495</f>
        <v>-488978.92000000004</v>
      </c>
      <c r="W2495" s="43">
        <f>W2494+Учет!R2495-R2495</f>
        <v>336855</v>
      </c>
      <c r="X2495" s="43">
        <f>X2494+Учет!S2495-S2495</f>
        <v>500</v>
      </c>
      <c r="Y2495" s="43">
        <f>Y2494+Учет!T2495-T2495</f>
        <v>1150</v>
      </c>
      <c r="Z2495" s="43">
        <f>Z2494+Учет!U2495-U2495</f>
        <v>500000</v>
      </c>
      <c r="AA2495" s="45">
        <f>Учет!X2495</f>
        <v>500</v>
      </c>
    </row>
    <row r="2496" spans="1:27" ht="15" customHeight="1" x14ac:dyDescent="0.25">
      <c r="A2496" s="1"/>
      <c r="B2496" s="17"/>
      <c r="C2496" s="17"/>
      <c r="D2496" s="17"/>
      <c r="E2496" s="17"/>
      <c r="F2496" s="17"/>
      <c r="G2496" s="4">
        <f t="shared" si="111"/>
        <v>0</v>
      </c>
      <c r="H2496" s="17"/>
      <c r="I2496" s="4">
        <f t="shared" si="113"/>
        <v>349526.07999999996</v>
      </c>
      <c r="J2496" s="32" t="str">
        <f t="shared" si="112"/>
        <v/>
      </c>
      <c r="K2496" s="72"/>
      <c r="L2496" s="72"/>
      <c r="M2496" s="2"/>
      <c r="N2496" s="5"/>
      <c r="O2496" s="3"/>
      <c r="P2496" s="6"/>
      <c r="Q2496" s="48">
        <f>IF(Учет!$O2496=Справочники!$F$2,Учет!$H2496,0)</f>
        <v>0</v>
      </c>
      <c r="R2496" s="48">
        <f>IF(Учет!$O2496=Справочники!$F$3,Учет!$H2496,0)</f>
        <v>0</v>
      </c>
      <c r="S2496" s="48">
        <f>IF(Учет!$O2496=Справочники!$F$4,Учет!$H2496,0)</f>
        <v>0</v>
      </c>
      <c r="T2496" s="48">
        <f>IF(Учет!$O2496=Справочники!$F$5,Учет!$H2496,0)</f>
        <v>0</v>
      </c>
      <c r="U2496" s="48">
        <f>IF(Учет!$O2496=Справочники!$F$6,Учет!$H2496,0)</f>
        <v>0</v>
      </c>
      <c r="V2496" s="43">
        <f>V2495+Учет!Q2496-Q2496</f>
        <v>-488978.92000000004</v>
      </c>
      <c r="W2496" s="43">
        <f>W2495+Учет!R2496-R2496</f>
        <v>336855</v>
      </c>
      <c r="X2496" s="43">
        <f>X2495+Учет!S2496-S2496</f>
        <v>500</v>
      </c>
      <c r="Y2496" s="43">
        <f>Y2495+Учет!T2496-T2496</f>
        <v>1150</v>
      </c>
      <c r="Z2496" s="43">
        <f>Z2495+Учет!U2496-U2496</f>
        <v>500000</v>
      </c>
      <c r="AA2496" s="45">
        <f>Учет!X2496</f>
        <v>500</v>
      </c>
    </row>
    <row r="2497" spans="1:27" ht="15" customHeight="1" x14ac:dyDescent="0.25">
      <c r="A2497" s="1"/>
      <c r="B2497" s="17"/>
      <c r="C2497" s="17"/>
      <c r="D2497" s="17"/>
      <c r="E2497" s="17"/>
      <c r="F2497" s="17"/>
      <c r="G2497" s="4">
        <f t="shared" si="111"/>
        <v>0</v>
      </c>
      <c r="H2497" s="17"/>
      <c r="I2497" s="4">
        <f t="shared" si="113"/>
        <v>349526.07999999996</v>
      </c>
      <c r="J2497" s="32" t="str">
        <f t="shared" si="112"/>
        <v/>
      </c>
      <c r="K2497" s="72"/>
      <c r="L2497" s="72"/>
      <c r="M2497" s="2"/>
      <c r="N2497" s="5"/>
      <c r="O2497" s="3"/>
      <c r="P2497" s="6"/>
      <c r="Q2497" s="48">
        <f>IF(Учет!$O2497=Справочники!$F$2,Учет!$H2497,0)</f>
        <v>0</v>
      </c>
      <c r="R2497" s="48">
        <f>IF(Учет!$O2497=Справочники!$F$3,Учет!$H2497,0)</f>
        <v>0</v>
      </c>
      <c r="S2497" s="48">
        <f>IF(Учет!$O2497=Справочники!$F$4,Учет!$H2497,0)</f>
        <v>0</v>
      </c>
      <c r="T2497" s="48">
        <f>IF(Учет!$O2497=Справочники!$F$5,Учет!$H2497,0)</f>
        <v>0</v>
      </c>
      <c r="U2497" s="48">
        <f>IF(Учет!$O2497=Справочники!$F$6,Учет!$H2497,0)</f>
        <v>0</v>
      </c>
      <c r="V2497" s="43">
        <f>V2496+Учет!Q2497-Q2497</f>
        <v>-488978.92000000004</v>
      </c>
      <c r="W2497" s="43">
        <f>W2496+Учет!R2497-R2497</f>
        <v>336855</v>
      </c>
      <c r="X2497" s="43">
        <f>X2496+Учет!S2497-S2497</f>
        <v>500</v>
      </c>
      <c r="Y2497" s="43">
        <f>Y2496+Учет!T2497-T2497</f>
        <v>1150</v>
      </c>
      <c r="Z2497" s="43">
        <f>Z2496+Учет!U2497-U2497</f>
        <v>500000</v>
      </c>
      <c r="AA2497" s="45">
        <f>Учет!X2497</f>
        <v>500</v>
      </c>
    </row>
    <row r="2498" spans="1:27" ht="15" customHeight="1" x14ac:dyDescent="0.25">
      <c r="A2498" s="1"/>
      <c r="B2498" s="17"/>
      <c r="C2498" s="17"/>
      <c r="D2498" s="17"/>
      <c r="E2498" s="17"/>
      <c r="F2498" s="17"/>
      <c r="G2498" s="4">
        <f t="shared" ref="G2498:G2561" si="114">SUM($B2498:$F2498)</f>
        <v>0</v>
      </c>
      <c r="H2498" s="17"/>
      <c r="I2498" s="4">
        <f t="shared" si="113"/>
        <v>349526.07999999996</v>
      </c>
      <c r="J2498" s="32" t="str">
        <f t="shared" ref="J2498:J2561" si="115">IF($A2499&lt;&gt;$A2498,$I2498,"")</f>
        <v/>
      </c>
      <c r="K2498" s="72"/>
      <c r="L2498" s="72"/>
      <c r="M2498" s="2"/>
      <c r="N2498" s="5"/>
      <c r="O2498" s="3"/>
      <c r="P2498" s="6"/>
      <c r="Q2498" s="48">
        <f>IF(Учет!$O2498=Справочники!$F$2,Учет!$H2498,0)</f>
        <v>0</v>
      </c>
      <c r="R2498" s="48">
        <f>IF(Учет!$O2498=Справочники!$F$3,Учет!$H2498,0)</f>
        <v>0</v>
      </c>
      <c r="S2498" s="48">
        <f>IF(Учет!$O2498=Справочники!$F$4,Учет!$H2498,0)</f>
        <v>0</v>
      </c>
      <c r="T2498" s="48">
        <f>IF(Учет!$O2498=Справочники!$F$5,Учет!$H2498,0)</f>
        <v>0</v>
      </c>
      <c r="U2498" s="48">
        <f>IF(Учет!$O2498=Справочники!$F$6,Учет!$H2498,0)</f>
        <v>0</v>
      </c>
      <c r="V2498" s="43">
        <f>V2497+Учет!Q2498-Q2498</f>
        <v>-488978.92000000004</v>
      </c>
      <c r="W2498" s="43">
        <f>W2497+Учет!R2498-R2498</f>
        <v>336855</v>
      </c>
      <c r="X2498" s="43">
        <f>X2497+Учет!S2498-S2498</f>
        <v>500</v>
      </c>
      <c r="Y2498" s="43">
        <f>Y2497+Учет!T2498-T2498</f>
        <v>1150</v>
      </c>
      <c r="Z2498" s="43">
        <f>Z2497+Учет!U2498-U2498</f>
        <v>500000</v>
      </c>
      <c r="AA2498" s="45">
        <f>Учет!X2498</f>
        <v>500</v>
      </c>
    </row>
    <row r="2499" spans="1:27" ht="15" customHeight="1" x14ac:dyDescent="0.25">
      <c r="A2499" s="1"/>
      <c r="B2499" s="17"/>
      <c r="C2499" s="17"/>
      <c r="D2499" s="17"/>
      <c r="E2499" s="17"/>
      <c r="F2499" s="17"/>
      <c r="G2499" s="4">
        <f t="shared" si="114"/>
        <v>0</v>
      </c>
      <c r="H2499" s="17"/>
      <c r="I2499" s="4">
        <f t="shared" ref="I2499:I2562" si="116">$I2498+$G2499-$H2499</f>
        <v>349526.07999999996</v>
      </c>
      <c r="J2499" s="32" t="str">
        <f t="shared" si="115"/>
        <v/>
      </c>
      <c r="K2499" s="72"/>
      <c r="L2499" s="72"/>
      <c r="M2499" s="2"/>
      <c r="N2499" s="5"/>
      <c r="O2499" s="3"/>
      <c r="P2499" s="6"/>
      <c r="Q2499" s="48">
        <f>IF(Учет!$O2499=Справочники!$F$2,Учет!$H2499,0)</f>
        <v>0</v>
      </c>
      <c r="R2499" s="48">
        <f>IF(Учет!$O2499=Справочники!$F$3,Учет!$H2499,0)</f>
        <v>0</v>
      </c>
      <c r="S2499" s="48">
        <f>IF(Учет!$O2499=Справочники!$F$4,Учет!$H2499,0)</f>
        <v>0</v>
      </c>
      <c r="T2499" s="48">
        <f>IF(Учет!$O2499=Справочники!$F$5,Учет!$H2499,0)</f>
        <v>0</v>
      </c>
      <c r="U2499" s="48">
        <f>IF(Учет!$O2499=Справочники!$F$6,Учет!$H2499,0)</f>
        <v>0</v>
      </c>
      <c r="V2499" s="43">
        <f>V2498+Учет!Q2499-Q2499</f>
        <v>-488978.92000000004</v>
      </c>
      <c r="W2499" s="43">
        <f>W2498+Учет!R2499-R2499</f>
        <v>336855</v>
      </c>
      <c r="X2499" s="43">
        <f>X2498+Учет!S2499-S2499</f>
        <v>500</v>
      </c>
      <c r="Y2499" s="43">
        <f>Y2498+Учет!T2499-T2499</f>
        <v>1150</v>
      </c>
      <c r="Z2499" s="43">
        <f>Z2498+Учет!U2499-U2499</f>
        <v>500000</v>
      </c>
      <c r="AA2499" s="45">
        <f>Учет!X2499</f>
        <v>500</v>
      </c>
    </row>
    <row r="2500" spans="1:27" ht="15" customHeight="1" x14ac:dyDescent="0.25">
      <c r="A2500" s="1"/>
      <c r="B2500" s="17"/>
      <c r="C2500" s="17"/>
      <c r="D2500" s="17"/>
      <c r="E2500" s="17"/>
      <c r="F2500" s="17"/>
      <c r="G2500" s="4">
        <f t="shared" si="114"/>
        <v>0</v>
      </c>
      <c r="H2500" s="17"/>
      <c r="I2500" s="4">
        <f t="shared" si="116"/>
        <v>349526.07999999996</v>
      </c>
      <c r="J2500" s="32" t="str">
        <f t="shared" si="115"/>
        <v/>
      </c>
      <c r="K2500" s="72"/>
      <c r="L2500" s="72"/>
      <c r="M2500" s="2"/>
      <c r="N2500" s="5"/>
      <c r="O2500" s="3"/>
      <c r="P2500" s="6"/>
      <c r="Q2500" s="48">
        <f>IF(Учет!$O2500=Справочники!$F$2,Учет!$H2500,0)</f>
        <v>0</v>
      </c>
      <c r="R2500" s="48">
        <f>IF(Учет!$O2500=Справочники!$F$3,Учет!$H2500,0)</f>
        <v>0</v>
      </c>
      <c r="S2500" s="48">
        <f>IF(Учет!$O2500=Справочники!$F$4,Учет!$H2500,0)</f>
        <v>0</v>
      </c>
      <c r="T2500" s="48">
        <f>IF(Учет!$O2500=Справочники!$F$5,Учет!$H2500,0)</f>
        <v>0</v>
      </c>
      <c r="U2500" s="48">
        <f>IF(Учет!$O2500=Справочники!$F$6,Учет!$H2500,0)</f>
        <v>0</v>
      </c>
      <c r="V2500" s="43">
        <f>V2499+Учет!Q2500-Q2500</f>
        <v>-488978.92000000004</v>
      </c>
      <c r="W2500" s="43">
        <f>W2499+Учет!R2500-R2500</f>
        <v>336855</v>
      </c>
      <c r="X2500" s="43">
        <f>X2499+Учет!S2500-S2500</f>
        <v>500</v>
      </c>
      <c r="Y2500" s="43">
        <f>Y2499+Учет!T2500-T2500</f>
        <v>1150</v>
      </c>
      <c r="Z2500" s="43">
        <f>Z2499+Учет!U2500-U2500</f>
        <v>500000</v>
      </c>
      <c r="AA2500" s="45">
        <f>Учет!X2500</f>
        <v>500</v>
      </c>
    </row>
    <row r="2501" spans="1:27" ht="15" customHeight="1" x14ac:dyDescent="0.25">
      <c r="A2501" s="1"/>
      <c r="B2501" s="17"/>
      <c r="C2501" s="17"/>
      <c r="D2501" s="17"/>
      <c r="E2501" s="17"/>
      <c r="F2501" s="17"/>
      <c r="G2501" s="4">
        <f t="shared" si="114"/>
        <v>0</v>
      </c>
      <c r="H2501" s="17"/>
      <c r="I2501" s="4">
        <f t="shared" si="116"/>
        <v>349526.07999999996</v>
      </c>
      <c r="J2501" s="32" t="str">
        <f t="shared" si="115"/>
        <v/>
      </c>
      <c r="K2501" s="72"/>
      <c r="L2501" s="72"/>
      <c r="M2501" s="2"/>
      <c r="N2501" s="5"/>
      <c r="O2501" s="3"/>
      <c r="P2501" s="6"/>
      <c r="Q2501" s="48">
        <f>IF(Учет!$O2501=Справочники!$F$2,Учет!$H2501,0)</f>
        <v>0</v>
      </c>
      <c r="R2501" s="48">
        <f>IF(Учет!$O2501=Справочники!$F$3,Учет!$H2501,0)</f>
        <v>0</v>
      </c>
      <c r="S2501" s="48">
        <f>IF(Учет!$O2501=Справочники!$F$4,Учет!$H2501,0)</f>
        <v>0</v>
      </c>
      <c r="T2501" s="48">
        <f>IF(Учет!$O2501=Справочники!$F$5,Учет!$H2501,0)</f>
        <v>0</v>
      </c>
      <c r="U2501" s="48">
        <f>IF(Учет!$O2501=Справочники!$F$6,Учет!$H2501,0)</f>
        <v>0</v>
      </c>
      <c r="V2501" s="43">
        <f>V2500+Учет!Q2501-Q2501</f>
        <v>-488978.92000000004</v>
      </c>
      <c r="W2501" s="43">
        <f>W2500+Учет!R2501-R2501</f>
        <v>336855</v>
      </c>
      <c r="X2501" s="43">
        <f>X2500+Учет!S2501-S2501</f>
        <v>500</v>
      </c>
      <c r="Y2501" s="43">
        <f>Y2500+Учет!T2501-T2501</f>
        <v>1150</v>
      </c>
      <c r="Z2501" s="43">
        <f>Z2500+Учет!U2501-U2501</f>
        <v>500000</v>
      </c>
      <c r="AA2501" s="45">
        <f>Учет!X2501</f>
        <v>500</v>
      </c>
    </row>
    <row r="2502" spans="1:27" ht="15" customHeight="1" x14ac:dyDescent="0.25">
      <c r="A2502" s="1"/>
      <c r="B2502" s="17"/>
      <c r="C2502" s="17"/>
      <c r="D2502" s="17"/>
      <c r="E2502" s="17"/>
      <c r="F2502" s="17"/>
      <c r="G2502" s="4">
        <f t="shared" si="114"/>
        <v>0</v>
      </c>
      <c r="H2502" s="17"/>
      <c r="I2502" s="4">
        <f t="shared" si="116"/>
        <v>349526.07999999996</v>
      </c>
      <c r="J2502" s="32" t="str">
        <f t="shared" si="115"/>
        <v/>
      </c>
      <c r="K2502" s="72"/>
      <c r="L2502" s="72"/>
      <c r="M2502" s="2"/>
      <c r="N2502" s="5"/>
      <c r="O2502" s="3"/>
      <c r="P2502" s="6"/>
      <c r="Q2502" s="48">
        <f>IF(Учет!$O2502=Справочники!$F$2,Учет!$H2502,0)</f>
        <v>0</v>
      </c>
      <c r="R2502" s="48">
        <f>IF(Учет!$O2502=Справочники!$F$3,Учет!$H2502,0)</f>
        <v>0</v>
      </c>
      <c r="S2502" s="48">
        <f>IF(Учет!$O2502=Справочники!$F$4,Учет!$H2502,0)</f>
        <v>0</v>
      </c>
      <c r="T2502" s="48">
        <f>IF(Учет!$O2502=Справочники!$F$5,Учет!$H2502,0)</f>
        <v>0</v>
      </c>
      <c r="U2502" s="48">
        <f>IF(Учет!$O2502=Справочники!$F$6,Учет!$H2502,0)</f>
        <v>0</v>
      </c>
      <c r="V2502" s="43">
        <f>V2501+Учет!Q2502-Q2502</f>
        <v>-488978.92000000004</v>
      </c>
      <c r="W2502" s="43">
        <f>W2501+Учет!R2502-R2502</f>
        <v>336855</v>
      </c>
      <c r="X2502" s="43">
        <f>X2501+Учет!S2502-S2502</f>
        <v>500</v>
      </c>
      <c r="Y2502" s="43">
        <f>Y2501+Учет!T2502-T2502</f>
        <v>1150</v>
      </c>
      <c r="Z2502" s="43">
        <f>Z2501+Учет!U2502-U2502</f>
        <v>500000</v>
      </c>
      <c r="AA2502" s="45">
        <f>Учет!X2502</f>
        <v>500</v>
      </c>
    </row>
    <row r="2503" spans="1:27" ht="15" customHeight="1" x14ac:dyDescent="0.25">
      <c r="A2503" s="1"/>
      <c r="B2503" s="17"/>
      <c r="C2503" s="17"/>
      <c r="D2503" s="17"/>
      <c r="E2503" s="17"/>
      <c r="F2503" s="17"/>
      <c r="G2503" s="4">
        <f t="shared" si="114"/>
        <v>0</v>
      </c>
      <c r="H2503" s="17"/>
      <c r="I2503" s="4">
        <f t="shared" si="116"/>
        <v>349526.07999999996</v>
      </c>
      <c r="J2503" s="32" t="str">
        <f t="shared" si="115"/>
        <v/>
      </c>
      <c r="K2503" s="72"/>
      <c r="L2503" s="72"/>
      <c r="M2503" s="2"/>
      <c r="N2503" s="5"/>
      <c r="O2503" s="3"/>
      <c r="P2503" s="6"/>
      <c r="Q2503" s="48">
        <f>IF(Учет!$O2503=Справочники!$F$2,Учет!$H2503,0)</f>
        <v>0</v>
      </c>
      <c r="R2503" s="48">
        <f>IF(Учет!$O2503=Справочники!$F$3,Учет!$H2503,0)</f>
        <v>0</v>
      </c>
      <c r="S2503" s="48">
        <f>IF(Учет!$O2503=Справочники!$F$4,Учет!$H2503,0)</f>
        <v>0</v>
      </c>
      <c r="T2503" s="48">
        <f>IF(Учет!$O2503=Справочники!$F$5,Учет!$H2503,0)</f>
        <v>0</v>
      </c>
      <c r="U2503" s="48">
        <f>IF(Учет!$O2503=Справочники!$F$6,Учет!$H2503,0)</f>
        <v>0</v>
      </c>
      <c r="V2503" s="43">
        <f>V2502+Учет!Q2503-Q2503</f>
        <v>-488978.92000000004</v>
      </c>
      <c r="W2503" s="43">
        <f>W2502+Учет!R2503-R2503</f>
        <v>336855</v>
      </c>
      <c r="X2503" s="43">
        <f>X2502+Учет!S2503-S2503</f>
        <v>500</v>
      </c>
      <c r="Y2503" s="43">
        <f>Y2502+Учет!T2503-T2503</f>
        <v>1150</v>
      </c>
      <c r="Z2503" s="43">
        <f>Z2502+Учет!U2503-U2503</f>
        <v>500000</v>
      </c>
      <c r="AA2503" s="45">
        <f>Учет!X2503</f>
        <v>500</v>
      </c>
    </row>
    <row r="2504" spans="1:27" ht="15" customHeight="1" x14ac:dyDescent="0.25">
      <c r="A2504" s="1"/>
      <c r="B2504" s="17"/>
      <c r="C2504" s="17"/>
      <c r="D2504" s="17"/>
      <c r="E2504" s="17"/>
      <c r="F2504" s="17"/>
      <c r="G2504" s="4">
        <f t="shared" si="114"/>
        <v>0</v>
      </c>
      <c r="H2504" s="17"/>
      <c r="I2504" s="4">
        <f t="shared" si="116"/>
        <v>349526.07999999996</v>
      </c>
      <c r="J2504" s="32" t="str">
        <f t="shared" si="115"/>
        <v/>
      </c>
      <c r="K2504" s="72"/>
      <c r="L2504" s="72"/>
      <c r="M2504" s="2"/>
      <c r="N2504" s="5"/>
      <c r="O2504" s="3"/>
      <c r="P2504" s="6"/>
      <c r="Q2504" s="48">
        <f>IF(Учет!$O2504=Справочники!$F$2,Учет!$H2504,0)</f>
        <v>0</v>
      </c>
      <c r="R2504" s="48">
        <f>IF(Учет!$O2504=Справочники!$F$3,Учет!$H2504,0)</f>
        <v>0</v>
      </c>
      <c r="S2504" s="48">
        <f>IF(Учет!$O2504=Справочники!$F$4,Учет!$H2504,0)</f>
        <v>0</v>
      </c>
      <c r="T2504" s="48">
        <f>IF(Учет!$O2504=Справочники!$F$5,Учет!$H2504,0)</f>
        <v>0</v>
      </c>
      <c r="U2504" s="48">
        <f>IF(Учет!$O2504=Справочники!$F$6,Учет!$H2504,0)</f>
        <v>0</v>
      </c>
      <c r="V2504" s="43">
        <f>V2503+Учет!Q2504-Q2504</f>
        <v>-488978.92000000004</v>
      </c>
      <c r="W2504" s="43">
        <f>W2503+Учет!R2504-R2504</f>
        <v>336855</v>
      </c>
      <c r="X2504" s="43">
        <f>X2503+Учет!S2504-S2504</f>
        <v>500</v>
      </c>
      <c r="Y2504" s="43">
        <f>Y2503+Учет!T2504-T2504</f>
        <v>1150</v>
      </c>
      <c r="Z2504" s="43">
        <f>Z2503+Учет!U2504-U2504</f>
        <v>500000</v>
      </c>
      <c r="AA2504" s="45">
        <f>Учет!X2504</f>
        <v>500</v>
      </c>
    </row>
    <row r="2505" spans="1:27" ht="15" customHeight="1" x14ac:dyDescent="0.25">
      <c r="A2505" s="1"/>
      <c r="B2505" s="17"/>
      <c r="C2505" s="17"/>
      <c r="D2505" s="17"/>
      <c r="E2505" s="17"/>
      <c r="F2505" s="17"/>
      <c r="G2505" s="4">
        <f t="shared" si="114"/>
        <v>0</v>
      </c>
      <c r="H2505" s="17"/>
      <c r="I2505" s="4">
        <f t="shared" si="116"/>
        <v>349526.07999999996</v>
      </c>
      <c r="J2505" s="32" t="str">
        <f t="shared" si="115"/>
        <v/>
      </c>
      <c r="K2505" s="72"/>
      <c r="L2505" s="72"/>
      <c r="M2505" s="2"/>
      <c r="N2505" s="5"/>
      <c r="O2505" s="3"/>
      <c r="P2505" s="6"/>
      <c r="Q2505" s="48">
        <f>IF(Учет!$O2505=Справочники!$F$2,Учет!$H2505,0)</f>
        <v>0</v>
      </c>
      <c r="R2505" s="48">
        <f>IF(Учет!$O2505=Справочники!$F$3,Учет!$H2505,0)</f>
        <v>0</v>
      </c>
      <c r="S2505" s="48">
        <f>IF(Учет!$O2505=Справочники!$F$4,Учет!$H2505,0)</f>
        <v>0</v>
      </c>
      <c r="T2505" s="48">
        <f>IF(Учет!$O2505=Справочники!$F$5,Учет!$H2505,0)</f>
        <v>0</v>
      </c>
      <c r="U2505" s="48">
        <f>IF(Учет!$O2505=Справочники!$F$6,Учет!$H2505,0)</f>
        <v>0</v>
      </c>
      <c r="V2505" s="43">
        <f>V2504+Учет!Q2505-Q2505</f>
        <v>-488978.92000000004</v>
      </c>
      <c r="W2505" s="43">
        <f>W2504+Учет!R2505-R2505</f>
        <v>336855</v>
      </c>
      <c r="X2505" s="43">
        <f>X2504+Учет!S2505-S2505</f>
        <v>500</v>
      </c>
      <c r="Y2505" s="43">
        <f>Y2504+Учет!T2505-T2505</f>
        <v>1150</v>
      </c>
      <c r="Z2505" s="43">
        <f>Z2504+Учет!U2505-U2505</f>
        <v>500000</v>
      </c>
      <c r="AA2505" s="45">
        <f>Учет!X2505</f>
        <v>500</v>
      </c>
    </row>
    <row r="2506" spans="1:27" ht="15" customHeight="1" x14ac:dyDescent="0.25">
      <c r="A2506" s="1"/>
      <c r="B2506" s="17"/>
      <c r="C2506" s="17"/>
      <c r="D2506" s="17"/>
      <c r="E2506" s="17"/>
      <c r="F2506" s="17"/>
      <c r="G2506" s="4">
        <f t="shared" si="114"/>
        <v>0</v>
      </c>
      <c r="H2506" s="17"/>
      <c r="I2506" s="4">
        <f t="shared" si="116"/>
        <v>349526.07999999996</v>
      </c>
      <c r="J2506" s="32" t="str">
        <f t="shared" si="115"/>
        <v/>
      </c>
      <c r="K2506" s="72"/>
      <c r="L2506" s="72"/>
      <c r="M2506" s="2"/>
      <c r="N2506" s="5"/>
      <c r="O2506" s="3"/>
      <c r="P2506" s="6"/>
      <c r="Q2506" s="48">
        <f>IF(Учет!$O2506=Справочники!$F$2,Учет!$H2506,0)</f>
        <v>0</v>
      </c>
      <c r="R2506" s="48">
        <f>IF(Учет!$O2506=Справочники!$F$3,Учет!$H2506,0)</f>
        <v>0</v>
      </c>
      <c r="S2506" s="48">
        <f>IF(Учет!$O2506=Справочники!$F$4,Учет!$H2506,0)</f>
        <v>0</v>
      </c>
      <c r="T2506" s="48">
        <f>IF(Учет!$O2506=Справочники!$F$5,Учет!$H2506,0)</f>
        <v>0</v>
      </c>
      <c r="U2506" s="48">
        <f>IF(Учет!$O2506=Справочники!$F$6,Учет!$H2506,0)</f>
        <v>0</v>
      </c>
      <c r="V2506" s="43">
        <f>V2505+Учет!Q2506-Q2506</f>
        <v>-488978.92000000004</v>
      </c>
      <c r="W2506" s="43">
        <f>W2505+Учет!R2506-R2506</f>
        <v>336855</v>
      </c>
      <c r="X2506" s="43">
        <f>X2505+Учет!S2506-S2506</f>
        <v>500</v>
      </c>
      <c r="Y2506" s="43">
        <f>Y2505+Учет!T2506-T2506</f>
        <v>1150</v>
      </c>
      <c r="Z2506" s="43">
        <f>Z2505+Учет!U2506-U2506</f>
        <v>500000</v>
      </c>
      <c r="AA2506" s="45">
        <f>Учет!X2506</f>
        <v>500</v>
      </c>
    </row>
    <row r="2507" spans="1:27" ht="15" customHeight="1" x14ac:dyDescent="0.25">
      <c r="A2507" s="1"/>
      <c r="B2507" s="17"/>
      <c r="C2507" s="17"/>
      <c r="D2507" s="17"/>
      <c r="E2507" s="17"/>
      <c r="F2507" s="17"/>
      <c r="G2507" s="4">
        <f t="shared" si="114"/>
        <v>0</v>
      </c>
      <c r="H2507" s="17"/>
      <c r="I2507" s="4">
        <f t="shared" si="116"/>
        <v>349526.07999999996</v>
      </c>
      <c r="J2507" s="32" t="str">
        <f t="shared" si="115"/>
        <v/>
      </c>
      <c r="K2507" s="72"/>
      <c r="L2507" s="72"/>
      <c r="M2507" s="2"/>
      <c r="N2507" s="5"/>
      <c r="O2507" s="3"/>
      <c r="P2507" s="6"/>
      <c r="Q2507" s="48">
        <f>IF(Учет!$O2507=Справочники!$F$2,Учет!$H2507,0)</f>
        <v>0</v>
      </c>
      <c r="R2507" s="48">
        <f>IF(Учет!$O2507=Справочники!$F$3,Учет!$H2507,0)</f>
        <v>0</v>
      </c>
      <c r="S2507" s="48">
        <f>IF(Учет!$O2507=Справочники!$F$4,Учет!$H2507,0)</f>
        <v>0</v>
      </c>
      <c r="T2507" s="48">
        <f>IF(Учет!$O2507=Справочники!$F$5,Учет!$H2507,0)</f>
        <v>0</v>
      </c>
      <c r="U2507" s="48">
        <f>IF(Учет!$O2507=Справочники!$F$6,Учет!$H2507,0)</f>
        <v>0</v>
      </c>
      <c r="V2507" s="43">
        <f>V2506+Учет!Q2507-Q2507</f>
        <v>-488978.92000000004</v>
      </c>
      <c r="W2507" s="43">
        <f>W2506+Учет!R2507-R2507</f>
        <v>336855</v>
      </c>
      <c r="X2507" s="43">
        <f>X2506+Учет!S2507-S2507</f>
        <v>500</v>
      </c>
      <c r="Y2507" s="43">
        <f>Y2506+Учет!T2507-T2507</f>
        <v>1150</v>
      </c>
      <c r="Z2507" s="43">
        <f>Z2506+Учет!U2507-U2507</f>
        <v>500000</v>
      </c>
      <c r="AA2507" s="45">
        <f>Учет!X2507</f>
        <v>500</v>
      </c>
    </row>
    <row r="2508" spans="1:27" ht="15" customHeight="1" x14ac:dyDescent="0.25">
      <c r="A2508" s="1"/>
      <c r="B2508" s="17"/>
      <c r="C2508" s="17"/>
      <c r="D2508" s="17"/>
      <c r="E2508" s="17"/>
      <c r="F2508" s="17"/>
      <c r="G2508" s="4">
        <f t="shared" si="114"/>
        <v>0</v>
      </c>
      <c r="H2508" s="17"/>
      <c r="I2508" s="4">
        <f t="shared" si="116"/>
        <v>349526.07999999996</v>
      </c>
      <c r="J2508" s="32" t="str">
        <f t="shared" si="115"/>
        <v/>
      </c>
      <c r="K2508" s="72"/>
      <c r="L2508" s="72"/>
      <c r="M2508" s="2"/>
      <c r="N2508" s="5"/>
      <c r="O2508" s="3"/>
      <c r="P2508" s="6"/>
      <c r="Q2508" s="48">
        <f>IF(Учет!$O2508=Справочники!$F$2,Учет!$H2508,0)</f>
        <v>0</v>
      </c>
      <c r="R2508" s="48">
        <f>IF(Учет!$O2508=Справочники!$F$3,Учет!$H2508,0)</f>
        <v>0</v>
      </c>
      <c r="S2508" s="48">
        <f>IF(Учет!$O2508=Справочники!$F$4,Учет!$H2508,0)</f>
        <v>0</v>
      </c>
      <c r="T2508" s="48">
        <f>IF(Учет!$O2508=Справочники!$F$5,Учет!$H2508,0)</f>
        <v>0</v>
      </c>
      <c r="U2508" s="48">
        <f>IF(Учет!$O2508=Справочники!$F$6,Учет!$H2508,0)</f>
        <v>0</v>
      </c>
      <c r="V2508" s="43">
        <f>V2507+Учет!Q2508-Q2508</f>
        <v>-488978.92000000004</v>
      </c>
      <c r="W2508" s="43">
        <f>W2507+Учет!R2508-R2508</f>
        <v>336855</v>
      </c>
      <c r="X2508" s="43">
        <f>X2507+Учет!S2508-S2508</f>
        <v>500</v>
      </c>
      <c r="Y2508" s="43">
        <f>Y2507+Учет!T2508-T2508</f>
        <v>1150</v>
      </c>
      <c r="Z2508" s="43">
        <f>Z2507+Учет!U2508-U2508</f>
        <v>500000</v>
      </c>
      <c r="AA2508" s="45">
        <f>Учет!X2508</f>
        <v>500</v>
      </c>
    </row>
    <row r="2509" spans="1:27" ht="15" customHeight="1" x14ac:dyDescent="0.25">
      <c r="A2509" s="1"/>
      <c r="B2509" s="17"/>
      <c r="C2509" s="17"/>
      <c r="D2509" s="17"/>
      <c r="E2509" s="17"/>
      <c r="F2509" s="17"/>
      <c r="G2509" s="4">
        <f t="shared" si="114"/>
        <v>0</v>
      </c>
      <c r="H2509" s="17"/>
      <c r="I2509" s="4">
        <f t="shared" si="116"/>
        <v>349526.07999999996</v>
      </c>
      <c r="J2509" s="32" t="str">
        <f t="shared" si="115"/>
        <v/>
      </c>
      <c r="K2509" s="72"/>
      <c r="L2509" s="72"/>
      <c r="M2509" s="2"/>
      <c r="N2509" s="5"/>
      <c r="O2509" s="3"/>
      <c r="P2509" s="6"/>
      <c r="Q2509" s="48">
        <f>IF(Учет!$O2509=Справочники!$F$2,Учет!$H2509,0)</f>
        <v>0</v>
      </c>
      <c r="R2509" s="48">
        <f>IF(Учет!$O2509=Справочники!$F$3,Учет!$H2509,0)</f>
        <v>0</v>
      </c>
      <c r="S2509" s="48">
        <f>IF(Учет!$O2509=Справочники!$F$4,Учет!$H2509,0)</f>
        <v>0</v>
      </c>
      <c r="T2509" s="48">
        <f>IF(Учет!$O2509=Справочники!$F$5,Учет!$H2509,0)</f>
        <v>0</v>
      </c>
      <c r="U2509" s="48">
        <f>IF(Учет!$O2509=Справочники!$F$6,Учет!$H2509,0)</f>
        <v>0</v>
      </c>
      <c r="V2509" s="43">
        <f>V2508+Учет!Q2509-Q2509</f>
        <v>-488978.92000000004</v>
      </c>
      <c r="W2509" s="43">
        <f>W2508+Учет!R2509-R2509</f>
        <v>336855</v>
      </c>
      <c r="X2509" s="43">
        <f>X2508+Учет!S2509-S2509</f>
        <v>500</v>
      </c>
      <c r="Y2509" s="43">
        <f>Y2508+Учет!T2509-T2509</f>
        <v>1150</v>
      </c>
      <c r="Z2509" s="43">
        <f>Z2508+Учет!U2509-U2509</f>
        <v>500000</v>
      </c>
      <c r="AA2509" s="45">
        <f>Учет!X2509</f>
        <v>500</v>
      </c>
    </row>
    <row r="2510" spans="1:27" ht="15" customHeight="1" x14ac:dyDescent="0.25">
      <c r="A2510" s="1"/>
      <c r="B2510" s="17"/>
      <c r="C2510" s="17"/>
      <c r="D2510" s="17"/>
      <c r="E2510" s="17"/>
      <c r="F2510" s="17"/>
      <c r="G2510" s="4">
        <f t="shared" si="114"/>
        <v>0</v>
      </c>
      <c r="H2510" s="17"/>
      <c r="I2510" s="4">
        <f t="shared" si="116"/>
        <v>349526.07999999996</v>
      </c>
      <c r="J2510" s="32" t="str">
        <f t="shared" si="115"/>
        <v/>
      </c>
      <c r="K2510" s="72"/>
      <c r="L2510" s="72"/>
      <c r="M2510" s="2"/>
      <c r="N2510" s="5"/>
      <c r="O2510" s="3"/>
      <c r="P2510" s="6"/>
      <c r="Q2510" s="48">
        <f>IF(Учет!$O2510=Справочники!$F$2,Учет!$H2510,0)</f>
        <v>0</v>
      </c>
      <c r="R2510" s="48">
        <f>IF(Учет!$O2510=Справочники!$F$3,Учет!$H2510,0)</f>
        <v>0</v>
      </c>
      <c r="S2510" s="48">
        <f>IF(Учет!$O2510=Справочники!$F$4,Учет!$H2510,0)</f>
        <v>0</v>
      </c>
      <c r="T2510" s="48">
        <f>IF(Учет!$O2510=Справочники!$F$5,Учет!$H2510,0)</f>
        <v>0</v>
      </c>
      <c r="U2510" s="48">
        <f>IF(Учет!$O2510=Справочники!$F$6,Учет!$H2510,0)</f>
        <v>0</v>
      </c>
      <c r="V2510" s="43">
        <f>V2509+Учет!Q2510-Q2510</f>
        <v>-488978.92000000004</v>
      </c>
      <c r="W2510" s="43">
        <f>W2509+Учет!R2510-R2510</f>
        <v>336855</v>
      </c>
      <c r="X2510" s="43">
        <f>X2509+Учет!S2510-S2510</f>
        <v>500</v>
      </c>
      <c r="Y2510" s="43">
        <f>Y2509+Учет!T2510-T2510</f>
        <v>1150</v>
      </c>
      <c r="Z2510" s="43">
        <f>Z2509+Учет!U2510-U2510</f>
        <v>500000</v>
      </c>
      <c r="AA2510" s="45">
        <f>Учет!X2510</f>
        <v>500</v>
      </c>
    </row>
    <row r="2511" spans="1:27" ht="15" customHeight="1" x14ac:dyDescent="0.25">
      <c r="A2511" s="1"/>
      <c r="B2511" s="17"/>
      <c r="C2511" s="17"/>
      <c r="D2511" s="17"/>
      <c r="E2511" s="17"/>
      <c r="F2511" s="17"/>
      <c r="G2511" s="4">
        <f t="shared" si="114"/>
        <v>0</v>
      </c>
      <c r="H2511" s="17"/>
      <c r="I2511" s="4">
        <f t="shared" si="116"/>
        <v>349526.07999999996</v>
      </c>
      <c r="J2511" s="32" t="str">
        <f t="shared" si="115"/>
        <v/>
      </c>
      <c r="K2511" s="72"/>
      <c r="L2511" s="72"/>
      <c r="M2511" s="2"/>
      <c r="N2511" s="5"/>
      <c r="O2511" s="3"/>
      <c r="P2511" s="6"/>
      <c r="Q2511" s="48">
        <f>IF(Учет!$O2511=Справочники!$F$2,Учет!$H2511,0)</f>
        <v>0</v>
      </c>
      <c r="R2511" s="48">
        <f>IF(Учет!$O2511=Справочники!$F$3,Учет!$H2511,0)</f>
        <v>0</v>
      </c>
      <c r="S2511" s="48">
        <f>IF(Учет!$O2511=Справочники!$F$4,Учет!$H2511,0)</f>
        <v>0</v>
      </c>
      <c r="T2511" s="48">
        <f>IF(Учет!$O2511=Справочники!$F$5,Учет!$H2511,0)</f>
        <v>0</v>
      </c>
      <c r="U2511" s="48">
        <f>IF(Учет!$O2511=Справочники!$F$6,Учет!$H2511,0)</f>
        <v>0</v>
      </c>
      <c r="V2511" s="43">
        <f>V2510+Учет!Q2511-Q2511</f>
        <v>-488978.92000000004</v>
      </c>
      <c r="W2511" s="43">
        <f>W2510+Учет!R2511-R2511</f>
        <v>336855</v>
      </c>
      <c r="X2511" s="43">
        <f>X2510+Учет!S2511-S2511</f>
        <v>500</v>
      </c>
      <c r="Y2511" s="43">
        <f>Y2510+Учет!T2511-T2511</f>
        <v>1150</v>
      </c>
      <c r="Z2511" s="43">
        <f>Z2510+Учет!U2511-U2511</f>
        <v>500000</v>
      </c>
      <c r="AA2511" s="45">
        <f>Учет!X2511</f>
        <v>500</v>
      </c>
    </row>
    <row r="2512" spans="1:27" ht="15" customHeight="1" x14ac:dyDescent="0.25">
      <c r="A2512" s="1"/>
      <c r="B2512" s="17"/>
      <c r="C2512" s="17"/>
      <c r="D2512" s="17"/>
      <c r="E2512" s="17"/>
      <c r="F2512" s="17"/>
      <c r="G2512" s="4">
        <f t="shared" si="114"/>
        <v>0</v>
      </c>
      <c r="H2512" s="17"/>
      <c r="I2512" s="4">
        <f t="shared" si="116"/>
        <v>349526.07999999996</v>
      </c>
      <c r="J2512" s="32" t="str">
        <f t="shared" si="115"/>
        <v/>
      </c>
      <c r="K2512" s="72"/>
      <c r="L2512" s="72"/>
      <c r="M2512" s="2"/>
      <c r="N2512" s="5"/>
      <c r="O2512" s="3"/>
      <c r="P2512" s="6"/>
      <c r="Q2512" s="48">
        <f>IF(Учет!$O2512=Справочники!$F$2,Учет!$H2512,0)</f>
        <v>0</v>
      </c>
      <c r="R2512" s="48">
        <f>IF(Учет!$O2512=Справочники!$F$3,Учет!$H2512,0)</f>
        <v>0</v>
      </c>
      <c r="S2512" s="48">
        <f>IF(Учет!$O2512=Справочники!$F$4,Учет!$H2512,0)</f>
        <v>0</v>
      </c>
      <c r="T2512" s="48">
        <f>IF(Учет!$O2512=Справочники!$F$5,Учет!$H2512,0)</f>
        <v>0</v>
      </c>
      <c r="U2512" s="48">
        <f>IF(Учет!$O2512=Справочники!$F$6,Учет!$H2512,0)</f>
        <v>0</v>
      </c>
      <c r="V2512" s="43">
        <f>V2511+Учет!Q2512-Q2512</f>
        <v>-488978.92000000004</v>
      </c>
      <c r="W2512" s="43">
        <f>W2511+Учет!R2512-R2512</f>
        <v>336855</v>
      </c>
      <c r="X2512" s="43">
        <f>X2511+Учет!S2512-S2512</f>
        <v>500</v>
      </c>
      <c r="Y2512" s="43">
        <f>Y2511+Учет!T2512-T2512</f>
        <v>1150</v>
      </c>
      <c r="Z2512" s="43">
        <f>Z2511+Учет!U2512-U2512</f>
        <v>500000</v>
      </c>
      <c r="AA2512" s="45">
        <f>Учет!X2512</f>
        <v>500</v>
      </c>
    </row>
    <row r="2513" spans="1:27" ht="15" customHeight="1" x14ac:dyDescent="0.25">
      <c r="A2513" s="1"/>
      <c r="B2513" s="17"/>
      <c r="C2513" s="17"/>
      <c r="D2513" s="17"/>
      <c r="E2513" s="17"/>
      <c r="F2513" s="17"/>
      <c r="G2513" s="4">
        <f t="shared" si="114"/>
        <v>0</v>
      </c>
      <c r="H2513" s="17"/>
      <c r="I2513" s="4">
        <f t="shared" si="116"/>
        <v>349526.07999999996</v>
      </c>
      <c r="J2513" s="32" t="str">
        <f t="shared" si="115"/>
        <v/>
      </c>
      <c r="K2513" s="72"/>
      <c r="L2513" s="72"/>
      <c r="M2513" s="2"/>
      <c r="N2513" s="5"/>
      <c r="O2513" s="3"/>
      <c r="P2513" s="6"/>
      <c r="Q2513" s="48">
        <f>IF(Учет!$O2513=Справочники!$F$2,Учет!$H2513,0)</f>
        <v>0</v>
      </c>
      <c r="R2513" s="48">
        <f>IF(Учет!$O2513=Справочники!$F$3,Учет!$H2513,0)</f>
        <v>0</v>
      </c>
      <c r="S2513" s="48">
        <f>IF(Учет!$O2513=Справочники!$F$4,Учет!$H2513,0)</f>
        <v>0</v>
      </c>
      <c r="T2513" s="48">
        <f>IF(Учет!$O2513=Справочники!$F$5,Учет!$H2513,0)</f>
        <v>0</v>
      </c>
      <c r="U2513" s="48">
        <f>IF(Учет!$O2513=Справочники!$F$6,Учет!$H2513,0)</f>
        <v>0</v>
      </c>
      <c r="V2513" s="43">
        <f>V2512+Учет!Q2513-Q2513</f>
        <v>-488978.92000000004</v>
      </c>
      <c r="W2513" s="43">
        <f>W2512+Учет!R2513-R2513</f>
        <v>336855</v>
      </c>
      <c r="X2513" s="43">
        <f>X2512+Учет!S2513-S2513</f>
        <v>500</v>
      </c>
      <c r="Y2513" s="43">
        <f>Y2512+Учет!T2513-T2513</f>
        <v>1150</v>
      </c>
      <c r="Z2513" s="43">
        <f>Z2512+Учет!U2513-U2513</f>
        <v>500000</v>
      </c>
      <c r="AA2513" s="45">
        <f>Учет!X2513</f>
        <v>500</v>
      </c>
    </row>
    <row r="2514" spans="1:27" ht="15" customHeight="1" x14ac:dyDescent="0.25">
      <c r="A2514" s="1"/>
      <c r="B2514" s="17"/>
      <c r="C2514" s="17"/>
      <c r="D2514" s="17"/>
      <c r="E2514" s="17"/>
      <c r="F2514" s="17"/>
      <c r="G2514" s="4">
        <f t="shared" si="114"/>
        <v>0</v>
      </c>
      <c r="H2514" s="17"/>
      <c r="I2514" s="4">
        <f t="shared" si="116"/>
        <v>349526.07999999996</v>
      </c>
      <c r="J2514" s="32" t="str">
        <f t="shared" si="115"/>
        <v/>
      </c>
      <c r="K2514" s="72"/>
      <c r="L2514" s="72"/>
      <c r="M2514" s="2"/>
      <c r="N2514" s="5"/>
      <c r="O2514" s="3"/>
      <c r="P2514" s="6"/>
      <c r="Q2514" s="48">
        <f>IF(Учет!$O2514=Справочники!$F$2,Учет!$H2514,0)</f>
        <v>0</v>
      </c>
      <c r="R2514" s="48">
        <f>IF(Учет!$O2514=Справочники!$F$3,Учет!$H2514,0)</f>
        <v>0</v>
      </c>
      <c r="S2514" s="48">
        <f>IF(Учет!$O2514=Справочники!$F$4,Учет!$H2514,0)</f>
        <v>0</v>
      </c>
      <c r="T2514" s="48">
        <f>IF(Учет!$O2514=Справочники!$F$5,Учет!$H2514,0)</f>
        <v>0</v>
      </c>
      <c r="U2514" s="48">
        <f>IF(Учет!$O2514=Справочники!$F$6,Учет!$H2514,0)</f>
        <v>0</v>
      </c>
      <c r="V2514" s="43">
        <f>V2513+Учет!Q2514-Q2514</f>
        <v>-488978.92000000004</v>
      </c>
      <c r="W2514" s="43">
        <f>W2513+Учет!R2514-R2514</f>
        <v>336855</v>
      </c>
      <c r="X2514" s="43">
        <f>X2513+Учет!S2514-S2514</f>
        <v>500</v>
      </c>
      <c r="Y2514" s="43">
        <f>Y2513+Учет!T2514-T2514</f>
        <v>1150</v>
      </c>
      <c r="Z2514" s="43">
        <f>Z2513+Учет!U2514-U2514</f>
        <v>500000</v>
      </c>
      <c r="AA2514" s="45">
        <f>Учет!X2514</f>
        <v>500</v>
      </c>
    </row>
    <row r="2515" spans="1:27" ht="15" customHeight="1" x14ac:dyDescent="0.25">
      <c r="A2515" s="1"/>
      <c r="B2515" s="17"/>
      <c r="C2515" s="17"/>
      <c r="D2515" s="17"/>
      <c r="E2515" s="17"/>
      <c r="F2515" s="17"/>
      <c r="G2515" s="4">
        <f t="shared" si="114"/>
        <v>0</v>
      </c>
      <c r="H2515" s="17"/>
      <c r="I2515" s="4">
        <f t="shared" si="116"/>
        <v>349526.07999999996</v>
      </c>
      <c r="J2515" s="32" t="str">
        <f t="shared" si="115"/>
        <v/>
      </c>
      <c r="K2515" s="72"/>
      <c r="L2515" s="72"/>
      <c r="M2515" s="2"/>
      <c r="N2515" s="5"/>
      <c r="O2515" s="3"/>
      <c r="P2515" s="6"/>
      <c r="Q2515" s="48">
        <f>IF(Учет!$O2515=Справочники!$F$2,Учет!$H2515,0)</f>
        <v>0</v>
      </c>
      <c r="R2515" s="48">
        <f>IF(Учет!$O2515=Справочники!$F$3,Учет!$H2515,0)</f>
        <v>0</v>
      </c>
      <c r="S2515" s="48">
        <f>IF(Учет!$O2515=Справочники!$F$4,Учет!$H2515,0)</f>
        <v>0</v>
      </c>
      <c r="T2515" s="48">
        <f>IF(Учет!$O2515=Справочники!$F$5,Учет!$H2515,0)</f>
        <v>0</v>
      </c>
      <c r="U2515" s="48">
        <f>IF(Учет!$O2515=Справочники!$F$6,Учет!$H2515,0)</f>
        <v>0</v>
      </c>
      <c r="V2515" s="43">
        <f>V2514+Учет!Q2515-Q2515</f>
        <v>-488978.92000000004</v>
      </c>
      <c r="W2515" s="43">
        <f>W2514+Учет!R2515-R2515</f>
        <v>336855</v>
      </c>
      <c r="X2515" s="43">
        <f>X2514+Учет!S2515-S2515</f>
        <v>500</v>
      </c>
      <c r="Y2515" s="43">
        <f>Y2514+Учет!T2515-T2515</f>
        <v>1150</v>
      </c>
      <c r="Z2515" s="43">
        <f>Z2514+Учет!U2515-U2515</f>
        <v>500000</v>
      </c>
      <c r="AA2515" s="45">
        <f>Учет!X2515</f>
        <v>500</v>
      </c>
    </row>
    <row r="2516" spans="1:27" ht="15" customHeight="1" x14ac:dyDescent="0.25">
      <c r="A2516" s="1"/>
      <c r="B2516" s="17"/>
      <c r="C2516" s="17"/>
      <c r="D2516" s="17"/>
      <c r="E2516" s="17"/>
      <c r="F2516" s="17"/>
      <c r="G2516" s="4">
        <f t="shared" si="114"/>
        <v>0</v>
      </c>
      <c r="H2516" s="17"/>
      <c r="I2516" s="4">
        <f t="shared" si="116"/>
        <v>349526.07999999996</v>
      </c>
      <c r="J2516" s="32" t="str">
        <f t="shared" si="115"/>
        <v/>
      </c>
      <c r="K2516" s="72"/>
      <c r="L2516" s="72"/>
      <c r="M2516" s="2"/>
      <c r="N2516" s="5"/>
      <c r="O2516" s="3"/>
      <c r="P2516" s="6"/>
      <c r="Q2516" s="48">
        <f>IF(Учет!$O2516=Справочники!$F$2,Учет!$H2516,0)</f>
        <v>0</v>
      </c>
      <c r="R2516" s="48">
        <f>IF(Учет!$O2516=Справочники!$F$3,Учет!$H2516,0)</f>
        <v>0</v>
      </c>
      <c r="S2516" s="48">
        <f>IF(Учет!$O2516=Справочники!$F$4,Учет!$H2516,0)</f>
        <v>0</v>
      </c>
      <c r="T2516" s="48">
        <f>IF(Учет!$O2516=Справочники!$F$5,Учет!$H2516,0)</f>
        <v>0</v>
      </c>
      <c r="U2516" s="48">
        <f>IF(Учет!$O2516=Справочники!$F$6,Учет!$H2516,0)</f>
        <v>0</v>
      </c>
      <c r="V2516" s="43">
        <f>V2515+Учет!Q2516-Q2516</f>
        <v>-488978.92000000004</v>
      </c>
      <c r="W2516" s="43">
        <f>W2515+Учет!R2516-R2516</f>
        <v>336855</v>
      </c>
      <c r="X2516" s="43">
        <f>X2515+Учет!S2516-S2516</f>
        <v>500</v>
      </c>
      <c r="Y2516" s="43">
        <f>Y2515+Учет!T2516-T2516</f>
        <v>1150</v>
      </c>
      <c r="Z2516" s="43">
        <f>Z2515+Учет!U2516-U2516</f>
        <v>500000</v>
      </c>
      <c r="AA2516" s="45">
        <f>Учет!X2516</f>
        <v>500</v>
      </c>
    </row>
    <row r="2517" spans="1:27" ht="15" customHeight="1" x14ac:dyDescent="0.25">
      <c r="A2517" s="1"/>
      <c r="B2517" s="17"/>
      <c r="C2517" s="17"/>
      <c r="D2517" s="17"/>
      <c r="E2517" s="17"/>
      <c r="F2517" s="17"/>
      <c r="G2517" s="4">
        <f t="shared" si="114"/>
        <v>0</v>
      </c>
      <c r="H2517" s="17"/>
      <c r="I2517" s="4">
        <f t="shared" si="116"/>
        <v>349526.07999999996</v>
      </c>
      <c r="J2517" s="32" t="str">
        <f t="shared" si="115"/>
        <v/>
      </c>
      <c r="K2517" s="72"/>
      <c r="L2517" s="72"/>
      <c r="M2517" s="2"/>
      <c r="N2517" s="5"/>
      <c r="O2517" s="3"/>
      <c r="P2517" s="6"/>
      <c r="Q2517" s="48">
        <f>IF(Учет!$O2517=Справочники!$F$2,Учет!$H2517,0)</f>
        <v>0</v>
      </c>
      <c r="R2517" s="48">
        <f>IF(Учет!$O2517=Справочники!$F$3,Учет!$H2517,0)</f>
        <v>0</v>
      </c>
      <c r="S2517" s="48">
        <f>IF(Учет!$O2517=Справочники!$F$4,Учет!$H2517,0)</f>
        <v>0</v>
      </c>
      <c r="T2517" s="48">
        <f>IF(Учет!$O2517=Справочники!$F$5,Учет!$H2517,0)</f>
        <v>0</v>
      </c>
      <c r="U2517" s="48">
        <f>IF(Учет!$O2517=Справочники!$F$6,Учет!$H2517,0)</f>
        <v>0</v>
      </c>
      <c r="V2517" s="43">
        <f>V2516+Учет!Q2517-Q2517</f>
        <v>-488978.92000000004</v>
      </c>
      <c r="W2517" s="43">
        <f>W2516+Учет!R2517-R2517</f>
        <v>336855</v>
      </c>
      <c r="X2517" s="43">
        <f>X2516+Учет!S2517-S2517</f>
        <v>500</v>
      </c>
      <c r="Y2517" s="43">
        <f>Y2516+Учет!T2517-T2517</f>
        <v>1150</v>
      </c>
      <c r="Z2517" s="43">
        <f>Z2516+Учет!U2517-U2517</f>
        <v>500000</v>
      </c>
      <c r="AA2517" s="45">
        <f>Учет!X2517</f>
        <v>500</v>
      </c>
    </row>
    <row r="2518" spans="1:27" ht="15" customHeight="1" x14ac:dyDescent="0.25">
      <c r="A2518" s="1"/>
      <c r="B2518" s="17"/>
      <c r="C2518" s="17"/>
      <c r="D2518" s="17"/>
      <c r="E2518" s="17"/>
      <c r="F2518" s="17"/>
      <c r="G2518" s="4">
        <f t="shared" si="114"/>
        <v>0</v>
      </c>
      <c r="H2518" s="17"/>
      <c r="I2518" s="4">
        <f t="shared" si="116"/>
        <v>349526.07999999996</v>
      </c>
      <c r="J2518" s="32" t="str">
        <f t="shared" si="115"/>
        <v/>
      </c>
      <c r="K2518" s="72"/>
      <c r="L2518" s="72"/>
      <c r="M2518" s="2"/>
      <c r="N2518" s="5"/>
      <c r="O2518" s="3"/>
      <c r="P2518" s="6"/>
      <c r="Q2518" s="48">
        <f>IF(Учет!$O2518=Справочники!$F$2,Учет!$H2518,0)</f>
        <v>0</v>
      </c>
      <c r="R2518" s="48">
        <f>IF(Учет!$O2518=Справочники!$F$3,Учет!$H2518,0)</f>
        <v>0</v>
      </c>
      <c r="S2518" s="48">
        <f>IF(Учет!$O2518=Справочники!$F$4,Учет!$H2518,0)</f>
        <v>0</v>
      </c>
      <c r="T2518" s="48">
        <f>IF(Учет!$O2518=Справочники!$F$5,Учет!$H2518,0)</f>
        <v>0</v>
      </c>
      <c r="U2518" s="48">
        <f>IF(Учет!$O2518=Справочники!$F$6,Учет!$H2518,0)</f>
        <v>0</v>
      </c>
      <c r="V2518" s="43">
        <f>V2517+Учет!Q2518-Q2518</f>
        <v>-488978.92000000004</v>
      </c>
      <c r="W2518" s="43">
        <f>W2517+Учет!R2518-R2518</f>
        <v>336855</v>
      </c>
      <c r="X2518" s="43">
        <f>X2517+Учет!S2518-S2518</f>
        <v>500</v>
      </c>
      <c r="Y2518" s="43">
        <f>Y2517+Учет!T2518-T2518</f>
        <v>1150</v>
      </c>
      <c r="Z2518" s="43">
        <f>Z2517+Учет!U2518-U2518</f>
        <v>500000</v>
      </c>
      <c r="AA2518" s="45">
        <f>Учет!X2518</f>
        <v>500</v>
      </c>
    </row>
    <row r="2519" spans="1:27" ht="15" customHeight="1" x14ac:dyDescent="0.25">
      <c r="A2519" s="1"/>
      <c r="B2519" s="17"/>
      <c r="C2519" s="17"/>
      <c r="D2519" s="17"/>
      <c r="E2519" s="17"/>
      <c r="F2519" s="17"/>
      <c r="G2519" s="4">
        <f t="shared" si="114"/>
        <v>0</v>
      </c>
      <c r="H2519" s="17"/>
      <c r="I2519" s="4">
        <f t="shared" si="116"/>
        <v>349526.07999999996</v>
      </c>
      <c r="J2519" s="32" t="str">
        <f t="shared" si="115"/>
        <v/>
      </c>
      <c r="K2519" s="72"/>
      <c r="L2519" s="72"/>
      <c r="M2519" s="2"/>
      <c r="N2519" s="5"/>
      <c r="O2519" s="3"/>
      <c r="P2519" s="6"/>
      <c r="Q2519" s="48">
        <f>IF(Учет!$O2519=Справочники!$F$2,Учет!$H2519,0)</f>
        <v>0</v>
      </c>
      <c r="R2519" s="48">
        <f>IF(Учет!$O2519=Справочники!$F$3,Учет!$H2519,0)</f>
        <v>0</v>
      </c>
      <c r="S2519" s="48">
        <f>IF(Учет!$O2519=Справочники!$F$4,Учет!$H2519,0)</f>
        <v>0</v>
      </c>
      <c r="T2519" s="48">
        <f>IF(Учет!$O2519=Справочники!$F$5,Учет!$H2519,0)</f>
        <v>0</v>
      </c>
      <c r="U2519" s="48">
        <f>IF(Учет!$O2519=Справочники!$F$6,Учет!$H2519,0)</f>
        <v>0</v>
      </c>
      <c r="V2519" s="43">
        <f>V2518+Учет!Q2519-Q2519</f>
        <v>-488978.92000000004</v>
      </c>
      <c r="W2519" s="43">
        <f>W2518+Учет!R2519-R2519</f>
        <v>336855</v>
      </c>
      <c r="X2519" s="43">
        <f>X2518+Учет!S2519-S2519</f>
        <v>500</v>
      </c>
      <c r="Y2519" s="43">
        <f>Y2518+Учет!T2519-T2519</f>
        <v>1150</v>
      </c>
      <c r="Z2519" s="43">
        <f>Z2518+Учет!U2519-U2519</f>
        <v>500000</v>
      </c>
      <c r="AA2519" s="45">
        <f>Учет!X2519</f>
        <v>500</v>
      </c>
    </row>
    <row r="2520" spans="1:27" ht="15" customHeight="1" x14ac:dyDescent="0.25">
      <c r="A2520" s="1"/>
      <c r="B2520" s="17"/>
      <c r="C2520" s="17"/>
      <c r="D2520" s="17"/>
      <c r="E2520" s="17"/>
      <c r="F2520" s="17"/>
      <c r="G2520" s="4">
        <f t="shared" si="114"/>
        <v>0</v>
      </c>
      <c r="H2520" s="17"/>
      <c r="I2520" s="4">
        <f t="shared" si="116"/>
        <v>349526.07999999996</v>
      </c>
      <c r="J2520" s="32" t="str">
        <f t="shared" si="115"/>
        <v/>
      </c>
      <c r="K2520" s="72"/>
      <c r="L2520" s="72"/>
      <c r="M2520" s="2"/>
      <c r="N2520" s="5"/>
      <c r="O2520" s="3"/>
      <c r="P2520" s="6"/>
      <c r="Q2520" s="48">
        <f>IF(Учет!$O2520=Справочники!$F$2,Учет!$H2520,0)</f>
        <v>0</v>
      </c>
      <c r="R2520" s="48">
        <f>IF(Учет!$O2520=Справочники!$F$3,Учет!$H2520,0)</f>
        <v>0</v>
      </c>
      <c r="S2520" s="48">
        <f>IF(Учет!$O2520=Справочники!$F$4,Учет!$H2520,0)</f>
        <v>0</v>
      </c>
      <c r="T2520" s="48">
        <f>IF(Учет!$O2520=Справочники!$F$5,Учет!$H2520,0)</f>
        <v>0</v>
      </c>
      <c r="U2520" s="48">
        <f>IF(Учет!$O2520=Справочники!$F$6,Учет!$H2520,0)</f>
        <v>0</v>
      </c>
      <c r="V2520" s="43">
        <f>V2519+Учет!Q2520-Q2520</f>
        <v>-488978.92000000004</v>
      </c>
      <c r="W2520" s="43">
        <f>W2519+Учет!R2520-R2520</f>
        <v>336855</v>
      </c>
      <c r="X2520" s="43">
        <f>X2519+Учет!S2520-S2520</f>
        <v>500</v>
      </c>
      <c r="Y2520" s="43">
        <f>Y2519+Учет!T2520-T2520</f>
        <v>1150</v>
      </c>
      <c r="Z2520" s="43">
        <f>Z2519+Учет!U2520-U2520</f>
        <v>500000</v>
      </c>
      <c r="AA2520" s="45">
        <f>Учет!X2520</f>
        <v>500</v>
      </c>
    </row>
    <row r="2521" spans="1:27" ht="15" customHeight="1" x14ac:dyDescent="0.25">
      <c r="A2521" s="1"/>
      <c r="B2521" s="17"/>
      <c r="C2521" s="17"/>
      <c r="D2521" s="17"/>
      <c r="E2521" s="17"/>
      <c r="F2521" s="17"/>
      <c r="G2521" s="4">
        <f t="shared" si="114"/>
        <v>0</v>
      </c>
      <c r="H2521" s="17"/>
      <c r="I2521" s="4">
        <f t="shared" si="116"/>
        <v>349526.07999999996</v>
      </c>
      <c r="J2521" s="32" t="str">
        <f t="shared" si="115"/>
        <v/>
      </c>
      <c r="K2521" s="72"/>
      <c r="L2521" s="72"/>
      <c r="M2521" s="2"/>
      <c r="N2521" s="5"/>
      <c r="O2521" s="3"/>
      <c r="P2521" s="6"/>
      <c r="Q2521" s="48">
        <f>IF(Учет!$O2521=Справочники!$F$2,Учет!$H2521,0)</f>
        <v>0</v>
      </c>
      <c r="R2521" s="48">
        <f>IF(Учет!$O2521=Справочники!$F$3,Учет!$H2521,0)</f>
        <v>0</v>
      </c>
      <c r="S2521" s="48">
        <f>IF(Учет!$O2521=Справочники!$F$4,Учет!$H2521,0)</f>
        <v>0</v>
      </c>
      <c r="T2521" s="48">
        <f>IF(Учет!$O2521=Справочники!$F$5,Учет!$H2521,0)</f>
        <v>0</v>
      </c>
      <c r="U2521" s="48">
        <f>IF(Учет!$O2521=Справочники!$F$6,Учет!$H2521,0)</f>
        <v>0</v>
      </c>
      <c r="V2521" s="43">
        <f>V2520+Учет!Q2521-Q2521</f>
        <v>-488978.92000000004</v>
      </c>
      <c r="W2521" s="43">
        <f>W2520+Учет!R2521-R2521</f>
        <v>336855</v>
      </c>
      <c r="X2521" s="43">
        <f>X2520+Учет!S2521-S2521</f>
        <v>500</v>
      </c>
      <c r="Y2521" s="43">
        <f>Y2520+Учет!T2521-T2521</f>
        <v>1150</v>
      </c>
      <c r="Z2521" s="43">
        <f>Z2520+Учет!U2521-U2521</f>
        <v>500000</v>
      </c>
      <c r="AA2521" s="45">
        <f>Учет!X2521</f>
        <v>500</v>
      </c>
    </row>
    <row r="2522" spans="1:27" ht="15" customHeight="1" x14ac:dyDescent="0.25">
      <c r="A2522" s="1"/>
      <c r="B2522" s="17"/>
      <c r="C2522" s="17"/>
      <c r="D2522" s="17"/>
      <c r="E2522" s="17"/>
      <c r="F2522" s="17"/>
      <c r="G2522" s="4">
        <f t="shared" si="114"/>
        <v>0</v>
      </c>
      <c r="H2522" s="17"/>
      <c r="I2522" s="4">
        <f t="shared" si="116"/>
        <v>349526.07999999996</v>
      </c>
      <c r="J2522" s="32" t="str">
        <f t="shared" si="115"/>
        <v/>
      </c>
      <c r="K2522" s="72"/>
      <c r="L2522" s="72"/>
      <c r="M2522" s="2"/>
      <c r="N2522" s="5"/>
      <c r="O2522" s="3"/>
      <c r="P2522" s="6"/>
      <c r="Q2522" s="48">
        <f>IF(Учет!$O2522=Справочники!$F$2,Учет!$H2522,0)</f>
        <v>0</v>
      </c>
      <c r="R2522" s="48">
        <f>IF(Учет!$O2522=Справочники!$F$3,Учет!$H2522,0)</f>
        <v>0</v>
      </c>
      <c r="S2522" s="48">
        <f>IF(Учет!$O2522=Справочники!$F$4,Учет!$H2522,0)</f>
        <v>0</v>
      </c>
      <c r="T2522" s="48">
        <f>IF(Учет!$O2522=Справочники!$F$5,Учет!$H2522,0)</f>
        <v>0</v>
      </c>
      <c r="U2522" s="48">
        <f>IF(Учет!$O2522=Справочники!$F$6,Учет!$H2522,0)</f>
        <v>0</v>
      </c>
      <c r="V2522" s="43">
        <f>V2521+Учет!Q2522-Q2522</f>
        <v>-488978.92000000004</v>
      </c>
      <c r="W2522" s="43">
        <f>W2521+Учет!R2522-R2522</f>
        <v>336855</v>
      </c>
      <c r="X2522" s="43">
        <f>X2521+Учет!S2522-S2522</f>
        <v>500</v>
      </c>
      <c r="Y2522" s="43">
        <f>Y2521+Учет!T2522-T2522</f>
        <v>1150</v>
      </c>
      <c r="Z2522" s="43">
        <f>Z2521+Учет!U2522-U2522</f>
        <v>500000</v>
      </c>
      <c r="AA2522" s="45">
        <f>Учет!X2522</f>
        <v>500</v>
      </c>
    </row>
    <row r="2523" spans="1:27" ht="15" customHeight="1" x14ac:dyDescent="0.25">
      <c r="A2523" s="1"/>
      <c r="B2523" s="17"/>
      <c r="C2523" s="17"/>
      <c r="D2523" s="17"/>
      <c r="E2523" s="17"/>
      <c r="F2523" s="17"/>
      <c r="G2523" s="4">
        <f t="shared" si="114"/>
        <v>0</v>
      </c>
      <c r="H2523" s="17"/>
      <c r="I2523" s="4">
        <f t="shared" si="116"/>
        <v>349526.07999999996</v>
      </c>
      <c r="J2523" s="32" t="str">
        <f t="shared" si="115"/>
        <v/>
      </c>
      <c r="K2523" s="72"/>
      <c r="L2523" s="72"/>
      <c r="M2523" s="2"/>
      <c r="N2523" s="5"/>
      <c r="O2523" s="3"/>
      <c r="P2523" s="6"/>
      <c r="Q2523" s="48">
        <f>IF(Учет!$O2523=Справочники!$F$2,Учет!$H2523,0)</f>
        <v>0</v>
      </c>
      <c r="R2523" s="48">
        <f>IF(Учет!$O2523=Справочники!$F$3,Учет!$H2523,0)</f>
        <v>0</v>
      </c>
      <c r="S2523" s="48">
        <f>IF(Учет!$O2523=Справочники!$F$4,Учет!$H2523,0)</f>
        <v>0</v>
      </c>
      <c r="T2523" s="48">
        <f>IF(Учет!$O2523=Справочники!$F$5,Учет!$H2523,0)</f>
        <v>0</v>
      </c>
      <c r="U2523" s="48">
        <f>IF(Учет!$O2523=Справочники!$F$6,Учет!$H2523,0)</f>
        <v>0</v>
      </c>
      <c r="V2523" s="43">
        <f>V2522+Учет!Q2523-Q2523</f>
        <v>-488978.92000000004</v>
      </c>
      <c r="W2523" s="43">
        <f>W2522+Учет!R2523-R2523</f>
        <v>336855</v>
      </c>
      <c r="X2523" s="43">
        <f>X2522+Учет!S2523-S2523</f>
        <v>500</v>
      </c>
      <c r="Y2523" s="43">
        <f>Y2522+Учет!T2523-T2523</f>
        <v>1150</v>
      </c>
      <c r="Z2523" s="43">
        <f>Z2522+Учет!U2523-U2523</f>
        <v>500000</v>
      </c>
      <c r="AA2523" s="45">
        <f>Учет!X2523</f>
        <v>500</v>
      </c>
    </row>
    <row r="2524" spans="1:27" ht="15" customHeight="1" x14ac:dyDescent="0.25">
      <c r="A2524" s="1"/>
      <c r="B2524" s="17"/>
      <c r="C2524" s="17"/>
      <c r="D2524" s="17"/>
      <c r="E2524" s="17"/>
      <c r="F2524" s="17"/>
      <c r="G2524" s="4">
        <f t="shared" si="114"/>
        <v>0</v>
      </c>
      <c r="H2524" s="17"/>
      <c r="I2524" s="4">
        <f t="shared" si="116"/>
        <v>349526.07999999996</v>
      </c>
      <c r="J2524" s="32" t="str">
        <f t="shared" si="115"/>
        <v/>
      </c>
      <c r="K2524" s="72"/>
      <c r="L2524" s="72"/>
      <c r="M2524" s="2"/>
      <c r="N2524" s="5"/>
      <c r="O2524" s="3"/>
      <c r="P2524" s="6"/>
      <c r="Q2524" s="48">
        <f>IF(Учет!$O2524=Справочники!$F$2,Учет!$H2524,0)</f>
        <v>0</v>
      </c>
      <c r="R2524" s="48">
        <f>IF(Учет!$O2524=Справочники!$F$3,Учет!$H2524,0)</f>
        <v>0</v>
      </c>
      <c r="S2524" s="48">
        <f>IF(Учет!$O2524=Справочники!$F$4,Учет!$H2524,0)</f>
        <v>0</v>
      </c>
      <c r="T2524" s="48">
        <f>IF(Учет!$O2524=Справочники!$F$5,Учет!$H2524,0)</f>
        <v>0</v>
      </c>
      <c r="U2524" s="48">
        <f>IF(Учет!$O2524=Справочники!$F$6,Учет!$H2524,0)</f>
        <v>0</v>
      </c>
      <c r="V2524" s="43">
        <f>V2523+Учет!Q2524-Q2524</f>
        <v>-488978.92000000004</v>
      </c>
      <c r="W2524" s="43">
        <f>W2523+Учет!R2524-R2524</f>
        <v>336855</v>
      </c>
      <c r="X2524" s="43">
        <f>X2523+Учет!S2524-S2524</f>
        <v>500</v>
      </c>
      <c r="Y2524" s="43">
        <f>Y2523+Учет!T2524-T2524</f>
        <v>1150</v>
      </c>
      <c r="Z2524" s="43">
        <f>Z2523+Учет!U2524-U2524</f>
        <v>500000</v>
      </c>
      <c r="AA2524" s="45">
        <f>Учет!X2524</f>
        <v>500</v>
      </c>
    </row>
    <row r="2525" spans="1:27" ht="15" customHeight="1" x14ac:dyDescent="0.25">
      <c r="A2525" s="1"/>
      <c r="B2525" s="17"/>
      <c r="C2525" s="17"/>
      <c r="D2525" s="17"/>
      <c r="E2525" s="17"/>
      <c r="F2525" s="17"/>
      <c r="G2525" s="4">
        <f t="shared" si="114"/>
        <v>0</v>
      </c>
      <c r="H2525" s="17"/>
      <c r="I2525" s="4">
        <f t="shared" si="116"/>
        <v>349526.07999999996</v>
      </c>
      <c r="J2525" s="32" t="str">
        <f t="shared" si="115"/>
        <v/>
      </c>
      <c r="K2525" s="72"/>
      <c r="L2525" s="72"/>
      <c r="M2525" s="2"/>
      <c r="N2525" s="5"/>
      <c r="O2525" s="3"/>
      <c r="P2525" s="6"/>
      <c r="Q2525" s="48">
        <f>IF(Учет!$O2525=Справочники!$F$2,Учет!$H2525,0)</f>
        <v>0</v>
      </c>
      <c r="R2525" s="48">
        <f>IF(Учет!$O2525=Справочники!$F$3,Учет!$H2525,0)</f>
        <v>0</v>
      </c>
      <c r="S2525" s="48">
        <f>IF(Учет!$O2525=Справочники!$F$4,Учет!$H2525,0)</f>
        <v>0</v>
      </c>
      <c r="T2525" s="48">
        <f>IF(Учет!$O2525=Справочники!$F$5,Учет!$H2525,0)</f>
        <v>0</v>
      </c>
      <c r="U2525" s="48">
        <f>IF(Учет!$O2525=Справочники!$F$6,Учет!$H2525,0)</f>
        <v>0</v>
      </c>
      <c r="V2525" s="43">
        <f>V2524+Учет!Q2525-Q2525</f>
        <v>-488978.92000000004</v>
      </c>
      <c r="W2525" s="43">
        <f>W2524+Учет!R2525-R2525</f>
        <v>336855</v>
      </c>
      <c r="X2525" s="43">
        <f>X2524+Учет!S2525-S2525</f>
        <v>500</v>
      </c>
      <c r="Y2525" s="43">
        <f>Y2524+Учет!T2525-T2525</f>
        <v>1150</v>
      </c>
      <c r="Z2525" s="43">
        <f>Z2524+Учет!U2525-U2525</f>
        <v>500000</v>
      </c>
      <c r="AA2525" s="45">
        <f>Учет!X2525</f>
        <v>500</v>
      </c>
    </row>
    <row r="2526" spans="1:27" ht="15" customHeight="1" x14ac:dyDescent="0.25">
      <c r="A2526" s="1"/>
      <c r="B2526" s="17"/>
      <c r="C2526" s="17"/>
      <c r="D2526" s="17"/>
      <c r="E2526" s="17"/>
      <c r="F2526" s="17"/>
      <c r="G2526" s="4">
        <f t="shared" si="114"/>
        <v>0</v>
      </c>
      <c r="H2526" s="17"/>
      <c r="I2526" s="4">
        <f t="shared" si="116"/>
        <v>349526.07999999996</v>
      </c>
      <c r="J2526" s="32" t="str">
        <f t="shared" si="115"/>
        <v/>
      </c>
      <c r="K2526" s="72"/>
      <c r="L2526" s="72"/>
      <c r="M2526" s="2"/>
      <c r="N2526" s="5"/>
      <c r="O2526" s="3"/>
      <c r="P2526" s="6"/>
      <c r="Q2526" s="48">
        <f>IF(Учет!$O2526=Справочники!$F$2,Учет!$H2526,0)</f>
        <v>0</v>
      </c>
      <c r="R2526" s="48">
        <f>IF(Учет!$O2526=Справочники!$F$3,Учет!$H2526,0)</f>
        <v>0</v>
      </c>
      <c r="S2526" s="48">
        <f>IF(Учет!$O2526=Справочники!$F$4,Учет!$H2526,0)</f>
        <v>0</v>
      </c>
      <c r="T2526" s="48">
        <f>IF(Учет!$O2526=Справочники!$F$5,Учет!$H2526,0)</f>
        <v>0</v>
      </c>
      <c r="U2526" s="48">
        <f>IF(Учет!$O2526=Справочники!$F$6,Учет!$H2526,0)</f>
        <v>0</v>
      </c>
      <c r="V2526" s="43">
        <f>V2525+Учет!Q2526-Q2526</f>
        <v>-488978.92000000004</v>
      </c>
      <c r="W2526" s="43">
        <f>W2525+Учет!R2526-R2526</f>
        <v>336855</v>
      </c>
      <c r="X2526" s="43">
        <f>X2525+Учет!S2526-S2526</f>
        <v>500</v>
      </c>
      <c r="Y2526" s="43">
        <f>Y2525+Учет!T2526-T2526</f>
        <v>1150</v>
      </c>
      <c r="Z2526" s="43">
        <f>Z2525+Учет!U2526-U2526</f>
        <v>500000</v>
      </c>
      <c r="AA2526" s="45">
        <f>Учет!X2526</f>
        <v>500</v>
      </c>
    </row>
    <row r="2527" spans="1:27" ht="15" customHeight="1" x14ac:dyDescent="0.25">
      <c r="A2527" s="1"/>
      <c r="B2527" s="17"/>
      <c r="C2527" s="17"/>
      <c r="D2527" s="17"/>
      <c r="E2527" s="17"/>
      <c r="F2527" s="17"/>
      <c r="G2527" s="4">
        <f t="shared" si="114"/>
        <v>0</v>
      </c>
      <c r="H2527" s="17"/>
      <c r="I2527" s="4">
        <f t="shared" si="116"/>
        <v>349526.07999999996</v>
      </c>
      <c r="J2527" s="32" t="str">
        <f t="shared" si="115"/>
        <v/>
      </c>
      <c r="K2527" s="72"/>
      <c r="L2527" s="72"/>
      <c r="M2527" s="2"/>
      <c r="N2527" s="5"/>
      <c r="O2527" s="3"/>
      <c r="P2527" s="6"/>
      <c r="Q2527" s="48">
        <f>IF(Учет!$O2527=Справочники!$F$2,Учет!$H2527,0)</f>
        <v>0</v>
      </c>
      <c r="R2527" s="48">
        <f>IF(Учет!$O2527=Справочники!$F$3,Учет!$H2527,0)</f>
        <v>0</v>
      </c>
      <c r="S2527" s="48">
        <f>IF(Учет!$O2527=Справочники!$F$4,Учет!$H2527,0)</f>
        <v>0</v>
      </c>
      <c r="T2527" s="48">
        <f>IF(Учет!$O2527=Справочники!$F$5,Учет!$H2527,0)</f>
        <v>0</v>
      </c>
      <c r="U2527" s="48">
        <f>IF(Учет!$O2527=Справочники!$F$6,Учет!$H2527,0)</f>
        <v>0</v>
      </c>
      <c r="V2527" s="43">
        <f>V2526+Учет!Q2527-Q2527</f>
        <v>-488978.92000000004</v>
      </c>
      <c r="W2527" s="43">
        <f>W2526+Учет!R2527-R2527</f>
        <v>336855</v>
      </c>
      <c r="X2527" s="43">
        <f>X2526+Учет!S2527-S2527</f>
        <v>500</v>
      </c>
      <c r="Y2527" s="43">
        <f>Y2526+Учет!T2527-T2527</f>
        <v>1150</v>
      </c>
      <c r="Z2527" s="43">
        <f>Z2526+Учет!U2527-U2527</f>
        <v>500000</v>
      </c>
      <c r="AA2527" s="45">
        <f>Учет!X2527</f>
        <v>500</v>
      </c>
    </row>
    <row r="2528" spans="1:27" ht="15" customHeight="1" x14ac:dyDescent="0.25">
      <c r="A2528" s="1"/>
      <c r="B2528" s="17"/>
      <c r="C2528" s="17"/>
      <c r="D2528" s="17"/>
      <c r="E2528" s="17"/>
      <c r="F2528" s="17"/>
      <c r="G2528" s="4">
        <f t="shared" si="114"/>
        <v>0</v>
      </c>
      <c r="H2528" s="17"/>
      <c r="I2528" s="4">
        <f t="shared" si="116"/>
        <v>349526.07999999996</v>
      </c>
      <c r="J2528" s="32" t="str">
        <f t="shared" si="115"/>
        <v/>
      </c>
      <c r="K2528" s="72"/>
      <c r="L2528" s="72"/>
      <c r="M2528" s="2"/>
      <c r="N2528" s="5"/>
      <c r="O2528" s="3"/>
      <c r="P2528" s="6"/>
      <c r="Q2528" s="48">
        <f>IF(Учет!$O2528=Справочники!$F$2,Учет!$H2528,0)</f>
        <v>0</v>
      </c>
      <c r="R2528" s="48">
        <f>IF(Учет!$O2528=Справочники!$F$3,Учет!$H2528,0)</f>
        <v>0</v>
      </c>
      <c r="S2528" s="48">
        <f>IF(Учет!$O2528=Справочники!$F$4,Учет!$H2528,0)</f>
        <v>0</v>
      </c>
      <c r="T2528" s="48">
        <f>IF(Учет!$O2528=Справочники!$F$5,Учет!$H2528,0)</f>
        <v>0</v>
      </c>
      <c r="U2528" s="48">
        <f>IF(Учет!$O2528=Справочники!$F$6,Учет!$H2528,0)</f>
        <v>0</v>
      </c>
      <c r="V2528" s="43">
        <f>V2527+Учет!Q2528-Q2528</f>
        <v>-488978.92000000004</v>
      </c>
      <c r="W2528" s="43">
        <f>W2527+Учет!R2528-R2528</f>
        <v>336855</v>
      </c>
      <c r="X2528" s="43">
        <f>X2527+Учет!S2528-S2528</f>
        <v>500</v>
      </c>
      <c r="Y2528" s="43">
        <f>Y2527+Учет!T2528-T2528</f>
        <v>1150</v>
      </c>
      <c r="Z2528" s="43">
        <f>Z2527+Учет!U2528-U2528</f>
        <v>500000</v>
      </c>
      <c r="AA2528" s="45">
        <f>Учет!X2528</f>
        <v>500</v>
      </c>
    </row>
    <row r="2529" spans="1:27" ht="15" customHeight="1" x14ac:dyDescent="0.25">
      <c r="A2529" s="1"/>
      <c r="B2529" s="17"/>
      <c r="C2529" s="17"/>
      <c r="D2529" s="17"/>
      <c r="E2529" s="17"/>
      <c r="F2529" s="17"/>
      <c r="G2529" s="4">
        <f t="shared" si="114"/>
        <v>0</v>
      </c>
      <c r="H2529" s="17"/>
      <c r="I2529" s="4">
        <f t="shared" si="116"/>
        <v>349526.07999999996</v>
      </c>
      <c r="J2529" s="32" t="str">
        <f t="shared" si="115"/>
        <v/>
      </c>
      <c r="K2529" s="72"/>
      <c r="L2529" s="72"/>
      <c r="M2529" s="2"/>
      <c r="N2529" s="5"/>
      <c r="O2529" s="3"/>
      <c r="P2529" s="6"/>
      <c r="Q2529" s="48">
        <f>IF(Учет!$O2529=Справочники!$F$2,Учет!$H2529,0)</f>
        <v>0</v>
      </c>
      <c r="R2529" s="48">
        <f>IF(Учет!$O2529=Справочники!$F$3,Учет!$H2529,0)</f>
        <v>0</v>
      </c>
      <c r="S2529" s="48">
        <f>IF(Учет!$O2529=Справочники!$F$4,Учет!$H2529,0)</f>
        <v>0</v>
      </c>
      <c r="T2529" s="48">
        <f>IF(Учет!$O2529=Справочники!$F$5,Учет!$H2529,0)</f>
        <v>0</v>
      </c>
      <c r="U2529" s="48">
        <f>IF(Учет!$O2529=Справочники!$F$6,Учет!$H2529,0)</f>
        <v>0</v>
      </c>
      <c r="V2529" s="43">
        <f>V2528+Учет!Q2529-Q2529</f>
        <v>-488978.92000000004</v>
      </c>
      <c r="W2529" s="43">
        <f>W2528+Учет!R2529-R2529</f>
        <v>336855</v>
      </c>
      <c r="X2529" s="43">
        <f>X2528+Учет!S2529-S2529</f>
        <v>500</v>
      </c>
      <c r="Y2529" s="43">
        <f>Y2528+Учет!T2529-T2529</f>
        <v>1150</v>
      </c>
      <c r="Z2529" s="43">
        <f>Z2528+Учет!U2529-U2529</f>
        <v>500000</v>
      </c>
      <c r="AA2529" s="45">
        <f>Учет!X2529</f>
        <v>500</v>
      </c>
    </row>
    <row r="2530" spans="1:27" ht="15" customHeight="1" x14ac:dyDescent="0.25">
      <c r="A2530" s="1"/>
      <c r="B2530" s="17"/>
      <c r="C2530" s="17"/>
      <c r="D2530" s="17"/>
      <c r="E2530" s="17"/>
      <c r="F2530" s="17"/>
      <c r="G2530" s="4">
        <f t="shared" si="114"/>
        <v>0</v>
      </c>
      <c r="H2530" s="17"/>
      <c r="I2530" s="4">
        <f t="shared" si="116"/>
        <v>349526.07999999996</v>
      </c>
      <c r="J2530" s="32" t="str">
        <f t="shared" si="115"/>
        <v/>
      </c>
      <c r="K2530" s="72"/>
      <c r="L2530" s="72"/>
      <c r="M2530" s="2"/>
      <c r="N2530" s="5"/>
      <c r="O2530" s="3"/>
      <c r="P2530" s="6"/>
      <c r="Q2530" s="48">
        <f>IF(Учет!$O2530=Справочники!$F$2,Учет!$H2530,0)</f>
        <v>0</v>
      </c>
      <c r="R2530" s="48">
        <f>IF(Учет!$O2530=Справочники!$F$3,Учет!$H2530,0)</f>
        <v>0</v>
      </c>
      <c r="S2530" s="48">
        <f>IF(Учет!$O2530=Справочники!$F$4,Учет!$H2530,0)</f>
        <v>0</v>
      </c>
      <c r="T2530" s="48">
        <f>IF(Учет!$O2530=Справочники!$F$5,Учет!$H2530,0)</f>
        <v>0</v>
      </c>
      <c r="U2530" s="48">
        <f>IF(Учет!$O2530=Справочники!$F$6,Учет!$H2530,0)</f>
        <v>0</v>
      </c>
      <c r="V2530" s="43">
        <f>V2529+Учет!Q2530-Q2530</f>
        <v>-488978.92000000004</v>
      </c>
      <c r="W2530" s="43">
        <f>W2529+Учет!R2530-R2530</f>
        <v>336855</v>
      </c>
      <c r="X2530" s="43">
        <f>X2529+Учет!S2530-S2530</f>
        <v>500</v>
      </c>
      <c r="Y2530" s="43">
        <f>Y2529+Учет!T2530-T2530</f>
        <v>1150</v>
      </c>
      <c r="Z2530" s="43">
        <f>Z2529+Учет!U2530-U2530</f>
        <v>500000</v>
      </c>
      <c r="AA2530" s="45">
        <f>Учет!X2530</f>
        <v>500</v>
      </c>
    </row>
    <row r="2531" spans="1:27" ht="15" customHeight="1" x14ac:dyDescent="0.25">
      <c r="A2531" s="1"/>
      <c r="B2531" s="17"/>
      <c r="C2531" s="17"/>
      <c r="D2531" s="17"/>
      <c r="E2531" s="17"/>
      <c r="F2531" s="17"/>
      <c r="G2531" s="4">
        <f t="shared" si="114"/>
        <v>0</v>
      </c>
      <c r="H2531" s="17"/>
      <c r="I2531" s="4">
        <f t="shared" si="116"/>
        <v>349526.07999999996</v>
      </c>
      <c r="J2531" s="32" t="str">
        <f t="shared" si="115"/>
        <v/>
      </c>
      <c r="K2531" s="72"/>
      <c r="L2531" s="72"/>
      <c r="M2531" s="2"/>
      <c r="N2531" s="5"/>
      <c r="O2531" s="3"/>
      <c r="P2531" s="6"/>
      <c r="Q2531" s="48">
        <f>IF(Учет!$O2531=Справочники!$F$2,Учет!$H2531,0)</f>
        <v>0</v>
      </c>
      <c r="R2531" s="48">
        <f>IF(Учет!$O2531=Справочники!$F$3,Учет!$H2531,0)</f>
        <v>0</v>
      </c>
      <c r="S2531" s="48">
        <f>IF(Учет!$O2531=Справочники!$F$4,Учет!$H2531,0)</f>
        <v>0</v>
      </c>
      <c r="T2531" s="48">
        <f>IF(Учет!$O2531=Справочники!$F$5,Учет!$H2531,0)</f>
        <v>0</v>
      </c>
      <c r="U2531" s="48">
        <f>IF(Учет!$O2531=Справочники!$F$6,Учет!$H2531,0)</f>
        <v>0</v>
      </c>
      <c r="V2531" s="43">
        <f>V2530+Учет!Q2531-Q2531</f>
        <v>-488978.92000000004</v>
      </c>
      <c r="W2531" s="43">
        <f>W2530+Учет!R2531-R2531</f>
        <v>336855</v>
      </c>
      <c r="X2531" s="43">
        <f>X2530+Учет!S2531-S2531</f>
        <v>500</v>
      </c>
      <c r="Y2531" s="43">
        <f>Y2530+Учет!T2531-T2531</f>
        <v>1150</v>
      </c>
      <c r="Z2531" s="43">
        <f>Z2530+Учет!U2531-U2531</f>
        <v>500000</v>
      </c>
      <c r="AA2531" s="45">
        <f>Учет!X2531</f>
        <v>500</v>
      </c>
    </row>
    <row r="2532" spans="1:27" ht="15" customHeight="1" x14ac:dyDescent="0.25">
      <c r="A2532" s="1"/>
      <c r="B2532" s="17"/>
      <c r="C2532" s="17"/>
      <c r="D2532" s="17"/>
      <c r="E2532" s="17"/>
      <c r="F2532" s="17"/>
      <c r="G2532" s="4">
        <f t="shared" si="114"/>
        <v>0</v>
      </c>
      <c r="H2532" s="17"/>
      <c r="I2532" s="4">
        <f t="shared" si="116"/>
        <v>349526.07999999996</v>
      </c>
      <c r="J2532" s="32" t="str">
        <f t="shared" si="115"/>
        <v/>
      </c>
      <c r="K2532" s="72"/>
      <c r="L2532" s="72"/>
      <c r="M2532" s="2"/>
      <c r="N2532" s="5"/>
      <c r="O2532" s="3"/>
      <c r="P2532" s="6"/>
      <c r="Q2532" s="48">
        <f>IF(Учет!$O2532=Справочники!$F$2,Учет!$H2532,0)</f>
        <v>0</v>
      </c>
      <c r="R2532" s="48">
        <f>IF(Учет!$O2532=Справочники!$F$3,Учет!$H2532,0)</f>
        <v>0</v>
      </c>
      <c r="S2532" s="48">
        <f>IF(Учет!$O2532=Справочники!$F$4,Учет!$H2532,0)</f>
        <v>0</v>
      </c>
      <c r="T2532" s="48">
        <f>IF(Учет!$O2532=Справочники!$F$5,Учет!$H2532,0)</f>
        <v>0</v>
      </c>
      <c r="U2532" s="48">
        <f>IF(Учет!$O2532=Справочники!$F$6,Учет!$H2532,0)</f>
        <v>0</v>
      </c>
      <c r="V2532" s="43">
        <f>V2531+Учет!Q2532-Q2532</f>
        <v>-488978.92000000004</v>
      </c>
      <c r="W2532" s="43">
        <f>W2531+Учет!R2532-R2532</f>
        <v>336855</v>
      </c>
      <c r="X2532" s="43">
        <f>X2531+Учет!S2532-S2532</f>
        <v>500</v>
      </c>
      <c r="Y2532" s="43">
        <f>Y2531+Учет!T2532-T2532</f>
        <v>1150</v>
      </c>
      <c r="Z2532" s="43">
        <f>Z2531+Учет!U2532-U2532</f>
        <v>500000</v>
      </c>
      <c r="AA2532" s="45">
        <f>Учет!X2532</f>
        <v>500</v>
      </c>
    </row>
    <row r="2533" spans="1:27" ht="15" customHeight="1" x14ac:dyDescent="0.25">
      <c r="A2533" s="1"/>
      <c r="B2533" s="17"/>
      <c r="C2533" s="17"/>
      <c r="D2533" s="17"/>
      <c r="E2533" s="17"/>
      <c r="F2533" s="17"/>
      <c r="G2533" s="4">
        <f t="shared" si="114"/>
        <v>0</v>
      </c>
      <c r="H2533" s="17"/>
      <c r="I2533" s="4">
        <f t="shared" si="116"/>
        <v>349526.07999999996</v>
      </c>
      <c r="J2533" s="32" t="str">
        <f t="shared" si="115"/>
        <v/>
      </c>
      <c r="K2533" s="72"/>
      <c r="L2533" s="72"/>
      <c r="M2533" s="2"/>
      <c r="N2533" s="5"/>
      <c r="O2533" s="3"/>
      <c r="P2533" s="6"/>
      <c r="Q2533" s="48">
        <f>IF(Учет!$O2533=Справочники!$F$2,Учет!$H2533,0)</f>
        <v>0</v>
      </c>
      <c r="R2533" s="48">
        <f>IF(Учет!$O2533=Справочники!$F$3,Учет!$H2533,0)</f>
        <v>0</v>
      </c>
      <c r="S2533" s="48">
        <f>IF(Учет!$O2533=Справочники!$F$4,Учет!$H2533,0)</f>
        <v>0</v>
      </c>
      <c r="T2533" s="48">
        <f>IF(Учет!$O2533=Справочники!$F$5,Учет!$H2533,0)</f>
        <v>0</v>
      </c>
      <c r="U2533" s="48">
        <f>IF(Учет!$O2533=Справочники!$F$6,Учет!$H2533,0)</f>
        <v>0</v>
      </c>
      <c r="V2533" s="43">
        <f>V2532+Учет!Q2533-Q2533</f>
        <v>-488978.92000000004</v>
      </c>
      <c r="W2533" s="43">
        <f>W2532+Учет!R2533-R2533</f>
        <v>336855</v>
      </c>
      <c r="X2533" s="43">
        <f>X2532+Учет!S2533-S2533</f>
        <v>500</v>
      </c>
      <c r="Y2533" s="43">
        <f>Y2532+Учет!T2533-T2533</f>
        <v>1150</v>
      </c>
      <c r="Z2533" s="43">
        <f>Z2532+Учет!U2533-U2533</f>
        <v>500000</v>
      </c>
      <c r="AA2533" s="45">
        <f>Учет!X2533</f>
        <v>500</v>
      </c>
    </row>
    <row r="2534" spans="1:27" ht="15" customHeight="1" x14ac:dyDescent="0.25">
      <c r="A2534" s="1"/>
      <c r="B2534" s="17"/>
      <c r="C2534" s="17"/>
      <c r="D2534" s="17"/>
      <c r="E2534" s="17"/>
      <c r="F2534" s="17"/>
      <c r="G2534" s="4">
        <f t="shared" si="114"/>
        <v>0</v>
      </c>
      <c r="H2534" s="17"/>
      <c r="I2534" s="4">
        <f t="shared" si="116"/>
        <v>349526.07999999996</v>
      </c>
      <c r="J2534" s="32" t="str">
        <f t="shared" si="115"/>
        <v/>
      </c>
      <c r="K2534" s="72"/>
      <c r="L2534" s="72"/>
      <c r="M2534" s="2"/>
      <c r="N2534" s="5"/>
      <c r="O2534" s="3"/>
      <c r="P2534" s="6"/>
      <c r="Q2534" s="48">
        <f>IF(Учет!$O2534=Справочники!$F$2,Учет!$H2534,0)</f>
        <v>0</v>
      </c>
      <c r="R2534" s="48">
        <f>IF(Учет!$O2534=Справочники!$F$3,Учет!$H2534,0)</f>
        <v>0</v>
      </c>
      <c r="S2534" s="48">
        <f>IF(Учет!$O2534=Справочники!$F$4,Учет!$H2534,0)</f>
        <v>0</v>
      </c>
      <c r="T2534" s="48">
        <f>IF(Учет!$O2534=Справочники!$F$5,Учет!$H2534,0)</f>
        <v>0</v>
      </c>
      <c r="U2534" s="48">
        <f>IF(Учет!$O2534=Справочники!$F$6,Учет!$H2534,0)</f>
        <v>0</v>
      </c>
      <c r="V2534" s="43">
        <f>V2533+Учет!Q2534-Q2534</f>
        <v>-488978.92000000004</v>
      </c>
      <c r="W2534" s="43">
        <f>W2533+Учет!R2534-R2534</f>
        <v>336855</v>
      </c>
      <c r="X2534" s="43">
        <f>X2533+Учет!S2534-S2534</f>
        <v>500</v>
      </c>
      <c r="Y2534" s="43">
        <f>Y2533+Учет!T2534-T2534</f>
        <v>1150</v>
      </c>
      <c r="Z2534" s="43">
        <f>Z2533+Учет!U2534-U2534</f>
        <v>500000</v>
      </c>
      <c r="AA2534" s="45">
        <f>Учет!X2534</f>
        <v>500</v>
      </c>
    </row>
    <row r="2535" spans="1:27" ht="15" customHeight="1" x14ac:dyDescent="0.25">
      <c r="A2535" s="1"/>
      <c r="B2535" s="17"/>
      <c r="C2535" s="17"/>
      <c r="D2535" s="17"/>
      <c r="E2535" s="17"/>
      <c r="F2535" s="17"/>
      <c r="G2535" s="4">
        <f t="shared" si="114"/>
        <v>0</v>
      </c>
      <c r="H2535" s="17"/>
      <c r="I2535" s="4">
        <f t="shared" si="116"/>
        <v>349526.07999999996</v>
      </c>
      <c r="J2535" s="32" t="str">
        <f t="shared" si="115"/>
        <v/>
      </c>
      <c r="K2535" s="72"/>
      <c r="L2535" s="72"/>
      <c r="M2535" s="2"/>
      <c r="N2535" s="5"/>
      <c r="O2535" s="3"/>
      <c r="P2535" s="6"/>
      <c r="Q2535" s="48">
        <f>IF(Учет!$O2535=Справочники!$F$2,Учет!$H2535,0)</f>
        <v>0</v>
      </c>
      <c r="R2535" s="48">
        <f>IF(Учет!$O2535=Справочники!$F$3,Учет!$H2535,0)</f>
        <v>0</v>
      </c>
      <c r="S2535" s="48">
        <f>IF(Учет!$O2535=Справочники!$F$4,Учет!$H2535,0)</f>
        <v>0</v>
      </c>
      <c r="T2535" s="48">
        <f>IF(Учет!$O2535=Справочники!$F$5,Учет!$H2535,0)</f>
        <v>0</v>
      </c>
      <c r="U2535" s="48">
        <f>IF(Учет!$O2535=Справочники!$F$6,Учет!$H2535,0)</f>
        <v>0</v>
      </c>
      <c r="V2535" s="43">
        <f>V2534+Учет!Q2535-Q2535</f>
        <v>-488978.92000000004</v>
      </c>
      <c r="W2535" s="43">
        <f>W2534+Учет!R2535-R2535</f>
        <v>336855</v>
      </c>
      <c r="X2535" s="43">
        <f>X2534+Учет!S2535-S2535</f>
        <v>500</v>
      </c>
      <c r="Y2535" s="43">
        <f>Y2534+Учет!T2535-T2535</f>
        <v>1150</v>
      </c>
      <c r="Z2535" s="43">
        <f>Z2534+Учет!U2535-U2535</f>
        <v>500000</v>
      </c>
      <c r="AA2535" s="45">
        <f>Учет!X2535</f>
        <v>500</v>
      </c>
    </row>
    <row r="2536" spans="1:27" ht="15" customHeight="1" x14ac:dyDescent="0.25">
      <c r="A2536" s="1"/>
      <c r="B2536" s="17"/>
      <c r="C2536" s="17"/>
      <c r="D2536" s="17"/>
      <c r="E2536" s="17"/>
      <c r="F2536" s="17"/>
      <c r="G2536" s="4">
        <f t="shared" si="114"/>
        <v>0</v>
      </c>
      <c r="H2536" s="17"/>
      <c r="I2536" s="4">
        <f t="shared" si="116"/>
        <v>349526.07999999996</v>
      </c>
      <c r="J2536" s="32" t="str">
        <f t="shared" si="115"/>
        <v/>
      </c>
      <c r="K2536" s="72"/>
      <c r="L2536" s="72"/>
      <c r="M2536" s="2"/>
      <c r="N2536" s="5"/>
      <c r="O2536" s="3"/>
      <c r="P2536" s="6"/>
      <c r="Q2536" s="48">
        <f>IF(Учет!$O2536=Справочники!$F$2,Учет!$H2536,0)</f>
        <v>0</v>
      </c>
      <c r="R2536" s="48">
        <f>IF(Учет!$O2536=Справочники!$F$3,Учет!$H2536,0)</f>
        <v>0</v>
      </c>
      <c r="S2536" s="48">
        <f>IF(Учет!$O2536=Справочники!$F$4,Учет!$H2536,0)</f>
        <v>0</v>
      </c>
      <c r="T2536" s="48">
        <f>IF(Учет!$O2536=Справочники!$F$5,Учет!$H2536,0)</f>
        <v>0</v>
      </c>
      <c r="U2536" s="48">
        <f>IF(Учет!$O2536=Справочники!$F$6,Учет!$H2536,0)</f>
        <v>0</v>
      </c>
      <c r="V2536" s="43">
        <f>V2535+Учет!Q2536-Q2536</f>
        <v>-488978.92000000004</v>
      </c>
      <c r="W2536" s="43">
        <f>W2535+Учет!R2536-R2536</f>
        <v>336855</v>
      </c>
      <c r="X2536" s="43">
        <f>X2535+Учет!S2536-S2536</f>
        <v>500</v>
      </c>
      <c r="Y2536" s="43">
        <f>Y2535+Учет!T2536-T2536</f>
        <v>1150</v>
      </c>
      <c r="Z2536" s="43">
        <f>Z2535+Учет!U2536-U2536</f>
        <v>500000</v>
      </c>
      <c r="AA2536" s="45">
        <f>Учет!X2536</f>
        <v>500</v>
      </c>
    </row>
    <row r="2537" spans="1:27" ht="15" customHeight="1" x14ac:dyDescent="0.25">
      <c r="A2537" s="1"/>
      <c r="B2537" s="17"/>
      <c r="C2537" s="17"/>
      <c r="D2537" s="17"/>
      <c r="E2537" s="17"/>
      <c r="F2537" s="17"/>
      <c r="G2537" s="4">
        <f t="shared" si="114"/>
        <v>0</v>
      </c>
      <c r="H2537" s="17"/>
      <c r="I2537" s="4">
        <f t="shared" si="116"/>
        <v>349526.07999999996</v>
      </c>
      <c r="J2537" s="32" t="str">
        <f t="shared" si="115"/>
        <v/>
      </c>
      <c r="K2537" s="72"/>
      <c r="L2537" s="72"/>
      <c r="M2537" s="2"/>
      <c r="N2537" s="5"/>
      <c r="O2537" s="3"/>
      <c r="P2537" s="6"/>
      <c r="Q2537" s="48">
        <f>IF(Учет!$O2537=Справочники!$F$2,Учет!$H2537,0)</f>
        <v>0</v>
      </c>
      <c r="R2537" s="48">
        <f>IF(Учет!$O2537=Справочники!$F$3,Учет!$H2537,0)</f>
        <v>0</v>
      </c>
      <c r="S2537" s="48">
        <f>IF(Учет!$O2537=Справочники!$F$4,Учет!$H2537,0)</f>
        <v>0</v>
      </c>
      <c r="T2537" s="48">
        <f>IF(Учет!$O2537=Справочники!$F$5,Учет!$H2537,0)</f>
        <v>0</v>
      </c>
      <c r="U2537" s="48">
        <f>IF(Учет!$O2537=Справочники!$F$6,Учет!$H2537,0)</f>
        <v>0</v>
      </c>
      <c r="V2537" s="43">
        <f>V2536+Учет!Q2537-Q2537</f>
        <v>-488978.92000000004</v>
      </c>
      <c r="W2537" s="43">
        <f>W2536+Учет!R2537-R2537</f>
        <v>336855</v>
      </c>
      <c r="X2537" s="43">
        <f>X2536+Учет!S2537-S2537</f>
        <v>500</v>
      </c>
      <c r="Y2537" s="43">
        <f>Y2536+Учет!T2537-T2537</f>
        <v>1150</v>
      </c>
      <c r="Z2537" s="43">
        <f>Z2536+Учет!U2537-U2537</f>
        <v>500000</v>
      </c>
      <c r="AA2537" s="45">
        <f>Учет!X2537</f>
        <v>500</v>
      </c>
    </row>
    <row r="2538" spans="1:27" ht="15" customHeight="1" x14ac:dyDescent="0.25">
      <c r="A2538" s="1"/>
      <c r="B2538" s="17"/>
      <c r="C2538" s="17"/>
      <c r="D2538" s="17"/>
      <c r="E2538" s="17"/>
      <c r="F2538" s="17"/>
      <c r="G2538" s="4">
        <f t="shared" si="114"/>
        <v>0</v>
      </c>
      <c r="H2538" s="17"/>
      <c r="I2538" s="4">
        <f t="shared" si="116"/>
        <v>349526.07999999996</v>
      </c>
      <c r="J2538" s="32" t="str">
        <f t="shared" si="115"/>
        <v/>
      </c>
      <c r="K2538" s="72"/>
      <c r="L2538" s="72"/>
      <c r="M2538" s="2"/>
      <c r="N2538" s="5"/>
      <c r="O2538" s="3"/>
      <c r="P2538" s="6"/>
      <c r="Q2538" s="48">
        <f>IF(Учет!$O2538=Справочники!$F$2,Учет!$H2538,0)</f>
        <v>0</v>
      </c>
      <c r="R2538" s="48">
        <f>IF(Учет!$O2538=Справочники!$F$3,Учет!$H2538,0)</f>
        <v>0</v>
      </c>
      <c r="S2538" s="48">
        <f>IF(Учет!$O2538=Справочники!$F$4,Учет!$H2538,0)</f>
        <v>0</v>
      </c>
      <c r="T2538" s="48">
        <f>IF(Учет!$O2538=Справочники!$F$5,Учет!$H2538,0)</f>
        <v>0</v>
      </c>
      <c r="U2538" s="48">
        <f>IF(Учет!$O2538=Справочники!$F$6,Учет!$H2538,0)</f>
        <v>0</v>
      </c>
      <c r="V2538" s="43">
        <f>V2537+Учет!Q2538-Q2538</f>
        <v>-488978.92000000004</v>
      </c>
      <c r="W2538" s="43">
        <f>W2537+Учет!R2538-R2538</f>
        <v>336855</v>
      </c>
      <c r="X2538" s="43">
        <f>X2537+Учет!S2538-S2538</f>
        <v>500</v>
      </c>
      <c r="Y2538" s="43">
        <f>Y2537+Учет!T2538-T2538</f>
        <v>1150</v>
      </c>
      <c r="Z2538" s="43">
        <f>Z2537+Учет!U2538-U2538</f>
        <v>500000</v>
      </c>
      <c r="AA2538" s="45">
        <f>Учет!X2538</f>
        <v>500</v>
      </c>
    </row>
    <row r="2539" spans="1:27" ht="15" customHeight="1" x14ac:dyDescent="0.25">
      <c r="A2539" s="1"/>
      <c r="B2539" s="17"/>
      <c r="C2539" s="17"/>
      <c r="D2539" s="17"/>
      <c r="E2539" s="17"/>
      <c r="F2539" s="17"/>
      <c r="G2539" s="4">
        <f t="shared" si="114"/>
        <v>0</v>
      </c>
      <c r="H2539" s="17"/>
      <c r="I2539" s="4">
        <f t="shared" si="116"/>
        <v>349526.07999999996</v>
      </c>
      <c r="J2539" s="32" t="str">
        <f t="shared" si="115"/>
        <v/>
      </c>
      <c r="K2539" s="72"/>
      <c r="L2539" s="72"/>
      <c r="M2539" s="2"/>
      <c r="N2539" s="5"/>
      <c r="O2539" s="3"/>
      <c r="P2539" s="6"/>
      <c r="Q2539" s="48">
        <f>IF(Учет!$O2539=Справочники!$F$2,Учет!$H2539,0)</f>
        <v>0</v>
      </c>
      <c r="R2539" s="48">
        <f>IF(Учет!$O2539=Справочники!$F$3,Учет!$H2539,0)</f>
        <v>0</v>
      </c>
      <c r="S2539" s="48">
        <f>IF(Учет!$O2539=Справочники!$F$4,Учет!$H2539,0)</f>
        <v>0</v>
      </c>
      <c r="T2539" s="48">
        <f>IF(Учет!$O2539=Справочники!$F$5,Учет!$H2539,0)</f>
        <v>0</v>
      </c>
      <c r="U2539" s="48">
        <f>IF(Учет!$O2539=Справочники!$F$6,Учет!$H2539,0)</f>
        <v>0</v>
      </c>
      <c r="V2539" s="43">
        <f>V2538+Учет!Q2539-Q2539</f>
        <v>-488978.92000000004</v>
      </c>
      <c r="W2539" s="43">
        <f>W2538+Учет!R2539-R2539</f>
        <v>336855</v>
      </c>
      <c r="X2539" s="43">
        <f>X2538+Учет!S2539-S2539</f>
        <v>500</v>
      </c>
      <c r="Y2539" s="43">
        <f>Y2538+Учет!T2539-T2539</f>
        <v>1150</v>
      </c>
      <c r="Z2539" s="43">
        <f>Z2538+Учет!U2539-U2539</f>
        <v>500000</v>
      </c>
      <c r="AA2539" s="45">
        <f>Учет!X2539</f>
        <v>500</v>
      </c>
    </row>
    <row r="2540" spans="1:27" ht="15" customHeight="1" x14ac:dyDescent="0.25">
      <c r="A2540" s="1"/>
      <c r="B2540" s="17"/>
      <c r="C2540" s="17"/>
      <c r="D2540" s="17"/>
      <c r="E2540" s="17"/>
      <c r="F2540" s="17"/>
      <c r="G2540" s="4">
        <f t="shared" si="114"/>
        <v>0</v>
      </c>
      <c r="H2540" s="17"/>
      <c r="I2540" s="4">
        <f t="shared" si="116"/>
        <v>349526.07999999996</v>
      </c>
      <c r="J2540" s="32" t="str">
        <f t="shared" si="115"/>
        <v/>
      </c>
      <c r="K2540" s="72"/>
      <c r="L2540" s="72"/>
      <c r="M2540" s="2"/>
      <c r="N2540" s="5"/>
      <c r="O2540" s="3"/>
      <c r="P2540" s="6"/>
      <c r="Q2540" s="48">
        <f>IF(Учет!$O2540=Справочники!$F$2,Учет!$H2540,0)</f>
        <v>0</v>
      </c>
      <c r="R2540" s="48">
        <f>IF(Учет!$O2540=Справочники!$F$3,Учет!$H2540,0)</f>
        <v>0</v>
      </c>
      <c r="S2540" s="48">
        <f>IF(Учет!$O2540=Справочники!$F$4,Учет!$H2540,0)</f>
        <v>0</v>
      </c>
      <c r="T2540" s="48">
        <f>IF(Учет!$O2540=Справочники!$F$5,Учет!$H2540,0)</f>
        <v>0</v>
      </c>
      <c r="U2540" s="48">
        <f>IF(Учет!$O2540=Справочники!$F$6,Учет!$H2540,0)</f>
        <v>0</v>
      </c>
      <c r="V2540" s="43">
        <f>V2539+Учет!Q2540-Q2540</f>
        <v>-488978.92000000004</v>
      </c>
      <c r="W2540" s="43">
        <f>W2539+Учет!R2540-R2540</f>
        <v>336855</v>
      </c>
      <c r="X2540" s="43">
        <f>X2539+Учет!S2540-S2540</f>
        <v>500</v>
      </c>
      <c r="Y2540" s="43">
        <f>Y2539+Учет!T2540-T2540</f>
        <v>1150</v>
      </c>
      <c r="Z2540" s="43">
        <f>Z2539+Учет!U2540-U2540</f>
        <v>500000</v>
      </c>
      <c r="AA2540" s="45">
        <f>Учет!X2540</f>
        <v>500</v>
      </c>
    </row>
    <row r="2541" spans="1:27" ht="15" customHeight="1" x14ac:dyDescent="0.25">
      <c r="A2541" s="1"/>
      <c r="B2541" s="17"/>
      <c r="C2541" s="17"/>
      <c r="D2541" s="17"/>
      <c r="E2541" s="17"/>
      <c r="F2541" s="17"/>
      <c r="G2541" s="4">
        <f t="shared" si="114"/>
        <v>0</v>
      </c>
      <c r="H2541" s="17"/>
      <c r="I2541" s="4">
        <f t="shared" si="116"/>
        <v>349526.07999999996</v>
      </c>
      <c r="J2541" s="32" t="str">
        <f t="shared" si="115"/>
        <v/>
      </c>
      <c r="K2541" s="72"/>
      <c r="L2541" s="72"/>
      <c r="M2541" s="2"/>
      <c r="N2541" s="5"/>
      <c r="O2541" s="3"/>
      <c r="P2541" s="6"/>
      <c r="Q2541" s="48">
        <f>IF(Учет!$O2541=Справочники!$F$2,Учет!$H2541,0)</f>
        <v>0</v>
      </c>
      <c r="R2541" s="48">
        <f>IF(Учет!$O2541=Справочники!$F$3,Учет!$H2541,0)</f>
        <v>0</v>
      </c>
      <c r="S2541" s="48">
        <f>IF(Учет!$O2541=Справочники!$F$4,Учет!$H2541,0)</f>
        <v>0</v>
      </c>
      <c r="T2541" s="48">
        <f>IF(Учет!$O2541=Справочники!$F$5,Учет!$H2541,0)</f>
        <v>0</v>
      </c>
      <c r="U2541" s="48">
        <f>IF(Учет!$O2541=Справочники!$F$6,Учет!$H2541,0)</f>
        <v>0</v>
      </c>
      <c r="V2541" s="43">
        <f>V2540+Учет!Q2541-Q2541</f>
        <v>-488978.92000000004</v>
      </c>
      <c r="W2541" s="43">
        <f>W2540+Учет!R2541-R2541</f>
        <v>336855</v>
      </c>
      <c r="X2541" s="43">
        <f>X2540+Учет!S2541-S2541</f>
        <v>500</v>
      </c>
      <c r="Y2541" s="43">
        <f>Y2540+Учет!T2541-T2541</f>
        <v>1150</v>
      </c>
      <c r="Z2541" s="43">
        <f>Z2540+Учет!U2541-U2541</f>
        <v>500000</v>
      </c>
      <c r="AA2541" s="45">
        <f>Учет!X2541</f>
        <v>500</v>
      </c>
    </row>
    <row r="2542" spans="1:27" ht="15" customHeight="1" x14ac:dyDescent="0.25">
      <c r="A2542" s="1"/>
      <c r="B2542" s="17"/>
      <c r="C2542" s="17"/>
      <c r="D2542" s="17"/>
      <c r="E2542" s="17"/>
      <c r="F2542" s="17"/>
      <c r="G2542" s="4">
        <f t="shared" si="114"/>
        <v>0</v>
      </c>
      <c r="H2542" s="17"/>
      <c r="I2542" s="4">
        <f t="shared" si="116"/>
        <v>349526.07999999996</v>
      </c>
      <c r="J2542" s="32" t="str">
        <f t="shared" si="115"/>
        <v/>
      </c>
      <c r="K2542" s="72"/>
      <c r="L2542" s="72"/>
      <c r="M2542" s="2"/>
      <c r="N2542" s="5"/>
      <c r="O2542" s="3"/>
      <c r="P2542" s="6"/>
      <c r="Q2542" s="48">
        <f>IF(Учет!$O2542=Справочники!$F$2,Учет!$H2542,0)</f>
        <v>0</v>
      </c>
      <c r="R2542" s="48">
        <f>IF(Учет!$O2542=Справочники!$F$3,Учет!$H2542,0)</f>
        <v>0</v>
      </c>
      <c r="S2542" s="48">
        <f>IF(Учет!$O2542=Справочники!$F$4,Учет!$H2542,0)</f>
        <v>0</v>
      </c>
      <c r="T2542" s="48">
        <f>IF(Учет!$O2542=Справочники!$F$5,Учет!$H2542,0)</f>
        <v>0</v>
      </c>
      <c r="U2542" s="48">
        <f>IF(Учет!$O2542=Справочники!$F$6,Учет!$H2542,0)</f>
        <v>0</v>
      </c>
      <c r="V2542" s="43">
        <f>V2541+Учет!Q2542-Q2542</f>
        <v>-488978.92000000004</v>
      </c>
      <c r="W2542" s="43">
        <f>W2541+Учет!R2542-R2542</f>
        <v>336855</v>
      </c>
      <c r="X2542" s="43">
        <f>X2541+Учет!S2542-S2542</f>
        <v>500</v>
      </c>
      <c r="Y2542" s="43">
        <f>Y2541+Учет!T2542-T2542</f>
        <v>1150</v>
      </c>
      <c r="Z2542" s="43">
        <f>Z2541+Учет!U2542-U2542</f>
        <v>500000</v>
      </c>
      <c r="AA2542" s="45">
        <f>Учет!X2542</f>
        <v>500</v>
      </c>
    </row>
    <row r="2543" spans="1:27" ht="15" customHeight="1" x14ac:dyDescent="0.25">
      <c r="A2543" s="1"/>
      <c r="B2543" s="17"/>
      <c r="C2543" s="17"/>
      <c r="D2543" s="17"/>
      <c r="E2543" s="17"/>
      <c r="F2543" s="17"/>
      <c r="G2543" s="4">
        <f t="shared" si="114"/>
        <v>0</v>
      </c>
      <c r="H2543" s="17"/>
      <c r="I2543" s="4">
        <f t="shared" si="116"/>
        <v>349526.07999999996</v>
      </c>
      <c r="J2543" s="32" t="str">
        <f t="shared" si="115"/>
        <v/>
      </c>
      <c r="K2543" s="72"/>
      <c r="L2543" s="72"/>
      <c r="M2543" s="2"/>
      <c r="N2543" s="5"/>
      <c r="O2543" s="3"/>
      <c r="P2543" s="6"/>
      <c r="Q2543" s="48">
        <f>IF(Учет!$O2543=Справочники!$F$2,Учет!$H2543,0)</f>
        <v>0</v>
      </c>
      <c r="R2543" s="48">
        <f>IF(Учет!$O2543=Справочники!$F$3,Учет!$H2543,0)</f>
        <v>0</v>
      </c>
      <c r="S2543" s="48">
        <f>IF(Учет!$O2543=Справочники!$F$4,Учет!$H2543,0)</f>
        <v>0</v>
      </c>
      <c r="T2543" s="48">
        <f>IF(Учет!$O2543=Справочники!$F$5,Учет!$H2543,0)</f>
        <v>0</v>
      </c>
      <c r="U2543" s="48">
        <f>IF(Учет!$O2543=Справочники!$F$6,Учет!$H2543,0)</f>
        <v>0</v>
      </c>
      <c r="V2543" s="43">
        <f>V2542+Учет!Q2543-Q2543</f>
        <v>-488978.92000000004</v>
      </c>
      <c r="W2543" s="43">
        <f>W2542+Учет!R2543-R2543</f>
        <v>336855</v>
      </c>
      <c r="X2543" s="43">
        <f>X2542+Учет!S2543-S2543</f>
        <v>500</v>
      </c>
      <c r="Y2543" s="43">
        <f>Y2542+Учет!T2543-T2543</f>
        <v>1150</v>
      </c>
      <c r="Z2543" s="43">
        <f>Z2542+Учет!U2543-U2543</f>
        <v>500000</v>
      </c>
      <c r="AA2543" s="45">
        <f>Учет!X2543</f>
        <v>500</v>
      </c>
    </row>
    <row r="2544" spans="1:27" ht="15" customHeight="1" x14ac:dyDescent="0.25">
      <c r="A2544" s="1"/>
      <c r="B2544" s="17"/>
      <c r="C2544" s="17"/>
      <c r="D2544" s="17"/>
      <c r="E2544" s="17"/>
      <c r="F2544" s="17"/>
      <c r="G2544" s="4">
        <f t="shared" si="114"/>
        <v>0</v>
      </c>
      <c r="H2544" s="17"/>
      <c r="I2544" s="4">
        <f t="shared" si="116"/>
        <v>349526.07999999996</v>
      </c>
      <c r="J2544" s="32" t="str">
        <f t="shared" si="115"/>
        <v/>
      </c>
      <c r="K2544" s="72"/>
      <c r="L2544" s="72"/>
      <c r="M2544" s="2"/>
      <c r="N2544" s="5"/>
      <c r="O2544" s="3"/>
      <c r="P2544" s="6"/>
      <c r="Q2544" s="48">
        <f>IF(Учет!$O2544=Справочники!$F$2,Учет!$H2544,0)</f>
        <v>0</v>
      </c>
      <c r="R2544" s="48">
        <f>IF(Учет!$O2544=Справочники!$F$3,Учет!$H2544,0)</f>
        <v>0</v>
      </c>
      <c r="S2544" s="48">
        <f>IF(Учет!$O2544=Справочники!$F$4,Учет!$H2544,0)</f>
        <v>0</v>
      </c>
      <c r="T2544" s="48">
        <f>IF(Учет!$O2544=Справочники!$F$5,Учет!$H2544,0)</f>
        <v>0</v>
      </c>
      <c r="U2544" s="48">
        <f>IF(Учет!$O2544=Справочники!$F$6,Учет!$H2544,0)</f>
        <v>0</v>
      </c>
      <c r="V2544" s="43">
        <f>V2543+Учет!Q2544-Q2544</f>
        <v>-488978.92000000004</v>
      </c>
      <c r="W2544" s="43">
        <f>W2543+Учет!R2544-R2544</f>
        <v>336855</v>
      </c>
      <c r="X2544" s="43">
        <f>X2543+Учет!S2544-S2544</f>
        <v>500</v>
      </c>
      <c r="Y2544" s="43">
        <f>Y2543+Учет!T2544-T2544</f>
        <v>1150</v>
      </c>
      <c r="Z2544" s="43">
        <f>Z2543+Учет!U2544-U2544</f>
        <v>500000</v>
      </c>
      <c r="AA2544" s="45">
        <f>Учет!X2544</f>
        <v>500</v>
      </c>
    </row>
    <row r="2545" spans="1:27" ht="15" customHeight="1" x14ac:dyDescent="0.25">
      <c r="A2545" s="1"/>
      <c r="B2545" s="17"/>
      <c r="C2545" s="17"/>
      <c r="D2545" s="17"/>
      <c r="E2545" s="17"/>
      <c r="F2545" s="17"/>
      <c r="G2545" s="4">
        <f t="shared" si="114"/>
        <v>0</v>
      </c>
      <c r="H2545" s="17"/>
      <c r="I2545" s="4">
        <f t="shared" si="116"/>
        <v>349526.07999999996</v>
      </c>
      <c r="J2545" s="32" t="str">
        <f t="shared" si="115"/>
        <v/>
      </c>
      <c r="K2545" s="72"/>
      <c r="L2545" s="72"/>
      <c r="M2545" s="2"/>
      <c r="N2545" s="5"/>
      <c r="O2545" s="3"/>
      <c r="P2545" s="6"/>
      <c r="Q2545" s="48">
        <f>IF(Учет!$O2545=Справочники!$F$2,Учет!$H2545,0)</f>
        <v>0</v>
      </c>
      <c r="R2545" s="48">
        <f>IF(Учет!$O2545=Справочники!$F$3,Учет!$H2545,0)</f>
        <v>0</v>
      </c>
      <c r="S2545" s="48">
        <f>IF(Учет!$O2545=Справочники!$F$4,Учет!$H2545,0)</f>
        <v>0</v>
      </c>
      <c r="T2545" s="48">
        <f>IF(Учет!$O2545=Справочники!$F$5,Учет!$H2545,0)</f>
        <v>0</v>
      </c>
      <c r="U2545" s="48">
        <f>IF(Учет!$O2545=Справочники!$F$6,Учет!$H2545,0)</f>
        <v>0</v>
      </c>
      <c r="V2545" s="43">
        <f>V2544+Учет!Q2545-Q2545</f>
        <v>-488978.92000000004</v>
      </c>
      <c r="W2545" s="43">
        <f>W2544+Учет!R2545-R2545</f>
        <v>336855</v>
      </c>
      <c r="X2545" s="43">
        <f>X2544+Учет!S2545-S2545</f>
        <v>500</v>
      </c>
      <c r="Y2545" s="43">
        <f>Y2544+Учет!T2545-T2545</f>
        <v>1150</v>
      </c>
      <c r="Z2545" s="43">
        <f>Z2544+Учет!U2545-U2545</f>
        <v>500000</v>
      </c>
      <c r="AA2545" s="45">
        <f>Учет!X2545</f>
        <v>500</v>
      </c>
    </row>
    <row r="2546" spans="1:27" ht="15" customHeight="1" x14ac:dyDescent="0.25">
      <c r="A2546" s="1"/>
      <c r="B2546" s="17"/>
      <c r="C2546" s="17"/>
      <c r="D2546" s="17"/>
      <c r="E2546" s="17"/>
      <c r="F2546" s="17"/>
      <c r="G2546" s="4">
        <f t="shared" si="114"/>
        <v>0</v>
      </c>
      <c r="H2546" s="17"/>
      <c r="I2546" s="4">
        <f t="shared" si="116"/>
        <v>349526.07999999996</v>
      </c>
      <c r="J2546" s="32" t="str">
        <f t="shared" si="115"/>
        <v/>
      </c>
      <c r="K2546" s="72"/>
      <c r="L2546" s="72"/>
      <c r="M2546" s="2"/>
      <c r="N2546" s="5"/>
      <c r="O2546" s="3"/>
      <c r="P2546" s="6"/>
      <c r="Q2546" s="48">
        <f>IF(Учет!$O2546=Справочники!$F$2,Учет!$H2546,0)</f>
        <v>0</v>
      </c>
      <c r="R2546" s="48">
        <f>IF(Учет!$O2546=Справочники!$F$3,Учет!$H2546,0)</f>
        <v>0</v>
      </c>
      <c r="S2546" s="48">
        <f>IF(Учет!$O2546=Справочники!$F$4,Учет!$H2546,0)</f>
        <v>0</v>
      </c>
      <c r="T2546" s="48">
        <f>IF(Учет!$O2546=Справочники!$F$5,Учет!$H2546,0)</f>
        <v>0</v>
      </c>
      <c r="U2546" s="48">
        <f>IF(Учет!$O2546=Справочники!$F$6,Учет!$H2546,0)</f>
        <v>0</v>
      </c>
      <c r="V2546" s="43">
        <f>V2545+Учет!Q2546-Q2546</f>
        <v>-488978.92000000004</v>
      </c>
      <c r="W2546" s="43">
        <f>W2545+Учет!R2546-R2546</f>
        <v>336855</v>
      </c>
      <c r="X2546" s="43">
        <f>X2545+Учет!S2546-S2546</f>
        <v>500</v>
      </c>
      <c r="Y2546" s="43">
        <f>Y2545+Учет!T2546-T2546</f>
        <v>1150</v>
      </c>
      <c r="Z2546" s="43">
        <f>Z2545+Учет!U2546-U2546</f>
        <v>500000</v>
      </c>
      <c r="AA2546" s="45">
        <f>Учет!X2546</f>
        <v>500</v>
      </c>
    </row>
    <row r="2547" spans="1:27" ht="15" customHeight="1" x14ac:dyDescent="0.25">
      <c r="A2547" s="1"/>
      <c r="B2547" s="17"/>
      <c r="C2547" s="17"/>
      <c r="D2547" s="17"/>
      <c r="E2547" s="17"/>
      <c r="F2547" s="17"/>
      <c r="G2547" s="4">
        <f t="shared" si="114"/>
        <v>0</v>
      </c>
      <c r="H2547" s="17"/>
      <c r="I2547" s="4">
        <f t="shared" si="116"/>
        <v>349526.07999999996</v>
      </c>
      <c r="J2547" s="32" t="str">
        <f t="shared" si="115"/>
        <v/>
      </c>
      <c r="K2547" s="72"/>
      <c r="L2547" s="72"/>
      <c r="M2547" s="2"/>
      <c r="N2547" s="5"/>
      <c r="O2547" s="3"/>
      <c r="P2547" s="6"/>
      <c r="Q2547" s="48">
        <f>IF(Учет!$O2547=Справочники!$F$2,Учет!$H2547,0)</f>
        <v>0</v>
      </c>
      <c r="R2547" s="48">
        <f>IF(Учет!$O2547=Справочники!$F$3,Учет!$H2547,0)</f>
        <v>0</v>
      </c>
      <c r="S2547" s="48">
        <f>IF(Учет!$O2547=Справочники!$F$4,Учет!$H2547,0)</f>
        <v>0</v>
      </c>
      <c r="T2547" s="48">
        <f>IF(Учет!$O2547=Справочники!$F$5,Учет!$H2547,0)</f>
        <v>0</v>
      </c>
      <c r="U2547" s="48">
        <f>IF(Учет!$O2547=Справочники!$F$6,Учет!$H2547,0)</f>
        <v>0</v>
      </c>
      <c r="V2547" s="43">
        <f>V2546+Учет!Q2547-Q2547</f>
        <v>-488978.92000000004</v>
      </c>
      <c r="W2547" s="43">
        <f>W2546+Учет!R2547-R2547</f>
        <v>336855</v>
      </c>
      <c r="X2547" s="43">
        <f>X2546+Учет!S2547-S2547</f>
        <v>500</v>
      </c>
      <c r="Y2547" s="43">
        <f>Y2546+Учет!T2547-T2547</f>
        <v>1150</v>
      </c>
      <c r="Z2547" s="43">
        <f>Z2546+Учет!U2547-U2547</f>
        <v>500000</v>
      </c>
      <c r="AA2547" s="45">
        <f>Учет!X2547</f>
        <v>500</v>
      </c>
    </row>
    <row r="2548" spans="1:27" ht="15" customHeight="1" x14ac:dyDescent="0.25">
      <c r="A2548" s="1"/>
      <c r="B2548" s="17"/>
      <c r="C2548" s="17"/>
      <c r="D2548" s="17"/>
      <c r="E2548" s="17"/>
      <c r="F2548" s="17"/>
      <c r="G2548" s="4">
        <f t="shared" si="114"/>
        <v>0</v>
      </c>
      <c r="H2548" s="17"/>
      <c r="I2548" s="4">
        <f t="shared" si="116"/>
        <v>349526.07999999996</v>
      </c>
      <c r="J2548" s="32" t="str">
        <f t="shared" si="115"/>
        <v/>
      </c>
      <c r="K2548" s="72"/>
      <c r="L2548" s="72"/>
      <c r="M2548" s="2"/>
      <c r="N2548" s="5"/>
      <c r="O2548" s="3"/>
      <c r="P2548" s="6"/>
      <c r="Q2548" s="48">
        <f>IF(Учет!$O2548=Справочники!$F$2,Учет!$H2548,0)</f>
        <v>0</v>
      </c>
      <c r="R2548" s="48">
        <f>IF(Учет!$O2548=Справочники!$F$3,Учет!$H2548,0)</f>
        <v>0</v>
      </c>
      <c r="S2548" s="48">
        <f>IF(Учет!$O2548=Справочники!$F$4,Учет!$H2548,0)</f>
        <v>0</v>
      </c>
      <c r="T2548" s="48">
        <f>IF(Учет!$O2548=Справочники!$F$5,Учет!$H2548,0)</f>
        <v>0</v>
      </c>
      <c r="U2548" s="48">
        <f>IF(Учет!$O2548=Справочники!$F$6,Учет!$H2548,0)</f>
        <v>0</v>
      </c>
      <c r="V2548" s="43">
        <f>V2547+Учет!Q2548-Q2548</f>
        <v>-488978.92000000004</v>
      </c>
      <c r="W2548" s="43">
        <f>W2547+Учет!R2548-R2548</f>
        <v>336855</v>
      </c>
      <c r="X2548" s="43">
        <f>X2547+Учет!S2548-S2548</f>
        <v>500</v>
      </c>
      <c r="Y2548" s="43">
        <f>Y2547+Учет!T2548-T2548</f>
        <v>1150</v>
      </c>
      <c r="Z2548" s="43">
        <f>Z2547+Учет!U2548-U2548</f>
        <v>500000</v>
      </c>
      <c r="AA2548" s="45">
        <f>Учет!X2548</f>
        <v>500</v>
      </c>
    </row>
    <row r="2549" spans="1:27" ht="15" customHeight="1" x14ac:dyDescent="0.25">
      <c r="A2549" s="1"/>
      <c r="B2549" s="17"/>
      <c r="C2549" s="17"/>
      <c r="D2549" s="17"/>
      <c r="E2549" s="17"/>
      <c r="F2549" s="17"/>
      <c r="G2549" s="4">
        <f t="shared" si="114"/>
        <v>0</v>
      </c>
      <c r="H2549" s="17"/>
      <c r="I2549" s="4">
        <f t="shared" si="116"/>
        <v>349526.07999999996</v>
      </c>
      <c r="J2549" s="32" t="str">
        <f t="shared" si="115"/>
        <v/>
      </c>
      <c r="K2549" s="72"/>
      <c r="L2549" s="72"/>
      <c r="M2549" s="2"/>
      <c r="N2549" s="5"/>
      <c r="O2549" s="3"/>
      <c r="P2549" s="6"/>
      <c r="Q2549" s="48">
        <f>IF(Учет!$O2549=Справочники!$F$2,Учет!$H2549,0)</f>
        <v>0</v>
      </c>
      <c r="R2549" s="48">
        <f>IF(Учет!$O2549=Справочники!$F$3,Учет!$H2549,0)</f>
        <v>0</v>
      </c>
      <c r="S2549" s="48">
        <f>IF(Учет!$O2549=Справочники!$F$4,Учет!$H2549,0)</f>
        <v>0</v>
      </c>
      <c r="T2549" s="48">
        <f>IF(Учет!$O2549=Справочники!$F$5,Учет!$H2549,0)</f>
        <v>0</v>
      </c>
      <c r="U2549" s="48">
        <f>IF(Учет!$O2549=Справочники!$F$6,Учет!$H2549,0)</f>
        <v>0</v>
      </c>
      <c r="V2549" s="43">
        <f>V2548+Учет!Q2549-Q2549</f>
        <v>-488978.92000000004</v>
      </c>
      <c r="W2549" s="43">
        <f>W2548+Учет!R2549-R2549</f>
        <v>336855</v>
      </c>
      <c r="X2549" s="43">
        <f>X2548+Учет!S2549-S2549</f>
        <v>500</v>
      </c>
      <c r="Y2549" s="43">
        <f>Y2548+Учет!T2549-T2549</f>
        <v>1150</v>
      </c>
      <c r="Z2549" s="43">
        <f>Z2548+Учет!U2549-U2549</f>
        <v>500000</v>
      </c>
      <c r="AA2549" s="45">
        <f>Учет!X2549</f>
        <v>500</v>
      </c>
    </row>
    <row r="2550" spans="1:27" ht="15" customHeight="1" x14ac:dyDescent="0.25">
      <c r="A2550" s="1"/>
      <c r="B2550" s="17"/>
      <c r="C2550" s="17"/>
      <c r="D2550" s="17"/>
      <c r="E2550" s="17"/>
      <c r="F2550" s="17"/>
      <c r="G2550" s="4">
        <f t="shared" si="114"/>
        <v>0</v>
      </c>
      <c r="H2550" s="17"/>
      <c r="I2550" s="4">
        <f t="shared" si="116"/>
        <v>349526.07999999996</v>
      </c>
      <c r="J2550" s="32" t="str">
        <f t="shared" si="115"/>
        <v/>
      </c>
      <c r="K2550" s="72"/>
      <c r="L2550" s="72"/>
      <c r="M2550" s="2"/>
      <c r="N2550" s="5"/>
      <c r="O2550" s="3"/>
      <c r="P2550" s="6"/>
      <c r="Q2550" s="48">
        <f>IF(Учет!$O2550=Справочники!$F$2,Учет!$H2550,0)</f>
        <v>0</v>
      </c>
      <c r="R2550" s="48">
        <f>IF(Учет!$O2550=Справочники!$F$3,Учет!$H2550,0)</f>
        <v>0</v>
      </c>
      <c r="S2550" s="48">
        <f>IF(Учет!$O2550=Справочники!$F$4,Учет!$H2550,0)</f>
        <v>0</v>
      </c>
      <c r="T2550" s="48">
        <f>IF(Учет!$O2550=Справочники!$F$5,Учет!$H2550,0)</f>
        <v>0</v>
      </c>
      <c r="U2550" s="48">
        <f>IF(Учет!$O2550=Справочники!$F$6,Учет!$H2550,0)</f>
        <v>0</v>
      </c>
      <c r="V2550" s="43">
        <f>V2549+Учет!Q2550-Q2550</f>
        <v>-488978.92000000004</v>
      </c>
      <c r="W2550" s="43">
        <f>W2549+Учет!R2550-R2550</f>
        <v>336855</v>
      </c>
      <c r="X2550" s="43">
        <f>X2549+Учет!S2550-S2550</f>
        <v>500</v>
      </c>
      <c r="Y2550" s="43">
        <f>Y2549+Учет!T2550-T2550</f>
        <v>1150</v>
      </c>
      <c r="Z2550" s="43">
        <f>Z2549+Учет!U2550-U2550</f>
        <v>500000</v>
      </c>
      <c r="AA2550" s="45">
        <f>Учет!X2550</f>
        <v>500</v>
      </c>
    </row>
    <row r="2551" spans="1:27" ht="15" customHeight="1" x14ac:dyDescent="0.25">
      <c r="A2551" s="1"/>
      <c r="B2551" s="17"/>
      <c r="C2551" s="17"/>
      <c r="D2551" s="17"/>
      <c r="E2551" s="17"/>
      <c r="F2551" s="17"/>
      <c r="G2551" s="4">
        <f t="shared" si="114"/>
        <v>0</v>
      </c>
      <c r="H2551" s="17"/>
      <c r="I2551" s="4">
        <f t="shared" si="116"/>
        <v>349526.07999999996</v>
      </c>
      <c r="J2551" s="32" t="str">
        <f t="shared" si="115"/>
        <v/>
      </c>
      <c r="K2551" s="72"/>
      <c r="L2551" s="72"/>
      <c r="M2551" s="2"/>
      <c r="N2551" s="5"/>
      <c r="O2551" s="3"/>
      <c r="P2551" s="6"/>
      <c r="Q2551" s="48">
        <f>IF(Учет!$O2551=Справочники!$F$2,Учет!$H2551,0)</f>
        <v>0</v>
      </c>
      <c r="R2551" s="48">
        <f>IF(Учет!$O2551=Справочники!$F$3,Учет!$H2551,0)</f>
        <v>0</v>
      </c>
      <c r="S2551" s="48">
        <f>IF(Учет!$O2551=Справочники!$F$4,Учет!$H2551,0)</f>
        <v>0</v>
      </c>
      <c r="T2551" s="48">
        <f>IF(Учет!$O2551=Справочники!$F$5,Учет!$H2551,0)</f>
        <v>0</v>
      </c>
      <c r="U2551" s="48">
        <f>IF(Учет!$O2551=Справочники!$F$6,Учет!$H2551,0)</f>
        <v>0</v>
      </c>
      <c r="V2551" s="43">
        <f>V2550+Учет!Q2551-Q2551</f>
        <v>-488978.92000000004</v>
      </c>
      <c r="W2551" s="43">
        <f>W2550+Учет!R2551-R2551</f>
        <v>336855</v>
      </c>
      <c r="X2551" s="43">
        <f>X2550+Учет!S2551-S2551</f>
        <v>500</v>
      </c>
      <c r="Y2551" s="43">
        <f>Y2550+Учет!T2551-T2551</f>
        <v>1150</v>
      </c>
      <c r="Z2551" s="43">
        <f>Z2550+Учет!U2551-U2551</f>
        <v>500000</v>
      </c>
      <c r="AA2551" s="45">
        <f>Учет!X2551</f>
        <v>500</v>
      </c>
    </row>
    <row r="2552" spans="1:27" ht="15" customHeight="1" x14ac:dyDescent="0.25">
      <c r="A2552" s="1"/>
      <c r="B2552" s="17"/>
      <c r="C2552" s="17"/>
      <c r="D2552" s="17"/>
      <c r="E2552" s="17"/>
      <c r="F2552" s="17"/>
      <c r="G2552" s="4">
        <f t="shared" si="114"/>
        <v>0</v>
      </c>
      <c r="H2552" s="17"/>
      <c r="I2552" s="4">
        <f t="shared" si="116"/>
        <v>349526.07999999996</v>
      </c>
      <c r="J2552" s="32" t="str">
        <f t="shared" si="115"/>
        <v/>
      </c>
      <c r="K2552" s="72"/>
      <c r="L2552" s="72"/>
      <c r="M2552" s="2"/>
      <c r="N2552" s="5"/>
      <c r="O2552" s="3"/>
      <c r="P2552" s="6"/>
      <c r="Q2552" s="48">
        <f>IF(Учет!$O2552=Справочники!$F$2,Учет!$H2552,0)</f>
        <v>0</v>
      </c>
      <c r="R2552" s="48">
        <f>IF(Учет!$O2552=Справочники!$F$3,Учет!$H2552,0)</f>
        <v>0</v>
      </c>
      <c r="S2552" s="48">
        <f>IF(Учет!$O2552=Справочники!$F$4,Учет!$H2552,0)</f>
        <v>0</v>
      </c>
      <c r="T2552" s="48">
        <f>IF(Учет!$O2552=Справочники!$F$5,Учет!$H2552,0)</f>
        <v>0</v>
      </c>
      <c r="U2552" s="48">
        <f>IF(Учет!$O2552=Справочники!$F$6,Учет!$H2552,0)</f>
        <v>0</v>
      </c>
      <c r="V2552" s="43">
        <f>V2551+Учет!Q2552-Q2552</f>
        <v>-488978.92000000004</v>
      </c>
      <c r="W2552" s="43">
        <f>W2551+Учет!R2552-R2552</f>
        <v>336855</v>
      </c>
      <c r="X2552" s="43">
        <f>X2551+Учет!S2552-S2552</f>
        <v>500</v>
      </c>
      <c r="Y2552" s="43">
        <f>Y2551+Учет!T2552-T2552</f>
        <v>1150</v>
      </c>
      <c r="Z2552" s="43">
        <f>Z2551+Учет!U2552-U2552</f>
        <v>500000</v>
      </c>
      <c r="AA2552" s="45">
        <f>Учет!X2552</f>
        <v>500</v>
      </c>
    </row>
    <row r="2553" spans="1:27" ht="15" customHeight="1" x14ac:dyDescent="0.25">
      <c r="A2553" s="1"/>
      <c r="B2553" s="17"/>
      <c r="C2553" s="17"/>
      <c r="D2553" s="17"/>
      <c r="E2553" s="17"/>
      <c r="F2553" s="17"/>
      <c r="G2553" s="4">
        <f t="shared" si="114"/>
        <v>0</v>
      </c>
      <c r="H2553" s="17"/>
      <c r="I2553" s="4">
        <f t="shared" si="116"/>
        <v>349526.07999999996</v>
      </c>
      <c r="J2553" s="32" t="str">
        <f t="shared" si="115"/>
        <v/>
      </c>
      <c r="K2553" s="72"/>
      <c r="L2553" s="72"/>
      <c r="M2553" s="2"/>
      <c r="N2553" s="5"/>
      <c r="O2553" s="3"/>
      <c r="P2553" s="6"/>
      <c r="Q2553" s="48">
        <f>IF(Учет!$O2553=Справочники!$F$2,Учет!$H2553,0)</f>
        <v>0</v>
      </c>
      <c r="R2553" s="48">
        <f>IF(Учет!$O2553=Справочники!$F$3,Учет!$H2553,0)</f>
        <v>0</v>
      </c>
      <c r="S2553" s="48">
        <f>IF(Учет!$O2553=Справочники!$F$4,Учет!$H2553,0)</f>
        <v>0</v>
      </c>
      <c r="T2553" s="48">
        <f>IF(Учет!$O2553=Справочники!$F$5,Учет!$H2553,0)</f>
        <v>0</v>
      </c>
      <c r="U2553" s="48">
        <f>IF(Учет!$O2553=Справочники!$F$6,Учет!$H2553,0)</f>
        <v>0</v>
      </c>
      <c r="V2553" s="43">
        <f>V2552+Учет!Q2553-Q2553</f>
        <v>-488978.92000000004</v>
      </c>
      <c r="W2553" s="43">
        <f>W2552+Учет!R2553-R2553</f>
        <v>336855</v>
      </c>
      <c r="X2553" s="43">
        <f>X2552+Учет!S2553-S2553</f>
        <v>500</v>
      </c>
      <c r="Y2553" s="43">
        <f>Y2552+Учет!T2553-T2553</f>
        <v>1150</v>
      </c>
      <c r="Z2553" s="43">
        <f>Z2552+Учет!U2553-U2553</f>
        <v>500000</v>
      </c>
      <c r="AA2553" s="45">
        <f>Учет!X2553</f>
        <v>500</v>
      </c>
    </row>
    <row r="2554" spans="1:27" ht="15" customHeight="1" x14ac:dyDescent="0.25">
      <c r="A2554" s="1"/>
      <c r="B2554" s="17"/>
      <c r="C2554" s="17"/>
      <c r="D2554" s="17"/>
      <c r="E2554" s="17"/>
      <c r="F2554" s="17"/>
      <c r="G2554" s="4">
        <f t="shared" si="114"/>
        <v>0</v>
      </c>
      <c r="H2554" s="17"/>
      <c r="I2554" s="4">
        <f t="shared" si="116"/>
        <v>349526.07999999996</v>
      </c>
      <c r="J2554" s="32" t="str">
        <f t="shared" si="115"/>
        <v/>
      </c>
      <c r="K2554" s="72"/>
      <c r="L2554" s="72"/>
      <c r="M2554" s="2"/>
      <c r="N2554" s="5"/>
      <c r="O2554" s="3"/>
      <c r="P2554" s="6"/>
      <c r="Q2554" s="48">
        <f>IF(Учет!$O2554=Справочники!$F$2,Учет!$H2554,0)</f>
        <v>0</v>
      </c>
      <c r="R2554" s="48">
        <f>IF(Учет!$O2554=Справочники!$F$3,Учет!$H2554,0)</f>
        <v>0</v>
      </c>
      <c r="S2554" s="48">
        <f>IF(Учет!$O2554=Справочники!$F$4,Учет!$H2554,0)</f>
        <v>0</v>
      </c>
      <c r="T2554" s="48">
        <f>IF(Учет!$O2554=Справочники!$F$5,Учет!$H2554,0)</f>
        <v>0</v>
      </c>
      <c r="U2554" s="48">
        <f>IF(Учет!$O2554=Справочники!$F$6,Учет!$H2554,0)</f>
        <v>0</v>
      </c>
      <c r="V2554" s="43">
        <f>V2553+Учет!Q2554-Q2554</f>
        <v>-488978.92000000004</v>
      </c>
      <c r="W2554" s="43">
        <f>W2553+Учет!R2554-R2554</f>
        <v>336855</v>
      </c>
      <c r="X2554" s="43">
        <f>X2553+Учет!S2554-S2554</f>
        <v>500</v>
      </c>
      <c r="Y2554" s="43">
        <f>Y2553+Учет!T2554-T2554</f>
        <v>1150</v>
      </c>
      <c r="Z2554" s="43">
        <f>Z2553+Учет!U2554-U2554</f>
        <v>500000</v>
      </c>
      <c r="AA2554" s="45">
        <f>Учет!X2554</f>
        <v>500</v>
      </c>
    </row>
    <row r="2555" spans="1:27" ht="15" customHeight="1" x14ac:dyDescent="0.25">
      <c r="A2555" s="1"/>
      <c r="B2555" s="17"/>
      <c r="C2555" s="17"/>
      <c r="D2555" s="17"/>
      <c r="E2555" s="17"/>
      <c r="F2555" s="17"/>
      <c r="G2555" s="4">
        <f t="shared" si="114"/>
        <v>0</v>
      </c>
      <c r="H2555" s="17"/>
      <c r="I2555" s="4">
        <f t="shared" si="116"/>
        <v>349526.07999999996</v>
      </c>
      <c r="J2555" s="32" t="str">
        <f t="shared" si="115"/>
        <v/>
      </c>
      <c r="K2555" s="72"/>
      <c r="L2555" s="72"/>
      <c r="M2555" s="2"/>
      <c r="N2555" s="5"/>
      <c r="O2555" s="3"/>
      <c r="P2555" s="6"/>
      <c r="Q2555" s="48">
        <f>IF(Учет!$O2555=Справочники!$F$2,Учет!$H2555,0)</f>
        <v>0</v>
      </c>
      <c r="R2555" s="48">
        <f>IF(Учет!$O2555=Справочники!$F$3,Учет!$H2555,0)</f>
        <v>0</v>
      </c>
      <c r="S2555" s="48">
        <f>IF(Учет!$O2555=Справочники!$F$4,Учет!$H2555,0)</f>
        <v>0</v>
      </c>
      <c r="T2555" s="48">
        <f>IF(Учет!$O2555=Справочники!$F$5,Учет!$H2555,0)</f>
        <v>0</v>
      </c>
      <c r="U2555" s="48">
        <f>IF(Учет!$O2555=Справочники!$F$6,Учет!$H2555,0)</f>
        <v>0</v>
      </c>
      <c r="V2555" s="43">
        <f>V2554+Учет!Q2555-Q2555</f>
        <v>-488978.92000000004</v>
      </c>
      <c r="W2555" s="43">
        <f>W2554+Учет!R2555-R2555</f>
        <v>336855</v>
      </c>
      <c r="X2555" s="43">
        <f>X2554+Учет!S2555-S2555</f>
        <v>500</v>
      </c>
      <c r="Y2555" s="43">
        <f>Y2554+Учет!T2555-T2555</f>
        <v>1150</v>
      </c>
      <c r="Z2555" s="43">
        <f>Z2554+Учет!U2555-U2555</f>
        <v>500000</v>
      </c>
      <c r="AA2555" s="45">
        <f>Учет!X2555</f>
        <v>500</v>
      </c>
    </row>
    <row r="2556" spans="1:27" ht="15" customHeight="1" x14ac:dyDescent="0.25">
      <c r="A2556" s="1"/>
      <c r="B2556" s="17"/>
      <c r="C2556" s="17"/>
      <c r="D2556" s="17"/>
      <c r="E2556" s="17"/>
      <c r="F2556" s="17"/>
      <c r="G2556" s="4">
        <f t="shared" si="114"/>
        <v>0</v>
      </c>
      <c r="H2556" s="17"/>
      <c r="I2556" s="4">
        <f t="shared" si="116"/>
        <v>349526.07999999996</v>
      </c>
      <c r="J2556" s="32" t="str">
        <f t="shared" si="115"/>
        <v/>
      </c>
      <c r="K2556" s="72"/>
      <c r="L2556" s="72"/>
      <c r="M2556" s="2"/>
      <c r="N2556" s="5"/>
      <c r="O2556" s="3"/>
      <c r="P2556" s="6"/>
      <c r="Q2556" s="48">
        <f>IF(Учет!$O2556=Справочники!$F$2,Учет!$H2556,0)</f>
        <v>0</v>
      </c>
      <c r="R2556" s="48">
        <f>IF(Учет!$O2556=Справочники!$F$3,Учет!$H2556,0)</f>
        <v>0</v>
      </c>
      <c r="S2556" s="48">
        <f>IF(Учет!$O2556=Справочники!$F$4,Учет!$H2556,0)</f>
        <v>0</v>
      </c>
      <c r="T2556" s="48">
        <f>IF(Учет!$O2556=Справочники!$F$5,Учет!$H2556,0)</f>
        <v>0</v>
      </c>
      <c r="U2556" s="48">
        <f>IF(Учет!$O2556=Справочники!$F$6,Учет!$H2556,0)</f>
        <v>0</v>
      </c>
      <c r="V2556" s="43">
        <f>V2555+Учет!Q2556-Q2556</f>
        <v>-488978.92000000004</v>
      </c>
      <c r="W2556" s="43">
        <f>W2555+Учет!R2556-R2556</f>
        <v>336855</v>
      </c>
      <c r="X2556" s="43">
        <f>X2555+Учет!S2556-S2556</f>
        <v>500</v>
      </c>
      <c r="Y2556" s="43">
        <f>Y2555+Учет!T2556-T2556</f>
        <v>1150</v>
      </c>
      <c r="Z2556" s="43">
        <f>Z2555+Учет!U2556-U2556</f>
        <v>500000</v>
      </c>
      <c r="AA2556" s="45">
        <f>Учет!X2556</f>
        <v>500</v>
      </c>
    </row>
    <row r="2557" spans="1:27" ht="15" customHeight="1" x14ac:dyDescent="0.25">
      <c r="A2557" s="1"/>
      <c r="B2557" s="17"/>
      <c r="C2557" s="17"/>
      <c r="D2557" s="17"/>
      <c r="E2557" s="17"/>
      <c r="F2557" s="17"/>
      <c r="G2557" s="4">
        <f t="shared" si="114"/>
        <v>0</v>
      </c>
      <c r="H2557" s="17"/>
      <c r="I2557" s="4">
        <f t="shared" si="116"/>
        <v>349526.07999999996</v>
      </c>
      <c r="J2557" s="32" t="str">
        <f t="shared" si="115"/>
        <v/>
      </c>
      <c r="K2557" s="72"/>
      <c r="L2557" s="72"/>
      <c r="M2557" s="2"/>
      <c r="N2557" s="5"/>
      <c r="O2557" s="3"/>
      <c r="P2557" s="6"/>
      <c r="Q2557" s="48">
        <f>IF(Учет!$O2557=Справочники!$F$2,Учет!$H2557,0)</f>
        <v>0</v>
      </c>
      <c r="R2557" s="48">
        <f>IF(Учет!$O2557=Справочники!$F$3,Учет!$H2557,0)</f>
        <v>0</v>
      </c>
      <c r="S2557" s="48">
        <f>IF(Учет!$O2557=Справочники!$F$4,Учет!$H2557,0)</f>
        <v>0</v>
      </c>
      <c r="T2557" s="48">
        <f>IF(Учет!$O2557=Справочники!$F$5,Учет!$H2557,0)</f>
        <v>0</v>
      </c>
      <c r="U2557" s="48">
        <f>IF(Учет!$O2557=Справочники!$F$6,Учет!$H2557,0)</f>
        <v>0</v>
      </c>
      <c r="V2557" s="43">
        <f>V2556+Учет!Q2557-Q2557</f>
        <v>-488978.92000000004</v>
      </c>
      <c r="W2557" s="43">
        <f>W2556+Учет!R2557-R2557</f>
        <v>336855</v>
      </c>
      <c r="X2557" s="43">
        <f>X2556+Учет!S2557-S2557</f>
        <v>500</v>
      </c>
      <c r="Y2557" s="43">
        <f>Y2556+Учет!T2557-T2557</f>
        <v>1150</v>
      </c>
      <c r="Z2557" s="43">
        <f>Z2556+Учет!U2557-U2557</f>
        <v>500000</v>
      </c>
      <c r="AA2557" s="45">
        <f>Учет!X2557</f>
        <v>500</v>
      </c>
    </row>
    <row r="2558" spans="1:27" ht="15" customHeight="1" x14ac:dyDescent="0.25">
      <c r="A2558" s="1"/>
      <c r="B2558" s="17"/>
      <c r="C2558" s="17"/>
      <c r="D2558" s="17"/>
      <c r="E2558" s="17"/>
      <c r="F2558" s="17"/>
      <c r="G2558" s="4">
        <f t="shared" si="114"/>
        <v>0</v>
      </c>
      <c r="H2558" s="17"/>
      <c r="I2558" s="4">
        <f t="shared" si="116"/>
        <v>349526.07999999996</v>
      </c>
      <c r="J2558" s="32" t="str">
        <f t="shared" si="115"/>
        <v/>
      </c>
      <c r="K2558" s="72"/>
      <c r="L2558" s="72"/>
      <c r="M2558" s="2"/>
      <c r="N2558" s="5"/>
      <c r="O2558" s="3"/>
      <c r="P2558" s="6"/>
      <c r="Q2558" s="48">
        <f>IF(Учет!$O2558=Справочники!$F$2,Учет!$H2558,0)</f>
        <v>0</v>
      </c>
      <c r="R2558" s="48">
        <f>IF(Учет!$O2558=Справочники!$F$3,Учет!$H2558,0)</f>
        <v>0</v>
      </c>
      <c r="S2558" s="48">
        <f>IF(Учет!$O2558=Справочники!$F$4,Учет!$H2558,0)</f>
        <v>0</v>
      </c>
      <c r="T2558" s="48">
        <f>IF(Учет!$O2558=Справочники!$F$5,Учет!$H2558,0)</f>
        <v>0</v>
      </c>
      <c r="U2558" s="48">
        <f>IF(Учет!$O2558=Справочники!$F$6,Учет!$H2558,0)</f>
        <v>0</v>
      </c>
      <c r="V2558" s="43">
        <f>V2557+Учет!Q2558-Q2558</f>
        <v>-488978.92000000004</v>
      </c>
      <c r="W2558" s="43">
        <f>W2557+Учет!R2558-R2558</f>
        <v>336855</v>
      </c>
      <c r="X2558" s="43">
        <f>X2557+Учет!S2558-S2558</f>
        <v>500</v>
      </c>
      <c r="Y2558" s="43">
        <f>Y2557+Учет!T2558-T2558</f>
        <v>1150</v>
      </c>
      <c r="Z2558" s="43">
        <f>Z2557+Учет!U2558-U2558</f>
        <v>500000</v>
      </c>
      <c r="AA2558" s="45">
        <f>Учет!X2558</f>
        <v>500</v>
      </c>
    </row>
    <row r="2559" spans="1:27" ht="15" customHeight="1" x14ac:dyDescent="0.25">
      <c r="A2559" s="1"/>
      <c r="B2559" s="17"/>
      <c r="C2559" s="17"/>
      <c r="D2559" s="17"/>
      <c r="E2559" s="17"/>
      <c r="F2559" s="17"/>
      <c r="G2559" s="4">
        <f t="shared" si="114"/>
        <v>0</v>
      </c>
      <c r="H2559" s="17"/>
      <c r="I2559" s="4">
        <f t="shared" si="116"/>
        <v>349526.07999999996</v>
      </c>
      <c r="J2559" s="32" t="str">
        <f t="shared" si="115"/>
        <v/>
      </c>
      <c r="K2559" s="72"/>
      <c r="L2559" s="72"/>
      <c r="M2559" s="2"/>
      <c r="N2559" s="5"/>
      <c r="O2559" s="3"/>
      <c r="P2559" s="6"/>
      <c r="Q2559" s="48">
        <f>IF(Учет!$O2559=Справочники!$F$2,Учет!$H2559,0)</f>
        <v>0</v>
      </c>
      <c r="R2559" s="48">
        <f>IF(Учет!$O2559=Справочники!$F$3,Учет!$H2559,0)</f>
        <v>0</v>
      </c>
      <c r="S2559" s="48">
        <f>IF(Учет!$O2559=Справочники!$F$4,Учет!$H2559,0)</f>
        <v>0</v>
      </c>
      <c r="T2559" s="48">
        <f>IF(Учет!$O2559=Справочники!$F$5,Учет!$H2559,0)</f>
        <v>0</v>
      </c>
      <c r="U2559" s="48">
        <f>IF(Учет!$O2559=Справочники!$F$6,Учет!$H2559,0)</f>
        <v>0</v>
      </c>
      <c r="V2559" s="43">
        <f>V2558+Учет!Q2559-Q2559</f>
        <v>-488978.92000000004</v>
      </c>
      <c r="W2559" s="43">
        <f>W2558+Учет!R2559-R2559</f>
        <v>336855</v>
      </c>
      <c r="X2559" s="43">
        <f>X2558+Учет!S2559-S2559</f>
        <v>500</v>
      </c>
      <c r="Y2559" s="43">
        <f>Y2558+Учет!T2559-T2559</f>
        <v>1150</v>
      </c>
      <c r="Z2559" s="43">
        <f>Z2558+Учет!U2559-U2559</f>
        <v>500000</v>
      </c>
      <c r="AA2559" s="45">
        <f>Учет!X2559</f>
        <v>500</v>
      </c>
    </row>
    <row r="2560" spans="1:27" ht="15" customHeight="1" x14ac:dyDescent="0.25">
      <c r="A2560" s="1"/>
      <c r="B2560" s="17"/>
      <c r="C2560" s="17"/>
      <c r="D2560" s="17"/>
      <c r="E2560" s="17"/>
      <c r="F2560" s="17"/>
      <c r="G2560" s="4">
        <f t="shared" si="114"/>
        <v>0</v>
      </c>
      <c r="H2560" s="17"/>
      <c r="I2560" s="4">
        <f t="shared" si="116"/>
        <v>349526.07999999996</v>
      </c>
      <c r="J2560" s="32" t="str">
        <f t="shared" si="115"/>
        <v/>
      </c>
      <c r="K2560" s="72"/>
      <c r="L2560" s="72"/>
      <c r="M2560" s="2"/>
      <c r="N2560" s="5"/>
      <c r="O2560" s="3"/>
      <c r="P2560" s="6"/>
      <c r="Q2560" s="48">
        <f>IF(Учет!$O2560=Справочники!$F$2,Учет!$H2560,0)</f>
        <v>0</v>
      </c>
      <c r="R2560" s="48">
        <f>IF(Учет!$O2560=Справочники!$F$3,Учет!$H2560,0)</f>
        <v>0</v>
      </c>
      <c r="S2560" s="48">
        <f>IF(Учет!$O2560=Справочники!$F$4,Учет!$H2560,0)</f>
        <v>0</v>
      </c>
      <c r="T2560" s="48">
        <f>IF(Учет!$O2560=Справочники!$F$5,Учет!$H2560,0)</f>
        <v>0</v>
      </c>
      <c r="U2560" s="48">
        <f>IF(Учет!$O2560=Справочники!$F$6,Учет!$H2560,0)</f>
        <v>0</v>
      </c>
      <c r="V2560" s="43">
        <f>V2559+Учет!Q2560-Q2560</f>
        <v>-488978.92000000004</v>
      </c>
      <c r="W2560" s="43">
        <f>W2559+Учет!R2560-R2560</f>
        <v>336855</v>
      </c>
      <c r="X2560" s="43">
        <f>X2559+Учет!S2560-S2560</f>
        <v>500</v>
      </c>
      <c r="Y2560" s="43">
        <f>Y2559+Учет!T2560-T2560</f>
        <v>1150</v>
      </c>
      <c r="Z2560" s="43">
        <f>Z2559+Учет!U2560-U2560</f>
        <v>500000</v>
      </c>
      <c r="AA2560" s="45">
        <f>Учет!X2560</f>
        <v>500</v>
      </c>
    </row>
    <row r="2561" spans="1:27" ht="15" customHeight="1" x14ac:dyDescent="0.25">
      <c r="A2561" s="1"/>
      <c r="B2561" s="17"/>
      <c r="C2561" s="17"/>
      <c r="D2561" s="17"/>
      <c r="E2561" s="17"/>
      <c r="F2561" s="17"/>
      <c r="G2561" s="4">
        <f t="shared" si="114"/>
        <v>0</v>
      </c>
      <c r="H2561" s="17"/>
      <c r="I2561" s="4">
        <f t="shared" si="116"/>
        <v>349526.07999999996</v>
      </c>
      <c r="J2561" s="32" t="str">
        <f t="shared" si="115"/>
        <v/>
      </c>
      <c r="K2561" s="72"/>
      <c r="L2561" s="72"/>
      <c r="M2561" s="2"/>
      <c r="N2561" s="5"/>
      <c r="O2561" s="3"/>
      <c r="P2561" s="6"/>
      <c r="Q2561" s="48">
        <f>IF(Учет!$O2561=Справочники!$F$2,Учет!$H2561,0)</f>
        <v>0</v>
      </c>
      <c r="R2561" s="48">
        <f>IF(Учет!$O2561=Справочники!$F$3,Учет!$H2561,0)</f>
        <v>0</v>
      </c>
      <c r="S2561" s="48">
        <f>IF(Учет!$O2561=Справочники!$F$4,Учет!$H2561,0)</f>
        <v>0</v>
      </c>
      <c r="T2561" s="48">
        <f>IF(Учет!$O2561=Справочники!$F$5,Учет!$H2561,0)</f>
        <v>0</v>
      </c>
      <c r="U2561" s="48">
        <f>IF(Учет!$O2561=Справочники!$F$6,Учет!$H2561,0)</f>
        <v>0</v>
      </c>
      <c r="V2561" s="43">
        <f>V2560+Учет!Q2561-Q2561</f>
        <v>-488978.92000000004</v>
      </c>
      <c r="W2561" s="43">
        <f>W2560+Учет!R2561-R2561</f>
        <v>336855</v>
      </c>
      <c r="X2561" s="43">
        <f>X2560+Учет!S2561-S2561</f>
        <v>500</v>
      </c>
      <c r="Y2561" s="43">
        <f>Y2560+Учет!T2561-T2561</f>
        <v>1150</v>
      </c>
      <c r="Z2561" s="43">
        <f>Z2560+Учет!U2561-U2561</f>
        <v>500000</v>
      </c>
      <c r="AA2561" s="45">
        <f>Учет!X2561</f>
        <v>500</v>
      </c>
    </row>
    <row r="2562" spans="1:27" ht="15" customHeight="1" x14ac:dyDescent="0.25">
      <c r="A2562" s="1"/>
      <c r="B2562" s="17"/>
      <c r="C2562" s="17"/>
      <c r="D2562" s="17"/>
      <c r="E2562" s="17"/>
      <c r="F2562" s="17"/>
      <c r="G2562" s="4">
        <f t="shared" ref="G2562:G2625" si="117">SUM($B2562:$F2562)</f>
        <v>0</v>
      </c>
      <c r="H2562" s="17"/>
      <c r="I2562" s="4">
        <f t="shared" si="116"/>
        <v>349526.07999999996</v>
      </c>
      <c r="J2562" s="32" t="str">
        <f t="shared" ref="J2562:J2625" si="118">IF($A2563&lt;&gt;$A2562,$I2562,"")</f>
        <v/>
      </c>
      <c r="K2562" s="72"/>
      <c r="L2562" s="72"/>
      <c r="M2562" s="2"/>
      <c r="N2562" s="5"/>
      <c r="O2562" s="3"/>
      <c r="P2562" s="6"/>
      <c r="Q2562" s="48">
        <f>IF(Учет!$O2562=Справочники!$F$2,Учет!$H2562,0)</f>
        <v>0</v>
      </c>
      <c r="R2562" s="48">
        <f>IF(Учет!$O2562=Справочники!$F$3,Учет!$H2562,0)</f>
        <v>0</v>
      </c>
      <c r="S2562" s="48">
        <f>IF(Учет!$O2562=Справочники!$F$4,Учет!$H2562,0)</f>
        <v>0</v>
      </c>
      <c r="T2562" s="48">
        <f>IF(Учет!$O2562=Справочники!$F$5,Учет!$H2562,0)</f>
        <v>0</v>
      </c>
      <c r="U2562" s="48">
        <f>IF(Учет!$O2562=Справочники!$F$6,Учет!$H2562,0)</f>
        <v>0</v>
      </c>
      <c r="V2562" s="43">
        <f>V2561+Учет!Q2562-Q2562</f>
        <v>-488978.92000000004</v>
      </c>
      <c r="W2562" s="43">
        <f>W2561+Учет!R2562-R2562</f>
        <v>336855</v>
      </c>
      <c r="X2562" s="43">
        <f>X2561+Учет!S2562-S2562</f>
        <v>500</v>
      </c>
      <c r="Y2562" s="43">
        <f>Y2561+Учет!T2562-T2562</f>
        <v>1150</v>
      </c>
      <c r="Z2562" s="43">
        <f>Z2561+Учет!U2562-U2562</f>
        <v>500000</v>
      </c>
      <c r="AA2562" s="45">
        <f>Учет!X2562</f>
        <v>500</v>
      </c>
    </row>
    <row r="2563" spans="1:27" ht="15" customHeight="1" x14ac:dyDescent="0.25">
      <c r="A2563" s="1"/>
      <c r="B2563" s="17"/>
      <c r="C2563" s="17"/>
      <c r="D2563" s="17"/>
      <c r="E2563" s="17"/>
      <c r="F2563" s="17"/>
      <c r="G2563" s="4">
        <f t="shared" si="117"/>
        <v>0</v>
      </c>
      <c r="H2563" s="17"/>
      <c r="I2563" s="4">
        <f t="shared" ref="I2563:I2626" si="119">$I2562+$G2563-$H2563</f>
        <v>349526.07999999996</v>
      </c>
      <c r="J2563" s="32" t="str">
        <f t="shared" si="118"/>
        <v/>
      </c>
      <c r="K2563" s="72"/>
      <c r="L2563" s="72"/>
      <c r="M2563" s="2"/>
      <c r="N2563" s="5"/>
      <c r="O2563" s="3"/>
      <c r="P2563" s="6"/>
      <c r="Q2563" s="48">
        <f>IF(Учет!$O2563=Справочники!$F$2,Учет!$H2563,0)</f>
        <v>0</v>
      </c>
      <c r="R2563" s="48">
        <f>IF(Учет!$O2563=Справочники!$F$3,Учет!$H2563,0)</f>
        <v>0</v>
      </c>
      <c r="S2563" s="48">
        <f>IF(Учет!$O2563=Справочники!$F$4,Учет!$H2563,0)</f>
        <v>0</v>
      </c>
      <c r="T2563" s="48">
        <f>IF(Учет!$O2563=Справочники!$F$5,Учет!$H2563,0)</f>
        <v>0</v>
      </c>
      <c r="U2563" s="48">
        <f>IF(Учет!$O2563=Справочники!$F$6,Учет!$H2563,0)</f>
        <v>0</v>
      </c>
      <c r="V2563" s="43">
        <f>V2562+Учет!Q2563-Q2563</f>
        <v>-488978.92000000004</v>
      </c>
      <c r="W2563" s="43">
        <f>W2562+Учет!R2563-R2563</f>
        <v>336855</v>
      </c>
      <c r="X2563" s="43">
        <f>X2562+Учет!S2563-S2563</f>
        <v>500</v>
      </c>
      <c r="Y2563" s="43">
        <f>Y2562+Учет!T2563-T2563</f>
        <v>1150</v>
      </c>
      <c r="Z2563" s="43">
        <f>Z2562+Учет!U2563-U2563</f>
        <v>500000</v>
      </c>
      <c r="AA2563" s="45">
        <f>Учет!X2563</f>
        <v>500</v>
      </c>
    </row>
    <row r="2564" spans="1:27" ht="15" customHeight="1" x14ac:dyDescent="0.25">
      <c r="A2564" s="1"/>
      <c r="B2564" s="17"/>
      <c r="C2564" s="17"/>
      <c r="D2564" s="17"/>
      <c r="E2564" s="17"/>
      <c r="F2564" s="17"/>
      <c r="G2564" s="4">
        <f t="shared" si="117"/>
        <v>0</v>
      </c>
      <c r="H2564" s="17"/>
      <c r="I2564" s="4">
        <f t="shared" si="119"/>
        <v>349526.07999999996</v>
      </c>
      <c r="J2564" s="32" t="str">
        <f t="shared" si="118"/>
        <v/>
      </c>
      <c r="K2564" s="72"/>
      <c r="L2564" s="72"/>
      <c r="M2564" s="2"/>
      <c r="N2564" s="5"/>
      <c r="O2564" s="3"/>
      <c r="P2564" s="6"/>
      <c r="Q2564" s="48">
        <f>IF(Учет!$O2564=Справочники!$F$2,Учет!$H2564,0)</f>
        <v>0</v>
      </c>
      <c r="R2564" s="48">
        <f>IF(Учет!$O2564=Справочники!$F$3,Учет!$H2564,0)</f>
        <v>0</v>
      </c>
      <c r="S2564" s="48">
        <f>IF(Учет!$O2564=Справочники!$F$4,Учет!$H2564,0)</f>
        <v>0</v>
      </c>
      <c r="T2564" s="48">
        <f>IF(Учет!$O2564=Справочники!$F$5,Учет!$H2564,0)</f>
        <v>0</v>
      </c>
      <c r="U2564" s="48">
        <f>IF(Учет!$O2564=Справочники!$F$6,Учет!$H2564,0)</f>
        <v>0</v>
      </c>
      <c r="V2564" s="43">
        <f>V2563+Учет!Q2564-Q2564</f>
        <v>-488978.92000000004</v>
      </c>
      <c r="W2564" s="43">
        <f>W2563+Учет!R2564-R2564</f>
        <v>336855</v>
      </c>
      <c r="X2564" s="43">
        <f>X2563+Учет!S2564-S2564</f>
        <v>500</v>
      </c>
      <c r="Y2564" s="43">
        <f>Y2563+Учет!T2564-T2564</f>
        <v>1150</v>
      </c>
      <c r="Z2564" s="43">
        <f>Z2563+Учет!U2564-U2564</f>
        <v>500000</v>
      </c>
      <c r="AA2564" s="45">
        <f>Учет!X2564</f>
        <v>500</v>
      </c>
    </row>
    <row r="2565" spans="1:27" ht="15" customHeight="1" x14ac:dyDescent="0.25">
      <c r="A2565" s="1"/>
      <c r="B2565" s="17"/>
      <c r="C2565" s="17"/>
      <c r="D2565" s="17"/>
      <c r="E2565" s="17"/>
      <c r="F2565" s="17"/>
      <c r="G2565" s="4">
        <f t="shared" si="117"/>
        <v>0</v>
      </c>
      <c r="H2565" s="17"/>
      <c r="I2565" s="4">
        <f t="shared" si="119"/>
        <v>349526.07999999996</v>
      </c>
      <c r="J2565" s="32" t="str">
        <f t="shared" si="118"/>
        <v/>
      </c>
      <c r="K2565" s="72"/>
      <c r="L2565" s="72"/>
      <c r="M2565" s="2"/>
      <c r="N2565" s="5"/>
      <c r="O2565" s="3"/>
      <c r="P2565" s="6"/>
      <c r="Q2565" s="48">
        <f>IF(Учет!$O2565=Справочники!$F$2,Учет!$H2565,0)</f>
        <v>0</v>
      </c>
      <c r="R2565" s="48">
        <f>IF(Учет!$O2565=Справочники!$F$3,Учет!$H2565,0)</f>
        <v>0</v>
      </c>
      <c r="S2565" s="48">
        <f>IF(Учет!$O2565=Справочники!$F$4,Учет!$H2565,0)</f>
        <v>0</v>
      </c>
      <c r="T2565" s="48">
        <f>IF(Учет!$O2565=Справочники!$F$5,Учет!$H2565,0)</f>
        <v>0</v>
      </c>
      <c r="U2565" s="48">
        <f>IF(Учет!$O2565=Справочники!$F$6,Учет!$H2565,0)</f>
        <v>0</v>
      </c>
      <c r="V2565" s="43">
        <f>V2564+Учет!Q2565-Q2565</f>
        <v>-488978.92000000004</v>
      </c>
      <c r="W2565" s="43">
        <f>W2564+Учет!R2565-R2565</f>
        <v>336855</v>
      </c>
      <c r="X2565" s="43">
        <f>X2564+Учет!S2565-S2565</f>
        <v>500</v>
      </c>
      <c r="Y2565" s="43">
        <f>Y2564+Учет!T2565-T2565</f>
        <v>1150</v>
      </c>
      <c r="Z2565" s="43">
        <f>Z2564+Учет!U2565-U2565</f>
        <v>500000</v>
      </c>
      <c r="AA2565" s="45">
        <f>Учет!X2565</f>
        <v>500</v>
      </c>
    </row>
    <row r="2566" spans="1:27" ht="15" customHeight="1" x14ac:dyDescent="0.25">
      <c r="A2566" s="1"/>
      <c r="B2566" s="17"/>
      <c r="C2566" s="17"/>
      <c r="D2566" s="17"/>
      <c r="E2566" s="17"/>
      <c r="F2566" s="17"/>
      <c r="G2566" s="4">
        <f t="shared" si="117"/>
        <v>0</v>
      </c>
      <c r="H2566" s="17"/>
      <c r="I2566" s="4">
        <f t="shared" si="119"/>
        <v>349526.07999999996</v>
      </c>
      <c r="J2566" s="32" t="str">
        <f t="shared" si="118"/>
        <v/>
      </c>
      <c r="K2566" s="72"/>
      <c r="L2566" s="72"/>
      <c r="M2566" s="2"/>
      <c r="N2566" s="5"/>
      <c r="O2566" s="3"/>
      <c r="P2566" s="6"/>
      <c r="Q2566" s="48">
        <f>IF(Учет!$O2566=Справочники!$F$2,Учет!$H2566,0)</f>
        <v>0</v>
      </c>
      <c r="R2566" s="48">
        <f>IF(Учет!$O2566=Справочники!$F$3,Учет!$H2566,0)</f>
        <v>0</v>
      </c>
      <c r="S2566" s="48">
        <f>IF(Учет!$O2566=Справочники!$F$4,Учет!$H2566,0)</f>
        <v>0</v>
      </c>
      <c r="T2566" s="48">
        <f>IF(Учет!$O2566=Справочники!$F$5,Учет!$H2566,0)</f>
        <v>0</v>
      </c>
      <c r="U2566" s="48">
        <f>IF(Учет!$O2566=Справочники!$F$6,Учет!$H2566,0)</f>
        <v>0</v>
      </c>
      <c r="V2566" s="43">
        <f>V2565+Учет!Q2566-Q2566</f>
        <v>-488978.92000000004</v>
      </c>
      <c r="W2566" s="43">
        <f>W2565+Учет!R2566-R2566</f>
        <v>336855</v>
      </c>
      <c r="X2566" s="43">
        <f>X2565+Учет!S2566-S2566</f>
        <v>500</v>
      </c>
      <c r="Y2566" s="43">
        <f>Y2565+Учет!T2566-T2566</f>
        <v>1150</v>
      </c>
      <c r="Z2566" s="43">
        <f>Z2565+Учет!U2566-U2566</f>
        <v>500000</v>
      </c>
      <c r="AA2566" s="45">
        <f>Учет!X2566</f>
        <v>500</v>
      </c>
    </row>
    <row r="2567" spans="1:27" ht="15" customHeight="1" x14ac:dyDescent="0.25">
      <c r="A2567" s="1"/>
      <c r="B2567" s="17"/>
      <c r="C2567" s="17"/>
      <c r="D2567" s="17"/>
      <c r="E2567" s="17"/>
      <c r="F2567" s="17"/>
      <c r="G2567" s="4">
        <f t="shared" si="117"/>
        <v>0</v>
      </c>
      <c r="H2567" s="17"/>
      <c r="I2567" s="4">
        <f t="shared" si="119"/>
        <v>349526.07999999996</v>
      </c>
      <c r="J2567" s="32" t="str">
        <f t="shared" si="118"/>
        <v/>
      </c>
      <c r="K2567" s="72"/>
      <c r="L2567" s="72"/>
      <c r="M2567" s="2"/>
      <c r="N2567" s="5"/>
      <c r="O2567" s="3"/>
      <c r="P2567" s="6"/>
      <c r="Q2567" s="48">
        <f>IF(Учет!$O2567=Справочники!$F$2,Учет!$H2567,0)</f>
        <v>0</v>
      </c>
      <c r="R2567" s="48">
        <f>IF(Учет!$O2567=Справочники!$F$3,Учет!$H2567,0)</f>
        <v>0</v>
      </c>
      <c r="S2567" s="48">
        <f>IF(Учет!$O2567=Справочники!$F$4,Учет!$H2567,0)</f>
        <v>0</v>
      </c>
      <c r="T2567" s="48">
        <f>IF(Учет!$O2567=Справочники!$F$5,Учет!$H2567,0)</f>
        <v>0</v>
      </c>
      <c r="U2567" s="48">
        <f>IF(Учет!$O2567=Справочники!$F$6,Учет!$H2567,0)</f>
        <v>0</v>
      </c>
      <c r="V2567" s="43">
        <f>V2566+Учет!Q2567-Q2567</f>
        <v>-488978.92000000004</v>
      </c>
      <c r="W2567" s="43">
        <f>W2566+Учет!R2567-R2567</f>
        <v>336855</v>
      </c>
      <c r="X2567" s="43">
        <f>X2566+Учет!S2567-S2567</f>
        <v>500</v>
      </c>
      <c r="Y2567" s="43">
        <f>Y2566+Учет!T2567-T2567</f>
        <v>1150</v>
      </c>
      <c r="Z2567" s="43">
        <f>Z2566+Учет!U2567-U2567</f>
        <v>500000</v>
      </c>
      <c r="AA2567" s="45">
        <f>Учет!X2567</f>
        <v>500</v>
      </c>
    </row>
    <row r="2568" spans="1:27" ht="15" customHeight="1" x14ac:dyDescent="0.25">
      <c r="A2568" s="1"/>
      <c r="B2568" s="17"/>
      <c r="C2568" s="17"/>
      <c r="D2568" s="17"/>
      <c r="E2568" s="17"/>
      <c r="F2568" s="17"/>
      <c r="G2568" s="4">
        <f t="shared" si="117"/>
        <v>0</v>
      </c>
      <c r="H2568" s="17"/>
      <c r="I2568" s="4">
        <f t="shared" si="119"/>
        <v>349526.07999999996</v>
      </c>
      <c r="J2568" s="32" t="str">
        <f t="shared" si="118"/>
        <v/>
      </c>
      <c r="K2568" s="72"/>
      <c r="L2568" s="72"/>
      <c r="M2568" s="2"/>
      <c r="N2568" s="5"/>
      <c r="O2568" s="3"/>
      <c r="P2568" s="6"/>
      <c r="Q2568" s="48">
        <f>IF(Учет!$O2568=Справочники!$F$2,Учет!$H2568,0)</f>
        <v>0</v>
      </c>
      <c r="R2568" s="48">
        <f>IF(Учет!$O2568=Справочники!$F$3,Учет!$H2568,0)</f>
        <v>0</v>
      </c>
      <c r="S2568" s="48">
        <f>IF(Учет!$O2568=Справочники!$F$4,Учет!$H2568,0)</f>
        <v>0</v>
      </c>
      <c r="T2568" s="48">
        <f>IF(Учет!$O2568=Справочники!$F$5,Учет!$H2568,0)</f>
        <v>0</v>
      </c>
      <c r="U2568" s="48">
        <f>IF(Учет!$O2568=Справочники!$F$6,Учет!$H2568,0)</f>
        <v>0</v>
      </c>
      <c r="V2568" s="43">
        <f>V2567+Учет!Q2568-Q2568</f>
        <v>-488978.92000000004</v>
      </c>
      <c r="W2568" s="43">
        <f>W2567+Учет!R2568-R2568</f>
        <v>336855</v>
      </c>
      <c r="X2568" s="43">
        <f>X2567+Учет!S2568-S2568</f>
        <v>500</v>
      </c>
      <c r="Y2568" s="43">
        <f>Y2567+Учет!T2568-T2568</f>
        <v>1150</v>
      </c>
      <c r="Z2568" s="43">
        <f>Z2567+Учет!U2568-U2568</f>
        <v>500000</v>
      </c>
      <c r="AA2568" s="45">
        <f>Учет!X2568</f>
        <v>500</v>
      </c>
    </row>
    <row r="2569" spans="1:27" ht="15" customHeight="1" x14ac:dyDescent="0.25">
      <c r="A2569" s="1"/>
      <c r="B2569" s="17"/>
      <c r="C2569" s="17"/>
      <c r="D2569" s="17"/>
      <c r="E2569" s="17"/>
      <c r="F2569" s="17"/>
      <c r="G2569" s="4">
        <f t="shared" si="117"/>
        <v>0</v>
      </c>
      <c r="H2569" s="17"/>
      <c r="I2569" s="4">
        <f t="shared" si="119"/>
        <v>349526.07999999996</v>
      </c>
      <c r="J2569" s="32" t="str">
        <f t="shared" si="118"/>
        <v/>
      </c>
      <c r="K2569" s="72"/>
      <c r="L2569" s="72"/>
      <c r="M2569" s="2"/>
      <c r="N2569" s="5"/>
      <c r="O2569" s="3"/>
      <c r="P2569" s="6"/>
      <c r="Q2569" s="48">
        <f>IF(Учет!$O2569=Справочники!$F$2,Учет!$H2569,0)</f>
        <v>0</v>
      </c>
      <c r="R2569" s="48">
        <f>IF(Учет!$O2569=Справочники!$F$3,Учет!$H2569,0)</f>
        <v>0</v>
      </c>
      <c r="S2569" s="48">
        <f>IF(Учет!$O2569=Справочники!$F$4,Учет!$H2569,0)</f>
        <v>0</v>
      </c>
      <c r="T2569" s="48">
        <f>IF(Учет!$O2569=Справочники!$F$5,Учет!$H2569,0)</f>
        <v>0</v>
      </c>
      <c r="U2569" s="48">
        <f>IF(Учет!$O2569=Справочники!$F$6,Учет!$H2569,0)</f>
        <v>0</v>
      </c>
      <c r="V2569" s="43">
        <f>V2568+Учет!Q2569-Q2569</f>
        <v>-488978.92000000004</v>
      </c>
      <c r="W2569" s="43">
        <f>W2568+Учет!R2569-R2569</f>
        <v>336855</v>
      </c>
      <c r="X2569" s="43">
        <f>X2568+Учет!S2569-S2569</f>
        <v>500</v>
      </c>
      <c r="Y2569" s="43">
        <f>Y2568+Учет!T2569-T2569</f>
        <v>1150</v>
      </c>
      <c r="Z2569" s="43">
        <f>Z2568+Учет!U2569-U2569</f>
        <v>500000</v>
      </c>
      <c r="AA2569" s="45">
        <f>Учет!X2569</f>
        <v>500</v>
      </c>
    </row>
    <row r="2570" spans="1:27" ht="15" customHeight="1" x14ac:dyDescent="0.25">
      <c r="A2570" s="1"/>
      <c r="B2570" s="17"/>
      <c r="C2570" s="17"/>
      <c r="D2570" s="17"/>
      <c r="E2570" s="17"/>
      <c r="F2570" s="17"/>
      <c r="G2570" s="4">
        <f t="shared" si="117"/>
        <v>0</v>
      </c>
      <c r="H2570" s="17"/>
      <c r="I2570" s="4">
        <f t="shared" si="119"/>
        <v>349526.07999999996</v>
      </c>
      <c r="J2570" s="32" t="str">
        <f t="shared" si="118"/>
        <v/>
      </c>
      <c r="K2570" s="72"/>
      <c r="L2570" s="72"/>
      <c r="M2570" s="2"/>
      <c r="N2570" s="5"/>
      <c r="O2570" s="3"/>
      <c r="P2570" s="6"/>
      <c r="Q2570" s="48">
        <f>IF(Учет!$O2570=Справочники!$F$2,Учет!$H2570,0)</f>
        <v>0</v>
      </c>
      <c r="R2570" s="48">
        <f>IF(Учет!$O2570=Справочники!$F$3,Учет!$H2570,0)</f>
        <v>0</v>
      </c>
      <c r="S2570" s="48">
        <f>IF(Учет!$O2570=Справочники!$F$4,Учет!$H2570,0)</f>
        <v>0</v>
      </c>
      <c r="T2570" s="48">
        <f>IF(Учет!$O2570=Справочники!$F$5,Учет!$H2570,0)</f>
        <v>0</v>
      </c>
      <c r="U2570" s="48">
        <f>IF(Учет!$O2570=Справочники!$F$6,Учет!$H2570,0)</f>
        <v>0</v>
      </c>
      <c r="V2570" s="43">
        <f>V2569+Учет!Q2570-Q2570</f>
        <v>-488978.92000000004</v>
      </c>
      <c r="W2570" s="43">
        <f>W2569+Учет!R2570-R2570</f>
        <v>336855</v>
      </c>
      <c r="X2570" s="43">
        <f>X2569+Учет!S2570-S2570</f>
        <v>500</v>
      </c>
      <c r="Y2570" s="43">
        <f>Y2569+Учет!T2570-T2570</f>
        <v>1150</v>
      </c>
      <c r="Z2570" s="43">
        <f>Z2569+Учет!U2570-U2570</f>
        <v>500000</v>
      </c>
      <c r="AA2570" s="45">
        <f>Учет!X2570</f>
        <v>500</v>
      </c>
    </row>
    <row r="2571" spans="1:27" ht="15" customHeight="1" x14ac:dyDescent="0.25">
      <c r="A2571" s="1"/>
      <c r="B2571" s="17"/>
      <c r="C2571" s="17"/>
      <c r="D2571" s="17"/>
      <c r="E2571" s="17"/>
      <c r="F2571" s="17"/>
      <c r="G2571" s="4">
        <f t="shared" si="117"/>
        <v>0</v>
      </c>
      <c r="H2571" s="17"/>
      <c r="I2571" s="4">
        <f t="shared" si="119"/>
        <v>349526.07999999996</v>
      </c>
      <c r="J2571" s="32" t="str">
        <f t="shared" si="118"/>
        <v/>
      </c>
      <c r="K2571" s="72"/>
      <c r="L2571" s="72"/>
      <c r="M2571" s="2"/>
      <c r="N2571" s="5"/>
      <c r="O2571" s="3"/>
      <c r="P2571" s="6"/>
      <c r="Q2571" s="48">
        <f>IF(Учет!$O2571=Справочники!$F$2,Учет!$H2571,0)</f>
        <v>0</v>
      </c>
      <c r="R2571" s="48">
        <f>IF(Учет!$O2571=Справочники!$F$3,Учет!$H2571,0)</f>
        <v>0</v>
      </c>
      <c r="S2571" s="48">
        <f>IF(Учет!$O2571=Справочники!$F$4,Учет!$H2571,0)</f>
        <v>0</v>
      </c>
      <c r="T2571" s="48">
        <f>IF(Учет!$O2571=Справочники!$F$5,Учет!$H2571,0)</f>
        <v>0</v>
      </c>
      <c r="U2571" s="48">
        <f>IF(Учет!$O2571=Справочники!$F$6,Учет!$H2571,0)</f>
        <v>0</v>
      </c>
      <c r="V2571" s="43">
        <f>V2570+Учет!Q2571-Q2571</f>
        <v>-488978.92000000004</v>
      </c>
      <c r="W2571" s="43">
        <f>W2570+Учет!R2571-R2571</f>
        <v>336855</v>
      </c>
      <c r="X2571" s="43">
        <f>X2570+Учет!S2571-S2571</f>
        <v>500</v>
      </c>
      <c r="Y2571" s="43">
        <f>Y2570+Учет!T2571-T2571</f>
        <v>1150</v>
      </c>
      <c r="Z2571" s="43">
        <f>Z2570+Учет!U2571-U2571</f>
        <v>500000</v>
      </c>
      <c r="AA2571" s="45">
        <f>Учет!X2571</f>
        <v>500</v>
      </c>
    </row>
    <row r="2572" spans="1:27" ht="15" customHeight="1" x14ac:dyDescent="0.25">
      <c r="A2572" s="1"/>
      <c r="B2572" s="17"/>
      <c r="C2572" s="17"/>
      <c r="D2572" s="17"/>
      <c r="E2572" s="17"/>
      <c r="F2572" s="17"/>
      <c r="G2572" s="4">
        <f t="shared" si="117"/>
        <v>0</v>
      </c>
      <c r="H2572" s="17"/>
      <c r="I2572" s="4">
        <f t="shared" si="119"/>
        <v>349526.07999999996</v>
      </c>
      <c r="J2572" s="32" t="str">
        <f t="shared" si="118"/>
        <v/>
      </c>
      <c r="K2572" s="72"/>
      <c r="L2572" s="72"/>
      <c r="M2572" s="2"/>
      <c r="N2572" s="5"/>
      <c r="O2572" s="3"/>
      <c r="P2572" s="6"/>
      <c r="Q2572" s="48">
        <f>IF(Учет!$O2572=Справочники!$F$2,Учет!$H2572,0)</f>
        <v>0</v>
      </c>
      <c r="R2572" s="48">
        <f>IF(Учет!$O2572=Справочники!$F$3,Учет!$H2572,0)</f>
        <v>0</v>
      </c>
      <c r="S2572" s="48">
        <f>IF(Учет!$O2572=Справочники!$F$4,Учет!$H2572,0)</f>
        <v>0</v>
      </c>
      <c r="T2572" s="48">
        <f>IF(Учет!$O2572=Справочники!$F$5,Учет!$H2572,0)</f>
        <v>0</v>
      </c>
      <c r="U2572" s="48">
        <f>IF(Учет!$O2572=Справочники!$F$6,Учет!$H2572,0)</f>
        <v>0</v>
      </c>
      <c r="V2572" s="43">
        <f>V2571+Учет!Q2572-Q2572</f>
        <v>-488978.92000000004</v>
      </c>
      <c r="W2572" s="43">
        <f>W2571+Учет!R2572-R2572</f>
        <v>336855</v>
      </c>
      <c r="X2572" s="43">
        <f>X2571+Учет!S2572-S2572</f>
        <v>500</v>
      </c>
      <c r="Y2572" s="43">
        <f>Y2571+Учет!T2572-T2572</f>
        <v>1150</v>
      </c>
      <c r="Z2572" s="43">
        <f>Z2571+Учет!U2572-U2572</f>
        <v>500000</v>
      </c>
      <c r="AA2572" s="45">
        <f>Учет!X2572</f>
        <v>500</v>
      </c>
    </row>
    <row r="2573" spans="1:27" ht="15" customHeight="1" x14ac:dyDescent="0.25">
      <c r="A2573" s="1"/>
      <c r="B2573" s="17"/>
      <c r="C2573" s="17"/>
      <c r="D2573" s="17"/>
      <c r="E2573" s="17"/>
      <c r="F2573" s="17"/>
      <c r="G2573" s="4">
        <f t="shared" si="117"/>
        <v>0</v>
      </c>
      <c r="H2573" s="17"/>
      <c r="I2573" s="4">
        <f t="shared" si="119"/>
        <v>349526.07999999996</v>
      </c>
      <c r="J2573" s="32" t="str">
        <f t="shared" si="118"/>
        <v/>
      </c>
      <c r="K2573" s="72"/>
      <c r="L2573" s="72"/>
      <c r="M2573" s="2"/>
      <c r="N2573" s="5"/>
      <c r="O2573" s="3"/>
      <c r="P2573" s="6"/>
      <c r="Q2573" s="48">
        <f>IF(Учет!$O2573=Справочники!$F$2,Учет!$H2573,0)</f>
        <v>0</v>
      </c>
      <c r="R2573" s="48">
        <f>IF(Учет!$O2573=Справочники!$F$3,Учет!$H2573,0)</f>
        <v>0</v>
      </c>
      <c r="S2573" s="48">
        <f>IF(Учет!$O2573=Справочники!$F$4,Учет!$H2573,0)</f>
        <v>0</v>
      </c>
      <c r="T2573" s="48">
        <f>IF(Учет!$O2573=Справочники!$F$5,Учет!$H2573,0)</f>
        <v>0</v>
      </c>
      <c r="U2573" s="48">
        <f>IF(Учет!$O2573=Справочники!$F$6,Учет!$H2573,0)</f>
        <v>0</v>
      </c>
      <c r="V2573" s="43">
        <f>V2572+Учет!Q2573-Q2573</f>
        <v>-488978.92000000004</v>
      </c>
      <c r="W2573" s="43">
        <f>W2572+Учет!R2573-R2573</f>
        <v>336855</v>
      </c>
      <c r="X2573" s="43">
        <f>X2572+Учет!S2573-S2573</f>
        <v>500</v>
      </c>
      <c r="Y2573" s="43">
        <f>Y2572+Учет!T2573-T2573</f>
        <v>1150</v>
      </c>
      <c r="Z2573" s="43">
        <f>Z2572+Учет!U2573-U2573</f>
        <v>500000</v>
      </c>
      <c r="AA2573" s="45">
        <f>Учет!X2573</f>
        <v>500</v>
      </c>
    </row>
    <row r="2574" spans="1:27" ht="15" customHeight="1" x14ac:dyDescent="0.25">
      <c r="A2574" s="1"/>
      <c r="B2574" s="17"/>
      <c r="C2574" s="17"/>
      <c r="D2574" s="17"/>
      <c r="E2574" s="17"/>
      <c r="F2574" s="17"/>
      <c r="G2574" s="4">
        <f t="shared" si="117"/>
        <v>0</v>
      </c>
      <c r="H2574" s="17"/>
      <c r="I2574" s="4">
        <f t="shared" si="119"/>
        <v>349526.07999999996</v>
      </c>
      <c r="J2574" s="32" t="str">
        <f t="shared" si="118"/>
        <v/>
      </c>
      <c r="K2574" s="72"/>
      <c r="L2574" s="72"/>
      <c r="M2574" s="2"/>
      <c r="N2574" s="5"/>
      <c r="O2574" s="3"/>
      <c r="P2574" s="6"/>
      <c r="Q2574" s="48">
        <f>IF(Учет!$O2574=Справочники!$F$2,Учет!$H2574,0)</f>
        <v>0</v>
      </c>
      <c r="R2574" s="48">
        <f>IF(Учет!$O2574=Справочники!$F$3,Учет!$H2574,0)</f>
        <v>0</v>
      </c>
      <c r="S2574" s="48">
        <f>IF(Учет!$O2574=Справочники!$F$4,Учет!$H2574,0)</f>
        <v>0</v>
      </c>
      <c r="T2574" s="48">
        <f>IF(Учет!$O2574=Справочники!$F$5,Учет!$H2574,0)</f>
        <v>0</v>
      </c>
      <c r="U2574" s="48">
        <f>IF(Учет!$O2574=Справочники!$F$6,Учет!$H2574,0)</f>
        <v>0</v>
      </c>
      <c r="V2574" s="43">
        <f>V2573+Учет!Q2574-Q2574</f>
        <v>-488978.92000000004</v>
      </c>
      <c r="W2574" s="43">
        <f>W2573+Учет!R2574-R2574</f>
        <v>336855</v>
      </c>
      <c r="X2574" s="43">
        <f>X2573+Учет!S2574-S2574</f>
        <v>500</v>
      </c>
      <c r="Y2574" s="43">
        <f>Y2573+Учет!T2574-T2574</f>
        <v>1150</v>
      </c>
      <c r="Z2574" s="43">
        <f>Z2573+Учет!U2574-U2574</f>
        <v>500000</v>
      </c>
      <c r="AA2574" s="45">
        <f>Учет!X2574</f>
        <v>500</v>
      </c>
    </row>
    <row r="2575" spans="1:27" ht="15" customHeight="1" x14ac:dyDescent="0.25">
      <c r="A2575" s="1"/>
      <c r="B2575" s="17"/>
      <c r="C2575" s="17"/>
      <c r="D2575" s="17"/>
      <c r="E2575" s="17"/>
      <c r="F2575" s="17"/>
      <c r="G2575" s="4">
        <f t="shared" si="117"/>
        <v>0</v>
      </c>
      <c r="H2575" s="17"/>
      <c r="I2575" s="4">
        <f t="shared" si="119"/>
        <v>349526.07999999996</v>
      </c>
      <c r="J2575" s="32" t="str">
        <f t="shared" si="118"/>
        <v/>
      </c>
      <c r="K2575" s="72"/>
      <c r="L2575" s="72"/>
      <c r="M2575" s="2"/>
      <c r="N2575" s="5"/>
      <c r="O2575" s="3"/>
      <c r="P2575" s="6"/>
      <c r="Q2575" s="48">
        <f>IF(Учет!$O2575=Справочники!$F$2,Учет!$H2575,0)</f>
        <v>0</v>
      </c>
      <c r="R2575" s="48">
        <f>IF(Учет!$O2575=Справочники!$F$3,Учет!$H2575,0)</f>
        <v>0</v>
      </c>
      <c r="S2575" s="48">
        <f>IF(Учет!$O2575=Справочники!$F$4,Учет!$H2575,0)</f>
        <v>0</v>
      </c>
      <c r="T2575" s="48">
        <f>IF(Учет!$O2575=Справочники!$F$5,Учет!$H2575,0)</f>
        <v>0</v>
      </c>
      <c r="U2575" s="48">
        <f>IF(Учет!$O2575=Справочники!$F$6,Учет!$H2575,0)</f>
        <v>0</v>
      </c>
      <c r="V2575" s="43">
        <f>V2574+Учет!Q2575-Q2575</f>
        <v>-488978.92000000004</v>
      </c>
      <c r="W2575" s="43">
        <f>W2574+Учет!R2575-R2575</f>
        <v>336855</v>
      </c>
      <c r="X2575" s="43">
        <f>X2574+Учет!S2575-S2575</f>
        <v>500</v>
      </c>
      <c r="Y2575" s="43">
        <f>Y2574+Учет!T2575-T2575</f>
        <v>1150</v>
      </c>
      <c r="Z2575" s="43">
        <f>Z2574+Учет!U2575-U2575</f>
        <v>500000</v>
      </c>
      <c r="AA2575" s="45">
        <f>Учет!X2575</f>
        <v>500</v>
      </c>
    </row>
    <row r="2576" spans="1:27" ht="15" customHeight="1" x14ac:dyDescent="0.25">
      <c r="A2576" s="1"/>
      <c r="B2576" s="17"/>
      <c r="C2576" s="17"/>
      <c r="D2576" s="17"/>
      <c r="E2576" s="17"/>
      <c r="F2576" s="17"/>
      <c r="G2576" s="4">
        <f t="shared" si="117"/>
        <v>0</v>
      </c>
      <c r="H2576" s="17"/>
      <c r="I2576" s="4">
        <f t="shared" si="119"/>
        <v>349526.07999999996</v>
      </c>
      <c r="J2576" s="32" t="str">
        <f t="shared" si="118"/>
        <v/>
      </c>
      <c r="K2576" s="72"/>
      <c r="L2576" s="72"/>
      <c r="M2576" s="2"/>
      <c r="N2576" s="5"/>
      <c r="O2576" s="3"/>
      <c r="P2576" s="6"/>
      <c r="Q2576" s="48">
        <f>IF(Учет!$O2576=Справочники!$F$2,Учет!$H2576,0)</f>
        <v>0</v>
      </c>
      <c r="R2576" s="48">
        <f>IF(Учет!$O2576=Справочники!$F$3,Учет!$H2576,0)</f>
        <v>0</v>
      </c>
      <c r="S2576" s="48">
        <f>IF(Учет!$O2576=Справочники!$F$4,Учет!$H2576,0)</f>
        <v>0</v>
      </c>
      <c r="T2576" s="48">
        <f>IF(Учет!$O2576=Справочники!$F$5,Учет!$H2576,0)</f>
        <v>0</v>
      </c>
      <c r="U2576" s="48">
        <f>IF(Учет!$O2576=Справочники!$F$6,Учет!$H2576,0)</f>
        <v>0</v>
      </c>
      <c r="V2576" s="43">
        <f>V2575+Учет!Q2576-Q2576</f>
        <v>-488978.92000000004</v>
      </c>
      <c r="W2576" s="43">
        <f>W2575+Учет!R2576-R2576</f>
        <v>336855</v>
      </c>
      <c r="X2576" s="43">
        <f>X2575+Учет!S2576-S2576</f>
        <v>500</v>
      </c>
      <c r="Y2576" s="43">
        <f>Y2575+Учет!T2576-T2576</f>
        <v>1150</v>
      </c>
      <c r="Z2576" s="43">
        <f>Z2575+Учет!U2576-U2576</f>
        <v>500000</v>
      </c>
      <c r="AA2576" s="45">
        <f>Учет!X2576</f>
        <v>500</v>
      </c>
    </row>
    <row r="2577" spans="1:27" ht="15" customHeight="1" x14ac:dyDescent="0.25">
      <c r="A2577" s="1"/>
      <c r="B2577" s="17"/>
      <c r="C2577" s="17"/>
      <c r="D2577" s="17"/>
      <c r="E2577" s="17"/>
      <c r="F2577" s="17"/>
      <c r="G2577" s="4">
        <f t="shared" si="117"/>
        <v>0</v>
      </c>
      <c r="H2577" s="17"/>
      <c r="I2577" s="4">
        <f t="shared" si="119"/>
        <v>349526.07999999996</v>
      </c>
      <c r="J2577" s="32" t="str">
        <f t="shared" si="118"/>
        <v/>
      </c>
      <c r="K2577" s="72"/>
      <c r="L2577" s="72"/>
      <c r="M2577" s="2"/>
      <c r="N2577" s="5"/>
      <c r="O2577" s="3"/>
      <c r="P2577" s="6"/>
      <c r="Q2577" s="48">
        <f>IF(Учет!$O2577=Справочники!$F$2,Учет!$H2577,0)</f>
        <v>0</v>
      </c>
      <c r="R2577" s="48">
        <f>IF(Учет!$O2577=Справочники!$F$3,Учет!$H2577,0)</f>
        <v>0</v>
      </c>
      <c r="S2577" s="48">
        <f>IF(Учет!$O2577=Справочники!$F$4,Учет!$H2577,0)</f>
        <v>0</v>
      </c>
      <c r="T2577" s="48">
        <f>IF(Учет!$O2577=Справочники!$F$5,Учет!$H2577,0)</f>
        <v>0</v>
      </c>
      <c r="U2577" s="48">
        <f>IF(Учет!$O2577=Справочники!$F$6,Учет!$H2577,0)</f>
        <v>0</v>
      </c>
      <c r="V2577" s="43">
        <f>V2576+Учет!Q2577-Q2577</f>
        <v>-488978.92000000004</v>
      </c>
      <c r="W2577" s="43">
        <f>W2576+Учет!R2577-R2577</f>
        <v>336855</v>
      </c>
      <c r="X2577" s="43">
        <f>X2576+Учет!S2577-S2577</f>
        <v>500</v>
      </c>
      <c r="Y2577" s="43">
        <f>Y2576+Учет!T2577-T2577</f>
        <v>1150</v>
      </c>
      <c r="Z2577" s="43">
        <f>Z2576+Учет!U2577-U2577</f>
        <v>500000</v>
      </c>
      <c r="AA2577" s="45">
        <f>Учет!X2577</f>
        <v>500</v>
      </c>
    </row>
    <row r="2578" spans="1:27" ht="15" customHeight="1" x14ac:dyDescent="0.25">
      <c r="A2578" s="1"/>
      <c r="B2578" s="17"/>
      <c r="C2578" s="17"/>
      <c r="D2578" s="17"/>
      <c r="E2578" s="17"/>
      <c r="F2578" s="17"/>
      <c r="G2578" s="4">
        <f t="shared" si="117"/>
        <v>0</v>
      </c>
      <c r="H2578" s="17"/>
      <c r="I2578" s="4">
        <f t="shared" si="119"/>
        <v>349526.07999999996</v>
      </c>
      <c r="J2578" s="32" t="str">
        <f t="shared" si="118"/>
        <v/>
      </c>
      <c r="K2578" s="72"/>
      <c r="L2578" s="72"/>
      <c r="M2578" s="2"/>
      <c r="N2578" s="5"/>
      <c r="O2578" s="3"/>
      <c r="P2578" s="6"/>
      <c r="Q2578" s="48">
        <f>IF(Учет!$O2578=Справочники!$F$2,Учет!$H2578,0)</f>
        <v>0</v>
      </c>
      <c r="R2578" s="48">
        <f>IF(Учет!$O2578=Справочники!$F$3,Учет!$H2578,0)</f>
        <v>0</v>
      </c>
      <c r="S2578" s="48">
        <f>IF(Учет!$O2578=Справочники!$F$4,Учет!$H2578,0)</f>
        <v>0</v>
      </c>
      <c r="T2578" s="48">
        <f>IF(Учет!$O2578=Справочники!$F$5,Учет!$H2578,0)</f>
        <v>0</v>
      </c>
      <c r="U2578" s="48">
        <f>IF(Учет!$O2578=Справочники!$F$6,Учет!$H2578,0)</f>
        <v>0</v>
      </c>
      <c r="V2578" s="43">
        <f>V2577+Учет!Q2578-Q2578</f>
        <v>-488978.92000000004</v>
      </c>
      <c r="W2578" s="43">
        <f>W2577+Учет!R2578-R2578</f>
        <v>336855</v>
      </c>
      <c r="X2578" s="43">
        <f>X2577+Учет!S2578-S2578</f>
        <v>500</v>
      </c>
      <c r="Y2578" s="43">
        <f>Y2577+Учет!T2578-T2578</f>
        <v>1150</v>
      </c>
      <c r="Z2578" s="43">
        <f>Z2577+Учет!U2578-U2578</f>
        <v>500000</v>
      </c>
      <c r="AA2578" s="45">
        <f>Учет!X2578</f>
        <v>500</v>
      </c>
    </row>
    <row r="2579" spans="1:27" ht="15" customHeight="1" x14ac:dyDescent="0.25">
      <c r="A2579" s="1"/>
      <c r="B2579" s="17"/>
      <c r="C2579" s="17"/>
      <c r="D2579" s="17"/>
      <c r="E2579" s="17"/>
      <c r="F2579" s="17"/>
      <c r="G2579" s="4">
        <f t="shared" si="117"/>
        <v>0</v>
      </c>
      <c r="H2579" s="17"/>
      <c r="I2579" s="4">
        <f t="shared" si="119"/>
        <v>349526.07999999996</v>
      </c>
      <c r="J2579" s="32" t="str">
        <f t="shared" si="118"/>
        <v/>
      </c>
      <c r="K2579" s="72"/>
      <c r="L2579" s="72"/>
      <c r="M2579" s="2"/>
      <c r="N2579" s="5"/>
      <c r="O2579" s="3"/>
      <c r="P2579" s="6"/>
      <c r="Q2579" s="48">
        <f>IF(Учет!$O2579=Справочники!$F$2,Учет!$H2579,0)</f>
        <v>0</v>
      </c>
      <c r="R2579" s="48">
        <f>IF(Учет!$O2579=Справочники!$F$3,Учет!$H2579,0)</f>
        <v>0</v>
      </c>
      <c r="S2579" s="48">
        <f>IF(Учет!$O2579=Справочники!$F$4,Учет!$H2579,0)</f>
        <v>0</v>
      </c>
      <c r="T2579" s="48">
        <f>IF(Учет!$O2579=Справочники!$F$5,Учет!$H2579,0)</f>
        <v>0</v>
      </c>
      <c r="U2579" s="48">
        <f>IF(Учет!$O2579=Справочники!$F$6,Учет!$H2579,0)</f>
        <v>0</v>
      </c>
      <c r="V2579" s="43">
        <f>V2578+Учет!Q2579-Q2579</f>
        <v>-488978.92000000004</v>
      </c>
      <c r="W2579" s="43">
        <f>W2578+Учет!R2579-R2579</f>
        <v>336855</v>
      </c>
      <c r="X2579" s="43">
        <f>X2578+Учет!S2579-S2579</f>
        <v>500</v>
      </c>
      <c r="Y2579" s="43">
        <f>Y2578+Учет!T2579-T2579</f>
        <v>1150</v>
      </c>
      <c r="Z2579" s="43">
        <f>Z2578+Учет!U2579-U2579</f>
        <v>500000</v>
      </c>
      <c r="AA2579" s="45">
        <f>Учет!X2579</f>
        <v>500</v>
      </c>
    </row>
    <row r="2580" spans="1:27" ht="15" customHeight="1" x14ac:dyDescent="0.25">
      <c r="A2580" s="1"/>
      <c r="B2580" s="17"/>
      <c r="C2580" s="17"/>
      <c r="D2580" s="17"/>
      <c r="E2580" s="17"/>
      <c r="F2580" s="17"/>
      <c r="G2580" s="4">
        <f t="shared" si="117"/>
        <v>0</v>
      </c>
      <c r="H2580" s="17"/>
      <c r="I2580" s="4">
        <f t="shared" si="119"/>
        <v>349526.07999999996</v>
      </c>
      <c r="J2580" s="32" t="str">
        <f t="shared" si="118"/>
        <v/>
      </c>
      <c r="K2580" s="72"/>
      <c r="L2580" s="72"/>
      <c r="M2580" s="2"/>
      <c r="N2580" s="5"/>
      <c r="O2580" s="3"/>
      <c r="P2580" s="6"/>
      <c r="Q2580" s="48">
        <f>IF(Учет!$O2580=Справочники!$F$2,Учет!$H2580,0)</f>
        <v>0</v>
      </c>
      <c r="R2580" s="48">
        <f>IF(Учет!$O2580=Справочники!$F$3,Учет!$H2580,0)</f>
        <v>0</v>
      </c>
      <c r="S2580" s="48">
        <f>IF(Учет!$O2580=Справочники!$F$4,Учет!$H2580,0)</f>
        <v>0</v>
      </c>
      <c r="T2580" s="48">
        <f>IF(Учет!$O2580=Справочники!$F$5,Учет!$H2580,0)</f>
        <v>0</v>
      </c>
      <c r="U2580" s="48">
        <f>IF(Учет!$O2580=Справочники!$F$6,Учет!$H2580,0)</f>
        <v>0</v>
      </c>
      <c r="V2580" s="43">
        <f>V2579+Учет!Q2580-Q2580</f>
        <v>-488978.92000000004</v>
      </c>
      <c r="W2580" s="43">
        <f>W2579+Учет!R2580-R2580</f>
        <v>336855</v>
      </c>
      <c r="X2580" s="43">
        <f>X2579+Учет!S2580-S2580</f>
        <v>500</v>
      </c>
      <c r="Y2580" s="43">
        <f>Y2579+Учет!T2580-T2580</f>
        <v>1150</v>
      </c>
      <c r="Z2580" s="43">
        <f>Z2579+Учет!U2580-U2580</f>
        <v>500000</v>
      </c>
      <c r="AA2580" s="45">
        <f>Учет!X2580</f>
        <v>500</v>
      </c>
    </row>
    <row r="2581" spans="1:27" ht="15" customHeight="1" x14ac:dyDescent="0.25">
      <c r="A2581" s="1"/>
      <c r="B2581" s="17"/>
      <c r="C2581" s="17"/>
      <c r="D2581" s="17"/>
      <c r="E2581" s="17"/>
      <c r="F2581" s="17"/>
      <c r="G2581" s="4">
        <f t="shared" si="117"/>
        <v>0</v>
      </c>
      <c r="H2581" s="17"/>
      <c r="I2581" s="4">
        <f t="shared" si="119"/>
        <v>349526.07999999996</v>
      </c>
      <c r="J2581" s="32" t="str">
        <f t="shared" si="118"/>
        <v/>
      </c>
      <c r="K2581" s="72"/>
      <c r="L2581" s="72"/>
      <c r="M2581" s="2"/>
      <c r="N2581" s="5"/>
      <c r="O2581" s="3"/>
      <c r="P2581" s="6"/>
      <c r="Q2581" s="48">
        <f>IF(Учет!$O2581=Справочники!$F$2,Учет!$H2581,0)</f>
        <v>0</v>
      </c>
      <c r="R2581" s="48">
        <f>IF(Учет!$O2581=Справочники!$F$3,Учет!$H2581,0)</f>
        <v>0</v>
      </c>
      <c r="S2581" s="48">
        <f>IF(Учет!$O2581=Справочники!$F$4,Учет!$H2581,0)</f>
        <v>0</v>
      </c>
      <c r="T2581" s="48">
        <f>IF(Учет!$O2581=Справочники!$F$5,Учет!$H2581,0)</f>
        <v>0</v>
      </c>
      <c r="U2581" s="48">
        <f>IF(Учет!$O2581=Справочники!$F$6,Учет!$H2581,0)</f>
        <v>0</v>
      </c>
      <c r="V2581" s="43">
        <f>V2580+Учет!Q2581-Q2581</f>
        <v>-488978.92000000004</v>
      </c>
      <c r="W2581" s="43">
        <f>W2580+Учет!R2581-R2581</f>
        <v>336855</v>
      </c>
      <c r="X2581" s="43">
        <f>X2580+Учет!S2581-S2581</f>
        <v>500</v>
      </c>
      <c r="Y2581" s="43">
        <f>Y2580+Учет!T2581-T2581</f>
        <v>1150</v>
      </c>
      <c r="Z2581" s="43">
        <f>Z2580+Учет!U2581-U2581</f>
        <v>500000</v>
      </c>
      <c r="AA2581" s="45">
        <f>Учет!X2581</f>
        <v>500</v>
      </c>
    </row>
    <row r="2582" spans="1:27" ht="15" customHeight="1" x14ac:dyDescent="0.25">
      <c r="A2582" s="1"/>
      <c r="B2582" s="17"/>
      <c r="C2582" s="17"/>
      <c r="D2582" s="17"/>
      <c r="E2582" s="17"/>
      <c r="F2582" s="17"/>
      <c r="G2582" s="4">
        <f t="shared" si="117"/>
        <v>0</v>
      </c>
      <c r="H2582" s="17"/>
      <c r="I2582" s="4">
        <f t="shared" si="119"/>
        <v>349526.07999999996</v>
      </c>
      <c r="J2582" s="32" t="str">
        <f t="shared" si="118"/>
        <v/>
      </c>
      <c r="K2582" s="72"/>
      <c r="L2582" s="72"/>
      <c r="M2582" s="2"/>
      <c r="N2582" s="5"/>
      <c r="O2582" s="3"/>
      <c r="P2582" s="6"/>
      <c r="Q2582" s="48">
        <f>IF(Учет!$O2582=Справочники!$F$2,Учет!$H2582,0)</f>
        <v>0</v>
      </c>
      <c r="R2582" s="48">
        <f>IF(Учет!$O2582=Справочники!$F$3,Учет!$H2582,0)</f>
        <v>0</v>
      </c>
      <c r="S2582" s="48">
        <f>IF(Учет!$O2582=Справочники!$F$4,Учет!$H2582,0)</f>
        <v>0</v>
      </c>
      <c r="T2582" s="48">
        <f>IF(Учет!$O2582=Справочники!$F$5,Учет!$H2582,0)</f>
        <v>0</v>
      </c>
      <c r="U2582" s="48">
        <f>IF(Учет!$O2582=Справочники!$F$6,Учет!$H2582,0)</f>
        <v>0</v>
      </c>
      <c r="V2582" s="43">
        <f>V2581+Учет!Q2582-Q2582</f>
        <v>-488978.92000000004</v>
      </c>
      <c r="W2582" s="43">
        <f>W2581+Учет!R2582-R2582</f>
        <v>336855</v>
      </c>
      <c r="X2582" s="43">
        <f>X2581+Учет!S2582-S2582</f>
        <v>500</v>
      </c>
      <c r="Y2582" s="43">
        <f>Y2581+Учет!T2582-T2582</f>
        <v>1150</v>
      </c>
      <c r="Z2582" s="43">
        <f>Z2581+Учет!U2582-U2582</f>
        <v>500000</v>
      </c>
      <c r="AA2582" s="45">
        <f>Учет!X2582</f>
        <v>500</v>
      </c>
    </row>
    <row r="2583" spans="1:27" ht="15" customHeight="1" x14ac:dyDescent="0.25">
      <c r="A2583" s="1"/>
      <c r="B2583" s="17"/>
      <c r="C2583" s="17"/>
      <c r="D2583" s="17"/>
      <c r="E2583" s="17"/>
      <c r="F2583" s="17"/>
      <c r="G2583" s="4">
        <f t="shared" si="117"/>
        <v>0</v>
      </c>
      <c r="H2583" s="17"/>
      <c r="I2583" s="4">
        <f t="shared" si="119"/>
        <v>349526.07999999996</v>
      </c>
      <c r="J2583" s="32" t="str">
        <f t="shared" si="118"/>
        <v/>
      </c>
      <c r="K2583" s="72"/>
      <c r="L2583" s="72"/>
      <c r="M2583" s="2"/>
      <c r="N2583" s="5"/>
      <c r="O2583" s="3"/>
      <c r="P2583" s="6"/>
      <c r="Q2583" s="48">
        <f>IF(Учет!$O2583=Справочники!$F$2,Учет!$H2583,0)</f>
        <v>0</v>
      </c>
      <c r="R2583" s="48">
        <f>IF(Учет!$O2583=Справочники!$F$3,Учет!$H2583,0)</f>
        <v>0</v>
      </c>
      <c r="S2583" s="48">
        <f>IF(Учет!$O2583=Справочники!$F$4,Учет!$H2583,0)</f>
        <v>0</v>
      </c>
      <c r="T2583" s="48">
        <f>IF(Учет!$O2583=Справочники!$F$5,Учет!$H2583,0)</f>
        <v>0</v>
      </c>
      <c r="U2583" s="48">
        <f>IF(Учет!$O2583=Справочники!$F$6,Учет!$H2583,0)</f>
        <v>0</v>
      </c>
      <c r="V2583" s="43">
        <f>V2582+Учет!Q2583-Q2583</f>
        <v>-488978.92000000004</v>
      </c>
      <c r="W2583" s="43">
        <f>W2582+Учет!R2583-R2583</f>
        <v>336855</v>
      </c>
      <c r="X2583" s="43">
        <f>X2582+Учет!S2583-S2583</f>
        <v>500</v>
      </c>
      <c r="Y2583" s="43">
        <f>Y2582+Учет!T2583-T2583</f>
        <v>1150</v>
      </c>
      <c r="Z2583" s="43">
        <f>Z2582+Учет!U2583-U2583</f>
        <v>500000</v>
      </c>
      <c r="AA2583" s="45">
        <f>Учет!X2583</f>
        <v>500</v>
      </c>
    </row>
    <row r="2584" spans="1:27" ht="15" customHeight="1" x14ac:dyDescent="0.25">
      <c r="A2584" s="1"/>
      <c r="B2584" s="17"/>
      <c r="C2584" s="17"/>
      <c r="D2584" s="17"/>
      <c r="E2584" s="17"/>
      <c r="F2584" s="17"/>
      <c r="G2584" s="4">
        <f t="shared" si="117"/>
        <v>0</v>
      </c>
      <c r="H2584" s="17"/>
      <c r="I2584" s="4">
        <f t="shared" si="119"/>
        <v>349526.07999999996</v>
      </c>
      <c r="J2584" s="32" t="str">
        <f t="shared" si="118"/>
        <v/>
      </c>
      <c r="K2584" s="72"/>
      <c r="L2584" s="72"/>
      <c r="M2584" s="2"/>
      <c r="N2584" s="5"/>
      <c r="O2584" s="3"/>
      <c r="P2584" s="6"/>
      <c r="Q2584" s="48">
        <f>IF(Учет!$O2584=Справочники!$F$2,Учет!$H2584,0)</f>
        <v>0</v>
      </c>
      <c r="R2584" s="48">
        <f>IF(Учет!$O2584=Справочники!$F$3,Учет!$H2584,0)</f>
        <v>0</v>
      </c>
      <c r="S2584" s="48">
        <f>IF(Учет!$O2584=Справочники!$F$4,Учет!$H2584,0)</f>
        <v>0</v>
      </c>
      <c r="T2584" s="48">
        <f>IF(Учет!$O2584=Справочники!$F$5,Учет!$H2584,0)</f>
        <v>0</v>
      </c>
      <c r="U2584" s="48">
        <f>IF(Учет!$O2584=Справочники!$F$6,Учет!$H2584,0)</f>
        <v>0</v>
      </c>
      <c r="V2584" s="43">
        <f>V2583+Учет!Q2584-Q2584</f>
        <v>-488978.92000000004</v>
      </c>
      <c r="W2584" s="43">
        <f>W2583+Учет!R2584-R2584</f>
        <v>336855</v>
      </c>
      <c r="X2584" s="43">
        <f>X2583+Учет!S2584-S2584</f>
        <v>500</v>
      </c>
      <c r="Y2584" s="43">
        <f>Y2583+Учет!T2584-T2584</f>
        <v>1150</v>
      </c>
      <c r="Z2584" s="43">
        <f>Z2583+Учет!U2584-U2584</f>
        <v>500000</v>
      </c>
      <c r="AA2584" s="45">
        <f>Учет!X2584</f>
        <v>500</v>
      </c>
    </row>
    <row r="2585" spans="1:27" ht="15" customHeight="1" x14ac:dyDescent="0.25">
      <c r="A2585" s="1"/>
      <c r="B2585" s="17"/>
      <c r="C2585" s="17"/>
      <c r="D2585" s="17"/>
      <c r="E2585" s="17"/>
      <c r="F2585" s="17"/>
      <c r="G2585" s="4">
        <f t="shared" si="117"/>
        <v>0</v>
      </c>
      <c r="H2585" s="17"/>
      <c r="I2585" s="4">
        <f t="shared" si="119"/>
        <v>349526.07999999996</v>
      </c>
      <c r="J2585" s="32" t="str">
        <f t="shared" si="118"/>
        <v/>
      </c>
      <c r="K2585" s="72"/>
      <c r="L2585" s="72"/>
      <c r="M2585" s="2"/>
      <c r="N2585" s="5"/>
      <c r="O2585" s="3"/>
      <c r="P2585" s="6"/>
      <c r="Q2585" s="48">
        <f>IF(Учет!$O2585=Справочники!$F$2,Учет!$H2585,0)</f>
        <v>0</v>
      </c>
      <c r="R2585" s="48">
        <f>IF(Учет!$O2585=Справочники!$F$3,Учет!$H2585,0)</f>
        <v>0</v>
      </c>
      <c r="S2585" s="48">
        <f>IF(Учет!$O2585=Справочники!$F$4,Учет!$H2585,0)</f>
        <v>0</v>
      </c>
      <c r="T2585" s="48">
        <f>IF(Учет!$O2585=Справочники!$F$5,Учет!$H2585,0)</f>
        <v>0</v>
      </c>
      <c r="U2585" s="48">
        <f>IF(Учет!$O2585=Справочники!$F$6,Учет!$H2585,0)</f>
        <v>0</v>
      </c>
      <c r="V2585" s="43">
        <f>V2584+Учет!Q2585-Q2585</f>
        <v>-488978.92000000004</v>
      </c>
      <c r="W2585" s="43">
        <f>W2584+Учет!R2585-R2585</f>
        <v>336855</v>
      </c>
      <c r="X2585" s="43">
        <f>X2584+Учет!S2585-S2585</f>
        <v>500</v>
      </c>
      <c r="Y2585" s="43">
        <f>Y2584+Учет!T2585-T2585</f>
        <v>1150</v>
      </c>
      <c r="Z2585" s="43">
        <f>Z2584+Учет!U2585-U2585</f>
        <v>500000</v>
      </c>
      <c r="AA2585" s="45">
        <f>Учет!X2585</f>
        <v>500</v>
      </c>
    </row>
    <row r="2586" spans="1:27" ht="15" customHeight="1" x14ac:dyDescent="0.25">
      <c r="A2586" s="1"/>
      <c r="B2586" s="17"/>
      <c r="C2586" s="17"/>
      <c r="D2586" s="17"/>
      <c r="E2586" s="17"/>
      <c r="F2586" s="17"/>
      <c r="G2586" s="4">
        <f t="shared" si="117"/>
        <v>0</v>
      </c>
      <c r="H2586" s="17"/>
      <c r="I2586" s="4">
        <f t="shared" si="119"/>
        <v>349526.07999999996</v>
      </c>
      <c r="J2586" s="32" t="str">
        <f t="shared" si="118"/>
        <v/>
      </c>
      <c r="K2586" s="72"/>
      <c r="L2586" s="72"/>
      <c r="M2586" s="2"/>
      <c r="N2586" s="5"/>
      <c r="O2586" s="3"/>
      <c r="P2586" s="6"/>
      <c r="Q2586" s="48">
        <f>IF(Учет!$O2586=Справочники!$F$2,Учет!$H2586,0)</f>
        <v>0</v>
      </c>
      <c r="R2586" s="48">
        <f>IF(Учет!$O2586=Справочники!$F$3,Учет!$H2586,0)</f>
        <v>0</v>
      </c>
      <c r="S2586" s="48">
        <f>IF(Учет!$O2586=Справочники!$F$4,Учет!$H2586,0)</f>
        <v>0</v>
      </c>
      <c r="T2586" s="48">
        <f>IF(Учет!$O2586=Справочники!$F$5,Учет!$H2586,0)</f>
        <v>0</v>
      </c>
      <c r="U2586" s="48">
        <f>IF(Учет!$O2586=Справочники!$F$6,Учет!$H2586,0)</f>
        <v>0</v>
      </c>
      <c r="V2586" s="43">
        <f>V2585+Учет!Q2586-Q2586</f>
        <v>-488978.92000000004</v>
      </c>
      <c r="W2586" s="43">
        <f>W2585+Учет!R2586-R2586</f>
        <v>336855</v>
      </c>
      <c r="X2586" s="43">
        <f>X2585+Учет!S2586-S2586</f>
        <v>500</v>
      </c>
      <c r="Y2586" s="43">
        <f>Y2585+Учет!T2586-T2586</f>
        <v>1150</v>
      </c>
      <c r="Z2586" s="43">
        <f>Z2585+Учет!U2586-U2586</f>
        <v>500000</v>
      </c>
      <c r="AA2586" s="45">
        <f>Учет!X2586</f>
        <v>500</v>
      </c>
    </row>
    <row r="2587" spans="1:27" ht="15" customHeight="1" x14ac:dyDescent="0.25">
      <c r="A2587" s="1"/>
      <c r="B2587" s="17"/>
      <c r="C2587" s="17"/>
      <c r="D2587" s="17"/>
      <c r="E2587" s="17"/>
      <c r="F2587" s="17"/>
      <c r="G2587" s="4">
        <f t="shared" si="117"/>
        <v>0</v>
      </c>
      <c r="H2587" s="17"/>
      <c r="I2587" s="4">
        <f t="shared" si="119"/>
        <v>349526.07999999996</v>
      </c>
      <c r="J2587" s="32" t="str">
        <f t="shared" si="118"/>
        <v/>
      </c>
      <c r="K2587" s="72"/>
      <c r="L2587" s="72"/>
      <c r="M2587" s="2"/>
      <c r="N2587" s="5"/>
      <c r="O2587" s="3"/>
      <c r="P2587" s="6"/>
      <c r="Q2587" s="48">
        <f>IF(Учет!$O2587=Справочники!$F$2,Учет!$H2587,0)</f>
        <v>0</v>
      </c>
      <c r="R2587" s="48">
        <f>IF(Учет!$O2587=Справочники!$F$3,Учет!$H2587,0)</f>
        <v>0</v>
      </c>
      <c r="S2587" s="48">
        <f>IF(Учет!$O2587=Справочники!$F$4,Учет!$H2587,0)</f>
        <v>0</v>
      </c>
      <c r="T2587" s="48">
        <f>IF(Учет!$O2587=Справочники!$F$5,Учет!$H2587,0)</f>
        <v>0</v>
      </c>
      <c r="U2587" s="48">
        <f>IF(Учет!$O2587=Справочники!$F$6,Учет!$H2587,0)</f>
        <v>0</v>
      </c>
      <c r="V2587" s="43">
        <f>V2586+Учет!Q2587-Q2587</f>
        <v>-488978.92000000004</v>
      </c>
      <c r="W2587" s="43">
        <f>W2586+Учет!R2587-R2587</f>
        <v>336855</v>
      </c>
      <c r="X2587" s="43">
        <f>X2586+Учет!S2587-S2587</f>
        <v>500</v>
      </c>
      <c r="Y2587" s="43">
        <f>Y2586+Учет!T2587-T2587</f>
        <v>1150</v>
      </c>
      <c r="Z2587" s="43">
        <f>Z2586+Учет!U2587-U2587</f>
        <v>500000</v>
      </c>
      <c r="AA2587" s="45">
        <f>Учет!X2587</f>
        <v>500</v>
      </c>
    </row>
    <row r="2588" spans="1:27" ht="15" customHeight="1" x14ac:dyDescent="0.25">
      <c r="A2588" s="1"/>
      <c r="B2588" s="17"/>
      <c r="C2588" s="17"/>
      <c r="D2588" s="17"/>
      <c r="E2588" s="17"/>
      <c r="F2588" s="17"/>
      <c r="G2588" s="4">
        <f t="shared" si="117"/>
        <v>0</v>
      </c>
      <c r="H2588" s="17"/>
      <c r="I2588" s="4">
        <f t="shared" si="119"/>
        <v>349526.07999999996</v>
      </c>
      <c r="J2588" s="32" t="str">
        <f t="shared" si="118"/>
        <v/>
      </c>
      <c r="K2588" s="72"/>
      <c r="L2588" s="72"/>
      <c r="M2588" s="2"/>
      <c r="N2588" s="5"/>
      <c r="O2588" s="3"/>
      <c r="P2588" s="6"/>
      <c r="Q2588" s="48">
        <f>IF(Учет!$O2588=Справочники!$F$2,Учет!$H2588,0)</f>
        <v>0</v>
      </c>
      <c r="R2588" s="48">
        <f>IF(Учет!$O2588=Справочники!$F$3,Учет!$H2588,0)</f>
        <v>0</v>
      </c>
      <c r="S2588" s="48">
        <f>IF(Учет!$O2588=Справочники!$F$4,Учет!$H2588,0)</f>
        <v>0</v>
      </c>
      <c r="T2588" s="48">
        <f>IF(Учет!$O2588=Справочники!$F$5,Учет!$H2588,0)</f>
        <v>0</v>
      </c>
      <c r="U2588" s="48">
        <f>IF(Учет!$O2588=Справочники!$F$6,Учет!$H2588,0)</f>
        <v>0</v>
      </c>
      <c r="V2588" s="43">
        <f>V2587+Учет!Q2588-Q2588</f>
        <v>-488978.92000000004</v>
      </c>
      <c r="W2588" s="43">
        <f>W2587+Учет!R2588-R2588</f>
        <v>336855</v>
      </c>
      <c r="X2588" s="43">
        <f>X2587+Учет!S2588-S2588</f>
        <v>500</v>
      </c>
      <c r="Y2588" s="43">
        <f>Y2587+Учет!T2588-T2588</f>
        <v>1150</v>
      </c>
      <c r="Z2588" s="43">
        <f>Z2587+Учет!U2588-U2588</f>
        <v>500000</v>
      </c>
      <c r="AA2588" s="45">
        <f>Учет!X2588</f>
        <v>500</v>
      </c>
    </row>
    <row r="2589" spans="1:27" ht="15" customHeight="1" x14ac:dyDescent="0.25">
      <c r="A2589" s="1"/>
      <c r="B2589" s="17"/>
      <c r="C2589" s="17"/>
      <c r="D2589" s="17"/>
      <c r="E2589" s="17"/>
      <c r="F2589" s="17"/>
      <c r="G2589" s="4">
        <f t="shared" si="117"/>
        <v>0</v>
      </c>
      <c r="H2589" s="17"/>
      <c r="I2589" s="4">
        <f t="shared" si="119"/>
        <v>349526.07999999996</v>
      </c>
      <c r="J2589" s="32" t="str">
        <f t="shared" si="118"/>
        <v/>
      </c>
      <c r="K2589" s="72"/>
      <c r="L2589" s="72"/>
      <c r="M2589" s="2"/>
      <c r="N2589" s="5"/>
      <c r="O2589" s="3"/>
      <c r="P2589" s="6"/>
      <c r="Q2589" s="48">
        <f>IF(Учет!$O2589=Справочники!$F$2,Учет!$H2589,0)</f>
        <v>0</v>
      </c>
      <c r="R2589" s="48">
        <f>IF(Учет!$O2589=Справочники!$F$3,Учет!$H2589,0)</f>
        <v>0</v>
      </c>
      <c r="S2589" s="48">
        <f>IF(Учет!$O2589=Справочники!$F$4,Учет!$H2589,0)</f>
        <v>0</v>
      </c>
      <c r="T2589" s="48">
        <f>IF(Учет!$O2589=Справочники!$F$5,Учет!$H2589,0)</f>
        <v>0</v>
      </c>
      <c r="U2589" s="48">
        <f>IF(Учет!$O2589=Справочники!$F$6,Учет!$H2589,0)</f>
        <v>0</v>
      </c>
      <c r="V2589" s="43">
        <f>V2588+Учет!Q2589-Q2589</f>
        <v>-488978.92000000004</v>
      </c>
      <c r="W2589" s="43">
        <f>W2588+Учет!R2589-R2589</f>
        <v>336855</v>
      </c>
      <c r="X2589" s="43">
        <f>X2588+Учет!S2589-S2589</f>
        <v>500</v>
      </c>
      <c r="Y2589" s="43">
        <f>Y2588+Учет!T2589-T2589</f>
        <v>1150</v>
      </c>
      <c r="Z2589" s="43">
        <f>Z2588+Учет!U2589-U2589</f>
        <v>500000</v>
      </c>
      <c r="AA2589" s="45">
        <f>Учет!X2589</f>
        <v>500</v>
      </c>
    </row>
    <row r="2590" spans="1:27" ht="15" customHeight="1" x14ac:dyDescent="0.25">
      <c r="A2590" s="1"/>
      <c r="B2590" s="17"/>
      <c r="C2590" s="17"/>
      <c r="D2590" s="17"/>
      <c r="E2590" s="17"/>
      <c r="F2590" s="17"/>
      <c r="G2590" s="4">
        <f t="shared" si="117"/>
        <v>0</v>
      </c>
      <c r="H2590" s="17"/>
      <c r="I2590" s="4">
        <f t="shared" si="119"/>
        <v>349526.07999999996</v>
      </c>
      <c r="J2590" s="32" t="str">
        <f t="shared" si="118"/>
        <v/>
      </c>
      <c r="K2590" s="72"/>
      <c r="L2590" s="72"/>
      <c r="M2590" s="2"/>
      <c r="N2590" s="5"/>
      <c r="O2590" s="3"/>
      <c r="P2590" s="6"/>
      <c r="Q2590" s="48">
        <f>IF(Учет!$O2590=Справочники!$F$2,Учет!$H2590,0)</f>
        <v>0</v>
      </c>
      <c r="R2590" s="48">
        <f>IF(Учет!$O2590=Справочники!$F$3,Учет!$H2590,0)</f>
        <v>0</v>
      </c>
      <c r="S2590" s="48">
        <f>IF(Учет!$O2590=Справочники!$F$4,Учет!$H2590,0)</f>
        <v>0</v>
      </c>
      <c r="T2590" s="48">
        <f>IF(Учет!$O2590=Справочники!$F$5,Учет!$H2590,0)</f>
        <v>0</v>
      </c>
      <c r="U2590" s="48">
        <f>IF(Учет!$O2590=Справочники!$F$6,Учет!$H2590,0)</f>
        <v>0</v>
      </c>
      <c r="V2590" s="43">
        <f>V2589+Учет!Q2590-Q2590</f>
        <v>-488978.92000000004</v>
      </c>
      <c r="W2590" s="43">
        <f>W2589+Учет!R2590-R2590</f>
        <v>336855</v>
      </c>
      <c r="X2590" s="43">
        <f>X2589+Учет!S2590-S2590</f>
        <v>500</v>
      </c>
      <c r="Y2590" s="43">
        <f>Y2589+Учет!T2590-T2590</f>
        <v>1150</v>
      </c>
      <c r="Z2590" s="43">
        <f>Z2589+Учет!U2590-U2590</f>
        <v>500000</v>
      </c>
      <c r="AA2590" s="45">
        <f>Учет!X2590</f>
        <v>500</v>
      </c>
    </row>
    <row r="2591" spans="1:27" ht="15" customHeight="1" x14ac:dyDescent="0.25">
      <c r="A2591" s="1"/>
      <c r="B2591" s="17"/>
      <c r="C2591" s="17"/>
      <c r="D2591" s="17"/>
      <c r="E2591" s="17"/>
      <c r="F2591" s="17"/>
      <c r="G2591" s="4">
        <f t="shared" si="117"/>
        <v>0</v>
      </c>
      <c r="H2591" s="17"/>
      <c r="I2591" s="4">
        <f t="shared" si="119"/>
        <v>349526.07999999996</v>
      </c>
      <c r="J2591" s="32" t="str">
        <f t="shared" si="118"/>
        <v/>
      </c>
      <c r="K2591" s="72"/>
      <c r="L2591" s="72"/>
      <c r="M2591" s="2"/>
      <c r="N2591" s="5"/>
      <c r="O2591" s="3"/>
      <c r="P2591" s="6"/>
      <c r="Q2591" s="48">
        <f>IF(Учет!$O2591=Справочники!$F$2,Учет!$H2591,0)</f>
        <v>0</v>
      </c>
      <c r="R2591" s="48">
        <f>IF(Учет!$O2591=Справочники!$F$3,Учет!$H2591,0)</f>
        <v>0</v>
      </c>
      <c r="S2591" s="48">
        <f>IF(Учет!$O2591=Справочники!$F$4,Учет!$H2591,0)</f>
        <v>0</v>
      </c>
      <c r="T2591" s="48">
        <f>IF(Учет!$O2591=Справочники!$F$5,Учет!$H2591,0)</f>
        <v>0</v>
      </c>
      <c r="U2591" s="48">
        <f>IF(Учет!$O2591=Справочники!$F$6,Учет!$H2591,0)</f>
        <v>0</v>
      </c>
      <c r="V2591" s="43">
        <f>V2590+Учет!Q2591-Q2591</f>
        <v>-488978.92000000004</v>
      </c>
      <c r="W2591" s="43">
        <f>W2590+Учет!R2591-R2591</f>
        <v>336855</v>
      </c>
      <c r="X2591" s="43">
        <f>X2590+Учет!S2591-S2591</f>
        <v>500</v>
      </c>
      <c r="Y2591" s="43">
        <f>Y2590+Учет!T2591-T2591</f>
        <v>1150</v>
      </c>
      <c r="Z2591" s="43">
        <f>Z2590+Учет!U2591-U2591</f>
        <v>500000</v>
      </c>
      <c r="AA2591" s="45">
        <f>Учет!X2591</f>
        <v>500</v>
      </c>
    </row>
    <row r="2592" spans="1:27" ht="15" customHeight="1" x14ac:dyDescent="0.25">
      <c r="A2592" s="1"/>
      <c r="B2592" s="17"/>
      <c r="C2592" s="17"/>
      <c r="D2592" s="17"/>
      <c r="E2592" s="17"/>
      <c r="F2592" s="17"/>
      <c r="G2592" s="4">
        <f t="shared" si="117"/>
        <v>0</v>
      </c>
      <c r="H2592" s="17"/>
      <c r="I2592" s="4">
        <f t="shared" si="119"/>
        <v>349526.07999999996</v>
      </c>
      <c r="J2592" s="32" t="str">
        <f t="shared" si="118"/>
        <v/>
      </c>
      <c r="K2592" s="72"/>
      <c r="L2592" s="72"/>
      <c r="M2592" s="2"/>
      <c r="N2592" s="5"/>
      <c r="O2592" s="3"/>
      <c r="P2592" s="6"/>
      <c r="Q2592" s="48">
        <f>IF(Учет!$O2592=Справочники!$F$2,Учет!$H2592,0)</f>
        <v>0</v>
      </c>
      <c r="R2592" s="48">
        <f>IF(Учет!$O2592=Справочники!$F$3,Учет!$H2592,0)</f>
        <v>0</v>
      </c>
      <c r="S2592" s="48">
        <f>IF(Учет!$O2592=Справочники!$F$4,Учет!$H2592,0)</f>
        <v>0</v>
      </c>
      <c r="T2592" s="48">
        <f>IF(Учет!$O2592=Справочники!$F$5,Учет!$H2592,0)</f>
        <v>0</v>
      </c>
      <c r="U2592" s="48">
        <f>IF(Учет!$O2592=Справочники!$F$6,Учет!$H2592,0)</f>
        <v>0</v>
      </c>
      <c r="V2592" s="43">
        <f>V2591+Учет!Q2592-Q2592</f>
        <v>-488978.92000000004</v>
      </c>
      <c r="W2592" s="43">
        <f>W2591+Учет!R2592-R2592</f>
        <v>336855</v>
      </c>
      <c r="X2592" s="43">
        <f>X2591+Учет!S2592-S2592</f>
        <v>500</v>
      </c>
      <c r="Y2592" s="43">
        <f>Y2591+Учет!T2592-T2592</f>
        <v>1150</v>
      </c>
      <c r="Z2592" s="43">
        <f>Z2591+Учет!U2592-U2592</f>
        <v>500000</v>
      </c>
      <c r="AA2592" s="45">
        <f>Учет!X2592</f>
        <v>500</v>
      </c>
    </row>
    <row r="2593" spans="1:27" ht="15" customHeight="1" x14ac:dyDescent="0.25">
      <c r="A2593" s="1"/>
      <c r="B2593" s="17"/>
      <c r="C2593" s="17"/>
      <c r="D2593" s="17"/>
      <c r="E2593" s="17"/>
      <c r="F2593" s="17"/>
      <c r="G2593" s="4">
        <f t="shared" si="117"/>
        <v>0</v>
      </c>
      <c r="H2593" s="17"/>
      <c r="I2593" s="4">
        <f t="shared" si="119"/>
        <v>349526.07999999996</v>
      </c>
      <c r="J2593" s="32" t="str">
        <f t="shared" si="118"/>
        <v/>
      </c>
      <c r="K2593" s="72"/>
      <c r="L2593" s="72"/>
      <c r="M2593" s="2"/>
      <c r="N2593" s="5"/>
      <c r="O2593" s="3"/>
      <c r="P2593" s="6"/>
      <c r="Q2593" s="48">
        <f>IF(Учет!$O2593=Справочники!$F$2,Учет!$H2593,0)</f>
        <v>0</v>
      </c>
      <c r="R2593" s="48">
        <f>IF(Учет!$O2593=Справочники!$F$3,Учет!$H2593,0)</f>
        <v>0</v>
      </c>
      <c r="S2593" s="48">
        <f>IF(Учет!$O2593=Справочники!$F$4,Учет!$H2593,0)</f>
        <v>0</v>
      </c>
      <c r="T2593" s="48">
        <f>IF(Учет!$O2593=Справочники!$F$5,Учет!$H2593,0)</f>
        <v>0</v>
      </c>
      <c r="U2593" s="48">
        <f>IF(Учет!$O2593=Справочники!$F$6,Учет!$H2593,0)</f>
        <v>0</v>
      </c>
      <c r="V2593" s="43">
        <f>V2592+Учет!Q2593-Q2593</f>
        <v>-488978.92000000004</v>
      </c>
      <c r="W2593" s="43">
        <f>W2592+Учет!R2593-R2593</f>
        <v>336855</v>
      </c>
      <c r="X2593" s="43">
        <f>X2592+Учет!S2593-S2593</f>
        <v>500</v>
      </c>
      <c r="Y2593" s="43">
        <f>Y2592+Учет!T2593-T2593</f>
        <v>1150</v>
      </c>
      <c r="Z2593" s="43">
        <f>Z2592+Учет!U2593-U2593</f>
        <v>500000</v>
      </c>
      <c r="AA2593" s="45">
        <f>Учет!X2593</f>
        <v>500</v>
      </c>
    </row>
    <row r="2594" spans="1:27" ht="15" customHeight="1" x14ac:dyDescent="0.25">
      <c r="A2594" s="1"/>
      <c r="B2594" s="17"/>
      <c r="C2594" s="17"/>
      <c r="D2594" s="17"/>
      <c r="E2594" s="17"/>
      <c r="F2594" s="17"/>
      <c r="G2594" s="4">
        <f t="shared" si="117"/>
        <v>0</v>
      </c>
      <c r="H2594" s="17"/>
      <c r="I2594" s="4">
        <f t="shared" si="119"/>
        <v>349526.07999999996</v>
      </c>
      <c r="J2594" s="32" t="str">
        <f t="shared" si="118"/>
        <v/>
      </c>
      <c r="K2594" s="72"/>
      <c r="L2594" s="72"/>
      <c r="M2594" s="2"/>
      <c r="N2594" s="5"/>
      <c r="O2594" s="3"/>
      <c r="P2594" s="6"/>
      <c r="Q2594" s="48">
        <f>IF(Учет!$O2594=Справочники!$F$2,Учет!$H2594,0)</f>
        <v>0</v>
      </c>
      <c r="R2594" s="48">
        <f>IF(Учет!$O2594=Справочники!$F$3,Учет!$H2594,0)</f>
        <v>0</v>
      </c>
      <c r="S2594" s="48">
        <f>IF(Учет!$O2594=Справочники!$F$4,Учет!$H2594,0)</f>
        <v>0</v>
      </c>
      <c r="T2594" s="48">
        <f>IF(Учет!$O2594=Справочники!$F$5,Учет!$H2594,0)</f>
        <v>0</v>
      </c>
      <c r="U2594" s="48">
        <f>IF(Учет!$O2594=Справочники!$F$6,Учет!$H2594,0)</f>
        <v>0</v>
      </c>
      <c r="V2594" s="43">
        <f>V2593+Учет!Q2594-Q2594</f>
        <v>-488978.92000000004</v>
      </c>
      <c r="W2594" s="43">
        <f>W2593+Учет!R2594-R2594</f>
        <v>336855</v>
      </c>
      <c r="X2594" s="43">
        <f>X2593+Учет!S2594-S2594</f>
        <v>500</v>
      </c>
      <c r="Y2594" s="43">
        <f>Y2593+Учет!T2594-T2594</f>
        <v>1150</v>
      </c>
      <c r="Z2594" s="43">
        <f>Z2593+Учет!U2594-U2594</f>
        <v>500000</v>
      </c>
      <c r="AA2594" s="45">
        <f>Учет!X2594</f>
        <v>500</v>
      </c>
    </row>
    <row r="2595" spans="1:27" ht="15" customHeight="1" x14ac:dyDescent="0.25">
      <c r="A2595" s="1"/>
      <c r="B2595" s="17"/>
      <c r="C2595" s="17"/>
      <c r="D2595" s="17"/>
      <c r="E2595" s="17"/>
      <c r="F2595" s="17"/>
      <c r="G2595" s="4">
        <f t="shared" si="117"/>
        <v>0</v>
      </c>
      <c r="H2595" s="17"/>
      <c r="I2595" s="4">
        <f t="shared" si="119"/>
        <v>349526.07999999996</v>
      </c>
      <c r="J2595" s="32" t="str">
        <f t="shared" si="118"/>
        <v/>
      </c>
      <c r="K2595" s="72"/>
      <c r="L2595" s="72"/>
      <c r="M2595" s="2"/>
      <c r="N2595" s="5"/>
      <c r="O2595" s="3"/>
      <c r="P2595" s="6"/>
      <c r="Q2595" s="48">
        <f>IF(Учет!$O2595=Справочники!$F$2,Учет!$H2595,0)</f>
        <v>0</v>
      </c>
      <c r="R2595" s="48">
        <f>IF(Учет!$O2595=Справочники!$F$3,Учет!$H2595,0)</f>
        <v>0</v>
      </c>
      <c r="S2595" s="48">
        <f>IF(Учет!$O2595=Справочники!$F$4,Учет!$H2595,0)</f>
        <v>0</v>
      </c>
      <c r="T2595" s="48">
        <f>IF(Учет!$O2595=Справочники!$F$5,Учет!$H2595,0)</f>
        <v>0</v>
      </c>
      <c r="U2595" s="48">
        <f>IF(Учет!$O2595=Справочники!$F$6,Учет!$H2595,0)</f>
        <v>0</v>
      </c>
      <c r="V2595" s="43">
        <f>V2594+Учет!Q2595-Q2595</f>
        <v>-488978.92000000004</v>
      </c>
      <c r="W2595" s="43">
        <f>W2594+Учет!R2595-R2595</f>
        <v>336855</v>
      </c>
      <c r="X2595" s="43">
        <f>X2594+Учет!S2595-S2595</f>
        <v>500</v>
      </c>
      <c r="Y2595" s="43">
        <f>Y2594+Учет!T2595-T2595</f>
        <v>1150</v>
      </c>
      <c r="Z2595" s="43">
        <f>Z2594+Учет!U2595-U2595</f>
        <v>500000</v>
      </c>
      <c r="AA2595" s="45">
        <f>Учет!X2595</f>
        <v>500</v>
      </c>
    </row>
    <row r="2596" spans="1:27" ht="15" customHeight="1" x14ac:dyDescent="0.25">
      <c r="A2596" s="1"/>
      <c r="B2596" s="17"/>
      <c r="C2596" s="17"/>
      <c r="D2596" s="17"/>
      <c r="E2596" s="17"/>
      <c r="F2596" s="17"/>
      <c r="G2596" s="4">
        <f t="shared" si="117"/>
        <v>0</v>
      </c>
      <c r="H2596" s="17"/>
      <c r="I2596" s="4">
        <f t="shared" si="119"/>
        <v>349526.07999999996</v>
      </c>
      <c r="J2596" s="32" t="str">
        <f t="shared" si="118"/>
        <v/>
      </c>
      <c r="K2596" s="72"/>
      <c r="L2596" s="72"/>
      <c r="M2596" s="2"/>
      <c r="N2596" s="5"/>
      <c r="O2596" s="3"/>
      <c r="P2596" s="6"/>
      <c r="Q2596" s="48">
        <f>IF(Учет!$O2596=Справочники!$F$2,Учет!$H2596,0)</f>
        <v>0</v>
      </c>
      <c r="R2596" s="48">
        <f>IF(Учет!$O2596=Справочники!$F$3,Учет!$H2596,0)</f>
        <v>0</v>
      </c>
      <c r="S2596" s="48">
        <f>IF(Учет!$O2596=Справочники!$F$4,Учет!$H2596,0)</f>
        <v>0</v>
      </c>
      <c r="T2596" s="48">
        <f>IF(Учет!$O2596=Справочники!$F$5,Учет!$H2596,0)</f>
        <v>0</v>
      </c>
      <c r="U2596" s="48">
        <f>IF(Учет!$O2596=Справочники!$F$6,Учет!$H2596,0)</f>
        <v>0</v>
      </c>
      <c r="V2596" s="43">
        <f>V2595+Учет!Q2596-Q2596</f>
        <v>-488978.92000000004</v>
      </c>
      <c r="W2596" s="43">
        <f>W2595+Учет!R2596-R2596</f>
        <v>336855</v>
      </c>
      <c r="X2596" s="43">
        <f>X2595+Учет!S2596-S2596</f>
        <v>500</v>
      </c>
      <c r="Y2596" s="43">
        <f>Y2595+Учет!T2596-T2596</f>
        <v>1150</v>
      </c>
      <c r="Z2596" s="43">
        <f>Z2595+Учет!U2596-U2596</f>
        <v>500000</v>
      </c>
      <c r="AA2596" s="45">
        <f>Учет!X2596</f>
        <v>500</v>
      </c>
    </row>
    <row r="2597" spans="1:27" ht="15" customHeight="1" x14ac:dyDescent="0.25">
      <c r="A2597" s="1"/>
      <c r="B2597" s="17"/>
      <c r="C2597" s="17"/>
      <c r="D2597" s="17"/>
      <c r="E2597" s="17"/>
      <c r="F2597" s="17"/>
      <c r="G2597" s="4">
        <f t="shared" si="117"/>
        <v>0</v>
      </c>
      <c r="H2597" s="17"/>
      <c r="I2597" s="4">
        <f t="shared" si="119"/>
        <v>349526.07999999996</v>
      </c>
      <c r="J2597" s="32" t="str">
        <f t="shared" si="118"/>
        <v/>
      </c>
      <c r="K2597" s="72"/>
      <c r="L2597" s="72"/>
      <c r="M2597" s="2"/>
      <c r="N2597" s="5"/>
      <c r="O2597" s="3"/>
      <c r="P2597" s="6"/>
      <c r="Q2597" s="48">
        <f>IF(Учет!$O2597=Справочники!$F$2,Учет!$H2597,0)</f>
        <v>0</v>
      </c>
      <c r="R2597" s="48">
        <f>IF(Учет!$O2597=Справочники!$F$3,Учет!$H2597,0)</f>
        <v>0</v>
      </c>
      <c r="S2597" s="48">
        <f>IF(Учет!$O2597=Справочники!$F$4,Учет!$H2597,0)</f>
        <v>0</v>
      </c>
      <c r="T2597" s="48">
        <f>IF(Учет!$O2597=Справочники!$F$5,Учет!$H2597,0)</f>
        <v>0</v>
      </c>
      <c r="U2597" s="48">
        <f>IF(Учет!$O2597=Справочники!$F$6,Учет!$H2597,0)</f>
        <v>0</v>
      </c>
      <c r="V2597" s="43">
        <f>V2596+Учет!Q2597-Q2597</f>
        <v>-488978.92000000004</v>
      </c>
      <c r="W2597" s="43">
        <f>W2596+Учет!R2597-R2597</f>
        <v>336855</v>
      </c>
      <c r="X2597" s="43">
        <f>X2596+Учет!S2597-S2597</f>
        <v>500</v>
      </c>
      <c r="Y2597" s="43">
        <f>Y2596+Учет!T2597-T2597</f>
        <v>1150</v>
      </c>
      <c r="Z2597" s="43">
        <f>Z2596+Учет!U2597-U2597</f>
        <v>500000</v>
      </c>
      <c r="AA2597" s="45">
        <f>Учет!X2597</f>
        <v>500</v>
      </c>
    </row>
    <row r="2598" spans="1:27" ht="15" customHeight="1" x14ac:dyDescent="0.25">
      <c r="A2598" s="1"/>
      <c r="B2598" s="17"/>
      <c r="C2598" s="17"/>
      <c r="D2598" s="17"/>
      <c r="E2598" s="17"/>
      <c r="F2598" s="17"/>
      <c r="G2598" s="4">
        <f t="shared" si="117"/>
        <v>0</v>
      </c>
      <c r="H2598" s="17"/>
      <c r="I2598" s="4">
        <f t="shared" si="119"/>
        <v>349526.07999999996</v>
      </c>
      <c r="J2598" s="32" t="str">
        <f t="shared" si="118"/>
        <v/>
      </c>
      <c r="K2598" s="72"/>
      <c r="L2598" s="72"/>
      <c r="M2598" s="2"/>
      <c r="N2598" s="5"/>
      <c r="O2598" s="3"/>
      <c r="P2598" s="6"/>
      <c r="Q2598" s="48">
        <f>IF(Учет!$O2598=Справочники!$F$2,Учет!$H2598,0)</f>
        <v>0</v>
      </c>
      <c r="R2598" s="48">
        <f>IF(Учет!$O2598=Справочники!$F$3,Учет!$H2598,0)</f>
        <v>0</v>
      </c>
      <c r="S2598" s="48">
        <f>IF(Учет!$O2598=Справочники!$F$4,Учет!$H2598,0)</f>
        <v>0</v>
      </c>
      <c r="T2598" s="48">
        <f>IF(Учет!$O2598=Справочники!$F$5,Учет!$H2598,0)</f>
        <v>0</v>
      </c>
      <c r="U2598" s="48">
        <f>IF(Учет!$O2598=Справочники!$F$6,Учет!$H2598,0)</f>
        <v>0</v>
      </c>
      <c r="V2598" s="43">
        <f>V2597+Учет!Q2598-Q2598</f>
        <v>-488978.92000000004</v>
      </c>
      <c r="W2598" s="43">
        <f>W2597+Учет!R2598-R2598</f>
        <v>336855</v>
      </c>
      <c r="X2598" s="43">
        <f>X2597+Учет!S2598-S2598</f>
        <v>500</v>
      </c>
      <c r="Y2598" s="43">
        <f>Y2597+Учет!T2598-T2598</f>
        <v>1150</v>
      </c>
      <c r="Z2598" s="43">
        <f>Z2597+Учет!U2598-U2598</f>
        <v>500000</v>
      </c>
      <c r="AA2598" s="45">
        <f>Учет!X2598</f>
        <v>500</v>
      </c>
    </row>
    <row r="2599" spans="1:27" ht="15" customHeight="1" x14ac:dyDescent="0.25">
      <c r="A2599" s="1"/>
      <c r="B2599" s="17"/>
      <c r="C2599" s="17"/>
      <c r="D2599" s="17"/>
      <c r="E2599" s="17"/>
      <c r="F2599" s="17"/>
      <c r="G2599" s="4">
        <f t="shared" si="117"/>
        <v>0</v>
      </c>
      <c r="H2599" s="17"/>
      <c r="I2599" s="4">
        <f t="shared" si="119"/>
        <v>349526.07999999996</v>
      </c>
      <c r="J2599" s="32" t="str">
        <f t="shared" si="118"/>
        <v/>
      </c>
      <c r="K2599" s="72"/>
      <c r="L2599" s="72"/>
      <c r="M2599" s="2"/>
      <c r="N2599" s="5"/>
      <c r="O2599" s="3"/>
      <c r="P2599" s="6"/>
      <c r="Q2599" s="48">
        <f>IF(Учет!$O2599=Справочники!$F$2,Учет!$H2599,0)</f>
        <v>0</v>
      </c>
      <c r="R2599" s="48">
        <f>IF(Учет!$O2599=Справочники!$F$3,Учет!$H2599,0)</f>
        <v>0</v>
      </c>
      <c r="S2599" s="48">
        <f>IF(Учет!$O2599=Справочники!$F$4,Учет!$H2599,0)</f>
        <v>0</v>
      </c>
      <c r="T2599" s="48">
        <f>IF(Учет!$O2599=Справочники!$F$5,Учет!$H2599,0)</f>
        <v>0</v>
      </c>
      <c r="U2599" s="48">
        <f>IF(Учет!$O2599=Справочники!$F$6,Учет!$H2599,0)</f>
        <v>0</v>
      </c>
      <c r="V2599" s="43">
        <f>V2598+Учет!Q2599-Q2599</f>
        <v>-488978.92000000004</v>
      </c>
      <c r="W2599" s="43">
        <f>W2598+Учет!R2599-R2599</f>
        <v>336855</v>
      </c>
      <c r="X2599" s="43">
        <f>X2598+Учет!S2599-S2599</f>
        <v>500</v>
      </c>
      <c r="Y2599" s="43">
        <f>Y2598+Учет!T2599-T2599</f>
        <v>1150</v>
      </c>
      <c r="Z2599" s="43">
        <f>Z2598+Учет!U2599-U2599</f>
        <v>500000</v>
      </c>
      <c r="AA2599" s="45">
        <f>Учет!X2599</f>
        <v>500</v>
      </c>
    </row>
    <row r="2600" spans="1:27" ht="15" customHeight="1" x14ac:dyDescent="0.25">
      <c r="A2600" s="1"/>
      <c r="B2600" s="17"/>
      <c r="C2600" s="17"/>
      <c r="D2600" s="17"/>
      <c r="E2600" s="17"/>
      <c r="F2600" s="17"/>
      <c r="G2600" s="4">
        <f t="shared" si="117"/>
        <v>0</v>
      </c>
      <c r="H2600" s="17"/>
      <c r="I2600" s="4">
        <f t="shared" si="119"/>
        <v>349526.07999999996</v>
      </c>
      <c r="J2600" s="32" t="str">
        <f t="shared" si="118"/>
        <v/>
      </c>
      <c r="K2600" s="72"/>
      <c r="L2600" s="72"/>
      <c r="M2600" s="2"/>
      <c r="N2600" s="5"/>
      <c r="O2600" s="3"/>
      <c r="P2600" s="6"/>
      <c r="Q2600" s="48">
        <f>IF(Учет!$O2600=Справочники!$F$2,Учет!$H2600,0)</f>
        <v>0</v>
      </c>
      <c r="R2600" s="48">
        <f>IF(Учет!$O2600=Справочники!$F$3,Учет!$H2600,0)</f>
        <v>0</v>
      </c>
      <c r="S2600" s="48">
        <f>IF(Учет!$O2600=Справочники!$F$4,Учет!$H2600,0)</f>
        <v>0</v>
      </c>
      <c r="T2600" s="48">
        <f>IF(Учет!$O2600=Справочники!$F$5,Учет!$H2600,0)</f>
        <v>0</v>
      </c>
      <c r="U2600" s="48">
        <f>IF(Учет!$O2600=Справочники!$F$6,Учет!$H2600,0)</f>
        <v>0</v>
      </c>
      <c r="V2600" s="43">
        <f>V2599+Учет!Q2600-Q2600</f>
        <v>-488978.92000000004</v>
      </c>
      <c r="W2600" s="43">
        <f>W2599+Учет!R2600-R2600</f>
        <v>336855</v>
      </c>
      <c r="X2600" s="43">
        <f>X2599+Учет!S2600-S2600</f>
        <v>500</v>
      </c>
      <c r="Y2600" s="43">
        <f>Y2599+Учет!T2600-T2600</f>
        <v>1150</v>
      </c>
      <c r="Z2600" s="43">
        <f>Z2599+Учет!U2600-U2600</f>
        <v>500000</v>
      </c>
      <c r="AA2600" s="45">
        <f>Учет!X2600</f>
        <v>500</v>
      </c>
    </row>
    <row r="2601" spans="1:27" ht="15" customHeight="1" x14ac:dyDescent="0.25">
      <c r="A2601" s="1"/>
      <c r="B2601" s="17"/>
      <c r="C2601" s="17"/>
      <c r="D2601" s="17"/>
      <c r="E2601" s="17"/>
      <c r="F2601" s="17"/>
      <c r="G2601" s="4">
        <f t="shared" si="117"/>
        <v>0</v>
      </c>
      <c r="H2601" s="17"/>
      <c r="I2601" s="4">
        <f t="shared" si="119"/>
        <v>349526.07999999996</v>
      </c>
      <c r="J2601" s="32" t="str">
        <f t="shared" si="118"/>
        <v/>
      </c>
      <c r="K2601" s="72"/>
      <c r="L2601" s="72"/>
      <c r="M2601" s="2"/>
      <c r="N2601" s="5"/>
      <c r="O2601" s="3"/>
      <c r="P2601" s="6"/>
      <c r="Q2601" s="48">
        <f>IF(Учет!$O2601=Справочники!$F$2,Учет!$H2601,0)</f>
        <v>0</v>
      </c>
      <c r="R2601" s="48">
        <f>IF(Учет!$O2601=Справочники!$F$3,Учет!$H2601,0)</f>
        <v>0</v>
      </c>
      <c r="S2601" s="48">
        <f>IF(Учет!$O2601=Справочники!$F$4,Учет!$H2601,0)</f>
        <v>0</v>
      </c>
      <c r="T2601" s="48">
        <f>IF(Учет!$O2601=Справочники!$F$5,Учет!$H2601,0)</f>
        <v>0</v>
      </c>
      <c r="U2601" s="48">
        <f>IF(Учет!$O2601=Справочники!$F$6,Учет!$H2601,0)</f>
        <v>0</v>
      </c>
      <c r="V2601" s="43">
        <f>V2600+Учет!Q2601-Q2601</f>
        <v>-488978.92000000004</v>
      </c>
      <c r="W2601" s="43">
        <f>W2600+Учет!R2601-R2601</f>
        <v>336855</v>
      </c>
      <c r="X2601" s="43">
        <f>X2600+Учет!S2601-S2601</f>
        <v>500</v>
      </c>
      <c r="Y2601" s="43">
        <f>Y2600+Учет!T2601-T2601</f>
        <v>1150</v>
      </c>
      <c r="Z2601" s="43">
        <f>Z2600+Учет!U2601-U2601</f>
        <v>500000</v>
      </c>
      <c r="AA2601" s="45">
        <f>Учет!X2601</f>
        <v>500</v>
      </c>
    </row>
    <row r="2602" spans="1:27" ht="15" customHeight="1" x14ac:dyDescent="0.25">
      <c r="A2602" s="1"/>
      <c r="B2602" s="17"/>
      <c r="C2602" s="17"/>
      <c r="D2602" s="17"/>
      <c r="E2602" s="17"/>
      <c r="F2602" s="17"/>
      <c r="G2602" s="4">
        <f t="shared" si="117"/>
        <v>0</v>
      </c>
      <c r="H2602" s="17"/>
      <c r="I2602" s="4">
        <f t="shared" si="119"/>
        <v>349526.07999999996</v>
      </c>
      <c r="J2602" s="32" t="str">
        <f t="shared" si="118"/>
        <v/>
      </c>
      <c r="K2602" s="72"/>
      <c r="L2602" s="72"/>
      <c r="M2602" s="2"/>
      <c r="N2602" s="5"/>
      <c r="O2602" s="3"/>
      <c r="P2602" s="6"/>
      <c r="Q2602" s="48">
        <f>IF(Учет!$O2602=Справочники!$F$2,Учет!$H2602,0)</f>
        <v>0</v>
      </c>
      <c r="R2602" s="48">
        <f>IF(Учет!$O2602=Справочники!$F$3,Учет!$H2602,0)</f>
        <v>0</v>
      </c>
      <c r="S2602" s="48">
        <f>IF(Учет!$O2602=Справочники!$F$4,Учет!$H2602,0)</f>
        <v>0</v>
      </c>
      <c r="T2602" s="48">
        <f>IF(Учет!$O2602=Справочники!$F$5,Учет!$H2602,0)</f>
        <v>0</v>
      </c>
      <c r="U2602" s="48">
        <f>IF(Учет!$O2602=Справочники!$F$6,Учет!$H2602,0)</f>
        <v>0</v>
      </c>
      <c r="V2602" s="43">
        <f>V2601+Учет!Q2602-Q2602</f>
        <v>-488978.92000000004</v>
      </c>
      <c r="W2602" s="43">
        <f>W2601+Учет!R2602-R2602</f>
        <v>336855</v>
      </c>
      <c r="X2602" s="43">
        <f>X2601+Учет!S2602-S2602</f>
        <v>500</v>
      </c>
      <c r="Y2602" s="43">
        <f>Y2601+Учет!T2602-T2602</f>
        <v>1150</v>
      </c>
      <c r="Z2602" s="43">
        <f>Z2601+Учет!U2602-U2602</f>
        <v>500000</v>
      </c>
      <c r="AA2602" s="45">
        <f>Учет!X2602</f>
        <v>500</v>
      </c>
    </row>
    <row r="2603" spans="1:27" ht="15" customHeight="1" x14ac:dyDescent="0.25">
      <c r="A2603" s="1"/>
      <c r="B2603" s="17"/>
      <c r="C2603" s="17"/>
      <c r="D2603" s="17"/>
      <c r="E2603" s="17"/>
      <c r="F2603" s="17"/>
      <c r="G2603" s="4">
        <f t="shared" si="117"/>
        <v>0</v>
      </c>
      <c r="H2603" s="17"/>
      <c r="I2603" s="4">
        <f t="shared" si="119"/>
        <v>349526.07999999996</v>
      </c>
      <c r="J2603" s="32" t="str">
        <f t="shared" si="118"/>
        <v/>
      </c>
      <c r="K2603" s="72"/>
      <c r="L2603" s="72"/>
      <c r="M2603" s="2"/>
      <c r="N2603" s="5"/>
      <c r="O2603" s="3"/>
      <c r="P2603" s="6"/>
      <c r="Q2603" s="48">
        <f>IF(Учет!$O2603=Справочники!$F$2,Учет!$H2603,0)</f>
        <v>0</v>
      </c>
      <c r="R2603" s="48">
        <f>IF(Учет!$O2603=Справочники!$F$3,Учет!$H2603,0)</f>
        <v>0</v>
      </c>
      <c r="S2603" s="48">
        <f>IF(Учет!$O2603=Справочники!$F$4,Учет!$H2603,0)</f>
        <v>0</v>
      </c>
      <c r="T2603" s="48">
        <f>IF(Учет!$O2603=Справочники!$F$5,Учет!$H2603,0)</f>
        <v>0</v>
      </c>
      <c r="U2603" s="48">
        <f>IF(Учет!$O2603=Справочники!$F$6,Учет!$H2603,0)</f>
        <v>0</v>
      </c>
      <c r="V2603" s="43">
        <f>V2602+Учет!Q2603-Q2603</f>
        <v>-488978.92000000004</v>
      </c>
      <c r="W2603" s="43">
        <f>W2602+Учет!R2603-R2603</f>
        <v>336855</v>
      </c>
      <c r="X2603" s="43">
        <f>X2602+Учет!S2603-S2603</f>
        <v>500</v>
      </c>
      <c r="Y2603" s="43">
        <f>Y2602+Учет!T2603-T2603</f>
        <v>1150</v>
      </c>
      <c r="Z2603" s="43">
        <f>Z2602+Учет!U2603-U2603</f>
        <v>500000</v>
      </c>
      <c r="AA2603" s="45">
        <f>Учет!X2603</f>
        <v>500</v>
      </c>
    </row>
    <row r="2604" spans="1:27" ht="15" customHeight="1" x14ac:dyDescent="0.25">
      <c r="A2604" s="1"/>
      <c r="B2604" s="17"/>
      <c r="C2604" s="17"/>
      <c r="D2604" s="17"/>
      <c r="E2604" s="17"/>
      <c r="F2604" s="17"/>
      <c r="G2604" s="4">
        <f t="shared" si="117"/>
        <v>0</v>
      </c>
      <c r="H2604" s="17"/>
      <c r="I2604" s="4">
        <f t="shared" si="119"/>
        <v>349526.07999999996</v>
      </c>
      <c r="J2604" s="32" t="str">
        <f t="shared" si="118"/>
        <v/>
      </c>
      <c r="K2604" s="72"/>
      <c r="L2604" s="72"/>
      <c r="M2604" s="2"/>
      <c r="N2604" s="5"/>
      <c r="O2604" s="3"/>
      <c r="P2604" s="6"/>
      <c r="Q2604" s="48">
        <f>IF(Учет!$O2604=Справочники!$F$2,Учет!$H2604,0)</f>
        <v>0</v>
      </c>
      <c r="R2604" s="48">
        <f>IF(Учет!$O2604=Справочники!$F$3,Учет!$H2604,0)</f>
        <v>0</v>
      </c>
      <c r="S2604" s="48">
        <f>IF(Учет!$O2604=Справочники!$F$4,Учет!$H2604,0)</f>
        <v>0</v>
      </c>
      <c r="T2604" s="48">
        <f>IF(Учет!$O2604=Справочники!$F$5,Учет!$H2604,0)</f>
        <v>0</v>
      </c>
      <c r="U2604" s="48">
        <f>IF(Учет!$O2604=Справочники!$F$6,Учет!$H2604,0)</f>
        <v>0</v>
      </c>
      <c r="V2604" s="43">
        <f>V2603+Учет!Q2604-Q2604</f>
        <v>-488978.92000000004</v>
      </c>
      <c r="W2604" s="43">
        <f>W2603+Учет!R2604-R2604</f>
        <v>336855</v>
      </c>
      <c r="X2604" s="43">
        <f>X2603+Учет!S2604-S2604</f>
        <v>500</v>
      </c>
      <c r="Y2604" s="43">
        <f>Y2603+Учет!T2604-T2604</f>
        <v>1150</v>
      </c>
      <c r="Z2604" s="43">
        <f>Z2603+Учет!U2604-U2604</f>
        <v>500000</v>
      </c>
      <c r="AA2604" s="45">
        <f>Учет!X2604</f>
        <v>500</v>
      </c>
    </row>
    <row r="2605" spans="1:27" ht="15" customHeight="1" x14ac:dyDescent="0.25">
      <c r="A2605" s="1"/>
      <c r="B2605" s="17"/>
      <c r="C2605" s="17"/>
      <c r="D2605" s="17"/>
      <c r="E2605" s="17"/>
      <c r="F2605" s="17"/>
      <c r="G2605" s="4">
        <f t="shared" si="117"/>
        <v>0</v>
      </c>
      <c r="H2605" s="17"/>
      <c r="I2605" s="4">
        <f t="shared" si="119"/>
        <v>349526.07999999996</v>
      </c>
      <c r="J2605" s="32" t="str">
        <f t="shared" si="118"/>
        <v/>
      </c>
      <c r="K2605" s="72"/>
      <c r="L2605" s="72"/>
      <c r="M2605" s="2"/>
      <c r="N2605" s="5"/>
      <c r="O2605" s="3"/>
      <c r="P2605" s="6"/>
      <c r="Q2605" s="48">
        <f>IF(Учет!$O2605=Справочники!$F$2,Учет!$H2605,0)</f>
        <v>0</v>
      </c>
      <c r="R2605" s="48">
        <f>IF(Учет!$O2605=Справочники!$F$3,Учет!$H2605,0)</f>
        <v>0</v>
      </c>
      <c r="S2605" s="48">
        <f>IF(Учет!$O2605=Справочники!$F$4,Учет!$H2605,0)</f>
        <v>0</v>
      </c>
      <c r="T2605" s="48">
        <f>IF(Учет!$O2605=Справочники!$F$5,Учет!$H2605,0)</f>
        <v>0</v>
      </c>
      <c r="U2605" s="48">
        <f>IF(Учет!$O2605=Справочники!$F$6,Учет!$H2605,0)</f>
        <v>0</v>
      </c>
      <c r="V2605" s="43">
        <f>V2604+Учет!Q2605-Q2605</f>
        <v>-488978.92000000004</v>
      </c>
      <c r="W2605" s="43">
        <f>W2604+Учет!R2605-R2605</f>
        <v>336855</v>
      </c>
      <c r="X2605" s="43">
        <f>X2604+Учет!S2605-S2605</f>
        <v>500</v>
      </c>
      <c r="Y2605" s="43">
        <f>Y2604+Учет!T2605-T2605</f>
        <v>1150</v>
      </c>
      <c r="Z2605" s="43">
        <f>Z2604+Учет!U2605-U2605</f>
        <v>500000</v>
      </c>
      <c r="AA2605" s="45">
        <f>Учет!X2605</f>
        <v>500</v>
      </c>
    </row>
    <row r="2606" spans="1:27" ht="15" customHeight="1" x14ac:dyDescent="0.25">
      <c r="A2606" s="1"/>
      <c r="B2606" s="17"/>
      <c r="C2606" s="17"/>
      <c r="D2606" s="17"/>
      <c r="E2606" s="17"/>
      <c r="F2606" s="17"/>
      <c r="G2606" s="4">
        <f t="shared" si="117"/>
        <v>0</v>
      </c>
      <c r="H2606" s="17"/>
      <c r="I2606" s="4">
        <f t="shared" si="119"/>
        <v>349526.07999999996</v>
      </c>
      <c r="J2606" s="32" t="str">
        <f t="shared" si="118"/>
        <v/>
      </c>
      <c r="K2606" s="72"/>
      <c r="L2606" s="72"/>
      <c r="M2606" s="2"/>
      <c r="N2606" s="5"/>
      <c r="O2606" s="3"/>
      <c r="P2606" s="6"/>
      <c r="Q2606" s="48">
        <f>IF(Учет!$O2606=Справочники!$F$2,Учет!$H2606,0)</f>
        <v>0</v>
      </c>
      <c r="R2606" s="48">
        <f>IF(Учет!$O2606=Справочники!$F$3,Учет!$H2606,0)</f>
        <v>0</v>
      </c>
      <c r="S2606" s="48">
        <f>IF(Учет!$O2606=Справочники!$F$4,Учет!$H2606,0)</f>
        <v>0</v>
      </c>
      <c r="T2606" s="48">
        <f>IF(Учет!$O2606=Справочники!$F$5,Учет!$H2606,0)</f>
        <v>0</v>
      </c>
      <c r="U2606" s="48">
        <f>IF(Учет!$O2606=Справочники!$F$6,Учет!$H2606,0)</f>
        <v>0</v>
      </c>
      <c r="V2606" s="43">
        <f>V2605+Учет!Q2606-Q2606</f>
        <v>-488978.92000000004</v>
      </c>
      <c r="W2606" s="43">
        <f>W2605+Учет!R2606-R2606</f>
        <v>336855</v>
      </c>
      <c r="X2606" s="43">
        <f>X2605+Учет!S2606-S2606</f>
        <v>500</v>
      </c>
      <c r="Y2606" s="43">
        <f>Y2605+Учет!T2606-T2606</f>
        <v>1150</v>
      </c>
      <c r="Z2606" s="43">
        <f>Z2605+Учет!U2606-U2606</f>
        <v>500000</v>
      </c>
      <c r="AA2606" s="45">
        <f>Учет!X2606</f>
        <v>500</v>
      </c>
    </row>
    <row r="2607" spans="1:27" ht="15" customHeight="1" x14ac:dyDescent="0.25">
      <c r="A2607" s="1"/>
      <c r="B2607" s="17"/>
      <c r="C2607" s="17"/>
      <c r="D2607" s="17"/>
      <c r="E2607" s="17"/>
      <c r="F2607" s="17"/>
      <c r="G2607" s="4">
        <f t="shared" si="117"/>
        <v>0</v>
      </c>
      <c r="H2607" s="17"/>
      <c r="I2607" s="4">
        <f t="shared" si="119"/>
        <v>349526.07999999996</v>
      </c>
      <c r="J2607" s="32" t="str">
        <f t="shared" si="118"/>
        <v/>
      </c>
      <c r="K2607" s="72"/>
      <c r="L2607" s="72"/>
      <c r="M2607" s="2"/>
      <c r="N2607" s="5"/>
      <c r="O2607" s="3"/>
      <c r="P2607" s="6"/>
      <c r="Q2607" s="48">
        <f>IF(Учет!$O2607=Справочники!$F$2,Учет!$H2607,0)</f>
        <v>0</v>
      </c>
      <c r="R2607" s="48">
        <f>IF(Учет!$O2607=Справочники!$F$3,Учет!$H2607,0)</f>
        <v>0</v>
      </c>
      <c r="S2607" s="48">
        <f>IF(Учет!$O2607=Справочники!$F$4,Учет!$H2607,0)</f>
        <v>0</v>
      </c>
      <c r="T2607" s="48">
        <f>IF(Учет!$O2607=Справочники!$F$5,Учет!$H2607,0)</f>
        <v>0</v>
      </c>
      <c r="U2607" s="48">
        <f>IF(Учет!$O2607=Справочники!$F$6,Учет!$H2607,0)</f>
        <v>0</v>
      </c>
      <c r="V2607" s="43">
        <f>V2606+Учет!Q2607-Q2607</f>
        <v>-488978.92000000004</v>
      </c>
      <c r="W2607" s="43">
        <f>W2606+Учет!R2607-R2607</f>
        <v>336855</v>
      </c>
      <c r="X2607" s="43">
        <f>X2606+Учет!S2607-S2607</f>
        <v>500</v>
      </c>
      <c r="Y2607" s="43">
        <f>Y2606+Учет!T2607-T2607</f>
        <v>1150</v>
      </c>
      <c r="Z2607" s="43">
        <f>Z2606+Учет!U2607-U2607</f>
        <v>500000</v>
      </c>
      <c r="AA2607" s="45">
        <f>Учет!X2607</f>
        <v>500</v>
      </c>
    </row>
    <row r="2608" spans="1:27" ht="15" customHeight="1" x14ac:dyDescent="0.25">
      <c r="A2608" s="1"/>
      <c r="B2608" s="17"/>
      <c r="C2608" s="17"/>
      <c r="D2608" s="17"/>
      <c r="E2608" s="17"/>
      <c r="F2608" s="17"/>
      <c r="G2608" s="4">
        <f t="shared" si="117"/>
        <v>0</v>
      </c>
      <c r="H2608" s="17"/>
      <c r="I2608" s="4">
        <f t="shared" si="119"/>
        <v>349526.07999999996</v>
      </c>
      <c r="J2608" s="32" t="str">
        <f t="shared" si="118"/>
        <v/>
      </c>
      <c r="K2608" s="72"/>
      <c r="L2608" s="72"/>
      <c r="M2608" s="2"/>
      <c r="N2608" s="5"/>
      <c r="O2608" s="3"/>
      <c r="P2608" s="6"/>
      <c r="Q2608" s="48">
        <f>IF(Учет!$O2608=Справочники!$F$2,Учет!$H2608,0)</f>
        <v>0</v>
      </c>
      <c r="R2608" s="48">
        <f>IF(Учет!$O2608=Справочники!$F$3,Учет!$H2608,0)</f>
        <v>0</v>
      </c>
      <c r="S2608" s="48">
        <f>IF(Учет!$O2608=Справочники!$F$4,Учет!$H2608,0)</f>
        <v>0</v>
      </c>
      <c r="T2608" s="48">
        <f>IF(Учет!$O2608=Справочники!$F$5,Учет!$H2608,0)</f>
        <v>0</v>
      </c>
      <c r="U2608" s="48">
        <f>IF(Учет!$O2608=Справочники!$F$6,Учет!$H2608,0)</f>
        <v>0</v>
      </c>
      <c r="V2608" s="43">
        <f>V2607+Учет!Q2608-Q2608</f>
        <v>-488978.92000000004</v>
      </c>
      <c r="W2608" s="43">
        <f>W2607+Учет!R2608-R2608</f>
        <v>336855</v>
      </c>
      <c r="X2608" s="43">
        <f>X2607+Учет!S2608-S2608</f>
        <v>500</v>
      </c>
      <c r="Y2608" s="43">
        <f>Y2607+Учет!T2608-T2608</f>
        <v>1150</v>
      </c>
      <c r="Z2608" s="43">
        <f>Z2607+Учет!U2608-U2608</f>
        <v>500000</v>
      </c>
      <c r="AA2608" s="45">
        <f>Учет!X2608</f>
        <v>500</v>
      </c>
    </row>
    <row r="2609" spans="1:27" ht="15" customHeight="1" x14ac:dyDescent="0.25">
      <c r="A2609" s="1"/>
      <c r="B2609" s="17"/>
      <c r="C2609" s="17"/>
      <c r="D2609" s="17"/>
      <c r="E2609" s="17"/>
      <c r="F2609" s="17"/>
      <c r="G2609" s="4">
        <f t="shared" si="117"/>
        <v>0</v>
      </c>
      <c r="H2609" s="17"/>
      <c r="I2609" s="4">
        <f t="shared" si="119"/>
        <v>349526.07999999996</v>
      </c>
      <c r="J2609" s="32" t="str">
        <f t="shared" si="118"/>
        <v/>
      </c>
      <c r="K2609" s="72"/>
      <c r="L2609" s="72"/>
      <c r="M2609" s="2"/>
      <c r="N2609" s="5"/>
      <c r="O2609" s="3"/>
      <c r="P2609" s="6"/>
      <c r="Q2609" s="48">
        <f>IF(Учет!$O2609=Справочники!$F$2,Учет!$H2609,0)</f>
        <v>0</v>
      </c>
      <c r="R2609" s="48">
        <f>IF(Учет!$O2609=Справочники!$F$3,Учет!$H2609,0)</f>
        <v>0</v>
      </c>
      <c r="S2609" s="48">
        <f>IF(Учет!$O2609=Справочники!$F$4,Учет!$H2609,0)</f>
        <v>0</v>
      </c>
      <c r="T2609" s="48">
        <f>IF(Учет!$O2609=Справочники!$F$5,Учет!$H2609,0)</f>
        <v>0</v>
      </c>
      <c r="U2609" s="48">
        <f>IF(Учет!$O2609=Справочники!$F$6,Учет!$H2609,0)</f>
        <v>0</v>
      </c>
      <c r="V2609" s="43">
        <f>V2608+Учет!Q2609-Q2609</f>
        <v>-488978.92000000004</v>
      </c>
      <c r="W2609" s="43">
        <f>W2608+Учет!R2609-R2609</f>
        <v>336855</v>
      </c>
      <c r="X2609" s="43">
        <f>X2608+Учет!S2609-S2609</f>
        <v>500</v>
      </c>
      <c r="Y2609" s="43">
        <f>Y2608+Учет!T2609-T2609</f>
        <v>1150</v>
      </c>
      <c r="Z2609" s="43">
        <f>Z2608+Учет!U2609-U2609</f>
        <v>500000</v>
      </c>
      <c r="AA2609" s="45">
        <f>Учет!X2609</f>
        <v>500</v>
      </c>
    </row>
    <row r="2610" spans="1:27" ht="15" customHeight="1" x14ac:dyDescent="0.25">
      <c r="A2610" s="1"/>
      <c r="B2610" s="17"/>
      <c r="C2610" s="17"/>
      <c r="D2610" s="17"/>
      <c r="E2610" s="17"/>
      <c r="F2610" s="17"/>
      <c r="G2610" s="4">
        <f t="shared" si="117"/>
        <v>0</v>
      </c>
      <c r="H2610" s="17"/>
      <c r="I2610" s="4">
        <f t="shared" si="119"/>
        <v>349526.07999999996</v>
      </c>
      <c r="J2610" s="32" t="str">
        <f t="shared" si="118"/>
        <v/>
      </c>
      <c r="K2610" s="72"/>
      <c r="L2610" s="72"/>
      <c r="M2610" s="2"/>
      <c r="N2610" s="5"/>
      <c r="O2610" s="3"/>
      <c r="P2610" s="6"/>
      <c r="Q2610" s="48">
        <f>IF(Учет!$O2610=Справочники!$F$2,Учет!$H2610,0)</f>
        <v>0</v>
      </c>
      <c r="R2610" s="48">
        <f>IF(Учет!$O2610=Справочники!$F$3,Учет!$H2610,0)</f>
        <v>0</v>
      </c>
      <c r="S2610" s="48">
        <f>IF(Учет!$O2610=Справочники!$F$4,Учет!$H2610,0)</f>
        <v>0</v>
      </c>
      <c r="T2610" s="48">
        <f>IF(Учет!$O2610=Справочники!$F$5,Учет!$H2610,0)</f>
        <v>0</v>
      </c>
      <c r="U2610" s="48">
        <f>IF(Учет!$O2610=Справочники!$F$6,Учет!$H2610,0)</f>
        <v>0</v>
      </c>
      <c r="V2610" s="43">
        <f>V2609+Учет!Q2610-Q2610</f>
        <v>-488978.92000000004</v>
      </c>
      <c r="W2610" s="43">
        <f>W2609+Учет!R2610-R2610</f>
        <v>336855</v>
      </c>
      <c r="X2610" s="43">
        <f>X2609+Учет!S2610-S2610</f>
        <v>500</v>
      </c>
      <c r="Y2610" s="43">
        <f>Y2609+Учет!T2610-T2610</f>
        <v>1150</v>
      </c>
      <c r="Z2610" s="43">
        <f>Z2609+Учет!U2610-U2610</f>
        <v>500000</v>
      </c>
      <c r="AA2610" s="45">
        <f>Учет!X2610</f>
        <v>500</v>
      </c>
    </row>
    <row r="2611" spans="1:27" ht="15" customHeight="1" x14ac:dyDescent="0.25">
      <c r="A2611" s="1"/>
      <c r="B2611" s="17"/>
      <c r="C2611" s="17"/>
      <c r="D2611" s="17"/>
      <c r="E2611" s="17"/>
      <c r="F2611" s="17"/>
      <c r="G2611" s="4">
        <f t="shared" si="117"/>
        <v>0</v>
      </c>
      <c r="H2611" s="17"/>
      <c r="I2611" s="4">
        <f t="shared" si="119"/>
        <v>349526.07999999996</v>
      </c>
      <c r="J2611" s="32" t="str">
        <f t="shared" si="118"/>
        <v/>
      </c>
      <c r="K2611" s="72"/>
      <c r="L2611" s="72"/>
      <c r="M2611" s="2"/>
      <c r="N2611" s="5"/>
      <c r="O2611" s="3"/>
      <c r="P2611" s="6"/>
      <c r="Q2611" s="48">
        <f>IF(Учет!$O2611=Справочники!$F$2,Учет!$H2611,0)</f>
        <v>0</v>
      </c>
      <c r="R2611" s="48">
        <f>IF(Учет!$O2611=Справочники!$F$3,Учет!$H2611,0)</f>
        <v>0</v>
      </c>
      <c r="S2611" s="48">
        <f>IF(Учет!$O2611=Справочники!$F$4,Учет!$H2611,0)</f>
        <v>0</v>
      </c>
      <c r="T2611" s="48">
        <f>IF(Учет!$O2611=Справочники!$F$5,Учет!$H2611,0)</f>
        <v>0</v>
      </c>
      <c r="U2611" s="48">
        <f>IF(Учет!$O2611=Справочники!$F$6,Учет!$H2611,0)</f>
        <v>0</v>
      </c>
      <c r="V2611" s="43">
        <f>V2610+Учет!Q2611-Q2611</f>
        <v>-488978.92000000004</v>
      </c>
      <c r="W2611" s="43">
        <f>W2610+Учет!R2611-R2611</f>
        <v>336855</v>
      </c>
      <c r="X2611" s="43">
        <f>X2610+Учет!S2611-S2611</f>
        <v>500</v>
      </c>
      <c r="Y2611" s="43">
        <f>Y2610+Учет!T2611-T2611</f>
        <v>1150</v>
      </c>
      <c r="Z2611" s="43">
        <f>Z2610+Учет!U2611-U2611</f>
        <v>500000</v>
      </c>
      <c r="AA2611" s="45">
        <f>Учет!X2611</f>
        <v>500</v>
      </c>
    </row>
    <row r="2612" spans="1:27" ht="15" customHeight="1" x14ac:dyDescent="0.25">
      <c r="A2612" s="1"/>
      <c r="B2612" s="17"/>
      <c r="C2612" s="17"/>
      <c r="D2612" s="17"/>
      <c r="E2612" s="17"/>
      <c r="F2612" s="17"/>
      <c r="G2612" s="4">
        <f t="shared" si="117"/>
        <v>0</v>
      </c>
      <c r="H2612" s="17"/>
      <c r="I2612" s="4">
        <f t="shared" si="119"/>
        <v>349526.07999999996</v>
      </c>
      <c r="J2612" s="32" t="str">
        <f t="shared" si="118"/>
        <v/>
      </c>
      <c r="K2612" s="72"/>
      <c r="L2612" s="72"/>
      <c r="M2612" s="2"/>
      <c r="N2612" s="5"/>
      <c r="O2612" s="3"/>
      <c r="P2612" s="6"/>
      <c r="Q2612" s="48">
        <f>IF(Учет!$O2612=Справочники!$F$2,Учет!$H2612,0)</f>
        <v>0</v>
      </c>
      <c r="R2612" s="48">
        <f>IF(Учет!$O2612=Справочники!$F$3,Учет!$H2612,0)</f>
        <v>0</v>
      </c>
      <c r="S2612" s="48">
        <f>IF(Учет!$O2612=Справочники!$F$4,Учет!$H2612,0)</f>
        <v>0</v>
      </c>
      <c r="T2612" s="48">
        <f>IF(Учет!$O2612=Справочники!$F$5,Учет!$H2612,0)</f>
        <v>0</v>
      </c>
      <c r="U2612" s="48">
        <f>IF(Учет!$O2612=Справочники!$F$6,Учет!$H2612,0)</f>
        <v>0</v>
      </c>
      <c r="V2612" s="43">
        <f>V2611+Учет!Q2612-Q2612</f>
        <v>-488978.92000000004</v>
      </c>
      <c r="W2612" s="43">
        <f>W2611+Учет!R2612-R2612</f>
        <v>336855</v>
      </c>
      <c r="X2612" s="43">
        <f>X2611+Учет!S2612-S2612</f>
        <v>500</v>
      </c>
      <c r="Y2612" s="43">
        <f>Y2611+Учет!T2612-T2612</f>
        <v>1150</v>
      </c>
      <c r="Z2612" s="43">
        <f>Z2611+Учет!U2612-U2612</f>
        <v>500000</v>
      </c>
      <c r="AA2612" s="45">
        <f>Учет!X2612</f>
        <v>500</v>
      </c>
    </row>
    <row r="2613" spans="1:27" ht="15" customHeight="1" x14ac:dyDescent="0.25">
      <c r="A2613" s="1"/>
      <c r="B2613" s="17"/>
      <c r="C2613" s="17"/>
      <c r="D2613" s="17"/>
      <c r="E2613" s="17"/>
      <c r="F2613" s="17"/>
      <c r="G2613" s="4">
        <f t="shared" si="117"/>
        <v>0</v>
      </c>
      <c r="H2613" s="17"/>
      <c r="I2613" s="4">
        <f t="shared" si="119"/>
        <v>349526.07999999996</v>
      </c>
      <c r="J2613" s="32" t="str">
        <f t="shared" si="118"/>
        <v/>
      </c>
      <c r="K2613" s="72"/>
      <c r="L2613" s="72"/>
      <c r="M2613" s="2"/>
      <c r="N2613" s="5"/>
      <c r="O2613" s="3"/>
      <c r="P2613" s="6"/>
      <c r="Q2613" s="48">
        <f>IF(Учет!$O2613=Справочники!$F$2,Учет!$H2613,0)</f>
        <v>0</v>
      </c>
      <c r="R2613" s="48">
        <f>IF(Учет!$O2613=Справочники!$F$3,Учет!$H2613,0)</f>
        <v>0</v>
      </c>
      <c r="S2613" s="48">
        <f>IF(Учет!$O2613=Справочники!$F$4,Учет!$H2613,0)</f>
        <v>0</v>
      </c>
      <c r="T2613" s="48">
        <f>IF(Учет!$O2613=Справочники!$F$5,Учет!$H2613,0)</f>
        <v>0</v>
      </c>
      <c r="U2613" s="48">
        <f>IF(Учет!$O2613=Справочники!$F$6,Учет!$H2613,0)</f>
        <v>0</v>
      </c>
      <c r="V2613" s="43">
        <f>V2612+Учет!Q2613-Q2613</f>
        <v>-488978.92000000004</v>
      </c>
      <c r="W2613" s="43">
        <f>W2612+Учет!R2613-R2613</f>
        <v>336855</v>
      </c>
      <c r="X2613" s="43">
        <f>X2612+Учет!S2613-S2613</f>
        <v>500</v>
      </c>
      <c r="Y2613" s="43">
        <f>Y2612+Учет!T2613-T2613</f>
        <v>1150</v>
      </c>
      <c r="Z2613" s="43">
        <f>Z2612+Учет!U2613-U2613</f>
        <v>500000</v>
      </c>
      <c r="AA2613" s="45">
        <f>Учет!X2613</f>
        <v>500</v>
      </c>
    </row>
    <row r="2614" spans="1:27" ht="15" customHeight="1" x14ac:dyDescent="0.25">
      <c r="A2614" s="1"/>
      <c r="B2614" s="17"/>
      <c r="C2614" s="17"/>
      <c r="D2614" s="17"/>
      <c r="E2614" s="17"/>
      <c r="F2614" s="17"/>
      <c r="G2614" s="4">
        <f t="shared" si="117"/>
        <v>0</v>
      </c>
      <c r="H2614" s="17"/>
      <c r="I2614" s="4">
        <f t="shared" si="119"/>
        <v>349526.07999999996</v>
      </c>
      <c r="J2614" s="32" t="str">
        <f t="shared" si="118"/>
        <v/>
      </c>
      <c r="K2614" s="72"/>
      <c r="L2614" s="72"/>
      <c r="M2614" s="2"/>
      <c r="N2614" s="5"/>
      <c r="O2614" s="3"/>
      <c r="P2614" s="6"/>
      <c r="Q2614" s="48">
        <f>IF(Учет!$O2614=Справочники!$F$2,Учет!$H2614,0)</f>
        <v>0</v>
      </c>
      <c r="R2614" s="48">
        <f>IF(Учет!$O2614=Справочники!$F$3,Учет!$H2614,0)</f>
        <v>0</v>
      </c>
      <c r="S2614" s="48">
        <f>IF(Учет!$O2614=Справочники!$F$4,Учет!$H2614,0)</f>
        <v>0</v>
      </c>
      <c r="T2614" s="48">
        <f>IF(Учет!$O2614=Справочники!$F$5,Учет!$H2614,0)</f>
        <v>0</v>
      </c>
      <c r="U2614" s="48">
        <f>IF(Учет!$O2614=Справочники!$F$6,Учет!$H2614,0)</f>
        <v>0</v>
      </c>
      <c r="V2614" s="43">
        <f>V2613+Учет!Q2614-Q2614</f>
        <v>-488978.92000000004</v>
      </c>
      <c r="W2614" s="43">
        <f>W2613+Учет!R2614-R2614</f>
        <v>336855</v>
      </c>
      <c r="X2614" s="43">
        <f>X2613+Учет!S2614-S2614</f>
        <v>500</v>
      </c>
      <c r="Y2614" s="43">
        <f>Y2613+Учет!T2614-T2614</f>
        <v>1150</v>
      </c>
      <c r="Z2614" s="43">
        <f>Z2613+Учет!U2614-U2614</f>
        <v>500000</v>
      </c>
      <c r="AA2614" s="45">
        <f>Учет!X2614</f>
        <v>500</v>
      </c>
    </row>
    <row r="2615" spans="1:27" ht="15" customHeight="1" x14ac:dyDescent="0.25">
      <c r="A2615" s="1"/>
      <c r="B2615" s="17"/>
      <c r="C2615" s="17"/>
      <c r="D2615" s="17"/>
      <c r="E2615" s="17"/>
      <c r="F2615" s="17"/>
      <c r="G2615" s="4">
        <f t="shared" si="117"/>
        <v>0</v>
      </c>
      <c r="H2615" s="17"/>
      <c r="I2615" s="4">
        <f t="shared" si="119"/>
        <v>349526.07999999996</v>
      </c>
      <c r="J2615" s="32" t="str">
        <f t="shared" si="118"/>
        <v/>
      </c>
      <c r="K2615" s="72"/>
      <c r="L2615" s="72"/>
      <c r="M2615" s="2"/>
      <c r="N2615" s="5"/>
      <c r="O2615" s="3"/>
      <c r="P2615" s="6"/>
      <c r="Q2615" s="48">
        <f>IF(Учет!$O2615=Справочники!$F$2,Учет!$H2615,0)</f>
        <v>0</v>
      </c>
      <c r="R2615" s="48">
        <f>IF(Учет!$O2615=Справочники!$F$3,Учет!$H2615,0)</f>
        <v>0</v>
      </c>
      <c r="S2615" s="48">
        <f>IF(Учет!$O2615=Справочники!$F$4,Учет!$H2615,0)</f>
        <v>0</v>
      </c>
      <c r="T2615" s="48">
        <f>IF(Учет!$O2615=Справочники!$F$5,Учет!$H2615,0)</f>
        <v>0</v>
      </c>
      <c r="U2615" s="48">
        <f>IF(Учет!$O2615=Справочники!$F$6,Учет!$H2615,0)</f>
        <v>0</v>
      </c>
      <c r="V2615" s="43">
        <f>V2614+Учет!Q2615-Q2615</f>
        <v>-488978.92000000004</v>
      </c>
      <c r="W2615" s="43">
        <f>W2614+Учет!R2615-R2615</f>
        <v>336855</v>
      </c>
      <c r="X2615" s="43">
        <f>X2614+Учет!S2615-S2615</f>
        <v>500</v>
      </c>
      <c r="Y2615" s="43">
        <f>Y2614+Учет!T2615-T2615</f>
        <v>1150</v>
      </c>
      <c r="Z2615" s="43">
        <f>Z2614+Учет!U2615-U2615</f>
        <v>500000</v>
      </c>
      <c r="AA2615" s="45">
        <f>Учет!X2615</f>
        <v>500</v>
      </c>
    </row>
    <row r="2616" spans="1:27" ht="15" customHeight="1" x14ac:dyDescent="0.25">
      <c r="A2616" s="1"/>
      <c r="B2616" s="17"/>
      <c r="C2616" s="17"/>
      <c r="D2616" s="17"/>
      <c r="E2616" s="17"/>
      <c r="F2616" s="17"/>
      <c r="G2616" s="4">
        <f t="shared" si="117"/>
        <v>0</v>
      </c>
      <c r="H2616" s="17"/>
      <c r="I2616" s="4">
        <f t="shared" si="119"/>
        <v>349526.07999999996</v>
      </c>
      <c r="J2616" s="32" t="str">
        <f t="shared" si="118"/>
        <v/>
      </c>
      <c r="K2616" s="72"/>
      <c r="L2616" s="72"/>
      <c r="M2616" s="2"/>
      <c r="N2616" s="5"/>
      <c r="O2616" s="3"/>
      <c r="P2616" s="6"/>
      <c r="Q2616" s="48">
        <f>IF(Учет!$O2616=Справочники!$F$2,Учет!$H2616,0)</f>
        <v>0</v>
      </c>
      <c r="R2616" s="48">
        <f>IF(Учет!$O2616=Справочники!$F$3,Учет!$H2616,0)</f>
        <v>0</v>
      </c>
      <c r="S2616" s="48">
        <f>IF(Учет!$O2616=Справочники!$F$4,Учет!$H2616,0)</f>
        <v>0</v>
      </c>
      <c r="T2616" s="48">
        <f>IF(Учет!$O2616=Справочники!$F$5,Учет!$H2616,0)</f>
        <v>0</v>
      </c>
      <c r="U2616" s="48">
        <f>IF(Учет!$O2616=Справочники!$F$6,Учет!$H2616,0)</f>
        <v>0</v>
      </c>
      <c r="V2616" s="43">
        <f>V2615+Учет!Q2616-Q2616</f>
        <v>-488978.92000000004</v>
      </c>
      <c r="W2616" s="43">
        <f>W2615+Учет!R2616-R2616</f>
        <v>336855</v>
      </c>
      <c r="X2616" s="43">
        <f>X2615+Учет!S2616-S2616</f>
        <v>500</v>
      </c>
      <c r="Y2616" s="43">
        <f>Y2615+Учет!T2616-T2616</f>
        <v>1150</v>
      </c>
      <c r="Z2616" s="43">
        <f>Z2615+Учет!U2616-U2616</f>
        <v>500000</v>
      </c>
      <c r="AA2616" s="45">
        <f>Учет!X2616</f>
        <v>500</v>
      </c>
    </row>
    <row r="2617" spans="1:27" ht="15" customHeight="1" x14ac:dyDescent="0.25">
      <c r="A2617" s="1"/>
      <c r="B2617" s="17"/>
      <c r="C2617" s="17"/>
      <c r="D2617" s="17"/>
      <c r="E2617" s="17"/>
      <c r="F2617" s="17"/>
      <c r="G2617" s="4">
        <f t="shared" si="117"/>
        <v>0</v>
      </c>
      <c r="H2617" s="17"/>
      <c r="I2617" s="4">
        <f t="shared" si="119"/>
        <v>349526.07999999996</v>
      </c>
      <c r="J2617" s="32" t="str">
        <f t="shared" si="118"/>
        <v/>
      </c>
      <c r="K2617" s="72"/>
      <c r="L2617" s="72"/>
      <c r="M2617" s="2"/>
      <c r="N2617" s="5"/>
      <c r="O2617" s="3"/>
      <c r="P2617" s="6"/>
      <c r="Q2617" s="48">
        <f>IF(Учет!$O2617=Справочники!$F$2,Учет!$H2617,0)</f>
        <v>0</v>
      </c>
      <c r="R2617" s="48">
        <f>IF(Учет!$O2617=Справочники!$F$3,Учет!$H2617,0)</f>
        <v>0</v>
      </c>
      <c r="S2617" s="48">
        <f>IF(Учет!$O2617=Справочники!$F$4,Учет!$H2617,0)</f>
        <v>0</v>
      </c>
      <c r="T2617" s="48">
        <f>IF(Учет!$O2617=Справочники!$F$5,Учет!$H2617,0)</f>
        <v>0</v>
      </c>
      <c r="U2617" s="48">
        <f>IF(Учет!$O2617=Справочники!$F$6,Учет!$H2617,0)</f>
        <v>0</v>
      </c>
      <c r="V2617" s="43">
        <f>V2616+Учет!Q2617-Q2617</f>
        <v>-488978.92000000004</v>
      </c>
      <c r="W2617" s="43">
        <f>W2616+Учет!R2617-R2617</f>
        <v>336855</v>
      </c>
      <c r="X2617" s="43">
        <f>X2616+Учет!S2617-S2617</f>
        <v>500</v>
      </c>
      <c r="Y2617" s="43">
        <f>Y2616+Учет!T2617-T2617</f>
        <v>1150</v>
      </c>
      <c r="Z2617" s="43">
        <f>Z2616+Учет!U2617-U2617</f>
        <v>500000</v>
      </c>
      <c r="AA2617" s="45">
        <f>Учет!X2617</f>
        <v>500</v>
      </c>
    </row>
    <row r="2618" spans="1:27" ht="15" customHeight="1" x14ac:dyDescent="0.25">
      <c r="A2618" s="1"/>
      <c r="B2618" s="17"/>
      <c r="C2618" s="17"/>
      <c r="D2618" s="17"/>
      <c r="E2618" s="17"/>
      <c r="F2618" s="17"/>
      <c r="G2618" s="4">
        <f t="shared" si="117"/>
        <v>0</v>
      </c>
      <c r="H2618" s="17"/>
      <c r="I2618" s="4">
        <f t="shared" si="119"/>
        <v>349526.07999999996</v>
      </c>
      <c r="J2618" s="32" t="str">
        <f t="shared" si="118"/>
        <v/>
      </c>
      <c r="K2618" s="72"/>
      <c r="L2618" s="72"/>
      <c r="M2618" s="2"/>
      <c r="N2618" s="5"/>
      <c r="O2618" s="3"/>
      <c r="P2618" s="6"/>
      <c r="Q2618" s="48">
        <f>IF(Учет!$O2618=Справочники!$F$2,Учет!$H2618,0)</f>
        <v>0</v>
      </c>
      <c r="R2618" s="48">
        <f>IF(Учет!$O2618=Справочники!$F$3,Учет!$H2618,0)</f>
        <v>0</v>
      </c>
      <c r="S2618" s="48">
        <f>IF(Учет!$O2618=Справочники!$F$4,Учет!$H2618,0)</f>
        <v>0</v>
      </c>
      <c r="T2618" s="48">
        <f>IF(Учет!$O2618=Справочники!$F$5,Учет!$H2618,0)</f>
        <v>0</v>
      </c>
      <c r="U2618" s="48">
        <f>IF(Учет!$O2618=Справочники!$F$6,Учет!$H2618,0)</f>
        <v>0</v>
      </c>
      <c r="V2618" s="43">
        <f>V2617+Учет!Q2618-Q2618</f>
        <v>-488978.92000000004</v>
      </c>
      <c r="W2618" s="43">
        <f>W2617+Учет!R2618-R2618</f>
        <v>336855</v>
      </c>
      <c r="X2618" s="43">
        <f>X2617+Учет!S2618-S2618</f>
        <v>500</v>
      </c>
      <c r="Y2618" s="43">
        <f>Y2617+Учет!T2618-T2618</f>
        <v>1150</v>
      </c>
      <c r="Z2618" s="43">
        <f>Z2617+Учет!U2618-U2618</f>
        <v>500000</v>
      </c>
      <c r="AA2618" s="45">
        <f>Учет!X2618</f>
        <v>500</v>
      </c>
    </row>
    <row r="2619" spans="1:27" ht="15" customHeight="1" x14ac:dyDescent="0.25">
      <c r="A2619" s="1"/>
      <c r="B2619" s="17"/>
      <c r="C2619" s="17"/>
      <c r="D2619" s="17"/>
      <c r="E2619" s="17"/>
      <c r="F2619" s="17"/>
      <c r="G2619" s="4">
        <f t="shared" si="117"/>
        <v>0</v>
      </c>
      <c r="H2619" s="17"/>
      <c r="I2619" s="4">
        <f t="shared" si="119"/>
        <v>349526.07999999996</v>
      </c>
      <c r="J2619" s="32" t="str">
        <f t="shared" si="118"/>
        <v/>
      </c>
      <c r="K2619" s="72"/>
      <c r="L2619" s="72"/>
      <c r="M2619" s="2"/>
      <c r="N2619" s="5"/>
      <c r="O2619" s="3"/>
      <c r="P2619" s="6"/>
      <c r="Q2619" s="48">
        <f>IF(Учет!$O2619=Справочники!$F$2,Учет!$H2619,0)</f>
        <v>0</v>
      </c>
      <c r="R2619" s="48">
        <f>IF(Учет!$O2619=Справочники!$F$3,Учет!$H2619,0)</f>
        <v>0</v>
      </c>
      <c r="S2619" s="48">
        <f>IF(Учет!$O2619=Справочники!$F$4,Учет!$H2619,0)</f>
        <v>0</v>
      </c>
      <c r="T2619" s="48">
        <f>IF(Учет!$O2619=Справочники!$F$5,Учет!$H2619,0)</f>
        <v>0</v>
      </c>
      <c r="U2619" s="48">
        <f>IF(Учет!$O2619=Справочники!$F$6,Учет!$H2619,0)</f>
        <v>0</v>
      </c>
      <c r="V2619" s="43">
        <f>V2618+Учет!Q2619-Q2619</f>
        <v>-488978.92000000004</v>
      </c>
      <c r="W2619" s="43">
        <f>W2618+Учет!R2619-R2619</f>
        <v>336855</v>
      </c>
      <c r="X2619" s="43">
        <f>X2618+Учет!S2619-S2619</f>
        <v>500</v>
      </c>
      <c r="Y2619" s="43">
        <f>Y2618+Учет!T2619-T2619</f>
        <v>1150</v>
      </c>
      <c r="Z2619" s="43">
        <f>Z2618+Учет!U2619-U2619</f>
        <v>500000</v>
      </c>
      <c r="AA2619" s="45">
        <f>Учет!X2619</f>
        <v>500</v>
      </c>
    </row>
    <row r="2620" spans="1:27" ht="15" customHeight="1" x14ac:dyDescent="0.25">
      <c r="A2620" s="1"/>
      <c r="B2620" s="17"/>
      <c r="C2620" s="17"/>
      <c r="D2620" s="17"/>
      <c r="E2620" s="17"/>
      <c r="F2620" s="17"/>
      <c r="G2620" s="4">
        <f t="shared" si="117"/>
        <v>0</v>
      </c>
      <c r="H2620" s="17"/>
      <c r="I2620" s="4">
        <f t="shared" si="119"/>
        <v>349526.07999999996</v>
      </c>
      <c r="J2620" s="32" t="str">
        <f t="shared" si="118"/>
        <v/>
      </c>
      <c r="K2620" s="72"/>
      <c r="L2620" s="72"/>
      <c r="M2620" s="2"/>
      <c r="N2620" s="5"/>
      <c r="O2620" s="3"/>
      <c r="P2620" s="6"/>
      <c r="Q2620" s="48">
        <f>IF(Учет!$O2620=Справочники!$F$2,Учет!$H2620,0)</f>
        <v>0</v>
      </c>
      <c r="R2620" s="48">
        <f>IF(Учет!$O2620=Справочники!$F$3,Учет!$H2620,0)</f>
        <v>0</v>
      </c>
      <c r="S2620" s="48">
        <f>IF(Учет!$O2620=Справочники!$F$4,Учет!$H2620,0)</f>
        <v>0</v>
      </c>
      <c r="T2620" s="48">
        <f>IF(Учет!$O2620=Справочники!$F$5,Учет!$H2620,0)</f>
        <v>0</v>
      </c>
      <c r="U2620" s="48">
        <f>IF(Учет!$O2620=Справочники!$F$6,Учет!$H2620,0)</f>
        <v>0</v>
      </c>
      <c r="V2620" s="43">
        <f>V2619+Учет!Q2620-Q2620</f>
        <v>-488978.92000000004</v>
      </c>
      <c r="W2620" s="43">
        <f>W2619+Учет!R2620-R2620</f>
        <v>336855</v>
      </c>
      <c r="X2620" s="43">
        <f>X2619+Учет!S2620-S2620</f>
        <v>500</v>
      </c>
      <c r="Y2620" s="43">
        <f>Y2619+Учет!T2620-T2620</f>
        <v>1150</v>
      </c>
      <c r="Z2620" s="43">
        <f>Z2619+Учет!U2620-U2620</f>
        <v>500000</v>
      </c>
      <c r="AA2620" s="45">
        <f>Учет!X2620</f>
        <v>500</v>
      </c>
    </row>
    <row r="2621" spans="1:27" ht="15" customHeight="1" x14ac:dyDescent="0.25">
      <c r="A2621" s="1"/>
      <c r="B2621" s="17"/>
      <c r="C2621" s="17"/>
      <c r="D2621" s="17"/>
      <c r="E2621" s="17"/>
      <c r="F2621" s="17"/>
      <c r="G2621" s="4">
        <f t="shared" si="117"/>
        <v>0</v>
      </c>
      <c r="H2621" s="17"/>
      <c r="I2621" s="4">
        <f t="shared" si="119"/>
        <v>349526.07999999996</v>
      </c>
      <c r="J2621" s="32" t="str">
        <f t="shared" si="118"/>
        <v/>
      </c>
      <c r="K2621" s="72"/>
      <c r="L2621" s="72"/>
      <c r="M2621" s="2"/>
      <c r="N2621" s="5"/>
      <c r="O2621" s="3"/>
      <c r="P2621" s="6"/>
      <c r="Q2621" s="48">
        <f>IF(Учет!$O2621=Справочники!$F$2,Учет!$H2621,0)</f>
        <v>0</v>
      </c>
      <c r="R2621" s="48">
        <f>IF(Учет!$O2621=Справочники!$F$3,Учет!$H2621,0)</f>
        <v>0</v>
      </c>
      <c r="S2621" s="48">
        <f>IF(Учет!$O2621=Справочники!$F$4,Учет!$H2621,0)</f>
        <v>0</v>
      </c>
      <c r="T2621" s="48">
        <f>IF(Учет!$O2621=Справочники!$F$5,Учет!$H2621,0)</f>
        <v>0</v>
      </c>
      <c r="U2621" s="48">
        <f>IF(Учет!$O2621=Справочники!$F$6,Учет!$H2621,0)</f>
        <v>0</v>
      </c>
      <c r="V2621" s="43">
        <f>V2620+Учет!Q2621-Q2621</f>
        <v>-488978.92000000004</v>
      </c>
      <c r="W2621" s="43">
        <f>W2620+Учет!R2621-R2621</f>
        <v>336855</v>
      </c>
      <c r="X2621" s="43">
        <f>X2620+Учет!S2621-S2621</f>
        <v>500</v>
      </c>
      <c r="Y2621" s="43">
        <f>Y2620+Учет!T2621-T2621</f>
        <v>1150</v>
      </c>
      <c r="Z2621" s="43">
        <f>Z2620+Учет!U2621-U2621</f>
        <v>500000</v>
      </c>
      <c r="AA2621" s="45">
        <f>Учет!X2621</f>
        <v>500</v>
      </c>
    </row>
    <row r="2622" spans="1:27" ht="15" customHeight="1" x14ac:dyDescent="0.25">
      <c r="A2622" s="1"/>
      <c r="B2622" s="17"/>
      <c r="C2622" s="17"/>
      <c r="D2622" s="17"/>
      <c r="E2622" s="17"/>
      <c r="F2622" s="17"/>
      <c r="G2622" s="4">
        <f t="shared" si="117"/>
        <v>0</v>
      </c>
      <c r="H2622" s="17"/>
      <c r="I2622" s="4">
        <f t="shared" si="119"/>
        <v>349526.07999999996</v>
      </c>
      <c r="J2622" s="32" t="str">
        <f t="shared" si="118"/>
        <v/>
      </c>
      <c r="K2622" s="72"/>
      <c r="L2622" s="72"/>
      <c r="M2622" s="2"/>
      <c r="N2622" s="5"/>
      <c r="O2622" s="3"/>
      <c r="P2622" s="6"/>
      <c r="Q2622" s="48">
        <f>IF(Учет!$O2622=Справочники!$F$2,Учет!$H2622,0)</f>
        <v>0</v>
      </c>
      <c r="R2622" s="48">
        <f>IF(Учет!$O2622=Справочники!$F$3,Учет!$H2622,0)</f>
        <v>0</v>
      </c>
      <c r="S2622" s="48">
        <f>IF(Учет!$O2622=Справочники!$F$4,Учет!$H2622,0)</f>
        <v>0</v>
      </c>
      <c r="T2622" s="48">
        <f>IF(Учет!$O2622=Справочники!$F$5,Учет!$H2622,0)</f>
        <v>0</v>
      </c>
      <c r="U2622" s="48">
        <f>IF(Учет!$O2622=Справочники!$F$6,Учет!$H2622,0)</f>
        <v>0</v>
      </c>
      <c r="V2622" s="43">
        <f>V2621+Учет!Q2622-Q2622</f>
        <v>-488978.92000000004</v>
      </c>
      <c r="W2622" s="43">
        <f>W2621+Учет!R2622-R2622</f>
        <v>336855</v>
      </c>
      <c r="X2622" s="43">
        <f>X2621+Учет!S2622-S2622</f>
        <v>500</v>
      </c>
      <c r="Y2622" s="43">
        <f>Y2621+Учет!T2622-T2622</f>
        <v>1150</v>
      </c>
      <c r="Z2622" s="43">
        <f>Z2621+Учет!U2622-U2622</f>
        <v>500000</v>
      </c>
      <c r="AA2622" s="45">
        <f>Учет!X2622</f>
        <v>500</v>
      </c>
    </row>
    <row r="2623" spans="1:27" ht="15" customHeight="1" x14ac:dyDescent="0.25">
      <c r="A2623" s="1"/>
      <c r="B2623" s="17"/>
      <c r="C2623" s="17"/>
      <c r="D2623" s="17"/>
      <c r="E2623" s="17"/>
      <c r="F2623" s="17"/>
      <c r="G2623" s="4">
        <f t="shared" si="117"/>
        <v>0</v>
      </c>
      <c r="H2623" s="17"/>
      <c r="I2623" s="4">
        <f t="shared" si="119"/>
        <v>349526.07999999996</v>
      </c>
      <c r="J2623" s="32" t="str">
        <f t="shared" si="118"/>
        <v/>
      </c>
      <c r="K2623" s="72"/>
      <c r="L2623" s="72"/>
      <c r="M2623" s="2"/>
      <c r="N2623" s="5"/>
      <c r="O2623" s="3"/>
      <c r="P2623" s="6"/>
      <c r="Q2623" s="48">
        <f>IF(Учет!$O2623=Справочники!$F$2,Учет!$H2623,0)</f>
        <v>0</v>
      </c>
      <c r="R2623" s="48">
        <f>IF(Учет!$O2623=Справочники!$F$3,Учет!$H2623,0)</f>
        <v>0</v>
      </c>
      <c r="S2623" s="48">
        <f>IF(Учет!$O2623=Справочники!$F$4,Учет!$H2623,0)</f>
        <v>0</v>
      </c>
      <c r="T2623" s="48">
        <f>IF(Учет!$O2623=Справочники!$F$5,Учет!$H2623,0)</f>
        <v>0</v>
      </c>
      <c r="U2623" s="48">
        <f>IF(Учет!$O2623=Справочники!$F$6,Учет!$H2623,0)</f>
        <v>0</v>
      </c>
      <c r="V2623" s="43">
        <f>V2622+Учет!Q2623-Q2623</f>
        <v>-488978.92000000004</v>
      </c>
      <c r="W2623" s="43">
        <f>W2622+Учет!R2623-R2623</f>
        <v>336855</v>
      </c>
      <c r="X2623" s="43">
        <f>X2622+Учет!S2623-S2623</f>
        <v>500</v>
      </c>
      <c r="Y2623" s="43">
        <f>Y2622+Учет!T2623-T2623</f>
        <v>1150</v>
      </c>
      <c r="Z2623" s="43">
        <f>Z2622+Учет!U2623-U2623</f>
        <v>500000</v>
      </c>
      <c r="AA2623" s="45">
        <f>Учет!X2623</f>
        <v>500</v>
      </c>
    </row>
    <row r="2624" spans="1:27" ht="15" customHeight="1" x14ac:dyDescent="0.25">
      <c r="A2624" s="1"/>
      <c r="B2624" s="17"/>
      <c r="C2624" s="17"/>
      <c r="D2624" s="17"/>
      <c r="E2624" s="17"/>
      <c r="F2624" s="17"/>
      <c r="G2624" s="4">
        <f t="shared" si="117"/>
        <v>0</v>
      </c>
      <c r="H2624" s="17"/>
      <c r="I2624" s="4">
        <f t="shared" si="119"/>
        <v>349526.07999999996</v>
      </c>
      <c r="J2624" s="32" t="str">
        <f t="shared" si="118"/>
        <v/>
      </c>
      <c r="K2624" s="72"/>
      <c r="L2624" s="72"/>
      <c r="M2624" s="2"/>
      <c r="N2624" s="5"/>
      <c r="O2624" s="3"/>
      <c r="P2624" s="6"/>
      <c r="Q2624" s="48">
        <f>IF(Учет!$O2624=Справочники!$F$2,Учет!$H2624,0)</f>
        <v>0</v>
      </c>
      <c r="R2624" s="48">
        <f>IF(Учет!$O2624=Справочники!$F$3,Учет!$H2624,0)</f>
        <v>0</v>
      </c>
      <c r="S2624" s="48">
        <f>IF(Учет!$O2624=Справочники!$F$4,Учет!$H2624,0)</f>
        <v>0</v>
      </c>
      <c r="T2624" s="48">
        <f>IF(Учет!$O2624=Справочники!$F$5,Учет!$H2624,0)</f>
        <v>0</v>
      </c>
      <c r="U2624" s="48">
        <f>IF(Учет!$O2624=Справочники!$F$6,Учет!$H2624,0)</f>
        <v>0</v>
      </c>
      <c r="V2624" s="43">
        <f>V2623+Учет!Q2624-Q2624</f>
        <v>-488978.92000000004</v>
      </c>
      <c r="W2624" s="43">
        <f>W2623+Учет!R2624-R2624</f>
        <v>336855</v>
      </c>
      <c r="X2624" s="43">
        <f>X2623+Учет!S2624-S2624</f>
        <v>500</v>
      </c>
      <c r="Y2624" s="43">
        <f>Y2623+Учет!T2624-T2624</f>
        <v>1150</v>
      </c>
      <c r="Z2624" s="43">
        <f>Z2623+Учет!U2624-U2624</f>
        <v>500000</v>
      </c>
      <c r="AA2624" s="45">
        <f>Учет!X2624</f>
        <v>500</v>
      </c>
    </row>
    <row r="2625" spans="1:27" ht="15" customHeight="1" x14ac:dyDescent="0.25">
      <c r="A2625" s="1"/>
      <c r="B2625" s="17"/>
      <c r="C2625" s="17"/>
      <c r="D2625" s="17"/>
      <c r="E2625" s="17"/>
      <c r="F2625" s="17"/>
      <c r="G2625" s="4">
        <f t="shared" si="117"/>
        <v>0</v>
      </c>
      <c r="H2625" s="17"/>
      <c r="I2625" s="4">
        <f t="shared" si="119"/>
        <v>349526.07999999996</v>
      </c>
      <c r="J2625" s="32" t="str">
        <f t="shared" si="118"/>
        <v/>
      </c>
      <c r="K2625" s="72"/>
      <c r="L2625" s="72"/>
      <c r="M2625" s="2"/>
      <c r="N2625" s="5"/>
      <c r="O2625" s="3"/>
      <c r="P2625" s="6"/>
      <c r="Q2625" s="48">
        <f>IF(Учет!$O2625=Справочники!$F$2,Учет!$H2625,0)</f>
        <v>0</v>
      </c>
      <c r="R2625" s="48">
        <f>IF(Учет!$O2625=Справочники!$F$3,Учет!$H2625,0)</f>
        <v>0</v>
      </c>
      <c r="S2625" s="48">
        <f>IF(Учет!$O2625=Справочники!$F$4,Учет!$H2625,0)</f>
        <v>0</v>
      </c>
      <c r="T2625" s="48">
        <f>IF(Учет!$O2625=Справочники!$F$5,Учет!$H2625,0)</f>
        <v>0</v>
      </c>
      <c r="U2625" s="48">
        <f>IF(Учет!$O2625=Справочники!$F$6,Учет!$H2625,0)</f>
        <v>0</v>
      </c>
      <c r="V2625" s="43">
        <f>V2624+Учет!Q2625-Q2625</f>
        <v>-488978.92000000004</v>
      </c>
      <c r="W2625" s="43">
        <f>W2624+Учет!R2625-R2625</f>
        <v>336855</v>
      </c>
      <c r="X2625" s="43">
        <f>X2624+Учет!S2625-S2625</f>
        <v>500</v>
      </c>
      <c r="Y2625" s="43">
        <f>Y2624+Учет!T2625-T2625</f>
        <v>1150</v>
      </c>
      <c r="Z2625" s="43">
        <f>Z2624+Учет!U2625-U2625</f>
        <v>500000</v>
      </c>
      <c r="AA2625" s="45">
        <f>Учет!X2625</f>
        <v>500</v>
      </c>
    </row>
    <row r="2626" spans="1:27" ht="15" customHeight="1" x14ac:dyDescent="0.25">
      <c r="A2626" s="1"/>
      <c r="B2626" s="17"/>
      <c r="C2626" s="17"/>
      <c r="D2626" s="17"/>
      <c r="E2626" s="17"/>
      <c r="F2626" s="17"/>
      <c r="G2626" s="4">
        <f t="shared" ref="G2626:G2689" si="120">SUM($B2626:$F2626)</f>
        <v>0</v>
      </c>
      <c r="H2626" s="17"/>
      <c r="I2626" s="4">
        <f t="shared" si="119"/>
        <v>349526.07999999996</v>
      </c>
      <c r="J2626" s="32" t="str">
        <f t="shared" ref="J2626:J2689" si="121">IF($A2627&lt;&gt;$A2626,$I2626,"")</f>
        <v/>
      </c>
      <c r="K2626" s="72"/>
      <c r="L2626" s="72"/>
      <c r="M2626" s="2"/>
      <c r="N2626" s="5"/>
      <c r="O2626" s="3"/>
      <c r="P2626" s="6"/>
      <c r="Q2626" s="48">
        <f>IF(Учет!$O2626=Справочники!$F$2,Учет!$H2626,0)</f>
        <v>0</v>
      </c>
      <c r="R2626" s="48">
        <f>IF(Учет!$O2626=Справочники!$F$3,Учет!$H2626,0)</f>
        <v>0</v>
      </c>
      <c r="S2626" s="48">
        <f>IF(Учет!$O2626=Справочники!$F$4,Учет!$H2626,0)</f>
        <v>0</v>
      </c>
      <c r="T2626" s="48">
        <f>IF(Учет!$O2626=Справочники!$F$5,Учет!$H2626,0)</f>
        <v>0</v>
      </c>
      <c r="U2626" s="48">
        <f>IF(Учет!$O2626=Справочники!$F$6,Учет!$H2626,0)</f>
        <v>0</v>
      </c>
      <c r="V2626" s="43">
        <f>V2625+Учет!Q2626-Q2626</f>
        <v>-488978.92000000004</v>
      </c>
      <c r="W2626" s="43">
        <f>W2625+Учет!R2626-R2626</f>
        <v>336855</v>
      </c>
      <c r="X2626" s="43">
        <f>X2625+Учет!S2626-S2626</f>
        <v>500</v>
      </c>
      <c r="Y2626" s="43">
        <f>Y2625+Учет!T2626-T2626</f>
        <v>1150</v>
      </c>
      <c r="Z2626" s="43">
        <f>Z2625+Учет!U2626-U2626</f>
        <v>500000</v>
      </c>
      <c r="AA2626" s="45">
        <f>Учет!X2626</f>
        <v>500</v>
      </c>
    </row>
    <row r="2627" spans="1:27" ht="15" customHeight="1" x14ac:dyDescent="0.25">
      <c r="A2627" s="1"/>
      <c r="B2627" s="17"/>
      <c r="C2627" s="17"/>
      <c r="D2627" s="17"/>
      <c r="E2627" s="17"/>
      <c r="F2627" s="17"/>
      <c r="G2627" s="4">
        <f t="shared" si="120"/>
        <v>0</v>
      </c>
      <c r="H2627" s="17"/>
      <c r="I2627" s="4">
        <f t="shared" ref="I2627:I2690" si="122">$I2626+$G2627-$H2627</f>
        <v>349526.07999999996</v>
      </c>
      <c r="J2627" s="32" t="str">
        <f t="shared" si="121"/>
        <v/>
      </c>
      <c r="K2627" s="72"/>
      <c r="L2627" s="72"/>
      <c r="M2627" s="2"/>
      <c r="N2627" s="5"/>
      <c r="O2627" s="3"/>
      <c r="P2627" s="6"/>
      <c r="Q2627" s="48">
        <f>IF(Учет!$O2627=Справочники!$F$2,Учет!$H2627,0)</f>
        <v>0</v>
      </c>
      <c r="R2627" s="48">
        <f>IF(Учет!$O2627=Справочники!$F$3,Учет!$H2627,0)</f>
        <v>0</v>
      </c>
      <c r="S2627" s="48">
        <f>IF(Учет!$O2627=Справочники!$F$4,Учет!$H2627,0)</f>
        <v>0</v>
      </c>
      <c r="T2627" s="48">
        <f>IF(Учет!$O2627=Справочники!$F$5,Учет!$H2627,0)</f>
        <v>0</v>
      </c>
      <c r="U2627" s="48">
        <f>IF(Учет!$O2627=Справочники!$F$6,Учет!$H2627,0)</f>
        <v>0</v>
      </c>
      <c r="V2627" s="43">
        <f>V2626+Учет!Q2627-Q2627</f>
        <v>-488978.92000000004</v>
      </c>
      <c r="W2627" s="43">
        <f>W2626+Учет!R2627-R2627</f>
        <v>336855</v>
      </c>
      <c r="X2627" s="43">
        <f>X2626+Учет!S2627-S2627</f>
        <v>500</v>
      </c>
      <c r="Y2627" s="43">
        <f>Y2626+Учет!T2627-T2627</f>
        <v>1150</v>
      </c>
      <c r="Z2627" s="43">
        <f>Z2626+Учет!U2627-U2627</f>
        <v>500000</v>
      </c>
      <c r="AA2627" s="45">
        <f>Учет!X2627</f>
        <v>500</v>
      </c>
    </row>
    <row r="2628" spans="1:27" ht="15" customHeight="1" x14ac:dyDescent="0.25">
      <c r="A2628" s="1"/>
      <c r="B2628" s="17"/>
      <c r="C2628" s="17"/>
      <c r="D2628" s="17"/>
      <c r="E2628" s="17"/>
      <c r="F2628" s="17"/>
      <c r="G2628" s="4">
        <f t="shared" si="120"/>
        <v>0</v>
      </c>
      <c r="H2628" s="17"/>
      <c r="I2628" s="4">
        <f t="shared" si="122"/>
        <v>349526.07999999996</v>
      </c>
      <c r="J2628" s="32" t="str">
        <f t="shared" si="121"/>
        <v/>
      </c>
      <c r="K2628" s="72"/>
      <c r="L2628" s="72"/>
      <c r="M2628" s="2"/>
      <c r="N2628" s="5"/>
      <c r="O2628" s="3"/>
      <c r="P2628" s="6"/>
      <c r="Q2628" s="48">
        <f>IF(Учет!$O2628=Справочники!$F$2,Учет!$H2628,0)</f>
        <v>0</v>
      </c>
      <c r="R2628" s="48">
        <f>IF(Учет!$O2628=Справочники!$F$3,Учет!$H2628,0)</f>
        <v>0</v>
      </c>
      <c r="S2628" s="48">
        <f>IF(Учет!$O2628=Справочники!$F$4,Учет!$H2628,0)</f>
        <v>0</v>
      </c>
      <c r="T2628" s="48">
        <f>IF(Учет!$O2628=Справочники!$F$5,Учет!$H2628,0)</f>
        <v>0</v>
      </c>
      <c r="U2628" s="48">
        <f>IF(Учет!$O2628=Справочники!$F$6,Учет!$H2628,0)</f>
        <v>0</v>
      </c>
      <c r="V2628" s="43">
        <f>V2627+Учет!Q2628-Q2628</f>
        <v>-488978.92000000004</v>
      </c>
      <c r="W2628" s="43">
        <f>W2627+Учет!R2628-R2628</f>
        <v>336855</v>
      </c>
      <c r="X2628" s="43">
        <f>X2627+Учет!S2628-S2628</f>
        <v>500</v>
      </c>
      <c r="Y2628" s="43">
        <f>Y2627+Учет!T2628-T2628</f>
        <v>1150</v>
      </c>
      <c r="Z2628" s="43">
        <f>Z2627+Учет!U2628-U2628</f>
        <v>500000</v>
      </c>
      <c r="AA2628" s="45">
        <f>Учет!X2628</f>
        <v>500</v>
      </c>
    </row>
    <row r="2629" spans="1:27" ht="15" customHeight="1" x14ac:dyDescent="0.25">
      <c r="A2629" s="1"/>
      <c r="B2629" s="17"/>
      <c r="C2629" s="17"/>
      <c r="D2629" s="17"/>
      <c r="E2629" s="17"/>
      <c r="F2629" s="17"/>
      <c r="G2629" s="4">
        <f t="shared" si="120"/>
        <v>0</v>
      </c>
      <c r="H2629" s="17"/>
      <c r="I2629" s="4">
        <f t="shared" si="122"/>
        <v>349526.07999999996</v>
      </c>
      <c r="J2629" s="32" t="str">
        <f t="shared" si="121"/>
        <v/>
      </c>
      <c r="K2629" s="72"/>
      <c r="L2629" s="72"/>
      <c r="M2629" s="2"/>
      <c r="N2629" s="5"/>
      <c r="O2629" s="3"/>
      <c r="P2629" s="6"/>
      <c r="Q2629" s="48">
        <f>IF(Учет!$O2629=Справочники!$F$2,Учет!$H2629,0)</f>
        <v>0</v>
      </c>
      <c r="R2629" s="48">
        <f>IF(Учет!$O2629=Справочники!$F$3,Учет!$H2629,0)</f>
        <v>0</v>
      </c>
      <c r="S2629" s="48">
        <f>IF(Учет!$O2629=Справочники!$F$4,Учет!$H2629,0)</f>
        <v>0</v>
      </c>
      <c r="T2629" s="48">
        <f>IF(Учет!$O2629=Справочники!$F$5,Учет!$H2629,0)</f>
        <v>0</v>
      </c>
      <c r="U2629" s="48">
        <f>IF(Учет!$O2629=Справочники!$F$6,Учет!$H2629,0)</f>
        <v>0</v>
      </c>
      <c r="V2629" s="43">
        <f>V2628+Учет!Q2629-Q2629</f>
        <v>-488978.92000000004</v>
      </c>
      <c r="W2629" s="43">
        <f>W2628+Учет!R2629-R2629</f>
        <v>336855</v>
      </c>
      <c r="X2629" s="43">
        <f>X2628+Учет!S2629-S2629</f>
        <v>500</v>
      </c>
      <c r="Y2629" s="43">
        <f>Y2628+Учет!T2629-T2629</f>
        <v>1150</v>
      </c>
      <c r="Z2629" s="43">
        <f>Z2628+Учет!U2629-U2629</f>
        <v>500000</v>
      </c>
      <c r="AA2629" s="45">
        <f>Учет!X2629</f>
        <v>500</v>
      </c>
    </row>
    <row r="2630" spans="1:27" ht="15" customHeight="1" x14ac:dyDescent="0.25">
      <c r="A2630" s="1"/>
      <c r="B2630" s="17"/>
      <c r="C2630" s="17"/>
      <c r="D2630" s="17"/>
      <c r="E2630" s="17"/>
      <c r="F2630" s="17"/>
      <c r="G2630" s="4">
        <f t="shared" si="120"/>
        <v>0</v>
      </c>
      <c r="H2630" s="17"/>
      <c r="I2630" s="4">
        <f t="shared" si="122"/>
        <v>349526.07999999996</v>
      </c>
      <c r="J2630" s="32" t="str">
        <f t="shared" si="121"/>
        <v/>
      </c>
      <c r="K2630" s="72"/>
      <c r="L2630" s="72"/>
      <c r="M2630" s="2"/>
      <c r="N2630" s="5"/>
      <c r="O2630" s="3"/>
      <c r="P2630" s="6"/>
      <c r="Q2630" s="48">
        <f>IF(Учет!$O2630=Справочники!$F$2,Учет!$H2630,0)</f>
        <v>0</v>
      </c>
      <c r="R2630" s="48">
        <f>IF(Учет!$O2630=Справочники!$F$3,Учет!$H2630,0)</f>
        <v>0</v>
      </c>
      <c r="S2630" s="48">
        <f>IF(Учет!$O2630=Справочники!$F$4,Учет!$H2630,0)</f>
        <v>0</v>
      </c>
      <c r="T2630" s="48">
        <f>IF(Учет!$O2630=Справочники!$F$5,Учет!$H2630,0)</f>
        <v>0</v>
      </c>
      <c r="U2630" s="48">
        <f>IF(Учет!$O2630=Справочники!$F$6,Учет!$H2630,0)</f>
        <v>0</v>
      </c>
      <c r="V2630" s="43">
        <f>V2629+Учет!Q2630-Q2630</f>
        <v>-488978.92000000004</v>
      </c>
      <c r="W2630" s="43">
        <f>W2629+Учет!R2630-R2630</f>
        <v>336855</v>
      </c>
      <c r="X2630" s="43">
        <f>X2629+Учет!S2630-S2630</f>
        <v>500</v>
      </c>
      <c r="Y2630" s="43">
        <f>Y2629+Учет!T2630-T2630</f>
        <v>1150</v>
      </c>
      <c r="Z2630" s="43">
        <f>Z2629+Учет!U2630-U2630</f>
        <v>500000</v>
      </c>
      <c r="AA2630" s="45">
        <f>Учет!X2630</f>
        <v>500</v>
      </c>
    </row>
    <row r="2631" spans="1:27" ht="15" customHeight="1" x14ac:dyDescent="0.25">
      <c r="A2631" s="1"/>
      <c r="B2631" s="17"/>
      <c r="C2631" s="17"/>
      <c r="D2631" s="17"/>
      <c r="E2631" s="17"/>
      <c r="F2631" s="17"/>
      <c r="G2631" s="4">
        <f t="shared" si="120"/>
        <v>0</v>
      </c>
      <c r="H2631" s="17"/>
      <c r="I2631" s="4">
        <f t="shared" si="122"/>
        <v>349526.07999999996</v>
      </c>
      <c r="J2631" s="32" t="str">
        <f t="shared" si="121"/>
        <v/>
      </c>
      <c r="K2631" s="72"/>
      <c r="L2631" s="72"/>
      <c r="M2631" s="2"/>
      <c r="N2631" s="5"/>
      <c r="O2631" s="3"/>
      <c r="P2631" s="6"/>
      <c r="Q2631" s="48">
        <f>IF(Учет!$O2631=Справочники!$F$2,Учет!$H2631,0)</f>
        <v>0</v>
      </c>
      <c r="R2631" s="48">
        <f>IF(Учет!$O2631=Справочники!$F$3,Учет!$H2631,0)</f>
        <v>0</v>
      </c>
      <c r="S2631" s="48">
        <f>IF(Учет!$O2631=Справочники!$F$4,Учет!$H2631,0)</f>
        <v>0</v>
      </c>
      <c r="T2631" s="48">
        <f>IF(Учет!$O2631=Справочники!$F$5,Учет!$H2631,0)</f>
        <v>0</v>
      </c>
      <c r="U2631" s="48">
        <f>IF(Учет!$O2631=Справочники!$F$6,Учет!$H2631,0)</f>
        <v>0</v>
      </c>
      <c r="V2631" s="43">
        <f>V2630+Учет!Q2631-Q2631</f>
        <v>-488978.92000000004</v>
      </c>
      <c r="W2631" s="43">
        <f>W2630+Учет!R2631-R2631</f>
        <v>336855</v>
      </c>
      <c r="X2631" s="43">
        <f>X2630+Учет!S2631-S2631</f>
        <v>500</v>
      </c>
      <c r="Y2631" s="43">
        <f>Y2630+Учет!T2631-T2631</f>
        <v>1150</v>
      </c>
      <c r="Z2631" s="43">
        <f>Z2630+Учет!U2631-U2631</f>
        <v>500000</v>
      </c>
      <c r="AA2631" s="45">
        <f>Учет!X2631</f>
        <v>500</v>
      </c>
    </row>
    <row r="2632" spans="1:27" ht="15" customHeight="1" x14ac:dyDescent="0.25">
      <c r="A2632" s="1"/>
      <c r="B2632" s="17"/>
      <c r="C2632" s="17"/>
      <c r="D2632" s="17"/>
      <c r="E2632" s="17"/>
      <c r="F2632" s="17"/>
      <c r="G2632" s="4">
        <f t="shared" si="120"/>
        <v>0</v>
      </c>
      <c r="H2632" s="17"/>
      <c r="I2632" s="4">
        <f t="shared" si="122"/>
        <v>349526.07999999996</v>
      </c>
      <c r="J2632" s="32" t="str">
        <f t="shared" si="121"/>
        <v/>
      </c>
      <c r="K2632" s="72"/>
      <c r="L2632" s="72"/>
      <c r="M2632" s="2"/>
      <c r="N2632" s="5"/>
      <c r="O2632" s="3"/>
      <c r="P2632" s="6"/>
      <c r="Q2632" s="48">
        <f>IF(Учет!$O2632=Справочники!$F$2,Учет!$H2632,0)</f>
        <v>0</v>
      </c>
      <c r="R2632" s="48">
        <f>IF(Учет!$O2632=Справочники!$F$3,Учет!$H2632,0)</f>
        <v>0</v>
      </c>
      <c r="S2632" s="48">
        <f>IF(Учет!$O2632=Справочники!$F$4,Учет!$H2632,0)</f>
        <v>0</v>
      </c>
      <c r="T2632" s="48">
        <f>IF(Учет!$O2632=Справочники!$F$5,Учет!$H2632,0)</f>
        <v>0</v>
      </c>
      <c r="U2632" s="48">
        <f>IF(Учет!$O2632=Справочники!$F$6,Учет!$H2632,0)</f>
        <v>0</v>
      </c>
      <c r="V2632" s="43">
        <f>V2631+Учет!Q2632-Q2632</f>
        <v>-488978.92000000004</v>
      </c>
      <c r="W2632" s="43">
        <f>W2631+Учет!R2632-R2632</f>
        <v>336855</v>
      </c>
      <c r="X2632" s="43">
        <f>X2631+Учет!S2632-S2632</f>
        <v>500</v>
      </c>
      <c r="Y2632" s="43">
        <f>Y2631+Учет!T2632-T2632</f>
        <v>1150</v>
      </c>
      <c r="Z2632" s="43">
        <f>Z2631+Учет!U2632-U2632</f>
        <v>500000</v>
      </c>
      <c r="AA2632" s="45">
        <f>Учет!X2632</f>
        <v>500</v>
      </c>
    </row>
    <row r="2633" spans="1:27" ht="15" customHeight="1" x14ac:dyDescent="0.25">
      <c r="A2633" s="1"/>
      <c r="B2633" s="17"/>
      <c r="C2633" s="17"/>
      <c r="D2633" s="17"/>
      <c r="E2633" s="17"/>
      <c r="F2633" s="17"/>
      <c r="G2633" s="4">
        <f t="shared" si="120"/>
        <v>0</v>
      </c>
      <c r="H2633" s="17"/>
      <c r="I2633" s="4">
        <f t="shared" si="122"/>
        <v>349526.07999999996</v>
      </c>
      <c r="J2633" s="32" t="str">
        <f t="shared" si="121"/>
        <v/>
      </c>
      <c r="K2633" s="72"/>
      <c r="L2633" s="72"/>
      <c r="M2633" s="2"/>
      <c r="N2633" s="5"/>
      <c r="O2633" s="3"/>
      <c r="P2633" s="6"/>
      <c r="Q2633" s="48">
        <f>IF(Учет!$O2633=Справочники!$F$2,Учет!$H2633,0)</f>
        <v>0</v>
      </c>
      <c r="R2633" s="48">
        <f>IF(Учет!$O2633=Справочники!$F$3,Учет!$H2633,0)</f>
        <v>0</v>
      </c>
      <c r="S2633" s="48">
        <f>IF(Учет!$O2633=Справочники!$F$4,Учет!$H2633,0)</f>
        <v>0</v>
      </c>
      <c r="T2633" s="48">
        <f>IF(Учет!$O2633=Справочники!$F$5,Учет!$H2633,0)</f>
        <v>0</v>
      </c>
      <c r="U2633" s="48">
        <f>IF(Учет!$O2633=Справочники!$F$6,Учет!$H2633,0)</f>
        <v>0</v>
      </c>
      <c r="V2633" s="43">
        <f>V2632+Учет!Q2633-Q2633</f>
        <v>-488978.92000000004</v>
      </c>
      <c r="W2633" s="43">
        <f>W2632+Учет!R2633-R2633</f>
        <v>336855</v>
      </c>
      <c r="X2633" s="43">
        <f>X2632+Учет!S2633-S2633</f>
        <v>500</v>
      </c>
      <c r="Y2633" s="43">
        <f>Y2632+Учет!T2633-T2633</f>
        <v>1150</v>
      </c>
      <c r="Z2633" s="43">
        <f>Z2632+Учет!U2633-U2633</f>
        <v>500000</v>
      </c>
      <c r="AA2633" s="45">
        <f>Учет!X2633</f>
        <v>500</v>
      </c>
    </row>
    <row r="2634" spans="1:27" ht="15" customHeight="1" x14ac:dyDescent="0.25">
      <c r="A2634" s="1"/>
      <c r="B2634" s="17"/>
      <c r="C2634" s="17"/>
      <c r="D2634" s="17"/>
      <c r="E2634" s="17"/>
      <c r="F2634" s="17"/>
      <c r="G2634" s="4">
        <f t="shared" si="120"/>
        <v>0</v>
      </c>
      <c r="H2634" s="17"/>
      <c r="I2634" s="4">
        <f t="shared" si="122"/>
        <v>349526.07999999996</v>
      </c>
      <c r="J2634" s="32" t="str">
        <f t="shared" si="121"/>
        <v/>
      </c>
      <c r="K2634" s="72"/>
      <c r="L2634" s="72"/>
      <c r="M2634" s="2"/>
      <c r="N2634" s="5"/>
      <c r="O2634" s="3"/>
      <c r="P2634" s="6"/>
      <c r="Q2634" s="48">
        <f>IF(Учет!$O2634=Справочники!$F$2,Учет!$H2634,0)</f>
        <v>0</v>
      </c>
      <c r="R2634" s="48">
        <f>IF(Учет!$O2634=Справочники!$F$3,Учет!$H2634,0)</f>
        <v>0</v>
      </c>
      <c r="S2634" s="48">
        <f>IF(Учет!$O2634=Справочники!$F$4,Учет!$H2634,0)</f>
        <v>0</v>
      </c>
      <c r="T2634" s="48">
        <f>IF(Учет!$O2634=Справочники!$F$5,Учет!$H2634,0)</f>
        <v>0</v>
      </c>
      <c r="U2634" s="48">
        <f>IF(Учет!$O2634=Справочники!$F$6,Учет!$H2634,0)</f>
        <v>0</v>
      </c>
      <c r="V2634" s="43">
        <f>V2633+Учет!Q2634-Q2634</f>
        <v>-488978.92000000004</v>
      </c>
      <c r="W2634" s="43">
        <f>W2633+Учет!R2634-R2634</f>
        <v>336855</v>
      </c>
      <c r="X2634" s="43">
        <f>X2633+Учет!S2634-S2634</f>
        <v>500</v>
      </c>
      <c r="Y2634" s="43">
        <f>Y2633+Учет!T2634-T2634</f>
        <v>1150</v>
      </c>
      <c r="Z2634" s="43">
        <f>Z2633+Учет!U2634-U2634</f>
        <v>500000</v>
      </c>
      <c r="AA2634" s="45">
        <f>Учет!X2634</f>
        <v>500</v>
      </c>
    </row>
    <row r="2635" spans="1:27" ht="15" customHeight="1" x14ac:dyDescent="0.25">
      <c r="A2635" s="1"/>
      <c r="B2635" s="17"/>
      <c r="C2635" s="17"/>
      <c r="D2635" s="17"/>
      <c r="E2635" s="17"/>
      <c r="F2635" s="17"/>
      <c r="G2635" s="4">
        <f t="shared" si="120"/>
        <v>0</v>
      </c>
      <c r="H2635" s="17"/>
      <c r="I2635" s="4">
        <f t="shared" si="122"/>
        <v>349526.07999999996</v>
      </c>
      <c r="J2635" s="32" t="str">
        <f t="shared" si="121"/>
        <v/>
      </c>
      <c r="K2635" s="72"/>
      <c r="L2635" s="72"/>
      <c r="M2635" s="2"/>
      <c r="N2635" s="5"/>
      <c r="O2635" s="3"/>
      <c r="P2635" s="6"/>
      <c r="Q2635" s="48">
        <f>IF(Учет!$O2635=Справочники!$F$2,Учет!$H2635,0)</f>
        <v>0</v>
      </c>
      <c r="R2635" s="48">
        <f>IF(Учет!$O2635=Справочники!$F$3,Учет!$H2635,0)</f>
        <v>0</v>
      </c>
      <c r="S2635" s="48">
        <f>IF(Учет!$O2635=Справочники!$F$4,Учет!$H2635,0)</f>
        <v>0</v>
      </c>
      <c r="T2635" s="48">
        <f>IF(Учет!$O2635=Справочники!$F$5,Учет!$H2635,0)</f>
        <v>0</v>
      </c>
      <c r="U2635" s="48">
        <f>IF(Учет!$O2635=Справочники!$F$6,Учет!$H2635,0)</f>
        <v>0</v>
      </c>
      <c r="V2635" s="43">
        <f>V2634+Учет!Q2635-Q2635</f>
        <v>-488978.92000000004</v>
      </c>
      <c r="W2635" s="43">
        <f>W2634+Учет!R2635-R2635</f>
        <v>336855</v>
      </c>
      <c r="X2635" s="43">
        <f>X2634+Учет!S2635-S2635</f>
        <v>500</v>
      </c>
      <c r="Y2635" s="43">
        <f>Y2634+Учет!T2635-T2635</f>
        <v>1150</v>
      </c>
      <c r="Z2635" s="43">
        <f>Z2634+Учет!U2635-U2635</f>
        <v>500000</v>
      </c>
      <c r="AA2635" s="45">
        <f>Учет!X2635</f>
        <v>500</v>
      </c>
    </row>
    <row r="2636" spans="1:27" ht="15" customHeight="1" x14ac:dyDescent="0.25">
      <c r="A2636" s="1"/>
      <c r="B2636" s="17"/>
      <c r="C2636" s="17"/>
      <c r="D2636" s="17"/>
      <c r="E2636" s="17"/>
      <c r="F2636" s="17"/>
      <c r="G2636" s="4">
        <f t="shared" si="120"/>
        <v>0</v>
      </c>
      <c r="H2636" s="17"/>
      <c r="I2636" s="4">
        <f t="shared" si="122"/>
        <v>349526.07999999996</v>
      </c>
      <c r="J2636" s="32" t="str">
        <f t="shared" si="121"/>
        <v/>
      </c>
      <c r="K2636" s="72"/>
      <c r="L2636" s="72"/>
      <c r="M2636" s="2"/>
      <c r="N2636" s="5"/>
      <c r="O2636" s="3"/>
      <c r="P2636" s="6"/>
      <c r="Q2636" s="48">
        <f>IF(Учет!$O2636=Справочники!$F$2,Учет!$H2636,0)</f>
        <v>0</v>
      </c>
      <c r="R2636" s="48">
        <f>IF(Учет!$O2636=Справочники!$F$3,Учет!$H2636,0)</f>
        <v>0</v>
      </c>
      <c r="S2636" s="48">
        <f>IF(Учет!$O2636=Справочники!$F$4,Учет!$H2636,0)</f>
        <v>0</v>
      </c>
      <c r="T2636" s="48">
        <f>IF(Учет!$O2636=Справочники!$F$5,Учет!$H2636,0)</f>
        <v>0</v>
      </c>
      <c r="U2636" s="48">
        <f>IF(Учет!$O2636=Справочники!$F$6,Учет!$H2636,0)</f>
        <v>0</v>
      </c>
      <c r="V2636" s="43">
        <f>V2635+Учет!Q2636-Q2636</f>
        <v>-488978.92000000004</v>
      </c>
      <c r="W2636" s="43">
        <f>W2635+Учет!R2636-R2636</f>
        <v>336855</v>
      </c>
      <c r="X2636" s="43">
        <f>X2635+Учет!S2636-S2636</f>
        <v>500</v>
      </c>
      <c r="Y2636" s="43">
        <f>Y2635+Учет!T2636-T2636</f>
        <v>1150</v>
      </c>
      <c r="Z2636" s="43">
        <f>Z2635+Учет!U2636-U2636</f>
        <v>500000</v>
      </c>
      <c r="AA2636" s="45">
        <f>Учет!X2636</f>
        <v>500</v>
      </c>
    </row>
    <row r="2637" spans="1:27" ht="15" customHeight="1" x14ac:dyDescent="0.25">
      <c r="A2637" s="1"/>
      <c r="B2637" s="17"/>
      <c r="C2637" s="17"/>
      <c r="D2637" s="17"/>
      <c r="E2637" s="17"/>
      <c r="F2637" s="17"/>
      <c r="G2637" s="4">
        <f t="shared" si="120"/>
        <v>0</v>
      </c>
      <c r="H2637" s="17"/>
      <c r="I2637" s="4">
        <f t="shared" si="122"/>
        <v>349526.07999999996</v>
      </c>
      <c r="J2637" s="32" t="str">
        <f t="shared" si="121"/>
        <v/>
      </c>
      <c r="K2637" s="72"/>
      <c r="L2637" s="72"/>
      <c r="M2637" s="2"/>
      <c r="N2637" s="5"/>
      <c r="O2637" s="3"/>
      <c r="P2637" s="6"/>
      <c r="Q2637" s="48">
        <f>IF(Учет!$O2637=Справочники!$F$2,Учет!$H2637,0)</f>
        <v>0</v>
      </c>
      <c r="R2637" s="48">
        <f>IF(Учет!$O2637=Справочники!$F$3,Учет!$H2637,0)</f>
        <v>0</v>
      </c>
      <c r="S2637" s="48">
        <f>IF(Учет!$O2637=Справочники!$F$4,Учет!$H2637,0)</f>
        <v>0</v>
      </c>
      <c r="T2637" s="48">
        <f>IF(Учет!$O2637=Справочники!$F$5,Учет!$H2637,0)</f>
        <v>0</v>
      </c>
      <c r="U2637" s="48">
        <f>IF(Учет!$O2637=Справочники!$F$6,Учет!$H2637,0)</f>
        <v>0</v>
      </c>
      <c r="V2637" s="43">
        <f>V2636+Учет!Q2637-Q2637</f>
        <v>-488978.92000000004</v>
      </c>
      <c r="W2637" s="43">
        <f>W2636+Учет!R2637-R2637</f>
        <v>336855</v>
      </c>
      <c r="X2637" s="43">
        <f>X2636+Учет!S2637-S2637</f>
        <v>500</v>
      </c>
      <c r="Y2637" s="43">
        <f>Y2636+Учет!T2637-T2637</f>
        <v>1150</v>
      </c>
      <c r="Z2637" s="43">
        <f>Z2636+Учет!U2637-U2637</f>
        <v>500000</v>
      </c>
      <c r="AA2637" s="45">
        <f>Учет!X2637</f>
        <v>500</v>
      </c>
    </row>
    <row r="2638" spans="1:27" ht="15" customHeight="1" x14ac:dyDescent="0.25">
      <c r="A2638" s="1"/>
      <c r="B2638" s="17"/>
      <c r="C2638" s="17"/>
      <c r="D2638" s="17"/>
      <c r="E2638" s="17"/>
      <c r="F2638" s="17"/>
      <c r="G2638" s="4">
        <f t="shared" si="120"/>
        <v>0</v>
      </c>
      <c r="H2638" s="17"/>
      <c r="I2638" s="4">
        <f t="shared" si="122"/>
        <v>349526.07999999996</v>
      </c>
      <c r="J2638" s="32" t="str">
        <f t="shared" si="121"/>
        <v/>
      </c>
      <c r="K2638" s="72"/>
      <c r="L2638" s="72"/>
      <c r="M2638" s="2"/>
      <c r="N2638" s="5"/>
      <c r="O2638" s="3"/>
      <c r="P2638" s="6"/>
      <c r="Q2638" s="48">
        <f>IF(Учет!$O2638=Справочники!$F$2,Учет!$H2638,0)</f>
        <v>0</v>
      </c>
      <c r="R2638" s="48">
        <f>IF(Учет!$O2638=Справочники!$F$3,Учет!$H2638,0)</f>
        <v>0</v>
      </c>
      <c r="S2638" s="48">
        <f>IF(Учет!$O2638=Справочники!$F$4,Учет!$H2638,0)</f>
        <v>0</v>
      </c>
      <c r="T2638" s="48">
        <f>IF(Учет!$O2638=Справочники!$F$5,Учет!$H2638,0)</f>
        <v>0</v>
      </c>
      <c r="U2638" s="48">
        <f>IF(Учет!$O2638=Справочники!$F$6,Учет!$H2638,0)</f>
        <v>0</v>
      </c>
      <c r="V2638" s="43">
        <f>V2637+Учет!Q2638-Q2638</f>
        <v>-488978.92000000004</v>
      </c>
      <c r="W2638" s="43">
        <f>W2637+Учет!R2638-R2638</f>
        <v>336855</v>
      </c>
      <c r="X2638" s="43">
        <f>X2637+Учет!S2638-S2638</f>
        <v>500</v>
      </c>
      <c r="Y2638" s="43">
        <f>Y2637+Учет!T2638-T2638</f>
        <v>1150</v>
      </c>
      <c r="Z2638" s="43">
        <f>Z2637+Учет!U2638-U2638</f>
        <v>500000</v>
      </c>
      <c r="AA2638" s="45">
        <f>Учет!X2638</f>
        <v>500</v>
      </c>
    </row>
    <row r="2639" spans="1:27" ht="15" customHeight="1" x14ac:dyDescent="0.25">
      <c r="A2639" s="1"/>
      <c r="B2639" s="17"/>
      <c r="C2639" s="17"/>
      <c r="D2639" s="17"/>
      <c r="E2639" s="17"/>
      <c r="F2639" s="17"/>
      <c r="G2639" s="4">
        <f t="shared" si="120"/>
        <v>0</v>
      </c>
      <c r="H2639" s="17"/>
      <c r="I2639" s="4">
        <f t="shared" si="122"/>
        <v>349526.07999999996</v>
      </c>
      <c r="J2639" s="32" t="str">
        <f t="shared" si="121"/>
        <v/>
      </c>
      <c r="K2639" s="72"/>
      <c r="L2639" s="72"/>
      <c r="M2639" s="2"/>
      <c r="N2639" s="5"/>
      <c r="O2639" s="3"/>
      <c r="P2639" s="6"/>
      <c r="Q2639" s="48">
        <f>IF(Учет!$O2639=Справочники!$F$2,Учет!$H2639,0)</f>
        <v>0</v>
      </c>
      <c r="R2639" s="48">
        <f>IF(Учет!$O2639=Справочники!$F$3,Учет!$H2639,0)</f>
        <v>0</v>
      </c>
      <c r="S2639" s="48">
        <f>IF(Учет!$O2639=Справочники!$F$4,Учет!$H2639,0)</f>
        <v>0</v>
      </c>
      <c r="T2639" s="48">
        <f>IF(Учет!$O2639=Справочники!$F$5,Учет!$H2639,0)</f>
        <v>0</v>
      </c>
      <c r="U2639" s="48">
        <f>IF(Учет!$O2639=Справочники!$F$6,Учет!$H2639,0)</f>
        <v>0</v>
      </c>
      <c r="V2639" s="43">
        <f>V2638+Учет!Q2639-Q2639</f>
        <v>-488978.92000000004</v>
      </c>
      <c r="W2639" s="43">
        <f>W2638+Учет!R2639-R2639</f>
        <v>336855</v>
      </c>
      <c r="X2639" s="43">
        <f>X2638+Учет!S2639-S2639</f>
        <v>500</v>
      </c>
      <c r="Y2639" s="43">
        <f>Y2638+Учет!T2639-T2639</f>
        <v>1150</v>
      </c>
      <c r="Z2639" s="43">
        <f>Z2638+Учет!U2639-U2639</f>
        <v>500000</v>
      </c>
      <c r="AA2639" s="45">
        <f>Учет!X2639</f>
        <v>500</v>
      </c>
    </row>
    <row r="2640" spans="1:27" ht="15" customHeight="1" x14ac:dyDescent="0.25">
      <c r="A2640" s="1"/>
      <c r="B2640" s="17"/>
      <c r="C2640" s="17"/>
      <c r="D2640" s="17"/>
      <c r="E2640" s="17"/>
      <c r="F2640" s="17"/>
      <c r="G2640" s="4">
        <f t="shared" si="120"/>
        <v>0</v>
      </c>
      <c r="H2640" s="17"/>
      <c r="I2640" s="4">
        <f t="shared" si="122"/>
        <v>349526.07999999996</v>
      </c>
      <c r="J2640" s="32" t="str">
        <f t="shared" si="121"/>
        <v/>
      </c>
      <c r="K2640" s="72"/>
      <c r="L2640" s="72"/>
      <c r="M2640" s="2"/>
      <c r="N2640" s="5"/>
      <c r="O2640" s="3"/>
      <c r="P2640" s="6"/>
      <c r="Q2640" s="48">
        <f>IF(Учет!$O2640=Справочники!$F$2,Учет!$H2640,0)</f>
        <v>0</v>
      </c>
      <c r="R2640" s="48">
        <f>IF(Учет!$O2640=Справочники!$F$3,Учет!$H2640,0)</f>
        <v>0</v>
      </c>
      <c r="S2640" s="48">
        <f>IF(Учет!$O2640=Справочники!$F$4,Учет!$H2640,0)</f>
        <v>0</v>
      </c>
      <c r="T2640" s="48">
        <f>IF(Учет!$O2640=Справочники!$F$5,Учет!$H2640,0)</f>
        <v>0</v>
      </c>
      <c r="U2640" s="48">
        <f>IF(Учет!$O2640=Справочники!$F$6,Учет!$H2640,0)</f>
        <v>0</v>
      </c>
      <c r="V2640" s="43">
        <f>V2639+Учет!Q2640-Q2640</f>
        <v>-488978.92000000004</v>
      </c>
      <c r="W2640" s="43">
        <f>W2639+Учет!R2640-R2640</f>
        <v>336855</v>
      </c>
      <c r="X2640" s="43">
        <f>X2639+Учет!S2640-S2640</f>
        <v>500</v>
      </c>
      <c r="Y2640" s="43">
        <f>Y2639+Учет!T2640-T2640</f>
        <v>1150</v>
      </c>
      <c r="Z2640" s="43">
        <f>Z2639+Учет!U2640-U2640</f>
        <v>500000</v>
      </c>
      <c r="AA2640" s="45">
        <f>Учет!X2640</f>
        <v>500</v>
      </c>
    </row>
    <row r="2641" spans="1:27" ht="15" customHeight="1" x14ac:dyDescent="0.25">
      <c r="A2641" s="1"/>
      <c r="B2641" s="17"/>
      <c r="C2641" s="17"/>
      <c r="D2641" s="17"/>
      <c r="E2641" s="17"/>
      <c r="F2641" s="17"/>
      <c r="G2641" s="4">
        <f t="shared" si="120"/>
        <v>0</v>
      </c>
      <c r="H2641" s="17"/>
      <c r="I2641" s="4">
        <f t="shared" si="122"/>
        <v>349526.07999999996</v>
      </c>
      <c r="J2641" s="32" t="str">
        <f t="shared" si="121"/>
        <v/>
      </c>
      <c r="K2641" s="72"/>
      <c r="L2641" s="72"/>
      <c r="M2641" s="2"/>
      <c r="N2641" s="5"/>
      <c r="O2641" s="3"/>
      <c r="P2641" s="6"/>
      <c r="Q2641" s="48">
        <f>IF(Учет!$O2641=Справочники!$F$2,Учет!$H2641,0)</f>
        <v>0</v>
      </c>
      <c r="R2641" s="48">
        <f>IF(Учет!$O2641=Справочники!$F$3,Учет!$H2641,0)</f>
        <v>0</v>
      </c>
      <c r="S2641" s="48">
        <f>IF(Учет!$O2641=Справочники!$F$4,Учет!$H2641,0)</f>
        <v>0</v>
      </c>
      <c r="T2641" s="48">
        <f>IF(Учет!$O2641=Справочники!$F$5,Учет!$H2641,0)</f>
        <v>0</v>
      </c>
      <c r="U2641" s="48">
        <f>IF(Учет!$O2641=Справочники!$F$6,Учет!$H2641,0)</f>
        <v>0</v>
      </c>
      <c r="V2641" s="43">
        <f>V2640+Учет!Q2641-Q2641</f>
        <v>-488978.92000000004</v>
      </c>
      <c r="W2641" s="43">
        <f>W2640+Учет!R2641-R2641</f>
        <v>336855</v>
      </c>
      <c r="X2641" s="43">
        <f>X2640+Учет!S2641-S2641</f>
        <v>500</v>
      </c>
      <c r="Y2641" s="43">
        <f>Y2640+Учет!T2641-T2641</f>
        <v>1150</v>
      </c>
      <c r="Z2641" s="43">
        <f>Z2640+Учет!U2641-U2641</f>
        <v>500000</v>
      </c>
      <c r="AA2641" s="45">
        <f>Учет!X2641</f>
        <v>500</v>
      </c>
    </row>
    <row r="2642" spans="1:27" ht="15" customHeight="1" x14ac:dyDescent="0.25">
      <c r="A2642" s="1"/>
      <c r="B2642" s="17"/>
      <c r="C2642" s="17"/>
      <c r="D2642" s="17"/>
      <c r="E2642" s="17"/>
      <c r="F2642" s="17"/>
      <c r="G2642" s="4">
        <f t="shared" si="120"/>
        <v>0</v>
      </c>
      <c r="H2642" s="17"/>
      <c r="I2642" s="4">
        <f t="shared" si="122"/>
        <v>349526.07999999996</v>
      </c>
      <c r="J2642" s="32" t="str">
        <f t="shared" si="121"/>
        <v/>
      </c>
      <c r="K2642" s="72"/>
      <c r="L2642" s="72"/>
      <c r="M2642" s="2"/>
      <c r="N2642" s="5"/>
      <c r="O2642" s="3"/>
      <c r="P2642" s="6"/>
      <c r="Q2642" s="48">
        <f>IF(Учет!$O2642=Справочники!$F$2,Учет!$H2642,0)</f>
        <v>0</v>
      </c>
      <c r="R2642" s="48">
        <f>IF(Учет!$O2642=Справочники!$F$3,Учет!$H2642,0)</f>
        <v>0</v>
      </c>
      <c r="S2642" s="48">
        <f>IF(Учет!$O2642=Справочники!$F$4,Учет!$H2642,0)</f>
        <v>0</v>
      </c>
      <c r="T2642" s="48">
        <f>IF(Учет!$O2642=Справочники!$F$5,Учет!$H2642,0)</f>
        <v>0</v>
      </c>
      <c r="U2642" s="48">
        <f>IF(Учет!$O2642=Справочники!$F$6,Учет!$H2642,0)</f>
        <v>0</v>
      </c>
      <c r="V2642" s="43">
        <f>V2641+Учет!Q2642-Q2642</f>
        <v>-488978.92000000004</v>
      </c>
      <c r="W2642" s="43">
        <f>W2641+Учет!R2642-R2642</f>
        <v>336855</v>
      </c>
      <c r="X2642" s="43">
        <f>X2641+Учет!S2642-S2642</f>
        <v>500</v>
      </c>
      <c r="Y2642" s="43">
        <f>Y2641+Учет!T2642-T2642</f>
        <v>1150</v>
      </c>
      <c r="Z2642" s="43">
        <f>Z2641+Учет!U2642-U2642</f>
        <v>500000</v>
      </c>
      <c r="AA2642" s="45">
        <f>Учет!X2642</f>
        <v>500</v>
      </c>
    </row>
    <row r="2643" spans="1:27" ht="15" customHeight="1" x14ac:dyDescent="0.25">
      <c r="A2643" s="1"/>
      <c r="B2643" s="17"/>
      <c r="C2643" s="17"/>
      <c r="D2643" s="17"/>
      <c r="E2643" s="17"/>
      <c r="F2643" s="17"/>
      <c r="G2643" s="4">
        <f t="shared" si="120"/>
        <v>0</v>
      </c>
      <c r="H2643" s="17"/>
      <c r="I2643" s="4">
        <f t="shared" si="122"/>
        <v>349526.07999999996</v>
      </c>
      <c r="J2643" s="32" t="str">
        <f t="shared" si="121"/>
        <v/>
      </c>
      <c r="K2643" s="72"/>
      <c r="L2643" s="72"/>
      <c r="M2643" s="2"/>
      <c r="N2643" s="5"/>
      <c r="O2643" s="3"/>
      <c r="P2643" s="6"/>
      <c r="Q2643" s="48">
        <f>IF(Учет!$O2643=Справочники!$F$2,Учет!$H2643,0)</f>
        <v>0</v>
      </c>
      <c r="R2643" s="48">
        <f>IF(Учет!$O2643=Справочники!$F$3,Учет!$H2643,0)</f>
        <v>0</v>
      </c>
      <c r="S2643" s="48">
        <f>IF(Учет!$O2643=Справочники!$F$4,Учет!$H2643,0)</f>
        <v>0</v>
      </c>
      <c r="T2643" s="48">
        <f>IF(Учет!$O2643=Справочники!$F$5,Учет!$H2643,0)</f>
        <v>0</v>
      </c>
      <c r="U2643" s="48">
        <f>IF(Учет!$O2643=Справочники!$F$6,Учет!$H2643,0)</f>
        <v>0</v>
      </c>
      <c r="V2643" s="43">
        <f>V2642+Учет!Q2643-Q2643</f>
        <v>-488978.92000000004</v>
      </c>
      <c r="W2643" s="43">
        <f>W2642+Учет!R2643-R2643</f>
        <v>336855</v>
      </c>
      <c r="X2643" s="43">
        <f>X2642+Учет!S2643-S2643</f>
        <v>500</v>
      </c>
      <c r="Y2643" s="43">
        <f>Y2642+Учет!T2643-T2643</f>
        <v>1150</v>
      </c>
      <c r="Z2643" s="43">
        <f>Z2642+Учет!U2643-U2643</f>
        <v>500000</v>
      </c>
      <c r="AA2643" s="45">
        <f>Учет!X2643</f>
        <v>500</v>
      </c>
    </row>
    <row r="2644" spans="1:27" ht="15" customHeight="1" x14ac:dyDescent="0.25">
      <c r="A2644" s="1"/>
      <c r="B2644" s="17"/>
      <c r="C2644" s="17"/>
      <c r="D2644" s="17"/>
      <c r="E2644" s="17"/>
      <c r="F2644" s="17"/>
      <c r="G2644" s="4">
        <f t="shared" si="120"/>
        <v>0</v>
      </c>
      <c r="H2644" s="17"/>
      <c r="I2644" s="4">
        <f t="shared" si="122"/>
        <v>349526.07999999996</v>
      </c>
      <c r="J2644" s="32" t="str">
        <f t="shared" si="121"/>
        <v/>
      </c>
      <c r="K2644" s="72"/>
      <c r="L2644" s="72"/>
      <c r="M2644" s="2"/>
      <c r="N2644" s="5"/>
      <c r="O2644" s="3"/>
      <c r="P2644" s="6"/>
      <c r="Q2644" s="48">
        <f>IF(Учет!$O2644=Справочники!$F$2,Учет!$H2644,0)</f>
        <v>0</v>
      </c>
      <c r="R2644" s="48">
        <f>IF(Учет!$O2644=Справочники!$F$3,Учет!$H2644,0)</f>
        <v>0</v>
      </c>
      <c r="S2644" s="48">
        <f>IF(Учет!$O2644=Справочники!$F$4,Учет!$H2644,0)</f>
        <v>0</v>
      </c>
      <c r="T2644" s="48">
        <f>IF(Учет!$O2644=Справочники!$F$5,Учет!$H2644,0)</f>
        <v>0</v>
      </c>
      <c r="U2644" s="48">
        <f>IF(Учет!$O2644=Справочники!$F$6,Учет!$H2644,0)</f>
        <v>0</v>
      </c>
      <c r="V2644" s="43">
        <f>V2643+Учет!Q2644-Q2644</f>
        <v>-488978.92000000004</v>
      </c>
      <c r="W2644" s="43">
        <f>W2643+Учет!R2644-R2644</f>
        <v>336855</v>
      </c>
      <c r="X2644" s="43">
        <f>X2643+Учет!S2644-S2644</f>
        <v>500</v>
      </c>
      <c r="Y2644" s="43">
        <f>Y2643+Учет!T2644-T2644</f>
        <v>1150</v>
      </c>
      <c r="Z2644" s="43">
        <f>Z2643+Учет!U2644-U2644</f>
        <v>500000</v>
      </c>
      <c r="AA2644" s="45">
        <f>Учет!X2644</f>
        <v>500</v>
      </c>
    </row>
    <row r="2645" spans="1:27" ht="15" customHeight="1" x14ac:dyDescent="0.25">
      <c r="A2645" s="1"/>
      <c r="B2645" s="17"/>
      <c r="C2645" s="17"/>
      <c r="D2645" s="17"/>
      <c r="E2645" s="17"/>
      <c r="F2645" s="17"/>
      <c r="G2645" s="4">
        <f t="shared" si="120"/>
        <v>0</v>
      </c>
      <c r="H2645" s="17"/>
      <c r="I2645" s="4">
        <f t="shared" si="122"/>
        <v>349526.07999999996</v>
      </c>
      <c r="J2645" s="32" t="str">
        <f t="shared" si="121"/>
        <v/>
      </c>
      <c r="K2645" s="72"/>
      <c r="L2645" s="72"/>
      <c r="M2645" s="2"/>
      <c r="N2645" s="5"/>
      <c r="O2645" s="3"/>
      <c r="P2645" s="6"/>
      <c r="Q2645" s="48">
        <f>IF(Учет!$O2645=Справочники!$F$2,Учет!$H2645,0)</f>
        <v>0</v>
      </c>
      <c r="R2645" s="48">
        <f>IF(Учет!$O2645=Справочники!$F$3,Учет!$H2645,0)</f>
        <v>0</v>
      </c>
      <c r="S2645" s="48">
        <f>IF(Учет!$O2645=Справочники!$F$4,Учет!$H2645,0)</f>
        <v>0</v>
      </c>
      <c r="T2645" s="48">
        <f>IF(Учет!$O2645=Справочники!$F$5,Учет!$H2645,0)</f>
        <v>0</v>
      </c>
      <c r="U2645" s="48">
        <f>IF(Учет!$O2645=Справочники!$F$6,Учет!$H2645,0)</f>
        <v>0</v>
      </c>
      <c r="V2645" s="43">
        <f>V2644+Учет!Q2645-Q2645</f>
        <v>-488978.92000000004</v>
      </c>
      <c r="W2645" s="43">
        <f>W2644+Учет!R2645-R2645</f>
        <v>336855</v>
      </c>
      <c r="X2645" s="43">
        <f>X2644+Учет!S2645-S2645</f>
        <v>500</v>
      </c>
      <c r="Y2645" s="43">
        <f>Y2644+Учет!T2645-T2645</f>
        <v>1150</v>
      </c>
      <c r="Z2645" s="43">
        <f>Z2644+Учет!U2645-U2645</f>
        <v>500000</v>
      </c>
      <c r="AA2645" s="45">
        <f>Учет!X2645</f>
        <v>500</v>
      </c>
    </row>
    <row r="2646" spans="1:27" ht="15" customHeight="1" x14ac:dyDescent="0.25">
      <c r="A2646" s="1"/>
      <c r="B2646" s="17"/>
      <c r="C2646" s="17"/>
      <c r="D2646" s="17"/>
      <c r="E2646" s="17"/>
      <c r="F2646" s="17"/>
      <c r="G2646" s="4">
        <f t="shared" si="120"/>
        <v>0</v>
      </c>
      <c r="H2646" s="17"/>
      <c r="I2646" s="4">
        <f t="shared" si="122"/>
        <v>349526.07999999996</v>
      </c>
      <c r="J2646" s="32" t="str">
        <f t="shared" si="121"/>
        <v/>
      </c>
      <c r="K2646" s="72"/>
      <c r="L2646" s="72"/>
      <c r="M2646" s="2"/>
      <c r="N2646" s="5"/>
      <c r="O2646" s="3"/>
      <c r="P2646" s="6"/>
      <c r="Q2646" s="48">
        <f>IF(Учет!$O2646=Справочники!$F$2,Учет!$H2646,0)</f>
        <v>0</v>
      </c>
      <c r="R2646" s="48">
        <f>IF(Учет!$O2646=Справочники!$F$3,Учет!$H2646,0)</f>
        <v>0</v>
      </c>
      <c r="S2646" s="48">
        <f>IF(Учет!$O2646=Справочники!$F$4,Учет!$H2646,0)</f>
        <v>0</v>
      </c>
      <c r="T2646" s="48">
        <f>IF(Учет!$O2646=Справочники!$F$5,Учет!$H2646,0)</f>
        <v>0</v>
      </c>
      <c r="U2646" s="48">
        <f>IF(Учет!$O2646=Справочники!$F$6,Учет!$H2646,0)</f>
        <v>0</v>
      </c>
      <c r="V2646" s="43">
        <f>V2645+Учет!Q2646-Q2646</f>
        <v>-488978.92000000004</v>
      </c>
      <c r="W2646" s="43">
        <f>W2645+Учет!R2646-R2646</f>
        <v>336855</v>
      </c>
      <c r="X2646" s="43">
        <f>X2645+Учет!S2646-S2646</f>
        <v>500</v>
      </c>
      <c r="Y2646" s="43">
        <f>Y2645+Учет!T2646-T2646</f>
        <v>1150</v>
      </c>
      <c r="Z2646" s="43">
        <f>Z2645+Учет!U2646-U2646</f>
        <v>500000</v>
      </c>
      <c r="AA2646" s="45">
        <f>Учет!X2646</f>
        <v>500</v>
      </c>
    </row>
    <row r="2647" spans="1:27" ht="15" customHeight="1" x14ac:dyDescent="0.25">
      <c r="A2647" s="1"/>
      <c r="B2647" s="17"/>
      <c r="C2647" s="17"/>
      <c r="D2647" s="17"/>
      <c r="E2647" s="17"/>
      <c r="F2647" s="17"/>
      <c r="G2647" s="4">
        <f t="shared" si="120"/>
        <v>0</v>
      </c>
      <c r="H2647" s="17"/>
      <c r="I2647" s="4">
        <f t="shared" si="122"/>
        <v>349526.07999999996</v>
      </c>
      <c r="J2647" s="32" t="str">
        <f t="shared" si="121"/>
        <v/>
      </c>
      <c r="K2647" s="72"/>
      <c r="L2647" s="72"/>
      <c r="M2647" s="2"/>
      <c r="N2647" s="5"/>
      <c r="O2647" s="3"/>
      <c r="P2647" s="6"/>
      <c r="Q2647" s="48">
        <f>IF(Учет!$O2647=Справочники!$F$2,Учет!$H2647,0)</f>
        <v>0</v>
      </c>
      <c r="R2647" s="48">
        <f>IF(Учет!$O2647=Справочники!$F$3,Учет!$H2647,0)</f>
        <v>0</v>
      </c>
      <c r="S2647" s="48">
        <f>IF(Учет!$O2647=Справочники!$F$4,Учет!$H2647,0)</f>
        <v>0</v>
      </c>
      <c r="T2647" s="48">
        <f>IF(Учет!$O2647=Справочники!$F$5,Учет!$H2647,0)</f>
        <v>0</v>
      </c>
      <c r="U2647" s="48">
        <f>IF(Учет!$O2647=Справочники!$F$6,Учет!$H2647,0)</f>
        <v>0</v>
      </c>
      <c r="V2647" s="43">
        <f>V2646+Учет!Q2647-Q2647</f>
        <v>-488978.92000000004</v>
      </c>
      <c r="W2647" s="43">
        <f>W2646+Учет!R2647-R2647</f>
        <v>336855</v>
      </c>
      <c r="X2647" s="43">
        <f>X2646+Учет!S2647-S2647</f>
        <v>500</v>
      </c>
      <c r="Y2647" s="43">
        <f>Y2646+Учет!T2647-T2647</f>
        <v>1150</v>
      </c>
      <c r="Z2647" s="43">
        <f>Z2646+Учет!U2647-U2647</f>
        <v>500000</v>
      </c>
      <c r="AA2647" s="45">
        <f>Учет!X2647</f>
        <v>500</v>
      </c>
    </row>
    <row r="2648" spans="1:27" ht="15" customHeight="1" x14ac:dyDescent="0.25">
      <c r="A2648" s="1"/>
      <c r="B2648" s="17"/>
      <c r="C2648" s="17"/>
      <c r="D2648" s="17"/>
      <c r="E2648" s="17"/>
      <c r="F2648" s="17"/>
      <c r="G2648" s="4">
        <f t="shared" si="120"/>
        <v>0</v>
      </c>
      <c r="H2648" s="17"/>
      <c r="I2648" s="4">
        <f t="shared" si="122"/>
        <v>349526.07999999996</v>
      </c>
      <c r="J2648" s="32" t="str">
        <f t="shared" si="121"/>
        <v/>
      </c>
      <c r="K2648" s="72"/>
      <c r="L2648" s="72"/>
      <c r="M2648" s="2"/>
      <c r="N2648" s="5"/>
      <c r="O2648" s="3"/>
      <c r="P2648" s="6"/>
      <c r="Q2648" s="48">
        <f>IF(Учет!$O2648=Справочники!$F$2,Учет!$H2648,0)</f>
        <v>0</v>
      </c>
      <c r="R2648" s="48">
        <f>IF(Учет!$O2648=Справочники!$F$3,Учет!$H2648,0)</f>
        <v>0</v>
      </c>
      <c r="S2648" s="48">
        <f>IF(Учет!$O2648=Справочники!$F$4,Учет!$H2648,0)</f>
        <v>0</v>
      </c>
      <c r="T2648" s="48">
        <f>IF(Учет!$O2648=Справочники!$F$5,Учет!$H2648,0)</f>
        <v>0</v>
      </c>
      <c r="U2648" s="48">
        <f>IF(Учет!$O2648=Справочники!$F$6,Учет!$H2648,0)</f>
        <v>0</v>
      </c>
      <c r="V2648" s="43">
        <f>V2647+Учет!Q2648-Q2648</f>
        <v>-488978.92000000004</v>
      </c>
      <c r="W2648" s="43">
        <f>W2647+Учет!R2648-R2648</f>
        <v>336855</v>
      </c>
      <c r="X2648" s="43">
        <f>X2647+Учет!S2648-S2648</f>
        <v>500</v>
      </c>
      <c r="Y2648" s="43">
        <f>Y2647+Учет!T2648-T2648</f>
        <v>1150</v>
      </c>
      <c r="Z2648" s="43">
        <f>Z2647+Учет!U2648-U2648</f>
        <v>500000</v>
      </c>
      <c r="AA2648" s="45">
        <f>Учет!X2648</f>
        <v>500</v>
      </c>
    </row>
    <row r="2649" spans="1:27" ht="15" customHeight="1" x14ac:dyDescent="0.25">
      <c r="A2649" s="1"/>
      <c r="B2649" s="17"/>
      <c r="C2649" s="17"/>
      <c r="D2649" s="17"/>
      <c r="E2649" s="17"/>
      <c r="F2649" s="17"/>
      <c r="G2649" s="4">
        <f t="shared" si="120"/>
        <v>0</v>
      </c>
      <c r="H2649" s="17"/>
      <c r="I2649" s="4">
        <f t="shared" si="122"/>
        <v>349526.07999999996</v>
      </c>
      <c r="J2649" s="32" t="str">
        <f t="shared" si="121"/>
        <v/>
      </c>
      <c r="K2649" s="72"/>
      <c r="L2649" s="72"/>
      <c r="M2649" s="2"/>
      <c r="N2649" s="5"/>
      <c r="O2649" s="3"/>
      <c r="P2649" s="6"/>
      <c r="Q2649" s="48">
        <f>IF(Учет!$O2649=Справочники!$F$2,Учет!$H2649,0)</f>
        <v>0</v>
      </c>
      <c r="R2649" s="48">
        <f>IF(Учет!$O2649=Справочники!$F$3,Учет!$H2649,0)</f>
        <v>0</v>
      </c>
      <c r="S2649" s="48">
        <f>IF(Учет!$O2649=Справочники!$F$4,Учет!$H2649,0)</f>
        <v>0</v>
      </c>
      <c r="T2649" s="48">
        <f>IF(Учет!$O2649=Справочники!$F$5,Учет!$H2649,0)</f>
        <v>0</v>
      </c>
      <c r="U2649" s="48">
        <f>IF(Учет!$O2649=Справочники!$F$6,Учет!$H2649,0)</f>
        <v>0</v>
      </c>
      <c r="V2649" s="43">
        <f>V2648+Учет!Q2649-Q2649</f>
        <v>-488978.92000000004</v>
      </c>
      <c r="W2649" s="43">
        <f>W2648+Учет!R2649-R2649</f>
        <v>336855</v>
      </c>
      <c r="X2649" s="43">
        <f>X2648+Учет!S2649-S2649</f>
        <v>500</v>
      </c>
      <c r="Y2649" s="43">
        <f>Y2648+Учет!T2649-T2649</f>
        <v>1150</v>
      </c>
      <c r="Z2649" s="43">
        <f>Z2648+Учет!U2649-U2649</f>
        <v>500000</v>
      </c>
      <c r="AA2649" s="45">
        <f>Учет!X2649</f>
        <v>500</v>
      </c>
    </row>
    <row r="2650" spans="1:27" ht="15" customHeight="1" x14ac:dyDescent="0.25">
      <c r="A2650" s="1"/>
      <c r="B2650" s="17"/>
      <c r="C2650" s="17"/>
      <c r="D2650" s="17"/>
      <c r="E2650" s="17"/>
      <c r="F2650" s="17"/>
      <c r="G2650" s="4">
        <f t="shared" si="120"/>
        <v>0</v>
      </c>
      <c r="H2650" s="17"/>
      <c r="I2650" s="4">
        <f t="shared" si="122"/>
        <v>349526.07999999996</v>
      </c>
      <c r="J2650" s="32" t="str">
        <f t="shared" si="121"/>
        <v/>
      </c>
      <c r="K2650" s="72"/>
      <c r="L2650" s="72"/>
      <c r="M2650" s="2"/>
      <c r="N2650" s="5"/>
      <c r="O2650" s="3"/>
      <c r="P2650" s="6"/>
      <c r="Q2650" s="48">
        <f>IF(Учет!$O2650=Справочники!$F$2,Учет!$H2650,0)</f>
        <v>0</v>
      </c>
      <c r="R2650" s="48">
        <f>IF(Учет!$O2650=Справочники!$F$3,Учет!$H2650,0)</f>
        <v>0</v>
      </c>
      <c r="S2650" s="48">
        <f>IF(Учет!$O2650=Справочники!$F$4,Учет!$H2650,0)</f>
        <v>0</v>
      </c>
      <c r="T2650" s="48">
        <f>IF(Учет!$O2650=Справочники!$F$5,Учет!$H2650,0)</f>
        <v>0</v>
      </c>
      <c r="U2650" s="48">
        <f>IF(Учет!$O2650=Справочники!$F$6,Учет!$H2650,0)</f>
        <v>0</v>
      </c>
      <c r="V2650" s="43">
        <f>V2649+Учет!Q2650-Q2650</f>
        <v>-488978.92000000004</v>
      </c>
      <c r="W2650" s="43">
        <f>W2649+Учет!R2650-R2650</f>
        <v>336855</v>
      </c>
      <c r="X2650" s="43">
        <f>X2649+Учет!S2650-S2650</f>
        <v>500</v>
      </c>
      <c r="Y2650" s="43">
        <f>Y2649+Учет!T2650-T2650</f>
        <v>1150</v>
      </c>
      <c r="Z2650" s="43">
        <f>Z2649+Учет!U2650-U2650</f>
        <v>500000</v>
      </c>
      <c r="AA2650" s="45">
        <f>Учет!X2650</f>
        <v>500</v>
      </c>
    </row>
    <row r="2651" spans="1:27" ht="15" customHeight="1" x14ac:dyDescent="0.25">
      <c r="A2651" s="1"/>
      <c r="B2651" s="17"/>
      <c r="C2651" s="17"/>
      <c r="D2651" s="17"/>
      <c r="E2651" s="17"/>
      <c r="F2651" s="17"/>
      <c r="G2651" s="4">
        <f t="shared" si="120"/>
        <v>0</v>
      </c>
      <c r="H2651" s="17"/>
      <c r="I2651" s="4">
        <f t="shared" si="122"/>
        <v>349526.07999999996</v>
      </c>
      <c r="J2651" s="32" t="str">
        <f t="shared" si="121"/>
        <v/>
      </c>
      <c r="K2651" s="72"/>
      <c r="L2651" s="72"/>
      <c r="M2651" s="2"/>
      <c r="N2651" s="5"/>
      <c r="O2651" s="3"/>
      <c r="P2651" s="6"/>
      <c r="Q2651" s="48">
        <f>IF(Учет!$O2651=Справочники!$F$2,Учет!$H2651,0)</f>
        <v>0</v>
      </c>
      <c r="R2651" s="48">
        <f>IF(Учет!$O2651=Справочники!$F$3,Учет!$H2651,0)</f>
        <v>0</v>
      </c>
      <c r="S2651" s="48">
        <f>IF(Учет!$O2651=Справочники!$F$4,Учет!$H2651,0)</f>
        <v>0</v>
      </c>
      <c r="T2651" s="48">
        <f>IF(Учет!$O2651=Справочники!$F$5,Учет!$H2651,0)</f>
        <v>0</v>
      </c>
      <c r="U2651" s="48">
        <f>IF(Учет!$O2651=Справочники!$F$6,Учет!$H2651,0)</f>
        <v>0</v>
      </c>
      <c r="V2651" s="43">
        <f>V2650+Учет!Q2651-Q2651</f>
        <v>-488978.92000000004</v>
      </c>
      <c r="W2651" s="43">
        <f>W2650+Учет!R2651-R2651</f>
        <v>336855</v>
      </c>
      <c r="X2651" s="43">
        <f>X2650+Учет!S2651-S2651</f>
        <v>500</v>
      </c>
      <c r="Y2651" s="43">
        <f>Y2650+Учет!T2651-T2651</f>
        <v>1150</v>
      </c>
      <c r="Z2651" s="43">
        <f>Z2650+Учет!U2651-U2651</f>
        <v>500000</v>
      </c>
      <c r="AA2651" s="45">
        <f>Учет!X2651</f>
        <v>500</v>
      </c>
    </row>
    <row r="2652" spans="1:27" ht="15" customHeight="1" x14ac:dyDescent="0.25">
      <c r="A2652" s="1"/>
      <c r="B2652" s="17"/>
      <c r="C2652" s="17"/>
      <c r="D2652" s="17"/>
      <c r="E2652" s="17"/>
      <c r="F2652" s="17"/>
      <c r="G2652" s="4">
        <f t="shared" si="120"/>
        <v>0</v>
      </c>
      <c r="H2652" s="17"/>
      <c r="I2652" s="4">
        <f t="shared" si="122"/>
        <v>349526.07999999996</v>
      </c>
      <c r="J2652" s="32" t="str">
        <f t="shared" si="121"/>
        <v/>
      </c>
      <c r="K2652" s="72"/>
      <c r="L2652" s="72"/>
      <c r="M2652" s="2"/>
      <c r="N2652" s="5"/>
      <c r="O2652" s="3"/>
      <c r="P2652" s="6"/>
      <c r="Q2652" s="48">
        <f>IF(Учет!$O2652=Справочники!$F$2,Учет!$H2652,0)</f>
        <v>0</v>
      </c>
      <c r="R2652" s="48">
        <f>IF(Учет!$O2652=Справочники!$F$3,Учет!$H2652,0)</f>
        <v>0</v>
      </c>
      <c r="S2652" s="48">
        <f>IF(Учет!$O2652=Справочники!$F$4,Учет!$H2652,0)</f>
        <v>0</v>
      </c>
      <c r="T2652" s="48">
        <f>IF(Учет!$O2652=Справочники!$F$5,Учет!$H2652,0)</f>
        <v>0</v>
      </c>
      <c r="U2652" s="48">
        <f>IF(Учет!$O2652=Справочники!$F$6,Учет!$H2652,0)</f>
        <v>0</v>
      </c>
      <c r="V2652" s="43">
        <f>V2651+Учет!Q2652-Q2652</f>
        <v>-488978.92000000004</v>
      </c>
      <c r="W2652" s="43">
        <f>W2651+Учет!R2652-R2652</f>
        <v>336855</v>
      </c>
      <c r="X2652" s="43">
        <f>X2651+Учет!S2652-S2652</f>
        <v>500</v>
      </c>
      <c r="Y2652" s="43">
        <f>Y2651+Учет!T2652-T2652</f>
        <v>1150</v>
      </c>
      <c r="Z2652" s="43">
        <f>Z2651+Учет!U2652-U2652</f>
        <v>500000</v>
      </c>
      <c r="AA2652" s="45">
        <f>Учет!X2652</f>
        <v>500</v>
      </c>
    </row>
    <row r="2653" spans="1:27" ht="15" customHeight="1" x14ac:dyDescent="0.25">
      <c r="A2653" s="1"/>
      <c r="B2653" s="17"/>
      <c r="C2653" s="17"/>
      <c r="D2653" s="17"/>
      <c r="E2653" s="17"/>
      <c r="F2653" s="17"/>
      <c r="G2653" s="4">
        <f t="shared" si="120"/>
        <v>0</v>
      </c>
      <c r="H2653" s="17"/>
      <c r="I2653" s="4">
        <f t="shared" si="122"/>
        <v>349526.07999999996</v>
      </c>
      <c r="J2653" s="32" t="str">
        <f t="shared" si="121"/>
        <v/>
      </c>
      <c r="K2653" s="72"/>
      <c r="L2653" s="72"/>
      <c r="M2653" s="2"/>
      <c r="N2653" s="5"/>
      <c r="O2653" s="3"/>
      <c r="P2653" s="6"/>
      <c r="Q2653" s="48">
        <f>IF(Учет!$O2653=Справочники!$F$2,Учет!$H2653,0)</f>
        <v>0</v>
      </c>
      <c r="R2653" s="48">
        <f>IF(Учет!$O2653=Справочники!$F$3,Учет!$H2653,0)</f>
        <v>0</v>
      </c>
      <c r="S2653" s="48">
        <f>IF(Учет!$O2653=Справочники!$F$4,Учет!$H2653,0)</f>
        <v>0</v>
      </c>
      <c r="T2653" s="48">
        <f>IF(Учет!$O2653=Справочники!$F$5,Учет!$H2653,0)</f>
        <v>0</v>
      </c>
      <c r="U2653" s="48">
        <f>IF(Учет!$O2653=Справочники!$F$6,Учет!$H2653,0)</f>
        <v>0</v>
      </c>
      <c r="V2653" s="43">
        <f>V2652+Учет!Q2653-Q2653</f>
        <v>-488978.92000000004</v>
      </c>
      <c r="W2653" s="43">
        <f>W2652+Учет!R2653-R2653</f>
        <v>336855</v>
      </c>
      <c r="X2653" s="43">
        <f>X2652+Учет!S2653-S2653</f>
        <v>500</v>
      </c>
      <c r="Y2653" s="43">
        <f>Y2652+Учет!T2653-T2653</f>
        <v>1150</v>
      </c>
      <c r="Z2653" s="43">
        <f>Z2652+Учет!U2653-U2653</f>
        <v>500000</v>
      </c>
      <c r="AA2653" s="45">
        <f>Учет!X2653</f>
        <v>500</v>
      </c>
    </row>
    <row r="2654" spans="1:27" ht="15" customHeight="1" x14ac:dyDescent="0.25">
      <c r="A2654" s="1"/>
      <c r="B2654" s="17"/>
      <c r="C2654" s="17"/>
      <c r="D2654" s="17"/>
      <c r="E2654" s="17"/>
      <c r="F2654" s="17"/>
      <c r="G2654" s="4">
        <f t="shared" si="120"/>
        <v>0</v>
      </c>
      <c r="H2654" s="17"/>
      <c r="I2654" s="4">
        <f t="shared" si="122"/>
        <v>349526.07999999996</v>
      </c>
      <c r="J2654" s="32" t="str">
        <f t="shared" si="121"/>
        <v/>
      </c>
      <c r="K2654" s="72"/>
      <c r="L2654" s="72"/>
      <c r="M2654" s="2"/>
      <c r="N2654" s="5"/>
      <c r="O2654" s="3"/>
      <c r="P2654" s="6"/>
      <c r="Q2654" s="48">
        <f>IF(Учет!$O2654=Справочники!$F$2,Учет!$H2654,0)</f>
        <v>0</v>
      </c>
      <c r="R2654" s="48">
        <f>IF(Учет!$O2654=Справочники!$F$3,Учет!$H2654,0)</f>
        <v>0</v>
      </c>
      <c r="S2654" s="48">
        <f>IF(Учет!$O2654=Справочники!$F$4,Учет!$H2654,0)</f>
        <v>0</v>
      </c>
      <c r="T2654" s="48">
        <f>IF(Учет!$O2654=Справочники!$F$5,Учет!$H2654,0)</f>
        <v>0</v>
      </c>
      <c r="U2654" s="48">
        <f>IF(Учет!$O2654=Справочники!$F$6,Учет!$H2654,0)</f>
        <v>0</v>
      </c>
      <c r="V2654" s="43">
        <f>V2653+Учет!Q2654-Q2654</f>
        <v>-488978.92000000004</v>
      </c>
      <c r="W2654" s="43">
        <f>W2653+Учет!R2654-R2654</f>
        <v>336855</v>
      </c>
      <c r="X2654" s="43">
        <f>X2653+Учет!S2654-S2654</f>
        <v>500</v>
      </c>
      <c r="Y2654" s="43">
        <f>Y2653+Учет!T2654-T2654</f>
        <v>1150</v>
      </c>
      <c r="Z2654" s="43">
        <f>Z2653+Учет!U2654-U2654</f>
        <v>500000</v>
      </c>
      <c r="AA2654" s="45">
        <f>Учет!X2654</f>
        <v>500</v>
      </c>
    </row>
    <row r="2655" spans="1:27" ht="15" customHeight="1" x14ac:dyDescent="0.25">
      <c r="A2655" s="1"/>
      <c r="B2655" s="17"/>
      <c r="C2655" s="17"/>
      <c r="D2655" s="17"/>
      <c r="E2655" s="17"/>
      <c r="F2655" s="17"/>
      <c r="G2655" s="4">
        <f t="shared" si="120"/>
        <v>0</v>
      </c>
      <c r="H2655" s="17"/>
      <c r="I2655" s="4">
        <f t="shared" si="122"/>
        <v>349526.07999999996</v>
      </c>
      <c r="J2655" s="32" t="str">
        <f t="shared" si="121"/>
        <v/>
      </c>
      <c r="K2655" s="72"/>
      <c r="L2655" s="72"/>
      <c r="M2655" s="2"/>
      <c r="N2655" s="5"/>
      <c r="O2655" s="3"/>
      <c r="P2655" s="6"/>
      <c r="Q2655" s="48">
        <f>IF(Учет!$O2655=Справочники!$F$2,Учет!$H2655,0)</f>
        <v>0</v>
      </c>
      <c r="R2655" s="48">
        <f>IF(Учет!$O2655=Справочники!$F$3,Учет!$H2655,0)</f>
        <v>0</v>
      </c>
      <c r="S2655" s="48">
        <f>IF(Учет!$O2655=Справочники!$F$4,Учет!$H2655,0)</f>
        <v>0</v>
      </c>
      <c r="T2655" s="48">
        <f>IF(Учет!$O2655=Справочники!$F$5,Учет!$H2655,0)</f>
        <v>0</v>
      </c>
      <c r="U2655" s="48">
        <f>IF(Учет!$O2655=Справочники!$F$6,Учет!$H2655,0)</f>
        <v>0</v>
      </c>
      <c r="V2655" s="43">
        <f>V2654+Учет!Q2655-Q2655</f>
        <v>-488978.92000000004</v>
      </c>
      <c r="W2655" s="43">
        <f>W2654+Учет!R2655-R2655</f>
        <v>336855</v>
      </c>
      <c r="X2655" s="43">
        <f>X2654+Учет!S2655-S2655</f>
        <v>500</v>
      </c>
      <c r="Y2655" s="43">
        <f>Y2654+Учет!T2655-T2655</f>
        <v>1150</v>
      </c>
      <c r="Z2655" s="43">
        <f>Z2654+Учет!U2655-U2655</f>
        <v>500000</v>
      </c>
      <c r="AA2655" s="45">
        <f>Учет!X2655</f>
        <v>500</v>
      </c>
    </row>
    <row r="2656" spans="1:27" ht="15" customHeight="1" x14ac:dyDescent="0.25">
      <c r="A2656" s="1"/>
      <c r="B2656" s="17"/>
      <c r="C2656" s="17"/>
      <c r="D2656" s="17"/>
      <c r="E2656" s="17"/>
      <c r="F2656" s="17"/>
      <c r="G2656" s="4">
        <f t="shared" si="120"/>
        <v>0</v>
      </c>
      <c r="H2656" s="17"/>
      <c r="I2656" s="4">
        <f t="shared" si="122"/>
        <v>349526.07999999996</v>
      </c>
      <c r="J2656" s="32" t="str">
        <f t="shared" si="121"/>
        <v/>
      </c>
      <c r="K2656" s="72"/>
      <c r="L2656" s="72"/>
      <c r="M2656" s="2"/>
      <c r="N2656" s="5"/>
      <c r="O2656" s="3"/>
      <c r="P2656" s="6"/>
      <c r="Q2656" s="48">
        <f>IF(Учет!$O2656=Справочники!$F$2,Учет!$H2656,0)</f>
        <v>0</v>
      </c>
      <c r="R2656" s="48">
        <f>IF(Учет!$O2656=Справочники!$F$3,Учет!$H2656,0)</f>
        <v>0</v>
      </c>
      <c r="S2656" s="48">
        <f>IF(Учет!$O2656=Справочники!$F$4,Учет!$H2656,0)</f>
        <v>0</v>
      </c>
      <c r="T2656" s="48">
        <f>IF(Учет!$O2656=Справочники!$F$5,Учет!$H2656,0)</f>
        <v>0</v>
      </c>
      <c r="U2656" s="48">
        <f>IF(Учет!$O2656=Справочники!$F$6,Учет!$H2656,0)</f>
        <v>0</v>
      </c>
      <c r="V2656" s="43">
        <f>V2655+Учет!Q2656-Q2656</f>
        <v>-488978.92000000004</v>
      </c>
      <c r="W2656" s="43">
        <f>W2655+Учет!R2656-R2656</f>
        <v>336855</v>
      </c>
      <c r="X2656" s="43">
        <f>X2655+Учет!S2656-S2656</f>
        <v>500</v>
      </c>
      <c r="Y2656" s="43">
        <f>Y2655+Учет!T2656-T2656</f>
        <v>1150</v>
      </c>
      <c r="Z2656" s="43">
        <f>Z2655+Учет!U2656-U2656</f>
        <v>500000</v>
      </c>
      <c r="AA2656" s="45">
        <f>Учет!X2656</f>
        <v>500</v>
      </c>
    </row>
    <row r="2657" spans="1:27" ht="15" customHeight="1" x14ac:dyDescent="0.25">
      <c r="A2657" s="1"/>
      <c r="B2657" s="17"/>
      <c r="C2657" s="17"/>
      <c r="D2657" s="17"/>
      <c r="E2657" s="17"/>
      <c r="F2657" s="17"/>
      <c r="G2657" s="4">
        <f t="shared" si="120"/>
        <v>0</v>
      </c>
      <c r="H2657" s="17"/>
      <c r="I2657" s="4">
        <f t="shared" si="122"/>
        <v>349526.07999999996</v>
      </c>
      <c r="J2657" s="32" t="str">
        <f t="shared" si="121"/>
        <v/>
      </c>
      <c r="K2657" s="72"/>
      <c r="L2657" s="72"/>
      <c r="M2657" s="2"/>
      <c r="N2657" s="5"/>
      <c r="O2657" s="3"/>
      <c r="P2657" s="6"/>
      <c r="Q2657" s="48">
        <f>IF(Учет!$O2657=Справочники!$F$2,Учет!$H2657,0)</f>
        <v>0</v>
      </c>
      <c r="R2657" s="48">
        <f>IF(Учет!$O2657=Справочники!$F$3,Учет!$H2657,0)</f>
        <v>0</v>
      </c>
      <c r="S2657" s="48">
        <f>IF(Учет!$O2657=Справочники!$F$4,Учет!$H2657,0)</f>
        <v>0</v>
      </c>
      <c r="T2657" s="48">
        <f>IF(Учет!$O2657=Справочники!$F$5,Учет!$H2657,0)</f>
        <v>0</v>
      </c>
      <c r="U2657" s="48">
        <f>IF(Учет!$O2657=Справочники!$F$6,Учет!$H2657,0)</f>
        <v>0</v>
      </c>
      <c r="V2657" s="43">
        <f>V2656+Учет!Q2657-Q2657</f>
        <v>-488978.92000000004</v>
      </c>
      <c r="W2657" s="43">
        <f>W2656+Учет!R2657-R2657</f>
        <v>336855</v>
      </c>
      <c r="X2657" s="43">
        <f>X2656+Учет!S2657-S2657</f>
        <v>500</v>
      </c>
      <c r="Y2657" s="43">
        <f>Y2656+Учет!T2657-T2657</f>
        <v>1150</v>
      </c>
      <c r="Z2657" s="43">
        <f>Z2656+Учет!U2657-U2657</f>
        <v>500000</v>
      </c>
      <c r="AA2657" s="45">
        <f>Учет!X2657</f>
        <v>500</v>
      </c>
    </row>
    <row r="2658" spans="1:27" ht="15" customHeight="1" x14ac:dyDescent="0.25">
      <c r="A2658" s="1"/>
      <c r="B2658" s="17"/>
      <c r="C2658" s="17"/>
      <c r="D2658" s="17"/>
      <c r="E2658" s="17"/>
      <c r="F2658" s="17"/>
      <c r="G2658" s="4">
        <f t="shared" si="120"/>
        <v>0</v>
      </c>
      <c r="H2658" s="17"/>
      <c r="I2658" s="4">
        <f t="shared" si="122"/>
        <v>349526.07999999996</v>
      </c>
      <c r="J2658" s="32" t="str">
        <f t="shared" si="121"/>
        <v/>
      </c>
      <c r="K2658" s="72"/>
      <c r="L2658" s="72"/>
      <c r="M2658" s="2"/>
      <c r="N2658" s="5"/>
      <c r="O2658" s="3"/>
      <c r="P2658" s="6"/>
      <c r="Q2658" s="48">
        <f>IF(Учет!$O2658=Справочники!$F$2,Учет!$H2658,0)</f>
        <v>0</v>
      </c>
      <c r="R2658" s="48">
        <f>IF(Учет!$O2658=Справочники!$F$3,Учет!$H2658,0)</f>
        <v>0</v>
      </c>
      <c r="S2658" s="48">
        <f>IF(Учет!$O2658=Справочники!$F$4,Учет!$H2658,0)</f>
        <v>0</v>
      </c>
      <c r="T2658" s="48">
        <f>IF(Учет!$O2658=Справочники!$F$5,Учет!$H2658,0)</f>
        <v>0</v>
      </c>
      <c r="U2658" s="48">
        <f>IF(Учет!$O2658=Справочники!$F$6,Учет!$H2658,0)</f>
        <v>0</v>
      </c>
      <c r="V2658" s="43">
        <f>V2657+Учет!Q2658-Q2658</f>
        <v>-488978.92000000004</v>
      </c>
      <c r="W2658" s="43">
        <f>W2657+Учет!R2658-R2658</f>
        <v>336855</v>
      </c>
      <c r="X2658" s="43">
        <f>X2657+Учет!S2658-S2658</f>
        <v>500</v>
      </c>
      <c r="Y2658" s="43">
        <f>Y2657+Учет!T2658-T2658</f>
        <v>1150</v>
      </c>
      <c r="Z2658" s="43">
        <f>Z2657+Учет!U2658-U2658</f>
        <v>500000</v>
      </c>
      <c r="AA2658" s="45">
        <f>Учет!X2658</f>
        <v>500</v>
      </c>
    </row>
    <row r="2659" spans="1:27" ht="15" customHeight="1" x14ac:dyDescent="0.25">
      <c r="A2659" s="1"/>
      <c r="B2659" s="17"/>
      <c r="C2659" s="17"/>
      <c r="D2659" s="17"/>
      <c r="E2659" s="17"/>
      <c r="F2659" s="17"/>
      <c r="G2659" s="4">
        <f t="shared" si="120"/>
        <v>0</v>
      </c>
      <c r="H2659" s="17"/>
      <c r="I2659" s="4">
        <f t="shared" si="122"/>
        <v>349526.07999999996</v>
      </c>
      <c r="J2659" s="32" t="str">
        <f t="shared" si="121"/>
        <v/>
      </c>
      <c r="K2659" s="72"/>
      <c r="L2659" s="72"/>
      <c r="M2659" s="2"/>
      <c r="N2659" s="5"/>
      <c r="O2659" s="3"/>
      <c r="P2659" s="6"/>
      <c r="Q2659" s="48">
        <f>IF(Учет!$O2659=Справочники!$F$2,Учет!$H2659,0)</f>
        <v>0</v>
      </c>
      <c r="R2659" s="48">
        <f>IF(Учет!$O2659=Справочники!$F$3,Учет!$H2659,0)</f>
        <v>0</v>
      </c>
      <c r="S2659" s="48">
        <f>IF(Учет!$O2659=Справочники!$F$4,Учет!$H2659,0)</f>
        <v>0</v>
      </c>
      <c r="T2659" s="48">
        <f>IF(Учет!$O2659=Справочники!$F$5,Учет!$H2659,0)</f>
        <v>0</v>
      </c>
      <c r="U2659" s="48">
        <f>IF(Учет!$O2659=Справочники!$F$6,Учет!$H2659,0)</f>
        <v>0</v>
      </c>
      <c r="V2659" s="43">
        <f>V2658+Учет!Q2659-Q2659</f>
        <v>-488978.92000000004</v>
      </c>
      <c r="W2659" s="43">
        <f>W2658+Учет!R2659-R2659</f>
        <v>336855</v>
      </c>
      <c r="X2659" s="43">
        <f>X2658+Учет!S2659-S2659</f>
        <v>500</v>
      </c>
      <c r="Y2659" s="43">
        <f>Y2658+Учет!T2659-T2659</f>
        <v>1150</v>
      </c>
      <c r="Z2659" s="43">
        <f>Z2658+Учет!U2659-U2659</f>
        <v>500000</v>
      </c>
      <c r="AA2659" s="45">
        <f>Учет!X2659</f>
        <v>500</v>
      </c>
    </row>
    <row r="2660" spans="1:27" ht="15" customHeight="1" x14ac:dyDescent="0.25">
      <c r="A2660" s="1"/>
      <c r="B2660" s="17"/>
      <c r="C2660" s="17"/>
      <c r="D2660" s="17"/>
      <c r="E2660" s="17"/>
      <c r="F2660" s="17"/>
      <c r="G2660" s="4">
        <f t="shared" si="120"/>
        <v>0</v>
      </c>
      <c r="H2660" s="17"/>
      <c r="I2660" s="4">
        <f t="shared" si="122"/>
        <v>349526.07999999996</v>
      </c>
      <c r="J2660" s="32" t="str">
        <f t="shared" si="121"/>
        <v/>
      </c>
      <c r="K2660" s="72"/>
      <c r="L2660" s="72"/>
      <c r="M2660" s="2"/>
      <c r="N2660" s="5"/>
      <c r="O2660" s="3"/>
      <c r="P2660" s="6"/>
      <c r="Q2660" s="48">
        <f>IF(Учет!$O2660=Справочники!$F$2,Учет!$H2660,0)</f>
        <v>0</v>
      </c>
      <c r="R2660" s="48">
        <f>IF(Учет!$O2660=Справочники!$F$3,Учет!$H2660,0)</f>
        <v>0</v>
      </c>
      <c r="S2660" s="48">
        <f>IF(Учет!$O2660=Справочники!$F$4,Учет!$H2660,0)</f>
        <v>0</v>
      </c>
      <c r="T2660" s="48">
        <f>IF(Учет!$O2660=Справочники!$F$5,Учет!$H2660,0)</f>
        <v>0</v>
      </c>
      <c r="U2660" s="48">
        <f>IF(Учет!$O2660=Справочники!$F$6,Учет!$H2660,0)</f>
        <v>0</v>
      </c>
      <c r="V2660" s="43">
        <f>V2659+Учет!Q2660-Q2660</f>
        <v>-488978.92000000004</v>
      </c>
      <c r="W2660" s="43">
        <f>W2659+Учет!R2660-R2660</f>
        <v>336855</v>
      </c>
      <c r="X2660" s="43">
        <f>X2659+Учет!S2660-S2660</f>
        <v>500</v>
      </c>
      <c r="Y2660" s="43">
        <f>Y2659+Учет!T2660-T2660</f>
        <v>1150</v>
      </c>
      <c r="Z2660" s="43">
        <f>Z2659+Учет!U2660-U2660</f>
        <v>500000</v>
      </c>
      <c r="AA2660" s="45">
        <f>Учет!X2660</f>
        <v>500</v>
      </c>
    </row>
    <row r="2661" spans="1:27" ht="15" customHeight="1" x14ac:dyDescent="0.25">
      <c r="A2661" s="1"/>
      <c r="B2661" s="17"/>
      <c r="C2661" s="17"/>
      <c r="D2661" s="17"/>
      <c r="E2661" s="17"/>
      <c r="F2661" s="17"/>
      <c r="G2661" s="4">
        <f t="shared" si="120"/>
        <v>0</v>
      </c>
      <c r="H2661" s="17"/>
      <c r="I2661" s="4">
        <f t="shared" si="122"/>
        <v>349526.07999999996</v>
      </c>
      <c r="J2661" s="32" t="str">
        <f t="shared" si="121"/>
        <v/>
      </c>
      <c r="K2661" s="72"/>
      <c r="L2661" s="72"/>
      <c r="M2661" s="2"/>
      <c r="N2661" s="5"/>
      <c r="O2661" s="3"/>
      <c r="P2661" s="6"/>
      <c r="Q2661" s="48">
        <f>IF(Учет!$O2661=Справочники!$F$2,Учет!$H2661,0)</f>
        <v>0</v>
      </c>
      <c r="R2661" s="48">
        <f>IF(Учет!$O2661=Справочники!$F$3,Учет!$H2661,0)</f>
        <v>0</v>
      </c>
      <c r="S2661" s="48">
        <f>IF(Учет!$O2661=Справочники!$F$4,Учет!$H2661,0)</f>
        <v>0</v>
      </c>
      <c r="T2661" s="48">
        <f>IF(Учет!$O2661=Справочники!$F$5,Учет!$H2661,0)</f>
        <v>0</v>
      </c>
      <c r="U2661" s="48">
        <f>IF(Учет!$O2661=Справочники!$F$6,Учет!$H2661,0)</f>
        <v>0</v>
      </c>
      <c r="V2661" s="43">
        <f>V2660+Учет!Q2661-Q2661</f>
        <v>-488978.92000000004</v>
      </c>
      <c r="W2661" s="43">
        <f>W2660+Учет!R2661-R2661</f>
        <v>336855</v>
      </c>
      <c r="X2661" s="43">
        <f>X2660+Учет!S2661-S2661</f>
        <v>500</v>
      </c>
      <c r="Y2661" s="43">
        <f>Y2660+Учет!T2661-T2661</f>
        <v>1150</v>
      </c>
      <c r="Z2661" s="43">
        <f>Z2660+Учет!U2661-U2661</f>
        <v>500000</v>
      </c>
      <c r="AA2661" s="45">
        <f>Учет!X2661</f>
        <v>500</v>
      </c>
    </row>
    <row r="2662" spans="1:27" ht="15" customHeight="1" x14ac:dyDescent="0.25">
      <c r="A2662" s="1"/>
      <c r="B2662" s="17"/>
      <c r="C2662" s="17"/>
      <c r="D2662" s="17"/>
      <c r="E2662" s="17"/>
      <c r="F2662" s="17"/>
      <c r="G2662" s="4">
        <f t="shared" si="120"/>
        <v>0</v>
      </c>
      <c r="H2662" s="17"/>
      <c r="I2662" s="4">
        <f t="shared" si="122"/>
        <v>349526.07999999996</v>
      </c>
      <c r="J2662" s="32" t="str">
        <f t="shared" si="121"/>
        <v/>
      </c>
      <c r="K2662" s="72"/>
      <c r="L2662" s="72"/>
      <c r="M2662" s="2"/>
      <c r="N2662" s="5"/>
      <c r="O2662" s="3"/>
      <c r="P2662" s="6"/>
      <c r="Q2662" s="48">
        <f>IF(Учет!$O2662=Справочники!$F$2,Учет!$H2662,0)</f>
        <v>0</v>
      </c>
      <c r="R2662" s="48">
        <f>IF(Учет!$O2662=Справочники!$F$3,Учет!$H2662,0)</f>
        <v>0</v>
      </c>
      <c r="S2662" s="48">
        <f>IF(Учет!$O2662=Справочники!$F$4,Учет!$H2662,0)</f>
        <v>0</v>
      </c>
      <c r="T2662" s="48">
        <f>IF(Учет!$O2662=Справочники!$F$5,Учет!$H2662,0)</f>
        <v>0</v>
      </c>
      <c r="U2662" s="48">
        <f>IF(Учет!$O2662=Справочники!$F$6,Учет!$H2662,0)</f>
        <v>0</v>
      </c>
      <c r="V2662" s="43">
        <f>V2661+Учет!Q2662-Q2662</f>
        <v>-488978.92000000004</v>
      </c>
      <c r="W2662" s="43">
        <f>W2661+Учет!R2662-R2662</f>
        <v>336855</v>
      </c>
      <c r="X2662" s="43">
        <f>X2661+Учет!S2662-S2662</f>
        <v>500</v>
      </c>
      <c r="Y2662" s="43">
        <f>Y2661+Учет!T2662-T2662</f>
        <v>1150</v>
      </c>
      <c r="Z2662" s="43">
        <f>Z2661+Учет!U2662-U2662</f>
        <v>500000</v>
      </c>
      <c r="AA2662" s="45">
        <f>Учет!X2662</f>
        <v>500</v>
      </c>
    </row>
    <row r="2663" spans="1:27" ht="15" customHeight="1" x14ac:dyDescent="0.25">
      <c r="A2663" s="1"/>
      <c r="B2663" s="17"/>
      <c r="C2663" s="17"/>
      <c r="D2663" s="17"/>
      <c r="E2663" s="17"/>
      <c r="F2663" s="17"/>
      <c r="G2663" s="4">
        <f t="shared" si="120"/>
        <v>0</v>
      </c>
      <c r="H2663" s="17"/>
      <c r="I2663" s="4">
        <f t="shared" si="122"/>
        <v>349526.07999999996</v>
      </c>
      <c r="J2663" s="32" t="str">
        <f t="shared" si="121"/>
        <v/>
      </c>
      <c r="K2663" s="72"/>
      <c r="L2663" s="72"/>
      <c r="M2663" s="2"/>
      <c r="N2663" s="5"/>
      <c r="O2663" s="3"/>
      <c r="P2663" s="6"/>
      <c r="Q2663" s="48">
        <f>IF(Учет!$O2663=Справочники!$F$2,Учет!$H2663,0)</f>
        <v>0</v>
      </c>
      <c r="R2663" s="48">
        <f>IF(Учет!$O2663=Справочники!$F$3,Учет!$H2663,0)</f>
        <v>0</v>
      </c>
      <c r="S2663" s="48">
        <f>IF(Учет!$O2663=Справочники!$F$4,Учет!$H2663,0)</f>
        <v>0</v>
      </c>
      <c r="T2663" s="48">
        <f>IF(Учет!$O2663=Справочники!$F$5,Учет!$H2663,0)</f>
        <v>0</v>
      </c>
      <c r="U2663" s="48">
        <f>IF(Учет!$O2663=Справочники!$F$6,Учет!$H2663,0)</f>
        <v>0</v>
      </c>
      <c r="V2663" s="43">
        <f>V2662+Учет!Q2663-Q2663</f>
        <v>-488978.92000000004</v>
      </c>
      <c r="W2663" s="43">
        <f>W2662+Учет!R2663-R2663</f>
        <v>336855</v>
      </c>
      <c r="X2663" s="43">
        <f>X2662+Учет!S2663-S2663</f>
        <v>500</v>
      </c>
      <c r="Y2663" s="43">
        <f>Y2662+Учет!T2663-T2663</f>
        <v>1150</v>
      </c>
      <c r="Z2663" s="43">
        <f>Z2662+Учет!U2663-U2663</f>
        <v>500000</v>
      </c>
      <c r="AA2663" s="45">
        <f>Учет!X2663</f>
        <v>500</v>
      </c>
    </row>
    <row r="2664" spans="1:27" ht="15" customHeight="1" x14ac:dyDescent="0.25">
      <c r="A2664" s="1"/>
      <c r="B2664" s="17"/>
      <c r="C2664" s="17"/>
      <c r="D2664" s="17"/>
      <c r="E2664" s="17"/>
      <c r="F2664" s="17"/>
      <c r="G2664" s="4">
        <f t="shared" si="120"/>
        <v>0</v>
      </c>
      <c r="H2664" s="17"/>
      <c r="I2664" s="4">
        <f t="shared" si="122"/>
        <v>349526.07999999996</v>
      </c>
      <c r="J2664" s="32" t="str">
        <f t="shared" si="121"/>
        <v/>
      </c>
      <c r="K2664" s="72"/>
      <c r="L2664" s="72"/>
      <c r="M2664" s="2"/>
      <c r="N2664" s="5"/>
      <c r="O2664" s="3"/>
      <c r="P2664" s="6"/>
      <c r="Q2664" s="48">
        <f>IF(Учет!$O2664=Справочники!$F$2,Учет!$H2664,0)</f>
        <v>0</v>
      </c>
      <c r="R2664" s="48">
        <f>IF(Учет!$O2664=Справочники!$F$3,Учет!$H2664,0)</f>
        <v>0</v>
      </c>
      <c r="S2664" s="48">
        <f>IF(Учет!$O2664=Справочники!$F$4,Учет!$H2664,0)</f>
        <v>0</v>
      </c>
      <c r="T2664" s="48">
        <f>IF(Учет!$O2664=Справочники!$F$5,Учет!$H2664,0)</f>
        <v>0</v>
      </c>
      <c r="U2664" s="48">
        <f>IF(Учет!$O2664=Справочники!$F$6,Учет!$H2664,0)</f>
        <v>0</v>
      </c>
      <c r="V2664" s="43">
        <f>V2663+Учет!Q2664-Q2664</f>
        <v>-488978.92000000004</v>
      </c>
      <c r="W2664" s="43">
        <f>W2663+Учет!R2664-R2664</f>
        <v>336855</v>
      </c>
      <c r="X2664" s="43">
        <f>X2663+Учет!S2664-S2664</f>
        <v>500</v>
      </c>
      <c r="Y2664" s="43">
        <f>Y2663+Учет!T2664-T2664</f>
        <v>1150</v>
      </c>
      <c r="Z2664" s="43">
        <f>Z2663+Учет!U2664-U2664</f>
        <v>500000</v>
      </c>
      <c r="AA2664" s="45">
        <f>Учет!X2664</f>
        <v>500</v>
      </c>
    </row>
    <row r="2665" spans="1:27" ht="15" customHeight="1" x14ac:dyDescent="0.25">
      <c r="A2665" s="1"/>
      <c r="B2665" s="17"/>
      <c r="C2665" s="17"/>
      <c r="D2665" s="17"/>
      <c r="E2665" s="17"/>
      <c r="F2665" s="17"/>
      <c r="G2665" s="4">
        <f t="shared" si="120"/>
        <v>0</v>
      </c>
      <c r="H2665" s="17"/>
      <c r="I2665" s="4">
        <f t="shared" si="122"/>
        <v>349526.07999999996</v>
      </c>
      <c r="J2665" s="32" t="str">
        <f t="shared" si="121"/>
        <v/>
      </c>
      <c r="K2665" s="72"/>
      <c r="L2665" s="72"/>
      <c r="M2665" s="2"/>
      <c r="N2665" s="5"/>
      <c r="O2665" s="3"/>
      <c r="P2665" s="6"/>
      <c r="Q2665" s="48">
        <f>IF(Учет!$O2665=Справочники!$F$2,Учет!$H2665,0)</f>
        <v>0</v>
      </c>
      <c r="R2665" s="48">
        <f>IF(Учет!$O2665=Справочники!$F$3,Учет!$H2665,0)</f>
        <v>0</v>
      </c>
      <c r="S2665" s="48">
        <f>IF(Учет!$O2665=Справочники!$F$4,Учет!$H2665,0)</f>
        <v>0</v>
      </c>
      <c r="T2665" s="48">
        <f>IF(Учет!$O2665=Справочники!$F$5,Учет!$H2665,0)</f>
        <v>0</v>
      </c>
      <c r="U2665" s="48">
        <f>IF(Учет!$O2665=Справочники!$F$6,Учет!$H2665,0)</f>
        <v>0</v>
      </c>
      <c r="V2665" s="43">
        <f>V2664+Учет!Q2665-Q2665</f>
        <v>-488978.92000000004</v>
      </c>
      <c r="W2665" s="43">
        <f>W2664+Учет!R2665-R2665</f>
        <v>336855</v>
      </c>
      <c r="X2665" s="43">
        <f>X2664+Учет!S2665-S2665</f>
        <v>500</v>
      </c>
      <c r="Y2665" s="43">
        <f>Y2664+Учет!T2665-T2665</f>
        <v>1150</v>
      </c>
      <c r="Z2665" s="43">
        <f>Z2664+Учет!U2665-U2665</f>
        <v>500000</v>
      </c>
      <c r="AA2665" s="45">
        <f>Учет!X2665</f>
        <v>500</v>
      </c>
    </row>
    <row r="2666" spans="1:27" ht="15" customHeight="1" x14ac:dyDescent="0.25">
      <c r="A2666" s="1"/>
      <c r="B2666" s="17"/>
      <c r="C2666" s="17"/>
      <c r="D2666" s="17"/>
      <c r="E2666" s="17"/>
      <c r="F2666" s="17"/>
      <c r="G2666" s="4">
        <f t="shared" si="120"/>
        <v>0</v>
      </c>
      <c r="H2666" s="17"/>
      <c r="I2666" s="4">
        <f t="shared" si="122"/>
        <v>349526.07999999996</v>
      </c>
      <c r="J2666" s="32" t="str">
        <f t="shared" si="121"/>
        <v/>
      </c>
      <c r="K2666" s="72"/>
      <c r="L2666" s="72"/>
      <c r="M2666" s="2"/>
      <c r="N2666" s="5"/>
      <c r="O2666" s="3"/>
      <c r="P2666" s="6"/>
      <c r="Q2666" s="48">
        <f>IF(Учет!$O2666=Справочники!$F$2,Учет!$H2666,0)</f>
        <v>0</v>
      </c>
      <c r="R2666" s="48">
        <f>IF(Учет!$O2666=Справочники!$F$3,Учет!$H2666,0)</f>
        <v>0</v>
      </c>
      <c r="S2666" s="48">
        <f>IF(Учет!$O2666=Справочники!$F$4,Учет!$H2666,0)</f>
        <v>0</v>
      </c>
      <c r="T2666" s="48">
        <f>IF(Учет!$O2666=Справочники!$F$5,Учет!$H2666,0)</f>
        <v>0</v>
      </c>
      <c r="U2666" s="48">
        <f>IF(Учет!$O2666=Справочники!$F$6,Учет!$H2666,0)</f>
        <v>0</v>
      </c>
      <c r="V2666" s="43">
        <f>V2665+Учет!Q2666-Q2666</f>
        <v>-488978.92000000004</v>
      </c>
      <c r="W2666" s="43">
        <f>W2665+Учет!R2666-R2666</f>
        <v>336855</v>
      </c>
      <c r="X2666" s="43">
        <f>X2665+Учет!S2666-S2666</f>
        <v>500</v>
      </c>
      <c r="Y2666" s="43">
        <f>Y2665+Учет!T2666-T2666</f>
        <v>1150</v>
      </c>
      <c r="Z2666" s="43">
        <f>Z2665+Учет!U2666-U2666</f>
        <v>500000</v>
      </c>
      <c r="AA2666" s="45">
        <f>Учет!X2666</f>
        <v>500</v>
      </c>
    </row>
    <row r="2667" spans="1:27" ht="15" customHeight="1" x14ac:dyDescent="0.25">
      <c r="A2667" s="1"/>
      <c r="B2667" s="17"/>
      <c r="C2667" s="17"/>
      <c r="D2667" s="17"/>
      <c r="E2667" s="17"/>
      <c r="F2667" s="17"/>
      <c r="G2667" s="4">
        <f t="shared" si="120"/>
        <v>0</v>
      </c>
      <c r="H2667" s="17"/>
      <c r="I2667" s="4">
        <f t="shared" si="122"/>
        <v>349526.07999999996</v>
      </c>
      <c r="J2667" s="32" t="str">
        <f t="shared" si="121"/>
        <v/>
      </c>
      <c r="K2667" s="72"/>
      <c r="L2667" s="72"/>
      <c r="M2667" s="2"/>
      <c r="N2667" s="5"/>
      <c r="O2667" s="3"/>
      <c r="P2667" s="6"/>
      <c r="Q2667" s="48">
        <f>IF(Учет!$O2667=Справочники!$F$2,Учет!$H2667,0)</f>
        <v>0</v>
      </c>
      <c r="R2667" s="48">
        <f>IF(Учет!$O2667=Справочники!$F$3,Учет!$H2667,0)</f>
        <v>0</v>
      </c>
      <c r="S2667" s="48">
        <f>IF(Учет!$O2667=Справочники!$F$4,Учет!$H2667,0)</f>
        <v>0</v>
      </c>
      <c r="T2667" s="48">
        <f>IF(Учет!$O2667=Справочники!$F$5,Учет!$H2667,0)</f>
        <v>0</v>
      </c>
      <c r="U2667" s="48">
        <f>IF(Учет!$O2667=Справочники!$F$6,Учет!$H2667,0)</f>
        <v>0</v>
      </c>
      <c r="V2667" s="43">
        <f>V2666+Учет!Q2667-Q2667</f>
        <v>-488978.92000000004</v>
      </c>
      <c r="W2667" s="43">
        <f>W2666+Учет!R2667-R2667</f>
        <v>336855</v>
      </c>
      <c r="X2667" s="43">
        <f>X2666+Учет!S2667-S2667</f>
        <v>500</v>
      </c>
      <c r="Y2667" s="43">
        <f>Y2666+Учет!T2667-T2667</f>
        <v>1150</v>
      </c>
      <c r="Z2667" s="43">
        <f>Z2666+Учет!U2667-U2667</f>
        <v>500000</v>
      </c>
      <c r="AA2667" s="45">
        <f>Учет!X2667</f>
        <v>500</v>
      </c>
    </row>
    <row r="2668" spans="1:27" ht="15" customHeight="1" x14ac:dyDescent="0.25">
      <c r="A2668" s="1"/>
      <c r="B2668" s="17"/>
      <c r="C2668" s="17"/>
      <c r="D2668" s="17"/>
      <c r="E2668" s="17"/>
      <c r="F2668" s="17"/>
      <c r="G2668" s="4">
        <f t="shared" si="120"/>
        <v>0</v>
      </c>
      <c r="H2668" s="17"/>
      <c r="I2668" s="4">
        <f t="shared" si="122"/>
        <v>349526.07999999996</v>
      </c>
      <c r="J2668" s="32" t="str">
        <f t="shared" si="121"/>
        <v/>
      </c>
      <c r="K2668" s="72"/>
      <c r="L2668" s="72"/>
      <c r="M2668" s="2"/>
      <c r="N2668" s="5"/>
      <c r="O2668" s="3"/>
      <c r="P2668" s="6"/>
      <c r="Q2668" s="48">
        <f>IF(Учет!$O2668=Справочники!$F$2,Учет!$H2668,0)</f>
        <v>0</v>
      </c>
      <c r="R2668" s="48">
        <f>IF(Учет!$O2668=Справочники!$F$3,Учет!$H2668,0)</f>
        <v>0</v>
      </c>
      <c r="S2668" s="48">
        <f>IF(Учет!$O2668=Справочники!$F$4,Учет!$H2668,0)</f>
        <v>0</v>
      </c>
      <c r="T2668" s="48">
        <f>IF(Учет!$O2668=Справочники!$F$5,Учет!$H2668,0)</f>
        <v>0</v>
      </c>
      <c r="U2668" s="48">
        <f>IF(Учет!$O2668=Справочники!$F$6,Учет!$H2668,0)</f>
        <v>0</v>
      </c>
      <c r="V2668" s="43">
        <f>V2667+Учет!Q2668-Q2668</f>
        <v>-488978.92000000004</v>
      </c>
      <c r="W2668" s="43">
        <f>W2667+Учет!R2668-R2668</f>
        <v>336855</v>
      </c>
      <c r="X2668" s="43">
        <f>X2667+Учет!S2668-S2668</f>
        <v>500</v>
      </c>
      <c r="Y2668" s="43">
        <f>Y2667+Учет!T2668-T2668</f>
        <v>1150</v>
      </c>
      <c r="Z2668" s="43">
        <f>Z2667+Учет!U2668-U2668</f>
        <v>500000</v>
      </c>
      <c r="AA2668" s="45">
        <f>Учет!X2668</f>
        <v>500</v>
      </c>
    </row>
    <row r="2669" spans="1:27" ht="15" customHeight="1" x14ac:dyDescent="0.25">
      <c r="A2669" s="1"/>
      <c r="B2669" s="17"/>
      <c r="C2669" s="17"/>
      <c r="D2669" s="17"/>
      <c r="E2669" s="17"/>
      <c r="F2669" s="17"/>
      <c r="G2669" s="4">
        <f t="shared" si="120"/>
        <v>0</v>
      </c>
      <c r="H2669" s="17"/>
      <c r="I2669" s="4">
        <f t="shared" si="122"/>
        <v>349526.07999999996</v>
      </c>
      <c r="J2669" s="32" t="str">
        <f t="shared" si="121"/>
        <v/>
      </c>
      <c r="K2669" s="72"/>
      <c r="L2669" s="72"/>
      <c r="M2669" s="2"/>
      <c r="N2669" s="5"/>
      <c r="O2669" s="3"/>
      <c r="P2669" s="6"/>
      <c r="Q2669" s="48">
        <f>IF(Учет!$O2669=Справочники!$F$2,Учет!$H2669,0)</f>
        <v>0</v>
      </c>
      <c r="R2669" s="48">
        <f>IF(Учет!$O2669=Справочники!$F$3,Учет!$H2669,0)</f>
        <v>0</v>
      </c>
      <c r="S2669" s="48">
        <f>IF(Учет!$O2669=Справочники!$F$4,Учет!$H2669,0)</f>
        <v>0</v>
      </c>
      <c r="T2669" s="48">
        <f>IF(Учет!$O2669=Справочники!$F$5,Учет!$H2669,0)</f>
        <v>0</v>
      </c>
      <c r="U2669" s="48">
        <f>IF(Учет!$O2669=Справочники!$F$6,Учет!$H2669,0)</f>
        <v>0</v>
      </c>
      <c r="V2669" s="43">
        <f>V2668+Учет!Q2669-Q2669</f>
        <v>-488978.92000000004</v>
      </c>
      <c r="W2669" s="43">
        <f>W2668+Учет!R2669-R2669</f>
        <v>336855</v>
      </c>
      <c r="X2669" s="43">
        <f>X2668+Учет!S2669-S2669</f>
        <v>500</v>
      </c>
      <c r="Y2669" s="43">
        <f>Y2668+Учет!T2669-T2669</f>
        <v>1150</v>
      </c>
      <c r="Z2669" s="43">
        <f>Z2668+Учет!U2669-U2669</f>
        <v>500000</v>
      </c>
      <c r="AA2669" s="45">
        <f>Учет!X2669</f>
        <v>500</v>
      </c>
    </row>
    <row r="2670" spans="1:27" ht="15" customHeight="1" x14ac:dyDescent="0.25">
      <c r="A2670" s="1"/>
      <c r="B2670" s="17"/>
      <c r="C2670" s="17"/>
      <c r="D2670" s="17"/>
      <c r="E2670" s="17"/>
      <c r="F2670" s="17"/>
      <c r="G2670" s="4">
        <f t="shared" si="120"/>
        <v>0</v>
      </c>
      <c r="H2670" s="17"/>
      <c r="I2670" s="4">
        <f t="shared" si="122"/>
        <v>349526.07999999996</v>
      </c>
      <c r="J2670" s="32" t="str">
        <f t="shared" si="121"/>
        <v/>
      </c>
      <c r="K2670" s="72"/>
      <c r="L2670" s="72"/>
      <c r="M2670" s="2"/>
      <c r="N2670" s="5"/>
      <c r="O2670" s="3"/>
      <c r="P2670" s="6"/>
      <c r="Q2670" s="48">
        <f>IF(Учет!$O2670=Справочники!$F$2,Учет!$H2670,0)</f>
        <v>0</v>
      </c>
      <c r="R2670" s="48">
        <f>IF(Учет!$O2670=Справочники!$F$3,Учет!$H2670,0)</f>
        <v>0</v>
      </c>
      <c r="S2670" s="48">
        <f>IF(Учет!$O2670=Справочники!$F$4,Учет!$H2670,0)</f>
        <v>0</v>
      </c>
      <c r="T2670" s="48">
        <f>IF(Учет!$O2670=Справочники!$F$5,Учет!$H2670,0)</f>
        <v>0</v>
      </c>
      <c r="U2670" s="48">
        <f>IF(Учет!$O2670=Справочники!$F$6,Учет!$H2670,0)</f>
        <v>0</v>
      </c>
      <c r="V2670" s="43">
        <f>V2669+Учет!Q2670-Q2670</f>
        <v>-488978.92000000004</v>
      </c>
      <c r="W2670" s="43">
        <f>W2669+Учет!R2670-R2670</f>
        <v>336855</v>
      </c>
      <c r="X2670" s="43">
        <f>X2669+Учет!S2670-S2670</f>
        <v>500</v>
      </c>
      <c r="Y2670" s="43">
        <f>Y2669+Учет!T2670-T2670</f>
        <v>1150</v>
      </c>
      <c r="Z2670" s="43">
        <f>Z2669+Учет!U2670-U2670</f>
        <v>500000</v>
      </c>
      <c r="AA2670" s="45">
        <f>Учет!X2670</f>
        <v>500</v>
      </c>
    </row>
    <row r="2671" spans="1:27" ht="15" customHeight="1" x14ac:dyDescent="0.25">
      <c r="A2671" s="1"/>
      <c r="B2671" s="17"/>
      <c r="C2671" s="17"/>
      <c r="D2671" s="17"/>
      <c r="E2671" s="17"/>
      <c r="F2671" s="17"/>
      <c r="G2671" s="4">
        <f t="shared" si="120"/>
        <v>0</v>
      </c>
      <c r="H2671" s="17"/>
      <c r="I2671" s="4">
        <f t="shared" si="122"/>
        <v>349526.07999999996</v>
      </c>
      <c r="J2671" s="32" t="str">
        <f t="shared" si="121"/>
        <v/>
      </c>
      <c r="K2671" s="72"/>
      <c r="L2671" s="72"/>
      <c r="M2671" s="2"/>
      <c r="N2671" s="5"/>
      <c r="O2671" s="3"/>
      <c r="P2671" s="6"/>
      <c r="Q2671" s="48">
        <f>IF(Учет!$O2671=Справочники!$F$2,Учет!$H2671,0)</f>
        <v>0</v>
      </c>
      <c r="R2671" s="48">
        <f>IF(Учет!$O2671=Справочники!$F$3,Учет!$H2671,0)</f>
        <v>0</v>
      </c>
      <c r="S2671" s="48">
        <f>IF(Учет!$O2671=Справочники!$F$4,Учет!$H2671,0)</f>
        <v>0</v>
      </c>
      <c r="T2671" s="48">
        <f>IF(Учет!$O2671=Справочники!$F$5,Учет!$H2671,0)</f>
        <v>0</v>
      </c>
      <c r="U2671" s="48">
        <f>IF(Учет!$O2671=Справочники!$F$6,Учет!$H2671,0)</f>
        <v>0</v>
      </c>
      <c r="V2671" s="43">
        <f>V2670+Учет!Q2671-Q2671</f>
        <v>-488978.92000000004</v>
      </c>
      <c r="W2671" s="43">
        <f>W2670+Учет!R2671-R2671</f>
        <v>336855</v>
      </c>
      <c r="X2671" s="43">
        <f>X2670+Учет!S2671-S2671</f>
        <v>500</v>
      </c>
      <c r="Y2671" s="43">
        <f>Y2670+Учет!T2671-T2671</f>
        <v>1150</v>
      </c>
      <c r="Z2671" s="43">
        <f>Z2670+Учет!U2671-U2671</f>
        <v>500000</v>
      </c>
      <c r="AA2671" s="45">
        <f>Учет!X2671</f>
        <v>500</v>
      </c>
    </row>
    <row r="2672" spans="1:27" ht="15" customHeight="1" x14ac:dyDescent="0.25">
      <c r="A2672" s="1"/>
      <c r="B2672" s="17"/>
      <c r="C2672" s="17"/>
      <c r="D2672" s="17"/>
      <c r="E2672" s="17"/>
      <c r="F2672" s="17"/>
      <c r="G2672" s="4">
        <f t="shared" si="120"/>
        <v>0</v>
      </c>
      <c r="H2672" s="17"/>
      <c r="I2672" s="4">
        <f t="shared" si="122"/>
        <v>349526.07999999996</v>
      </c>
      <c r="J2672" s="32" t="str">
        <f t="shared" si="121"/>
        <v/>
      </c>
      <c r="K2672" s="72"/>
      <c r="L2672" s="72"/>
      <c r="M2672" s="2"/>
      <c r="N2672" s="5"/>
      <c r="O2672" s="3"/>
      <c r="P2672" s="6"/>
      <c r="Q2672" s="48">
        <f>IF(Учет!$O2672=Справочники!$F$2,Учет!$H2672,0)</f>
        <v>0</v>
      </c>
      <c r="R2672" s="48">
        <f>IF(Учет!$O2672=Справочники!$F$3,Учет!$H2672,0)</f>
        <v>0</v>
      </c>
      <c r="S2672" s="48">
        <f>IF(Учет!$O2672=Справочники!$F$4,Учет!$H2672,0)</f>
        <v>0</v>
      </c>
      <c r="T2672" s="48">
        <f>IF(Учет!$O2672=Справочники!$F$5,Учет!$H2672,0)</f>
        <v>0</v>
      </c>
      <c r="U2672" s="48">
        <f>IF(Учет!$O2672=Справочники!$F$6,Учет!$H2672,0)</f>
        <v>0</v>
      </c>
      <c r="V2672" s="43">
        <f>V2671+Учет!Q2672-Q2672</f>
        <v>-488978.92000000004</v>
      </c>
      <c r="W2672" s="43">
        <f>W2671+Учет!R2672-R2672</f>
        <v>336855</v>
      </c>
      <c r="X2672" s="43">
        <f>X2671+Учет!S2672-S2672</f>
        <v>500</v>
      </c>
      <c r="Y2672" s="43">
        <f>Y2671+Учет!T2672-T2672</f>
        <v>1150</v>
      </c>
      <c r="Z2672" s="43">
        <f>Z2671+Учет!U2672-U2672</f>
        <v>500000</v>
      </c>
      <c r="AA2672" s="45">
        <f>Учет!X2672</f>
        <v>500</v>
      </c>
    </row>
    <row r="2673" spans="1:27" ht="15" customHeight="1" x14ac:dyDescent="0.25">
      <c r="A2673" s="1"/>
      <c r="B2673" s="17"/>
      <c r="C2673" s="17"/>
      <c r="D2673" s="17"/>
      <c r="E2673" s="17"/>
      <c r="F2673" s="17"/>
      <c r="G2673" s="4">
        <f t="shared" si="120"/>
        <v>0</v>
      </c>
      <c r="H2673" s="17"/>
      <c r="I2673" s="4">
        <f t="shared" si="122"/>
        <v>349526.07999999996</v>
      </c>
      <c r="J2673" s="32" t="str">
        <f t="shared" si="121"/>
        <v/>
      </c>
      <c r="K2673" s="72"/>
      <c r="L2673" s="72"/>
      <c r="M2673" s="2"/>
      <c r="N2673" s="5"/>
      <c r="O2673" s="3"/>
      <c r="P2673" s="6"/>
      <c r="Q2673" s="48">
        <f>IF(Учет!$O2673=Справочники!$F$2,Учет!$H2673,0)</f>
        <v>0</v>
      </c>
      <c r="R2673" s="48">
        <f>IF(Учет!$O2673=Справочники!$F$3,Учет!$H2673,0)</f>
        <v>0</v>
      </c>
      <c r="S2673" s="48">
        <f>IF(Учет!$O2673=Справочники!$F$4,Учет!$H2673,0)</f>
        <v>0</v>
      </c>
      <c r="T2673" s="48">
        <f>IF(Учет!$O2673=Справочники!$F$5,Учет!$H2673,0)</f>
        <v>0</v>
      </c>
      <c r="U2673" s="48">
        <f>IF(Учет!$O2673=Справочники!$F$6,Учет!$H2673,0)</f>
        <v>0</v>
      </c>
      <c r="V2673" s="43">
        <f>V2672+Учет!Q2673-Q2673</f>
        <v>-488978.92000000004</v>
      </c>
      <c r="W2673" s="43">
        <f>W2672+Учет!R2673-R2673</f>
        <v>336855</v>
      </c>
      <c r="X2673" s="43">
        <f>X2672+Учет!S2673-S2673</f>
        <v>500</v>
      </c>
      <c r="Y2673" s="43">
        <f>Y2672+Учет!T2673-T2673</f>
        <v>1150</v>
      </c>
      <c r="Z2673" s="43">
        <f>Z2672+Учет!U2673-U2673</f>
        <v>500000</v>
      </c>
      <c r="AA2673" s="45">
        <f>Учет!X2673</f>
        <v>500</v>
      </c>
    </row>
    <row r="2674" spans="1:27" ht="15" customHeight="1" x14ac:dyDescent="0.25">
      <c r="A2674" s="1"/>
      <c r="B2674" s="17"/>
      <c r="C2674" s="17"/>
      <c r="D2674" s="17"/>
      <c r="E2674" s="17"/>
      <c r="F2674" s="17"/>
      <c r="G2674" s="4">
        <f t="shared" si="120"/>
        <v>0</v>
      </c>
      <c r="H2674" s="17"/>
      <c r="I2674" s="4">
        <f t="shared" si="122"/>
        <v>349526.07999999996</v>
      </c>
      <c r="J2674" s="32" t="str">
        <f t="shared" si="121"/>
        <v/>
      </c>
      <c r="K2674" s="72"/>
      <c r="L2674" s="72"/>
      <c r="M2674" s="2"/>
      <c r="N2674" s="5"/>
      <c r="O2674" s="3"/>
      <c r="P2674" s="6"/>
      <c r="Q2674" s="48">
        <f>IF(Учет!$O2674=Справочники!$F$2,Учет!$H2674,0)</f>
        <v>0</v>
      </c>
      <c r="R2674" s="48">
        <f>IF(Учет!$O2674=Справочники!$F$3,Учет!$H2674,0)</f>
        <v>0</v>
      </c>
      <c r="S2674" s="48">
        <f>IF(Учет!$O2674=Справочники!$F$4,Учет!$H2674,0)</f>
        <v>0</v>
      </c>
      <c r="T2674" s="48">
        <f>IF(Учет!$O2674=Справочники!$F$5,Учет!$H2674,0)</f>
        <v>0</v>
      </c>
      <c r="U2674" s="48">
        <f>IF(Учет!$O2674=Справочники!$F$6,Учет!$H2674,0)</f>
        <v>0</v>
      </c>
      <c r="V2674" s="43">
        <f>V2673+Учет!Q2674-Q2674</f>
        <v>-488978.92000000004</v>
      </c>
      <c r="W2674" s="43">
        <f>W2673+Учет!R2674-R2674</f>
        <v>336855</v>
      </c>
      <c r="X2674" s="43">
        <f>X2673+Учет!S2674-S2674</f>
        <v>500</v>
      </c>
      <c r="Y2674" s="43">
        <f>Y2673+Учет!T2674-T2674</f>
        <v>1150</v>
      </c>
      <c r="Z2674" s="43">
        <f>Z2673+Учет!U2674-U2674</f>
        <v>500000</v>
      </c>
      <c r="AA2674" s="45">
        <f>Учет!X2674</f>
        <v>500</v>
      </c>
    </row>
    <row r="2675" spans="1:27" ht="15" customHeight="1" x14ac:dyDescent="0.25">
      <c r="A2675" s="1"/>
      <c r="B2675" s="17"/>
      <c r="C2675" s="17"/>
      <c r="D2675" s="17"/>
      <c r="E2675" s="17"/>
      <c r="F2675" s="17"/>
      <c r="G2675" s="4">
        <f t="shared" si="120"/>
        <v>0</v>
      </c>
      <c r="H2675" s="17"/>
      <c r="I2675" s="4">
        <f t="shared" si="122"/>
        <v>349526.07999999996</v>
      </c>
      <c r="J2675" s="32" t="str">
        <f t="shared" si="121"/>
        <v/>
      </c>
      <c r="K2675" s="72"/>
      <c r="L2675" s="72"/>
      <c r="M2675" s="2"/>
      <c r="N2675" s="5"/>
      <c r="O2675" s="3"/>
      <c r="P2675" s="6"/>
      <c r="Q2675" s="48">
        <f>IF(Учет!$O2675=Справочники!$F$2,Учет!$H2675,0)</f>
        <v>0</v>
      </c>
      <c r="R2675" s="48">
        <f>IF(Учет!$O2675=Справочники!$F$3,Учет!$H2675,0)</f>
        <v>0</v>
      </c>
      <c r="S2675" s="48">
        <f>IF(Учет!$O2675=Справочники!$F$4,Учет!$H2675,0)</f>
        <v>0</v>
      </c>
      <c r="T2675" s="48">
        <f>IF(Учет!$O2675=Справочники!$F$5,Учет!$H2675,0)</f>
        <v>0</v>
      </c>
      <c r="U2675" s="48">
        <f>IF(Учет!$O2675=Справочники!$F$6,Учет!$H2675,0)</f>
        <v>0</v>
      </c>
      <c r="V2675" s="43">
        <f>V2674+Учет!Q2675-Q2675</f>
        <v>-488978.92000000004</v>
      </c>
      <c r="W2675" s="43">
        <f>W2674+Учет!R2675-R2675</f>
        <v>336855</v>
      </c>
      <c r="X2675" s="43">
        <f>X2674+Учет!S2675-S2675</f>
        <v>500</v>
      </c>
      <c r="Y2675" s="43">
        <f>Y2674+Учет!T2675-T2675</f>
        <v>1150</v>
      </c>
      <c r="Z2675" s="43">
        <f>Z2674+Учет!U2675-U2675</f>
        <v>500000</v>
      </c>
      <c r="AA2675" s="45">
        <f>Учет!X2675</f>
        <v>500</v>
      </c>
    </row>
    <row r="2676" spans="1:27" ht="15" customHeight="1" x14ac:dyDescent="0.25">
      <c r="A2676" s="1"/>
      <c r="B2676" s="17"/>
      <c r="C2676" s="17"/>
      <c r="D2676" s="17"/>
      <c r="E2676" s="17"/>
      <c r="F2676" s="17"/>
      <c r="G2676" s="4">
        <f t="shared" si="120"/>
        <v>0</v>
      </c>
      <c r="H2676" s="17"/>
      <c r="I2676" s="4">
        <f t="shared" si="122"/>
        <v>349526.07999999996</v>
      </c>
      <c r="J2676" s="32" t="str">
        <f t="shared" si="121"/>
        <v/>
      </c>
      <c r="K2676" s="72"/>
      <c r="L2676" s="72"/>
      <c r="M2676" s="2"/>
      <c r="N2676" s="5"/>
      <c r="O2676" s="3"/>
      <c r="P2676" s="6"/>
      <c r="Q2676" s="48">
        <f>IF(Учет!$O2676=Справочники!$F$2,Учет!$H2676,0)</f>
        <v>0</v>
      </c>
      <c r="R2676" s="48">
        <f>IF(Учет!$O2676=Справочники!$F$3,Учет!$H2676,0)</f>
        <v>0</v>
      </c>
      <c r="S2676" s="48">
        <f>IF(Учет!$O2676=Справочники!$F$4,Учет!$H2676,0)</f>
        <v>0</v>
      </c>
      <c r="T2676" s="48">
        <f>IF(Учет!$O2676=Справочники!$F$5,Учет!$H2676,0)</f>
        <v>0</v>
      </c>
      <c r="U2676" s="48">
        <f>IF(Учет!$O2676=Справочники!$F$6,Учет!$H2676,0)</f>
        <v>0</v>
      </c>
      <c r="V2676" s="43">
        <f>V2675+Учет!Q2676-Q2676</f>
        <v>-488978.92000000004</v>
      </c>
      <c r="W2676" s="43">
        <f>W2675+Учет!R2676-R2676</f>
        <v>336855</v>
      </c>
      <c r="X2676" s="43">
        <f>X2675+Учет!S2676-S2676</f>
        <v>500</v>
      </c>
      <c r="Y2676" s="43">
        <f>Y2675+Учет!T2676-T2676</f>
        <v>1150</v>
      </c>
      <c r="Z2676" s="43">
        <f>Z2675+Учет!U2676-U2676</f>
        <v>500000</v>
      </c>
      <c r="AA2676" s="45">
        <f>Учет!X2676</f>
        <v>500</v>
      </c>
    </row>
    <row r="2677" spans="1:27" ht="15" customHeight="1" x14ac:dyDescent="0.25">
      <c r="A2677" s="1"/>
      <c r="B2677" s="17"/>
      <c r="C2677" s="17"/>
      <c r="D2677" s="17"/>
      <c r="E2677" s="17"/>
      <c r="F2677" s="17"/>
      <c r="G2677" s="4">
        <f t="shared" si="120"/>
        <v>0</v>
      </c>
      <c r="H2677" s="17"/>
      <c r="I2677" s="4">
        <f t="shared" si="122"/>
        <v>349526.07999999996</v>
      </c>
      <c r="J2677" s="32" t="str">
        <f t="shared" si="121"/>
        <v/>
      </c>
      <c r="K2677" s="72"/>
      <c r="L2677" s="72"/>
      <c r="M2677" s="2"/>
      <c r="N2677" s="5"/>
      <c r="O2677" s="3"/>
      <c r="P2677" s="6"/>
      <c r="Q2677" s="48">
        <f>IF(Учет!$O2677=Справочники!$F$2,Учет!$H2677,0)</f>
        <v>0</v>
      </c>
      <c r="R2677" s="48">
        <f>IF(Учет!$O2677=Справочники!$F$3,Учет!$H2677,0)</f>
        <v>0</v>
      </c>
      <c r="S2677" s="48">
        <f>IF(Учет!$O2677=Справочники!$F$4,Учет!$H2677,0)</f>
        <v>0</v>
      </c>
      <c r="T2677" s="48">
        <f>IF(Учет!$O2677=Справочники!$F$5,Учет!$H2677,0)</f>
        <v>0</v>
      </c>
      <c r="U2677" s="48">
        <f>IF(Учет!$O2677=Справочники!$F$6,Учет!$H2677,0)</f>
        <v>0</v>
      </c>
      <c r="V2677" s="43">
        <f>V2676+Учет!Q2677-Q2677</f>
        <v>-488978.92000000004</v>
      </c>
      <c r="W2677" s="43">
        <f>W2676+Учет!R2677-R2677</f>
        <v>336855</v>
      </c>
      <c r="X2677" s="43">
        <f>X2676+Учет!S2677-S2677</f>
        <v>500</v>
      </c>
      <c r="Y2677" s="43">
        <f>Y2676+Учет!T2677-T2677</f>
        <v>1150</v>
      </c>
      <c r="Z2677" s="43">
        <f>Z2676+Учет!U2677-U2677</f>
        <v>500000</v>
      </c>
      <c r="AA2677" s="45">
        <f>Учет!X2677</f>
        <v>500</v>
      </c>
    </row>
    <row r="2678" spans="1:27" ht="15" customHeight="1" x14ac:dyDescent="0.25">
      <c r="A2678" s="1"/>
      <c r="B2678" s="17"/>
      <c r="C2678" s="17"/>
      <c r="D2678" s="17"/>
      <c r="E2678" s="17"/>
      <c r="F2678" s="17"/>
      <c r="G2678" s="4">
        <f t="shared" si="120"/>
        <v>0</v>
      </c>
      <c r="H2678" s="17"/>
      <c r="I2678" s="4">
        <f t="shared" si="122"/>
        <v>349526.07999999996</v>
      </c>
      <c r="J2678" s="32" t="str">
        <f t="shared" si="121"/>
        <v/>
      </c>
      <c r="K2678" s="72"/>
      <c r="L2678" s="72"/>
      <c r="M2678" s="2"/>
      <c r="N2678" s="5"/>
      <c r="O2678" s="3"/>
      <c r="P2678" s="6"/>
      <c r="Q2678" s="48">
        <f>IF(Учет!$O2678=Справочники!$F$2,Учет!$H2678,0)</f>
        <v>0</v>
      </c>
      <c r="R2678" s="48">
        <f>IF(Учет!$O2678=Справочники!$F$3,Учет!$H2678,0)</f>
        <v>0</v>
      </c>
      <c r="S2678" s="48">
        <f>IF(Учет!$O2678=Справочники!$F$4,Учет!$H2678,0)</f>
        <v>0</v>
      </c>
      <c r="T2678" s="48">
        <f>IF(Учет!$O2678=Справочники!$F$5,Учет!$H2678,0)</f>
        <v>0</v>
      </c>
      <c r="U2678" s="48">
        <f>IF(Учет!$O2678=Справочники!$F$6,Учет!$H2678,0)</f>
        <v>0</v>
      </c>
      <c r="V2678" s="43">
        <f>V2677+Учет!Q2678-Q2678</f>
        <v>-488978.92000000004</v>
      </c>
      <c r="W2678" s="43">
        <f>W2677+Учет!R2678-R2678</f>
        <v>336855</v>
      </c>
      <c r="X2678" s="43">
        <f>X2677+Учет!S2678-S2678</f>
        <v>500</v>
      </c>
      <c r="Y2678" s="43">
        <f>Y2677+Учет!T2678-T2678</f>
        <v>1150</v>
      </c>
      <c r="Z2678" s="43">
        <f>Z2677+Учет!U2678-U2678</f>
        <v>500000</v>
      </c>
      <c r="AA2678" s="45">
        <f>Учет!X2678</f>
        <v>500</v>
      </c>
    </row>
    <row r="2679" spans="1:27" ht="15" customHeight="1" x14ac:dyDescent="0.25">
      <c r="A2679" s="1"/>
      <c r="B2679" s="17"/>
      <c r="C2679" s="17"/>
      <c r="D2679" s="17"/>
      <c r="E2679" s="17"/>
      <c r="F2679" s="17"/>
      <c r="G2679" s="4">
        <f t="shared" si="120"/>
        <v>0</v>
      </c>
      <c r="H2679" s="17"/>
      <c r="I2679" s="4">
        <f t="shared" si="122"/>
        <v>349526.07999999996</v>
      </c>
      <c r="J2679" s="32" t="str">
        <f t="shared" si="121"/>
        <v/>
      </c>
      <c r="K2679" s="72"/>
      <c r="L2679" s="72"/>
      <c r="M2679" s="2"/>
      <c r="N2679" s="5"/>
      <c r="O2679" s="3"/>
      <c r="P2679" s="6"/>
      <c r="Q2679" s="48">
        <f>IF(Учет!$O2679=Справочники!$F$2,Учет!$H2679,0)</f>
        <v>0</v>
      </c>
      <c r="R2679" s="48">
        <f>IF(Учет!$O2679=Справочники!$F$3,Учет!$H2679,0)</f>
        <v>0</v>
      </c>
      <c r="S2679" s="48">
        <f>IF(Учет!$O2679=Справочники!$F$4,Учет!$H2679,0)</f>
        <v>0</v>
      </c>
      <c r="T2679" s="48">
        <f>IF(Учет!$O2679=Справочники!$F$5,Учет!$H2679,0)</f>
        <v>0</v>
      </c>
      <c r="U2679" s="48">
        <f>IF(Учет!$O2679=Справочники!$F$6,Учет!$H2679,0)</f>
        <v>0</v>
      </c>
      <c r="V2679" s="43">
        <f>V2678+Учет!Q2679-Q2679</f>
        <v>-488978.92000000004</v>
      </c>
      <c r="W2679" s="43">
        <f>W2678+Учет!R2679-R2679</f>
        <v>336855</v>
      </c>
      <c r="X2679" s="43">
        <f>X2678+Учет!S2679-S2679</f>
        <v>500</v>
      </c>
      <c r="Y2679" s="43">
        <f>Y2678+Учет!T2679-T2679</f>
        <v>1150</v>
      </c>
      <c r="Z2679" s="43">
        <f>Z2678+Учет!U2679-U2679</f>
        <v>500000</v>
      </c>
      <c r="AA2679" s="45">
        <f>Учет!X2679</f>
        <v>500</v>
      </c>
    </row>
    <row r="2680" spans="1:27" ht="15" customHeight="1" x14ac:dyDescent="0.25">
      <c r="A2680" s="1"/>
      <c r="B2680" s="17"/>
      <c r="C2680" s="17"/>
      <c r="D2680" s="17"/>
      <c r="E2680" s="17"/>
      <c r="F2680" s="17"/>
      <c r="G2680" s="4">
        <f t="shared" si="120"/>
        <v>0</v>
      </c>
      <c r="H2680" s="17"/>
      <c r="I2680" s="4">
        <f t="shared" si="122"/>
        <v>349526.07999999996</v>
      </c>
      <c r="J2680" s="32" t="str">
        <f t="shared" si="121"/>
        <v/>
      </c>
      <c r="K2680" s="72"/>
      <c r="L2680" s="72"/>
      <c r="M2680" s="2"/>
      <c r="N2680" s="5"/>
      <c r="O2680" s="3"/>
      <c r="P2680" s="6"/>
      <c r="Q2680" s="48">
        <f>IF(Учет!$O2680=Справочники!$F$2,Учет!$H2680,0)</f>
        <v>0</v>
      </c>
      <c r="R2680" s="48">
        <f>IF(Учет!$O2680=Справочники!$F$3,Учет!$H2680,0)</f>
        <v>0</v>
      </c>
      <c r="S2680" s="48">
        <f>IF(Учет!$O2680=Справочники!$F$4,Учет!$H2680,0)</f>
        <v>0</v>
      </c>
      <c r="T2680" s="48">
        <f>IF(Учет!$O2680=Справочники!$F$5,Учет!$H2680,0)</f>
        <v>0</v>
      </c>
      <c r="U2680" s="48">
        <f>IF(Учет!$O2680=Справочники!$F$6,Учет!$H2680,0)</f>
        <v>0</v>
      </c>
      <c r="V2680" s="43">
        <f>V2679+Учет!Q2680-Q2680</f>
        <v>-488978.92000000004</v>
      </c>
      <c r="W2680" s="43">
        <f>W2679+Учет!R2680-R2680</f>
        <v>336855</v>
      </c>
      <c r="X2680" s="43">
        <f>X2679+Учет!S2680-S2680</f>
        <v>500</v>
      </c>
      <c r="Y2680" s="43">
        <f>Y2679+Учет!T2680-T2680</f>
        <v>1150</v>
      </c>
      <c r="Z2680" s="43">
        <f>Z2679+Учет!U2680-U2680</f>
        <v>500000</v>
      </c>
      <c r="AA2680" s="45">
        <f>Учет!X2680</f>
        <v>500</v>
      </c>
    </row>
    <row r="2681" spans="1:27" ht="15" customHeight="1" x14ac:dyDescent="0.25">
      <c r="A2681" s="1"/>
      <c r="B2681" s="17"/>
      <c r="C2681" s="17"/>
      <c r="D2681" s="17"/>
      <c r="E2681" s="17"/>
      <c r="F2681" s="17"/>
      <c r="G2681" s="4">
        <f t="shared" si="120"/>
        <v>0</v>
      </c>
      <c r="H2681" s="17"/>
      <c r="I2681" s="4">
        <f t="shared" si="122"/>
        <v>349526.07999999996</v>
      </c>
      <c r="J2681" s="32" t="str">
        <f t="shared" si="121"/>
        <v/>
      </c>
      <c r="K2681" s="72"/>
      <c r="L2681" s="72"/>
      <c r="M2681" s="2"/>
      <c r="N2681" s="5"/>
      <c r="O2681" s="3"/>
      <c r="P2681" s="6"/>
      <c r="Q2681" s="48">
        <f>IF(Учет!$O2681=Справочники!$F$2,Учет!$H2681,0)</f>
        <v>0</v>
      </c>
      <c r="R2681" s="48">
        <f>IF(Учет!$O2681=Справочники!$F$3,Учет!$H2681,0)</f>
        <v>0</v>
      </c>
      <c r="S2681" s="48">
        <f>IF(Учет!$O2681=Справочники!$F$4,Учет!$H2681,0)</f>
        <v>0</v>
      </c>
      <c r="T2681" s="48">
        <f>IF(Учет!$O2681=Справочники!$F$5,Учет!$H2681,0)</f>
        <v>0</v>
      </c>
      <c r="U2681" s="48">
        <f>IF(Учет!$O2681=Справочники!$F$6,Учет!$H2681,0)</f>
        <v>0</v>
      </c>
      <c r="V2681" s="43">
        <f>V2680+Учет!Q2681-Q2681</f>
        <v>-488978.92000000004</v>
      </c>
      <c r="W2681" s="43">
        <f>W2680+Учет!R2681-R2681</f>
        <v>336855</v>
      </c>
      <c r="X2681" s="43">
        <f>X2680+Учет!S2681-S2681</f>
        <v>500</v>
      </c>
      <c r="Y2681" s="43">
        <f>Y2680+Учет!T2681-T2681</f>
        <v>1150</v>
      </c>
      <c r="Z2681" s="43">
        <f>Z2680+Учет!U2681-U2681</f>
        <v>500000</v>
      </c>
      <c r="AA2681" s="45">
        <f>Учет!X2681</f>
        <v>500</v>
      </c>
    </row>
    <row r="2682" spans="1:27" ht="15" customHeight="1" x14ac:dyDescent="0.25">
      <c r="A2682" s="1"/>
      <c r="B2682" s="17"/>
      <c r="C2682" s="17"/>
      <c r="D2682" s="17"/>
      <c r="E2682" s="17"/>
      <c r="F2682" s="17"/>
      <c r="G2682" s="4">
        <f t="shared" si="120"/>
        <v>0</v>
      </c>
      <c r="H2682" s="17"/>
      <c r="I2682" s="4">
        <f t="shared" si="122"/>
        <v>349526.07999999996</v>
      </c>
      <c r="J2682" s="32" t="str">
        <f t="shared" si="121"/>
        <v/>
      </c>
      <c r="K2682" s="72"/>
      <c r="L2682" s="72"/>
      <c r="M2682" s="2"/>
      <c r="N2682" s="5"/>
      <c r="O2682" s="3"/>
      <c r="P2682" s="6"/>
      <c r="Q2682" s="48">
        <f>IF(Учет!$O2682=Справочники!$F$2,Учет!$H2682,0)</f>
        <v>0</v>
      </c>
      <c r="R2682" s="48">
        <f>IF(Учет!$O2682=Справочники!$F$3,Учет!$H2682,0)</f>
        <v>0</v>
      </c>
      <c r="S2682" s="48">
        <f>IF(Учет!$O2682=Справочники!$F$4,Учет!$H2682,0)</f>
        <v>0</v>
      </c>
      <c r="T2682" s="48">
        <f>IF(Учет!$O2682=Справочники!$F$5,Учет!$H2682,0)</f>
        <v>0</v>
      </c>
      <c r="U2682" s="48">
        <f>IF(Учет!$O2682=Справочники!$F$6,Учет!$H2682,0)</f>
        <v>0</v>
      </c>
      <c r="V2682" s="43">
        <f>V2681+Учет!Q2682-Q2682</f>
        <v>-488978.92000000004</v>
      </c>
      <c r="W2682" s="43">
        <f>W2681+Учет!R2682-R2682</f>
        <v>336855</v>
      </c>
      <c r="X2682" s="43">
        <f>X2681+Учет!S2682-S2682</f>
        <v>500</v>
      </c>
      <c r="Y2682" s="43">
        <f>Y2681+Учет!T2682-T2682</f>
        <v>1150</v>
      </c>
      <c r="Z2682" s="43">
        <f>Z2681+Учет!U2682-U2682</f>
        <v>500000</v>
      </c>
      <c r="AA2682" s="45">
        <f>Учет!X2682</f>
        <v>500</v>
      </c>
    </row>
    <row r="2683" spans="1:27" ht="15" customHeight="1" x14ac:dyDescent="0.25">
      <c r="A2683" s="1"/>
      <c r="B2683" s="17"/>
      <c r="C2683" s="17"/>
      <c r="D2683" s="17"/>
      <c r="E2683" s="17"/>
      <c r="F2683" s="17"/>
      <c r="G2683" s="4">
        <f t="shared" si="120"/>
        <v>0</v>
      </c>
      <c r="H2683" s="17"/>
      <c r="I2683" s="4">
        <f t="shared" si="122"/>
        <v>349526.07999999996</v>
      </c>
      <c r="J2683" s="32" t="str">
        <f t="shared" si="121"/>
        <v/>
      </c>
      <c r="K2683" s="72"/>
      <c r="L2683" s="72"/>
      <c r="M2683" s="2"/>
      <c r="N2683" s="5"/>
      <c r="O2683" s="3"/>
      <c r="P2683" s="6"/>
      <c r="Q2683" s="48">
        <f>IF(Учет!$O2683=Справочники!$F$2,Учет!$H2683,0)</f>
        <v>0</v>
      </c>
      <c r="R2683" s="48">
        <f>IF(Учет!$O2683=Справочники!$F$3,Учет!$H2683,0)</f>
        <v>0</v>
      </c>
      <c r="S2683" s="48">
        <f>IF(Учет!$O2683=Справочники!$F$4,Учет!$H2683,0)</f>
        <v>0</v>
      </c>
      <c r="T2683" s="48">
        <f>IF(Учет!$O2683=Справочники!$F$5,Учет!$H2683,0)</f>
        <v>0</v>
      </c>
      <c r="U2683" s="48">
        <f>IF(Учет!$O2683=Справочники!$F$6,Учет!$H2683,0)</f>
        <v>0</v>
      </c>
      <c r="V2683" s="43">
        <f>V2682+Учет!Q2683-Q2683</f>
        <v>-488978.92000000004</v>
      </c>
      <c r="W2683" s="43">
        <f>W2682+Учет!R2683-R2683</f>
        <v>336855</v>
      </c>
      <c r="X2683" s="43">
        <f>X2682+Учет!S2683-S2683</f>
        <v>500</v>
      </c>
      <c r="Y2683" s="43">
        <f>Y2682+Учет!T2683-T2683</f>
        <v>1150</v>
      </c>
      <c r="Z2683" s="43">
        <f>Z2682+Учет!U2683-U2683</f>
        <v>500000</v>
      </c>
      <c r="AA2683" s="45">
        <f>Учет!X2683</f>
        <v>500</v>
      </c>
    </row>
    <row r="2684" spans="1:27" ht="15" customHeight="1" x14ac:dyDescent="0.25">
      <c r="A2684" s="1"/>
      <c r="B2684" s="17"/>
      <c r="C2684" s="17"/>
      <c r="D2684" s="17"/>
      <c r="E2684" s="17"/>
      <c r="F2684" s="17"/>
      <c r="G2684" s="4">
        <f t="shared" si="120"/>
        <v>0</v>
      </c>
      <c r="H2684" s="17"/>
      <c r="I2684" s="4">
        <f t="shared" si="122"/>
        <v>349526.07999999996</v>
      </c>
      <c r="J2684" s="32" t="str">
        <f t="shared" si="121"/>
        <v/>
      </c>
      <c r="K2684" s="72"/>
      <c r="L2684" s="72"/>
      <c r="M2684" s="2"/>
      <c r="N2684" s="5"/>
      <c r="O2684" s="3"/>
      <c r="P2684" s="6"/>
      <c r="Q2684" s="48">
        <f>IF(Учет!$O2684=Справочники!$F$2,Учет!$H2684,0)</f>
        <v>0</v>
      </c>
      <c r="R2684" s="48">
        <f>IF(Учет!$O2684=Справочники!$F$3,Учет!$H2684,0)</f>
        <v>0</v>
      </c>
      <c r="S2684" s="48">
        <f>IF(Учет!$O2684=Справочники!$F$4,Учет!$H2684,0)</f>
        <v>0</v>
      </c>
      <c r="T2684" s="48">
        <f>IF(Учет!$O2684=Справочники!$F$5,Учет!$H2684,0)</f>
        <v>0</v>
      </c>
      <c r="U2684" s="48">
        <f>IF(Учет!$O2684=Справочники!$F$6,Учет!$H2684,0)</f>
        <v>0</v>
      </c>
      <c r="V2684" s="43">
        <f>V2683+Учет!Q2684-Q2684</f>
        <v>-488978.92000000004</v>
      </c>
      <c r="W2684" s="43">
        <f>W2683+Учет!R2684-R2684</f>
        <v>336855</v>
      </c>
      <c r="X2684" s="43">
        <f>X2683+Учет!S2684-S2684</f>
        <v>500</v>
      </c>
      <c r="Y2684" s="43">
        <f>Y2683+Учет!T2684-T2684</f>
        <v>1150</v>
      </c>
      <c r="Z2684" s="43">
        <f>Z2683+Учет!U2684-U2684</f>
        <v>500000</v>
      </c>
      <c r="AA2684" s="45">
        <f>Учет!X2684</f>
        <v>500</v>
      </c>
    </row>
    <row r="2685" spans="1:27" ht="15" customHeight="1" x14ac:dyDescent="0.25">
      <c r="A2685" s="1"/>
      <c r="B2685" s="17"/>
      <c r="C2685" s="17"/>
      <c r="D2685" s="17"/>
      <c r="E2685" s="17"/>
      <c r="F2685" s="17"/>
      <c r="G2685" s="4">
        <f t="shared" si="120"/>
        <v>0</v>
      </c>
      <c r="H2685" s="17"/>
      <c r="I2685" s="4">
        <f t="shared" si="122"/>
        <v>349526.07999999996</v>
      </c>
      <c r="J2685" s="32" t="str">
        <f t="shared" si="121"/>
        <v/>
      </c>
      <c r="K2685" s="72"/>
      <c r="L2685" s="72"/>
      <c r="M2685" s="2"/>
      <c r="N2685" s="5"/>
      <c r="O2685" s="3"/>
      <c r="P2685" s="6"/>
      <c r="Q2685" s="48">
        <f>IF(Учет!$O2685=Справочники!$F$2,Учет!$H2685,0)</f>
        <v>0</v>
      </c>
      <c r="R2685" s="48">
        <f>IF(Учет!$O2685=Справочники!$F$3,Учет!$H2685,0)</f>
        <v>0</v>
      </c>
      <c r="S2685" s="48">
        <f>IF(Учет!$O2685=Справочники!$F$4,Учет!$H2685,0)</f>
        <v>0</v>
      </c>
      <c r="T2685" s="48">
        <f>IF(Учет!$O2685=Справочники!$F$5,Учет!$H2685,0)</f>
        <v>0</v>
      </c>
      <c r="U2685" s="48">
        <f>IF(Учет!$O2685=Справочники!$F$6,Учет!$H2685,0)</f>
        <v>0</v>
      </c>
      <c r="V2685" s="43">
        <f>V2684+Учет!Q2685-Q2685</f>
        <v>-488978.92000000004</v>
      </c>
      <c r="W2685" s="43">
        <f>W2684+Учет!R2685-R2685</f>
        <v>336855</v>
      </c>
      <c r="X2685" s="43">
        <f>X2684+Учет!S2685-S2685</f>
        <v>500</v>
      </c>
      <c r="Y2685" s="43">
        <f>Y2684+Учет!T2685-T2685</f>
        <v>1150</v>
      </c>
      <c r="Z2685" s="43">
        <f>Z2684+Учет!U2685-U2685</f>
        <v>500000</v>
      </c>
      <c r="AA2685" s="45">
        <f>Учет!X2685</f>
        <v>500</v>
      </c>
    </row>
    <row r="2686" spans="1:27" ht="15" customHeight="1" x14ac:dyDescent="0.25">
      <c r="A2686" s="1"/>
      <c r="B2686" s="17"/>
      <c r="C2686" s="17"/>
      <c r="D2686" s="17"/>
      <c r="E2686" s="17"/>
      <c r="F2686" s="17"/>
      <c r="G2686" s="4">
        <f t="shared" si="120"/>
        <v>0</v>
      </c>
      <c r="H2686" s="17"/>
      <c r="I2686" s="4">
        <f t="shared" si="122"/>
        <v>349526.07999999996</v>
      </c>
      <c r="J2686" s="32" t="str">
        <f t="shared" si="121"/>
        <v/>
      </c>
      <c r="K2686" s="72"/>
      <c r="L2686" s="72"/>
      <c r="M2686" s="2"/>
      <c r="N2686" s="5"/>
      <c r="O2686" s="3"/>
      <c r="P2686" s="6"/>
      <c r="Q2686" s="48">
        <f>IF(Учет!$O2686=Справочники!$F$2,Учет!$H2686,0)</f>
        <v>0</v>
      </c>
      <c r="R2686" s="48">
        <f>IF(Учет!$O2686=Справочники!$F$3,Учет!$H2686,0)</f>
        <v>0</v>
      </c>
      <c r="S2686" s="48">
        <f>IF(Учет!$O2686=Справочники!$F$4,Учет!$H2686,0)</f>
        <v>0</v>
      </c>
      <c r="T2686" s="48">
        <f>IF(Учет!$O2686=Справочники!$F$5,Учет!$H2686,0)</f>
        <v>0</v>
      </c>
      <c r="U2686" s="48">
        <f>IF(Учет!$O2686=Справочники!$F$6,Учет!$H2686,0)</f>
        <v>0</v>
      </c>
      <c r="V2686" s="43">
        <f>V2685+Учет!Q2686-Q2686</f>
        <v>-488978.92000000004</v>
      </c>
      <c r="W2686" s="43">
        <f>W2685+Учет!R2686-R2686</f>
        <v>336855</v>
      </c>
      <c r="X2686" s="43">
        <f>X2685+Учет!S2686-S2686</f>
        <v>500</v>
      </c>
      <c r="Y2686" s="43">
        <f>Y2685+Учет!T2686-T2686</f>
        <v>1150</v>
      </c>
      <c r="Z2686" s="43">
        <f>Z2685+Учет!U2686-U2686</f>
        <v>500000</v>
      </c>
      <c r="AA2686" s="45">
        <f>Учет!X2686</f>
        <v>500</v>
      </c>
    </row>
    <row r="2687" spans="1:27" ht="15" customHeight="1" x14ac:dyDescent="0.25">
      <c r="A2687" s="1"/>
      <c r="B2687" s="17"/>
      <c r="C2687" s="17"/>
      <c r="D2687" s="17"/>
      <c r="E2687" s="17"/>
      <c r="F2687" s="17"/>
      <c r="G2687" s="4">
        <f t="shared" si="120"/>
        <v>0</v>
      </c>
      <c r="H2687" s="17"/>
      <c r="I2687" s="4">
        <f t="shared" si="122"/>
        <v>349526.07999999996</v>
      </c>
      <c r="J2687" s="32" t="str">
        <f t="shared" si="121"/>
        <v/>
      </c>
      <c r="K2687" s="72"/>
      <c r="L2687" s="72"/>
      <c r="M2687" s="2"/>
      <c r="N2687" s="5"/>
      <c r="O2687" s="3"/>
      <c r="P2687" s="6"/>
      <c r="Q2687" s="48">
        <f>IF(Учет!$O2687=Справочники!$F$2,Учет!$H2687,0)</f>
        <v>0</v>
      </c>
      <c r="R2687" s="48">
        <f>IF(Учет!$O2687=Справочники!$F$3,Учет!$H2687,0)</f>
        <v>0</v>
      </c>
      <c r="S2687" s="48">
        <f>IF(Учет!$O2687=Справочники!$F$4,Учет!$H2687,0)</f>
        <v>0</v>
      </c>
      <c r="T2687" s="48">
        <f>IF(Учет!$O2687=Справочники!$F$5,Учет!$H2687,0)</f>
        <v>0</v>
      </c>
      <c r="U2687" s="48">
        <f>IF(Учет!$O2687=Справочники!$F$6,Учет!$H2687,0)</f>
        <v>0</v>
      </c>
      <c r="V2687" s="43">
        <f>V2686+Учет!Q2687-Q2687</f>
        <v>-488978.92000000004</v>
      </c>
      <c r="W2687" s="43">
        <f>W2686+Учет!R2687-R2687</f>
        <v>336855</v>
      </c>
      <c r="X2687" s="43">
        <f>X2686+Учет!S2687-S2687</f>
        <v>500</v>
      </c>
      <c r="Y2687" s="43">
        <f>Y2686+Учет!T2687-T2687</f>
        <v>1150</v>
      </c>
      <c r="Z2687" s="43">
        <f>Z2686+Учет!U2687-U2687</f>
        <v>500000</v>
      </c>
      <c r="AA2687" s="45">
        <f>Учет!X2687</f>
        <v>500</v>
      </c>
    </row>
    <row r="2688" spans="1:27" ht="15" customHeight="1" x14ac:dyDescent="0.25">
      <c r="A2688" s="1"/>
      <c r="B2688" s="17"/>
      <c r="C2688" s="17"/>
      <c r="D2688" s="17"/>
      <c r="E2688" s="17"/>
      <c r="F2688" s="17"/>
      <c r="G2688" s="4">
        <f t="shared" si="120"/>
        <v>0</v>
      </c>
      <c r="H2688" s="17"/>
      <c r="I2688" s="4">
        <f t="shared" si="122"/>
        <v>349526.07999999996</v>
      </c>
      <c r="J2688" s="32" t="str">
        <f t="shared" si="121"/>
        <v/>
      </c>
      <c r="K2688" s="72"/>
      <c r="L2688" s="72"/>
      <c r="M2688" s="2"/>
      <c r="N2688" s="5"/>
      <c r="O2688" s="3"/>
      <c r="P2688" s="6"/>
      <c r="Q2688" s="48">
        <f>IF(Учет!$O2688=Справочники!$F$2,Учет!$H2688,0)</f>
        <v>0</v>
      </c>
      <c r="R2688" s="48">
        <f>IF(Учет!$O2688=Справочники!$F$3,Учет!$H2688,0)</f>
        <v>0</v>
      </c>
      <c r="S2688" s="48">
        <f>IF(Учет!$O2688=Справочники!$F$4,Учет!$H2688,0)</f>
        <v>0</v>
      </c>
      <c r="T2688" s="48">
        <f>IF(Учет!$O2688=Справочники!$F$5,Учет!$H2688,0)</f>
        <v>0</v>
      </c>
      <c r="U2688" s="48">
        <f>IF(Учет!$O2688=Справочники!$F$6,Учет!$H2688,0)</f>
        <v>0</v>
      </c>
      <c r="V2688" s="43">
        <f>V2687+Учет!Q2688-Q2688</f>
        <v>-488978.92000000004</v>
      </c>
      <c r="W2688" s="43">
        <f>W2687+Учет!R2688-R2688</f>
        <v>336855</v>
      </c>
      <c r="X2688" s="43">
        <f>X2687+Учет!S2688-S2688</f>
        <v>500</v>
      </c>
      <c r="Y2688" s="43">
        <f>Y2687+Учет!T2688-T2688</f>
        <v>1150</v>
      </c>
      <c r="Z2688" s="43">
        <f>Z2687+Учет!U2688-U2688</f>
        <v>500000</v>
      </c>
      <c r="AA2688" s="45">
        <f>Учет!X2688</f>
        <v>500</v>
      </c>
    </row>
    <row r="2689" spans="1:27" ht="15" customHeight="1" x14ac:dyDescent="0.25">
      <c r="A2689" s="1"/>
      <c r="B2689" s="17"/>
      <c r="C2689" s="17"/>
      <c r="D2689" s="17"/>
      <c r="E2689" s="17"/>
      <c r="F2689" s="17"/>
      <c r="G2689" s="4">
        <f t="shared" si="120"/>
        <v>0</v>
      </c>
      <c r="H2689" s="17"/>
      <c r="I2689" s="4">
        <f t="shared" si="122"/>
        <v>349526.07999999996</v>
      </c>
      <c r="J2689" s="32" t="str">
        <f t="shared" si="121"/>
        <v/>
      </c>
      <c r="K2689" s="72"/>
      <c r="L2689" s="72"/>
      <c r="M2689" s="2"/>
      <c r="N2689" s="5"/>
      <c r="O2689" s="3"/>
      <c r="P2689" s="6"/>
      <c r="Q2689" s="48">
        <f>IF(Учет!$O2689=Справочники!$F$2,Учет!$H2689,0)</f>
        <v>0</v>
      </c>
      <c r="R2689" s="48">
        <f>IF(Учет!$O2689=Справочники!$F$3,Учет!$H2689,0)</f>
        <v>0</v>
      </c>
      <c r="S2689" s="48">
        <f>IF(Учет!$O2689=Справочники!$F$4,Учет!$H2689,0)</f>
        <v>0</v>
      </c>
      <c r="T2689" s="48">
        <f>IF(Учет!$O2689=Справочники!$F$5,Учет!$H2689,0)</f>
        <v>0</v>
      </c>
      <c r="U2689" s="48">
        <f>IF(Учет!$O2689=Справочники!$F$6,Учет!$H2689,0)</f>
        <v>0</v>
      </c>
      <c r="V2689" s="43">
        <f>V2688+Учет!Q2689-Q2689</f>
        <v>-488978.92000000004</v>
      </c>
      <c r="W2689" s="43">
        <f>W2688+Учет!R2689-R2689</f>
        <v>336855</v>
      </c>
      <c r="X2689" s="43">
        <f>X2688+Учет!S2689-S2689</f>
        <v>500</v>
      </c>
      <c r="Y2689" s="43">
        <f>Y2688+Учет!T2689-T2689</f>
        <v>1150</v>
      </c>
      <c r="Z2689" s="43">
        <f>Z2688+Учет!U2689-U2689</f>
        <v>500000</v>
      </c>
      <c r="AA2689" s="45">
        <f>Учет!X2689</f>
        <v>500</v>
      </c>
    </row>
    <row r="2690" spans="1:27" ht="15" customHeight="1" x14ac:dyDescent="0.25">
      <c r="A2690" s="1"/>
      <c r="B2690" s="17"/>
      <c r="C2690" s="17"/>
      <c r="D2690" s="17"/>
      <c r="E2690" s="17"/>
      <c r="F2690" s="17"/>
      <c r="G2690" s="4">
        <f t="shared" ref="G2690:G2753" si="123">SUM($B2690:$F2690)</f>
        <v>0</v>
      </c>
      <c r="H2690" s="17"/>
      <c r="I2690" s="4">
        <f t="shared" si="122"/>
        <v>349526.07999999996</v>
      </c>
      <c r="J2690" s="32" t="str">
        <f t="shared" ref="J2690:J2753" si="124">IF($A2691&lt;&gt;$A2690,$I2690,"")</f>
        <v/>
      </c>
      <c r="K2690" s="72"/>
      <c r="L2690" s="72"/>
      <c r="M2690" s="2"/>
      <c r="N2690" s="5"/>
      <c r="O2690" s="3"/>
      <c r="P2690" s="6"/>
      <c r="Q2690" s="48">
        <f>IF(Учет!$O2690=Справочники!$F$2,Учет!$H2690,0)</f>
        <v>0</v>
      </c>
      <c r="R2690" s="48">
        <f>IF(Учет!$O2690=Справочники!$F$3,Учет!$H2690,0)</f>
        <v>0</v>
      </c>
      <c r="S2690" s="48">
        <f>IF(Учет!$O2690=Справочники!$F$4,Учет!$H2690,0)</f>
        <v>0</v>
      </c>
      <c r="T2690" s="48">
        <f>IF(Учет!$O2690=Справочники!$F$5,Учет!$H2690,0)</f>
        <v>0</v>
      </c>
      <c r="U2690" s="48">
        <f>IF(Учет!$O2690=Справочники!$F$6,Учет!$H2690,0)</f>
        <v>0</v>
      </c>
      <c r="V2690" s="43">
        <f>V2689+Учет!Q2690-Q2690</f>
        <v>-488978.92000000004</v>
      </c>
      <c r="W2690" s="43">
        <f>W2689+Учет!R2690-R2690</f>
        <v>336855</v>
      </c>
      <c r="X2690" s="43">
        <f>X2689+Учет!S2690-S2690</f>
        <v>500</v>
      </c>
      <c r="Y2690" s="43">
        <f>Y2689+Учет!T2690-T2690</f>
        <v>1150</v>
      </c>
      <c r="Z2690" s="43">
        <f>Z2689+Учет!U2690-U2690</f>
        <v>500000</v>
      </c>
      <c r="AA2690" s="45">
        <f>Учет!X2690</f>
        <v>500</v>
      </c>
    </row>
    <row r="2691" spans="1:27" ht="15" customHeight="1" x14ac:dyDescent="0.25">
      <c r="A2691" s="1"/>
      <c r="B2691" s="17"/>
      <c r="C2691" s="17"/>
      <c r="D2691" s="17"/>
      <c r="E2691" s="17"/>
      <c r="F2691" s="17"/>
      <c r="G2691" s="4">
        <f t="shared" si="123"/>
        <v>0</v>
      </c>
      <c r="H2691" s="17"/>
      <c r="I2691" s="4">
        <f t="shared" ref="I2691:I2754" si="125">$I2690+$G2691-$H2691</f>
        <v>349526.07999999996</v>
      </c>
      <c r="J2691" s="32" t="str">
        <f t="shared" si="124"/>
        <v/>
      </c>
      <c r="K2691" s="72"/>
      <c r="L2691" s="72"/>
      <c r="M2691" s="2"/>
      <c r="N2691" s="5"/>
      <c r="O2691" s="3"/>
      <c r="P2691" s="6"/>
      <c r="Q2691" s="48">
        <f>IF(Учет!$O2691=Справочники!$F$2,Учет!$H2691,0)</f>
        <v>0</v>
      </c>
      <c r="R2691" s="48">
        <f>IF(Учет!$O2691=Справочники!$F$3,Учет!$H2691,0)</f>
        <v>0</v>
      </c>
      <c r="S2691" s="48">
        <f>IF(Учет!$O2691=Справочники!$F$4,Учет!$H2691,0)</f>
        <v>0</v>
      </c>
      <c r="T2691" s="48">
        <f>IF(Учет!$O2691=Справочники!$F$5,Учет!$H2691,0)</f>
        <v>0</v>
      </c>
      <c r="U2691" s="48">
        <f>IF(Учет!$O2691=Справочники!$F$6,Учет!$H2691,0)</f>
        <v>0</v>
      </c>
      <c r="V2691" s="43">
        <f>V2690+Учет!Q2691-Q2691</f>
        <v>-488978.92000000004</v>
      </c>
      <c r="W2691" s="43">
        <f>W2690+Учет!R2691-R2691</f>
        <v>336855</v>
      </c>
      <c r="X2691" s="43">
        <f>X2690+Учет!S2691-S2691</f>
        <v>500</v>
      </c>
      <c r="Y2691" s="43">
        <f>Y2690+Учет!T2691-T2691</f>
        <v>1150</v>
      </c>
      <c r="Z2691" s="43">
        <f>Z2690+Учет!U2691-U2691</f>
        <v>500000</v>
      </c>
      <c r="AA2691" s="45">
        <f>Учет!X2691</f>
        <v>500</v>
      </c>
    </row>
    <row r="2692" spans="1:27" ht="15" customHeight="1" x14ac:dyDescent="0.25">
      <c r="A2692" s="1"/>
      <c r="B2692" s="17"/>
      <c r="C2692" s="17"/>
      <c r="D2692" s="17"/>
      <c r="E2692" s="17"/>
      <c r="F2692" s="17"/>
      <c r="G2692" s="4">
        <f t="shared" si="123"/>
        <v>0</v>
      </c>
      <c r="H2692" s="17"/>
      <c r="I2692" s="4">
        <f t="shared" si="125"/>
        <v>349526.07999999996</v>
      </c>
      <c r="J2692" s="32" t="str">
        <f t="shared" si="124"/>
        <v/>
      </c>
      <c r="K2692" s="72"/>
      <c r="L2692" s="72"/>
      <c r="M2692" s="2"/>
      <c r="N2692" s="5"/>
      <c r="O2692" s="3"/>
      <c r="P2692" s="6"/>
      <c r="Q2692" s="48">
        <f>IF(Учет!$O2692=Справочники!$F$2,Учет!$H2692,0)</f>
        <v>0</v>
      </c>
      <c r="R2692" s="48">
        <f>IF(Учет!$O2692=Справочники!$F$3,Учет!$H2692,0)</f>
        <v>0</v>
      </c>
      <c r="S2692" s="48">
        <f>IF(Учет!$O2692=Справочники!$F$4,Учет!$H2692,0)</f>
        <v>0</v>
      </c>
      <c r="T2692" s="48">
        <f>IF(Учет!$O2692=Справочники!$F$5,Учет!$H2692,0)</f>
        <v>0</v>
      </c>
      <c r="U2692" s="48">
        <f>IF(Учет!$O2692=Справочники!$F$6,Учет!$H2692,0)</f>
        <v>0</v>
      </c>
      <c r="V2692" s="43">
        <f>V2691+Учет!Q2692-Q2692</f>
        <v>-488978.92000000004</v>
      </c>
      <c r="W2692" s="43">
        <f>W2691+Учет!R2692-R2692</f>
        <v>336855</v>
      </c>
      <c r="X2692" s="43">
        <f>X2691+Учет!S2692-S2692</f>
        <v>500</v>
      </c>
      <c r="Y2692" s="43">
        <f>Y2691+Учет!T2692-T2692</f>
        <v>1150</v>
      </c>
      <c r="Z2692" s="43">
        <f>Z2691+Учет!U2692-U2692</f>
        <v>500000</v>
      </c>
      <c r="AA2692" s="45">
        <f>Учет!X2692</f>
        <v>500</v>
      </c>
    </row>
    <row r="2693" spans="1:27" ht="15" customHeight="1" x14ac:dyDescent="0.25">
      <c r="A2693" s="1"/>
      <c r="B2693" s="17"/>
      <c r="C2693" s="17"/>
      <c r="D2693" s="17"/>
      <c r="E2693" s="17"/>
      <c r="F2693" s="17"/>
      <c r="G2693" s="4">
        <f t="shared" si="123"/>
        <v>0</v>
      </c>
      <c r="H2693" s="17"/>
      <c r="I2693" s="4">
        <f t="shared" si="125"/>
        <v>349526.07999999996</v>
      </c>
      <c r="J2693" s="32" t="str">
        <f t="shared" si="124"/>
        <v/>
      </c>
      <c r="K2693" s="72"/>
      <c r="L2693" s="72"/>
      <c r="M2693" s="2"/>
      <c r="N2693" s="5"/>
      <c r="O2693" s="3"/>
      <c r="P2693" s="6"/>
      <c r="Q2693" s="48">
        <f>IF(Учет!$O2693=Справочники!$F$2,Учет!$H2693,0)</f>
        <v>0</v>
      </c>
      <c r="R2693" s="48">
        <f>IF(Учет!$O2693=Справочники!$F$3,Учет!$H2693,0)</f>
        <v>0</v>
      </c>
      <c r="S2693" s="48">
        <f>IF(Учет!$O2693=Справочники!$F$4,Учет!$H2693,0)</f>
        <v>0</v>
      </c>
      <c r="T2693" s="48">
        <f>IF(Учет!$O2693=Справочники!$F$5,Учет!$H2693,0)</f>
        <v>0</v>
      </c>
      <c r="U2693" s="48">
        <f>IF(Учет!$O2693=Справочники!$F$6,Учет!$H2693,0)</f>
        <v>0</v>
      </c>
      <c r="V2693" s="43">
        <f>V2692+Учет!Q2693-Q2693</f>
        <v>-488978.92000000004</v>
      </c>
      <c r="W2693" s="43">
        <f>W2692+Учет!R2693-R2693</f>
        <v>336855</v>
      </c>
      <c r="X2693" s="43">
        <f>X2692+Учет!S2693-S2693</f>
        <v>500</v>
      </c>
      <c r="Y2693" s="43">
        <f>Y2692+Учет!T2693-T2693</f>
        <v>1150</v>
      </c>
      <c r="Z2693" s="43">
        <f>Z2692+Учет!U2693-U2693</f>
        <v>500000</v>
      </c>
      <c r="AA2693" s="45">
        <f>Учет!X2693</f>
        <v>500</v>
      </c>
    </row>
    <row r="2694" spans="1:27" ht="15" customHeight="1" x14ac:dyDescent="0.25">
      <c r="A2694" s="1"/>
      <c r="B2694" s="17"/>
      <c r="C2694" s="17"/>
      <c r="D2694" s="17"/>
      <c r="E2694" s="17"/>
      <c r="F2694" s="17"/>
      <c r="G2694" s="4">
        <f t="shared" si="123"/>
        <v>0</v>
      </c>
      <c r="H2694" s="17"/>
      <c r="I2694" s="4">
        <f t="shared" si="125"/>
        <v>349526.07999999996</v>
      </c>
      <c r="J2694" s="32" t="str">
        <f t="shared" si="124"/>
        <v/>
      </c>
      <c r="K2694" s="72"/>
      <c r="L2694" s="72"/>
      <c r="M2694" s="2"/>
      <c r="N2694" s="5"/>
      <c r="O2694" s="3"/>
      <c r="P2694" s="6"/>
      <c r="Q2694" s="48">
        <f>IF(Учет!$O2694=Справочники!$F$2,Учет!$H2694,0)</f>
        <v>0</v>
      </c>
      <c r="R2694" s="48">
        <f>IF(Учет!$O2694=Справочники!$F$3,Учет!$H2694,0)</f>
        <v>0</v>
      </c>
      <c r="S2694" s="48">
        <f>IF(Учет!$O2694=Справочники!$F$4,Учет!$H2694,0)</f>
        <v>0</v>
      </c>
      <c r="T2694" s="48">
        <f>IF(Учет!$O2694=Справочники!$F$5,Учет!$H2694,0)</f>
        <v>0</v>
      </c>
      <c r="U2694" s="48">
        <f>IF(Учет!$O2694=Справочники!$F$6,Учет!$H2694,0)</f>
        <v>0</v>
      </c>
      <c r="V2694" s="43">
        <f>V2693+Учет!Q2694-Q2694</f>
        <v>-488978.92000000004</v>
      </c>
      <c r="W2694" s="43">
        <f>W2693+Учет!R2694-R2694</f>
        <v>336855</v>
      </c>
      <c r="X2694" s="43">
        <f>X2693+Учет!S2694-S2694</f>
        <v>500</v>
      </c>
      <c r="Y2694" s="43">
        <f>Y2693+Учет!T2694-T2694</f>
        <v>1150</v>
      </c>
      <c r="Z2694" s="43">
        <f>Z2693+Учет!U2694-U2694</f>
        <v>500000</v>
      </c>
      <c r="AA2694" s="45">
        <f>Учет!X2694</f>
        <v>500</v>
      </c>
    </row>
    <row r="2695" spans="1:27" ht="15" customHeight="1" x14ac:dyDescent="0.25">
      <c r="A2695" s="1"/>
      <c r="B2695" s="17"/>
      <c r="C2695" s="17"/>
      <c r="D2695" s="17"/>
      <c r="E2695" s="17"/>
      <c r="F2695" s="17"/>
      <c r="G2695" s="4">
        <f t="shared" si="123"/>
        <v>0</v>
      </c>
      <c r="H2695" s="17"/>
      <c r="I2695" s="4">
        <f t="shared" si="125"/>
        <v>349526.07999999996</v>
      </c>
      <c r="J2695" s="32" t="str">
        <f t="shared" si="124"/>
        <v/>
      </c>
      <c r="K2695" s="72"/>
      <c r="L2695" s="72"/>
      <c r="M2695" s="2"/>
      <c r="N2695" s="5"/>
      <c r="O2695" s="3"/>
      <c r="P2695" s="6"/>
      <c r="Q2695" s="48">
        <f>IF(Учет!$O2695=Справочники!$F$2,Учет!$H2695,0)</f>
        <v>0</v>
      </c>
      <c r="R2695" s="48">
        <f>IF(Учет!$O2695=Справочники!$F$3,Учет!$H2695,0)</f>
        <v>0</v>
      </c>
      <c r="S2695" s="48">
        <f>IF(Учет!$O2695=Справочники!$F$4,Учет!$H2695,0)</f>
        <v>0</v>
      </c>
      <c r="T2695" s="48">
        <f>IF(Учет!$O2695=Справочники!$F$5,Учет!$H2695,0)</f>
        <v>0</v>
      </c>
      <c r="U2695" s="48">
        <f>IF(Учет!$O2695=Справочники!$F$6,Учет!$H2695,0)</f>
        <v>0</v>
      </c>
      <c r="V2695" s="43">
        <f>V2694+Учет!Q2695-Q2695</f>
        <v>-488978.92000000004</v>
      </c>
      <c r="W2695" s="43">
        <f>W2694+Учет!R2695-R2695</f>
        <v>336855</v>
      </c>
      <c r="X2695" s="43">
        <f>X2694+Учет!S2695-S2695</f>
        <v>500</v>
      </c>
      <c r="Y2695" s="43">
        <f>Y2694+Учет!T2695-T2695</f>
        <v>1150</v>
      </c>
      <c r="Z2695" s="43">
        <f>Z2694+Учет!U2695-U2695</f>
        <v>500000</v>
      </c>
      <c r="AA2695" s="45">
        <f>Учет!X2695</f>
        <v>500</v>
      </c>
    </row>
    <row r="2696" spans="1:27" ht="15" customHeight="1" x14ac:dyDescent="0.25">
      <c r="A2696" s="1"/>
      <c r="B2696" s="17"/>
      <c r="C2696" s="17"/>
      <c r="D2696" s="17"/>
      <c r="E2696" s="17"/>
      <c r="F2696" s="17"/>
      <c r="G2696" s="4">
        <f t="shared" si="123"/>
        <v>0</v>
      </c>
      <c r="H2696" s="17"/>
      <c r="I2696" s="4">
        <f t="shared" si="125"/>
        <v>349526.07999999996</v>
      </c>
      <c r="J2696" s="32" t="str">
        <f t="shared" si="124"/>
        <v/>
      </c>
      <c r="K2696" s="72"/>
      <c r="L2696" s="72"/>
      <c r="M2696" s="2"/>
      <c r="N2696" s="5"/>
      <c r="O2696" s="3"/>
      <c r="P2696" s="6"/>
      <c r="Q2696" s="48">
        <f>IF(Учет!$O2696=Справочники!$F$2,Учет!$H2696,0)</f>
        <v>0</v>
      </c>
      <c r="R2696" s="48">
        <f>IF(Учет!$O2696=Справочники!$F$3,Учет!$H2696,0)</f>
        <v>0</v>
      </c>
      <c r="S2696" s="48">
        <f>IF(Учет!$O2696=Справочники!$F$4,Учет!$H2696,0)</f>
        <v>0</v>
      </c>
      <c r="T2696" s="48">
        <f>IF(Учет!$O2696=Справочники!$F$5,Учет!$H2696,0)</f>
        <v>0</v>
      </c>
      <c r="U2696" s="48">
        <f>IF(Учет!$O2696=Справочники!$F$6,Учет!$H2696,0)</f>
        <v>0</v>
      </c>
      <c r="V2696" s="43">
        <f>V2695+Учет!Q2696-Q2696</f>
        <v>-488978.92000000004</v>
      </c>
      <c r="W2696" s="43">
        <f>W2695+Учет!R2696-R2696</f>
        <v>336855</v>
      </c>
      <c r="X2696" s="43">
        <f>X2695+Учет!S2696-S2696</f>
        <v>500</v>
      </c>
      <c r="Y2696" s="43">
        <f>Y2695+Учет!T2696-T2696</f>
        <v>1150</v>
      </c>
      <c r="Z2696" s="43">
        <f>Z2695+Учет!U2696-U2696</f>
        <v>500000</v>
      </c>
      <c r="AA2696" s="45">
        <f>Учет!X2696</f>
        <v>500</v>
      </c>
    </row>
    <row r="2697" spans="1:27" ht="15" customHeight="1" x14ac:dyDescent="0.25">
      <c r="A2697" s="1"/>
      <c r="B2697" s="17"/>
      <c r="C2697" s="17"/>
      <c r="D2697" s="17"/>
      <c r="E2697" s="17"/>
      <c r="F2697" s="17"/>
      <c r="G2697" s="4">
        <f t="shared" si="123"/>
        <v>0</v>
      </c>
      <c r="H2697" s="17"/>
      <c r="I2697" s="4">
        <f t="shared" si="125"/>
        <v>349526.07999999996</v>
      </c>
      <c r="J2697" s="32" t="str">
        <f t="shared" si="124"/>
        <v/>
      </c>
      <c r="K2697" s="72"/>
      <c r="L2697" s="72"/>
      <c r="M2697" s="2"/>
      <c r="N2697" s="5"/>
      <c r="O2697" s="3"/>
      <c r="P2697" s="6"/>
      <c r="Q2697" s="48">
        <f>IF(Учет!$O2697=Справочники!$F$2,Учет!$H2697,0)</f>
        <v>0</v>
      </c>
      <c r="R2697" s="48">
        <f>IF(Учет!$O2697=Справочники!$F$3,Учет!$H2697,0)</f>
        <v>0</v>
      </c>
      <c r="S2697" s="48">
        <f>IF(Учет!$O2697=Справочники!$F$4,Учет!$H2697,0)</f>
        <v>0</v>
      </c>
      <c r="T2697" s="48">
        <f>IF(Учет!$O2697=Справочники!$F$5,Учет!$H2697,0)</f>
        <v>0</v>
      </c>
      <c r="U2697" s="48">
        <f>IF(Учет!$O2697=Справочники!$F$6,Учет!$H2697,0)</f>
        <v>0</v>
      </c>
      <c r="V2697" s="43">
        <f>V2696+Учет!Q2697-Q2697</f>
        <v>-488978.92000000004</v>
      </c>
      <c r="W2697" s="43">
        <f>W2696+Учет!R2697-R2697</f>
        <v>336855</v>
      </c>
      <c r="X2697" s="43">
        <f>X2696+Учет!S2697-S2697</f>
        <v>500</v>
      </c>
      <c r="Y2697" s="43">
        <f>Y2696+Учет!T2697-T2697</f>
        <v>1150</v>
      </c>
      <c r="Z2697" s="43">
        <f>Z2696+Учет!U2697-U2697</f>
        <v>500000</v>
      </c>
      <c r="AA2697" s="45">
        <f>Учет!X2697</f>
        <v>500</v>
      </c>
    </row>
    <row r="2698" spans="1:27" ht="15" customHeight="1" x14ac:dyDescent="0.25">
      <c r="A2698" s="1"/>
      <c r="B2698" s="17"/>
      <c r="C2698" s="17"/>
      <c r="D2698" s="17"/>
      <c r="E2698" s="17"/>
      <c r="F2698" s="17"/>
      <c r="G2698" s="4">
        <f t="shared" si="123"/>
        <v>0</v>
      </c>
      <c r="H2698" s="17"/>
      <c r="I2698" s="4">
        <f t="shared" si="125"/>
        <v>349526.07999999996</v>
      </c>
      <c r="J2698" s="32" t="str">
        <f t="shared" si="124"/>
        <v/>
      </c>
      <c r="K2698" s="72"/>
      <c r="L2698" s="72"/>
      <c r="M2698" s="2"/>
      <c r="N2698" s="5"/>
      <c r="O2698" s="3"/>
      <c r="P2698" s="6"/>
      <c r="Q2698" s="48">
        <f>IF(Учет!$O2698=Справочники!$F$2,Учет!$H2698,0)</f>
        <v>0</v>
      </c>
      <c r="R2698" s="48">
        <f>IF(Учет!$O2698=Справочники!$F$3,Учет!$H2698,0)</f>
        <v>0</v>
      </c>
      <c r="S2698" s="48">
        <f>IF(Учет!$O2698=Справочники!$F$4,Учет!$H2698,0)</f>
        <v>0</v>
      </c>
      <c r="T2698" s="48">
        <f>IF(Учет!$O2698=Справочники!$F$5,Учет!$H2698,0)</f>
        <v>0</v>
      </c>
      <c r="U2698" s="48">
        <f>IF(Учет!$O2698=Справочники!$F$6,Учет!$H2698,0)</f>
        <v>0</v>
      </c>
      <c r="V2698" s="43">
        <f>V2697+Учет!Q2698-Q2698</f>
        <v>-488978.92000000004</v>
      </c>
      <c r="W2698" s="43">
        <f>W2697+Учет!R2698-R2698</f>
        <v>336855</v>
      </c>
      <c r="X2698" s="43">
        <f>X2697+Учет!S2698-S2698</f>
        <v>500</v>
      </c>
      <c r="Y2698" s="43">
        <f>Y2697+Учет!T2698-T2698</f>
        <v>1150</v>
      </c>
      <c r="Z2698" s="43">
        <f>Z2697+Учет!U2698-U2698</f>
        <v>500000</v>
      </c>
      <c r="AA2698" s="45">
        <f>Учет!X2698</f>
        <v>500</v>
      </c>
    </row>
    <row r="2699" spans="1:27" ht="15" customHeight="1" x14ac:dyDescent="0.25">
      <c r="A2699" s="1"/>
      <c r="B2699" s="17"/>
      <c r="C2699" s="17"/>
      <c r="D2699" s="17"/>
      <c r="E2699" s="17"/>
      <c r="F2699" s="17"/>
      <c r="G2699" s="4">
        <f t="shared" si="123"/>
        <v>0</v>
      </c>
      <c r="H2699" s="17"/>
      <c r="I2699" s="4">
        <f t="shared" si="125"/>
        <v>349526.07999999996</v>
      </c>
      <c r="J2699" s="32" t="str">
        <f t="shared" si="124"/>
        <v/>
      </c>
      <c r="K2699" s="72"/>
      <c r="L2699" s="72"/>
      <c r="M2699" s="2"/>
      <c r="N2699" s="5"/>
      <c r="O2699" s="3"/>
      <c r="P2699" s="6"/>
      <c r="Q2699" s="48">
        <f>IF(Учет!$O2699=Справочники!$F$2,Учет!$H2699,0)</f>
        <v>0</v>
      </c>
      <c r="R2699" s="48">
        <f>IF(Учет!$O2699=Справочники!$F$3,Учет!$H2699,0)</f>
        <v>0</v>
      </c>
      <c r="S2699" s="48">
        <f>IF(Учет!$O2699=Справочники!$F$4,Учет!$H2699,0)</f>
        <v>0</v>
      </c>
      <c r="T2699" s="48">
        <f>IF(Учет!$O2699=Справочники!$F$5,Учет!$H2699,0)</f>
        <v>0</v>
      </c>
      <c r="U2699" s="48">
        <f>IF(Учет!$O2699=Справочники!$F$6,Учет!$H2699,0)</f>
        <v>0</v>
      </c>
      <c r="V2699" s="43">
        <f>V2698+Учет!Q2699-Q2699</f>
        <v>-488978.92000000004</v>
      </c>
      <c r="W2699" s="43">
        <f>W2698+Учет!R2699-R2699</f>
        <v>336855</v>
      </c>
      <c r="X2699" s="43">
        <f>X2698+Учет!S2699-S2699</f>
        <v>500</v>
      </c>
      <c r="Y2699" s="43">
        <f>Y2698+Учет!T2699-T2699</f>
        <v>1150</v>
      </c>
      <c r="Z2699" s="43">
        <f>Z2698+Учет!U2699-U2699</f>
        <v>500000</v>
      </c>
      <c r="AA2699" s="45">
        <f>Учет!X2699</f>
        <v>500</v>
      </c>
    </row>
    <row r="2700" spans="1:27" ht="15" customHeight="1" x14ac:dyDescent="0.25">
      <c r="A2700" s="1"/>
      <c r="B2700" s="17"/>
      <c r="C2700" s="17"/>
      <c r="D2700" s="17"/>
      <c r="E2700" s="17"/>
      <c r="F2700" s="17"/>
      <c r="G2700" s="4">
        <f t="shared" si="123"/>
        <v>0</v>
      </c>
      <c r="H2700" s="17"/>
      <c r="I2700" s="4">
        <f t="shared" si="125"/>
        <v>349526.07999999996</v>
      </c>
      <c r="J2700" s="32" t="str">
        <f t="shared" si="124"/>
        <v/>
      </c>
      <c r="K2700" s="72"/>
      <c r="L2700" s="72"/>
      <c r="M2700" s="2"/>
      <c r="N2700" s="5"/>
      <c r="O2700" s="3"/>
      <c r="P2700" s="6"/>
      <c r="Q2700" s="48">
        <f>IF(Учет!$O2700=Справочники!$F$2,Учет!$H2700,0)</f>
        <v>0</v>
      </c>
      <c r="R2700" s="48">
        <f>IF(Учет!$O2700=Справочники!$F$3,Учет!$H2700,0)</f>
        <v>0</v>
      </c>
      <c r="S2700" s="48">
        <f>IF(Учет!$O2700=Справочники!$F$4,Учет!$H2700,0)</f>
        <v>0</v>
      </c>
      <c r="T2700" s="48">
        <f>IF(Учет!$O2700=Справочники!$F$5,Учет!$H2700,0)</f>
        <v>0</v>
      </c>
      <c r="U2700" s="48">
        <f>IF(Учет!$O2700=Справочники!$F$6,Учет!$H2700,0)</f>
        <v>0</v>
      </c>
      <c r="V2700" s="43">
        <f>V2699+Учет!Q2700-Q2700</f>
        <v>-488978.92000000004</v>
      </c>
      <c r="W2700" s="43">
        <f>W2699+Учет!R2700-R2700</f>
        <v>336855</v>
      </c>
      <c r="X2700" s="43">
        <f>X2699+Учет!S2700-S2700</f>
        <v>500</v>
      </c>
      <c r="Y2700" s="43">
        <f>Y2699+Учет!T2700-T2700</f>
        <v>1150</v>
      </c>
      <c r="Z2700" s="43">
        <f>Z2699+Учет!U2700-U2700</f>
        <v>500000</v>
      </c>
      <c r="AA2700" s="45">
        <f>Учет!X2700</f>
        <v>500</v>
      </c>
    </row>
    <row r="2701" spans="1:27" ht="15" customHeight="1" x14ac:dyDescent="0.25">
      <c r="A2701" s="1"/>
      <c r="B2701" s="17"/>
      <c r="C2701" s="17"/>
      <c r="D2701" s="17"/>
      <c r="E2701" s="17"/>
      <c r="F2701" s="17"/>
      <c r="G2701" s="4">
        <f t="shared" si="123"/>
        <v>0</v>
      </c>
      <c r="H2701" s="17"/>
      <c r="I2701" s="4">
        <f t="shared" si="125"/>
        <v>349526.07999999996</v>
      </c>
      <c r="J2701" s="32" t="str">
        <f t="shared" si="124"/>
        <v/>
      </c>
      <c r="K2701" s="72"/>
      <c r="L2701" s="72"/>
      <c r="M2701" s="2"/>
      <c r="N2701" s="5"/>
      <c r="O2701" s="3"/>
      <c r="P2701" s="6"/>
      <c r="Q2701" s="48">
        <f>IF(Учет!$O2701=Справочники!$F$2,Учет!$H2701,0)</f>
        <v>0</v>
      </c>
      <c r="R2701" s="48">
        <f>IF(Учет!$O2701=Справочники!$F$3,Учет!$H2701,0)</f>
        <v>0</v>
      </c>
      <c r="S2701" s="48">
        <f>IF(Учет!$O2701=Справочники!$F$4,Учет!$H2701,0)</f>
        <v>0</v>
      </c>
      <c r="T2701" s="48">
        <f>IF(Учет!$O2701=Справочники!$F$5,Учет!$H2701,0)</f>
        <v>0</v>
      </c>
      <c r="U2701" s="48">
        <f>IF(Учет!$O2701=Справочники!$F$6,Учет!$H2701,0)</f>
        <v>0</v>
      </c>
      <c r="V2701" s="43">
        <f>V2700+Учет!Q2701-Q2701</f>
        <v>-488978.92000000004</v>
      </c>
      <c r="W2701" s="43">
        <f>W2700+Учет!R2701-R2701</f>
        <v>336855</v>
      </c>
      <c r="X2701" s="43">
        <f>X2700+Учет!S2701-S2701</f>
        <v>500</v>
      </c>
      <c r="Y2701" s="43">
        <f>Y2700+Учет!T2701-T2701</f>
        <v>1150</v>
      </c>
      <c r="Z2701" s="43">
        <f>Z2700+Учет!U2701-U2701</f>
        <v>500000</v>
      </c>
      <c r="AA2701" s="45">
        <f>Учет!X2701</f>
        <v>500</v>
      </c>
    </row>
    <row r="2702" spans="1:27" ht="15" customHeight="1" x14ac:dyDescent="0.25">
      <c r="A2702" s="1"/>
      <c r="B2702" s="17"/>
      <c r="C2702" s="17"/>
      <c r="D2702" s="17"/>
      <c r="E2702" s="17"/>
      <c r="F2702" s="17"/>
      <c r="G2702" s="4">
        <f t="shared" si="123"/>
        <v>0</v>
      </c>
      <c r="H2702" s="17"/>
      <c r="I2702" s="4">
        <f t="shared" si="125"/>
        <v>349526.07999999996</v>
      </c>
      <c r="J2702" s="32" t="str">
        <f t="shared" si="124"/>
        <v/>
      </c>
      <c r="K2702" s="72"/>
      <c r="L2702" s="72"/>
      <c r="M2702" s="2"/>
      <c r="N2702" s="5"/>
      <c r="O2702" s="3"/>
      <c r="P2702" s="6"/>
      <c r="Q2702" s="48">
        <f>IF(Учет!$O2702=Справочники!$F$2,Учет!$H2702,0)</f>
        <v>0</v>
      </c>
      <c r="R2702" s="48">
        <f>IF(Учет!$O2702=Справочники!$F$3,Учет!$H2702,0)</f>
        <v>0</v>
      </c>
      <c r="S2702" s="48">
        <f>IF(Учет!$O2702=Справочники!$F$4,Учет!$H2702,0)</f>
        <v>0</v>
      </c>
      <c r="T2702" s="48">
        <f>IF(Учет!$O2702=Справочники!$F$5,Учет!$H2702,0)</f>
        <v>0</v>
      </c>
      <c r="U2702" s="48">
        <f>IF(Учет!$O2702=Справочники!$F$6,Учет!$H2702,0)</f>
        <v>0</v>
      </c>
      <c r="V2702" s="43">
        <f>V2701+Учет!Q2702-Q2702</f>
        <v>-488978.92000000004</v>
      </c>
      <c r="W2702" s="43">
        <f>W2701+Учет!R2702-R2702</f>
        <v>336855</v>
      </c>
      <c r="X2702" s="43">
        <f>X2701+Учет!S2702-S2702</f>
        <v>500</v>
      </c>
      <c r="Y2702" s="43">
        <f>Y2701+Учет!T2702-T2702</f>
        <v>1150</v>
      </c>
      <c r="Z2702" s="43">
        <f>Z2701+Учет!U2702-U2702</f>
        <v>500000</v>
      </c>
      <c r="AA2702" s="45">
        <f>Учет!X2702</f>
        <v>500</v>
      </c>
    </row>
    <row r="2703" spans="1:27" ht="15" customHeight="1" x14ac:dyDescent="0.25">
      <c r="A2703" s="1"/>
      <c r="B2703" s="17"/>
      <c r="C2703" s="17"/>
      <c r="D2703" s="17"/>
      <c r="E2703" s="17"/>
      <c r="F2703" s="17"/>
      <c r="G2703" s="4">
        <f t="shared" si="123"/>
        <v>0</v>
      </c>
      <c r="H2703" s="17"/>
      <c r="I2703" s="4">
        <f t="shared" si="125"/>
        <v>349526.07999999996</v>
      </c>
      <c r="J2703" s="32" t="str">
        <f t="shared" si="124"/>
        <v/>
      </c>
      <c r="K2703" s="72"/>
      <c r="L2703" s="72"/>
      <c r="M2703" s="2"/>
      <c r="N2703" s="5"/>
      <c r="O2703" s="3"/>
      <c r="P2703" s="6"/>
      <c r="Q2703" s="48">
        <f>IF(Учет!$O2703=Справочники!$F$2,Учет!$H2703,0)</f>
        <v>0</v>
      </c>
      <c r="R2703" s="48">
        <f>IF(Учет!$O2703=Справочники!$F$3,Учет!$H2703,0)</f>
        <v>0</v>
      </c>
      <c r="S2703" s="48">
        <f>IF(Учет!$O2703=Справочники!$F$4,Учет!$H2703,0)</f>
        <v>0</v>
      </c>
      <c r="T2703" s="48">
        <f>IF(Учет!$O2703=Справочники!$F$5,Учет!$H2703,0)</f>
        <v>0</v>
      </c>
      <c r="U2703" s="48">
        <f>IF(Учет!$O2703=Справочники!$F$6,Учет!$H2703,0)</f>
        <v>0</v>
      </c>
      <c r="V2703" s="43">
        <f>V2702+Учет!Q2703-Q2703</f>
        <v>-488978.92000000004</v>
      </c>
      <c r="W2703" s="43">
        <f>W2702+Учет!R2703-R2703</f>
        <v>336855</v>
      </c>
      <c r="X2703" s="43">
        <f>X2702+Учет!S2703-S2703</f>
        <v>500</v>
      </c>
      <c r="Y2703" s="43">
        <f>Y2702+Учет!T2703-T2703</f>
        <v>1150</v>
      </c>
      <c r="Z2703" s="43">
        <f>Z2702+Учет!U2703-U2703</f>
        <v>500000</v>
      </c>
      <c r="AA2703" s="45">
        <f>Учет!X2703</f>
        <v>500</v>
      </c>
    </row>
    <row r="2704" spans="1:27" ht="15" customHeight="1" x14ac:dyDescent="0.25">
      <c r="A2704" s="1"/>
      <c r="B2704" s="17"/>
      <c r="C2704" s="17"/>
      <c r="D2704" s="17"/>
      <c r="E2704" s="17"/>
      <c r="F2704" s="17"/>
      <c r="G2704" s="4">
        <f t="shared" si="123"/>
        <v>0</v>
      </c>
      <c r="H2704" s="17"/>
      <c r="I2704" s="4">
        <f t="shared" si="125"/>
        <v>349526.07999999996</v>
      </c>
      <c r="J2704" s="32" t="str">
        <f t="shared" si="124"/>
        <v/>
      </c>
      <c r="K2704" s="72"/>
      <c r="L2704" s="72"/>
      <c r="M2704" s="2"/>
      <c r="N2704" s="5"/>
      <c r="O2704" s="3"/>
      <c r="P2704" s="6"/>
      <c r="Q2704" s="48">
        <f>IF(Учет!$O2704=Справочники!$F$2,Учет!$H2704,0)</f>
        <v>0</v>
      </c>
      <c r="R2704" s="48">
        <f>IF(Учет!$O2704=Справочники!$F$3,Учет!$H2704,0)</f>
        <v>0</v>
      </c>
      <c r="S2704" s="48">
        <f>IF(Учет!$O2704=Справочники!$F$4,Учет!$H2704,0)</f>
        <v>0</v>
      </c>
      <c r="T2704" s="48">
        <f>IF(Учет!$O2704=Справочники!$F$5,Учет!$H2704,0)</f>
        <v>0</v>
      </c>
      <c r="U2704" s="48">
        <f>IF(Учет!$O2704=Справочники!$F$6,Учет!$H2704,0)</f>
        <v>0</v>
      </c>
      <c r="V2704" s="43">
        <f>V2703+Учет!Q2704-Q2704</f>
        <v>-488978.92000000004</v>
      </c>
      <c r="W2704" s="43">
        <f>W2703+Учет!R2704-R2704</f>
        <v>336855</v>
      </c>
      <c r="X2704" s="43">
        <f>X2703+Учет!S2704-S2704</f>
        <v>500</v>
      </c>
      <c r="Y2704" s="43">
        <f>Y2703+Учет!T2704-T2704</f>
        <v>1150</v>
      </c>
      <c r="Z2704" s="43">
        <f>Z2703+Учет!U2704-U2704</f>
        <v>500000</v>
      </c>
      <c r="AA2704" s="45">
        <f>Учет!X2704</f>
        <v>500</v>
      </c>
    </row>
    <row r="2705" spans="1:27" ht="15" customHeight="1" x14ac:dyDescent="0.25">
      <c r="A2705" s="1"/>
      <c r="B2705" s="17"/>
      <c r="C2705" s="17"/>
      <c r="D2705" s="17"/>
      <c r="E2705" s="17"/>
      <c r="F2705" s="17"/>
      <c r="G2705" s="4">
        <f t="shared" si="123"/>
        <v>0</v>
      </c>
      <c r="H2705" s="17"/>
      <c r="I2705" s="4">
        <f t="shared" si="125"/>
        <v>349526.07999999996</v>
      </c>
      <c r="J2705" s="32" t="str">
        <f t="shared" si="124"/>
        <v/>
      </c>
      <c r="K2705" s="72"/>
      <c r="L2705" s="72"/>
      <c r="M2705" s="2"/>
      <c r="N2705" s="5"/>
      <c r="O2705" s="3"/>
      <c r="P2705" s="6"/>
      <c r="Q2705" s="48">
        <f>IF(Учет!$O2705=Справочники!$F$2,Учет!$H2705,0)</f>
        <v>0</v>
      </c>
      <c r="R2705" s="48">
        <f>IF(Учет!$O2705=Справочники!$F$3,Учет!$H2705,0)</f>
        <v>0</v>
      </c>
      <c r="S2705" s="48">
        <f>IF(Учет!$O2705=Справочники!$F$4,Учет!$H2705,0)</f>
        <v>0</v>
      </c>
      <c r="T2705" s="48">
        <f>IF(Учет!$O2705=Справочники!$F$5,Учет!$H2705,0)</f>
        <v>0</v>
      </c>
      <c r="U2705" s="48">
        <f>IF(Учет!$O2705=Справочники!$F$6,Учет!$H2705,0)</f>
        <v>0</v>
      </c>
      <c r="V2705" s="43">
        <f>V2704+Учет!Q2705-Q2705</f>
        <v>-488978.92000000004</v>
      </c>
      <c r="W2705" s="43">
        <f>W2704+Учет!R2705-R2705</f>
        <v>336855</v>
      </c>
      <c r="X2705" s="43">
        <f>X2704+Учет!S2705-S2705</f>
        <v>500</v>
      </c>
      <c r="Y2705" s="43">
        <f>Y2704+Учет!T2705-T2705</f>
        <v>1150</v>
      </c>
      <c r="Z2705" s="43">
        <f>Z2704+Учет!U2705-U2705</f>
        <v>500000</v>
      </c>
      <c r="AA2705" s="45">
        <f>Учет!X2705</f>
        <v>500</v>
      </c>
    </row>
    <row r="2706" spans="1:27" ht="15" customHeight="1" x14ac:dyDescent="0.25">
      <c r="A2706" s="1"/>
      <c r="B2706" s="17"/>
      <c r="C2706" s="17"/>
      <c r="D2706" s="17"/>
      <c r="E2706" s="17"/>
      <c r="F2706" s="17"/>
      <c r="G2706" s="4">
        <f t="shared" si="123"/>
        <v>0</v>
      </c>
      <c r="H2706" s="17"/>
      <c r="I2706" s="4">
        <f t="shared" si="125"/>
        <v>349526.07999999996</v>
      </c>
      <c r="J2706" s="32" t="str">
        <f t="shared" si="124"/>
        <v/>
      </c>
      <c r="K2706" s="72"/>
      <c r="L2706" s="72"/>
      <c r="M2706" s="2"/>
      <c r="N2706" s="5"/>
      <c r="O2706" s="3"/>
      <c r="P2706" s="6"/>
      <c r="Q2706" s="48">
        <f>IF(Учет!$O2706=Справочники!$F$2,Учет!$H2706,0)</f>
        <v>0</v>
      </c>
      <c r="R2706" s="48">
        <f>IF(Учет!$O2706=Справочники!$F$3,Учет!$H2706,0)</f>
        <v>0</v>
      </c>
      <c r="S2706" s="48">
        <f>IF(Учет!$O2706=Справочники!$F$4,Учет!$H2706,0)</f>
        <v>0</v>
      </c>
      <c r="T2706" s="48">
        <f>IF(Учет!$O2706=Справочники!$F$5,Учет!$H2706,0)</f>
        <v>0</v>
      </c>
      <c r="U2706" s="48">
        <f>IF(Учет!$O2706=Справочники!$F$6,Учет!$H2706,0)</f>
        <v>0</v>
      </c>
      <c r="V2706" s="43">
        <f>V2705+Учет!Q2706-Q2706</f>
        <v>-488978.92000000004</v>
      </c>
      <c r="W2706" s="43">
        <f>W2705+Учет!R2706-R2706</f>
        <v>336855</v>
      </c>
      <c r="X2706" s="43">
        <f>X2705+Учет!S2706-S2706</f>
        <v>500</v>
      </c>
      <c r="Y2706" s="43">
        <f>Y2705+Учет!T2706-T2706</f>
        <v>1150</v>
      </c>
      <c r="Z2706" s="43">
        <f>Z2705+Учет!U2706-U2706</f>
        <v>500000</v>
      </c>
      <c r="AA2706" s="45">
        <f>Учет!X2706</f>
        <v>500</v>
      </c>
    </row>
    <row r="2707" spans="1:27" ht="15" customHeight="1" x14ac:dyDescent="0.25">
      <c r="A2707" s="1"/>
      <c r="B2707" s="17"/>
      <c r="C2707" s="17"/>
      <c r="D2707" s="17"/>
      <c r="E2707" s="17"/>
      <c r="F2707" s="17"/>
      <c r="G2707" s="4">
        <f t="shared" si="123"/>
        <v>0</v>
      </c>
      <c r="H2707" s="17"/>
      <c r="I2707" s="4">
        <f t="shared" si="125"/>
        <v>349526.07999999996</v>
      </c>
      <c r="J2707" s="32" t="str">
        <f t="shared" si="124"/>
        <v/>
      </c>
      <c r="K2707" s="72"/>
      <c r="L2707" s="72"/>
      <c r="M2707" s="2"/>
      <c r="N2707" s="5"/>
      <c r="O2707" s="3"/>
      <c r="P2707" s="6"/>
      <c r="Q2707" s="48">
        <f>IF(Учет!$O2707=Справочники!$F$2,Учет!$H2707,0)</f>
        <v>0</v>
      </c>
      <c r="R2707" s="48">
        <f>IF(Учет!$O2707=Справочники!$F$3,Учет!$H2707,0)</f>
        <v>0</v>
      </c>
      <c r="S2707" s="48">
        <f>IF(Учет!$O2707=Справочники!$F$4,Учет!$H2707,0)</f>
        <v>0</v>
      </c>
      <c r="T2707" s="48">
        <f>IF(Учет!$O2707=Справочники!$F$5,Учет!$H2707,0)</f>
        <v>0</v>
      </c>
      <c r="U2707" s="48">
        <f>IF(Учет!$O2707=Справочники!$F$6,Учет!$H2707,0)</f>
        <v>0</v>
      </c>
      <c r="V2707" s="43">
        <f>V2706+Учет!Q2707-Q2707</f>
        <v>-488978.92000000004</v>
      </c>
      <c r="W2707" s="43">
        <f>W2706+Учет!R2707-R2707</f>
        <v>336855</v>
      </c>
      <c r="X2707" s="43">
        <f>X2706+Учет!S2707-S2707</f>
        <v>500</v>
      </c>
      <c r="Y2707" s="43">
        <f>Y2706+Учет!T2707-T2707</f>
        <v>1150</v>
      </c>
      <c r="Z2707" s="43">
        <f>Z2706+Учет!U2707-U2707</f>
        <v>500000</v>
      </c>
      <c r="AA2707" s="45">
        <f>Учет!X2707</f>
        <v>500</v>
      </c>
    </row>
    <row r="2708" spans="1:27" ht="15" customHeight="1" x14ac:dyDescent="0.25">
      <c r="A2708" s="1"/>
      <c r="B2708" s="17"/>
      <c r="C2708" s="17"/>
      <c r="D2708" s="17"/>
      <c r="E2708" s="17"/>
      <c r="F2708" s="17"/>
      <c r="G2708" s="4">
        <f t="shared" si="123"/>
        <v>0</v>
      </c>
      <c r="H2708" s="17"/>
      <c r="I2708" s="4">
        <f t="shared" si="125"/>
        <v>349526.07999999996</v>
      </c>
      <c r="J2708" s="32" t="str">
        <f t="shared" si="124"/>
        <v/>
      </c>
      <c r="K2708" s="72"/>
      <c r="L2708" s="72"/>
      <c r="M2708" s="2"/>
      <c r="N2708" s="5"/>
      <c r="O2708" s="3"/>
      <c r="P2708" s="6"/>
      <c r="Q2708" s="48">
        <f>IF(Учет!$O2708=Справочники!$F$2,Учет!$H2708,0)</f>
        <v>0</v>
      </c>
      <c r="R2708" s="48">
        <f>IF(Учет!$O2708=Справочники!$F$3,Учет!$H2708,0)</f>
        <v>0</v>
      </c>
      <c r="S2708" s="48">
        <f>IF(Учет!$O2708=Справочники!$F$4,Учет!$H2708,0)</f>
        <v>0</v>
      </c>
      <c r="T2708" s="48">
        <f>IF(Учет!$O2708=Справочники!$F$5,Учет!$H2708,0)</f>
        <v>0</v>
      </c>
      <c r="U2708" s="48">
        <f>IF(Учет!$O2708=Справочники!$F$6,Учет!$H2708,0)</f>
        <v>0</v>
      </c>
      <c r="V2708" s="43">
        <f>V2707+Учет!Q2708-Q2708</f>
        <v>-488978.92000000004</v>
      </c>
      <c r="W2708" s="43">
        <f>W2707+Учет!R2708-R2708</f>
        <v>336855</v>
      </c>
      <c r="X2708" s="43">
        <f>X2707+Учет!S2708-S2708</f>
        <v>500</v>
      </c>
      <c r="Y2708" s="43">
        <f>Y2707+Учет!T2708-T2708</f>
        <v>1150</v>
      </c>
      <c r="Z2708" s="43">
        <f>Z2707+Учет!U2708-U2708</f>
        <v>500000</v>
      </c>
      <c r="AA2708" s="45">
        <f>Учет!X2708</f>
        <v>500</v>
      </c>
    </row>
    <row r="2709" spans="1:27" ht="15" customHeight="1" x14ac:dyDescent="0.25">
      <c r="A2709" s="1"/>
      <c r="B2709" s="17"/>
      <c r="C2709" s="17"/>
      <c r="D2709" s="17"/>
      <c r="E2709" s="17"/>
      <c r="F2709" s="17"/>
      <c r="G2709" s="4">
        <f t="shared" si="123"/>
        <v>0</v>
      </c>
      <c r="H2709" s="17"/>
      <c r="I2709" s="4">
        <f t="shared" si="125"/>
        <v>349526.07999999996</v>
      </c>
      <c r="J2709" s="32" t="str">
        <f t="shared" si="124"/>
        <v/>
      </c>
      <c r="K2709" s="72"/>
      <c r="L2709" s="72"/>
      <c r="M2709" s="2"/>
      <c r="N2709" s="5"/>
      <c r="O2709" s="3"/>
      <c r="P2709" s="6"/>
      <c r="Q2709" s="48">
        <f>IF(Учет!$O2709=Справочники!$F$2,Учет!$H2709,0)</f>
        <v>0</v>
      </c>
      <c r="R2709" s="48">
        <f>IF(Учет!$O2709=Справочники!$F$3,Учет!$H2709,0)</f>
        <v>0</v>
      </c>
      <c r="S2709" s="48">
        <f>IF(Учет!$O2709=Справочники!$F$4,Учет!$H2709,0)</f>
        <v>0</v>
      </c>
      <c r="T2709" s="48">
        <f>IF(Учет!$O2709=Справочники!$F$5,Учет!$H2709,0)</f>
        <v>0</v>
      </c>
      <c r="U2709" s="48">
        <f>IF(Учет!$O2709=Справочники!$F$6,Учет!$H2709,0)</f>
        <v>0</v>
      </c>
      <c r="V2709" s="43">
        <f>V2708+Учет!Q2709-Q2709</f>
        <v>-488978.92000000004</v>
      </c>
      <c r="W2709" s="43">
        <f>W2708+Учет!R2709-R2709</f>
        <v>336855</v>
      </c>
      <c r="X2709" s="43">
        <f>X2708+Учет!S2709-S2709</f>
        <v>500</v>
      </c>
      <c r="Y2709" s="43">
        <f>Y2708+Учет!T2709-T2709</f>
        <v>1150</v>
      </c>
      <c r="Z2709" s="43">
        <f>Z2708+Учет!U2709-U2709</f>
        <v>500000</v>
      </c>
      <c r="AA2709" s="45">
        <f>Учет!X2709</f>
        <v>500</v>
      </c>
    </row>
    <row r="2710" spans="1:27" ht="15" customHeight="1" x14ac:dyDescent="0.25">
      <c r="A2710" s="1"/>
      <c r="B2710" s="17"/>
      <c r="C2710" s="17"/>
      <c r="D2710" s="17"/>
      <c r="E2710" s="17"/>
      <c r="F2710" s="17"/>
      <c r="G2710" s="4">
        <f t="shared" si="123"/>
        <v>0</v>
      </c>
      <c r="H2710" s="17"/>
      <c r="I2710" s="4">
        <f t="shared" si="125"/>
        <v>349526.07999999996</v>
      </c>
      <c r="J2710" s="32" t="str">
        <f t="shared" si="124"/>
        <v/>
      </c>
      <c r="K2710" s="72"/>
      <c r="L2710" s="72"/>
      <c r="M2710" s="2"/>
      <c r="N2710" s="5"/>
      <c r="O2710" s="3"/>
      <c r="P2710" s="6"/>
      <c r="Q2710" s="48">
        <f>IF(Учет!$O2710=Справочники!$F$2,Учет!$H2710,0)</f>
        <v>0</v>
      </c>
      <c r="R2710" s="48">
        <f>IF(Учет!$O2710=Справочники!$F$3,Учет!$H2710,0)</f>
        <v>0</v>
      </c>
      <c r="S2710" s="48">
        <f>IF(Учет!$O2710=Справочники!$F$4,Учет!$H2710,0)</f>
        <v>0</v>
      </c>
      <c r="T2710" s="48">
        <f>IF(Учет!$O2710=Справочники!$F$5,Учет!$H2710,0)</f>
        <v>0</v>
      </c>
      <c r="U2710" s="48">
        <f>IF(Учет!$O2710=Справочники!$F$6,Учет!$H2710,0)</f>
        <v>0</v>
      </c>
      <c r="V2710" s="43">
        <f>V2709+Учет!Q2710-Q2710</f>
        <v>-488978.92000000004</v>
      </c>
      <c r="W2710" s="43">
        <f>W2709+Учет!R2710-R2710</f>
        <v>336855</v>
      </c>
      <c r="X2710" s="43">
        <f>X2709+Учет!S2710-S2710</f>
        <v>500</v>
      </c>
      <c r="Y2710" s="43">
        <f>Y2709+Учет!T2710-T2710</f>
        <v>1150</v>
      </c>
      <c r="Z2710" s="43">
        <f>Z2709+Учет!U2710-U2710</f>
        <v>500000</v>
      </c>
      <c r="AA2710" s="45">
        <f>Учет!X2710</f>
        <v>500</v>
      </c>
    </row>
    <row r="2711" spans="1:27" ht="15" customHeight="1" x14ac:dyDescent="0.25">
      <c r="A2711" s="1"/>
      <c r="B2711" s="17"/>
      <c r="C2711" s="17"/>
      <c r="D2711" s="17"/>
      <c r="E2711" s="17"/>
      <c r="F2711" s="17"/>
      <c r="G2711" s="4">
        <f t="shared" si="123"/>
        <v>0</v>
      </c>
      <c r="H2711" s="17"/>
      <c r="I2711" s="4">
        <f t="shared" si="125"/>
        <v>349526.07999999996</v>
      </c>
      <c r="J2711" s="32" t="str">
        <f t="shared" si="124"/>
        <v/>
      </c>
      <c r="K2711" s="72"/>
      <c r="L2711" s="72"/>
      <c r="M2711" s="2"/>
      <c r="N2711" s="5"/>
      <c r="O2711" s="3"/>
      <c r="P2711" s="6"/>
      <c r="Q2711" s="48">
        <f>IF(Учет!$O2711=Справочники!$F$2,Учет!$H2711,0)</f>
        <v>0</v>
      </c>
      <c r="R2711" s="48">
        <f>IF(Учет!$O2711=Справочники!$F$3,Учет!$H2711,0)</f>
        <v>0</v>
      </c>
      <c r="S2711" s="48">
        <f>IF(Учет!$O2711=Справочники!$F$4,Учет!$H2711,0)</f>
        <v>0</v>
      </c>
      <c r="T2711" s="48">
        <f>IF(Учет!$O2711=Справочники!$F$5,Учет!$H2711,0)</f>
        <v>0</v>
      </c>
      <c r="U2711" s="48">
        <f>IF(Учет!$O2711=Справочники!$F$6,Учет!$H2711,0)</f>
        <v>0</v>
      </c>
      <c r="V2711" s="43">
        <f>V2710+Учет!Q2711-Q2711</f>
        <v>-488978.92000000004</v>
      </c>
      <c r="W2711" s="43">
        <f>W2710+Учет!R2711-R2711</f>
        <v>336855</v>
      </c>
      <c r="X2711" s="43">
        <f>X2710+Учет!S2711-S2711</f>
        <v>500</v>
      </c>
      <c r="Y2711" s="43">
        <f>Y2710+Учет!T2711-T2711</f>
        <v>1150</v>
      </c>
      <c r="Z2711" s="43">
        <f>Z2710+Учет!U2711-U2711</f>
        <v>500000</v>
      </c>
      <c r="AA2711" s="45">
        <f>Учет!X2711</f>
        <v>500</v>
      </c>
    </row>
    <row r="2712" spans="1:27" ht="15" customHeight="1" x14ac:dyDescent="0.25">
      <c r="A2712" s="1"/>
      <c r="B2712" s="17"/>
      <c r="C2712" s="17"/>
      <c r="D2712" s="17"/>
      <c r="E2712" s="17"/>
      <c r="F2712" s="17"/>
      <c r="G2712" s="4">
        <f t="shared" si="123"/>
        <v>0</v>
      </c>
      <c r="H2712" s="17"/>
      <c r="I2712" s="4">
        <f t="shared" si="125"/>
        <v>349526.07999999996</v>
      </c>
      <c r="J2712" s="32" t="str">
        <f t="shared" si="124"/>
        <v/>
      </c>
      <c r="K2712" s="72"/>
      <c r="L2712" s="72"/>
      <c r="M2712" s="2"/>
      <c r="N2712" s="5"/>
      <c r="O2712" s="3"/>
      <c r="P2712" s="6"/>
      <c r="Q2712" s="48">
        <f>IF(Учет!$O2712=Справочники!$F$2,Учет!$H2712,0)</f>
        <v>0</v>
      </c>
      <c r="R2712" s="48">
        <f>IF(Учет!$O2712=Справочники!$F$3,Учет!$H2712,0)</f>
        <v>0</v>
      </c>
      <c r="S2712" s="48">
        <f>IF(Учет!$O2712=Справочники!$F$4,Учет!$H2712,0)</f>
        <v>0</v>
      </c>
      <c r="T2712" s="48">
        <f>IF(Учет!$O2712=Справочники!$F$5,Учет!$H2712,0)</f>
        <v>0</v>
      </c>
      <c r="U2712" s="48">
        <f>IF(Учет!$O2712=Справочники!$F$6,Учет!$H2712,0)</f>
        <v>0</v>
      </c>
      <c r="V2712" s="43">
        <f>V2711+Учет!Q2712-Q2712</f>
        <v>-488978.92000000004</v>
      </c>
      <c r="W2712" s="43">
        <f>W2711+Учет!R2712-R2712</f>
        <v>336855</v>
      </c>
      <c r="X2712" s="43">
        <f>X2711+Учет!S2712-S2712</f>
        <v>500</v>
      </c>
      <c r="Y2712" s="43">
        <f>Y2711+Учет!T2712-T2712</f>
        <v>1150</v>
      </c>
      <c r="Z2712" s="43">
        <f>Z2711+Учет!U2712-U2712</f>
        <v>500000</v>
      </c>
      <c r="AA2712" s="45">
        <f>Учет!X2712</f>
        <v>500</v>
      </c>
    </row>
    <row r="2713" spans="1:27" ht="15" customHeight="1" x14ac:dyDescent="0.25">
      <c r="A2713" s="1"/>
      <c r="B2713" s="17"/>
      <c r="C2713" s="17"/>
      <c r="D2713" s="17"/>
      <c r="E2713" s="17"/>
      <c r="F2713" s="17"/>
      <c r="G2713" s="4">
        <f t="shared" si="123"/>
        <v>0</v>
      </c>
      <c r="H2713" s="17"/>
      <c r="I2713" s="4">
        <f t="shared" si="125"/>
        <v>349526.07999999996</v>
      </c>
      <c r="J2713" s="32" t="str">
        <f t="shared" si="124"/>
        <v/>
      </c>
      <c r="K2713" s="72"/>
      <c r="L2713" s="72"/>
      <c r="M2713" s="2"/>
      <c r="N2713" s="5"/>
      <c r="O2713" s="3"/>
      <c r="P2713" s="6"/>
      <c r="Q2713" s="48">
        <f>IF(Учет!$O2713=Справочники!$F$2,Учет!$H2713,0)</f>
        <v>0</v>
      </c>
      <c r="R2713" s="48">
        <f>IF(Учет!$O2713=Справочники!$F$3,Учет!$H2713,0)</f>
        <v>0</v>
      </c>
      <c r="S2713" s="48">
        <f>IF(Учет!$O2713=Справочники!$F$4,Учет!$H2713,0)</f>
        <v>0</v>
      </c>
      <c r="T2713" s="48">
        <f>IF(Учет!$O2713=Справочники!$F$5,Учет!$H2713,0)</f>
        <v>0</v>
      </c>
      <c r="U2713" s="48">
        <f>IF(Учет!$O2713=Справочники!$F$6,Учет!$H2713,0)</f>
        <v>0</v>
      </c>
      <c r="V2713" s="43">
        <f>V2712+Учет!Q2713-Q2713</f>
        <v>-488978.92000000004</v>
      </c>
      <c r="W2713" s="43">
        <f>W2712+Учет!R2713-R2713</f>
        <v>336855</v>
      </c>
      <c r="X2713" s="43">
        <f>X2712+Учет!S2713-S2713</f>
        <v>500</v>
      </c>
      <c r="Y2713" s="43">
        <f>Y2712+Учет!T2713-T2713</f>
        <v>1150</v>
      </c>
      <c r="Z2713" s="43">
        <f>Z2712+Учет!U2713-U2713</f>
        <v>500000</v>
      </c>
      <c r="AA2713" s="45">
        <f>Учет!X2713</f>
        <v>500</v>
      </c>
    </row>
    <row r="2714" spans="1:27" ht="15" customHeight="1" x14ac:dyDescent="0.25">
      <c r="A2714" s="1"/>
      <c r="B2714" s="17"/>
      <c r="C2714" s="17"/>
      <c r="D2714" s="17"/>
      <c r="E2714" s="17"/>
      <c r="F2714" s="17"/>
      <c r="G2714" s="4">
        <f t="shared" si="123"/>
        <v>0</v>
      </c>
      <c r="H2714" s="17"/>
      <c r="I2714" s="4">
        <f t="shared" si="125"/>
        <v>349526.07999999996</v>
      </c>
      <c r="J2714" s="32" t="str">
        <f t="shared" si="124"/>
        <v/>
      </c>
      <c r="K2714" s="72"/>
      <c r="L2714" s="72"/>
      <c r="M2714" s="2"/>
      <c r="N2714" s="5"/>
      <c r="O2714" s="3"/>
      <c r="P2714" s="6"/>
      <c r="Q2714" s="48">
        <f>IF(Учет!$O2714=Справочники!$F$2,Учет!$H2714,0)</f>
        <v>0</v>
      </c>
      <c r="R2714" s="48">
        <f>IF(Учет!$O2714=Справочники!$F$3,Учет!$H2714,0)</f>
        <v>0</v>
      </c>
      <c r="S2714" s="48">
        <f>IF(Учет!$O2714=Справочники!$F$4,Учет!$H2714,0)</f>
        <v>0</v>
      </c>
      <c r="T2714" s="48">
        <f>IF(Учет!$O2714=Справочники!$F$5,Учет!$H2714,0)</f>
        <v>0</v>
      </c>
      <c r="U2714" s="48">
        <f>IF(Учет!$O2714=Справочники!$F$6,Учет!$H2714,0)</f>
        <v>0</v>
      </c>
      <c r="V2714" s="43">
        <f>V2713+Учет!Q2714-Q2714</f>
        <v>-488978.92000000004</v>
      </c>
      <c r="W2714" s="43">
        <f>W2713+Учет!R2714-R2714</f>
        <v>336855</v>
      </c>
      <c r="X2714" s="43">
        <f>X2713+Учет!S2714-S2714</f>
        <v>500</v>
      </c>
      <c r="Y2714" s="43">
        <f>Y2713+Учет!T2714-T2714</f>
        <v>1150</v>
      </c>
      <c r="Z2714" s="43">
        <f>Z2713+Учет!U2714-U2714</f>
        <v>500000</v>
      </c>
      <c r="AA2714" s="45">
        <f>Учет!X2714</f>
        <v>500</v>
      </c>
    </row>
    <row r="2715" spans="1:27" ht="15" customHeight="1" x14ac:dyDescent="0.25">
      <c r="A2715" s="1"/>
      <c r="B2715" s="17"/>
      <c r="C2715" s="17"/>
      <c r="D2715" s="17"/>
      <c r="E2715" s="17"/>
      <c r="F2715" s="17"/>
      <c r="G2715" s="4">
        <f t="shared" si="123"/>
        <v>0</v>
      </c>
      <c r="H2715" s="17"/>
      <c r="I2715" s="4">
        <f t="shared" si="125"/>
        <v>349526.07999999996</v>
      </c>
      <c r="J2715" s="32" t="str">
        <f t="shared" si="124"/>
        <v/>
      </c>
      <c r="K2715" s="72"/>
      <c r="L2715" s="72"/>
      <c r="M2715" s="2"/>
      <c r="N2715" s="5"/>
      <c r="O2715" s="3"/>
      <c r="P2715" s="6"/>
      <c r="Q2715" s="48">
        <f>IF(Учет!$O2715=Справочники!$F$2,Учет!$H2715,0)</f>
        <v>0</v>
      </c>
      <c r="R2715" s="48">
        <f>IF(Учет!$O2715=Справочники!$F$3,Учет!$H2715,0)</f>
        <v>0</v>
      </c>
      <c r="S2715" s="48">
        <f>IF(Учет!$O2715=Справочники!$F$4,Учет!$H2715,0)</f>
        <v>0</v>
      </c>
      <c r="T2715" s="48">
        <f>IF(Учет!$O2715=Справочники!$F$5,Учет!$H2715,0)</f>
        <v>0</v>
      </c>
      <c r="U2715" s="48">
        <f>IF(Учет!$O2715=Справочники!$F$6,Учет!$H2715,0)</f>
        <v>0</v>
      </c>
      <c r="V2715" s="43">
        <f>V2714+Учет!Q2715-Q2715</f>
        <v>-488978.92000000004</v>
      </c>
      <c r="W2715" s="43">
        <f>W2714+Учет!R2715-R2715</f>
        <v>336855</v>
      </c>
      <c r="X2715" s="43">
        <f>X2714+Учет!S2715-S2715</f>
        <v>500</v>
      </c>
      <c r="Y2715" s="43">
        <f>Y2714+Учет!T2715-T2715</f>
        <v>1150</v>
      </c>
      <c r="Z2715" s="43">
        <f>Z2714+Учет!U2715-U2715</f>
        <v>500000</v>
      </c>
      <c r="AA2715" s="45">
        <f>Учет!X2715</f>
        <v>500</v>
      </c>
    </row>
    <row r="2716" spans="1:27" ht="15" customHeight="1" x14ac:dyDescent="0.25">
      <c r="A2716" s="1"/>
      <c r="B2716" s="17"/>
      <c r="C2716" s="17"/>
      <c r="D2716" s="17"/>
      <c r="E2716" s="17"/>
      <c r="F2716" s="17"/>
      <c r="G2716" s="4">
        <f t="shared" si="123"/>
        <v>0</v>
      </c>
      <c r="H2716" s="17"/>
      <c r="I2716" s="4">
        <f t="shared" si="125"/>
        <v>349526.07999999996</v>
      </c>
      <c r="J2716" s="32" t="str">
        <f t="shared" si="124"/>
        <v/>
      </c>
      <c r="K2716" s="72"/>
      <c r="L2716" s="72"/>
      <c r="M2716" s="2"/>
      <c r="N2716" s="5"/>
      <c r="O2716" s="3"/>
      <c r="P2716" s="6"/>
      <c r="Q2716" s="48">
        <f>IF(Учет!$O2716=Справочники!$F$2,Учет!$H2716,0)</f>
        <v>0</v>
      </c>
      <c r="R2716" s="48">
        <f>IF(Учет!$O2716=Справочники!$F$3,Учет!$H2716,0)</f>
        <v>0</v>
      </c>
      <c r="S2716" s="48">
        <f>IF(Учет!$O2716=Справочники!$F$4,Учет!$H2716,0)</f>
        <v>0</v>
      </c>
      <c r="T2716" s="48">
        <f>IF(Учет!$O2716=Справочники!$F$5,Учет!$H2716,0)</f>
        <v>0</v>
      </c>
      <c r="U2716" s="48">
        <f>IF(Учет!$O2716=Справочники!$F$6,Учет!$H2716,0)</f>
        <v>0</v>
      </c>
      <c r="V2716" s="43">
        <f>V2715+Учет!Q2716-Q2716</f>
        <v>-488978.92000000004</v>
      </c>
      <c r="W2716" s="43">
        <f>W2715+Учет!R2716-R2716</f>
        <v>336855</v>
      </c>
      <c r="X2716" s="43">
        <f>X2715+Учет!S2716-S2716</f>
        <v>500</v>
      </c>
      <c r="Y2716" s="43">
        <f>Y2715+Учет!T2716-T2716</f>
        <v>1150</v>
      </c>
      <c r="Z2716" s="43">
        <f>Z2715+Учет!U2716-U2716</f>
        <v>500000</v>
      </c>
      <c r="AA2716" s="45">
        <f>Учет!X2716</f>
        <v>500</v>
      </c>
    </row>
    <row r="2717" spans="1:27" ht="15" customHeight="1" x14ac:dyDescent="0.25">
      <c r="A2717" s="1"/>
      <c r="B2717" s="17"/>
      <c r="C2717" s="17"/>
      <c r="D2717" s="17"/>
      <c r="E2717" s="17"/>
      <c r="F2717" s="17"/>
      <c r="G2717" s="4">
        <f t="shared" si="123"/>
        <v>0</v>
      </c>
      <c r="H2717" s="17"/>
      <c r="I2717" s="4">
        <f t="shared" si="125"/>
        <v>349526.07999999996</v>
      </c>
      <c r="J2717" s="32" t="str">
        <f t="shared" si="124"/>
        <v/>
      </c>
      <c r="K2717" s="72"/>
      <c r="L2717" s="72"/>
      <c r="M2717" s="2"/>
      <c r="N2717" s="5"/>
      <c r="O2717" s="3"/>
      <c r="P2717" s="6"/>
      <c r="Q2717" s="48">
        <f>IF(Учет!$O2717=Справочники!$F$2,Учет!$H2717,0)</f>
        <v>0</v>
      </c>
      <c r="R2717" s="48">
        <f>IF(Учет!$O2717=Справочники!$F$3,Учет!$H2717,0)</f>
        <v>0</v>
      </c>
      <c r="S2717" s="48">
        <f>IF(Учет!$O2717=Справочники!$F$4,Учет!$H2717,0)</f>
        <v>0</v>
      </c>
      <c r="T2717" s="48">
        <f>IF(Учет!$O2717=Справочники!$F$5,Учет!$H2717,0)</f>
        <v>0</v>
      </c>
      <c r="U2717" s="48">
        <f>IF(Учет!$O2717=Справочники!$F$6,Учет!$H2717,0)</f>
        <v>0</v>
      </c>
      <c r="V2717" s="43">
        <f>V2716+Учет!Q2717-Q2717</f>
        <v>-488978.92000000004</v>
      </c>
      <c r="W2717" s="43">
        <f>W2716+Учет!R2717-R2717</f>
        <v>336855</v>
      </c>
      <c r="X2717" s="43">
        <f>X2716+Учет!S2717-S2717</f>
        <v>500</v>
      </c>
      <c r="Y2717" s="43">
        <f>Y2716+Учет!T2717-T2717</f>
        <v>1150</v>
      </c>
      <c r="Z2717" s="43">
        <f>Z2716+Учет!U2717-U2717</f>
        <v>500000</v>
      </c>
      <c r="AA2717" s="45">
        <f>Учет!X2717</f>
        <v>500</v>
      </c>
    </row>
    <row r="2718" spans="1:27" ht="15" customHeight="1" x14ac:dyDescent="0.25">
      <c r="A2718" s="1"/>
      <c r="B2718" s="17"/>
      <c r="C2718" s="17"/>
      <c r="D2718" s="17"/>
      <c r="E2718" s="17"/>
      <c r="F2718" s="17"/>
      <c r="G2718" s="4">
        <f t="shared" si="123"/>
        <v>0</v>
      </c>
      <c r="H2718" s="17"/>
      <c r="I2718" s="4">
        <f t="shared" si="125"/>
        <v>349526.07999999996</v>
      </c>
      <c r="J2718" s="32" t="str">
        <f t="shared" si="124"/>
        <v/>
      </c>
      <c r="K2718" s="72"/>
      <c r="L2718" s="72"/>
      <c r="M2718" s="2"/>
      <c r="N2718" s="5"/>
      <c r="O2718" s="3"/>
      <c r="P2718" s="6"/>
      <c r="Q2718" s="48">
        <f>IF(Учет!$O2718=Справочники!$F$2,Учет!$H2718,0)</f>
        <v>0</v>
      </c>
      <c r="R2718" s="48">
        <f>IF(Учет!$O2718=Справочники!$F$3,Учет!$H2718,0)</f>
        <v>0</v>
      </c>
      <c r="S2718" s="48">
        <f>IF(Учет!$O2718=Справочники!$F$4,Учет!$H2718,0)</f>
        <v>0</v>
      </c>
      <c r="T2718" s="48">
        <f>IF(Учет!$O2718=Справочники!$F$5,Учет!$H2718,0)</f>
        <v>0</v>
      </c>
      <c r="U2718" s="48">
        <f>IF(Учет!$O2718=Справочники!$F$6,Учет!$H2718,0)</f>
        <v>0</v>
      </c>
      <c r="V2718" s="43">
        <f>V2717+Учет!Q2718-Q2718</f>
        <v>-488978.92000000004</v>
      </c>
      <c r="W2718" s="43">
        <f>W2717+Учет!R2718-R2718</f>
        <v>336855</v>
      </c>
      <c r="X2718" s="43">
        <f>X2717+Учет!S2718-S2718</f>
        <v>500</v>
      </c>
      <c r="Y2718" s="43">
        <f>Y2717+Учет!T2718-T2718</f>
        <v>1150</v>
      </c>
      <c r="Z2718" s="43">
        <f>Z2717+Учет!U2718-U2718</f>
        <v>500000</v>
      </c>
      <c r="AA2718" s="45">
        <f>Учет!X2718</f>
        <v>500</v>
      </c>
    </row>
    <row r="2719" spans="1:27" ht="15" customHeight="1" x14ac:dyDescent="0.25">
      <c r="A2719" s="1"/>
      <c r="B2719" s="17"/>
      <c r="C2719" s="17"/>
      <c r="D2719" s="17"/>
      <c r="E2719" s="17"/>
      <c r="F2719" s="17"/>
      <c r="G2719" s="4">
        <f t="shared" si="123"/>
        <v>0</v>
      </c>
      <c r="H2719" s="17"/>
      <c r="I2719" s="4">
        <f t="shared" si="125"/>
        <v>349526.07999999996</v>
      </c>
      <c r="J2719" s="32" t="str">
        <f t="shared" si="124"/>
        <v/>
      </c>
      <c r="K2719" s="72"/>
      <c r="L2719" s="72"/>
      <c r="M2719" s="2"/>
      <c r="N2719" s="5"/>
      <c r="O2719" s="3"/>
      <c r="P2719" s="6"/>
      <c r="Q2719" s="48">
        <f>IF(Учет!$O2719=Справочники!$F$2,Учет!$H2719,0)</f>
        <v>0</v>
      </c>
      <c r="R2719" s="48">
        <f>IF(Учет!$O2719=Справочники!$F$3,Учет!$H2719,0)</f>
        <v>0</v>
      </c>
      <c r="S2719" s="48">
        <f>IF(Учет!$O2719=Справочники!$F$4,Учет!$H2719,0)</f>
        <v>0</v>
      </c>
      <c r="T2719" s="48">
        <f>IF(Учет!$O2719=Справочники!$F$5,Учет!$H2719,0)</f>
        <v>0</v>
      </c>
      <c r="U2719" s="48">
        <f>IF(Учет!$O2719=Справочники!$F$6,Учет!$H2719,0)</f>
        <v>0</v>
      </c>
      <c r="V2719" s="43">
        <f>V2718+Учет!Q2719-Q2719</f>
        <v>-488978.92000000004</v>
      </c>
      <c r="W2719" s="43">
        <f>W2718+Учет!R2719-R2719</f>
        <v>336855</v>
      </c>
      <c r="X2719" s="43">
        <f>X2718+Учет!S2719-S2719</f>
        <v>500</v>
      </c>
      <c r="Y2719" s="43">
        <f>Y2718+Учет!T2719-T2719</f>
        <v>1150</v>
      </c>
      <c r="Z2719" s="43">
        <f>Z2718+Учет!U2719-U2719</f>
        <v>500000</v>
      </c>
      <c r="AA2719" s="45">
        <f>Учет!X2719</f>
        <v>500</v>
      </c>
    </row>
    <row r="2720" spans="1:27" ht="15" customHeight="1" x14ac:dyDescent="0.25">
      <c r="A2720" s="1"/>
      <c r="B2720" s="17"/>
      <c r="C2720" s="17"/>
      <c r="D2720" s="17"/>
      <c r="E2720" s="17"/>
      <c r="F2720" s="17"/>
      <c r="G2720" s="4">
        <f t="shared" si="123"/>
        <v>0</v>
      </c>
      <c r="H2720" s="17"/>
      <c r="I2720" s="4">
        <f t="shared" si="125"/>
        <v>349526.07999999996</v>
      </c>
      <c r="J2720" s="32" t="str">
        <f t="shared" si="124"/>
        <v/>
      </c>
      <c r="K2720" s="72"/>
      <c r="L2720" s="72"/>
      <c r="M2720" s="2"/>
      <c r="N2720" s="5"/>
      <c r="O2720" s="3"/>
      <c r="P2720" s="6"/>
      <c r="Q2720" s="48">
        <f>IF(Учет!$O2720=Справочники!$F$2,Учет!$H2720,0)</f>
        <v>0</v>
      </c>
      <c r="R2720" s="48">
        <f>IF(Учет!$O2720=Справочники!$F$3,Учет!$H2720,0)</f>
        <v>0</v>
      </c>
      <c r="S2720" s="48">
        <f>IF(Учет!$O2720=Справочники!$F$4,Учет!$H2720,0)</f>
        <v>0</v>
      </c>
      <c r="T2720" s="48">
        <f>IF(Учет!$O2720=Справочники!$F$5,Учет!$H2720,0)</f>
        <v>0</v>
      </c>
      <c r="U2720" s="48">
        <f>IF(Учет!$O2720=Справочники!$F$6,Учет!$H2720,0)</f>
        <v>0</v>
      </c>
      <c r="V2720" s="43">
        <f>V2719+Учет!Q2720-Q2720</f>
        <v>-488978.92000000004</v>
      </c>
      <c r="W2720" s="43">
        <f>W2719+Учет!R2720-R2720</f>
        <v>336855</v>
      </c>
      <c r="X2720" s="43">
        <f>X2719+Учет!S2720-S2720</f>
        <v>500</v>
      </c>
      <c r="Y2720" s="43">
        <f>Y2719+Учет!T2720-T2720</f>
        <v>1150</v>
      </c>
      <c r="Z2720" s="43">
        <f>Z2719+Учет!U2720-U2720</f>
        <v>500000</v>
      </c>
      <c r="AA2720" s="45">
        <f>Учет!X2720</f>
        <v>500</v>
      </c>
    </row>
    <row r="2721" spans="1:27" ht="15" customHeight="1" x14ac:dyDescent="0.25">
      <c r="A2721" s="1"/>
      <c r="B2721" s="17"/>
      <c r="C2721" s="17"/>
      <c r="D2721" s="17"/>
      <c r="E2721" s="17"/>
      <c r="F2721" s="17"/>
      <c r="G2721" s="4">
        <f t="shared" si="123"/>
        <v>0</v>
      </c>
      <c r="H2721" s="17"/>
      <c r="I2721" s="4">
        <f t="shared" si="125"/>
        <v>349526.07999999996</v>
      </c>
      <c r="J2721" s="32" t="str">
        <f t="shared" si="124"/>
        <v/>
      </c>
      <c r="K2721" s="72"/>
      <c r="L2721" s="72"/>
      <c r="M2721" s="2"/>
      <c r="N2721" s="5"/>
      <c r="O2721" s="3"/>
      <c r="P2721" s="6"/>
      <c r="Q2721" s="48">
        <f>IF(Учет!$O2721=Справочники!$F$2,Учет!$H2721,0)</f>
        <v>0</v>
      </c>
      <c r="R2721" s="48">
        <f>IF(Учет!$O2721=Справочники!$F$3,Учет!$H2721,0)</f>
        <v>0</v>
      </c>
      <c r="S2721" s="48">
        <f>IF(Учет!$O2721=Справочники!$F$4,Учет!$H2721,0)</f>
        <v>0</v>
      </c>
      <c r="T2721" s="48">
        <f>IF(Учет!$O2721=Справочники!$F$5,Учет!$H2721,0)</f>
        <v>0</v>
      </c>
      <c r="U2721" s="48">
        <f>IF(Учет!$O2721=Справочники!$F$6,Учет!$H2721,0)</f>
        <v>0</v>
      </c>
      <c r="V2721" s="43">
        <f>V2720+Учет!Q2721-Q2721</f>
        <v>-488978.92000000004</v>
      </c>
      <c r="W2721" s="43">
        <f>W2720+Учет!R2721-R2721</f>
        <v>336855</v>
      </c>
      <c r="X2721" s="43">
        <f>X2720+Учет!S2721-S2721</f>
        <v>500</v>
      </c>
      <c r="Y2721" s="43">
        <f>Y2720+Учет!T2721-T2721</f>
        <v>1150</v>
      </c>
      <c r="Z2721" s="43">
        <f>Z2720+Учет!U2721-U2721</f>
        <v>500000</v>
      </c>
      <c r="AA2721" s="45">
        <f>Учет!X2721</f>
        <v>500</v>
      </c>
    </row>
    <row r="2722" spans="1:27" ht="15" customHeight="1" x14ac:dyDescent="0.25">
      <c r="A2722" s="1"/>
      <c r="B2722" s="17"/>
      <c r="C2722" s="17"/>
      <c r="D2722" s="17"/>
      <c r="E2722" s="17"/>
      <c r="F2722" s="17"/>
      <c r="G2722" s="4">
        <f t="shared" si="123"/>
        <v>0</v>
      </c>
      <c r="H2722" s="17"/>
      <c r="I2722" s="4">
        <f t="shared" si="125"/>
        <v>349526.07999999996</v>
      </c>
      <c r="J2722" s="32" t="str">
        <f t="shared" si="124"/>
        <v/>
      </c>
      <c r="K2722" s="72"/>
      <c r="L2722" s="72"/>
      <c r="M2722" s="2"/>
      <c r="N2722" s="5"/>
      <c r="O2722" s="3"/>
      <c r="P2722" s="6"/>
      <c r="Q2722" s="48">
        <f>IF(Учет!$O2722=Справочники!$F$2,Учет!$H2722,0)</f>
        <v>0</v>
      </c>
      <c r="R2722" s="48">
        <f>IF(Учет!$O2722=Справочники!$F$3,Учет!$H2722,0)</f>
        <v>0</v>
      </c>
      <c r="S2722" s="48">
        <f>IF(Учет!$O2722=Справочники!$F$4,Учет!$H2722,0)</f>
        <v>0</v>
      </c>
      <c r="T2722" s="48">
        <f>IF(Учет!$O2722=Справочники!$F$5,Учет!$H2722,0)</f>
        <v>0</v>
      </c>
      <c r="U2722" s="48">
        <f>IF(Учет!$O2722=Справочники!$F$6,Учет!$H2722,0)</f>
        <v>0</v>
      </c>
      <c r="V2722" s="43">
        <f>V2721+Учет!Q2722-Q2722</f>
        <v>-488978.92000000004</v>
      </c>
      <c r="W2722" s="43">
        <f>W2721+Учет!R2722-R2722</f>
        <v>336855</v>
      </c>
      <c r="X2722" s="43">
        <f>X2721+Учет!S2722-S2722</f>
        <v>500</v>
      </c>
      <c r="Y2722" s="43">
        <f>Y2721+Учет!T2722-T2722</f>
        <v>1150</v>
      </c>
      <c r="Z2722" s="43">
        <f>Z2721+Учет!U2722-U2722</f>
        <v>500000</v>
      </c>
      <c r="AA2722" s="45">
        <f>Учет!X2722</f>
        <v>500</v>
      </c>
    </row>
    <row r="2723" spans="1:27" ht="15" customHeight="1" x14ac:dyDescent="0.25">
      <c r="A2723" s="1"/>
      <c r="B2723" s="17"/>
      <c r="C2723" s="17"/>
      <c r="D2723" s="17"/>
      <c r="E2723" s="17"/>
      <c r="F2723" s="17"/>
      <c r="G2723" s="4">
        <f t="shared" si="123"/>
        <v>0</v>
      </c>
      <c r="H2723" s="17"/>
      <c r="I2723" s="4">
        <f t="shared" si="125"/>
        <v>349526.07999999996</v>
      </c>
      <c r="J2723" s="32" t="str">
        <f t="shared" si="124"/>
        <v/>
      </c>
      <c r="K2723" s="72"/>
      <c r="L2723" s="72"/>
      <c r="M2723" s="2"/>
      <c r="N2723" s="5"/>
      <c r="O2723" s="3"/>
      <c r="P2723" s="6"/>
      <c r="Q2723" s="48">
        <f>IF(Учет!$O2723=Справочники!$F$2,Учет!$H2723,0)</f>
        <v>0</v>
      </c>
      <c r="R2723" s="48">
        <f>IF(Учет!$O2723=Справочники!$F$3,Учет!$H2723,0)</f>
        <v>0</v>
      </c>
      <c r="S2723" s="48">
        <f>IF(Учет!$O2723=Справочники!$F$4,Учет!$H2723,0)</f>
        <v>0</v>
      </c>
      <c r="T2723" s="48">
        <f>IF(Учет!$O2723=Справочники!$F$5,Учет!$H2723,0)</f>
        <v>0</v>
      </c>
      <c r="U2723" s="48">
        <f>IF(Учет!$O2723=Справочники!$F$6,Учет!$H2723,0)</f>
        <v>0</v>
      </c>
      <c r="V2723" s="43">
        <f>V2722+Учет!Q2723-Q2723</f>
        <v>-488978.92000000004</v>
      </c>
      <c r="W2723" s="43">
        <f>W2722+Учет!R2723-R2723</f>
        <v>336855</v>
      </c>
      <c r="X2723" s="43">
        <f>X2722+Учет!S2723-S2723</f>
        <v>500</v>
      </c>
      <c r="Y2723" s="43">
        <f>Y2722+Учет!T2723-T2723</f>
        <v>1150</v>
      </c>
      <c r="Z2723" s="43">
        <f>Z2722+Учет!U2723-U2723</f>
        <v>500000</v>
      </c>
      <c r="AA2723" s="45">
        <f>Учет!X2723</f>
        <v>500</v>
      </c>
    </row>
    <row r="2724" spans="1:27" ht="15" customHeight="1" x14ac:dyDescent="0.25">
      <c r="A2724" s="1"/>
      <c r="B2724" s="17"/>
      <c r="C2724" s="17"/>
      <c r="D2724" s="17"/>
      <c r="E2724" s="17"/>
      <c r="F2724" s="17"/>
      <c r="G2724" s="4">
        <f t="shared" si="123"/>
        <v>0</v>
      </c>
      <c r="H2724" s="17"/>
      <c r="I2724" s="4">
        <f t="shared" si="125"/>
        <v>349526.07999999996</v>
      </c>
      <c r="J2724" s="32" t="str">
        <f t="shared" si="124"/>
        <v/>
      </c>
      <c r="K2724" s="72"/>
      <c r="L2724" s="72"/>
      <c r="M2724" s="2"/>
      <c r="N2724" s="5"/>
      <c r="O2724" s="3"/>
      <c r="P2724" s="6"/>
      <c r="Q2724" s="48">
        <f>IF(Учет!$O2724=Справочники!$F$2,Учет!$H2724,0)</f>
        <v>0</v>
      </c>
      <c r="R2724" s="48">
        <f>IF(Учет!$O2724=Справочники!$F$3,Учет!$H2724,0)</f>
        <v>0</v>
      </c>
      <c r="S2724" s="48">
        <f>IF(Учет!$O2724=Справочники!$F$4,Учет!$H2724,0)</f>
        <v>0</v>
      </c>
      <c r="T2724" s="48">
        <f>IF(Учет!$O2724=Справочники!$F$5,Учет!$H2724,0)</f>
        <v>0</v>
      </c>
      <c r="U2724" s="48">
        <f>IF(Учет!$O2724=Справочники!$F$6,Учет!$H2724,0)</f>
        <v>0</v>
      </c>
      <c r="V2724" s="43">
        <f>V2723+Учет!Q2724-Q2724</f>
        <v>-488978.92000000004</v>
      </c>
      <c r="W2724" s="43">
        <f>W2723+Учет!R2724-R2724</f>
        <v>336855</v>
      </c>
      <c r="X2724" s="43">
        <f>X2723+Учет!S2724-S2724</f>
        <v>500</v>
      </c>
      <c r="Y2724" s="43">
        <f>Y2723+Учет!T2724-T2724</f>
        <v>1150</v>
      </c>
      <c r="Z2724" s="43">
        <f>Z2723+Учет!U2724-U2724</f>
        <v>500000</v>
      </c>
      <c r="AA2724" s="45">
        <f>Учет!X2724</f>
        <v>500</v>
      </c>
    </row>
    <row r="2725" spans="1:27" ht="15" customHeight="1" x14ac:dyDescent="0.25">
      <c r="A2725" s="1"/>
      <c r="B2725" s="17"/>
      <c r="C2725" s="17"/>
      <c r="D2725" s="17"/>
      <c r="E2725" s="17"/>
      <c r="F2725" s="17"/>
      <c r="G2725" s="4">
        <f t="shared" si="123"/>
        <v>0</v>
      </c>
      <c r="H2725" s="17"/>
      <c r="I2725" s="4">
        <f t="shared" si="125"/>
        <v>349526.07999999996</v>
      </c>
      <c r="J2725" s="32" t="str">
        <f t="shared" si="124"/>
        <v/>
      </c>
      <c r="K2725" s="72"/>
      <c r="L2725" s="72"/>
      <c r="M2725" s="2"/>
      <c r="N2725" s="5"/>
      <c r="O2725" s="3"/>
      <c r="P2725" s="6"/>
      <c r="Q2725" s="48">
        <f>IF(Учет!$O2725=Справочники!$F$2,Учет!$H2725,0)</f>
        <v>0</v>
      </c>
      <c r="R2725" s="48">
        <f>IF(Учет!$O2725=Справочники!$F$3,Учет!$H2725,0)</f>
        <v>0</v>
      </c>
      <c r="S2725" s="48">
        <f>IF(Учет!$O2725=Справочники!$F$4,Учет!$H2725,0)</f>
        <v>0</v>
      </c>
      <c r="T2725" s="48">
        <f>IF(Учет!$O2725=Справочники!$F$5,Учет!$H2725,0)</f>
        <v>0</v>
      </c>
      <c r="U2725" s="48">
        <f>IF(Учет!$O2725=Справочники!$F$6,Учет!$H2725,0)</f>
        <v>0</v>
      </c>
      <c r="V2725" s="43">
        <f>V2724+Учет!Q2725-Q2725</f>
        <v>-488978.92000000004</v>
      </c>
      <c r="W2725" s="43">
        <f>W2724+Учет!R2725-R2725</f>
        <v>336855</v>
      </c>
      <c r="X2725" s="43">
        <f>X2724+Учет!S2725-S2725</f>
        <v>500</v>
      </c>
      <c r="Y2725" s="43">
        <f>Y2724+Учет!T2725-T2725</f>
        <v>1150</v>
      </c>
      <c r="Z2725" s="43">
        <f>Z2724+Учет!U2725-U2725</f>
        <v>500000</v>
      </c>
      <c r="AA2725" s="45">
        <f>Учет!X2725</f>
        <v>500</v>
      </c>
    </row>
    <row r="2726" spans="1:27" ht="15" customHeight="1" x14ac:dyDescent="0.25">
      <c r="A2726" s="1"/>
      <c r="B2726" s="17"/>
      <c r="C2726" s="17"/>
      <c r="D2726" s="17"/>
      <c r="E2726" s="17"/>
      <c r="F2726" s="17"/>
      <c r="G2726" s="4">
        <f t="shared" si="123"/>
        <v>0</v>
      </c>
      <c r="H2726" s="17"/>
      <c r="I2726" s="4">
        <f t="shared" si="125"/>
        <v>349526.07999999996</v>
      </c>
      <c r="J2726" s="32" t="str">
        <f t="shared" si="124"/>
        <v/>
      </c>
      <c r="K2726" s="72"/>
      <c r="L2726" s="72"/>
      <c r="M2726" s="2"/>
      <c r="N2726" s="5"/>
      <c r="O2726" s="3"/>
      <c r="P2726" s="6"/>
      <c r="Q2726" s="48">
        <f>IF(Учет!$O2726=Справочники!$F$2,Учет!$H2726,0)</f>
        <v>0</v>
      </c>
      <c r="R2726" s="48">
        <f>IF(Учет!$O2726=Справочники!$F$3,Учет!$H2726,0)</f>
        <v>0</v>
      </c>
      <c r="S2726" s="48">
        <f>IF(Учет!$O2726=Справочники!$F$4,Учет!$H2726,0)</f>
        <v>0</v>
      </c>
      <c r="T2726" s="48">
        <f>IF(Учет!$O2726=Справочники!$F$5,Учет!$H2726,0)</f>
        <v>0</v>
      </c>
      <c r="U2726" s="48">
        <f>IF(Учет!$O2726=Справочники!$F$6,Учет!$H2726,0)</f>
        <v>0</v>
      </c>
      <c r="V2726" s="43">
        <f>V2725+Учет!Q2726-Q2726</f>
        <v>-488978.92000000004</v>
      </c>
      <c r="W2726" s="43">
        <f>W2725+Учет!R2726-R2726</f>
        <v>336855</v>
      </c>
      <c r="X2726" s="43">
        <f>X2725+Учет!S2726-S2726</f>
        <v>500</v>
      </c>
      <c r="Y2726" s="43">
        <f>Y2725+Учет!T2726-T2726</f>
        <v>1150</v>
      </c>
      <c r="Z2726" s="43">
        <f>Z2725+Учет!U2726-U2726</f>
        <v>500000</v>
      </c>
      <c r="AA2726" s="45">
        <f>Учет!X2726</f>
        <v>500</v>
      </c>
    </row>
    <row r="2727" spans="1:27" ht="15" customHeight="1" x14ac:dyDescent="0.25">
      <c r="A2727" s="1"/>
      <c r="B2727" s="17"/>
      <c r="C2727" s="17"/>
      <c r="D2727" s="17"/>
      <c r="E2727" s="17"/>
      <c r="F2727" s="17"/>
      <c r="G2727" s="4">
        <f t="shared" si="123"/>
        <v>0</v>
      </c>
      <c r="H2727" s="17"/>
      <c r="I2727" s="4">
        <f t="shared" si="125"/>
        <v>349526.07999999996</v>
      </c>
      <c r="J2727" s="32" t="str">
        <f t="shared" si="124"/>
        <v/>
      </c>
      <c r="K2727" s="72"/>
      <c r="L2727" s="72"/>
      <c r="M2727" s="2"/>
      <c r="N2727" s="5"/>
      <c r="O2727" s="3"/>
      <c r="P2727" s="6"/>
      <c r="Q2727" s="48">
        <f>IF(Учет!$O2727=Справочники!$F$2,Учет!$H2727,0)</f>
        <v>0</v>
      </c>
      <c r="R2727" s="48">
        <f>IF(Учет!$O2727=Справочники!$F$3,Учет!$H2727,0)</f>
        <v>0</v>
      </c>
      <c r="S2727" s="48">
        <f>IF(Учет!$O2727=Справочники!$F$4,Учет!$H2727,0)</f>
        <v>0</v>
      </c>
      <c r="T2727" s="48">
        <f>IF(Учет!$O2727=Справочники!$F$5,Учет!$H2727,0)</f>
        <v>0</v>
      </c>
      <c r="U2727" s="48">
        <f>IF(Учет!$O2727=Справочники!$F$6,Учет!$H2727,0)</f>
        <v>0</v>
      </c>
      <c r="V2727" s="43">
        <f>V2726+Учет!Q2727-Q2727</f>
        <v>-488978.92000000004</v>
      </c>
      <c r="W2727" s="43">
        <f>W2726+Учет!R2727-R2727</f>
        <v>336855</v>
      </c>
      <c r="X2727" s="43">
        <f>X2726+Учет!S2727-S2727</f>
        <v>500</v>
      </c>
      <c r="Y2727" s="43">
        <f>Y2726+Учет!T2727-T2727</f>
        <v>1150</v>
      </c>
      <c r="Z2727" s="43">
        <f>Z2726+Учет!U2727-U2727</f>
        <v>500000</v>
      </c>
      <c r="AA2727" s="45">
        <f>Учет!X2727</f>
        <v>500</v>
      </c>
    </row>
    <row r="2728" spans="1:27" ht="15" customHeight="1" x14ac:dyDescent="0.25">
      <c r="A2728" s="1"/>
      <c r="B2728" s="17"/>
      <c r="C2728" s="17"/>
      <c r="D2728" s="17"/>
      <c r="E2728" s="17"/>
      <c r="F2728" s="17"/>
      <c r="G2728" s="4">
        <f t="shared" si="123"/>
        <v>0</v>
      </c>
      <c r="H2728" s="17"/>
      <c r="I2728" s="4">
        <f t="shared" si="125"/>
        <v>349526.07999999996</v>
      </c>
      <c r="J2728" s="32" t="str">
        <f t="shared" si="124"/>
        <v/>
      </c>
      <c r="K2728" s="72"/>
      <c r="L2728" s="72"/>
      <c r="M2728" s="2"/>
      <c r="N2728" s="5"/>
      <c r="O2728" s="3"/>
      <c r="P2728" s="6"/>
      <c r="Q2728" s="48">
        <f>IF(Учет!$O2728=Справочники!$F$2,Учет!$H2728,0)</f>
        <v>0</v>
      </c>
      <c r="R2728" s="48">
        <f>IF(Учет!$O2728=Справочники!$F$3,Учет!$H2728,0)</f>
        <v>0</v>
      </c>
      <c r="S2728" s="48">
        <f>IF(Учет!$O2728=Справочники!$F$4,Учет!$H2728,0)</f>
        <v>0</v>
      </c>
      <c r="T2728" s="48">
        <f>IF(Учет!$O2728=Справочники!$F$5,Учет!$H2728,0)</f>
        <v>0</v>
      </c>
      <c r="U2728" s="48">
        <f>IF(Учет!$O2728=Справочники!$F$6,Учет!$H2728,0)</f>
        <v>0</v>
      </c>
      <c r="V2728" s="43">
        <f>V2727+Учет!Q2728-Q2728</f>
        <v>-488978.92000000004</v>
      </c>
      <c r="W2728" s="43">
        <f>W2727+Учет!R2728-R2728</f>
        <v>336855</v>
      </c>
      <c r="X2728" s="43">
        <f>X2727+Учет!S2728-S2728</f>
        <v>500</v>
      </c>
      <c r="Y2728" s="43">
        <f>Y2727+Учет!T2728-T2728</f>
        <v>1150</v>
      </c>
      <c r="Z2728" s="43">
        <f>Z2727+Учет!U2728-U2728</f>
        <v>500000</v>
      </c>
      <c r="AA2728" s="45">
        <f>Учет!X2728</f>
        <v>500</v>
      </c>
    </row>
    <row r="2729" spans="1:27" ht="15" customHeight="1" x14ac:dyDescent="0.25">
      <c r="A2729" s="1"/>
      <c r="B2729" s="17"/>
      <c r="C2729" s="17"/>
      <c r="D2729" s="17"/>
      <c r="E2729" s="17"/>
      <c r="F2729" s="17"/>
      <c r="G2729" s="4">
        <f t="shared" si="123"/>
        <v>0</v>
      </c>
      <c r="H2729" s="17"/>
      <c r="I2729" s="4">
        <f t="shared" si="125"/>
        <v>349526.07999999996</v>
      </c>
      <c r="J2729" s="32" t="str">
        <f t="shared" si="124"/>
        <v/>
      </c>
      <c r="K2729" s="72"/>
      <c r="L2729" s="72"/>
      <c r="M2729" s="2"/>
      <c r="N2729" s="5"/>
      <c r="O2729" s="3"/>
      <c r="P2729" s="6"/>
      <c r="Q2729" s="48">
        <f>IF(Учет!$O2729=Справочники!$F$2,Учет!$H2729,0)</f>
        <v>0</v>
      </c>
      <c r="R2729" s="48">
        <f>IF(Учет!$O2729=Справочники!$F$3,Учет!$H2729,0)</f>
        <v>0</v>
      </c>
      <c r="S2729" s="48">
        <f>IF(Учет!$O2729=Справочники!$F$4,Учет!$H2729,0)</f>
        <v>0</v>
      </c>
      <c r="T2729" s="48">
        <f>IF(Учет!$O2729=Справочники!$F$5,Учет!$H2729,0)</f>
        <v>0</v>
      </c>
      <c r="U2729" s="48">
        <f>IF(Учет!$O2729=Справочники!$F$6,Учет!$H2729,0)</f>
        <v>0</v>
      </c>
      <c r="V2729" s="43">
        <f>V2728+Учет!Q2729-Q2729</f>
        <v>-488978.92000000004</v>
      </c>
      <c r="W2729" s="43">
        <f>W2728+Учет!R2729-R2729</f>
        <v>336855</v>
      </c>
      <c r="X2729" s="43">
        <f>X2728+Учет!S2729-S2729</f>
        <v>500</v>
      </c>
      <c r="Y2729" s="43">
        <f>Y2728+Учет!T2729-T2729</f>
        <v>1150</v>
      </c>
      <c r="Z2729" s="43">
        <f>Z2728+Учет!U2729-U2729</f>
        <v>500000</v>
      </c>
      <c r="AA2729" s="45">
        <f>Учет!X2729</f>
        <v>500</v>
      </c>
    </row>
    <row r="2730" spans="1:27" ht="15" customHeight="1" x14ac:dyDescent="0.25">
      <c r="A2730" s="1"/>
      <c r="B2730" s="17"/>
      <c r="C2730" s="17"/>
      <c r="D2730" s="17"/>
      <c r="E2730" s="17"/>
      <c r="F2730" s="17"/>
      <c r="G2730" s="4">
        <f t="shared" si="123"/>
        <v>0</v>
      </c>
      <c r="H2730" s="17"/>
      <c r="I2730" s="4">
        <f t="shared" si="125"/>
        <v>349526.07999999996</v>
      </c>
      <c r="J2730" s="32" t="str">
        <f t="shared" si="124"/>
        <v/>
      </c>
      <c r="K2730" s="72"/>
      <c r="L2730" s="72"/>
      <c r="M2730" s="2"/>
      <c r="N2730" s="5"/>
      <c r="O2730" s="3"/>
      <c r="P2730" s="6"/>
      <c r="Q2730" s="48">
        <f>IF(Учет!$O2730=Справочники!$F$2,Учет!$H2730,0)</f>
        <v>0</v>
      </c>
      <c r="R2730" s="48">
        <f>IF(Учет!$O2730=Справочники!$F$3,Учет!$H2730,0)</f>
        <v>0</v>
      </c>
      <c r="S2730" s="48">
        <f>IF(Учет!$O2730=Справочники!$F$4,Учет!$H2730,0)</f>
        <v>0</v>
      </c>
      <c r="T2730" s="48">
        <f>IF(Учет!$O2730=Справочники!$F$5,Учет!$H2730,0)</f>
        <v>0</v>
      </c>
      <c r="U2730" s="48">
        <f>IF(Учет!$O2730=Справочники!$F$6,Учет!$H2730,0)</f>
        <v>0</v>
      </c>
      <c r="V2730" s="43">
        <f>V2729+Учет!Q2730-Q2730</f>
        <v>-488978.92000000004</v>
      </c>
      <c r="W2730" s="43">
        <f>W2729+Учет!R2730-R2730</f>
        <v>336855</v>
      </c>
      <c r="X2730" s="43">
        <f>X2729+Учет!S2730-S2730</f>
        <v>500</v>
      </c>
      <c r="Y2730" s="43">
        <f>Y2729+Учет!T2730-T2730</f>
        <v>1150</v>
      </c>
      <c r="Z2730" s="43">
        <f>Z2729+Учет!U2730-U2730</f>
        <v>500000</v>
      </c>
      <c r="AA2730" s="45">
        <f>Учет!X2730</f>
        <v>500</v>
      </c>
    </row>
    <row r="2731" spans="1:27" ht="15" customHeight="1" x14ac:dyDescent="0.25">
      <c r="A2731" s="1"/>
      <c r="B2731" s="17"/>
      <c r="C2731" s="17"/>
      <c r="D2731" s="17"/>
      <c r="E2731" s="17"/>
      <c r="F2731" s="17"/>
      <c r="G2731" s="4">
        <f t="shared" si="123"/>
        <v>0</v>
      </c>
      <c r="H2731" s="17"/>
      <c r="I2731" s="4">
        <f t="shared" si="125"/>
        <v>349526.07999999996</v>
      </c>
      <c r="J2731" s="32" t="str">
        <f t="shared" si="124"/>
        <v/>
      </c>
      <c r="K2731" s="72"/>
      <c r="L2731" s="72"/>
      <c r="M2731" s="2"/>
      <c r="N2731" s="5"/>
      <c r="O2731" s="3"/>
      <c r="P2731" s="6"/>
      <c r="Q2731" s="48">
        <f>IF(Учет!$O2731=Справочники!$F$2,Учет!$H2731,0)</f>
        <v>0</v>
      </c>
      <c r="R2731" s="48">
        <f>IF(Учет!$O2731=Справочники!$F$3,Учет!$H2731,0)</f>
        <v>0</v>
      </c>
      <c r="S2731" s="48">
        <f>IF(Учет!$O2731=Справочники!$F$4,Учет!$H2731,0)</f>
        <v>0</v>
      </c>
      <c r="T2731" s="48">
        <f>IF(Учет!$O2731=Справочники!$F$5,Учет!$H2731,0)</f>
        <v>0</v>
      </c>
      <c r="U2731" s="48">
        <f>IF(Учет!$O2731=Справочники!$F$6,Учет!$H2731,0)</f>
        <v>0</v>
      </c>
      <c r="V2731" s="43">
        <f>V2730+Учет!Q2731-Q2731</f>
        <v>-488978.92000000004</v>
      </c>
      <c r="W2731" s="43">
        <f>W2730+Учет!R2731-R2731</f>
        <v>336855</v>
      </c>
      <c r="X2731" s="43">
        <f>X2730+Учет!S2731-S2731</f>
        <v>500</v>
      </c>
      <c r="Y2731" s="43">
        <f>Y2730+Учет!T2731-T2731</f>
        <v>1150</v>
      </c>
      <c r="Z2731" s="43">
        <f>Z2730+Учет!U2731-U2731</f>
        <v>500000</v>
      </c>
      <c r="AA2731" s="45">
        <f>Учет!X2731</f>
        <v>500</v>
      </c>
    </row>
    <row r="2732" spans="1:27" ht="15" customHeight="1" x14ac:dyDescent="0.25">
      <c r="A2732" s="1"/>
      <c r="B2732" s="17"/>
      <c r="C2732" s="17"/>
      <c r="D2732" s="17"/>
      <c r="E2732" s="17"/>
      <c r="F2732" s="17"/>
      <c r="G2732" s="4">
        <f t="shared" si="123"/>
        <v>0</v>
      </c>
      <c r="H2732" s="17"/>
      <c r="I2732" s="4">
        <f t="shared" si="125"/>
        <v>349526.07999999996</v>
      </c>
      <c r="J2732" s="32" t="str">
        <f t="shared" si="124"/>
        <v/>
      </c>
      <c r="K2732" s="72"/>
      <c r="L2732" s="72"/>
      <c r="M2732" s="2"/>
      <c r="N2732" s="5"/>
      <c r="O2732" s="3"/>
      <c r="P2732" s="6"/>
      <c r="Q2732" s="48">
        <f>IF(Учет!$O2732=Справочники!$F$2,Учет!$H2732,0)</f>
        <v>0</v>
      </c>
      <c r="R2732" s="48">
        <f>IF(Учет!$O2732=Справочники!$F$3,Учет!$H2732,0)</f>
        <v>0</v>
      </c>
      <c r="S2732" s="48">
        <f>IF(Учет!$O2732=Справочники!$F$4,Учет!$H2732,0)</f>
        <v>0</v>
      </c>
      <c r="T2732" s="48">
        <f>IF(Учет!$O2732=Справочники!$F$5,Учет!$H2732,0)</f>
        <v>0</v>
      </c>
      <c r="U2732" s="48">
        <f>IF(Учет!$O2732=Справочники!$F$6,Учет!$H2732,0)</f>
        <v>0</v>
      </c>
      <c r="V2732" s="43">
        <f>V2731+Учет!Q2732-Q2732</f>
        <v>-488978.92000000004</v>
      </c>
      <c r="W2732" s="43">
        <f>W2731+Учет!R2732-R2732</f>
        <v>336855</v>
      </c>
      <c r="X2732" s="43">
        <f>X2731+Учет!S2732-S2732</f>
        <v>500</v>
      </c>
      <c r="Y2732" s="43">
        <f>Y2731+Учет!T2732-T2732</f>
        <v>1150</v>
      </c>
      <c r="Z2732" s="43">
        <f>Z2731+Учет!U2732-U2732</f>
        <v>500000</v>
      </c>
      <c r="AA2732" s="45">
        <f>Учет!X2732</f>
        <v>500</v>
      </c>
    </row>
    <row r="2733" spans="1:27" ht="15" customHeight="1" x14ac:dyDescent="0.25">
      <c r="A2733" s="1"/>
      <c r="B2733" s="17"/>
      <c r="C2733" s="17"/>
      <c r="D2733" s="17"/>
      <c r="E2733" s="17"/>
      <c r="F2733" s="17"/>
      <c r="G2733" s="4">
        <f t="shared" si="123"/>
        <v>0</v>
      </c>
      <c r="H2733" s="17"/>
      <c r="I2733" s="4">
        <f t="shared" si="125"/>
        <v>349526.07999999996</v>
      </c>
      <c r="J2733" s="32" t="str">
        <f t="shared" si="124"/>
        <v/>
      </c>
      <c r="K2733" s="72"/>
      <c r="L2733" s="72"/>
      <c r="M2733" s="2"/>
      <c r="N2733" s="5"/>
      <c r="O2733" s="3"/>
      <c r="P2733" s="6"/>
      <c r="Q2733" s="48">
        <f>IF(Учет!$O2733=Справочники!$F$2,Учет!$H2733,0)</f>
        <v>0</v>
      </c>
      <c r="R2733" s="48">
        <f>IF(Учет!$O2733=Справочники!$F$3,Учет!$H2733,0)</f>
        <v>0</v>
      </c>
      <c r="S2733" s="48">
        <f>IF(Учет!$O2733=Справочники!$F$4,Учет!$H2733,0)</f>
        <v>0</v>
      </c>
      <c r="T2733" s="48">
        <f>IF(Учет!$O2733=Справочники!$F$5,Учет!$H2733,0)</f>
        <v>0</v>
      </c>
      <c r="U2733" s="48">
        <f>IF(Учет!$O2733=Справочники!$F$6,Учет!$H2733,0)</f>
        <v>0</v>
      </c>
      <c r="V2733" s="43">
        <f>V2732+Учет!Q2733-Q2733</f>
        <v>-488978.92000000004</v>
      </c>
      <c r="W2733" s="43">
        <f>W2732+Учет!R2733-R2733</f>
        <v>336855</v>
      </c>
      <c r="X2733" s="43">
        <f>X2732+Учет!S2733-S2733</f>
        <v>500</v>
      </c>
      <c r="Y2733" s="43">
        <f>Y2732+Учет!T2733-T2733</f>
        <v>1150</v>
      </c>
      <c r="Z2733" s="43">
        <f>Z2732+Учет!U2733-U2733</f>
        <v>500000</v>
      </c>
      <c r="AA2733" s="45">
        <f>Учет!X2733</f>
        <v>500</v>
      </c>
    </row>
    <row r="2734" spans="1:27" ht="15" customHeight="1" x14ac:dyDescent="0.25">
      <c r="A2734" s="1"/>
      <c r="B2734" s="17"/>
      <c r="C2734" s="17"/>
      <c r="D2734" s="17"/>
      <c r="E2734" s="17"/>
      <c r="F2734" s="17"/>
      <c r="G2734" s="4">
        <f t="shared" si="123"/>
        <v>0</v>
      </c>
      <c r="H2734" s="17"/>
      <c r="I2734" s="4">
        <f t="shared" si="125"/>
        <v>349526.07999999996</v>
      </c>
      <c r="J2734" s="32" t="str">
        <f t="shared" si="124"/>
        <v/>
      </c>
      <c r="K2734" s="72"/>
      <c r="L2734" s="72"/>
      <c r="M2734" s="2"/>
      <c r="N2734" s="5"/>
      <c r="O2734" s="3"/>
      <c r="P2734" s="6"/>
      <c r="Q2734" s="48">
        <f>IF(Учет!$O2734=Справочники!$F$2,Учет!$H2734,0)</f>
        <v>0</v>
      </c>
      <c r="R2734" s="48">
        <f>IF(Учет!$O2734=Справочники!$F$3,Учет!$H2734,0)</f>
        <v>0</v>
      </c>
      <c r="S2734" s="48">
        <f>IF(Учет!$O2734=Справочники!$F$4,Учет!$H2734,0)</f>
        <v>0</v>
      </c>
      <c r="T2734" s="48">
        <f>IF(Учет!$O2734=Справочники!$F$5,Учет!$H2734,0)</f>
        <v>0</v>
      </c>
      <c r="U2734" s="48">
        <f>IF(Учет!$O2734=Справочники!$F$6,Учет!$H2734,0)</f>
        <v>0</v>
      </c>
      <c r="V2734" s="43">
        <f>V2733+Учет!Q2734-Q2734</f>
        <v>-488978.92000000004</v>
      </c>
      <c r="W2734" s="43">
        <f>W2733+Учет!R2734-R2734</f>
        <v>336855</v>
      </c>
      <c r="X2734" s="43">
        <f>X2733+Учет!S2734-S2734</f>
        <v>500</v>
      </c>
      <c r="Y2734" s="43">
        <f>Y2733+Учет!T2734-T2734</f>
        <v>1150</v>
      </c>
      <c r="Z2734" s="43">
        <f>Z2733+Учет!U2734-U2734</f>
        <v>500000</v>
      </c>
      <c r="AA2734" s="45">
        <f>Учет!X2734</f>
        <v>500</v>
      </c>
    </row>
    <row r="2735" spans="1:27" ht="15" customHeight="1" x14ac:dyDescent="0.25">
      <c r="A2735" s="1"/>
      <c r="B2735" s="17"/>
      <c r="C2735" s="17"/>
      <c r="D2735" s="17"/>
      <c r="E2735" s="17"/>
      <c r="F2735" s="17"/>
      <c r="G2735" s="4">
        <f t="shared" si="123"/>
        <v>0</v>
      </c>
      <c r="H2735" s="17"/>
      <c r="I2735" s="4">
        <f t="shared" si="125"/>
        <v>349526.07999999996</v>
      </c>
      <c r="J2735" s="32" t="str">
        <f t="shared" si="124"/>
        <v/>
      </c>
      <c r="K2735" s="72"/>
      <c r="L2735" s="72"/>
      <c r="M2735" s="2"/>
      <c r="N2735" s="5"/>
      <c r="O2735" s="3"/>
      <c r="P2735" s="6"/>
      <c r="Q2735" s="48">
        <f>IF(Учет!$O2735=Справочники!$F$2,Учет!$H2735,0)</f>
        <v>0</v>
      </c>
      <c r="R2735" s="48">
        <f>IF(Учет!$O2735=Справочники!$F$3,Учет!$H2735,0)</f>
        <v>0</v>
      </c>
      <c r="S2735" s="48">
        <f>IF(Учет!$O2735=Справочники!$F$4,Учет!$H2735,0)</f>
        <v>0</v>
      </c>
      <c r="T2735" s="48">
        <f>IF(Учет!$O2735=Справочники!$F$5,Учет!$H2735,0)</f>
        <v>0</v>
      </c>
      <c r="U2735" s="48">
        <f>IF(Учет!$O2735=Справочники!$F$6,Учет!$H2735,0)</f>
        <v>0</v>
      </c>
      <c r="V2735" s="43">
        <f>V2734+Учет!Q2735-Q2735</f>
        <v>-488978.92000000004</v>
      </c>
      <c r="W2735" s="43">
        <f>W2734+Учет!R2735-R2735</f>
        <v>336855</v>
      </c>
      <c r="X2735" s="43">
        <f>X2734+Учет!S2735-S2735</f>
        <v>500</v>
      </c>
      <c r="Y2735" s="43">
        <f>Y2734+Учет!T2735-T2735</f>
        <v>1150</v>
      </c>
      <c r="Z2735" s="43">
        <f>Z2734+Учет!U2735-U2735</f>
        <v>500000</v>
      </c>
      <c r="AA2735" s="45">
        <f>Учет!X2735</f>
        <v>500</v>
      </c>
    </row>
    <row r="2736" spans="1:27" ht="15" customHeight="1" x14ac:dyDescent="0.25">
      <c r="A2736" s="1"/>
      <c r="B2736" s="17"/>
      <c r="C2736" s="17"/>
      <c r="D2736" s="17"/>
      <c r="E2736" s="17"/>
      <c r="F2736" s="17"/>
      <c r="G2736" s="4">
        <f t="shared" si="123"/>
        <v>0</v>
      </c>
      <c r="H2736" s="17"/>
      <c r="I2736" s="4">
        <f t="shared" si="125"/>
        <v>349526.07999999996</v>
      </c>
      <c r="J2736" s="32" t="str">
        <f t="shared" si="124"/>
        <v/>
      </c>
      <c r="K2736" s="72"/>
      <c r="L2736" s="72"/>
      <c r="M2736" s="2"/>
      <c r="N2736" s="5"/>
      <c r="O2736" s="3"/>
      <c r="P2736" s="6"/>
      <c r="Q2736" s="48">
        <f>IF(Учет!$O2736=Справочники!$F$2,Учет!$H2736,0)</f>
        <v>0</v>
      </c>
      <c r="R2736" s="48">
        <f>IF(Учет!$O2736=Справочники!$F$3,Учет!$H2736,0)</f>
        <v>0</v>
      </c>
      <c r="S2736" s="48">
        <f>IF(Учет!$O2736=Справочники!$F$4,Учет!$H2736,0)</f>
        <v>0</v>
      </c>
      <c r="T2736" s="48">
        <f>IF(Учет!$O2736=Справочники!$F$5,Учет!$H2736,0)</f>
        <v>0</v>
      </c>
      <c r="U2736" s="48">
        <f>IF(Учет!$O2736=Справочники!$F$6,Учет!$H2736,0)</f>
        <v>0</v>
      </c>
      <c r="V2736" s="43">
        <f>V2735+Учет!Q2736-Q2736</f>
        <v>-488978.92000000004</v>
      </c>
      <c r="W2736" s="43">
        <f>W2735+Учет!R2736-R2736</f>
        <v>336855</v>
      </c>
      <c r="X2736" s="43">
        <f>X2735+Учет!S2736-S2736</f>
        <v>500</v>
      </c>
      <c r="Y2736" s="43">
        <f>Y2735+Учет!T2736-T2736</f>
        <v>1150</v>
      </c>
      <c r="Z2736" s="43">
        <f>Z2735+Учет!U2736-U2736</f>
        <v>500000</v>
      </c>
      <c r="AA2736" s="45">
        <f>Учет!X2736</f>
        <v>500</v>
      </c>
    </row>
    <row r="2737" spans="1:27" ht="15" customHeight="1" x14ac:dyDescent="0.25">
      <c r="A2737" s="1"/>
      <c r="B2737" s="17"/>
      <c r="C2737" s="17"/>
      <c r="D2737" s="17"/>
      <c r="E2737" s="17"/>
      <c r="F2737" s="17"/>
      <c r="G2737" s="4">
        <f t="shared" si="123"/>
        <v>0</v>
      </c>
      <c r="H2737" s="17"/>
      <c r="I2737" s="4">
        <f t="shared" si="125"/>
        <v>349526.07999999996</v>
      </c>
      <c r="J2737" s="32" t="str">
        <f t="shared" si="124"/>
        <v/>
      </c>
      <c r="K2737" s="72"/>
      <c r="L2737" s="72"/>
      <c r="M2737" s="2"/>
      <c r="N2737" s="5"/>
      <c r="O2737" s="3"/>
      <c r="P2737" s="6"/>
      <c r="Q2737" s="48">
        <f>IF(Учет!$O2737=Справочники!$F$2,Учет!$H2737,0)</f>
        <v>0</v>
      </c>
      <c r="R2737" s="48">
        <f>IF(Учет!$O2737=Справочники!$F$3,Учет!$H2737,0)</f>
        <v>0</v>
      </c>
      <c r="S2737" s="48">
        <f>IF(Учет!$O2737=Справочники!$F$4,Учет!$H2737,0)</f>
        <v>0</v>
      </c>
      <c r="T2737" s="48">
        <f>IF(Учет!$O2737=Справочники!$F$5,Учет!$H2737,0)</f>
        <v>0</v>
      </c>
      <c r="U2737" s="48">
        <f>IF(Учет!$O2737=Справочники!$F$6,Учет!$H2737,0)</f>
        <v>0</v>
      </c>
      <c r="V2737" s="43">
        <f>V2736+Учет!Q2737-Q2737</f>
        <v>-488978.92000000004</v>
      </c>
      <c r="W2737" s="43">
        <f>W2736+Учет!R2737-R2737</f>
        <v>336855</v>
      </c>
      <c r="X2737" s="43">
        <f>X2736+Учет!S2737-S2737</f>
        <v>500</v>
      </c>
      <c r="Y2737" s="43">
        <f>Y2736+Учет!T2737-T2737</f>
        <v>1150</v>
      </c>
      <c r="Z2737" s="43">
        <f>Z2736+Учет!U2737-U2737</f>
        <v>500000</v>
      </c>
      <c r="AA2737" s="45">
        <f>Учет!X2737</f>
        <v>500</v>
      </c>
    </row>
    <row r="2738" spans="1:27" ht="15" customHeight="1" x14ac:dyDescent="0.25">
      <c r="A2738" s="1"/>
      <c r="B2738" s="17"/>
      <c r="C2738" s="17"/>
      <c r="D2738" s="17"/>
      <c r="E2738" s="17"/>
      <c r="F2738" s="17"/>
      <c r="G2738" s="4">
        <f t="shared" si="123"/>
        <v>0</v>
      </c>
      <c r="H2738" s="17"/>
      <c r="I2738" s="4">
        <f t="shared" si="125"/>
        <v>349526.07999999996</v>
      </c>
      <c r="J2738" s="32" t="str">
        <f t="shared" si="124"/>
        <v/>
      </c>
      <c r="K2738" s="72"/>
      <c r="L2738" s="72"/>
      <c r="M2738" s="2"/>
      <c r="N2738" s="5"/>
      <c r="O2738" s="3"/>
      <c r="P2738" s="6"/>
      <c r="Q2738" s="48">
        <f>IF(Учет!$O2738=Справочники!$F$2,Учет!$H2738,0)</f>
        <v>0</v>
      </c>
      <c r="R2738" s="48">
        <f>IF(Учет!$O2738=Справочники!$F$3,Учет!$H2738,0)</f>
        <v>0</v>
      </c>
      <c r="S2738" s="48">
        <f>IF(Учет!$O2738=Справочники!$F$4,Учет!$H2738,0)</f>
        <v>0</v>
      </c>
      <c r="T2738" s="48">
        <f>IF(Учет!$O2738=Справочники!$F$5,Учет!$H2738,0)</f>
        <v>0</v>
      </c>
      <c r="U2738" s="48">
        <f>IF(Учет!$O2738=Справочники!$F$6,Учет!$H2738,0)</f>
        <v>0</v>
      </c>
      <c r="V2738" s="43">
        <f>V2737+Учет!Q2738-Q2738</f>
        <v>-488978.92000000004</v>
      </c>
      <c r="W2738" s="43">
        <f>W2737+Учет!R2738-R2738</f>
        <v>336855</v>
      </c>
      <c r="X2738" s="43">
        <f>X2737+Учет!S2738-S2738</f>
        <v>500</v>
      </c>
      <c r="Y2738" s="43">
        <f>Y2737+Учет!T2738-T2738</f>
        <v>1150</v>
      </c>
      <c r="Z2738" s="43">
        <f>Z2737+Учет!U2738-U2738</f>
        <v>500000</v>
      </c>
      <c r="AA2738" s="45">
        <f>Учет!X2738</f>
        <v>500</v>
      </c>
    </row>
    <row r="2739" spans="1:27" ht="15" customHeight="1" x14ac:dyDescent="0.25">
      <c r="A2739" s="1"/>
      <c r="B2739" s="17"/>
      <c r="C2739" s="17"/>
      <c r="D2739" s="17"/>
      <c r="E2739" s="17"/>
      <c r="F2739" s="17"/>
      <c r="G2739" s="4">
        <f t="shared" si="123"/>
        <v>0</v>
      </c>
      <c r="H2739" s="17"/>
      <c r="I2739" s="4">
        <f t="shared" si="125"/>
        <v>349526.07999999996</v>
      </c>
      <c r="J2739" s="32" t="str">
        <f t="shared" si="124"/>
        <v/>
      </c>
      <c r="K2739" s="72"/>
      <c r="L2739" s="72"/>
      <c r="M2739" s="2"/>
      <c r="N2739" s="5"/>
      <c r="O2739" s="3"/>
      <c r="P2739" s="6"/>
      <c r="Q2739" s="48">
        <f>IF(Учет!$O2739=Справочники!$F$2,Учет!$H2739,0)</f>
        <v>0</v>
      </c>
      <c r="R2739" s="48">
        <f>IF(Учет!$O2739=Справочники!$F$3,Учет!$H2739,0)</f>
        <v>0</v>
      </c>
      <c r="S2739" s="48">
        <f>IF(Учет!$O2739=Справочники!$F$4,Учет!$H2739,0)</f>
        <v>0</v>
      </c>
      <c r="T2739" s="48">
        <f>IF(Учет!$O2739=Справочники!$F$5,Учет!$H2739,0)</f>
        <v>0</v>
      </c>
      <c r="U2739" s="48">
        <f>IF(Учет!$O2739=Справочники!$F$6,Учет!$H2739,0)</f>
        <v>0</v>
      </c>
      <c r="V2739" s="43">
        <f>V2738+Учет!Q2739-Q2739</f>
        <v>-488978.92000000004</v>
      </c>
      <c r="W2739" s="43">
        <f>W2738+Учет!R2739-R2739</f>
        <v>336855</v>
      </c>
      <c r="X2739" s="43">
        <f>X2738+Учет!S2739-S2739</f>
        <v>500</v>
      </c>
      <c r="Y2739" s="43">
        <f>Y2738+Учет!T2739-T2739</f>
        <v>1150</v>
      </c>
      <c r="Z2739" s="43">
        <f>Z2738+Учет!U2739-U2739</f>
        <v>500000</v>
      </c>
      <c r="AA2739" s="45">
        <f>Учет!X2739</f>
        <v>500</v>
      </c>
    </row>
    <row r="2740" spans="1:27" ht="15" customHeight="1" x14ac:dyDescent="0.25">
      <c r="A2740" s="1"/>
      <c r="B2740" s="17"/>
      <c r="C2740" s="17"/>
      <c r="D2740" s="17"/>
      <c r="E2740" s="17"/>
      <c r="F2740" s="17"/>
      <c r="G2740" s="4">
        <f t="shared" si="123"/>
        <v>0</v>
      </c>
      <c r="H2740" s="17"/>
      <c r="I2740" s="4">
        <f t="shared" si="125"/>
        <v>349526.07999999996</v>
      </c>
      <c r="J2740" s="32" t="str">
        <f t="shared" si="124"/>
        <v/>
      </c>
      <c r="K2740" s="72"/>
      <c r="L2740" s="72"/>
      <c r="M2740" s="2"/>
      <c r="N2740" s="5"/>
      <c r="O2740" s="3"/>
      <c r="P2740" s="6"/>
      <c r="Q2740" s="48">
        <f>IF(Учет!$O2740=Справочники!$F$2,Учет!$H2740,0)</f>
        <v>0</v>
      </c>
      <c r="R2740" s="48">
        <f>IF(Учет!$O2740=Справочники!$F$3,Учет!$H2740,0)</f>
        <v>0</v>
      </c>
      <c r="S2740" s="48">
        <f>IF(Учет!$O2740=Справочники!$F$4,Учет!$H2740,0)</f>
        <v>0</v>
      </c>
      <c r="T2740" s="48">
        <f>IF(Учет!$O2740=Справочники!$F$5,Учет!$H2740,0)</f>
        <v>0</v>
      </c>
      <c r="U2740" s="48">
        <f>IF(Учет!$O2740=Справочники!$F$6,Учет!$H2740,0)</f>
        <v>0</v>
      </c>
      <c r="V2740" s="43">
        <f>V2739+Учет!Q2740-Q2740</f>
        <v>-488978.92000000004</v>
      </c>
      <c r="W2740" s="43">
        <f>W2739+Учет!R2740-R2740</f>
        <v>336855</v>
      </c>
      <c r="X2740" s="43">
        <f>X2739+Учет!S2740-S2740</f>
        <v>500</v>
      </c>
      <c r="Y2740" s="43">
        <f>Y2739+Учет!T2740-T2740</f>
        <v>1150</v>
      </c>
      <c r="Z2740" s="43">
        <f>Z2739+Учет!U2740-U2740</f>
        <v>500000</v>
      </c>
      <c r="AA2740" s="45">
        <f>Учет!X2740</f>
        <v>500</v>
      </c>
    </row>
    <row r="2741" spans="1:27" ht="15" customHeight="1" x14ac:dyDescent="0.25">
      <c r="A2741" s="1"/>
      <c r="B2741" s="17"/>
      <c r="C2741" s="17"/>
      <c r="D2741" s="17"/>
      <c r="E2741" s="17"/>
      <c r="F2741" s="17"/>
      <c r="G2741" s="4">
        <f t="shared" si="123"/>
        <v>0</v>
      </c>
      <c r="H2741" s="17"/>
      <c r="I2741" s="4">
        <f t="shared" si="125"/>
        <v>349526.07999999996</v>
      </c>
      <c r="J2741" s="32" t="str">
        <f t="shared" si="124"/>
        <v/>
      </c>
      <c r="K2741" s="72"/>
      <c r="L2741" s="72"/>
      <c r="M2741" s="2"/>
      <c r="N2741" s="5"/>
      <c r="O2741" s="3"/>
      <c r="P2741" s="6"/>
      <c r="Q2741" s="48">
        <f>IF(Учет!$O2741=Справочники!$F$2,Учет!$H2741,0)</f>
        <v>0</v>
      </c>
      <c r="R2741" s="48">
        <f>IF(Учет!$O2741=Справочники!$F$3,Учет!$H2741,0)</f>
        <v>0</v>
      </c>
      <c r="S2741" s="48">
        <f>IF(Учет!$O2741=Справочники!$F$4,Учет!$H2741,0)</f>
        <v>0</v>
      </c>
      <c r="T2741" s="48">
        <f>IF(Учет!$O2741=Справочники!$F$5,Учет!$H2741,0)</f>
        <v>0</v>
      </c>
      <c r="U2741" s="48">
        <f>IF(Учет!$O2741=Справочники!$F$6,Учет!$H2741,0)</f>
        <v>0</v>
      </c>
      <c r="V2741" s="43">
        <f>V2740+Учет!Q2741-Q2741</f>
        <v>-488978.92000000004</v>
      </c>
      <c r="W2741" s="43">
        <f>W2740+Учет!R2741-R2741</f>
        <v>336855</v>
      </c>
      <c r="X2741" s="43">
        <f>X2740+Учет!S2741-S2741</f>
        <v>500</v>
      </c>
      <c r="Y2741" s="43">
        <f>Y2740+Учет!T2741-T2741</f>
        <v>1150</v>
      </c>
      <c r="Z2741" s="43">
        <f>Z2740+Учет!U2741-U2741</f>
        <v>500000</v>
      </c>
      <c r="AA2741" s="45">
        <f>Учет!X2741</f>
        <v>500</v>
      </c>
    </row>
    <row r="2742" spans="1:27" ht="15" customHeight="1" x14ac:dyDescent="0.25">
      <c r="A2742" s="1"/>
      <c r="B2742" s="17"/>
      <c r="C2742" s="17"/>
      <c r="D2742" s="17"/>
      <c r="E2742" s="17"/>
      <c r="F2742" s="17"/>
      <c r="G2742" s="4">
        <f t="shared" si="123"/>
        <v>0</v>
      </c>
      <c r="H2742" s="17"/>
      <c r="I2742" s="4">
        <f t="shared" si="125"/>
        <v>349526.07999999996</v>
      </c>
      <c r="J2742" s="32" t="str">
        <f t="shared" si="124"/>
        <v/>
      </c>
      <c r="K2742" s="72"/>
      <c r="L2742" s="72"/>
      <c r="M2742" s="2"/>
      <c r="N2742" s="5"/>
      <c r="O2742" s="3"/>
      <c r="P2742" s="6"/>
      <c r="Q2742" s="48">
        <f>IF(Учет!$O2742=Справочники!$F$2,Учет!$H2742,0)</f>
        <v>0</v>
      </c>
      <c r="R2742" s="48">
        <f>IF(Учет!$O2742=Справочники!$F$3,Учет!$H2742,0)</f>
        <v>0</v>
      </c>
      <c r="S2742" s="48">
        <f>IF(Учет!$O2742=Справочники!$F$4,Учет!$H2742,0)</f>
        <v>0</v>
      </c>
      <c r="T2742" s="48">
        <f>IF(Учет!$O2742=Справочники!$F$5,Учет!$H2742,0)</f>
        <v>0</v>
      </c>
      <c r="U2742" s="48">
        <f>IF(Учет!$O2742=Справочники!$F$6,Учет!$H2742,0)</f>
        <v>0</v>
      </c>
      <c r="V2742" s="43">
        <f>V2741+Учет!Q2742-Q2742</f>
        <v>-488978.92000000004</v>
      </c>
      <c r="W2742" s="43">
        <f>W2741+Учет!R2742-R2742</f>
        <v>336855</v>
      </c>
      <c r="X2742" s="43">
        <f>X2741+Учет!S2742-S2742</f>
        <v>500</v>
      </c>
      <c r="Y2742" s="43">
        <f>Y2741+Учет!T2742-T2742</f>
        <v>1150</v>
      </c>
      <c r="Z2742" s="43">
        <f>Z2741+Учет!U2742-U2742</f>
        <v>500000</v>
      </c>
      <c r="AA2742" s="45">
        <f>Учет!X2742</f>
        <v>500</v>
      </c>
    </row>
    <row r="2743" spans="1:27" ht="15" customHeight="1" x14ac:dyDescent="0.25">
      <c r="A2743" s="1"/>
      <c r="B2743" s="17"/>
      <c r="C2743" s="17"/>
      <c r="D2743" s="17"/>
      <c r="E2743" s="17"/>
      <c r="F2743" s="17"/>
      <c r="G2743" s="4">
        <f t="shared" si="123"/>
        <v>0</v>
      </c>
      <c r="H2743" s="17"/>
      <c r="I2743" s="4">
        <f t="shared" si="125"/>
        <v>349526.07999999996</v>
      </c>
      <c r="J2743" s="32" t="str">
        <f t="shared" si="124"/>
        <v/>
      </c>
      <c r="K2743" s="72"/>
      <c r="L2743" s="72"/>
      <c r="M2743" s="2"/>
      <c r="N2743" s="5"/>
      <c r="O2743" s="3"/>
      <c r="P2743" s="6"/>
      <c r="Q2743" s="48">
        <f>IF(Учет!$O2743=Справочники!$F$2,Учет!$H2743,0)</f>
        <v>0</v>
      </c>
      <c r="R2743" s="48">
        <f>IF(Учет!$O2743=Справочники!$F$3,Учет!$H2743,0)</f>
        <v>0</v>
      </c>
      <c r="S2743" s="48">
        <f>IF(Учет!$O2743=Справочники!$F$4,Учет!$H2743,0)</f>
        <v>0</v>
      </c>
      <c r="T2743" s="48">
        <f>IF(Учет!$O2743=Справочники!$F$5,Учет!$H2743,0)</f>
        <v>0</v>
      </c>
      <c r="U2743" s="48">
        <f>IF(Учет!$O2743=Справочники!$F$6,Учет!$H2743,0)</f>
        <v>0</v>
      </c>
      <c r="V2743" s="43">
        <f>V2742+Учет!Q2743-Q2743</f>
        <v>-488978.92000000004</v>
      </c>
      <c r="W2743" s="43">
        <f>W2742+Учет!R2743-R2743</f>
        <v>336855</v>
      </c>
      <c r="X2743" s="43">
        <f>X2742+Учет!S2743-S2743</f>
        <v>500</v>
      </c>
      <c r="Y2743" s="43">
        <f>Y2742+Учет!T2743-T2743</f>
        <v>1150</v>
      </c>
      <c r="Z2743" s="43">
        <f>Z2742+Учет!U2743-U2743</f>
        <v>500000</v>
      </c>
      <c r="AA2743" s="45">
        <f>Учет!X2743</f>
        <v>500</v>
      </c>
    </row>
    <row r="2744" spans="1:27" ht="15" customHeight="1" x14ac:dyDescent="0.25">
      <c r="A2744" s="1"/>
      <c r="B2744" s="17"/>
      <c r="C2744" s="17"/>
      <c r="D2744" s="17"/>
      <c r="E2744" s="17"/>
      <c r="F2744" s="17"/>
      <c r="G2744" s="4">
        <f t="shared" si="123"/>
        <v>0</v>
      </c>
      <c r="H2744" s="17"/>
      <c r="I2744" s="4">
        <f t="shared" si="125"/>
        <v>349526.07999999996</v>
      </c>
      <c r="J2744" s="32" t="str">
        <f t="shared" si="124"/>
        <v/>
      </c>
      <c r="K2744" s="72"/>
      <c r="L2744" s="72"/>
      <c r="M2744" s="2"/>
      <c r="N2744" s="5"/>
      <c r="O2744" s="3"/>
      <c r="P2744" s="6"/>
      <c r="Q2744" s="48">
        <f>IF(Учет!$O2744=Справочники!$F$2,Учет!$H2744,0)</f>
        <v>0</v>
      </c>
      <c r="R2744" s="48">
        <f>IF(Учет!$O2744=Справочники!$F$3,Учет!$H2744,0)</f>
        <v>0</v>
      </c>
      <c r="S2744" s="48">
        <f>IF(Учет!$O2744=Справочники!$F$4,Учет!$H2744,0)</f>
        <v>0</v>
      </c>
      <c r="T2744" s="48">
        <f>IF(Учет!$O2744=Справочники!$F$5,Учет!$H2744,0)</f>
        <v>0</v>
      </c>
      <c r="U2744" s="48">
        <f>IF(Учет!$O2744=Справочники!$F$6,Учет!$H2744,0)</f>
        <v>0</v>
      </c>
      <c r="V2744" s="43">
        <f>V2743+Учет!Q2744-Q2744</f>
        <v>-488978.92000000004</v>
      </c>
      <c r="W2744" s="43">
        <f>W2743+Учет!R2744-R2744</f>
        <v>336855</v>
      </c>
      <c r="X2744" s="43">
        <f>X2743+Учет!S2744-S2744</f>
        <v>500</v>
      </c>
      <c r="Y2744" s="43">
        <f>Y2743+Учет!T2744-T2744</f>
        <v>1150</v>
      </c>
      <c r="Z2744" s="43">
        <f>Z2743+Учет!U2744-U2744</f>
        <v>500000</v>
      </c>
      <c r="AA2744" s="45">
        <f>Учет!X2744</f>
        <v>500</v>
      </c>
    </row>
    <row r="2745" spans="1:27" ht="15" customHeight="1" x14ac:dyDescent="0.25">
      <c r="A2745" s="1"/>
      <c r="B2745" s="17"/>
      <c r="C2745" s="17"/>
      <c r="D2745" s="17"/>
      <c r="E2745" s="17"/>
      <c r="F2745" s="17"/>
      <c r="G2745" s="4">
        <f t="shared" si="123"/>
        <v>0</v>
      </c>
      <c r="H2745" s="17"/>
      <c r="I2745" s="4">
        <f t="shared" si="125"/>
        <v>349526.07999999996</v>
      </c>
      <c r="J2745" s="32" t="str">
        <f t="shared" si="124"/>
        <v/>
      </c>
      <c r="K2745" s="72"/>
      <c r="L2745" s="72"/>
      <c r="M2745" s="2"/>
      <c r="N2745" s="5"/>
      <c r="O2745" s="3"/>
      <c r="P2745" s="6"/>
      <c r="Q2745" s="48">
        <f>IF(Учет!$O2745=Справочники!$F$2,Учет!$H2745,0)</f>
        <v>0</v>
      </c>
      <c r="R2745" s="48">
        <f>IF(Учет!$O2745=Справочники!$F$3,Учет!$H2745,0)</f>
        <v>0</v>
      </c>
      <c r="S2745" s="48">
        <f>IF(Учет!$O2745=Справочники!$F$4,Учет!$H2745,0)</f>
        <v>0</v>
      </c>
      <c r="T2745" s="48">
        <f>IF(Учет!$O2745=Справочники!$F$5,Учет!$H2745,0)</f>
        <v>0</v>
      </c>
      <c r="U2745" s="48">
        <f>IF(Учет!$O2745=Справочники!$F$6,Учет!$H2745,0)</f>
        <v>0</v>
      </c>
      <c r="V2745" s="43">
        <f>V2744+Учет!Q2745-Q2745</f>
        <v>-488978.92000000004</v>
      </c>
      <c r="W2745" s="43">
        <f>W2744+Учет!R2745-R2745</f>
        <v>336855</v>
      </c>
      <c r="X2745" s="43">
        <f>X2744+Учет!S2745-S2745</f>
        <v>500</v>
      </c>
      <c r="Y2745" s="43">
        <f>Y2744+Учет!T2745-T2745</f>
        <v>1150</v>
      </c>
      <c r="Z2745" s="43">
        <f>Z2744+Учет!U2745-U2745</f>
        <v>500000</v>
      </c>
      <c r="AA2745" s="45">
        <f>Учет!X2745</f>
        <v>500</v>
      </c>
    </row>
    <row r="2746" spans="1:27" ht="15" customHeight="1" x14ac:dyDescent="0.25">
      <c r="A2746" s="1"/>
      <c r="B2746" s="17"/>
      <c r="C2746" s="17"/>
      <c r="D2746" s="17"/>
      <c r="E2746" s="17"/>
      <c r="F2746" s="17"/>
      <c r="G2746" s="4">
        <f t="shared" si="123"/>
        <v>0</v>
      </c>
      <c r="H2746" s="17"/>
      <c r="I2746" s="4">
        <f t="shared" si="125"/>
        <v>349526.07999999996</v>
      </c>
      <c r="J2746" s="32" t="str">
        <f t="shared" si="124"/>
        <v/>
      </c>
      <c r="K2746" s="72"/>
      <c r="L2746" s="72"/>
      <c r="M2746" s="2"/>
      <c r="N2746" s="5"/>
      <c r="O2746" s="3"/>
      <c r="P2746" s="6"/>
      <c r="Q2746" s="48">
        <f>IF(Учет!$O2746=Справочники!$F$2,Учет!$H2746,0)</f>
        <v>0</v>
      </c>
      <c r="R2746" s="48">
        <f>IF(Учет!$O2746=Справочники!$F$3,Учет!$H2746,0)</f>
        <v>0</v>
      </c>
      <c r="S2746" s="48">
        <f>IF(Учет!$O2746=Справочники!$F$4,Учет!$H2746,0)</f>
        <v>0</v>
      </c>
      <c r="T2746" s="48">
        <f>IF(Учет!$O2746=Справочники!$F$5,Учет!$H2746,0)</f>
        <v>0</v>
      </c>
      <c r="U2746" s="48">
        <f>IF(Учет!$O2746=Справочники!$F$6,Учет!$H2746,0)</f>
        <v>0</v>
      </c>
      <c r="V2746" s="43">
        <f>V2745+Учет!Q2746-Q2746</f>
        <v>-488978.92000000004</v>
      </c>
      <c r="W2746" s="43">
        <f>W2745+Учет!R2746-R2746</f>
        <v>336855</v>
      </c>
      <c r="X2746" s="43">
        <f>X2745+Учет!S2746-S2746</f>
        <v>500</v>
      </c>
      <c r="Y2746" s="43">
        <f>Y2745+Учет!T2746-T2746</f>
        <v>1150</v>
      </c>
      <c r="Z2746" s="43">
        <f>Z2745+Учет!U2746-U2746</f>
        <v>500000</v>
      </c>
      <c r="AA2746" s="45">
        <f>Учет!X2746</f>
        <v>500</v>
      </c>
    </row>
    <row r="2747" spans="1:27" ht="15" customHeight="1" x14ac:dyDescent="0.25">
      <c r="A2747" s="1"/>
      <c r="B2747" s="17"/>
      <c r="C2747" s="17"/>
      <c r="D2747" s="17"/>
      <c r="E2747" s="17"/>
      <c r="F2747" s="17"/>
      <c r="G2747" s="4">
        <f t="shared" si="123"/>
        <v>0</v>
      </c>
      <c r="H2747" s="17"/>
      <c r="I2747" s="4">
        <f t="shared" si="125"/>
        <v>349526.07999999996</v>
      </c>
      <c r="J2747" s="32" t="str">
        <f t="shared" si="124"/>
        <v/>
      </c>
      <c r="K2747" s="72"/>
      <c r="L2747" s="72"/>
      <c r="M2747" s="2"/>
      <c r="N2747" s="5"/>
      <c r="O2747" s="3"/>
      <c r="P2747" s="6"/>
      <c r="Q2747" s="48">
        <f>IF(Учет!$O2747=Справочники!$F$2,Учет!$H2747,0)</f>
        <v>0</v>
      </c>
      <c r="R2747" s="48">
        <f>IF(Учет!$O2747=Справочники!$F$3,Учет!$H2747,0)</f>
        <v>0</v>
      </c>
      <c r="S2747" s="48">
        <f>IF(Учет!$O2747=Справочники!$F$4,Учет!$H2747,0)</f>
        <v>0</v>
      </c>
      <c r="T2747" s="48">
        <f>IF(Учет!$O2747=Справочники!$F$5,Учет!$H2747,0)</f>
        <v>0</v>
      </c>
      <c r="U2747" s="48">
        <f>IF(Учет!$O2747=Справочники!$F$6,Учет!$H2747,0)</f>
        <v>0</v>
      </c>
      <c r="V2747" s="43">
        <f>V2746+Учет!Q2747-Q2747</f>
        <v>-488978.92000000004</v>
      </c>
      <c r="W2747" s="43">
        <f>W2746+Учет!R2747-R2747</f>
        <v>336855</v>
      </c>
      <c r="X2747" s="43">
        <f>X2746+Учет!S2747-S2747</f>
        <v>500</v>
      </c>
      <c r="Y2747" s="43">
        <f>Y2746+Учет!T2747-T2747</f>
        <v>1150</v>
      </c>
      <c r="Z2747" s="43">
        <f>Z2746+Учет!U2747-U2747</f>
        <v>500000</v>
      </c>
      <c r="AA2747" s="45">
        <f>Учет!X2747</f>
        <v>500</v>
      </c>
    </row>
    <row r="2748" spans="1:27" ht="15" customHeight="1" x14ac:dyDescent="0.25">
      <c r="A2748" s="1"/>
      <c r="B2748" s="17"/>
      <c r="C2748" s="17"/>
      <c r="D2748" s="17"/>
      <c r="E2748" s="17"/>
      <c r="F2748" s="17"/>
      <c r="G2748" s="4">
        <f t="shared" si="123"/>
        <v>0</v>
      </c>
      <c r="H2748" s="17"/>
      <c r="I2748" s="4">
        <f t="shared" si="125"/>
        <v>349526.07999999996</v>
      </c>
      <c r="J2748" s="32" t="str">
        <f t="shared" si="124"/>
        <v/>
      </c>
      <c r="K2748" s="72"/>
      <c r="L2748" s="72"/>
      <c r="M2748" s="2"/>
      <c r="N2748" s="5"/>
      <c r="O2748" s="3"/>
      <c r="P2748" s="6"/>
      <c r="Q2748" s="48">
        <f>IF(Учет!$O2748=Справочники!$F$2,Учет!$H2748,0)</f>
        <v>0</v>
      </c>
      <c r="R2748" s="48">
        <f>IF(Учет!$O2748=Справочники!$F$3,Учет!$H2748,0)</f>
        <v>0</v>
      </c>
      <c r="S2748" s="48">
        <f>IF(Учет!$O2748=Справочники!$F$4,Учет!$H2748,0)</f>
        <v>0</v>
      </c>
      <c r="T2748" s="48">
        <f>IF(Учет!$O2748=Справочники!$F$5,Учет!$H2748,0)</f>
        <v>0</v>
      </c>
      <c r="U2748" s="48">
        <f>IF(Учет!$O2748=Справочники!$F$6,Учет!$H2748,0)</f>
        <v>0</v>
      </c>
      <c r="V2748" s="43">
        <f>V2747+Учет!Q2748-Q2748</f>
        <v>-488978.92000000004</v>
      </c>
      <c r="W2748" s="43">
        <f>W2747+Учет!R2748-R2748</f>
        <v>336855</v>
      </c>
      <c r="X2748" s="43">
        <f>X2747+Учет!S2748-S2748</f>
        <v>500</v>
      </c>
      <c r="Y2748" s="43">
        <f>Y2747+Учет!T2748-T2748</f>
        <v>1150</v>
      </c>
      <c r="Z2748" s="43">
        <f>Z2747+Учет!U2748-U2748</f>
        <v>500000</v>
      </c>
      <c r="AA2748" s="45">
        <f>Учет!X2748</f>
        <v>500</v>
      </c>
    </row>
    <row r="2749" spans="1:27" ht="15" customHeight="1" x14ac:dyDescent="0.25">
      <c r="A2749" s="1"/>
      <c r="B2749" s="17"/>
      <c r="C2749" s="17"/>
      <c r="D2749" s="17"/>
      <c r="E2749" s="17"/>
      <c r="F2749" s="17"/>
      <c r="G2749" s="4">
        <f t="shared" si="123"/>
        <v>0</v>
      </c>
      <c r="H2749" s="17"/>
      <c r="I2749" s="4">
        <f t="shared" si="125"/>
        <v>349526.07999999996</v>
      </c>
      <c r="J2749" s="32" t="str">
        <f t="shared" si="124"/>
        <v/>
      </c>
      <c r="K2749" s="72"/>
      <c r="L2749" s="72"/>
      <c r="M2749" s="2"/>
      <c r="N2749" s="5"/>
      <c r="O2749" s="3"/>
      <c r="P2749" s="6"/>
      <c r="Q2749" s="48">
        <f>IF(Учет!$O2749=Справочники!$F$2,Учет!$H2749,0)</f>
        <v>0</v>
      </c>
      <c r="R2749" s="48">
        <f>IF(Учет!$O2749=Справочники!$F$3,Учет!$H2749,0)</f>
        <v>0</v>
      </c>
      <c r="S2749" s="48">
        <f>IF(Учет!$O2749=Справочники!$F$4,Учет!$H2749,0)</f>
        <v>0</v>
      </c>
      <c r="T2749" s="48">
        <f>IF(Учет!$O2749=Справочники!$F$5,Учет!$H2749,0)</f>
        <v>0</v>
      </c>
      <c r="U2749" s="48">
        <f>IF(Учет!$O2749=Справочники!$F$6,Учет!$H2749,0)</f>
        <v>0</v>
      </c>
      <c r="V2749" s="43">
        <f>V2748+Учет!Q2749-Q2749</f>
        <v>-488978.92000000004</v>
      </c>
      <c r="W2749" s="43">
        <f>W2748+Учет!R2749-R2749</f>
        <v>336855</v>
      </c>
      <c r="X2749" s="43">
        <f>X2748+Учет!S2749-S2749</f>
        <v>500</v>
      </c>
      <c r="Y2749" s="43">
        <f>Y2748+Учет!T2749-T2749</f>
        <v>1150</v>
      </c>
      <c r="Z2749" s="43">
        <f>Z2748+Учет!U2749-U2749</f>
        <v>500000</v>
      </c>
      <c r="AA2749" s="45">
        <f>Учет!X2749</f>
        <v>500</v>
      </c>
    </row>
    <row r="2750" spans="1:27" ht="15" customHeight="1" x14ac:dyDescent="0.25">
      <c r="A2750" s="1"/>
      <c r="B2750" s="17"/>
      <c r="C2750" s="17"/>
      <c r="D2750" s="17"/>
      <c r="E2750" s="17"/>
      <c r="F2750" s="17"/>
      <c r="G2750" s="4">
        <f t="shared" si="123"/>
        <v>0</v>
      </c>
      <c r="H2750" s="17"/>
      <c r="I2750" s="4">
        <f t="shared" si="125"/>
        <v>349526.07999999996</v>
      </c>
      <c r="J2750" s="32" t="str">
        <f t="shared" si="124"/>
        <v/>
      </c>
      <c r="K2750" s="72"/>
      <c r="L2750" s="72"/>
      <c r="M2750" s="2"/>
      <c r="N2750" s="5"/>
      <c r="O2750" s="3"/>
      <c r="P2750" s="6"/>
      <c r="Q2750" s="48">
        <f>IF(Учет!$O2750=Справочники!$F$2,Учет!$H2750,0)</f>
        <v>0</v>
      </c>
      <c r="R2750" s="48">
        <f>IF(Учет!$O2750=Справочники!$F$3,Учет!$H2750,0)</f>
        <v>0</v>
      </c>
      <c r="S2750" s="48">
        <f>IF(Учет!$O2750=Справочники!$F$4,Учет!$H2750,0)</f>
        <v>0</v>
      </c>
      <c r="T2750" s="48">
        <f>IF(Учет!$O2750=Справочники!$F$5,Учет!$H2750,0)</f>
        <v>0</v>
      </c>
      <c r="U2750" s="48">
        <f>IF(Учет!$O2750=Справочники!$F$6,Учет!$H2750,0)</f>
        <v>0</v>
      </c>
      <c r="V2750" s="43">
        <f>V2749+Учет!Q2750-Q2750</f>
        <v>-488978.92000000004</v>
      </c>
      <c r="W2750" s="43">
        <f>W2749+Учет!R2750-R2750</f>
        <v>336855</v>
      </c>
      <c r="X2750" s="43">
        <f>X2749+Учет!S2750-S2750</f>
        <v>500</v>
      </c>
      <c r="Y2750" s="43">
        <f>Y2749+Учет!T2750-T2750</f>
        <v>1150</v>
      </c>
      <c r="Z2750" s="43">
        <f>Z2749+Учет!U2750-U2750</f>
        <v>500000</v>
      </c>
      <c r="AA2750" s="45">
        <f>Учет!X2750</f>
        <v>500</v>
      </c>
    </row>
    <row r="2751" spans="1:27" ht="15" customHeight="1" x14ac:dyDescent="0.25">
      <c r="A2751" s="1"/>
      <c r="B2751" s="17"/>
      <c r="C2751" s="17"/>
      <c r="D2751" s="17"/>
      <c r="E2751" s="17"/>
      <c r="F2751" s="17"/>
      <c r="G2751" s="4">
        <f t="shared" si="123"/>
        <v>0</v>
      </c>
      <c r="H2751" s="17"/>
      <c r="I2751" s="4">
        <f t="shared" si="125"/>
        <v>349526.07999999996</v>
      </c>
      <c r="J2751" s="32" t="str">
        <f t="shared" si="124"/>
        <v/>
      </c>
      <c r="K2751" s="72"/>
      <c r="L2751" s="72"/>
      <c r="M2751" s="2"/>
      <c r="N2751" s="5"/>
      <c r="O2751" s="3"/>
      <c r="P2751" s="6"/>
      <c r="Q2751" s="48">
        <f>IF(Учет!$O2751=Справочники!$F$2,Учет!$H2751,0)</f>
        <v>0</v>
      </c>
      <c r="R2751" s="48">
        <f>IF(Учет!$O2751=Справочники!$F$3,Учет!$H2751,0)</f>
        <v>0</v>
      </c>
      <c r="S2751" s="48">
        <f>IF(Учет!$O2751=Справочники!$F$4,Учет!$H2751,0)</f>
        <v>0</v>
      </c>
      <c r="T2751" s="48">
        <f>IF(Учет!$O2751=Справочники!$F$5,Учет!$H2751,0)</f>
        <v>0</v>
      </c>
      <c r="U2751" s="48">
        <f>IF(Учет!$O2751=Справочники!$F$6,Учет!$H2751,0)</f>
        <v>0</v>
      </c>
      <c r="V2751" s="43">
        <f>V2750+Учет!Q2751-Q2751</f>
        <v>-488978.92000000004</v>
      </c>
      <c r="W2751" s="43">
        <f>W2750+Учет!R2751-R2751</f>
        <v>336855</v>
      </c>
      <c r="X2751" s="43">
        <f>X2750+Учет!S2751-S2751</f>
        <v>500</v>
      </c>
      <c r="Y2751" s="43">
        <f>Y2750+Учет!T2751-T2751</f>
        <v>1150</v>
      </c>
      <c r="Z2751" s="43">
        <f>Z2750+Учет!U2751-U2751</f>
        <v>500000</v>
      </c>
      <c r="AA2751" s="45">
        <f>Учет!X2751</f>
        <v>500</v>
      </c>
    </row>
    <row r="2752" spans="1:27" ht="15" customHeight="1" x14ac:dyDescent="0.25">
      <c r="A2752" s="1"/>
      <c r="B2752" s="17"/>
      <c r="C2752" s="17"/>
      <c r="D2752" s="17"/>
      <c r="E2752" s="17"/>
      <c r="F2752" s="17"/>
      <c r="G2752" s="4">
        <f t="shared" si="123"/>
        <v>0</v>
      </c>
      <c r="H2752" s="17"/>
      <c r="I2752" s="4">
        <f t="shared" si="125"/>
        <v>349526.07999999996</v>
      </c>
      <c r="J2752" s="32" t="str">
        <f t="shared" si="124"/>
        <v/>
      </c>
      <c r="K2752" s="72"/>
      <c r="L2752" s="72"/>
      <c r="M2752" s="2"/>
      <c r="N2752" s="5"/>
      <c r="O2752" s="3"/>
      <c r="P2752" s="6"/>
      <c r="Q2752" s="48">
        <f>IF(Учет!$O2752=Справочники!$F$2,Учет!$H2752,0)</f>
        <v>0</v>
      </c>
      <c r="R2752" s="48">
        <f>IF(Учет!$O2752=Справочники!$F$3,Учет!$H2752,0)</f>
        <v>0</v>
      </c>
      <c r="S2752" s="48">
        <f>IF(Учет!$O2752=Справочники!$F$4,Учет!$H2752,0)</f>
        <v>0</v>
      </c>
      <c r="T2752" s="48">
        <f>IF(Учет!$O2752=Справочники!$F$5,Учет!$H2752,0)</f>
        <v>0</v>
      </c>
      <c r="U2752" s="48">
        <f>IF(Учет!$O2752=Справочники!$F$6,Учет!$H2752,0)</f>
        <v>0</v>
      </c>
      <c r="V2752" s="43">
        <f>V2751+Учет!Q2752-Q2752</f>
        <v>-488978.92000000004</v>
      </c>
      <c r="W2752" s="43">
        <f>W2751+Учет!R2752-R2752</f>
        <v>336855</v>
      </c>
      <c r="X2752" s="43">
        <f>X2751+Учет!S2752-S2752</f>
        <v>500</v>
      </c>
      <c r="Y2752" s="43">
        <f>Y2751+Учет!T2752-T2752</f>
        <v>1150</v>
      </c>
      <c r="Z2752" s="43">
        <f>Z2751+Учет!U2752-U2752</f>
        <v>500000</v>
      </c>
      <c r="AA2752" s="45">
        <f>Учет!X2752</f>
        <v>500</v>
      </c>
    </row>
    <row r="2753" spans="1:27" ht="15" customHeight="1" x14ac:dyDescent="0.25">
      <c r="A2753" s="1"/>
      <c r="B2753" s="17"/>
      <c r="C2753" s="17"/>
      <c r="D2753" s="17"/>
      <c r="E2753" s="17"/>
      <c r="F2753" s="17"/>
      <c r="G2753" s="4">
        <f t="shared" si="123"/>
        <v>0</v>
      </c>
      <c r="H2753" s="17"/>
      <c r="I2753" s="4">
        <f t="shared" si="125"/>
        <v>349526.07999999996</v>
      </c>
      <c r="J2753" s="32" t="str">
        <f t="shared" si="124"/>
        <v/>
      </c>
      <c r="K2753" s="72"/>
      <c r="L2753" s="72"/>
      <c r="M2753" s="2"/>
      <c r="N2753" s="5"/>
      <c r="O2753" s="3"/>
      <c r="P2753" s="6"/>
      <c r="Q2753" s="48">
        <f>IF(Учет!$O2753=Справочники!$F$2,Учет!$H2753,0)</f>
        <v>0</v>
      </c>
      <c r="R2753" s="48">
        <f>IF(Учет!$O2753=Справочники!$F$3,Учет!$H2753,0)</f>
        <v>0</v>
      </c>
      <c r="S2753" s="48">
        <f>IF(Учет!$O2753=Справочники!$F$4,Учет!$H2753,0)</f>
        <v>0</v>
      </c>
      <c r="T2753" s="48">
        <f>IF(Учет!$O2753=Справочники!$F$5,Учет!$H2753,0)</f>
        <v>0</v>
      </c>
      <c r="U2753" s="48">
        <f>IF(Учет!$O2753=Справочники!$F$6,Учет!$H2753,0)</f>
        <v>0</v>
      </c>
      <c r="V2753" s="43">
        <f>V2752+Учет!Q2753-Q2753</f>
        <v>-488978.92000000004</v>
      </c>
      <c r="W2753" s="43">
        <f>W2752+Учет!R2753-R2753</f>
        <v>336855</v>
      </c>
      <c r="X2753" s="43">
        <f>X2752+Учет!S2753-S2753</f>
        <v>500</v>
      </c>
      <c r="Y2753" s="43">
        <f>Y2752+Учет!T2753-T2753</f>
        <v>1150</v>
      </c>
      <c r="Z2753" s="43">
        <f>Z2752+Учет!U2753-U2753</f>
        <v>500000</v>
      </c>
      <c r="AA2753" s="45">
        <f>Учет!X2753</f>
        <v>500</v>
      </c>
    </row>
    <row r="2754" spans="1:27" ht="15" customHeight="1" x14ac:dyDescent="0.25">
      <c r="A2754" s="1"/>
      <c r="B2754" s="17"/>
      <c r="C2754" s="17"/>
      <c r="D2754" s="17"/>
      <c r="E2754" s="17"/>
      <c r="F2754" s="17"/>
      <c r="G2754" s="4">
        <f t="shared" ref="G2754:G2817" si="126">SUM($B2754:$F2754)</f>
        <v>0</v>
      </c>
      <c r="H2754" s="17"/>
      <c r="I2754" s="4">
        <f t="shared" si="125"/>
        <v>349526.07999999996</v>
      </c>
      <c r="J2754" s="32" t="str">
        <f t="shared" ref="J2754:J2817" si="127">IF($A2755&lt;&gt;$A2754,$I2754,"")</f>
        <v/>
      </c>
      <c r="K2754" s="72"/>
      <c r="L2754" s="72"/>
      <c r="M2754" s="2"/>
      <c r="N2754" s="5"/>
      <c r="O2754" s="3"/>
      <c r="P2754" s="6"/>
      <c r="Q2754" s="48">
        <f>IF(Учет!$O2754=Справочники!$F$2,Учет!$H2754,0)</f>
        <v>0</v>
      </c>
      <c r="R2754" s="48">
        <f>IF(Учет!$O2754=Справочники!$F$3,Учет!$H2754,0)</f>
        <v>0</v>
      </c>
      <c r="S2754" s="48">
        <f>IF(Учет!$O2754=Справочники!$F$4,Учет!$H2754,0)</f>
        <v>0</v>
      </c>
      <c r="T2754" s="48">
        <f>IF(Учет!$O2754=Справочники!$F$5,Учет!$H2754,0)</f>
        <v>0</v>
      </c>
      <c r="U2754" s="48">
        <f>IF(Учет!$O2754=Справочники!$F$6,Учет!$H2754,0)</f>
        <v>0</v>
      </c>
      <c r="V2754" s="43">
        <f>V2753+Учет!Q2754-Q2754</f>
        <v>-488978.92000000004</v>
      </c>
      <c r="W2754" s="43">
        <f>W2753+Учет!R2754-R2754</f>
        <v>336855</v>
      </c>
      <c r="X2754" s="43">
        <f>X2753+Учет!S2754-S2754</f>
        <v>500</v>
      </c>
      <c r="Y2754" s="43">
        <f>Y2753+Учет!T2754-T2754</f>
        <v>1150</v>
      </c>
      <c r="Z2754" s="43">
        <f>Z2753+Учет!U2754-U2754</f>
        <v>500000</v>
      </c>
      <c r="AA2754" s="45">
        <f>Учет!X2754</f>
        <v>500</v>
      </c>
    </row>
    <row r="2755" spans="1:27" ht="15" customHeight="1" x14ac:dyDescent="0.25">
      <c r="A2755" s="1"/>
      <c r="B2755" s="17"/>
      <c r="C2755" s="17"/>
      <c r="D2755" s="17"/>
      <c r="E2755" s="17"/>
      <c r="F2755" s="17"/>
      <c r="G2755" s="4">
        <f t="shared" si="126"/>
        <v>0</v>
      </c>
      <c r="H2755" s="17"/>
      <c r="I2755" s="4">
        <f t="shared" ref="I2755:I2818" si="128">$I2754+$G2755-$H2755</f>
        <v>349526.07999999996</v>
      </c>
      <c r="J2755" s="32" t="str">
        <f t="shared" si="127"/>
        <v/>
      </c>
      <c r="K2755" s="72"/>
      <c r="L2755" s="72"/>
      <c r="M2755" s="2"/>
      <c r="N2755" s="5"/>
      <c r="O2755" s="3"/>
      <c r="P2755" s="6"/>
      <c r="Q2755" s="48">
        <f>IF(Учет!$O2755=Справочники!$F$2,Учет!$H2755,0)</f>
        <v>0</v>
      </c>
      <c r="R2755" s="48">
        <f>IF(Учет!$O2755=Справочники!$F$3,Учет!$H2755,0)</f>
        <v>0</v>
      </c>
      <c r="S2755" s="48">
        <f>IF(Учет!$O2755=Справочники!$F$4,Учет!$H2755,0)</f>
        <v>0</v>
      </c>
      <c r="T2755" s="48">
        <f>IF(Учет!$O2755=Справочники!$F$5,Учет!$H2755,0)</f>
        <v>0</v>
      </c>
      <c r="U2755" s="48">
        <f>IF(Учет!$O2755=Справочники!$F$6,Учет!$H2755,0)</f>
        <v>0</v>
      </c>
      <c r="V2755" s="43">
        <f>V2754+Учет!Q2755-Q2755</f>
        <v>-488978.92000000004</v>
      </c>
      <c r="W2755" s="43">
        <f>W2754+Учет!R2755-R2755</f>
        <v>336855</v>
      </c>
      <c r="X2755" s="43">
        <f>X2754+Учет!S2755-S2755</f>
        <v>500</v>
      </c>
      <c r="Y2755" s="43">
        <f>Y2754+Учет!T2755-T2755</f>
        <v>1150</v>
      </c>
      <c r="Z2755" s="43">
        <f>Z2754+Учет!U2755-U2755</f>
        <v>500000</v>
      </c>
      <c r="AA2755" s="45">
        <f>Учет!X2755</f>
        <v>500</v>
      </c>
    </row>
    <row r="2756" spans="1:27" ht="15" customHeight="1" x14ac:dyDescent="0.25">
      <c r="A2756" s="1"/>
      <c r="B2756" s="17"/>
      <c r="C2756" s="17"/>
      <c r="D2756" s="17"/>
      <c r="E2756" s="17"/>
      <c r="F2756" s="17"/>
      <c r="G2756" s="4">
        <f t="shared" si="126"/>
        <v>0</v>
      </c>
      <c r="H2756" s="17"/>
      <c r="I2756" s="4">
        <f t="shared" si="128"/>
        <v>349526.07999999996</v>
      </c>
      <c r="J2756" s="32" t="str">
        <f t="shared" si="127"/>
        <v/>
      </c>
      <c r="K2756" s="72"/>
      <c r="L2756" s="72"/>
      <c r="M2756" s="2"/>
      <c r="N2756" s="5"/>
      <c r="O2756" s="3"/>
      <c r="P2756" s="6"/>
      <c r="Q2756" s="48">
        <f>IF(Учет!$O2756=Справочники!$F$2,Учет!$H2756,0)</f>
        <v>0</v>
      </c>
      <c r="R2756" s="48">
        <f>IF(Учет!$O2756=Справочники!$F$3,Учет!$H2756,0)</f>
        <v>0</v>
      </c>
      <c r="S2756" s="48">
        <f>IF(Учет!$O2756=Справочники!$F$4,Учет!$H2756,0)</f>
        <v>0</v>
      </c>
      <c r="T2756" s="48">
        <f>IF(Учет!$O2756=Справочники!$F$5,Учет!$H2756,0)</f>
        <v>0</v>
      </c>
      <c r="U2756" s="48">
        <f>IF(Учет!$O2756=Справочники!$F$6,Учет!$H2756,0)</f>
        <v>0</v>
      </c>
      <c r="V2756" s="43">
        <f>V2755+Учет!Q2756-Q2756</f>
        <v>-488978.92000000004</v>
      </c>
      <c r="W2756" s="43">
        <f>W2755+Учет!R2756-R2756</f>
        <v>336855</v>
      </c>
      <c r="X2756" s="43">
        <f>X2755+Учет!S2756-S2756</f>
        <v>500</v>
      </c>
      <c r="Y2756" s="43">
        <f>Y2755+Учет!T2756-T2756</f>
        <v>1150</v>
      </c>
      <c r="Z2756" s="43">
        <f>Z2755+Учет!U2756-U2756</f>
        <v>500000</v>
      </c>
      <c r="AA2756" s="45">
        <f>Учет!X2756</f>
        <v>500</v>
      </c>
    </row>
    <row r="2757" spans="1:27" ht="15" customHeight="1" x14ac:dyDescent="0.25">
      <c r="A2757" s="1"/>
      <c r="B2757" s="17"/>
      <c r="C2757" s="17"/>
      <c r="D2757" s="17"/>
      <c r="E2757" s="17"/>
      <c r="F2757" s="17"/>
      <c r="G2757" s="4">
        <f t="shared" si="126"/>
        <v>0</v>
      </c>
      <c r="H2757" s="17"/>
      <c r="I2757" s="4">
        <f t="shared" si="128"/>
        <v>349526.07999999996</v>
      </c>
      <c r="J2757" s="32" t="str">
        <f t="shared" si="127"/>
        <v/>
      </c>
      <c r="K2757" s="72"/>
      <c r="L2757" s="72"/>
      <c r="M2757" s="2"/>
      <c r="N2757" s="5"/>
      <c r="O2757" s="3"/>
      <c r="P2757" s="6"/>
      <c r="Q2757" s="48">
        <f>IF(Учет!$O2757=Справочники!$F$2,Учет!$H2757,0)</f>
        <v>0</v>
      </c>
      <c r="R2757" s="48">
        <f>IF(Учет!$O2757=Справочники!$F$3,Учет!$H2757,0)</f>
        <v>0</v>
      </c>
      <c r="S2757" s="48">
        <f>IF(Учет!$O2757=Справочники!$F$4,Учет!$H2757,0)</f>
        <v>0</v>
      </c>
      <c r="T2757" s="48">
        <f>IF(Учет!$O2757=Справочники!$F$5,Учет!$H2757,0)</f>
        <v>0</v>
      </c>
      <c r="U2757" s="48">
        <f>IF(Учет!$O2757=Справочники!$F$6,Учет!$H2757,0)</f>
        <v>0</v>
      </c>
      <c r="V2757" s="43">
        <f>V2756+Учет!Q2757-Q2757</f>
        <v>-488978.92000000004</v>
      </c>
      <c r="W2757" s="43">
        <f>W2756+Учет!R2757-R2757</f>
        <v>336855</v>
      </c>
      <c r="X2757" s="43">
        <f>X2756+Учет!S2757-S2757</f>
        <v>500</v>
      </c>
      <c r="Y2757" s="43">
        <f>Y2756+Учет!T2757-T2757</f>
        <v>1150</v>
      </c>
      <c r="Z2757" s="43">
        <f>Z2756+Учет!U2757-U2757</f>
        <v>500000</v>
      </c>
      <c r="AA2757" s="45">
        <f>Учет!X2757</f>
        <v>500</v>
      </c>
    </row>
    <row r="2758" spans="1:27" ht="15" customHeight="1" x14ac:dyDescent="0.25">
      <c r="A2758" s="1"/>
      <c r="B2758" s="17"/>
      <c r="C2758" s="17"/>
      <c r="D2758" s="17"/>
      <c r="E2758" s="17"/>
      <c r="F2758" s="17"/>
      <c r="G2758" s="4">
        <f t="shared" si="126"/>
        <v>0</v>
      </c>
      <c r="H2758" s="17"/>
      <c r="I2758" s="4">
        <f t="shared" si="128"/>
        <v>349526.07999999996</v>
      </c>
      <c r="J2758" s="32" t="str">
        <f t="shared" si="127"/>
        <v/>
      </c>
      <c r="K2758" s="72"/>
      <c r="L2758" s="72"/>
      <c r="M2758" s="2"/>
      <c r="N2758" s="5"/>
      <c r="O2758" s="3"/>
      <c r="P2758" s="6"/>
      <c r="Q2758" s="48">
        <f>IF(Учет!$O2758=Справочники!$F$2,Учет!$H2758,0)</f>
        <v>0</v>
      </c>
      <c r="R2758" s="48">
        <f>IF(Учет!$O2758=Справочники!$F$3,Учет!$H2758,0)</f>
        <v>0</v>
      </c>
      <c r="S2758" s="48">
        <f>IF(Учет!$O2758=Справочники!$F$4,Учет!$H2758,0)</f>
        <v>0</v>
      </c>
      <c r="T2758" s="48">
        <f>IF(Учет!$O2758=Справочники!$F$5,Учет!$H2758,0)</f>
        <v>0</v>
      </c>
      <c r="U2758" s="48">
        <f>IF(Учет!$O2758=Справочники!$F$6,Учет!$H2758,0)</f>
        <v>0</v>
      </c>
      <c r="V2758" s="43">
        <f>V2757+Учет!Q2758-Q2758</f>
        <v>-488978.92000000004</v>
      </c>
      <c r="W2758" s="43">
        <f>W2757+Учет!R2758-R2758</f>
        <v>336855</v>
      </c>
      <c r="X2758" s="43">
        <f>X2757+Учет!S2758-S2758</f>
        <v>500</v>
      </c>
      <c r="Y2758" s="43">
        <f>Y2757+Учет!T2758-T2758</f>
        <v>1150</v>
      </c>
      <c r="Z2758" s="43">
        <f>Z2757+Учет!U2758-U2758</f>
        <v>500000</v>
      </c>
      <c r="AA2758" s="45">
        <f>Учет!X2758</f>
        <v>500</v>
      </c>
    </row>
    <row r="2759" spans="1:27" ht="15" customHeight="1" x14ac:dyDescent="0.25">
      <c r="A2759" s="1"/>
      <c r="B2759" s="17"/>
      <c r="C2759" s="17"/>
      <c r="D2759" s="17"/>
      <c r="E2759" s="17"/>
      <c r="F2759" s="17"/>
      <c r="G2759" s="4">
        <f t="shared" si="126"/>
        <v>0</v>
      </c>
      <c r="H2759" s="17"/>
      <c r="I2759" s="4">
        <f t="shared" si="128"/>
        <v>349526.07999999996</v>
      </c>
      <c r="J2759" s="32" t="str">
        <f t="shared" si="127"/>
        <v/>
      </c>
      <c r="K2759" s="72"/>
      <c r="L2759" s="72"/>
      <c r="M2759" s="2"/>
      <c r="N2759" s="5"/>
      <c r="O2759" s="3"/>
      <c r="P2759" s="6"/>
      <c r="Q2759" s="48">
        <f>IF(Учет!$O2759=Справочники!$F$2,Учет!$H2759,0)</f>
        <v>0</v>
      </c>
      <c r="R2759" s="48">
        <f>IF(Учет!$O2759=Справочники!$F$3,Учет!$H2759,0)</f>
        <v>0</v>
      </c>
      <c r="S2759" s="48">
        <f>IF(Учет!$O2759=Справочники!$F$4,Учет!$H2759,0)</f>
        <v>0</v>
      </c>
      <c r="T2759" s="48">
        <f>IF(Учет!$O2759=Справочники!$F$5,Учет!$H2759,0)</f>
        <v>0</v>
      </c>
      <c r="U2759" s="48">
        <f>IF(Учет!$O2759=Справочники!$F$6,Учет!$H2759,0)</f>
        <v>0</v>
      </c>
      <c r="V2759" s="43">
        <f>V2758+Учет!Q2759-Q2759</f>
        <v>-488978.92000000004</v>
      </c>
      <c r="W2759" s="43">
        <f>W2758+Учет!R2759-R2759</f>
        <v>336855</v>
      </c>
      <c r="X2759" s="43">
        <f>X2758+Учет!S2759-S2759</f>
        <v>500</v>
      </c>
      <c r="Y2759" s="43">
        <f>Y2758+Учет!T2759-T2759</f>
        <v>1150</v>
      </c>
      <c r="Z2759" s="43">
        <f>Z2758+Учет!U2759-U2759</f>
        <v>500000</v>
      </c>
      <c r="AA2759" s="45">
        <f>Учет!X2759</f>
        <v>500</v>
      </c>
    </row>
    <row r="2760" spans="1:27" ht="15" customHeight="1" x14ac:dyDescent="0.25">
      <c r="A2760" s="1"/>
      <c r="B2760" s="17"/>
      <c r="C2760" s="17"/>
      <c r="D2760" s="17"/>
      <c r="E2760" s="17"/>
      <c r="F2760" s="17"/>
      <c r="G2760" s="4">
        <f t="shared" si="126"/>
        <v>0</v>
      </c>
      <c r="H2760" s="17"/>
      <c r="I2760" s="4">
        <f t="shared" si="128"/>
        <v>349526.07999999996</v>
      </c>
      <c r="J2760" s="32" t="str">
        <f t="shared" si="127"/>
        <v/>
      </c>
      <c r="K2760" s="72"/>
      <c r="L2760" s="72"/>
      <c r="M2760" s="2"/>
      <c r="N2760" s="5"/>
      <c r="O2760" s="3"/>
      <c r="P2760" s="6"/>
      <c r="Q2760" s="48">
        <f>IF(Учет!$O2760=Справочники!$F$2,Учет!$H2760,0)</f>
        <v>0</v>
      </c>
      <c r="R2760" s="48">
        <f>IF(Учет!$O2760=Справочники!$F$3,Учет!$H2760,0)</f>
        <v>0</v>
      </c>
      <c r="S2760" s="48">
        <f>IF(Учет!$O2760=Справочники!$F$4,Учет!$H2760,0)</f>
        <v>0</v>
      </c>
      <c r="T2760" s="48">
        <f>IF(Учет!$O2760=Справочники!$F$5,Учет!$H2760,0)</f>
        <v>0</v>
      </c>
      <c r="U2760" s="48">
        <f>IF(Учет!$O2760=Справочники!$F$6,Учет!$H2760,0)</f>
        <v>0</v>
      </c>
      <c r="V2760" s="43">
        <f>V2759+Учет!Q2760-Q2760</f>
        <v>-488978.92000000004</v>
      </c>
      <c r="W2760" s="43">
        <f>W2759+Учет!R2760-R2760</f>
        <v>336855</v>
      </c>
      <c r="X2760" s="43">
        <f>X2759+Учет!S2760-S2760</f>
        <v>500</v>
      </c>
      <c r="Y2760" s="43">
        <f>Y2759+Учет!T2760-T2760</f>
        <v>1150</v>
      </c>
      <c r="Z2760" s="43">
        <f>Z2759+Учет!U2760-U2760</f>
        <v>500000</v>
      </c>
      <c r="AA2760" s="45">
        <f>Учет!X2760</f>
        <v>500</v>
      </c>
    </row>
    <row r="2761" spans="1:27" ht="15" customHeight="1" x14ac:dyDescent="0.25">
      <c r="A2761" s="1"/>
      <c r="B2761" s="17"/>
      <c r="C2761" s="17"/>
      <c r="D2761" s="17"/>
      <c r="E2761" s="17"/>
      <c r="F2761" s="17"/>
      <c r="G2761" s="4">
        <f t="shared" si="126"/>
        <v>0</v>
      </c>
      <c r="H2761" s="17"/>
      <c r="I2761" s="4">
        <f t="shared" si="128"/>
        <v>349526.07999999996</v>
      </c>
      <c r="J2761" s="32" t="str">
        <f t="shared" si="127"/>
        <v/>
      </c>
      <c r="K2761" s="72"/>
      <c r="L2761" s="72"/>
      <c r="M2761" s="2"/>
      <c r="N2761" s="5"/>
      <c r="O2761" s="3"/>
      <c r="P2761" s="6"/>
      <c r="Q2761" s="48">
        <f>IF(Учет!$O2761=Справочники!$F$2,Учет!$H2761,0)</f>
        <v>0</v>
      </c>
      <c r="R2761" s="48">
        <f>IF(Учет!$O2761=Справочники!$F$3,Учет!$H2761,0)</f>
        <v>0</v>
      </c>
      <c r="S2761" s="48">
        <f>IF(Учет!$O2761=Справочники!$F$4,Учет!$H2761,0)</f>
        <v>0</v>
      </c>
      <c r="T2761" s="48">
        <f>IF(Учет!$O2761=Справочники!$F$5,Учет!$H2761,0)</f>
        <v>0</v>
      </c>
      <c r="U2761" s="48">
        <f>IF(Учет!$O2761=Справочники!$F$6,Учет!$H2761,0)</f>
        <v>0</v>
      </c>
      <c r="V2761" s="43">
        <f>V2760+Учет!Q2761-Q2761</f>
        <v>-488978.92000000004</v>
      </c>
      <c r="W2761" s="43">
        <f>W2760+Учет!R2761-R2761</f>
        <v>336855</v>
      </c>
      <c r="X2761" s="43">
        <f>X2760+Учет!S2761-S2761</f>
        <v>500</v>
      </c>
      <c r="Y2761" s="43">
        <f>Y2760+Учет!T2761-T2761</f>
        <v>1150</v>
      </c>
      <c r="Z2761" s="43">
        <f>Z2760+Учет!U2761-U2761</f>
        <v>500000</v>
      </c>
      <c r="AA2761" s="45">
        <f>Учет!X2761</f>
        <v>500</v>
      </c>
    </row>
    <row r="2762" spans="1:27" ht="15" customHeight="1" x14ac:dyDescent="0.25">
      <c r="A2762" s="1"/>
      <c r="B2762" s="17"/>
      <c r="C2762" s="17"/>
      <c r="D2762" s="17"/>
      <c r="E2762" s="17"/>
      <c r="F2762" s="17"/>
      <c r="G2762" s="4">
        <f t="shared" si="126"/>
        <v>0</v>
      </c>
      <c r="H2762" s="17"/>
      <c r="I2762" s="4">
        <f t="shared" si="128"/>
        <v>349526.07999999996</v>
      </c>
      <c r="J2762" s="32" t="str">
        <f t="shared" si="127"/>
        <v/>
      </c>
      <c r="K2762" s="72"/>
      <c r="L2762" s="72"/>
      <c r="M2762" s="2"/>
      <c r="N2762" s="5"/>
      <c r="O2762" s="3"/>
      <c r="P2762" s="6"/>
      <c r="Q2762" s="48">
        <f>IF(Учет!$O2762=Справочники!$F$2,Учет!$H2762,0)</f>
        <v>0</v>
      </c>
      <c r="R2762" s="48">
        <f>IF(Учет!$O2762=Справочники!$F$3,Учет!$H2762,0)</f>
        <v>0</v>
      </c>
      <c r="S2762" s="48">
        <f>IF(Учет!$O2762=Справочники!$F$4,Учет!$H2762,0)</f>
        <v>0</v>
      </c>
      <c r="T2762" s="48">
        <f>IF(Учет!$O2762=Справочники!$F$5,Учет!$H2762,0)</f>
        <v>0</v>
      </c>
      <c r="U2762" s="48">
        <f>IF(Учет!$O2762=Справочники!$F$6,Учет!$H2762,0)</f>
        <v>0</v>
      </c>
      <c r="V2762" s="43">
        <f>V2761+Учет!Q2762-Q2762</f>
        <v>-488978.92000000004</v>
      </c>
      <c r="W2762" s="43">
        <f>W2761+Учет!R2762-R2762</f>
        <v>336855</v>
      </c>
      <c r="X2762" s="43">
        <f>X2761+Учет!S2762-S2762</f>
        <v>500</v>
      </c>
      <c r="Y2762" s="43">
        <f>Y2761+Учет!T2762-T2762</f>
        <v>1150</v>
      </c>
      <c r="Z2762" s="43">
        <f>Z2761+Учет!U2762-U2762</f>
        <v>500000</v>
      </c>
      <c r="AA2762" s="45">
        <f>Учет!X2762</f>
        <v>500</v>
      </c>
    </row>
    <row r="2763" spans="1:27" ht="15" customHeight="1" x14ac:dyDescent="0.25">
      <c r="A2763" s="1"/>
      <c r="B2763" s="17"/>
      <c r="C2763" s="17"/>
      <c r="D2763" s="17"/>
      <c r="E2763" s="17"/>
      <c r="F2763" s="17"/>
      <c r="G2763" s="4">
        <f t="shared" si="126"/>
        <v>0</v>
      </c>
      <c r="H2763" s="17"/>
      <c r="I2763" s="4">
        <f t="shared" si="128"/>
        <v>349526.07999999996</v>
      </c>
      <c r="J2763" s="32" t="str">
        <f t="shared" si="127"/>
        <v/>
      </c>
      <c r="K2763" s="72"/>
      <c r="L2763" s="72"/>
      <c r="M2763" s="2"/>
      <c r="N2763" s="5"/>
      <c r="O2763" s="3"/>
      <c r="P2763" s="6"/>
      <c r="Q2763" s="48">
        <f>IF(Учет!$O2763=Справочники!$F$2,Учет!$H2763,0)</f>
        <v>0</v>
      </c>
      <c r="R2763" s="48">
        <f>IF(Учет!$O2763=Справочники!$F$3,Учет!$H2763,0)</f>
        <v>0</v>
      </c>
      <c r="S2763" s="48">
        <f>IF(Учет!$O2763=Справочники!$F$4,Учет!$H2763,0)</f>
        <v>0</v>
      </c>
      <c r="T2763" s="48">
        <f>IF(Учет!$O2763=Справочники!$F$5,Учет!$H2763,0)</f>
        <v>0</v>
      </c>
      <c r="U2763" s="48">
        <f>IF(Учет!$O2763=Справочники!$F$6,Учет!$H2763,0)</f>
        <v>0</v>
      </c>
      <c r="V2763" s="43">
        <f>V2762+Учет!Q2763-Q2763</f>
        <v>-488978.92000000004</v>
      </c>
      <c r="W2763" s="43">
        <f>W2762+Учет!R2763-R2763</f>
        <v>336855</v>
      </c>
      <c r="X2763" s="43">
        <f>X2762+Учет!S2763-S2763</f>
        <v>500</v>
      </c>
      <c r="Y2763" s="43">
        <f>Y2762+Учет!T2763-T2763</f>
        <v>1150</v>
      </c>
      <c r="Z2763" s="43">
        <f>Z2762+Учет!U2763-U2763</f>
        <v>500000</v>
      </c>
      <c r="AA2763" s="45">
        <f>Учет!X2763</f>
        <v>500</v>
      </c>
    </row>
    <row r="2764" spans="1:27" ht="15" customHeight="1" x14ac:dyDescent="0.25">
      <c r="A2764" s="1"/>
      <c r="B2764" s="17"/>
      <c r="C2764" s="17"/>
      <c r="D2764" s="17"/>
      <c r="E2764" s="17"/>
      <c r="F2764" s="17"/>
      <c r="G2764" s="4">
        <f t="shared" si="126"/>
        <v>0</v>
      </c>
      <c r="H2764" s="17"/>
      <c r="I2764" s="4">
        <f t="shared" si="128"/>
        <v>349526.07999999996</v>
      </c>
      <c r="J2764" s="32" t="str">
        <f t="shared" si="127"/>
        <v/>
      </c>
      <c r="K2764" s="72"/>
      <c r="L2764" s="72"/>
      <c r="M2764" s="2"/>
      <c r="N2764" s="5"/>
      <c r="O2764" s="3"/>
      <c r="P2764" s="6"/>
      <c r="Q2764" s="48">
        <f>IF(Учет!$O2764=Справочники!$F$2,Учет!$H2764,0)</f>
        <v>0</v>
      </c>
      <c r="R2764" s="48">
        <f>IF(Учет!$O2764=Справочники!$F$3,Учет!$H2764,0)</f>
        <v>0</v>
      </c>
      <c r="S2764" s="48">
        <f>IF(Учет!$O2764=Справочники!$F$4,Учет!$H2764,0)</f>
        <v>0</v>
      </c>
      <c r="T2764" s="48">
        <f>IF(Учет!$O2764=Справочники!$F$5,Учет!$H2764,0)</f>
        <v>0</v>
      </c>
      <c r="U2764" s="48">
        <f>IF(Учет!$O2764=Справочники!$F$6,Учет!$H2764,0)</f>
        <v>0</v>
      </c>
      <c r="V2764" s="43">
        <f>V2763+Учет!Q2764-Q2764</f>
        <v>-488978.92000000004</v>
      </c>
      <c r="W2764" s="43">
        <f>W2763+Учет!R2764-R2764</f>
        <v>336855</v>
      </c>
      <c r="X2764" s="43">
        <f>X2763+Учет!S2764-S2764</f>
        <v>500</v>
      </c>
      <c r="Y2764" s="43">
        <f>Y2763+Учет!T2764-T2764</f>
        <v>1150</v>
      </c>
      <c r="Z2764" s="43">
        <f>Z2763+Учет!U2764-U2764</f>
        <v>500000</v>
      </c>
      <c r="AA2764" s="45">
        <f>Учет!X2764</f>
        <v>500</v>
      </c>
    </row>
    <row r="2765" spans="1:27" ht="15" customHeight="1" x14ac:dyDescent="0.25">
      <c r="A2765" s="1"/>
      <c r="B2765" s="17"/>
      <c r="C2765" s="17"/>
      <c r="D2765" s="17"/>
      <c r="E2765" s="17"/>
      <c r="F2765" s="17"/>
      <c r="G2765" s="4">
        <f t="shared" si="126"/>
        <v>0</v>
      </c>
      <c r="H2765" s="17"/>
      <c r="I2765" s="4">
        <f t="shared" si="128"/>
        <v>349526.07999999996</v>
      </c>
      <c r="J2765" s="32" t="str">
        <f t="shared" si="127"/>
        <v/>
      </c>
      <c r="K2765" s="72"/>
      <c r="L2765" s="72"/>
      <c r="M2765" s="2"/>
      <c r="N2765" s="5"/>
      <c r="O2765" s="3"/>
      <c r="P2765" s="6"/>
      <c r="Q2765" s="48">
        <f>IF(Учет!$O2765=Справочники!$F$2,Учет!$H2765,0)</f>
        <v>0</v>
      </c>
      <c r="R2765" s="48">
        <f>IF(Учет!$O2765=Справочники!$F$3,Учет!$H2765,0)</f>
        <v>0</v>
      </c>
      <c r="S2765" s="48">
        <f>IF(Учет!$O2765=Справочники!$F$4,Учет!$H2765,0)</f>
        <v>0</v>
      </c>
      <c r="T2765" s="48">
        <f>IF(Учет!$O2765=Справочники!$F$5,Учет!$H2765,0)</f>
        <v>0</v>
      </c>
      <c r="U2765" s="48">
        <f>IF(Учет!$O2765=Справочники!$F$6,Учет!$H2765,0)</f>
        <v>0</v>
      </c>
      <c r="V2765" s="43">
        <f>V2764+Учет!Q2765-Q2765</f>
        <v>-488978.92000000004</v>
      </c>
      <c r="W2765" s="43">
        <f>W2764+Учет!R2765-R2765</f>
        <v>336855</v>
      </c>
      <c r="X2765" s="43">
        <f>X2764+Учет!S2765-S2765</f>
        <v>500</v>
      </c>
      <c r="Y2765" s="43">
        <f>Y2764+Учет!T2765-T2765</f>
        <v>1150</v>
      </c>
      <c r="Z2765" s="43">
        <f>Z2764+Учет!U2765-U2765</f>
        <v>500000</v>
      </c>
      <c r="AA2765" s="45">
        <f>Учет!X2765</f>
        <v>500</v>
      </c>
    </row>
    <row r="2766" spans="1:27" ht="15" customHeight="1" x14ac:dyDescent="0.25">
      <c r="A2766" s="1"/>
      <c r="B2766" s="17"/>
      <c r="C2766" s="17"/>
      <c r="D2766" s="17"/>
      <c r="E2766" s="17"/>
      <c r="F2766" s="17"/>
      <c r="G2766" s="4">
        <f t="shared" si="126"/>
        <v>0</v>
      </c>
      <c r="H2766" s="17"/>
      <c r="I2766" s="4">
        <f t="shared" si="128"/>
        <v>349526.07999999996</v>
      </c>
      <c r="J2766" s="32" t="str">
        <f t="shared" si="127"/>
        <v/>
      </c>
      <c r="K2766" s="72"/>
      <c r="L2766" s="72"/>
      <c r="M2766" s="2"/>
      <c r="N2766" s="5"/>
      <c r="O2766" s="3"/>
      <c r="P2766" s="6"/>
      <c r="Q2766" s="48">
        <f>IF(Учет!$O2766=Справочники!$F$2,Учет!$H2766,0)</f>
        <v>0</v>
      </c>
      <c r="R2766" s="48">
        <f>IF(Учет!$O2766=Справочники!$F$3,Учет!$H2766,0)</f>
        <v>0</v>
      </c>
      <c r="S2766" s="48">
        <f>IF(Учет!$O2766=Справочники!$F$4,Учет!$H2766,0)</f>
        <v>0</v>
      </c>
      <c r="T2766" s="48">
        <f>IF(Учет!$O2766=Справочники!$F$5,Учет!$H2766,0)</f>
        <v>0</v>
      </c>
      <c r="U2766" s="48">
        <f>IF(Учет!$O2766=Справочники!$F$6,Учет!$H2766,0)</f>
        <v>0</v>
      </c>
      <c r="V2766" s="43">
        <f>V2765+Учет!Q2766-Q2766</f>
        <v>-488978.92000000004</v>
      </c>
      <c r="W2766" s="43">
        <f>W2765+Учет!R2766-R2766</f>
        <v>336855</v>
      </c>
      <c r="X2766" s="43">
        <f>X2765+Учет!S2766-S2766</f>
        <v>500</v>
      </c>
      <c r="Y2766" s="43">
        <f>Y2765+Учет!T2766-T2766</f>
        <v>1150</v>
      </c>
      <c r="Z2766" s="43">
        <f>Z2765+Учет!U2766-U2766</f>
        <v>500000</v>
      </c>
      <c r="AA2766" s="45">
        <f>Учет!X2766</f>
        <v>500</v>
      </c>
    </row>
    <row r="2767" spans="1:27" ht="15" customHeight="1" x14ac:dyDescent="0.25">
      <c r="A2767" s="1"/>
      <c r="B2767" s="17"/>
      <c r="C2767" s="17"/>
      <c r="D2767" s="17"/>
      <c r="E2767" s="17"/>
      <c r="F2767" s="17"/>
      <c r="G2767" s="4">
        <f t="shared" si="126"/>
        <v>0</v>
      </c>
      <c r="H2767" s="17"/>
      <c r="I2767" s="4">
        <f t="shared" si="128"/>
        <v>349526.07999999996</v>
      </c>
      <c r="J2767" s="32" t="str">
        <f t="shared" si="127"/>
        <v/>
      </c>
      <c r="K2767" s="72"/>
      <c r="L2767" s="72"/>
      <c r="M2767" s="2"/>
      <c r="N2767" s="5"/>
      <c r="O2767" s="3"/>
      <c r="P2767" s="6"/>
      <c r="Q2767" s="48">
        <f>IF(Учет!$O2767=Справочники!$F$2,Учет!$H2767,0)</f>
        <v>0</v>
      </c>
      <c r="R2767" s="48">
        <f>IF(Учет!$O2767=Справочники!$F$3,Учет!$H2767,0)</f>
        <v>0</v>
      </c>
      <c r="S2767" s="48">
        <f>IF(Учет!$O2767=Справочники!$F$4,Учет!$H2767,0)</f>
        <v>0</v>
      </c>
      <c r="T2767" s="48">
        <f>IF(Учет!$O2767=Справочники!$F$5,Учет!$H2767,0)</f>
        <v>0</v>
      </c>
      <c r="U2767" s="48">
        <f>IF(Учет!$O2767=Справочники!$F$6,Учет!$H2767,0)</f>
        <v>0</v>
      </c>
      <c r="V2767" s="43">
        <f>V2766+Учет!Q2767-Q2767</f>
        <v>-488978.92000000004</v>
      </c>
      <c r="W2767" s="43">
        <f>W2766+Учет!R2767-R2767</f>
        <v>336855</v>
      </c>
      <c r="X2767" s="43">
        <f>X2766+Учет!S2767-S2767</f>
        <v>500</v>
      </c>
      <c r="Y2767" s="43">
        <f>Y2766+Учет!T2767-T2767</f>
        <v>1150</v>
      </c>
      <c r="Z2767" s="43">
        <f>Z2766+Учет!U2767-U2767</f>
        <v>500000</v>
      </c>
      <c r="AA2767" s="45">
        <f>Учет!X2767</f>
        <v>500</v>
      </c>
    </row>
    <row r="2768" spans="1:27" ht="15" customHeight="1" x14ac:dyDescent="0.25">
      <c r="A2768" s="1"/>
      <c r="B2768" s="17"/>
      <c r="C2768" s="17"/>
      <c r="D2768" s="17"/>
      <c r="E2768" s="17"/>
      <c r="F2768" s="17"/>
      <c r="G2768" s="4">
        <f t="shared" si="126"/>
        <v>0</v>
      </c>
      <c r="H2768" s="17"/>
      <c r="I2768" s="4">
        <f t="shared" si="128"/>
        <v>349526.07999999996</v>
      </c>
      <c r="J2768" s="32" t="str">
        <f t="shared" si="127"/>
        <v/>
      </c>
      <c r="K2768" s="72"/>
      <c r="L2768" s="72"/>
      <c r="M2768" s="2"/>
      <c r="N2768" s="5"/>
      <c r="O2768" s="3"/>
      <c r="P2768" s="6"/>
      <c r="Q2768" s="48">
        <f>IF(Учет!$O2768=Справочники!$F$2,Учет!$H2768,0)</f>
        <v>0</v>
      </c>
      <c r="R2768" s="48">
        <f>IF(Учет!$O2768=Справочники!$F$3,Учет!$H2768,0)</f>
        <v>0</v>
      </c>
      <c r="S2768" s="48">
        <f>IF(Учет!$O2768=Справочники!$F$4,Учет!$H2768,0)</f>
        <v>0</v>
      </c>
      <c r="T2768" s="48">
        <f>IF(Учет!$O2768=Справочники!$F$5,Учет!$H2768,0)</f>
        <v>0</v>
      </c>
      <c r="U2768" s="48">
        <f>IF(Учет!$O2768=Справочники!$F$6,Учет!$H2768,0)</f>
        <v>0</v>
      </c>
      <c r="V2768" s="43">
        <f>V2767+Учет!Q2768-Q2768</f>
        <v>-488978.92000000004</v>
      </c>
      <c r="W2768" s="43">
        <f>W2767+Учет!R2768-R2768</f>
        <v>336855</v>
      </c>
      <c r="X2768" s="43">
        <f>X2767+Учет!S2768-S2768</f>
        <v>500</v>
      </c>
      <c r="Y2768" s="43">
        <f>Y2767+Учет!T2768-T2768</f>
        <v>1150</v>
      </c>
      <c r="Z2768" s="43">
        <f>Z2767+Учет!U2768-U2768</f>
        <v>500000</v>
      </c>
      <c r="AA2768" s="45">
        <f>Учет!X2768</f>
        <v>500</v>
      </c>
    </row>
    <row r="2769" spans="1:27" ht="15" customHeight="1" x14ac:dyDescent="0.25">
      <c r="A2769" s="1"/>
      <c r="B2769" s="17"/>
      <c r="C2769" s="17"/>
      <c r="D2769" s="17"/>
      <c r="E2769" s="17"/>
      <c r="F2769" s="17"/>
      <c r="G2769" s="4">
        <f t="shared" si="126"/>
        <v>0</v>
      </c>
      <c r="H2769" s="17"/>
      <c r="I2769" s="4">
        <f t="shared" si="128"/>
        <v>349526.07999999996</v>
      </c>
      <c r="J2769" s="32" t="str">
        <f t="shared" si="127"/>
        <v/>
      </c>
      <c r="K2769" s="72"/>
      <c r="L2769" s="72"/>
      <c r="M2769" s="2"/>
      <c r="N2769" s="5"/>
      <c r="O2769" s="3"/>
      <c r="P2769" s="6"/>
      <c r="Q2769" s="48">
        <f>IF(Учет!$O2769=Справочники!$F$2,Учет!$H2769,0)</f>
        <v>0</v>
      </c>
      <c r="R2769" s="48">
        <f>IF(Учет!$O2769=Справочники!$F$3,Учет!$H2769,0)</f>
        <v>0</v>
      </c>
      <c r="S2769" s="48">
        <f>IF(Учет!$O2769=Справочники!$F$4,Учет!$H2769,0)</f>
        <v>0</v>
      </c>
      <c r="T2769" s="48">
        <f>IF(Учет!$O2769=Справочники!$F$5,Учет!$H2769,0)</f>
        <v>0</v>
      </c>
      <c r="U2769" s="48">
        <f>IF(Учет!$O2769=Справочники!$F$6,Учет!$H2769,0)</f>
        <v>0</v>
      </c>
      <c r="V2769" s="43">
        <f>V2768+Учет!Q2769-Q2769</f>
        <v>-488978.92000000004</v>
      </c>
      <c r="W2769" s="43">
        <f>W2768+Учет!R2769-R2769</f>
        <v>336855</v>
      </c>
      <c r="X2769" s="43">
        <f>X2768+Учет!S2769-S2769</f>
        <v>500</v>
      </c>
      <c r="Y2769" s="43">
        <f>Y2768+Учет!T2769-T2769</f>
        <v>1150</v>
      </c>
      <c r="Z2769" s="43">
        <f>Z2768+Учет!U2769-U2769</f>
        <v>500000</v>
      </c>
      <c r="AA2769" s="45">
        <f>Учет!X2769</f>
        <v>500</v>
      </c>
    </row>
    <row r="2770" spans="1:27" ht="15" customHeight="1" x14ac:dyDescent="0.25">
      <c r="A2770" s="1"/>
      <c r="B2770" s="17"/>
      <c r="C2770" s="17"/>
      <c r="D2770" s="17"/>
      <c r="E2770" s="17"/>
      <c r="F2770" s="17"/>
      <c r="G2770" s="4">
        <f t="shared" si="126"/>
        <v>0</v>
      </c>
      <c r="H2770" s="17"/>
      <c r="I2770" s="4">
        <f t="shared" si="128"/>
        <v>349526.07999999996</v>
      </c>
      <c r="J2770" s="32" t="str">
        <f t="shared" si="127"/>
        <v/>
      </c>
      <c r="K2770" s="72"/>
      <c r="L2770" s="72"/>
      <c r="M2770" s="2"/>
      <c r="N2770" s="5"/>
      <c r="O2770" s="3"/>
      <c r="P2770" s="6"/>
      <c r="Q2770" s="48">
        <f>IF(Учет!$O2770=Справочники!$F$2,Учет!$H2770,0)</f>
        <v>0</v>
      </c>
      <c r="R2770" s="48">
        <f>IF(Учет!$O2770=Справочники!$F$3,Учет!$H2770,0)</f>
        <v>0</v>
      </c>
      <c r="S2770" s="48">
        <f>IF(Учет!$O2770=Справочники!$F$4,Учет!$H2770,0)</f>
        <v>0</v>
      </c>
      <c r="T2770" s="48">
        <f>IF(Учет!$O2770=Справочники!$F$5,Учет!$H2770,0)</f>
        <v>0</v>
      </c>
      <c r="U2770" s="48">
        <f>IF(Учет!$O2770=Справочники!$F$6,Учет!$H2770,0)</f>
        <v>0</v>
      </c>
      <c r="V2770" s="43">
        <f>V2769+Учет!Q2770-Q2770</f>
        <v>-488978.92000000004</v>
      </c>
      <c r="W2770" s="43">
        <f>W2769+Учет!R2770-R2770</f>
        <v>336855</v>
      </c>
      <c r="X2770" s="43">
        <f>X2769+Учет!S2770-S2770</f>
        <v>500</v>
      </c>
      <c r="Y2770" s="43">
        <f>Y2769+Учет!T2770-T2770</f>
        <v>1150</v>
      </c>
      <c r="Z2770" s="43">
        <f>Z2769+Учет!U2770-U2770</f>
        <v>500000</v>
      </c>
      <c r="AA2770" s="45">
        <f>Учет!X2770</f>
        <v>500</v>
      </c>
    </row>
    <row r="2771" spans="1:27" ht="15" customHeight="1" x14ac:dyDescent="0.25">
      <c r="A2771" s="1"/>
      <c r="B2771" s="17"/>
      <c r="C2771" s="17"/>
      <c r="D2771" s="17"/>
      <c r="E2771" s="17"/>
      <c r="F2771" s="17"/>
      <c r="G2771" s="4">
        <f t="shared" si="126"/>
        <v>0</v>
      </c>
      <c r="H2771" s="17"/>
      <c r="I2771" s="4">
        <f t="shared" si="128"/>
        <v>349526.07999999996</v>
      </c>
      <c r="J2771" s="32" t="str">
        <f t="shared" si="127"/>
        <v/>
      </c>
      <c r="K2771" s="72"/>
      <c r="L2771" s="72"/>
      <c r="M2771" s="2"/>
      <c r="N2771" s="5"/>
      <c r="O2771" s="3"/>
      <c r="P2771" s="6"/>
      <c r="Q2771" s="48">
        <f>IF(Учет!$O2771=Справочники!$F$2,Учет!$H2771,0)</f>
        <v>0</v>
      </c>
      <c r="R2771" s="48">
        <f>IF(Учет!$O2771=Справочники!$F$3,Учет!$H2771,0)</f>
        <v>0</v>
      </c>
      <c r="S2771" s="48">
        <f>IF(Учет!$O2771=Справочники!$F$4,Учет!$H2771,0)</f>
        <v>0</v>
      </c>
      <c r="T2771" s="48">
        <f>IF(Учет!$O2771=Справочники!$F$5,Учет!$H2771,0)</f>
        <v>0</v>
      </c>
      <c r="U2771" s="48">
        <f>IF(Учет!$O2771=Справочники!$F$6,Учет!$H2771,0)</f>
        <v>0</v>
      </c>
      <c r="V2771" s="43">
        <f>V2770+Учет!Q2771-Q2771</f>
        <v>-488978.92000000004</v>
      </c>
      <c r="W2771" s="43">
        <f>W2770+Учет!R2771-R2771</f>
        <v>336855</v>
      </c>
      <c r="X2771" s="43">
        <f>X2770+Учет!S2771-S2771</f>
        <v>500</v>
      </c>
      <c r="Y2771" s="43">
        <f>Y2770+Учет!T2771-T2771</f>
        <v>1150</v>
      </c>
      <c r="Z2771" s="43">
        <f>Z2770+Учет!U2771-U2771</f>
        <v>500000</v>
      </c>
      <c r="AA2771" s="45">
        <f>Учет!X2771</f>
        <v>500</v>
      </c>
    </row>
    <row r="2772" spans="1:27" ht="15" customHeight="1" x14ac:dyDescent="0.25">
      <c r="A2772" s="1"/>
      <c r="B2772" s="17"/>
      <c r="C2772" s="17"/>
      <c r="D2772" s="17"/>
      <c r="E2772" s="17"/>
      <c r="F2772" s="17"/>
      <c r="G2772" s="4">
        <f t="shared" si="126"/>
        <v>0</v>
      </c>
      <c r="H2772" s="17"/>
      <c r="I2772" s="4">
        <f t="shared" si="128"/>
        <v>349526.07999999996</v>
      </c>
      <c r="J2772" s="32" t="str">
        <f t="shared" si="127"/>
        <v/>
      </c>
      <c r="K2772" s="72"/>
      <c r="L2772" s="72"/>
      <c r="M2772" s="2"/>
      <c r="N2772" s="5"/>
      <c r="O2772" s="3"/>
      <c r="P2772" s="6"/>
      <c r="Q2772" s="48">
        <f>IF(Учет!$O2772=Справочники!$F$2,Учет!$H2772,0)</f>
        <v>0</v>
      </c>
      <c r="R2772" s="48">
        <f>IF(Учет!$O2772=Справочники!$F$3,Учет!$H2772,0)</f>
        <v>0</v>
      </c>
      <c r="S2772" s="48">
        <f>IF(Учет!$O2772=Справочники!$F$4,Учет!$H2772,0)</f>
        <v>0</v>
      </c>
      <c r="T2772" s="48">
        <f>IF(Учет!$O2772=Справочники!$F$5,Учет!$H2772,0)</f>
        <v>0</v>
      </c>
      <c r="U2772" s="48">
        <f>IF(Учет!$O2772=Справочники!$F$6,Учет!$H2772,0)</f>
        <v>0</v>
      </c>
      <c r="V2772" s="43">
        <f>V2771+Учет!Q2772-Q2772</f>
        <v>-488978.92000000004</v>
      </c>
      <c r="W2772" s="43">
        <f>W2771+Учет!R2772-R2772</f>
        <v>336855</v>
      </c>
      <c r="X2772" s="43">
        <f>X2771+Учет!S2772-S2772</f>
        <v>500</v>
      </c>
      <c r="Y2772" s="43">
        <f>Y2771+Учет!T2772-T2772</f>
        <v>1150</v>
      </c>
      <c r="Z2772" s="43">
        <f>Z2771+Учет!U2772-U2772</f>
        <v>500000</v>
      </c>
      <c r="AA2772" s="45">
        <f>Учет!X2772</f>
        <v>500</v>
      </c>
    </row>
    <row r="2773" spans="1:27" ht="15" customHeight="1" x14ac:dyDescent="0.25">
      <c r="A2773" s="1"/>
      <c r="B2773" s="17"/>
      <c r="C2773" s="17"/>
      <c r="D2773" s="17"/>
      <c r="E2773" s="17"/>
      <c r="F2773" s="17"/>
      <c r="G2773" s="4">
        <f t="shared" si="126"/>
        <v>0</v>
      </c>
      <c r="H2773" s="17"/>
      <c r="I2773" s="4">
        <f t="shared" si="128"/>
        <v>349526.07999999996</v>
      </c>
      <c r="J2773" s="32" t="str">
        <f t="shared" si="127"/>
        <v/>
      </c>
      <c r="K2773" s="72"/>
      <c r="L2773" s="72"/>
      <c r="M2773" s="2"/>
      <c r="N2773" s="5"/>
      <c r="O2773" s="3"/>
      <c r="P2773" s="6"/>
      <c r="Q2773" s="48">
        <f>IF(Учет!$O2773=Справочники!$F$2,Учет!$H2773,0)</f>
        <v>0</v>
      </c>
      <c r="R2773" s="48">
        <f>IF(Учет!$O2773=Справочники!$F$3,Учет!$H2773,0)</f>
        <v>0</v>
      </c>
      <c r="S2773" s="48">
        <f>IF(Учет!$O2773=Справочники!$F$4,Учет!$H2773,0)</f>
        <v>0</v>
      </c>
      <c r="T2773" s="48">
        <f>IF(Учет!$O2773=Справочники!$F$5,Учет!$H2773,0)</f>
        <v>0</v>
      </c>
      <c r="U2773" s="48">
        <f>IF(Учет!$O2773=Справочники!$F$6,Учет!$H2773,0)</f>
        <v>0</v>
      </c>
      <c r="V2773" s="43">
        <f>V2772+Учет!Q2773-Q2773</f>
        <v>-488978.92000000004</v>
      </c>
      <c r="W2773" s="43">
        <f>W2772+Учет!R2773-R2773</f>
        <v>336855</v>
      </c>
      <c r="X2773" s="43">
        <f>X2772+Учет!S2773-S2773</f>
        <v>500</v>
      </c>
      <c r="Y2773" s="43">
        <f>Y2772+Учет!T2773-T2773</f>
        <v>1150</v>
      </c>
      <c r="Z2773" s="43">
        <f>Z2772+Учет!U2773-U2773</f>
        <v>500000</v>
      </c>
      <c r="AA2773" s="45">
        <f>Учет!X2773</f>
        <v>500</v>
      </c>
    </row>
    <row r="2774" spans="1:27" ht="15" customHeight="1" x14ac:dyDescent="0.25">
      <c r="A2774" s="1"/>
      <c r="B2774" s="17"/>
      <c r="C2774" s="17"/>
      <c r="D2774" s="17"/>
      <c r="E2774" s="17"/>
      <c r="F2774" s="17"/>
      <c r="G2774" s="4">
        <f t="shared" si="126"/>
        <v>0</v>
      </c>
      <c r="H2774" s="17"/>
      <c r="I2774" s="4">
        <f t="shared" si="128"/>
        <v>349526.07999999996</v>
      </c>
      <c r="J2774" s="32" t="str">
        <f t="shared" si="127"/>
        <v/>
      </c>
      <c r="K2774" s="72"/>
      <c r="L2774" s="72"/>
      <c r="M2774" s="2"/>
      <c r="N2774" s="5"/>
      <c r="O2774" s="3"/>
      <c r="P2774" s="6"/>
      <c r="Q2774" s="48">
        <f>IF(Учет!$O2774=Справочники!$F$2,Учет!$H2774,0)</f>
        <v>0</v>
      </c>
      <c r="R2774" s="48">
        <f>IF(Учет!$O2774=Справочники!$F$3,Учет!$H2774,0)</f>
        <v>0</v>
      </c>
      <c r="S2774" s="48">
        <f>IF(Учет!$O2774=Справочники!$F$4,Учет!$H2774,0)</f>
        <v>0</v>
      </c>
      <c r="T2774" s="48">
        <f>IF(Учет!$O2774=Справочники!$F$5,Учет!$H2774,0)</f>
        <v>0</v>
      </c>
      <c r="U2774" s="48">
        <f>IF(Учет!$O2774=Справочники!$F$6,Учет!$H2774,0)</f>
        <v>0</v>
      </c>
      <c r="V2774" s="43">
        <f>V2773+Учет!Q2774-Q2774</f>
        <v>-488978.92000000004</v>
      </c>
      <c r="W2774" s="43">
        <f>W2773+Учет!R2774-R2774</f>
        <v>336855</v>
      </c>
      <c r="X2774" s="43">
        <f>X2773+Учет!S2774-S2774</f>
        <v>500</v>
      </c>
      <c r="Y2774" s="43">
        <f>Y2773+Учет!T2774-T2774</f>
        <v>1150</v>
      </c>
      <c r="Z2774" s="43">
        <f>Z2773+Учет!U2774-U2774</f>
        <v>500000</v>
      </c>
      <c r="AA2774" s="45">
        <f>Учет!X2774</f>
        <v>500</v>
      </c>
    </row>
    <row r="2775" spans="1:27" ht="15" customHeight="1" x14ac:dyDescent="0.25">
      <c r="A2775" s="1"/>
      <c r="B2775" s="17"/>
      <c r="C2775" s="17"/>
      <c r="D2775" s="17"/>
      <c r="E2775" s="17"/>
      <c r="F2775" s="17"/>
      <c r="G2775" s="4">
        <f t="shared" si="126"/>
        <v>0</v>
      </c>
      <c r="H2775" s="17"/>
      <c r="I2775" s="4">
        <f t="shared" si="128"/>
        <v>349526.07999999996</v>
      </c>
      <c r="J2775" s="32" t="str">
        <f t="shared" si="127"/>
        <v/>
      </c>
      <c r="K2775" s="72"/>
      <c r="L2775" s="72"/>
      <c r="M2775" s="2"/>
      <c r="N2775" s="5"/>
      <c r="O2775" s="3"/>
      <c r="P2775" s="6"/>
      <c r="Q2775" s="48">
        <f>IF(Учет!$O2775=Справочники!$F$2,Учет!$H2775,0)</f>
        <v>0</v>
      </c>
      <c r="R2775" s="48">
        <f>IF(Учет!$O2775=Справочники!$F$3,Учет!$H2775,0)</f>
        <v>0</v>
      </c>
      <c r="S2775" s="48">
        <f>IF(Учет!$O2775=Справочники!$F$4,Учет!$H2775,0)</f>
        <v>0</v>
      </c>
      <c r="T2775" s="48">
        <f>IF(Учет!$O2775=Справочники!$F$5,Учет!$H2775,0)</f>
        <v>0</v>
      </c>
      <c r="U2775" s="48">
        <f>IF(Учет!$O2775=Справочники!$F$6,Учет!$H2775,0)</f>
        <v>0</v>
      </c>
      <c r="V2775" s="43">
        <f>V2774+Учет!Q2775-Q2775</f>
        <v>-488978.92000000004</v>
      </c>
      <c r="W2775" s="43">
        <f>W2774+Учет!R2775-R2775</f>
        <v>336855</v>
      </c>
      <c r="X2775" s="43">
        <f>X2774+Учет!S2775-S2775</f>
        <v>500</v>
      </c>
      <c r="Y2775" s="43">
        <f>Y2774+Учет!T2775-T2775</f>
        <v>1150</v>
      </c>
      <c r="Z2775" s="43">
        <f>Z2774+Учет!U2775-U2775</f>
        <v>500000</v>
      </c>
      <c r="AA2775" s="45">
        <f>Учет!X2775</f>
        <v>500</v>
      </c>
    </row>
    <row r="2776" spans="1:27" ht="15" customHeight="1" x14ac:dyDescent="0.25">
      <c r="A2776" s="1"/>
      <c r="B2776" s="17"/>
      <c r="C2776" s="17"/>
      <c r="D2776" s="17"/>
      <c r="E2776" s="17"/>
      <c r="F2776" s="17"/>
      <c r="G2776" s="4">
        <f t="shared" si="126"/>
        <v>0</v>
      </c>
      <c r="H2776" s="17"/>
      <c r="I2776" s="4">
        <f t="shared" si="128"/>
        <v>349526.07999999996</v>
      </c>
      <c r="J2776" s="32" t="str">
        <f t="shared" si="127"/>
        <v/>
      </c>
      <c r="K2776" s="72"/>
      <c r="L2776" s="72"/>
      <c r="M2776" s="2"/>
      <c r="N2776" s="5"/>
      <c r="O2776" s="3"/>
      <c r="P2776" s="6"/>
      <c r="Q2776" s="48">
        <f>IF(Учет!$O2776=Справочники!$F$2,Учет!$H2776,0)</f>
        <v>0</v>
      </c>
      <c r="R2776" s="48">
        <f>IF(Учет!$O2776=Справочники!$F$3,Учет!$H2776,0)</f>
        <v>0</v>
      </c>
      <c r="S2776" s="48">
        <f>IF(Учет!$O2776=Справочники!$F$4,Учет!$H2776,0)</f>
        <v>0</v>
      </c>
      <c r="T2776" s="48">
        <f>IF(Учет!$O2776=Справочники!$F$5,Учет!$H2776,0)</f>
        <v>0</v>
      </c>
      <c r="U2776" s="48">
        <f>IF(Учет!$O2776=Справочники!$F$6,Учет!$H2776,0)</f>
        <v>0</v>
      </c>
      <c r="V2776" s="43">
        <f>V2775+Учет!Q2776-Q2776</f>
        <v>-488978.92000000004</v>
      </c>
      <c r="W2776" s="43">
        <f>W2775+Учет!R2776-R2776</f>
        <v>336855</v>
      </c>
      <c r="X2776" s="43">
        <f>X2775+Учет!S2776-S2776</f>
        <v>500</v>
      </c>
      <c r="Y2776" s="43">
        <f>Y2775+Учет!T2776-T2776</f>
        <v>1150</v>
      </c>
      <c r="Z2776" s="43">
        <f>Z2775+Учет!U2776-U2776</f>
        <v>500000</v>
      </c>
      <c r="AA2776" s="45">
        <f>Учет!X2776</f>
        <v>500</v>
      </c>
    </row>
    <row r="2777" spans="1:27" ht="15" customHeight="1" x14ac:dyDescent="0.25">
      <c r="A2777" s="1"/>
      <c r="B2777" s="17"/>
      <c r="C2777" s="17"/>
      <c r="D2777" s="17"/>
      <c r="E2777" s="17"/>
      <c r="F2777" s="17"/>
      <c r="G2777" s="4">
        <f t="shared" si="126"/>
        <v>0</v>
      </c>
      <c r="H2777" s="17"/>
      <c r="I2777" s="4">
        <f t="shared" si="128"/>
        <v>349526.07999999996</v>
      </c>
      <c r="J2777" s="32" t="str">
        <f t="shared" si="127"/>
        <v/>
      </c>
      <c r="K2777" s="72"/>
      <c r="L2777" s="72"/>
      <c r="M2777" s="2"/>
      <c r="N2777" s="5"/>
      <c r="O2777" s="3"/>
      <c r="P2777" s="6"/>
      <c r="Q2777" s="48">
        <f>IF(Учет!$O2777=Справочники!$F$2,Учет!$H2777,0)</f>
        <v>0</v>
      </c>
      <c r="R2777" s="48">
        <f>IF(Учет!$O2777=Справочники!$F$3,Учет!$H2777,0)</f>
        <v>0</v>
      </c>
      <c r="S2777" s="48">
        <f>IF(Учет!$O2777=Справочники!$F$4,Учет!$H2777,0)</f>
        <v>0</v>
      </c>
      <c r="T2777" s="48">
        <f>IF(Учет!$O2777=Справочники!$F$5,Учет!$H2777,0)</f>
        <v>0</v>
      </c>
      <c r="U2777" s="48">
        <f>IF(Учет!$O2777=Справочники!$F$6,Учет!$H2777,0)</f>
        <v>0</v>
      </c>
      <c r="V2777" s="43">
        <f>V2776+Учет!Q2777-Q2777</f>
        <v>-488978.92000000004</v>
      </c>
      <c r="W2777" s="43">
        <f>W2776+Учет!R2777-R2777</f>
        <v>336855</v>
      </c>
      <c r="X2777" s="43">
        <f>X2776+Учет!S2777-S2777</f>
        <v>500</v>
      </c>
      <c r="Y2777" s="43">
        <f>Y2776+Учет!T2777-T2777</f>
        <v>1150</v>
      </c>
      <c r="Z2777" s="43">
        <f>Z2776+Учет!U2777-U2777</f>
        <v>500000</v>
      </c>
      <c r="AA2777" s="45">
        <f>Учет!X2777</f>
        <v>500</v>
      </c>
    </row>
    <row r="2778" spans="1:27" ht="15" customHeight="1" x14ac:dyDescent="0.25">
      <c r="A2778" s="1"/>
      <c r="B2778" s="17"/>
      <c r="C2778" s="17"/>
      <c r="D2778" s="17"/>
      <c r="E2778" s="17"/>
      <c r="F2778" s="17"/>
      <c r="G2778" s="4">
        <f t="shared" si="126"/>
        <v>0</v>
      </c>
      <c r="H2778" s="17"/>
      <c r="I2778" s="4">
        <f t="shared" si="128"/>
        <v>349526.07999999996</v>
      </c>
      <c r="J2778" s="32" t="str">
        <f t="shared" si="127"/>
        <v/>
      </c>
      <c r="K2778" s="72"/>
      <c r="L2778" s="72"/>
      <c r="M2778" s="2"/>
      <c r="N2778" s="5"/>
      <c r="O2778" s="3"/>
      <c r="P2778" s="6"/>
      <c r="Q2778" s="48">
        <f>IF(Учет!$O2778=Справочники!$F$2,Учет!$H2778,0)</f>
        <v>0</v>
      </c>
      <c r="R2778" s="48">
        <f>IF(Учет!$O2778=Справочники!$F$3,Учет!$H2778,0)</f>
        <v>0</v>
      </c>
      <c r="S2778" s="48">
        <f>IF(Учет!$O2778=Справочники!$F$4,Учет!$H2778,0)</f>
        <v>0</v>
      </c>
      <c r="T2778" s="48">
        <f>IF(Учет!$O2778=Справочники!$F$5,Учет!$H2778,0)</f>
        <v>0</v>
      </c>
      <c r="U2778" s="48">
        <f>IF(Учет!$O2778=Справочники!$F$6,Учет!$H2778,0)</f>
        <v>0</v>
      </c>
      <c r="V2778" s="43">
        <f>V2777+Учет!Q2778-Q2778</f>
        <v>-488978.92000000004</v>
      </c>
      <c r="W2778" s="43">
        <f>W2777+Учет!R2778-R2778</f>
        <v>336855</v>
      </c>
      <c r="X2778" s="43">
        <f>X2777+Учет!S2778-S2778</f>
        <v>500</v>
      </c>
      <c r="Y2778" s="43">
        <f>Y2777+Учет!T2778-T2778</f>
        <v>1150</v>
      </c>
      <c r="Z2778" s="43">
        <f>Z2777+Учет!U2778-U2778</f>
        <v>500000</v>
      </c>
      <c r="AA2778" s="45">
        <f>Учет!X2778</f>
        <v>500</v>
      </c>
    </row>
    <row r="2779" spans="1:27" ht="15" customHeight="1" x14ac:dyDescent="0.25">
      <c r="A2779" s="1"/>
      <c r="B2779" s="17"/>
      <c r="C2779" s="17"/>
      <c r="D2779" s="17"/>
      <c r="E2779" s="17"/>
      <c r="F2779" s="17"/>
      <c r="G2779" s="4">
        <f t="shared" si="126"/>
        <v>0</v>
      </c>
      <c r="H2779" s="17"/>
      <c r="I2779" s="4">
        <f t="shared" si="128"/>
        <v>349526.07999999996</v>
      </c>
      <c r="J2779" s="32" t="str">
        <f t="shared" si="127"/>
        <v/>
      </c>
      <c r="K2779" s="72"/>
      <c r="L2779" s="72"/>
      <c r="M2779" s="2"/>
      <c r="N2779" s="5"/>
      <c r="O2779" s="3"/>
      <c r="P2779" s="6"/>
      <c r="Q2779" s="48">
        <f>IF(Учет!$O2779=Справочники!$F$2,Учет!$H2779,0)</f>
        <v>0</v>
      </c>
      <c r="R2779" s="48">
        <f>IF(Учет!$O2779=Справочники!$F$3,Учет!$H2779,0)</f>
        <v>0</v>
      </c>
      <c r="S2779" s="48">
        <f>IF(Учет!$O2779=Справочники!$F$4,Учет!$H2779,0)</f>
        <v>0</v>
      </c>
      <c r="T2779" s="48">
        <f>IF(Учет!$O2779=Справочники!$F$5,Учет!$H2779,0)</f>
        <v>0</v>
      </c>
      <c r="U2779" s="48">
        <f>IF(Учет!$O2779=Справочники!$F$6,Учет!$H2779,0)</f>
        <v>0</v>
      </c>
      <c r="V2779" s="43">
        <f>V2778+Учет!Q2779-Q2779</f>
        <v>-488978.92000000004</v>
      </c>
      <c r="W2779" s="43">
        <f>W2778+Учет!R2779-R2779</f>
        <v>336855</v>
      </c>
      <c r="X2779" s="43">
        <f>X2778+Учет!S2779-S2779</f>
        <v>500</v>
      </c>
      <c r="Y2779" s="43">
        <f>Y2778+Учет!T2779-T2779</f>
        <v>1150</v>
      </c>
      <c r="Z2779" s="43">
        <f>Z2778+Учет!U2779-U2779</f>
        <v>500000</v>
      </c>
      <c r="AA2779" s="45">
        <f>Учет!X2779</f>
        <v>500</v>
      </c>
    </row>
    <row r="2780" spans="1:27" ht="15" customHeight="1" x14ac:dyDescent="0.25">
      <c r="A2780" s="1"/>
      <c r="B2780" s="17"/>
      <c r="C2780" s="17"/>
      <c r="D2780" s="17"/>
      <c r="E2780" s="17"/>
      <c r="F2780" s="17"/>
      <c r="G2780" s="4">
        <f t="shared" si="126"/>
        <v>0</v>
      </c>
      <c r="H2780" s="17"/>
      <c r="I2780" s="4">
        <f t="shared" si="128"/>
        <v>349526.07999999996</v>
      </c>
      <c r="J2780" s="32" t="str">
        <f t="shared" si="127"/>
        <v/>
      </c>
      <c r="K2780" s="72"/>
      <c r="L2780" s="72"/>
      <c r="M2780" s="2"/>
      <c r="N2780" s="5"/>
      <c r="O2780" s="3"/>
      <c r="P2780" s="6"/>
      <c r="Q2780" s="48">
        <f>IF(Учет!$O2780=Справочники!$F$2,Учет!$H2780,0)</f>
        <v>0</v>
      </c>
      <c r="R2780" s="48">
        <f>IF(Учет!$O2780=Справочники!$F$3,Учет!$H2780,0)</f>
        <v>0</v>
      </c>
      <c r="S2780" s="48">
        <f>IF(Учет!$O2780=Справочники!$F$4,Учет!$H2780,0)</f>
        <v>0</v>
      </c>
      <c r="T2780" s="48">
        <f>IF(Учет!$O2780=Справочники!$F$5,Учет!$H2780,0)</f>
        <v>0</v>
      </c>
      <c r="U2780" s="48">
        <f>IF(Учет!$O2780=Справочники!$F$6,Учет!$H2780,0)</f>
        <v>0</v>
      </c>
      <c r="V2780" s="43">
        <f>V2779+Учет!Q2780-Q2780</f>
        <v>-488978.92000000004</v>
      </c>
      <c r="W2780" s="43">
        <f>W2779+Учет!R2780-R2780</f>
        <v>336855</v>
      </c>
      <c r="X2780" s="43">
        <f>X2779+Учет!S2780-S2780</f>
        <v>500</v>
      </c>
      <c r="Y2780" s="43">
        <f>Y2779+Учет!T2780-T2780</f>
        <v>1150</v>
      </c>
      <c r="Z2780" s="43">
        <f>Z2779+Учет!U2780-U2780</f>
        <v>500000</v>
      </c>
      <c r="AA2780" s="45">
        <f>Учет!X2780</f>
        <v>500</v>
      </c>
    </row>
    <row r="2781" spans="1:27" ht="15" customHeight="1" x14ac:dyDescent="0.25">
      <c r="A2781" s="1"/>
      <c r="B2781" s="17"/>
      <c r="C2781" s="17"/>
      <c r="D2781" s="17"/>
      <c r="E2781" s="17"/>
      <c r="F2781" s="17"/>
      <c r="G2781" s="4">
        <f t="shared" si="126"/>
        <v>0</v>
      </c>
      <c r="H2781" s="17"/>
      <c r="I2781" s="4">
        <f t="shared" si="128"/>
        <v>349526.07999999996</v>
      </c>
      <c r="J2781" s="32" t="str">
        <f t="shared" si="127"/>
        <v/>
      </c>
      <c r="K2781" s="72"/>
      <c r="L2781" s="72"/>
      <c r="M2781" s="2"/>
      <c r="N2781" s="5"/>
      <c r="O2781" s="3"/>
      <c r="P2781" s="6"/>
      <c r="Q2781" s="48">
        <f>IF(Учет!$O2781=Справочники!$F$2,Учет!$H2781,0)</f>
        <v>0</v>
      </c>
      <c r="R2781" s="48">
        <f>IF(Учет!$O2781=Справочники!$F$3,Учет!$H2781,0)</f>
        <v>0</v>
      </c>
      <c r="S2781" s="48">
        <f>IF(Учет!$O2781=Справочники!$F$4,Учет!$H2781,0)</f>
        <v>0</v>
      </c>
      <c r="T2781" s="48">
        <f>IF(Учет!$O2781=Справочники!$F$5,Учет!$H2781,0)</f>
        <v>0</v>
      </c>
      <c r="U2781" s="48">
        <f>IF(Учет!$O2781=Справочники!$F$6,Учет!$H2781,0)</f>
        <v>0</v>
      </c>
      <c r="V2781" s="43">
        <f>V2780+Учет!Q2781-Q2781</f>
        <v>-488978.92000000004</v>
      </c>
      <c r="W2781" s="43">
        <f>W2780+Учет!R2781-R2781</f>
        <v>336855</v>
      </c>
      <c r="X2781" s="43">
        <f>X2780+Учет!S2781-S2781</f>
        <v>500</v>
      </c>
      <c r="Y2781" s="43">
        <f>Y2780+Учет!T2781-T2781</f>
        <v>1150</v>
      </c>
      <c r="Z2781" s="43">
        <f>Z2780+Учет!U2781-U2781</f>
        <v>500000</v>
      </c>
      <c r="AA2781" s="45">
        <f>Учет!X2781</f>
        <v>500</v>
      </c>
    </row>
    <row r="2782" spans="1:27" ht="15" customHeight="1" x14ac:dyDescent="0.25">
      <c r="A2782" s="1"/>
      <c r="B2782" s="17"/>
      <c r="C2782" s="17"/>
      <c r="D2782" s="17"/>
      <c r="E2782" s="17"/>
      <c r="F2782" s="17"/>
      <c r="G2782" s="4">
        <f t="shared" si="126"/>
        <v>0</v>
      </c>
      <c r="H2782" s="17"/>
      <c r="I2782" s="4">
        <f t="shared" si="128"/>
        <v>349526.07999999996</v>
      </c>
      <c r="J2782" s="32" t="str">
        <f t="shared" si="127"/>
        <v/>
      </c>
      <c r="K2782" s="72"/>
      <c r="L2782" s="72"/>
      <c r="M2782" s="2"/>
      <c r="N2782" s="5"/>
      <c r="O2782" s="3"/>
      <c r="P2782" s="6"/>
      <c r="Q2782" s="48">
        <f>IF(Учет!$O2782=Справочники!$F$2,Учет!$H2782,0)</f>
        <v>0</v>
      </c>
      <c r="R2782" s="48">
        <f>IF(Учет!$O2782=Справочники!$F$3,Учет!$H2782,0)</f>
        <v>0</v>
      </c>
      <c r="S2782" s="48">
        <f>IF(Учет!$O2782=Справочники!$F$4,Учет!$H2782,0)</f>
        <v>0</v>
      </c>
      <c r="T2782" s="48">
        <f>IF(Учет!$O2782=Справочники!$F$5,Учет!$H2782,0)</f>
        <v>0</v>
      </c>
      <c r="U2782" s="48">
        <f>IF(Учет!$O2782=Справочники!$F$6,Учет!$H2782,0)</f>
        <v>0</v>
      </c>
      <c r="V2782" s="43">
        <f>V2781+Учет!Q2782-Q2782</f>
        <v>-488978.92000000004</v>
      </c>
      <c r="W2782" s="43">
        <f>W2781+Учет!R2782-R2782</f>
        <v>336855</v>
      </c>
      <c r="X2782" s="43">
        <f>X2781+Учет!S2782-S2782</f>
        <v>500</v>
      </c>
      <c r="Y2782" s="43">
        <f>Y2781+Учет!T2782-T2782</f>
        <v>1150</v>
      </c>
      <c r="Z2782" s="43">
        <f>Z2781+Учет!U2782-U2782</f>
        <v>500000</v>
      </c>
      <c r="AA2782" s="45">
        <f>Учет!X2782</f>
        <v>500</v>
      </c>
    </row>
    <row r="2783" spans="1:27" ht="15" customHeight="1" x14ac:dyDescent="0.25">
      <c r="A2783" s="1"/>
      <c r="B2783" s="17"/>
      <c r="C2783" s="17"/>
      <c r="D2783" s="17"/>
      <c r="E2783" s="17"/>
      <c r="F2783" s="17"/>
      <c r="G2783" s="4">
        <f t="shared" si="126"/>
        <v>0</v>
      </c>
      <c r="H2783" s="17"/>
      <c r="I2783" s="4">
        <f t="shared" si="128"/>
        <v>349526.07999999996</v>
      </c>
      <c r="J2783" s="32" t="str">
        <f t="shared" si="127"/>
        <v/>
      </c>
      <c r="K2783" s="72"/>
      <c r="L2783" s="72"/>
      <c r="M2783" s="2"/>
      <c r="N2783" s="5"/>
      <c r="O2783" s="3"/>
      <c r="P2783" s="6"/>
      <c r="Q2783" s="48">
        <f>IF(Учет!$O2783=Справочники!$F$2,Учет!$H2783,0)</f>
        <v>0</v>
      </c>
      <c r="R2783" s="48">
        <f>IF(Учет!$O2783=Справочники!$F$3,Учет!$H2783,0)</f>
        <v>0</v>
      </c>
      <c r="S2783" s="48">
        <f>IF(Учет!$O2783=Справочники!$F$4,Учет!$H2783,0)</f>
        <v>0</v>
      </c>
      <c r="T2783" s="48">
        <f>IF(Учет!$O2783=Справочники!$F$5,Учет!$H2783,0)</f>
        <v>0</v>
      </c>
      <c r="U2783" s="48">
        <f>IF(Учет!$O2783=Справочники!$F$6,Учет!$H2783,0)</f>
        <v>0</v>
      </c>
      <c r="V2783" s="43">
        <f>V2782+Учет!Q2783-Q2783</f>
        <v>-488978.92000000004</v>
      </c>
      <c r="W2783" s="43">
        <f>W2782+Учет!R2783-R2783</f>
        <v>336855</v>
      </c>
      <c r="X2783" s="43">
        <f>X2782+Учет!S2783-S2783</f>
        <v>500</v>
      </c>
      <c r="Y2783" s="43">
        <f>Y2782+Учет!T2783-T2783</f>
        <v>1150</v>
      </c>
      <c r="Z2783" s="43">
        <f>Z2782+Учет!U2783-U2783</f>
        <v>500000</v>
      </c>
      <c r="AA2783" s="45">
        <f>Учет!X2783</f>
        <v>500</v>
      </c>
    </row>
    <row r="2784" spans="1:27" ht="15" customHeight="1" x14ac:dyDescent="0.25">
      <c r="A2784" s="1"/>
      <c r="B2784" s="17"/>
      <c r="C2784" s="17"/>
      <c r="D2784" s="17"/>
      <c r="E2784" s="17"/>
      <c r="F2784" s="17"/>
      <c r="G2784" s="4">
        <f t="shared" si="126"/>
        <v>0</v>
      </c>
      <c r="H2784" s="17"/>
      <c r="I2784" s="4">
        <f t="shared" si="128"/>
        <v>349526.07999999996</v>
      </c>
      <c r="J2784" s="32" t="str">
        <f t="shared" si="127"/>
        <v/>
      </c>
      <c r="K2784" s="72"/>
      <c r="L2784" s="72"/>
      <c r="M2784" s="2"/>
      <c r="N2784" s="5"/>
      <c r="O2784" s="3"/>
      <c r="P2784" s="6"/>
      <c r="Q2784" s="48">
        <f>IF(Учет!$O2784=Справочники!$F$2,Учет!$H2784,0)</f>
        <v>0</v>
      </c>
      <c r="R2784" s="48">
        <f>IF(Учет!$O2784=Справочники!$F$3,Учет!$H2784,0)</f>
        <v>0</v>
      </c>
      <c r="S2784" s="48">
        <f>IF(Учет!$O2784=Справочники!$F$4,Учет!$H2784,0)</f>
        <v>0</v>
      </c>
      <c r="T2784" s="48">
        <f>IF(Учет!$O2784=Справочники!$F$5,Учет!$H2784,0)</f>
        <v>0</v>
      </c>
      <c r="U2784" s="48">
        <f>IF(Учет!$O2784=Справочники!$F$6,Учет!$H2784,0)</f>
        <v>0</v>
      </c>
      <c r="V2784" s="43">
        <f>V2783+Учет!Q2784-Q2784</f>
        <v>-488978.92000000004</v>
      </c>
      <c r="W2784" s="43">
        <f>W2783+Учет!R2784-R2784</f>
        <v>336855</v>
      </c>
      <c r="X2784" s="43">
        <f>X2783+Учет!S2784-S2784</f>
        <v>500</v>
      </c>
      <c r="Y2784" s="43">
        <f>Y2783+Учет!T2784-T2784</f>
        <v>1150</v>
      </c>
      <c r="Z2784" s="43">
        <f>Z2783+Учет!U2784-U2784</f>
        <v>500000</v>
      </c>
      <c r="AA2784" s="45">
        <f>Учет!X2784</f>
        <v>500</v>
      </c>
    </row>
    <row r="2785" spans="1:27" ht="15" customHeight="1" x14ac:dyDescent="0.25">
      <c r="A2785" s="1"/>
      <c r="B2785" s="17"/>
      <c r="C2785" s="17"/>
      <c r="D2785" s="17"/>
      <c r="E2785" s="17"/>
      <c r="F2785" s="17"/>
      <c r="G2785" s="4">
        <f t="shared" si="126"/>
        <v>0</v>
      </c>
      <c r="H2785" s="17"/>
      <c r="I2785" s="4">
        <f t="shared" si="128"/>
        <v>349526.07999999996</v>
      </c>
      <c r="J2785" s="32" t="str">
        <f t="shared" si="127"/>
        <v/>
      </c>
      <c r="K2785" s="72"/>
      <c r="L2785" s="72"/>
      <c r="M2785" s="2"/>
      <c r="N2785" s="5"/>
      <c r="O2785" s="3"/>
      <c r="P2785" s="6"/>
      <c r="Q2785" s="48">
        <f>IF(Учет!$O2785=Справочники!$F$2,Учет!$H2785,0)</f>
        <v>0</v>
      </c>
      <c r="R2785" s="48">
        <f>IF(Учет!$O2785=Справочники!$F$3,Учет!$H2785,0)</f>
        <v>0</v>
      </c>
      <c r="S2785" s="48">
        <f>IF(Учет!$O2785=Справочники!$F$4,Учет!$H2785,0)</f>
        <v>0</v>
      </c>
      <c r="T2785" s="48">
        <f>IF(Учет!$O2785=Справочники!$F$5,Учет!$H2785,0)</f>
        <v>0</v>
      </c>
      <c r="U2785" s="48">
        <f>IF(Учет!$O2785=Справочники!$F$6,Учет!$H2785,0)</f>
        <v>0</v>
      </c>
      <c r="V2785" s="43">
        <f>V2784+Учет!Q2785-Q2785</f>
        <v>-488978.92000000004</v>
      </c>
      <c r="W2785" s="43">
        <f>W2784+Учет!R2785-R2785</f>
        <v>336855</v>
      </c>
      <c r="X2785" s="43">
        <f>X2784+Учет!S2785-S2785</f>
        <v>500</v>
      </c>
      <c r="Y2785" s="43">
        <f>Y2784+Учет!T2785-T2785</f>
        <v>1150</v>
      </c>
      <c r="Z2785" s="43">
        <f>Z2784+Учет!U2785-U2785</f>
        <v>500000</v>
      </c>
      <c r="AA2785" s="45">
        <f>Учет!X2785</f>
        <v>500</v>
      </c>
    </row>
    <row r="2786" spans="1:27" ht="15" customHeight="1" x14ac:dyDescent="0.25">
      <c r="A2786" s="1"/>
      <c r="B2786" s="17"/>
      <c r="C2786" s="17"/>
      <c r="D2786" s="17"/>
      <c r="E2786" s="17"/>
      <c r="F2786" s="17"/>
      <c r="G2786" s="4">
        <f t="shared" si="126"/>
        <v>0</v>
      </c>
      <c r="H2786" s="17"/>
      <c r="I2786" s="4">
        <f t="shared" si="128"/>
        <v>349526.07999999996</v>
      </c>
      <c r="J2786" s="32" t="str">
        <f t="shared" si="127"/>
        <v/>
      </c>
      <c r="K2786" s="72"/>
      <c r="L2786" s="72"/>
      <c r="M2786" s="2"/>
      <c r="N2786" s="5"/>
      <c r="O2786" s="3"/>
      <c r="P2786" s="6"/>
      <c r="Q2786" s="48">
        <f>IF(Учет!$O2786=Справочники!$F$2,Учет!$H2786,0)</f>
        <v>0</v>
      </c>
      <c r="R2786" s="48">
        <f>IF(Учет!$O2786=Справочники!$F$3,Учет!$H2786,0)</f>
        <v>0</v>
      </c>
      <c r="S2786" s="48">
        <f>IF(Учет!$O2786=Справочники!$F$4,Учет!$H2786,0)</f>
        <v>0</v>
      </c>
      <c r="T2786" s="48">
        <f>IF(Учет!$O2786=Справочники!$F$5,Учет!$H2786,0)</f>
        <v>0</v>
      </c>
      <c r="U2786" s="48">
        <f>IF(Учет!$O2786=Справочники!$F$6,Учет!$H2786,0)</f>
        <v>0</v>
      </c>
      <c r="V2786" s="43">
        <f>V2785+Учет!Q2786-Q2786</f>
        <v>-488978.92000000004</v>
      </c>
      <c r="W2786" s="43">
        <f>W2785+Учет!R2786-R2786</f>
        <v>336855</v>
      </c>
      <c r="X2786" s="43">
        <f>X2785+Учет!S2786-S2786</f>
        <v>500</v>
      </c>
      <c r="Y2786" s="43">
        <f>Y2785+Учет!T2786-T2786</f>
        <v>1150</v>
      </c>
      <c r="Z2786" s="43">
        <f>Z2785+Учет!U2786-U2786</f>
        <v>500000</v>
      </c>
      <c r="AA2786" s="45">
        <f>Учет!X2786</f>
        <v>500</v>
      </c>
    </row>
    <row r="2787" spans="1:27" ht="15" customHeight="1" x14ac:dyDescent="0.25">
      <c r="A2787" s="1"/>
      <c r="B2787" s="17"/>
      <c r="C2787" s="17"/>
      <c r="D2787" s="17"/>
      <c r="E2787" s="17"/>
      <c r="F2787" s="17"/>
      <c r="G2787" s="4">
        <f t="shared" si="126"/>
        <v>0</v>
      </c>
      <c r="H2787" s="17"/>
      <c r="I2787" s="4">
        <f t="shared" si="128"/>
        <v>349526.07999999996</v>
      </c>
      <c r="J2787" s="32" t="str">
        <f t="shared" si="127"/>
        <v/>
      </c>
      <c r="K2787" s="72"/>
      <c r="L2787" s="72"/>
      <c r="M2787" s="2"/>
      <c r="N2787" s="5"/>
      <c r="O2787" s="3"/>
      <c r="P2787" s="6"/>
      <c r="Q2787" s="48">
        <f>IF(Учет!$O2787=Справочники!$F$2,Учет!$H2787,0)</f>
        <v>0</v>
      </c>
      <c r="R2787" s="48">
        <f>IF(Учет!$O2787=Справочники!$F$3,Учет!$H2787,0)</f>
        <v>0</v>
      </c>
      <c r="S2787" s="48">
        <f>IF(Учет!$O2787=Справочники!$F$4,Учет!$H2787,0)</f>
        <v>0</v>
      </c>
      <c r="T2787" s="48">
        <f>IF(Учет!$O2787=Справочники!$F$5,Учет!$H2787,0)</f>
        <v>0</v>
      </c>
      <c r="U2787" s="48">
        <f>IF(Учет!$O2787=Справочники!$F$6,Учет!$H2787,0)</f>
        <v>0</v>
      </c>
      <c r="V2787" s="43">
        <f>V2786+Учет!Q2787-Q2787</f>
        <v>-488978.92000000004</v>
      </c>
      <c r="W2787" s="43">
        <f>W2786+Учет!R2787-R2787</f>
        <v>336855</v>
      </c>
      <c r="X2787" s="43">
        <f>X2786+Учет!S2787-S2787</f>
        <v>500</v>
      </c>
      <c r="Y2787" s="43">
        <f>Y2786+Учет!T2787-T2787</f>
        <v>1150</v>
      </c>
      <c r="Z2787" s="43">
        <f>Z2786+Учет!U2787-U2787</f>
        <v>500000</v>
      </c>
      <c r="AA2787" s="45">
        <f>Учет!X2787</f>
        <v>500</v>
      </c>
    </row>
    <row r="2788" spans="1:27" ht="15" customHeight="1" x14ac:dyDescent="0.25">
      <c r="A2788" s="1"/>
      <c r="B2788" s="17"/>
      <c r="C2788" s="17"/>
      <c r="D2788" s="17"/>
      <c r="E2788" s="17"/>
      <c r="F2788" s="17"/>
      <c r="G2788" s="4">
        <f t="shared" si="126"/>
        <v>0</v>
      </c>
      <c r="H2788" s="17"/>
      <c r="I2788" s="4">
        <f t="shared" si="128"/>
        <v>349526.07999999996</v>
      </c>
      <c r="J2788" s="32" t="str">
        <f t="shared" si="127"/>
        <v/>
      </c>
      <c r="K2788" s="72"/>
      <c r="L2788" s="72"/>
      <c r="M2788" s="2"/>
      <c r="N2788" s="5"/>
      <c r="O2788" s="3"/>
      <c r="P2788" s="6"/>
      <c r="Q2788" s="48">
        <f>IF(Учет!$O2788=Справочники!$F$2,Учет!$H2788,0)</f>
        <v>0</v>
      </c>
      <c r="R2788" s="48">
        <f>IF(Учет!$O2788=Справочники!$F$3,Учет!$H2788,0)</f>
        <v>0</v>
      </c>
      <c r="S2788" s="48">
        <f>IF(Учет!$O2788=Справочники!$F$4,Учет!$H2788,0)</f>
        <v>0</v>
      </c>
      <c r="T2788" s="48">
        <f>IF(Учет!$O2788=Справочники!$F$5,Учет!$H2788,0)</f>
        <v>0</v>
      </c>
      <c r="U2788" s="48">
        <f>IF(Учет!$O2788=Справочники!$F$6,Учет!$H2788,0)</f>
        <v>0</v>
      </c>
      <c r="V2788" s="43">
        <f>V2787+Учет!Q2788-Q2788</f>
        <v>-488978.92000000004</v>
      </c>
      <c r="W2788" s="43">
        <f>W2787+Учет!R2788-R2788</f>
        <v>336855</v>
      </c>
      <c r="X2788" s="43">
        <f>X2787+Учет!S2788-S2788</f>
        <v>500</v>
      </c>
      <c r="Y2788" s="43">
        <f>Y2787+Учет!T2788-T2788</f>
        <v>1150</v>
      </c>
      <c r="Z2788" s="43">
        <f>Z2787+Учет!U2788-U2788</f>
        <v>500000</v>
      </c>
      <c r="AA2788" s="45">
        <f>Учет!X2788</f>
        <v>500</v>
      </c>
    </row>
    <row r="2789" spans="1:27" ht="15" customHeight="1" x14ac:dyDescent="0.25">
      <c r="A2789" s="1"/>
      <c r="B2789" s="17"/>
      <c r="C2789" s="17"/>
      <c r="D2789" s="17"/>
      <c r="E2789" s="17"/>
      <c r="F2789" s="17"/>
      <c r="G2789" s="4">
        <f t="shared" si="126"/>
        <v>0</v>
      </c>
      <c r="H2789" s="17"/>
      <c r="I2789" s="4">
        <f t="shared" si="128"/>
        <v>349526.07999999996</v>
      </c>
      <c r="J2789" s="32" t="str">
        <f t="shared" si="127"/>
        <v/>
      </c>
      <c r="K2789" s="72"/>
      <c r="L2789" s="72"/>
      <c r="M2789" s="2"/>
      <c r="N2789" s="5"/>
      <c r="O2789" s="3"/>
      <c r="P2789" s="6"/>
      <c r="Q2789" s="48">
        <f>IF(Учет!$O2789=Справочники!$F$2,Учет!$H2789,0)</f>
        <v>0</v>
      </c>
      <c r="R2789" s="48">
        <f>IF(Учет!$O2789=Справочники!$F$3,Учет!$H2789,0)</f>
        <v>0</v>
      </c>
      <c r="S2789" s="48">
        <f>IF(Учет!$O2789=Справочники!$F$4,Учет!$H2789,0)</f>
        <v>0</v>
      </c>
      <c r="T2789" s="48">
        <f>IF(Учет!$O2789=Справочники!$F$5,Учет!$H2789,0)</f>
        <v>0</v>
      </c>
      <c r="U2789" s="48">
        <f>IF(Учет!$O2789=Справочники!$F$6,Учет!$H2789,0)</f>
        <v>0</v>
      </c>
      <c r="V2789" s="43">
        <f>V2788+Учет!Q2789-Q2789</f>
        <v>-488978.92000000004</v>
      </c>
      <c r="W2789" s="43">
        <f>W2788+Учет!R2789-R2789</f>
        <v>336855</v>
      </c>
      <c r="X2789" s="43">
        <f>X2788+Учет!S2789-S2789</f>
        <v>500</v>
      </c>
      <c r="Y2789" s="43">
        <f>Y2788+Учет!T2789-T2789</f>
        <v>1150</v>
      </c>
      <c r="Z2789" s="43">
        <f>Z2788+Учет!U2789-U2789</f>
        <v>500000</v>
      </c>
      <c r="AA2789" s="45">
        <f>Учет!X2789</f>
        <v>500</v>
      </c>
    </row>
    <row r="2790" spans="1:27" ht="15" customHeight="1" x14ac:dyDescent="0.25">
      <c r="A2790" s="1"/>
      <c r="B2790" s="17"/>
      <c r="C2790" s="17"/>
      <c r="D2790" s="17"/>
      <c r="E2790" s="17"/>
      <c r="F2790" s="17"/>
      <c r="G2790" s="4">
        <f t="shared" si="126"/>
        <v>0</v>
      </c>
      <c r="H2790" s="17"/>
      <c r="I2790" s="4">
        <f t="shared" si="128"/>
        <v>349526.07999999996</v>
      </c>
      <c r="J2790" s="32" t="str">
        <f t="shared" si="127"/>
        <v/>
      </c>
      <c r="K2790" s="72"/>
      <c r="L2790" s="72"/>
      <c r="M2790" s="2"/>
      <c r="N2790" s="5"/>
      <c r="O2790" s="3"/>
      <c r="P2790" s="6"/>
      <c r="Q2790" s="48">
        <f>IF(Учет!$O2790=Справочники!$F$2,Учет!$H2790,0)</f>
        <v>0</v>
      </c>
      <c r="R2790" s="48">
        <f>IF(Учет!$O2790=Справочники!$F$3,Учет!$H2790,0)</f>
        <v>0</v>
      </c>
      <c r="S2790" s="48">
        <f>IF(Учет!$O2790=Справочники!$F$4,Учет!$H2790,0)</f>
        <v>0</v>
      </c>
      <c r="T2790" s="48">
        <f>IF(Учет!$O2790=Справочники!$F$5,Учет!$H2790,0)</f>
        <v>0</v>
      </c>
      <c r="U2790" s="48">
        <f>IF(Учет!$O2790=Справочники!$F$6,Учет!$H2790,0)</f>
        <v>0</v>
      </c>
      <c r="V2790" s="43">
        <f>V2789+Учет!Q2790-Q2790</f>
        <v>-488978.92000000004</v>
      </c>
      <c r="W2790" s="43">
        <f>W2789+Учет!R2790-R2790</f>
        <v>336855</v>
      </c>
      <c r="X2790" s="43">
        <f>X2789+Учет!S2790-S2790</f>
        <v>500</v>
      </c>
      <c r="Y2790" s="43">
        <f>Y2789+Учет!T2790-T2790</f>
        <v>1150</v>
      </c>
      <c r="Z2790" s="43">
        <f>Z2789+Учет!U2790-U2790</f>
        <v>500000</v>
      </c>
      <c r="AA2790" s="45">
        <f>Учет!X2790</f>
        <v>500</v>
      </c>
    </row>
    <row r="2791" spans="1:27" ht="15" customHeight="1" x14ac:dyDescent="0.25">
      <c r="A2791" s="1"/>
      <c r="B2791" s="17"/>
      <c r="C2791" s="17"/>
      <c r="D2791" s="17"/>
      <c r="E2791" s="17"/>
      <c r="F2791" s="17"/>
      <c r="G2791" s="4">
        <f t="shared" si="126"/>
        <v>0</v>
      </c>
      <c r="H2791" s="17"/>
      <c r="I2791" s="4">
        <f t="shared" si="128"/>
        <v>349526.07999999996</v>
      </c>
      <c r="J2791" s="32" t="str">
        <f t="shared" si="127"/>
        <v/>
      </c>
      <c r="K2791" s="72"/>
      <c r="L2791" s="72"/>
      <c r="M2791" s="2"/>
      <c r="N2791" s="5"/>
      <c r="O2791" s="3"/>
      <c r="P2791" s="6"/>
      <c r="Q2791" s="48">
        <f>IF(Учет!$O2791=Справочники!$F$2,Учет!$H2791,0)</f>
        <v>0</v>
      </c>
      <c r="R2791" s="48">
        <f>IF(Учет!$O2791=Справочники!$F$3,Учет!$H2791,0)</f>
        <v>0</v>
      </c>
      <c r="S2791" s="48">
        <f>IF(Учет!$O2791=Справочники!$F$4,Учет!$H2791,0)</f>
        <v>0</v>
      </c>
      <c r="T2791" s="48">
        <f>IF(Учет!$O2791=Справочники!$F$5,Учет!$H2791,0)</f>
        <v>0</v>
      </c>
      <c r="U2791" s="48">
        <f>IF(Учет!$O2791=Справочники!$F$6,Учет!$H2791,0)</f>
        <v>0</v>
      </c>
      <c r="V2791" s="43">
        <f>V2790+Учет!Q2791-Q2791</f>
        <v>-488978.92000000004</v>
      </c>
      <c r="W2791" s="43">
        <f>W2790+Учет!R2791-R2791</f>
        <v>336855</v>
      </c>
      <c r="X2791" s="43">
        <f>X2790+Учет!S2791-S2791</f>
        <v>500</v>
      </c>
      <c r="Y2791" s="43">
        <f>Y2790+Учет!T2791-T2791</f>
        <v>1150</v>
      </c>
      <c r="Z2791" s="43">
        <f>Z2790+Учет!U2791-U2791</f>
        <v>500000</v>
      </c>
      <c r="AA2791" s="45">
        <f>Учет!X2791</f>
        <v>500</v>
      </c>
    </row>
    <row r="2792" spans="1:27" ht="15" customHeight="1" x14ac:dyDescent="0.25">
      <c r="A2792" s="1"/>
      <c r="B2792" s="17"/>
      <c r="C2792" s="17"/>
      <c r="D2792" s="17"/>
      <c r="E2792" s="17"/>
      <c r="F2792" s="17"/>
      <c r="G2792" s="4">
        <f t="shared" si="126"/>
        <v>0</v>
      </c>
      <c r="H2792" s="17"/>
      <c r="I2792" s="4">
        <f t="shared" si="128"/>
        <v>349526.07999999996</v>
      </c>
      <c r="J2792" s="32" t="str">
        <f t="shared" si="127"/>
        <v/>
      </c>
      <c r="K2792" s="72"/>
      <c r="L2792" s="72"/>
      <c r="M2792" s="2"/>
      <c r="N2792" s="5"/>
      <c r="O2792" s="3"/>
      <c r="P2792" s="6"/>
      <c r="Q2792" s="48">
        <f>IF(Учет!$O2792=Справочники!$F$2,Учет!$H2792,0)</f>
        <v>0</v>
      </c>
      <c r="R2792" s="48">
        <f>IF(Учет!$O2792=Справочники!$F$3,Учет!$H2792,0)</f>
        <v>0</v>
      </c>
      <c r="S2792" s="48">
        <f>IF(Учет!$O2792=Справочники!$F$4,Учет!$H2792,0)</f>
        <v>0</v>
      </c>
      <c r="T2792" s="48">
        <f>IF(Учет!$O2792=Справочники!$F$5,Учет!$H2792,0)</f>
        <v>0</v>
      </c>
      <c r="U2792" s="48">
        <f>IF(Учет!$O2792=Справочники!$F$6,Учет!$H2792,0)</f>
        <v>0</v>
      </c>
      <c r="V2792" s="43">
        <f>V2791+Учет!Q2792-Q2792</f>
        <v>-488978.92000000004</v>
      </c>
      <c r="W2792" s="43">
        <f>W2791+Учет!R2792-R2792</f>
        <v>336855</v>
      </c>
      <c r="X2792" s="43">
        <f>X2791+Учет!S2792-S2792</f>
        <v>500</v>
      </c>
      <c r="Y2792" s="43">
        <f>Y2791+Учет!T2792-T2792</f>
        <v>1150</v>
      </c>
      <c r="Z2792" s="43">
        <f>Z2791+Учет!U2792-U2792</f>
        <v>500000</v>
      </c>
      <c r="AA2792" s="45">
        <f>Учет!X2792</f>
        <v>500</v>
      </c>
    </row>
    <row r="2793" spans="1:27" ht="15" customHeight="1" x14ac:dyDescent="0.25">
      <c r="A2793" s="1"/>
      <c r="B2793" s="17"/>
      <c r="C2793" s="17"/>
      <c r="D2793" s="17"/>
      <c r="E2793" s="17"/>
      <c r="F2793" s="17"/>
      <c r="G2793" s="4">
        <f t="shared" si="126"/>
        <v>0</v>
      </c>
      <c r="H2793" s="17"/>
      <c r="I2793" s="4">
        <f t="shared" si="128"/>
        <v>349526.07999999996</v>
      </c>
      <c r="J2793" s="32" t="str">
        <f t="shared" si="127"/>
        <v/>
      </c>
      <c r="K2793" s="72"/>
      <c r="L2793" s="72"/>
      <c r="M2793" s="2"/>
      <c r="N2793" s="5"/>
      <c r="O2793" s="3"/>
      <c r="P2793" s="6"/>
      <c r="Q2793" s="48">
        <f>IF(Учет!$O2793=Справочники!$F$2,Учет!$H2793,0)</f>
        <v>0</v>
      </c>
      <c r="R2793" s="48">
        <f>IF(Учет!$O2793=Справочники!$F$3,Учет!$H2793,0)</f>
        <v>0</v>
      </c>
      <c r="S2793" s="48">
        <f>IF(Учет!$O2793=Справочники!$F$4,Учет!$H2793,0)</f>
        <v>0</v>
      </c>
      <c r="T2793" s="48">
        <f>IF(Учет!$O2793=Справочники!$F$5,Учет!$H2793,0)</f>
        <v>0</v>
      </c>
      <c r="U2793" s="48">
        <f>IF(Учет!$O2793=Справочники!$F$6,Учет!$H2793,0)</f>
        <v>0</v>
      </c>
      <c r="V2793" s="43">
        <f>V2792+Учет!Q2793-Q2793</f>
        <v>-488978.92000000004</v>
      </c>
      <c r="W2793" s="43">
        <f>W2792+Учет!R2793-R2793</f>
        <v>336855</v>
      </c>
      <c r="X2793" s="43">
        <f>X2792+Учет!S2793-S2793</f>
        <v>500</v>
      </c>
      <c r="Y2793" s="43">
        <f>Y2792+Учет!T2793-T2793</f>
        <v>1150</v>
      </c>
      <c r="Z2793" s="43">
        <f>Z2792+Учет!U2793-U2793</f>
        <v>500000</v>
      </c>
      <c r="AA2793" s="45">
        <f>Учет!X2793</f>
        <v>500</v>
      </c>
    </row>
    <row r="2794" spans="1:27" ht="15" customHeight="1" x14ac:dyDescent="0.25">
      <c r="A2794" s="1"/>
      <c r="B2794" s="17"/>
      <c r="C2794" s="17"/>
      <c r="D2794" s="17"/>
      <c r="E2794" s="17"/>
      <c r="F2794" s="17"/>
      <c r="G2794" s="4">
        <f t="shared" si="126"/>
        <v>0</v>
      </c>
      <c r="H2794" s="17"/>
      <c r="I2794" s="4">
        <f t="shared" si="128"/>
        <v>349526.07999999996</v>
      </c>
      <c r="J2794" s="32" t="str">
        <f t="shared" si="127"/>
        <v/>
      </c>
      <c r="K2794" s="72"/>
      <c r="L2794" s="72"/>
      <c r="M2794" s="2"/>
      <c r="N2794" s="5"/>
      <c r="O2794" s="3"/>
      <c r="P2794" s="6"/>
      <c r="Q2794" s="48">
        <f>IF(Учет!$O2794=Справочники!$F$2,Учет!$H2794,0)</f>
        <v>0</v>
      </c>
      <c r="R2794" s="48">
        <f>IF(Учет!$O2794=Справочники!$F$3,Учет!$H2794,0)</f>
        <v>0</v>
      </c>
      <c r="S2794" s="48">
        <f>IF(Учет!$O2794=Справочники!$F$4,Учет!$H2794,0)</f>
        <v>0</v>
      </c>
      <c r="T2794" s="48">
        <f>IF(Учет!$O2794=Справочники!$F$5,Учет!$H2794,0)</f>
        <v>0</v>
      </c>
      <c r="U2794" s="48">
        <f>IF(Учет!$O2794=Справочники!$F$6,Учет!$H2794,0)</f>
        <v>0</v>
      </c>
      <c r="V2794" s="43">
        <f>V2793+Учет!Q2794-Q2794</f>
        <v>-488978.92000000004</v>
      </c>
      <c r="W2794" s="43">
        <f>W2793+Учет!R2794-R2794</f>
        <v>336855</v>
      </c>
      <c r="X2794" s="43">
        <f>X2793+Учет!S2794-S2794</f>
        <v>500</v>
      </c>
      <c r="Y2794" s="43">
        <f>Y2793+Учет!T2794-T2794</f>
        <v>1150</v>
      </c>
      <c r="Z2794" s="43">
        <f>Z2793+Учет!U2794-U2794</f>
        <v>500000</v>
      </c>
      <c r="AA2794" s="45">
        <f>Учет!X2794</f>
        <v>500</v>
      </c>
    </row>
    <row r="2795" spans="1:27" ht="15" customHeight="1" x14ac:dyDescent="0.25">
      <c r="A2795" s="1"/>
      <c r="B2795" s="17"/>
      <c r="C2795" s="17"/>
      <c r="D2795" s="17"/>
      <c r="E2795" s="17"/>
      <c r="F2795" s="17"/>
      <c r="G2795" s="4">
        <f t="shared" si="126"/>
        <v>0</v>
      </c>
      <c r="H2795" s="17"/>
      <c r="I2795" s="4">
        <f t="shared" si="128"/>
        <v>349526.07999999996</v>
      </c>
      <c r="J2795" s="32" t="str">
        <f t="shared" si="127"/>
        <v/>
      </c>
      <c r="K2795" s="72"/>
      <c r="L2795" s="72"/>
      <c r="M2795" s="2"/>
      <c r="N2795" s="5"/>
      <c r="O2795" s="3"/>
      <c r="P2795" s="6"/>
      <c r="Q2795" s="48">
        <f>IF(Учет!$O2795=Справочники!$F$2,Учет!$H2795,0)</f>
        <v>0</v>
      </c>
      <c r="R2795" s="48">
        <f>IF(Учет!$O2795=Справочники!$F$3,Учет!$H2795,0)</f>
        <v>0</v>
      </c>
      <c r="S2795" s="48">
        <f>IF(Учет!$O2795=Справочники!$F$4,Учет!$H2795,0)</f>
        <v>0</v>
      </c>
      <c r="T2795" s="48">
        <f>IF(Учет!$O2795=Справочники!$F$5,Учет!$H2795,0)</f>
        <v>0</v>
      </c>
      <c r="U2795" s="48">
        <f>IF(Учет!$O2795=Справочники!$F$6,Учет!$H2795,0)</f>
        <v>0</v>
      </c>
      <c r="V2795" s="43">
        <f>V2794+Учет!Q2795-Q2795</f>
        <v>-488978.92000000004</v>
      </c>
      <c r="W2795" s="43">
        <f>W2794+Учет!R2795-R2795</f>
        <v>336855</v>
      </c>
      <c r="X2795" s="43">
        <f>X2794+Учет!S2795-S2795</f>
        <v>500</v>
      </c>
      <c r="Y2795" s="43">
        <f>Y2794+Учет!T2795-T2795</f>
        <v>1150</v>
      </c>
      <c r="Z2795" s="43">
        <f>Z2794+Учет!U2795-U2795</f>
        <v>500000</v>
      </c>
      <c r="AA2795" s="45">
        <f>Учет!X2795</f>
        <v>500</v>
      </c>
    </row>
    <row r="2796" spans="1:27" ht="15" customHeight="1" x14ac:dyDescent="0.25">
      <c r="A2796" s="1"/>
      <c r="B2796" s="17"/>
      <c r="C2796" s="17"/>
      <c r="D2796" s="17"/>
      <c r="E2796" s="17"/>
      <c r="F2796" s="17"/>
      <c r="G2796" s="4">
        <f t="shared" si="126"/>
        <v>0</v>
      </c>
      <c r="H2796" s="17"/>
      <c r="I2796" s="4">
        <f t="shared" si="128"/>
        <v>349526.07999999996</v>
      </c>
      <c r="J2796" s="32" t="str">
        <f t="shared" si="127"/>
        <v/>
      </c>
      <c r="K2796" s="72"/>
      <c r="L2796" s="72"/>
      <c r="M2796" s="2"/>
      <c r="N2796" s="5"/>
      <c r="O2796" s="3"/>
      <c r="P2796" s="6"/>
      <c r="Q2796" s="48">
        <f>IF(Учет!$O2796=Справочники!$F$2,Учет!$H2796,0)</f>
        <v>0</v>
      </c>
      <c r="R2796" s="48">
        <f>IF(Учет!$O2796=Справочники!$F$3,Учет!$H2796,0)</f>
        <v>0</v>
      </c>
      <c r="S2796" s="48">
        <f>IF(Учет!$O2796=Справочники!$F$4,Учет!$H2796,0)</f>
        <v>0</v>
      </c>
      <c r="T2796" s="48">
        <f>IF(Учет!$O2796=Справочники!$F$5,Учет!$H2796,0)</f>
        <v>0</v>
      </c>
      <c r="U2796" s="48">
        <f>IF(Учет!$O2796=Справочники!$F$6,Учет!$H2796,0)</f>
        <v>0</v>
      </c>
      <c r="V2796" s="43">
        <f>V2795+Учет!Q2796-Q2796</f>
        <v>-488978.92000000004</v>
      </c>
      <c r="W2796" s="43">
        <f>W2795+Учет!R2796-R2796</f>
        <v>336855</v>
      </c>
      <c r="X2796" s="43">
        <f>X2795+Учет!S2796-S2796</f>
        <v>500</v>
      </c>
      <c r="Y2796" s="43">
        <f>Y2795+Учет!T2796-T2796</f>
        <v>1150</v>
      </c>
      <c r="Z2796" s="43">
        <f>Z2795+Учет!U2796-U2796</f>
        <v>500000</v>
      </c>
      <c r="AA2796" s="45">
        <f>Учет!X2796</f>
        <v>500</v>
      </c>
    </row>
    <row r="2797" spans="1:27" ht="15" customHeight="1" x14ac:dyDescent="0.25">
      <c r="A2797" s="1"/>
      <c r="B2797" s="17"/>
      <c r="C2797" s="17"/>
      <c r="D2797" s="17"/>
      <c r="E2797" s="17"/>
      <c r="F2797" s="17"/>
      <c r="G2797" s="4">
        <f t="shared" si="126"/>
        <v>0</v>
      </c>
      <c r="H2797" s="17"/>
      <c r="I2797" s="4">
        <f t="shared" si="128"/>
        <v>349526.07999999996</v>
      </c>
      <c r="J2797" s="32" t="str">
        <f t="shared" si="127"/>
        <v/>
      </c>
      <c r="K2797" s="72"/>
      <c r="L2797" s="72"/>
      <c r="M2797" s="2"/>
      <c r="N2797" s="5"/>
      <c r="O2797" s="3"/>
      <c r="P2797" s="6"/>
      <c r="Q2797" s="48">
        <f>IF(Учет!$O2797=Справочники!$F$2,Учет!$H2797,0)</f>
        <v>0</v>
      </c>
      <c r="R2797" s="48">
        <f>IF(Учет!$O2797=Справочники!$F$3,Учет!$H2797,0)</f>
        <v>0</v>
      </c>
      <c r="S2797" s="48">
        <f>IF(Учет!$O2797=Справочники!$F$4,Учет!$H2797,0)</f>
        <v>0</v>
      </c>
      <c r="T2797" s="48">
        <f>IF(Учет!$O2797=Справочники!$F$5,Учет!$H2797,0)</f>
        <v>0</v>
      </c>
      <c r="U2797" s="48">
        <f>IF(Учет!$O2797=Справочники!$F$6,Учет!$H2797,0)</f>
        <v>0</v>
      </c>
      <c r="V2797" s="43">
        <f>V2796+Учет!Q2797-Q2797</f>
        <v>-488978.92000000004</v>
      </c>
      <c r="W2797" s="43">
        <f>W2796+Учет!R2797-R2797</f>
        <v>336855</v>
      </c>
      <c r="X2797" s="43">
        <f>X2796+Учет!S2797-S2797</f>
        <v>500</v>
      </c>
      <c r="Y2797" s="43">
        <f>Y2796+Учет!T2797-T2797</f>
        <v>1150</v>
      </c>
      <c r="Z2797" s="43">
        <f>Z2796+Учет!U2797-U2797</f>
        <v>500000</v>
      </c>
      <c r="AA2797" s="45">
        <f>Учет!X2797</f>
        <v>500</v>
      </c>
    </row>
    <row r="2798" spans="1:27" ht="15" customHeight="1" x14ac:dyDescent="0.25">
      <c r="A2798" s="1"/>
      <c r="B2798" s="17"/>
      <c r="C2798" s="17"/>
      <c r="D2798" s="17"/>
      <c r="E2798" s="17"/>
      <c r="F2798" s="17"/>
      <c r="G2798" s="4">
        <f t="shared" si="126"/>
        <v>0</v>
      </c>
      <c r="H2798" s="17"/>
      <c r="I2798" s="4">
        <f t="shared" si="128"/>
        <v>349526.07999999996</v>
      </c>
      <c r="J2798" s="32" t="str">
        <f t="shared" si="127"/>
        <v/>
      </c>
      <c r="K2798" s="72"/>
      <c r="L2798" s="72"/>
      <c r="M2798" s="2"/>
      <c r="N2798" s="5"/>
      <c r="O2798" s="3"/>
      <c r="P2798" s="6"/>
      <c r="Q2798" s="48">
        <f>IF(Учет!$O2798=Справочники!$F$2,Учет!$H2798,0)</f>
        <v>0</v>
      </c>
      <c r="R2798" s="48">
        <f>IF(Учет!$O2798=Справочники!$F$3,Учет!$H2798,0)</f>
        <v>0</v>
      </c>
      <c r="S2798" s="48">
        <f>IF(Учет!$O2798=Справочники!$F$4,Учет!$H2798,0)</f>
        <v>0</v>
      </c>
      <c r="T2798" s="48">
        <f>IF(Учет!$O2798=Справочники!$F$5,Учет!$H2798,0)</f>
        <v>0</v>
      </c>
      <c r="U2798" s="48">
        <f>IF(Учет!$O2798=Справочники!$F$6,Учет!$H2798,0)</f>
        <v>0</v>
      </c>
      <c r="V2798" s="43">
        <f>V2797+Учет!Q2798-Q2798</f>
        <v>-488978.92000000004</v>
      </c>
      <c r="W2798" s="43">
        <f>W2797+Учет!R2798-R2798</f>
        <v>336855</v>
      </c>
      <c r="X2798" s="43">
        <f>X2797+Учет!S2798-S2798</f>
        <v>500</v>
      </c>
      <c r="Y2798" s="43">
        <f>Y2797+Учет!T2798-T2798</f>
        <v>1150</v>
      </c>
      <c r="Z2798" s="43">
        <f>Z2797+Учет!U2798-U2798</f>
        <v>500000</v>
      </c>
      <c r="AA2798" s="45">
        <f>Учет!X2798</f>
        <v>500</v>
      </c>
    </row>
    <row r="2799" spans="1:27" ht="15" customHeight="1" x14ac:dyDescent="0.25">
      <c r="A2799" s="1"/>
      <c r="B2799" s="17"/>
      <c r="C2799" s="17"/>
      <c r="D2799" s="17"/>
      <c r="E2799" s="17"/>
      <c r="F2799" s="17"/>
      <c r="G2799" s="4">
        <f t="shared" si="126"/>
        <v>0</v>
      </c>
      <c r="H2799" s="17"/>
      <c r="I2799" s="4">
        <f t="shared" si="128"/>
        <v>349526.07999999996</v>
      </c>
      <c r="J2799" s="32" t="str">
        <f t="shared" si="127"/>
        <v/>
      </c>
      <c r="K2799" s="72"/>
      <c r="L2799" s="72"/>
      <c r="M2799" s="2"/>
      <c r="N2799" s="5"/>
      <c r="O2799" s="3"/>
      <c r="P2799" s="6"/>
      <c r="Q2799" s="48">
        <f>IF(Учет!$O2799=Справочники!$F$2,Учет!$H2799,0)</f>
        <v>0</v>
      </c>
      <c r="R2799" s="48">
        <f>IF(Учет!$O2799=Справочники!$F$3,Учет!$H2799,0)</f>
        <v>0</v>
      </c>
      <c r="S2799" s="48">
        <f>IF(Учет!$O2799=Справочники!$F$4,Учет!$H2799,0)</f>
        <v>0</v>
      </c>
      <c r="T2799" s="48">
        <f>IF(Учет!$O2799=Справочники!$F$5,Учет!$H2799,0)</f>
        <v>0</v>
      </c>
      <c r="U2799" s="48">
        <f>IF(Учет!$O2799=Справочники!$F$6,Учет!$H2799,0)</f>
        <v>0</v>
      </c>
      <c r="V2799" s="43">
        <f>V2798+Учет!Q2799-Q2799</f>
        <v>-488978.92000000004</v>
      </c>
      <c r="W2799" s="43">
        <f>W2798+Учет!R2799-R2799</f>
        <v>336855</v>
      </c>
      <c r="X2799" s="43">
        <f>X2798+Учет!S2799-S2799</f>
        <v>500</v>
      </c>
      <c r="Y2799" s="43">
        <f>Y2798+Учет!T2799-T2799</f>
        <v>1150</v>
      </c>
      <c r="Z2799" s="43">
        <f>Z2798+Учет!U2799-U2799</f>
        <v>500000</v>
      </c>
      <c r="AA2799" s="45">
        <f>Учет!X2799</f>
        <v>500</v>
      </c>
    </row>
    <row r="2800" spans="1:27" ht="15" customHeight="1" x14ac:dyDescent="0.25">
      <c r="A2800" s="1"/>
      <c r="B2800" s="17"/>
      <c r="C2800" s="17"/>
      <c r="D2800" s="17"/>
      <c r="E2800" s="17"/>
      <c r="F2800" s="17"/>
      <c r="G2800" s="4">
        <f t="shared" si="126"/>
        <v>0</v>
      </c>
      <c r="H2800" s="17"/>
      <c r="I2800" s="4">
        <f t="shared" si="128"/>
        <v>349526.07999999996</v>
      </c>
      <c r="J2800" s="32" t="str">
        <f t="shared" si="127"/>
        <v/>
      </c>
      <c r="K2800" s="72"/>
      <c r="L2800" s="72"/>
      <c r="M2800" s="2"/>
      <c r="N2800" s="5"/>
      <c r="O2800" s="3"/>
      <c r="P2800" s="6"/>
      <c r="Q2800" s="48">
        <f>IF(Учет!$O2800=Справочники!$F$2,Учет!$H2800,0)</f>
        <v>0</v>
      </c>
      <c r="R2800" s="48">
        <f>IF(Учет!$O2800=Справочники!$F$3,Учет!$H2800,0)</f>
        <v>0</v>
      </c>
      <c r="S2800" s="48">
        <f>IF(Учет!$O2800=Справочники!$F$4,Учет!$H2800,0)</f>
        <v>0</v>
      </c>
      <c r="T2800" s="48">
        <f>IF(Учет!$O2800=Справочники!$F$5,Учет!$H2800,0)</f>
        <v>0</v>
      </c>
      <c r="U2800" s="48">
        <f>IF(Учет!$O2800=Справочники!$F$6,Учет!$H2800,0)</f>
        <v>0</v>
      </c>
      <c r="V2800" s="43">
        <f>V2799+Учет!Q2800-Q2800</f>
        <v>-488978.92000000004</v>
      </c>
      <c r="W2800" s="43">
        <f>W2799+Учет!R2800-R2800</f>
        <v>336855</v>
      </c>
      <c r="X2800" s="43">
        <f>X2799+Учет!S2800-S2800</f>
        <v>500</v>
      </c>
      <c r="Y2800" s="43">
        <f>Y2799+Учет!T2800-T2800</f>
        <v>1150</v>
      </c>
      <c r="Z2800" s="43">
        <f>Z2799+Учет!U2800-U2800</f>
        <v>500000</v>
      </c>
      <c r="AA2800" s="45">
        <f>Учет!X2800</f>
        <v>500</v>
      </c>
    </row>
    <row r="2801" spans="1:27" ht="15" customHeight="1" x14ac:dyDescent="0.25">
      <c r="A2801" s="1"/>
      <c r="B2801" s="17"/>
      <c r="C2801" s="17"/>
      <c r="D2801" s="17"/>
      <c r="E2801" s="17"/>
      <c r="F2801" s="17"/>
      <c r="G2801" s="4">
        <f t="shared" si="126"/>
        <v>0</v>
      </c>
      <c r="H2801" s="17"/>
      <c r="I2801" s="4">
        <f t="shared" si="128"/>
        <v>349526.07999999996</v>
      </c>
      <c r="J2801" s="32" t="str">
        <f t="shared" si="127"/>
        <v/>
      </c>
      <c r="K2801" s="72"/>
      <c r="L2801" s="72"/>
      <c r="M2801" s="2"/>
      <c r="N2801" s="5"/>
      <c r="O2801" s="3"/>
      <c r="P2801" s="6"/>
      <c r="Q2801" s="48">
        <f>IF(Учет!$O2801=Справочники!$F$2,Учет!$H2801,0)</f>
        <v>0</v>
      </c>
      <c r="R2801" s="48">
        <f>IF(Учет!$O2801=Справочники!$F$3,Учет!$H2801,0)</f>
        <v>0</v>
      </c>
      <c r="S2801" s="48">
        <f>IF(Учет!$O2801=Справочники!$F$4,Учет!$H2801,0)</f>
        <v>0</v>
      </c>
      <c r="T2801" s="48">
        <f>IF(Учет!$O2801=Справочники!$F$5,Учет!$H2801,0)</f>
        <v>0</v>
      </c>
      <c r="U2801" s="48">
        <f>IF(Учет!$O2801=Справочники!$F$6,Учет!$H2801,0)</f>
        <v>0</v>
      </c>
      <c r="V2801" s="43">
        <f>V2800+Учет!Q2801-Q2801</f>
        <v>-488978.92000000004</v>
      </c>
      <c r="W2801" s="43">
        <f>W2800+Учет!R2801-R2801</f>
        <v>336855</v>
      </c>
      <c r="X2801" s="43">
        <f>X2800+Учет!S2801-S2801</f>
        <v>500</v>
      </c>
      <c r="Y2801" s="43">
        <f>Y2800+Учет!T2801-T2801</f>
        <v>1150</v>
      </c>
      <c r="Z2801" s="43">
        <f>Z2800+Учет!U2801-U2801</f>
        <v>500000</v>
      </c>
      <c r="AA2801" s="45">
        <f>Учет!X2801</f>
        <v>500</v>
      </c>
    </row>
    <row r="2802" spans="1:27" ht="15" customHeight="1" x14ac:dyDescent="0.25">
      <c r="A2802" s="1"/>
      <c r="B2802" s="17"/>
      <c r="C2802" s="17"/>
      <c r="D2802" s="17"/>
      <c r="E2802" s="17"/>
      <c r="F2802" s="17"/>
      <c r="G2802" s="4">
        <f t="shared" si="126"/>
        <v>0</v>
      </c>
      <c r="H2802" s="17"/>
      <c r="I2802" s="4">
        <f t="shared" si="128"/>
        <v>349526.07999999996</v>
      </c>
      <c r="J2802" s="32" t="str">
        <f t="shared" si="127"/>
        <v/>
      </c>
      <c r="K2802" s="72"/>
      <c r="L2802" s="72"/>
      <c r="M2802" s="2"/>
      <c r="N2802" s="5"/>
      <c r="O2802" s="3"/>
      <c r="P2802" s="6"/>
      <c r="Q2802" s="48">
        <f>IF(Учет!$O2802=Справочники!$F$2,Учет!$H2802,0)</f>
        <v>0</v>
      </c>
      <c r="R2802" s="48">
        <f>IF(Учет!$O2802=Справочники!$F$3,Учет!$H2802,0)</f>
        <v>0</v>
      </c>
      <c r="S2802" s="48">
        <f>IF(Учет!$O2802=Справочники!$F$4,Учет!$H2802,0)</f>
        <v>0</v>
      </c>
      <c r="T2802" s="48">
        <f>IF(Учет!$O2802=Справочники!$F$5,Учет!$H2802,0)</f>
        <v>0</v>
      </c>
      <c r="U2802" s="48">
        <f>IF(Учет!$O2802=Справочники!$F$6,Учет!$H2802,0)</f>
        <v>0</v>
      </c>
      <c r="V2802" s="43">
        <f>V2801+Учет!Q2802-Q2802</f>
        <v>-488978.92000000004</v>
      </c>
      <c r="W2802" s="43">
        <f>W2801+Учет!R2802-R2802</f>
        <v>336855</v>
      </c>
      <c r="X2802" s="43">
        <f>X2801+Учет!S2802-S2802</f>
        <v>500</v>
      </c>
      <c r="Y2802" s="43">
        <f>Y2801+Учет!T2802-T2802</f>
        <v>1150</v>
      </c>
      <c r="Z2802" s="43">
        <f>Z2801+Учет!U2802-U2802</f>
        <v>500000</v>
      </c>
      <c r="AA2802" s="45">
        <f>Учет!X2802</f>
        <v>500</v>
      </c>
    </row>
    <row r="2803" spans="1:27" ht="15" customHeight="1" x14ac:dyDescent="0.25">
      <c r="A2803" s="1"/>
      <c r="B2803" s="17"/>
      <c r="C2803" s="17"/>
      <c r="D2803" s="17"/>
      <c r="E2803" s="17"/>
      <c r="F2803" s="17"/>
      <c r="G2803" s="4">
        <f t="shared" si="126"/>
        <v>0</v>
      </c>
      <c r="H2803" s="17"/>
      <c r="I2803" s="4">
        <f t="shared" si="128"/>
        <v>349526.07999999996</v>
      </c>
      <c r="J2803" s="32" t="str">
        <f t="shared" si="127"/>
        <v/>
      </c>
      <c r="K2803" s="72"/>
      <c r="L2803" s="72"/>
      <c r="M2803" s="2"/>
      <c r="N2803" s="5"/>
      <c r="O2803" s="3"/>
      <c r="P2803" s="6"/>
      <c r="Q2803" s="48">
        <f>IF(Учет!$O2803=Справочники!$F$2,Учет!$H2803,0)</f>
        <v>0</v>
      </c>
      <c r="R2803" s="48">
        <f>IF(Учет!$O2803=Справочники!$F$3,Учет!$H2803,0)</f>
        <v>0</v>
      </c>
      <c r="S2803" s="48">
        <f>IF(Учет!$O2803=Справочники!$F$4,Учет!$H2803,0)</f>
        <v>0</v>
      </c>
      <c r="T2803" s="48">
        <f>IF(Учет!$O2803=Справочники!$F$5,Учет!$H2803,0)</f>
        <v>0</v>
      </c>
      <c r="U2803" s="48">
        <f>IF(Учет!$O2803=Справочники!$F$6,Учет!$H2803,0)</f>
        <v>0</v>
      </c>
      <c r="V2803" s="43">
        <f>V2802+Учет!Q2803-Q2803</f>
        <v>-488978.92000000004</v>
      </c>
      <c r="W2803" s="43">
        <f>W2802+Учет!R2803-R2803</f>
        <v>336855</v>
      </c>
      <c r="X2803" s="43">
        <f>X2802+Учет!S2803-S2803</f>
        <v>500</v>
      </c>
      <c r="Y2803" s="43">
        <f>Y2802+Учет!T2803-T2803</f>
        <v>1150</v>
      </c>
      <c r="Z2803" s="43">
        <f>Z2802+Учет!U2803-U2803</f>
        <v>500000</v>
      </c>
      <c r="AA2803" s="45">
        <f>Учет!X2803</f>
        <v>500</v>
      </c>
    </row>
    <row r="2804" spans="1:27" ht="15" customHeight="1" x14ac:dyDescent="0.25">
      <c r="A2804" s="1"/>
      <c r="B2804" s="17"/>
      <c r="C2804" s="17"/>
      <c r="D2804" s="17"/>
      <c r="E2804" s="17"/>
      <c r="F2804" s="17"/>
      <c r="G2804" s="4">
        <f t="shared" si="126"/>
        <v>0</v>
      </c>
      <c r="H2804" s="17"/>
      <c r="I2804" s="4">
        <f t="shared" si="128"/>
        <v>349526.07999999996</v>
      </c>
      <c r="J2804" s="32" t="str">
        <f t="shared" si="127"/>
        <v/>
      </c>
      <c r="K2804" s="72"/>
      <c r="L2804" s="72"/>
      <c r="M2804" s="2"/>
      <c r="N2804" s="5"/>
      <c r="O2804" s="3"/>
      <c r="P2804" s="6"/>
      <c r="Q2804" s="48">
        <f>IF(Учет!$O2804=Справочники!$F$2,Учет!$H2804,0)</f>
        <v>0</v>
      </c>
      <c r="R2804" s="48">
        <f>IF(Учет!$O2804=Справочники!$F$3,Учет!$H2804,0)</f>
        <v>0</v>
      </c>
      <c r="S2804" s="48">
        <f>IF(Учет!$O2804=Справочники!$F$4,Учет!$H2804,0)</f>
        <v>0</v>
      </c>
      <c r="T2804" s="48">
        <f>IF(Учет!$O2804=Справочники!$F$5,Учет!$H2804,0)</f>
        <v>0</v>
      </c>
      <c r="U2804" s="48">
        <f>IF(Учет!$O2804=Справочники!$F$6,Учет!$H2804,0)</f>
        <v>0</v>
      </c>
      <c r="V2804" s="43">
        <f>V2803+Учет!Q2804-Q2804</f>
        <v>-488978.92000000004</v>
      </c>
      <c r="W2804" s="43">
        <f>W2803+Учет!R2804-R2804</f>
        <v>336855</v>
      </c>
      <c r="X2804" s="43">
        <f>X2803+Учет!S2804-S2804</f>
        <v>500</v>
      </c>
      <c r="Y2804" s="43">
        <f>Y2803+Учет!T2804-T2804</f>
        <v>1150</v>
      </c>
      <c r="Z2804" s="43">
        <f>Z2803+Учет!U2804-U2804</f>
        <v>500000</v>
      </c>
      <c r="AA2804" s="45">
        <f>Учет!X2804</f>
        <v>500</v>
      </c>
    </row>
    <row r="2805" spans="1:27" ht="15" customHeight="1" x14ac:dyDescent="0.25">
      <c r="A2805" s="1"/>
      <c r="B2805" s="17"/>
      <c r="C2805" s="17"/>
      <c r="D2805" s="17"/>
      <c r="E2805" s="17"/>
      <c r="F2805" s="17"/>
      <c r="G2805" s="4">
        <f t="shared" si="126"/>
        <v>0</v>
      </c>
      <c r="H2805" s="17"/>
      <c r="I2805" s="4">
        <f t="shared" si="128"/>
        <v>349526.07999999996</v>
      </c>
      <c r="J2805" s="32" t="str">
        <f t="shared" si="127"/>
        <v/>
      </c>
      <c r="K2805" s="72"/>
      <c r="L2805" s="72"/>
      <c r="M2805" s="2"/>
      <c r="N2805" s="5"/>
      <c r="O2805" s="3"/>
      <c r="P2805" s="6"/>
      <c r="Q2805" s="48">
        <f>IF(Учет!$O2805=Справочники!$F$2,Учет!$H2805,0)</f>
        <v>0</v>
      </c>
      <c r="R2805" s="48">
        <f>IF(Учет!$O2805=Справочники!$F$3,Учет!$H2805,0)</f>
        <v>0</v>
      </c>
      <c r="S2805" s="48">
        <f>IF(Учет!$O2805=Справочники!$F$4,Учет!$H2805,0)</f>
        <v>0</v>
      </c>
      <c r="T2805" s="48">
        <f>IF(Учет!$O2805=Справочники!$F$5,Учет!$H2805,0)</f>
        <v>0</v>
      </c>
      <c r="U2805" s="48">
        <f>IF(Учет!$O2805=Справочники!$F$6,Учет!$H2805,0)</f>
        <v>0</v>
      </c>
      <c r="V2805" s="43">
        <f>V2804+Учет!Q2805-Q2805</f>
        <v>-488978.92000000004</v>
      </c>
      <c r="W2805" s="43">
        <f>W2804+Учет!R2805-R2805</f>
        <v>336855</v>
      </c>
      <c r="X2805" s="43">
        <f>X2804+Учет!S2805-S2805</f>
        <v>500</v>
      </c>
      <c r="Y2805" s="43">
        <f>Y2804+Учет!T2805-T2805</f>
        <v>1150</v>
      </c>
      <c r="Z2805" s="43">
        <f>Z2804+Учет!U2805-U2805</f>
        <v>500000</v>
      </c>
      <c r="AA2805" s="45">
        <f>Учет!X2805</f>
        <v>500</v>
      </c>
    </row>
    <row r="2806" spans="1:27" ht="15" customHeight="1" x14ac:dyDescent="0.25">
      <c r="A2806" s="1"/>
      <c r="B2806" s="17"/>
      <c r="C2806" s="17"/>
      <c r="D2806" s="17"/>
      <c r="E2806" s="17"/>
      <c r="F2806" s="17"/>
      <c r="G2806" s="4">
        <f t="shared" si="126"/>
        <v>0</v>
      </c>
      <c r="H2806" s="17"/>
      <c r="I2806" s="4">
        <f t="shared" si="128"/>
        <v>349526.07999999996</v>
      </c>
      <c r="J2806" s="32" t="str">
        <f t="shared" si="127"/>
        <v/>
      </c>
      <c r="K2806" s="72"/>
      <c r="L2806" s="72"/>
      <c r="M2806" s="2"/>
      <c r="N2806" s="5"/>
      <c r="O2806" s="3"/>
      <c r="P2806" s="6"/>
      <c r="Q2806" s="48">
        <f>IF(Учет!$O2806=Справочники!$F$2,Учет!$H2806,0)</f>
        <v>0</v>
      </c>
      <c r="R2806" s="48">
        <f>IF(Учет!$O2806=Справочники!$F$3,Учет!$H2806,0)</f>
        <v>0</v>
      </c>
      <c r="S2806" s="48">
        <f>IF(Учет!$O2806=Справочники!$F$4,Учет!$H2806,0)</f>
        <v>0</v>
      </c>
      <c r="T2806" s="48">
        <f>IF(Учет!$O2806=Справочники!$F$5,Учет!$H2806,0)</f>
        <v>0</v>
      </c>
      <c r="U2806" s="48">
        <f>IF(Учет!$O2806=Справочники!$F$6,Учет!$H2806,0)</f>
        <v>0</v>
      </c>
      <c r="V2806" s="43">
        <f>V2805+Учет!Q2806-Q2806</f>
        <v>-488978.92000000004</v>
      </c>
      <c r="W2806" s="43">
        <f>W2805+Учет!R2806-R2806</f>
        <v>336855</v>
      </c>
      <c r="X2806" s="43">
        <f>X2805+Учет!S2806-S2806</f>
        <v>500</v>
      </c>
      <c r="Y2806" s="43">
        <f>Y2805+Учет!T2806-T2806</f>
        <v>1150</v>
      </c>
      <c r="Z2806" s="43">
        <f>Z2805+Учет!U2806-U2806</f>
        <v>500000</v>
      </c>
      <c r="AA2806" s="45">
        <f>Учет!X2806</f>
        <v>500</v>
      </c>
    </row>
    <row r="2807" spans="1:27" ht="15" customHeight="1" x14ac:dyDescent="0.25">
      <c r="A2807" s="1"/>
      <c r="B2807" s="17"/>
      <c r="C2807" s="17"/>
      <c r="D2807" s="17"/>
      <c r="E2807" s="17"/>
      <c r="F2807" s="17"/>
      <c r="G2807" s="4">
        <f t="shared" si="126"/>
        <v>0</v>
      </c>
      <c r="H2807" s="17"/>
      <c r="I2807" s="4">
        <f t="shared" si="128"/>
        <v>349526.07999999996</v>
      </c>
      <c r="J2807" s="32" t="str">
        <f t="shared" si="127"/>
        <v/>
      </c>
      <c r="K2807" s="72"/>
      <c r="L2807" s="72"/>
      <c r="M2807" s="2"/>
      <c r="N2807" s="5"/>
      <c r="O2807" s="3"/>
      <c r="P2807" s="6"/>
      <c r="Q2807" s="48">
        <f>IF(Учет!$O2807=Справочники!$F$2,Учет!$H2807,0)</f>
        <v>0</v>
      </c>
      <c r="R2807" s="48">
        <f>IF(Учет!$O2807=Справочники!$F$3,Учет!$H2807,0)</f>
        <v>0</v>
      </c>
      <c r="S2807" s="48">
        <f>IF(Учет!$O2807=Справочники!$F$4,Учет!$H2807,0)</f>
        <v>0</v>
      </c>
      <c r="T2807" s="48">
        <f>IF(Учет!$O2807=Справочники!$F$5,Учет!$H2807,0)</f>
        <v>0</v>
      </c>
      <c r="U2807" s="48">
        <f>IF(Учет!$O2807=Справочники!$F$6,Учет!$H2807,0)</f>
        <v>0</v>
      </c>
      <c r="V2807" s="43">
        <f>V2806+Учет!Q2807-Q2807</f>
        <v>-488978.92000000004</v>
      </c>
      <c r="W2807" s="43">
        <f>W2806+Учет!R2807-R2807</f>
        <v>336855</v>
      </c>
      <c r="X2807" s="43">
        <f>X2806+Учет!S2807-S2807</f>
        <v>500</v>
      </c>
      <c r="Y2807" s="43">
        <f>Y2806+Учет!T2807-T2807</f>
        <v>1150</v>
      </c>
      <c r="Z2807" s="43">
        <f>Z2806+Учет!U2807-U2807</f>
        <v>500000</v>
      </c>
      <c r="AA2807" s="45">
        <f>Учет!X2807</f>
        <v>500</v>
      </c>
    </row>
    <row r="2808" spans="1:27" ht="15" customHeight="1" x14ac:dyDescent="0.25">
      <c r="A2808" s="1"/>
      <c r="B2808" s="17"/>
      <c r="C2808" s="17"/>
      <c r="D2808" s="17"/>
      <c r="E2808" s="17"/>
      <c r="F2808" s="17"/>
      <c r="G2808" s="4">
        <f t="shared" si="126"/>
        <v>0</v>
      </c>
      <c r="H2808" s="17"/>
      <c r="I2808" s="4">
        <f t="shared" si="128"/>
        <v>349526.07999999996</v>
      </c>
      <c r="J2808" s="32" t="str">
        <f t="shared" si="127"/>
        <v/>
      </c>
      <c r="K2808" s="72"/>
      <c r="L2808" s="72"/>
      <c r="M2808" s="2"/>
      <c r="N2808" s="5"/>
      <c r="O2808" s="3"/>
      <c r="P2808" s="6"/>
      <c r="Q2808" s="48">
        <f>IF(Учет!$O2808=Справочники!$F$2,Учет!$H2808,0)</f>
        <v>0</v>
      </c>
      <c r="R2808" s="48">
        <f>IF(Учет!$O2808=Справочники!$F$3,Учет!$H2808,0)</f>
        <v>0</v>
      </c>
      <c r="S2808" s="48">
        <f>IF(Учет!$O2808=Справочники!$F$4,Учет!$H2808,0)</f>
        <v>0</v>
      </c>
      <c r="T2808" s="48">
        <f>IF(Учет!$O2808=Справочники!$F$5,Учет!$H2808,0)</f>
        <v>0</v>
      </c>
      <c r="U2808" s="48">
        <f>IF(Учет!$O2808=Справочники!$F$6,Учет!$H2808,0)</f>
        <v>0</v>
      </c>
      <c r="V2808" s="43">
        <f>V2807+Учет!Q2808-Q2808</f>
        <v>-488978.92000000004</v>
      </c>
      <c r="W2808" s="43">
        <f>W2807+Учет!R2808-R2808</f>
        <v>336855</v>
      </c>
      <c r="X2808" s="43">
        <f>X2807+Учет!S2808-S2808</f>
        <v>500</v>
      </c>
      <c r="Y2808" s="43">
        <f>Y2807+Учет!T2808-T2808</f>
        <v>1150</v>
      </c>
      <c r="Z2808" s="43">
        <f>Z2807+Учет!U2808-U2808</f>
        <v>500000</v>
      </c>
      <c r="AA2808" s="45">
        <f>Учет!X2808</f>
        <v>500</v>
      </c>
    </row>
    <row r="2809" spans="1:27" ht="15" customHeight="1" x14ac:dyDescent="0.25">
      <c r="A2809" s="1"/>
      <c r="B2809" s="17"/>
      <c r="C2809" s="17"/>
      <c r="D2809" s="17"/>
      <c r="E2809" s="17"/>
      <c r="F2809" s="17"/>
      <c r="G2809" s="4">
        <f t="shared" si="126"/>
        <v>0</v>
      </c>
      <c r="H2809" s="17"/>
      <c r="I2809" s="4">
        <f t="shared" si="128"/>
        <v>349526.07999999996</v>
      </c>
      <c r="J2809" s="32" t="str">
        <f t="shared" si="127"/>
        <v/>
      </c>
      <c r="K2809" s="72"/>
      <c r="L2809" s="72"/>
      <c r="M2809" s="2"/>
      <c r="N2809" s="5"/>
      <c r="O2809" s="3"/>
      <c r="P2809" s="6"/>
      <c r="Q2809" s="48">
        <f>IF(Учет!$O2809=Справочники!$F$2,Учет!$H2809,0)</f>
        <v>0</v>
      </c>
      <c r="R2809" s="48">
        <f>IF(Учет!$O2809=Справочники!$F$3,Учет!$H2809,0)</f>
        <v>0</v>
      </c>
      <c r="S2809" s="48">
        <f>IF(Учет!$O2809=Справочники!$F$4,Учет!$H2809,0)</f>
        <v>0</v>
      </c>
      <c r="T2809" s="48">
        <f>IF(Учет!$O2809=Справочники!$F$5,Учет!$H2809,0)</f>
        <v>0</v>
      </c>
      <c r="U2809" s="48">
        <f>IF(Учет!$O2809=Справочники!$F$6,Учет!$H2809,0)</f>
        <v>0</v>
      </c>
      <c r="V2809" s="43">
        <f>V2808+Учет!Q2809-Q2809</f>
        <v>-488978.92000000004</v>
      </c>
      <c r="W2809" s="43">
        <f>W2808+Учет!R2809-R2809</f>
        <v>336855</v>
      </c>
      <c r="X2809" s="43">
        <f>X2808+Учет!S2809-S2809</f>
        <v>500</v>
      </c>
      <c r="Y2809" s="43">
        <f>Y2808+Учет!T2809-T2809</f>
        <v>1150</v>
      </c>
      <c r="Z2809" s="43">
        <f>Z2808+Учет!U2809-U2809</f>
        <v>500000</v>
      </c>
      <c r="AA2809" s="45">
        <f>Учет!X2809</f>
        <v>500</v>
      </c>
    </row>
    <row r="2810" spans="1:27" ht="15" customHeight="1" x14ac:dyDescent="0.25">
      <c r="A2810" s="1"/>
      <c r="B2810" s="17"/>
      <c r="C2810" s="17"/>
      <c r="D2810" s="17"/>
      <c r="E2810" s="17"/>
      <c r="F2810" s="17"/>
      <c r="G2810" s="4">
        <f t="shared" si="126"/>
        <v>0</v>
      </c>
      <c r="H2810" s="17"/>
      <c r="I2810" s="4">
        <f t="shared" si="128"/>
        <v>349526.07999999996</v>
      </c>
      <c r="J2810" s="32" t="str">
        <f t="shared" si="127"/>
        <v/>
      </c>
      <c r="K2810" s="72"/>
      <c r="L2810" s="72"/>
      <c r="M2810" s="2"/>
      <c r="N2810" s="5"/>
      <c r="O2810" s="3"/>
      <c r="P2810" s="6"/>
      <c r="Q2810" s="48">
        <f>IF(Учет!$O2810=Справочники!$F$2,Учет!$H2810,0)</f>
        <v>0</v>
      </c>
      <c r="R2810" s="48">
        <f>IF(Учет!$O2810=Справочники!$F$3,Учет!$H2810,0)</f>
        <v>0</v>
      </c>
      <c r="S2810" s="48">
        <f>IF(Учет!$O2810=Справочники!$F$4,Учет!$H2810,0)</f>
        <v>0</v>
      </c>
      <c r="T2810" s="48">
        <f>IF(Учет!$O2810=Справочники!$F$5,Учет!$H2810,0)</f>
        <v>0</v>
      </c>
      <c r="U2810" s="48">
        <f>IF(Учет!$O2810=Справочники!$F$6,Учет!$H2810,0)</f>
        <v>0</v>
      </c>
      <c r="V2810" s="43">
        <f>V2809+Учет!Q2810-Q2810</f>
        <v>-488978.92000000004</v>
      </c>
      <c r="W2810" s="43">
        <f>W2809+Учет!R2810-R2810</f>
        <v>336855</v>
      </c>
      <c r="X2810" s="43">
        <f>X2809+Учет!S2810-S2810</f>
        <v>500</v>
      </c>
      <c r="Y2810" s="43">
        <f>Y2809+Учет!T2810-T2810</f>
        <v>1150</v>
      </c>
      <c r="Z2810" s="43">
        <f>Z2809+Учет!U2810-U2810</f>
        <v>500000</v>
      </c>
      <c r="AA2810" s="45">
        <f>Учет!X2810</f>
        <v>500</v>
      </c>
    </row>
    <row r="2811" spans="1:27" ht="15" customHeight="1" x14ac:dyDescent="0.25">
      <c r="A2811" s="1"/>
      <c r="B2811" s="17"/>
      <c r="C2811" s="17"/>
      <c r="D2811" s="17"/>
      <c r="E2811" s="17"/>
      <c r="F2811" s="17"/>
      <c r="G2811" s="4">
        <f t="shared" si="126"/>
        <v>0</v>
      </c>
      <c r="H2811" s="17"/>
      <c r="I2811" s="4">
        <f t="shared" si="128"/>
        <v>349526.07999999996</v>
      </c>
      <c r="J2811" s="32" t="str">
        <f t="shared" si="127"/>
        <v/>
      </c>
      <c r="K2811" s="72"/>
      <c r="L2811" s="72"/>
      <c r="M2811" s="2"/>
      <c r="N2811" s="5"/>
      <c r="O2811" s="3"/>
      <c r="P2811" s="6"/>
      <c r="Q2811" s="48">
        <f>IF(Учет!$O2811=Справочники!$F$2,Учет!$H2811,0)</f>
        <v>0</v>
      </c>
      <c r="R2811" s="48">
        <f>IF(Учет!$O2811=Справочники!$F$3,Учет!$H2811,0)</f>
        <v>0</v>
      </c>
      <c r="S2811" s="48">
        <f>IF(Учет!$O2811=Справочники!$F$4,Учет!$H2811,0)</f>
        <v>0</v>
      </c>
      <c r="T2811" s="48">
        <f>IF(Учет!$O2811=Справочники!$F$5,Учет!$H2811,0)</f>
        <v>0</v>
      </c>
      <c r="U2811" s="48">
        <f>IF(Учет!$O2811=Справочники!$F$6,Учет!$H2811,0)</f>
        <v>0</v>
      </c>
      <c r="V2811" s="43">
        <f>V2810+Учет!Q2811-Q2811</f>
        <v>-488978.92000000004</v>
      </c>
      <c r="W2811" s="43">
        <f>W2810+Учет!R2811-R2811</f>
        <v>336855</v>
      </c>
      <c r="X2811" s="43">
        <f>X2810+Учет!S2811-S2811</f>
        <v>500</v>
      </c>
      <c r="Y2811" s="43">
        <f>Y2810+Учет!T2811-T2811</f>
        <v>1150</v>
      </c>
      <c r="Z2811" s="43">
        <f>Z2810+Учет!U2811-U2811</f>
        <v>500000</v>
      </c>
      <c r="AA2811" s="45">
        <f>Учет!X2811</f>
        <v>500</v>
      </c>
    </row>
    <row r="2812" spans="1:27" ht="15" customHeight="1" x14ac:dyDescent="0.25">
      <c r="A2812" s="1"/>
      <c r="B2812" s="17"/>
      <c r="C2812" s="17"/>
      <c r="D2812" s="17"/>
      <c r="E2812" s="17"/>
      <c r="F2812" s="17"/>
      <c r="G2812" s="4">
        <f t="shared" si="126"/>
        <v>0</v>
      </c>
      <c r="H2812" s="17"/>
      <c r="I2812" s="4">
        <f t="shared" si="128"/>
        <v>349526.07999999996</v>
      </c>
      <c r="J2812" s="32" t="str">
        <f t="shared" si="127"/>
        <v/>
      </c>
      <c r="K2812" s="72"/>
      <c r="L2812" s="72"/>
      <c r="M2812" s="2"/>
      <c r="N2812" s="5"/>
      <c r="O2812" s="3"/>
      <c r="P2812" s="6"/>
      <c r="Q2812" s="48">
        <f>IF(Учет!$O2812=Справочники!$F$2,Учет!$H2812,0)</f>
        <v>0</v>
      </c>
      <c r="R2812" s="48">
        <f>IF(Учет!$O2812=Справочники!$F$3,Учет!$H2812,0)</f>
        <v>0</v>
      </c>
      <c r="S2812" s="48">
        <f>IF(Учет!$O2812=Справочники!$F$4,Учет!$H2812,0)</f>
        <v>0</v>
      </c>
      <c r="T2812" s="48">
        <f>IF(Учет!$O2812=Справочники!$F$5,Учет!$H2812,0)</f>
        <v>0</v>
      </c>
      <c r="U2812" s="48">
        <f>IF(Учет!$O2812=Справочники!$F$6,Учет!$H2812,0)</f>
        <v>0</v>
      </c>
      <c r="V2812" s="43">
        <f>V2811+Учет!Q2812-Q2812</f>
        <v>-488978.92000000004</v>
      </c>
      <c r="W2812" s="43">
        <f>W2811+Учет!R2812-R2812</f>
        <v>336855</v>
      </c>
      <c r="X2812" s="43">
        <f>X2811+Учет!S2812-S2812</f>
        <v>500</v>
      </c>
      <c r="Y2812" s="43">
        <f>Y2811+Учет!T2812-T2812</f>
        <v>1150</v>
      </c>
      <c r="Z2812" s="43">
        <f>Z2811+Учет!U2812-U2812</f>
        <v>500000</v>
      </c>
      <c r="AA2812" s="45">
        <f>Учет!X2812</f>
        <v>500</v>
      </c>
    </row>
    <row r="2813" spans="1:27" ht="15" customHeight="1" x14ac:dyDescent="0.25">
      <c r="A2813" s="1"/>
      <c r="B2813" s="17"/>
      <c r="C2813" s="17"/>
      <c r="D2813" s="17"/>
      <c r="E2813" s="17"/>
      <c r="F2813" s="17"/>
      <c r="G2813" s="4">
        <f t="shared" si="126"/>
        <v>0</v>
      </c>
      <c r="H2813" s="17"/>
      <c r="I2813" s="4">
        <f t="shared" si="128"/>
        <v>349526.07999999996</v>
      </c>
      <c r="J2813" s="32" t="str">
        <f t="shared" si="127"/>
        <v/>
      </c>
      <c r="K2813" s="72"/>
      <c r="L2813" s="72"/>
      <c r="M2813" s="2"/>
      <c r="N2813" s="5"/>
      <c r="O2813" s="3"/>
      <c r="P2813" s="6"/>
      <c r="Q2813" s="48">
        <f>IF(Учет!$O2813=Справочники!$F$2,Учет!$H2813,0)</f>
        <v>0</v>
      </c>
      <c r="R2813" s="48">
        <f>IF(Учет!$O2813=Справочники!$F$3,Учет!$H2813,0)</f>
        <v>0</v>
      </c>
      <c r="S2813" s="48">
        <f>IF(Учет!$O2813=Справочники!$F$4,Учет!$H2813,0)</f>
        <v>0</v>
      </c>
      <c r="T2813" s="48">
        <f>IF(Учет!$O2813=Справочники!$F$5,Учет!$H2813,0)</f>
        <v>0</v>
      </c>
      <c r="U2813" s="48">
        <f>IF(Учет!$O2813=Справочники!$F$6,Учет!$H2813,0)</f>
        <v>0</v>
      </c>
      <c r="V2813" s="43">
        <f>V2812+Учет!Q2813-Q2813</f>
        <v>-488978.92000000004</v>
      </c>
      <c r="W2813" s="43">
        <f>W2812+Учет!R2813-R2813</f>
        <v>336855</v>
      </c>
      <c r="X2813" s="43">
        <f>X2812+Учет!S2813-S2813</f>
        <v>500</v>
      </c>
      <c r="Y2813" s="43">
        <f>Y2812+Учет!T2813-T2813</f>
        <v>1150</v>
      </c>
      <c r="Z2813" s="43">
        <f>Z2812+Учет!U2813-U2813</f>
        <v>500000</v>
      </c>
      <c r="AA2813" s="45">
        <f>Учет!X2813</f>
        <v>500</v>
      </c>
    </row>
    <row r="2814" spans="1:27" ht="15" customHeight="1" x14ac:dyDescent="0.25">
      <c r="A2814" s="1"/>
      <c r="B2814" s="17"/>
      <c r="C2814" s="17"/>
      <c r="D2814" s="17"/>
      <c r="E2814" s="17"/>
      <c r="F2814" s="17"/>
      <c r="G2814" s="4">
        <f t="shared" si="126"/>
        <v>0</v>
      </c>
      <c r="H2814" s="17"/>
      <c r="I2814" s="4">
        <f t="shared" si="128"/>
        <v>349526.07999999996</v>
      </c>
      <c r="J2814" s="32" t="str">
        <f t="shared" si="127"/>
        <v/>
      </c>
      <c r="K2814" s="72"/>
      <c r="L2814" s="72"/>
      <c r="M2814" s="2"/>
      <c r="N2814" s="5"/>
      <c r="O2814" s="3"/>
      <c r="P2814" s="6"/>
      <c r="Q2814" s="48">
        <f>IF(Учет!$O2814=Справочники!$F$2,Учет!$H2814,0)</f>
        <v>0</v>
      </c>
      <c r="R2814" s="48">
        <f>IF(Учет!$O2814=Справочники!$F$3,Учет!$H2814,0)</f>
        <v>0</v>
      </c>
      <c r="S2814" s="48">
        <f>IF(Учет!$O2814=Справочники!$F$4,Учет!$H2814,0)</f>
        <v>0</v>
      </c>
      <c r="T2814" s="48">
        <f>IF(Учет!$O2814=Справочники!$F$5,Учет!$H2814,0)</f>
        <v>0</v>
      </c>
      <c r="U2814" s="48">
        <f>IF(Учет!$O2814=Справочники!$F$6,Учет!$H2814,0)</f>
        <v>0</v>
      </c>
      <c r="V2814" s="43">
        <f>V2813+Учет!Q2814-Q2814</f>
        <v>-488978.92000000004</v>
      </c>
      <c r="W2814" s="43">
        <f>W2813+Учет!R2814-R2814</f>
        <v>336855</v>
      </c>
      <c r="X2814" s="43">
        <f>X2813+Учет!S2814-S2814</f>
        <v>500</v>
      </c>
      <c r="Y2814" s="43">
        <f>Y2813+Учет!T2814-T2814</f>
        <v>1150</v>
      </c>
      <c r="Z2814" s="43">
        <f>Z2813+Учет!U2814-U2814</f>
        <v>500000</v>
      </c>
      <c r="AA2814" s="45">
        <f>Учет!X2814</f>
        <v>500</v>
      </c>
    </row>
    <row r="2815" spans="1:27" ht="15" customHeight="1" x14ac:dyDescent="0.25">
      <c r="A2815" s="1"/>
      <c r="B2815" s="17"/>
      <c r="C2815" s="17"/>
      <c r="D2815" s="17"/>
      <c r="E2815" s="17"/>
      <c r="F2815" s="17"/>
      <c r="G2815" s="4">
        <f t="shared" si="126"/>
        <v>0</v>
      </c>
      <c r="H2815" s="17"/>
      <c r="I2815" s="4">
        <f t="shared" si="128"/>
        <v>349526.07999999996</v>
      </c>
      <c r="J2815" s="32" t="str">
        <f t="shared" si="127"/>
        <v/>
      </c>
      <c r="K2815" s="72"/>
      <c r="L2815" s="72"/>
      <c r="M2815" s="2"/>
      <c r="N2815" s="5"/>
      <c r="O2815" s="3"/>
      <c r="P2815" s="6"/>
      <c r="Q2815" s="48">
        <f>IF(Учет!$O2815=Справочники!$F$2,Учет!$H2815,0)</f>
        <v>0</v>
      </c>
      <c r="R2815" s="48">
        <f>IF(Учет!$O2815=Справочники!$F$3,Учет!$H2815,0)</f>
        <v>0</v>
      </c>
      <c r="S2815" s="48">
        <f>IF(Учет!$O2815=Справочники!$F$4,Учет!$H2815,0)</f>
        <v>0</v>
      </c>
      <c r="T2815" s="48">
        <f>IF(Учет!$O2815=Справочники!$F$5,Учет!$H2815,0)</f>
        <v>0</v>
      </c>
      <c r="U2815" s="48">
        <f>IF(Учет!$O2815=Справочники!$F$6,Учет!$H2815,0)</f>
        <v>0</v>
      </c>
      <c r="V2815" s="43">
        <f>V2814+Учет!Q2815-Q2815</f>
        <v>-488978.92000000004</v>
      </c>
      <c r="W2815" s="43">
        <f>W2814+Учет!R2815-R2815</f>
        <v>336855</v>
      </c>
      <c r="X2815" s="43">
        <f>X2814+Учет!S2815-S2815</f>
        <v>500</v>
      </c>
      <c r="Y2815" s="43">
        <f>Y2814+Учет!T2815-T2815</f>
        <v>1150</v>
      </c>
      <c r="Z2815" s="43">
        <f>Z2814+Учет!U2815-U2815</f>
        <v>500000</v>
      </c>
      <c r="AA2815" s="45">
        <f>Учет!X2815</f>
        <v>500</v>
      </c>
    </row>
    <row r="2816" spans="1:27" ht="15" customHeight="1" x14ac:dyDescent="0.25">
      <c r="A2816" s="1"/>
      <c r="B2816" s="17"/>
      <c r="C2816" s="17"/>
      <c r="D2816" s="17"/>
      <c r="E2816" s="17"/>
      <c r="F2816" s="17"/>
      <c r="G2816" s="4">
        <f t="shared" si="126"/>
        <v>0</v>
      </c>
      <c r="H2816" s="17"/>
      <c r="I2816" s="4">
        <f t="shared" si="128"/>
        <v>349526.07999999996</v>
      </c>
      <c r="J2816" s="32" t="str">
        <f t="shared" si="127"/>
        <v/>
      </c>
      <c r="K2816" s="72"/>
      <c r="L2816" s="72"/>
      <c r="M2816" s="2"/>
      <c r="N2816" s="5"/>
      <c r="O2816" s="3"/>
      <c r="P2816" s="6"/>
      <c r="Q2816" s="48">
        <f>IF(Учет!$O2816=Справочники!$F$2,Учет!$H2816,0)</f>
        <v>0</v>
      </c>
      <c r="R2816" s="48">
        <f>IF(Учет!$O2816=Справочники!$F$3,Учет!$H2816,0)</f>
        <v>0</v>
      </c>
      <c r="S2816" s="48">
        <f>IF(Учет!$O2816=Справочники!$F$4,Учет!$H2816,0)</f>
        <v>0</v>
      </c>
      <c r="T2816" s="48">
        <f>IF(Учет!$O2816=Справочники!$F$5,Учет!$H2816,0)</f>
        <v>0</v>
      </c>
      <c r="U2816" s="48">
        <f>IF(Учет!$O2816=Справочники!$F$6,Учет!$H2816,0)</f>
        <v>0</v>
      </c>
      <c r="V2816" s="43">
        <f>V2815+Учет!Q2816-Q2816</f>
        <v>-488978.92000000004</v>
      </c>
      <c r="W2816" s="43">
        <f>W2815+Учет!R2816-R2816</f>
        <v>336855</v>
      </c>
      <c r="X2816" s="43">
        <f>X2815+Учет!S2816-S2816</f>
        <v>500</v>
      </c>
      <c r="Y2816" s="43">
        <f>Y2815+Учет!T2816-T2816</f>
        <v>1150</v>
      </c>
      <c r="Z2816" s="43">
        <f>Z2815+Учет!U2816-U2816</f>
        <v>500000</v>
      </c>
      <c r="AA2816" s="45">
        <f>Учет!X2816</f>
        <v>500</v>
      </c>
    </row>
    <row r="2817" spans="1:27" ht="15" customHeight="1" x14ac:dyDescent="0.25">
      <c r="A2817" s="1"/>
      <c r="B2817" s="17"/>
      <c r="C2817" s="17"/>
      <c r="D2817" s="17"/>
      <c r="E2817" s="17"/>
      <c r="F2817" s="17"/>
      <c r="G2817" s="4">
        <f t="shared" si="126"/>
        <v>0</v>
      </c>
      <c r="H2817" s="17"/>
      <c r="I2817" s="4">
        <f t="shared" si="128"/>
        <v>349526.07999999996</v>
      </c>
      <c r="J2817" s="32" t="str">
        <f t="shared" si="127"/>
        <v/>
      </c>
      <c r="K2817" s="72"/>
      <c r="L2817" s="72"/>
      <c r="M2817" s="2"/>
      <c r="N2817" s="5"/>
      <c r="O2817" s="3"/>
      <c r="P2817" s="6"/>
      <c r="Q2817" s="48">
        <f>IF(Учет!$O2817=Справочники!$F$2,Учет!$H2817,0)</f>
        <v>0</v>
      </c>
      <c r="R2817" s="48">
        <f>IF(Учет!$O2817=Справочники!$F$3,Учет!$H2817,0)</f>
        <v>0</v>
      </c>
      <c r="S2817" s="48">
        <f>IF(Учет!$O2817=Справочники!$F$4,Учет!$H2817,0)</f>
        <v>0</v>
      </c>
      <c r="T2817" s="48">
        <f>IF(Учет!$O2817=Справочники!$F$5,Учет!$H2817,0)</f>
        <v>0</v>
      </c>
      <c r="U2817" s="48">
        <f>IF(Учет!$O2817=Справочники!$F$6,Учет!$H2817,0)</f>
        <v>0</v>
      </c>
      <c r="V2817" s="43">
        <f>V2816+Учет!Q2817-Q2817</f>
        <v>-488978.92000000004</v>
      </c>
      <c r="W2817" s="43">
        <f>W2816+Учет!R2817-R2817</f>
        <v>336855</v>
      </c>
      <c r="X2817" s="43">
        <f>X2816+Учет!S2817-S2817</f>
        <v>500</v>
      </c>
      <c r="Y2817" s="43">
        <f>Y2816+Учет!T2817-T2817</f>
        <v>1150</v>
      </c>
      <c r="Z2817" s="43">
        <f>Z2816+Учет!U2817-U2817</f>
        <v>500000</v>
      </c>
      <c r="AA2817" s="45">
        <f>Учет!X2817</f>
        <v>500</v>
      </c>
    </row>
    <row r="2818" spans="1:27" ht="15" customHeight="1" x14ac:dyDescent="0.25">
      <c r="A2818" s="1"/>
      <c r="B2818" s="17"/>
      <c r="C2818" s="17"/>
      <c r="D2818" s="17"/>
      <c r="E2818" s="17"/>
      <c r="F2818" s="17"/>
      <c r="G2818" s="4">
        <f t="shared" ref="G2818:G2881" si="129">SUM($B2818:$F2818)</f>
        <v>0</v>
      </c>
      <c r="H2818" s="17"/>
      <c r="I2818" s="4">
        <f t="shared" si="128"/>
        <v>349526.07999999996</v>
      </c>
      <c r="J2818" s="32" t="str">
        <f t="shared" ref="J2818:J2881" si="130">IF($A2819&lt;&gt;$A2818,$I2818,"")</f>
        <v/>
      </c>
      <c r="K2818" s="72"/>
      <c r="L2818" s="72"/>
      <c r="M2818" s="2"/>
      <c r="N2818" s="5"/>
      <c r="O2818" s="3"/>
      <c r="P2818" s="6"/>
      <c r="Q2818" s="48">
        <f>IF(Учет!$O2818=Справочники!$F$2,Учет!$H2818,0)</f>
        <v>0</v>
      </c>
      <c r="R2818" s="48">
        <f>IF(Учет!$O2818=Справочники!$F$3,Учет!$H2818,0)</f>
        <v>0</v>
      </c>
      <c r="S2818" s="48">
        <f>IF(Учет!$O2818=Справочники!$F$4,Учет!$H2818,0)</f>
        <v>0</v>
      </c>
      <c r="T2818" s="48">
        <f>IF(Учет!$O2818=Справочники!$F$5,Учет!$H2818,0)</f>
        <v>0</v>
      </c>
      <c r="U2818" s="48">
        <f>IF(Учет!$O2818=Справочники!$F$6,Учет!$H2818,0)</f>
        <v>0</v>
      </c>
      <c r="V2818" s="43">
        <f>V2817+Учет!Q2818-Q2818</f>
        <v>-488978.92000000004</v>
      </c>
      <c r="W2818" s="43">
        <f>W2817+Учет!R2818-R2818</f>
        <v>336855</v>
      </c>
      <c r="X2818" s="43">
        <f>X2817+Учет!S2818-S2818</f>
        <v>500</v>
      </c>
      <c r="Y2818" s="43">
        <f>Y2817+Учет!T2818-T2818</f>
        <v>1150</v>
      </c>
      <c r="Z2818" s="43">
        <f>Z2817+Учет!U2818-U2818</f>
        <v>500000</v>
      </c>
      <c r="AA2818" s="45">
        <f>Учет!X2818</f>
        <v>500</v>
      </c>
    </row>
    <row r="2819" spans="1:27" ht="15" customHeight="1" x14ac:dyDescent="0.25">
      <c r="A2819" s="1"/>
      <c r="B2819" s="17"/>
      <c r="C2819" s="17"/>
      <c r="D2819" s="17"/>
      <c r="E2819" s="17"/>
      <c r="F2819" s="17"/>
      <c r="G2819" s="4">
        <f t="shared" si="129"/>
        <v>0</v>
      </c>
      <c r="H2819" s="17"/>
      <c r="I2819" s="4">
        <f t="shared" ref="I2819:I2882" si="131">$I2818+$G2819-$H2819</f>
        <v>349526.07999999996</v>
      </c>
      <c r="J2819" s="32" t="str">
        <f t="shared" si="130"/>
        <v/>
      </c>
      <c r="K2819" s="72"/>
      <c r="L2819" s="72"/>
      <c r="M2819" s="2"/>
      <c r="N2819" s="5"/>
      <c r="O2819" s="3"/>
      <c r="P2819" s="6"/>
      <c r="Q2819" s="48">
        <f>IF(Учет!$O2819=Справочники!$F$2,Учет!$H2819,0)</f>
        <v>0</v>
      </c>
      <c r="R2819" s="48">
        <f>IF(Учет!$O2819=Справочники!$F$3,Учет!$H2819,0)</f>
        <v>0</v>
      </c>
      <c r="S2819" s="48">
        <f>IF(Учет!$O2819=Справочники!$F$4,Учет!$H2819,0)</f>
        <v>0</v>
      </c>
      <c r="T2819" s="48">
        <f>IF(Учет!$O2819=Справочники!$F$5,Учет!$H2819,0)</f>
        <v>0</v>
      </c>
      <c r="U2819" s="48">
        <f>IF(Учет!$O2819=Справочники!$F$6,Учет!$H2819,0)</f>
        <v>0</v>
      </c>
      <c r="V2819" s="43">
        <f>V2818+Учет!Q2819-Q2819</f>
        <v>-488978.92000000004</v>
      </c>
      <c r="W2819" s="43">
        <f>W2818+Учет!R2819-R2819</f>
        <v>336855</v>
      </c>
      <c r="X2819" s="43">
        <f>X2818+Учет!S2819-S2819</f>
        <v>500</v>
      </c>
      <c r="Y2819" s="43">
        <f>Y2818+Учет!T2819-T2819</f>
        <v>1150</v>
      </c>
      <c r="Z2819" s="43">
        <f>Z2818+Учет!U2819-U2819</f>
        <v>500000</v>
      </c>
      <c r="AA2819" s="45">
        <f>Учет!X2819</f>
        <v>500</v>
      </c>
    </row>
    <row r="2820" spans="1:27" ht="15" customHeight="1" x14ac:dyDescent="0.25">
      <c r="A2820" s="1"/>
      <c r="B2820" s="17"/>
      <c r="C2820" s="17"/>
      <c r="D2820" s="17"/>
      <c r="E2820" s="17"/>
      <c r="F2820" s="17"/>
      <c r="G2820" s="4">
        <f t="shared" si="129"/>
        <v>0</v>
      </c>
      <c r="H2820" s="17"/>
      <c r="I2820" s="4">
        <f t="shared" si="131"/>
        <v>349526.07999999996</v>
      </c>
      <c r="J2820" s="32" t="str">
        <f t="shared" si="130"/>
        <v/>
      </c>
      <c r="K2820" s="72"/>
      <c r="L2820" s="72"/>
      <c r="M2820" s="2"/>
      <c r="N2820" s="5"/>
      <c r="O2820" s="3"/>
      <c r="P2820" s="6"/>
      <c r="Q2820" s="48">
        <f>IF(Учет!$O2820=Справочники!$F$2,Учет!$H2820,0)</f>
        <v>0</v>
      </c>
      <c r="R2820" s="48">
        <f>IF(Учет!$O2820=Справочники!$F$3,Учет!$H2820,0)</f>
        <v>0</v>
      </c>
      <c r="S2820" s="48">
        <f>IF(Учет!$O2820=Справочники!$F$4,Учет!$H2820,0)</f>
        <v>0</v>
      </c>
      <c r="T2820" s="48">
        <f>IF(Учет!$O2820=Справочники!$F$5,Учет!$H2820,0)</f>
        <v>0</v>
      </c>
      <c r="U2820" s="48">
        <f>IF(Учет!$O2820=Справочники!$F$6,Учет!$H2820,0)</f>
        <v>0</v>
      </c>
      <c r="V2820" s="43">
        <f>V2819+Учет!Q2820-Q2820</f>
        <v>-488978.92000000004</v>
      </c>
      <c r="W2820" s="43">
        <f>W2819+Учет!R2820-R2820</f>
        <v>336855</v>
      </c>
      <c r="X2820" s="43">
        <f>X2819+Учет!S2820-S2820</f>
        <v>500</v>
      </c>
      <c r="Y2820" s="43">
        <f>Y2819+Учет!T2820-T2820</f>
        <v>1150</v>
      </c>
      <c r="Z2820" s="43">
        <f>Z2819+Учет!U2820-U2820</f>
        <v>500000</v>
      </c>
      <c r="AA2820" s="45">
        <f>Учет!X2820</f>
        <v>500</v>
      </c>
    </row>
    <row r="2821" spans="1:27" ht="15" customHeight="1" x14ac:dyDescent="0.25">
      <c r="A2821" s="1"/>
      <c r="B2821" s="17"/>
      <c r="C2821" s="17"/>
      <c r="D2821" s="17"/>
      <c r="E2821" s="17"/>
      <c r="F2821" s="17"/>
      <c r="G2821" s="4">
        <f t="shared" si="129"/>
        <v>0</v>
      </c>
      <c r="H2821" s="17"/>
      <c r="I2821" s="4">
        <f t="shared" si="131"/>
        <v>349526.07999999996</v>
      </c>
      <c r="J2821" s="32" t="str">
        <f t="shared" si="130"/>
        <v/>
      </c>
      <c r="K2821" s="72"/>
      <c r="L2821" s="72"/>
      <c r="M2821" s="2"/>
      <c r="N2821" s="5"/>
      <c r="O2821" s="3"/>
      <c r="P2821" s="6"/>
      <c r="Q2821" s="48">
        <f>IF(Учет!$O2821=Справочники!$F$2,Учет!$H2821,0)</f>
        <v>0</v>
      </c>
      <c r="R2821" s="48">
        <f>IF(Учет!$O2821=Справочники!$F$3,Учет!$H2821,0)</f>
        <v>0</v>
      </c>
      <c r="S2821" s="48">
        <f>IF(Учет!$O2821=Справочники!$F$4,Учет!$H2821,0)</f>
        <v>0</v>
      </c>
      <c r="T2821" s="48">
        <f>IF(Учет!$O2821=Справочники!$F$5,Учет!$H2821,0)</f>
        <v>0</v>
      </c>
      <c r="U2821" s="48">
        <f>IF(Учет!$O2821=Справочники!$F$6,Учет!$H2821,0)</f>
        <v>0</v>
      </c>
      <c r="V2821" s="43">
        <f>V2820+Учет!Q2821-Q2821</f>
        <v>-488978.92000000004</v>
      </c>
      <c r="W2821" s="43">
        <f>W2820+Учет!R2821-R2821</f>
        <v>336855</v>
      </c>
      <c r="X2821" s="43">
        <f>X2820+Учет!S2821-S2821</f>
        <v>500</v>
      </c>
      <c r="Y2821" s="43">
        <f>Y2820+Учет!T2821-T2821</f>
        <v>1150</v>
      </c>
      <c r="Z2821" s="43">
        <f>Z2820+Учет!U2821-U2821</f>
        <v>500000</v>
      </c>
      <c r="AA2821" s="45">
        <f>Учет!X2821</f>
        <v>500</v>
      </c>
    </row>
    <row r="2822" spans="1:27" ht="15" customHeight="1" x14ac:dyDescent="0.25">
      <c r="A2822" s="1"/>
      <c r="B2822" s="17"/>
      <c r="C2822" s="17"/>
      <c r="D2822" s="17"/>
      <c r="E2822" s="17"/>
      <c r="F2822" s="17"/>
      <c r="G2822" s="4">
        <f t="shared" si="129"/>
        <v>0</v>
      </c>
      <c r="H2822" s="17"/>
      <c r="I2822" s="4">
        <f t="shared" si="131"/>
        <v>349526.07999999996</v>
      </c>
      <c r="J2822" s="32" t="str">
        <f t="shared" si="130"/>
        <v/>
      </c>
      <c r="K2822" s="72"/>
      <c r="L2822" s="72"/>
      <c r="M2822" s="2"/>
      <c r="N2822" s="5"/>
      <c r="O2822" s="3"/>
      <c r="P2822" s="6"/>
      <c r="Q2822" s="48">
        <f>IF(Учет!$O2822=Справочники!$F$2,Учет!$H2822,0)</f>
        <v>0</v>
      </c>
      <c r="R2822" s="48">
        <f>IF(Учет!$O2822=Справочники!$F$3,Учет!$H2822,0)</f>
        <v>0</v>
      </c>
      <c r="S2822" s="48">
        <f>IF(Учет!$O2822=Справочники!$F$4,Учет!$H2822,0)</f>
        <v>0</v>
      </c>
      <c r="T2822" s="48">
        <f>IF(Учет!$O2822=Справочники!$F$5,Учет!$H2822,0)</f>
        <v>0</v>
      </c>
      <c r="U2822" s="48">
        <f>IF(Учет!$O2822=Справочники!$F$6,Учет!$H2822,0)</f>
        <v>0</v>
      </c>
      <c r="V2822" s="43">
        <f>V2821+Учет!Q2822-Q2822</f>
        <v>-488978.92000000004</v>
      </c>
      <c r="W2822" s="43">
        <f>W2821+Учет!R2822-R2822</f>
        <v>336855</v>
      </c>
      <c r="X2822" s="43">
        <f>X2821+Учет!S2822-S2822</f>
        <v>500</v>
      </c>
      <c r="Y2822" s="43">
        <f>Y2821+Учет!T2822-T2822</f>
        <v>1150</v>
      </c>
      <c r="Z2822" s="43">
        <f>Z2821+Учет!U2822-U2822</f>
        <v>500000</v>
      </c>
      <c r="AA2822" s="45">
        <f>Учет!X2822</f>
        <v>500</v>
      </c>
    </row>
    <row r="2823" spans="1:27" ht="15" customHeight="1" x14ac:dyDescent="0.25">
      <c r="A2823" s="1"/>
      <c r="B2823" s="17"/>
      <c r="C2823" s="17"/>
      <c r="D2823" s="17"/>
      <c r="E2823" s="17"/>
      <c r="F2823" s="17"/>
      <c r="G2823" s="4">
        <f t="shared" si="129"/>
        <v>0</v>
      </c>
      <c r="H2823" s="17"/>
      <c r="I2823" s="4">
        <f t="shared" si="131"/>
        <v>349526.07999999996</v>
      </c>
      <c r="J2823" s="32" t="str">
        <f t="shared" si="130"/>
        <v/>
      </c>
      <c r="K2823" s="72"/>
      <c r="L2823" s="72"/>
      <c r="M2823" s="2"/>
      <c r="N2823" s="5"/>
      <c r="O2823" s="3"/>
      <c r="P2823" s="6"/>
      <c r="Q2823" s="48">
        <f>IF(Учет!$O2823=Справочники!$F$2,Учет!$H2823,0)</f>
        <v>0</v>
      </c>
      <c r="R2823" s="48">
        <f>IF(Учет!$O2823=Справочники!$F$3,Учет!$H2823,0)</f>
        <v>0</v>
      </c>
      <c r="S2823" s="48">
        <f>IF(Учет!$O2823=Справочники!$F$4,Учет!$H2823,0)</f>
        <v>0</v>
      </c>
      <c r="T2823" s="48">
        <f>IF(Учет!$O2823=Справочники!$F$5,Учет!$H2823,0)</f>
        <v>0</v>
      </c>
      <c r="U2823" s="48">
        <f>IF(Учет!$O2823=Справочники!$F$6,Учет!$H2823,0)</f>
        <v>0</v>
      </c>
      <c r="V2823" s="43">
        <f>V2822+Учет!Q2823-Q2823</f>
        <v>-488978.92000000004</v>
      </c>
      <c r="W2823" s="43">
        <f>W2822+Учет!R2823-R2823</f>
        <v>336855</v>
      </c>
      <c r="X2823" s="43">
        <f>X2822+Учет!S2823-S2823</f>
        <v>500</v>
      </c>
      <c r="Y2823" s="43">
        <f>Y2822+Учет!T2823-T2823</f>
        <v>1150</v>
      </c>
      <c r="Z2823" s="43">
        <f>Z2822+Учет!U2823-U2823</f>
        <v>500000</v>
      </c>
      <c r="AA2823" s="45">
        <f>Учет!X2823</f>
        <v>500</v>
      </c>
    </row>
    <row r="2824" spans="1:27" ht="15" customHeight="1" x14ac:dyDescent="0.25">
      <c r="A2824" s="1"/>
      <c r="B2824" s="17"/>
      <c r="C2824" s="17"/>
      <c r="D2824" s="17"/>
      <c r="E2824" s="17"/>
      <c r="F2824" s="17"/>
      <c r="G2824" s="4">
        <f t="shared" si="129"/>
        <v>0</v>
      </c>
      <c r="H2824" s="17"/>
      <c r="I2824" s="4">
        <f t="shared" si="131"/>
        <v>349526.07999999996</v>
      </c>
      <c r="J2824" s="32" t="str">
        <f t="shared" si="130"/>
        <v/>
      </c>
      <c r="K2824" s="72"/>
      <c r="L2824" s="72"/>
      <c r="M2824" s="2"/>
      <c r="N2824" s="5"/>
      <c r="O2824" s="3"/>
      <c r="P2824" s="6"/>
      <c r="Q2824" s="48">
        <f>IF(Учет!$O2824=Справочники!$F$2,Учет!$H2824,0)</f>
        <v>0</v>
      </c>
      <c r="R2824" s="48">
        <f>IF(Учет!$O2824=Справочники!$F$3,Учет!$H2824,0)</f>
        <v>0</v>
      </c>
      <c r="S2824" s="48">
        <f>IF(Учет!$O2824=Справочники!$F$4,Учет!$H2824,0)</f>
        <v>0</v>
      </c>
      <c r="T2824" s="48">
        <f>IF(Учет!$O2824=Справочники!$F$5,Учет!$H2824,0)</f>
        <v>0</v>
      </c>
      <c r="U2824" s="48">
        <f>IF(Учет!$O2824=Справочники!$F$6,Учет!$H2824,0)</f>
        <v>0</v>
      </c>
      <c r="V2824" s="43">
        <f>V2823+Учет!Q2824-Q2824</f>
        <v>-488978.92000000004</v>
      </c>
      <c r="W2824" s="43">
        <f>W2823+Учет!R2824-R2824</f>
        <v>336855</v>
      </c>
      <c r="X2824" s="43">
        <f>X2823+Учет!S2824-S2824</f>
        <v>500</v>
      </c>
      <c r="Y2824" s="43">
        <f>Y2823+Учет!T2824-T2824</f>
        <v>1150</v>
      </c>
      <c r="Z2824" s="43">
        <f>Z2823+Учет!U2824-U2824</f>
        <v>500000</v>
      </c>
      <c r="AA2824" s="45">
        <f>Учет!X2824</f>
        <v>500</v>
      </c>
    </row>
    <row r="2825" spans="1:27" ht="15" customHeight="1" x14ac:dyDescent="0.25">
      <c r="A2825" s="1"/>
      <c r="B2825" s="17"/>
      <c r="C2825" s="17"/>
      <c r="D2825" s="17"/>
      <c r="E2825" s="17"/>
      <c r="F2825" s="17"/>
      <c r="G2825" s="4">
        <f t="shared" si="129"/>
        <v>0</v>
      </c>
      <c r="H2825" s="17"/>
      <c r="I2825" s="4">
        <f t="shared" si="131"/>
        <v>349526.07999999996</v>
      </c>
      <c r="J2825" s="32" t="str">
        <f t="shared" si="130"/>
        <v/>
      </c>
      <c r="K2825" s="72"/>
      <c r="L2825" s="72"/>
      <c r="M2825" s="2"/>
      <c r="N2825" s="5"/>
      <c r="O2825" s="3"/>
      <c r="P2825" s="6"/>
      <c r="Q2825" s="48">
        <f>IF(Учет!$O2825=Справочники!$F$2,Учет!$H2825,0)</f>
        <v>0</v>
      </c>
      <c r="R2825" s="48">
        <f>IF(Учет!$O2825=Справочники!$F$3,Учет!$H2825,0)</f>
        <v>0</v>
      </c>
      <c r="S2825" s="48">
        <f>IF(Учет!$O2825=Справочники!$F$4,Учет!$H2825,0)</f>
        <v>0</v>
      </c>
      <c r="T2825" s="48">
        <f>IF(Учет!$O2825=Справочники!$F$5,Учет!$H2825,0)</f>
        <v>0</v>
      </c>
      <c r="U2825" s="48">
        <f>IF(Учет!$O2825=Справочники!$F$6,Учет!$H2825,0)</f>
        <v>0</v>
      </c>
      <c r="V2825" s="43">
        <f>V2824+Учет!Q2825-Q2825</f>
        <v>-488978.92000000004</v>
      </c>
      <c r="W2825" s="43">
        <f>W2824+Учет!R2825-R2825</f>
        <v>336855</v>
      </c>
      <c r="X2825" s="43">
        <f>X2824+Учет!S2825-S2825</f>
        <v>500</v>
      </c>
      <c r="Y2825" s="43">
        <f>Y2824+Учет!T2825-T2825</f>
        <v>1150</v>
      </c>
      <c r="Z2825" s="43">
        <f>Z2824+Учет!U2825-U2825</f>
        <v>500000</v>
      </c>
      <c r="AA2825" s="45">
        <f>Учет!X2825</f>
        <v>500</v>
      </c>
    </row>
    <row r="2826" spans="1:27" ht="15" customHeight="1" x14ac:dyDescent="0.25">
      <c r="A2826" s="1"/>
      <c r="B2826" s="17"/>
      <c r="C2826" s="17"/>
      <c r="D2826" s="17"/>
      <c r="E2826" s="17"/>
      <c r="F2826" s="17"/>
      <c r="G2826" s="4">
        <f t="shared" si="129"/>
        <v>0</v>
      </c>
      <c r="H2826" s="17"/>
      <c r="I2826" s="4">
        <f t="shared" si="131"/>
        <v>349526.07999999996</v>
      </c>
      <c r="J2826" s="32" t="str">
        <f t="shared" si="130"/>
        <v/>
      </c>
      <c r="K2826" s="72"/>
      <c r="L2826" s="72"/>
      <c r="M2826" s="2"/>
      <c r="N2826" s="5"/>
      <c r="O2826" s="3"/>
      <c r="P2826" s="6"/>
      <c r="Q2826" s="48">
        <f>IF(Учет!$O2826=Справочники!$F$2,Учет!$H2826,0)</f>
        <v>0</v>
      </c>
      <c r="R2826" s="48">
        <f>IF(Учет!$O2826=Справочники!$F$3,Учет!$H2826,0)</f>
        <v>0</v>
      </c>
      <c r="S2826" s="48">
        <f>IF(Учет!$O2826=Справочники!$F$4,Учет!$H2826,0)</f>
        <v>0</v>
      </c>
      <c r="T2826" s="48">
        <f>IF(Учет!$O2826=Справочники!$F$5,Учет!$H2826,0)</f>
        <v>0</v>
      </c>
      <c r="U2826" s="48">
        <f>IF(Учет!$O2826=Справочники!$F$6,Учет!$H2826,0)</f>
        <v>0</v>
      </c>
      <c r="V2826" s="43">
        <f>V2825+Учет!Q2826-Q2826</f>
        <v>-488978.92000000004</v>
      </c>
      <c r="W2826" s="43">
        <f>W2825+Учет!R2826-R2826</f>
        <v>336855</v>
      </c>
      <c r="X2826" s="43">
        <f>X2825+Учет!S2826-S2826</f>
        <v>500</v>
      </c>
      <c r="Y2826" s="43">
        <f>Y2825+Учет!T2826-T2826</f>
        <v>1150</v>
      </c>
      <c r="Z2826" s="43">
        <f>Z2825+Учет!U2826-U2826</f>
        <v>500000</v>
      </c>
      <c r="AA2826" s="45">
        <f>Учет!X2826</f>
        <v>500</v>
      </c>
    </row>
    <row r="2827" spans="1:27" ht="15" customHeight="1" x14ac:dyDescent="0.25">
      <c r="A2827" s="1"/>
      <c r="B2827" s="17"/>
      <c r="C2827" s="17"/>
      <c r="D2827" s="17"/>
      <c r="E2827" s="17"/>
      <c r="F2827" s="17"/>
      <c r="G2827" s="4">
        <f t="shared" si="129"/>
        <v>0</v>
      </c>
      <c r="H2827" s="17"/>
      <c r="I2827" s="4">
        <f t="shared" si="131"/>
        <v>349526.07999999996</v>
      </c>
      <c r="J2827" s="32" t="str">
        <f t="shared" si="130"/>
        <v/>
      </c>
      <c r="K2827" s="72"/>
      <c r="L2827" s="72"/>
      <c r="M2827" s="2"/>
      <c r="N2827" s="5"/>
      <c r="O2827" s="3"/>
      <c r="P2827" s="6"/>
      <c r="Q2827" s="48">
        <f>IF(Учет!$O2827=Справочники!$F$2,Учет!$H2827,0)</f>
        <v>0</v>
      </c>
      <c r="R2827" s="48">
        <f>IF(Учет!$O2827=Справочники!$F$3,Учет!$H2827,0)</f>
        <v>0</v>
      </c>
      <c r="S2827" s="48">
        <f>IF(Учет!$O2827=Справочники!$F$4,Учет!$H2827,0)</f>
        <v>0</v>
      </c>
      <c r="T2827" s="48">
        <f>IF(Учет!$O2827=Справочники!$F$5,Учет!$H2827,0)</f>
        <v>0</v>
      </c>
      <c r="U2827" s="48">
        <f>IF(Учет!$O2827=Справочники!$F$6,Учет!$H2827,0)</f>
        <v>0</v>
      </c>
      <c r="V2827" s="43">
        <f>V2826+Учет!Q2827-Q2827</f>
        <v>-488978.92000000004</v>
      </c>
      <c r="W2827" s="43">
        <f>W2826+Учет!R2827-R2827</f>
        <v>336855</v>
      </c>
      <c r="X2827" s="43">
        <f>X2826+Учет!S2827-S2827</f>
        <v>500</v>
      </c>
      <c r="Y2827" s="43">
        <f>Y2826+Учет!T2827-T2827</f>
        <v>1150</v>
      </c>
      <c r="Z2827" s="43">
        <f>Z2826+Учет!U2827-U2827</f>
        <v>500000</v>
      </c>
      <c r="AA2827" s="45">
        <f>Учет!X2827</f>
        <v>500</v>
      </c>
    </row>
    <row r="2828" spans="1:27" ht="15" customHeight="1" x14ac:dyDescent="0.25">
      <c r="A2828" s="1"/>
      <c r="B2828" s="17"/>
      <c r="C2828" s="17"/>
      <c r="D2828" s="17"/>
      <c r="E2828" s="17"/>
      <c r="F2828" s="17"/>
      <c r="G2828" s="4">
        <f t="shared" si="129"/>
        <v>0</v>
      </c>
      <c r="H2828" s="17"/>
      <c r="I2828" s="4">
        <f t="shared" si="131"/>
        <v>349526.07999999996</v>
      </c>
      <c r="J2828" s="32" t="str">
        <f t="shared" si="130"/>
        <v/>
      </c>
      <c r="K2828" s="72"/>
      <c r="L2828" s="72"/>
      <c r="M2828" s="2"/>
      <c r="N2828" s="5"/>
      <c r="O2828" s="3"/>
      <c r="P2828" s="6"/>
      <c r="Q2828" s="48">
        <f>IF(Учет!$O2828=Справочники!$F$2,Учет!$H2828,0)</f>
        <v>0</v>
      </c>
      <c r="R2828" s="48">
        <f>IF(Учет!$O2828=Справочники!$F$3,Учет!$H2828,0)</f>
        <v>0</v>
      </c>
      <c r="S2828" s="48">
        <f>IF(Учет!$O2828=Справочники!$F$4,Учет!$H2828,0)</f>
        <v>0</v>
      </c>
      <c r="T2828" s="48">
        <f>IF(Учет!$O2828=Справочники!$F$5,Учет!$H2828,0)</f>
        <v>0</v>
      </c>
      <c r="U2828" s="48">
        <f>IF(Учет!$O2828=Справочники!$F$6,Учет!$H2828,0)</f>
        <v>0</v>
      </c>
      <c r="V2828" s="43">
        <f>V2827+Учет!Q2828-Q2828</f>
        <v>-488978.92000000004</v>
      </c>
      <c r="W2828" s="43">
        <f>W2827+Учет!R2828-R2828</f>
        <v>336855</v>
      </c>
      <c r="X2828" s="43">
        <f>X2827+Учет!S2828-S2828</f>
        <v>500</v>
      </c>
      <c r="Y2828" s="43">
        <f>Y2827+Учет!T2828-T2828</f>
        <v>1150</v>
      </c>
      <c r="Z2828" s="43">
        <f>Z2827+Учет!U2828-U2828</f>
        <v>500000</v>
      </c>
      <c r="AA2828" s="45">
        <f>Учет!X2828</f>
        <v>500</v>
      </c>
    </row>
    <row r="2829" spans="1:27" ht="15" customHeight="1" x14ac:dyDescent="0.25">
      <c r="A2829" s="1"/>
      <c r="B2829" s="17"/>
      <c r="C2829" s="17"/>
      <c r="D2829" s="17"/>
      <c r="E2829" s="17"/>
      <c r="F2829" s="17"/>
      <c r="G2829" s="4">
        <f t="shared" si="129"/>
        <v>0</v>
      </c>
      <c r="H2829" s="17"/>
      <c r="I2829" s="4">
        <f t="shared" si="131"/>
        <v>349526.07999999996</v>
      </c>
      <c r="J2829" s="32" t="str">
        <f t="shared" si="130"/>
        <v/>
      </c>
      <c r="K2829" s="72"/>
      <c r="L2829" s="72"/>
      <c r="M2829" s="2"/>
      <c r="N2829" s="5"/>
      <c r="O2829" s="3"/>
      <c r="P2829" s="6"/>
      <c r="Q2829" s="48">
        <f>IF(Учет!$O2829=Справочники!$F$2,Учет!$H2829,0)</f>
        <v>0</v>
      </c>
      <c r="R2829" s="48">
        <f>IF(Учет!$O2829=Справочники!$F$3,Учет!$H2829,0)</f>
        <v>0</v>
      </c>
      <c r="S2829" s="48">
        <f>IF(Учет!$O2829=Справочники!$F$4,Учет!$H2829,0)</f>
        <v>0</v>
      </c>
      <c r="T2829" s="48">
        <f>IF(Учет!$O2829=Справочники!$F$5,Учет!$H2829,0)</f>
        <v>0</v>
      </c>
      <c r="U2829" s="48">
        <f>IF(Учет!$O2829=Справочники!$F$6,Учет!$H2829,0)</f>
        <v>0</v>
      </c>
      <c r="V2829" s="43">
        <f>V2828+Учет!Q2829-Q2829</f>
        <v>-488978.92000000004</v>
      </c>
      <c r="W2829" s="43">
        <f>W2828+Учет!R2829-R2829</f>
        <v>336855</v>
      </c>
      <c r="X2829" s="43">
        <f>X2828+Учет!S2829-S2829</f>
        <v>500</v>
      </c>
      <c r="Y2829" s="43">
        <f>Y2828+Учет!T2829-T2829</f>
        <v>1150</v>
      </c>
      <c r="Z2829" s="43">
        <f>Z2828+Учет!U2829-U2829</f>
        <v>500000</v>
      </c>
      <c r="AA2829" s="45">
        <f>Учет!X2829</f>
        <v>500</v>
      </c>
    </row>
    <row r="2830" spans="1:27" ht="15" customHeight="1" x14ac:dyDescent="0.25">
      <c r="A2830" s="1"/>
      <c r="B2830" s="17"/>
      <c r="C2830" s="17"/>
      <c r="D2830" s="17"/>
      <c r="E2830" s="17"/>
      <c r="F2830" s="17"/>
      <c r="G2830" s="4">
        <f t="shared" si="129"/>
        <v>0</v>
      </c>
      <c r="H2830" s="17"/>
      <c r="I2830" s="4">
        <f t="shared" si="131"/>
        <v>349526.07999999996</v>
      </c>
      <c r="J2830" s="32" t="str">
        <f t="shared" si="130"/>
        <v/>
      </c>
      <c r="K2830" s="72"/>
      <c r="L2830" s="72"/>
      <c r="M2830" s="2"/>
      <c r="N2830" s="5"/>
      <c r="O2830" s="3"/>
      <c r="P2830" s="6"/>
      <c r="Q2830" s="48">
        <f>IF(Учет!$O2830=Справочники!$F$2,Учет!$H2830,0)</f>
        <v>0</v>
      </c>
      <c r="R2830" s="48">
        <f>IF(Учет!$O2830=Справочники!$F$3,Учет!$H2830,0)</f>
        <v>0</v>
      </c>
      <c r="S2830" s="48">
        <f>IF(Учет!$O2830=Справочники!$F$4,Учет!$H2830,0)</f>
        <v>0</v>
      </c>
      <c r="T2830" s="48">
        <f>IF(Учет!$O2830=Справочники!$F$5,Учет!$H2830,0)</f>
        <v>0</v>
      </c>
      <c r="U2830" s="48">
        <f>IF(Учет!$O2830=Справочники!$F$6,Учет!$H2830,0)</f>
        <v>0</v>
      </c>
      <c r="V2830" s="43">
        <f>V2829+Учет!Q2830-Q2830</f>
        <v>-488978.92000000004</v>
      </c>
      <c r="W2830" s="43">
        <f>W2829+Учет!R2830-R2830</f>
        <v>336855</v>
      </c>
      <c r="X2830" s="43">
        <f>X2829+Учет!S2830-S2830</f>
        <v>500</v>
      </c>
      <c r="Y2830" s="43">
        <f>Y2829+Учет!T2830-T2830</f>
        <v>1150</v>
      </c>
      <c r="Z2830" s="43">
        <f>Z2829+Учет!U2830-U2830</f>
        <v>500000</v>
      </c>
      <c r="AA2830" s="45">
        <f>Учет!X2830</f>
        <v>500</v>
      </c>
    </row>
    <row r="2831" spans="1:27" ht="15" customHeight="1" x14ac:dyDescent="0.25">
      <c r="A2831" s="1"/>
      <c r="B2831" s="17"/>
      <c r="C2831" s="17"/>
      <c r="D2831" s="17"/>
      <c r="E2831" s="17"/>
      <c r="F2831" s="17"/>
      <c r="G2831" s="4">
        <f t="shared" si="129"/>
        <v>0</v>
      </c>
      <c r="H2831" s="17"/>
      <c r="I2831" s="4">
        <f t="shared" si="131"/>
        <v>349526.07999999996</v>
      </c>
      <c r="J2831" s="32" t="str">
        <f t="shared" si="130"/>
        <v/>
      </c>
      <c r="K2831" s="72"/>
      <c r="L2831" s="72"/>
      <c r="M2831" s="2"/>
      <c r="N2831" s="5"/>
      <c r="O2831" s="3"/>
      <c r="P2831" s="6"/>
      <c r="Q2831" s="48">
        <f>IF(Учет!$O2831=Справочники!$F$2,Учет!$H2831,0)</f>
        <v>0</v>
      </c>
      <c r="R2831" s="48">
        <f>IF(Учет!$O2831=Справочники!$F$3,Учет!$H2831,0)</f>
        <v>0</v>
      </c>
      <c r="S2831" s="48">
        <f>IF(Учет!$O2831=Справочники!$F$4,Учет!$H2831,0)</f>
        <v>0</v>
      </c>
      <c r="T2831" s="48">
        <f>IF(Учет!$O2831=Справочники!$F$5,Учет!$H2831,0)</f>
        <v>0</v>
      </c>
      <c r="U2831" s="48">
        <f>IF(Учет!$O2831=Справочники!$F$6,Учет!$H2831,0)</f>
        <v>0</v>
      </c>
      <c r="V2831" s="43">
        <f>V2830+Учет!Q2831-Q2831</f>
        <v>-488978.92000000004</v>
      </c>
      <c r="W2831" s="43">
        <f>W2830+Учет!R2831-R2831</f>
        <v>336855</v>
      </c>
      <c r="X2831" s="43">
        <f>X2830+Учет!S2831-S2831</f>
        <v>500</v>
      </c>
      <c r="Y2831" s="43">
        <f>Y2830+Учет!T2831-T2831</f>
        <v>1150</v>
      </c>
      <c r="Z2831" s="43">
        <f>Z2830+Учет!U2831-U2831</f>
        <v>500000</v>
      </c>
      <c r="AA2831" s="45">
        <f>Учет!X2831</f>
        <v>500</v>
      </c>
    </row>
    <row r="2832" spans="1:27" ht="15" customHeight="1" x14ac:dyDescent="0.25">
      <c r="A2832" s="1"/>
      <c r="B2832" s="17"/>
      <c r="C2832" s="17"/>
      <c r="D2832" s="17"/>
      <c r="E2832" s="17"/>
      <c r="F2832" s="17"/>
      <c r="G2832" s="4">
        <f t="shared" si="129"/>
        <v>0</v>
      </c>
      <c r="H2832" s="17"/>
      <c r="I2832" s="4">
        <f t="shared" si="131"/>
        <v>349526.07999999996</v>
      </c>
      <c r="J2832" s="32" t="str">
        <f t="shared" si="130"/>
        <v/>
      </c>
      <c r="K2832" s="72"/>
      <c r="L2832" s="72"/>
      <c r="M2832" s="2"/>
      <c r="N2832" s="5"/>
      <c r="O2832" s="3"/>
      <c r="P2832" s="6"/>
      <c r="Q2832" s="48">
        <f>IF(Учет!$O2832=Справочники!$F$2,Учет!$H2832,0)</f>
        <v>0</v>
      </c>
      <c r="R2832" s="48">
        <f>IF(Учет!$O2832=Справочники!$F$3,Учет!$H2832,0)</f>
        <v>0</v>
      </c>
      <c r="S2832" s="48">
        <f>IF(Учет!$O2832=Справочники!$F$4,Учет!$H2832,0)</f>
        <v>0</v>
      </c>
      <c r="T2832" s="48">
        <f>IF(Учет!$O2832=Справочники!$F$5,Учет!$H2832,0)</f>
        <v>0</v>
      </c>
      <c r="U2832" s="48">
        <f>IF(Учет!$O2832=Справочники!$F$6,Учет!$H2832,0)</f>
        <v>0</v>
      </c>
      <c r="V2832" s="43">
        <f>V2831+Учет!Q2832-Q2832</f>
        <v>-488978.92000000004</v>
      </c>
      <c r="W2832" s="43">
        <f>W2831+Учет!R2832-R2832</f>
        <v>336855</v>
      </c>
      <c r="X2832" s="43">
        <f>X2831+Учет!S2832-S2832</f>
        <v>500</v>
      </c>
      <c r="Y2832" s="43">
        <f>Y2831+Учет!T2832-T2832</f>
        <v>1150</v>
      </c>
      <c r="Z2832" s="43">
        <f>Z2831+Учет!U2832-U2832</f>
        <v>500000</v>
      </c>
      <c r="AA2832" s="45">
        <f>Учет!X2832</f>
        <v>500</v>
      </c>
    </row>
    <row r="2833" spans="1:27" ht="15" customHeight="1" x14ac:dyDescent="0.25">
      <c r="A2833" s="1"/>
      <c r="B2833" s="17"/>
      <c r="C2833" s="17"/>
      <c r="D2833" s="17"/>
      <c r="E2833" s="17"/>
      <c r="F2833" s="17"/>
      <c r="G2833" s="4">
        <f t="shared" si="129"/>
        <v>0</v>
      </c>
      <c r="H2833" s="17"/>
      <c r="I2833" s="4">
        <f t="shared" si="131"/>
        <v>349526.07999999996</v>
      </c>
      <c r="J2833" s="32" t="str">
        <f t="shared" si="130"/>
        <v/>
      </c>
      <c r="K2833" s="72"/>
      <c r="L2833" s="72"/>
      <c r="M2833" s="2"/>
      <c r="N2833" s="5"/>
      <c r="O2833" s="3"/>
      <c r="P2833" s="6"/>
      <c r="Q2833" s="48">
        <f>IF(Учет!$O2833=Справочники!$F$2,Учет!$H2833,0)</f>
        <v>0</v>
      </c>
      <c r="R2833" s="48">
        <f>IF(Учет!$O2833=Справочники!$F$3,Учет!$H2833,0)</f>
        <v>0</v>
      </c>
      <c r="S2833" s="48">
        <f>IF(Учет!$O2833=Справочники!$F$4,Учет!$H2833,0)</f>
        <v>0</v>
      </c>
      <c r="T2833" s="48">
        <f>IF(Учет!$O2833=Справочники!$F$5,Учет!$H2833,0)</f>
        <v>0</v>
      </c>
      <c r="U2833" s="48">
        <f>IF(Учет!$O2833=Справочники!$F$6,Учет!$H2833,0)</f>
        <v>0</v>
      </c>
      <c r="V2833" s="43">
        <f>V2832+Учет!Q2833-Q2833</f>
        <v>-488978.92000000004</v>
      </c>
      <c r="W2833" s="43">
        <f>W2832+Учет!R2833-R2833</f>
        <v>336855</v>
      </c>
      <c r="X2833" s="43">
        <f>X2832+Учет!S2833-S2833</f>
        <v>500</v>
      </c>
      <c r="Y2833" s="43">
        <f>Y2832+Учет!T2833-T2833</f>
        <v>1150</v>
      </c>
      <c r="Z2833" s="43">
        <f>Z2832+Учет!U2833-U2833</f>
        <v>500000</v>
      </c>
      <c r="AA2833" s="45">
        <f>Учет!X2833</f>
        <v>500</v>
      </c>
    </row>
    <row r="2834" spans="1:27" ht="15" customHeight="1" x14ac:dyDescent="0.25">
      <c r="A2834" s="1"/>
      <c r="B2834" s="17"/>
      <c r="C2834" s="17"/>
      <c r="D2834" s="17"/>
      <c r="E2834" s="17"/>
      <c r="F2834" s="17"/>
      <c r="G2834" s="4">
        <f t="shared" si="129"/>
        <v>0</v>
      </c>
      <c r="H2834" s="17"/>
      <c r="I2834" s="4">
        <f t="shared" si="131"/>
        <v>349526.07999999996</v>
      </c>
      <c r="J2834" s="32" t="str">
        <f t="shared" si="130"/>
        <v/>
      </c>
      <c r="K2834" s="72"/>
      <c r="L2834" s="72"/>
      <c r="M2834" s="2"/>
      <c r="N2834" s="5"/>
      <c r="O2834" s="3"/>
      <c r="P2834" s="6"/>
      <c r="Q2834" s="48">
        <f>IF(Учет!$O2834=Справочники!$F$2,Учет!$H2834,0)</f>
        <v>0</v>
      </c>
      <c r="R2834" s="48">
        <f>IF(Учет!$O2834=Справочники!$F$3,Учет!$H2834,0)</f>
        <v>0</v>
      </c>
      <c r="S2834" s="48">
        <f>IF(Учет!$O2834=Справочники!$F$4,Учет!$H2834,0)</f>
        <v>0</v>
      </c>
      <c r="T2834" s="48">
        <f>IF(Учет!$O2834=Справочники!$F$5,Учет!$H2834,0)</f>
        <v>0</v>
      </c>
      <c r="U2834" s="48">
        <f>IF(Учет!$O2834=Справочники!$F$6,Учет!$H2834,0)</f>
        <v>0</v>
      </c>
      <c r="V2834" s="43">
        <f>V2833+Учет!Q2834-Q2834</f>
        <v>-488978.92000000004</v>
      </c>
      <c r="W2834" s="43">
        <f>W2833+Учет!R2834-R2834</f>
        <v>336855</v>
      </c>
      <c r="X2834" s="43">
        <f>X2833+Учет!S2834-S2834</f>
        <v>500</v>
      </c>
      <c r="Y2834" s="43">
        <f>Y2833+Учет!T2834-T2834</f>
        <v>1150</v>
      </c>
      <c r="Z2834" s="43">
        <f>Z2833+Учет!U2834-U2834</f>
        <v>500000</v>
      </c>
      <c r="AA2834" s="45">
        <f>Учет!X2834</f>
        <v>500</v>
      </c>
    </row>
    <row r="2835" spans="1:27" ht="15" customHeight="1" x14ac:dyDescent="0.25">
      <c r="A2835" s="1"/>
      <c r="B2835" s="17"/>
      <c r="C2835" s="17"/>
      <c r="D2835" s="17"/>
      <c r="E2835" s="17"/>
      <c r="F2835" s="17"/>
      <c r="G2835" s="4">
        <f t="shared" si="129"/>
        <v>0</v>
      </c>
      <c r="H2835" s="17"/>
      <c r="I2835" s="4">
        <f t="shared" si="131"/>
        <v>349526.07999999996</v>
      </c>
      <c r="J2835" s="32" t="str">
        <f t="shared" si="130"/>
        <v/>
      </c>
      <c r="K2835" s="72"/>
      <c r="L2835" s="72"/>
      <c r="M2835" s="2"/>
      <c r="N2835" s="5"/>
      <c r="O2835" s="3"/>
      <c r="P2835" s="6"/>
      <c r="Q2835" s="48">
        <f>IF(Учет!$O2835=Справочники!$F$2,Учет!$H2835,0)</f>
        <v>0</v>
      </c>
      <c r="R2835" s="48">
        <f>IF(Учет!$O2835=Справочники!$F$3,Учет!$H2835,0)</f>
        <v>0</v>
      </c>
      <c r="S2835" s="48">
        <f>IF(Учет!$O2835=Справочники!$F$4,Учет!$H2835,0)</f>
        <v>0</v>
      </c>
      <c r="T2835" s="48">
        <f>IF(Учет!$O2835=Справочники!$F$5,Учет!$H2835,0)</f>
        <v>0</v>
      </c>
      <c r="U2835" s="48">
        <f>IF(Учет!$O2835=Справочники!$F$6,Учет!$H2835,0)</f>
        <v>0</v>
      </c>
      <c r="V2835" s="43">
        <f>V2834+Учет!Q2835-Q2835</f>
        <v>-488978.92000000004</v>
      </c>
      <c r="W2835" s="43">
        <f>W2834+Учет!R2835-R2835</f>
        <v>336855</v>
      </c>
      <c r="X2835" s="43">
        <f>X2834+Учет!S2835-S2835</f>
        <v>500</v>
      </c>
      <c r="Y2835" s="43">
        <f>Y2834+Учет!T2835-T2835</f>
        <v>1150</v>
      </c>
      <c r="Z2835" s="43">
        <f>Z2834+Учет!U2835-U2835</f>
        <v>500000</v>
      </c>
      <c r="AA2835" s="45">
        <f>Учет!X2835</f>
        <v>500</v>
      </c>
    </row>
    <row r="2836" spans="1:27" ht="15" customHeight="1" x14ac:dyDescent="0.25">
      <c r="A2836" s="1"/>
      <c r="B2836" s="17"/>
      <c r="C2836" s="17"/>
      <c r="D2836" s="17"/>
      <c r="E2836" s="17"/>
      <c r="F2836" s="17"/>
      <c r="G2836" s="4">
        <f t="shared" si="129"/>
        <v>0</v>
      </c>
      <c r="H2836" s="17"/>
      <c r="I2836" s="4">
        <f t="shared" si="131"/>
        <v>349526.07999999996</v>
      </c>
      <c r="J2836" s="32" t="str">
        <f t="shared" si="130"/>
        <v/>
      </c>
      <c r="K2836" s="72"/>
      <c r="L2836" s="72"/>
      <c r="M2836" s="2"/>
      <c r="N2836" s="5"/>
      <c r="O2836" s="3"/>
      <c r="P2836" s="6"/>
      <c r="Q2836" s="48">
        <f>IF(Учет!$O2836=Справочники!$F$2,Учет!$H2836,0)</f>
        <v>0</v>
      </c>
      <c r="R2836" s="48">
        <f>IF(Учет!$O2836=Справочники!$F$3,Учет!$H2836,0)</f>
        <v>0</v>
      </c>
      <c r="S2836" s="48">
        <f>IF(Учет!$O2836=Справочники!$F$4,Учет!$H2836,0)</f>
        <v>0</v>
      </c>
      <c r="T2836" s="48">
        <f>IF(Учет!$O2836=Справочники!$F$5,Учет!$H2836,0)</f>
        <v>0</v>
      </c>
      <c r="U2836" s="48">
        <f>IF(Учет!$O2836=Справочники!$F$6,Учет!$H2836,0)</f>
        <v>0</v>
      </c>
      <c r="V2836" s="43">
        <f>V2835+Учет!Q2836-Q2836</f>
        <v>-488978.92000000004</v>
      </c>
      <c r="W2836" s="43">
        <f>W2835+Учет!R2836-R2836</f>
        <v>336855</v>
      </c>
      <c r="X2836" s="43">
        <f>X2835+Учет!S2836-S2836</f>
        <v>500</v>
      </c>
      <c r="Y2836" s="43">
        <f>Y2835+Учет!T2836-T2836</f>
        <v>1150</v>
      </c>
      <c r="Z2836" s="43">
        <f>Z2835+Учет!U2836-U2836</f>
        <v>500000</v>
      </c>
      <c r="AA2836" s="45">
        <f>Учет!X2836</f>
        <v>500</v>
      </c>
    </row>
    <row r="2837" spans="1:27" ht="15" customHeight="1" x14ac:dyDescent="0.25">
      <c r="A2837" s="1"/>
      <c r="B2837" s="17"/>
      <c r="C2837" s="17"/>
      <c r="D2837" s="17"/>
      <c r="E2837" s="17"/>
      <c r="F2837" s="17"/>
      <c r="G2837" s="4">
        <f t="shared" si="129"/>
        <v>0</v>
      </c>
      <c r="H2837" s="17"/>
      <c r="I2837" s="4">
        <f t="shared" si="131"/>
        <v>349526.07999999996</v>
      </c>
      <c r="J2837" s="32" t="str">
        <f t="shared" si="130"/>
        <v/>
      </c>
      <c r="K2837" s="72"/>
      <c r="L2837" s="72"/>
      <c r="M2837" s="2"/>
      <c r="N2837" s="5"/>
      <c r="O2837" s="3"/>
      <c r="P2837" s="6"/>
      <c r="Q2837" s="48">
        <f>IF(Учет!$O2837=Справочники!$F$2,Учет!$H2837,0)</f>
        <v>0</v>
      </c>
      <c r="R2837" s="48">
        <f>IF(Учет!$O2837=Справочники!$F$3,Учет!$H2837,0)</f>
        <v>0</v>
      </c>
      <c r="S2837" s="48">
        <f>IF(Учет!$O2837=Справочники!$F$4,Учет!$H2837,0)</f>
        <v>0</v>
      </c>
      <c r="T2837" s="48">
        <f>IF(Учет!$O2837=Справочники!$F$5,Учет!$H2837,0)</f>
        <v>0</v>
      </c>
      <c r="U2837" s="48">
        <f>IF(Учет!$O2837=Справочники!$F$6,Учет!$H2837,0)</f>
        <v>0</v>
      </c>
      <c r="V2837" s="43">
        <f>V2836+Учет!Q2837-Q2837</f>
        <v>-488978.92000000004</v>
      </c>
      <c r="W2837" s="43">
        <f>W2836+Учет!R2837-R2837</f>
        <v>336855</v>
      </c>
      <c r="X2837" s="43">
        <f>X2836+Учет!S2837-S2837</f>
        <v>500</v>
      </c>
      <c r="Y2837" s="43">
        <f>Y2836+Учет!T2837-T2837</f>
        <v>1150</v>
      </c>
      <c r="Z2837" s="43">
        <f>Z2836+Учет!U2837-U2837</f>
        <v>500000</v>
      </c>
      <c r="AA2837" s="45">
        <f>Учет!X2837</f>
        <v>500</v>
      </c>
    </row>
    <row r="2838" spans="1:27" ht="15" customHeight="1" x14ac:dyDescent="0.25">
      <c r="A2838" s="1"/>
      <c r="B2838" s="17"/>
      <c r="C2838" s="17"/>
      <c r="D2838" s="17"/>
      <c r="E2838" s="17"/>
      <c r="F2838" s="17"/>
      <c r="G2838" s="4">
        <f t="shared" si="129"/>
        <v>0</v>
      </c>
      <c r="H2838" s="17"/>
      <c r="I2838" s="4">
        <f t="shared" si="131"/>
        <v>349526.07999999996</v>
      </c>
      <c r="J2838" s="32" t="str">
        <f t="shared" si="130"/>
        <v/>
      </c>
      <c r="K2838" s="72"/>
      <c r="L2838" s="72"/>
      <c r="M2838" s="2"/>
      <c r="N2838" s="5"/>
      <c r="O2838" s="3"/>
      <c r="P2838" s="6"/>
      <c r="Q2838" s="48">
        <f>IF(Учет!$O2838=Справочники!$F$2,Учет!$H2838,0)</f>
        <v>0</v>
      </c>
      <c r="R2838" s="48">
        <f>IF(Учет!$O2838=Справочники!$F$3,Учет!$H2838,0)</f>
        <v>0</v>
      </c>
      <c r="S2838" s="48">
        <f>IF(Учет!$O2838=Справочники!$F$4,Учет!$H2838,0)</f>
        <v>0</v>
      </c>
      <c r="T2838" s="48">
        <f>IF(Учет!$O2838=Справочники!$F$5,Учет!$H2838,0)</f>
        <v>0</v>
      </c>
      <c r="U2838" s="48">
        <f>IF(Учет!$O2838=Справочники!$F$6,Учет!$H2838,0)</f>
        <v>0</v>
      </c>
      <c r="V2838" s="43">
        <f>V2837+Учет!Q2838-Q2838</f>
        <v>-488978.92000000004</v>
      </c>
      <c r="W2838" s="43">
        <f>W2837+Учет!R2838-R2838</f>
        <v>336855</v>
      </c>
      <c r="X2838" s="43">
        <f>X2837+Учет!S2838-S2838</f>
        <v>500</v>
      </c>
      <c r="Y2838" s="43">
        <f>Y2837+Учет!T2838-T2838</f>
        <v>1150</v>
      </c>
      <c r="Z2838" s="43">
        <f>Z2837+Учет!U2838-U2838</f>
        <v>500000</v>
      </c>
      <c r="AA2838" s="45">
        <f>Учет!X2838</f>
        <v>500</v>
      </c>
    </row>
    <row r="2839" spans="1:27" ht="15" customHeight="1" x14ac:dyDescent="0.25">
      <c r="A2839" s="1"/>
      <c r="B2839" s="17"/>
      <c r="C2839" s="17"/>
      <c r="D2839" s="17"/>
      <c r="E2839" s="17"/>
      <c r="F2839" s="17"/>
      <c r="G2839" s="4">
        <f t="shared" si="129"/>
        <v>0</v>
      </c>
      <c r="H2839" s="17"/>
      <c r="I2839" s="4">
        <f t="shared" si="131"/>
        <v>349526.07999999996</v>
      </c>
      <c r="J2839" s="32" t="str">
        <f t="shared" si="130"/>
        <v/>
      </c>
      <c r="K2839" s="72"/>
      <c r="L2839" s="72"/>
      <c r="M2839" s="2"/>
      <c r="N2839" s="5"/>
      <c r="O2839" s="3"/>
      <c r="P2839" s="6"/>
      <c r="Q2839" s="48">
        <f>IF(Учет!$O2839=Справочники!$F$2,Учет!$H2839,0)</f>
        <v>0</v>
      </c>
      <c r="R2839" s="48">
        <f>IF(Учет!$O2839=Справочники!$F$3,Учет!$H2839,0)</f>
        <v>0</v>
      </c>
      <c r="S2839" s="48">
        <f>IF(Учет!$O2839=Справочники!$F$4,Учет!$H2839,0)</f>
        <v>0</v>
      </c>
      <c r="T2839" s="48">
        <f>IF(Учет!$O2839=Справочники!$F$5,Учет!$H2839,0)</f>
        <v>0</v>
      </c>
      <c r="U2839" s="48">
        <f>IF(Учет!$O2839=Справочники!$F$6,Учет!$H2839,0)</f>
        <v>0</v>
      </c>
      <c r="V2839" s="43">
        <f>V2838+Учет!Q2839-Q2839</f>
        <v>-488978.92000000004</v>
      </c>
      <c r="W2839" s="43">
        <f>W2838+Учет!R2839-R2839</f>
        <v>336855</v>
      </c>
      <c r="X2839" s="43">
        <f>X2838+Учет!S2839-S2839</f>
        <v>500</v>
      </c>
      <c r="Y2839" s="43">
        <f>Y2838+Учет!T2839-T2839</f>
        <v>1150</v>
      </c>
      <c r="Z2839" s="43">
        <f>Z2838+Учет!U2839-U2839</f>
        <v>500000</v>
      </c>
      <c r="AA2839" s="45">
        <f>Учет!X2839</f>
        <v>500</v>
      </c>
    </row>
    <row r="2840" spans="1:27" ht="15" customHeight="1" x14ac:dyDescent="0.25">
      <c r="A2840" s="1"/>
      <c r="B2840" s="17"/>
      <c r="C2840" s="17"/>
      <c r="D2840" s="17"/>
      <c r="E2840" s="17"/>
      <c r="F2840" s="17"/>
      <c r="G2840" s="4">
        <f t="shared" si="129"/>
        <v>0</v>
      </c>
      <c r="H2840" s="17"/>
      <c r="I2840" s="4">
        <f t="shared" si="131"/>
        <v>349526.07999999996</v>
      </c>
      <c r="J2840" s="32" t="str">
        <f t="shared" si="130"/>
        <v/>
      </c>
      <c r="K2840" s="72"/>
      <c r="L2840" s="72"/>
      <c r="M2840" s="2"/>
      <c r="N2840" s="5"/>
      <c r="O2840" s="3"/>
      <c r="P2840" s="6"/>
      <c r="Q2840" s="48">
        <f>IF(Учет!$O2840=Справочники!$F$2,Учет!$H2840,0)</f>
        <v>0</v>
      </c>
      <c r="R2840" s="48">
        <f>IF(Учет!$O2840=Справочники!$F$3,Учет!$H2840,0)</f>
        <v>0</v>
      </c>
      <c r="S2840" s="48">
        <f>IF(Учет!$O2840=Справочники!$F$4,Учет!$H2840,0)</f>
        <v>0</v>
      </c>
      <c r="T2840" s="48">
        <f>IF(Учет!$O2840=Справочники!$F$5,Учет!$H2840,0)</f>
        <v>0</v>
      </c>
      <c r="U2840" s="48">
        <f>IF(Учет!$O2840=Справочники!$F$6,Учет!$H2840,0)</f>
        <v>0</v>
      </c>
      <c r="V2840" s="43">
        <f>V2839+Учет!Q2840-Q2840</f>
        <v>-488978.92000000004</v>
      </c>
      <c r="W2840" s="43">
        <f>W2839+Учет!R2840-R2840</f>
        <v>336855</v>
      </c>
      <c r="X2840" s="43">
        <f>X2839+Учет!S2840-S2840</f>
        <v>500</v>
      </c>
      <c r="Y2840" s="43">
        <f>Y2839+Учет!T2840-T2840</f>
        <v>1150</v>
      </c>
      <c r="Z2840" s="43">
        <f>Z2839+Учет!U2840-U2840</f>
        <v>500000</v>
      </c>
      <c r="AA2840" s="45">
        <f>Учет!X2840</f>
        <v>500</v>
      </c>
    </row>
    <row r="2841" spans="1:27" ht="15" customHeight="1" x14ac:dyDescent="0.25">
      <c r="A2841" s="1"/>
      <c r="B2841" s="17"/>
      <c r="C2841" s="17"/>
      <c r="D2841" s="17"/>
      <c r="E2841" s="17"/>
      <c r="F2841" s="17"/>
      <c r="G2841" s="4">
        <f t="shared" si="129"/>
        <v>0</v>
      </c>
      <c r="H2841" s="17"/>
      <c r="I2841" s="4">
        <f t="shared" si="131"/>
        <v>349526.07999999996</v>
      </c>
      <c r="J2841" s="32" t="str">
        <f t="shared" si="130"/>
        <v/>
      </c>
      <c r="K2841" s="72"/>
      <c r="L2841" s="72"/>
      <c r="M2841" s="2"/>
      <c r="N2841" s="5"/>
      <c r="O2841" s="3"/>
      <c r="P2841" s="6"/>
      <c r="Q2841" s="48">
        <f>IF(Учет!$O2841=Справочники!$F$2,Учет!$H2841,0)</f>
        <v>0</v>
      </c>
      <c r="R2841" s="48">
        <f>IF(Учет!$O2841=Справочники!$F$3,Учет!$H2841,0)</f>
        <v>0</v>
      </c>
      <c r="S2841" s="48">
        <f>IF(Учет!$O2841=Справочники!$F$4,Учет!$H2841,0)</f>
        <v>0</v>
      </c>
      <c r="T2841" s="48">
        <f>IF(Учет!$O2841=Справочники!$F$5,Учет!$H2841,0)</f>
        <v>0</v>
      </c>
      <c r="U2841" s="48">
        <f>IF(Учет!$O2841=Справочники!$F$6,Учет!$H2841,0)</f>
        <v>0</v>
      </c>
      <c r="V2841" s="43">
        <f>V2840+Учет!Q2841-Q2841</f>
        <v>-488978.92000000004</v>
      </c>
      <c r="W2841" s="43">
        <f>W2840+Учет!R2841-R2841</f>
        <v>336855</v>
      </c>
      <c r="X2841" s="43">
        <f>X2840+Учет!S2841-S2841</f>
        <v>500</v>
      </c>
      <c r="Y2841" s="43">
        <f>Y2840+Учет!T2841-T2841</f>
        <v>1150</v>
      </c>
      <c r="Z2841" s="43">
        <f>Z2840+Учет!U2841-U2841</f>
        <v>500000</v>
      </c>
      <c r="AA2841" s="45">
        <f>Учет!X2841</f>
        <v>500</v>
      </c>
    </row>
    <row r="2842" spans="1:27" ht="15" customHeight="1" x14ac:dyDescent="0.25">
      <c r="A2842" s="1"/>
      <c r="B2842" s="17"/>
      <c r="C2842" s="17"/>
      <c r="D2842" s="17"/>
      <c r="E2842" s="17"/>
      <c r="F2842" s="17"/>
      <c r="G2842" s="4">
        <f t="shared" si="129"/>
        <v>0</v>
      </c>
      <c r="H2842" s="17"/>
      <c r="I2842" s="4">
        <f t="shared" si="131"/>
        <v>349526.07999999996</v>
      </c>
      <c r="J2842" s="32" t="str">
        <f t="shared" si="130"/>
        <v/>
      </c>
      <c r="K2842" s="72"/>
      <c r="L2842" s="72"/>
      <c r="M2842" s="2"/>
      <c r="N2842" s="5"/>
      <c r="O2842" s="3"/>
      <c r="P2842" s="6"/>
      <c r="Q2842" s="48">
        <f>IF(Учет!$O2842=Справочники!$F$2,Учет!$H2842,0)</f>
        <v>0</v>
      </c>
      <c r="R2842" s="48">
        <f>IF(Учет!$O2842=Справочники!$F$3,Учет!$H2842,0)</f>
        <v>0</v>
      </c>
      <c r="S2842" s="48">
        <f>IF(Учет!$O2842=Справочники!$F$4,Учет!$H2842,0)</f>
        <v>0</v>
      </c>
      <c r="T2842" s="48">
        <f>IF(Учет!$O2842=Справочники!$F$5,Учет!$H2842,0)</f>
        <v>0</v>
      </c>
      <c r="U2842" s="48">
        <f>IF(Учет!$O2842=Справочники!$F$6,Учет!$H2842,0)</f>
        <v>0</v>
      </c>
      <c r="V2842" s="43">
        <f>V2841+Учет!Q2842-Q2842</f>
        <v>-488978.92000000004</v>
      </c>
      <c r="W2842" s="43">
        <f>W2841+Учет!R2842-R2842</f>
        <v>336855</v>
      </c>
      <c r="X2842" s="43">
        <f>X2841+Учет!S2842-S2842</f>
        <v>500</v>
      </c>
      <c r="Y2842" s="43">
        <f>Y2841+Учет!T2842-T2842</f>
        <v>1150</v>
      </c>
      <c r="Z2842" s="43">
        <f>Z2841+Учет!U2842-U2842</f>
        <v>500000</v>
      </c>
      <c r="AA2842" s="45">
        <f>Учет!X2842</f>
        <v>500</v>
      </c>
    </row>
    <row r="2843" spans="1:27" ht="15" customHeight="1" x14ac:dyDescent="0.25">
      <c r="A2843" s="1"/>
      <c r="B2843" s="17"/>
      <c r="C2843" s="17"/>
      <c r="D2843" s="17"/>
      <c r="E2843" s="17"/>
      <c r="F2843" s="17"/>
      <c r="G2843" s="4">
        <f t="shared" si="129"/>
        <v>0</v>
      </c>
      <c r="H2843" s="17"/>
      <c r="I2843" s="4">
        <f t="shared" si="131"/>
        <v>349526.07999999996</v>
      </c>
      <c r="J2843" s="32" t="str">
        <f t="shared" si="130"/>
        <v/>
      </c>
      <c r="K2843" s="72"/>
      <c r="L2843" s="72"/>
      <c r="M2843" s="2"/>
      <c r="N2843" s="5"/>
      <c r="O2843" s="3"/>
      <c r="P2843" s="6"/>
      <c r="Q2843" s="48">
        <f>IF(Учет!$O2843=Справочники!$F$2,Учет!$H2843,0)</f>
        <v>0</v>
      </c>
      <c r="R2843" s="48">
        <f>IF(Учет!$O2843=Справочники!$F$3,Учет!$H2843,0)</f>
        <v>0</v>
      </c>
      <c r="S2843" s="48">
        <f>IF(Учет!$O2843=Справочники!$F$4,Учет!$H2843,0)</f>
        <v>0</v>
      </c>
      <c r="T2843" s="48">
        <f>IF(Учет!$O2843=Справочники!$F$5,Учет!$H2843,0)</f>
        <v>0</v>
      </c>
      <c r="U2843" s="48">
        <f>IF(Учет!$O2843=Справочники!$F$6,Учет!$H2843,0)</f>
        <v>0</v>
      </c>
      <c r="V2843" s="43">
        <f>V2842+Учет!Q2843-Q2843</f>
        <v>-488978.92000000004</v>
      </c>
      <c r="W2843" s="43">
        <f>W2842+Учет!R2843-R2843</f>
        <v>336855</v>
      </c>
      <c r="X2843" s="43">
        <f>X2842+Учет!S2843-S2843</f>
        <v>500</v>
      </c>
      <c r="Y2843" s="43">
        <f>Y2842+Учет!T2843-T2843</f>
        <v>1150</v>
      </c>
      <c r="Z2843" s="43">
        <f>Z2842+Учет!U2843-U2843</f>
        <v>500000</v>
      </c>
      <c r="AA2843" s="45">
        <f>Учет!X2843</f>
        <v>500</v>
      </c>
    </row>
    <row r="2844" spans="1:27" ht="15" customHeight="1" x14ac:dyDescent="0.25">
      <c r="A2844" s="1"/>
      <c r="B2844" s="17"/>
      <c r="C2844" s="17"/>
      <c r="D2844" s="17"/>
      <c r="E2844" s="17"/>
      <c r="F2844" s="17"/>
      <c r="G2844" s="4">
        <f t="shared" si="129"/>
        <v>0</v>
      </c>
      <c r="H2844" s="17"/>
      <c r="I2844" s="4">
        <f t="shared" si="131"/>
        <v>349526.07999999996</v>
      </c>
      <c r="J2844" s="32" t="str">
        <f t="shared" si="130"/>
        <v/>
      </c>
      <c r="K2844" s="72"/>
      <c r="L2844" s="72"/>
      <c r="M2844" s="2"/>
      <c r="N2844" s="5"/>
      <c r="O2844" s="3"/>
      <c r="P2844" s="6"/>
      <c r="Q2844" s="48">
        <f>IF(Учет!$O2844=Справочники!$F$2,Учет!$H2844,0)</f>
        <v>0</v>
      </c>
      <c r="R2844" s="48">
        <f>IF(Учет!$O2844=Справочники!$F$3,Учет!$H2844,0)</f>
        <v>0</v>
      </c>
      <c r="S2844" s="48">
        <f>IF(Учет!$O2844=Справочники!$F$4,Учет!$H2844,0)</f>
        <v>0</v>
      </c>
      <c r="T2844" s="48">
        <f>IF(Учет!$O2844=Справочники!$F$5,Учет!$H2844,0)</f>
        <v>0</v>
      </c>
      <c r="U2844" s="48">
        <f>IF(Учет!$O2844=Справочники!$F$6,Учет!$H2844,0)</f>
        <v>0</v>
      </c>
      <c r="V2844" s="43">
        <f>V2843+Учет!Q2844-Q2844</f>
        <v>-488978.92000000004</v>
      </c>
      <c r="W2844" s="43">
        <f>W2843+Учет!R2844-R2844</f>
        <v>336855</v>
      </c>
      <c r="X2844" s="43">
        <f>X2843+Учет!S2844-S2844</f>
        <v>500</v>
      </c>
      <c r="Y2844" s="43">
        <f>Y2843+Учет!T2844-T2844</f>
        <v>1150</v>
      </c>
      <c r="Z2844" s="43">
        <f>Z2843+Учет!U2844-U2844</f>
        <v>500000</v>
      </c>
      <c r="AA2844" s="45">
        <f>Учет!X2844</f>
        <v>500</v>
      </c>
    </row>
    <row r="2845" spans="1:27" ht="15" customHeight="1" x14ac:dyDescent="0.25">
      <c r="A2845" s="1"/>
      <c r="B2845" s="17"/>
      <c r="C2845" s="17"/>
      <c r="D2845" s="17"/>
      <c r="E2845" s="17"/>
      <c r="F2845" s="17"/>
      <c r="G2845" s="4">
        <f t="shared" si="129"/>
        <v>0</v>
      </c>
      <c r="H2845" s="17"/>
      <c r="I2845" s="4">
        <f t="shared" si="131"/>
        <v>349526.07999999996</v>
      </c>
      <c r="J2845" s="32" t="str">
        <f t="shared" si="130"/>
        <v/>
      </c>
      <c r="K2845" s="72"/>
      <c r="L2845" s="72"/>
      <c r="M2845" s="2"/>
      <c r="N2845" s="5"/>
      <c r="O2845" s="3"/>
      <c r="P2845" s="6"/>
      <c r="Q2845" s="48">
        <f>IF(Учет!$O2845=Справочники!$F$2,Учет!$H2845,0)</f>
        <v>0</v>
      </c>
      <c r="R2845" s="48">
        <f>IF(Учет!$O2845=Справочники!$F$3,Учет!$H2845,0)</f>
        <v>0</v>
      </c>
      <c r="S2845" s="48">
        <f>IF(Учет!$O2845=Справочники!$F$4,Учет!$H2845,0)</f>
        <v>0</v>
      </c>
      <c r="T2845" s="48">
        <f>IF(Учет!$O2845=Справочники!$F$5,Учет!$H2845,0)</f>
        <v>0</v>
      </c>
      <c r="U2845" s="48">
        <f>IF(Учет!$O2845=Справочники!$F$6,Учет!$H2845,0)</f>
        <v>0</v>
      </c>
      <c r="V2845" s="43">
        <f>V2844+Учет!Q2845-Q2845</f>
        <v>-488978.92000000004</v>
      </c>
      <c r="W2845" s="43">
        <f>W2844+Учет!R2845-R2845</f>
        <v>336855</v>
      </c>
      <c r="X2845" s="43">
        <f>X2844+Учет!S2845-S2845</f>
        <v>500</v>
      </c>
      <c r="Y2845" s="43">
        <f>Y2844+Учет!T2845-T2845</f>
        <v>1150</v>
      </c>
      <c r="Z2845" s="43">
        <f>Z2844+Учет!U2845-U2845</f>
        <v>500000</v>
      </c>
      <c r="AA2845" s="45">
        <f>Учет!X2845</f>
        <v>500</v>
      </c>
    </row>
    <row r="2846" spans="1:27" ht="15" customHeight="1" x14ac:dyDescent="0.25">
      <c r="A2846" s="1"/>
      <c r="B2846" s="17"/>
      <c r="C2846" s="17"/>
      <c r="D2846" s="17"/>
      <c r="E2846" s="17"/>
      <c r="F2846" s="17"/>
      <c r="G2846" s="4">
        <f t="shared" si="129"/>
        <v>0</v>
      </c>
      <c r="H2846" s="17"/>
      <c r="I2846" s="4">
        <f t="shared" si="131"/>
        <v>349526.07999999996</v>
      </c>
      <c r="J2846" s="32" t="str">
        <f t="shared" si="130"/>
        <v/>
      </c>
      <c r="K2846" s="72"/>
      <c r="L2846" s="72"/>
      <c r="M2846" s="2"/>
      <c r="N2846" s="5"/>
      <c r="O2846" s="3"/>
      <c r="P2846" s="6"/>
      <c r="Q2846" s="48">
        <f>IF(Учет!$O2846=Справочники!$F$2,Учет!$H2846,0)</f>
        <v>0</v>
      </c>
      <c r="R2846" s="48">
        <f>IF(Учет!$O2846=Справочники!$F$3,Учет!$H2846,0)</f>
        <v>0</v>
      </c>
      <c r="S2846" s="48">
        <f>IF(Учет!$O2846=Справочники!$F$4,Учет!$H2846,0)</f>
        <v>0</v>
      </c>
      <c r="T2846" s="48">
        <f>IF(Учет!$O2846=Справочники!$F$5,Учет!$H2846,0)</f>
        <v>0</v>
      </c>
      <c r="U2846" s="48">
        <f>IF(Учет!$O2846=Справочники!$F$6,Учет!$H2846,0)</f>
        <v>0</v>
      </c>
      <c r="V2846" s="43">
        <f>V2845+Учет!Q2846-Q2846</f>
        <v>-488978.92000000004</v>
      </c>
      <c r="W2846" s="43">
        <f>W2845+Учет!R2846-R2846</f>
        <v>336855</v>
      </c>
      <c r="X2846" s="43">
        <f>X2845+Учет!S2846-S2846</f>
        <v>500</v>
      </c>
      <c r="Y2846" s="43">
        <f>Y2845+Учет!T2846-T2846</f>
        <v>1150</v>
      </c>
      <c r="Z2846" s="43">
        <f>Z2845+Учет!U2846-U2846</f>
        <v>500000</v>
      </c>
      <c r="AA2846" s="45">
        <f>Учет!X2846</f>
        <v>500</v>
      </c>
    </row>
    <row r="2847" spans="1:27" ht="15" customHeight="1" x14ac:dyDescent="0.25">
      <c r="A2847" s="1"/>
      <c r="B2847" s="17"/>
      <c r="C2847" s="17"/>
      <c r="D2847" s="17"/>
      <c r="E2847" s="17"/>
      <c r="F2847" s="17"/>
      <c r="G2847" s="4">
        <f t="shared" si="129"/>
        <v>0</v>
      </c>
      <c r="H2847" s="17"/>
      <c r="I2847" s="4">
        <f t="shared" si="131"/>
        <v>349526.07999999996</v>
      </c>
      <c r="J2847" s="32" t="str">
        <f t="shared" si="130"/>
        <v/>
      </c>
      <c r="K2847" s="72"/>
      <c r="L2847" s="72"/>
      <c r="M2847" s="2"/>
      <c r="N2847" s="5"/>
      <c r="O2847" s="3"/>
      <c r="P2847" s="6"/>
      <c r="Q2847" s="48">
        <f>IF(Учет!$O2847=Справочники!$F$2,Учет!$H2847,0)</f>
        <v>0</v>
      </c>
      <c r="R2847" s="48">
        <f>IF(Учет!$O2847=Справочники!$F$3,Учет!$H2847,0)</f>
        <v>0</v>
      </c>
      <c r="S2847" s="48">
        <f>IF(Учет!$O2847=Справочники!$F$4,Учет!$H2847,0)</f>
        <v>0</v>
      </c>
      <c r="T2847" s="48">
        <f>IF(Учет!$O2847=Справочники!$F$5,Учет!$H2847,0)</f>
        <v>0</v>
      </c>
      <c r="U2847" s="48">
        <f>IF(Учет!$O2847=Справочники!$F$6,Учет!$H2847,0)</f>
        <v>0</v>
      </c>
      <c r="V2847" s="43">
        <f>V2846+Учет!Q2847-Q2847</f>
        <v>-488978.92000000004</v>
      </c>
      <c r="W2847" s="43">
        <f>W2846+Учет!R2847-R2847</f>
        <v>336855</v>
      </c>
      <c r="X2847" s="43">
        <f>X2846+Учет!S2847-S2847</f>
        <v>500</v>
      </c>
      <c r="Y2847" s="43">
        <f>Y2846+Учет!T2847-T2847</f>
        <v>1150</v>
      </c>
      <c r="Z2847" s="43">
        <f>Z2846+Учет!U2847-U2847</f>
        <v>500000</v>
      </c>
      <c r="AA2847" s="45">
        <f>Учет!X2847</f>
        <v>500</v>
      </c>
    </row>
    <row r="2848" spans="1:27" ht="15" customHeight="1" x14ac:dyDescent="0.25">
      <c r="A2848" s="1"/>
      <c r="B2848" s="17"/>
      <c r="C2848" s="17"/>
      <c r="D2848" s="17"/>
      <c r="E2848" s="17"/>
      <c r="F2848" s="17"/>
      <c r="G2848" s="4">
        <f t="shared" si="129"/>
        <v>0</v>
      </c>
      <c r="H2848" s="17"/>
      <c r="I2848" s="4">
        <f t="shared" si="131"/>
        <v>349526.07999999996</v>
      </c>
      <c r="J2848" s="32" t="str">
        <f t="shared" si="130"/>
        <v/>
      </c>
      <c r="K2848" s="72"/>
      <c r="L2848" s="72"/>
      <c r="M2848" s="2"/>
      <c r="N2848" s="5"/>
      <c r="O2848" s="3"/>
      <c r="P2848" s="6"/>
      <c r="Q2848" s="48">
        <f>IF(Учет!$O2848=Справочники!$F$2,Учет!$H2848,0)</f>
        <v>0</v>
      </c>
      <c r="R2848" s="48">
        <f>IF(Учет!$O2848=Справочники!$F$3,Учет!$H2848,0)</f>
        <v>0</v>
      </c>
      <c r="S2848" s="48">
        <f>IF(Учет!$O2848=Справочники!$F$4,Учет!$H2848,0)</f>
        <v>0</v>
      </c>
      <c r="T2848" s="48">
        <f>IF(Учет!$O2848=Справочники!$F$5,Учет!$H2848,0)</f>
        <v>0</v>
      </c>
      <c r="U2848" s="48">
        <f>IF(Учет!$O2848=Справочники!$F$6,Учет!$H2848,0)</f>
        <v>0</v>
      </c>
      <c r="V2848" s="43">
        <f>V2847+Учет!Q2848-Q2848</f>
        <v>-488978.92000000004</v>
      </c>
      <c r="W2848" s="43">
        <f>W2847+Учет!R2848-R2848</f>
        <v>336855</v>
      </c>
      <c r="X2848" s="43">
        <f>X2847+Учет!S2848-S2848</f>
        <v>500</v>
      </c>
      <c r="Y2848" s="43">
        <f>Y2847+Учет!T2848-T2848</f>
        <v>1150</v>
      </c>
      <c r="Z2848" s="43">
        <f>Z2847+Учет!U2848-U2848</f>
        <v>500000</v>
      </c>
      <c r="AA2848" s="45">
        <f>Учет!X2848</f>
        <v>500</v>
      </c>
    </row>
    <row r="2849" spans="1:27" ht="15" customHeight="1" x14ac:dyDescent="0.25">
      <c r="A2849" s="1"/>
      <c r="B2849" s="17"/>
      <c r="C2849" s="17"/>
      <c r="D2849" s="17"/>
      <c r="E2849" s="17"/>
      <c r="F2849" s="17"/>
      <c r="G2849" s="4">
        <f t="shared" si="129"/>
        <v>0</v>
      </c>
      <c r="H2849" s="17"/>
      <c r="I2849" s="4">
        <f t="shared" si="131"/>
        <v>349526.07999999996</v>
      </c>
      <c r="J2849" s="32" t="str">
        <f t="shared" si="130"/>
        <v/>
      </c>
      <c r="K2849" s="72"/>
      <c r="L2849" s="72"/>
      <c r="M2849" s="2"/>
      <c r="N2849" s="5"/>
      <c r="O2849" s="3"/>
      <c r="P2849" s="6"/>
      <c r="Q2849" s="48">
        <f>IF(Учет!$O2849=Справочники!$F$2,Учет!$H2849,0)</f>
        <v>0</v>
      </c>
      <c r="R2849" s="48">
        <f>IF(Учет!$O2849=Справочники!$F$3,Учет!$H2849,0)</f>
        <v>0</v>
      </c>
      <c r="S2849" s="48">
        <f>IF(Учет!$O2849=Справочники!$F$4,Учет!$H2849,0)</f>
        <v>0</v>
      </c>
      <c r="T2849" s="48">
        <f>IF(Учет!$O2849=Справочники!$F$5,Учет!$H2849,0)</f>
        <v>0</v>
      </c>
      <c r="U2849" s="48">
        <f>IF(Учет!$O2849=Справочники!$F$6,Учет!$H2849,0)</f>
        <v>0</v>
      </c>
      <c r="V2849" s="43">
        <f>V2848+Учет!Q2849-Q2849</f>
        <v>-488978.92000000004</v>
      </c>
      <c r="W2849" s="43">
        <f>W2848+Учет!R2849-R2849</f>
        <v>336855</v>
      </c>
      <c r="X2849" s="43">
        <f>X2848+Учет!S2849-S2849</f>
        <v>500</v>
      </c>
      <c r="Y2849" s="43">
        <f>Y2848+Учет!T2849-T2849</f>
        <v>1150</v>
      </c>
      <c r="Z2849" s="43">
        <f>Z2848+Учет!U2849-U2849</f>
        <v>500000</v>
      </c>
      <c r="AA2849" s="45">
        <f>Учет!X2849</f>
        <v>500</v>
      </c>
    </row>
    <row r="2850" spans="1:27" ht="15" customHeight="1" x14ac:dyDescent="0.25">
      <c r="A2850" s="1"/>
      <c r="B2850" s="17"/>
      <c r="C2850" s="17"/>
      <c r="D2850" s="17"/>
      <c r="E2850" s="17"/>
      <c r="F2850" s="17"/>
      <c r="G2850" s="4">
        <f t="shared" si="129"/>
        <v>0</v>
      </c>
      <c r="H2850" s="17"/>
      <c r="I2850" s="4">
        <f t="shared" si="131"/>
        <v>349526.07999999996</v>
      </c>
      <c r="J2850" s="32" t="str">
        <f t="shared" si="130"/>
        <v/>
      </c>
      <c r="K2850" s="72"/>
      <c r="L2850" s="72"/>
      <c r="M2850" s="2"/>
      <c r="N2850" s="5"/>
      <c r="O2850" s="3"/>
      <c r="P2850" s="6"/>
      <c r="Q2850" s="48">
        <f>IF(Учет!$O2850=Справочники!$F$2,Учет!$H2850,0)</f>
        <v>0</v>
      </c>
      <c r="R2850" s="48">
        <f>IF(Учет!$O2850=Справочники!$F$3,Учет!$H2850,0)</f>
        <v>0</v>
      </c>
      <c r="S2850" s="48">
        <f>IF(Учет!$O2850=Справочники!$F$4,Учет!$H2850,0)</f>
        <v>0</v>
      </c>
      <c r="T2850" s="48">
        <f>IF(Учет!$O2850=Справочники!$F$5,Учет!$H2850,0)</f>
        <v>0</v>
      </c>
      <c r="U2850" s="48">
        <f>IF(Учет!$O2850=Справочники!$F$6,Учет!$H2850,0)</f>
        <v>0</v>
      </c>
      <c r="V2850" s="43">
        <f>V2849+Учет!Q2850-Q2850</f>
        <v>-488978.92000000004</v>
      </c>
      <c r="W2850" s="43">
        <f>W2849+Учет!R2850-R2850</f>
        <v>336855</v>
      </c>
      <c r="X2850" s="43">
        <f>X2849+Учет!S2850-S2850</f>
        <v>500</v>
      </c>
      <c r="Y2850" s="43">
        <f>Y2849+Учет!T2850-T2850</f>
        <v>1150</v>
      </c>
      <c r="Z2850" s="43">
        <f>Z2849+Учет!U2850-U2850</f>
        <v>500000</v>
      </c>
      <c r="AA2850" s="45">
        <f>Учет!X2850</f>
        <v>500</v>
      </c>
    </row>
    <row r="2851" spans="1:27" ht="15" customHeight="1" x14ac:dyDescent="0.25">
      <c r="A2851" s="1"/>
      <c r="B2851" s="17"/>
      <c r="C2851" s="17"/>
      <c r="D2851" s="17"/>
      <c r="E2851" s="17"/>
      <c r="F2851" s="17"/>
      <c r="G2851" s="4">
        <f t="shared" si="129"/>
        <v>0</v>
      </c>
      <c r="H2851" s="17"/>
      <c r="I2851" s="4">
        <f t="shared" si="131"/>
        <v>349526.07999999996</v>
      </c>
      <c r="J2851" s="32" t="str">
        <f t="shared" si="130"/>
        <v/>
      </c>
      <c r="K2851" s="72"/>
      <c r="L2851" s="72"/>
      <c r="M2851" s="2"/>
      <c r="N2851" s="5"/>
      <c r="O2851" s="3"/>
      <c r="P2851" s="6"/>
      <c r="Q2851" s="48">
        <f>IF(Учет!$O2851=Справочники!$F$2,Учет!$H2851,0)</f>
        <v>0</v>
      </c>
      <c r="R2851" s="48">
        <f>IF(Учет!$O2851=Справочники!$F$3,Учет!$H2851,0)</f>
        <v>0</v>
      </c>
      <c r="S2851" s="48">
        <f>IF(Учет!$O2851=Справочники!$F$4,Учет!$H2851,0)</f>
        <v>0</v>
      </c>
      <c r="T2851" s="48">
        <f>IF(Учет!$O2851=Справочники!$F$5,Учет!$H2851,0)</f>
        <v>0</v>
      </c>
      <c r="U2851" s="48">
        <f>IF(Учет!$O2851=Справочники!$F$6,Учет!$H2851,0)</f>
        <v>0</v>
      </c>
      <c r="V2851" s="43">
        <f>V2850+Учет!Q2851-Q2851</f>
        <v>-488978.92000000004</v>
      </c>
      <c r="W2851" s="43">
        <f>W2850+Учет!R2851-R2851</f>
        <v>336855</v>
      </c>
      <c r="X2851" s="43">
        <f>X2850+Учет!S2851-S2851</f>
        <v>500</v>
      </c>
      <c r="Y2851" s="43">
        <f>Y2850+Учет!T2851-T2851</f>
        <v>1150</v>
      </c>
      <c r="Z2851" s="43">
        <f>Z2850+Учет!U2851-U2851</f>
        <v>500000</v>
      </c>
      <c r="AA2851" s="45">
        <f>Учет!X2851</f>
        <v>500</v>
      </c>
    </row>
    <row r="2852" spans="1:27" ht="15" customHeight="1" x14ac:dyDescent="0.25">
      <c r="A2852" s="1"/>
      <c r="B2852" s="17"/>
      <c r="C2852" s="17"/>
      <c r="D2852" s="17"/>
      <c r="E2852" s="17"/>
      <c r="F2852" s="17"/>
      <c r="G2852" s="4">
        <f t="shared" si="129"/>
        <v>0</v>
      </c>
      <c r="H2852" s="17"/>
      <c r="I2852" s="4">
        <f t="shared" si="131"/>
        <v>349526.07999999996</v>
      </c>
      <c r="J2852" s="32" t="str">
        <f t="shared" si="130"/>
        <v/>
      </c>
      <c r="K2852" s="72"/>
      <c r="L2852" s="72"/>
      <c r="M2852" s="2"/>
      <c r="N2852" s="5"/>
      <c r="O2852" s="3"/>
      <c r="P2852" s="6"/>
      <c r="Q2852" s="48">
        <f>IF(Учет!$O2852=Справочники!$F$2,Учет!$H2852,0)</f>
        <v>0</v>
      </c>
      <c r="R2852" s="48">
        <f>IF(Учет!$O2852=Справочники!$F$3,Учет!$H2852,0)</f>
        <v>0</v>
      </c>
      <c r="S2852" s="48">
        <f>IF(Учет!$O2852=Справочники!$F$4,Учет!$H2852,0)</f>
        <v>0</v>
      </c>
      <c r="T2852" s="48">
        <f>IF(Учет!$O2852=Справочники!$F$5,Учет!$H2852,0)</f>
        <v>0</v>
      </c>
      <c r="U2852" s="48">
        <f>IF(Учет!$O2852=Справочники!$F$6,Учет!$H2852,0)</f>
        <v>0</v>
      </c>
      <c r="V2852" s="43">
        <f>V2851+Учет!Q2852-Q2852</f>
        <v>-488978.92000000004</v>
      </c>
      <c r="W2852" s="43">
        <f>W2851+Учет!R2852-R2852</f>
        <v>336855</v>
      </c>
      <c r="X2852" s="43">
        <f>X2851+Учет!S2852-S2852</f>
        <v>500</v>
      </c>
      <c r="Y2852" s="43">
        <f>Y2851+Учет!T2852-T2852</f>
        <v>1150</v>
      </c>
      <c r="Z2852" s="43">
        <f>Z2851+Учет!U2852-U2852</f>
        <v>500000</v>
      </c>
      <c r="AA2852" s="45">
        <f>Учет!X2852</f>
        <v>500</v>
      </c>
    </row>
    <row r="2853" spans="1:27" ht="15" customHeight="1" x14ac:dyDescent="0.25">
      <c r="A2853" s="1"/>
      <c r="B2853" s="17"/>
      <c r="C2853" s="17"/>
      <c r="D2853" s="17"/>
      <c r="E2853" s="17"/>
      <c r="F2853" s="17"/>
      <c r="G2853" s="4">
        <f t="shared" si="129"/>
        <v>0</v>
      </c>
      <c r="H2853" s="17"/>
      <c r="I2853" s="4">
        <f t="shared" si="131"/>
        <v>349526.07999999996</v>
      </c>
      <c r="J2853" s="32" t="str">
        <f t="shared" si="130"/>
        <v/>
      </c>
      <c r="K2853" s="72"/>
      <c r="L2853" s="72"/>
      <c r="M2853" s="2"/>
      <c r="N2853" s="5"/>
      <c r="O2853" s="3"/>
      <c r="P2853" s="6"/>
      <c r="Q2853" s="48">
        <f>IF(Учет!$O2853=Справочники!$F$2,Учет!$H2853,0)</f>
        <v>0</v>
      </c>
      <c r="R2853" s="48">
        <f>IF(Учет!$O2853=Справочники!$F$3,Учет!$H2853,0)</f>
        <v>0</v>
      </c>
      <c r="S2853" s="48">
        <f>IF(Учет!$O2853=Справочники!$F$4,Учет!$H2853,0)</f>
        <v>0</v>
      </c>
      <c r="T2853" s="48">
        <f>IF(Учет!$O2853=Справочники!$F$5,Учет!$H2853,0)</f>
        <v>0</v>
      </c>
      <c r="U2853" s="48">
        <f>IF(Учет!$O2853=Справочники!$F$6,Учет!$H2853,0)</f>
        <v>0</v>
      </c>
      <c r="V2853" s="43">
        <f>V2852+Учет!Q2853-Q2853</f>
        <v>-488978.92000000004</v>
      </c>
      <c r="W2853" s="43">
        <f>W2852+Учет!R2853-R2853</f>
        <v>336855</v>
      </c>
      <c r="X2853" s="43">
        <f>X2852+Учет!S2853-S2853</f>
        <v>500</v>
      </c>
      <c r="Y2853" s="43">
        <f>Y2852+Учет!T2853-T2853</f>
        <v>1150</v>
      </c>
      <c r="Z2853" s="43">
        <f>Z2852+Учет!U2853-U2853</f>
        <v>500000</v>
      </c>
      <c r="AA2853" s="45">
        <f>Учет!X2853</f>
        <v>500</v>
      </c>
    </row>
    <row r="2854" spans="1:27" ht="15" customHeight="1" x14ac:dyDescent="0.25">
      <c r="A2854" s="1"/>
      <c r="B2854" s="17"/>
      <c r="C2854" s="17"/>
      <c r="D2854" s="17"/>
      <c r="E2854" s="17"/>
      <c r="F2854" s="17"/>
      <c r="G2854" s="4">
        <f t="shared" si="129"/>
        <v>0</v>
      </c>
      <c r="H2854" s="17"/>
      <c r="I2854" s="4">
        <f t="shared" si="131"/>
        <v>349526.07999999996</v>
      </c>
      <c r="J2854" s="32" t="str">
        <f t="shared" si="130"/>
        <v/>
      </c>
      <c r="K2854" s="72"/>
      <c r="L2854" s="72"/>
      <c r="M2854" s="2"/>
      <c r="N2854" s="5"/>
      <c r="O2854" s="3"/>
      <c r="P2854" s="6"/>
      <c r="Q2854" s="48">
        <f>IF(Учет!$O2854=Справочники!$F$2,Учет!$H2854,0)</f>
        <v>0</v>
      </c>
      <c r="R2854" s="48">
        <f>IF(Учет!$O2854=Справочники!$F$3,Учет!$H2854,0)</f>
        <v>0</v>
      </c>
      <c r="S2854" s="48">
        <f>IF(Учет!$O2854=Справочники!$F$4,Учет!$H2854,0)</f>
        <v>0</v>
      </c>
      <c r="T2854" s="48">
        <f>IF(Учет!$O2854=Справочники!$F$5,Учет!$H2854,0)</f>
        <v>0</v>
      </c>
      <c r="U2854" s="48">
        <f>IF(Учет!$O2854=Справочники!$F$6,Учет!$H2854,0)</f>
        <v>0</v>
      </c>
      <c r="V2854" s="43">
        <f>V2853+Учет!Q2854-Q2854</f>
        <v>-488978.92000000004</v>
      </c>
      <c r="W2854" s="43">
        <f>W2853+Учет!R2854-R2854</f>
        <v>336855</v>
      </c>
      <c r="X2854" s="43">
        <f>X2853+Учет!S2854-S2854</f>
        <v>500</v>
      </c>
      <c r="Y2854" s="43">
        <f>Y2853+Учет!T2854-T2854</f>
        <v>1150</v>
      </c>
      <c r="Z2854" s="43">
        <f>Z2853+Учет!U2854-U2854</f>
        <v>500000</v>
      </c>
      <c r="AA2854" s="45">
        <f>Учет!X2854</f>
        <v>500</v>
      </c>
    </row>
    <row r="2855" spans="1:27" ht="15" customHeight="1" x14ac:dyDescent="0.25">
      <c r="A2855" s="1"/>
      <c r="B2855" s="17"/>
      <c r="C2855" s="17"/>
      <c r="D2855" s="17"/>
      <c r="E2855" s="17"/>
      <c r="F2855" s="17"/>
      <c r="G2855" s="4">
        <f t="shared" si="129"/>
        <v>0</v>
      </c>
      <c r="H2855" s="17"/>
      <c r="I2855" s="4">
        <f t="shared" si="131"/>
        <v>349526.07999999996</v>
      </c>
      <c r="J2855" s="32" t="str">
        <f t="shared" si="130"/>
        <v/>
      </c>
      <c r="K2855" s="72"/>
      <c r="L2855" s="72"/>
      <c r="M2855" s="2"/>
      <c r="N2855" s="5"/>
      <c r="O2855" s="3"/>
      <c r="P2855" s="6"/>
      <c r="Q2855" s="48">
        <f>IF(Учет!$O2855=Справочники!$F$2,Учет!$H2855,0)</f>
        <v>0</v>
      </c>
      <c r="R2855" s="48">
        <f>IF(Учет!$O2855=Справочники!$F$3,Учет!$H2855,0)</f>
        <v>0</v>
      </c>
      <c r="S2855" s="48">
        <f>IF(Учет!$O2855=Справочники!$F$4,Учет!$H2855,0)</f>
        <v>0</v>
      </c>
      <c r="T2855" s="48">
        <f>IF(Учет!$O2855=Справочники!$F$5,Учет!$H2855,0)</f>
        <v>0</v>
      </c>
      <c r="U2855" s="48">
        <f>IF(Учет!$O2855=Справочники!$F$6,Учет!$H2855,0)</f>
        <v>0</v>
      </c>
      <c r="V2855" s="43">
        <f>V2854+Учет!Q2855-Q2855</f>
        <v>-488978.92000000004</v>
      </c>
      <c r="W2855" s="43">
        <f>W2854+Учет!R2855-R2855</f>
        <v>336855</v>
      </c>
      <c r="X2855" s="43">
        <f>X2854+Учет!S2855-S2855</f>
        <v>500</v>
      </c>
      <c r="Y2855" s="43">
        <f>Y2854+Учет!T2855-T2855</f>
        <v>1150</v>
      </c>
      <c r="Z2855" s="43">
        <f>Z2854+Учет!U2855-U2855</f>
        <v>500000</v>
      </c>
      <c r="AA2855" s="45">
        <f>Учет!X2855</f>
        <v>500</v>
      </c>
    </row>
    <row r="2856" spans="1:27" ht="15" customHeight="1" x14ac:dyDescent="0.25">
      <c r="A2856" s="1"/>
      <c r="B2856" s="17"/>
      <c r="C2856" s="17"/>
      <c r="D2856" s="17"/>
      <c r="E2856" s="17"/>
      <c r="F2856" s="17"/>
      <c r="G2856" s="4">
        <f t="shared" si="129"/>
        <v>0</v>
      </c>
      <c r="H2856" s="17"/>
      <c r="I2856" s="4">
        <f t="shared" si="131"/>
        <v>349526.07999999996</v>
      </c>
      <c r="J2856" s="32" t="str">
        <f t="shared" si="130"/>
        <v/>
      </c>
      <c r="K2856" s="72"/>
      <c r="L2856" s="72"/>
      <c r="M2856" s="2"/>
      <c r="N2856" s="5"/>
      <c r="O2856" s="3"/>
      <c r="P2856" s="6"/>
      <c r="Q2856" s="48">
        <f>IF(Учет!$O2856=Справочники!$F$2,Учет!$H2856,0)</f>
        <v>0</v>
      </c>
      <c r="R2856" s="48">
        <f>IF(Учет!$O2856=Справочники!$F$3,Учет!$H2856,0)</f>
        <v>0</v>
      </c>
      <c r="S2856" s="48">
        <f>IF(Учет!$O2856=Справочники!$F$4,Учет!$H2856,0)</f>
        <v>0</v>
      </c>
      <c r="T2856" s="48">
        <f>IF(Учет!$O2856=Справочники!$F$5,Учет!$H2856,0)</f>
        <v>0</v>
      </c>
      <c r="U2856" s="48">
        <f>IF(Учет!$O2856=Справочники!$F$6,Учет!$H2856,0)</f>
        <v>0</v>
      </c>
      <c r="V2856" s="43">
        <f>V2855+Учет!Q2856-Q2856</f>
        <v>-488978.92000000004</v>
      </c>
      <c r="W2856" s="43">
        <f>W2855+Учет!R2856-R2856</f>
        <v>336855</v>
      </c>
      <c r="X2856" s="43">
        <f>X2855+Учет!S2856-S2856</f>
        <v>500</v>
      </c>
      <c r="Y2856" s="43">
        <f>Y2855+Учет!T2856-T2856</f>
        <v>1150</v>
      </c>
      <c r="Z2856" s="43">
        <f>Z2855+Учет!U2856-U2856</f>
        <v>500000</v>
      </c>
      <c r="AA2856" s="45">
        <f>Учет!X2856</f>
        <v>500</v>
      </c>
    </row>
    <row r="2857" spans="1:27" ht="15" customHeight="1" x14ac:dyDescent="0.25">
      <c r="A2857" s="1"/>
      <c r="B2857" s="17"/>
      <c r="C2857" s="17"/>
      <c r="D2857" s="17"/>
      <c r="E2857" s="17"/>
      <c r="F2857" s="17"/>
      <c r="G2857" s="4">
        <f t="shared" si="129"/>
        <v>0</v>
      </c>
      <c r="H2857" s="17"/>
      <c r="I2857" s="4">
        <f t="shared" si="131"/>
        <v>349526.07999999996</v>
      </c>
      <c r="J2857" s="32" t="str">
        <f t="shared" si="130"/>
        <v/>
      </c>
      <c r="K2857" s="72"/>
      <c r="L2857" s="72"/>
      <c r="M2857" s="2"/>
      <c r="N2857" s="5"/>
      <c r="O2857" s="3"/>
      <c r="P2857" s="6"/>
      <c r="Q2857" s="48">
        <f>IF(Учет!$O2857=Справочники!$F$2,Учет!$H2857,0)</f>
        <v>0</v>
      </c>
      <c r="R2857" s="48">
        <f>IF(Учет!$O2857=Справочники!$F$3,Учет!$H2857,0)</f>
        <v>0</v>
      </c>
      <c r="S2857" s="48">
        <f>IF(Учет!$O2857=Справочники!$F$4,Учет!$H2857,0)</f>
        <v>0</v>
      </c>
      <c r="T2857" s="48">
        <f>IF(Учет!$O2857=Справочники!$F$5,Учет!$H2857,0)</f>
        <v>0</v>
      </c>
      <c r="U2857" s="48">
        <f>IF(Учет!$O2857=Справочники!$F$6,Учет!$H2857,0)</f>
        <v>0</v>
      </c>
      <c r="V2857" s="43">
        <f>V2856+Учет!Q2857-Q2857</f>
        <v>-488978.92000000004</v>
      </c>
      <c r="W2857" s="43">
        <f>W2856+Учет!R2857-R2857</f>
        <v>336855</v>
      </c>
      <c r="X2857" s="43">
        <f>X2856+Учет!S2857-S2857</f>
        <v>500</v>
      </c>
      <c r="Y2857" s="43">
        <f>Y2856+Учет!T2857-T2857</f>
        <v>1150</v>
      </c>
      <c r="Z2857" s="43">
        <f>Z2856+Учет!U2857-U2857</f>
        <v>500000</v>
      </c>
      <c r="AA2857" s="45">
        <f>Учет!X2857</f>
        <v>500</v>
      </c>
    </row>
    <row r="2858" spans="1:27" ht="15" customHeight="1" x14ac:dyDescent="0.25">
      <c r="A2858" s="1"/>
      <c r="B2858" s="17"/>
      <c r="C2858" s="17"/>
      <c r="D2858" s="17"/>
      <c r="E2858" s="17"/>
      <c r="F2858" s="17"/>
      <c r="G2858" s="4">
        <f t="shared" si="129"/>
        <v>0</v>
      </c>
      <c r="H2858" s="17"/>
      <c r="I2858" s="4">
        <f t="shared" si="131"/>
        <v>349526.07999999996</v>
      </c>
      <c r="J2858" s="32" t="str">
        <f t="shared" si="130"/>
        <v/>
      </c>
      <c r="K2858" s="72"/>
      <c r="L2858" s="72"/>
      <c r="M2858" s="2"/>
      <c r="N2858" s="5"/>
      <c r="O2858" s="3"/>
      <c r="P2858" s="6"/>
      <c r="Q2858" s="48">
        <f>IF(Учет!$O2858=Справочники!$F$2,Учет!$H2858,0)</f>
        <v>0</v>
      </c>
      <c r="R2858" s="48">
        <f>IF(Учет!$O2858=Справочники!$F$3,Учет!$H2858,0)</f>
        <v>0</v>
      </c>
      <c r="S2858" s="48">
        <f>IF(Учет!$O2858=Справочники!$F$4,Учет!$H2858,0)</f>
        <v>0</v>
      </c>
      <c r="T2858" s="48">
        <f>IF(Учет!$O2858=Справочники!$F$5,Учет!$H2858,0)</f>
        <v>0</v>
      </c>
      <c r="U2858" s="48">
        <f>IF(Учет!$O2858=Справочники!$F$6,Учет!$H2858,0)</f>
        <v>0</v>
      </c>
      <c r="V2858" s="43">
        <f>V2857+Учет!Q2858-Q2858</f>
        <v>-488978.92000000004</v>
      </c>
      <c r="W2858" s="43">
        <f>W2857+Учет!R2858-R2858</f>
        <v>336855</v>
      </c>
      <c r="X2858" s="43">
        <f>X2857+Учет!S2858-S2858</f>
        <v>500</v>
      </c>
      <c r="Y2858" s="43">
        <f>Y2857+Учет!T2858-T2858</f>
        <v>1150</v>
      </c>
      <c r="Z2858" s="43">
        <f>Z2857+Учет!U2858-U2858</f>
        <v>500000</v>
      </c>
      <c r="AA2858" s="45">
        <f>Учет!X2858</f>
        <v>500</v>
      </c>
    </row>
    <row r="2859" spans="1:27" ht="15" customHeight="1" x14ac:dyDescent="0.25">
      <c r="A2859" s="1"/>
      <c r="B2859" s="17"/>
      <c r="C2859" s="17"/>
      <c r="D2859" s="17"/>
      <c r="E2859" s="17"/>
      <c r="F2859" s="17"/>
      <c r="G2859" s="4">
        <f t="shared" si="129"/>
        <v>0</v>
      </c>
      <c r="H2859" s="17"/>
      <c r="I2859" s="4">
        <f t="shared" si="131"/>
        <v>349526.07999999996</v>
      </c>
      <c r="J2859" s="32" t="str">
        <f t="shared" si="130"/>
        <v/>
      </c>
      <c r="K2859" s="72"/>
      <c r="L2859" s="72"/>
      <c r="M2859" s="2"/>
      <c r="N2859" s="5"/>
      <c r="O2859" s="3"/>
      <c r="P2859" s="6"/>
      <c r="Q2859" s="48">
        <f>IF(Учет!$O2859=Справочники!$F$2,Учет!$H2859,0)</f>
        <v>0</v>
      </c>
      <c r="R2859" s="48">
        <f>IF(Учет!$O2859=Справочники!$F$3,Учет!$H2859,0)</f>
        <v>0</v>
      </c>
      <c r="S2859" s="48">
        <f>IF(Учет!$O2859=Справочники!$F$4,Учет!$H2859,0)</f>
        <v>0</v>
      </c>
      <c r="T2859" s="48">
        <f>IF(Учет!$O2859=Справочники!$F$5,Учет!$H2859,0)</f>
        <v>0</v>
      </c>
      <c r="U2859" s="48">
        <f>IF(Учет!$O2859=Справочники!$F$6,Учет!$H2859,0)</f>
        <v>0</v>
      </c>
      <c r="V2859" s="43">
        <f>V2858+Учет!Q2859-Q2859</f>
        <v>-488978.92000000004</v>
      </c>
      <c r="W2859" s="43">
        <f>W2858+Учет!R2859-R2859</f>
        <v>336855</v>
      </c>
      <c r="X2859" s="43">
        <f>X2858+Учет!S2859-S2859</f>
        <v>500</v>
      </c>
      <c r="Y2859" s="43">
        <f>Y2858+Учет!T2859-T2859</f>
        <v>1150</v>
      </c>
      <c r="Z2859" s="43">
        <f>Z2858+Учет!U2859-U2859</f>
        <v>500000</v>
      </c>
      <c r="AA2859" s="45">
        <f>Учет!X2859</f>
        <v>500</v>
      </c>
    </row>
    <row r="2860" spans="1:27" ht="15" customHeight="1" x14ac:dyDescent="0.25">
      <c r="A2860" s="1"/>
      <c r="B2860" s="17"/>
      <c r="C2860" s="17"/>
      <c r="D2860" s="17"/>
      <c r="E2860" s="17"/>
      <c r="F2860" s="17"/>
      <c r="G2860" s="4">
        <f t="shared" si="129"/>
        <v>0</v>
      </c>
      <c r="H2860" s="17"/>
      <c r="I2860" s="4">
        <f t="shared" si="131"/>
        <v>349526.07999999996</v>
      </c>
      <c r="J2860" s="32" t="str">
        <f t="shared" si="130"/>
        <v/>
      </c>
      <c r="K2860" s="72"/>
      <c r="L2860" s="72"/>
      <c r="M2860" s="2"/>
      <c r="N2860" s="5"/>
      <c r="O2860" s="3"/>
      <c r="P2860" s="6"/>
      <c r="Q2860" s="48">
        <f>IF(Учет!$O2860=Справочники!$F$2,Учет!$H2860,0)</f>
        <v>0</v>
      </c>
      <c r="R2860" s="48">
        <f>IF(Учет!$O2860=Справочники!$F$3,Учет!$H2860,0)</f>
        <v>0</v>
      </c>
      <c r="S2860" s="48">
        <f>IF(Учет!$O2860=Справочники!$F$4,Учет!$H2860,0)</f>
        <v>0</v>
      </c>
      <c r="T2860" s="48">
        <f>IF(Учет!$O2860=Справочники!$F$5,Учет!$H2860,0)</f>
        <v>0</v>
      </c>
      <c r="U2860" s="48">
        <f>IF(Учет!$O2860=Справочники!$F$6,Учет!$H2860,0)</f>
        <v>0</v>
      </c>
      <c r="V2860" s="43">
        <f>V2859+Учет!Q2860-Q2860</f>
        <v>-488978.92000000004</v>
      </c>
      <c r="W2860" s="43">
        <f>W2859+Учет!R2860-R2860</f>
        <v>336855</v>
      </c>
      <c r="X2860" s="43">
        <f>X2859+Учет!S2860-S2860</f>
        <v>500</v>
      </c>
      <c r="Y2860" s="43">
        <f>Y2859+Учет!T2860-T2860</f>
        <v>1150</v>
      </c>
      <c r="Z2860" s="43">
        <f>Z2859+Учет!U2860-U2860</f>
        <v>500000</v>
      </c>
      <c r="AA2860" s="45">
        <f>Учет!X2860</f>
        <v>500</v>
      </c>
    </row>
    <row r="2861" spans="1:27" ht="15" customHeight="1" x14ac:dyDescent="0.25">
      <c r="A2861" s="1"/>
      <c r="B2861" s="17"/>
      <c r="C2861" s="17"/>
      <c r="D2861" s="17"/>
      <c r="E2861" s="17"/>
      <c r="F2861" s="17"/>
      <c r="G2861" s="4">
        <f t="shared" si="129"/>
        <v>0</v>
      </c>
      <c r="H2861" s="17"/>
      <c r="I2861" s="4">
        <f t="shared" si="131"/>
        <v>349526.07999999996</v>
      </c>
      <c r="J2861" s="32" t="str">
        <f t="shared" si="130"/>
        <v/>
      </c>
      <c r="K2861" s="72"/>
      <c r="L2861" s="72"/>
      <c r="M2861" s="2"/>
      <c r="N2861" s="5"/>
      <c r="O2861" s="3"/>
      <c r="P2861" s="6"/>
      <c r="Q2861" s="48">
        <f>IF(Учет!$O2861=Справочники!$F$2,Учет!$H2861,0)</f>
        <v>0</v>
      </c>
      <c r="R2861" s="48">
        <f>IF(Учет!$O2861=Справочники!$F$3,Учет!$H2861,0)</f>
        <v>0</v>
      </c>
      <c r="S2861" s="48">
        <f>IF(Учет!$O2861=Справочники!$F$4,Учет!$H2861,0)</f>
        <v>0</v>
      </c>
      <c r="T2861" s="48">
        <f>IF(Учет!$O2861=Справочники!$F$5,Учет!$H2861,0)</f>
        <v>0</v>
      </c>
      <c r="U2861" s="48">
        <f>IF(Учет!$O2861=Справочники!$F$6,Учет!$H2861,0)</f>
        <v>0</v>
      </c>
      <c r="V2861" s="43">
        <f>V2860+Учет!Q2861-Q2861</f>
        <v>-488978.92000000004</v>
      </c>
      <c r="W2861" s="43">
        <f>W2860+Учет!R2861-R2861</f>
        <v>336855</v>
      </c>
      <c r="X2861" s="43">
        <f>X2860+Учет!S2861-S2861</f>
        <v>500</v>
      </c>
      <c r="Y2861" s="43">
        <f>Y2860+Учет!T2861-T2861</f>
        <v>1150</v>
      </c>
      <c r="Z2861" s="43">
        <f>Z2860+Учет!U2861-U2861</f>
        <v>500000</v>
      </c>
      <c r="AA2861" s="45">
        <f>Учет!X2861</f>
        <v>500</v>
      </c>
    </row>
    <row r="2862" spans="1:27" ht="15" customHeight="1" x14ac:dyDescent="0.25">
      <c r="A2862" s="1"/>
      <c r="B2862" s="17"/>
      <c r="C2862" s="17"/>
      <c r="D2862" s="17"/>
      <c r="E2862" s="17"/>
      <c r="F2862" s="17"/>
      <c r="G2862" s="4">
        <f t="shared" si="129"/>
        <v>0</v>
      </c>
      <c r="H2862" s="17"/>
      <c r="I2862" s="4">
        <f t="shared" si="131"/>
        <v>349526.07999999996</v>
      </c>
      <c r="J2862" s="32" t="str">
        <f t="shared" si="130"/>
        <v/>
      </c>
      <c r="K2862" s="72"/>
      <c r="L2862" s="72"/>
      <c r="M2862" s="2"/>
      <c r="N2862" s="5"/>
      <c r="O2862" s="3"/>
      <c r="P2862" s="6"/>
      <c r="Q2862" s="48">
        <f>IF(Учет!$O2862=Справочники!$F$2,Учет!$H2862,0)</f>
        <v>0</v>
      </c>
      <c r="R2862" s="48">
        <f>IF(Учет!$O2862=Справочники!$F$3,Учет!$H2862,0)</f>
        <v>0</v>
      </c>
      <c r="S2862" s="48">
        <f>IF(Учет!$O2862=Справочники!$F$4,Учет!$H2862,0)</f>
        <v>0</v>
      </c>
      <c r="T2862" s="48">
        <f>IF(Учет!$O2862=Справочники!$F$5,Учет!$H2862,0)</f>
        <v>0</v>
      </c>
      <c r="U2862" s="48">
        <f>IF(Учет!$O2862=Справочники!$F$6,Учет!$H2862,0)</f>
        <v>0</v>
      </c>
      <c r="V2862" s="43">
        <f>V2861+Учет!Q2862-Q2862</f>
        <v>-488978.92000000004</v>
      </c>
      <c r="W2862" s="43">
        <f>W2861+Учет!R2862-R2862</f>
        <v>336855</v>
      </c>
      <c r="X2862" s="43">
        <f>X2861+Учет!S2862-S2862</f>
        <v>500</v>
      </c>
      <c r="Y2862" s="43">
        <f>Y2861+Учет!T2862-T2862</f>
        <v>1150</v>
      </c>
      <c r="Z2862" s="43">
        <f>Z2861+Учет!U2862-U2862</f>
        <v>500000</v>
      </c>
      <c r="AA2862" s="45">
        <f>Учет!X2862</f>
        <v>500</v>
      </c>
    </row>
    <row r="2863" spans="1:27" ht="15" customHeight="1" x14ac:dyDescent="0.25">
      <c r="A2863" s="1"/>
      <c r="B2863" s="17"/>
      <c r="C2863" s="17"/>
      <c r="D2863" s="17"/>
      <c r="E2863" s="17"/>
      <c r="F2863" s="17"/>
      <c r="G2863" s="4">
        <f t="shared" si="129"/>
        <v>0</v>
      </c>
      <c r="H2863" s="17"/>
      <c r="I2863" s="4">
        <f t="shared" si="131"/>
        <v>349526.07999999996</v>
      </c>
      <c r="J2863" s="32" t="str">
        <f t="shared" si="130"/>
        <v/>
      </c>
      <c r="K2863" s="72"/>
      <c r="L2863" s="72"/>
      <c r="M2863" s="2"/>
      <c r="N2863" s="5"/>
      <c r="O2863" s="3"/>
      <c r="P2863" s="6"/>
      <c r="Q2863" s="48">
        <f>IF(Учет!$O2863=Справочники!$F$2,Учет!$H2863,0)</f>
        <v>0</v>
      </c>
      <c r="R2863" s="48">
        <f>IF(Учет!$O2863=Справочники!$F$3,Учет!$H2863,0)</f>
        <v>0</v>
      </c>
      <c r="S2863" s="48">
        <f>IF(Учет!$O2863=Справочники!$F$4,Учет!$H2863,0)</f>
        <v>0</v>
      </c>
      <c r="T2863" s="48">
        <f>IF(Учет!$O2863=Справочники!$F$5,Учет!$H2863,0)</f>
        <v>0</v>
      </c>
      <c r="U2863" s="48">
        <f>IF(Учет!$O2863=Справочники!$F$6,Учет!$H2863,0)</f>
        <v>0</v>
      </c>
      <c r="V2863" s="43">
        <f>V2862+Учет!Q2863-Q2863</f>
        <v>-488978.92000000004</v>
      </c>
      <c r="W2863" s="43">
        <f>W2862+Учет!R2863-R2863</f>
        <v>336855</v>
      </c>
      <c r="X2863" s="43">
        <f>X2862+Учет!S2863-S2863</f>
        <v>500</v>
      </c>
      <c r="Y2863" s="43">
        <f>Y2862+Учет!T2863-T2863</f>
        <v>1150</v>
      </c>
      <c r="Z2863" s="43">
        <f>Z2862+Учет!U2863-U2863</f>
        <v>500000</v>
      </c>
      <c r="AA2863" s="45">
        <f>Учет!X2863</f>
        <v>500</v>
      </c>
    </row>
    <row r="2864" spans="1:27" ht="15" customHeight="1" x14ac:dyDescent="0.25">
      <c r="A2864" s="1"/>
      <c r="B2864" s="17"/>
      <c r="C2864" s="17"/>
      <c r="D2864" s="17"/>
      <c r="E2864" s="17"/>
      <c r="F2864" s="17"/>
      <c r="G2864" s="4">
        <f t="shared" si="129"/>
        <v>0</v>
      </c>
      <c r="H2864" s="17"/>
      <c r="I2864" s="4">
        <f t="shared" si="131"/>
        <v>349526.07999999996</v>
      </c>
      <c r="J2864" s="32" t="str">
        <f t="shared" si="130"/>
        <v/>
      </c>
      <c r="K2864" s="72"/>
      <c r="L2864" s="72"/>
      <c r="M2864" s="2"/>
      <c r="N2864" s="5"/>
      <c r="O2864" s="3"/>
      <c r="P2864" s="6"/>
      <c r="Q2864" s="48">
        <f>IF(Учет!$O2864=Справочники!$F$2,Учет!$H2864,0)</f>
        <v>0</v>
      </c>
      <c r="R2864" s="48">
        <f>IF(Учет!$O2864=Справочники!$F$3,Учет!$H2864,0)</f>
        <v>0</v>
      </c>
      <c r="S2864" s="48">
        <f>IF(Учет!$O2864=Справочники!$F$4,Учет!$H2864,0)</f>
        <v>0</v>
      </c>
      <c r="T2864" s="48">
        <f>IF(Учет!$O2864=Справочники!$F$5,Учет!$H2864,0)</f>
        <v>0</v>
      </c>
      <c r="U2864" s="48">
        <f>IF(Учет!$O2864=Справочники!$F$6,Учет!$H2864,0)</f>
        <v>0</v>
      </c>
      <c r="V2864" s="43">
        <f>V2863+Учет!Q2864-Q2864</f>
        <v>-488978.92000000004</v>
      </c>
      <c r="W2864" s="43">
        <f>W2863+Учет!R2864-R2864</f>
        <v>336855</v>
      </c>
      <c r="X2864" s="43">
        <f>X2863+Учет!S2864-S2864</f>
        <v>500</v>
      </c>
      <c r="Y2864" s="43">
        <f>Y2863+Учет!T2864-T2864</f>
        <v>1150</v>
      </c>
      <c r="Z2864" s="43">
        <f>Z2863+Учет!U2864-U2864</f>
        <v>500000</v>
      </c>
      <c r="AA2864" s="45">
        <f>Учет!X2864</f>
        <v>500</v>
      </c>
    </row>
    <row r="2865" spans="1:27" ht="15" customHeight="1" x14ac:dyDescent="0.25">
      <c r="A2865" s="1"/>
      <c r="B2865" s="17"/>
      <c r="C2865" s="17"/>
      <c r="D2865" s="17"/>
      <c r="E2865" s="17"/>
      <c r="F2865" s="17"/>
      <c r="G2865" s="4">
        <f t="shared" si="129"/>
        <v>0</v>
      </c>
      <c r="H2865" s="17"/>
      <c r="I2865" s="4">
        <f t="shared" si="131"/>
        <v>349526.07999999996</v>
      </c>
      <c r="J2865" s="32" t="str">
        <f t="shared" si="130"/>
        <v/>
      </c>
      <c r="K2865" s="72"/>
      <c r="L2865" s="72"/>
      <c r="M2865" s="2"/>
      <c r="N2865" s="5"/>
      <c r="O2865" s="3"/>
      <c r="P2865" s="6"/>
      <c r="Q2865" s="48">
        <f>IF(Учет!$O2865=Справочники!$F$2,Учет!$H2865,0)</f>
        <v>0</v>
      </c>
      <c r="R2865" s="48">
        <f>IF(Учет!$O2865=Справочники!$F$3,Учет!$H2865,0)</f>
        <v>0</v>
      </c>
      <c r="S2865" s="48">
        <f>IF(Учет!$O2865=Справочники!$F$4,Учет!$H2865,0)</f>
        <v>0</v>
      </c>
      <c r="T2865" s="48">
        <f>IF(Учет!$O2865=Справочники!$F$5,Учет!$H2865,0)</f>
        <v>0</v>
      </c>
      <c r="U2865" s="48">
        <f>IF(Учет!$O2865=Справочники!$F$6,Учет!$H2865,0)</f>
        <v>0</v>
      </c>
      <c r="V2865" s="43">
        <f>V2864+Учет!Q2865-Q2865</f>
        <v>-488978.92000000004</v>
      </c>
      <c r="W2865" s="43">
        <f>W2864+Учет!R2865-R2865</f>
        <v>336855</v>
      </c>
      <c r="X2865" s="43">
        <f>X2864+Учет!S2865-S2865</f>
        <v>500</v>
      </c>
      <c r="Y2865" s="43">
        <f>Y2864+Учет!T2865-T2865</f>
        <v>1150</v>
      </c>
      <c r="Z2865" s="43">
        <f>Z2864+Учет!U2865-U2865</f>
        <v>500000</v>
      </c>
      <c r="AA2865" s="45">
        <f>Учет!X2865</f>
        <v>500</v>
      </c>
    </row>
    <row r="2866" spans="1:27" ht="15" customHeight="1" x14ac:dyDescent="0.25">
      <c r="A2866" s="1"/>
      <c r="B2866" s="17"/>
      <c r="C2866" s="17"/>
      <c r="D2866" s="17"/>
      <c r="E2866" s="17"/>
      <c r="F2866" s="17"/>
      <c r="G2866" s="4">
        <f t="shared" si="129"/>
        <v>0</v>
      </c>
      <c r="H2866" s="17"/>
      <c r="I2866" s="4">
        <f t="shared" si="131"/>
        <v>349526.07999999996</v>
      </c>
      <c r="J2866" s="32" t="str">
        <f t="shared" si="130"/>
        <v/>
      </c>
      <c r="K2866" s="72"/>
      <c r="L2866" s="72"/>
      <c r="M2866" s="2"/>
      <c r="N2866" s="5"/>
      <c r="O2866" s="3"/>
      <c r="P2866" s="6"/>
      <c r="Q2866" s="48">
        <f>IF(Учет!$O2866=Справочники!$F$2,Учет!$H2866,0)</f>
        <v>0</v>
      </c>
      <c r="R2866" s="48">
        <f>IF(Учет!$O2866=Справочники!$F$3,Учет!$H2866,0)</f>
        <v>0</v>
      </c>
      <c r="S2866" s="48">
        <f>IF(Учет!$O2866=Справочники!$F$4,Учет!$H2866,0)</f>
        <v>0</v>
      </c>
      <c r="T2866" s="48">
        <f>IF(Учет!$O2866=Справочники!$F$5,Учет!$H2866,0)</f>
        <v>0</v>
      </c>
      <c r="U2866" s="48">
        <f>IF(Учет!$O2866=Справочники!$F$6,Учет!$H2866,0)</f>
        <v>0</v>
      </c>
      <c r="V2866" s="43">
        <f>V2865+Учет!Q2866-Q2866</f>
        <v>-488978.92000000004</v>
      </c>
      <c r="W2866" s="43">
        <f>W2865+Учет!R2866-R2866</f>
        <v>336855</v>
      </c>
      <c r="X2866" s="43">
        <f>X2865+Учет!S2866-S2866</f>
        <v>500</v>
      </c>
      <c r="Y2866" s="43">
        <f>Y2865+Учет!T2866-T2866</f>
        <v>1150</v>
      </c>
      <c r="Z2866" s="43">
        <f>Z2865+Учет!U2866-U2866</f>
        <v>500000</v>
      </c>
      <c r="AA2866" s="45">
        <f>Учет!X2866</f>
        <v>500</v>
      </c>
    </row>
    <row r="2867" spans="1:27" ht="15" customHeight="1" x14ac:dyDescent="0.25">
      <c r="A2867" s="1"/>
      <c r="B2867" s="17"/>
      <c r="C2867" s="17"/>
      <c r="D2867" s="17"/>
      <c r="E2867" s="17"/>
      <c r="F2867" s="17"/>
      <c r="G2867" s="4">
        <f t="shared" si="129"/>
        <v>0</v>
      </c>
      <c r="H2867" s="17"/>
      <c r="I2867" s="4">
        <f t="shared" si="131"/>
        <v>349526.07999999996</v>
      </c>
      <c r="J2867" s="32" t="str">
        <f t="shared" si="130"/>
        <v/>
      </c>
      <c r="K2867" s="72"/>
      <c r="L2867" s="72"/>
      <c r="M2867" s="2"/>
      <c r="N2867" s="5"/>
      <c r="O2867" s="3"/>
      <c r="P2867" s="6"/>
      <c r="Q2867" s="48">
        <f>IF(Учет!$O2867=Справочники!$F$2,Учет!$H2867,0)</f>
        <v>0</v>
      </c>
      <c r="R2867" s="48">
        <f>IF(Учет!$O2867=Справочники!$F$3,Учет!$H2867,0)</f>
        <v>0</v>
      </c>
      <c r="S2867" s="48">
        <f>IF(Учет!$O2867=Справочники!$F$4,Учет!$H2867,0)</f>
        <v>0</v>
      </c>
      <c r="T2867" s="48">
        <f>IF(Учет!$O2867=Справочники!$F$5,Учет!$H2867,0)</f>
        <v>0</v>
      </c>
      <c r="U2867" s="48">
        <f>IF(Учет!$O2867=Справочники!$F$6,Учет!$H2867,0)</f>
        <v>0</v>
      </c>
      <c r="V2867" s="43">
        <f>V2866+Учет!Q2867-Q2867</f>
        <v>-488978.92000000004</v>
      </c>
      <c r="W2867" s="43">
        <f>W2866+Учет!R2867-R2867</f>
        <v>336855</v>
      </c>
      <c r="X2867" s="43">
        <f>X2866+Учет!S2867-S2867</f>
        <v>500</v>
      </c>
      <c r="Y2867" s="43">
        <f>Y2866+Учет!T2867-T2867</f>
        <v>1150</v>
      </c>
      <c r="Z2867" s="43">
        <f>Z2866+Учет!U2867-U2867</f>
        <v>500000</v>
      </c>
      <c r="AA2867" s="45">
        <f>Учет!X2867</f>
        <v>500</v>
      </c>
    </row>
    <row r="2868" spans="1:27" ht="15" customHeight="1" x14ac:dyDescent="0.25">
      <c r="A2868" s="1"/>
      <c r="B2868" s="17"/>
      <c r="C2868" s="17"/>
      <c r="D2868" s="17"/>
      <c r="E2868" s="17"/>
      <c r="F2868" s="17"/>
      <c r="G2868" s="4">
        <f t="shared" si="129"/>
        <v>0</v>
      </c>
      <c r="H2868" s="17"/>
      <c r="I2868" s="4">
        <f t="shared" si="131"/>
        <v>349526.07999999996</v>
      </c>
      <c r="J2868" s="32" t="str">
        <f t="shared" si="130"/>
        <v/>
      </c>
      <c r="K2868" s="72"/>
      <c r="L2868" s="72"/>
      <c r="M2868" s="2"/>
      <c r="N2868" s="5"/>
      <c r="O2868" s="3"/>
      <c r="P2868" s="6"/>
      <c r="Q2868" s="48">
        <f>IF(Учет!$O2868=Справочники!$F$2,Учет!$H2868,0)</f>
        <v>0</v>
      </c>
      <c r="R2868" s="48">
        <f>IF(Учет!$O2868=Справочники!$F$3,Учет!$H2868,0)</f>
        <v>0</v>
      </c>
      <c r="S2868" s="48">
        <f>IF(Учет!$O2868=Справочники!$F$4,Учет!$H2868,0)</f>
        <v>0</v>
      </c>
      <c r="T2868" s="48">
        <f>IF(Учет!$O2868=Справочники!$F$5,Учет!$H2868,0)</f>
        <v>0</v>
      </c>
      <c r="U2868" s="48">
        <f>IF(Учет!$O2868=Справочники!$F$6,Учет!$H2868,0)</f>
        <v>0</v>
      </c>
      <c r="V2868" s="43">
        <f>V2867+Учет!Q2868-Q2868</f>
        <v>-488978.92000000004</v>
      </c>
      <c r="W2868" s="43">
        <f>W2867+Учет!R2868-R2868</f>
        <v>336855</v>
      </c>
      <c r="X2868" s="43">
        <f>X2867+Учет!S2868-S2868</f>
        <v>500</v>
      </c>
      <c r="Y2868" s="43">
        <f>Y2867+Учет!T2868-T2868</f>
        <v>1150</v>
      </c>
      <c r="Z2868" s="43">
        <f>Z2867+Учет!U2868-U2868</f>
        <v>500000</v>
      </c>
      <c r="AA2868" s="45">
        <f>Учет!X2868</f>
        <v>500</v>
      </c>
    </row>
    <row r="2869" spans="1:27" ht="15" customHeight="1" x14ac:dyDescent="0.25">
      <c r="A2869" s="1"/>
      <c r="B2869" s="17"/>
      <c r="C2869" s="17"/>
      <c r="D2869" s="17"/>
      <c r="E2869" s="17"/>
      <c r="F2869" s="17"/>
      <c r="G2869" s="4">
        <f t="shared" si="129"/>
        <v>0</v>
      </c>
      <c r="H2869" s="17"/>
      <c r="I2869" s="4">
        <f t="shared" si="131"/>
        <v>349526.07999999996</v>
      </c>
      <c r="J2869" s="32" t="str">
        <f t="shared" si="130"/>
        <v/>
      </c>
      <c r="K2869" s="72"/>
      <c r="L2869" s="72"/>
      <c r="M2869" s="2"/>
      <c r="N2869" s="5"/>
      <c r="O2869" s="3"/>
      <c r="P2869" s="6"/>
      <c r="Q2869" s="48">
        <f>IF(Учет!$O2869=Справочники!$F$2,Учет!$H2869,0)</f>
        <v>0</v>
      </c>
      <c r="R2869" s="48">
        <f>IF(Учет!$O2869=Справочники!$F$3,Учет!$H2869,0)</f>
        <v>0</v>
      </c>
      <c r="S2869" s="48">
        <f>IF(Учет!$O2869=Справочники!$F$4,Учет!$H2869,0)</f>
        <v>0</v>
      </c>
      <c r="T2869" s="48">
        <f>IF(Учет!$O2869=Справочники!$F$5,Учет!$H2869,0)</f>
        <v>0</v>
      </c>
      <c r="U2869" s="48">
        <f>IF(Учет!$O2869=Справочники!$F$6,Учет!$H2869,0)</f>
        <v>0</v>
      </c>
      <c r="V2869" s="43">
        <f>V2868+Учет!Q2869-Q2869</f>
        <v>-488978.92000000004</v>
      </c>
      <c r="W2869" s="43">
        <f>W2868+Учет!R2869-R2869</f>
        <v>336855</v>
      </c>
      <c r="X2869" s="43">
        <f>X2868+Учет!S2869-S2869</f>
        <v>500</v>
      </c>
      <c r="Y2869" s="43">
        <f>Y2868+Учет!T2869-T2869</f>
        <v>1150</v>
      </c>
      <c r="Z2869" s="43">
        <f>Z2868+Учет!U2869-U2869</f>
        <v>500000</v>
      </c>
      <c r="AA2869" s="45">
        <f>Учет!X2869</f>
        <v>500</v>
      </c>
    </row>
    <row r="2870" spans="1:27" ht="15" customHeight="1" x14ac:dyDescent="0.25">
      <c r="A2870" s="1"/>
      <c r="B2870" s="17"/>
      <c r="C2870" s="17"/>
      <c r="D2870" s="17"/>
      <c r="E2870" s="17"/>
      <c r="F2870" s="17"/>
      <c r="G2870" s="4">
        <f t="shared" si="129"/>
        <v>0</v>
      </c>
      <c r="H2870" s="17"/>
      <c r="I2870" s="4">
        <f t="shared" si="131"/>
        <v>349526.07999999996</v>
      </c>
      <c r="J2870" s="32" t="str">
        <f t="shared" si="130"/>
        <v/>
      </c>
      <c r="K2870" s="72"/>
      <c r="L2870" s="72"/>
      <c r="M2870" s="2"/>
      <c r="N2870" s="5"/>
      <c r="O2870" s="3"/>
      <c r="P2870" s="6"/>
      <c r="Q2870" s="48">
        <f>IF(Учет!$O2870=Справочники!$F$2,Учет!$H2870,0)</f>
        <v>0</v>
      </c>
      <c r="R2870" s="48">
        <f>IF(Учет!$O2870=Справочники!$F$3,Учет!$H2870,0)</f>
        <v>0</v>
      </c>
      <c r="S2870" s="48">
        <f>IF(Учет!$O2870=Справочники!$F$4,Учет!$H2870,0)</f>
        <v>0</v>
      </c>
      <c r="T2870" s="48">
        <f>IF(Учет!$O2870=Справочники!$F$5,Учет!$H2870,0)</f>
        <v>0</v>
      </c>
      <c r="U2870" s="48">
        <f>IF(Учет!$O2870=Справочники!$F$6,Учет!$H2870,0)</f>
        <v>0</v>
      </c>
      <c r="V2870" s="43">
        <f>V2869+Учет!Q2870-Q2870</f>
        <v>-488978.92000000004</v>
      </c>
      <c r="W2870" s="43">
        <f>W2869+Учет!R2870-R2870</f>
        <v>336855</v>
      </c>
      <c r="X2870" s="43">
        <f>X2869+Учет!S2870-S2870</f>
        <v>500</v>
      </c>
      <c r="Y2870" s="43">
        <f>Y2869+Учет!T2870-T2870</f>
        <v>1150</v>
      </c>
      <c r="Z2870" s="43">
        <f>Z2869+Учет!U2870-U2870</f>
        <v>500000</v>
      </c>
      <c r="AA2870" s="45">
        <f>Учет!X2870</f>
        <v>500</v>
      </c>
    </row>
    <row r="2871" spans="1:27" ht="15" customHeight="1" x14ac:dyDescent="0.25">
      <c r="A2871" s="1"/>
      <c r="B2871" s="17"/>
      <c r="C2871" s="17"/>
      <c r="D2871" s="17"/>
      <c r="E2871" s="17"/>
      <c r="F2871" s="17"/>
      <c r="G2871" s="4">
        <f t="shared" si="129"/>
        <v>0</v>
      </c>
      <c r="H2871" s="17"/>
      <c r="I2871" s="4">
        <f t="shared" si="131"/>
        <v>349526.07999999996</v>
      </c>
      <c r="J2871" s="32" t="str">
        <f t="shared" si="130"/>
        <v/>
      </c>
      <c r="K2871" s="72"/>
      <c r="L2871" s="72"/>
      <c r="M2871" s="2"/>
      <c r="N2871" s="5"/>
      <c r="O2871" s="3"/>
      <c r="P2871" s="6"/>
      <c r="Q2871" s="48">
        <f>IF(Учет!$O2871=Справочники!$F$2,Учет!$H2871,0)</f>
        <v>0</v>
      </c>
      <c r="R2871" s="48">
        <f>IF(Учет!$O2871=Справочники!$F$3,Учет!$H2871,0)</f>
        <v>0</v>
      </c>
      <c r="S2871" s="48">
        <f>IF(Учет!$O2871=Справочники!$F$4,Учет!$H2871,0)</f>
        <v>0</v>
      </c>
      <c r="T2871" s="48">
        <f>IF(Учет!$O2871=Справочники!$F$5,Учет!$H2871,0)</f>
        <v>0</v>
      </c>
      <c r="U2871" s="48">
        <f>IF(Учет!$O2871=Справочники!$F$6,Учет!$H2871,0)</f>
        <v>0</v>
      </c>
      <c r="V2871" s="43">
        <f>V2870+Учет!Q2871-Q2871</f>
        <v>-488978.92000000004</v>
      </c>
      <c r="W2871" s="43">
        <f>W2870+Учет!R2871-R2871</f>
        <v>336855</v>
      </c>
      <c r="X2871" s="43">
        <f>X2870+Учет!S2871-S2871</f>
        <v>500</v>
      </c>
      <c r="Y2871" s="43">
        <f>Y2870+Учет!T2871-T2871</f>
        <v>1150</v>
      </c>
      <c r="Z2871" s="43">
        <f>Z2870+Учет!U2871-U2871</f>
        <v>500000</v>
      </c>
      <c r="AA2871" s="45">
        <f>Учет!X2871</f>
        <v>500</v>
      </c>
    </row>
    <row r="2872" spans="1:27" ht="15" customHeight="1" x14ac:dyDescent="0.25">
      <c r="A2872" s="1"/>
      <c r="B2872" s="17"/>
      <c r="C2872" s="17"/>
      <c r="D2872" s="17"/>
      <c r="E2872" s="17"/>
      <c r="F2872" s="17"/>
      <c r="G2872" s="4">
        <f t="shared" si="129"/>
        <v>0</v>
      </c>
      <c r="H2872" s="17"/>
      <c r="I2872" s="4">
        <f t="shared" si="131"/>
        <v>349526.07999999996</v>
      </c>
      <c r="J2872" s="32" t="str">
        <f t="shared" si="130"/>
        <v/>
      </c>
      <c r="K2872" s="72"/>
      <c r="L2872" s="72"/>
      <c r="M2872" s="2"/>
      <c r="N2872" s="5"/>
      <c r="O2872" s="3"/>
      <c r="P2872" s="6"/>
      <c r="Q2872" s="48">
        <f>IF(Учет!$O2872=Справочники!$F$2,Учет!$H2872,0)</f>
        <v>0</v>
      </c>
      <c r="R2872" s="48">
        <f>IF(Учет!$O2872=Справочники!$F$3,Учет!$H2872,0)</f>
        <v>0</v>
      </c>
      <c r="S2872" s="48">
        <f>IF(Учет!$O2872=Справочники!$F$4,Учет!$H2872,0)</f>
        <v>0</v>
      </c>
      <c r="T2872" s="48">
        <f>IF(Учет!$O2872=Справочники!$F$5,Учет!$H2872,0)</f>
        <v>0</v>
      </c>
      <c r="U2872" s="48">
        <f>IF(Учет!$O2872=Справочники!$F$6,Учет!$H2872,0)</f>
        <v>0</v>
      </c>
      <c r="V2872" s="43">
        <f>V2871+Учет!Q2872-Q2872</f>
        <v>-488978.92000000004</v>
      </c>
      <c r="W2872" s="43">
        <f>W2871+Учет!R2872-R2872</f>
        <v>336855</v>
      </c>
      <c r="X2872" s="43">
        <f>X2871+Учет!S2872-S2872</f>
        <v>500</v>
      </c>
      <c r="Y2872" s="43">
        <f>Y2871+Учет!T2872-T2872</f>
        <v>1150</v>
      </c>
      <c r="Z2872" s="43">
        <f>Z2871+Учет!U2872-U2872</f>
        <v>500000</v>
      </c>
      <c r="AA2872" s="45">
        <f>Учет!X2872</f>
        <v>500</v>
      </c>
    </row>
    <row r="2873" spans="1:27" ht="15" customHeight="1" x14ac:dyDescent="0.25">
      <c r="A2873" s="1"/>
      <c r="B2873" s="17"/>
      <c r="C2873" s="17"/>
      <c r="D2873" s="17"/>
      <c r="E2873" s="17"/>
      <c r="F2873" s="17"/>
      <c r="G2873" s="4">
        <f t="shared" si="129"/>
        <v>0</v>
      </c>
      <c r="H2873" s="17"/>
      <c r="I2873" s="4">
        <f t="shared" si="131"/>
        <v>349526.07999999996</v>
      </c>
      <c r="J2873" s="32" t="str">
        <f t="shared" si="130"/>
        <v/>
      </c>
      <c r="K2873" s="72"/>
      <c r="L2873" s="72"/>
      <c r="M2873" s="2"/>
      <c r="N2873" s="5"/>
      <c r="O2873" s="3"/>
      <c r="P2873" s="6"/>
      <c r="Q2873" s="48">
        <f>IF(Учет!$O2873=Справочники!$F$2,Учет!$H2873,0)</f>
        <v>0</v>
      </c>
      <c r="R2873" s="48">
        <f>IF(Учет!$O2873=Справочники!$F$3,Учет!$H2873,0)</f>
        <v>0</v>
      </c>
      <c r="S2873" s="48">
        <f>IF(Учет!$O2873=Справочники!$F$4,Учет!$H2873,0)</f>
        <v>0</v>
      </c>
      <c r="T2873" s="48">
        <f>IF(Учет!$O2873=Справочники!$F$5,Учет!$H2873,0)</f>
        <v>0</v>
      </c>
      <c r="U2873" s="48">
        <f>IF(Учет!$O2873=Справочники!$F$6,Учет!$H2873,0)</f>
        <v>0</v>
      </c>
      <c r="V2873" s="43">
        <f>V2872+Учет!Q2873-Q2873</f>
        <v>-488978.92000000004</v>
      </c>
      <c r="W2873" s="43">
        <f>W2872+Учет!R2873-R2873</f>
        <v>336855</v>
      </c>
      <c r="X2873" s="43">
        <f>X2872+Учет!S2873-S2873</f>
        <v>500</v>
      </c>
      <c r="Y2873" s="43">
        <f>Y2872+Учет!T2873-T2873</f>
        <v>1150</v>
      </c>
      <c r="Z2873" s="43">
        <f>Z2872+Учет!U2873-U2873</f>
        <v>500000</v>
      </c>
      <c r="AA2873" s="45">
        <f>Учет!X2873</f>
        <v>500</v>
      </c>
    </row>
    <row r="2874" spans="1:27" ht="15" customHeight="1" x14ac:dyDescent="0.25">
      <c r="A2874" s="1"/>
      <c r="B2874" s="17"/>
      <c r="C2874" s="17"/>
      <c r="D2874" s="17"/>
      <c r="E2874" s="17"/>
      <c r="F2874" s="17"/>
      <c r="G2874" s="4">
        <f t="shared" si="129"/>
        <v>0</v>
      </c>
      <c r="H2874" s="17"/>
      <c r="I2874" s="4">
        <f t="shared" si="131"/>
        <v>349526.07999999996</v>
      </c>
      <c r="J2874" s="32" t="str">
        <f t="shared" si="130"/>
        <v/>
      </c>
      <c r="K2874" s="72"/>
      <c r="L2874" s="72"/>
      <c r="M2874" s="2"/>
      <c r="N2874" s="5"/>
      <c r="O2874" s="3"/>
      <c r="P2874" s="6"/>
      <c r="Q2874" s="48">
        <f>IF(Учет!$O2874=Справочники!$F$2,Учет!$H2874,0)</f>
        <v>0</v>
      </c>
      <c r="R2874" s="48">
        <f>IF(Учет!$O2874=Справочники!$F$3,Учет!$H2874,0)</f>
        <v>0</v>
      </c>
      <c r="S2874" s="48">
        <f>IF(Учет!$O2874=Справочники!$F$4,Учет!$H2874,0)</f>
        <v>0</v>
      </c>
      <c r="T2874" s="48">
        <f>IF(Учет!$O2874=Справочники!$F$5,Учет!$H2874,0)</f>
        <v>0</v>
      </c>
      <c r="U2874" s="48">
        <f>IF(Учет!$O2874=Справочники!$F$6,Учет!$H2874,0)</f>
        <v>0</v>
      </c>
      <c r="V2874" s="43">
        <f>V2873+Учет!Q2874-Q2874</f>
        <v>-488978.92000000004</v>
      </c>
      <c r="W2874" s="43">
        <f>W2873+Учет!R2874-R2874</f>
        <v>336855</v>
      </c>
      <c r="X2874" s="43">
        <f>X2873+Учет!S2874-S2874</f>
        <v>500</v>
      </c>
      <c r="Y2874" s="43">
        <f>Y2873+Учет!T2874-T2874</f>
        <v>1150</v>
      </c>
      <c r="Z2874" s="43">
        <f>Z2873+Учет!U2874-U2874</f>
        <v>500000</v>
      </c>
      <c r="AA2874" s="45">
        <f>Учет!X2874</f>
        <v>500</v>
      </c>
    </row>
    <row r="2875" spans="1:27" ht="15" customHeight="1" x14ac:dyDescent="0.25">
      <c r="A2875" s="1"/>
      <c r="B2875" s="17"/>
      <c r="C2875" s="17"/>
      <c r="D2875" s="17"/>
      <c r="E2875" s="17"/>
      <c r="F2875" s="17"/>
      <c r="G2875" s="4">
        <f t="shared" si="129"/>
        <v>0</v>
      </c>
      <c r="H2875" s="17"/>
      <c r="I2875" s="4">
        <f t="shared" si="131"/>
        <v>349526.07999999996</v>
      </c>
      <c r="J2875" s="32" t="str">
        <f t="shared" si="130"/>
        <v/>
      </c>
      <c r="K2875" s="72"/>
      <c r="L2875" s="72"/>
      <c r="M2875" s="2"/>
      <c r="N2875" s="5"/>
      <c r="O2875" s="3"/>
      <c r="P2875" s="6"/>
      <c r="Q2875" s="48">
        <f>IF(Учет!$O2875=Справочники!$F$2,Учет!$H2875,0)</f>
        <v>0</v>
      </c>
      <c r="R2875" s="48">
        <f>IF(Учет!$O2875=Справочники!$F$3,Учет!$H2875,0)</f>
        <v>0</v>
      </c>
      <c r="S2875" s="48">
        <f>IF(Учет!$O2875=Справочники!$F$4,Учет!$H2875,0)</f>
        <v>0</v>
      </c>
      <c r="T2875" s="48">
        <f>IF(Учет!$O2875=Справочники!$F$5,Учет!$H2875,0)</f>
        <v>0</v>
      </c>
      <c r="U2875" s="48">
        <f>IF(Учет!$O2875=Справочники!$F$6,Учет!$H2875,0)</f>
        <v>0</v>
      </c>
      <c r="V2875" s="43">
        <f>V2874+Учет!Q2875-Q2875</f>
        <v>-488978.92000000004</v>
      </c>
      <c r="W2875" s="43">
        <f>W2874+Учет!R2875-R2875</f>
        <v>336855</v>
      </c>
      <c r="X2875" s="43">
        <f>X2874+Учет!S2875-S2875</f>
        <v>500</v>
      </c>
      <c r="Y2875" s="43">
        <f>Y2874+Учет!T2875-T2875</f>
        <v>1150</v>
      </c>
      <c r="Z2875" s="43">
        <f>Z2874+Учет!U2875-U2875</f>
        <v>500000</v>
      </c>
      <c r="AA2875" s="45">
        <f>Учет!X2875</f>
        <v>500</v>
      </c>
    </row>
    <row r="2876" spans="1:27" ht="15" customHeight="1" x14ac:dyDescent="0.25">
      <c r="A2876" s="1"/>
      <c r="B2876" s="17"/>
      <c r="C2876" s="17"/>
      <c r="D2876" s="17"/>
      <c r="E2876" s="17"/>
      <c r="F2876" s="17"/>
      <c r="G2876" s="4">
        <f t="shared" si="129"/>
        <v>0</v>
      </c>
      <c r="H2876" s="17"/>
      <c r="I2876" s="4">
        <f t="shared" si="131"/>
        <v>349526.07999999996</v>
      </c>
      <c r="J2876" s="32" t="str">
        <f t="shared" si="130"/>
        <v/>
      </c>
      <c r="K2876" s="72"/>
      <c r="L2876" s="72"/>
      <c r="M2876" s="2"/>
      <c r="N2876" s="5"/>
      <c r="O2876" s="3"/>
      <c r="P2876" s="6"/>
      <c r="Q2876" s="48">
        <f>IF(Учет!$O2876=Справочники!$F$2,Учет!$H2876,0)</f>
        <v>0</v>
      </c>
      <c r="R2876" s="48">
        <f>IF(Учет!$O2876=Справочники!$F$3,Учет!$H2876,0)</f>
        <v>0</v>
      </c>
      <c r="S2876" s="48">
        <f>IF(Учет!$O2876=Справочники!$F$4,Учет!$H2876,0)</f>
        <v>0</v>
      </c>
      <c r="T2876" s="48">
        <f>IF(Учет!$O2876=Справочники!$F$5,Учет!$H2876,0)</f>
        <v>0</v>
      </c>
      <c r="U2876" s="48">
        <f>IF(Учет!$O2876=Справочники!$F$6,Учет!$H2876,0)</f>
        <v>0</v>
      </c>
      <c r="V2876" s="43">
        <f>V2875+Учет!Q2876-Q2876</f>
        <v>-488978.92000000004</v>
      </c>
      <c r="W2876" s="43">
        <f>W2875+Учет!R2876-R2876</f>
        <v>336855</v>
      </c>
      <c r="X2876" s="43">
        <f>X2875+Учет!S2876-S2876</f>
        <v>500</v>
      </c>
      <c r="Y2876" s="43">
        <f>Y2875+Учет!T2876-T2876</f>
        <v>1150</v>
      </c>
      <c r="Z2876" s="43">
        <f>Z2875+Учет!U2876-U2876</f>
        <v>500000</v>
      </c>
      <c r="AA2876" s="45">
        <f>Учет!X2876</f>
        <v>500</v>
      </c>
    </row>
    <row r="2877" spans="1:27" ht="15" customHeight="1" x14ac:dyDescent="0.25">
      <c r="A2877" s="1"/>
      <c r="B2877" s="17"/>
      <c r="C2877" s="17"/>
      <c r="D2877" s="17"/>
      <c r="E2877" s="17"/>
      <c r="F2877" s="17"/>
      <c r="G2877" s="4">
        <f t="shared" si="129"/>
        <v>0</v>
      </c>
      <c r="H2877" s="17"/>
      <c r="I2877" s="4">
        <f t="shared" si="131"/>
        <v>349526.07999999996</v>
      </c>
      <c r="J2877" s="32" t="str">
        <f t="shared" si="130"/>
        <v/>
      </c>
      <c r="K2877" s="72"/>
      <c r="L2877" s="72"/>
      <c r="M2877" s="2"/>
      <c r="N2877" s="5"/>
      <c r="O2877" s="3"/>
      <c r="P2877" s="6"/>
      <c r="Q2877" s="48">
        <f>IF(Учет!$O2877=Справочники!$F$2,Учет!$H2877,0)</f>
        <v>0</v>
      </c>
      <c r="R2877" s="48">
        <f>IF(Учет!$O2877=Справочники!$F$3,Учет!$H2877,0)</f>
        <v>0</v>
      </c>
      <c r="S2877" s="48">
        <f>IF(Учет!$O2877=Справочники!$F$4,Учет!$H2877,0)</f>
        <v>0</v>
      </c>
      <c r="T2877" s="48">
        <f>IF(Учет!$O2877=Справочники!$F$5,Учет!$H2877,0)</f>
        <v>0</v>
      </c>
      <c r="U2877" s="48">
        <f>IF(Учет!$O2877=Справочники!$F$6,Учет!$H2877,0)</f>
        <v>0</v>
      </c>
      <c r="V2877" s="43">
        <f>V2876+Учет!Q2877-Q2877</f>
        <v>-488978.92000000004</v>
      </c>
      <c r="W2877" s="43">
        <f>W2876+Учет!R2877-R2877</f>
        <v>336855</v>
      </c>
      <c r="X2877" s="43">
        <f>X2876+Учет!S2877-S2877</f>
        <v>500</v>
      </c>
      <c r="Y2877" s="43">
        <f>Y2876+Учет!T2877-T2877</f>
        <v>1150</v>
      </c>
      <c r="Z2877" s="43">
        <f>Z2876+Учет!U2877-U2877</f>
        <v>500000</v>
      </c>
      <c r="AA2877" s="45">
        <f>Учет!X2877</f>
        <v>500</v>
      </c>
    </row>
    <row r="2878" spans="1:27" ht="15" customHeight="1" x14ac:dyDescent="0.25">
      <c r="A2878" s="1"/>
      <c r="B2878" s="17"/>
      <c r="C2878" s="17"/>
      <c r="D2878" s="17"/>
      <c r="E2878" s="17"/>
      <c r="F2878" s="17"/>
      <c r="G2878" s="4">
        <f t="shared" si="129"/>
        <v>0</v>
      </c>
      <c r="H2878" s="17"/>
      <c r="I2878" s="4">
        <f t="shared" si="131"/>
        <v>349526.07999999996</v>
      </c>
      <c r="J2878" s="32" t="str">
        <f t="shared" si="130"/>
        <v/>
      </c>
      <c r="K2878" s="72"/>
      <c r="L2878" s="72"/>
      <c r="M2878" s="2"/>
      <c r="N2878" s="5"/>
      <c r="O2878" s="3"/>
      <c r="P2878" s="6"/>
      <c r="Q2878" s="48">
        <f>IF(Учет!$O2878=Справочники!$F$2,Учет!$H2878,0)</f>
        <v>0</v>
      </c>
      <c r="R2878" s="48">
        <f>IF(Учет!$O2878=Справочники!$F$3,Учет!$H2878,0)</f>
        <v>0</v>
      </c>
      <c r="S2878" s="48">
        <f>IF(Учет!$O2878=Справочники!$F$4,Учет!$H2878,0)</f>
        <v>0</v>
      </c>
      <c r="T2878" s="48">
        <f>IF(Учет!$O2878=Справочники!$F$5,Учет!$H2878,0)</f>
        <v>0</v>
      </c>
      <c r="U2878" s="48">
        <f>IF(Учет!$O2878=Справочники!$F$6,Учет!$H2878,0)</f>
        <v>0</v>
      </c>
      <c r="V2878" s="43">
        <f>V2877+Учет!Q2878-Q2878</f>
        <v>-488978.92000000004</v>
      </c>
      <c r="W2878" s="43">
        <f>W2877+Учет!R2878-R2878</f>
        <v>336855</v>
      </c>
      <c r="X2878" s="43">
        <f>X2877+Учет!S2878-S2878</f>
        <v>500</v>
      </c>
      <c r="Y2878" s="43">
        <f>Y2877+Учет!T2878-T2878</f>
        <v>1150</v>
      </c>
      <c r="Z2878" s="43">
        <f>Z2877+Учет!U2878-U2878</f>
        <v>500000</v>
      </c>
      <c r="AA2878" s="45">
        <f>Учет!X2878</f>
        <v>500</v>
      </c>
    </row>
    <row r="2879" spans="1:27" ht="15" customHeight="1" x14ac:dyDescent="0.25">
      <c r="A2879" s="1"/>
      <c r="B2879" s="17"/>
      <c r="C2879" s="17"/>
      <c r="D2879" s="17"/>
      <c r="E2879" s="17"/>
      <c r="F2879" s="17"/>
      <c r="G2879" s="4">
        <f t="shared" si="129"/>
        <v>0</v>
      </c>
      <c r="H2879" s="17"/>
      <c r="I2879" s="4">
        <f t="shared" si="131"/>
        <v>349526.07999999996</v>
      </c>
      <c r="J2879" s="32" t="str">
        <f t="shared" si="130"/>
        <v/>
      </c>
      <c r="K2879" s="72"/>
      <c r="L2879" s="72"/>
      <c r="M2879" s="2"/>
      <c r="N2879" s="5"/>
      <c r="O2879" s="3"/>
      <c r="P2879" s="6"/>
      <c r="Q2879" s="48">
        <f>IF(Учет!$O2879=Справочники!$F$2,Учет!$H2879,0)</f>
        <v>0</v>
      </c>
      <c r="R2879" s="48">
        <f>IF(Учет!$O2879=Справочники!$F$3,Учет!$H2879,0)</f>
        <v>0</v>
      </c>
      <c r="S2879" s="48">
        <f>IF(Учет!$O2879=Справочники!$F$4,Учет!$H2879,0)</f>
        <v>0</v>
      </c>
      <c r="T2879" s="48">
        <f>IF(Учет!$O2879=Справочники!$F$5,Учет!$H2879,0)</f>
        <v>0</v>
      </c>
      <c r="U2879" s="48">
        <f>IF(Учет!$O2879=Справочники!$F$6,Учет!$H2879,0)</f>
        <v>0</v>
      </c>
      <c r="V2879" s="43">
        <f>V2878+Учет!Q2879-Q2879</f>
        <v>-488978.92000000004</v>
      </c>
      <c r="W2879" s="43">
        <f>W2878+Учет!R2879-R2879</f>
        <v>336855</v>
      </c>
      <c r="X2879" s="43">
        <f>X2878+Учет!S2879-S2879</f>
        <v>500</v>
      </c>
      <c r="Y2879" s="43">
        <f>Y2878+Учет!T2879-T2879</f>
        <v>1150</v>
      </c>
      <c r="Z2879" s="43">
        <f>Z2878+Учет!U2879-U2879</f>
        <v>500000</v>
      </c>
      <c r="AA2879" s="45">
        <f>Учет!X2879</f>
        <v>500</v>
      </c>
    </row>
    <row r="2880" spans="1:27" ht="15" customHeight="1" x14ac:dyDescent="0.25">
      <c r="A2880" s="1"/>
      <c r="B2880" s="17"/>
      <c r="C2880" s="17"/>
      <c r="D2880" s="17"/>
      <c r="E2880" s="17"/>
      <c r="F2880" s="17"/>
      <c r="G2880" s="4">
        <f t="shared" si="129"/>
        <v>0</v>
      </c>
      <c r="H2880" s="17"/>
      <c r="I2880" s="4">
        <f t="shared" si="131"/>
        <v>349526.07999999996</v>
      </c>
      <c r="J2880" s="32" t="str">
        <f t="shared" si="130"/>
        <v/>
      </c>
      <c r="K2880" s="72"/>
      <c r="L2880" s="72"/>
      <c r="M2880" s="2"/>
      <c r="N2880" s="5"/>
      <c r="O2880" s="3"/>
      <c r="P2880" s="6"/>
      <c r="Q2880" s="48">
        <f>IF(Учет!$O2880=Справочники!$F$2,Учет!$H2880,0)</f>
        <v>0</v>
      </c>
      <c r="R2880" s="48">
        <f>IF(Учет!$O2880=Справочники!$F$3,Учет!$H2880,0)</f>
        <v>0</v>
      </c>
      <c r="S2880" s="48">
        <f>IF(Учет!$O2880=Справочники!$F$4,Учет!$H2880,0)</f>
        <v>0</v>
      </c>
      <c r="T2880" s="48">
        <f>IF(Учет!$O2880=Справочники!$F$5,Учет!$H2880,0)</f>
        <v>0</v>
      </c>
      <c r="U2880" s="48">
        <f>IF(Учет!$O2880=Справочники!$F$6,Учет!$H2880,0)</f>
        <v>0</v>
      </c>
      <c r="V2880" s="43">
        <f>V2879+Учет!Q2880-Q2880</f>
        <v>-488978.92000000004</v>
      </c>
      <c r="W2880" s="43">
        <f>W2879+Учет!R2880-R2880</f>
        <v>336855</v>
      </c>
      <c r="X2880" s="43">
        <f>X2879+Учет!S2880-S2880</f>
        <v>500</v>
      </c>
      <c r="Y2880" s="43">
        <f>Y2879+Учет!T2880-T2880</f>
        <v>1150</v>
      </c>
      <c r="Z2880" s="43">
        <f>Z2879+Учет!U2880-U2880</f>
        <v>500000</v>
      </c>
      <c r="AA2880" s="45">
        <f>Учет!X2880</f>
        <v>500</v>
      </c>
    </row>
    <row r="2881" spans="1:27" ht="15" customHeight="1" x14ac:dyDescent="0.25">
      <c r="A2881" s="1"/>
      <c r="B2881" s="17"/>
      <c r="C2881" s="17"/>
      <c r="D2881" s="17"/>
      <c r="E2881" s="17"/>
      <c r="F2881" s="17"/>
      <c r="G2881" s="4">
        <f t="shared" si="129"/>
        <v>0</v>
      </c>
      <c r="H2881" s="17"/>
      <c r="I2881" s="4">
        <f t="shared" si="131"/>
        <v>349526.07999999996</v>
      </c>
      <c r="J2881" s="32" t="str">
        <f t="shared" si="130"/>
        <v/>
      </c>
      <c r="K2881" s="72"/>
      <c r="L2881" s="72"/>
      <c r="M2881" s="2"/>
      <c r="N2881" s="5"/>
      <c r="O2881" s="3"/>
      <c r="P2881" s="6"/>
      <c r="Q2881" s="48">
        <f>IF(Учет!$O2881=Справочники!$F$2,Учет!$H2881,0)</f>
        <v>0</v>
      </c>
      <c r="R2881" s="48">
        <f>IF(Учет!$O2881=Справочники!$F$3,Учет!$H2881,0)</f>
        <v>0</v>
      </c>
      <c r="S2881" s="48">
        <f>IF(Учет!$O2881=Справочники!$F$4,Учет!$H2881,0)</f>
        <v>0</v>
      </c>
      <c r="T2881" s="48">
        <f>IF(Учет!$O2881=Справочники!$F$5,Учет!$H2881,0)</f>
        <v>0</v>
      </c>
      <c r="U2881" s="48">
        <f>IF(Учет!$O2881=Справочники!$F$6,Учет!$H2881,0)</f>
        <v>0</v>
      </c>
      <c r="V2881" s="43">
        <f>V2880+Учет!Q2881-Q2881</f>
        <v>-488978.92000000004</v>
      </c>
      <c r="W2881" s="43">
        <f>W2880+Учет!R2881-R2881</f>
        <v>336855</v>
      </c>
      <c r="X2881" s="43">
        <f>X2880+Учет!S2881-S2881</f>
        <v>500</v>
      </c>
      <c r="Y2881" s="43">
        <f>Y2880+Учет!T2881-T2881</f>
        <v>1150</v>
      </c>
      <c r="Z2881" s="43">
        <f>Z2880+Учет!U2881-U2881</f>
        <v>500000</v>
      </c>
      <c r="AA2881" s="45">
        <f>Учет!X2881</f>
        <v>500</v>
      </c>
    </row>
    <row r="2882" spans="1:27" ht="15" customHeight="1" x14ac:dyDescent="0.25">
      <c r="A2882" s="1"/>
      <c r="B2882" s="17"/>
      <c r="C2882" s="17"/>
      <c r="D2882" s="17"/>
      <c r="E2882" s="17"/>
      <c r="F2882" s="17"/>
      <c r="G2882" s="4">
        <f t="shared" ref="G2882:G2945" si="132">SUM($B2882:$F2882)</f>
        <v>0</v>
      </c>
      <c r="H2882" s="17"/>
      <c r="I2882" s="4">
        <f t="shared" si="131"/>
        <v>349526.07999999996</v>
      </c>
      <c r="J2882" s="32" t="str">
        <f t="shared" ref="J2882:J2945" si="133">IF($A2883&lt;&gt;$A2882,$I2882,"")</f>
        <v/>
      </c>
      <c r="K2882" s="72"/>
      <c r="L2882" s="72"/>
      <c r="M2882" s="2"/>
      <c r="N2882" s="5"/>
      <c r="O2882" s="3"/>
      <c r="P2882" s="6"/>
      <c r="Q2882" s="48">
        <f>IF(Учет!$O2882=Справочники!$F$2,Учет!$H2882,0)</f>
        <v>0</v>
      </c>
      <c r="R2882" s="48">
        <f>IF(Учет!$O2882=Справочники!$F$3,Учет!$H2882,0)</f>
        <v>0</v>
      </c>
      <c r="S2882" s="48">
        <f>IF(Учет!$O2882=Справочники!$F$4,Учет!$H2882,0)</f>
        <v>0</v>
      </c>
      <c r="T2882" s="48">
        <f>IF(Учет!$O2882=Справочники!$F$5,Учет!$H2882,0)</f>
        <v>0</v>
      </c>
      <c r="U2882" s="48">
        <f>IF(Учет!$O2882=Справочники!$F$6,Учет!$H2882,0)</f>
        <v>0</v>
      </c>
      <c r="V2882" s="43">
        <f>V2881+Учет!Q2882-Q2882</f>
        <v>-488978.92000000004</v>
      </c>
      <c r="W2882" s="43">
        <f>W2881+Учет!R2882-R2882</f>
        <v>336855</v>
      </c>
      <c r="X2882" s="43">
        <f>X2881+Учет!S2882-S2882</f>
        <v>500</v>
      </c>
      <c r="Y2882" s="43">
        <f>Y2881+Учет!T2882-T2882</f>
        <v>1150</v>
      </c>
      <c r="Z2882" s="43">
        <f>Z2881+Учет!U2882-U2882</f>
        <v>500000</v>
      </c>
      <c r="AA2882" s="45">
        <f>Учет!X2882</f>
        <v>500</v>
      </c>
    </row>
    <row r="2883" spans="1:27" ht="15" customHeight="1" x14ac:dyDescent="0.25">
      <c r="A2883" s="1"/>
      <c r="B2883" s="17"/>
      <c r="C2883" s="17"/>
      <c r="D2883" s="17"/>
      <c r="E2883" s="17"/>
      <c r="F2883" s="17"/>
      <c r="G2883" s="4">
        <f t="shared" si="132"/>
        <v>0</v>
      </c>
      <c r="H2883" s="17"/>
      <c r="I2883" s="4">
        <f t="shared" ref="I2883:I2946" si="134">$I2882+$G2883-$H2883</f>
        <v>349526.07999999996</v>
      </c>
      <c r="J2883" s="32" t="str">
        <f t="shared" si="133"/>
        <v/>
      </c>
      <c r="K2883" s="72"/>
      <c r="L2883" s="72"/>
      <c r="M2883" s="2"/>
      <c r="N2883" s="5"/>
      <c r="O2883" s="3"/>
      <c r="P2883" s="6"/>
      <c r="Q2883" s="48">
        <f>IF(Учет!$O2883=Справочники!$F$2,Учет!$H2883,0)</f>
        <v>0</v>
      </c>
      <c r="R2883" s="48">
        <f>IF(Учет!$O2883=Справочники!$F$3,Учет!$H2883,0)</f>
        <v>0</v>
      </c>
      <c r="S2883" s="48">
        <f>IF(Учет!$O2883=Справочники!$F$4,Учет!$H2883,0)</f>
        <v>0</v>
      </c>
      <c r="T2883" s="48">
        <f>IF(Учет!$O2883=Справочники!$F$5,Учет!$H2883,0)</f>
        <v>0</v>
      </c>
      <c r="U2883" s="48">
        <f>IF(Учет!$O2883=Справочники!$F$6,Учет!$H2883,0)</f>
        <v>0</v>
      </c>
      <c r="V2883" s="43">
        <f>V2882+Учет!Q2883-Q2883</f>
        <v>-488978.92000000004</v>
      </c>
      <c r="W2883" s="43">
        <f>W2882+Учет!R2883-R2883</f>
        <v>336855</v>
      </c>
      <c r="X2883" s="43">
        <f>X2882+Учет!S2883-S2883</f>
        <v>500</v>
      </c>
      <c r="Y2883" s="43">
        <f>Y2882+Учет!T2883-T2883</f>
        <v>1150</v>
      </c>
      <c r="Z2883" s="43">
        <f>Z2882+Учет!U2883-U2883</f>
        <v>500000</v>
      </c>
      <c r="AA2883" s="45">
        <f>Учет!X2883</f>
        <v>500</v>
      </c>
    </row>
    <row r="2884" spans="1:27" ht="15" customHeight="1" x14ac:dyDescent="0.25">
      <c r="A2884" s="1"/>
      <c r="B2884" s="17"/>
      <c r="C2884" s="17"/>
      <c r="D2884" s="17"/>
      <c r="E2884" s="17"/>
      <c r="F2884" s="17"/>
      <c r="G2884" s="4">
        <f t="shared" si="132"/>
        <v>0</v>
      </c>
      <c r="H2884" s="17"/>
      <c r="I2884" s="4">
        <f t="shared" si="134"/>
        <v>349526.07999999996</v>
      </c>
      <c r="J2884" s="32" t="str">
        <f t="shared" si="133"/>
        <v/>
      </c>
      <c r="K2884" s="72"/>
      <c r="L2884" s="72"/>
      <c r="M2884" s="2"/>
      <c r="N2884" s="5"/>
      <c r="O2884" s="3"/>
      <c r="P2884" s="6"/>
      <c r="Q2884" s="48">
        <f>IF(Учет!$O2884=Справочники!$F$2,Учет!$H2884,0)</f>
        <v>0</v>
      </c>
      <c r="R2884" s="48">
        <f>IF(Учет!$O2884=Справочники!$F$3,Учет!$H2884,0)</f>
        <v>0</v>
      </c>
      <c r="S2884" s="48">
        <f>IF(Учет!$O2884=Справочники!$F$4,Учет!$H2884,0)</f>
        <v>0</v>
      </c>
      <c r="T2884" s="48">
        <f>IF(Учет!$O2884=Справочники!$F$5,Учет!$H2884,0)</f>
        <v>0</v>
      </c>
      <c r="U2884" s="48">
        <f>IF(Учет!$O2884=Справочники!$F$6,Учет!$H2884,0)</f>
        <v>0</v>
      </c>
      <c r="V2884" s="43">
        <f>V2883+Учет!Q2884-Q2884</f>
        <v>-488978.92000000004</v>
      </c>
      <c r="W2884" s="43">
        <f>W2883+Учет!R2884-R2884</f>
        <v>336855</v>
      </c>
      <c r="X2884" s="43">
        <f>X2883+Учет!S2884-S2884</f>
        <v>500</v>
      </c>
      <c r="Y2884" s="43">
        <f>Y2883+Учет!T2884-T2884</f>
        <v>1150</v>
      </c>
      <c r="Z2884" s="43">
        <f>Z2883+Учет!U2884-U2884</f>
        <v>500000</v>
      </c>
      <c r="AA2884" s="45">
        <f>Учет!X2884</f>
        <v>500</v>
      </c>
    </row>
    <row r="2885" spans="1:27" ht="15" customHeight="1" x14ac:dyDescent="0.25">
      <c r="A2885" s="1"/>
      <c r="B2885" s="17"/>
      <c r="C2885" s="17"/>
      <c r="D2885" s="17"/>
      <c r="E2885" s="17"/>
      <c r="F2885" s="17"/>
      <c r="G2885" s="4">
        <f t="shared" si="132"/>
        <v>0</v>
      </c>
      <c r="H2885" s="17"/>
      <c r="I2885" s="4">
        <f t="shared" si="134"/>
        <v>349526.07999999996</v>
      </c>
      <c r="J2885" s="32" t="str">
        <f t="shared" si="133"/>
        <v/>
      </c>
      <c r="K2885" s="72"/>
      <c r="L2885" s="72"/>
      <c r="M2885" s="2"/>
      <c r="N2885" s="5"/>
      <c r="O2885" s="3"/>
      <c r="P2885" s="6"/>
      <c r="Q2885" s="48">
        <f>IF(Учет!$O2885=Справочники!$F$2,Учет!$H2885,0)</f>
        <v>0</v>
      </c>
      <c r="R2885" s="48">
        <f>IF(Учет!$O2885=Справочники!$F$3,Учет!$H2885,0)</f>
        <v>0</v>
      </c>
      <c r="S2885" s="48">
        <f>IF(Учет!$O2885=Справочники!$F$4,Учет!$H2885,0)</f>
        <v>0</v>
      </c>
      <c r="T2885" s="48">
        <f>IF(Учет!$O2885=Справочники!$F$5,Учет!$H2885,0)</f>
        <v>0</v>
      </c>
      <c r="U2885" s="48">
        <f>IF(Учет!$O2885=Справочники!$F$6,Учет!$H2885,0)</f>
        <v>0</v>
      </c>
      <c r="V2885" s="43">
        <f>V2884+Учет!Q2885-Q2885</f>
        <v>-488978.92000000004</v>
      </c>
      <c r="W2885" s="43">
        <f>W2884+Учет!R2885-R2885</f>
        <v>336855</v>
      </c>
      <c r="X2885" s="43">
        <f>X2884+Учет!S2885-S2885</f>
        <v>500</v>
      </c>
      <c r="Y2885" s="43">
        <f>Y2884+Учет!T2885-T2885</f>
        <v>1150</v>
      </c>
      <c r="Z2885" s="43">
        <f>Z2884+Учет!U2885-U2885</f>
        <v>500000</v>
      </c>
      <c r="AA2885" s="45">
        <f>Учет!X2885</f>
        <v>500</v>
      </c>
    </row>
    <row r="2886" spans="1:27" ht="15" customHeight="1" x14ac:dyDescent="0.25">
      <c r="A2886" s="1"/>
      <c r="B2886" s="17"/>
      <c r="C2886" s="17"/>
      <c r="D2886" s="17"/>
      <c r="E2886" s="17"/>
      <c r="F2886" s="17"/>
      <c r="G2886" s="4">
        <f t="shared" si="132"/>
        <v>0</v>
      </c>
      <c r="H2886" s="17"/>
      <c r="I2886" s="4">
        <f t="shared" si="134"/>
        <v>349526.07999999996</v>
      </c>
      <c r="J2886" s="32" t="str">
        <f t="shared" si="133"/>
        <v/>
      </c>
      <c r="K2886" s="72"/>
      <c r="L2886" s="72"/>
      <c r="M2886" s="2"/>
      <c r="N2886" s="5"/>
      <c r="O2886" s="3"/>
      <c r="P2886" s="6"/>
      <c r="Q2886" s="48">
        <f>IF(Учет!$O2886=Справочники!$F$2,Учет!$H2886,0)</f>
        <v>0</v>
      </c>
      <c r="R2886" s="48">
        <f>IF(Учет!$O2886=Справочники!$F$3,Учет!$H2886,0)</f>
        <v>0</v>
      </c>
      <c r="S2886" s="48">
        <f>IF(Учет!$O2886=Справочники!$F$4,Учет!$H2886,0)</f>
        <v>0</v>
      </c>
      <c r="T2886" s="48">
        <f>IF(Учет!$O2886=Справочники!$F$5,Учет!$H2886,0)</f>
        <v>0</v>
      </c>
      <c r="U2886" s="48">
        <f>IF(Учет!$O2886=Справочники!$F$6,Учет!$H2886,0)</f>
        <v>0</v>
      </c>
      <c r="V2886" s="43">
        <f>V2885+Учет!Q2886-Q2886</f>
        <v>-488978.92000000004</v>
      </c>
      <c r="W2886" s="43">
        <f>W2885+Учет!R2886-R2886</f>
        <v>336855</v>
      </c>
      <c r="X2886" s="43">
        <f>X2885+Учет!S2886-S2886</f>
        <v>500</v>
      </c>
      <c r="Y2886" s="43">
        <f>Y2885+Учет!T2886-T2886</f>
        <v>1150</v>
      </c>
      <c r="Z2886" s="43">
        <f>Z2885+Учет!U2886-U2886</f>
        <v>500000</v>
      </c>
      <c r="AA2886" s="45">
        <f>Учет!X2886</f>
        <v>500</v>
      </c>
    </row>
    <row r="2887" spans="1:27" ht="15" customHeight="1" x14ac:dyDescent="0.25">
      <c r="A2887" s="1"/>
      <c r="B2887" s="17"/>
      <c r="C2887" s="17"/>
      <c r="D2887" s="17"/>
      <c r="E2887" s="17"/>
      <c r="F2887" s="17"/>
      <c r="G2887" s="4">
        <f t="shared" si="132"/>
        <v>0</v>
      </c>
      <c r="H2887" s="17"/>
      <c r="I2887" s="4">
        <f t="shared" si="134"/>
        <v>349526.07999999996</v>
      </c>
      <c r="J2887" s="32" t="str">
        <f t="shared" si="133"/>
        <v/>
      </c>
      <c r="K2887" s="72"/>
      <c r="L2887" s="72"/>
      <c r="M2887" s="2"/>
      <c r="N2887" s="5"/>
      <c r="O2887" s="3"/>
      <c r="P2887" s="6"/>
      <c r="Q2887" s="48">
        <f>IF(Учет!$O2887=Справочники!$F$2,Учет!$H2887,0)</f>
        <v>0</v>
      </c>
      <c r="R2887" s="48">
        <f>IF(Учет!$O2887=Справочники!$F$3,Учет!$H2887,0)</f>
        <v>0</v>
      </c>
      <c r="S2887" s="48">
        <f>IF(Учет!$O2887=Справочники!$F$4,Учет!$H2887,0)</f>
        <v>0</v>
      </c>
      <c r="T2887" s="48">
        <f>IF(Учет!$O2887=Справочники!$F$5,Учет!$H2887,0)</f>
        <v>0</v>
      </c>
      <c r="U2887" s="48">
        <f>IF(Учет!$O2887=Справочники!$F$6,Учет!$H2887,0)</f>
        <v>0</v>
      </c>
      <c r="V2887" s="43">
        <f>V2886+Учет!Q2887-Q2887</f>
        <v>-488978.92000000004</v>
      </c>
      <c r="W2887" s="43">
        <f>W2886+Учет!R2887-R2887</f>
        <v>336855</v>
      </c>
      <c r="X2887" s="43">
        <f>X2886+Учет!S2887-S2887</f>
        <v>500</v>
      </c>
      <c r="Y2887" s="43">
        <f>Y2886+Учет!T2887-T2887</f>
        <v>1150</v>
      </c>
      <c r="Z2887" s="43">
        <f>Z2886+Учет!U2887-U2887</f>
        <v>500000</v>
      </c>
      <c r="AA2887" s="45">
        <f>Учет!X2887</f>
        <v>500</v>
      </c>
    </row>
    <row r="2888" spans="1:27" ht="15" customHeight="1" x14ac:dyDescent="0.25">
      <c r="A2888" s="1"/>
      <c r="B2888" s="17"/>
      <c r="C2888" s="17"/>
      <c r="D2888" s="17"/>
      <c r="E2888" s="17"/>
      <c r="F2888" s="17"/>
      <c r="G2888" s="4">
        <f t="shared" si="132"/>
        <v>0</v>
      </c>
      <c r="H2888" s="17"/>
      <c r="I2888" s="4">
        <f t="shared" si="134"/>
        <v>349526.07999999996</v>
      </c>
      <c r="J2888" s="32" t="str">
        <f t="shared" si="133"/>
        <v/>
      </c>
      <c r="K2888" s="72"/>
      <c r="L2888" s="72"/>
      <c r="M2888" s="2"/>
      <c r="N2888" s="5"/>
      <c r="O2888" s="3"/>
      <c r="P2888" s="6"/>
      <c r="Q2888" s="48">
        <f>IF(Учет!$O2888=Справочники!$F$2,Учет!$H2888,0)</f>
        <v>0</v>
      </c>
      <c r="R2888" s="48">
        <f>IF(Учет!$O2888=Справочники!$F$3,Учет!$H2888,0)</f>
        <v>0</v>
      </c>
      <c r="S2888" s="48">
        <f>IF(Учет!$O2888=Справочники!$F$4,Учет!$H2888,0)</f>
        <v>0</v>
      </c>
      <c r="T2888" s="48">
        <f>IF(Учет!$O2888=Справочники!$F$5,Учет!$H2888,0)</f>
        <v>0</v>
      </c>
      <c r="U2888" s="48">
        <f>IF(Учет!$O2888=Справочники!$F$6,Учет!$H2888,0)</f>
        <v>0</v>
      </c>
      <c r="V2888" s="43">
        <f>V2887+Учет!Q2888-Q2888</f>
        <v>-488978.92000000004</v>
      </c>
      <c r="W2888" s="43">
        <f>W2887+Учет!R2888-R2888</f>
        <v>336855</v>
      </c>
      <c r="X2888" s="43">
        <f>X2887+Учет!S2888-S2888</f>
        <v>500</v>
      </c>
      <c r="Y2888" s="43">
        <f>Y2887+Учет!T2888-T2888</f>
        <v>1150</v>
      </c>
      <c r="Z2888" s="43">
        <f>Z2887+Учет!U2888-U2888</f>
        <v>500000</v>
      </c>
      <c r="AA2888" s="45">
        <f>Учет!X2888</f>
        <v>500</v>
      </c>
    </row>
    <row r="2889" spans="1:27" ht="15" customHeight="1" x14ac:dyDescent="0.25">
      <c r="A2889" s="1"/>
      <c r="B2889" s="17"/>
      <c r="C2889" s="17"/>
      <c r="D2889" s="17"/>
      <c r="E2889" s="17"/>
      <c r="F2889" s="17"/>
      <c r="G2889" s="4">
        <f t="shared" si="132"/>
        <v>0</v>
      </c>
      <c r="H2889" s="17"/>
      <c r="I2889" s="4">
        <f t="shared" si="134"/>
        <v>349526.07999999996</v>
      </c>
      <c r="J2889" s="32" t="str">
        <f t="shared" si="133"/>
        <v/>
      </c>
      <c r="K2889" s="72"/>
      <c r="L2889" s="72"/>
      <c r="M2889" s="2"/>
      <c r="N2889" s="5"/>
      <c r="O2889" s="3"/>
      <c r="P2889" s="6"/>
      <c r="Q2889" s="48">
        <f>IF(Учет!$O2889=Справочники!$F$2,Учет!$H2889,0)</f>
        <v>0</v>
      </c>
      <c r="R2889" s="48">
        <f>IF(Учет!$O2889=Справочники!$F$3,Учет!$H2889,0)</f>
        <v>0</v>
      </c>
      <c r="S2889" s="48">
        <f>IF(Учет!$O2889=Справочники!$F$4,Учет!$H2889,0)</f>
        <v>0</v>
      </c>
      <c r="T2889" s="48">
        <f>IF(Учет!$O2889=Справочники!$F$5,Учет!$H2889,0)</f>
        <v>0</v>
      </c>
      <c r="U2889" s="48">
        <f>IF(Учет!$O2889=Справочники!$F$6,Учет!$H2889,0)</f>
        <v>0</v>
      </c>
      <c r="V2889" s="43">
        <f>V2888+Учет!Q2889-Q2889</f>
        <v>-488978.92000000004</v>
      </c>
      <c r="W2889" s="43">
        <f>W2888+Учет!R2889-R2889</f>
        <v>336855</v>
      </c>
      <c r="X2889" s="43">
        <f>X2888+Учет!S2889-S2889</f>
        <v>500</v>
      </c>
      <c r="Y2889" s="43">
        <f>Y2888+Учет!T2889-T2889</f>
        <v>1150</v>
      </c>
      <c r="Z2889" s="43">
        <f>Z2888+Учет!U2889-U2889</f>
        <v>500000</v>
      </c>
      <c r="AA2889" s="45">
        <f>Учет!X2889</f>
        <v>500</v>
      </c>
    </row>
    <row r="2890" spans="1:27" ht="15" customHeight="1" x14ac:dyDescent="0.25">
      <c r="A2890" s="1"/>
      <c r="B2890" s="17"/>
      <c r="C2890" s="17"/>
      <c r="D2890" s="17"/>
      <c r="E2890" s="17"/>
      <c r="F2890" s="17"/>
      <c r="G2890" s="4">
        <f t="shared" si="132"/>
        <v>0</v>
      </c>
      <c r="H2890" s="17"/>
      <c r="I2890" s="4">
        <f t="shared" si="134"/>
        <v>349526.07999999996</v>
      </c>
      <c r="J2890" s="32" t="str">
        <f t="shared" si="133"/>
        <v/>
      </c>
      <c r="K2890" s="72"/>
      <c r="L2890" s="72"/>
      <c r="M2890" s="2"/>
      <c r="N2890" s="5"/>
      <c r="O2890" s="3"/>
      <c r="P2890" s="6"/>
      <c r="Q2890" s="48">
        <f>IF(Учет!$O2890=Справочники!$F$2,Учет!$H2890,0)</f>
        <v>0</v>
      </c>
      <c r="R2890" s="48">
        <f>IF(Учет!$O2890=Справочники!$F$3,Учет!$H2890,0)</f>
        <v>0</v>
      </c>
      <c r="S2890" s="48">
        <f>IF(Учет!$O2890=Справочники!$F$4,Учет!$H2890,0)</f>
        <v>0</v>
      </c>
      <c r="T2890" s="48">
        <f>IF(Учет!$O2890=Справочники!$F$5,Учет!$H2890,0)</f>
        <v>0</v>
      </c>
      <c r="U2890" s="48">
        <f>IF(Учет!$O2890=Справочники!$F$6,Учет!$H2890,0)</f>
        <v>0</v>
      </c>
      <c r="V2890" s="43">
        <f>V2889+Учет!Q2890-Q2890</f>
        <v>-488978.92000000004</v>
      </c>
      <c r="W2890" s="43">
        <f>W2889+Учет!R2890-R2890</f>
        <v>336855</v>
      </c>
      <c r="X2890" s="43">
        <f>X2889+Учет!S2890-S2890</f>
        <v>500</v>
      </c>
      <c r="Y2890" s="43">
        <f>Y2889+Учет!T2890-T2890</f>
        <v>1150</v>
      </c>
      <c r="Z2890" s="43">
        <f>Z2889+Учет!U2890-U2890</f>
        <v>500000</v>
      </c>
      <c r="AA2890" s="45">
        <f>Учет!X2890</f>
        <v>500</v>
      </c>
    </row>
    <row r="2891" spans="1:27" ht="15" customHeight="1" x14ac:dyDescent="0.25">
      <c r="A2891" s="1"/>
      <c r="B2891" s="17"/>
      <c r="C2891" s="17"/>
      <c r="D2891" s="17"/>
      <c r="E2891" s="17"/>
      <c r="F2891" s="17"/>
      <c r="G2891" s="4">
        <f t="shared" si="132"/>
        <v>0</v>
      </c>
      <c r="H2891" s="17"/>
      <c r="I2891" s="4">
        <f t="shared" si="134"/>
        <v>349526.07999999996</v>
      </c>
      <c r="J2891" s="32" t="str">
        <f t="shared" si="133"/>
        <v/>
      </c>
      <c r="K2891" s="72"/>
      <c r="L2891" s="72"/>
      <c r="M2891" s="2"/>
      <c r="N2891" s="5"/>
      <c r="O2891" s="3"/>
      <c r="P2891" s="6"/>
      <c r="Q2891" s="48">
        <f>IF(Учет!$O2891=Справочники!$F$2,Учет!$H2891,0)</f>
        <v>0</v>
      </c>
      <c r="R2891" s="48">
        <f>IF(Учет!$O2891=Справочники!$F$3,Учет!$H2891,0)</f>
        <v>0</v>
      </c>
      <c r="S2891" s="48">
        <f>IF(Учет!$O2891=Справочники!$F$4,Учет!$H2891,0)</f>
        <v>0</v>
      </c>
      <c r="T2891" s="48">
        <f>IF(Учет!$O2891=Справочники!$F$5,Учет!$H2891,0)</f>
        <v>0</v>
      </c>
      <c r="U2891" s="48">
        <f>IF(Учет!$O2891=Справочники!$F$6,Учет!$H2891,0)</f>
        <v>0</v>
      </c>
      <c r="V2891" s="43">
        <f>V2890+Учет!Q2891-Q2891</f>
        <v>-488978.92000000004</v>
      </c>
      <c r="W2891" s="43">
        <f>W2890+Учет!R2891-R2891</f>
        <v>336855</v>
      </c>
      <c r="X2891" s="43">
        <f>X2890+Учет!S2891-S2891</f>
        <v>500</v>
      </c>
      <c r="Y2891" s="43">
        <f>Y2890+Учет!T2891-T2891</f>
        <v>1150</v>
      </c>
      <c r="Z2891" s="43">
        <f>Z2890+Учет!U2891-U2891</f>
        <v>500000</v>
      </c>
      <c r="AA2891" s="45">
        <f>Учет!X2891</f>
        <v>500</v>
      </c>
    </row>
    <row r="2892" spans="1:27" ht="15" customHeight="1" x14ac:dyDescent="0.25">
      <c r="A2892" s="1"/>
      <c r="B2892" s="17"/>
      <c r="C2892" s="17"/>
      <c r="D2892" s="17"/>
      <c r="E2892" s="17"/>
      <c r="F2892" s="17"/>
      <c r="G2892" s="4">
        <f t="shared" si="132"/>
        <v>0</v>
      </c>
      <c r="H2892" s="17"/>
      <c r="I2892" s="4">
        <f t="shared" si="134"/>
        <v>349526.07999999996</v>
      </c>
      <c r="J2892" s="32" t="str">
        <f t="shared" si="133"/>
        <v/>
      </c>
      <c r="K2892" s="72"/>
      <c r="L2892" s="72"/>
      <c r="M2892" s="2"/>
      <c r="N2892" s="5"/>
      <c r="O2892" s="3"/>
      <c r="P2892" s="6"/>
      <c r="Q2892" s="48">
        <f>IF(Учет!$O2892=Справочники!$F$2,Учет!$H2892,0)</f>
        <v>0</v>
      </c>
      <c r="R2892" s="48">
        <f>IF(Учет!$O2892=Справочники!$F$3,Учет!$H2892,0)</f>
        <v>0</v>
      </c>
      <c r="S2892" s="48">
        <f>IF(Учет!$O2892=Справочники!$F$4,Учет!$H2892,0)</f>
        <v>0</v>
      </c>
      <c r="T2892" s="48">
        <f>IF(Учет!$O2892=Справочники!$F$5,Учет!$H2892,0)</f>
        <v>0</v>
      </c>
      <c r="U2892" s="48">
        <f>IF(Учет!$O2892=Справочники!$F$6,Учет!$H2892,0)</f>
        <v>0</v>
      </c>
      <c r="V2892" s="43">
        <f>V2891+Учет!Q2892-Q2892</f>
        <v>-488978.92000000004</v>
      </c>
      <c r="W2892" s="43">
        <f>W2891+Учет!R2892-R2892</f>
        <v>336855</v>
      </c>
      <c r="X2892" s="43">
        <f>X2891+Учет!S2892-S2892</f>
        <v>500</v>
      </c>
      <c r="Y2892" s="43">
        <f>Y2891+Учет!T2892-T2892</f>
        <v>1150</v>
      </c>
      <c r="Z2892" s="43">
        <f>Z2891+Учет!U2892-U2892</f>
        <v>500000</v>
      </c>
      <c r="AA2892" s="45">
        <f>Учет!X2892</f>
        <v>500</v>
      </c>
    </row>
    <row r="2893" spans="1:27" ht="15" customHeight="1" x14ac:dyDescent="0.25">
      <c r="A2893" s="1"/>
      <c r="B2893" s="17"/>
      <c r="C2893" s="17"/>
      <c r="D2893" s="17"/>
      <c r="E2893" s="17"/>
      <c r="F2893" s="17"/>
      <c r="G2893" s="4">
        <f t="shared" si="132"/>
        <v>0</v>
      </c>
      <c r="H2893" s="17"/>
      <c r="I2893" s="4">
        <f t="shared" si="134"/>
        <v>349526.07999999996</v>
      </c>
      <c r="J2893" s="32" t="str">
        <f t="shared" si="133"/>
        <v/>
      </c>
      <c r="K2893" s="72"/>
      <c r="L2893" s="72"/>
      <c r="M2893" s="2"/>
      <c r="N2893" s="5"/>
      <c r="O2893" s="3"/>
      <c r="P2893" s="6"/>
      <c r="Q2893" s="48">
        <f>IF(Учет!$O2893=Справочники!$F$2,Учет!$H2893,0)</f>
        <v>0</v>
      </c>
      <c r="R2893" s="48">
        <f>IF(Учет!$O2893=Справочники!$F$3,Учет!$H2893,0)</f>
        <v>0</v>
      </c>
      <c r="S2893" s="48">
        <f>IF(Учет!$O2893=Справочники!$F$4,Учет!$H2893,0)</f>
        <v>0</v>
      </c>
      <c r="T2893" s="48">
        <f>IF(Учет!$O2893=Справочники!$F$5,Учет!$H2893,0)</f>
        <v>0</v>
      </c>
      <c r="U2893" s="48">
        <f>IF(Учет!$O2893=Справочники!$F$6,Учет!$H2893,0)</f>
        <v>0</v>
      </c>
      <c r="V2893" s="43">
        <f>V2892+Учет!Q2893-Q2893</f>
        <v>-488978.92000000004</v>
      </c>
      <c r="W2893" s="43">
        <f>W2892+Учет!R2893-R2893</f>
        <v>336855</v>
      </c>
      <c r="X2893" s="43">
        <f>X2892+Учет!S2893-S2893</f>
        <v>500</v>
      </c>
      <c r="Y2893" s="43">
        <f>Y2892+Учет!T2893-T2893</f>
        <v>1150</v>
      </c>
      <c r="Z2893" s="43">
        <f>Z2892+Учет!U2893-U2893</f>
        <v>500000</v>
      </c>
      <c r="AA2893" s="45">
        <f>Учет!X2893</f>
        <v>500</v>
      </c>
    </row>
    <row r="2894" spans="1:27" ht="15" customHeight="1" x14ac:dyDescent="0.25">
      <c r="A2894" s="1"/>
      <c r="B2894" s="17"/>
      <c r="C2894" s="17"/>
      <c r="D2894" s="17"/>
      <c r="E2894" s="17"/>
      <c r="F2894" s="17"/>
      <c r="G2894" s="4">
        <f t="shared" si="132"/>
        <v>0</v>
      </c>
      <c r="H2894" s="17"/>
      <c r="I2894" s="4">
        <f t="shared" si="134"/>
        <v>349526.07999999996</v>
      </c>
      <c r="J2894" s="32" t="str">
        <f t="shared" si="133"/>
        <v/>
      </c>
      <c r="K2894" s="72"/>
      <c r="L2894" s="72"/>
      <c r="M2894" s="2"/>
      <c r="N2894" s="5"/>
      <c r="O2894" s="3"/>
      <c r="P2894" s="6"/>
      <c r="Q2894" s="48">
        <f>IF(Учет!$O2894=Справочники!$F$2,Учет!$H2894,0)</f>
        <v>0</v>
      </c>
      <c r="R2894" s="48">
        <f>IF(Учет!$O2894=Справочники!$F$3,Учет!$H2894,0)</f>
        <v>0</v>
      </c>
      <c r="S2894" s="48">
        <f>IF(Учет!$O2894=Справочники!$F$4,Учет!$H2894,0)</f>
        <v>0</v>
      </c>
      <c r="T2894" s="48">
        <f>IF(Учет!$O2894=Справочники!$F$5,Учет!$H2894,0)</f>
        <v>0</v>
      </c>
      <c r="U2894" s="48">
        <f>IF(Учет!$O2894=Справочники!$F$6,Учет!$H2894,0)</f>
        <v>0</v>
      </c>
      <c r="V2894" s="43">
        <f>V2893+Учет!Q2894-Q2894</f>
        <v>-488978.92000000004</v>
      </c>
      <c r="W2894" s="43">
        <f>W2893+Учет!R2894-R2894</f>
        <v>336855</v>
      </c>
      <c r="X2894" s="43">
        <f>X2893+Учет!S2894-S2894</f>
        <v>500</v>
      </c>
      <c r="Y2894" s="43">
        <f>Y2893+Учет!T2894-T2894</f>
        <v>1150</v>
      </c>
      <c r="Z2894" s="43">
        <f>Z2893+Учет!U2894-U2894</f>
        <v>500000</v>
      </c>
      <c r="AA2894" s="45">
        <f>Учет!X2894</f>
        <v>500</v>
      </c>
    </row>
    <row r="2895" spans="1:27" ht="15" customHeight="1" x14ac:dyDescent="0.25">
      <c r="A2895" s="1"/>
      <c r="B2895" s="17"/>
      <c r="C2895" s="17"/>
      <c r="D2895" s="17"/>
      <c r="E2895" s="17"/>
      <c r="F2895" s="17"/>
      <c r="G2895" s="4">
        <f t="shared" si="132"/>
        <v>0</v>
      </c>
      <c r="H2895" s="17"/>
      <c r="I2895" s="4">
        <f t="shared" si="134"/>
        <v>349526.07999999996</v>
      </c>
      <c r="J2895" s="32" t="str">
        <f t="shared" si="133"/>
        <v/>
      </c>
      <c r="K2895" s="72"/>
      <c r="L2895" s="72"/>
      <c r="M2895" s="2"/>
      <c r="N2895" s="5"/>
      <c r="O2895" s="3"/>
      <c r="P2895" s="6"/>
      <c r="Q2895" s="48">
        <f>IF(Учет!$O2895=Справочники!$F$2,Учет!$H2895,0)</f>
        <v>0</v>
      </c>
      <c r="R2895" s="48">
        <f>IF(Учет!$O2895=Справочники!$F$3,Учет!$H2895,0)</f>
        <v>0</v>
      </c>
      <c r="S2895" s="48">
        <f>IF(Учет!$O2895=Справочники!$F$4,Учет!$H2895,0)</f>
        <v>0</v>
      </c>
      <c r="T2895" s="48">
        <f>IF(Учет!$O2895=Справочники!$F$5,Учет!$H2895,0)</f>
        <v>0</v>
      </c>
      <c r="U2895" s="48">
        <f>IF(Учет!$O2895=Справочники!$F$6,Учет!$H2895,0)</f>
        <v>0</v>
      </c>
      <c r="V2895" s="43">
        <f>V2894+Учет!Q2895-Q2895</f>
        <v>-488978.92000000004</v>
      </c>
      <c r="W2895" s="43">
        <f>W2894+Учет!R2895-R2895</f>
        <v>336855</v>
      </c>
      <c r="X2895" s="43">
        <f>X2894+Учет!S2895-S2895</f>
        <v>500</v>
      </c>
      <c r="Y2895" s="43">
        <f>Y2894+Учет!T2895-T2895</f>
        <v>1150</v>
      </c>
      <c r="Z2895" s="43">
        <f>Z2894+Учет!U2895-U2895</f>
        <v>500000</v>
      </c>
      <c r="AA2895" s="45">
        <f>Учет!X2895</f>
        <v>500</v>
      </c>
    </row>
    <row r="2896" spans="1:27" ht="15" customHeight="1" x14ac:dyDescent="0.25">
      <c r="A2896" s="1"/>
      <c r="B2896" s="17"/>
      <c r="C2896" s="17"/>
      <c r="D2896" s="17"/>
      <c r="E2896" s="17"/>
      <c r="F2896" s="17"/>
      <c r="G2896" s="4">
        <f t="shared" si="132"/>
        <v>0</v>
      </c>
      <c r="H2896" s="17"/>
      <c r="I2896" s="4">
        <f t="shared" si="134"/>
        <v>349526.07999999996</v>
      </c>
      <c r="J2896" s="32" t="str">
        <f t="shared" si="133"/>
        <v/>
      </c>
      <c r="K2896" s="72"/>
      <c r="L2896" s="72"/>
      <c r="M2896" s="2"/>
      <c r="N2896" s="5"/>
      <c r="O2896" s="3"/>
      <c r="P2896" s="6"/>
      <c r="Q2896" s="48">
        <f>IF(Учет!$O2896=Справочники!$F$2,Учет!$H2896,0)</f>
        <v>0</v>
      </c>
      <c r="R2896" s="48">
        <f>IF(Учет!$O2896=Справочники!$F$3,Учет!$H2896,0)</f>
        <v>0</v>
      </c>
      <c r="S2896" s="48">
        <f>IF(Учет!$O2896=Справочники!$F$4,Учет!$H2896,0)</f>
        <v>0</v>
      </c>
      <c r="T2896" s="48">
        <f>IF(Учет!$O2896=Справочники!$F$5,Учет!$H2896,0)</f>
        <v>0</v>
      </c>
      <c r="U2896" s="48">
        <f>IF(Учет!$O2896=Справочники!$F$6,Учет!$H2896,0)</f>
        <v>0</v>
      </c>
      <c r="V2896" s="43">
        <f>V2895+Учет!Q2896-Q2896</f>
        <v>-488978.92000000004</v>
      </c>
      <c r="W2896" s="43">
        <f>W2895+Учет!R2896-R2896</f>
        <v>336855</v>
      </c>
      <c r="X2896" s="43">
        <f>X2895+Учет!S2896-S2896</f>
        <v>500</v>
      </c>
      <c r="Y2896" s="43">
        <f>Y2895+Учет!T2896-T2896</f>
        <v>1150</v>
      </c>
      <c r="Z2896" s="43">
        <f>Z2895+Учет!U2896-U2896</f>
        <v>500000</v>
      </c>
      <c r="AA2896" s="45">
        <f>Учет!X2896</f>
        <v>500</v>
      </c>
    </row>
    <row r="2897" spans="1:27" ht="15" customHeight="1" x14ac:dyDescent="0.25">
      <c r="A2897" s="1"/>
      <c r="B2897" s="17"/>
      <c r="C2897" s="17"/>
      <c r="D2897" s="17"/>
      <c r="E2897" s="17"/>
      <c r="F2897" s="17"/>
      <c r="G2897" s="4">
        <f t="shared" si="132"/>
        <v>0</v>
      </c>
      <c r="H2897" s="17"/>
      <c r="I2897" s="4">
        <f t="shared" si="134"/>
        <v>349526.07999999996</v>
      </c>
      <c r="J2897" s="32" t="str">
        <f t="shared" si="133"/>
        <v/>
      </c>
      <c r="K2897" s="72"/>
      <c r="L2897" s="72"/>
      <c r="M2897" s="2"/>
      <c r="N2897" s="5"/>
      <c r="O2897" s="3"/>
      <c r="P2897" s="6"/>
      <c r="Q2897" s="48">
        <f>IF(Учет!$O2897=Справочники!$F$2,Учет!$H2897,0)</f>
        <v>0</v>
      </c>
      <c r="R2897" s="48">
        <f>IF(Учет!$O2897=Справочники!$F$3,Учет!$H2897,0)</f>
        <v>0</v>
      </c>
      <c r="S2897" s="48">
        <f>IF(Учет!$O2897=Справочники!$F$4,Учет!$H2897,0)</f>
        <v>0</v>
      </c>
      <c r="T2897" s="48">
        <f>IF(Учет!$O2897=Справочники!$F$5,Учет!$H2897,0)</f>
        <v>0</v>
      </c>
      <c r="U2897" s="48">
        <f>IF(Учет!$O2897=Справочники!$F$6,Учет!$H2897,0)</f>
        <v>0</v>
      </c>
      <c r="V2897" s="43">
        <f>V2896+Учет!Q2897-Q2897</f>
        <v>-488978.92000000004</v>
      </c>
      <c r="W2897" s="43">
        <f>W2896+Учет!R2897-R2897</f>
        <v>336855</v>
      </c>
      <c r="X2897" s="43">
        <f>X2896+Учет!S2897-S2897</f>
        <v>500</v>
      </c>
      <c r="Y2897" s="43">
        <f>Y2896+Учет!T2897-T2897</f>
        <v>1150</v>
      </c>
      <c r="Z2897" s="43">
        <f>Z2896+Учет!U2897-U2897</f>
        <v>500000</v>
      </c>
      <c r="AA2897" s="45">
        <f>Учет!X2897</f>
        <v>500</v>
      </c>
    </row>
    <row r="2898" spans="1:27" ht="15" customHeight="1" x14ac:dyDescent="0.25">
      <c r="A2898" s="1"/>
      <c r="B2898" s="17"/>
      <c r="C2898" s="17"/>
      <c r="D2898" s="17"/>
      <c r="E2898" s="17"/>
      <c r="F2898" s="17"/>
      <c r="G2898" s="4">
        <f t="shared" si="132"/>
        <v>0</v>
      </c>
      <c r="H2898" s="17"/>
      <c r="I2898" s="4">
        <f t="shared" si="134"/>
        <v>349526.07999999996</v>
      </c>
      <c r="J2898" s="32" t="str">
        <f t="shared" si="133"/>
        <v/>
      </c>
      <c r="K2898" s="72"/>
      <c r="L2898" s="72"/>
      <c r="M2898" s="2"/>
      <c r="N2898" s="5"/>
      <c r="O2898" s="3"/>
      <c r="P2898" s="6"/>
      <c r="Q2898" s="48">
        <f>IF(Учет!$O2898=Справочники!$F$2,Учет!$H2898,0)</f>
        <v>0</v>
      </c>
      <c r="R2898" s="48">
        <f>IF(Учет!$O2898=Справочники!$F$3,Учет!$H2898,0)</f>
        <v>0</v>
      </c>
      <c r="S2898" s="48">
        <f>IF(Учет!$O2898=Справочники!$F$4,Учет!$H2898,0)</f>
        <v>0</v>
      </c>
      <c r="T2898" s="48">
        <f>IF(Учет!$O2898=Справочники!$F$5,Учет!$H2898,0)</f>
        <v>0</v>
      </c>
      <c r="U2898" s="48">
        <f>IF(Учет!$O2898=Справочники!$F$6,Учет!$H2898,0)</f>
        <v>0</v>
      </c>
      <c r="V2898" s="43">
        <f>V2897+Учет!Q2898-Q2898</f>
        <v>-488978.92000000004</v>
      </c>
      <c r="W2898" s="43">
        <f>W2897+Учет!R2898-R2898</f>
        <v>336855</v>
      </c>
      <c r="X2898" s="43">
        <f>X2897+Учет!S2898-S2898</f>
        <v>500</v>
      </c>
      <c r="Y2898" s="43">
        <f>Y2897+Учет!T2898-T2898</f>
        <v>1150</v>
      </c>
      <c r="Z2898" s="43">
        <f>Z2897+Учет!U2898-U2898</f>
        <v>500000</v>
      </c>
      <c r="AA2898" s="45">
        <f>Учет!X2898</f>
        <v>500</v>
      </c>
    </row>
    <row r="2899" spans="1:27" ht="15" customHeight="1" x14ac:dyDescent="0.25">
      <c r="A2899" s="1"/>
      <c r="B2899" s="17"/>
      <c r="C2899" s="17"/>
      <c r="D2899" s="17"/>
      <c r="E2899" s="17"/>
      <c r="F2899" s="17"/>
      <c r="G2899" s="4">
        <f t="shared" si="132"/>
        <v>0</v>
      </c>
      <c r="H2899" s="17"/>
      <c r="I2899" s="4">
        <f t="shared" si="134"/>
        <v>349526.07999999996</v>
      </c>
      <c r="J2899" s="32" t="str">
        <f t="shared" si="133"/>
        <v/>
      </c>
      <c r="K2899" s="72"/>
      <c r="L2899" s="72"/>
      <c r="M2899" s="2"/>
      <c r="N2899" s="5"/>
      <c r="O2899" s="3"/>
      <c r="P2899" s="6"/>
      <c r="Q2899" s="48">
        <f>IF(Учет!$O2899=Справочники!$F$2,Учет!$H2899,0)</f>
        <v>0</v>
      </c>
      <c r="R2899" s="48">
        <f>IF(Учет!$O2899=Справочники!$F$3,Учет!$H2899,0)</f>
        <v>0</v>
      </c>
      <c r="S2899" s="48">
        <f>IF(Учет!$O2899=Справочники!$F$4,Учет!$H2899,0)</f>
        <v>0</v>
      </c>
      <c r="T2899" s="48">
        <f>IF(Учет!$O2899=Справочники!$F$5,Учет!$H2899,0)</f>
        <v>0</v>
      </c>
      <c r="U2899" s="48">
        <f>IF(Учет!$O2899=Справочники!$F$6,Учет!$H2899,0)</f>
        <v>0</v>
      </c>
      <c r="V2899" s="43">
        <f>V2898+Учет!Q2899-Q2899</f>
        <v>-488978.92000000004</v>
      </c>
      <c r="W2899" s="43">
        <f>W2898+Учет!R2899-R2899</f>
        <v>336855</v>
      </c>
      <c r="X2899" s="43">
        <f>X2898+Учет!S2899-S2899</f>
        <v>500</v>
      </c>
      <c r="Y2899" s="43">
        <f>Y2898+Учет!T2899-T2899</f>
        <v>1150</v>
      </c>
      <c r="Z2899" s="43">
        <f>Z2898+Учет!U2899-U2899</f>
        <v>500000</v>
      </c>
      <c r="AA2899" s="45">
        <f>Учет!X2899</f>
        <v>500</v>
      </c>
    </row>
    <row r="2900" spans="1:27" ht="15" customHeight="1" x14ac:dyDescent="0.25">
      <c r="A2900" s="1"/>
      <c r="B2900" s="17"/>
      <c r="C2900" s="17"/>
      <c r="D2900" s="17"/>
      <c r="E2900" s="17"/>
      <c r="F2900" s="17"/>
      <c r="G2900" s="4">
        <f t="shared" si="132"/>
        <v>0</v>
      </c>
      <c r="H2900" s="17"/>
      <c r="I2900" s="4">
        <f t="shared" si="134"/>
        <v>349526.07999999996</v>
      </c>
      <c r="J2900" s="32" t="str">
        <f t="shared" si="133"/>
        <v/>
      </c>
      <c r="K2900" s="72"/>
      <c r="L2900" s="72"/>
      <c r="M2900" s="2"/>
      <c r="N2900" s="5"/>
      <c r="O2900" s="3"/>
      <c r="P2900" s="6"/>
      <c r="Q2900" s="48">
        <f>IF(Учет!$O2900=Справочники!$F$2,Учет!$H2900,0)</f>
        <v>0</v>
      </c>
      <c r="R2900" s="48">
        <f>IF(Учет!$O2900=Справочники!$F$3,Учет!$H2900,0)</f>
        <v>0</v>
      </c>
      <c r="S2900" s="48">
        <f>IF(Учет!$O2900=Справочники!$F$4,Учет!$H2900,0)</f>
        <v>0</v>
      </c>
      <c r="T2900" s="48">
        <f>IF(Учет!$O2900=Справочники!$F$5,Учет!$H2900,0)</f>
        <v>0</v>
      </c>
      <c r="U2900" s="48">
        <f>IF(Учет!$O2900=Справочники!$F$6,Учет!$H2900,0)</f>
        <v>0</v>
      </c>
      <c r="V2900" s="43">
        <f>V2899+Учет!Q2900-Q2900</f>
        <v>-488978.92000000004</v>
      </c>
      <c r="W2900" s="43">
        <f>W2899+Учет!R2900-R2900</f>
        <v>336855</v>
      </c>
      <c r="X2900" s="43">
        <f>X2899+Учет!S2900-S2900</f>
        <v>500</v>
      </c>
      <c r="Y2900" s="43">
        <f>Y2899+Учет!T2900-T2900</f>
        <v>1150</v>
      </c>
      <c r="Z2900" s="43">
        <f>Z2899+Учет!U2900-U2900</f>
        <v>500000</v>
      </c>
      <c r="AA2900" s="45">
        <f>Учет!X2900</f>
        <v>500</v>
      </c>
    </row>
    <row r="2901" spans="1:27" ht="15" customHeight="1" x14ac:dyDescent="0.25">
      <c r="A2901" s="1"/>
      <c r="B2901" s="17"/>
      <c r="C2901" s="17"/>
      <c r="D2901" s="17"/>
      <c r="E2901" s="17"/>
      <c r="F2901" s="17"/>
      <c r="G2901" s="4">
        <f t="shared" si="132"/>
        <v>0</v>
      </c>
      <c r="H2901" s="17"/>
      <c r="I2901" s="4">
        <f t="shared" si="134"/>
        <v>349526.07999999996</v>
      </c>
      <c r="J2901" s="32" t="str">
        <f t="shared" si="133"/>
        <v/>
      </c>
      <c r="K2901" s="72"/>
      <c r="L2901" s="72"/>
      <c r="M2901" s="2"/>
      <c r="N2901" s="5"/>
      <c r="O2901" s="3"/>
      <c r="P2901" s="6"/>
      <c r="Q2901" s="48">
        <f>IF(Учет!$O2901=Справочники!$F$2,Учет!$H2901,0)</f>
        <v>0</v>
      </c>
      <c r="R2901" s="48">
        <f>IF(Учет!$O2901=Справочники!$F$3,Учет!$H2901,0)</f>
        <v>0</v>
      </c>
      <c r="S2901" s="48">
        <f>IF(Учет!$O2901=Справочники!$F$4,Учет!$H2901,0)</f>
        <v>0</v>
      </c>
      <c r="T2901" s="48">
        <f>IF(Учет!$O2901=Справочники!$F$5,Учет!$H2901,0)</f>
        <v>0</v>
      </c>
      <c r="U2901" s="48">
        <f>IF(Учет!$O2901=Справочники!$F$6,Учет!$H2901,0)</f>
        <v>0</v>
      </c>
      <c r="V2901" s="43">
        <f>V2900+Учет!Q2901-Q2901</f>
        <v>-488978.92000000004</v>
      </c>
      <c r="W2901" s="43">
        <f>W2900+Учет!R2901-R2901</f>
        <v>336855</v>
      </c>
      <c r="X2901" s="43">
        <f>X2900+Учет!S2901-S2901</f>
        <v>500</v>
      </c>
      <c r="Y2901" s="43">
        <f>Y2900+Учет!T2901-T2901</f>
        <v>1150</v>
      </c>
      <c r="Z2901" s="43">
        <f>Z2900+Учет!U2901-U2901</f>
        <v>500000</v>
      </c>
      <c r="AA2901" s="45">
        <f>Учет!X2901</f>
        <v>500</v>
      </c>
    </row>
    <row r="2902" spans="1:27" ht="15" customHeight="1" x14ac:dyDescent="0.25">
      <c r="A2902" s="1"/>
      <c r="B2902" s="17"/>
      <c r="C2902" s="17"/>
      <c r="D2902" s="17"/>
      <c r="E2902" s="17"/>
      <c r="F2902" s="17"/>
      <c r="G2902" s="4">
        <f t="shared" si="132"/>
        <v>0</v>
      </c>
      <c r="H2902" s="17"/>
      <c r="I2902" s="4">
        <f t="shared" si="134"/>
        <v>349526.07999999996</v>
      </c>
      <c r="J2902" s="32" t="str">
        <f t="shared" si="133"/>
        <v/>
      </c>
      <c r="K2902" s="72"/>
      <c r="L2902" s="72"/>
      <c r="M2902" s="2"/>
      <c r="N2902" s="5"/>
      <c r="O2902" s="3"/>
      <c r="P2902" s="6"/>
      <c r="Q2902" s="48">
        <f>IF(Учет!$O2902=Справочники!$F$2,Учет!$H2902,0)</f>
        <v>0</v>
      </c>
      <c r="R2902" s="48">
        <f>IF(Учет!$O2902=Справочники!$F$3,Учет!$H2902,0)</f>
        <v>0</v>
      </c>
      <c r="S2902" s="48">
        <f>IF(Учет!$O2902=Справочники!$F$4,Учет!$H2902,0)</f>
        <v>0</v>
      </c>
      <c r="T2902" s="48">
        <f>IF(Учет!$O2902=Справочники!$F$5,Учет!$H2902,0)</f>
        <v>0</v>
      </c>
      <c r="U2902" s="48">
        <f>IF(Учет!$O2902=Справочники!$F$6,Учет!$H2902,0)</f>
        <v>0</v>
      </c>
      <c r="V2902" s="43">
        <f>V2901+Учет!Q2902-Q2902</f>
        <v>-488978.92000000004</v>
      </c>
      <c r="W2902" s="43">
        <f>W2901+Учет!R2902-R2902</f>
        <v>336855</v>
      </c>
      <c r="X2902" s="43">
        <f>X2901+Учет!S2902-S2902</f>
        <v>500</v>
      </c>
      <c r="Y2902" s="43">
        <f>Y2901+Учет!T2902-T2902</f>
        <v>1150</v>
      </c>
      <c r="Z2902" s="43">
        <f>Z2901+Учет!U2902-U2902</f>
        <v>500000</v>
      </c>
      <c r="AA2902" s="45">
        <f>Учет!X2902</f>
        <v>500</v>
      </c>
    </row>
    <row r="2903" spans="1:27" ht="15" customHeight="1" x14ac:dyDescent="0.25">
      <c r="A2903" s="1"/>
      <c r="B2903" s="17"/>
      <c r="C2903" s="17"/>
      <c r="D2903" s="17"/>
      <c r="E2903" s="17"/>
      <c r="F2903" s="17"/>
      <c r="G2903" s="4">
        <f t="shared" si="132"/>
        <v>0</v>
      </c>
      <c r="H2903" s="17"/>
      <c r="I2903" s="4">
        <f t="shared" si="134"/>
        <v>349526.07999999996</v>
      </c>
      <c r="J2903" s="32" t="str">
        <f t="shared" si="133"/>
        <v/>
      </c>
      <c r="K2903" s="72"/>
      <c r="L2903" s="72"/>
      <c r="M2903" s="2"/>
      <c r="N2903" s="5"/>
      <c r="O2903" s="3"/>
      <c r="P2903" s="6"/>
      <c r="Q2903" s="48">
        <f>IF(Учет!$O2903=Справочники!$F$2,Учет!$H2903,0)</f>
        <v>0</v>
      </c>
      <c r="R2903" s="48">
        <f>IF(Учет!$O2903=Справочники!$F$3,Учет!$H2903,0)</f>
        <v>0</v>
      </c>
      <c r="S2903" s="48">
        <f>IF(Учет!$O2903=Справочники!$F$4,Учет!$H2903,0)</f>
        <v>0</v>
      </c>
      <c r="T2903" s="48">
        <f>IF(Учет!$O2903=Справочники!$F$5,Учет!$H2903,0)</f>
        <v>0</v>
      </c>
      <c r="U2903" s="48">
        <f>IF(Учет!$O2903=Справочники!$F$6,Учет!$H2903,0)</f>
        <v>0</v>
      </c>
      <c r="V2903" s="43">
        <f>V2902+Учет!Q2903-Q2903</f>
        <v>-488978.92000000004</v>
      </c>
      <c r="W2903" s="43">
        <f>W2902+Учет!R2903-R2903</f>
        <v>336855</v>
      </c>
      <c r="X2903" s="43">
        <f>X2902+Учет!S2903-S2903</f>
        <v>500</v>
      </c>
      <c r="Y2903" s="43">
        <f>Y2902+Учет!T2903-T2903</f>
        <v>1150</v>
      </c>
      <c r="Z2903" s="43">
        <f>Z2902+Учет!U2903-U2903</f>
        <v>500000</v>
      </c>
      <c r="AA2903" s="45">
        <f>Учет!X2903</f>
        <v>500</v>
      </c>
    </row>
    <row r="2904" spans="1:27" ht="15" customHeight="1" x14ac:dyDescent="0.25">
      <c r="A2904" s="1"/>
      <c r="B2904" s="17"/>
      <c r="C2904" s="17"/>
      <c r="D2904" s="17"/>
      <c r="E2904" s="17"/>
      <c r="F2904" s="17"/>
      <c r="G2904" s="4">
        <f t="shared" si="132"/>
        <v>0</v>
      </c>
      <c r="H2904" s="17"/>
      <c r="I2904" s="4">
        <f t="shared" si="134"/>
        <v>349526.07999999996</v>
      </c>
      <c r="J2904" s="32" t="str">
        <f t="shared" si="133"/>
        <v/>
      </c>
      <c r="K2904" s="72"/>
      <c r="L2904" s="72"/>
      <c r="M2904" s="2"/>
      <c r="N2904" s="5"/>
      <c r="O2904" s="3"/>
      <c r="P2904" s="6"/>
      <c r="Q2904" s="48">
        <f>IF(Учет!$O2904=Справочники!$F$2,Учет!$H2904,0)</f>
        <v>0</v>
      </c>
      <c r="R2904" s="48">
        <f>IF(Учет!$O2904=Справочники!$F$3,Учет!$H2904,0)</f>
        <v>0</v>
      </c>
      <c r="S2904" s="48">
        <f>IF(Учет!$O2904=Справочники!$F$4,Учет!$H2904,0)</f>
        <v>0</v>
      </c>
      <c r="T2904" s="48">
        <f>IF(Учет!$O2904=Справочники!$F$5,Учет!$H2904,0)</f>
        <v>0</v>
      </c>
      <c r="U2904" s="48">
        <f>IF(Учет!$O2904=Справочники!$F$6,Учет!$H2904,0)</f>
        <v>0</v>
      </c>
      <c r="V2904" s="43">
        <f>V2903+Учет!Q2904-Q2904</f>
        <v>-488978.92000000004</v>
      </c>
      <c r="W2904" s="43">
        <f>W2903+Учет!R2904-R2904</f>
        <v>336855</v>
      </c>
      <c r="X2904" s="43">
        <f>X2903+Учет!S2904-S2904</f>
        <v>500</v>
      </c>
      <c r="Y2904" s="43">
        <f>Y2903+Учет!T2904-T2904</f>
        <v>1150</v>
      </c>
      <c r="Z2904" s="43">
        <f>Z2903+Учет!U2904-U2904</f>
        <v>500000</v>
      </c>
      <c r="AA2904" s="45">
        <f>Учет!X2904</f>
        <v>500</v>
      </c>
    </row>
    <row r="2905" spans="1:27" ht="15" customHeight="1" x14ac:dyDescent="0.25">
      <c r="A2905" s="1"/>
      <c r="B2905" s="17"/>
      <c r="C2905" s="17"/>
      <c r="D2905" s="17"/>
      <c r="E2905" s="17"/>
      <c r="F2905" s="17"/>
      <c r="G2905" s="4">
        <f t="shared" si="132"/>
        <v>0</v>
      </c>
      <c r="H2905" s="17"/>
      <c r="I2905" s="4">
        <f t="shared" si="134"/>
        <v>349526.07999999996</v>
      </c>
      <c r="J2905" s="32" t="str">
        <f t="shared" si="133"/>
        <v/>
      </c>
      <c r="K2905" s="72"/>
      <c r="L2905" s="72"/>
      <c r="M2905" s="2"/>
      <c r="N2905" s="5"/>
      <c r="O2905" s="3"/>
      <c r="P2905" s="6"/>
      <c r="Q2905" s="48">
        <f>IF(Учет!$O2905=Справочники!$F$2,Учет!$H2905,0)</f>
        <v>0</v>
      </c>
      <c r="R2905" s="48">
        <f>IF(Учет!$O2905=Справочники!$F$3,Учет!$H2905,0)</f>
        <v>0</v>
      </c>
      <c r="S2905" s="48">
        <f>IF(Учет!$O2905=Справочники!$F$4,Учет!$H2905,0)</f>
        <v>0</v>
      </c>
      <c r="T2905" s="48">
        <f>IF(Учет!$O2905=Справочники!$F$5,Учет!$H2905,0)</f>
        <v>0</v>
      </c>
      <c r="U2905" s="48">
        <f>IF(Учет!$O2905=Справочники!$F$6,Учет!$H2905,0)</f>
        <v>0</v>
      </c>
      <c r="V2905" s="43">
        <f>V2904+Учет!Q2905-Q2905</f>
        <v>-488978.92000000004</v>
      </c>
      <c r="W2905" s="43">
        <f>W2904+Учет!R2905-R2905</f>
        <v>336855</v>
      </c>
      <c r="X2905" s="43">
        <f>X2904+Учет!S2905-S2905</f>
        <v>500</v>
      </c>
      <c r="Y2905" s="43">
        <f>Y2904+Учет!T2905-T2905</f>
        <v>1150</v>
      </c>
      <c r="Z2905" s="43">
        <f>Z2904+Учет!U2905-U2905</f>
        <v>500000</v>
      </c>
      <c r="AA2905" s="45">
        <f>Учет!X2905</f>
        <v>500</v>
      </c>
    </row>
    <row r="2906" spans="1:27" ht="15" customHeight="1" x14ac:dyDescent="0.25">
      <c r="A2906" s="1"/>
      <c r="B2906" s="17"/>
      <c r="C2906" s="17"/>
      <c r="D2906" s="17"/>
      <c r="E2906" s="17"/>
      <c r="F2906" s="17"/>
      <c r="G2906" s="4">
        <f t="shared" si="132"/>
        <v>0</v>
      </c>
      <c r="H2906" s="17"/>
      <c r="I2906" s="4">
        <f t="shared" si="134"/>
        <v>349526.07999999996</v>
      </c>
      <c r="J2906" s="32" t="str">
        <f t="shared" si="133"/>
        <v/>
      </c>
      <c r="K2906" s="72"/>
      <c r="L2906" s="72"/>
      <c r="M2906" s="2"/>
      <c r="N2906" s="5"/>
      <c r="O2906" s="3"/>
      <c r="P2906" s="6"/>
      <c r="Q2906" s="48">
        <f>IF(Учет!$O2906=Справочники!$F$2,Учет!$H2906,0)</f>
        <v>0</v>
      </c>
      <c r="R2906" s="48">
        <f>IF(Учет!$O2906=Справочники!$F$3,Учет!$H2906,0)</f>
        <v>0</v>
      </c>
      <c r="S2906" s="48">
        <f>IF(Учет!$O2906=Справочники!$F$4,Учет!$H2906,0)</f>
        <v>0</v>
      </c>
      <c r="T2906" s="48">
        <f>IF(Учет!$O2906=Справочники!$F$5,Учет!$H2906,0)</f>
        <v>0</v>
      </c>
      <c r="U2906" s="48">
        <f>IF(Учет!$O2906=Справочники!$F$6,Учет!$H2906,0)</f>
        <v>0</v>
      </c>
      <c r="V2906" s="43">
        <f>V2905+Учет!Q2906-Q2906</f>
        <v>-488978.92000000004</v>
      </c>
      <c r="W2906" s="43">
        <f>W2905+Учет!R2906-R2906</f>
        <v>336855</v>
      </c>
      <c r="X2906" s="43">
        <f>X2905+Учет!S2906-S2906</f>
        <v>500</v>
      </c>
      <c r="Y2906" s="43">
        <f>Y2905+Учет!T2906-T2906</f>
        <v>1150</v>
      </c>
      <c r="Z2906" s="43">
        <f>Z2905+Учет!U2906-U2906</f>
        <v>500000</v>
      </c>
      <c r="AA2906" s="45">
        <f>Учет!X2906</f>
        <v>500</v>
      </c>
    </row>
    <row r="2907" spans="1:27" ht="15" customHeight="1" x14ac:dyDescent="0.25">
      <c r="A2907" s="1"/>
      <c r="B2907" s="17"/>
      <c r="C2907" s="17"/>
      <c r="D2907" s="17"/>
      <c r="E2907" s="17"/>
      <c r="F2907" s="17"/>
      <c r="G2907" s="4">
        <f t="shared" si="132"/>
        <v>0</v>
      </c>
      <c r="H2907" s="17"/>
      <c r="I2907" s="4">
        <f t="shared" si="134"/>
        <v>349526.07999999996</v>
      </c>
      <c r="J2907" s="32" t="str">
        <f t="shared" si="133"/>
        <v/>
      </c>
      <c r="K2907" s="72"/>
      <c r="L2907" s="72"/>
      <c r="M2907" s="2"/>
      <c r="N2907" s="5"/>
      <c r="O2907" s="3"/>
      <c r="P2907" s="6"/>
      <c r="Q2907" s="48">
        <f>IF(Учет!$O2907=Справочники!$F$2,Учет!$H2907,0)</f>
        <v>0</v>
      </c>
      <c r="R2907" s="48">
        <f>IF(Учет!$O2907=Справочники!$F$3,Учет!$H2907,0)</f>
        <v>0</v>
      </c>
      <c r="S2907" s="48">
        <f>IF(Учет!$O2907=Справочники!$F$4,Учет!$H2907,0)</f>
        <v>0</v>
      </c>
      <c r="T2907" s="48">
        <f>IF(Учет!$O2907=Справочники!$F$5,Учет!$H2907,0)</f>
        <v>0</v>
      </c>
      <c r="U2907" s="48">
        <f>IF(Учет!$O2907=Справочники!$F$6,Учет!$H2907,0)</f>
        <v>0</v>
      </c>
      <c r="V2907" s="43">
        <f>V2906+Учет!Q2907-Q2907</f>
        <v>-488978.92000000004</v>
      </c>
      <c r="W2907" s="43">
        <f>W2906+Учет!R2907-R2907</f>
        <v>336855</v>
      </c>
      <c r="X2907" s="43">
        <f>X2906+Учет!S2907-S2907</f>
        <v>500</v>
      </c>
      <c r="Y2907" s="43">
        <f>Y2906+Учет!T2907-T2907</f>
        <v>1150</v>
      </c>
      <c r="Z2907" s="43">
        <f>Z2906+Учет!U2907-U2907</f>
        <v>500000</v>
      </c>
      <c r="AA2907" s="45">
        <f>Учет!X2907</f>
        <v>500</v>
      </c>
    </row>
    <row r="2908" spans="1:27" ht="15" customHeight="1" x14ac:dyDescent="0.25">
      <c r="A2908" s="1"/>
      <c r="B2908" s="17"/>
      <c r="C2908" s="17"/>
      <c r="D2908" s="17"/>
      <c r="E2908" s="17"/>
      <c r="F2908" s="17"/>
      <c r="G2908" s="4">
        <f t="shared" si="132"/>
        <v>0</v>
      </c>
      <c r="H2908" s="17"/>
      <c r="I2908" s="4">
        <f t="shared" si="134"/>
        <v>349526.07999999996</v>
      </c>
      <c r="J2908" s="32" t="str">
        <f t="shared" si="133"/>
        <v/>
      </c>
      <c r="K2908" s="72"/>
      <c r="L2908" s="72"/>
      <c r="M2908" s="2"/>
      <c r="N2908" s="5"/>
      <c r="O2908" s="3"/>
      <c r="P2908" s="6"/>
      <c r="Q2908" s="48">
        <f>IF(Учет!$O2908=Справочники!$F$2,Учет!$H2908,0)</f>
        <v>0</v>
      </c>
      <c r="R2908" s="48">
        <f>IF(Учет!$O2908=Справочники!$F$3,Учет!$H2908,0)</f>
        <v>0</v>
      </c>
      <c r="S2908" s="48">
        <f>IF(Учет!$O2908=Справочники!$F$4,Учет!$H2908,0)</f>
        <v>0</v>
      </c>
      <c r="T2908" s="48">
        <f>IF(Учет!$O2908=Справочники!$F$5,Учет!$H2908,0)</f>
        <v>0</v>
      </c>
      <c r="U2908" s="48">
        <f>IF(Учет!$O2908=Справочники!$F$6,Учет!$H2908,0)</f>
        <v>0</v>
      </c>
      <c r="V2908" s="43">
        <f>V2907+Учет!Q2908-Q2908</f>
        <v>-488978.92000000004</v>
      </c>
      <c r="W2908" s="43">
        <f>W2907+Учет!R2908-R2908</f>
        <v>336855</v>
      </c>
      <c r="X2908" s="43">
        <f>X2907+Учет!S2908-S2908</f>
        <v>500</v>
      </c>
      <c r="Y2908" s="43">
        <f>Y2907+Учет!T2908-T2908</f>
        <v>1150</v>
      </c>
      <c r="Z2908" s="43">
        <f>Z2907+Учет!U2908-U2908</f>
        <v>500000</v>
      </c>
      <c r="AA2908" s="45">
        <f>Учет!X2908</f>
        <v>500</v>
      </c>
    </row>
    <row r="2909" spans="1:27" ht="15" customHeight="1" x14ac:dyDescent="0.25">
      <c r="A2909" s="1"/>
      <c r="B2909" s="17"/>
      <c r="C2909" s="17"/>
      <c r="D2909" s="17"/>
      <c r="E2909" s="17"/>
      <c r="F2909" s="17"/>
      <c r="G2909" s="4">
        <f t="shared" si="132"/>
        <v>0</v>
      </c>
      <c r="H2909" s="17"/>
      <c r="I2909" s="4">
        <f t="shared" si="134"/>
        <v>349526.07999999996</v>
      </c>
      <c r="J2909" s="32" t="str">
        <f t="shared" si="133"/>
        <v/>
      </c>
      <c r="K2909" s="72"/>
      <c r="L2909" s="72"/>
      <c r="M2909" s="2"/>
      <c r="N2909" s="5"/>
      <c r="O2909" s="3"/>
      <c r="P2909" s="6"/>
      <c r="Q2909" s="48">
        <f>IF(Учет!$O2909=Справочники!$F$2,Учет!$H2909,0)</f>
        <v>0</v>
      </c>
      <c r="R2909" s="48">
        <f>IF(Учет!$O2909=Справочники!$F$3,Учет!$H2909,0)</f>
        <v>0</v>
      </c>
      <c r="S2909" s="48">
        <f>IF(Учет!$O2909=Справочники!$F$4,Учет!$H2909,0)</f>
        <v>0</v>
      </c>
      <c r="T2909" s="48">
        <f>IF(Учет!$O2909=Справочники!$F$5,Учет!$H2909,0)</f>
        <v>0</v>
      </c>
      <c r="U2909" s="48">
        <f>IF(Учет!$O2909=Справочники!$F$6,Учет!$H2909,0)</f>
        <v>0</v>
      </c>
      <c r="V2909" s="43">
        <f>V2908+Учет!Q2909-Q2909</f>
        <v>-488978.92000000004</v>
      </c>
      <c r="W2909" s="43">
        <f>W2908+Учет!R2909-R2909</f>
        <v>336855</v>
      </c>
      <c r="X2909" s="43">
        <f>X2908+Учет!S2909-S2909</f>
        <v>500</v>
      </c>
      <c r="Y2909" s="43">
        <f>Y2908+Учет!T2909-T2909</f>
        <v>1150</v>
      </c>
      <c r="Z2909" s="43">
        <f>Z2908+Учет!U2909-U2909</f>
        <v>500000</v>
      </c>
      <c r="AA2909" s="45">
        <f>Учет!X2909</f>
        <v>500</v>
      </c>
    </row>
    <row r="2910" spans="1:27" ht="15" customHeight="1" x14ac:dyDescent="0.25">
      <c r="A2910" s="1"/>
      <c r="B2910" s="17"/>
      <c r="C2910" s="17"/>
      <c r="D2910" s="17"/>
      <c r="E2910" s="17"/>
      <c r="F2910" s="17"/>
      <c r="G2910" s="4">
        <f t="shared" si="132"/>
        <v>0</v>
      </c>
      <c r="H2910" s="17"/>
      <c r="I2910" s="4">
        <f t="shared" si="134"/>
        <v>349526.07999999996</v>
      </c>
      <c r="J2910" s="32" t="str">
        <f t="shared" si="133"/>
        <v/>
      </c>
      <c r="K2910" s="72"/>
      <c r="L2910" s="72"/>
      <c r="M2910" s="2"/>
      <c r="N2910" s="5"/>
      <c r="O2910" s="3"/>
      <c r="P2910" s="6"/>
      <c r="Q2910" s="48">
        <f>IF(Учет!$O2910=Справочники!$F$2,Учет!$H2910,0)</f>
        <v>0</v>
      </c>
      <c r="R2910" s="48">
        <f>IF(Учет!$O2910=Справочники!$F$3,Учет!$H2910,0)</f>
        <v>0</v>
      </c>
      <c r="S2910" s="48">
        <f>IF(Учет!$O2910=Справочники!$F$4,Учет!$H2910,0)</f>
        <v>0</v>
      </c>
      <c r="T2910" s="48">
        <f>IF(Учет!$O2910=Справочники!$F$5,Учет!$H2910,0)</f>
        <v>0</v>
      </c>
      <c r="U2910" s="48">
        <f>IF(Учет!$O2910=Справочники!$F$6,Учет!$H2910,0)</f>
        <v>0</v>
      </c>
      <c r="V2910" s="43">
        <f>V2909+Учет!Q2910-Q2910</f>
        <v>-488978.92000000004</v>
      </c>
      <c r="W2910" s="43">
        <f>W2909+Учет!R2910-R2910</f>
        <v>336855</v>
      </c>
      <c r="X2910" s="43">
        <f>X2909+Учет!S2910-S2910</f>
        <v>500</v>
      </c>
      <c r="Y2910" s="43">
        <f>Y2909+Учет!T2910-T2910</f>
        <v>1150</v>
      </c>
      <c r="Z2910" s="43">
        <f>Z2909+Учет!U2910-U2910</f>
        <v>500000</v>
      </c>
      <c r="AA2910" s="45">
        <f>Учет!X2910</f>
        <v>500</v>
      </c>
    </row>
    <row r="2911" spans="1:27" ht="15" customHeight="1" x14ac:dyDescent="0.25">
      <c r="A2911" s="1"/>
      <c r="B2911" s="17"/>
      <c r="C2911" s="17"/>
      <c r="D2911" s="17"/>
      <c r="E2911" s="17"/>
      <c r="F2911" s="17"/>
      <c r="G2911" s="4">
        <f t="shared" si="132"/>
        <v>0</v>
      </c>
      <c r="H2911" s="17"/>
      <c r="I2911" s="4">
        <f t="shared" si="134"/>
        <v>349526.07999999996</v>
      </c>
      <c r="J2911" s="32" t="str">
        <f t="shared" si="133"/>
        <v/>
      </c>
      <c r="K2911" s="72"/>
      <c r="L2911" s="72"/>
      <c r="M2911" s="2"/>
      <c r="N2911" s="5"/>
      <c r="O2911" s="3"/>
      <c r="P2911" s="6"/>
      <c r="Q2911" s="48">
        <f>IF(Учет!$O2911=Справочники!$F$2,Учет!$H2911,0)</f>
        <v>0</v>
      </c>
      <c r="R2911" s="48">
        <f>IF(Учет!$O2911=Справочники!$F$3,Учет!$H2911,0)</f>
        <v>0</v>
      </c>
      <c r="S2911" s="48">
        <f>IF(Учет!$O2911=Справочники!$F$4,Учет!$H2911,0)</f>
        <v>0</v>
      </c>
      <c r="T2911" s="48">
        <f>IF(Учет!$O2911=Справочники!$F$5,Учет!$H2911,0)</f>
        <v>0</v>
      </c>
      <c r="U2911" s="48">
        <f>IF(Учет!$O2911=Справочники!$F$6,Учет!$H2911,0)</f>
        <v>0</v>
      </c>
      <c r="V2911" s="43">
        <f>V2910+Учет!Q2911-Q2911</f>
        <v>-488978.92000000004</v>
      </c>
      <c r="W2911" s="43">
        <f>W2910+Учет!R2911-R2911</f>
        <v>336855</v>
      </c>
      <c r="X2911" s="43">
        <f>X2910+Учет!S2911-S2911</f>
        <v>500</v>
      </c>
      <c r="Y2911" s="43">
        <f>Y2910+Учет!T2911-T2911</f>
        <v>1150</v>
      </c>
      <c r="Z2911" s="43">
        <f>Z2910+Учет!U2911-U2911</f>
        <v>500000</v>
      </c>
      <c r="AA2911" s="45">
        <f>Учет!X2911</f>
        <v>500</v>
      </c>
    </row>
    <row r="2912" spans="1:27" ht="15" customHeight="1" x14ac:dyDescent="0.25">
      <c r="A2912" s="1"/>
      <c r="B2912" s="17"/>
      <c r="C2912" s="17"/>
      <c r="D2912" s="17"/>
      <c r="E2912" s="17"/>
      <c r="F2912" s="17"/>
      <c r="G2912" s="4">
        <f t="shared" si="132"/>
        <v>0</v>
      </c>
      <c r="H2912" s="17"/>
      <c r="I2912" s="4">
        <f t="shared" si="134"/>
        <v>349526.07999999996</v>
      </c>
      <c r="J2912" s="32" t="str">
        <f t="shared" si="133"/>
        <v/>
      </c>
      <c r="K2912" s="72"/>
      <c r="L2912" s="72"/>
      <c r="M2912" s="2"/>
      <c r="N2912" s="5"/>
      <c r="O2912" s="3"/>
      <c r="P2912" s="6"/>
      <c r="Q2912" s="48">
        <f>IF(Учет!$O2912=Справочники!$F$2,Учет!$H2912,0)</f>
        <v>0</v>
      </c>
      <c r="R2912" s="48">
        <f>IF(Учет!$O2912=Справочники!$F$3,Учет!$H2912,0)</f>
        <v>0</v>
      </c>
      <c r="S2912" s="48">
        <f>IF(Учет!$O2912=Справочники!$F$4,Учет!$H2912,0)</f>
        <v>0</v>
      </c>
      <c r="T2912" s="48">
        <f>IF(Учет!$O2912=Справочники!$F$5,Учет!$H2912,0)</f>
        <v>0</v>
      </c>
      <c r="U2912" s="48">
        <f>IF(Учет!$O2912=Справочники!$F$6,Учет!$H2912,0)</f>
        <v>0</v>
      </c>
      <c r="V2912" s="43">
        <f>V2911+Учет!Q2912-Q2912</f>
        <v>-488978.92000000004</v>
      </c>
      <c r="W2912" s="43">
        <f>W2911+Учет!R2912-R2912</f>
        <v>336855</v>
      </c>
      <c r="X2912" s="43">
        <f>X2911+Учет!S2912-S2912</f>
        <v>500</v>
      </c>
      <c r="Y2912" s="43">
        <f>Y2911+Учет!T2912-T2912</f>
        <v>1150</v>
      </c>
      <c r="Z2912" s="43">
        <f>Z2911+Учет!U2912-U2912</f>
        <v>500000</v>
      </c>
      <c r="AA2912" s="45">
        <f>Учет!X2912</f>
        <v>500</v>
      </c>
    </row>
    <row r="2913" spans="1:27" ht="15" customHeight="1" x14ac:dyDescent="0.25">
      <c r="A2913" s="1"/>
      <c r="B2913" s="17"/>
      <c r="C2913" s="17"/>
      <c r="D2913" s="17"/>
      <c r="E2913" s="17"/>
      <c r="F2913" s="17"/>
      <c r="G2913" s="4">
        <f t="shared" si="132"/>
        <v>0</v>
      </c>
      <c r="H2913" s="17"/>
      <c r="I2913" s="4">
        <f t="shared" si="134"/>
        <v>349526.07999999996</v>
      </c>
      <c r="J2913" s="32" t="str">
        <f t="shared" si="133"/>
        <v/>
      </c>
      <c r="K2913" s="72"/>
      <c r="L2913" s="72"/>
      <c r="M2913" s="2"/>
      <c r="N2913" s="5"/>
      <c r="O2913" s="3"/>
      <c r="P2913" s="6"/>
      <c r="Q2913" s="48">
        <f>IF(Учет!$O2913=Справочники!$F$2,Учет!$H2913,0)</f>
        <v>0</v>
      </c>
      <c r="R2913" s="48">
        <f>IF(Учет!$O2913=Справочники!$F$3,Учет!$H2913,0)</f>
        <v>0</v>
      </c>
      <c r="S2913" s="48">
        <f>IF(Учет!$O2913=Справочники!$F$4,Учет!$H2913,0)</f>
        <v>0</v>
      </c>
      <c r="T2913" s="48">
        <f>IF(Учет!$O2913=Справочники!$F$5,Учет!$H2913,0)</f>
        <v>0</v>
      </c>
      <c r="U2913" s="48">
        <f>IF(Учет!$O2913=Справочники!$F$6,Учет!$H2913,0)</f>
        <v>0</v>
      </c>
      <c r="V2913" s="43">
        <f>V2912+Учет!Q2913-Q2913</f>
        <v>-488978.92000000004</v>
      </c>
      <c r="W2913" s="43">
        <f>W2912+Учет!R2913-R2913</f>
        <v>336855</v>
      </c>
      <c r="X2913" s="43">
        <f>X2912+Учет!S2913-S2913</f>
        <v>500</v>
      </c>
      <c r="Y2913" s="43">
        <f>Y2912+Учет!T2913-T2913</f>
        <v>1150</v>
      </c>
      <c r="Z2913" s="43">
        <f>Z2912+Учет!U2913-U2913</f>
        <v>500000</v>
      </c>
      <c r="AA2913" s="45">
        <f>Учет!X2913</f>
        <v>500</v>
      </c>
    </row>
    <row r="2914" spans="1:27" ht="15" customHeight="1" x14ac:dyDescent="0.25">
      <c r="A2914" s="1"/>
      <c r="B2914" s="17"/>
      <c r="C2914" s="17"/>
      <c r="D2914" s="17"/>
      <c r="E2914" s="17"/>
      <c r="F2914" s="17"/>
      <c r="G2914" s="4">
        <f t="shared" si="132"/>
        <v>0</v>
      </c>
      <c r="H2914" s="17"/>
      <c r="I2914" s="4">
        <f t="shared" si="134"/>
        <v>349526.07999999996</v>
      </c>
      <c r="J2914" s="32" t="str">
        <f t="shared" si="133"/>
        <v/>
      </c>
      <c r="K2914" s="72"/>
      <c r="L2914" s="72"/>
      <c r="M2914" s="2"/>
      <c r="N2914" s="5"/>
      <c r="O2914" s="3"/>
      <c r="P2914" s="6"/>
      <c r="Q2914" s="48">
        <f>IF(Учет!$O2914=Справочники!$F$2,Учет!$H2914,0)</f>
        <v>0</v>
      </c>
      <c r="R2914" s="48">
        <f>IF(Учет!$O2914=Справочники!$F$3,Учет!$H2914,0)</f>
        <v>0</v>
      </c>
      <c r="S2914" s="48">
        <f>IF(Учет!$O2914=Справочники!$F$4,Учет!$H2914,0)</f>
        <v>0</v>
      </c>
      <c r="T2914" s="48">
        <f>IF(Учет!$O2914=Справочники!$F$5,Учет!$H2914,0)</f>
        <v>0</v>
      </c>
      <c r="U2914" s="48">
        <f>IF(Учет!$O2914=Справочники!$F$6,Учет!$H2914,0)</f>
        <v>0</v>
      </c>
      <c r="V2914" s="43">
        <f>V2913+Учет!Q2914-Q2914</f>
        <v>-488978.92000000004</v>
      </c>
      <c r="W2914" s="43">
        <f>W2913+Учет!R2914-R2914</f>
        <v>336855</v>
      </c>
      <c r="X2914" s="43">
        <f>X2913+Учет!S2914-S2914</f>
        <v>500</v>
      </c>
      <c r="Y2914" s="43">
        <f>Y2913+Учет!T2914-T2914</f>
        <v>1150</v>
      </c>
      <c r="Z2914" s="43">
        <f>Z2913+Учет!U2914-U2914</f>
        <v>500000</v>
      </c>
      <c r="AA2914" s="45">
        <f>Учет!X2914</f>
        <v>500</v>
      </c>
    </row>
    <row r="2915" spans="1:27" ht="15" customHeight="1" x14ac:dyDescent="0.25">
      <c r="A2915" s="1"/>
      <c r="B2915" s="17"/>
      <c r="C2915" s="17"/>
      <c r="D2915" s="17"/>
      <c r="E2915" s="17"/>
      <c r="F2915" s="17"/>
      <c r="G2915" s="4">
        <f t="shared" si="132"/>
        <v>0</v>
      </c>
      <c r="H2915" s="17"/>
      <c r="I2915" s="4">
        <f t="shared" si="134"/>
        <v>349526.07999999996</v>
      </c>
      <c r="J2915" s="32" t="str">
        <f t="shared" si="133"/>
        <v/>
      </c>
      <c r="K2915" s="72"/>
      <c r="L2915" s="72"/>
      <c r="M2915" s="2"/>
      <c r="N2915" s="5"/>
      <c r="O2915" s="3"/>
      <c r="P2915" s="6"/>
      <c r="Q2915" s="48">
        <f>IF(Учет!$O2915=Справочники!$F$2,Учет!$H2915,0)</f>
        <v>0</v>
      </c>
      <c r="R2915" s="48">
        <f>IF(Учет!$O2915=Справочники!$F$3,Учет!$H2915,0)</f>
        <v>0</v>
      </c>
      <c r="S2915" s="48">
        <f>IF(Учет!$O2915=Справочники!$F$4,Учет!$H2915,0)</f>
        <v>0</v>
      </c>
      <c r="T2915" s="48">
        <f>IF(Учет!$O2915=Справочники!$F$5,Учет!$H2915,0)</f>
        <v>0</v>
      </c>
      <c r="U2915" s="48">
        <f>IF(Учет!$O2915=Справочники!$F$6,Учет!$H2915,0)</f>
        <v>0</v>
      </c>
      <c r="V2915" s="43">
        <f>V2914+Учет!Q2915-Q2915</f>
        <v>-488978.92000000004</v>
      </c>
      <c r="W2915" s="43">
        <f>W2914+Учет!R2915-R2915</f>
        <v>336855</v>
      </c>
      <c r="X2915" s="43">
        <f>X2914+Учет!S2915-S2915</f>
        <v>500</v>
      </c>
      <c r="Y2915" s="43">
        <f>Y2914+Учет!T2915-T2915</f>
        <v>1150</v>
      </c>
      <c r="Z2915" s="43">
        <f>Z2914+Учет!U2915-U2915</f>
        <v>500000</v>
      </c>
      <c r="AA2915" s="45">
        <f>Учет!X2915</f>
        <v>500</v>
      </c>
    </row>
    <row r="2916" spans="1:27" ht="15" customHeight="1" x14ac:dyDescent="0.25">
      <c r="A2916" s="1"/>
      <c r="B2916" s="17"/>
      <c r="C2916" s="17"/>
      <c r="D2916" s="17"/>
      <c r="E2916" s="17"/>
      <c r="F2916" s="17"/>
      <c r="G2916" s="4">
        <f t="shared" si="132"/>
        <v>0</v>
      </c>
      <c r="H2916" s="17"/>
      <c r="I2916" s="4">
        <f t="shared" si="134"/>
        <v>349526.07999999996</v>
      </c>
      <c r="J2916" s="32" t="str">
        <f t="shared" si="133"/>
        <v/>
      </c>
      <c r="K2916" s="72"/>
      <c r="L2916" s="72"/>
      <c r="M2916" s="2"/>
      <c r="N2916" s="5"/>
      <c r="O2916" s="3"/>
      <c r="P2916" s="6"/>
      <c r="Q2916" s="48">
        <f>IF(Учет!$O2916=Справочники!$F$2,Учет!$H2916,0)</f>
        <v>0</v>
      </c>
      <c r="R2916" s="48">
        <f>IF(Учет!$O2916=Справочники!$F$3,Учет!$H2916,0)</f>
        <v>0</v>
      </c>
      <c r="S2916" s="48">
        <f>IF(Учет!$O2916=Справочники!$F$4,Учет!$H2916,0)</f>
        <v>0</v>
      </c>
      <c r="T2916" s="48">
        <f>IF(Учет!$O2916=Справочники!$F$5,Учет!$H2916,0)</f>
        <v>0</v>
      </c>
      <c r="U2916" s="48">
        <f>IF(Учет!$O2916=Справочники!$F$6,Учет!$H2916,0)</f>
        <v>0</v>
      </c>
      <c r="V2916" s="43">
        <f>V2915+Учет!Q2916-Q2916</f>
        <v>-488978.92000000004</v>
      </c>
      <c r="W2916" s="43">
        <f>W2915+Учет!R2916-R2916</f>
        <v>336855</v>
      </c>
      <c r="X2916" s="43">
        <f>X2915+Учет!S2916-S2916</f>
        <v>500</v>
      </c>
      <c r="Y2916" s="43">
        <f>Y2915+Учет!T2916-T2916</f>
        <v>1150</v>
      </c>
      <c r="Z2916" s="43">
        <f>Z2915+Учет!U2916-U2916</f>
        <v>500000</v>
      </c>
      <c r="AA2916" s="45">
        <f>Учет!X2916</f>
        <v>500</v>
      </c>
    </row>
    <row r="2917" spans="1:27" ht="15" customHeight="1" x14ac:dyDescent="0.25">
      <c r="A2917" s="1"/>
      <c r="B2917" s="17"/>
      <c r="C2917" s="17"/>
      <c r="D2917" s="17"/>
      <c r="E2917" s="17"/>
      <c r="F2917" s="17"/>
      <c r="G2917" s="4">
        <f t="shared" si="132"/>
        <v>0</v>
      </c>
      <c r="H2917" s="17"/>
      <c r="I2917" s="4">
        <f t="shared" si="134"/>
        <v>349526.07999999996</v>
      </c>
      <c r="J2917" s="32" t="str">
        <f t="shared" si="133"/>
        <v/>
      </c>
      <c r="K2917" s="72"/>
      <c r="L2917" s="72"/>
      <c r="M2917" s="2"/>
      <c r="N2917" s="5"/>
      <c r="O2917" s="3"/>
      <c r="P2917" s="6"/>
      <c r="Q2917" s="48">
        <f>IF(Учет!$O2917=Справочники!$F$2,Учет!$H2917,0)</f>
        <v>0</v>
      </c>
      <c r="R2917" s="48">
        <f>IF(Учет!$O2917=Справочники!$F$3,Учет!$H2917,0)</f>
        <v>0</v>
      </c>
      <c r="S2917" s="48">
        <f>IF(Учет!$O2917=Справочники!$F$4,Учет!$H2917,0)</f>
        <v>0</v>
      </c>
      <c r="T2917" s="48">
        <f>IF(Учет!$O2917=Справочники!$F$5,Учет!$H2917,0)</f>
        <v>0</v>
      </c>
      <c r="U2917" s="48">
        <f>IF(Учет!$O2917=Справочники!$F$6,Учет!$H2917,0)</f>
        <v>0</v>
      </c>
      <c r="V2917" s="43">
        <f>V2916+Учет!Q2917-Q2917</f>
        <v>-488978.92000000004</v>
      </c>
      <c r="W2917" s="43">
        <f>W2916+Учет!R2917-R2917</f>
        <v>336855</v>
      </c>
      <c r="X2917" s="43">
        <f>X2916+Учет!S2917-S2917</f>
        <v>500</v>
      </c>
      <c r="Y2917" s="43">
        <f>Y2916+Учет!T2917-T2917</f>
        <v>1150</v>
      </c>
      <c r="Z2917" s="43">
        <f>Z2916+Учет!U2917-U2917</f>
        <v>500000</v>
      </c>
      <c r="AA2917" s="45">
        <f>Учет!X2917</f>
        <v>500</v>
      </c>
    </row>
    <row r="2918" spans="1:27" ht="15" customHeight="1" x14ac:dyDescent="0.25">
      <c r="A2918" s="1"/>
      <c r="B2918" s="17"/>
      <c r="C2918" s="17"/>
      <c r="D2918" s="17"/>
      <c r="E2918" s="17"/>
      <c r="F2918" s="17"/>
      <c r="G2918" s="4">
        <f t="shared" si="132"/>
        <v>0</v>
      </c>
      <c r="H2918" s="17"/>
      <c r="I2918" s="4">
        <f t="shared" si="134"/>
        <v>349526.07999999996</v>
      </c>
      <c r="J2918" s="32" t="str">
        <f t="shared" si="133"/>
        <v/>
      </c>
      <c r="K2918" s="72"/>
      <c r="L2918" s="72"/>
      <c r="M2918" s="2"/>
      <c r="N2918" s="5"/>
      <c r="O2918" s="3"/>
      <c r="P2918" s="6"/>
      <c r="Q2918" s="48">
        <f>IF(Учет!$O2918=Справочники!$F$2,Учет!$H2918,0)</f>
        <v>0</v>
      </c>
      <c r="R2918" s="48">
        <f>IF(Учет!$O2918=Справочники!$F$3,Учет!$H2918,0)</f>
        <v>0</v>
      </c>
      <c r="S2918" s="48">
        <f>IF(Учет!$O2918=Справочники!$F$4,Учет!$H2918,0)</f>
        <v>0</v>
      </c>
      <c r="T2918" s="48">
        <f>IF(Учет!$O2918=Справочники!$F$5,Учет!$H2918,0)</f>
        <v>0</v>
      </c>
      <c r="U2918" s="48">
        <f>IF(Учет!$O2918=Справочники!$F$6,Учет!$H2918,0)</f>
        <v>0</v>
      </c>
      <c r="V2918" s="43">
        <f>V2917+Учет!Q2918-Q2918</f>
        <v>-488978.92000000004</v>
      </c>
      <c r="W2918" s="43">
        <f>W2917+Учет!R2918-R2918</f>
        <v>336855</v>
      </c>
      <c r="X2918" s="43">
        <f>X2917+Учет!S2918-S2918</f>
        <v>500</v>
      </c>
      <c r="Y2918" s="43">
        <f>Y2917+Учет!T2918-T2918</f>
        <v>1150</v>
      </c>
      <c r="Z2918" s="43">
        <f>Z2917+Учет!U2918-U2918</f>
        <v>500000</v>
      </c>
      <c r="AA2918" s="45">
        <f>Учет!X2918</f>
        <v>500</v>
      </c>
    </row>
    <row r="2919" spans="1:27" ht="15" customHeight="1" x14ac:dyDescent="0.25">
      <c r="A2919" s="1"/>
      <c r="B2919" s="17"/>
      <c r="C2919" s="17"/>
      <c r="D2919" s="17"/>
      <c r="E2919" s="17"/>
      <c r="F2919" s="17"/>
      <c r="G2919" s="4">
        <f t="shared" si="132"/>
        <v>0</v>
      </c>
      <c r="H2919" s="17"/>
      <c r="I2919" s="4">
        <f t="shared" si="134"/>
        <v>349526.07999999996</v>
      </c>
      <c r="J2919" s="32" t="str">
        <f t="shared" si="133"/>
        <v/>
      </c>
      <c r="K2919" s="72"/>
      <c r="L2919" s="72"/>
      <c r="M2919" s="2"/>
      <c r="N2919" s="5"/>
      <c r="O2919" s="3"/>
      <c r="P2919" s="6"/>
      <c r="Q2919" s="48">
        <f>IF(Учет!$O2919=Справочники!$F$2,Учет!$H2919,0)</f>
        <v>0</v>
      </c>
      <c r="R2919" s="48">
        <f>IF(Учет!$O2919=Справочники!$F$3,Учет!$H2919,0)</f>
        <v>0</v>
      </c>
      <c r="S2919" s="48">
        <f>IF(Учет!$O2919=Справочники!$F$4,Учет!$H2919,0)</f>
        <v>0</v>
      </c>
      <c r="T2919" s="48">
        <f>IF(Учет!$O2919=Справочники!$F$5,Учет!$H2919,0)</f>
        <v>0</v>
      </c>
      <c r="U2919" s="48">
        <f>IF(Учет!$O2919=Справочники!$F$6,Учет!$H2919,0)</f>
        <v>0</v>
      </c>
      <c r="V2919" s="43">
        <f>V2918+Учет!Q2919-Q2919</f>
        <v>-488978.92000000004</v>
      </c>
      <c r="W2919" s="43">
        <f>W2918+Учет!R2919-R2919</f>
        <v>336855</v>
      </c>
      <c r="X2919" s="43">
        <f>X2918+Учет!S2919-S2919</f>
        <v>500</v>
      </c>
      <c r="Y2919" s="43">
        <f>Y2918+Учет!T2919-T2919</f>
        <v>1150</v>
      </c>
      <c r="Z2919" s="43">
        <f>Z2918+Учет!U2919-U2919</f>
        <v>500000</v>
      </c>
      <c r="AA2919" s="45">
        <f>Учет!X2919</f>
        <v>500</v>
      </c>
    </row>
    <row r="2920" spans="1:27" ht="15" customHeight="1" x14ac:dyDescent="0.25">
      <c r="A2920" s="1"/>
      <c r="B2920" s="17"/>
      <c r="C2920" s="17"/>
      <c r="D2920" s="17"/>
      <c r="E2920" s="17"/>
      <c r="F2920" s="17"/>
      <c r="G2920" s="4">
        <f t="shared" si="132"/>
        <v>0</v>
      </c>
      <c r="H2920" s="17"/>
      <c r="I2920" s="4">
        <f t="shared" si="134"/>
        <v>349526.07999999996</v>
      </c>
      <c r="J2920" s="32" t="str">
        <f t="shared" si="133"/>
        <v/>
      </c>
      <c r="K2920" s="72"/>
      <c r="L2920" s="72"/>
      <c r="M2920" s="2"/>
      <c r="N2920" s="5"/>
      <c r="O2920" s="3"/>
      <c r="P2920" s="6"/>
      <c r="Q2920" s="48">
        <f>IF(Учет!$O2920=Справочники!$F$2,Учет!$H2920,0)</f>
        <v>0</v>
      </c>
      <c r="R2920" s="48">
        <f>IF(Учет!$O2920=Справочники!$F$3,Учет!$H2920,0)</f>
        <v>0</v>
      </c>
      <c r="S2920" s="48">
        <f>IF(Учет!$O2920=Справочники!$F$4,Учет!$H2920,0)</f>
        <v>0</v>
      </c>
      <c r="T2920" s="48">
        <f>IF(Учет!$O2920=Справочники!$F$5,Учет!$H2920,0)</f>
        <v>0</v>
      </c>
      <c r="U2920" s="48">
        <f>IF(Учет!$O2920=Справочники!$F$6,Учет!$H2920,0)</f>
        <v>0</v>
      </c>
      <c r="V2920" s="43">
        <f>V2919+Учет!Q2920-Q2920</f>
        <v>-488978.92000000004</v>
      </c>
      <c r="W2920" s="43">
        <f>W2919+Учет!R2920-R2920</f>
        <v>336855</v>
      </c>
      <c r="X2920" s="43">
        <f>X2919+Учет!S2920-S2920</f>
        <v>500</v>
      </c>
      <c r="Y2920" s="43">
        <f>Y2919+Учет!T2920-T2920</f>
        <v>1150</v>
      </c>
      <c r="Z2920" s="43">
        <f>Z2919+Учет!U2920-U2920</f>
        <v>500000</v>
      </c>
      <c r="AA2920" s="45">
        <f>Учет!X2920</f>
        <v>500</v>
      </c>
    </row>
    <row r="2921" spans="1:27" ht="15" customHeight="1" x14ac:dyDescent="0.25">
      <c r="A2921" s="1"/>
      <c r="B2921" s="17"/>
      <c r="C2921" s="17"/>
      <c r="D2921" s="17"/>
      <c r="E2921" s="17"/>
      <c r="F2921" s="17"/>
      <c r="G2921" s="4">
        <f t="shared" si="132"/>
        <v>0</v>
      </c>
      <c r="H2921" s="17"/>
      <c r="I2921" s="4">
        <f t="shared" si="134"/>
        <v>349526.07999999996</v>
      </c>
      <c r="J2921" s="32" t="str">
        <f t="shared" si="133"/>
        <v/>
      </c>
      <c r="K2921" s="72"/>
      <c r="L2921" s="72"/>
      <c r="M2921" s="2"/>
      <c r="N2921" s="5"/>
      <c r="O2921" s="3"/>
      <c r="P2921" s="6"/>
      <c r="Q2921" s="48">
        <f>IF(Учет!$O2921=Справочники!$F$2,Учет!$H2921,0)</f>
        <v>0</v>
      </c>
      <c r="R2921" s="48">
        <f>IF(Учет!$O2921=Справочники!$F$3,Учет!$H2921,0)</f>
        <v>0</v>
      </c>
      <c r="S2921" s="48">
        <f>IF(Учет!$O2921=Справочники!$F$4,Учет!$H2921,0)</f>
        <v>0</v>
      </c>
      <c r="T2921" s="48">
        <f>IF(Учет!$O2921=Справочники!$F$5,Учет!$H2921,0)</f>
        <v>0</v>
      </c>
      <c r="U2921" s="48">
        <f>IF(Учет!$O2921=Справочники!$F$6,Учет!$H2921,0)</f>
        <v>0</v>
      </c>
      <c r="V2921" s="43">
        <f>V2920+Учет!Q2921-Q2921</f>
        <v>-488978.92000000004</v>
      </c>
      <c r="W2921" s="43">
        <f>W2920+Учет!R2921-R2921</f>
        <v>336855</v>
      </c>
      <c r="X2921" s="43">
        <f>X2920+Учет!S2921-S2921</f>
        <v>500</v>
      </c>
      <c r="Y2921" s="43">
        <f>Y2920+Учет!T2921-T2921</f>
        <v>1150</v>
      </c>
      <c r="Z2921" s="43">
        <f>Z2920+Учет!U2921-U2921</f>
        <v>500000</v>
      </c>
      <c r="AA2921" s="45">
        <f>Учет!X2921</f>
        <v>500</v>
      </c>
    </row>
    <row r="2922" spans="1:27" ht="15" customHeight="1" x14ac:dyDescent="0.25">
      <c r="A2922" s="1"/>
      <c r="B2922" s="17"/>
      <c r="C2922" s="17"/>
      <c r="D2922" s="17"/>
      <c r="E2922" s="17"/>
      <c r="F2922" s="17"/>
      <c r="G2922" s="4">
        <f t="shared" si="132"/>
        <v>0</v>
      </c>
      <c r="H2922" s="17"/>
      <c r="I2922" s="4">
        <f t="shared" si="134"/>
        <v>349526.07999999996</v>
      </c>
      <c r="J2922" s="32" t="str">
        <f t="shared" si="133"/>
        <v/>
      </c>
      <c r="K2922" s="72"/>
      <c r="L2922" s="72"/>
      <c r="M2922" s="2"/>
      <c r="N2922" s="5"/>
      <c r="O2922" s="3"/>
      <c r="P2922" s="6"/>
      <c r="Q2922" s="48">
        <f>IF(Учет!$O2922=Справочники!$F$2,Учет!$H2922,0)</f>
        <v>0</v>
      </c>
      <c r="R2922" s="48">
        <f>IF(Учет!$O2922=Справочники!$F$3,Учет!$H2922,0)</f>
        <v>0</v>
      </c>
      <c r="S2922" s="48">
        <f>IF(Учет!$O2922=Справочники!$F$4,Учет!$H2922,0)</f>
        <v>0</v>
      </c>
      <c r="T2922" s="48">
        <f>IF(Учет!$O2922=Справочники!$F$5,Учет!$H2922,0)</f>
        <v>0</v>
      </c>
      <c r="U2922" s="48">
        <f>IF(Учет!$O2922=Справочники!$F$6,Учет!$H2922,0)</f>
        <v>0</v>
      </c>
      <c r="V2922" s="43">
        <f>V2921+Учет!Q2922-Q2922</f>
        <v>-488978.92000000004</v>
      </c>
      <c r="W2922" s="43">
        <f>W2921+Учет!R2922-R2922</f>
        <v>336855</v>
      </c>
      <c r="X2922" s="43">
        <f>X2921+Учет!S2922-S2922</f>
        <v>500</v>
      </c>
      <c r="Y2922" s="43">
        <f>Y2921+Учет!T2922-T2922</f>
        <v>1150</v>
      </c>
      <c r="Z2922" s="43">
        <f>Z2921+Учет!U2922-U2922</f>
        <v>500000</v>
      </c>
      <c r="AA2922" s="45">
        <f>Учет!X2922</f>
        <v>500</v>
      </c>
    </row>
    <row r="2923" spans="1:27" ht="15" customHeight="1" x14ac:dyDescent="0.25">
      <c r="A2923" s="1"/>
      <c r="B2923" s="17"/>
      <c r="C2923" s="17"/>
      <c r="D2923" s="17"/>
      <c r="E2923" s="17"/>
      <c r="F2923" s="17"/>
      <c r="G2923" s="4">
        <f t="shared" si="132"/>
        <v>0</v>
      </c>
      <c r="H2923" s="17"/>
      <c r="I2923" s="4">
        <f t="shared" si="134"/>
        <v>349526.07999999996</v>
      </c>
      <c r="J2923" s="32" t="str">
        <f t="shared" si="133"/>
        <v/>
      </c>
      <c r="K2923" s="72"/>
      <c r="L2923" s="72"/>
      <c r="M2923" s="2"/>
      <c r="N2923" s="5"/>
      <c r="O2923" s="3"/>
      <c r="P2923" s="6"/>
      <c r="Q2923" s="48">
        <f>IF(Учет!$O2923=Справочники!$F$2,Учет!$H2923,0)</f>
        <v>0</v>
      </c>
      <c r="R2923" s="48">
        <f>IF(Учет!$O2923=Справочники!$F$3,Учет!$H2923,0)</f>
        <v>0</v>
      </c>
      <c r="S2923" s="48">
        <f>IF(Учет!$O2923=Справочники!$F$4,Учет!$H2923,0)</f>
        <v>0</v>
      </c>
      <c r="T2923" s="48">
        <f>IF(Учет!$O2923=Справочники!$F$5,Учет!$H2923,0)</f>
        <v>0</v>
      </c>
      <c r="U2923" s="48">
        <f>IF(Учет!$O2923=Справочники!$F$6,Учет!$H2923,0)</f>
        <v>0</v>
      </c>
      <c r="V2923" s="43">
        <f>V2922+Учет!Q2923-Q2923</f>
        <v>-488978.92000000004</v>
      </c>
      <c r="W2923" s="43">
        <f>W2922+Учет!R2923-R2923</f>
        <v>336855</v>
      </c>
      <c r="X2923" s="43">
        <f>X2922+Учет!S2923-S2923</f>
        <v>500</v>
      </c>
      <c r="Y2923" s="43">
        <f>Y2922+Учет!T2923-T2923</f>
        <v>1150</v>
      </c>
      <c r="Z2923" s="43">
        <f>Z2922+Учет!U2923-U2923</f>
        <v>500000</v>
      </c>
      <c r="AA2923" s="45">
        <f>Учет!X2923</f>
        <v>500</v>
      </c>
    </row>
    <row r="2924" spans="1:27" ht="15" customHeight="1" x14ac:dyDescent="0.25">
      <c r="A2924" s="1"/>
      <c r="B2924" s="17"/>
      <c r="C2924" s="17"/>
      <c r="D2924" s="17"/>
      <c r="E2924" s="17"/>
      <c r="F2924" s="17"/>
      <c r="G2924" s="4">
        <f t="shared" si="132"/>
        <v>0</v>
      </c>
      <c r="H2924" s="17"/>
      <c r="I2924" s="4">
        <f t="shared" si="134"/>
        <v>349526.07999999996</v>
      </c>
      <c r="J2924" s="32" t="str">
        <f t="shared" si="133"/>
        <v/>
      </c>
      <c r="K2924" s="72"/>
      <c r="L2924" s="72"/>
      <c r="M2924" s="2"/>
      <c r="N2924" s="5"/>
      <c r="O2924" s="3"/>
      <c r="P2924" s="6"/>
      <c r="Q2924" s="48">
        <f>IF(Учет!$O2924=Справочники!$F$2,Учет!$H2924,0)</f>
        <v>0</v>
      </c>
      <c r="R2924" s="48">
        <f>IF(Учет!$O2924=Справочники!$F$3,Учет!$H2924,0)</f>
        <v>0</v>
      </c>
      <c r="S2924" s="48">
        <f>IF(Учет!$O2924=Справочники!$F$4,Учет!$H2924,0)</f>
        <v>0</v>
      </c>
      <c r="T2924" s="48">
        <f>IF(Учет!$O2924=Справочники!$F$5,Учет!$H2924,0)</f>
        <v>0</v>
      </c>
      <c r="U2924" s="48">
        <f>IF(Учет!$O2924=Справочники!$F$6,Учет!$H2924,0)</f>
        <v>0</v>
      </c>
      <c r="V2924" s="43">
        <f>V2923+Учет!Q2924-Q2924</f>
        <v>-488978.92000000004</v>
      </c>
      <c r="W2924" s="43">
        <f>W2923+Учет!R2924-R2924</f>
        <v>336855</v>
      </c>
      <c r="X2924" s="43">
        <f>X2923+Учет!S2924-S2924</f>
        <v>500</v>
      </c>
      <c r="Y2924" s="43">
        <f>Y2923+Учет!T2924-T2924</f>
        <v>1150</v>
      </c>
      <c r="Z2924" s="43">
        <f>Z2923+Учет!U2924-U2924</f>
        <v>500000</v>
      </c>
      <c r="AA2924" s="45">
        <f>Учет!X2924</f>
        <v>500</v>
      </c>
    </row>
    <row r="2925" spans="1:27" ht="15" customHeight="1" x14ac:dyDescent="0.25">
      <c r="A2925" s="1"/>
      <c r="B2925" s="17"/>
      <c r="C2925" s="17"/>
      <c r="D2925" s="17"/>
      <c r="E2925" s="17"/>
      <c r="F2925" s="17"/>
      <c r="G2925" s="4">
        <f t="shared" si="132"/>
        <v>0</v>
      </c>
      <c r="H2925" s="17"/>
      <c r="I2925" s="4">
        <f t="shared" si="134"/>
        <v>349526.07999999996</v>
      </c>
      <c r="J2925" s="32" t="str">
        <f t="shared" si="133"/>
        <v/>
      </c>
      <c r="K2925" s="72"/>
      <c r="L2925" s="72"/>
      <c r="M2925" s="2"/>
      <c r="N2925" s="5"/>
      <c r="O2925" s="3"/>
      <c r="P2925" s="6"/>
      <c r="Q2925" s="48">
        <f>IF(Учет!$O2925=Справочники!$F$2,Учет!$H2925,0)</f>
        <v>0</v>
      </c>
      <c r="R2925" s="48">
        <f>IF(Учет!$O2925=Справочники!$F$3,Учет!$H2925,0)</f>
        <v>0</v>
      </c>
      <c r="S2925" s="48">
        <f>IF(Учет!$O2925=Справочники!$F$4,Учет!$H2925,0)</f>
        <v>0</v>
      </c>
      <c r="T2925" s="48">
        <f>IF(Учет!$O2925=Справочники!$F$5,Учет!$H2925,0)</f>
        <v>0</v>
      </c>
      <c r="U2925" s="48">
        <f>IF(Учет!$O2925=Справочники!$F$6,Учет!$H2925,0)</f>
        <v>0</v>
      </c>
      <c r="V2925" s="43">
        <f>V2924+Учет!Q2925-Q2925</f>
        <v>-488978.92000000004</v>
      </c>
      <c r="W2925" s="43">
        <f>W2924+Учет!R2925-R2925</f>
        <v>336855</v>
      </c>
      <c r="X2925" s="43">
        <f>X2924+Учет!S2925-S2925</f>
        <v>500</v>
      </c>
      <c r="Y2925" s="43">
        <f>Y2924+Учет!T2925-T2925</f>
        <v>1150</v>
      </c>
      <c r="Z2925" s="43">
        <f>Z2924+Учет!U2925-U2925</f>
        <v>500000</v>
      </c>
      <c r="AA2925" s="45">
        <f>Учет!X2925</f>
        <v>500</v>
      </c>
    </row>
    <row r="2926" spans="1:27" ht="15" customHeight="1" x14ac:dyDescent="0.25">
      <c r="A2926" s="1"/>
      <c r="B2926" s="17"/>
      <c r="C2926" s="17"/>
      <c r="D2926" s="17"/>
      <c r="E2926" s="17"/>
      <c r="F2926" s="17"/>
      <c r="G2926" s="4">
        <f t="shared" si="132"/>
        <v>0</v>
      </c>
      <c r="H2926" s="17"/>
      <c r="I2926" s="4">
        <f t="shared" si="134"/>
        <v>349526.07999999996</v>
      </c>
      <c r="J2926" s="32" t="str">
        <f t="shared" si="133"/>
        <v/>
      </c>
      <c r="K2926" s="72"/>
      <c r="L2926" s="72"/>
      <c r="M2926" s="2"/>
      <c r="N2926" s="5"/>
      <c r="O2926" s="3"/>
      <c r="P2926" s="6"/>
      <c r="Q2926" s="48">
        <f>IF(Учет!$O2926=Справочники!$F$2,Учет!$H2926,0)</f>
        <v>0</v>
      </c>
      <c r="R2926" s="48">
        <f>IF(Учет!$O2926=Справочники!$F$3,Учет!$H2926,0)</f>
        <v>0</v>
      </c>
      <c r="S2926" s="48">
        <f>IF(Учет!$O2926=Справочники!$F$4,Учет!$H2926,0)</f>
        <v>0</v>
      </c>
      <c r="T2926" s="48">
        <f>IF(Учет!$O2926=Справочники!$F$5,Учет!$H2926,0)</f>
        <v>0</v>
      </c>
      <c r="U2926" s="48">
        <f>IF(Учет!$O2926=Справочники!$F$6,Учет!$H2926,0)</f>
        <v>0</v>
      </c>
      <c r="V2926" s="43">
        <f>V2925+Учет!Q2926-Q2926</f>
        <v>-488978.92000000004</v>
      </c>
      <c r="W2926" s="43">
        <f>W2925+Учет!R2926-R2926</f>
        <v>336855</v>
      </c>
      <c r="X2926" s="43">
        <f>X2925+Учет!S2926-S2926</f>
        <v>500</v>
      </c>
      <c r="Y2926" s="43">
        <f>Y2925+Учет!T2926-T2926</f>
        <v>1150</v>
      </c>
      <c r="Z2926" s="43">
        <f>Z2925+Учет!U2926-U2926</f>
        <v>500000</v>
      </c>
      <c r="AA2926" s="45">
        <f>Учет!X2926</f>
        <v>500</v>
      </c>
    </row>
    <row r="2927" spans="1:27" ht="15" customHeight="1" x14ac:dyDescent="0.25">
      <c r="A2927" s="1"/>
      <c r="B2927" s="17"/>
      <c r="C2927" s="17"/>
      <c r="D2927" s="17"/>
      <c r="E2927" s="17"/>
      <c r="F2927" s="17"/>
      <c r="G2927" s="4">
        <f t="shared" si="132"/>
        <v>0</v>
      </c>
      <c r="H2927" s="17"/>
      <c r="I2927" s="4">
        <f t="shared" si="134"/>
        <v>349526.07999999996</v>
      </c>
      <c r="J2927" s="32" t="str">
        <f t="shared" si="133"/>
        <v/>
      </c>
      <c r="K2927" s="72"/>
      <c r="L2927" s="72"/>
      <c r="M2927" s="2"/>
      <c r="N2927" s="5"/>
      <c r="O2927" s="3"/>
      <c r="P2927" s="6"/>
      <c r="Q2927" s="48">
        <f>IF(Учет!$O2927=Справочники!$F$2,Учет!$H2927,0)</f>
        <v>0</v>
      </c>
      <c r="R2927" s="48">
        <f>IF(Учет!$O2927=Справочники!$F$3,Учет!$H2927,0)</f>
        <v>0</v>
      </c>
      <c r="S2927" s="48">
        <f>IF(Учет!$O2927=Справочники!$F$4,Учет!$H2927,0)</f>
        <v>0</v>
      </c>
      <c r="T2927" s="48">
        <f>IF(Учет!$O2927=Справочники!$F$5,Учет!$H2927,0)</f>
        <v>0</v>
      </c>
      <c r="U2927" s="48">
        <f>IF(Учет!$O2927=Справочники!$F$6,Учет!$H2927,0)</f>
        <v>0</v>
      </c>
      <c r="V2927" s="43">
        <f>V2926+Учет!Q2927-Q2927</f>
        <v>-488978.92000000004</v>
      </c>
      <c r="W2927" s="43">
        <f>W2926+Учет!R2927-R2927</f>
        <v>336855</v>
      </c>
      <c r="X2927" s="43">
        <f>X2926+Учет!S2927-S2927</f>
        <v>500</v>
      </c>
      <c r="Y2927" s="43">
        <f>Y2926+Учет!T2927-T2927</f>
        <v>1150</v>
      </c>
      <c r="Z2927" s="43">
        <f>Z2926+Учет!U2927-U2927</f>
        <v>500000</v>
      </c>
      <c r="AA2927" s="45">
        <f>Учет!X2927</f>
        <v>500</v>
      </c>
    </row>
    <row r="2928" spans="1:27" ht="15" customHeight="1" x14ac:dyDescent="0.25">
      <c r="A2928" s="1"/>
      <c r="B2928" s="17"/>
      <c r="C2928" s="17"/>
      <c r="D2928" s="17"/>
      <c r="E2928" s="17"/>
      <c r="F2928" s="17"/>
      <c r="G2928" s="4">
        <f t="shared" si="132"/>
        <v>0</v>
      </c>
      <c r="H2928" s="17"/>
      <c r="I2928" s="4">
        <f t="shared" si="134"/>
        <v>349526.07999999996</v>
      </c>
      <c r="J2928" s="32" t="str">
        <f t="shared" si="133"/>
        <v/>
      </c>
      <c r="K2928" s="72"/>
      <c r="L2928" s="72"/>
      <c r="M2928" s="2"/>
      <c r="N2928" s="5"/>
      <c r="O2928" s="3"/>
      <c r="P2928" s="6"/>
      <c r="Q2928" s="48">
        <f>IF(Учет!$O2928=Справочники!$F$2,Учет!$H2928,0)</f>
        <v>0</v>
      </c>
      <c r="R2928" s="48">
        <f>IF(Учет!$O2928=Справочники!$F$3,Учет!$H2928,0)</f>
        <v>0</v>
      </c>
      <c r="S2928" s="48">
        <f>IF(Учет!$O2928=Справочники!$F$4,Учет!$H2928,0)</f>
        <v>0</v>
      </c>
      <c r="T2928" s="48">
        <f>IF(Учет!$O2928=Справочники!$F$5,Учет!$H2928,0)</f>
        <v>0</v>
      </c>
      <c r="U2928" s="48">
        <f>IF(Учет!$O2928=Справочники!$F$6,Учет!$H2928,0)</f>
        <v>0</v>
      </c>
      <c r="V2928" s="43">
        <f>V2927+Учет!Q2928-Q2928</f>
        <v>-488978.92000000004</v>
      </c>
      <c r="W2928" s="43">
        <f>W2927+Учет!R2928-R2928</f>
        <v>336855</v>
      </c>
      <c r="X2928" s="43">
        <f>X2927+Учет!S2928-S2928</f>
        <v>500</v>
      </c>
      <c r="Y2928" s="43">
        <f>Y2927+Учет!T2928-T2928</f>
        <v>1150</v>
      </c>
      <c r="Z2928" s="43">
        <f>Z2927+Учет!U2928-U2928</f>
        <v>500000</v>
      </c>
      <c r="AA2928" s="45">
        <f>Учет!X2928</f>
        <v>500</v>
      </c>
    </row>
    <row r="2929" spans="1:27" ht="15" customHeight="1" x14ac:dyDescent="0.25">
      <c r="A2929" s="1"/>
      <c r="B2929" s="17"/>
      <c r="C2929" s="17"/>
      <c r="D2929" s="17"/>
      <c r="E2929" s="17"/>
      <c r="F2929" s="17"/>
      <c r="G2929" s="4">
        <f t="shared" si="132"/>
        <v>0</v>
      </c>
      <c r="H2929" s="17"/>
      <c r="I2929" s="4">
        <f t="shared" si="134"/>
        <v>349526.07999999996</v>
      </c>
      <c r="J2929" s="32" t="str">
        <f t="shared" si="133"/>
        <v/>
      </c>
      <c r="K2929" s="72"/>
      <c r="L2929" s="72"/>
      <c r="M2929" s="2"/>
      <c r="N2929" s="5"/>
      <c r="O2929" s="3"/>
      <c r="P2929" s="6"/>
      <c r="Q2929" s="48">
        <f>IF(Учет!$O2929=Справочники!$F$2,Учет!$H2929,0)</f>
        <v>0</v>
      </c>
      <c r="R2929" s="48">
        <f>IF(Учет!$O2929=Справочники!$F$3,Учет!$H2929,0)</f>
        <v>0</v>
      </c>
      <c r="S2929" s="48">
        <f>IF(Учет!$O2929=Справочники!$F$4,Учет!$H2929,0)</f>
        <v>0</v>
      </c>
      <c r="T2929" s="48">
        <f>IF(Учет!$O2929=Справочники!$F$5,Учет!$H2929,0)</f>
        <v>0</v>
      </c>
      <c r="U2929" s="48">
        <f>IF(Учет!$O2929=Справочники!$F$6,Учет!$H2929,0)</f>
        <v>0</v>
      </c>
      <c r="V2929" s="43">
        <f>V2928+Учет!Q2929-Q2929</f>
        <v>-488978.92000000004</v>
      </c>
      <c r="W2929" s="43">
        <f>W2928+Учет!R2929-R2929</f>
        <v>336855</v>
      </c>
      <c r="X2929" s="43">
        <f>X2928+Учет!S2929-S2929</f>
        <v>500</v>
      </c>
      <c r="Y2929" s="43">
        <f>Y2928+Учет!T2929-T2929</f>
        <v>1150</v>
      </c>
      <c r="Z2929" s="43">
        <f>Z2928+Учет!U2929-U2929</f>
        <v>500000</v>
      </c>
      <c r="AA2929" s="45">
        <f>Учет!X2929</f>
        <v>500</v>
      </c>
    </row>
    <row r="2930" spans="1:27" ht="15" customHeight="1" x14ac:dyDescent="0.25">
      <c r="A2930" s="1"/>
      <c r="B2930" s="17"/>
      <c r="C2930" s="17"/>
      <c r="D2930" s="17"/>
      <c r="E2930" s="17"/>
      <c r="F2930" s="17"/>
      <c r="G2930" s="4">
        <f t="shared" si="132"/>
        <v>0</v>
      </c>
      <c r="H2930" s="17"/>
      <c r="I2930" s="4">
        <f t="shared" si="134"/>
        <v>349526.07999999996</v>
      </c>
      <c r="J2930" s="32" t="str">
        <f t="shared" si="133"/>
        <v/>
      </c>
      <c r="K2930" s="72"/>
      <c r="L2930" s="72"/>
      <c r="M2930" s="2"/>
      <c r="N2930" s="5"/>
      <c r="O2930" s="3"/>
      <c r="P2930" s="6"/>
      <c r="Q2930" s="48">
        <f>IF(Учет!$O2930=Справочники!$F$2,Учет!$H2930,0)</f>
        <v>0</v>
      </c>
      <c r="R2930" s="48">
        <f>IF(Учет!$O2930=Справочники!$F$3,Учет!$H2930,0)</f>
        <v>0</v>
      </c>
      <c r="S2930" s="48">
        <f>IF(Учет!$O2930=Справочники!$F$4,Учет!$H2930,0)</f>
        <v>0</v>
      </c>
      <c r="T2930" s="48">
        <f>IF(Учет!$O2930=Справочники!$F$5,Учет!$H2930,0)</f>
        <v>0</v>
      </c>
      <c r="U2930" s="48">
        <f>IF(Учет!$O2930=Справочники!$F$6,Учет!$H2930,0)</f>
        <v>0</v>
      </c>
      <c r="V2930" s="43">
        <f>V2929+Учет!Q2930-Q2930</f>
        <v>-488978.92000000004</v>
      </c>
      <c r="W2930" s="43">
        <f>W2929+Учет!R2930-R2930</f>
        <v>336855</v>
      </c>
      <c r="X2930" s="43">
        <f>X2929+Учет!S2930-S2930</f>
        <v>500</v>
      </c>
      <c r="Y2930" s="43">
        <f>Y2929+Учет!T2930-T2930</f>
        <v>1150</v>
      </c>
      <c r="Z2930" s="43">
        <f>Z2929+Учет!U2930-U2930</f>
        <v>500000</v>
      </c>
      <c r="AA2930" s="45">
        <f>Учет!X2930</f>
        <v>500</v>
      </c>
    </row>
    <row r="2931" spans="1:27" ht="15" customHeight="1" x14ac:dyDescent="0.25">
      <c r="A2931" s="1"/>
      <c r="B2931" s="17"/>
      <c r="C2931" s="17"/>
      <c r="D2931" s="17"/>
      <c r="E2931" s="17"/>
      <c r="F2931" s="17"/>
      <c r="G2931" s="4">
        <f t="shared" si="132"/>
        <v>0</v>
      </c>
      <c r="H2931" s="17"/>
      <c r="I2931" s="4">
        <f t="shared" si="134"/>
        <v>349526.07999999996</v>
      </c>
      <c r="J2931" s="32" t="str">
        <f t="shared" si="133"/>
        <v/>
      </c>
      <c r="K2931" s="72"/>
      <c r="L2931" s="72"/>
      <c r="M2931" s="2"/>
      <c r="N2931" s="5"/>
      <c r="O2931" s="3"/>
      <c r="P2931" s="6"/>
      <c r="Q2931" s="48">
        <f>IF(Учет!$O2931=Справочники!$F$2,Учет!$H2931,0)</f>
        <v>0</v>
      </c>
      <c r="R2931" s="48">
        <f>IF(Учет!$O2931=Справочники!$F$3,Учет!$H2931,0)</f>
        <v>0</v>
      </c>
      <c r="S2931" s="48">
        <f>IF(Учет!$O2931=Справочники!$F$4,Учет!$H2931,0)</f>
        <v>0</v>
      </c>
      <c r="T2931" s="48">
        <f>IF(Учет!$O2931=Справочники!$F$5,Учет!$H2931,0)</f>
        <v>0</v>
      </c>
      <c r="U2931" s="48">
        <f>IF(Учет!$O2931=Справочники!$F$6,Учет!$H2931,0)</f>
        <v>0</v>
      </c>
      <c r="V2931" s="43">
        <f>V2930+Учет!Q2931-Q2931</f>
        <v>-488978.92000000004</v>
      </c>
      <c r="W2931" s="43">
        <f>W2930+Учет!R2931-R2931</f>
        <v>336855</v>
      </c>
      <c r="X2931" s="43">
        <f>X2930+Учет!S2931-S2931</f>
        <v>500</v>
      </c>
      <c r="Y2931" s="43">
        <f>Y2930+Учет!T2931-T2931</f>
        <v>1150</v>
      </c>
      <c r="Z2931" s="43">
        <f>Z2930+Учет!U2931-U2931</f>
        <v>500000</v>
      </c>
      <c r="AA2931" s="45">
        <f>Учет!X2931</f>
        <v>500</v>
      </c>
    </row>
    <row r="2932" spans="1:27" ht="15" customHeight="1" x14ac:dyDescent="0.25">
      <c r="A2932" s="1"/>
      <c r="B2932" s="17"/>
      <c r="C2932" s="17"/>
      <c r="D2932" s="17"/>
      <c r="E2932" s="17"/>
      <c r="F2932" s="17"/>
      <c r="G2932" s="4">
        <f t="shared" si="132"/>
        <v>0</v>
      </c>
      <c r="H2932" s="17"/>
      <c r="I2932" s="4">
        <f t="shared" si="134"/>
        <v>349526.07999999996</v>
      </c>
      <c r="J2932" s="32" t="str">
        <f t="shared" si="133"/>
        <v/>
      </c>
      <c r="K2932" s="72"/>
      <c r="L2932" s="72"/>
      <c r="M2932" s="2"/>
      <c r="N2932" s="5"/>
      <c r="O2932" s="3"/>
      <c r="P2932" s="6"/>
      <c r="Q2932" s="48">
        <f>IF(Учет!$O2932=Справочники!$F$2,Учет!$H2932,0)</f>
        <v>0</v>
      </c>
      <c r="R2932" s="48">
        <f>IF(Учет!$O2932=Справочники!$F$3,Учет!$H2932,0)</f>
        <v>0</v>
      </c>
      <c r="S2932" s="48">
        <f>IF(Учет!$O2932=Справочники!$F$4,Учет!$H2932,0)</f>
        <v>0</v>
      </c>
      <c r="T2932" s="48">
        <f>IF(Учет!$O2932=Справочники!$F$5,Учет!$H2932,0)</f>
        <v>0</v>
      </c>
      <c r="U2932" s="48">
        <f>IF(Учет!$O2932=Справочники!$F$6,Учет!$H2932,0)</f>
        <v>0</v>
      </c>
      <c r="V2932" s="43">
        <f>V2931+Учет!Q2932-Q2932</f>
        <v>-488978.92000000004</v>
      </c>
      <c r="W2932" s="43">
        <f>W2931+Учет!R2932-R2932</f>
        <v>336855</v>
      </c>
      <c r="X2932" s="43">
        <f>X2931+Учет!S2932-S2932</f>
        <v>500</v>
      </c>
      <c r="Y2932" s="43">
        <f>Y2931+Учет!T2932-T2932</f>
        <v>1150</v>
      </c>
      <c r="Z2932" s="43">
        <f>Z2931+Учет!U2932-U2932</f>
        <v>500000</v>
      </c>
      <c r="AA2932" s="45">
        <f>Учет!X2932</f>
        <v>500</v>
      </c>
    </row>
    <row r="2933" spans="1:27" ht="15" customHeight="1" x14ac:dyDescent="0.25">
      <c r="A2933" s="1"/>
      <c r="B2933" s="17"/>
      <c r="C2933" s="17"/>
      <c r="D2933" s="17"/>
      <c r="E2933" s="17"/>
      <c r="F2933" s="17"/>
      <c r="G2933" s="4">
        <f t="shared" si="132"/>
        <v>0</v>
      </c>
      <c r="H2933" s="17"/>
      <c r="I2933" s="4">
        <f t="shared" si="134"/>
        <v>349526.07999999996</v>
      </c>
      <c r="J2933" s="32" t="str">
        <f t="shared" si="133"/>
        <v/>
      </c>
      <c r="K2933" s="72"/>
      <c r="L2933" s="72"/>
      <c r="M2933" s="2"/>
      <c r="N2933" s="5"/>
      <c r="O2933" s="3"/>
      <c r="P2933" s="6"/>
      <c r="Q2933" s="48">
        <f>IF(Учет!$O2933=Справочники!$F$2,Учет!$H2933,0)</f>
        <v>0</v>
      </c>
      <c r="R2933" s="48">
        <f>IF(Учет!$O2933=Справочники!$F$3,Учет!$H2933,0)</f>
        <v>0</v>
      </c>
      <c r="S2933" s="48">
        <f>IF(Учет!$O2933=Справочники!$F$4,Учет!$H2933,0)</f>
        <v>0</v>
      </c>
      <c r="T2933" s="48">
        <f>IF(Учет!$O2933=Справочники!$F$5,Учет!$H2933,0)</f>
        <v>0</v>
      </c>
      <c r="U2933" s="48">
        <f>IF(Учет!$O2933=Справочники!$F$6,Учет!$H2933,0)</f>
        <v>0</v>
      </c>
      <c r="V2933" s="43">
        <f>V2932+Учет!Q2933-Q2933</f>
        <v>-488978.92000000004</v>
      </c>
      <c r="W2933" s="43">
        <f>W2932+Учет!R2933-R2933</f>
        <v>336855</v>
      </c>
      <c r="X2933" s="43">
        <f>X2932+Учет!S2933-S2933</f>
        <v>500</v>
      </c>
      <c r="Y2933" s="43">
        <f>Y2932+Учет!T2933-T2933</f>
        <v>1150</v>
      </c>
      <c r="Z2933" s="43">
        <f>Z2932+Учет!U2933-U2933</f>
        <v>500000</v>
      </c>
      <c r="AA2933" s="45">
        <f>Учет!X2933</f>
        <v>500</v>
      </c>
    </row>
    <row r="2934" spans="1:27" ht="15" customHeight="1" x14ac:dyDescent="0.25">
      <c r="A2934" s="1"/>
      <c r="B2934" s="17"/>
      <c r="C2934" s="17"/>
      <c r="D2934" s="17"/>
      <c r="E2934" s="17"/>
      <c r="F2934" s="17"/>
      <c r="G2934" s="4">
        <f t="shared" si="132"/>
        <v>0</v>
      </c>
      <c r="H2934" s="17"/>
      <c r="I2934" s="4">
        <f t="shared" si="134"/>
        <v>349526.07999999996</v>
      </c>
      <c r="J2934" s="32" t="str">
        <f t="shared" si="133"/>
        <v/>
      </c>
      <c r="K2934" s="72"/>
      <c r="L2934" s="72"/>
      <c r="M2934" s="2"/>
      <c r="N2934" s="5"/>
      <c r="O2934" s="3"/>
      <c r="P2934" s="6"/>
      <c r="Q2934" s="48">
        <f>IF(Учет!$O2934=Справочники!$F$2,Учет!$H2934,0)</f>
        <v>0</v>
      </c>
      <c r="R2934" s="48">
        <f>IF(Учет!$O2934=Справочники!$F$3,Учет!$H2934,0)</f>
        <v>0</v>
      </c>
      <c r="S2934" s="48">
        <f>IF(Учет!$O2934=Справочники!$F$4,Учет!$H2934,0)</f>
        <v>0</v>
      </c>
      <c r="T2934" s="48">
        <f>IF(Учет!$O2934=Справочники!$F$5,Учет!$H2934,0)</f>
        <v>0</v>
      </c>
      <c r="U2934" s="48">
        <f>IF(Учет!$O2934=Справочники!$F$6,Учет!$H2934,0)</f>
        <v>0</v>
      </c>
      <c r="V2934" s="43">
        <f>V2933+Учет!Q2934-Q2934</f>
        <v>-488978.92000000004</v>
      </c>
      <c r="W2934" s="43">
        <f>W2933+Учет!R2934-R2934</f>
        <v>336855</v>
      </c>
      <c r="X2934" s="43">
        <f>X2933+Учет!S2934-S2934</f>
        <v>500</v>
      </c>
      <c r="Y2934" s="43">
        <f>Y2933+Учет!T2934-T2934</f>
        <v>1150</v>
      </c>
      <c r="Z2934" s="43">
        <f>Z2933+Учет!U2934-U2934</f>
        <v>500000</v>
      </c>
      <c r="AA2934" s="45">
        <f>Учет!X2934</f>
        <v>500</v>
      </c>
    </row>
    <row r="2935" spans="1:27" ht="15" customHeight="1" x14ac:dyDescent="0.25">
      <c r="A2935" s="1"/>
      <c r="B2935" s="17"/>
      <c r="C2935" s="17"/>
      <c r="D2935" s="17"/>
      <c r="E2935" s="17"/>
      <c r="F2935" s="17"/>
      <c r="G2935" s="4">
        <f t="shared" si="132"/>
        <v>0</v>
      </c>
      <c r="H2935" s="17"/>
      <c r="I2935" s="4">
        <f t="shared" si="134"/>
        <v>349526.07999999996</v>
      </c>
      <c r="J2935" s="32" t="str">
        <f t="shared" si="133"/>
        <v/>
      </c>
      <c r="K2935" s="72"/>
      <c r="L2935" s="72"/>
      <c r="M2935" s="2"/>
      <c r="N2935" s="5"/>
      <c r="O2935" s="3"/>
      <c r="P2935" s="6"/>
      <c r="Q2935" s="48">
        <f>IF(Учет!$O2935=Справочники!$F$2,Учет!$H2935,0)</f>
        <v>0</v>
      </c>
      <c r="R2935" s="48">
        <f>IF(Учет!$O2935=Справочники!$F$3,Учет!$H2935,0)</f>
        <v>0</v>
      </c>
      <c r="S2935" s="48">
        <f>IF(Учет!$O2935=Справочники!$F$4,Учет!$H2935,0)</f>
        <v>0</v>
      </c>
      <c r="T2935" s="48">
        <f>IF(Учет!$O2935=Справочники!$F$5,Учет!$H2935,0)</f>
        <v>0</v>
      </c>
      <c r="U2935" s="48">
        <f>IF(Учет!$O2935=Справочники!$F$6,Учет!$H2935,0)</f>
        <v>0</v>
      </c>
      <c r="V2935" s="43">
        <f>V2934+Учет!Q2935-Q2935</f>
        <v>-488978.92000000004</v>
      </c>
      <c r="W2935" s="43">
        <f>W2934+Учет!R2935-R2935</f>
        <v>336855</v>
      </c>
      <c r="X2935" s="43">
        <f>X2934+Учет!S2935-S2935</f>
        <v>500</v>
      </c>
      <c r="Y2935" s="43">
        <f>Y2934+Учет!T2935-T2935</f>
        <v>1150</v>
      </c>
      <c r="Z2935" s="43">
        <f>Z2934+Учет!U2935-U2935</f>
        <v>500000</v>
      </c>
      <c r="AA2935" s="45">
        <f>Учет!X2935</f>
        <v>500</v>
      </c>
    </row>
    <row r="2936" spans="1:27" ht="15" customHeight="1" x14ac:dyDescent="0.25">
      <c r="A2936" s="1"/>
      <c r="B2936" s="17"/>
      <c r="C2936" s="17"/>
      <c r="D2936" s="17"/>
      <c r="E2936" s="17"/>
      <c r="F2936" s="17"/>
      <c r="G2936" s="4">
        <f t="shared" si="132"/>
        <v>0</v>
      </c>
      <c r="H2936" s="17"/>
      <c r="I2936" s="4">
        <f t="shared" si="134"/>
        <v>349526.07999999996</v>
      </c>
      <c r="J2936" s="32" t="str">
        <f t="shared" si="133"/>
        <v/>
      </c>
      <c r="K2936" s="72"/>
      <c r="L2936" s="72"/>
      <c r="M2936" s="2"/>
      <c r="N2936" s="5"/>
      <c r="O2936" s="3"/>
      <c r="P2936" s="6"/>
      <c r="Q2936" s="48">
        <f>IF(Учет!$O2936=Справочники!$F$2,Учет!$H2936,0)</f>
        <v>0</v>
      </c>
      <c r="R2936" s="48">
        <f>IF(Учет!$O2936=Справочники!$F$3,Учет!$H2936,0)</f>
        <v>0</v>
      </c>
      <c r="S2936" s="48">
        <f>IF(Учет!$O2936=Справочники!$F$4,Учет!$H2936,0)</f>
        <v>0</v>
      </c>
      <c r="T2936" s="48">
        <f>IF(Учет!$O2936=Справочники!$F$5,Учет!$H2936,0)</f>
        <v>0</v>
      </c>
      <c r="U2936" s="48">
        <f>IF(Учет!$O2936=Справочники!$F$6,Учет!$H2936,0)</f>
        <v>0</v>
      </c>
      <c r="V2936" s="43">
        <f>V2935+Учет!Q2936-Q2936</f>
        <v>-488978.92000000004</v>
      </c>
      <c r="W2936" s="43">
        <f>W2935+Учет!R2936-R2936</f>
        <v>336855</v>
      </c>
      <c r="X2936" s="43">
        <f>X2935+Учет!S2936-S2936</f>
        <v>500</v>
      </c>
      <c r="Y2936" s="43">
        <f>Y2935+Учет!T2936-T2936</f>
        <v>1150</v>
      </c>
      <c r="Z2936" s="43">
        <f>Z2935+Учет!U2936-U2936</f>
        <v>500000</v>
      </c>
      <c r="AA2936" s="45">
        <f>Учет!X2936</f>
        <v>500</v>
      </c>
    </row>
    <row r="2937" spans="1:27" ht="15" customHeight="1" x14ac:dyDescent="0.25">
      <c r="A2937" s="1"/>
      <c r="B2937" s="17"/>
      <c r="C2937" s="17"/>
      <c r="D2937" s="17"/>
      <c r="E2937" s="17"/>
      <c r="F2937" s="17"/>
      <c r="G2937" s="4">
        <f t="shared" si="132"/>
        <v>0</v>
      </c>
      <c r="H2937" s="17"/>
      <c r="I2937" s="4">
        <f t="shared" si="134"/>
        <v>349526.07999999996</v>
      </c>
      <c r="J2937" s="32" t="str">
        <f t="shared" si="133"/>
        <v/>
      </c>
      <c r="K2937" s="72"/>
      <c r="L2937" s="72"/>
      <c r="M2937" s="2"/>
      <c r="N2937" s="5"/>
      <c r="O2937" s="3"/>
      <c r="P2937" s="6"/>
      <c r="Q2937" s="48">
        <f>IF(Учет!$O2937=Справочники!$F$2,Учет!$H2937,0)</f>
        <v>0</v>
      </c>
      <c r="R2937" s="48">
        <f>IF(Учет!$O2937=Справочники!$F$3,Учет!$H2937,0)</f>
        <v>0</v>
      </c>
      <c r="S2937" s="48">
        <f>IF(Учет!$O2937=Справочники!$F$4,Учет!$H2937,0)</f>
        <v>0</v>
      </c>
      <c r="T2937" s="48">
        <f>IF(Учет!$O2937=Справочники!$F$5,Учет!$H2937,0)</f>
        <v>0</v>
      </c>
      <c r="U2937" s="48">
        <f>IF(Учет!$O2937=Справочники!$F$6,Учет!$H2937,0)</f>
        <v>0</v>
      </c>
      <c r="V2937" s="43">
        <f>V2936+Учет!Q2937-Q2937</f>
        <v>-488978.92000000004</v>
      </c>
      <c r="W2937" s="43">
        <f>W2936+Учет!R2937-R2937</f>
        <v>336855</v>
      </c>
      <c r="X2937" s="43">
        <f>X2936+Учет!S2937-S2937</f>
        <v>500</v>
      </c>
      <c r="Y2937" s="43">
        <f>Y2936+Учет!T2937-T2937</f>
        <v>1150</v>
      </c>
      <c r="Z2937" s="43">
        <f>Z2936+Учет!U2937-U2937</f>
        <v>500000</v>
      </c>
      <c r="AA2937" s="45">
        <f>Учет!X2937</f>
        <v>500</v>
      </c>
    </row>
    <row r="2938" spans="1:27" ht="15" customHeight="1" x14ac:dyDescent="0.25">
      <c r="A2938" s="1"/>
      <c r="B2938" s="17"/>
      <c r="C2938" s="17"/>
      <c r="D2938" s="17"/>
      <c r="E2938" s="17"/>
      <c r="F2938" s="17"/>
      <c r="G2938" s="4">
        <f t="shared" si="132"/>
        <v>0</v>
      </c>
      <c r="H2938" s="17"/>
      <c r="I2938" s="4">
        <f t="shared" si="134"/>
        <v>349526.07999999996</v>
      </c>
      <c r="J2938" s="32" t="str">
        <f t="shared" si="133"/>
        <v/>
      </c>
      <c r="K2938" s="72"/>
      <c r="L2938" s="72"/>
      <c r="M2938" s="2"/>
      <c r="N2938" s="5"/>
      <c r="O2938" s="3"/>
      <c r="P2938" s="6"/>
      <c r="Q2938" s="48">
        <f>IF(Учет!$O2938=Справочники!$F$2,Учет!$H2938,0)</f>
        <v>0</v>
      </c>
      <c r="R2938" s="48">
        <f>IF(Учет!$O2938=Справочники!$F$3,Учет!$H2938,0)</f>
        <v>0</v>
      </c>
      <c r="S2938" s="48">
        <f>IF(Учет!$O2938=Справочники!$F$4,Учет!$H2938,0)</f>
        <v>0</v>
      </c>
      <c r="T2938" s="48">
        <f>IF(Учет!$O2938=Справочники!$F$5,Учет!$H2938,0)</f>
        <v>0</v>
      </c>
      <c r="U2938" s="48">
        <f>IF(Учет!$O2938=Справочники!$F$6,Учет!$H2938,0)</f>
        <v>0</v>
      </c>
      <c r="V2938" s="43">
        <f>V2937+Учет!Q2938-Q2938</f>
        <v>-488978.92000000004</v>
      </c>
      <c r="W2938" s="43">
        <f>W2937+Учет!R2938-R2938</f>
        <v>336855</v>
      </c>
      <c r="X2938" s="43">
        <f>X2937+Учет!S2938-S2938</f>
        <v>500</v>
      </c>
      <c r="Y2938" s="43">
        <f>Y2937+Учет!T2938-T2938</f>
        <v>1150</v>
      </c>
      <c r="Z2938" s="43">
        <f>Z2937+Учет!U2938-U2938</f>
        <v>500000</v>
      </c>
      <c r="AA2938" s="45">
        <f>Учет!X2938</f>
        <v>500</v>
      </c>
    </row>
    <row r="2939" spans="1:27" ht="15" customHeight="1" x14ac:dyDescent="0.25">
      <c r="A2939" s="1"/>
      <c r="B2939" s="17"/>
      <c r="C2939" s="17"/>
      <c r="D2939" s="17"/>
      <c r="E2939" s="17"/>
      <c r="F2939" s="17"/>
      <c r="G2939" s="4">
        <f t="shared" si="132"/>
        <v>0</v>
      </c>
      <c r="H2939" s="17"/>
      <c r="I2939" s="4">
        <f t="shared" si="134"/>
        <v>349526.07999999996</v>
      </c>
      <c r="J2939" s="32" t="str">
        <f t="shared" si="133"/>
        <v/>
      </c>
      <c r="K2939" s="72"/>
      <c r="L2939" s="72"/>
      <c r="M2939" s="2"/>
      <c r="N2939" s="5"/>
      <c r="O2939" s="3"/>
      <c r="P2939" s="6"/>
      <c r="Q2939" s="48">
        <f>IF(Учет!$O2939=Справочники!$F$2,Учет!$H2939,0)</f>
        <v>0</v>
      </c>
      <c r="R2939" s="48">
        <f>IF(Учет!$O2939=Справочники!$F$3,Учет!$H2939,0)</f>
        <v>0</v>
      </c>
      <c r="S2939" s="48">
        <f>IF(Учет!$O2939=Справочники!$F$4,Учет!$H2939,0)</f>
        <v>0</v>
      </c>
      <c r="T2939" s="48">
        <f>IF(Учет!$O2939=Справочники!$F$5,Учет!$H2939,0)</f>
        <v>0</v>
      </c>
      <c r="U2939" s="48">
        <f>IF(Учет!$O2939=Справочники!$F$6,Учет!$H2939,0)</f>
        <v>0</v>
      </c>
      <c r="V2939" s="43">
        <f>V2938+Учет!Q2939-Q2939</f>
        <v>-488978.92000000004</v>
      </c>
      <c r="W2939" s="43">
        <f>W2938+Учет!R2939-R2939</f>
        <v>336855</v>
      </c>
      <c r="X2939" s="43">
        <f>X2938+Учет!S2939-S2939</f>
        <v>500</v>
      </c>
      <c r="Y2939" s="43">
        <f>Y2938+Учет!T2939-T2939</f>
        <v>1150</v>
      </c>
      <c r="Z2939" s="43">
        <f>Z2938+Учет!U2939-U2939</f>
        <v>500000</v>
      </c>
      <c r="AA2939" s="45">
        <f>Учет!X2939</f>
        <v>500</v>
      </c>
    </row>
    <row r="2940" spans="1:27" ht="15" customHeight="1" x14ac:dyDescent="0.25">
      <c r="A2940" s="1"/>
      <c r="B2940" s="17"/>
      <c r="C2940" s="17"/>
      <c r="D2940" s="17"/>
      <c r="E2940" s="17"/>
      <c r="F2940" s="17"/>
      <c r="G2940" s="4">
        <f t="shared" si="132"/>
        <v>0</v>
      </c>
      <c r="H2940" s="17"/>
      <c r="I2940" s="4">
        <f t="shared" si="134"/>
        <v>349526.07999999996</v>
      </c>
      <c r="J2940" s="32" t="str">
        <f t="shared" si="133"/>
        <v/>
      </c>
      <c r="K2940" s="72"/>
      <c r="L2940" s="72"/>
      <c r="M2940" s="2"/>
      <c r="N2940" s="5"/>
      <c r="O2940" s="3"/>
      <c r="P2940" s="6"/>
      <c r="Q2940" s="48">
        <f>IF(Учет!$O2940=Справочники!$F$2,Учет!$H2940,0)</f>
        <v>0</v>
      </c>
      <c r="R2940" s="48">
        <f>IF(Учет!$O2940=Справочники!$F$3,Учет!$H2940,0)</f>
        <v>0</v>
      </c>
      <c r="S2940" s="48">
        <f>IF(Учет!$O2940=Справочники!$F$4,Учет!$H2940,0)</f>
        <v>0</v>
      </c>
      <c r="T2940" s="48">
        <f>IF(Учет!$O2940=Справочники!$F$5,Учет!$H2940,0)</f>
        <v>0</v>
      </c>
      <c r="U2940" s="48">
        <f>IF(Учет!$O2940=Справочники!$F$6,Учет!$H2940,0)</f>
        <v>0</v>
      </c>
      <c r="V2940" s="43">
        <f>V2939+Учет!Q2940-Q2940</f>
        <v>-488978.92000000004</v>
      </c>
      <c r="W2940" s="43">
        <f>W2939+Учет!R2940-R2940</f>
        <v>336855</v>
      </c>
      <c r="X2940" s="43">
        <f>X2939+Учет!S2940-S2940</f>
        <v>500</v>
      </c>
      <c r="Y2940" s="43">
        <f>Y2939+Учет!T2940-T2940</f>
        <v>1150</v>
      </c>
      <c r="Z2940" s="43">
        <f>Z2939+Учет!U2940-U2940</f>
        <v>500000</v>
      </c>
      <c r="AA2940" s="45">
        <f>Учет!X2940</f>
        <v>500</v>
      </c>
    </row>
    <row r="2941" spans="1:27" ht="15" customHeight="1" x14ac:dyDescent="0.25">
      <c r="A2941" s="1"/>
      <c r="B2941" s="17"/>
      <c r="C2941" s="17"/>
      <c r="D2941" s="17"/>
      <c r="E2941" s="17"/>
      <c r="F2941" s="17"/>
      <c r="G2941" s="4">
        <f t="shared" si="132"/>
        <v>0</v>
      </c>
      <c r="H2941" s="17"/>
      <c r="I2941" s="4">
        <f t="shared" si="134"/>
        <v>349526.07999999996</v>
      </c>
      <c r="J2941" s="32" t="str">
        <f t="shared" si="133"/>
        <v/>
      </c>
      <c r="K2941" s="72"/>
      <c r="L2941" s="72"/>
      <c r="M2941" s="2"/>
      <c r="N2941" s="5"/>
      <c r="O2941" s="3"/>
      <c r="P2941" s="6"/>
      <c r="Q2941" s="48">
        <f>IF(Учет!$O2941=Справочники!$F$2,Учет!$H2941,0)</f>
        <v>0</v>
      </c>
      <c r="R2941" s="48">
        <f>IF(Учет!$O2941=Справочники!$F$3,Учет!$H2941,0)</f>
        <v>0</v>
      </c>
      <c r="S2941" s="48">
        <f>IF(Учет!$O2941=Справочники!$F$4,Учет!$H2941,0)</f>
        <v>0</v>
      </c>
      <c r="T2941" s="48">
        <f>IF(Учет!$O2941=Справочники!$F$5,Учет!$H2941,0)</f>
        <v>0</v>
      </c>
      <c r="U2941" s="48">
        <f>IF(Учет!$O2941=Справочники!$F$6,Учет!$H2941,0)</f>
        <v>0</v>
      </c>
      <c r="V2941" s="43">
        <f>V2940+Учет!Q2941-Q2941</f>
        <v>-488978.92000000004</v>
      </c>
      <c r="W2941" s="43">
        <f>W2940+Учет!R2941-R2941</f>
        <v>336855</v>
      </c>
      <c r="X2941" s="43">
        <f>X2940+Учет!S2941-S2941</f>
        <v>500</v>
      </c>
      <c r="Y2941" s="43">
        <f>Y2940+Учет!T2941-T2941</f>
        <v>1150</v>
      </c>
      <c r="Z2941" s="43">
        <f>Z2940+Учет!U2941-U2941</f>
        <v>500000</v>
      </c>
      <c r="AA2941" s="45">
        <f>Учет!X2941</f>
        <v>500</v>
      </c>
    </row>
    <row r="2942" spans="1:27" ht="15" customHeight="1" x14ac:dyDescent="0.25">
      <c r="A2942" s="1"/>
      <c r="B2942" s="17"/>
      <c r="C2942" s="17"/>
      <c r="D2942" s="17"/>
      <c r="E2942" s="17"/>
      <c r="F2942" s="17"/>
      <c r="G2942" s="4">
        <f t="shared" si="132"/>
        <v>0</v>
      </c>
      <c r="H2942" s="17"/>
      <c r="I2942" s="4">
        <f t="shared" si="134"/>
        <v>349526.07999999996</v>
      </c>
      <c r="J2942" s="32" t="str">
        <f t="shared" si="133"/>
        <v/>
      </c>
      <c r="K2942" s="72"/>
      <c r="L2942" s="72"/>
      <c r="M2942" s="2"/>
      <c r="N2942" s="5"/>
      <c r="O2942" s="3"/>
      <c r="P2942" s="6"/>
      <c r="Q2942" s="48">
        <f>IF(Учет!$O2942=Справочники!$F$2,Учет!$H2942,0)</f>
        <v>0</v>
      </c>
      <c r="R2942" s="48">
        <f>IF(Учет!$O2942=Справочники!$F$3,Учет!$H2942,0)</f>
        <v>0</v>
      </c>
      <c r="S2942" s="48">
        <f>IF(Учет!$O2942=Справочники!$F$4,Учет!$H2942,0)</f>
        <v>0</v>
      </c>
      <c r="T2942" s="48">
        <f>IF(Учет!$O2942=Справочники!$F$5,Учет!$H2942,0)</f>
        <v>0</v>
      </c>
      <c r="U2942" s="48">
        <f>IF(Учет!$O2942=Справочники!$F$6,Учет!$H2942,0)</f>
        <v>0</v>
      </c>
      <c r="V2942" s="43">
        <f>V2941+Учет!Q2942-Q2942</f>
        <v>-488978.92000000004</v>
      </c>
      <c r="W2942" s="43">
        <f>W2941+Учет!R2942-R2942</f>
        <v>336855</v>
      </c>
      <c r="X2942" s="43">
        <f>X2941+Учет!S2942-S2942</f>
        <v>500</v>
      </c>
      <c r="Y2942" s="43">
        <f>Y2941+Учет!T2942-T2942</f>
        <v>1150</v>
      </c>
      <c r="Z2942" s="43">
        <f>Z2941+Учет!U2942-U2942</f>
        <v>500000</v>
      </c>
      <c r="AA2942" s="45">
        <f>Учет!X2942</f>
        <v>500</v>
      </c>
    </row>
    <row r="2943" spans="1:27" ht="15" customHeight="1" x14ac:dyDescent="0.25">
      <c r="A2943" s="1"/>
      <c r="B2943" s="17"/>
      <c r="C2943" s="17"/>
      <c r="D2943" s="17"/>
      <c r="E2943" s="17"/>
      <c r="F2943" s="17"/>
      <c r="G2943" s="4">
        <f t="shared" si="132"/>
        <v>0</v>
      </c>
      <c r="H2943" s="17"/>
      <c r="I2943" s="4">
        <f t="shared" si="134"/>
        <v>349526.07999999996</v>
      </c>
      <c r="J2943" s="32" t="str">
        <f t="shared" si="133"/>
        <v/>
      </c>
      <c r="K2943" s="72"/>
      <c r="L2943" s="72"/>
      <c r="M2943" s="2"/>
      <c r="N2943" s="5"/>
      <c r="O2943" s="3"/>
      <c r="P2943" s="6"/>
      <c r="Q2943" s="48">
        <f>IF(Учет!$O2943=Справочники!$F$2,Учет!$H2943,0)</f>
        <v>0</v>
      </c>
      <c r="R2943" s="48">
        <f>IF(Учет!$O2943=Справочники!$F$3,Учет!$H2943,0)</f>
        <v>0</v>
      </c>
      <c r="S2943" s="48">
        <f>IF(Учет!$O2943=Справочники!$F$4,Учет!$H2943,0)</f>
        <v>0</v>
      </c>
      <c r="T2943" s="48">
        <f>IF(Учет!$O2943=Справочники!$F$5,Учет!$H2943,0)</f>
        <v>0</v>
      </c>
      <c r="U2943" s="48">
        <f>IF(Учет!$O2943=Справочники!$F$6,Учет!$H2943,0)</f>
        <v>0</v>
      </c>
      <c r="V2943" s="43">
        <f>V2942+Учет!Q2943-Q2943</f>
        <v>-488978.92000000004</v>
      </c>
      <c r="W2943" s="43">
        <f>W2942+Учет!R2943-R2943</f>
        <v>336855</v>
      </c>
      <c r="X2943" s="43">
        <f>X2942+Учет!S2943-S2943</f>
        <v>500</v>
      </c>
      <c r="Y2943" s="43">
        <f>Y2942+Учет!T2943-T2943</f>
        <v>1150</v>
      </c>
      <c r="Z2943" s="43">
        <f>Z2942+Учет!U2943-U2943</f>
        <v>500000</v>
      </c>
      <c r="AA2943" s="45">
        <f>Учет!X2943</f>
        <v>500</v>
      </c>
    </row>
    <row r="2944" spans="1:27" ht="15" customHeight="1" x14ac:dyDescent="0.25">
      <c r="A2944" s="1"/>
      <c r="B2944" s="17"/>
      <c r="C2944" s="17"/>
      <c r="D2944" s="17"/>
      <c r="E2944" s="17"/>
      <c r="F2944" s="17"/>
      <c r="G2944" s="4">
        <f t="shared" si="132"/>
        <v>0</v>
      </c>
      <c r="H2944" s="17"/>
      <c r="I2944" s="4">
        <f t="shared" si="134"/>
        <v>349526.07999999996</v>
      </c>
      <c r="J2944" s="32" t="str">
        <f t="shared" si="133"/>
        <v/>
      </c>
      <c r="K2944" s="72"/>
      <c r="L2944" s="72"/>
      <c r="M2944" s="2"/>
      <c r="N2944" s="5"/>
      <c r="O2944" s="3"/>
      <c r="P2944" s="6"/>
      <c r="Q2944" s="48">
        <f>IF(Учет!$O2944=Справочники!$F$2,Учет!$H2944,0)</f>
        <v>0</v>
      </c>
      <c r="R2944" s="48">
        <f>IF(Учет!$O2944=Справочники!$F$3,Учет!$H2944,0)</f>
        <v>0</v>
      </c>
      <c r="S2944" s="48">
        <f>IF(Учет!$O2944=Справочники!$F$4,Учет!$H2944,0)</f>
        <v>0</v>
      </c>
      <c r="T2944" s="48">
        <f>IF(Учет!$O2944=Справочники!$F$5,Учет!$H2944,0)</f>
        <v>0</v>
      </c>
      <c r="U2944" s="48">
        <f>IF(Учет!$O2944=Справочники!$F$6,Учет!$H2944,0)</f>
        <v>0</v>
      </c>
      <c r="V2944" s="43">
        <f>V2943+Учет!Q2944-Q2944</f>
        <v>-488978.92000000004</v>
      </c>
      <c r="W2944" s="43">
        <f>W2943+Учет!R2944-R2944</f>
        <v>336855</v>
      </c>
      <c r="X2944" s="43">
        <f>X2943+Учет!S2944-S2944</f>
        <v>500</v>
      </c>
      <c r="Y2944" s="43">
        <f>Y2943+Учет!T2944-T2944</f>
        <v>1150</v>
      </c>
      <c r="Z2944" s="43">
        <f>Z2943+Учет!U2944-U2944</f>
        <v>500000</v>
      </c>
      <c r="AA2944" s="45">
        <f>Учет!X2944</f>
        <v>500</v>
      </c>
    </row>
    <row r="2945" spans="1:27" ht="15" customHeight="1" x14ac:dyDescent="0.25">
      <c r="A2945" s="1"/>
      <c r="B2945" s="17"/>
      <c r="C2945" s="17"/>
      <c r="D2945" s="17"/>
      <c r="E2945" s="17"/>
      <c r="F2945" s="17"/>
      <c r="G2945" s="4">
        <f t="shared" si="132"/>
        <v>0</v>
      </c>
      <c r="H2945" s="17"/>
      <c r="I2945" s="4">
        <f t="shared" si="134"/>
        <v>349526.07999999996</v>
      </c>
      <c r="J2945" s="32" t="str">
        <f t="shared" si="133"/>
        <v/>
      </c>
      <c r="K2945" s="72"/>
      <c r="L2945" s="72"/>
      <c r="M2945" s="2"/>
      <c r="N2945" s="5"/>
      <c r="O2945" s="3"/>
      <c r="P2945" s="6"/>
      <c r="Q2945" s="48">
        <f>IF(Учет!$O2945=Справочники!$F$2,Учет!$H2945,0)</f>
        <v>0</v>
      </c>
      <c r="R2945" s="48">
        <f>IF(Учет!$O2945=Справочники!$F$3,Учет!$H2945,0)</f>
        <v>0</v>
      </c>
      <c r="S2945" s="48">
        <f>IF(Учет!$O2945=Справочники!$F$4,Учет!$H2945,0)</f>
        <v>0</v>
      </c>
      <c r="T2945" s="48">
        <f>IF(Учет!$O2945=Справочники!$F$5,Учет!$H2945,0)</f>
        <v>0</v>
      </c>
      <c r="U2945" s="48">
        <f>IF(Учет!$O2945=Справочники!$F$6,Учет!$H2945,0)</f>
        <v>0</v>
      </c>
      <c r="V2945" s="43">
        <f>V2944+Учет!Q2945-Q2945</f>
        <v>-488978.92000000004</v>
      </c>
      <c r="W2945" s="43">
        <f>W2944+Учет!R2945-R2945</f>
        <v>336855</v>
      </c>
      <c r="X2945" s="43">
        <f>X2944+Учет!S2945-S2945</f>
        <v>500</v>
      </c>
      <c r="Y2945" s="43">
        <f>Y2944+Учет!T2945-T2945</f>
        <v>1150</v>
      </c>
      <c r="Z2945" s="43">
        <f>Z2944+Учет!U2945-U2945</f>
        <v>500000</v>
      </c>
      <c r="AA2945" s="45">
        <f>Учет!X2945</f>
        <v>500</v>
      </c>
    </row>
    <row r="2946" spans="1:27" ht="15" customHeight="1" x14ac:dyDescent="0.25">
      <c r="A2946" s="1"/>
      <c r="B2946" s="17"/>
      <c r="C2946" s="17"/>
      <c r="D2946" s="17"/>
      <c r="E2946" s="17"/>
      <c r="F2946" s="17"/>
      <c r="G2946" s="4">
        <f t="shared" ref="G2946:G3009" si="135">SUM($B2946:$F2946)</f>
        <v>0</v>
      </c>
      <c r="H2946" s="17"/>
      <c r="I2946" s="4">
        <f t="shared" si="134"/>
        <v>349526.07999999996</v>
      </c>
      <c r="J2946" s="32" t="str">
        <f t="shared" ref="J2946:J3009" si="136">IF($A2947&lt;&gt;$A2946,$I2946,"")</f>
        <v/>
      </c>
      <c r="K2946" s="72"/>
      <c r="L2946" s="72"/>
      <c r="M2946" s="2"/>
      <c r="N2946" s="5"/>
      <c r="O2946" s="3"/>
      <c r="P2946" s="6"/>
      <c r="Q2946" s="48">
        <f>IF(Учет!$O2946=Справочники!$F$2,Учет!$H2946,0)</f>
        <v>0</v>
      </c>
      <c r="R2946" s="48">
        <f>IF(Учет!$O2946=Справочники!$F$3,Учет!$H2946,0)</f>
        <v>0</v>
      </c>
      <c r="S2946" s="48">
        <f>IF(Учет!$O2946=Справочники!$F$4,Учет!$H2946,0)</f>
        <v>0</v>
      </c>
      <c r="T2946" s="48">
        <f>IF(Учет!$O2946=Справочники!$F$5,Учет!$H2946,0)</f>
        <v>0</v>
      </c>
      <c r="U2946" s="48">
        <f>IF(Учет!$O2946=Справочники!$F$6,Учет!$H2946,0)</f>
        <v>0</v>
      </c>
      <c r="V2946" s="43">
        <f>V2945+Учет!Q2946-Q2946</f>
        <v>-488978.92000000004</v>
      </c>
      <c r="W2946" s="43">
        <f>W2945+Учет!R2946-R2946</f>
        <v>336855</v>
      </c>
      <c r="X2946" s="43">
        <f>X2945+Учет!S2946-S2946</f>
        <v>500</v>
      </c>
      <c r="Y2946" s="43">
        <f>Y2945+Учет!T2946-T2946</f>
        <v>1150</v>
      </c>
      <c r="Z2946" s="43">
        <f>Z2945+Учет!U2946-U2946</f>
        <v>500000</v>
      </c>
      <c r="AA2946" s="45">
        <f>Учет!X2946</f>
        <v>500</v>
      </c>
    </row>
    <row r="2947" spans="1:27" ht="15" customHeight="1" x14ac:dyDescent="0.25">
      <c r="A2947" s="1"/>
      <c r="B2947" s="17"/>
      <c r="C2947" s="17"/>
      <c r="D2947" s="17"/>
      <c r="E2947" s="17"/>
      <c r="F2947" s="17"/>
      <c r="G2947" s="4">
        <f t="shared" si="135"/>
        <v>0</v>
      </c>
      <c r="H2947" s="17"/>
      <c r="I2947" s="4">
        <f t="shared" ref="I2947:I3010" si="137">$I2946+$G2947-$H2947</f>
        <v>349526.07999999996</v>
      </c>
      <c r="J2947" s="32" t="str">
        <f t="shared" si="136"/>
        <v/>
      </c>
      <c r="K2947" s="72"/>
      <c r="L2947" s="72"/>
      <c r="M2947" s="2"/>
      <c r="N2947" s="5"/>
      <c r="O2947" s="3"/>
      <c r="P2947" s="6"/>
      <c r="Q2947" s="48">
        <f>IF(Учет!$O2947=Справочники!$F$2,Учет!$H2947,0)</f>
        <v>0</v>
      </c>
      <c r="R2947" s="48">
        <f>IF(Учет!$O2947=Справочники!$F$3,Учет!$H2947,0)</f>
        <v>0</v>
      </c>
      <c r="S2947" s="48">
        <f>IF(Учет!$O2947=Справочники!$F$4,Учет!$H2947,0)</f>
        <v>0</v>
      </c>
      <c r="T2947" s="48">
        <f>IF(Учет!$O2947=Справочники!$F$5,Учет!$H2947,0)</f>
        <v>0</v>
      </c>
      <c r="U2947" s="48">
        <f>IF(Учет!$O2947=Справочники!$F$6,Учет!$H2947,0)</f>
        <v>0</v>
      </c>
      <c r="V2947" s="43">
        <f>V2946+Учет!Q2947-Q2947</f>
        <v>-488978.92000000004</v>
      </c>
      <c r="W2947" s="43">
        <f>W2946+Учет!R2947-R2947</f>
        <v>336855</v>
      </c>
      <c r="X2947" s="43">
        <f>X2946+Учет!S2947-S2947</f>
        <v>500</v>
      </c>
      <c r="Y2947" s="43">
        <f>Y2946+Учет!T2947-T2947</f>
        <v>1150</v>
      </c>
      <c r="Z2947" s="43">
        <f>Z2946+Учет!U2947-U2947</f>
        <v>500000</v>
      </c>
      <c r="AA2947" s="45">
        <f>Учет!X2947</f>
        <v>500</v>
      </c>
    </row>
    <row r="2948" spans="1:27" ht="15" customHeight="1" x14ac:dyDescent="0.25">
      <c r="A2948" s="1"/>
      <c r="B2948" s="17"/>
      <c r="C2948" s="17"/>
      <c r="D2948" s="17"/>
      <c r="E2948" s="17"/>
      <c r="F2948" s="17"/>
      <c r="G2948" s="4">
        <f t="shared" si="135"/>
        <v>0</v>
      </c>
      <c r="H2948" s="17"/>
      <c r="I2948" s="4">
        <f t="shared" si="137"/>
        <v>349526.07999999996</v>
      </c>
      <c r="J2948" s="32" t="str">
        <f t="shared" si="136"/>
        <v/>
      </c>
      <c r="K2948" s="72"/>
      <c r="L2948" s="72"/>
      <c r="M2948" s="2"/>
      <c r="N2948" s="5"/>
      <c r="O2948" s="3"/>
      <c r="P2948" s="6"/>
      <c r="Q2948" s="48">
        <f>IF(Учет!$O2948=Справочники!$F$2,Учет!$H2948,0)</f>
        <v>0</v>
      </c>
      <c r="R2948" s="48">
        <f>IF(Учет!$O2948=Справочники!$F$3,Учет!$H2948,0)</f>
        <v>0</v>
      </c>
      <c r="S2948" s="48">
        <f>IF(Учет!$O2948=Справочники!$F$4,Учет!$H2948,0)</f>
        <v>0</v>
      </c>
      <c r="T2948" s="48">
        <f>IF(Учет!$O2948=Справочники!$F$5,Учет!$H2948,0)</f>
        <v>0</v>
      </c>
      <c r="U2948" s="48">
        <f>IF(Учет!$O2948=Справочники!$F$6,Учет!$H2948,0)</f>
        <v>0</v>
      </c>
      <c r="V2948" s="43">
        <f>V2947+Учет!Q2948-Q2948</f>
        <v>-488978.92000000004</v>
      </c>
      <c r="W2948" s="43">
        <f>W2947+Учет!R2948-R2948</f>
        <v>336855</v>
      </c>
      <c r="X2948" s="43">
        <f>X2947+Учет!S2948-S2948</f>
        <v>500</v>
      </c>
      <c r="Y2948" s="43">
        <f>Y2947+Учет!T2948-T2948</f>
        <v>1150</v>
      </c>
      <c r="Z2948" s="43">
        <f>Z2947+Учет!U2948-U2948</f>
        <v>500000</v>
      </c>
      <c r="AA2948" s="45">
        <f>Учет!X2948</f>
        <v>500</v>
      </c>
    </row>
    <row r="2949" spans="1:27" ht="15" customHeight="1" x14ac:dyDescent="0.25">
      <c r="A2949" s="1"/>
      <c r="B2949" s="17"/>
      <c r="C2949" s="17"/>
      <c r="D2949" s="17"/>
      <c r="E2949" s="17"/>
      <c r="F2949" s="17"/>
      <c r="G2949" s="4">
        <f t="shared" si="135"/>
        <v>0</v>
      </c>
      <c r="H2949" s="17"/>
      <c r="I2949" s="4">
        <f t="shared" si="137"/>
        <v>349526.07999999996</v>
      </c>
      <c r="J2949" s="32" t="str">
        <f t="shared" si="136"/>
        <v/>
      </c>
      <c r="K2949" s="72"/>
      <c r="L2949" s="72"/>
      <c r="M2949" s="2"/>
      <c r="N2949" s="5"/>
      <c r="O2949" s="3"/>
      <c r="P2949" s="6"/>
      <c r="Q2949" s="48">
        <f>IF(Учет!$O2949=Справочники!$F$2,Учет!$H2949,0)</f>
        <v>0</v>
      </c>
      <c r="R2949" s="48">
        <f>IF(Учет!$O2949=Справочники!$F$3,Учет!$H2949,0)</f>
        <v>0</v>
      </c>
      <c r="S2949" s="48">
        <f>IF(Учет!$O2949=Справочники!$F$4,Учет!$H2949,0)</f>
        <v>0</v>
      </c>
      <c r="T2949" s="48">
        <f>IF(Учет!$O2949=Справочники!$F$5,Учет!$H2949,0)</f>
        <v>0</v>
      </c>
      <c r="U2949" s="48">
        <f>IF(Учет!$O2949=Справочники!$F$6,Учет!$H2949,0)</f>
        <v>0</v>
      </c>
      <c r="V2949" s="43">
        <f>V2948+Учет!Q2949-Q2949</f>
        <v>-488978.92000000004</v>
      </c>
      <c r="W2949" s="43">
        <f>W2948+Учет!R2949-R2949</f>
        <v>336855</v>
      </c>
      <c r="X2949" s="43">
        <f>X2948+Учет!S2949-S2949</f>
        <v>500</v>
      </c>
      <c r="Y2949" s="43">
        <f>Y2948+Учет!T2949-T2949</f>
        <v>1150</v>
      </c>
      <c r="Z2949" s="43">
        <f>Z2948+Учет!U2949-U2949</f>
        <v>500000</v>
      </c>
      <c r="AA2949" s="45">
        <f>Учет!X2949</f>
        <v>500</v>
      </c>
    </row>
    <row r="2950" spans="1:27" ht="15" customHeight="1" x14ac:dyDescent="0.25">
      <c r="A2950" s="1"/>
      <c r="B2950" s="17"/>
      <c r="C2950" s="17"/>
      <c r="D2950" s="17"/>
      <c r="E2950" s="17"/>
      <c r="F2950" s="17"/>
      <c r="G2950" s="4">
        <f t="shared" si="135"/>
        <v>0</v>
      </c>
      <c r="H2950" s="17"/>
      <c r="I2950" s="4">
        <f t="shared" si="137"/>
        <v>349526.07999999996</v>
      </c>
      <c r="J2950" s="32" t="str">
        <f t="shared" si="136"/>
        <v/>
      </c>
      <c r="K2950" s="72"/>
      <c r="L2950" s="72"/>
      <c r="M2950" s="2"/>
      <c r="N2950" s="5"/>
      <c r="O2950" s="3"/>
      <c r="P2950" s="6"/>
      <c r="Q2950" s="48">
        <f>IF(Учет!$O2950=Справочники!$F$2,Учет!$H2950,0)</f>
        <v>0</v>
      </c>
      <c r="R2950" s="48">
        <f>IF(Учет!$O2950=Справочники!$F$3,Учет!$H2950,0)</f>
        <v>0</v>
      </c>
      <c r="S2950" s="48">
        <f>IF(Учет!$O2950=Справочники!$F$4,Учет!$H2950,0)</f>
        <v>0</v>
      </c>
      <c r="T2950" s="48">
        <f>IF(Учет!$O2950=Справочники!$F$5,Учет!$H2950,0)</f>
        <v>0</v>
      </c>
      <c r="U2950" s="48">
        <f>IF(Учет!$O2950=Справочники!$F$6,Учет!$H2950,0)</f>
        <v>0</v>
      </c>
      <c r="V2950" s="43">
        <f>V2949+Учет!Q2950-Q2950</f>
        <v>-488978.92000000004</v>
      </c>
      <c r="W2950" s="43">
        <f>W2949+Учет!R2950-R2950</f>
        <v>336855</v>
      </c>
      <c r="X2950" s="43">
        <f>X2949+Учет!S2950-S2950</f>
        <v>500</v>
      </c>
      <c r="Y2950" s="43">
        <f>Y2949+Учет!T2950-T2950</f>
        <v>1150</v>
      </c>
      <c r="Z2950" s="43">
        <f>Z2949+Учет!U2950-U2950</f>
        <v>500000</v>
      </c>
      <c r="AA2950" s="45">
        <f>Учет!X2950</f>
        <v>500</v>
      </c>
    </row>
    <row r="2951" spans="1:27" ht="15" customHeight="1" x14ac:dyDescent="0.25">
      <c r="A2951" s="1"/>
      <c r="B2951" s="17"/>
      <c r="C2951" s="17"/>
      <c r="D2951" s="17"/>
      <c r="E2951" s="17"/>
      <c r="F2951" s="17"/>
      <c r="G2951" s="4">
        <f t="shared" si="135"/>
        <v>0</v>
      </c>
      <c r="H2951" s="17"/>
      <c r="I2951" s="4">
        <f t="shared" si="137"/>
        <v>349526.07999999996</v>
      </c>
      <c r="J2951" s="32" t="str">
        <f t="shared" si="136"/>
        <v/>
      </c>
      <c r="K2951" s="72"/>
      <c r="L2951" s="72"/>
      <c r="M2951" s="2"/>
      <c r="N2951" s="5"/>
      <c r="O2951" s="3"/>
      <c r="P2951" s="6"/>
      <c r="Q2951" s="48">
        <f>IF(Учет!$O2951=Справочники!$F$2,Учет!$H2951,0)</f>
        <v>0</v>
      </c>
      <c r="R2951" s="48">
        <f>IF(Учет!$O2951=Справочники!$F$3,Учет!$H2951,0)</f>
        <v>0</v>
      </c>
      <c r="S2951" s="48">
        <f>IF(Учет!$O2951=Справочники!$F$4,Учет!$H2951,0)</f>
        <v>0</v>
      </c>
      <c r="T2951" s="48">
        <f>IF(Учет!$O2951=Справочники!$F$5,Учет!$H2951,0)</f>
        <v>0</v>
      </c>
      <c r="U2951" s="48">
        <f>IF(Учет!$O2951=Справочники!$F$6,Учет!$H2951,0)</f>
        <v>0</v>
      </c>
      <c r="V2951" s="43">
        <f>V2950+Учет!Q2951-Q2951</f>
        <v>-488978.92000000004</v>
      </c>
      <c r="W2951" s="43">
        <f>W2950+Учет!R2951-R2951</f>
        <v>336855</v>
      </c>
      <c r="X2951" s="43">
        <f>X2950+Учет!S2951-S2951</f>
        <v>500</v>
      </c>
      <c r="Y2951" s="43">
        <f>Y2950+Учет!T2951-T2951</f>
        <v>1150</v>
      </c>
      <c r="Z2951" s="43">
        <f>Z2950+Учет!U2951-U2951</f>
        <v>500000</v>
      </c>
      <c r="AA2951" s="45">
        <f>Учет!X2951</f>
        <v>500</v>
      </c>
    </row>
    <row r="2952" spans="1:27" ht="15" customHeight="1" x14ac:dyDescent="0.25">
      <c r="A2952" s="1"/>
      <c r="B2952" s="17"/>
      <c r="C2952" s="17"/>
      <c r="D2952" s="17"/>
      <c r="E2952" s="17"/>
      <c r="F2952" s="17"/>
      <c r="G2952" s="4">
        <f t="shared" si="135"/>
        <v>0</v>
      </c>
      <c r="H2952" s="17"/>
      <c r="I2952" s="4">
        <f t="shared" si="137"/>
        <v>349526.07999999996</v>
      </c>
      <c r="J2952" s="32" t="str">
        <f t="shared" si="136"/>
        <v/>
      </c>
      <c r="K2952" s="72"/>
      <c r="L2952" s="72"/>
      <c r="M2952" s="2"/>
      <c r="N2952" s="5"/>
      <c r="O2952" s="3"/>
      <c r="P2952" s="6"/>
      <c r="Q2952" s="48">
        <f>IF(Учет!$O2952=Справочники!$F$2,Учет!$H2952,0)</f>
        <v>0</v>
      </c>
      <c r="R2952" s="48">
        <f>IF(Учет!$O2952=Справочники!$F$3,Учет!$H2952,0)</f>
        <v>0</v>
      </c>
      <c r="S2952" s="48">
        <f>IF(Учет!$O2952=Справочники!$F$4,Учет!$H2952,0)</f>
        <v>0</v>
      </c>
      <c r="T2952" s="48">
        <f>IF(Учет!$O2952=Справочники!$F$5,Учет!$H2952,0)</f>
        <v>0</v>
      </c>
      <c r="U2952" s="48">
        <f>IF(Учет!$O2952=Справочники!$F$6,Учет!$H2952,0)</f>
        <v>0</v>
      </c>
      <c r="V2952" s="43">
        <f>V2951+Учет!Q2952-Q2952</f>
        <v>-488978.92000000004</v>
      </c>
      <c r="W2952" s="43">
        <f>W2951+Учет!R2952-R2952</f>
        <v>336855</v>
      </c>
      <c r="X2952" s="43">
        <f>X2951+Учет!S2952-S2952</f>
        <v>500</v>
      </c>
      <c r="Y2952" s="43">
        <f>Y2951+Учет!T2952-T2952</f>
        <v>1150</v>
      </c>
      <c r="Z2952" s="43">
        <f>Z2951+Учет!U2952-U2952</f>
        <v>500000</v>
      </c>
      <c r="AA2952" s="45">
        <f>Учет!X2952</f>
        <v>500</v>
      </c>
    </row>
    <row r="2953" spans="1:27" ht="15" customHeight="1" x14ac:dyDescent="0.25">
      <c r="A2953" s="1"/>
      <c r="B2953" s="17"/>
      <c r="C2953" s="17"/>
      <c r="D2953" s="17"/>
      <c r="E2953" s="17"/>
      <c r="F2953" s="17"/>
      <c r="G2953" s="4">
        <f t="shared" si="135"/>
        <v>0</v>
      </c>
      <c r="H2953" s="17"/>
      <c r="I2953" s="4">
        <f t="shared" si="137"/>
        <v>349526.07999999996</v>
      </c>
      <c r="J2953" s="32" t="str">
        <f t="shared" si="136"/>
        <v/>
      </c>
      <c r="K2953" s="72"/>
      <c r="L2953" s="72"/>
      <c r="M2953" s="2"/>
      <c r="N2953" s="5"/>
      <c r="O2953" s="3"/>
      <c r="P2953" s="6"/>
      <c r="Q2953" s="48">
        <f>IF(Учет!$O2953=Справочники!$F$2,Учет!$H2953,0)</f>
        <v>0</v>
      </c>
      <c r="R2953" s="48">
        <f>IF(Учет!$O2953=Справочники!$F$3,Учет!$H2953,0)</f>
        <v>0</v>
      </c>
      <c r="S2953" s="48">
        <f>IF(Учет!$O2953=Справочники!$F$4,Учет!$H2953,0)</f>
        <v>0</v>
      </c>
      <c r="T2953" s="48">
        <f>IF(Учет!$O2953=Справочники!$F$5,Учет!$H2953,0)</f>
        <v>0</v>
      </c>
      <c r="U2953" s="48">
        <f>IF(Учет!$O2953=Справочники!$F$6,Учет!$H2953,0)</f>
        <v>0</v>
      </c>
      <c r="V2953" s="43">
        <f>V2952+Учет!Q2953-Q2953</f>
        <v>-488978.92000000004</v>
      </c>
      <c r="W2953" s="43">
        <f>W2952+Учет!R2953-R2953</f>
        <v>336855</v>
      </c>
      <c r="X2953" s="43">
        <f>X2952+Учет!S2953-S2953</f>
        <v>500</v>
      </c>
      <c r="Y2953" s="43">
        <f>Y2952+Учет!T2953-T2953</f>
        <v>1150</v>
      </c>
      <c r="Z2953" s="43">
        <f>Z2952+Учет!U2953-U2953</f>
        <v>500000</v>
      </c>
      <c r="AA2953" s="45">
        <f>Учет!X2953</f>
        <v>500</v>
      </c>
    </row>
    <row r="2954" spans="1:27" ht="15" customHeight="1" x14ac:dyDescent="0.25">
      <c r="A2954" s="1"/>
      <c r="B2954" s="17"/>
      <c r="C2954" s="17"/>
      <c r="D2954" s="17"/>
      <c r="E2954" s="17"/>
      <c r="F2954" s="17"/>
      <c r="G2954" s="4">
        <f t="shared" si="135"/>
        <v>0</v>
      </c>
      <c r="H2954" s="17"/>
      <c r="I2954" s="4">
        <f t="shared" si="137"/>
        <v>349526.07999999996</v>
      </c>
      <c r="J2954" s="32" t="str">
        <f t="shared" si="136"/>
        <v/>
      </c>
      <c r="K2954" s="72"/>
      <c r="L2954" s="72"/>
      <c r="M2954" s="2"/>
      <c r="N2954" s="5"/>
      <c r="O2954" s="3"/>
      <c r="P2954" s="6"/>
      <c r="Q2954" s="48">
        <f>IF(Учет!$O2954=Справочники!$F$2,Учет!$H2954,0)</f>
        <v>0</v>
      </c>
      <c r="R2954" s="48">
        <f>IF(Учет!$O2954=Справочники!$F$3,Учет!$H2954,0)</f>
        <v>0</v>
      </c>
      <c r="S2954" s="48">
        <f>IF(Учет!$O2954=Справочники!$F$4,Учет!$H2954,0)</f>
        <v>0</v>
      </c>
      <c r="T2954" s="48">
        <f>IF(Учет!$O2954=Справочники!$F$5,Учет!$H2954,0)</f>
        <v>0</v>
      </c>
      <c r="U2954" s="48">
        <f>IF(Учет!$O2954=Справочники!$F$6,Учет!$H2954,0)</f>
        <v>0</v>
      </c>
      <c r="V2954" s="43">
        <f>V2953+Учет!Q2954-Q2954</f>
        <v>-488978.92000000004</v>
      </c>
      <c r="W2954" s="43">
        <f>W2953+Учет!R2954-R2954</f>
        <v>336855</v>
      </c>
      <c r="X2954" s="43">
        <f>X2953+Учет!S2954-S2954</f>
        <v>500</v>
      </c>
      <c r="Y2954" s="43">
        <f>Y2953+Учет!T2954-T2954</f>
        <v>1150</v>
      </c>
      <c r="Z2954" s="43">
        <f>Z2953+Учет!U2954-U2954</f>
        <v>500000</v>
      </c>
      <c r="AA2954" s="45">
        <f>Учет!X2954</f>
        <v>500</v>
      </c>
    </row>
    <row r="2955" spans="1:27" ht="15" customHeight="1" x14ac:dyDescent="0.25">
      <c r="A2955" s="1"/>
      <c r="B2955" s="17"/>
      <c r="C2955" s="17"/>
      <c r="D2955" s="17"/>
      <c r="E2955" s="17"/>
      <c r="F2955" s="17"/>
      <c r="G2955" s="4">
        <f t="shared" si="135"/>
        <v>0</v>
      </c>
      <c r="H2955" s="17"/>
      <c r="I2955" s="4">
        <f t="shared" si="137"/>
        <v>349526.07999999996</v>
      </c>
      <c r="J2955" s="32" t="str">
        <f t="shared" si="136"/>
        <v/>
      </c>
      <c r="K2955" s="72"/>
      <c r="L2955" s="72"/>
      <c r="M2955" s="2"/>
      <c r="N2955" s="5"/>
      <c r="O2955" s="3"/>
      <c r="P2955" s="6"/>
      <c r="Q2955" s="48">
        <f>IF(Учет!$O2955=Справочники!$F$2,Учет!$H2955,0)</f>
        <v>0</v>
      </c>
      <c r="R2955" s="48">
        <f>IF(Учет!$O2955=Справочники!$F$3,Учет!$H2955,0)</f>
        <v>0</v>
      </c>
      <c r="S2955" s="48">
        <f>IF(Учет!$O2955=Справочники!$F$4,Учет!$H2955,0)</f>
        <v>0</v>
      </c>
      <c r="T2955" s="48">
        <f>IF(Учет!$O2955=Справочники!$F$5,Учет!$H2955,0)</f>
        <v>0</v>
      </c>
      <c r="U2955" s="48">
        <f>IF(Учет!$O2955=Справочники!$F$6,Учет!$H2955,0)</f>
        <v>0</v>
      </c>
      <c r="V2955" s="43">
        <f>V2954+Учет!Q2955-Q2955</f>
        <v>-488978.92000000004</v>
      </c>
      <c r="W2955" s="43">
        <f>W2954+Учет!R2955-R2955</f>
        <v>336855</v>
      </c>
      <c r="X2955" s="43">
        <f>X2954+Учет!S2955-S2955</f>
        <v>500</v>
      </c>
      <c r="Y2955" s="43">
        <f>Y2954+Учет!T2955-T2955</f>
        <v>1150</v>
      </c>
      <c r="Z2955" s="43">
        <f>Z2954+Учет!U2955-U2955</f>
        <v>500000</v>
      </c>
      <c r="AA2955" s="45">
        <f>Учет!X2955</f>
        <v>500</v>
      </c>
    </row>
    <row r="2956" spans="1:27" ht="15" customHeight="1" x14ac:dyDescent="0.25">
      <c r="A2956" s="1"/>
      <c r="B2956" s="17"/>
      <c r="C2956" s="17"/>
      <c r="D2956" s="17"/>
      <c r="E2956" s="17"/>
      <c r="F2956" s="17"/>
      <c r="G2956" s="4">
        <f t="shared" si="135"/>
        <v>0</v>
      </c>
      <c r="H2956" s="17"/>
      <c r="I2956" s="4">
        <f t="shared" si="137"/>
        <v>349526.07999999996</v>
      </c>
      <c r="J2956" s="32" t="str">
        <f t="shared" si="136"/>
        <v/>
      </c>
      <c r="K2956" s="72"/>
      <c r="L2956" s="72"/>
      <c r="M2956" s="2"/>
      <c r="N2956" s="5"/>
      <c r="O2956" s="3"/>
      <c r="P2956" s="6"/>
      <c r="Q2956" s="48">
        <f>IF(Учет!$O2956=Справочники!$F$2,Учет!$H2956,0)</f>
        <v>0</v>
      </c>
      <c r="R2956" s="48">
        <f>IF(Учет!$O2956=Справочники!$F$3,Учет!$H2956,0)</f>
        <v>0</v>
      </c>
      <c r="S2956" s="48">
        <f>IF(Учет!$O2956=Справочники!$F$4,Учет!$H2956,0)</f>
        <v>0</v>
      </c>
      <c r="T2956" s="48">
        <f>IF(Учет!$O2956=Справочники!$F$5,Учет!$H2956,0)</f>
        <v>0</v>
      </c>
      <c r="U2956" s="48">
        <f>IF(Учет!$O2956=Справочники!$F$6,Учет!$H2956,0)</f>
        <v>0</v>
      </c>
      <c r="V2956" s="43">
        <f>V2955+Учет!Q2956-Q2956</f>
        <v>-488978.92000000004</v>
      </c>
      <c r="W2956" s="43">
        <f>W2955+Учет!R2956-R2956</f>
        <v>336855</v>
      </c>
      <c r="X2956" s="43">
        <f>X2955+Учет!S2956-S2956</f>
        <v>500</v>
      </c>
      <c r="Y2956" s="43">
        <f>Y2955+Учет!T2956-T2956</f>
        <v>1150</v>
      </c>
      <c r="Z2956" s="43">
        <f>Z2955+Учет!U2956-U2956</f>
        <v>500000</v>
      </c>
      <c r="AA2956" s="45">
        <f>Учет!X2956</f>
        <v>500</v>
      </c>
    </row>
    <row r="2957" spans="1:27" ht="15" customHeight="1" x14ac:dyDescent="0.25">
      <c r="A2957" s="1"/>
      <c r="B2957" s="17"/>
      <c r="C2957" s="17"/>
      <c r="D2957" s="17"/>
      <c r="E2957" s="17"/>
      <c r="F2957" s="17"/>
      <c r="G2957" s="4">
        <f t="shared" si="135"/>
        <v>0</v>
      </c>
      <c r="H2957" s="17"/>
      <c r="I2957" s="4">
        <f t="shared" si="137"/>
        <v>349526.07999999996</v>
      </c>
      <c r="J2957" s="32" t="str">
        <f t="shared" si="136"/>
        <v/>
      </c>
      <c r="K2957" s="72"/>
      <c r="L2957" s="72"/>
      <c r="M2957" s="2"/>
      <c r="N2957" s="5"/>
      <c r="O2957" s="3"/>
      <c r="P2957" s="6"/>
      <c r="Q2957" s="48">
        <f>IF(Учет!$O2957=Справочники!$F$2,Учет!$H2957,0)</f>
        <v>0</v>
      </c>
      <c r="R2957" s="48">
        <f>IF(Учет!$O2957=Справочники!$F$3,Учет!$H2957,0)</f>
        <v>0</v>
      </c>
      <c r="S2957" s="48">
        <f>IF(Учет!$O2957=Справочники!$F$4,Учет!$H2957,0)</f>
        <v>0</v>
      </c>
      <c r="T2957" s="48">
        <f>IF(Учет!$O2957=Справочники!$F$5,Учет!$H2957,0)</f>
        <v>0</v>
      </c>
      <c r="U2957" s="48">
        <f>IF(Учет!$O2957=Справочники!$F$6,Учет!$H2957,0)</f>
        <v>0</v>
      </c>
      <c r="V2957" s="43">
        <f>V2956+Учет!Q2957-Q2957</f>
        <v>-488978.92000000004</v>
      </c>
      <c r="W2957" s="43">
        <f>W2956+Учет!R2957-R2957</f>
        <v>336855</v>
      </c>
      <c r="X2957" s="43">
        <f>X2956+Учет!S2957-S2957</f>
        <v>500</v>
      </c>
      <c r="Y2957" s="43">
        <f>Y2956+Учет!T2957-T2957</f>
        <v>1150</v>
      </c>
      <c r="Z2957" s="43">
        <f>Z2956+Учет!U2957-U2957</f>
        <v>500000</v>
      </c>
      <c r="AA2957" s="45">
        <f>Учет!X2957</f>
        <v>500</v>
      </c>
    </row>
    <row r="2958" spans="1:27" ht="15" customHeight="1" x14ac:dyDescent="0.25">
      <c r="A2958" s="1"/>
      <c r="B2958" s="17"/>
      <c r="C2958" s="17"/>
      <c r="D2958" s="17"/>
      <c r="E2958" s="17"/>
      <c r="F2958" s="17"/>
      <c r="G2958" s="4">
        <f t="shared" si="135"/>
        <v>0</v>
      </c>
      <c r="H2958" s="17"/>
      <c r="I2958" s="4">
        <f t="shared" si="137"/>
        <v>349526.07999999996</v>
      </c>
      <c r="J2958" s="32" t="str">
        <f t="shared" si="136"/>
        <v/>
      </c>
      <c r="K2958" s="72"/>
      <c r="L2958" s="72"/>
      <c r="M2958" s="2"/>
      <c r="N2958" s="5"/>
      <c r="O2958" s="3"/>
      <c r="P2958" s="6"/>
      <c r="Q2958" s="48">
        <f>IF(Учет!$O2958=Справочники!$F$2,Учет!$H2958,0)</f>
        <v>0</v>
      </c>
      <c r="R2958" s="48">
        <f>IF(Учет!$O2958=Справочники!$F$3,Учет!$H2958,0)</f>
        <v>0</v>
      </c>
      <c r="S2958" s="48">
        <f>IF(Учет!$O2958=Справочники!$F$4,Учет!$H2958,0)</f>
        <v>0</v>
      </c>
      <c r="T2958" s="48">
        <f>IF(Учет!$O2958=Справочники!$F$5,Учет!$H2958,0)</f>
        <v>0</v>
      </c>
      <c r="U2958" s="48">
        <f>IF(Учет!$O2958=Справочники!$F$6,Учет!$H2958,0)</f>
        <v>0</v>
      </c>
      <c r="V2958" s="43">
        <f>V2957+Учет!Q2958-Q2958</f>
        <v>-488978.92000000004</v>
      </c>
      <c r="W2958" s="43">
        <f>W2957+Учет!R2958-R2958</f>
        <v>336855</v>
      </c>
      <c r="X2958" s="43">
        <f>X2957+Учет!S2958-S2958</f>
        <v>500</v>
      </c>
      <c r="Y2958" s="43">
        <f>Y2957+Учет!T2958-T2958</f>
        <v>1150</v>
      </c>
      <c r="Z2958" s="43">
        <f>Z2957+Учет!U2958-U2958</f>
        <v>500000</v>
      </c>
      <c r="AA2958" s="45">
        <f>Учет!X2958</f>
        <v>500</v>
      </c>
    </row>
    <row r="2959" spans="1:27" ht="15" customHeight="1" x14ac:dyDescent="0.25">
      <c r="A2959" s="1"/>
      <c r="B2959" s="17"/>
      <c r="C2959" s="17"/>
      <c r="D2959" s="17"/>
      <c r="E2959" s="17"/>
      <c r="F2959" s="17"/>
      <c r="G2959" s="4">
        <f t="shared" si="135"/>
        <v>0</v>
      </c>
      <c r="H2959" s="17"/>
      <c r="I2959" s="4">
        <f t="shared" si="137"/>
        <v>349526.07999999996</v>
      </c>
      <c r="J2959" s="32" t="str">
        <f t="shared" si="136"/>
        <v/>
      </c>
      <c r="K2959" s="72"/>
      <c r="L2959" s="72"/>
      <c r="M2959" s="2"/>
      <c r="N2959" s="5"/>
      <c r="O2959" s="3"/>
      <c r="P2959" s="6"/>
      <c r="Q2959" s="48">
        <f>IF(Учет!$O2959=Справочники!$F$2,Учет!$H2959,0)</f>
        <v>0</v>
      </c>
      <c r="R2959" s="48">
        <f>IF(Учет!$O2959=Справочники!$F$3,Учет!$H2959,0)</f>
        <v>0</v>
      </c>
      <c r="S2959" s="48">
        <f>IF(Учет!$O2959=Справочники!$F$4,Учет!$H2959,0)</f>
        <v>0</v>
      </c>
      <c r="T2959" s="48">
        <f>IF(Учет!$O2959=Справочники!$F$5,Учет!$H2959,0)</f>
        <v>0</v>
      </c>
      <c r="U2959" s="48">
        <f>IF(Учет!$O2959=Справочники!$F$6,Учет!$H2959,0)</f>
        <v>0</v>
      </c>
      <c r="V2959" s="43">
        <f>V2958+Учет!Q2959-Q2959</f>
        <v>-488978.92000000004</v>
      </c>
      <c r="W2959" s="43">
        <f>W2958+Учет!R2959-R2959</f>
        <v>336855</v>
      </c>
      <c r="X2959" s="43">
        <f>X2958+Учет!S2959-S2959</f>
        <v>500</v>
      </c>
      <c r="Y2959" s="43">
        <f>Y2958+Учет!T2959-T2959</f>
        <v>1150</v>
      </c>
      <c r="Z2959" s="43">
        <f>Z2958+Учет!U2959-U2959</f>
        <v>500000</v>
      </c>
      <c r="AA2959" s="45">
        <f>Учет!X2959</f>
        <v>500</v>
      </c>
    </row>
    <row r="2960" spans="1:27" ht="15" customHeight="1" x14ac:dyDescent="0.25">
      <c r="A2960" s="1"/>
      <c r="B2960" s="17"/>
      <c r="C2960" s="17"/>
      <c r="D2960" s="17"/>
      <c r="E2960" s="17"/>
      <c r="F2960" s="17"/>
      <c r="G2960" s="4">
        <f t="shared" si="135"/>
        <v>0</v>
      </c>
      <c r="H2960" s="17"/>
      <c r="I2960" s="4">
        <f t="shared" si="137"/>
        <v>349526.07999999996</v>
      </c>
      <c r="J2960" s="32" t="str">
        <f t="shared" si="136"/>
        <v/>
      </c>
      <c r="K2960" s="72"/>
      <c r="L2960" s="72"/>
      <c r="M2960" s="2"/>
      <c r="N2960" s="5"/>
      <c r="O2960" s="3"/>
      <c r="P2960" s="6"/>
      <c r="Q2960" s="48">
        <f>IF(Учет!$O2960=Справочники!$F$2,Учет!$H2960,0)</f>
        <v>0</v>
      </c>
      <c r="R2960" s="48">
        <f>IF(Учет!$O2960=Справочники!$F$3,Учет!$H2960,0)</f>
        <v>0</v>
      </c>
      <c r="S2960" s="48">
        <f>IF(Учет!$O2960=Справочники!$F$4,Учет!$H2960,0)</f>
        <v>0</v>
      </c>
      <c r="T2960" s="48">
        <f>IF(Учет!$O2960=Справочники!$F$5,Учет!$H2960,0)</f>
        <v>0</v>
      </c>
      <c r="U2960" s="48">
        <f>IF(Учет!$O2960=Справочники!$F$6,Учет!$H2960,0)</f>
        <v>0</v>
      </c>
      <c r="V2960" s="43">
        <f>V2959+Учет!Q2960-Q2960</f>
        <v>-488978.92000000004</v>
      </c>
      <c r="W2960" s="43">
        <f>W2959+Учет!R2960-R2960</f>
        <v>336855</v>
      </c>
      <c r="X2960" s="43">
        <f>X2959+Учет!S2960-S2960</f>
        <v>500</v>
      </c>
      <c r="Y2960" s="43">
        <f>Y2959+Учет!T2960-T2960</f>
        <v>1150</v>
      </c>
      <c r="Z2960" s="43">
        <f>Z2959+Учет!U2960-U2960</f>
        <v>500000</v>
      </c>
      <c r="AA2960" s="45">
        <f>Учет!X2960</f>
        <v>500</v>
      </c>
    </row>
    <row r="2961" spans="1:27" ht="15" customHeight="1" x14ac:dyDescent="0.25">
      <c r="A2961" s="1"/>
      <c r="B2961" s="17"/>
      <c r="C2961" s="17"/>
      <c r="D2961" s="17"/>
      <c r="E2961" s="17"/>
      <c r="F2961" s="17"/>
      <c r="G2961" s="4">
        <f t="shared" si="135"/>
        <v>0</v>
      </c>
      <c r="H2961" s="17"/>
      <c r="I2961" s="4">
        <f t="shared" si="137"/>
        <v>349526.07999999996</v>
      </c>
      <c r="J2961" s="32" t="str">
        <f t="shared" si="136"/>
        <v/>
      </c>
      <c r="K2961" s="72"/>
      <c r="L2961" s="72"/>
      <c r="M2961" s="2"/>
      <c r="N2961" s="5"/>
      <c r="O2961" s="3"/>
      <c r="P2961" s="6"/>
      <c r="Q2961" s="48">
        <f>IF(Учет!$O2961=Справочники!$F$2,Учет!$H2961,0)</f>
        <v>0</v>
      </c>
      <c r="R2961" s="48">
        <f>IF(Учет!$O2961=Справочники!$F$3,Учет!$H2961,0)</f>
        <v>0</v>
      </c>
      <c r="S2961" s="48">
        <f>IF(Учет!$O2961=Справочники!$F$4,Учет!$H2961,0)</f>
        <v>0</v>
      </c>
      <c r="T2961" s="48">
        <f>IF(Учет!$O2961=Справочники!$F$5,Учет!$H2961,0)</f>
        <v>0</v>
      </c>
      <c r="U2961" s="48">
        <f>IF(Учет!$O2961=Справочники!$F$6,Учет!$H2961,0)</f>
        <v>0</v>
      </c>
      <c r="V2961" s="43">
        <f>V2960+Учет!Q2961-Q2961</f>
        <v>-488978.92000000004</v>
      </c>
      <c r="W2961" s="43">
        <f>W2960+Учет!R2961-R2961</f>
        <v>336855</v>
      </c>
      <c r="X2961" s="43">
        <f>X2960+Учет!S2961-S2961</f>
        <v>500</v>
      </c>
      <c r="Y2961" s="43">
        <f>Y2960+Учет!T2961-T2961</f>
        <v>1150</v>
      </c>
      <c r="Z2961" s="43">
        <f>Z2960+Учет!U2961-U2961</f>
        <v>500000</v>
      </c>
      <c r="AA2961" s="45">
        <f>Учет!X2961</f>
        <v>500</v>
      </c>
    </row>
    <row r="2962" spans="1:27" ht="15" customHeight="1" x14ac:dyDescent="0.25">
      <c r="A2962" s="1"/>
      <c r="B2962" s="17"/>
      <c r="C2962" s="17"/>
      <c r="D2962" s="17"/>
      <c r="E2962" s="17"/>
      <c r="F2962" s="17"/>
      <c r="G2962" s="4">
        <f t="shared" si="135"/>
        <v>0</v>
      </c>
      <c r="H2962" s="17"/>
      <c r="I2962" s="4">
        <f t="shared" si="137"/>
        <v>349526.07999999996</v>
      </c>
      <c r="J2962" s="32" t="str">
        <f t="shared" si="136"/>
        <v/>
      </c>
      <c r="K2962" s="72"/>
      <c r="L2962" s="72"/>
      <c r="M2962" s="2"/>
      <c r="N2962" s="5"/>
      <c r="O2962" s="3"/>
      <c r="P2962" s="6"/>
      <c r="Q2962" s="48">
        <f>IF(Учет!$O2962=Справочники!$F$2,Учет!$H2962,0)</f>
        <v>0</v>
      </c>
      <c r="R2962" s="48">
        <f>IF(Учет!$O2962=Справочники!$F$3,Учет!$H2962,0)</f>
        <v>0</v>
      </c>
      <c r="S2962" s="48">
        <f>IF(Учет!$O2962=Справочники!$F$4,Учет!$H2962,0)</f>
        <v>0</v>
      </c>
      <c r="T2962" s="48">
        <f>IF(Учет!$O2962=Справочники!$F$5,Учет!$H2962,0)</f>
        <v>0</v>
      </c>
      <c r="U2962" s="48">
        <f>IF(Учет!$O2962=Справочники!$F$6,Учет!$H2962,0)</f>
        <v>0</v>
      </c>
      <c r="V2962" s="43">
        <f>V2961+Учет!Q2962-Q2962</f>
        <v>-488978.92000000004</v>
      </c>
      <c r="W2962" s="43">
        <f>W2961+Учет!R2962-R2962</f>
        <v>336855</v>
      </c>
      <c r="X2962" s="43">
        <f>X2961+Учет!S2962-S2962</f>
        <v>500</v>
      </c>
      <c r="Y2962" s="43">
        <f>Y2961+Учет!T2962-T2962</f>
        <v>1150</v>
      </c>
      <c r="Z2962" s="43">
        <f>Z2961+Учет!U2962-U2962</f>
        <v>500000</v>
      </c>
      <c r="AA2962" s="45">
        <f>Учет!X2962</f>
        <v>500</v>
      </c>
    </row>
    <row r="2963" spans="1:27" ht="15" customHeight="1" x14ac:dyDescent="0.25">
      <c r="A2963" s="1"/>
      <c r="B2963" s="17"/>
      <c r="C2963" s="17"/>
      <c r="D2963" s="17"/>
      <c r="E2963" s="17"/>
      <c r="F2963" s="17"/>
      <c r="G2963" s="4">
        <f t="shared" si="135"/>
        <v>0</v>
      </c>
      <c r="H2963" s="17"/>
      <c r="I2963" s="4">
        <f t="shared" si="137"/>
        <v>349526.07999999996</v>
      </c>
      <c r="J2963" s="32" t="str">
        <f t="shared" si="136"/>
        <v/>
      </c>
      <c r="K2963" s="72"/>
      <c r="L2963" s="72"/>
      <c r="M2963" s="2"/>
      <c r="N2963" s="5"/>
      <c r="O2963" s="3"/>
      <c r="P2963" s="6"/>
      <c r="Q2963" s="48">
        <f>IF(Учет!$O2963=Справочники!$F$2,Учет!$H2963,0)</f>
        <v>0</v>
      </c>
      <c r="R2963" s="48">
        <f>IF(Учет!$O2963=Справочники!$F$3,Учет!$H2963,0)</f>
        <v>0</v>
      </c>
      <c r="S2963" s="48">
        <f>IF(Учет!$O2963=Справочники!$F$4,Учет!$H2963,0)</f>
        <v>0</v>
      </c>
      <c r="T2963" s="48">
        <f>IF(Учет!$O2963=Справочники!$F$5,Учет!$H2963,0)</f>
        <v>0</v>
      </c>
      <c r="U2963" s="48">
        <f>IF(Учет!$O2963=Справочники!$F$6,Учет!$H2963,0)</f>
        <v>0</v>
      </c>
      <c r="V2963" s="43">
        <f>V2962+Учет!Q2963-Q2963</f>
        <v>-488978.92000000004</v>
      </c>
      <c r="W2963" s="43">
        <f>W2962+Учет!R2963-R2963</f>
        <v>336855</v>
      </c>
      <c r="X2963" s="43">
        <f>X2962+Учет!S2963-S2963</f>
        <v>500</v>
      </c>
      <c r="Y2963" s="43">
        <f>Y2962+Учет!T2963-T2963</f>
        <v>1150</v>
      </c>
      <c r="Z2963" s="43">
        <f>Z2962+Учет!U2963-U2963</f>
        <v>500000</v>
      </c>
      <c r="AA2963" s="45">
        <f>Учет!X2963</f>
        <v>500</v>
      </c>
    </row>
    <row r="2964" spans="1:27" ht="15" customHeight="1" x14ac:dyDescent="0.25">
      <c r="A2964" s="1"/>
      <c r="B2964" s="17"/>
      <c r="C2964" s="17"/>
      <c r="D2964" s="17"/>
      <c r="E2964" s="17"/>
      <c r="F2964" s="17"/>
      <c r="G2964" s="4">
        <f t="shared" si="135"/>
        <v>0</v>
      </c>
      <c r="H2964" s="17"/>
      <c r="I2964" s="4">
        <f t="shared" si="137"/>
        <v>349526.07999999996</v>
      </c>
      <c r="J2964" s="32" t="str">
        <f t="shared" si="136"/>
        <v/>
      </c>
      <c r="K2964" s="72"/>
      <c r="L2964" s="72"/>
      <c r="M2964" s="2"/>
      <c r="N2964" s="5"/>
      <c r="O2964" s="3"/>
      <c r="P2964" s="6"/>
      <c r="Q2964" s="48">
        <f>IF(Учет!$O2964=Справочники!$F$2,Учет!$H2964,0)</f>
        <v>0</v>
      </c>
      <c r="R2964" s="48">
        <f>IF(Учет!$O2964=Справочники!$F$3,Учет!$H2964,0)</f>
        <v>0</v>
      </c>
      <c r="S2964" s="48">
        <f>IF(Учет!$O2964=Справочники!$F$4,Учет!$H2964,0)</f>
        <v>0</v>
      </c>
      <c r="T2964" s="48">
        <f>IF(Учет!$O2964=Справочники!$F$5,Учет!$H2964,0)</f>
        <v>0</v>
      </c>
      <c r="U2964" s="48">
        <f>IF(Учет!$O2964=Справочники!$F$6,Учет!$H2964,0)</f>
        <v>0</v>
      </c>
      <c r="V2964" s="43">
        <f>V2963+Учет!Q2964-Q2964</f>
        <v>-488978.92000000004</v>
      </c>
      <c r="W2964" s="43">
        <f>W2963+Учет!R2964-R2964</f>
        <v>336855</v>
      </c>
      <c r="X2964" s="43">
        <f>X2963+Учет!S2964-S2964</f>
        <v>500</v>
      </c>
      <c r="Y2964" s="43">
        <f>Y2963+Учет!T2964-T2964</f>
        <v>1150</v>
      </c>
      <c r="Z2964" s="43">
        <f>Z2963+Учет!U2964-U2964</f>
        <v>500000</v>
      </c>
      <c r="AA2964" s="45">
        <f>Учет!X2964</f>
        <v>500</v>
      </c>
    </row>
    <row r="2965" spans="1:27" ht="15" customHeight="1" x14ac:dyDescent="0.25">
      <c r="A2965" s="1"/>
      <c r="B2965" s="17"/>
      <c r="C2965" s="17"/>
      <c r="D2965" s="17"/>
      <c r="E2965" s="17"/>
      <c r="F2965" s="17"/>
      <c r="G2965" s="4">
        <f t="shared" si="135"/>
        <v>0</v>
      </c>
      <c r="H2965" s="17"/>
      <c r="I2965" s="4">
        <f t="shared" si="137"/>
        <v>349526.07999999996</v>
      </c>
      <c r="J2965" s="32" t="str">
        <f t="shared" si="136"/>
        <v/>
      </c>
      <c r="K2965" s="72"/>
      <c r="L2965" s="72"/>
      <c r="M2965" s="2"/>
      <c r="N2965" s="5"/>
      <c r="O2965" s="3"/>
      <c r="P2965" s="6"/>
      <c r="Q2965" s="48">
        <f>IF(Учет!$O2965=Справочники!$F$2,Учет!$H2965,0)</f>
        <v>0</v>
      </c>
      <c r="R2965" s="48">
        <f>IF(Учет!$O2965=Справочники!$F$3,Учет!$H2965,0)</f>
        <v>0</v>
      </c>
      <c r="S2965" s="48">
        <f>IF(Учет!$O2965=Справочники!$F$4,Учет!$H2965,0)</f>
        <v>0</v>
      </c>
      <c r="T2965" s="48">
        <f>IF(Учет!$O2965=Справочники!$F$5,Учет!$H2965,0)</f>
        <v>0</v>
      </c>
      <c r="U2965" s="48">
        <f>IF(Учет!$O2965=Справочники!$F$6,Учет!$H2965,0)</f>
        <v>0</v>
      </c>
      <c r="V2965" s="43">
        <f>V2964+Учет!Q2965-Q2965</f>
        <v>-488978.92000000004</v>
      </c>
      <c r="W2965" s="43">
        <f>W2964+Учет!R2965-R2965</f>
        <v>336855</v>
      </c>
      <c r="X2965" s="43">
        <f>X2964+Учет!S2965-S2965</f>
        <v>500</v>
      </c>
      <c r="Y2965" s="43">
        <f>Y2964+Учет!T2965-T2965</f>
        <v>1150</v>
      </c>
      <c r="Z2965" s="43">
        <f>Z2964+Учет!U2965-U2965</f>
        <v>500000</v>
      </c>
      <c r="AA2965" s="45">
        <f>Учет!X2965</f>
        <v>500</v>
      </c>
    </row>
    <row r="2966" spans="1:27" ht="15" customHeight="1" x14ac:dyDescent="0.25">
      <c r="A2966" s="1"/>
      <c r="B2966" s="17"/>
      <c r="C2966" s="17"/>
      <c r="D2966" s="17"/>
      <c r="E2966" s="17"/>
      <c r="F2966" s="17"/>
      <c r="G2966" s="4">
        <f t="shared" si="135"/>
        <v>0</v>
      </c>
      <c r="H2966" s="17"/>
      <c r="I2966" s="4">
        <f t="shared" si="137"/>
        <v>349526.07999999996</v>
      </c>
      <c r="J2966" s="32" t="str">
        <f t="shared" si="136"/>
        <v/>
      </c>
      <c r="K2966" s="72"/>
      <c r="L2966" s="72"/>
      <c r="M2966" s="2"/>
      <c r="N2966" s="5"/>
      <c r="O2966" s="3"/>
      <c r="P2966" s="6"/>
      <c r="Q2966" s="48">
        <f>IF(Учет!$O2966=Справочники!$F$2,Учет!$H2966,0)</f>
        <v>0</v>
      </c>
      <c r="R2966" s="48">
        <f>IF(Учет!$O2966=Справочники!$F$3,Учет!$H2966,0)</f>
        <v>0</v>
      </c>
      <c r="S2966" s="48">
        <f>IF(Учет!$O2966=Справочники!$F$4,Учет!$H2966,0)</f>
        <v>0</v>
      </c>
      <c r="T2966" s="48">
        <f>IF(Учет!$O2966=Справочники!$F$5,Учет!$H2966,0)</f>
        <v>0</v>
      </c>
      <c r="U2966" s="48">
        <f>IF(Учет!$O2966=Справочники!$F$6,Учет!$H2966,0)</f>
        <v>0</v>
      </c>
      <c r="V2966" s="43">
        <f>V2965+Учет!Q2966-Q2966</f>
        <v>-488978.92000000004</v>
      </c>
      <c r="W2966" s="43">
        <f>W2965+Учет!R2966-R2966</f>
        <v>336855</v>
      </c>
      <c r="X2966" s="43">
        <f>X2965+Учет!S2966-S2966</f>
        <v>500</v>
      </c>
      <c r="Y2966" s="43">
        <f>Y2965+Учет!T2966-T2966</f>
        <v>1150</v>
      </c>
      <c r="Z2966" s="43">
        <f>Z2965+Учет!U2966-U2966</f>
        <v>500000</v>
      </c>
      <c r="AA2966" s="45">
        <f>Учет!X2966</f>
        <v>500</v>
      </c>
    </row>
    <row r="2967" spans="1:27" ht="15" customHeight="1" x14ac:dyDescent="0.25">
      <c r="A2967" s="1"/>
      <c r="B2967" s="17"/>
      <c r="C2967" s="17"/>
      <c r="D2967" s="17"/>
      <c r="E2967" s="17"/>
      <c r="F2967" s="17"/>
      <c r="G2967" s="4">
        <f t="shared" si="135"/>
        <v>0</v>
      </c>
      <c r="H2967" s="17"/>
      <c r="I2967" s="4">
        <f t="shared" si="137"/>
        <v>349526.07999999996</v>
      </c>
      <c r="J2967" s="32" t="str">
        <f t="shared" si="136"/>
        <v/>
      </c>
      <c r="K2967" s="72"/>
      <c r="L2967" s="72"/>
      <c r="M2967" s="2"/>
      <c r="N2967" s="5"/>
      <c r="O2967" s="3"/>
      <c r="P2967" s="6"/>
      <c r="Q2967" s="48">
        <f>IF(Учет!$O2967=Справочники!$F$2,Учет!$H2967,0)</f>
        <v>0</v>
      </c>
      <c r="R2967" s="48">
        <f>IF(Учет!$O2967=Справочники!$F$3,Учет!$H2967,0)</f>
        <v>0</v>
      </c>
      <c r="S2967" s="48">
        <f>IF(Учет!$O2967=Справочники!$F$4,Учет!$H2967,0)</f>
        <v>0</v>
      </c>
      <c r="T2967" s="48">
        <f>IF(Учет!$O2967=Справочники!$F$5,Учет!$H2967,0)</f>
        <v>0</v>
      </c>
      <c r="U2967" s="48">
        <f>IF(Учет!$O2967=Справочники!$F$6,Учет!$H2967,0)</f>
        <v>0</v>
      </c>
      <c r="V2967" s="43">
        <f>V2966+Учет!Q2967-Q2967</f>
        <v>-488978.92000000004</v>
      </c>
      <c r="W2967" s="43">
        <f>W2966+Учет!R2967-R2967</f>
        <v>336855</v>
      </c>
      <c r="X2967" s="43">
        <f>X2966+Учет!S2967-S2967</f>
        <v>500</v>
      </c>
      <c r="Y2967" s="43">
        <f>Y2966+Учет!T2967-T2967</f>
        <v>1150</v>
      </c>
      <c r="Z2967" s="43">
        <f>Z2966+Учет!U2967-U2967</f>
        <v>500000</v>
      </c>
      <c r="AA2967" s="45">
        <f>Учет!X2967</f>
        <v>500</v>
      </c>
    </row>
    <row r="2968" spans="1:27" ht="15" customHeight="1" x14ac:dyDescent="0.25">
      <c r="A2968" s="1"/>
      <c r="B2968" s="17"/>
      <c r="C2968" s="17"/>
      <c r="D2968" s="17"/>
      <c r="E2968" s="17"/>
      <c r="F2968" s="17"/>
      <c r="G2968" s="4">
        <f t="shared" si="135"/>
        <v>0</v>
      </c>
      <c r="H2968" s="17"/>
      <c r="I2968" s="4">
        <f t="shared" si="137"/>
        <v>349526.07999999996</v>
      </c>
      <c r="J2968" s="32" t="str">
        <f t="shared" si="136"/>
        <v/>
      </c>
      <c r="K2968" s="72"/>
      <c r="L2968" s="72"/>
      <c r="M2968" s="2"/>
      <c r="N2968" s="5"/>
      <c r="O2968" s="3"/>
      <c r="P2968" s="6"/>
      <c r="Q2968" s="48">
        <f>IF(Учет!$O2968=Справочники!$F$2,Учет!$H2968,0)</f>
        <v>0</v>
      </c>
      <c r="R2968" s="48">
        <f>IF(Учет!$O2968=Справочники!$F$3,Учет!$H2968,0)</f>
        <v>0</v>
      </c>
      <c r="S2968" s="48">
        <f>IF(Учет!$O2968=Справочники!$F$4,Учет!$H2968,0)</f>
        <v>0</v>
      </c>
      <c r="T2968" s="48">
        <f>IF(Учет!$O2968=Справочники!$F$5,Учет!$H2968,0)</f>
        <v>0</v>
      </c>
      <c r="U2968" s="48">
        <f>IF(Учет!$O2968=Справочники!$F$6,Учет!$H2968,0)</f>
        <v>0</v>
      </c>
      <c r="V2968" s="43">
        <f>V2967+Учет!Q2968-Q2968</f>
        <v>-488978.92000000004</v>
      </c>
      <c r="W2968" s="43">
        <f>W2967+Учет!R2968-R2968</f>
        <v>336855</v>
      </c>
      <c r="X2968" s="43">
        <f>X2967+Учет!S2968-S2968</f>
        <v>500</v>
      </c>
      <c r="Y2968" s="43">
        <f>Y2967+Учет!T2968-T2968</f>
        <v>1150</v>
      </c>
      <c r="Z2968" s="43">
        <f>Z2967+Учет!U2968-U2968</f>
        <v>500000</v>
      </c>
      <c r="AA2968" s="45">
        <f>Учет!X2968</f>
        <v>500</v>
      </c>
    </row>
    <row r="2969" spans="1:27" ht="15" customHeight="1" x14ac:dyDescent="0.25">
      <c r="A2969" s="1"/>
      <c r="B2969" s="17"/>
      <c r="C2969" s="17"/>
      <c r="D2969" s="17"/>
      <c r="E2969" s="17"/>
      <c r="F2969" s="17"/>
      <c r="G2969" s="4">
        <f t="shared" si="135"/>
        <v>0</v>
      </c>
      <c r="H2969" s="17"/>
      <c r="I2969" s="4">
        <f t="shared" si="137"/>
        <v>349526.07999999996</v>
      </c>
      <c r="J2969" s="32" t="str">
        <f t="shared" si="136"/>
        <v/>
      </c>
      <c r="K2969" s="72"/>
      <c r="L2969" s="72"/>
      <c r="M2969" s="2"/>
      <c r="N2969" s="5"/>
      <c r="O2969" s="3"/>
      <c r="P2969" s="6"/>
      <c r="Q2969" s="48">
        <f>IF(Учет!$O2969=Справочники!$F$2,Учет!$H2969,0)</f>
        <v>0</v>
      </c>
      <c r="R2969" s="48">
        <f>IF(Учет!$O2969=Справочники!$F$3,Учет!$H2969,0)</f>
        <v>0</v>
      </c>
      <c r="S2969" s="48">
        <f>IF(Учет!$O2969=Справочники!$F$4,Учет!$H2969,0)</f>
        <v>0</v>
      </c>
      <c r="T2969" s="48">
        <f>IF(Учет!$O2969=Справочники!$F$5,Учет!$H2969,0)</f>
        <v>0</v>
      </c>
      <c r="U2969" s="48">
        <f>IF(Учет!$O2969=Справочники!$F$6,Учет!$H2969,0)</f>
        <v>0</v>
      </c>
      <c r="V2969" s="43">
        <f>V2968+Учет!Q2969-Q2969</f>
        <v>-488978.92000000004</v>
      </c>
      <c r="W2969" s="43">
        <f>W2968+Учет!R2969-R2969</f>
        <v>336855</v>
      </c>
      <c r="X2969" s="43">
        <f>X2968+Учет!S2969-S2969</f>
        <v>500</v>
      </c>
      <c r="Y2969" s="43">
        <f>Y2968+Учет!T2969-T2969</f>
        <v>1150</v>
      </c>
      <c r="Z2969" s="43">
        <f>Z2968+Учет!U2969-U2969</f>
        <v>500000</v>
      </c>
      <c r="AA2969" s="45">
        <f>Учет!X2969</f>
        <v>500</v>
      </c>
    </row>
    <row r="2970" spans="1:27" ht="15" customHeight="1" x14ac:dyDescent="0.25">
      <c r="A2970" s="1"/>
      <c r="B2970" s="17"/>
      <c r="C2970" s="17"/>
      <c r="D2970" s="17"/>
      <c r="E2970" s="17"/>
      <c r="F2970" s="17"/>
      <c r="G2970" s="4">
        <f t="shared" si="135"/>
        <v>0</v>
      </c>
      <c r="H2970" s="17"/>
      <c r="I2970" s="4">
        <f t="shared" si="137"/>
        <v>349526.07999999996</v>
      </c>
      <c r="J2970" s="32" t="str">
        <f t="shared" si="136"/>
        <v/>
      </c>
      <c r="K2970" s="72"/>
      <c r="L2970" s="72"/>
      <c r="M2970" s="2"/>
      <c r="N2970" s="5"/>
      <c r="O2970" s="3"/>
      <c r="P2970" s="6"/>
      <c r="Q2970" s="48">
        <f>IF(Учет!$O2970=Справочники!$F$2,Учет!$H2970,0)</f>
        <v>0</v>
      </c>
      <c r="R2970" s="48">
        <f>IF(Учет!$O2970=Справочники!$F$3,Учет!$H2970,0)</f>
        <v>0</v>
      </c>
      <c r="S2970" s="48">
        <f>IF(Учет!$O2970=Справочники!$F$4,Учет!$H2970,0)</f>
        <v>0</v>
      </c>
      <c r="T2970" s="48">
        <f>IF(Учет!$O2970=Справочники!$F$5,Учет!$H2970,0)</f>
        <v>0</v>
      </c>
      <c r="U2970" s="48">
        <f>IF(Учет!$O2970=Справочники!$F$6,Учет!$H2970,0)</f>
        <v>0</v>
      </c>
      <c r="V2970" s="43">
        <f>V2969+Учет!Q2970-Q2970</f>
        <v>-488978.92000000004</v>
      </c>
      <c r="W2970" s="43">
        <f>W2969+Учет!R2970-R2970</f>
        <v>336855</v>
      </c>
      <c r="X2970" s="43">
        <f>X2969+Учет!S2970-S2970</f>
        <v>500</v>
      </c>
      <c r="Y2970" s="43">
        <f>Y2969+Учет!T2970-T2970</f>
        <v>1150</v>
      </c>
      <c r="Z2970" s="43">
        <f>Z2969+Учет!U2970-U2970</f>
        <v>500000</v>
      </c>
      <c r="AA2970" s="45">
        <f>Учет!X2970</f>
        <v>500</v>
      </c>
    </row>
    <row r="2971" spans="1:27" ht="15" customHeight="1" x14ac:dyDescent="0.25">
      <c r="A2971" s="1"/>
      <c r="B2971" s="17"/>
      <c r="C2971" s="17"/>
      <c r="D2971" s="17"/>
      <c r="E2971" s="17"/>
      <c r="F2971" s="17"/>
      <c r="G2971" s="4">
        <f t="shared" si="135"/>
        <v>0</v>
      </c>
      <c r="H2971" s="17"/>
      <c r="I2971" s="4">
        <f t="shared" si="137"/>
        <v>349526.07999999996</v>
      </c>
      <c r="J2971" s="32" t="str">
        <f t="shared" si="136"/>
        <v/>
      </c>
      <c r="K2971" s="72"/>
      <c r="L2971" s="72"/>
      <c r="M2971" s="2"/>
      <c r="N2971" s="5"/>
      <c r="O2971" s="3"/>
      <c r="P2971" s="6"/>
      <c r="Q2971" s="48">
        <f>IF(Учет!$O2971=Справочники!$F$2,Учет!$H2971,0)</f>
        <v>0</v>
      </c>
      <c r="R2971" s="48">
        <f>IF(Учет!$O2971=Справочники!$F$3,Учет!$H2971,0)</f>
        <v>0</v>
      </c>
      <c r="S2971" s="48">
        <f>IF(Учет!$O2971=Справочники!$F$4,Учет!$H2971,0)</f>
        <v>0</v>
      </c>
      <c r="T2971" s="48">
        <f>IF(Учет!$O2971=Справочники!$F$5,Учет!$H2971,0)</f>
        <v>0</v>
      </c>
      <c r="U2971" s="48">
        <f>IF(Учет!$O2971=Справочники!$F$6,Учет!$H2971,0)</f>
        <v>0</v>
      </c>
      <c r="V2971" s="43">
        <f>V2970+Учет!Q2971-Q2971</f>
        <v>-488978.92000000004</v>
      </c>
      <c r="W2971" s="43">
        <f>W2970+Учет!R2971-R2971</f>
        <v>336855</v>
      </c>
      <c r="X2971" s="43">
        <f>X2970+Учет!S2971-S2971</f>
        <v>500</v>
      </c>
      <c r="Y2971" s="43">
        <f>Y2970+Учет!T2971-T2971</f>
        <v>1150</v>
      </c>
      <c r="Z2971" s="43">
        <f>Z2970+Учет!U2971-U2971</f>
        <v>500000</v>
      </c>
      <c r="AA2971" s="45">
        <f>Учет!X2971</f>
        <v>500</v>
      </c>
    </row>
    <row r="2972" spans="1:27" ht="15" customHeight="1" x14ac:dyDescent="0.25">
      <c r="A2972" s="1"/>
      <c r="B2972" s="17"/>
      <c r="C2972" s="17"/>
      <c r="D2972" s="17"/>
      <c r="E2972" s="17"/>
      <c r="F2972" s="17"/>
      <c r="G2972" s="4">
        <f t="shared" si="135"/>
        <v>0</v>
      </c>
      <c r="H2972" s="17"/>
      <c r="I2972" s="4">
        <f t="shared" si="137"/>
        <v>349526.07999999996</v>
      </c>
      <c r="J2972" s="32" t="str">
        <f t="shared" si="136"/>
        <v/>
      </c>
      <c r="K2972" s="72"/>
      <c r="L2972" s="72"/>
      <c r="M2972" s="2"/>
      <c r="N2972" s="5"/>
      <c r="O2972" s="3"/>
      <c r="P2972" s="6"/>
      <c r="Q2972" s="48">
        <f>IF(Учет!$O2972=Справочники!$F$2,Учет!$H2972,0)</f>
        <v>0</v>
      </c>
      <c r="R2972" s="48">
        <f>IF(Учет!$O2972=Справочники!$F$3,Учет!$H2972,0)</f>
        <v>0</v>
      </c>
      <c r="S2972" s="48">
        <f>IF(Учет!$O2972=Справочники!$F$4,Учет!$H2972,0)</f>
        <v>0</v>
      </c>
      <c r="T2972" s="48">
        <f>IF(Учет!$O2972=Справочники!$F$5,Учет!$H2972,0)</f>
        <v>0</v>
      </c>
      <c r="U2972" s="48">
        <f>IF(Учет!$O2972=Справочники!$F$6,Учет!$H2972,0)</f>
        <v>0</v>
      </c>
      <c r="V2972" s="43">
        <f>V2971+Учет!Q2972-Q2972</f>
        <v>-488978.92000000004</v>
      </c>
      <c r="W2972" s="43">
        <f>W2971+Учет!R2972-R2972</f>
        <v>336855</v>
      </c>
      <c r="X2972" s="43">
        <f>X2971+Учет!S2972-S2972</f>
        <v>500</v>
      </c>
      <c r="Y2972" s="43">
        <f>Y2971+Учет!T2972-T2972</f>
        <v>1150</v>
      </c>
      <c r="Z2972" s="43">
        <f>Z2971+Учет!U2972-U2972</f>
        <v>500000</v>
      </c>
      <c r="AA2972" s="45">
        <f>Учет!X2972</f>
        <v>500</v>
      </c>
    </row>
    <row r="2973" spans="1:27" ht="15" customHeight="1" x14ac:dyDescent="0.25">
      <c r="A2973" s="1"/>
      <c r="B2973" s="17"/>
      <c r="C2973" s="17"/>
      <c r="D2973" s="17"/>
      <c r="E2973" s="17"/>
      <c r="F2973" s="17"/>
      <c r="G2973" s="4">
        <f t="shared" si="135"/>
        <v>0</v>
      </c>
      <c r="H2973" s="17"/>
      <c r="I2973" s="4">
        <f t="shared" si="137"/>
        <v>349526.07999999996</v>
      </c>
      <c r="J2973" s="32" t="str">
        <f t="shared" si="136"/>
        <v/>
      </c>
      <c r="K2973" s="72"/>
      <c r="L2973" s="72"/>
      <c r="M2973" s="2"/>
      <c r="N2973" s="5"/>
      <c r="O2973" s="3"/>
      <c r="P2973" s="6"/>
      <c r="Q2973" s="48">
        <f>IF(Учет!$O2973=Справочники!$F$2,Учет!$H2973,0)</f>
        <v>0</v>
      </c>
      <c r="R2973" s="48">
        <f>IF(Учет!$O2973=Справочники!$F$3,Учет!$H2973,0)</f>
        <v>0</v>
      </c>
      <c r="S2973" s="48">
        <f>IF(Учет!$O2973=Справочники!$F$4,Учет!$H2973,0)</f>
        <v>0</v>
      </c>
      <c r="T2973" s="48">
        <f>IF(Учет!$O2973=Справочники!$F$5,Учет!$H2973,0)</f>
        <v>0</v>
      </c>
      <c r="U2973" s="48">
        <f>IF(Учет!$O2973=Справочники!$F$6,Учет!$H2973,0)</f>
        <v>0</v>
      </c>
      <c r="V2973" s="43">
        <f>V2972+Учет!Q2973-Q2973</f>
        <v>-488978.92000000004</v>
      </c>
      <c r="W2973" s="43">
        <f>W2972+Учет!R2973-R2973</f>
        <v>336855</v>
      </c>
      <c r="X2973" s="43">
        <f>X2972+Учет!S2973-S2973</f>
        <v>500</v>
      </c>
      <c r="Y2973" s="43">
        <f>Y2972+Учет!T2973-T2973</f>
        <v>1150</v>
      </c>
      <c r="Z2973" s="43">
        <f>Z2972+Учет!U2973-U2973</f>
        <v>500000</v>
      </c>
      <c r="AA2973" s="45">
        <f>Учет!X2973</f>
        <v>500</v>
      </c>
    </row>
    <row r="2974" spans="1:27" ht="15" customHeight="1" x14ac:dyDescent="0.25">
      <c r="A2974" s="1"/>
      <c r="B2974" s="17"/>
      <c r="C2974" s="17"/>
      <c r="D2974" s="17"/>
      <c r="E2974" s="17"/>
      <c r="F2974" s="17"/>
      <c r="G2974" s="4">
        <f t="shared" si="135"/>
        <v>0</v>
      </c>
      <c r="H2974" s="17"/>
      <c r="I2974" s="4">
        <f t="shared" si="137"/>
        <v>349526.07999999996</v>
      </c>
      <c r="J2974" s="32" t="str">
        <f t="shared" si="136"/>
        <v/>
      </c>
      <c r="K2974" s="72"/>
      <c r="L2974" s="72"/>
      <c r="M2974" s="2"/>
      <c r="N2974" s="5"/>
      <c r="O2974" s="3"/>
      <c r="P2974" s="6"/>
      <c r="Q2974" s="48">
        <f>IF(Учет!$O2974=Справочники!$F$2,Учет!$H2974,0)</f>
        <v>0</v>
      </c>
      <c r="R2974" s="48">
        <f>IF(Учет!$O2974=Справочники!$F$3,Учет!$H2974,0)</f>
        <v>0</v>
      </c>
      <c r="S2974" s="48">
        <f>IF(Учет!$O2974=Справочники!$F$4,Учет!$H2974,0)</f>
        <v>0</v>
      </c>
      <c r="T2974" s="48">
        <f>IF(Учет!$O2974=Справочники!$F$5,Учет!$H2974,0)</f>
        <v>0</v>
      </c>
      <c r="U2974" s="48">
        <f>IF(Учет!$O2974=Справочники!$F$6,Учет!$H2974,0)</f>
        <v>0</v>
      </c>
      <c r="V2974" s="43">
        <f>V2973+Учет!Q2974-Q2974</f>
        <v>-488978.92000000004</v>
      </c>
      <c r="W2974" s="43">
        <f>W2973+Учет!R2974-R2974</f>
        <v>336855</v>
      </c>
      <c r="X2974" s="43">
        <f>X2973+Учет!S2974-S2974</f>
        <v>500</v>
      </c>
      <c r="Y2974" s="43">
        <f>Y2973+Учет!T2974-T2974</f>
        <v>1150</v>
      </c>
      <c r="Z2974" s="43">
        <f>Z2973+Учет!U2974-U2974</f>
        <v>500000</v>
      </c>
      <c r="AA2974" s="45">
        <f>Учет!X2974</f>
        <v>500</v>
      </c>
    </row>
    <row r="2975" spans="1:27" ht="15" customHeight="1" x14ac:dyDescent="0.25">
      <c r="A2975" s="1"/>
      <c r="B2975" s="17"/>
      <c r="C2975" s="17"/>
      <c r="D2975" s="17"/>
      <c r="E2975" s="17"/>
      <c r="F2975" s="17"/>
      <c r="G2975" s="4">
        <f t="shared" si="135"/>
        <v>0</v>
      </c>
      <c r="H2975" s="17"/>
      <c r="I2975" s="4">
        <f t="shared" si="137"/>
        <v>349526.07999999996</v>
      </c>
      <c r="J2975" s="32" t="str">
        <f t="shared" si="136"/>
        <v/>
      </c>
      <c r="K2975" s="72"/>
      <c r="L2975" s="72"/>
      <c r="M2975" s="2"/>
      <c r="N2975" s="5"/>
      <c r="O2975" s="3"/>
      <c r="P2975" s="6"/>
      <c r="Q2975" s="48">
        <f>IF(Учет!$O2975=Справочники!$F$2,Учет!$H2975,0)</f>
        <v>0</v>
      </c>
      <c r="R2975" s="48">
        <f>IF(Учет!$O2975=Справочники!$F$3,Учет!$H2975,0)</f>
        <v>0</v>
      </c>
      <c r="S2975" s="48">
        <f>IF(Учет!$O2975=Справочники!$F$4,Учет!$H2975,0)</f>
        <v>0</v>
      </c>
      <c r="T2975" s="48">
        <f>IF(Учет!$O2975=Справочники!$F$5,Учет!$H2975,0)</f>
        <v>0</v>
      </c>
      <c r="U2975" s="48">
        <f>IF(Учет!$O2975=Справочники!$F$6,Учет!$H2975,0)</f>
        <v>0</v>
      </c>
      <c r="V2975" s="43">
        <f>V2974+Учет!Q2975-Q2975</f>
        <v>-488978.92000000004</v>
      </c>
      <c r="W2975" s="43">
        <f>W2974+Учет!R2975-R2975</f>
        <v>336855</v>
      </c>
      <c r="X2975" s="43">
        <f>X2974+Учет!S2975-S2975</f>
        <v>500</v>
      </c>
      <c r="Y2975" s="43">
        <f>Y2974+Учет!T2975-T2975</f>
        <v>1150</v>
      </c>
      <c r="Z2975" s="43">
        <f>Z2974+Учет!U2975-U2975</f>
        <v>500000</v>
      </c>
      <c r="AA2975" s="45">
        <f>Учет!X2975</f>
        <v>500</v>
      </c>
    </row>
    <row r="2976" spans="1:27" ht="15" customHeight="1" x14ac:dyDescent="0.25">
      <c r="A2976" s="1"/>
      <c r="B2976" s="17"/>
      <c r="C2976" s="17"/>
      <c r="D2976" s="17"/>
      <c r="E2976" s="17"/>
      <c r="F2976" s="17"/>
      <c r="G2976" s="4">
        <f t="shared" si="135"/>
        <v>0</v>
      </c>
      <c r="H2976" s="17"/>
      <c r="I2976" s="4">
        <f t="shared" si="137"/>
        <v>349526.07999999996</v>
      </c>
      <c r="J2976" s="32" t="str">
        <f t="shared" si="136"/>
        <v/>
      </c>
      <c r="K2976" s="72"/>
      <c r="L2976" s="72"/>
      <c r="M2976" s="2"/>
      <c r="N2976" s="5"/>
      <c r="O2976" s="3"/>
      <c r="P2976" s="6"/>
      <c r="Q2976" s="48">
        <f>IF(Учет!$O2976=Справочники!$F$2,Учет!$H2976,0)</f>
        <v>0</v>
      </c>
      <c r="R2976" s="48">
        <f>IF(Учет!$O2976=Справочники!$F$3,Учет!$H2976,0)</f>
        <v>0</v>
      </c>
      <c r="S2976" s="48">
        <f>IF(Учет!$O2976=Справочники!$F$4,Учет!$H2976,0)</f>
        <v>0</v>
      </c>
      <c r="T2976" s="48">
        <f>IF(Учет!$O2976=Справочники!$F$5,Учет!$H2976,0)</f>
        <v>0</v>
      </c>
      <c r="U2976" s="48">
        <f>IF(Учет!$O2976=Справочники!$F$6,Учет!$H2976,0)</f>
        <v>0</v>
      </c>
      <c r="V2976" s="43">
        <f>V2975+Учет!Q2976-Q2976</f>
        <v>-488978.92000000004</v>
      </c>
      <c r="W2976" s="43">
        <f>W2975+Учет!R2976-R2976</f>
        <v>336855</v>
      </c>
      <c r="X2976" s="43">
        <f>X2975+Учет!S2976-S2976</f>
        <v>500</v>
      </c>
      <c r="Y2976" s="43">
        <f>Y2975+Учет!T2976-T2976</f>
        <v>1150</v>
      </c>
      <c r="Z2976" s="43">
        <f>Z2975+Учет!U2976-U2976</f>
        <v>500000</v>
      </c>
      <c r="AA2976" s="45">
        <f>Учет!X2976</f>
        <v>500</v>
      </c>
    </row>
    <row r="2977" spans="1:27" ht="15" customHeight="1" x14ac:dyDescent="0.25">
      <c r="A2977" s="1"/>
      <c r="B2977" s="17"/>
      <c r="C2977" s="17"/>
      <c r="D2977" s="17"/>
      <c r="E2977" s="17"/>
      <c r="F2977" s="17"/>
      <c r="G2977" s="4">
        <f t="shared" si="135"/>
        <v>0</v>
      </c>
      <c r="H2977" s="17"/>
      <c r="I2977" s="4">
        <f t="shared" si="137"/>
        <v>349526.07999999996</v>
      </c>
      <c r="J2977" s="32" t="str">
        <f t="shared" si="136"/>
        <v/>
      </c>
      <c r="K2977" s="72"/>
      <c r="L2977" s="72"/>
      <c r="M2977" s="2"/>
      <c r="N2977" s="5"/>
      <c r="O2977" s="3"/>
      <c r="P2977" s="6"/>
      <c r="Q2977" s="48">
        <f>IF(Учет!$O2977=Справочники!$F$2,Учет!$H2977,0)</f>
        <v>0</v>
      </c>
      <c r="R2977" s="48">
        <f>IF(Учет!$O2977=Справочники!$F$3,Учет!$H2977,0)</f>
        <v>0</v>
      </c>
      <c r="S2977" s="48">
        <f>IF(Учет!$O2977=Справочники!$F$4,Учет!$H2977,0)</f>
        <v>0</v>
      </c>
      <c r="T2977" s="48">
        <f>IF(Учет!$O2977=Справочники!$F$5,Учет!$H2977,0)</f>
        <v>0</v>
      </c>
      <c r="U2977" s="48">
        <f>IF(Учет!$O2977=Справочники!$F$6,Учет!$H2977,0)</f>
        <v>0</v>
      </c>
      <c r="V2977" s="43">
        <f>V2976+Учет!Q2977-Q2977</f>
        <v>-488978.92000000004</v>
      </c>
      <c r="W2977" s="43">
        <f>W2976+Учет!R2977-R2977</f>
        <v>336855</v>
      </c>
      <c r="X2977" s="43">
        <f>X2976+Учет!S2977-S2977</f>
        <v>500</v>
      </c>
      <c r="Y2977" s="43">
        <f>Y2976+Учет!T2977-T2977</f>
        <v>1150</v>
      </c>
      <c r="Z2977" s="43">
        <f>Z2976+Учет!U2977-U2977</f>
        <v>500000</v>
      </c>
      <c r="AA2977" s="45">
        <f>Учет!X2977</f>
        <v>500</v>
      </c>
    </row>
    <row r="2978" spans="1:27" ht="15" customHeight="1" x14ac:dyDescent="0.25">
      <c r="A2978" s="1"/>
      <c r="B2978" s="17"/>
      <c r="C2978" s="17"/>
      <c r="D2978" s="17"/>
      <c r="E2978" s="17"/>
      <c r="F2978" s="17"/>
      <c r="G2978" s="4">
        <f t="shared" si="135"/>
        <v>0</v>
      </c>
      <c r="H2978" s="17"/>
      <c r="I2978" s="4">
        <f t="shared" si="137"/>
        <v>349526.07999999996</v>
      </c>
      <c r="J2978" s="32" t="str">
        <f t="shared" si="136"/>
        <v/>
      </c>
      <c r="K2978" s="72"/>
      <c r="L2978" s="72"/>
      <c r="M2978" s="2"/>
      <c r="N2978" s="5"/>
      <c r="O2978" s="3"/>
      <c r="P2978" s="6"/>
      <c r="Q2978" s="48">
        <f>IF(Учет!$O2978=Справочники!$F$2,Учет!$H2978,0)</f>
        <v>0</v>
      </c>
      <c r="R2978" s="48">
        <f>IF(Учет!$O2978=Справочники!$F$3,Учет!$H2978,0)</f>
        <v>0</v>
      </c>
      <c r="S2978" s="48">
        <f>IF(Учет!$O2978=Справочники!$F$4,Учет!$H2978,0)</f>
        <v>0</v>
      </c>
      <c r="T2978" s="48">
        <f>IF(Учет!$O2978=Справочники!$F$5,Учет!$H2978,0)</f>
        <v>0</v>
      </c>
      <c r="U2978" s="48">
        <f>IF(Учет!$O2978=Справочники!$F$6,Учет!$H2978,0)</f>
        <v>0</v>
      </c>
      <c r="V2978" s="43">
        <f>V2977+Учет!Q2978-Q2978</f>
        <v>-488978.92000000004</v>
      </c>
      <c r="W2978" s="43">
        <f>W2977+Учет!R2978-R2978</f>
        <v>336855</v>
      </c>
      <c r="X2978" s="43">
        <f>X2977+Учет!S2978-S2978</f>
        <v>500</v>
      </c>
      <c r="Y2978" s="43">
        <f>Y2977+Учет!T2978-T2978</f>
        <v>1150</v>
      </c>
      <c r="Z2978" s="43">
        <f>Z2977+Учет!U2978-U2978</f>
        <v>500000</v>
      </c>
      <c r="AA2978" s="45">
        <f>Учет!X2978</f>
        <v>500</v>
      </c>
    </row>
    <row r="2979" spans="1:27" ht="15" customHeight="1" x14ac:dyDescent="0.25">
      <c r="A2979" s="1"/>
      <c r="B2979" s="17"/>
      <c r="C2979" s="17"/>
      <c r="D2979" s="17"/>
      <c r="E2979" s="17"/>
      <c r="F2979" s="17"/>
      <c r="G2979" s="4">
        <f t="shared" si="135"/>
        <v>0</v>
      </c>
      <c r="H2979" s="17"/>
      <c r="I2979" s="4">
        <f t="shared" si="137"/>
        <v>349526.07999999996</v>
      </c>
      <c r="J2979" s="32" t="str">
        <f t="shared" si="136"/>
        <v/>
      </c>
      <c r="K2979" s="72"/>
      <c r="L2979" s="72"/>
      <c r="M2979" s="2"/>
      <c r="N2979" s="5"/>
      <c r="O2979" s="3"/>
      <c r="P2979" s="6"/>
      <c r="Q2979" s="48">
        <f>IF(Учет!$O2979=Справочники!$F$2,Учет!$H2979,0)</f>
        <v>0</v>
      </c>
      <c r="R2979" s="48">
        <f>IF(Учет!$O2979=Справочники!$F$3,Учет!$H2979,0)</f>
        <v>0</v>
      </c>
      <c r="S2979" s="48">
        <f>IF(Учет!$O2979=Справочники!$F$4,Учет!$H2979,0)</f>
        <v>0</v>
      </c>
      <c r="T2979" s="48">
        <f>IF(Учет!$O2979=Справочники!$F$5,Учет!$H2979,0)</f>
        <v>0</v>
      </c>
      <c r="U2979" s="48">
        <f>IF(Учет!$O2979=Справочники!$F$6,Учет!$H2979,0)</f>
        <v>0</v>
      </c>
      <c r="V2979" s="43">
        <f>V2978+Учет!Q2979-Q2979</f>
        <v>-488978.92000000004</v>
      </c>
      <c r="W2979" s="43">
        <f>W2978+Учет!R2979-R2979</f>
        <v>336855</v>
      </c>
      <c r="X2979" s="43">
        <f>X2978+Учет!S2979-S2979</f>
        <v>500</v>
      </c>
      <c r="Y2979" s="43">
        <f>Y2978+Учет!T2979-T2979</f>
        <v>1150</v>
      </c>
      <c r="Z2979" s="43">
        <f>Z2978+Учет!U2979-U2979</f>
        <v>500000</v>
      </c>
      <c r="AA2979" s="45">
        <f>Учет!X2979</f>
        <v>500</v>
      </c>
    </row>
    <row r="2980" spans="1:27" ht="15" customHeight="1" x14ac:dyDescent="0.25">
      <c r="A2980" s="1"/>
      <c r="B2980" s="17"/>
      <c r="C2980" s="17"/>
      <c r="D2980" s="17"/>
      <c r="E2980" s="17"/>
      <c r="F2980" s="17"/>
      <c r="G2980" s="4">
        <f t="shared" si="135"/>
        <v>0</v>
      </c>
      <c r="H2980" s="17"/>
      <c r="I2980" s="4">
        <f t="shared" si="137"/>
        <v>349526.07999999996</v>
      </c>
      <c r="J2980" s="32" t="str">
        <f t="shared" si="136"/>
        <v/>
      </c>
      <c r="K2980" s="72"/>
      <c r="L2980" s="72"/>
      <c r="M2980" s="2"/>
      <c r="N2980" s="5"/>
      <c r="O2980" s="3"/>
      <c r="P2980" s="6"/>
      <c r="Q2980" s="48">
        <f>IF(Учет!$O2980=Справочники!$F$2,Учет!$H2980,0)</f>
        <v>0</v>
      </c>
      <c r="R2980" s="48">
        <f>IF(Учет!$O2980=Справочники!$F$3,Учет!$H2980,0)</f>
        <v>0</v>
      </c>
      <c r="S2980" s="48">
        <f>IF(Учет!$O2980=Справочники!$F$4,Учет!$H2980,0)</f>
        <v>0</v>
      </c>
      <c r="T2980" s="48">
        <f>IF(Учет!$O2980=Справочники!$F$5,Учет!$H2980,0)</f>
        <v>0</v>
      </c>
      <c r="U2980" s="48">
        <f>IF(Учет!$O2980=Справочники!$F$6,Учет!$H2980,0)</f>
        <v>0</v>
      </c>
      <c r="V2980" s="43">
        <f>V2979+Учет!Q2980-Q2980</f>
        <v>-488978.92000000004</v>
      </c>
      <c r="W2980" s="43">
        <f>W2979+Учет!R2980-R2980</f>
        <v>336855</v>
      </c>
      <c r="X2980" s="43">
        <f>X2979+Учет!S2980-S2980</f>
        <v>500</v>
      </c>
      <c r="Y2980" s="43">
        <f>Y2979+Учет!T2980-T2980</f>
        <v>1150</v>
      </c>
      <c r="Z2980" s="43">
        <f>Z2979+Учет!U2980-U2980</f>
        <v>500000</v>
      </c>
      <c r="AA2980" s="45">
        <f>Учет!X2980</f>
        <v>500</v>
      </c>
    </row>
    <row r="2981" spans="1:27" ht="15" customHeight="1" x14ac:dyDescent="0.25">
      <c r="A2981" s="1"/>
      <c r="B2981" s="17"/>
      <c r="C2981" s="17"/>
      <c r="D2981" s="17"/>
      <c r="E2981" s="17"/>
      <c r="F2981" s="17"/>
      <c r="G2981" s="4">
        <f t="shared" si="135"/>
        <v>0</v>
      </c>
      <c r="H2981" s="17"/>
      <c r="I2981" s="4">
        <f t="shared" si="137"/>
        <v>349526.07999999996</v>
      </c>
      <c r="J2981" s="32" t="str">
        <f t="shared" si="136"/>
        <v/>
      </c>
      <c r="K2981" s="72"/>
      <c r="L2981" s="72"/>
      <c r="M2981" s="2"/>
      <c r="N2981" s="5"/>
      <c r="O2981" s="3"/>
      <c r="P2981" s="6"/>
      <c r="Q2981" s="48">
        <f>IF(Учет!$O2981=Справочники!$F$2,Учет!$H2981,0)</f>
        <v>0</v>
      </c>
      <c r="R2981" s="48">
        <f>IF(Учет!$O2981=Справочники!$F$3,Учет!$H2981,0)</f>
        <v>0</v>
      </c>
      <c r="S2981" s="48">
        <f>IF(Учет!$O2981=Справочники!$F$4,Учет!$H2981,0)</f>
        <v>0</v>
      </c>
      <c r="T2981" s="48">
        <f>IF(Учет!$O2981=Справочники!$F$5,Учет!$H2981,0)</f>
        <v>0</v>
      </c>
      <c r="U2981" s="48">
        <f>IF(Учет!$O2981=Справочники!$F$6,Учет!$H2981,0)</f>
        <v>0</v>
      </c>
      <c r="V2981" s="43">
        <f>V2980+Учет!Q2981-Q2981</f>
        <v>-488978.92000000004</v>
      </c>
      <c r="W2981" s="43">
        <f>W2980+Учет!R2981-R2981</f>
        <v>336855</v>
      </c>
      <c r="X2981" s="43">
        <f>X2980+Учет!S2981-S2981</f>
        <v>500</v>
      </c>
      <c r="Y2981" s="43">
        <f>Y2980+Учет!T2981-T2981</f>
        <v>1150</v>
      </c>
      <c r="Z2981" s="43">
        <f>Z2980+Учет!U2981-U2981</f>
        <v>500000</v>
      </c>
      <c r="AA2981" s="45">
        <f>Учет!X2981</f>
        <v>500</v>
      </c>
    </row>
    <row r="2982" spans="1:27" ht="15" customHeight="1" x14ac:dyDescent="0.25">
      <c r="A2982" s="1"/>
      <c r="B2982" s="17"/>
      <c r="C2982" s="17"/>
      <c r="D2982" s="17"/>
      <c r="E2982" s="17"/>
      <c r="F2982" s="17"/>
      <c r="G2982" s="4">
        <f t="shared" si="135"/>
        <v>0</v>
      </c>
      <c r="H2982" s="17"/>
      <c r="I2982" s="4">
        <f t="shared" si="137"/>
        <v>349526.07999999996</v>
      </c>
      <c r="J2982" s="32" t="str">
        <f t="shared" si="136"/>
        <v/>
      </c>
      <c r="K2982" s="72"/>
      <c r="L2982" s="72"/>
      <c r="M2982" s="2"/>
      <c r="N2982" s="5"/>
      <c r="O2982" s="3"/>
      <c r="P2982" s="6"/>
      <c r="Q2982" s="48">
        <f>IF(Учет!$O2982=Справочники!$F$2,Учет!$H2982,0)</f>
        <v>0</v>
      </c>
      <c r="R2982" s="48">
        <f>IF(Учет!$O2982=Справочники!$F$3,Учет!$H2982,0)</f>
        <v>0</v>
      </c>
      <c r="S2982" s="48">
        <f>IF(Учет!$O2982=Справочники!$F$4,Учет!$H2982,0)</f>
        <v>0</v>
      </c>
      <c r="T2982" s="48">
        <f>IF(Учет!$O2982=Справочники!$F$5,Учет!$H2982,0)</f>
        <v>0</v>
      </c>
      <c r="U2982" s="48">
        <f>IF(Учет!$O2982=Справочники!$F$6,Учет!$H2982,0)</f>
        <v>0</v>
      </c>
      <c r="V2982" s="43">
        <f>V2981+Учет!Q2982-Q2982</f>
        <v>-488978.92000000004</v>
      </c>
      <c r="W2982" s="43">
        <f>W2981+Учет!R2982-R2982</f>
        <v>336855</v>
      </c>
      <c r="X2982" s="43">
        <f>X2981+Учет!S2982-S2982</f>
        <v>500</v>
      </c>
      <c r="Y2982" s="43">
        <f>Y2981+Учет!T2982-T2982</f>
        <v>1150</v>
      </c>
      <c r="Z2982" s="43">
        <f>Z2981+Учет!U2982-U2982</f>
        <v>500000</v>
      </c>
      <c r="AA2982" s="45">
        <f>Учет!X2982</f>
        <v>500</v>
      </c>
    </row>
    <row r="2983" spans="1:27" ht="15" customHeight="1" x14ac:dyDescent="0.25">
      <c r="A2983" s="1"/>
      <c r="B2983" s="17"/>
      <c r="C2983" s="17"/>
      <c r="D2983" s="17"/>
      <c r="E2983" s="17"/>
      <c r="F2983" s="17"/>
      <c r="G2983" s="4">
        <f t="shared" si="135"/>
        <v>0</v>
      </c>
      <c r="H2983" s="17"/>
      <c r="I2983" s="4">
        <f t="shared" si="137"/>
        <v>349526.07999999996</v>
      </c>
      <c r="J2983" s="32" t="str">
        <f t="shared" si="136"/>
        <v/>
      </c>
      <c r="K2983" s="72"/>
      <c r="L2983" s="72"/>
      <c r="M2983" s="2"/>
      <c r="N2983" s="5"/>
      <c r="O2983" s="3"/>
      <c r="P2983" s="6"/>
      <c r="Q2983" s="48">
        <f>IF(Учет!$O2983=Справочники!$F$2,Учет!$H2983,0)</f>
        <v>0</v>
      </c>
      <c r="R2983" s="48">
        <f>IF(Учет!$O2983=Справочники!$F$3,Учет!$H2983,0)</f>
        <v>0</v>
      </c>
      <c r="S2983" s="48">
        <f>IF(Учет!$O2983=Справочники!$F$4,Учет!$H2983,0)</f>
        <v>0</v>
      </c>
      <c r="T2983" s="48">
        <f>IF(Учет!$O2983=Справочники!$F$5,Учет!$H2983,0)</f>
        <v>0</v>
      </c>
      <c r="U2983" s="48">
        <f>IF(Учет!$O2983=Справочники!$F$6,Учет!$H2983,0)</f>
        <v>0</v>
      </c>
      <c r="V2983" s="43">
        <f>V2982+Учет!Q2983-Q2983</f>
        <v>-488978.92000000004</v>
      </c>
      <c r="W2983" s="43">
        <f>W2982+Учет!R2983-R2983</f>
        <v>336855</v>
      </c>
      <c r="X2983" s="43">
        <f>X2982+Учет!S2983-S2983</f>
        <v>500</v>
      </c>
      <c r="Y2983" s="43">
        <f>Y2982+Учет!T2983-T2983</f>
        <v>1150</v>
      </c>
      <c r="Z2983" s="43">
        <f>Z2982+Учет!U2983-U2983</f>
        <v>500000</v>
      </c>
      <c r="AA2983" s="45">
        <f>Учет!X2983</f>
        <v>500</v>
      </c>
    </row>
    <row r="2984" spans="1:27" ht="15" customHeight="1" x14ac:dyDescent="0.25">
      <c r="A2984" s="1"/>
      <c r="B2984" s="17"/>
      <c r="C2984" s="17"/>
      <c r="D2984" s="17"/>
      <c r="E2984" s="17"/>
      <c r="F2984" s="17"/>
      <c r="G2984" s="4">
        <f t="shared" si="135"/>
        <v>0</v>
      </c>
      <c r="H2984" s="17"/>
      <c r="I2984" s="4">
        <f t="shared" si="137"/>
        <v>349526.07999999996</v>
      </c>
      <c r="J2984" s="32" t="str">
        <f t="shared" si="136"/>
        <v/>
      </c>
      <c r="K2984" s="72"/>
      <c r="L2984" s="72"/>
      <c r="M2984" s="2"/>
      <c r="N2984" s="5"/>
      <c r="O2984" s="3"/>
      <c r="P2984" s="6"/>
      <c r="Q2984" s="48">
        <f>IF(Учет!$O2984=Справочники!$F$2,Учет!$H2984,0)</f>
        <v>0</v>
      </c>
      <c r="R2984" s="48">
        <f>IF(Учет!$O2984=Справочники!$F$3,Учет!$H2984,0)</f>
        <v>0</v>
      </c>
      <c r="S2984" s="48">
        <f>IF(Учет!$O2984=Справочники!$F$4,Учет!$H2984,0)</f>
        <v>0</v>
      </c>
      <c r="T2984" s="48">
        <f>IF(Учет!$O2984=Справочники!$F$5,Учет!$H2984,0)</f>
        <v>0</v>
      </c>
      <c r="U2984" s="48">
        <f>IF(Учет!$O2984=Справочники!$F$6,Учет!$H2984,0)</f>
        <v>0</v>
      </c>
      <c r="V2984" s="43">
        <f>V2983+Учет!Q2984-Q2984</f>
        <v>-488978.92000000004</v>
      </c>
      <c r="W2984" s="43">
        <f>W2983+Учет!R2984-R2984</f>
        <v>336855</v>
      </c>
      <c r="X2984" s="43">
        <f>X2983+Учет!S2984-S2984</f>
        <v>500</v>
      </c>
      <c r="Y2984" s="43">
        <f>Y2983+Учет!T2984-T2984</f>
        <v>1150</v>
      </c>
      <c r="Z2984" s="43">
        <f>Z2983+Учет!U2984-U2984</f>
        <v>500000</v>
      </c>
      <c r="AA2984" s="45">
        <f>Учет!X2984</f>
        <v>500</v>
      </c>
    </row>
    <row r="2985" spans="1:27" ht="15" customHeight="1" x14ac:dyDescent="0.25">
      <c r="A2985" s="1"/>
      <c r="B2985" s="17"/>
      <c r="C2985" s="17"/>
      <c r="D2985" s="17"/>
      <c r="E2985" s="17"/>
      <c r="F2985" s="17"/>
      <c r="G2985" s="4">
        <f t="shared" si="135"/>
        <v>0</v>
      </c>
      <c r="H2985" s="17"/>
      <c r="I2985" s="4">
        <f t="shared" si="137"/>
        <v>349526.07999999996</v>
      </c>
      <c r="J2985" s="32" t="str">
        <f t="shared" si="136"/>
        <v/>
      </c>
      <c r="K2985" s="72"/>
      <c r="L2985" s="72"/>
      <c r="M2985" s="2"/>
      <c r="N2985" s="5"/>
      <c r="O2985" s="3"/>
      <c r="P2985" s="6"/>
      <c r="Q2985" s="48">
        <f>IF(Учет!$O2985=Справочники!$F$2,Учет!$H2985,0)</f>
        <v>0</v>
      </c>
      <c r="R2985" s="48">
        <f>IF(Учет!$O2985=Справочники!$F$3,Учет!$H2985,0)</f>
        <v>0</v>
      </c>
      <c r="S2985" s="48">
        <f>IF(Учет!$O2985=Справочники!$F$4,Учет!$H2985,0)</f>
        <v>0</v>
      </c>
      <c r="T2985" s="48">
        <f>IF(Учет!$O2985=Справочники!$F$5,Учет!$H2985,0)</f>
        <v>0</v>
      </c>
      <c r="U2985" s="48">
        <f>IF(Учет!$O2985=Справочники!$F$6,Учет!$H2985,0)</f>
        <v>0</v>
      </c>
      <c r="V2985" s="43">
        <f>V2984+Учет!Q2985-Q2985</f>
        <v>-488978.92000000004</v>
      </c>
      <c r="W2985" s="43">
        <f>W2984+Учет!R2985-R2985</f>
        <v>336855</v>
      </c>
      <c r="X2985" s="43">
        <f>X2984+Учет!S2985-S2985</f>
        <v>500</v>
      </c>
      <c r="Y2985" s="43">
        <f>Y2984+Учет!T2985-T2985</f>
        <v>1150</v>
      </c>
      <c r="Z2985" s="43">
        <f>Z2984+Учет!U2985-U2985</f>
        <v>500000</v>
      </c>
      <c r="AA2985" s="45">
        <f>Учет!X2985</f>
        <v>500</v>
      </c>
    </row>
    <row r="2986" spans="1:27" ht="15" customHeight="1" x14ac:dyDescent="0.25">
      <c r="A2986" s="1"/>
      <c r="B2986" s="17"/>
      <c r="C2986" s="17"/>
      <c r="D2986" s="17"/>
      <c r="E2986" s="17"/>
      <c r="F2986" s="17"/>
      <c r="G2986" s="4">
        <f t="shared" si="135"/>
        <v>0</v>
      </c>
      <c r="H2986" s="17"/>
      <c r="I2986" s="4">
        <f t="shared" si="137"/>
        <v>349526.07999999996</v>
      </c>
      <c r="J2986" s="32" t="str">
        <f t="shared" si="136"/>
        <v/>
      </c>
      <c r="K2986" s="72"/>
      <c r="L2986" s="72"/>
      <c r="M2986" s="2"/>
      <c r="N2986" s="5"/>
      <c r="O2986" s="3"/>
      <c r="P2986" s="6"/>
      <c r="Q2986" s="48">
        <f>IF(Учет!$O2986=Справочники!$F$2,Учет!$H2986,0)</f>
        <v>0</v>
      </c>
      <c r="R2986" s="48">
        <f>IF(Учет!$O2986=Справочники!$F$3,Учет!$H2986,0)</f>
        <v>0</v>
      </c>
      <c r="S2986" s="48">
        <f>IF(Учет!$O2986=Справочники!$F$4,Учет!$H2986,0)</f>
        <v>0</v>
      </c>
      <c r="T2986" s="48">
        <f>IF(Учет!$O2986=Справочники!$F$5,Учет!$H2986,0)</f>
        <v>0</v>
      </c>
      <c r="U2986" s="48">
        <f>IF(Учет!$O2986=Справочники!$F$6,Учет!$H2986,0)</f>
        <v>0</v>
      </c>
      <c r="V2986" s="43">
        <f>V2985+Учет!Q2986-Q2986</f>
        <v>-488978.92000000004</v>
      </c>
      <c r="W2986" s="43">
        <f>W2985+Учет!R2986-R2986</f>
        <v>336855</v>
      </c>
      <c r="X2986" s="43">
        <f>X2985+Учет!S2986-S2986</f>
        <v>500</v>
      </c>
      <c r="Y2986" s="43">
        <f>Y2985+Учет!T2986-T2986</f>
        <v>1150</v>
      </c>
      <c r="Z2986" s="43">
        <f>Z2985+Учет!U2986-U2986</f>
        <v>500000</v>
      </c>
      <c r="AA2986" s="45">
        <f>Учет!X2986</f>
        <v>500</v>
      </c>
    </row>
    <row r="2987" spans="1:27" ht="15" customHeight="1" x14ac:dyDescent="0.25">
      <c r="A2987" s="1"/>
      <c r="B2987" s="17"/>
      <c r="C2987" s="17"/>
      <c r="D2987" s="17"/>
      <c r="E2987" s="17"/>
      <c r="F2987" s="17"/>
      <c r="G2987" s="4">
        <f t="shared" si="135"/>
        <v>0</v>
      </c>
      <c r="H2987" s="17"/>
      <c r="I2987" s="4">
        <f t="shared" si="137"/>
        <v>349526.07999999996</v>
      </c>
      <c r="J2987" s="32" t="str">
        <f t="shared" si="136"/>
        <v/>
      </c>
      <c r="K2987" s="72"/>
      <c r="L2987" s="72"/>
      <c r="M2987" s="2"/>
      <c r="N2987" s="5"/>
      <c r="O2987" s="3"/>
      <c r="P2987" s="6"/>
      <c r="Q2987" s="48">
        <f>IF(Учет!$O2987=Справочники!$F$2,Учет!$H2987,0)</f>
        <v>0</v>
      </c>
      <c r="R2987" s="48">
        <f>IF(Учет!$O2987=Справочники!$F$3,Учет!$H2987,0)</f>
        <v>0</v>
      </c>
      <c r="S2987" s="48">
        <f>IF(Учет!$O2987=Справочники!$F$4,Учет!$H2987,0)</f>
        <v>0</v>
      </c>
      <c r="T2987" s="48">
        <f>IF(Учет!$O2987=Справочники!$F$5,Учет!$H2987,0)</f>
        <v>0</v>
      </c>
      <c r="U2987" s="48">
        <f>IF(Учет!$O2987=Справочники!$F$6,Учет!$H2987,0)</f>
        <v>0</v>
      </c>
      <c r="V2987" s="43">
        <f>V2986+Учет!Q2987-Q2987</f>
        <v>-488978.92000000004</v>
      </c>
      <c r="W2987" s="43">
        <f>W2986+Учет!R2987-R2987</f>
        <v>336855</v>
      </c>
      <c r="X2987" s="43">
        <f>X2986+Учет!S2987-S2987</f>
        <v>500</v>
      </c>
      <c r="Y2987" s="43">
        <f>Y2986+Учет!T2987-T2987</f>
        <v>1150</v>
      </c>
      <c r="Z2987" s="43">
        <f>Z2986+Учет!U2987-U2987</f>
        <v>500000</v>
      </c>
      <c r="AA2987" s="45">
        <f>Учет!X2987</f>
        <v>500</v>
      </c>
    </row>
    <row r="2988" spans="1:27" ht="15" customHeight="1" x14ac:dyDescent="0.25">
      <c r="A2988" s="1"/>
      <c r="B2988" s="17"/>
      <c r="C2988" s="17"/>
      <c r="D2988" s="17"/>
      <c r="E2988" s="17"/>
      <c r="F2988" s="17"/>
      <c r="G2988" s="4">
        <f t="shared" si="135"/>
        <v>0</v>
      </c>
      <c r="H2988" s="17"/>
      <c r="I2988" s="4">
        <f t="shared" si="137"/>
        <v>349526.07999999996</v>
      </c>
      <c r="J2988" s="32" t="str">
        <f t="shared" si="136"/>
        <v/>
      </c>
      <c r="K2988" s="72"/>
      <c r="L2988" s="72"/>
      <c r="M2988" s="2"/>
      <c r="N2988" s="5"/>
      <c r="O2988" s="3"/>
      <c r="P2988" s="6"/>
      <c r="Q2988" s="48">
        <f>IF(Учет!$O2988=Справочники!$F$2,Учет!$H2988,0)</f>
        <v>0</v>
      </c>
      <c r="R2988" s="48">
        <f>IF(Учет!$O2988=Справочники!$F$3,Учет!$H2988,0)</f>
        <v>0</v>
      </c>
      <c r="S2988" s="48">
        <f>IF(Учет!$O2988=Справочники!$F$4,Учет!$H2988,0)</f>
        <v>0</v>
      </c>
      <c r="T2988" s="48">
        <f>IF(Учет!$O2988=Справочники!$F$5,Учет!$H2988,0)</f>
        <v>0</v>
      </c>
      <c r="U2988" s="48">
        <f>IF(Учет!$O2988=Справочники!$F$6,Учет!$H2988,0)</f>
        <v>0</v>
      </c>
      <c r="V2988" s="43">
        <f>V2987+Учет!Q2988-Q2988</f>
        <v>-488978.92000000004</v>
      </c>
      <c r="W2988" s="43">
        <f>W2987+Учет!R2988-R2988</f>
        <v>336855</v>
      </c>
      <c r="X2988" s="43">
        <f>X2987+Учет!S2988-S2988</f>
        <v>500</v>
      </c>
      <c r="Y2988" s="43">
        <f>Y2987+Учет!T2988-T2988</f>
        <v>1150</v>
      </c>
      <c r="Z2988" s="43">
        <f>Z2987+Учет!U2988-U2988</f>
        <v>500000</v>
      </c>
      <c r="AA2988" s="45">
        <f>Учет!X2988</f>
        <v>500</v>
      </c>
    </row>
    <row r="2989" spans="1:27" ht="15" customHeight="1" x14ac:dyDescent="0.25">
      <c r="A2989" s="1"/>
      <c r="B2989" s="17"/>
      <c r="C2989" s="17"/>
      <c r="D2989" s="17"/>
      <c r="E2989" s="17"/>
      <c r="F2989" s="17"/>
      <c r="G2989" s="4">
        <f t="shared" si="135"/>
        <v>0</v>
      </c>
      <c r="H2989" s="17"/>
      <c r="I2989" s="4">
        <f t="shared" si="137"/>
        <v>349526.07999999996</v>
      </c>
      <c r="J2989" s="32" t="str">
        <f t="shared" si="136"/>
        <v/>
      </c>
      <c r="K2989" s="72"/>
      <c r="L2989" s="72"/>
      <c r="M2989" s="2"/>
      <c r="N2989" s="5"/>
      <c r="O2989" s="3"/>
      <c r="P2989" s="6"/>
      <c r="Q2989" s="48">
        <f>IF(Учет!$O2989=Справочники!$F$2,Учет!$H2989,0)</f>
        <v>0</v>
      </c>
      <c r="R2989" s="48">
        <f>IF(Учет!$O2989=Справочники!$F$3,Учет!$H2989,0)</f>
        <v>0</v>
      </c>
      <c r="S2989" s="48">
        <f>IF(Учет!$O2989=Справочники!$F$4,Учет!$H2989,0)</f>
        <v>0</v>
      </c>
      <c r="T2989" s="48">
        <f>IF(Учет!$O2989=Справочники!$F$5,Учет!$H2989,0)</f>
        <v>0</v>
      </c>
      <c r="U2989" s="48">
        <f>IF(Учет!$O2989=Справочники!$F$6,Учет!$H2989,0)</f>
        <v>0</v>
      </c>
      <c r="V2989" s="43">
        <f>V2988+Учет!Q2989-Q2989</f>
        <v>-488978.92000000004</v>
      </c>
      <c r="W2989" s="43">
        <f>W2988+Учет!R2989-R2989</f>
        <v>336855</v>
      </c>
      <c r="X2989" s="43">
        <f>X2988+Учет!S2989-S2989</f>
        <v>500</v>
      </c>
      <c r="Y2989" s="43">
        <f>Y2988+Учет!T2989-T2989</f>
        <v>1150</v>
      </c>
      <c r="Z2989" s="43">
        <f>Z2988+Учет!U2989-U2989</f>
        <v>500000</v>
      </c>
      <c r="AA2989" s="45">
        <f>Учет!X2989</f>
        <v>500</v>
      </c>
    </row>
    <row r="2990" spans="1:27" ht="15" customHeight="1" x14ac:dyDescent="0.25">
      <c r="A2990" s="1"/>
      <c r="B2990" s="17"/>
      <c r="C2990" s="17"/>
      <c r="D2990" s="17"/>
      <c r="E2990" s="17"/>
      <c r="F2990" s="17"/>
      <c r="G2990" s="4">
        <f t="shared" si="135"/>
        <v>0</v>
      </c>
      <c r="H2990" s="17"/>
      <c r="I2990" s="4">
        <f t="shared" si="137"/>
        <v>349526.07999999996</v>
      </c>
      <c r="J2990" s="32" t="str">
        <f t="shared" si="136"/>
        <v/>
      </c>
      <c r="K2990" s="72"/>
      <c r="L2990" s="72"/>
      <c r="M2990" s="2"/>
      <c r="N2990" s="5"/>
      <c r="O2990" s="3"/>
      <c r="P2990" s="6"/>
      <c r="Q2990" s="48">
        <f>IF(Учет!$O2990=Справочники!$F$2,Учет!$H2990,0)</f>
        <v>0</v>
      </c>
      <c r="R2990" s="48">
        <f>IF(Учет!$O2990=Справочники!$F$3,Учет!$H2990,0)</f>
        <v>0</v>
      </c>
      <c r="S2990" s="48">
        <f>IF(Учет!$O2990=Справочники!$F$4,Учет!$H2990,0)</f>
        <v>0</v>
      </c>
      <c r="T2990" s="48">
        <f>IF(Учет!$O2990=Справочники!$F$5,Учет!$H2990,0)</f>
        <v>0</v>
      </c>
      <c r="U2990" s="48">
        <f>IF(Учет!$O2990=Справочники!$F$6,Учет!$H2990,0)</f>
        <v>0</v>
      </c>
      <c r="V2990" s="43">
        <f>V2989+Учет!Q2990-Q2990</f>
        <v>-488978.92000000004</v>
      </c>
      <c r="W2990" s="43">
        <f>W2989+Учет!R2990-R2990</f>
        <v>336855</v>
      </c>
      <c r="X2990" s="43">
        <f>X2989+Учет!S2990-S2990</f>
        <v>500</v>
      </c>
      <c r="Y2990" s="43">
        <f>Y2989+Учет!T2990-T2990</f>
        <v>1150</v>
      </c>
      <c r="Z2990" s="43">
        <f>Z2989+Учет!U2990-U2990</f>
        <v>500000</v>
      </c>
      <c r="AA2990" s="45">
        <f>Учет!X2990</f>
        <v>500</v>
      </c>
    </row>
    <row r="2991" spans="1:27" ht="15" customHeight="1" x14ac:dyDescent="0.25">
      <c r="A2991" s="1"/>
      <c r="B2991" s="17"/>
      <c r="C2991" s="17"/>
      <c r="D2991" s="17"/>
      <c r="E2991" s="17"/>
      <c r="F2991" s="17"/>
      <c r="G2991" s="4">
        <f t="shared" si="135"/>
        <v>0</v>
      </c>
      <c r="H2991" s="17"/>
      <c r="I2991" s="4">
        <f t="shared" si="137"/>
        <v>349526.07999999996</v>
      </c>
      <c r="J2991" s="32" t="str">
        <f t="shared" si="136"/>
        <v/>
      </c>
      <c r="K2991" s="72"/>
      <c r="L2991" s="72"/>
      <c r="M2991" s="2"/>
      <c r="N2991" s="5"/>
      <c r="O2991" s="3"/>
      <c r="P2991" s="6"/>
      <c r="Q2991" s="48">
        <f>IF(Учет!$O2991=Справочники!$F$2,Учет!$H2991,0)</f>
        <v>0</v>
      </c>
      <c r="R2991" s="48">
        <f>IF(Учет!$O2991=Справочники!$F$3,Учет!$H2991,0)</f>
        <v>0</v>
      </c>
      <c r="S2991" s="48">
        <f>IF(Учет!$O2991=Справочники!$F$4,Учет!$H2991,0)</f>
        <v>0</v>
      </c>
      <c r="T2991" s="48">
        <f>IF(Учет!$O2991=Справочники!$F$5,Учет!$H2991,0)</f>
        <v>0</v>
      </c>
      <c r="U2991" s="48">
        <f>IF(Учет!$O2991=Справочники!$F$6,Учет!$H2991,0)</f>
        <v>0</v>
      </c>
      <c r="V2991" s="43">
        <f>V2990+Учет!Q2991-Q2991</f>
        <v>-488978.92000000004</v>
      </c>
      <c r="W2991" s="43">
        <f>W2990+Учет!R2991-R2991</f>
        <v>336855</v>
      </c>
      <c r="X2991" s="43">
        <f>X2990+Учет!S2991-S2991</f>
        <v>500</v>
      </c>
      <c r="Y2991" s="43">
        <f>Y2990+Учет!T2991-T2991</f>
        <v>1150</v>
      </c>
      <c r="Z2991" s="43">
        <f>Z2990+Учет!U2991-U2991</f>
        <v>500000</v>
      </c>
      <c r="AA2991" s="45">
        <f>Учет!X2991</f>
        <v>500</v>
      </c>
    </row>
    <row r="2992" spans="1:27" ht="15" customHeight="1" x14ac:dyDescent="0.25">
      <c r="A2992" s="1"/>
      <c r="B2992" s="17"/>
      <c r="C2992" s="17"/>
      <c r="D2992" s="17"/>
      <c r="E2992" s="17"/>
      <c r="F2992" s="17"/>
      <c r="G2992" s="4">
        <f t="shared" si="135"/>
        <v>0</v>
      </c>
      <c r="H2992" s="17"/>
      <c r="I2992" s="4">
        <f t="shared" si="137"/>
        <v>349526.07999999996</v>
      </c>
      <c r="J2992" s="32" t="str">
        <f t="shared" si="136"/>
        <v/>
      </c>
      <c r="K2992" s="72"/>
      <c r="L2992" s="72"/>
      <c r="M2992" s="2"/>
      <c r="N2992" s="5"/>
      <c r="O2992" s="3"/>
      <c r="P2992" s="6"/>
      <c r="Q2992" s="48">
        <f>IF(Учет!$O2992=Справочники!$F$2,Учет!$H2992,0)</f>
        <v>0</v>
      </c>
      <c r="R2992" s="48">
        <f>IF(Учет!$O2992=Справочники!$F$3,Учет!$H2992,0)</f>
        <v>0</v>
      </c>
      <c r="S2992" s="48">
        <f>IF(Учет!$O2992=Справочники!$F$4,Учет!$H2992,0)</f>
        <v>0</v>
      </c>
      <c r="T2992" s="48">
        <f>IF(Учет!$O2992=Справочники!$F$5,Учет!$H2992,0)</f>
        <v>0</v>
      </c>
      <c r="U2992" s="48">
        <f>IF(Учет!$O2992=Справочники!$F$6,Учет!$H2992,0)</f>
        <v>0</v>
      </c>
      <c r="V2992" s="43">
        <f>V2991+Учет!Q2992-Q2992</f>
        <v>-488978.92000000004</v>
      </c>
      <c r="W2992" s="43">
        <f>W2991+Учет!R2992-R2992</f>
        <v>336855</v>
      </c>
      <c r="X2992" s="43">
        <f>X2991+Учет!S2992-S2992</f>
        <v>500</v>
      </c>
      <c r="Y2992" s="43">
        <f>Y2991+Учет!T2992-T2992</f>
        <v>1150</v>
      </c>
      <c r="Z2992" s="43">
        <f>Z2991+Учет!U2992-U2992</f>
        <v>500000</v>
      </c>
      <c r="AA2992" s="45">
        <f>Учет!X2992</f>
        <v>500</v>
      </c>
    </row>
    <row r="2993" spans="1:27" ht="15" customHeight="1" x14ac:dyDescent="0.25">
      <c r="A2993" s="1"/>
      <c r="B2993" s="17"/>
      <c r="C2993" s="17"/>
      <c r="D2993" s="17"/>
      <c r="E2993" s="17"/>
      <c r="F2993" s="17"/>
      <c r="G2993" s="4">
        <f t="shared" si="135"/>
        <v>0</v>
      </c>
      <c r="H2993" s="17"/>
      <c r="I2993" s="4">
        <f t="shared" si="137"/>
        <v>349526.07999999996</v>
      </c>
      <c r="J2993" s="32" t="str">
        <f t="shared" si="136"/>
        <v/>
      </c>
      <c r="K2993" s="72"/>
      <c r="L2993" s="72"/>
      <c r="M2993" s="2"/>
      <c r="N2993" s="5"/>
      <c r="O2993" s="3"/>
      <c r="P2993" s="6"/>
      <c r="Q2993" s="48">
        <f>IF(Учет!$O2993=Справочники!$F$2,Учет!$H2993,0)</f>
        <v>0</v>
      </c>
      <c r="R2993" s="48">
        <f>IF(Учет!$O2993=Справочники!$F$3,Учет!$H2993,0)</f>
        <v>0</v>
      </c>
      <c r="S2993" s="48">
        <f>IF(Учет!$O2993=Справочники!$F$4,Учет!$H2993,0)</f>
        <v>0</v>
      </c>
      <c r="T2993" s="48">
        <f>IF(Учет!$O2993=Справочники!$F$5,Учет!$H2993,0)</f>
        <v>0</v>
      </c>
      <c r="U2993" s="48">
        <f>IF(Учет!$O2993=Справочники!$F$6,Учет!$H2993,0)</f>
        <v>0</v>
      </c>
      <c r="V2993" s="43">
        <f>V2992+Учет!Q2993-Q2993</f>
        <v>-488978.92000000004</v>
      </c>
      <c r="W2993" s="43">
        <f>W2992+Учет!R2993-R2993</f>
        <v>336855</v>
      </c>
      <c r="X2993" s="43">
        <f>X2992+Учет!S2993-S2993</f>
        <v>500</v>
      </c>
      <c r="Y2993" s="43">
        <f>Y2992+Учет!T2993-T2993</f>
        <v>1150</v>
      </c>
      <c r="Z2993" s="43">
        <f>Z2992+Учет!U2993-U2993</f>
        <v>500000</v>
      </c>
      <c r="AA2993" s="45">
        <f>Учет!X2993</f>
        <v>500</v>
      </c>
    </row>
    <row r="2994" spans="1:27" ht="15" customHeight="1" x14ac:dyDescent="0.25">
      <c r="A2994" s="1"/>
      <c r="B2994" s="17"/>
      <c r="C2994" s="17"/>
      <c r="D2994" s="17"/>
      <c r="E2994" s="17"/>
      <c r="F2994" s="17"/>
      <c r="G2994" s="4">
        <f t="shared" si="135"/>
        <v>0</v>
      </c>
      <c r="H2994" s="17"/>
      <c r="I2994" s="4">
        <f t="shared" si="137"/>
        <v>349526.07999999996</v>
      </c>
      <c r="J2994" s="32" t="str">
        <f t="shared" si="136"/>
        <v/>
      </c>
      <c r="K2994" s="72"/>
      <c r="L2994" s="72"/>
      <c r="M2994" s="2"/>
      <c r="N2994" s="5"/>
      <c r="O2994" s="3"/>
      <c r="P2994" s="6"/>
      <c r="Q2994" s="48">
        <f>IF(Учет!$O2994=Справочники!$F$2,Учет!$H2994,0)</f>
        <v>0</v>
      </c>
      <c r="R2994" s="48">
        <f>IF(Учет!$O2994=Справочники!$F$3,Учет!$H2994,0)</f>
        <v>0</v>
      </c>
      <c r="S2994" s="48">
        <f>IF(Учет!$O2994=Справочники!$F$4,Учет!$H2994,0)</f>
        <v>0</v>
      </c>
      <c r="T2994" s="48">
        <f>IF(Учет!$O2994=Справочники!$F$5,Учет!$H2994,0)</f>
        <v>0</v>
      </c>
      <c r="U2994" s="48">
        <f>IF(Учет!$O2994=Справочники!$F$6,Учет!$H2994,0)</f>
        <v>0</v>
      </c>
      <c r="V2994" s="43">
        <f>V2993+Учет!Q2994-Q2994</f>
        <v>-488978.92000000004</v>
      </c>
      <c r="W2994" s="43">
        <f>W2993+Учет!R2994-R2994</f>
        <v>336855</v>
      </c>
      <c r="X2994" s="43">
        <f>X2993+Учет!S2994-S2994</f>
        <v>500</v>
      </c>
      <c r="Y2994" s="43">
        <f>Y2993+Учет!T2994-T2994</f>
        <v>1150</v>
      </c>
      <c r="Z2994" s="43">
        <f>Z2993+Учет!U2994-U2994</f>
        <v>500000</v>
      </c>
      <c r="AA2994" s="45">
        <f>Учет!X2994</f>
        <v>500</v>
      </c>
    </row>
    <row r="2995" spans="1:27" ht="15" customHeight="1" x14ac:dyDescent="0.25">
      <c r="A2995" s="1"/>
      <c r="B2995" s="17"/>
      <c r="C2995" s="17"/>
      <c r="D2995" s="17"/>
      <c r="E2995" s="17"/>
      <c r="F2995" s="17"/>
      <c r="G2995" s="4">
        <f t="shared" si="135"/>
        <v>0</v>
      </c>
      <c r="H2995" s="17"/>
      <c r="I2995" s="4">
        <f t="shared" si="137"/>
        <v>349526.07999999996</v>
      </c>
      <c r="J2995" s="32" t="str">
        <f t="shared" si="136"/>
        <v/>
      </c>
      <c r="K2995" s="72"/>
      <c r="L2995" s="72"/>
      <c r="M2995" s="2"/>
      <c r="N2995" s="5"/>
      <c r="O2995" s="3"/>
      <c r="P2995" s="6"/>
      <c r="Q2995" s="48">
        <f>IF(Учет!$O2995=Справочники!$F$2,Учет!$H2995,0)</f>
        <v>0</v>
      </c>
      <c r="R2995" s="48">
        <f>IF(Учет!$O2995=Справочники!$F$3,Учет!$H2995,0)</f>
        <v>0</v>
      </c>
      <c r="S2995" s="48">
        <f>IF(Учет!$O2995=Справочники!$F$4,Учет!$H2995,0)</f>
        <v>0</v>
      </c>
      <c r="T2995" s="48">
        <f>IF(Учет!$O2995=Справочники!$F$5,Учет!$H2995,0)</f>
        <v>0</v>
      </c>
      <c r="U2995" s="48">
        <f>IF(Учет!$O2995=Справочники!$F$6,Учет!$H2995,0)</f>
        <v>0</v>
      </c>
      <c r="V2995" s="43">
        <f>V2994+Учет!Q2995-Q2995</f>
        <v>-488978.92000000004</v>
      </c>
      <c r="W2995" s="43">
        <f>W2994+Учет!R2995-R2995</f>
        <v>336855</v>
      </c>
      <c r="X2995" s="43">
        <f>X2994+Учет!S2995-S2995</f>
        <v>500</v>
      </c>
      <c r="Y2995" s="43">
        <f>Y2994+Учет!T2995-T2995</f>
        <v>1150</v>
      </c>
      <c r="Z2995" s="43">
        <f>Z2994+Учет!U2995-U2995</f>
        <v>500000</v>
      </c>
      <c r="AA2995" s="45">
        <f>Учет!X2995</f>
        <v>500</v>
      </c>
    </row>
    <row r="2996" spans="1:27" ht="15" customHeight="1" x14ac:dyDescent="0.25">
      <c r="A2996" s="1"/>
      <c r="B2996" s="17"/>
      <c r="C2996" s="17"/>
      <c r="D2996" s="17"/>
      <c r="E2996" s="17"/>
      <c r="F2996" s="17"/>
      <c r="G2996" s="4">
        <f t="shared" si="135"/>
        <v>0</v>
      </c>
      <c r="H2996" s="17"/>
      <c r="I2996" s="4">
        <f t="shared" si="137"/>
        <v>349526.07999999996</v>
      </c>
      <c r="J2996" s="32" t="str">
        <f t="shared" si="136"/>
        <v/>
      </c>
      <c r="K2996" s="72"/>
      <c r="L2996" s="72"/>
      <c r="M2996" s="2"/>
      <c r="N2996" s="5"/>
      <c r="O2996" s="3"/>
      <c r="P2996" s="6"/>
      <c r="Q2996" s="48">
        <f>IF(Учет!$O2996=Справочники!$F$2,Учет!$H2996,0)</f>
        <v>0</v>
      </c>
      <c r="R2996" s="48">
        <f>IF(Учет!$O2996=Справочники!$F$3,Учет!$H2996,0)</f>
        <v>0</v>
      </c>
      <c r="S2996" s="48">
        <f>IF(Учет!$O2996=Справочники!$F$4,Учет!$H2996,0)</f>
        <v>0</v>
      </c>
      <c r="T2996" s="48">
        <f>IF(Учет!$O2996=Справочники!$F$5,Учет!$H2996,0)</f>
        <v>0</v>
      </c>
      <c r="U2996" s="48">
        <f>IF(Учет!$O2996=Справочники!$F$6,Учет!$H2996,0)</f>
        <v>0</v>
      </c>
      <c r="V2996" s="43">
        <f>V2995+Учет!Q2996-Q2996</f>
        <v>-488978.92000000004</v>
      </c>
      <c r="W2996" s="43">
        <f>W2995+Учет!R2996-R2996</f>
        <v>336855</v>
      </c>
      <c r="X2996" s="43">
        <f>X2995+Учет!S2996-S2996</f>
        <v>500</v>
      </c>
      <c r="Y2996" s="43">
        <f>Y2995+Учет!T2996-T2996</f>
        <v>1150</v>
      </c>
      <c r="Z2996" s="43">
        <f>Z2995+Учет!U2996-U2996</f>
        <v>500000</v>
      </c>
      <c r="AA2996" s="45">
        <f>Учет!X2996</f>
        <v>500</v>
      </c>
    </row>
    <row r="2997" spans="1:27" ht="15" customHeight="1" x14ac:dyDescent="0.25">
      <c r="A2997" s="1"/>
      <c r="B2997" s="17"/>
      <c r="C2997" s="17"/>
      <c r="D2997" s="17"/>
      <c r="E2997" s="17"/>
      <c r="F2997" s="17"/>
      <c r="G2997" s="4">
        <f t="shared" si="135"/>
        <v>0</v>
      </c>
      <c r="H2997" s="17"/>
      <c r="I2997" s="4">
        <f t="shared" si="137"/>
        <v>349526.07999999996</v>
      </c>
      <c r="J2997" s="32" t="str">
        <f t="shared" si="136"/>
        <v/>
      </c>
      <c r="K2997" s="72"/>
      <c r="L2997" s="72"/>
      <c r="M2997" s="2"/>
      <c r="N2997" s="5"/>
      <c r="O2997" s="3"/>
      <c r="P2997" s="6"/>
      <c r="Q2997" s="48">
        <f>IF(Учет!$O2997=Справочники!$F$2,Учет!$H2997,0)</f>
        <v>0</v>
      </c>
      <c r="R2997" s="48">
        <f>IF(Учет!$O2997=Справочники!$F$3,Учет!$H2997,0)</f>
        <v>0</v>
      </c>
      <c r="S2997" s="48">
        <f>IF(Учет!$O2997=Справочники!$F$4,Учет!$H2997,0)</f>
        <v>0</v>
      </c>
      <c r="T2997" s="48">
        <f>IF(Учет!$O2997=Справочники!$F$5,Учет!$H2997,0)</f>
        <v>0</v>
      </c>
      <c r="U2997" s="48">
        <f>IF(Учет!$O2997=Справочники!$F$6,Учет!$H2997,0)</f>
        <v>0</v>
      </c>
      <c r="V2997" s="43">
        <f>V2996+Учет!Q2997-Q2997</f>
        <v>-488978.92000000004</v>
      </c>
      <c r="W2997" s="43">
        <f>W2996+Учет!R2997-R2997</f>
        <v>336855</v>
      </c>
      <c r="X2997" s="43">
        <f>X2996+Учет!S2997-S2997</f>
        <v>500</v>
      </c>
      <c r="Y2997" s="43">
        <f>Y2996+Учет!T2997-T2997</f>
        <v>1150</v>
      </c>
      <c r="Z2997" s="43">
        <f>Z2996+Учет!U2997-U2997</f>
        <v>500000</v>
      </c>
      <c r="AA2997" s="45">
        <f>Учет!X2997</f>
        <v>500</v>
      </c>
    </row>
    <row r="2998" spans="1:27" ht="15" customHeight="1" x14ac:dyDescent="0.25">
      <c r="A2998" s="1"/>
      <c r="B2998" s="17"/>
      <c r="C2998" s="17"/>
      <c r="D2998" s="17"/>
      <c r="E2998" s="17"/>
      <c r="F2998" s="17"/>
      <c r="G2998" s="4">
        <f t="shared" si="135"/>
        <v>0</v>
      </c>
      <c r="H2998" s="17"/>
      <c r="I2998" s="4">
        <f t="shared" si="137"/>
        <v>349526.07999999996</v>
      </c>
      <c r="J2998" s="32" t="str">
        <f t="shared" si="136"/>
        <v/>
      </c>
      <c r="K2998" s="72"/>
      <c r="L2998" s="72"/>
      <c r="M2998" s="2"/>
      <c r="N2998" s="5"/>
      <c r="O2998" s="3"/>
      <c r="P2998" s="6"/>
      <c r="Q2998" s="48">
        <f>IF(Учет!$O2998=Справочники!$F$2,Учет!$H2998,0)</f>
        <v>0</v>
      </c>
      <c r="R2998" s="48">
        <f>IF(Учет!$O2998=Справочники!$F$3,Учет!$H2998,0)</f>
        <v>0</v>
      </c>
      <c r="S2998" s="48">
        <f>IF(Учет!$O2998=Справочники!$F$4,Учет!$H2998,0)</f>
        <v>0</v>
      </c>
      <c r="T2998" s="48">
        <f>IF(Учет!$O2998=Справочники!$F$5,Учет!$H2998,0)</f>
        <v>0</v>
      </c>
      <c r="U2998" s="48">
        <f>IF(Учет!$O2998=Справочники!$F$6,Учет!$H2998,0)</f>
        <v>0</v>
      </c>
      <c r="V2998" s="43">
        <f>V2997+Учет!Q2998-Q2998</f>
        <v>-488978.92000000004</v>
      </c>
      <c r="W2998" s="43">
        <f>W2997+Учет!R2998-R2998</f>
        <v>336855</v>
      </c>
      <c r="X2998" s="43">
        <f>X2997+Учет!S2998-S2998</f>
        <v>500</v>
      </c>
      <c r="Y2998" s="43">
        <f>Y2997+Учет!T2998-T2998</f>
        <v>1150</v>
      </c>
      <c r="Z2998" s="43">
        <f>Z2997+Учет!U2998-U2998</f>
        <v>500000</v>
      </c>
      <c r="AA2998" s="45">
        <f>Учет!X2998</f>
        <v>500</v>
      </c>
    </row>
    <row r="2999" spans="1:27" ht="15" customHeight="1" x14ac:dyDescent="0.25">
      <c r="A2999" s="1"/>
      <c r="B2999" s="17"/>
      <c r="C2999" s="17"/>
      <c r="D2999" s="17"/>
      <c r="E2999" s="17"/>
      <c r="F2999" s="17"/>
      <c r="G2999" s="4">
        <f t="shared" si="135"/>
        <v>0</v>
      </c>
      <c r="H2999" s="17"/>
      <c r="I2999" s="4">
        <f t="shared" si="137"/>
        <v>349526.07999999996</v>
      </c>
      <c r="J2999" s="32" t="str">
        <f t="shared" si="136"/>
        <v/>
      </c>
      <c r="K2999" s="72"/>
      <c r="L2999" s="72"/>
      <c r="M2999" s="2"/>
      <c r="N2999" s="5"/>
      <c r="O2999" s="3"/>
      <c r="P2999" s="6"/>
      <c r="Q2999" s="48">
        <f>IF(Учет!$O2999=Справочники!$F$2,Учет!$H2999,0)</f>
        <v>0</v>
      </c>
      <c r="R2999" s="48">
        <f>IF(Учет!$O2999=Справочники!$F$3,Учет!$H2999,0)</f>
        <v>0</v>
      </c>
      <c r="S2999" s="48">
        <f>IF(Учет!$O2999=Справочники!$F$4,Учет!$H2999,0)</f>
        <v>0</v>
      </c>
      <c r="T2999" s="48">
        <f>IF(Учет!$O2999=Справочники!$F$5,Учет!$H2999,0)</f>
        <v>0</v>
      </c>
      <c r="U2999" s="48">
        <f>IF(Учет!$O2999=Справочники!$F$6,Учет!$H2999,0)</f>
        <v>0</v>
      </c>
      <c r="V2999" s="43">
        <f>V2998+Учет!Q2999-Q2999</f>
        <v>-488978.92000000004</v>
      </c>
      <c r="W2999" s="43">
        <f>W2998+Учет!R2999-R2999</f>
        <v>336855</v>
      </c>
      <c r="X2999" s="43">
        <f>X2998+Учет!S2999-S2999</f>
        <v>500</v>
      </c>
      <c r="Y2999" s="43">
        <f>Y2998+Учет!T2999-T2999</f>
        <v>1150</v>
      </c>
      <c r="Z2999" s="43">
        <f>Z2998+Учет!U2999-U2999</f>
        <v>500000</v>
      </c>
      <c r="AA2999" s="45">
        <f>Учет!X2999</f>
        <v>500</v>
      </c>
    </row>
    <row r="3000" spans="1:27" ht="15" customHeight="1" x14ac:dyDescent="0.25">
      <c r="A3000" s="1"/>
      <c r="B3000" s="17"/>
      <c r="C3000" s="17"/>
      <c r="D3000" s="17"/>
      <c r="E3000" s="17"/>
      <c r="F3000" s="17"/>
      <c r="G3000" s="4">
        <f t="shared" si="135"/>
        <v>0</v>
      </c>
      <c r="H3000" s="17"/>
      <c r="I3000" s="4">
        <f t="shared" si="137"/>
        <v>349526.07999999996</v>
      </c>
      <c r="J3000" s="32" t="str">
        <f t="shared" si="136"/>
        <v/>
      </c>
      <c r="K3000" s="72"/>
      <c r="L3000" s="72"/>
      <c r="M3000" s="2"/>
      <c r="N3000" s="5"/>
      <c r="O3000" s="3"/>
      <c r="P3000" s="6"/>
      <c r="Q3000" s="48">
        <f>IF(Учет!$O3000=Справочники!$F$2,Учет!$H3000,0)</f>
        <v>0</v>
      </c>
      <c r="R3000" s="48">
        <f>IF(Учет!$O3000=Справочники!$F$3,Учет!$H3000,0)</f>
        <v>0</v>
      </c>
      <c r="S3000" s="48">
        <f>IF(Учет!$O3000=Справочники!$F$4,Учет!$H3000,0)</f>
        <v>0</v>
      </c>
      <c r="T3000" s="48">
        <f>IF(Учет!$O3000=Справочники!$F$5,Учет!$H3000,0)</f>
        <v>0</v>
      </c>
      <c r="U3000" s="48">
        <f>IF(Учет!$O3000=Справочники!$F$6,Учет!$H3000,0)</f>
        <v>0</v>
      </c>
      <c r="V3000" s="43">
        <f>V2999+Учет!Q3000-Q3000</f>
        <v>-488978.92000000004</v>
      </c>
      <c r="W3000" s="43">
        <f>W2999+Учет!R3000-R3000</f>
        <v>336855</v>
      </c>
      <c r="X3000" s="43">
        <f>X2999+Учет!S3000-S3000</f>
        <v>500</v>
      </c>
      <c r="Y3000" s="43">
        <f>Y2999+Учет!T3000-T3000</f>
        <v>1150</v>
      </c>
      <c r="Z3000" s="43">
        <f>Z2999+Учет!U3000-U3000</f>
        <v>500000</v>
      </c>
      <c r="AA3000" s="45">
        <f>Учет!X3000</f>
        <v>500</v>
      </c>
    </row>
    <row r="3001" spans="1:27" ht="15" customHeight="1" x14ac:dyDescent="0.25">
      <c r="A3001" s="1"/>
      <c r="B3001" s="17"/>
      <c r="C3001" s="17"/>
      <c r="D3001" s="17"/>
      <c r="E3001" s="17"/>
      <c r="F3001" s="17"/>
      <c r="G3001" s="4">
        <f t="shared" si="135"/>
        <v>0</v>
      </c>
      <c r="H3001" s="17"/>
      <c r="I3001" s="4">
        <f t="shared" si="137"/>
        <v>349526.07999999996</v>
      </c>
      <c r="J3001" s="32" t="str">
        <f t="shared" si="136"/>
        <v/>
      </c>
      <c r="K3001" s="72"/>
      <c r="L3001" s="72"/>
      <c r="M3001" s="2"/>
      <c r="N3001" s="5"/>
      <c r="O3001" s="3"/>
      <c r="P3001" s="6"/>
      <c r="Q3001" s="48">
        <f>IF(Учет!$O3001=Справочники!$F$2,Учет!$H3001,0)</f>
        <v>0</v>
      </c>
      <c r="R3001" s="48">
        <f>IF(Учет!$O3001=Справочники!$F$3,Учет!$H3001,0)</f>
        <v>0</v>
      </c>
      <c r="S3001" s="48">
        <f>IF(Учет!$O3001=Справочники!$F$4,Учет!$H3001,0)</f>
        <v>0</v>
      </c>
      <c r="T3001" s="48">
        <f>IF(Учет!$O3001=Справочники!$F$5,Учет!$H3001,0)</f>
        <v>0</v>
      </c>
      <c r="U3001" s="48">
        <f>IF(Учет!$O3001=Справочники!$F$6,Учет!$H3001,0)</f>
        <v>0</v>
      </c>
      <c r="V3001" s="43">
        <f>V3000+Учет!Q3001-Q3001</f>
        <v>-488978.92000000004</v>
      </c>
      <c r="W3001" s="43">
        <f>W3000+Учет!R3001-R3001</f>
        <v>336855</v>
      </c>
      <c r="X3001" s="43">
        <f>X3000+Учет!S3001-S3001</f>
        <v>500</v>
      </c>
      <c r="Y3001" s="43">
        <f>Y3000+Учет!T3001-T3001</f>
        <v>1150</v>
      </c>
      <c r="Z3001" s="43">
        <f>Z3000+Учет!U3001-U3001</f>
        <v>500000</v>
      </c>
      <c r="AA3001" s="45">
        <f>Учет!X3001</f>
        <v>500</v>
      </c>
    </row>
    <row r="3002" spans="1:27" ht="15" customHeight="1" x14ac:dyDescent="0.25">
      <c r="A3002" s="1"/>
      <c r="B3002" s="17"/>
      <c r="C3002" s="17"/>
      <c r="D3002" s="17"/>
      <c r="E3002" s="17"/>
      <c r="F3002" s="17"/>
      <c r="G3002" s="4">
        <f t="shared" si="135"/>
        <v>0</v>
      </c>
      <c r="H3002" s="17"/>
      <c r="I3002" s="4">
        <f t="shared" si="137"/>
        <v>349526.07999999996</v>
      </c>
      <c r="J3002" s="32" t="str">
        <f t="shared" si="136"/>
        <v/>
      </c>
      <c r="K3002" s="72"/>
      <c r="L3002" s="72"/>
      <c r="M3002" s="2"/>
      <c r="N3002" s="5"/>
      <c r="O3002" s="3"/>
      <c r="P3002" s="6"/>
      <c r="Q3002" s="48">
        <f>IF(Учет!$O3002=Справочники!$F$2,Учет!$H3002,0)</f>
        <v>0</v>
      </c>
      <c r="R3002" s="48">
        <f>IF(Учет!$O3002=Справочники!$F$3,Учет!$H3002,0)</f>
        <v>0</v>
      </c>
      <c r="S3002" s="48">
        <f>IF(Учет!$O3002=Справочники!$F$4,Учет!$H3002,0)</f>
        <v>0</v>
      </c>
      <c r="T3002" s="48">
        <f>IF(Учет!$O3002=Справочники!$F$5,Учет!$H3002,0)</f>
        <v>0</v>
      </c>
      <c r="U3002" s="48">
        <f>IF(Учет!$O3002=Справочники!$F$6,Учет!$H3002,0)</f>
        <v>0</v>
      </c>
      <c r="V3002" s="43">
        <f>V3001+Учет!Q3002-Q3002</f>
        <v>-488978.92000000004</v>
      </c>
      <c r="W3002" s="43">
        <f>W3001+Учет!R3002-R3002</f>
        <v>336855</v>
      </c>
      <c r="X3002" s="43">
        <f>X3001+Учет!S3002-S3002</f>
        <v>500</v>
      </c>
      <c r="Y3002" s="43">
        <f>Y3001+Учет!T3002-T3002</f>
        <v>1150</v>
      </c>
      <c r="Z3002" s="43">
        <f>Z3001+Учет!U3002-U3002</f>
        <v>500000</v>
      </c>
      <c r="AA3002" s="45">
        <f>Учет!X3002</f>
        <v>500</v>
      </c>
    </row>
    <row r="3003" spans="1:27" ht="15" customHeight="1" x14ac:dyDescent="0.25">
      <c r="A3003" s="1"/>
      <c r="B3003" s="17"/>
      <c r="C3003" s="17"/>
      <c r="D3003" s="17"/>
      <c r="E3003" s="17"/>
      <c r="F3003" s="17"/>
      <c r="G3003" s="4">
        <f t="shared" si="135"/>
        <v>0</v>
      </c>
      <c r="H3003" s="17"/>
      <c r="I3003" s="4">
        <f t="shared" si="137"/>
        <v>349526.07999999996</v>
      </c>
      <c r="J3003" s="32" t="str">
        <f t="shared" si="136"/>
        <v/>
      </c>
      <c r="K3003" s="72"/>
      <c r="L3003" s="72"/>
      <c r="M3003" s="2"/>
      <c r="N3003" s="5"/>
      <c r="O3003" s="3"/>
      <c r="P3003" s="6"/>
      <c r="Q3003" s="48">
        <f>IF(Учет!$O3003=Справочники!$F$2,Учет!$H3003,0)</f>
        <v>0</v>
      </c>
      <c r="R3003" s="48">
        <f>IF(Учет!$O3003=Справочники!$F$3,Учет!$H3003,0)</f>
        <v>0</v>
      </c>
      <c r="S3003" s="48">
        <f>IF(Учет!$O3003=Справочники!$F$4,Учет!$H3003,0)</f>
        <v>0</v>
      </c>
      <c r="T3003" s="48">
        <f>IF(Учет!$O3003=Справочники!$F$5,Учет!$H3003,0)</f>
        <v>0</v>
      </c>
      <c r="U3003" s="48">
        <f>IF(Учет!$O3003=Справочники!$F$6,Учет!$H3003,0)</f>
        <v>0</v>
      </c>
      <c r="V3003" s="43">
        <f>V3002+Учет!Q3003-Q3003</f>
        <v>-488978.92000000004</v>
      </c>
      <c r="W3003" s="43">
        <f>W3002+Учет!R3003-R3003</f>
        <v>336855</v>
      </c>
      <c r="X3003" s="43">
        <f>X3002+Учет!S3003-S3003</f>
        <v>500</v>
      </c>
      <c r="Y3003" s="43">
        <f>Y3002+Учет!T3003-T3003</f>
        <v>1150</v>
      </c>
      <c r="Z3003" s="43">
        <f>Z3002+Учет!U3003-U3003</f>
        <v>500000</v>
      </c>
      <c r="AA3003" s="45">
        <f>Учет!X3003</f>
        <v>500</v>
      </c>
    </row>
    <row r="3004" spans="1:27" ht="15" customHeight="1" x14ac:dyDescent="0.25">
      <c r="A3004" s="1"/>
      <c r="B3004" s="17"/>
      <c r="C3004" s="17"/>
      <c r="D3004" s="17"/>
      <c r="E3004" s="17"/>
      <c r="F3004" s="17"/>
      <c r="G3004" s="4">
        <f t="shared" si="135"/>
        <v>0</v>
      </c>
      <c r="H3004" s="17"/>
      <c r="I3004" s="4">
        <f t="shared" si="137"/>
        <v>349526.07999999996</v>
      </c>
      <c r="J3004" s="32" t="str">
        <f t="shared" si="136"/>
        <v/>
      </c>
      <c r="K3004" s="72"/>
      <c r="L3004" s="72"/>
      <c r="M3004" s="2"/>
      <c r="N3004" s="5"/>
      <c r="O3004" s="3"/>
      <c r="P3004" s="6"/>
      <c r="Q3004" s="48">
        <f>IF(Учет!$O3004=Справочники!$F$2,Учет!$H3004,0)</f>
        <v>0</v>
      </c>
      <c r="R3004" s="48">
        <f>IF(Учет!$O3004=Справочники!$F$3,Учет!$H3004,0)</f>
        <v>0</v>
      </c>
      <c r="S3004" s="48">
        <f>IF(Учет!$O3004=Справочники!$F$4,Учет!$H3004,0)</f>
        <v>0</v>
      </c>
      <c r="T3004" s="48">
        <f>IF(Учет!$O3004=Справочники!$F$5,Учет!$H3004,0)</f>
        <v>0</v>
      </c>
      <c r="U3004" s="48">
        <f>IF(Учет!$O3004=Справочники!$F$6,Учет!$H3004,0)</f>
        <v>0</v>
      </c>
      <c r="V3004" s="43">
        <f>V3003+Учет!Q3004-Q3004</f>
        <v>-488978.92000000004</v>
      </c>
      <c r="W3004" s="43">
        <f>W3003+Учет!R3004-R3004</f>
        <v>336855</v>
      </c>
      <c r="X3004" s="43">
        <f>X3003+Учет!S3004-S3004</f>
        <v>500</v>
      </c>
      <c r="Y3004" s="43">
        <f>Y3003+Учет!T3004-T3004</f>
        <v>1150</v>
      </c>
      <c r="Z3004" s="43">
        <f>Z3003+Учет!U3004-U3004</f>
        <v>500000</v>
      </c>
      <c r="AA3004" s="45">
        <f>Учет!X3004</f>
        <v>500</v>
      </c>
    </row>
    <row r="3005" spans="1:27" ht="15" customHeight="1" x14ac:dyDescent="0.25">
      <c r="A3005" s="1"/>
      <c r="B3005" s="17"/>
      <c r="C3005" s="17"/>
      <c r="D3005" s="17"/>
      <c r="E3005" s="17"/>
      <c r="F3005" s="17"/>
      <c r="G3005" s="4">
        <f t="shared" si="135"/>
        <v>0</v>
      </c>
      <c r="H3005" s="17"/>
      <c r="I3005" s="4">
        <f t="shared" si="137"/>
        <v>349526.07999999996</v>
      </c>
      <c r="J3005" s="32" t="str">
        <f t="shared" si="136"/>
        <v/>
      </c>
      <c r="K3005" s="72"/>
      <c r="L3005" s="72"/>
      <c r="M3005" s="2"/>
      <c r="N3005" s="5"/>
      <c r="O3005" s="3"/>
      <c r="P3005" s="6"/>
      <c r="Q3005" s="48">
        <f>IF(Учет!$O3005=Справочники!$F$2,Учет!$H3005,0)</f>
        <v>0</v>
      </c>
      <c r="R3005" s="48">
        <f>IF(Учет!$O3005=Справочники!$F$3,Учет!$H3005,0)</f>
        <v>0</v>
      </c>
      <c r="S3005" s="48">
        <f>IF(Учет!$O3005=Справочники!$F$4,Учет!$H3005,0)</f>
        <v>0</v>
      </c>
      <c r="T3005" s="48">
        <f>IF(Учет!$O3005=Справочники!$F$5,Учет!$H3005,0)</f>
        <v>0</v>
      </c>
      <c r="U3005" s="48">
        <f>IF(Учет!$O3005=Справочники!$F$6,Учет!$H3005,0)</f>
        <v>0</v>
      </c>
      <c r="V3005" s="43">
        <f>V3004+Учет!Q3005-Q3005</f>
        <v>-488978.92000000004</v>
      </c>
      <c r="W3005" s="43">
        <f>W3004+Учет!R3005-R3005</f>
        <v>336855</v>
      </c>
      <c r="X3005" s="43">
        <f>X3004+Учет!S3005-S3005</f>
        <v>500</v>
      </c>
      <c r="Y3005" s="43">
        <f>Y3004+Учет!T3005-T3005</f>
        <v>1150</v>
      </c>
      <c r="Z3005" s="43">
        <f>Z3004+Учет!U3005-U3005</f>
        <v>500000</v>
      </c>
      <c r="AA3005" s="45">
        <f>Учет!X3005</f>
        <v>500</v>
      </c>
    </row>
    <row r="3006" spans="1:27" ht="15" customHeight="1" x14ac:dyDescent="0.25">
      <c r="A3006" s="1"/>
      <c r="B3006" s="17"/>
      <c r="C3006" s="17"/>
      <c r="D3006" s="17"/>
      <c r="E3006" s="17"/>
      <c r="F3006" s="17"/>
      <c r="G3006" s="4">
        <f t="shared" si="135"/>
        <v>0</v>
      </c>
      <c r="H3006" s="17"/>
      <c r="I3006" s="4">
        <f t="shared" si="137"/>
        <v>349526.07999999996</v>
      </c>
      <c r="J3006" s="32" t="str">
        <f t="shared" si="136"/>
        <v/>
      </c>
      <c r="K3006" s="72"/>
      <c r="L3006" s="72"/>
      <c r="M3006" s="2"/>
      <c r="N3006" s="5"/>
      <c r="O3006" s="3"/>
      <c r="P3006" s="6"/>
      <c r="Q3006" s="48">
        <f>IF(Учет!$O3006=Справочники!$F$2,Учет!$H3006,0)</f>
        <v>0</v>
      </c>
      <c r="R3006" s="48">
        <f>IF(Учет!$O3006=Справочники!$F$3,Учет!$H3006,0)</f>
        <v>0</v>
      </c>
      <c r="S3006" s="48">
        <f>IF(Учет!$O3006=Справочники!$F$4,Учет!$H3006,0)</f>
        <v>0</v>
      </c>
      <c r="T3006" s="48">
        <f>IF(Учет!$O3006=Справочники!$F$5,Учет!$H3006,0)</f>
        <v>0</v>
      </c>
      <c r="U3006" s="48">
        <f>IF(Учет!$O3006=Справочники!$F$6,Учет!$H3006,0)</f>
        <v>0</v>
      </c>
      <c r="V3006" s="43">
        <f>V3005+Учет!Q3006-Q3006</f>
        <v>-488978.92000000004</v>
      </c>
      <c r="W3006" s="43">
        <f>W3005+Учет!R3006-R3006</f>
        <v>336855</v>
      </c>
      <c r="X3006" s="43">
        <f>X3005+Учет!S3006-S3006</f>
        <v>500</v>
      </c>
      <c r="Y3006" s="43">
        <f>Y3005+Учет!T3006-T3006</f>
        <v>1150</v>
      </c>
      <c r="Z3006" s="43">
        <f>Z3005+Учет!U3006-U3006</f>
        <v>500000</v>
      </c>
      <c r="AA3006" s="45">
        <f>Учет!X3006</f>
        <v>500</v>
      </c>
    </row>
    <row r="3007" spans="1:27" ht="15" customHeight="1" x14ac:dyDescent="0.25">
      <c r="A3007" s="1"/>
      <c r="B3007" s="17"/>
      <c r="C3007" s="17"/>
      <c r="D3007" s="17"/>
      <c r="E3007" s="17"/>
      <c r="F3007" s="17"/>
      <c r="G3007" s="4">
        <f t="shared" si="135"/>
        <v>0</v>
      </c>
      <c r="H3007" s="17"/>
      <c r="I3007" s="4">
        <f t="shared" si="137"/>
        <v>349526.07999999996</v>
      </c>
      <c r="J3007" s="32" t="str">
        <f t="shared" si="136"/>
        <v/>
      </c>
      <c r="K3007" s="72"/>
      <c r="L3007" s="72"/>
      <c r="M3007" s="2"/>
      <c r="N3007" s="5"/>
      <c r="O3007" s="3"/>
      <c r="P3007" s="6"/>
      <c r="Q3007" s="48">
        <f>IF(Учет!$O3007=Справочники!$F$2,Учет!$H3007,0)</f>
        <v>0</v>
      </c>
      <c r="R3007" s="48">
        <f>IF(Учет!$O3007=Справочники!$F$3,Учет!$H3007,0)</f>
        <v>0</v>
      </c>
      <c r="S3007" s="48">
        <f>IF(Учет!$O3007=Справочники!$F$4,Учет!$H3007,0)</f>
        <v>0</v>
      </c>
      <c r="T3007" s="48">
        <f>IF(Учет!$O3007=Справочники!$F$5,Учет!$H3007,0)</f>
        <v>0</v>
      </c>
      <c r="U3007" s="48">
        <f>IF(Учет!$O3007=Справочники!$F$6,Учет!$H3007,0)</f>
        <v>0</v>
      </c>
      <c r="V3007" s="43">
        <f>V3006+Учет!Q3007-Q3007</f>
        <v>-488978.92000000004</v>
      </c>
      <c r="W3007" s="43">
        <f>W3006+Учет!R3007-R3007</f>
        <v>336855</v>
      </c>
      <c r="X3007" s="43">
        <f>X3006+Учет!S3007-S3007</f>
        <v>500</v>
      </c>
      <c r="Y3007" s="43">
        <f>Y3006+Учет!T3007-T3007</f>
        <v>1150</v>
      </c>
      <c r="Z3007" s="43">
        <f>Z3006+Учет!U3007-U3007</f>
        <v>500000</v>
      </c>
      <c r="AA3007" s="45">
        <f>Учет!X3007</f>
        <v>500</v>
      </c>
    </row>
    <row r="3008" spans="1:27" ht="15" customHeight="1" x14ac:dyDescent="0.25">
      <c r="A3008" s="1"/>
      <c r="B3008" s="17"/>
      <c r="C3008" s="17"/>
      <c r="D3008" s="17"/>
      <c r="E3008" s="17"/>
      <c r="F3008" s="17"/>
      <c r="G3008" s="4">
        <f t="shared" si="135"/>
        <v>0</v>
      </c>
      <c r="H3008" s="17"/>
      <c r="I3008" s="4">
        <f t="shared" si="137"/>
        <v>349526.07999999996</v>
      </c>
      <c r="J3008" s="32" t="str">
        <f t="shared" si="136"/>
        <v/>
      </c>
      <c r="K3008" s="72"/>
      <c r="L3008" s="72"/>
      <c r="M3008" s="2"/>
      <c r="N3008" s="5"/>
      <c r="O3008" s="3"/>
      <c r="P3008" s="6"/>
      <c r="Q3008" s="48">
        <f>IF(Учет!$O3008=Справочники!$F$2,Учет!$H3008,0)</f>
        <v>0</v>
      </c>
      <c r="R3008" s="48">
        <f>IF(Учет!$O3008=Справочники!$F$3,Учет!$H3008,0)</f>
        <v>0</v>
      </c>
      <c r="S3008" s="48">
        <f>IF(Учет!$O3008=Справочники!$F$4,Учет!$H3008,0)</f>
        <v>0</v>
      </c>
      <c r="T3008" s="48">
        <f>IF(Учет!$O3008=Справочники!$F$5,Учет!$H3008,0)</f>
        <v>0</v>
      </c>
      <c r="U3008" s="48">
        <f>IF(Учет!$O3008=Справочники!$F$6,Учет!$H3008,0)</f>
        <v>0</v>
      </c>
      <c r="V3008" s="43">
        <f>V3007+Учет!Q3008-Q3008</f>
        <v>-488978.92000000004</v>
      </c>
      <c r="W3008" s="43">
        <f>W3007+Учет!R3008-R3008</f>
        <v>336855</v>
      </c>
      <c r="X3008" s="43">
        <f>X3007+Учет!S3008-S3008</f>
        <v>500</v>
      </c>
      <c r="Y3008" s="43">
        <f>Y3007+Учет!T3008-T3008</f>
        <v>1150</v>
      </c>
      <c r="Z3008" s="43">
        <f>Z3007+Учет!U3008-U3008</f>
        <v>500000</v>
      </c>
      <c r="AA3008" s="45">
        <f>Учет!X3008</f>
        <v>500</v>
      </c>
    </row>
    <row r="3009" spans="1:27" ht="15" customHeight="1" x14ac:dyDescent="0.25">
      <c r="A3009" s="1"/>
      <c r="B3009" s="17"/>
      <c r="C3009" s="17"/>
      <c r="D3009" s="17"/>
      <c r="E3009" s="17"/>
      <c r="F3009" s="17"/>
      <c r="G3009" s="4">
        <f t="shared" si="135"/>
        <v>0</v>
      </c>
      <c r="H3009" s="17"/>
      <c r="I3009" s="4">
        <f t="shared" si="137"/>
        <v>349526.07999999996</v>
      </c>
      <c r="J3009" s="32" t="str">
        <f t="shared" si="136"/>
        <v/>
      </c>
      <c r="K3009" s="72"/>
      <c r="L3009" s="72"/>
      <c r="M3009" s="2"/>
      <c r="N3009" s="5"/>
      <c r="O3009" s="3"/>
      <c r="P3009" s="6"/>
      <c r="Q3009" s="48">
        <f>IF(Учет!$O3009=Справочники!$F$2,Учет!$H3009,0)</f>
        <v>0</v>
      </c>
      <c r="R3009" s="48">
        <f>IF(Учет!$O3009=Справочники!$F$3,Учет!$H3009,0)</f>
        <v>0</v>
      </c>
      <c r="S3009" s="48">
        <f>IF(Учет!$O3009=Справочники!$F$4,Учет!$H3009,0)</f>
        <v>0</v>
      </c>
      <c r="T3009" s="48">
        <f>IF(Учет!$O3009=Справочники!$F$5,Учет!$H3009,0)</f>
        <v>0</v>
      </c>
      <c r="U3009" s="48">
        <f>IF(Учет!$O3009=Справочники!$F$6,Учет!$H3009,0)</f>
        <v>0</v>
      </c>
      <c r="V3009" s="43">
        <f>V3008+Учет!Q3009-Q3009</f>
        <v>-488978.92000000004</v>
      </c>
      <c r="W3009" s="43">
        <f>W3008+Учет!R3009-R3009</f>
        <v>336855</v>
      </c>
      <c r="X3009" s="43">
        <f>X3008+Учет!S3009-S3009</f>
        <v>500</v>
      </c>
      <c r="Y3009" s="43">
        <f>Y3008+Учет!T3009-T3009</f>
        <v>1150</v>
      </c>
      <c r="Z3009" s="43">
        <f>Z3008+Учет!U3009-U3009</f>
        <v>500000</v>
      </c>
      <c r="AA3009" s="45">
        <f>Учет!X3009</f>
        <v>500</v>
      </c>
    </row>
    <row r="3010" spans="1:27" ht="15" customHeight="1" x14ac:dyDescent="0.25">
      <c r="A3010" s="1"/>
      <c r="B3010" s="17"/>
      <c r="C3010" s="17"/>
      <c r="D3010" s="17"/>
      <c r="E3010" s="17"/>
      <c r="F3010" s="17"/>
      <c r="G3010" s="4">
        <f t="shared" ref="G3010:G3073" si="138">SUM($B3010:$F3010)</f>
        <v>0</v>
      </c>
      <c r="H3010" s="17"/>
      <c r="I3010" s="4">
        <f t="shared" si="137"/>
        <v>349526.07999999996</v>
      </c>
      <c r="J3010" s="32" t="str">
        <f t="shared" ref="J3010:J3073" si="139">IF($A3011&lt;&gt;$A3010,$I3010,"")</f>
        <v/>
      </c>
      <c r="K3010" s="72"/>
      <c r="L3010" s="72"/>
      <c r="M3010" s="2"/>
      <c r="N3010" s="5"/>
      <c r="O3010" s="3"/>
      <c r="P3010" s="6"/>
      <c r="Q3010" s="48">
        <f>IF(Учет!$O3010=Справочники!$F$2,Учет!$H3010,0)</f>
        <v>0</v>
      </c>
      <c r="R3010" s="48">
        <f>IF(Учет!$O3010=Справочники!$F$3,Учет!$H3010,0)</f>
        <v>0</v>
      </c>
      <c r="S3010" s="48">
        <f>IF(Учет!$O3010=Справочники!$F$4,Учет!$H3010,0)</f>
        <v>0</v>
      </c>
      <c r="T3010" s="48">
        <f>IF(Учет!$O3010=Справочники!$F$5,Учет!$H3010,0)</f>
        <v>0</v>
      </c>
      <c r="U3010" s="48">
        <f>IF(Учет!$O3010=Справочники!$F$6,Учет!$H3010,0)</f>
        <v>0</v>
      </c>
      <c r="V3010" s="43">
        <f>V3009+Учет!Q3010-Q3010</f>
        <v>-488978.92000000004</v>
      </c>
      <c r="W3010" s="43">
        <f>W3009+Учет!R3010-R3010</f>
        <v>336855</v>
      </c>
      <c r="X3010" s="43">
        <f>X3009+Учет!S3010-S3010</f>
        <v>500</v>
      </c>
      <c r="Y3010" s="43">
        <f>Y3009+Учет!T3010-T3010</f>
        <v>1150</v>
      </c>
      <c r="Z3010" s="43">
        <f>Z3009+Учет!U3010-U3010</f>
        <v>500000</v>
      </c>
      <c r="AA3010" s="45">
        <f>Учет!X3010</f>
        <v>500</v>
      </c>
    </row>
    <row r="3011" spans="1:27" ht="15" customHeight="1" x14ac:dyDescent="0.25">
      <c r="A3011" s="1"/>
      <c r="B3011" s="17"/>
      <c r="C3011" s="17"/>
      <c r="D3011" s="17"/>
      <c r="E3011" s="17"/>
      <c r="F3011" s="17"/>
      <c r="G3011" s="4">
        <f t="shared" si="138"/>
        <v>0</v>
      </c>
      <c r="H3011" s="17"/>
      <c r="I3011" s="4">
        <f t="shared" ref="I3011:I3074" si="140">$I3010+$G3011-$H3011</f>
        <v>349526.07999999996</v>
      </c>
      <c r="J3011" s="32" t="str">
        <f t="shared" si="139"/>
        <v/>
      </c>
      <c r="K3011" s="72"/>
      <c r="L3011" s="72"/>
      <c r="M3011" s="2"/>
      <c r="N3011" s="5"/>
      <c r="O3011" s="3"/>
      <c r="P3011" s="6"/>
      <c r="Q3011" s="48">
        <f>IF(Учет!$O3011=Справочники!$F$2,Учет!$H3011,0)</f>
        <v>0</v>
      </c>
      <c r="R3011" s="48">
        <f>IF(Учет!$O3011=Справочники!$F$3,Учет!$H3011,0)</f>
        <v>0</v>
      </c>
      <c r="S3011" s="48">
        <f>IF(Учет!$O3011=Справочники!$F$4,Учет!$H3011,0)</f>
        <v>0</v>
      </c>
      <c r="T3011" s="48">
        <f>IF(Учет!$O3011=Справочники!$F$5,Учет!$H3011,0)</f>
        <v>0</v>
      </c>
      <c r="U3011" s="48">
        <f>IF(Учет!$O3011=Справочники!$F$6,Учет!$H3011,0)</f>
        <v>0</v>
      </c>
      <c r="V3011" s="43">
        <f>V3010+Учет!Q3011-Q3011</f>
        <v>-488978.92000000004</v>
      </c>
      <c r="W3011" s="43">
        <f>W3010+Учет!R3011-R3011</f>
        <v>336855</v>
      </c>
      <c r="X3011" s="43">
        <f>X3010+Учет!S3011-S3011</f>
        <v>500</v>
      </c>
      <c r="Y3011" s="43">
        <f>Y3010+Учет!T3011-T3011</f>
        <v>1150</v>
      </c>
      <c r="Z3011" s="43">
        <f>Z3010+Учет!U3011-U3011</f>
        <v>500000</v>
      </c>
      <c r="AA3011" s="45">
        <f>Учет!X3011</f>
        <v>500</v>
      </c>
    </row>
    <row r="3012" spans="1:27" ht="15" customHeight="1" x14ac:dyDescent="0.25">
      <c r="A3012" s="1"/>
      <c r="B3012" s="17"/>
      <c r="C3012" s="17"/>
      <c r="D3012" s="17"/>
      <c r="E3012" s="17"/>
      <c r="F3012" s="17"/>
      <c r="G3012" s="4">
        <f t="shared" si="138"/>
        <v>0</v>
      </c>
      <c r="H3012" s="17"/>
      <c r="I3012" s="4">
        <f t="shared" si="140"/>
        <v>349526.07999999996</v>
      </c>
      <c r="J3012" s="32" t="str">
        <f t="shared" si="139"/>
        <v/>
      </c>
      <c r="K3012" s="72"/>
      <c r="L3012" s="72"/>
      <c r="M3012" s="2"/>
      <c r="N3012" s="5"/>
      <c r="O3012" s="3"/>
      <c r="P3012" s="6"/>
      <c r="Q3012" s="48">
        <f>IF(Учет!$O3012=Справочники!$F$2,Учет!$H3012,0)</f>
        <v>0</v>
      </c>
      <c r="R3012" s="48">
        <f>IF(Учет!$O3012=Справочники!$F$3,Учет!$H3012,0)</f>
        <v>0</v>
      </c>
      <c r="S3012" s="48">
        <f>IF(Учет!$O3012=Справочники!$F$4,Учет!$H3012,0)</f>
        <v>0</v>
      </c>
      <c r="T3012" s="48">
        <f>IF(Учет!$O3012=Справочники!$F$5,Учет!$H3012,0)</f>
        <v>0</v>
      </c>
      <c r="U3012" s="48">
        <f>IF(Учет!$O3012=Справочники!$F$6,Учет!$H3012,0)</f>
        <v>0</v>
      </c>
      <c r="V3012" s="43">
        <f>V3011+Учет!Q3012-Q3012</f>
        <v>-488978.92000000004</v>
      </c>
      <c r="W3012" s="43">
        <f>W3011+Учет!R3012-R3012</f>
        <v>336855</v>
      </c>
      <c r="X3012" s="43">
        <f>X3011+Учет!S3012-S3012</f>
        <v>500</v>
      </c>
      <c r="Y3012" s="43">
        <f>Y3011+Учет!T3012-T3012</f>
        <v>1150</v>
      </c>
      <c r="Z3012" s="43">
        <f>Z3011+Учет!U3012-U3012</f>
        <v>500000</v>
      </c>
      <c r="AA3012" s="45">
        <f>Учет!X3012</f>
        <v>500</v>
      </c>
    </row>
    <row r="3013" spans="1:27" ht="15" customHeight="1" x14ac:dyDescent="0.25">
      <c r="A3013" s="1"/>
      <c r="B3013" s="17"/>
      <c r="C3013" s="17"/>
      <c r="D3013" s="17"/>
      <c r="E3013" s="17"/>
      <c r="F3013" s="17"/>
      <c r="G3013" s="4">
        <f t="shared" si="138"/>
        <v>0</v>
      </c>
      <c r="H3013" s="17"/>
      <c r="I3013" s="4">
        <f t="shared" si="140"/>
        <v>349526.07999999996</v>
      </c>
      <c r="J3013" s="32" t="str">
        <f t="shared" si="139"/>
        <v/>
      </c>
      <c r="K3013" s="72"/>
      <c r="L3013" s="72"/>
      <c r="M3013" s="2"/>
      <c r="N3013" s="5"/>
      <c r="O3013" s="3"/>
      <c r="P3013" s="6"/>
      <c r="Q3013" s="48">
        <f>IF(Учет!$O3013=Справочники!$F$2,Учет!$H3013,0)</f>
        <v>0</v>
      </c>
      <c r="R3013" s="48">
        <f>IF(Учет!$O3013=Справочники!$F$3,Учет!$H3013,0)</f>
        <v>0</v>
      </c>
      <c r="S3013" s="48">
        <f>IF(Учет!$O3013=Справочники!$F$4,Учет!$H3013,0)</f>
        <v>0</v>
      </c>
      <c r="T3013" s="48">
        <f>IF(Учет!$O3013=Справочники!$F$5,Учет!$H3013,0)</f>
        <v>0</v>
      </c>
      <c r="U3013" s="48">
        <f>IF(Учет!$O3013=Справочники!$F$6,Учет!$H3013,0)</f>
        <v>0</v>
      </c>
      <c r="V3013" s="43">
        <f>V3012+Учет!Q3013-Q3013</f>
        <v>-488978.92000000004</v>
      </c>
      <c r="W3013" s="43">
        <f>W3012+Учет!R3013-R3013</f>
        <v>336855</v>
      </c>
      <c r="X3013" s="43">
        <f>X3012+Учет!S3013-S3013</f>
        <v>500</v>
      </c>
      <c r="Y3013" s="43">
        <f>Y3012+Учет!T3013-T3013</f>
        <v>1150</v>
      </c>
      <c r="Z3013" s="43">
        <f>Z3012+Учет!U3013-U3013</f>
        <v>500000</v>
      </c>
      <c r="AA3013" s="45">
        <f>Учет!X3013</f>
        <v>500</v>
      </c>
    </row>
    <row r="3014" spans="1:27" ht="15" customHeight="1" x14ac:dyDescent="0.25">
      <c r="A3014" s="1"/>
      <c r="B3014" s="17"/>
      <c r="C3014" s="17"/>
      <c r="D3014" s="17"/>
      <c r="E3014" s="17"/>
      <c r="F3014" s="17"/>
      <c r="G3014" s="4">
        <f t="shared" si="138"/>
        <v>0</v>
      </c>
      <c r="H3014" s="17"/>
      <c r="I3014" s="4">
        <f t="shared" si="140"/>
        <v>349526.07999999996</v>
      </c>
      <c r="J3014" s="32" t="str">
        <f t="shared" si="139"/>
        <v/>
      </c>
      <c r="K3014" s="72"/>
      <c r="L3014" s="72"/>
      <c r="M3014" s="2"/>
      <c r="N3014" s="5"/>
      <c r="O3014" s="3"/>
      <c r="P3014" s="6"/>
      <c r="Q3014" s="48">
        <f>IF(Учет!$O3014=Справочники!$F$2,Учет!$H3014,0)</f>
        <v>0</v>
      </c>
      <c r="R3014" s="48">
        <f>IF(Учет!$O3014=Справочники!$F$3,Учет!$H3014,0)</f>
        <v>0</v>
      </c>
      <c r="S3014" s="48">
        <f>IF(Учет!$O3014=Справочники!$F$4,Учет!$H3014,0)</f>
        <v>0</v>
      </c>
      <c r="T3014" s="48">
        <f>IF(Учет!$O3014=Справочники!$F$5,Учет!$H3014,0)</f>
        <v>0</v>
      </c>
      <c r="U3014" s="48">
        <f>IF(Учет!$O3014=Справочники!$F$6,Учет!$H3014,0)</f>
        <v>0</v>
      </c>
      <c r="V3014" s="43">
        <f>V3013+Учет!Q3014-Q3014</f>
        <v>-488978.92000000004</v>
      </c>
      <c r="W3014" s="43">
        <f>W3013+Учет!R3014-R3014</f>
        <v>336855</v>
      </c>
      <c r="X3014" s="43">
        <f>X3013+Учет!S3014-S3014</f>
        <v>500</v>
      </c>
      <c r="Y3014" s="43">
        <f>Y3013+Учет!T3014-T3014</f>
        <v>1150</v>
      </c>
      <c r="Z3014" s="43">
        <f>Z3013+Учет!U3014-U3014</f>
        <v>500000</v>
      </c>
      <c r="AA3014" s="45">
        <f>Учет!X3014</f>
        <v>500</v>
      </c>
    </row>
    <row r="3015" spans="1:27" ht="15" customHeight="1" x14ac:dyDescent="0.25">
      <c r="A3015" s="1"/>
      <c r="B3015" s="17"/>
      <c r="C3015" s="17"/>
      <c r="D3015" s="17"/>
      <c r="E3015" s="17"/>
      <c r="F3015" s="17"/>
      <c r="G3015" s="4">
        <f t="shared" si="138"/>
        <v>0</v>
      </c>
      <c r="H3015" s="17"/>
      <c r="I3015" s="4">
        <f t="shared" si="140"/>
        <v>349526.07999999996</v>
      </c>
      <c r="J3015" s="32" t="str">
        <f t="shared" si="139"/>
        <v/>
      </c>
      <c r="K3015" s="72"/>
      <c r="L3015" s="72"/>
      <c r="M3015" s="2"/>
      <c r="N3015" s="5"/>
      <c r="O3015" s="3"/>
      <c r="P3015" s="6"/>
      <c r="Q3015" s="48">
        <f>IF(Учет!$O3015=Справочники!$F$2,Учет!$H3015,0)</f>
        <v>0</v>
      </c>
      <c r="R3015" s="48">
        <f>IF(Учет!$O3015=Справочники!$F$3,Учет!$H3015,0)</f>
        <v>0</v>
      </c>
      <c r="S3015" s="48">
        <f>IF(Учет!$O3015=Справочники!$F$4,Учет!$H3015,0)</f>
        <v>0</v>
      </c>
      <c r="T3015" s="48">
        <f>IF(Учет!$O3015=Справочники!$F$5,Учет!$H3015,0)</f>
        <v>0</v>
      </c>
      <c r="U3015" s="48">
        <f>IF(Учет!$O3015=Справочники!$F$6,Учет!$H3015,0)</f>
        <v>0</v>
      </c>
      <c r="V3015" s="43">
        <f>V3014+Учет!Q3015-Q3015</f>
        <v>-488978.92000000004</v>
      </c>
      <c r="W3015" s="43">
        <f>W3014+Учет!R3015-R3015</f>
        <v>336855</v>
      </c>
      <c r="X3015" s="43">
        <f>X3014+Учет!S3015-S3015</f>
        <v>500</v>
      </c>
      <c r="Y3015" s="43">
        <f>Y3014+Учет!T3015-T3015</f>
        <v>1150</v>
      </c>
      <c r="Z3015" s="43">
        <f>Z3014+Учет!U3015-U3015</f>
        <v>500000</v>
      </c>
      <c r="AA3015" s="45">
        <f>Учет!X3015</f>
        <v>500</v>
      </c>
    </row>
    <row r="3016" spans="1:27" ht="15" customHeight="1" x14ac:dyDescent="0.25">
      <c r="A3016" s="1"/>
      <c r="B3016" s="17"/>
      <c r="C3016" s="17"/>
      <c r="D3016" s="17"/>
      <c r="E3016" s="17"/>
      <c r="F3016" s="17"/>
      <c r="G3016" s="4">
        <f t="shared" si="138"/>
        <v>0</v>
      </c>
      <c r="H3016" s="17"/>
      <c r="I3016" s="4">
        <f t="shared" si="140"/>
        <v>349526.07999999996</v>
      </c>
      <c r="J3016" s="32" t="str">
        <f t="shared" si="139"/>
        <v/>
      </c>
      <c r="K3016" s="72"/>
      <c r="L3016" s="72"/>
      <c r="M3016" s="2"/>
      <c r="N3016" s="5"/>
      <c r="O3016" s="3"/>
      <c r="P3016" s="6"/>
      <c r="Q3016" s="48">
        <f>IF(Учет!$O3016=Справочники!$F$2,Учет!$H3016,0)</f>
        <v>0</v>
      </c>
      <c r="R3016" s="48">
        <f>IF(Учет!$O3016=Справочники!$F$3,Учет!$H3016,0)</f>
        <v>0</v>
      </c>
      <c r="S3016" s="48">
        <f>IF(Учет!$O3016=Справочники!$F$4,Учет!$H3016,0)</f>
        <v>0</v>
      </c>
      <c r="T3016" s="48">
        <f>IF(Учет!$O3016=Справочники!$F$5,Учет!$H3016,0)</f>
        <v>0</v>
      </c>
      <c r="U3016" s="48">
        <f>IF(Учет!$O3016=Справочники!$F$6,Учет!$H3016,0)</f>
        <v>0</v>
      </c>
      <c r="V3016" s="43">
        <f>V3015+Учет!Q3016-Q3016</f>
        <v>-488978.92000000004</v>
      </c>
      <c r="W3016" s="43">
        <f>W3015+Учет!R3016-R3016</f>
        <v>336855</v>
      </c>
      <c r="X3016" s="43">
        <f>X3015+Учет!S3016-S3016</f>
        <v>500</v>
      </c>
      <c r="Y3016" s="43">
        <f>Y3015+Учет!T3016-T3016</f>
        <v>1150</v>
      </c>
      <c r="Z3016" s="43">
        <f>Z3015+Учет!U3016-U3016</f>
        <v>500000</v>
      </c>
      <c r="AA3016" s="45">
        <f>Учет!X3016</f>
        <v>500</v>
      </c>
    </row>
    <row r="3017" spans="1:27" ht="15" customHeight="1" x14ac:dyDescent="0.25">
      <c r="A3017" s="1"/>
      <c r="B3017" s="17"/>
      <c r="C3017" s="17"/>
      <c r="D3017" s="17"/>
      <c r="E3017" s="17"/>
      <c r="F3017" s="17"/>
      <c r="G3017" s="4">
        <f t="shared" si="138"/>
        <v>0</v>
      </c>
      <c r="H3017" s="17"/>
      <c r="I3017" s="4">
        <f t="shared" si="140"/>
        <v>349526.07999999996</v>
      </c>
      <c r="J3017" s="32" t="str">
        <f t="shared" si="139"/>
        <v/>
      </c>
      <c r="K3017" s="72"/>
      <c r="L3017" s="72"/>
      <c r="M3017" s="2"/>
      <c r="N3017" s="5"/>
      <c r="O3017" s="3"/>
      <c r="P3017" s="6"/>
      <c r="Q3017" s="48">
        <f>IF(Учет!$O3017=Справочники!$F$2,Учет!$H3017,0)</f>
        <v>0</v>
      </c>
      <c r="R3017" s="48">
        <f>IF(Учет!$O3017=Справочники!$F$3,Учет!$H3017,0)</f>
        <v>0</v>
      </c>
      <c r="S3017" s="48">
        <f>IF(Учет!$O3017=Справочники!$F$4,Учет!$H3017,0)</f>
        <v>0</v>
      </c>
      <c r="T3017" s="48">
        <f>IF(Учет!$O3017=Справочники!$F$5,Учет!$H3017,0)</f>
        <v>0</v>
      </c>
      <c r="U3017" s="48">
        <f>IF(Учет!$O3017=Справочники!$F$6,Учет!$H3017,0)</f>
        <v>0</v>
      </c>
      <c r="V3017" s="43">
        <f>V3016+Учет!Q3017-Q3017</f>
        <v>-488978.92000000004</v>
      </c>
      <c r="W3017" s="43">
        <f>W3016+Учет!R3017-R3017</f>
        <v>336855</v>
      </c>
      <c r="X3017" s="43">
        <f>X3016+Учет!S3017-S3017</f>
        <v>500</v>
      </c>
      <c r="Y3017" s="43">
        <f>Y3016+Учет!T3017-T3017</f>
        <v>1150</v>
      </c>
      <c r="Z3017" s="43">
        <f>Z3016+Учет!U3017-U3017</f>
        <v>500000</v>
      </c>
      <c r="AA3017" s="45">
        <f>Учет!X3017</f>
        <v>500</v>
      </c>
    </row>
    <row r="3018" spans="1:27" ht="15" customHeight="1" x14ac:dyDescent="0.25">
      <c r="A3018" s="1"/>
      <c r="B3018" s="17"/>
      <c r="C3018" s="17"/>
      <c r="D3018" s="17"/>
      <c r="E3018" s="17"/>
      <c r="F3018" s="17"/>
      <c r="G3018" s="4">
        <f t="shared" si="138"/>
        <v>0</v>
      </c>
      <c r="H3018" s="17"/>
      <c r="I3018" s="4">
        <f t="shared" si="140"/>
        <v>349526.07999999996</v>
      </c>
      <c r="J3018" s="32" t="str">
        <f t="shared" si="139"/>
        <v/>
      </c>
      <c r="K3018" s="72"/>
      <c r="L3018" s="72"/>
      <c r="M3018" s="2"/>
      <c r="N3018" s="5"/>
      <c r="O3018" s="3"/>
      <c r="P3018" s="6"/>
      <c r="Q3018" s="48">
        <f>IF(Учет!$O3018=Справочники!$F$2,Учет!$H3018,0)</f>
        <v>0</v>
      </c>
      <c r="R3018" s="48">
        <f>IF(Учет!$O3018=Справочники!$F$3,Учет!$H3018,0)</f>
        <v>0</v>
      </c>
      <c r="S3018" s="48">
        <f>IF(Учет!$O3018=Справочники!$F$4,Учет!$H3018,0)</f>
        <v>0</v>
      </c>
      <c r="T3018" s="48">
        <f>IF(Учет!$O3018=Справочники!$F$5,Учет!$H3018,0)</f>
        <v>0</v>
      </c>
      <c r="U3018" s="48">
        <f>IF(Учет!$O3018=Справочники!$F$6,Учет!$H3018,0)</f>
        <v>0</v>
      </c>
      <c r="V3018" s="43">
        <f>V3017+Учет!Q3018-Q3018</f>
        <v>-488978.92000000004</v>
      </c>
      <c r="W3018" s="43">
        <f>W3017+Учет!R3018-R3018</f>
        <v>336855</v>
      </c>
      <c r="X3018" s="43">
        <f>X3017+Учет!S3018-S3018</f>
        <v>500</v>
      </c>
      <c r="Y3018" s="43">
        <f>Y3017+Учет!T3018-T3018</f>
        <v>1150</v>
      </c>
      <c r="Z3018" s="43">
        <f>Z3017+Учет!U3018-U3018</f>
        <v>500000</v>
      </c>
      <c r="AA3018" s="45">
        <f>Учет!X3018</f>
        <v>500</v>
      </c>
    </row>
    <row r="3019" spans="1:27" ht="15" customHeight="1" x14ac:dyDescent="0.25">
      <c r="A3019" s="1"/>
      <c r="B3019" s="17"/>
      <c r="C3019" s="17"/>
      <c r="D3019" s="17"/>
      <c r="E3019" s="17"/>
      <c r="F3019" s="17"/>
      <c r="G3019" s="4">
        <f t="shared" si="138"/>
        <v>0</v>
      </c>
      <c r="H3019" s="17"/>
      <c r="I3019" s="4">
        <f t="shared" si="140"/>
        <v>349526.07999999996</v>
      </c>
      <c r="J3019" s="32" t="str">
        <f t="shared" si="139"/>
        <v/>
      </c>
      <c r="K3019" s="72"/>
      <c r="L3019" s="72"/>
      <c r="M3019" s="2"/>
      <c r="N3019" s="5"/>
      <c r="O3019" s="3"/>
      <c r="P3019" s="6"/>
      <c r="Q3019" s="48">
        <f>IF(Учет!$O3019=Справочники!$F$2,Учет!$H3019,0)</f>
        <v>0</v>
      </c>
      <c r="R3019" s="48">
        <f>IF(Учет!$O3019=Справочники!$F$3,Учет!$H3019,0)</f>
        <v>0</v>
      </c>
      <c r="S3019" s="48">
        <f>IF(Учет!$O3019=Справочники!$F$4,Учет!$H3019,0)</f>
        <v>0</v>
      </c>
      <c r="T3019" s="48">
        <f>IF(Учет!$O3019=Справочники!$F$5,Учет!$H3019,0)</f>
        <v>0</v>
      </c>
      <c r="U3019" s="48">
        <f>IF(Учет!$O3019=Справочники!$F$6,Учет!$H3019,0)</f>
        <v>0</v>
      </c>
      <c r="V3019" s="43">
        <f>V3018+Учет!Q3019-Q3019</f>
        <v>-488978.92000000004</v>
      </c>
      <c r="W3019" s="43">
        <f>W3018+Учет!R3019-R3019</f>
        <v>336855</v>
      </c>
      <c r="X3019" s="43">
        <f>X3018+Учет!S3019-S3019</f>
        <v>500</v>
      </c>
      <c r="Y3019" s="43">
        <f>Y3018+Учет!T3019-T3019</f>
        <v>1150</v>
      </c>
      <c r="Z3019" s="43">
        <f>Z3018+Учет!U3019-U3019</f>
        <v>500000</v>
      </c>
      <c r="AA3019" s="45">
        <f>Учет!X3019</f>
        <v>500</v>
      </c>
    </row>
    <row r="3020" spans="1:27" ht="15" customHeight="1" x14ac:dyDescent="0.25">
      <c r="A3020" s="1"/>
      <c r="B3020" s="17"/>
      <c r="C3020" s="17"/>
      <c r="D3020" s="17"/>
      <c r="E3020" s="17"/>
      <c r="F3020" s="17"/>
      <c r="G3020" s="4">
        <f t="shared" si="138"/>
        <v>0</v>
      </c>
      <c r="H3020" s="17"/>
      <c r="I3020" s="4">
        <f t="shared" si="140"/>
        <v>349526.07999999996</v>
      </c>
      <c r="J3020" s="32" t="str">
        <f t="shared" si="139"/>
        <v/>
      </c>
      <c r="K3020" s="72"/>
      <c r="L3020" s="72"/>
      <c r="M3020" s="2"/>
      <c r="N3020" s="5"/>
      <c r="O3020" s="3"/>
      <c r="P3020" s="6"/>
      <c r="Q3020" s="48">
        <f>IF(Учет!$O3020=Справочники!$F$2,Учет!$H3020,0)</f>
        <v>0</v>
      </c>
      <c r="R3020" s="48">
        <f>IF(Учет!$O3020=Справочники!$F$3,Учет!$H3020,0)</f>
        <v>0</v>
      </c>
      <c r="S3020" s="48">
        <f>IF(Учет!$O3020=Справочники!$F$4,Учет!$H3020,0)</f>
        <v>0</v>
      </c>
      <c r="T3020" s="48">
        <f>IF(Учет!$O3020=Справочники!$F$5,Учет!$H3020,0)</f>
        <v>0</v>
      </c>
      <c r="U3020" s="48">
        <f>IF(Учет!$O3020=Справочники!$F$6,Учет!$H3020,0)</f>
        <v>0</v>
      </c>
      <c r="V3020" s="43">
        <f>V3019+Учет!Q3020-Q3020</f>
        <v>-488978.92000000004</v>
      </c>
      <c r="W3020" s="43">
        <f>W3019+Учет!R3020-R3020</f>
        <v>336855</v>
      </c>
      <c r="X3020" s="43">
        <f>X3019+Учет!S3020-S3020</f>
        <v>500</v>
      </c>
      <c r="Y3020" s="43">
        <f>Y3019+Учет!T3020-T3020</f>
        <v>1150</v>
      </c>
      <c r="Z3020" s="43">
        <f>Z3019+Учет!U3020-U3020</f>
        <v>500000</v>
      </c>
      <c r="AA3020" s="45">
        <f>Учет!X3020</f>
        <v>500</v>
      </c>
    </row>
    <row r="3021" spans="1:27" ht="15" customHeight="1" x14ac:dyDescent="0.25">
      <c r="A3021" s="1"/>
      <c r="B3021" s="17"/>
      <c r="C3021" s="17"/>
      <c r="D3021" s="17"/>
      <c r="E3021" s="17"/>
      <c r="F3021" s="17"/>
      <c r="G3021" s="4">
        <f t="shared" si="138"/>
        <v>0</v>
      </c>
      <c r="H3021" s="17"/>
      <c r="I3021" s="4">
        <f t="shared" si="140"/>
        <v>349526.07999999996</v>
      </c>
      <c r="J3021" s="32" t="str">
        <f t="shared" si="139"/>
        <v/>
      </c>
      <c r="K3021" s="72"/>
      <c r="L3021" s="72"/>
      <c r="M3021" s="2"/>
      <c r="N3021" s="5"/>
      <c r="O3021" s="3"/>
      <c r="P3021" s="6"/>
      <c r="Q3021" s="48">
        <f>IF(Учет!$O3021=Справочники!$F$2,Учет!$H3021,0)</f>
        <v>0</v>
      </c>
      <c r="R3021" s="48">
        <f>IF(Учет!$O3021=Справочники!$F$3,Учет!$H3021,0)</f>
        <v>0</v>
      </c>
      <c r="S3021" s="48">
        <f>IF(Учет!$O3021=Справочники!$F$4,Учет!$H3021,0)</f>
        <v>0</v>
      </c>
      <c r="T3021" s="48">
        <f>IF(Учет!$O3021=Справочники!$F$5,Учет!$H3021,0)</f>
        <v>0</v>
      </c>
      <c r="U3021" s="48">
        <f>IF(Учет!$O3021=Справочники!$F$6,Учет!$H3021,0)</f>
        <v>0</v>
      </c>
      <c r="V3021" s="43">
        <f>V3020+Учет!Q3021-Q3021</f>
        <v>-488978.92000000004</v>
      </c>
      <c r="W3021" s="43">
        <f>W3020+Учет!R3021-R3021</f>
        <v>336855</v>
      </c>
      <c r="X3021" s="43">
        <f>X3020+Учет!S3021-S3021</f>
        <v>500</v>
      </c>
      <c r="Y3021" s="43">
        <f>Y3020+Учет!T3021-T3021</f>
        <v>1150</v>
      </c>
      <c r="Z3021" s="43">
        <f>Z3020+Учет!U3021-U3021</f>
        <v>500000</v>
      </c>
      <c r="AA3021" s="45">
        <f>Учет!X3021</f>
        <v>500</v>
      </c>
    </row>
    <row r="3022" spans="1:27" ht="15" customHeight="1" x14ac:dyDescent="0.25">
      <c r="A3022" s="1"/>
      <c r="B3022" s="17"/>
      <c r="C3022" s="17"/>
      <c r="D3022" s="17"/>
      <c r="E3022" s="17"/>
      <c r="F3022" s="17"/>
      <c r="G3022" s="4">
        <f t="shared" si="138"/>
        <v>0</v>
      </c>
      <c r="H3022" s="17"/>
      <c r="I3022" s="4">
        <f t="shared" si="140"/>
        <v>349526.07999999996</v>
      </c>
      <c r="J3022" s="32" t="str">
        <f t="shared" si="139"/>
        <v/>
      </c>
      <c r="K3022" s="72"/>
      <c r="L3022" s="72"/>
      <c r="M3022" s="2"/>
      <c r="N3022" s="5"/>
      <c r="O3022" s="3"/>
      <c r="P3022" s="6"/>
      <c r="Q3022" s="48">
        <f>IF(Учет!$O3022=Справочники!$F$2,Учет!$H3022,0)</f>
        <v>0</v>
      </c>
      <c r="R3022" s="48">
        <f>IF(Учет!$O3022=Справочники!$F$3,Учет!$H3022,0)</f>
        <v>0</v>
      </c>
      <c r="S3022" s="48">
        <f>IF(Учет!$O3022=Справочники!$F$4,Учет!$H3022,0)</f>
        <v>0</v>
      </c>
      <c r="T3022" s="48">
        <f>IF(Учет!$O3022=Справочники!$F$5,Учет!$H3022,0)</f>
        <v>0</v>
      </c>
      <c r="U3022" s="48">
        <f>IF(Учет!$O3022=Справочники!$F$6,Учет!$H3022,0)</f>
        <v>0</v>
      </c>
      <c r="V3022" s="43">
        <f>V3021+Учет!Q3022-Q3022</f>
        <v>-488978.92000000004</v>
      </c>
      <c r="W3022" s="43">
        <f>W3021+Учет!R3022-R3022</f>
        <v>336855</v>
      </c>
      <c r="X3022" s="43">
        <f>X3021+Учет!S3022-S3022</f>
        <v>500</v>
      </c>
      <c r="Y3022" s="43">
        <f>Y3021+Учет!T3022-T3022</f>
        <v>1150</v>
      </c>
      <c r="Z3022" s="43">
        <f>Z3021+Учет!U3022-U3022</f>
        <v>500000</v>
      </c>
      <c r="AA3022" s="45">
        <f>Учет!X3022</f>
        <v>500</v>
      </c>
    </row>
    <row r="3023" spans="1:27" ht="15" customHeight="1" x14ac:dyDescent="0.25">
      <c r="A3023" s="1"/>
      <c r="B3023" s="17"/>
      <c r="C3023" s="17"/>
      <c r="D3023" s="17"/>
      <c r="E3023" s="17"/>
      <c r="F3023" s="17"/>
      <c r="G3023" s="4">
        <f t="shared" si="138"/>
        <v>0</v>
      </c>
      <c r="H3023" s="17"/>
      <c r="I3023" s="4">
        <f t="shared" si="140"/>
        <v>349526.07999999996</v>
      </c>
      <c r="J3023" s="32" t="str">
        <f t="shared" si="139"/>
        <v/>
      </c>
      <c r="K3023" s="72"/>
      <c r="L3023" s="72"/>
      <c r="M3023" s="2"/>
      <c r="N3023" s="5"/>
      <c r="O3023" s="3"/>
      <c r="P3023" s="6"/>
      <c r="Q3023" s="48">
        <f>IF(Учет!$O3023=Справочники!$F$2,Учет!$H3023,0)</f>
        <v>0</v>
      </c>
      <c r="R3023" s="48">
        <f>IF(Учет!$O3023=Справочники!$F$3,Учет!$H3023,0)</f>
        <v>0</v>
      </c>
      <c r="S3023" s="48">
        <f>IF(Учет!$O3023=Справочники!$F$4,Учет!$H3023,0)</f>
        <v>0</v>
      </c>
      <c r="T3023" s="48">
        <f>IF(Учет!$O3023=Справочники!$F$5,Учет!$H3023,0)</f>
        <v>0</v>
      </c>
      <c r="U3023" s="48">
        <f>IF(Учет!$O3023=Справочники!$F$6,Учет!$H3023,0)</f>
        <v>0</v>
      </c>
      <c r="V3023" s="43">
        <f>V3022+Учет!Q3023-Q3023</f>
        <v>-488978.92000000004</v>
      </c>
      <c r="W3023" s="43">
        <f>W3022+Учет!R3023-R3023</f>
        <v>336855</v>
      </c>
      <c r="X3023" s="43">
        <f>X3022+Учет!S3023-S3023</f>
        <v>500</v>
      </c>
      <c r="Y3023" s="43">
        <f>Y3022+Учет!T3023-T3023</f>
        <v>1150</v>
      </c>
      <c r="Z3023" s="43">
        <f>Z3022+Учет!U3023-U3023</f>
        <v>500000</v>
      </c>
      <c r="AA3023" s="45">
        <f>Учет!X3023</f>
        <v>500</v>
      </c>
    </row>
    <row r="3024" spans="1:27" ht="15" customHeight="1" x14ac:dyDescent="0.25">
      <c r="A3024" s="1"/>
      <c r="B3024" s="17"/>
      <c r="C3024" s="17"/>
      <c r="D3024" s="17"/>
      <c r="E3024" s="17"/>
      <c r="F3024" s="17"/>
      <c r="G3024" s="4">
        <f t="shared" si="138"/>
        <v>0</v>
      </c>
      <c r="H3024" s="17"/>
      <c r="I3024" s="4">
        <f t="shared" si="140"/>
        <v>349526.07999999996</v>
      </c>
      <c r="J3024" s="32" t="str">
        <f t="shared" si="139"/>
        <v/>
      </c>
      <c r="K3024" s="72"/>
      <c r="L3024" s="72"/>
      <c r="M3024" s="2"/>
      <c r="N3024" s="5"/>
      <c r="O3024" s="3"/>
      <c r="P3024" s="6"/>
      <c r="Q3024" s="48">
        <f>IF(Учет!$O3024=Справочники!$F$2,Учет!$H3024,0)</f>
        <v>0</v>
      </c>
      <c r="R3024" s="48">
        <f>IF(Учет!$O3024=Справочники!$F$3,Учет!$H3024,0)</f>
        <v>0</v>
      </c>
      <c r="S3024" s="48">
        <f>IF(Учет!$O3024=Справочники!$F$4,Учет!$H3024,0)</f>
        <v>0</v>
      </c>
      <c r="T3024" s="48">
        <f>IF(Учет!$O3024=Справочники!$F$5,Учет!$H3024,0)</f>
        <v>0</v>
      </c>
      <c r="U3024" s="48">
        <f>IF(Учет!$O3024=Справочники!$F$6,Учет!$H3024,0)</f>
        <v>0</v>
      </c>
      <c r="V3024" s="43">
        <f>V3023+Учет!Q3024-Q3024</f>
        <v>-488978.92000000004</v>
      </c>
      <c r="W3024" s="43">
        <f>W3023+Учет!R3024-R3024</f>
        <v>336855</v>
      </c>
      <c r="X3024" s="43">
        <f>X3023+Учет!S3024-S3024</f>
        <v>500</v>
      </c>
      <c r="Y3024" s="43">
        <f>Y3023+Учет!T3024-T3024</f>
        <v>1150</v>
      </c>
      <c r="Z3024" s="43">
        <f>Z3023+Учет!U3024-U3024</f>
        <v>500000</v>
      </c>
      <c r="AA3024" s="45">
        <f>Учет!X3024</f>
        <v>500</v>
      </c>
    </row>
    <row r="3025" spans="1:27" ht="15" customHeight="1" x14ac:dyDescent="0.25">
      <c r="A3025" s="1"/>
      <c r="B3025" s="17"/>
      <c r="C3025" s="17"/>
      <c r="D3025" s="17"/>
      <c r="E3025" s="17"/>
      <c r="F3025" s="17"/>
      <c r="G3025" s="4">
        <f t="shared" si="138"/>
        <v>0</v>
      </c>
      <c r="H3025" s="17"/>
      <c r="I3025" s="4">
        <f t="shared" si="140"/>
        <v>349526.07999999996</v>
      </c>
      <c r="J3025" s="32" t="str">
        <f t="shared" si="139"/>
        <v/>
      </c>
      <c r="K3025" s="72"/>
      <c r="L3025" s="72"/>
      <c r="M3025" s="2"/>
      <c r="N3025" s="5"/>
      <c r="O3025" s="3"/>
      <c r="P3025" s="6"/>
      <c r="Q3025" s="48">
        <f>IF(Учет!$O3025=Справочники!$F$2,Учет!$H3025,0)</f>
        <v>0</v>
      </c>
      <c r="R3025" s="48">
        <f>IF(Учет!$O3025=Справочники!$F$3,Учет!$H3025,0)</f>
        <v>0</v>
      </c>
      <c r="S3025" s="48">
        <f>IF(Учет!$O3025=Справочники!$F$4,Учет!$H3025,0)</f>
        <v>0</v>
      </c>
      <c r="T3025" s="48">
        <f>IF(Учет!$O3025=Справочники!$F$5,Учет!$H3025,0)</f>
        <v>0</v>
      </c>
      <c r="U3025" s="48">
        <f>IF(Учет!$O3025=Справочники!$F$6,Учет!$H3025,0)</f>
        <v>0</v>
      </c>
      <c r="V3025" s="43">
        <f>V3024+Учет!Q3025-Q3025</f>
        <v>-488978.92000000004</v>
      </c>
      <c r="W3025" s="43">
        <f>W3024+Учет!R3025-R3025</f>
        <v>336855</v>
      </c>
      <c r="X3025" s="43">
        <f>X3024+Учет!S3025-S3025</f>
        <v>500</v>
      </c>
      <c r="Y3025" s="43">
        <f>Y3024+Учет!T3025-T3025</f>
        <v>1150</v>
      </c>
      <c r="Z3025" s="43">
        <f>Z3024+Учет!U3025-U3025</f>
        <v>500000</v>
      </c>
      <c r="AA3025" s="45">
        <f>Учет!X3025</f>
        <v>500</v>
      </c>
    </row>
    <row r="3026" spans="1:27" ht="15" customHeight="1" x14ac:dyDescent="0.25">
      <c r="A3026" s="1"/>
      <c r="B3026" s="17"/>
      <c r="C3026" s="17"/>
      <c r="D3026" s="17"/>
      <c r="E3026" s="17"/>
      <c r="F3026" s="17"/>
      <c r="G3026" s="4">
        <f t="shared" si="138"/>
        <v>0</v>
      </c>
      <c r="H3026" s="17"/>
      <c r="I3026" s="4">
        <f t="shared" si="140"/>
        <v>349526.07999999996</v>
      </c>
      <c r="J3026" s="32" t="str">
        <f t="shared" si="139"/>
        <v/>
      </c>
      <c r="K3026" s="72"/>
      <c r="L3026" s="72"/>
      <c r="M3026" s="2"/>
      <c r="N3026" s="5"/>
      <c r="O3026" s="3"/>
      <c r="P3026" s="6"/>
      <c r="Q3026" s="48">
        <f>IF(Учет!$O3026=Справочники!$F$2,Учет!$H3026,0)</f>
        <v>0</v>
      </c>
      <c r="R3026" s="48">
        <f>IF(Учет!$O3026=Справочники!$F$3,Учет!$H3026,0)</f>
        <v>0</v>
      </c>
      <c r="S3026" s="48">
        <f>IF(Учет!$O3026=Справочники!$F$4,Учет!$H3026,0)</f>
        <v>0</v>
      </c>
      <c r="T3026" s="48">
        <f>IF(Учет!$O3026=Справочники!$F$5,Учет!$H3026,0)</f>
        <v>0</v>
      </c>
      <c r="U3026" s="48">
        <f>IF(Учет!$O3026=Справочники!$F$6,Учет!$H3026,0)</f>
        <v>0</v>
      </c>
      <c r="V3026" s="43">
        <f>V3025+Учет!Q3026-Q3026</f>
        <v>-488978.92000000004</v>
      </c>
      <c r="W3026" s="43">
        <f>W3025+Учет!R3026-R3026</f>
        <v>336855</v>
      </c>
      <c r="X3026" s="43">
        <f>X3025+Учет!S3026-S3026</f>
        <v>500</v>
      </c>
      <c r="Y3026" s="43">
        <f>Y3025+Учет!T3026-T3026</f>
        <v>1150</v>
      </c>
      <c r="Z3026" s="43">
        <f>Z3025+Учет!U3026-U3026</f>
        <v>500000</v>
      </c>
      <c r="AA3026" s="45">
        <f>Учет!X3026</f>
        <v>500</v>
      </c>
    </row>
    <row r="3027" spans="1:27" ht="15" customHeight="1" x14ac:dyDescent="0.25">
      <c r="A3027" s="1"/>
      <c r="B3027" s="17"/>
      <c r="C3027" s="17"/>
      <c r="D3027" s="17"/>
      <c r="E3027" s="17"/>
      <c r="F3027" s="17"/>
      <c r="G3027" s="4">
        <f t="shared" si="138"/>
        <v>0</v>
      </c>
      <c r="H3027" s="17"/>
      <c r="I3027" s="4">
        <f t="shared" si="140"/>
        <v>349526.07999999996</v>
      </c>
      <c r="J3027" s="32" t="str">
        <f t="shared" si="139"/>
        <v/>
      </c>
      <c r="K3027" s="72"/>
      <c r="L3027" s="72"/>
      <c r="M3027" s="2"/>
      <c r="N3027" s="5"/>
      <c r="O3027" s="3"/>
      <c r="P3027" s="6"/>
      <c r="Q3027" s="48">
        <f>IF(Учет!$O3027=Справочники!$F$2,Учет!$H3027,0)</f>
        <v>0</v>
      </c>
      <c r="R3027" s="48">
        <f>IF(Учет!$O3027=Справочники!$F$3,Учет!$H3027,0)</f>
        <v>0</v>
      </c>
      <c r="S3027" s="48">
        <f>IF(Учет!$O3027=Справочники!$F$4,Учет!$H3027,0)</f>
        <v>0</v>
      </c>
      <c r="T3027" s="48">
        <f>IF(Учет!$O3027=Справочники!$F$5,Учет!$H3027,0)</f>
        <v>0</v>
      </c>
      <c r="U3027" s="48">
        <f>IF(Учет!$O3027=Справочники!$F$6,Учет!$H3027,0)</f>
        <v>0</v>
      </c>
      <c r="V3027" s="43">
        <f>V3026+Учет!Q3027-Q3027</f>
        <v>-488978.92000000004</v>
      </c>
      <c r="W3027" s="43">
        <f>W3026+Учет!R3027-R3027</f>
        <v>336855</v>
      </c>
      <c r="X3027" s="43">
        <f>X3026+Учет!S3027-S3027</f>
        <v>500</v>
      </c>
      <c r="Y3027" s="43">
        <f>Y3026+Учет!T3027-T3027</f>
        <v>1150</v>
      </c>
      <c r="Z3027" s="43">
        <f>Z3026+Учет!U3027-U3027</f>
        <v>500000</v>
      </c>
      <c r="AA3027" s="45">
        <f>Учет!X3027</f>
        <v>500</v>
      </c>
    </row>
    <row r="3028" spans="1:27" ht="15" customHeight="1" x14ac:dyDescent="0.25">
      <c r="A3028" s="1"/>
      <c r="B3028" s="17"/>
      <c r="C3028" s="17"/>
      <c r="D3028" s="17"/>
      <c r="E3028" s="17"/>
      <c r="F3028" s="17"/>
      <c r="G3028" s="4">
        <f t="shared" si="138"/>
        <v>0</v>
      </c>
      <c r="H3028" s="17"/>
      <c r="I3028" s="4">
        <f t="shared" si="140"/>
        <v>349526.07999999996</v>
      </c>
      <c r="J3028" s="32" t="str">
        <f t="shared" si="139"/>
        <v/>
      </c>
      <c r="K3028" s="72"/>
      <c r="L3028" s="72"/>
      <c r="M3028" s="2"/>
      <c r="N3028" s="5"/>
      <c r="O3028" s="3"/>
      <c r="P3028" s="6"/>
      <c r="Q3028" s="48">
        <f>IF(Учет!$O3028=Справочники!$F$2,Учет!$H3028,0)</f>
        <v>0</v>
      </c>
      <c r="R3028" s="48">
        <f>IF(Учет!$O3028=Справочники!$F$3,Учет!$H3028,0)</f>
        <v>0</v>
      </c>
      <c r="S3028" s="48">
        <f>IF(Учет!$O3028=Справочники!$F$4,Учет!$H3028,0)</f>
        <v>0</v>
      </c>
      <c r="T3028" s="48">
        <f>IF(Учет!$O3028=Справочники!$F$5,Учет!$H3028,0)</f>
        <v>0</v>
      </c>
      <c r="U3028" s="48">
        <f>IF(Учет!$O3028=Справочники!$F$6,Учет!$H3028,0)</f>
        <v>0</v>
      </c>
      <c r="V3028" s="43">
        <f>V3027+Учет!Q3028-Q3028</f>
        <v>-488978.92000000004</v>
      </c>
      <c r="W3028" s="43">
        <f>W3027+Учет!R3028-R3028</f>
        <v>336855</v>
      </c>
      <c r="X3028" s="43">
        <f>X3027+Учет!S3028-S3028</f>
        <v>500</v>
      </c>
      <c r="Y3028" s="43">
        <f>Y3027+Учет!T3028-T3028</f>
        <v>1150</v>
      </c>
      <c r="Z3028" s="43">
        <f>Z3027+Учет!U3028-U3028</f>
        <v>500000</v>
      </c>
      <c r="AA3028" s="45">
        <f>Учет!X3028</f>
        <v>500</v>
      </c>
    </row>
    <row r="3029" spans="1:27" ht="15" customHeight="1" x14ac:dyDescent="0.25">
      <c r="A3029" s="1"/>
      <c r="B3029" s="17"/>
      <c r="C3029" s="17"/>
      <c r="D3029" s="17"/>
      <c r="E3029" s="17"/>
      <c r="F3029" s="17"/>
      <c r="G3029" s="4">
        <f t="shared" si="138"/>
        <v>0</v>
      </c>
      <c r="H3029" s="17"/>
      <c r="I3029" s="4">
        <f t="shared" si="140"/>
        <v>349526.07999999996</v>
      </c>
      <c r="J3029" s="32" t="str">
        <f t="shared" si="139"/>
        <v/>
      </c>
      <c r="K3029" s="72"/>
      <c r="L3029" s="72"/>
      <c r="M3029" s="2"/>
      <c r="N3029" s="5"/>
      <c r="O3029" s="3"/>
      <c r="P3029" s="6"/>
      <c r="Q3029" s="48">
        <f>IF(Учет!$O3029=Справочники!$F$2,Учет!$H3029,0)</f>
        <v>0</v>
      </c>
      <c r="R3029" s="48">
        <f>IF(Учет!$O3029=Справочники!$F$3,Учет!$H3029,0)</f>
        <v>0</v>
      </c>
      <c r="S3029" s="48">
        <f>IF(Учет!$O3029=Справочники!$F$4,Учет!$H3029,0)</f>
        <v>0</v>
      </c>
      <c r="T3029" s="48">
        <f>IF(Учет!$O3029=Справочники!$F$5,Учет!$H3029,0)</f>
        <v>0</v>
      </c>
      <c r="U3029" s="48">
        <f>IF(Учет!$O3029=Справочники!$F$6,Учет!$H3029,0)</f>
        <v>0</v>
      </c>
      <c r="V3029" s="43">
        <f>V3028+Учет!Q3029-Q3029</f>
        <v>-488978.92000000004</v>
      </c>
      <c r="W3029" s="43">
        <f>W3028+Учет!R3029-R3029</f>
        <v>336855</v>
      </c>
      <c r="X3029" s="43">
        <f>X3028+Учет!S3029-S3029</f>
        <v>500</v>
      </c>
      <c r="Y3029" s="43">
        <f>Y3028+Учет!T3029-T3029</f>
        <v>1150</v>
      </c>
      <c r="Z3029" s="43">
        <f>Z3028+Учет!U3029-U3029</f>
        <v>500000</v>
      </c>
      <c r="AA3029" s="45">
        <f>Учет!X3029</f>
        <v>500</v>
      </c>
    </row>
    <row r="3030" spans="1:27" ht="15" customHeight="1" x14ac:dyDescent="0.25">
      <c r="A3030" s="1"/>
      <c r="B3030" s="17"/>
      <c r="C3030" s="17"/>
      <c r="D3030" s="17"/>
      <c r="E3030" s="17"/>
      <c r="F3030" s="17"/>
      <c r="G3030" s="4">
        <f t="shared" si="138"/>
        <v>0</v>
      </c>
      <c r="H3030" s="17"/>
      <c r="I3030" s="4">
        <f t="shared" si="140"/>
        <v>349526.07999999996</v>
      </c>
      <c r="J3030" s="32" t="str">
        <f t="shared" si="139"/>
        <v/>
      </c>
      <c r="K3030" s="72"/>
      <c r="L3030" s="72"/>
      <c r="M3030" s="2"/>
      <c r="N3030" s="5"/>
      <c r="O3030" s="3"/>
      <c r="P3030" s="6"/>
      <c r="Q3030" s="48">
        <f>IF(Учет!$O3030=Справочники!$F$2,Учет!$H3030,0)</f>
        <v>0</v>
      </c>
      <c r="R3030" s="48">
        <f>IF(Учет!$O3030=Справочники!$F$3,Учет!$H3030,0)</f>
        <v>0</v>
      </c>
      <c r="S3030" s="48">
        <f>IF(Учет!$O3030=Справочники!$F$4,Учет!$H3030,0)</f>
        <v>0</v>
      </c>
      <c r="T3030" s="48">
        <f>IF(Учет!$O3030=Справочники!$F$5,Учет!$H3030,0)</f>
        <v>0</v>
      </c>
      <c r="U3030" s="48">
        <f>IF(Учет!$O3030=Справочники!$F$6,Учет!$H3030,0)</f>
        <v>0</v>
      </c>
      <c r="V3030" s="43">
        <f>V3029+Учет!Q3030-Q3030</f>
        <v>-488978.92000000004</v>
      </c>
      <c r="W3030" s="43">
        <f>W3029+Учет!R3030-R3030</f>
        <v>336855</v>
      </c>
      <c r="X3030" s="43">
        <f>X3029+Учет!S3030-S3030</f>
        <v>500</v>
      </c>
      <c r="Y3030" s="43">
        <f>Y3029+Учет!T3030-T3030</f>
        <v>1150</v>
      </c>
      <c r="Z3030" s="43">
        <f>Z3029+Учет!U3030-U3030</f>
        <v>500000</v>
      </c>
      <c r="AA3030" s="45">
        <f>Учет!X3030</f>
        <v>500</v>
      </c>
    </row>
    <row r="3031" spans="1:27" ht="15" customHeight="1" x14ac:dyDescent="0.25">
      <c r="A3031" s="1"/>
      <c r="B3031" s="17"/>
      <c r="C3031" s="17"/>
      <c r="D3031" s="17"/>
      <c r="E3031" s="17"/>
      <c r="F3031" s="17"/>
      <c r="G3031" s="4">
        <f t="shared" si="138"/>
        <v>0</v>
      </c>
      <c r="H3031" s="17"/>
      <c r="I3031" s="4">
        <f t="shared" si="140"/>
        <v>349526.07999999996</v>
      </c>
      <c r="J3031" s="32" t="str">
        <f t="shared" si="139"/>
        <v/>
      </c>
      <c r="K3031" s="72"/>
      <c r="L3031" s="72"/>
      <c r="M3031" s="2"/>
      <c r="N3031" s="5"/>
      <c r="O3031" s="3"/>
      <c r="P3031" s="6"/>
      <c r="Q3031" s="48">
        <f>IF(Учет!$O3031=Справочники!$F$2,Учет!$H3031,0)</f>
        <v>0</v>
      </c>
      <c r="R3031" s="48">
        <f>IF(Учет!$O3031=Справочники!$F$3,Учет!$H3031,0)</f>
        <v>0</v>
      </c>
      <c r="S3031" s="48">
        <f>IF(Учет!$O3031=Справочники!$F$4,Учет!$H3031,0)</f>
        <v>0</v>
      </c>
      <c r="T3031" s="48">
        <f>IF(Учет!$O3031=Справочники!$F$5,Учет!$H3031,0)</f>
        <v>0</v>
      </c>
      <c r="U3031" s="48">
        <f>IF(Учет!$O3031=Справочники!$F$6,Учет!$H3031,0)</f>
        <v>0</v>
      </c>
      <c r="V3031" s="43">
        <f>V3030+Учет!Q3031-Q3031</f>
        <v>-488978.92000000004</v>
      </c>
      <c r="W3031" s="43">
        <f>W3030+Учет!R3031-R3031</f>
        <v>336855</v>
      </c>
      <c r="X3031" s="43">
        <f>X3030+Учет!S3031-S3031</f>
        <v>500</v>
      </c>
      <c r="Y3031" s="43">
        <f>Y3030+Учет!T3031-T3031</f>
        <v>1150</v>
      </c>
      <c r="Z3031" s="43">
        <f>Z3030+Учет!U3031-U3031</f>
        <v>500000</v>
      </c>
      <c r="AA3031" s="45">
        <f>Учет!X3031</f>
        <v>500</v>
      </c>
    </row>
    <row r="3032" spans="1:27" ht="15" customHeight="1" x14ac:dyDescent="0.25">
      <c r="A3032" s="1"/>
      <c r="B3032" s="17"/>
      <c r="C3032" s="17"/>
      <c r="D3032" s="17"/>
      <c r="E3032" s="17"/>
      <c r="F3032" s="17"/>
      <c r="G3032" s="4">
        <f t="shared" si="138"/>
        <v>0</v>
      </c>
      <c r="H3032" s="17"/>
      <c r="I3032" s="4">
        <f t="shared" si="140"/>
        <v>349526.07999999996</v>
      </c>
      <c r="J3032" s="32" t="str">
        <f t="shared" si="139"/>
        <v/>
      </c>
      <c r="K3032" s="72"/>
      <c r="L3032" s="72"/>
      <c r="M3032" s="2"/>
      <c r="N3032" s="5"/>
      <c r="O3032" s="3"/>
      <c r="P3032" s="6"/>
      <c r="Q3032" s="48">
        <f>IF(Учет!$O3032=Справочники!$F$2,Учет!$H3032,0)</f>
        <v>0</v>
      </c>
      <c r="R3032" s="48">
        <f>IF(Учет!$O3032=Справочники!$F$3,Учет!$H3032,0)</f>
        <v>0</v>
      </c>
      <c r="S3032" s="48">
        <f>IF(Учет!$O3032=Справочники!$F$4,Учет!$H3032,0)</f>
        <v>0</v>
      </c>
      <c r="T3032" s="48">
        <f>IF(Учет!$O3032=Справочники!$F$5,Учет!$H3032,0)</f>
        <v>0</v>
      </c>
      <c r="U3032" s="48">
        <f>IF(Учет!$O3032=Справочники!$F$6,Учет!$H3032,0)</f>
        <v>0</v>
      </c>
      <c r="V3032" s="43">
        <f>V3031+Учет!Q3032-Q3032</f>
        <v>-488978.92000000004</v>
      </c>
      <c r="W3032" s="43">
        <f>W3031+Учет!R3032-R3032</f>
        <v>336855</v>
      </c>
      <c r="X3032" s="43">
        <f>X3031+Учет!S3032-S3032</f>
        <v>500</v>
      </c>
      <c r="Y3032" s="43">
        <f>Y3031+Учет!T3032-T3032</f>
        <v>1150</v>
      </c>
      <c r="Z3032" s="43">
        <f>Z3031+Учет!U3032-U3032</f>
        <v>500000</v>
      </c>
      <c r="AA3032" s="45">
        <f>Учет!X3032</f>
        <v>500</v>
      </c>
    </row>
    <row r="3033" spans="1:27" ht="15" customHeight="1" x14ac:dyDescent="0.25">
      <c r="A3033" s="1"/>
      <c r="B3033" s="17"/>
      <c r="C3033" s="17"/>
      <c r="D3033" s="17"/>
      <c r="E3033" s="17"/>
      <c r="F3033" s="17"/>
      <c r="G3033" s="4">
        <f t="shared" si="138"/>
        <v>0</v>
      </c>
      <c r="H3033" s="17"/>
      <c r="I3033" s="4">
        <f t="shared" si="140"/>
        <v>349526.07999999996</v>
      </c>
      <c r="J3033" s="32" t="str">
        <f t="shared" si="139"/>
        <v/>
      </c>
      <c r="K3033" s="72"/>
      <c r="L3033" s="72"/>
      <c r="M3033" s="2"/>
      <c r="N3033" s="5"/>
      <c r="O3033" s="3"/>
      <c r="P3033" s="6"/>
      <c r="Q3033" s="48">
        <f>IF(Учет!$O3033=Справочники!$F$2,Учет!$H3033,0)</f>
        <v>0</v>
      </c>
      <c r="R3033" s="48">
        <f>IF(Учет!$O3033=Справочники!$F$3,Учет!$H3033,0)</f>
        <v>0</v>
      </c>
      <c r="S3033" s="48">
        <f>IF(Учет!$O3033=Справочники!$F$4,Учет!$H3033,0)</f>
        <v>0</v>
      </c>
      <c r="T3033" s="48">
        <f>IF(Учет!$O3033=Справочники!$F$5,Учет!$H3033,0)</f>
        <v>0</v>
      </c>
      <c r="U3033" s="48">
        <f>IF(Учет!$O3033=Справочники!$F$6,Учет!$H3033,0)</f>
        <v>0</v>
      </c>
      <c r="V3033" s="43">
        <f>V3032+Учет!Q3033-Q3033</f>
        <v>-488978.92000000004</v>
      </c>
      <c r="W3033" s="43">
        <f>W3032+Учет!R3033-R3033</f>
        <v>336855</v>
      </c>
      <c r="X3033" s="43">
        <f>X3032+Учет!S3033-S3033</f>
        <v>500</v>
      </c>
      <c r="Y3033" s="43">
        <f>Y3032+Учет!T3033-T3033</f>
        <v>1150</v>
      </c>
      <c r="Z3033" s="43">
        <f>Z3032+Учет!U3033-U3033</f>
        <v>500000</v>
      </c>
      <c r="AA3033" s="45">
        <f>Учет!X3033</f>
        <v>500</v>
      </c>
    </row>
    <row r="3034" spans="1:27" ht="15" customHeight="1" x14ac:dyDescent="0.25">
      <c r="A3034" s="1"/>
      <c r="B3034" s="17"/>
      <c r="C3034" s="17"/>
      <c r="D3034" s="17"/>
      <c r="E3034" s="17"/>
      <c r="F3034" s="17"/>
      <c r="G3034" s="4">
        <f t="shared" si="138"/>
        <v>0</v>
      </c>
      <c r="H3034" s="17"/>
      <c r="I3034" s="4">
        <f t="shared" si="140"/>
        <v>349526.07999999996</v>
      </c>
      <c r="J3034" s="32" t="str">
        <f t="shared" si="139"/>
        <v/>
      </c>
      <c r="K3034" s="72"/>
      <c r="L3034" s="72"/>
      <c r="M3034" s="2"/>
      <c r="N3034" s="5"/>
      <c r="O3034" s="3"/>
      <c r="P3034" s="6"/>
      <c r="Q3034" s="48">
        <f>IF(Учет!$O3034=Справочники!$F$2,Учет!$H3034,0)</f>
        <v>0</v>
      </c>
      <c r="R3034" s="48">
        <f>IF(Учет!$O3034=Справочники!$F$3,Учет!$H3034,0)</f>
        <v>0</v>
      </c>
      <c r="S3034" s="48">
        <f>IF(Учет!$O3034=Справочники!$F$4,Учет!$H3034,0)</f>
        <v>0</v>
      </c>
      <c r="T3034" s="48">
        <f>IF(Учет!$O3034=Справочники!$F$5,Учет!$H3034,0)</f>
        <v>0</v>
      </c>
      <c r="U3034" s="48">
        <f>IF(Учет!$O3034=Справочники!$F$6,Учет!$H3034,0)</f>
        <v>0</v>
      </c>
      <c r="V3034" s="43">
        <f>V3033+Учет!Q3034-Q3034</f>
        <v>-488978.92000000004</v>
      </c>
      <c r="W3034" s="43">
        <f>W3033+Учет!R3034-R3034</f>
        <v>336855</v>
      </c>
      <c r="X3034" s="43">
        <f>X3033+Учет!S3034-S3034</f>
        <v>500</v>
      </c>
      <c r="Y3034" s="43">
        <f>Y3033+Учет!T3034-T3034</f>
        <v>1150</v>
      </c>
      <c r="Z3034" s="43">
        <f>Z3033+Учет!U3034-U3034</f>
        <v>500000</v>
      </c>
      <c r="AA3034" s="45">
        <f>Учет!X3034</f>
        <v>500</v>
      </c>
    </row>
    <row r="3035" spans="1:27" ht="15" customHeight="1" x14ac:dyDescent="0.25">
      <c r="A3035" s="1"/>
      <c r="B3035" s="17"/>
      <c r="C3035" s="17"/>
      <c r="D3035" s="17"/>
      <c r="E3035" s="17"/>
      <c r="F3035" s="17"/>
      <c r="G3035" s="4">
        <f t="shared" si="138"/>
        <v>0</v>
      </c>
      <c r="H3035" s="17"/>
      <c r="I3035" s="4">
        <f t="shared" si="140"/>
        <v>349526.07999999996</v>
      </c>
      <c r="J3035" s="32" t="str">
        <f t="shared" si="139"/>
        <v/>
      </c>
      <c r="K3035" s="72"/>
      <c r="L3035" s="72"/>
      <c r="M3035" s="2"/>
      <c r="N3035" s="5"/>
      <c r="O3035" s="3"/>
      <c r="P3035" s="6"/>
      <c r="Q3035" s="48">
        <f>IF(Учет!$O3035=Справочники!$F$2,Учет!$H3035,0)</f>
        <v>0</v>
      </c>
      <c r="R3035" s="48">
        <f>IF(Учет!$O3035=Справочники!$F$3,Учет!$H3035,0)</f>
        <v>0</v>
      </c>
      <c r="S3035" s="48">
        <f>IF(Учет!$O3035=Справочники!$F$4,Учет!$H3035,0)</f>
        <v>0</v>
      </c>
      <c r="T3035" s="48">
        <f>IF(Учет!$O3035=Справочники!$F$5,Учет!$H3035,0)</f>
        <v>0</v>
      </c>
      <c r="U3035" s="48">
        <f>IF(Учет!$O3035=Справочники!$F$6,Учет!$H3035,0)</f>
        <v>0</v>
      </c>
      <c r="V3035" s="43">
        <f>V3034+Учет!Q3035-Q3035</f>
        <v>-488978.92000000004</v>
      </c>
      <c r="W3035" s="43">
        <f>W3034+Учет!R3035-R3035</f>
        <v>336855</v>
      </c>
      <c r="X3035" s="43">
        <f>X3034+Учет!S3035-S3035</f>
        <v>500</v>
      </c>
      <c r="Y3035" s="43">
        <f>Y3034+Учет!T3035-T3035</f>
        <v>1150</v>
      </c>
      <c r="Z3035" s="43">
        <f>Z3034+Учет!U3035-U3035</f>
        <v>500000</v>
      </c>
      <c r="AA3035" s="45">
        <f>Учет!X3035</f>
        <v>500</v>
      </c>
    </row>
    <row r="3036" spans="1:27" ht="15" customHeight="1" x14ac:dyDescent="0.25">
      <c r="A3036" s="1"/>
      <c r="B3036" s="17"/>
      <c r="C3036" s="17"/>
      <c r="D3036" s="17"/>
      <c r="E3036" s="17"/>
      <c r="F3036" s="17"/>
      <c r="G3036" s="4">
        <f t="shared" si="138"/>
        <v>0</v>
      </c>
      <c r="H3036" s="17"/>
      <c r="I3036" s="4">
        <f t="shared" si="140"/>
        <v>349526.07999999996</v>
      </c>
      <c r="J3036" s="32" t="str">
        <f t="shared" si="139"/>
        <v/>
      </c>
      <c r="K3036" s="72"/>
      <c r="L3036" s="72"/>
      <c r="M3036" s="2"/>
      <c r="N3036" s="5"/>
      <c r="O3036" s="3"/>
      <c r="P3036" s="6"/>
      <c r="Q3036" s="48">
        <f>IF(Учет!$O3036=Справочники!$F$2,Учет!$H3036,0)</f>
        <v>0</v>
      </c>
      <c r="R3036" s="48">
        <f>IF(Учет!$O3036=Справочники!$F$3,Учет!$H3036,0)</f>
        <v>0</v>
      </c>
      <c r="S3036" s="48">
        <f>IF(Учет!$O3036=Справочники!$F$4,Учет!$H3036,0)</f>
        <v>0</v>
      </c>
      <c r="T3036" s="48">
        <f>IF(Учет!$O3036=Справочники!$F$5,Учет!$H3036,0)</f>
        <v>0</v>
      </c>
      <c r="U3036" s="48">
        <f>IF(Учет!$O3036=Справочники!$F$6,Учет!$H3036,0)</f>
        <v>0</v>
      </c>
      <c r="V3036" s="43">
        <f>V3035+Учет!Q3036-Q3036</f>
        <v>-488978.92000000004</v>
      </c>
      <c r="W3036" s="43">
        <f>W3035+Учет!R3036-R3036</f>
        <v>336855</v>
      </c>
      <c r="X3036" s="43">
        <f>X3035+Учет!S3036-S3036</f>
        <v>500</v>
      </c>
      <c r="Y3036" s="43">
        <f>Y3035+Учет!T3036-T3036</f>
        <v>1150</v>
      </c>
      <c r="Z3036" s="43">
        <f>Z3035+Учет!U3036-U3036</f>
        <v>500000</v>
      </c>
      <c r="AA3036" s="45">
        <f>Учет!X3036</f>
        <v>500</v>
      </c>
    </row>
    <row r="3037" spans="1:27" ht="15" customHeight="1" x14ac:dyDescent="0.25">
      <c r="A3037" s="1"/>
      <c r="B3037" s="17"/>
      <c r="C3037" s="17"/>
      <c r="D3037" s="17"/>
      <c r="E3037" s="17"/>
      <c r="F3037" s="17"/>
      <c r="G3037" s="4">
        <f t="shared" si="138"/>
        <v>0</v>
      </c>
      <c r="H3037" s="17"/>
      <c r="I3037" s="4">
        <f t="shared" si="140"/>
        <v>349526.07999999996</v>
      </c>
      <c r="J3037" s="32" t="str">
        <f t="shared" si="139"/>
        <v/>
      </c>
      <c r="K3037" s="72"/>
      <c r="L3037" s="72"/>
      <c r="M3037" s="2"/>
      <c r="N3037" s="5"/>
      <c r="O3037" s="3"/>
      <c r="P3037" s="6"/>
      <c r="Q3037" s="48">
        <f>IF(Учет!$O3037=Справочники!$F$2,Учет!$H3037,0)</f>
        <v>0</v>
      </c>
      <c r="R3037" s="48">
        <f>IF(Учет!$O3037=Справочники!$F$3,Учет!$H3037,0)</f>
        <v>0</v>
      </c>
      <c r="S3037" s="48">
        <f>IF(Учет!$O3037=Справочники!$F$4,Учет!$H3037,0)</f>
        <v>0</v>
      </c>
      <c r="T3037" s="48">
        <f>IF(Учет!$O3037=Справочники!$F$5,Учет!$H3037,0)</f>
        <v>0</v>
      </c>
      <c r="U3037" s="48">
        <f>IF(Учет!$O3037=Справочники!$F$6,Учет!$H3037,0)</f>
        <v>0</v>
      </c>
      <c r="V3037" s="43">
        <f>V3036+Учет!Q3037-Q3037</f>
        <v>-488978.92000000004</v>
      </c>
      <c r="W3037" s="43">
        <f>W3036+Учет!R3037-R3037</f>
        <v>336855</v>
      </c>
      <c r="X3037" s="43">
        <f>X3036+Учет!S3037-S3037</f>
        <v>500</v>
      </c>
      <c r="Y3037" s="43">
        <f>Y3036+Учет!T3037-T3037</f>
        <v>1150</v>
      </c>
      <c r="Z3037" s="43">
        <f>Z3036+Учет!U3037-U3037</f>
        <v>500000</v>
      </c>
      <c r="AA3037" s="45">
        <f>Учет!X3037</f>
        <v>500</v>
      </c>
    </row>
    <row r="3038" spans="1:27" ht="15" customHeight="1" x14ac:dyDescent="0.25">
      <c r="A3038" s="1"/>
      <c r="B3038" s="17"/>
      <c r="C3038" s="17"/>
      <c r="D3038" s="17"/>
      <c r="E3038" s="17"/>
      <c r="F3038" s="17"/>
      <c r="G3038" s="4">
        <f t="shared" si="138"/>
        <v>0</v>
      </c>
      <c r="H3038" s="17"/>
      <c r="I3038" s="4">
        <f t="shared" si="140"/>
        <v>349526.07999999996</v>
      </c>
      <c r="J3038" s="32" t="str">
        <f t="shared" si="139"/>
        <v/>
      </c>
      <c r="K3038" s="72"/>
      <c r="L3038" s="72"/>
      <c r="M3038" s="2"/>
      <c r="N3038" s="5"/>
      <c r="O3038" s="3"/>
      <c r="P3038" s="6"/>
      <c r="Q3038" s="48">
        <f>IF(Учет!$O3038=Справочники!$F$2,Учет!$H3038,0)</f>
        <v>0</v>
      </c>
      <c r="R3038" s="48">
        <f>IF(Учет!$O3038=Справочники!$F$3,Учет!$H3038,0)</f>
        <v>0</v>
      </c>
      <c r="S3038" s="48">
        <f>IF(Учет!$O3038=Справочники!$F$4,Учет!$H3038,0)</f>
        <v>0</v>
      </c>
      <c r="T3038" s="48">
        <f>IF(Учет!$O3038=Справочники!$F$5,Учет!$H3038,0)</f>
        <v>0</v>
      </c>
      <c r="U3038" s="48">
        <f>IF(Учет!$O3038=Справочники!$F$6,Учет!$H3038,0)</f>
        <v>0</v>
      </c>
      <c r="V3038" s="43">
        <f>V3037+Учет!Q3038-Q3038</f>
        <v>-488978.92000000004</v>
      </c>
      <c r="W3038" s="43">
        <f>W3037+Учет!R3038-R3038</f>
        <v>336855</v>
      </c>
      <c r="X3038" s="43">
        <f>X3037+Учет!S3038-S3038</f>
        <v>500</v>
      </c>
      <c r="Y3038" s="43">
        <f>Y3037+Учет!T3038-T3038</f>
        <v>1150</v>
      </c>
      <c r="Z3038" s="43">
        <f>Z3037+Учет!U3038-U3038</f>
        <v>500000</v>
      </c>
      <c r="AA3038" s="45">
        <f>Учет!X3038</f>
        <v>500</v>
      </c>
    </row>
    <row r="3039" spans="1:27" ht="15" customHeight="1" x14ac:dyDescent="0.25">
      <c r="A3039" s="1"/>
      <c r="B3039" s="17"/>
      <c r="C3039" s="17"/>
      <c r="D3039" s="17"/>
      <c r="E3039" s="17"/>
      <c r="F3039" s="17"/>
      <c r="G3039" s="4">
        <f t="shared" si="138"/>
        <v>0</v>
      </c>
      <c r="H3039" s="17"/>
      <c r="I3039" s="4">
        <f t="shared" si="140"/>
        <v>349526.07999999996</v>
      </c>
      <c r="J3039" s="32" t="str">
        <f t="shared" si="139"/>
        <v/>
      </c>
      <c r="K3039" s="72"/>
      <c r="L3039" s="72"/>
      <c r="M3039" s="2"/>
      <c r="N3039" s="5"/>
      <c r="O3039" s="3"/>
      <c r="P3039" s="6"/>
      <c r="Q3039" s="48">
        <f>IF(Учет!$O3039=Справочники!$F$2,Учет!$H3039,0)</f>
        <v>0</v>
      </c>
      <c r="R3039" s="48">
        <f>IF(Учет!$O3039=Справочники!$F$3,Учет!$H3039,0)</f>
        <v>0</v>
      </c>
      <c r="S3039" s="48">
        <f>IF(Учет!$O3039=Справочники!$F$4,Учет!$H3039,0)</f>
        <v>0</v>
      </c>
      <c r="T3039" s="48">
        <f>IF(Учет!$O3039=Справочники!$F$5,Учет!$H3039,0)</f>
        <v>0</v>
      </c>
      <c r="U3039" s="48">
        <f>IF(Учет!$O3039=Справочники!$F$6,Учет!$H3039,0)</f>
        <v>0</v>
      </c>
      <c r="V3039" s="43">
        <f>V3038+Учет!Q3039-Q3039</f>
        <v>-488978.92000000004</v>
      </c>
      <c r="W3039" s="43">
        <f>W3038+Учет!R3039-R3039</f>
        <v>336855</v>
      </c>
      <c r="X3039" s="43">
        <f>X3038+Учет!S3039-S3039</f>
        <v>500</v>
      </c>
      <c r="Y3039" s="43">
        <f>Y3038+Учет!T3039-T3039</f>
        <v>1150</v>
      </c>
      <c r="Z3039" s="43">
        <f>Z3038+Учет!U3039-U3039</f>
        <v>500000</v>
      </c>
      <c r="AA3039" s="45">
        <f>Учет!X3039</f>
        <v>500</v>
      </c>
    </row>
    <row r="3040" spans="1:27" ht="15" customHeight="1" x14ac:dyDescent="0.25">
      <c r="A3040" s="1"/>
      <c r="B3040" s="17"/>
      <c r="C3040" s="17"/>
      <c r="D3040" s="17"/>
      <c r="E3040" s="17"/>
      <c r="F3040" s="17"/>
      <c r="G3040" s="4">
        <f t="shared" si="138"/>
        <v>0</v>
      </c>
      <c r="H3040" s="17"/>
      <c r="I3040" s="4">
        <f t="shared" si="140"/>
        <v>349526.07999999996</v>
      </c>
      <c r="J3040" s="32" t="str">
        <f t="shared" si="139"/>
        <v/>
      </c>
      <c r="K3040" s="72"/>
      <c r="L3040" s="72"/>
      <c r="M3040" s="2"/>
      <c r="N3040" s="5"/>
      <c r="O3040" s="3"/>
      <c r="P3040" s="6"/>
      <c r="Q3040" s="48">
        <f>IF(Учет!$O3040=Справочники!$F$2,Учет!$H3040,0)</f>
        <v>0</v>
      </c>
      <c r="R3040" s="48">
        <f>IF(Учет!$O3040=Справочники!$F$3,Учет!$H3040,0)</f>
        <v>0</v>
      </c>
      <c r="S3040" s="48">
        <f>IF(Учет!$O3040=Справочники!$F$4,Учет!$H3040,0)</f>
        <v>0</v>
      </c>
      <c r="T3040" s="48">
        <f>IF(Учет!$O3040=Справочники!$F$5,Учет!$H3040,0)</f>
        <v>0</v>
      </c>
      <c r="U3040" s="48">
        <f>IF(Учет!$O3040=Справочники!$F$6,Учет!$H3040,0)</f>
        <v>0</v>
      </c>
      <c r="V3040" s="43">
        <f>V3039+Учет!Q3040-Q3040</f>
        <v>-488978.92000000004</v>
      </c>
      <c r="W3040" s="43">
        <f>W3039+Учет!R3040-R3040</f>
        <v>336855</v>
      </c>
      <c r="X3040" s="43">
        <f>X3039+Учет!S3040-S3040</f>
        <v>500</v>
      </c>
      <c r="Y3040" s="43">
        <f>Y3039+Учет!T3040-T3040</f>
        <v>1150</v>
      </c>
      <c r="Z3040" s="43">
        <f>Z3039+Учет!U3040-U3040</f>
        <v>500000</v>
      </c>
      <c r="AA3040" s="45">
        <f>Учет!X3040</f>
        <v>500</v>
      </c>
    </row>
    <row r="3041" spans="1:27" ht="15" customHeight="1" x14ac:dyDescent="0.25">
      <c r="A3041" s="1"/>
      <c r="B3041" s="17"/>
      <c r="C3041" s="17"/>
      <c r="D3041" s="17"/>
      <c r="E3041" s="17"/>
      <c r="F3041" s="17"/>
      <c r="G3041" s="4">
        <f t="shared" si="138"/>
        <v>0</v>
      </c>
      <c r="H3041" s="17"/>
      <c r="I3041" s="4">
        <f t="shared" si="140"/>
        <v>349526.07999999996</v>
      </c>
      <c r="J3041" s="32" t="str">
        <f t="shared" si="139"/>
        <v/>
      </c>
      <c r="K3041" s="72"/>
      <c r="L3041" s="72"/>
      <c r="M3041" s="2"/>
      <c r="N3041" s="5"/>
      <c r="O3041" s="3"/>
      <c r="P3041" s="6"/>
      <c r="Q3041" s="48">
        <f>IF(Учет!$O3041=Справочники!$F$2,Учет!$H3041,0)</f>
        <v>0</v>
      </c>
      <c r="R3041" s="48">
        <f>IF(Учет!$O3041=Справочники!$F$3,Учет!$H3041,0)</f>
        <v>0</v>
      </c>
      <c r="S3041" s="48">
        <f>IF(Учет!$O3041=Справочники!$F$4,Учет!$H3041,0)</f>
        <v>0</v>
      </c>
      <c r="T3041" s="48">
        <f>IF(Учет!$O3041=Справочники!$F$5,Учет!$H3041,0)</f>
        <v>0</v>
      </c>
      <c r="U3041" s="48">
        <f>IF(Учет!$O3041=Справочники!$F$6,Учет!$H3041,0)</f>
        <v>0</v>
      </c>
      <c r="V3041" s="43">
        <f>V3040+Учет!Q3041-Q3041</f>
        <v>-488978.92000000004</v>
      </c>
      <c r="W3041" s="43">
        <f>W3040+Учет!R3041-R3041</f>
        <v>336855</v>
      </c>
      <c r="X3041" s="43">
        <f>X3040+Учет!S3041-S3041</f>
        <v>500</v>
      </c>
      <c r="Y3041" s="43">
        <f>Y3040+Учет!T3041-T3041</f>
        <v>1150</v>
      </c>
      <c r="Z3041" s="43">
        <f>Z3040+Учет!U3041-U3041</f>
        <v>500000</v>
      </c>
      <c r="AA3041" s="45">
        <f>Учет!X3041</f>
        <v>500</v>
      </c>
    </row>
    <row r="3042" spans="1:27" ht="15" customHeight="1" x14ac:dyDescent="0.25">
      <c r="A3042" s="1"/>
      <c r="B3042" s="17"/>
      <c r="C3042" s="17"/>
      <c r="D3042" s="17"/>
      <c r="E3042" s="17"/>
      <c r="F3042" s="17"/>
      <c r="G3042" s="4">
        <f t="shared" si="138"/>
        <v>0</v>
      </c>
      <c r="H3042" s="17"/>
      <c r="I3042" s="4">
        <f t="shared" si="140"/>
        <v>349526.07999999996</v>
      </c>
      <c r="J3042" s="32" t="str">
        <f t="shared" si="139"/>
        <v/>
      </c>
      <c r="K3042" s="72"/>
      <c r="L3042" s="72"/>
      <c r="M3042" s="2"/>
      <c r="N3042" s="5"/>
      <c r="O3042" s="3"/>
      <c r="P3042" s="6"/>
      <c r="Q3042" s="48">
        <f>IF(Учет!$O3042=Справочники!$F$2,Учет!$H3042,0)</f>
        <v>0</v>
      </c>
      <c r="R3042" s="48">
        <f>IF(Учет!$O3042=Справочники!$F$3,Учет!$H3042,0)</f>
        <v>0</v>
      </c>
      <c r="S3042" s="48">
        <f>IF(Учет!$O3042=Справочники!$F$4,Учет!$H3042,0)</f>
        <v>0</v>
      </c>
      <c r="T3042" s="48">
        <f>IF(Учет!$O3042=Справочники!$F$5,Учет!$H3042,0)</f>
        <v>0</v>
      </c>
      <c r="U3042" s="48">
        <f>IF(Учет!$O3042=Справочники!$F$6,Учет!$H3042,0)</f>
        <v>0</v>
      </c>
      <c r="V3042" s="43">
        <f>V3041+Учет!Q3042-Q3042</f>
        <v>-488978.92000000004</v>
      </c>
      <c r="W3042" s="43">
        <f>W3041+Учет!R3042-R3042</f>
        <v>336855</v>
      </c>
      <c r="X3042" s="43">
        <f>X3041+Учет!S3042-S3042</f>
        <v>500</v>
      </c>
      <c r="Y3042" s="43">
        <f>Y3041+Учет!T3042-T3042</f>
        <v>1150</v>
      </c>
      <c r="Z3042" s="43">
        <f>Z3041+Учет!U3042-U3042</f>
        <v>500000</v>
      </c>
      <c r="AA3042" s="45">
        <f>Учет!X3042</f>
        <v>500</v>
      </c>
    </row>
    <row r="3043" spans="1:27" ht="15" customHeight="1" x14ac:dyDescent="0.25">
      <c r="A3043" s="1"/>
      <c r="B3043" s="17"/>
      <c r="C3043" s="17"/>
      <c r="D3043" s="17"/>
      <c r="E3043" s="17"/>
      <c r="F3043" s="17"/>
      <c r="G3043" s="4">
        <f t="shared" si="138"/>
        <v>0</v>
      </c>
      <c r="H3043" s="17"/>
      <c r="I3043" s="4">
        <f t="shared" si="140"/>
        <v>349526.07999999996</v>
      </c>
      <c r="J3043" s="32" t="str">
        <f t="shared" si="139"/>
        <v/>
      </c>
      <c r="K3043" s="72"/>
      <c r="L3043" s="72"/>
      <c r="M3043" s="2"/>
      <c r="N3043" s="5"/>
      <c r="O3043" s="3"/>
      <c r="P3043" s="6"/>
      <c r="Q3043" s="48">
        <f>IF(Учет!$O3043=Справочники!$F$2,Учет!$H3043,0)</f>
        <v>0</v>
      </c>
      <c r="R3043" s="48">
        <f>IF(Учет!$O3043=Справочники!$F$3,Учет!$H3043,0)</f>
        <v>0</v>
      </c>
      <c r="S3043" s="48">
        <f>IF(Учет!$O3043=Справочники!$F$4,Учет!$H3043,0)</f>
        <v>0</v>
      </c>
      <c r="T3043" s="48">
        <f>IF(Учет!$O3043=Справочники!$F$5,Учет!$H3043,0)</f>
        <v>0</v>
      </c>
      <c r="U3043" s="48">
        <f>IF(Учет!$O3043=Справочники!$F$6,Учет!$H3043,0)</f>
        <v>0</v>
      </c>
      <c r="V3043" s="43">
        <f>V3042+Учет!Q3043-Q3043</f>
        <v>-488978.92000000004</v>
      </c>
      <c r="W3043" s="43">
        <f>W3042+Учет!R3043-R3043</f>
        <v>336855</v>
      </c>
      <c r="X3043" s="43">
        <f>X3042+Учет!S3043-S3043</f>
        <v>500</v>
      </c>
      <c r="Y3043" s="43">
        <f>Y3042+Учет!T3043-T3043</f>
        <v>1150</v>
      </c>
      <c r="Z3043" s="43">
        <f>Z3042+Учет!U3043-U3043</f>
        <v>500000</v>
      </c>
      <c r="AA3043" s="45">
        <f>Учет!X3043</f>
        <v>500</v>
      </c>
    </row>
    <row r="3044" spans="1:27" ht="15" customHeight="1" x14ac:dyDescent="0.25">
      <c r="A3044" s="1"/>
      <c r="B3044" s="17"/>
      <c r="C3044" s="17"/>
      <c r="D3044" s="17"/>
      <c r="E3044" s="17"/>
      <c r="F3044" s="17"/>
      <c r="G3044" s="4">
        <f t="shared" si="138"/>
        <v>0</v>
      </c>
      <c r="H3044" s="17"/>
      <c r="I3044" s="4">
        <f t="shared" si="140"/>
        <v>349526.07999999996</v>
      </c>
      <c r="J3044" s="32" t="str">
        <f t="shared" si="139"/>
        <v/>
      </c>
      <c r="K3044" s="72"/>
      <c r="L3044" s="72"/>
      <c r="M3044" s="2"/>
      <c r="N3044" s="5"/>
      <c r="O3044" s="3"/>
      <c r="P3044" s="6"/>
      <c r="Q3044" s="48">
        <f>IF(Учет!$O3044=Справочники!$F$2,Учет!$H3044,0)</f>
        <v>0</v>
      </c>
      <c r="R3044" s="48">
        <f>IF(Учет!$O3044=Справочники!$F$3,Учет!$H3044,0)</f>
        <v>0</v>
      </c>
      <c r="S3044" s="48">
        <f>IF(Учет!$O3044=Справочники!$F$4,Учет!$H3044,0)</f>
        <v>0</v>
      </c>
      <c r="T3044" s="48">
        <f>IF(Учет!$O3044=Справочники!$F$5,Учет!$H3044,0)</f>
        <v>0</v>
      </c>
      <c r="U3044" s="48">
        <f>IF(Учет!$O3044=Справочники!$F$6,Учет!$H3044,0)</f>
        <v>0</v>
      </c>
      <c r="V3044" s="43">
        <f>V3043+Учет!Q3044-Q3044</f>
        <v>-488978.92000000004</v>
      </c>
      <c r="W3044" s="43">
        <f>W3043+Учет!R3044-R3044</f>
        <v>336855</v>
      </c>
      <c r="X3044" s="43">
        <f>X3043+Учет!S3044-S3044</f>
        <v>500</v>
      </c>
      <c r="Y3044" s="43">
        <f>Y3043+Учет!T3044-T3044</f>
        <v>1150</v>
      </c>
      <c r="Z3044" s="43">
        <f>Z3043+Учет!U3044-U3044</f>
        <v>500000</v>
      </c>
      <c r="AA3044" s="45">
        <f>Учет!X3044</f>
        <v>500</v>
      </c>
    </row>
    <row r="3045" spans="1:27" ht="15" customHeight="1" x14ac:dyDescent="0.25">
      <c r="A3045" s="1"/>
      <c r="B3045" s="17"/>
      <c r="C3045" s="17"/>
      <c r="D3045" s="17"/>
      <c r="E3045" s="17"/>
      <c r="F3045" s="17"/>
      <c r="G3045" s="4">
        <f t="shared" si="138"/>
        <v>0</v>
      </c>
      <c r="H3045" s="17"/>
      <c r="I3045" s="4">
        <f t="shared" si="140"/>
        <v>349526.07999999996</v>
      </c>
      <c r="J3045" s="32" t="str">
        <f t="shared" si="139"/>
        <v/>
      </c>
      <c r="K3045" s="72"/>
      <c r="L3045" s="72"/>
      <c r="M3045" s="2"/>
      <c r="N3045" s="5"/>
      <c r="O3045" s="3"/>
      <c r="P3045" s="6"/>
      <c r="Q3045" s="48">
        <f>IF(Учет!$O3045=Справочники!$F$2,Учет!$H3045,0)</f>
        <v>0</v>
      </c>
      <c r="R3045" s="48">
        <f>IF(Учет!$O3045=Справочники!$F$3,Учет!$H3045,0)</f>
        <v>0</v>
      </c>
      <c r="S3045" s="48">
        <f>IF(Учет!$O3045=Справочники!$F$4,Учет!$H3045,0)</f>
        <v>0</v>
      </c>
      <c r="T3045" s="48">
        <f>IF(Учет!$O3045=Справочники!$F$5,Учет!$H3045,0)</f>
        <v>0</v>
      </c>
      <c r="U3045" s="48">
        <f>IF(Учет!$O3045=Справочники!$F$6,Учет!$H3045,0)</f>
        <v>0</v>
      </c>
      <c r="V3045" s="43">
        <f>V3044+Учет!Q3045-Q3045</f>
        <v>-488978.92000000004</v>
      </c>
      <c r="W3045" s="43">
        <f>W3044+Учет!R3045-R3045</f>
        <v>336855</v>
      </c>
      <c r="X3045" s="43">
        <f>X3044+Учет!S3045-S3045</f>
        <v>500</v>
      </c>
      <c r="Y3045" s="43">
        <f>Y3044+Учет!T3045-T3045</f>
        <v>1150</v>
      </c>
      <c r="Z3045" s="43">
        <f>Z3044+Учет!U3045-U3045</f>
        <v>500000</v>
      </c>
      <c r="AA3045" s="45">
        <f>Учет!X3045</f>
        <v>500</v>
      </c>
    </row>
    <row r="3046" spans="1:27" ht="15" customHeight="1" x14ac:dyDescent="0.25">
      <c r="A3046" s="1"/>
      <c r="B3046" s="17"/>
      <c r="C3046" s="17"/>
      <c r="D3046" s="17"/>
      <c r="E3046" s="17"/>
      <c r="F3046" s="17"/>
      <c r="G3046" s="4">
        <f t="shared" si="138"/>
        <v>0</v>
      </c>
      <c r="H3046" s="17"/>
      <c r="I3046" s="4">
        <f t="shared" si="140"/>
        <v>349526.07999999996</v>
      </c>
      <c r="J3046" s="32" t="str">
        <f t="shared" si="139"/>
        <v/>
      </c>
      <c r="K3046" s="72"/>
      <c r="L3046" s="72"/>
      <c r="M3046" s="2"/>
      <c r="N3046" s="5"/>
      <c r="O3046" s="3"/>
      <c r="P3046" s="6"/>
      <c r="Q3046" s="48">
        <f>IF(Учет!$O3046=Справочники!$F$2,Учет!$H3046,0)</f>
        <v>0</v>
      </c>
      <c r="R3046" s="48">
        <f>IF(Учет!$O3046=Справочники!$F$3,Учет!$H3046,0)</f>
        <v>0</v>
      </c>
      <c r="S3046" s="48">
        <f>IF(Учет!$O3046=Справочники!$F$4,Учет!$H3046,0)</f>
        <v>0</v>
      </c>
      <c r="T3046" s="48">
        <f>IF(Учет!$O3046=Справочники!$F$5,Учет!$H3046,0)</f>
        <v>0</v>
      </c>
      <c r="U3046" s="48">
        <f>IF(Учет!$O3046=Справочники!$F$6,Учет!$H3046,0)</f>
        <v>0</v>
      </c>
      <c r="V3046" s="43">
        <f>V3045+Учет!Q3046-Q3046</f>
        <v>-488978.92000000004</v>
      </c>
      <c r="W3046" s="43">
        <f>W3045+Учет!R3046-R3046</f>
        <v>336855</v>
      </c>
      <c r="X3046" s="43">
        <f>X3045+Учет!S3046-S3046</f>
        <v>500</v>
      </c>
      <c r="Y3046" s="43">
        <f>Y3045+Учет!T3046-T3046</f>
        <v>1150</v>
      </c>
      <c r="Z3046" s="43">
        <f>Z3045+Учет!U3046-U3046</f>
        <v>500000</v>
      </c>
      <c r="AA3046" s="45">
        <f>Учет!X3046</f>
        <v>500</v>
      </c>
    </row>
    <row r="3047" spans="1:27" ht="15" customHeight="1" x14ac:dyDescent="0.25">
      <c r="A3047" s="1"/>
      <c r="B3047" s="17"/>
      <c r="C3047" s="17"/>
      <c r="D3047" s="17"/>
      <c r="E3047" s="17"/>
      <c r="F3047" s="17"/>
      <c r="G3047" s="4">
        <f t="shared" si="138"/>
        <v>0</v>
      </c>
      <c r="H3047" s="17"/>
      <c r="I3047" s="4">
        <f t="shared" si="140"/>
        <v>349526.07999999996</v>
      </c>
      <c r="J3047" s="32" t="str">
        <f t="shared" si="139"/>
        <v/>
      </c>
      <c r="K3047" s="72"/>
      <c r="L3047" s="72"/>
      <c r="M3047" s="2"/>
      <c r="N3047" s="5"/>
      <c r="O3047" s="3"/>
      <c r="P3047" s="6"/>
      <c r="Q3047" s="48">
        <f>IF(Учет!$O3047=Справочники!$F$2,Учет!$H3047,0)</f>
        <v>0</v>
      </c>
      <c r="R3047" s="48">
        <f>IF(Учет!$O3047=Справочники!$F$3,Учет!$H3047,0)</f>
        <v>0</v>
      </c>
      <c r="S3047" s="48">
        <f>IF(Учет!$O3047=Справочники!$F$4,Учет!$H3047,0)</f>
        <v>0</v>
      </c>
      <c r="T3047" s="48">
        <f>IF(Учет!$O3047=Справочники!$F$5,Учет!$H3047,0)</f>
        <v>0</v>
      </c>
      <c r="U3047" s="48">
        <f>IF(Учет!$O3047=Справочники!$F$6,Учет!$H3047,0)</f>
        <v>0</v>
      </c>
      <c r="V3047" s="43">
        <f>V3046+Учет!Q3047-Q3047</f>
        <v>-488978.92000000004</v>
      </c>
      <c r="W3047" s="43">
        <f>W3046+Учет!R3047-R3047</f>
        <v>336855</v>
      </c>
      <c r="X3047" s="43">
        <f>X3046+Учет!S3047-S3047</f>
        <v>500</v>
      </c>
      <c r="Y3047" s="43">
        <f>Y3046+Учет!T3047-T3047</f>
        <v>1150</v>
      </c>
      <c r="Z3047" s="43">
        <f>Z3046+Учет!U3047-U3047</f>
        <v>500000</v>
      </c>
      <c r="AA3047" s="45">
        <f>Учет!X3047</f>
        <v>500</v>
      </c>
    </row>
    <row r="3048" spans="1:27" ht="15" customHeight="1" x14ac:dyDescent="0.25">
      <c r="A3048" s="1"/>
      <c r="B3048" s="17"/>
      <c r="C3048" s="17"/>
      <c r="D3048" s="17"/>
      <c r="E3048" s="17"/>
      <c r="F3048" s="17"/>
      <c r="G3048" s="4">
        <f t="shared" si="138"/>
        <v>0</v>
      </c>
      <c r="H3048" s="17"/>
      <c r="I3048" s="4">
        <f t="shared" si="140"/>
        <v>349526.07999999996</v>
      </c>
      <c r="J3048" s="32" t="str">
        <f t="shared" si="139"/>
        <v/>
      </c>
      <c r="K3048" s="72"/>
      <c r="L3048" s="72"/>
      <c r="M3048" s="2"/>
      <c r="N3048" s="5"/>
      <c r="O3048" s="3"/>
      <c r="P3048" s="6"/>
      <c r="Q3048" s="48">
        <f>IF(Учет!$O3048=Справочники!$F$2,Учет!$H3048,0)</f>
        <v>0</v>
      </c>
      <c r="R3048" s="48">
        <f>IF(Учет!$O3048=Справочники!$F$3,Учет!$H3048,0)</f>
        <v>0</v>
      </c>
      <c r="S3048" s="48">
        <f>IF(Учет!$O3048=Справочники!$F$4,Учет!$H3048,0)</f>
        <v>0</v>
      </c>
      <c r="T3048" s="48">
        <f>IF(Учет!$O3048=Справочники!$F$5,Учет!$H3048,0)</f>
        <v>0</v>
      </c>
      <c r="U3048" s="48">
        <f>IF(Учет!$O3048=Справочники!$F$6,Учет!$H3048,0)</f>
        <v>0</v>
      </c>
      <c r="V3048" s="43">
        <f>V3047+Учет!Q3048-Q3048</f>
        <v>-488978.92000000004</v>
      </c>
      <c r="W3048" s="43">
        <f>W3047+Учет!R3048-R3048</f>
        <v>336855</v>
      </c>
      <c r="X3048" s="43">
        <f>X3047+Учет!S3048-S3048</f>
        <v>500</v>
      </c>
      <c r="Y3048" s="43">
        <f>Y3047+Учет!T3048-T3048</f>
        <v>1150</v>
      </c>
      <c r="Z3048" s="43">
        <f>Z3047+Учет!U3048-U3048</f>
        <v>500000</v>
      </c>
      <c r="AA3048" s="45">
        <f>Учет!X3048</f>
        <v>500</v>
      </c>
    </row>
    <row r="3049" spans="1:27" ht="15" customHeight="1" x14ac:dyDescent="0.25">
      <c r="A3049" s="1"/>
      <c r="B3049" s="17"/>
      <c r="C3049" s="17"/>
      <c r="D3049" s="17"/>
      <c r="E3049" s="17"/>
      <c r="F3049" s="17"/>
      <c r="G3049" s="4">
        <f t="shared" si="138"/>
        <v>0</v>
      </c>
      <c r="H3049" s="17"/>
      <c r="I3049" s="4">
        <f t="shared" si="140"/>
        <v>349526.07999999996</v>
      </c>
      <c r="J3049" s="32" t="str">
        <f t="shared" si="139"/>
        <v/>
      </c>
      <c r="K3049" s="72"/>
      <c r="L3049" s="72"/>
      <c r="M3049" s="2"/>
      <c r="N3049" s="5"/>
      <c r="O3049" s="3"/>
      <c r="P3049" s="6"/>
      <c r="Q3049" s="48">
        <f>IF(Учет!$O3049=Справочники!$F$2,Учет!$H3049,0)</f>
        <v>0</v>
      </c>
      <c r="R3049" s="48">
        <f>IF(Учет!$O3049=Справочники!$F$3,Учет!$H3049,0)</f>
        <v>0</v>
      </c>
      <c r="S3049" s="48">
        <f>IF(Учет!$O3049=Справочники!$F$4,Учет!$H3049,0)</f>
        <v>0</v>
      </c>
      <c r="T3049" s="48">
        <f>IF(Учет!$O3049=Справочники!$F$5,Учет!$H3049,0)</f>
        <v>0</v>
      </c>
      <c r="U3049" s="48">
        <f>IF(Учет!$O3049=Справочники!$F$6,Учет!$H3049,0)</f>
        <v>0</v>
      </c>
      <c r="V3049" s="43">
        <f>V3048+Учет!Q3049-Q3049</f>
        <v>-488978.92000000004</v>
      </c>
      <c r="W3049" s="43">
        <f>W3048+Учет!R3049-R3049</f>
        <v>336855</v>
      </c>
      <c r="X3049" s="43">
        <f>X3048+Учет!S3049-S3049</f>
        <v>500</v>
      </c>
      <c r="Y3049" s="43">
        <f>Y3048+Учет!T3049-T3049</f>
        <v>1150</v>
      </c>
      <c r="Z3049" s="43">
        <f>Z3048+Учет!U3049-U3049</f>
        <v>500000</v>
      </c>
      <c r="AA3049" s="45">
        <f>Учет!X3049</f>
        <v>500</v>
      </c>
    </row>
    <row r="3050" spans="1:27" ht="15" customHeight="1" x14ac:dyDescent="0.25">
      <c r="A3050" s="1"/>
      <c r="B3050" s="17"/>
      <c r="C3050" s="17"/>
      <c r="D3050" s="17"/>
      <c r="E3050" s="17"/>
      <c r="F3050" s="17"/>
      <c r="G3050" s="4">
        <f t="shared" si="138"/>
        <v>0</v>
      </c>
      <c r="H3050" s="17"/>
      <c r="I3050" s="4">
        <f t="shared" si="140"/>
        <v>349526.07999999996</v>
      </c>
      <c r="J3050" s="32" t="str">
        <f t="shared" si="139"/>
        <v/>
      </c>
      <c r="K3050" s="72"/>
      <c r="L3050" s="72"/>
      <c r="M3050" s="2"/>
      <c r="N3050" s="5"/>
      <c r="O3050" s="3"/>
      <c r="P3050" s="6"/>
      <c r="Q3050" s="48">
        <f>IF(Учет!$O3050=Справочники!$F$2,Учет!$H3050,0)</f>
        <v>0</v>
      </c>
      <c r="R3050" s="48">
        <f>IF(Учет!$O3050=Справочники!$F$3,Учет!$H3050,0)</f>
        <v>0</v>
      </c>
      <c r="S3050" s="48">
        <f>IF(Учет!$O3050=Справочники!$F$4,Учет!$H3050,0)</f>
        <v>0</v>
      </c>
      <c r="T3050" s="48">
        <f>IF(Учет!$O3050=Справочники!$F$5,Учет!$H3050,0)</f>
        <v>0</v>
      </c>
      <c r="U3050" s="48">
        <f>IF(Учет!$O3050=Справочники!$F$6,Учет!$H3050,0)</f>
        <v>0</v>
      </c>
      <c r="V3050" s="43">
        <f>V3049+Учет!Q3050-Q3050</f>
        <v>-488978.92000000004</v>
      </c>
      <c r="W3050" s="43">
        <f>W3049+Учет!R3050-R3050</f>
        <v>336855</v>
      </c>
      <c r="X3050" s="43">
        <f>X3049+Учет!S3050-S3050</f>
        <v>500</v>
      </c>
      <c r="Y3050" s="43">
        <f>Y3049+Учет!T3050-T3050</f>
        <v>1150</v>
      </c>
      <c r="Z3050" s="43">
        <f>Z3049+Учет!U3050-U3050</f>
        <v>500000</v>
      </c>
      <c r="AA3050" s="45">
        <f>Учет!X3050</f>
        <v>500</v>
      </c>
    </row>
    <row r="3051" spans="1:27" ht="15" customHeight="1" x14ac:dyDescent="0.25">
      <c r="A3051" s="1"/>
      <c r="B3051" s="17"/>
      <c r="C3051" s="17"/>
      <c r="D3051" s="17"/>
      <c r="E3051" s="17"/>
      <c r="F3051" s="17"/>
      <c r="G3051" s="4">
        <f t="shared" si="138"/>
        <v>0</v>
      </c>
      <c r="H3051" s="17"/>
      <c r="I3051" s="4">
        <f t="shared" si="140"/>
        <v>349526.07999999996</v>
      </c>
      <c r="J3051" s="32" t="str">
        <f t="shared" si="139"/>
        <v/>
      </c>
      <c r="K3051" s="72"/>
      <c r="L3051" s="72"/>
      <c r="M3051" s="2"/>
      <c r="N3051" s="5"/>
      <c r="O3051" s="3"/>
      <c r="P3051" s="6"/>
      <c r="Q3051" s="48">
        <f>IF(Учет!$O3051=Справочники!$F$2,Учет!$H3051,0)</f>
        <v>0</v>
      </c>
      <c r="R3051" s="48">
        <f>IF(Учет!$O3051=Справочники!$F$3,Учет!$H3051,0)</f>
        <v>0</v>
      </c>
      <c r="S3051" s="48">
        <f>IF(Учет!$O3051=Справочники!$F$4,Учет!$H3051,0)</f>
        <v>0</v>
      </c>
      <c r="T3051" s="48">
        <f>IF(Учет!$O3051=Справочники!$F$5,Учет!$H3051,0)</f>
        <v>0</v>
      </c>
      <c r="U3051" s="48">
        <f>IF(Учет!$O3051=Справочники!$F$6,Учет!$H3051,0)</f>
        <v>0</v>
      </c>
      <c r="V3051" s="43">
        <f>V3050+Учет!Q3051-Q3051</f>
        <v>-488978.92000000004</v>
      </c>
      <c r="W3051" s="43">
        <f>W3050+Учет!R3051-R3051</f>
        <v>336855</v>
      </c>
      <c r="X3051" s="43">
        <f>X3050+Учет!S3051-S3051</f>
        <v>500</v>
      </c>
      <c r="Y3051" s="43">
        <f>Y3050+Учет!T3051-T3051</f>
        <v>1150</v>
      </c>
      <c r="Z3051" s="43">
        <f>Z3050+Учет!U3051-U3051</f>
        <v>500000</v>
      </c>
      <c r="AA3051" s="45">
        <f>Учет!X3051</f>
        <v>500</v>
      </c>
    </row>
    <row r="3052" spans="1:27" ht="15" customHeight="1" x14ac:dyDescent="0.25">
      <c r="A3052" s="1"/>
      <c r="B3052" s="17"/>
      <c r="C3052" s="17"/>
      <c r="D3052" s="17"/>
      <c r="E3052" s="17"/>
      <c r="F3052" s="17"/>
      <c r="G3052" s="4">
        <f t="shared" si="138"/>
        <v>0</v>
      </c>
      <c r="H3052" s="17"/>
      <c r="I3052" s="4">
        <f t="shared" si="140"/>
        <v>349526.07999999996</v>
      </c>
      <c r="J3052" s="32" t="str">
        <f t="shared" si="139"/>
        <v/>
      </c>
      <c r="K3052" s="72"/>
      <c r="L3052" s="72"/>
      <c r="M3052" s="2"/>
      <c r="N3052" s="5"/>
      <c r="O3052" s="3"/>
      <c r="P3052" s="6"/>
      <c r="Q3052" s="48">
        <f>IF(Учет!$O3052=Справочники!$F$2,Учет!$H3052,0)</f>
        <v>0</v>
      </c>
      <c r="R3052" s="48">
        <f>IF(Учет!$O3052=Справочники!$F$3,Учет!$H3052,0)</f>
        <v>0</v>
      </c>
      <c r="S3052" s="48">
        <f>IF(Учет!$O3052=Справочники!$F$4,Учет!$H3052,0)</f>
        <v>0</v>
      </c>
      <c r="T3052" s="48">
        <f>IF(Учет!$O3052=Справочники!$F$5,Учет!$H3052,0)</f>
        <v>0</v>
      </c>
      <c r="U3052" s="48">
        <f>IF(Учет!$O3052=Справочники!$F$6,Учет!$H3052,0)</f>
        <v>0</v>
      </c>
      <c r="V3052" s="43">
        <f>V3051+Учет!Q3052-Q3052</f>
        <v>-488978.92000000004</v>
      </c>
      <c r="W3052" s="43">
        <f>W3051+Учет!R3052-R3052</f>
        <v>336855</v>
      </c>
      <c r="X3052" s="43">
        <f>X3051+Учет!S3052-S3052</f>
        <v>500</v>
      </c>
      <c r="Y3052" s="43">
        <f>Y3051+Учет!T3052-T3052</f>
        <v>1150</v>
      </c>
      <c r="Z3052" s="43">
        <f>Z3051+Учет!U3052-U3052</f>
        <v>500000</v>
      </c>
      <c r="AA3052" s="45">
        <f>Учет!X3052</f>
        <v>500</v>
      </c>
    </row>
    <row r="3053" spans="1:27" ht="15" customHeight="1" x14ac:dyDescent="0.25">
      <c r="A3053" s="1"/>
      <c r="B3053" s="17"/>
      <c r="C3053" s="17"/>
      <c r="D3053" s="17"/>
      <c r="E3053" s="17"/>
      <c r="F3053" s="17"/>
      <c r="G3053" s="4">
        <f t="shared" si="138"/>
        <v>0</v>
      </c>
      <c r="H3053" s="17"/>
      <c r="I3053" s="4">
        <f t="shared" si="140"/>
        <v>349526.07999999996</v>
      </c>
      <c r="J3053" s="32" t="str">
        <f t="shared" si="139"/>
        <v/>
      </c>
      <c r="K3053" s="72"/>
      <c r="L3053" s="72"/>
      <c r="M3053" s="2"/>
      <c r="N3053" s="5"/>
      <c r="O3053" s="3"/>
      <c r="P3053" s="6"/>
      <c r="Q3053" s="48">
        <f>IF(Учет!$O3053=Справочники!$F$2,Учет!$H3053,0)</f>
        <v>0</v>
      </c>
      <c r="R3053" s="48">
        <f>IF(Учет!$O3053=Справочники!$F$3,Учет!$H3053,0)</f>
        <v>0</v>
      </c>
      <c r="S3053" s="48">
        <f>IF(Учет!$O3053=Справочники!$F$4,Учет!$H3053,0)</f>
        <v>0</v>
      </c>
      <c r="T3053" s="48">
        <f>IF(Учет!$O3053=Справочники!$F$5,Учет!$H3053,0)</f>
        <v>0</v>
      </c>
      <c r="U3053" s="48">
        <f>IF(Учет!$O3053=Справочники!$F$6,Учет!$H3053,0)</f>
        <v>0</v>
      </c>
      <c r="V3053" s="43">
        <f>V3052+Учет!Q3053-Q3053</f>
        <v>-488978.92000000004</v>
      </c>
      <c r="W3053" s="43">
        <f>W3052+Учет!R3053-R3053</f>
        <v>336855</v>
      </c>
      <c r="X3053" s="43">
        <f>X3052+Учет!S3053-S3053</f>
        <v>500</v>
      </c>
      <c r="Y3053" s="43">
        <f>Y3052+Учет!T3053-T3053</f>
        <v>1150</v>
      </c>
      <c r="Z3053" s="43">
        <f>Z3052+Учет!U3053-U3053</f>
        <v>500000</v>
      </c>
      <c r="AA3053" s="45">
        <f>Учет!X3053</f>
        <v>500</v>
      </c>
    </row>
    <row r="3054" spans="1:27" ht="15" customHeight="1" x14ac:dyDescent="0.25">
      <c r="A3054" s="1"/>
      <c r="B3054" s="17"/>
      <c r="C3054" s="17"/>
      <c r="D3054" s="17"/>
      <c r="E3054" s="17"/>
      <c r="F3054" s="17"/>
      <c r="G3054" s="4">
        <f t="shared" si="138"/>
        <v>0</v>
      </c>
      <c r="H3054" s="17"/>
      <c r="I3054" s="4">
        <f t="shared" si="140"/>
        <v>349526.07999999996</v>
      </c>
      <c r="J3054" s="32" t="str">
        <f t="shared" si="139"/>
        <v/>
      </c>
      <c r="K3054" s="72"/>
      <c r="L3054" s="72"/>
      <c r="M3054" s="2"/>
      <c r="N3054" s="5"/>
      <c r="O3054" s="3"/>
      <c r="P3054" s="6"/>
      <c r="Q3054" s="48">
        <f>IF(Учет!$O3054=Справочники!$F$2,Учет!$H3054,0)</f>
        <v>0</v>
      </c>
      <c r="R3054" s="48">
        <f>IF(Учет!$O3054=Справочники!$F$3,Учет!$H3054,0)</f>
        <v>0</v>
      </c>
      <c r="S3054" s="48">
        <f>IF(Учет!$O3054=Справочники!$F$4,Учет!$H3054,0)</f>
        <v>0</v>
      </c>
      <c r="T3054" s="48">
        <f>IF(Учет!$O3054=Справочники!$F$5,Учет!$H3054,0)</f>
        <v>0</v>
      </c>
      <c r="U3054" s="48">
        <f>IF(Учет!$O3054=Справочники!$F$6,Учет!$H3054,0)</f>
        <v>0</v>
      </c>
      <c r="V3054" s="43">
        <f>V3053+Учет!Q3054-Q3054</f>
        <v>-488978.92000000004</v>
      </c>
      <c r="W3054" s="43">
        <f>W3053+Учет!R3054-R3054</f>
        <v>336855</v>
      </c>
      <c r="X3054" s="43">
        <f>X3053+Учет!S3054-S3054</f>
        <v>500</v>
      </c>
      <c r="Y3054" s="43">
        <f>Y3053+Учет!T3054-T3054</f>
        <v>1150</v>
      </c>
      <c r="Z3054" s="43">
        <f>Z3053+Учет!U3054-U3054</f>
        <v>500000</v>
      </c>
      <c r="AA3054" s="45">
        <f>Учет!X3054</f>
        <v>500</v>
      </c>
    </row>
    <row r="3055" spans="1:27" ht="15" customHeight="1" x14ac:dyDescent="0.25">
      <c r="A3055" s="1"/>
      <c r="B3055" s="17"/>
      <c r="C3055" s="17"/>
      <c r="D3055" s="17"/>
      <c r="E3055" s="17"/>
      <c r="F3055" s="17"/>
      <c r="G3055" s="4">
        <f t="shared" si="138"/>
        <v>0</v>
      </c>
      <c r="H3055" s="17"/>
      <c r="I3055" s="4">
        <f t="shared" si="140"/>
        <v>349526.07999999996</v>
      </c>
      <c r="J3055" s="32" t="str">
        <f t="shared" si="139"/>
        <v/>
      </c>
      <c r="K3055" s="72"/>
      <c r="L3055" s="72"/>
      <c r="M3055" s="2"/>
      <c r="N3055" s="5"/>
      <c r="O3055" s="3"/>
      <c r="P3055" s="6"/>
      <c r="Q3055" s="48">
        <f>IF(Учет!$O3055=Справочники!$F$2,Учет!$H3055,0)</f>
        <v>0</v>
      </c>
      <c r="R3055" s="48">
        <f>IF(Учет!$O3055=Справочники!$F$3,Учет!$H3055,0)</f>
        <v>0</v>
      </c>
      <c r="S3055" s="48">
        <f>IF(Учет!$O3055=Справочники!$F$4,Учет!$H3055,0)</f>
        <v>0</v>
      </c>
      <c r="T3055" s="48">
        <f>IF(Учет!$O3055=Справочники!$F$5,Учет!$H3055,0)</f>
        <v>0</v>
      </c>
      <c r="U3055" s="48">
        <f>IF(Учет!$O3055=Справочники!$F$6,Учет!$H3055,0)</f>
        <v>0</v>
      </c>
      <c r="V3055" s="43">
        <f>V3054+Учет!Q3055-Q3055</f>
        <v>-488978.92000000004</v>
      </c>
      <c r="W3055" s="43">
        <f>W3054+Учет!R3055-R3055</f>
        <v>336855</v>
      </c>
      <c r="X3055" s="43">
        <f>X3054+Учет!S3055-S3055</f>
        <v>500</v>
      </c>
      <c r="Y3055" s="43">
        <f>Y3054+Учет!T3055-T3055</f>
        <v>1150</v>
      </c>
      <c r="Z3055" s="43">
        <f>Z3054+Учет!U3055-U3055</f>
        <v>500000</v>
      </c>
      <c r="AA3055" s="45">
        <f>Учет!X3055</f>
        <v>500</v>
      </c>
    </row>
    <row r="3056" spans="1:27" ht="15" customHeight="1" x14ac:dyDescent="0.25">
      <c r="A3056" s="1"/>
      <c r="B3056" s="17"/>
      <c r="C3056" s="17"/>
      <c r="D3056" s="17"/>
      <c r="E3056" s="17"/>
      <c r="F3056" s="17"/>
      <c r="G3056" s="4">
        <f t="shared" si="138"/>
        <v>0</v>
      </c>
      <c r="H3056" s="17"/>
      <c r="I3056" s="4">
        <f t="shared" si="140"/>
        <v>349526.07999999996</v>
      </c>
      <c r="J3056" s="32" t="str">
        <f t="shared" si="139"/>
        <v/>
      </c>
      <c r="K3056" s="72"/>
      <c r="L3056" s="72"/>
      <c r="M3056" s="2"/>
      <c r="N3056" s="5"/>
      <c r="O3056" s="3"/>
      <c r="P3056" s="6"/>
      <c r="Q3056" s="48">
        <f>IF(Учет!$O3056=Справочники!$F$2,Учет!$H3056,0)</f>
        <v>0</v>
      </c>
      <c r="R3056" s="48">
        <f>IF(Учет!$O3056=Справочники!$F$3,Учет!$H3056,0)</f>
        <v>0</v>
      </c>
      <c r="S3056" s="48">
        <f>IF(Учет!$O3056=Справочники!$F$4,Учет!$H3056,0)</f>
        <v>0</v>
      </c>
      <c r="T3056" s="48">
        <f>IF(Учет!$O3056=Справочники!$F$5,Учет!$H3056,0)</f>
        <v>0</v>
      </c>
      <c r="U3056" s="48">
        <f>IF(Учет!$O3056=Справочники!$F$6,Учет!$H3056,0)</f>
        <v>0</v>
      </c>
      <c r="V3056" s="43">
        <f>V3055+Учет!Q3056-Q3056</f>
        <v>-488978.92000000004</v>
      </c>
      <c r="W3056" s="43">
        <f>W3055+Учет!R3056-R3056</f>
        <v>336855</v>
      </c>
      <c r="X3056" s="43">
        <f>X3055+Учет!S3056-S3056</f>
        <v>500</v>
      </c>
      <c r="Y3056" s="43">
        <f>Y3055+Учет!T3056-T3056</f>
        <v>1150</v>
      </c>
      <c r="Z3056" s="43">
        <f>Z3055+Учет!U3056-U3056</f>
        <v>500000</v>
      </c>
      <c r="AA3056" s="45">
        <f>Учет!X3056</f>
        <v>500</v>
      </c>
    </row>
    <row r="3057" spans="1:27" ht="15" customHeight="1" x14ac:dyDescent="0.25">
      <c r="A3057" s="1"/>
      <c r="B3057" s="17"/>
      <c r="C3057" s="17"/>
      <c r="D3057" s="17"/>
      <c r="E3057" s="17"/>
      <c r="F3057" s="17"/>
      <c r="G3057" s="4">
        <f t="shared" si="138"/>
        <v>0</v>
      </c>
      <c r="H3057" s="17"/>
      <c r="I3057" s="4">
        <f t="shared" si="140"/>
        <v>349526.07999999996</v>
      </c>
      <c r="J3057" s="32" t="str">
        <f t="shared" si="139"/>
        <v/>
      </c>
      <c r="K3057" s="72"/>
      <c r="L3057" s="72"/>
      <c r="M3057" s="2"/>
      <c r="N3057" s="5"/>
      <c r="O3057" s="3"/>
      <c r="P3057" s="6"/>
      <c r="Q3057" s="48">
        <f>IF(Учет!$O3057=Справочники!$F$2,Учет!$H3057,0)</f>
        <v>0</v>
      </c>
      <c r="R3057" s="48">
        <f>IF(Учет!$O3057=Справочники!$F$3,Учет!$H3057,0)</f>
        <v>0</v>
      </c>
      <c r="S3057" s="48">
        <f>IF(Учет!$O3057=Справочники!$F$4,Учет!$H3057,0)</f>
        <v>0</v>
      </c>
      <c r="T3057" s="48">
        <f>IF(Учет!$O3057=Справочники!$F$5,Учет!$H3057,0)</f>
        <v>0</v>
      </c>
      <c r="U3057" s="48">
        <f>IF(Учет!$O3057=Справочники!$F$6,Учет!$H3057,0)</f>
        <v>0</v>
      </c>
      <c r="V3057" s="43">
        <f>V3056+Учет!Q3057-Q3057</f>
        <v>-488978.92000000004</v>
      </c>
      <c r="W3057" s="43">
        <f>W3056+Учет!R3057-R3057</f>
        <v>336855</v>
      </c>
      <c r="X3057" s="43">
        <f>X3056+Учет!S3057-S3057</f>
        <v>500</v>
      </c>
      <c r="Y3057" s="43">
        <f>Y3056+Учет!T3057-T3057</f>
        <v>1150</v>
      </c>
      <c r="Z3057" s="43">
        <f>Z3056+Учет!U3057-U3057</f>
        <v>500000</v>
      </c>
      <c r="AA3057" s="45">
        <f>Учет!X3057</f>
        <v>500</v>
      </c>
    </row>
    <row r="3058" spans="1:27" ht="15" customHeight="1" x14ac:dyDescent="0.25">
      <c r="A3058" s="1"/>
      <c r="B3058" s="17"/>
      <c r="C3058" s="17"/>
      <c r="D3058" s="17"/>
      <c r="E3058" s="17"/>
      <c r="F3058" s="17"/>
      <c r="G3058" s="4">
        <f t="shared" si="138"/>
        <v>0</v>
      </c>
      <c r="H3058" s="17"/>
      <c r="I3058" s="4">
        <f t="shared" si="140"/>
        <v>349526.07999999996</v>
      </c>
      <c r="J3058" s="32" t="str">
        <f t="shared" si="139"/>
        <v/>
      </c>
      <c r="K3058" s="72"/>
      <c r="L3058" s="72"/>
      <c r="M3058" s="2"/>
      <c r="N3058" s="5"/>
      <c r="O3058" s="3"/>
      <c r="P3058" s="6"/>
      <c r="Q3058" s="48">
        <f>IF(Учет!$O3058=Справочники!$F$2,Учет!$H3058,0)</f>
        <v>0</v>
      </c>
      <c r="R3058" s="48">
        <f>IF(Учет!$O3058=Справочники!$F$3,Учет!$H3058,0)</f>
        <v>0</v>
      </c>
      <c r="S3058" s="48">
        <f>IF(Учет!$O3058=Справочники!$F$4,Учет!$H3058,0)</f>
        <v>0</v>
      </c>
      <c r="T3058" s="48">
        <f>IF(Учет!$O3058=Справочники!$F$5,Учет!$H3058,0)</f>
        <v>0</v>
      </c>
      <c r="U3058" s="48">
        <f>IF(Учет!$O3058=Справочники!$F$6,Учет!$H3058,0)</f>
        <v>0</v>
      </c>
      <c r="V3058" s="43">
        <f>V3057+Учет!Q3058-Q3058</f>
        <v>-488978.92000000004</v>
      </c>
      <c r="W3058" s="43">
        <f>W3057+Учет!R3058-R3058</f>
        <v>336855</v>
      </c>
      <c r="X3058" s="43">
        <f>X3057+Учет!S3058-S3058</f>
        <v>500</v>
      </c>
      <c r="Y3058" s="43">
        <f>Y3057+Учет!T3058-T3058</f>
        <v>1150</v>
      </c>
      <c r="Z3058" s="43">
        <f>Z3057+Учет!U3058-U3058</f>
        <v>500000</v>
      </c>
      <c r="AA3058" s="45">
        <f>Учет!X3058</f>
        <v>500</v>
      </c>
    </row>
    <row r="3059" spans="1:27" ht="15" customHeight="1" x14ac:dyDescent="0.25">
      <c r="A3059" s="1"/>
      <c r="B3059" s="17"/>
      <c r="C3059" s="17"/>
      <c r="D3059" s="17"/>
      <c r="E3059" s="17"/>
      <c r="F3059" s="17"/>
      <c r="G3059" s="4">
        <f t="shared" si="138"/>
        <v>0</v>
      </c>
      <c r="H3059" s="17"/>
      <c r="I3059" s="4">
        <f t="shared" si="140"/>
        <v>349526.07999999996</v>
      </c>
      <c r="J3059" s="32" t="str">
        <f t="shared" si="139"/>
        <v/>
      </c>
      <c r="K3059" s="72"/>
      <c r="L3059" s="72"/>
      <c r="M3059" s="2"/>
      <c r="N3059" s="5"/>
      <c r="O3059" s="3"/>
      <c r="P3059" s="6"/>
      <c r="Q3059" s="48">
        <f>IF(Учет!$O3059=Справочники!$F$2,Учет!$H3059,0)</f>
        <v>0</v>
      </c>
      <c r="R3059" s="48">
        <f>IF(Учет!$O3059=Справочники!$F$3,Учет!$H3059,0)</f>
        <v>0</v>
      </c>
      <c r="S3059" s="48">
        <f>IF(Учет!$O3059=Справочники!$F$4,Учет!$H3059,0)</f>
        <v>0</v>
      </c>
      <c r="T3059" s="48">
        <f>IF(Учет!$O3059=Справочники!$F$5,Учет!$H3059,0)</f>
        <v>0</v>
      </c>
      <c r="U3059" s="48">
        <f>IF(Учет!$O3059=Справочники!$F$6,Учет!$H3059,0)</f>
        <v>0</v>
      </c>
      <c r="V3059" s="43">
        <f>V3058+Учет!Q3059-Q3059</f>
        <v>-488978.92000000004</v>
      </c>
      <c r="W3059" s="43">
        <f>W3058+Учет!R3059-R3059</f>
        <v>336855</v>
      </c>
      <c r="X3059" s="43">
        <f>X3058+Учет!S3059-S3059</f>
        <v>500</v>
      </c>
      <c r="Y3059" s="43">
        <f>Y3058+Учет!T3059-T3059</f>
        <v>1150</v>
      </c>
      <c r="Z3059" s="43">
        <f>Z3058+Учет!U3059-U3059</f>
        <v>500000</v>
      </c>
      <c r="AA3059" s="45">
        <f>Учет!X3059</f>
        <v>500</v>
      </c>
    </row>
    <row r="3060" spans="1:27" ht="15" customHeight="1" x14ac:dyDescent="0.25">
      <c r="A3060" s="1"/>
      <c r="B3060" s="17"/>
      <c r="C3060" s="17"/>
      <c r="D3060" s="17"/>
      <c r="E3060" s="17"/>
      <c r="F3060" s="17"/>
      <c r="G3060" s="4">
        <f t="shared" si="138"/>
        <v>0</v>
      </c>
      <c r="H3060" s="17"/>
      <c r="I3060" s="4">
        <f t="shared" si="140"/>
        <v>349526.07999999996</v>
      </c>
      <c r="J3060" s="32" t="str">
        <f t="shared" si="139"/>
        <v/>
      </c>
      <c r="K3060" s="72"/>
      <c r="L3060" s="72"/>
      <c r="M3060" s="2"/>
      <c r="N3060" s="5"/>
      <c r="O3060" s="3"/>
      <c r="P3060" s="6"/>
      <c r="Q3060" s="48">
        <f>IF(Учет!$O3060=Справочники!$F$2,Учет!$H3060,0)</f>
        <v>0</v>
      </c>
      <c r="R3060" s="48">
        <f>IF(Учет!$O3060=Справочники!$F$3,Учет!$H3060,0)</f>
        <v>0</v>
      </c>
      <c r="S3060" s="48">
        <f>IF(Учет!$O3060=Справочники!$F$4,Учет!$H3060,0)</f>
        <v>0</v>
      </c>
      <c r="T3060" s="48">
        <f>IF(Учет!$O3060=Справочники!$F$5,Учет!$H3060,0)</f>
        <v>0</v>
      </c>
      <c r="U3060" s="48">
        <f>IF(Учет!$O3060=Справочники!$F$6,Учет!$H3060,0)</f>
        <v>0</v>
      </c>
      <c r="V3060" s="43">
        <f>V3059+Учет!Q3060-Q3060</f>
        <v>-488978.92000000004</v>
      </c>
      <c r="W3060" s="43">
        <f>W3059+Учет!R3060-R3060</f>
        <v>336855</v>
      </c>
      <c r="X3060" s="43">
        <f>X3059+Учет!S3060-S3060</f>
        <v>500</v>
      </c>
      <c r="Y3060" s="43">
        <f>Y3059+Учет!T3060-T3060</f>
        <v>1150</v>
      </c>
      <c r="Z3060" s="43">
        <f>Z3059+Учет!U3060-U3060</f>
        <v>500000</v>
      </c>
      <c r="AA3060" s="45">
        <f>Учет!X3060</f>
        <v>500</v>
      </c>
    </row>
    <row r="3061" spans="1:27" ht="15" customHeight="1" x14ac:dyDescent="0.25">
      <c r="A3061" s="1"/>
      <c r="B3061" s="17"/>
      <c r="C3061" s="17"/>
      <c r="D3061" s="17"/>
      <c r="E3061" s="17"/>
      <c r="F3061" s="17"/>
      <c r="G3061" s="4">
        <f t="shared" si="138"/>
        <v>0</v>
      </c>
      <c r="H3061" s="17"/>
      <c r="I3061" s="4">
        <f t="shared" si="140"/>
        <v>349526.07999999996</v>
      </c>
      <c r="J3061" s="32" t="str">
        <f t="shared" si="139"/>
        <v/>
      </c>
      <c r="K3061" s="72"/>
      <c r="L3061" s="72"/>
      <c r="M3061" s="2"/>
      <c r="N3061" s="5"/>
      <c r="O3061" s="3"/>
      <c r="P3061" s="6"/>
      <c r="Q3061" s="48">
        <f>IF(Учет!$O3061=Справочники!$F$2,Учет!$H3061,0)</f>
        <v>0</v>
      </c>
      <c r="R3061" s="48">
        <f>IF(Учет!$O3061=Справочники!$F$3,Учет!$H3061,0)</f>
        <v>0</v>
      </c>
      <c r="S3061" s="48">
        <f>IF(Учет!$O3061=Справочники!$F$4,Учет!$H3061,0)</f>
        <v>0</v>
      </c>
      <c r="T3061" s="48">
        <f>IF(Учет!$O3061=Справочники!$F$5,Учет!$H3061,0)</f>
        <v>0</v>
      </c>
      <c r="U3061" s="48">
        <f>IF(Учет!$O3061=Справочники!$F$6,Учет!$H3061,0)</f>
        <v>0</v>
      </c>
      <c r="V3061" s="43">
        <f>V3060+Учет!Q3061-Q3061</f>
        <v>-488978.92000000004</v>
      </c>
      <c r="W3061" s="43">
        <f>W3060+Учет!R3061-R3061</f>
        <v>336855</v>
      </c>
      <c r="X3061" s="43">
        <f>X3060+Учет!S3061-S3061</f>
        <v>500</v>
      </c>
      <c r="Y3061" s="43">
        <f>Y3060+Учет!T3061-T3061</f>
        <v>1150</v>
      </c>
      <c r="Z3061" s="43">
        <f>Z3060+Учет!U3061-U3061</f>
        <v>500000</v>
      </c>
      <c r="AA3061" s="45">
        <f>Учет!X3061</f>
        <v>500</v>
      </c>
    </row>
    <row r="3062" spans="1:27" ht="15" customHeight="1" x14ac:dyDescent="0.25">
      <c r="A3062" s="1"/>
      <c r="B3062" s="17"/>
      <c r="C3062" s="17"/>
      <c r="D3062" s="17"/>
      <c r="E3062" s="17"/>
      <c r="F3062" s="17"/>
      <c r="G3062" s="4">
        <f t="shared" si="138"/>
        <v>0</v>
      </c>
      <c r="H3062" s="17"/>
      <c r="I3062" s="4">
        <f t="shared" si="140"/>
        <v>349526.07999999996</v>
      </c>
      <c r="J3062" s="32" t="str">
        <f t="shared" si="139"/>
        <v/>
      </c>
      <c r="K3062" s="72"/>
      <c r="L3062" s="72"/>
      <c r="M3062" s="2"/>
      <c r="N3062" s="5"/>
      <c r="O3062" s="3"/>
      <c r="P3062" s="6"/>
      <c r="Q3062" s="48">
        <f>IF(Учет!$O3062=Справочники!$F$2,Учет!$H3062,0)</f>
        <v>0</v>
      </c>
      <c r="R3062" s="48">
        <f>IF(Учет!$O3062=Справочники!$F$3,Учет!$H3062,0)</f>
        <v>0</v>
      </c>
      <c r="S3062" s="48">
        <f>IF(Учет!$O3062=Справочники!$F$4,Учет!$H3062,0)</f>
        <v>0</v>
      </c>
      <c r="T3062" s="48">
        <f>IF(Учет!$O3062=Справочники!$F$5,Учет!$H3062,0)</f>
        <v>0</v>
      </c>
      <c r="U3062" s="48">
        <f>IF(Учет!$O3062=Справочники!$F$6,Учет!$H3062,0)</f>
        <v>0</v>
      </c>
      <c r="V3062" s="43">
        <f>V3061+Учет!Q3062-Q3062</f>
        <v>-488978.92000000004</v>
      </c>
      <c r="W3062" s="43">
        <f>W3061+Учет!R3062-R3062</f>
        <v>336855</v>
      </c>
      <c r="X3062" s="43">
        <f>X3061+Учет!S3062-S3062</f>
        <v>500</v>
      </c>
      <c r="Y3062" s="43">
        <f>Y3061+Учет!T3062-T3062</f>
        <v>1150</v>
      </c>
      <c r="Z3062" s="43">
        <f>Z3061+Учет!U3062-U3062</f>
        <v>500000</v>
      </c>
      <c r="AA3062" s="45">
        <f>Учет!X3062</f>
        <v>500</v>
      </c>
    </row>
    <row r="3063" spans="1:27" ht="15" customHeight="1" x14ac:dyDescent="0.25">
      <c r="A3063" s="1"/>
      <c r="B3063" s="17"/>
      <c r="C3063" s="17"/>
      <c r="D3063" s="17"/>
      <c r="E3063" s="17"/>
      <c r="F3063" s="17"/>
      <c r="G3063" s="4">
        <f t="shared" si="138"/>
        <v>0</v>
      </c>
      <c r="H3063" s="17"/>
      <c r="I3063" s="4">
        <f t="shared" si="140"/>
        <v>349526.07999999996</v>
      </c>
      <c r="J3063" s="32" t="str">
        <f t="shared" si="139"/>
        <v/>
      </c>
      <c r="K3063" s="72"/>
      <c r="L3063" s="72"/>
      <c r="M3063" s="2"/>
      <c r="N3063" s="5"/>
      <c r="O3063" s="3"/>
      <c r="P3063" s="6"/>
      <c r="Q3063" s="48">
        <f>IF(Учет!$O3063=Справочники!$F$2,Учет!$H3063,0)</f>
        <v>0</v>
      </c>
      <c r="R3063" s="48">
        <f>IF(Учет!$O3063=Справочники!$F$3,Учет!$H3063,0)</f>
        <v>0</v>
      </c>
      <c r="S3063" s="48">
        <f>IF(Учет!$O3063=Справочники!$F$4,Учет!$H3063,0)</f>
        <v>0</v>
      </c>
      <c r="T3063" s="48">
        <f>IF(Учет!$O3063=Справочники!$F$5,Учет!$H3063,0)</f>
        <v>0</v>
      </c>
      <c r="U3063" s="48">
        <f>IF(Учет!$O3063=Справочники!$F$6,Учет!$H3063,0)</f>
        <v>0</v>
      </c>
      <c r="V3063" s="43">
        <f>V3062+Учет!Q3063-Q3063</f>
        <v>-488978.92000000004</v>
      </c>
      <c r="W3063" s="43">
        <f>W3062+Учет!R3063-R3063</f>
        <v>336855</v>
      </c>
      <c r="X3063" s="43">
        <f>X3062+Учет!S3063-S3063</f>
        <v>500</v>
      </c>
      <c r="Y3063" s="43">
        <f>Y3062+Учет!T3063-T3063</f>
        <v>1150</v>
      </c>
      <c r="Z3063" s="43">
        <f>Z3062+Учет!U3063-U3063</f>
        <v>500000</v>
      </c>
      <c r="AA3063" s="45">
        <f>Учет!X3063</f>
        <v>500</v>
      </c>
    </row>
    <row r="3064" spans="1:27" ht="15" customHeight="1" x14ac:dyDescent="0.25">
      <c r="A3064" s="1"/>
      <c r="B3064" s="17"/>
      <c r="C3064" s="17"/>
      <c r="D3064" s="17"/>
      <c r="E3064" s="17"/>
      <c r="F3064" s="17"/>
      <c r="G3064" s="4">
        <f t="shared" si="138"/>
        <v>0</v>
      </c>
      <c r="H3064" s="17"/>
      <c r="I3064" s="4">
        <f t="shared" si="140"/>
        <v>349526.07999999996</v>
      </c>
      <c r="J3064" s="32" t="str">
        <f t="shared" si="139"/>
        <v/>
      </c>
      <c r="K3064" s="72"/>
      <c r="L3064" s="72"/>
      <c r="M3064" s="2"/>
      <c r="N3064" s="5"/>
      <c r="O3064" s="3"/>
      <c r="P3064" s="6"/>
      <c r="Q3064" s="48">
        <f>IF(Учет!$O3064=Справочники!$F$2,Учет!$H3064,0)</f>
        <v>0</v>
      </c>
      <c r="R3064" s="48">
        <f>IF(Учет!$O3064=Справочники!$F$3,Учет!$H3064,0)</f>
        <v>0</v>
      </c>
      <c r="S3064" s="48">
        <f>IF(Учет!$O3064=Справочники!$F$4,Учет!$H3064,0)</f>
        <v>0</v>
      </c>
      <c r="T3064" s="48">
        <f>IF(Учет!$O3064=Справочники!$F$5,Учет!$H3064,0)</f>
        <v>0</v>
      </c>
      <c r="U3064" s="48">
        <f>IF(Учет!$O3064=Справочники!$F$6,Учет!$H3064,0)</f>
        <v>0</v>
      </c>
      <c r="V3064" s="43">
        <f>V3063+Учет!Q3064-Q3064</f>
        <v>-488978.92000000004</v>
      </c>
      <c r="W3064" s="43">
        <f>W3063+Учет!R3064-R3064</f>
        <v>336855</v>
      </c>
      <c r="X3064" s="43">
        <f>X3063+Учет!S3064-S3064</f>
        <v>500</v>
      </c>
      <c r="Y3064" s="43">
        <f>Y3063+Учет!T3064-T3064</f>
        <v>1150</v>
      </c>
      <c r="Z3064" s="43">
        <f>Z3063+Учет!U3064-U3064</f>
        <v>500000</v>
      </c>
      <c r="AA3064" s="45">
        <f>Учет!X3064</f>
        <v>500</v>
      </c>
    </row>
    <row r="3065" spans="1:27" ht="15" customHeight="1" x14ac:dyDescent="0.25">
      <c r="A3065" s="1"/>
      <c r="B3065" s="17"/>
      <c r="C3065" s="17"/>
      <c r="D3065" s="17"/>
      <c r="E3065" s="17"/>
      <c r="F3065" s="17"/>
      <c r="G3065" s="4">
        <f t="shared" si="138"/>
        <v>0</v>
      </c>
      <c r="H3065" s="17"/>
      <c r="I3065" s="4">
        <f t="shared" si="140"/>
        <v>349526.07999999996</v>
      </c>
      <c r="J3065" s="32" t="str">
        <f t="shared" si="139"/>
        <v/>
      </c>
      <c r="K3065" s="72"/>
      <c r="L3065" s="72"/>
      <c r="M3065" s="2"/>
      <c r="N3065" s="5"/>
      <c r="O3065" s="3"/>
      <c r="P3065" s="6"/>
      <c r="Q3065" s="48">
        <f>IF(Учет!$O3065=Справочники!$F$2,Учет!$H3065,0)</f>
        <v>0</v>
      </c>
      <c r="R3065" s="48">
        <f>IF(Учет!$O3065=Справочники!$F$3,Учет!$H3065,0)</f>
        <v>0</v>
      </c>
      <c r="S3065" s="48">
        <f>IF(Учет!$O3065=Справочники!$F$4,Учет!$H3065,0)</f>
        <v>0</v>
      </c>
      <c r="T3065" s="48">
        <f>IF(Учет!$O3065=Справочники!$F$5,Учет!$H3065,0)</f>
        <v>0</v>
      </c>
      <c r="U3065" s="48">
        <f>IF(Учет!$O3065=Справочники!$F$6,Учет!$H3065,0)</f>
        <v>0</v>
      </c>
      <c r="V3065" s="43">
        <f>V3064+Учет!Q3065-Q3065</f>
        <v>-488978.92000000004</v>
      </c>
      <c r="W3065" s="43">
        <f>W3064+Учет!R3065-R3065</f>
        <v>336855</v>
      </c>
      <c r="X3065" s="43">
        <f>X3064+Учет!S3065-S3065</f>
        <v>500</v>
      </c>
      <c r="Y3065" s="43">
        <f>Y3064+Учет!T3065-T3065</f>
        <v>1150</v>
      </c>
      <c r="Z3065" s="43">
        <f>Z3064+Учет!U3065-U3065</f>
        <v>500000</v>
      </c>
      <c r="AA3065" s="45">
        <f>Учет!X3065</f>
        <v>500</v>
      </c>
    </row>
    <row r="3066" spans="1:27" ht="15" customHeight="1" x14ac:dyDescent="0.25">
      <c r="A3066" s="1"/>
      <c r="B3066" s="17"/>
      <c r="C3066" s="17"/>
      <c r="D3066" s="17"/>
      <c r="E3066" s="17"/>
      <c r="F3066" s="17"/>
      <c r="G3066" s="4">
        <f t="shared" si="138"/>
        <v>0</v>
      </c>
      <c r="H3066" s="17"/>
      <c r="I3066" s="4">
        <f t="shared" si="140"/>
        <v>349526.07999999996</v>
      </c>
      <c r="J3066" s="32" t="str">
        <f t="shared" si="139"/>
        <v/>
      </c>
      <c r="K3066" s="72"/>
      <c r="L3066" s="72"/>
      <c r="M3066" s="2"/>
      <c r="N3066" s="5"/>
      <c r="O3066" s="3"/>
      <c r="P3066" s="6"/>
      <c r="Q3066" s="48">
        <f>IF(Учет!$O3066=Справочники!$F$2,Учет!$H3066,0)</f>
        <v>0</v>
      </c>
      <c r="R3066" s="48">
        <f>IF(Учет!$O3066=Справочники!$F$3,Учет!$H3066,0)</f>
        <v>0</v>
      </c>
      <c r="S3066" s="48">
        <f>IF(Учет!$O3066=Справочники!$F$4,Учет!$H3066,0)</f>
        <v>0</v>
      </c>
      <c r="T3066" s="48">
        <f>IF(Учет!$O3066=Справочники!$F$5,Учет!$H3066,0)</f>
        <v>0</v>
      </c>
      <c r="U3066" s="48">
        <f>IF(Учет!$O3066=Справочники!$F$6,Учет!$H3066,0)</f>
        <v>0</v>
      </c>
      <c r="V3066" s="43">
        <f>V3065+Учет!Q3066-Q3066</f>
        <v>-488978.92000000004</v>
      </c>
      <c r="W3066" s="43">
        <f>W3065+Учет!R3066-R3066</f>
        <v>336855</v>
      </c>
      <c r="X3066" s="43">
        <f>X3065+Учет!S3066-S3066</f>
        <v>500</v>
      </c>
      <c r="Y3066" s="43">
        <f>Y3065+Учет!T3066-T3066</f>
        <v>1150</v>
      </c>
      <c r="Z3066" s="43">
        <f>Z3065+Учет!U3066-U3066</f>
        <v>500000</v>
      </c>
      <c r="AA3066" s="45">
        <f>Учет!X3066</f>
        <v>500</v>
      </c>
    </row>
    <row r="3067" spans="1:27" ht="15" customHeight="1" x14ac:dyDescent="0.25">
      <c r="A3067" s="1"/>
      <c r="B3067" s="17"/>
      <c r="C3067" s="17"/>
      <c r="D3067" s="17"/>
      <c r="E3067" s="17"/>
      <c r="F3067" s="17"/>
      <c r="G3067" s="4">
        <f t="shared" si="138"/>
        <v>0</v>
      </c>
      <c r="H3067" s="17"/>
      <c r="I3067" s="4">
        <f t="shared" si="140"/>
        <v>349526.07999999996</v>
      </c>
      <c r="J3067" s="32" t="str">
        <f t="shared" si="139"/>
        <v/>
      </c>
      <c r="K3067" s="72"/>
      <c r="L3067" s="72"/>
      <c r="M3067" s="2"/>
      <c r="N3067" s="5"/>
      <c r="O3067" s="3"/>
      <c r="P3067" s="6"/>
      <c r="Q3067" s="48">
        <f>IF(Учет!$O3067=Справочники!$F$2,Учет!$H3067,0)</f>
        <v>0</v>
      </c>
      <c r="R3067" s="48">
        <f>IF(Учет!$O3067=Справочники!$F$3,Учет!$H3067,0)</f>
        <v>0</v>
      </c>
      <c r="S3067" s="48">
        <f>IF(Учет!$O3067=Справочники!$F$4,Учет!$H3067,0)</f>
        <v>0</v>
      </c>
      <c r="T3067" s="48">
        <f>IF(Учет!$O3067=Справочники!$F$5,Учет!$H3067,0)</f>
        <v>0</v>
      </c>
      <c r="U3067" s="48">
        <f>IF(Учет!$O3067=Справочники!$F$6,Учет!$H3067,0)</f>
        <v>0</v>
      </c>
      <c r="V3067" s="43">
        <f>V3066+Учет!Q3067-Q3067</f>
        <v>-488978.92000000004</v>
      </c>
      <c r="W3067" s="43">
        <f>W3066+Учет!R3067-R3067</f>
        <v>336855</v>
      </c>
      <c r="X3067" s="43">
        <f>X3066+Учет!S3067-S3067</f>
        <v>500</v>
      </c>
      <c r="Y3067" s="43">
        <f>Y3066+Учет!T3067-T3067</f>
        <v>1150</v>
      </c>
      <c r="Z3067" s="43">
        <f>Z3066+Учет!U3067-U3067</f>
        <v>500000</v>
      </c>
      <c r="AA3067" s="45">
        <f>Учет!X3067</f>
        <v>500</v>
      </c>
    </row>
    <row r="3068" spans="1:27" ht="15" customHeight="1" x14ac:dyDescent="0.25">
      <c r="A3068" s="1"/>
      <c r="B3068" s="17"/>
      <c r="C3068" s="17"/>
      <c r="D3068" s="17"/>
      <c r="E3068" s="17"/>
      <c r="F3068" s="17"/>
      <c r="G3068" s="4">
        <f t="shared" si="138"/>
        <v>0</v>
      </c>
      <c r="H3068" s="17"/>
      <c r="I3068" s="4">
        <f t="shared" si="140"/>
        <v>349526.07999999996</v>
      </c>
      <c r="J3068" s="32" t="str">
        <f t="shared" si="139"/>
        <v/>
      </c>
      <c r="K3068" s="72"/>
      <c r="L3068" s="72"/>
      <c r="M3068" s="2"/>
      <c r="N3068" s="5"/>
      <c r="O3068" s="3"/>
      <c r="P3068" s="6"/>
      <c r="Q3068" s="48">
        <f>IF(Учет!$O3068=Справочники!$F$2,Учет!$H3068,0)</f>
        <v>0</v>
      </c>
      <c r="R3068" s="48">
        <f>IF(Учет!$O3068=Справочники!$F$3,Учет!$H3068,0)</f>
        <v>0</v>
      </c>
      <c r="S3068" s="48">
        <f>IF(Учет!$O3068=Справочники!$F$4,Учет!$H3068,0)</f>
        <v>0</v>
      </c>
      <c r="T3068" s="48">
        <f>IF(Учет!$O3068=Справочники!$F$5,Учет!$H3068,0)</f>
        <v>0</v>
      </c>
      <c r="U3068" s="48">
        <f>IF(Учет!$O3068=Справочники!$F$6,Учет!$H3068,0)</f>
        <v>0</v>
      </c>
      <c r="V3068" s="43">
        <f>V3067+Учет!Q3068-Q3068</f>
        <v>-488978.92000000004</v>
      </c>
      <c r="W3068" s="43">
        <f>W3067+Учет!R3068-R3068</f>
        <v>336855</v>
      </c>
      <c r="X3068" s="43">
        <f>X3067+Учет!S3068-S3068</f>
        <v>500</v>
      </c>
      <c r="Y3068" s="43">
        <f>Y3067+Учет!T3068-T3068</f>
        <v>1150</v>
      </c>
      <c r="Z3068" s="43">
        <f>Z3067+Учет!U3068-U3068</f>
        <v>500000</v>
      </c>
      <c r="AA3068" s="45">
        <f>Учет!X3068</f>
        <v>500</v>
      </c>
    </row>
    <row r="3069" spans="1:27" ht="15" customHeight="1" x14ac:dyDescent="0.25">
      <c r="A3069" s="1"/>
      <c r="B3069" s="17"/>
      <c r="C3069" s="17"/>
      <c r="D3069" s="17"/>
      <c r="E3069" s="17"/>
      <c r="F3069" s="17"/>
      <c r="G3069" s="4">
        <f t="shared" si="138"/>
        <v>0</v>
      </c>
      <c r="H3069" s="17"/>
      <c r="I3069" s="4">
        <f t="shared" si="140"/>
        <v>349526.07999999996</v>
      </c>
      <c r="J3069" s="32" t="str">
        <f t="shared" si="139"/>
        <v/>
      </c>
      <c r="K3069" s="72"/>
      <c r="L3069" s="72"/>
      <c r="M3069" s="2"/>
      <c r="N3069" s="5"/>
      <c r="O3069" s="3"/>
      <c r="P3069" s="6"/>
      <c r="Q3069" s="48">
        <f>IF(Учет!$O3069=Справочники!$F$2,Учет!$H3069,0)</f>
        <v>0</v>
      </c>
      <c r="R3069" s="48">
        <f>IF(Учет!$O3069=Справочники!$F$3,Учет!$H3069,0)</f>
        <v>0</v>
      </c>
      <c r="S3069" s="48">
        <f>IF(Учет!$O3069=Справочники!$F$4,Учет!$H3069,0)</f>
        <v>0</v>
      </c>
      <c r="T3069" s="48">
        <f>IF(Учет!$O3069=Справочники!$F$5,Учет!$H3069,0)</f>
        <v>0</v>
      </c>
      <c r="U3069" s="48">
        <f>IF(Учет!$O3069=Справочники!$F$6,Учет!$H3069,0)</f>
        <v>0</v>
      </c>
      <c r="V3069" s="43">
        <f>V3068+Учет!Q3069-Q3069</f>
        <v>-488978.92000000004</v>
      </c>
      <c r="W3069" s="43">
        <f>W3068+Учет!R3069-R3069</f>
        <v>336855</v>
      </c>
      <c r="X3069" s="43">
        <f>X3068+Учет!S3069-S3069</f>
        <v>500</v>
      </c>
      <c r="Y3069" s="43">
        <f>Y3068+Учет!T3069-T3069</f>
        <v>1150</v>
      </c>
      <c r="Z3069" s="43">
        <f>Z3068+Учет!U3069-U3069</f>
        <v>500000</v>
      </c>
      <c r="AA3069" s="45">
        <f>Учет!X3069</f>
        <v>500</v>
      </c>
    </row>
    <row r="3070" spans="1:27" ht="15" customHeight="1" x14ac:dyDescent="0.25">
      <c r="A3070" s="1"/>
      <c r="B3070" s="17"/>
      <c r="C3070" s="17"/>
      <c r="D3070" s="17"/>
      <c r="E3070" s="17"/>
      <c r="F3070" s="17"/>
      <c r="G3070" s="4">
        <f t="shared" si="138"/>
        <v>0</v>
      </c>
      <c r="H3070" s="17"/>
      <c r="I3070" s="4">
        <f t="shared" si="140"/>
        <v>349526.07999999996</v>
      </c>
      <c r="J3070" s="32" t="str">
        <f t="shared" si="139"/>
        <v/>
      </c>
      <c r="K3070" s="72"/>
      <c r="L3070" s="72"/>
      <c r="M3070" s="2"/>
      <c r="N3070" s="5"/>
      <c r="O3070" s="3"/>
      <c r="P3070" s="6"/>
      <c r="Q3070" s="48">
        <f>IF(Учет!$O3070=Справочники!$F$2,Учет!$H3070,0)</f>
        <v>0</v>
      </c>
      <c r="R3070" s="48">
        <f>IF(Учет!$O3070=Справочники!$F$3,Учет!$H3070,0)</f>
        <v>0</v>
      </c>
      <c r="S3070" s="48">
        <f>IF(Учет!$O3070=Справочники!$F$4,Учет!$H3070,0)</f>
        <v>0</v>
      </c>
      <c r="T3070" s="48">
        <f>IF(Учет!$O3070=Справочники!$F$5,Учет!$H3070,0)</f>
        <v>0</v>
      </c>
      <c r="U3070" s="48">
        <f>IF(Учет!$O3070=Справочники!$F$6,Учет!$H3070,0)</f>
        <v>0</v>
      </c>
      <c r="V3070" s="43">
        <f>V3069+Учет!Q3070-Q3070</f>
        <v>-488978.92000000004</v>
      </c>
      <c r="W3070" s="43">
        <f>W3069+Учет!R3070-R3070</f>
        <v>336855</v>
      </c>
      <c r="X3070" s="43">
        <f>X3069+Учет!S3070-S3070</f>
        <v>500</v>
      </c>
      <c r="Y3070" s="43">
        <f>Y3069+Учет!T3070-T3070</f>
        <v>1150</v>
      </c>
      <c r="Z3070" s="43">
        <f>Z3069+Учет!U3070-U3070</f>
        <v>500000</v>
      </c>
      <c r="AA3070" s="45">
        <f>Учет!X3070</f>
        <v>500</v>
      </c>
    </row>
    <row r="3071" spans="1:27" ht="15" customHeight="1" x14ac:dyDescent="0.25">
      <c r="A3071" s="1"/>
      <c r="B3071" s="17"/>
      <c r="C3071" s="17"/>
      <c r="D3071" s="17"/>
      <c r="E3071" s="17"/>
      <c r="F3071" s="17"/>
      <c r="G3071" s="4">
        <f t="shared" si="138"/>
        <v>0</v>
      </c>
      <c r="H3071" s="17"/>
      <c r="I3071" s="4">
        <f t="shared" si="140"/>
        <v>349526.07999999996</v>
      </c>
      <c r="J3071" s="32" t="str">
        <f t="shared" si="139"/>
        <v/>
      </c>
      <c r="K3071" s="72"/>
      <c r="L3071" s="72"/>
      <c r="M3071" s="2"/>
      <c r="N3071" s="5"/>
      <c r="O3071" s="3"/>
      <c r="P3071" s="6"/>
      <c r="Q3071" s="48">
        <f>IF(Учет!$O3071=Справочники!$F$2,Учет!$H3071,0)</f>
        <v>0</v>
      </c>
      <c r="R3071" s="48">
        <f>IF(Учет!$O3071=Справочники!$F$3,Учет!$H3071,0)</f>
        <v>0</v>
      </c>
      <c r="S3071" s="48">
        <f>IF(Учет!$O3071=Справочники!$F$4,Учет!$H3071,0)</f>
        <v>0</v>
      </c>
      <c r="T3071" s="48">
        <f>IF(Учет!$O3071=Справочники!$F$5,Учет!$H3071,0)</f>
        <v>0</v>
      </c>
      <c r="U3071" s="48">
        <f>IF(Учет!$O3071=Справочники!$F$6,Учет!$H3071,0)</f>
        <v>0</v>
      </c>
      <c r="V3071" s="43">
        <f>V3070+Учет!Q3071-Q3071</f>
        <v>-488978.92000000004</v>
      </c>
      <c r="W3071" s="43">
        <f>W3070+Учет!R3071-R3071</f>
        <v>336855</v>
      </c>
      <c r="X3071" s="43">
        <f>X3070+Учет!S3071-S3071</f>
        <v>500</v>
      </c>
      <c r="Y3071" s="43">
        <f>Y3070+Учет!T3071-T3071</f>
        <v>1150</v>
      </c>
      <c r="Z3071" s="43">
        <f>Z3070+Учет!U3071-U3071</f>
        <v>500000</v>
      </c>
      <c r="AA3071" s="45">
        <f>Учет!X3071</f>
        <v>500</v>
      </c>
    </row>
    <row r="3072" spans="1:27" ht="15" customHeight="1" x14ac:dyDescent="0.25">
      <c r="A3072" s="1"/>
      <c r="B3072" s="17"/>
      <c r="C3072" s="17"/>
      <c r="D3072" s="17"/>
      <c r="E3072" s="17"/>
      <c r="F3072" s="17"/>
      <c r="G3072" s="4">
        <f t="shared" si="138"/>
        <v>0</v>
      </c>
      <c r="H3072" s="17"/>
      <c r="I3072" s="4">
        <f t="shared" si="140"/>
        <v>349526.07999999996</v>
      </c>
      <c r="J3072" s="32" t="str">
        <f t="shared" si="139"/>
        <v/>
      </c>
      <c r="K3072" s="72"/>
      <c r="L3072" s="72"/>
      <c r="M3072" s="2"/>
      <c r="N3072" s="5"/>
      <c r="O3072" s="3"/>
      <c r="P3072" s="6"/>
      <c r="Q3072" s="48">
        <f>IF(Учет!$O3072=Справочники!$F$2,Учет!$H3072,0)</f>
        <v>0</v>
      </c>
      <c r="R3072" s="48">
        <f>IF(Учет!$O3072=Справочники!$F$3,Учет!$H3072,0)</f>
        <v>0</v>
      </c>
      <c r="S3072" s="48">
        <f>IF(Учет!$O3072=Справочники!$F$4,Учет!$H3072,0)</f>
        <v>0</v>
      </c>
      <c r="T3072" s="48">
        <f>IF(Учет!$O3072=Справочники!$F$5,Учет!$H3072,0)</f>
        <v>0</v>
      </c>
      <c r="U3072" s="48">
        <f>IF(Учет!$O3072=Справочники!$F$6,Учет!$H3072,0)</f>
        <v>0</v>
      </c>
      <c r="V3072" s="43">
        <f>V3071+Учет!Q3072-Q3072</f>
        <v>-488978.92000000004</v>
      </c>
      <c r="W3072" s="43">
        <f>W3071+Учет!R3072-R3072</f>
        <v>336855</v>
      </c>
      <c r="X3072" s="43">
        <f>X3071+Учет!S3072-S3072</f>
        <v>500</v>
      </c>
      <c r="Y3072" s="43">
        <f>Y3071+Учет!T3072-T3072</f>
        <v>1150</v>
      </c>
      <c r="Z3072" s="43">
        <f>Z3071+Учет!U3072-U3072</f>
        <v>500000</v>
      </c>
      <c r="AA3072" s="45">
        <f>Учет!X3072</f>
        <v>500</v>
      </c>
    </row>
    <row r="3073" spans="1:27" ht="15" customHeight="1" x14ac:dyDescent="0.25">
      <c r="A3073" s="1"/>
      <c r="B3073" s="17"/>
      <c r="C3073" s="17"/>
      <c r="D3073" s="17"/>
      <c r="E3073" s="17"/>
      <c r="F3073" s="17"/>
      <c r="G3073" s="4">
        <f t="shared" si="138"/>
        <v>0</v>
      </c>
      <c r="H3073" s="17"/>
      <c r="I3073" s="4">
        <f t="shared" si="140"/>
        <v>349526.07999999996</v>
      </c>
      <c r="J3073" s="32" t="str">
        <f t="shared" si="139"/>
        <v/>
      </c>
      <c r="K3073" s="72"/>
      <c r="L3073" s="72"/>
      <c r="M3073" s="2"/>
      <c r="N3073" s="5"/>
      <c r="O3073" s="3"/>
      <c r="P3073" s="6"/>
      <c r="Q3073" s="48">
        <f>IF(Учет!$O3073=Справочники!$F$2,Учет!$H3073,0)</f>
        <v>0</v>
      </c>
      <c r="R3073" s="48">
        <f>IF(Учет!$O3073=Справочники!$F$3,Учет!$H3073,0)</f>
        <v>0</v>
      </c>
      <c r="S3073" s="48">
        <f>IF(Учет!$O3073=Справочники!$F$4,Учет!$H3073,0)</f>
        <v>0</v>
      </c>
      <c r="T3073" s="48">
        <f>IF(Учет!$O3073=Справочники!$F$5,Учет!$H3073,0)</f>
        <v>0</v>
      </c>
      <c r="U3073" s="48">
        <f>IF(Учет!$O3073=Справочники!$F$6,Учет!$H3073,0)</f>
        <v>0</v>
      </c>
      <c r="V3073" s="43">
        <f>V3072+Учет!Q3073-Q3073</f>
        <v>-488978.92000000004</v>
      </c>
      <c r="W3073" s="43">
        <f>W3072+Учет!R3073-R3073</f>
        <v>336855</v>
      </c>
      <c r="X3073" s="43">
        <f>X3072+Учет!S3073-S3073</f>
        <v>500</v>
      </c>
      <c r="Y3073" s="43">
        <f>Y3072+Учет!T3073-T3073</f>
        <v>1150</v>
      </c>
      <c r="Z3073" s="43">
        <f>Z3072+Учет!U3073-U3073</f>
        <v>500000</v>
      </c>
      <c r="AA3073" s="45">
        <f>Учет!X3073</f>
        <v>500</v>
      </c>
    </row>
    <row r="3074" spans="1:27" ht="15" customHeight="1" x14ac:dyDescent="0.25">
      <c r="A3074" s="1"/>
      <c r="B3074" s="17"/>
      <c r="C3074" s="17"/>
      <c r="D3074" s="17"/>
      <c r="E3074" s="17"/>
      <c r="F3074" s="17"/>
      <c r="G3074" s="4">
        <f t="shared" ref="G3074:G3137" si="141">SUM($B3074:$F3074)</f>
        <v>0</v>
      </c>
      <c r="H3074" s="17"/>
      <c r="I3074" s="4">
        <f t="shared" si="140"/>
        <v>349526.07999999996</v>
      </c>
      <c r="J3074" s="32" t="str">
        <f t="shared" ref="J3074:J3137" si="142">IF($A3075&lt;&gt;$A3074,$I3074,"")</f>
        <v/>
      </c>
      <c r="K3074" s="72"/>
      <c r="L3074" s="72"/>
      <c r="M3074" s="2"/>
      <c r="N3074" s="5"/>
      <c r="O3074" s="3"/>
      <c r="P3074" s="6"/>
      <c r="Q3074" s="48">
        <f>IF(Учет!$O3074=Справочники!$F$2,Учет!$H3074,0)</f>
        <v>0</v>
      </c>
      <c r="R3074" s="48">
        <f>IF(Учет!$O3074=Справочники!$F$3,Учет!$H3074,0)</f>
        <v>0</v>
      </c>
      <c r="S3074" s="48">
        <f>IF(Учет!$O3074=Справочники!$F$4,Учет!$H3074,0)</f>
        <v>0</v>
      </c>
      <c r="T3074" s="48">
        <f>IF(Учет!$O3074=Справочники!$F$5,Учет!$H3074,0)</f>
        <v>0</v>
      </c>
      <c r="U3074" s="48">
        <f>IF(Учет!$O3074=Справочники!$F$6,Учет!$H3074,0)</f>
        <v>0</v>
      </c>
      <c r="V3074" s="43">
        <f>V3073+Учет!Q3074-Q3074</f>
        <v>-488978.92000000004</v>
      </c>
      <c r="W3074" s="43">
        <f>W3073+Учет!R3074-R3074</f>
        <v>336855</v>
      </c>
      <c r="X3074" s="43">
        <f>X3073+Учет!S3074-S3074</f>
        <v>500</v>
      </c>
      <c r="Y3074" s="43">
        <f>Y3073+Учет!T3074-T3074</f>
        <v>1150</v>
      </c>
      <c r="Z3074" s="43">
        <f>Z3073+Учет!U3074-U3074</f>
        <v>500000</v>
      </c>
      <c r="AA3074" s="45">
        <f>Учет!X3074</f>
        <v>500</v>
      </c>
    </row>
    <row r="3075" spans="1:27" ht="15" customHeight="1" x14ac:dyDescent="0.25">
      <c r="A3075" s="1"/>
      <c r="B3075" s="17"/>
      <c r="C3075" s="17"/>
      <c r="D3075" s="17"/>
      <c r="E3075" s="17"/>
      <c r="F3075" s="17"/>
      <c r="G3075" s="4">
        <f t="shared" si="141"/>
        <v>0</v>
      </c>
      <c r="H3075" s="17"/>
      <c r="I3075" s="4">
        <f t="shared" ref="I3075:I3138" si="143">$I3074+$G3075-$H3075</f>
        <v>349526.07999999996</v>
      </c>
      <c r="J3075" s="32" t="str">
        <f t="shared" si="142"/>
        <v/>
      </c>
      <c r="K3075" s="72"/>
      <c r="L3075" s="72"/>
      <c r="M3075" s="2"/>
      <c r="N3075" s="5"/>
      <c r="O3075" s="3"/>
      <c r="P3075" s="6"/>
      <c r="Q3075" s="48">
        <f>IF(Учет!$O3075=Справочники!$F$2,Учет!$H3075,0)</f>
        <v>0</v>
      </c>
      <c r="R3075" s="48">
        <f>IF(Учет!$O3075=Справочники!$F$3,Учет!$H3075,0)</f>
        <v>0</v>
      </c>
      <c r="S3075" s="48">
        <f>IF(Учет!$O3075=Справочники!$F$4,Учет!$H3075,0)</f>
        <v>0</v>
      </c>
      <c r="T3075" s="48">
        <f>IF(Учет!$O3075=Справочники!$F$5,Учет!$H3075,0)</f>
        <v>0</v>
      </c>
      <c r="U3075" s="48">
        <f>IF(Учет!$O3075=Справочники!$F$6,Учет!$H3075,0)</f>
        <v>0</v>
      </c>
      <c r="V3075" s="43">
        <f>V3074+Учет!Q3075-Q3075</f>
        <v>-488978.92000000004</v>
      </c>
      <c r="W3075" s="43">
        <f>W3074+Учет!R3075-R3075</f>
        <v>336855</v>
      </c>
      <c r="X3075" s="43">
        <f>X3074+Учет!S3075-S3075</f>
        <v>500</v>
      </c>
      <c r="Y3075" s="43">
        <f>Y3074+Учет!T3075-T3075</f>
        <v>1150</v>
      </c>
      <c r="Z3075" s="43">
        <f>Z3074+Учет!U3075-U3075</f>
        <v>500000</v>
      </c>
      <c r="AA3075" s="45">
        <f>Учет!X3075</f>
        <v>500</v>
      </c>
    </row>
    <row r="3076" spans="1:27" ht="15" customHeight="1" x14ac:dyDescent="0.25">
      <c r="A3076" s="1"/>
      <c r="B3076" s="17"/>
      <c r="C3076" s="17"/>
      <c r="D3076" s="17"/>
      <c r="E3076" s="17"/>
      <c r="F3076" s="17"/>
      <c r="G3076" s="4">
        <f t="shared" si="141"/>
        <v>0</v>
      </c>
      <c r="H3076" s="17"/>
      <c r="I3076" s="4">
        <f t="shared" si="143"/>
        <v>349526.07999999996</v>
      </c>
      <c r="J3076" s="32" t="str">
        <f t="shared" si="142"/>
        <v/>
      </c>
      <c r="K3076" s="72"/>
      <c r="L3076" s="72"/>
      <c r="M3076" s="2"/>
      <c r="N3076" s="5"/>
      <c r="O3076" s="3"/>
      <c r="P3076" s="6"/>
      <c r="Q3076" s="48">
        <f>IF(Учет!$O3076=Справочники!$F$2,Учет!$H3076,0)</f>
        <v>0</v>
      </c>
      <c r="R3076" s="48">
        <f>IF(Учет!$O3076=Справочники!$F$3,Учет!$H3076,0)</f>
        <v>0</v>
      </c>
      <c r="S3076" s="48">
        <f>IF(Учет!$O3076=Справочники!$F$4,Учет!$H3076,0)</f>
        <v>0</v>
      </c>
      <c r="T3076" s="48">
        <f>IF(Учет!$O3076=Справочники!$F$5,Учет!$H3076,0)</f>
        <v>0</v>
      </c>
      <c r="U3076" s="48">
        <f>IF(Учет!$O3076=Справочники!$F$6,Учет!$H3076,0)</f>
        <v>0</v>
      </c>
      <c r="V3076" s="43">
        <f>V3075+Учет!Q3076-Q3076</f>
        <v>-488978.92000000004</v>
      </c>
      <c r="W3076" s="43">
        <f>W3075+Учет!R3076-R3076</f>
        <v>336855</v>
      </c>
      <c r="X3076" s="43">
        <f>X3075+Учет!S3076-S3076</f>
        <v>500</v>
      </c>
      <c r="Y3076" s="43">
        <f>Y3075+Учет!T3076-T3076</f>
        <v>1150</v>
      </c>
      <c r="Z3076" s="43">
        <f>Z3075+Учет!U3076-U3076</f>
        <v>500000</v>
      </c>
      <c r="AA3076" s="45">
        <f>Учет!X3076</f>
        <v>500</v>
      </c>
    </row>
    <row r="3077" spans="1:27" ht="15" customHeight="1" x14ac:dyDescent="0.25">
      <c r="A3077" s="1"/>
      <c r="B3077" s="17"/>
      <c r="C3077" s="17"/>
      <c r="D3077" s="17"/>
      <c r="E3077" s="17"/>
      <c r="F3077" s="17"/>
      <c r="G3077" s="4">
        <f t="shared" si="141"/>
        <v>0</v>
      </c>
      <c r="H3077" s="17"/>
      <c r="I3077" s="4">
        <f t="shared" si="143"/>
        <v>349526.07999999996</v>
      </c>
      <c r="J3077" s="32" t="str">
        <f t="shared" si="142"/>
        <v/>
      </c>
      <c r="K3077" s="72"/>
      <c r="L3077" s="72"/>
      <c r="M3077" s="2"/>
      <c r="N3077" s="5"/>
      <c r="O3077" s="3"/>
      <c r="P3077" s="6"/>
      <c r="Q3077" s="48">
        <f>IF(Учет!$O3077=Справочники!$F$2,Учет!$H3077,0)</f>
        <v>0</v>
      </c>
      <c r="R3077" s="48">
        <f>IF(Учет!$O3077=Справочники!$F$3,Учет!$H3077,0)</f>
        <v>0</v>
      </c>
      <c r="S3077" s="48">
        <f>IF(Учет!$O3077=Справочники!$F$4,Учет!$H3077,0)</f>
        <v>0</v>
      </c>
      <c r="T3077" s="48">
        <f>IF(Учет!$O3077=Справочники!$F$5,Учет!$H3077,0)</f>
        <v>0</v>
      </c>
      <c r="U3077" s="48">
        <f>IF(Учет!$O3077=Справочники!$F$6,Учет!$H3077,0)</f>
        <v>0</v>
      </c>
      <c r="V3077" s="43">
        <f>V3076+Учет!Q3077-Q3077</f>
        <v>-488978.92000000004</v>
      </c>
      <c r="W3077" s="43">
        <f>W3076+Учет!R3077-R3077</f>
        <v>336855</v>
      </c>
      <c r="X3077" s="43">
        <f>X3076+Учет!S3077-S3077</f>
        <v>500</v>
      </c>
      <c r="Y3077" s="43">
        <f>Y3076+Учет!T3077-T3077</f>
        <v>1150</v>
      </c>
      <c r="Z3077" s="43">
        <f>Z3076+Учет!U3077-U3077</f>
        <v>500000</v>
      </c>
      <c r="AA3077" s="45">
        <f>Учет!X3077</f>
        <v>500</v>
      </c>
    </row>
    <row r="3078" spans="1:27" ht="15" customHeight="1" x14ac:dyDescent="0.25">
      <c r="A3078" s="1"/>
      <c r="B3078" s="17"/>
      <c r="C3078" s="17"/>
      <c r="D3078" s="17"/>
      <c r="E3078" s="17"/>
      <c r="F3078" s="17"/>
      <c r="G3078" s="4">
        <f t="shared" si="141"/>
        <v>0</v>
      </c>
      <c r="H3078" s="17"/>
      <c r="I3078" s="4">
        <f t="shared" si="143"/>
        <v>349526.07999999996</v>
      </c>
      <c r="J3078" s="32" t="str">
        <f t="shared" si="142"/>
        <v/>
      </c>
      <c r="K3078" s="72"/>
      <c r="L3078" s="72"/>
      <c r="M3078" s="2"/>
      <c r="N3078" s="5"/>
      <c r="O3078" s="3"/>
      <c r="P3078" s="6"/>
      <c r="Q3078" s="48">
        <f>IF(Учет!$O3078=Справочники!$F$2,Учет!$H3078,0)</f>
        <v>0</v>
      </c>
      <c r="R3078" s="48">
        <f>IF(Учет!$O3078=Справочники!$F$3,Учет!$H3078,0)</f>
        <v>0</v>
      </c>
      <c r="S3078" s="48">
        <f>IF(Учет!$O3078=Справочники!$F$4,Учет!$H3078,0)</f>
        <v>0</v>
      </c>
      <c r="T3078" s="48">
        <f>IF(Учет!$O3078=Справочники!$F$5,Учет!$H3078,0)</f>
        <v>0</v>
      </c>
      <c r="U3078" s="48">
        <f>IF(Учет!$O3078=Справочники!$F$6,Учет!$H3078,0)</f>
        <v>0</v>
      </c>
      <c r="V3078" s="43">
        <f>V3077+Учет!Q3078-Q3078</f>
        <v>-488978.92000000004</v>
      </c>
      <c r="W3078" s="43">
        <f>W3077+Учет!R3078-R3078</f>
        <v>336855</v>
      </c>
      <c r="X3078" s="43">
        <f>X3077+Учет!S3078-S3078</f>
        <v>500</v>
      </c>
      <c r="Y3078" s="43">
        <f>Y3077+Учет!T3078-T3078</f>
        <v>1150</v>
      </c>
      <c r="Z3078" s="43">
        <f>Z3077+Учет!U3078-U3078</f>
        <v>500000</v>
      </c>
      <c r="AA3078" s="45">
        <f>Учет!X3078</f>
        <v>500</v>
      </c>
    </row>
    <row r="3079" spans="1:27" ht="15" customHeight="1" x14ac:dyDescent="0.25">
      <c r="A3079" s="1"/>
      <c r="B3079" s="17"/>
      <c r="C3079" s="17"/>
      <c r="D3079" s="17"/>
      <c r="E3079" s="17"/>
      <c r="F3079" s="17"/>
      <c r="G3079" s="4">
        <f t="shared" si="141"/>
        <v>0</v>
      </c>
      <c r="H3079" s="17"/>
      <c r="I3079" s="4">
        <f t="shared" si="143"/>
        <v>349526.07999999996</v>
      </c>
      <c r="J3079" s="32" t="str">
        <f t="shared" si="142"/>
        <v/>
      </c>
      <c r="K3079" s="72"/>
      <c r="L3079" s="72"/>
      <c r="M3079" s="2"/>
      <c r="N3079" s="5"/>
      <c r="O3079" s="3"/>
      <c r="P3079" s="6"/>
      <c r="Q3079" s="48">
        <f>IF(Учет!$O3079=Справочники!$F$2,Учет!$H3079,0)</f>
        <v>0</v>
      </c>
      <c r="R3079" s="48">
        <f>IF(Учет!$O3079=Справочники!$F$3,Учет!$H3079,0)</f>
        <v>0</v>
      </c>
      <c r="S3079" s="48">
        <f>IF(Учет!$O3079=Справочники!$F$4,Учет!$H3079,0)</f>
        <v>0</v>
      </c>
      <c r="T3079" s="48">
        <f>IF(Учет!$O3079=Справочники!$F$5,Учет!$H3079,0)</f>
        <v>0</v>
      </c>
      <c r="U3079" s="48">
        <f>IF(Учет!$O3079=Справочники!$F$6,Учет!$H3079,0)</f>
        <v>0</v>
      </c>
      <c r="V3079" s="43">
        <f>V3078+Учет!Q3079-Q3079</f>
        <v>-488978.92000000004</v>
      </c>
      <c r="W3079" s="43">
        <f>W3078+Учет!R3079-R3079</f>
        <v>336855</v>
      </c>
      <c r="X3079" s="43">
        <f>X3078+Учет!S3079-S3079</f>
        <v>500</v>
      </c>
      <c r="Y3079" s="43">
        <f>Y3078+Учет!T3079-T3079</f>
        <v>1150</v>
      </c>
      <c r="Z3079" s="43">
        <f>Z3078+Учет!U3079-U3079</f>
        <v>500000</v>
      </c>
      <c r="AA3079" s="45">
        <f>Учет!X3079</f>
        <v>500</v>
      </c>
    </row>
    <row r="3080" spans="1:27" ht="15" customHeight="1" x14ac:dyDescent="0.25">
      <c r="A3080" s="1"/>
      <c r="B3080" s="17"/>
      <c r="C3080" s="17"/>
      <c r="D3080" s="17"/>
      <c r="E3080" s="17"/>
      <c r="F3080" s="17"/>
      <c r="G3080" s="4">
        <f t="shared" si="141"/>
        <v>0</v>
      </c>
      <c r="H3080" s="17"/>
      <c r="I3080" s="4">
        <f t="shared" si="143"/>
        <v>349526.07999999996</v>
      </c>
      <c r="J3080" s="32" t="str">
        <f t="shared" si="142"/>
        <v/>
      </c>
      <c r="K3080" s="72"/>
      <c r="L3080" s="72"/>
      <c r="M3080" s="2"/>
      <c r="N3080" s="5"/>
      <c r="O3080" s="3"/>
      <c r="P3080" s="6"/>
      <c r="Q3080" s="48">
        <f>IF(Учет!$O3080=Справочники!$F$2,Учет!$H3080,0)</f>
        <v>0</v>
      </c>
      <c r="R3080" s="48">
        <f>IF(Учет!$O3080=Справочники!$F$3,Учет!$H3080,0)</f>
        <v>0</v>
      </c>
      <c r="S3080" s="48">
        <f>IF(Учет!$O3080=Справочники!$F$4,Учет!$H3080,0)</f>
        <v>0</v>
      </c>
      <c r="T3080" s="48">
        <f>IF(Учет!$O3080=Справочники!$F$5,Учет!$H3080,0)</f>
        <v>0</v>
      </c>
      <c r="U3080" s="48">
        <f>IF(Учет!$O3080=Справочники!$F$6,Учет!$H3080,0)</f>
        <v>0</v>
      </c>
      <c r="V3080" s="43">
        <f>V3079+Учет!Q3080-Q3080</f>
        <v>-488978.92000000004</v>
      </c>
      <c r="W3080" s="43">
        <f>W3079+Учет!R3080-R3080</f>
        <v>336855</v>
      </c>
      <c r="X3080" s="43">
        <f>X3079+Учет!S3080-S3080</f>
        <v>500</v>
      </c>
      <c r="Y3080" s="43">
        <f>Y3079+Учет!T3080-T3080</f>
        <v>1150</v>
      </c>
      <c r="Z3080" s="43">
        <f>Z3079+Учет!U3080-U3080</f>
        <v>500000</v>
      </c>
      <c r="AA3080" s="45">
        <f>Учет!X3080</f>
        <v>500</v>
      </c>
    </row>
    <row r="3081" spans="1:27" ht="15" customHeight="1" x14ac:dyDescent="0.25">
      <c r="A3081" s="1"/>
      <c r="B3081" s="17"/>
      <c r="C3081" s="17"/>
      <c r="D3081" s="17"/>
      <c r="E3081" s="17"/>
      <c r="F3081" s="17"/>
      <c r="G3081" s="4">
        <f t="shared" si="141"/>
        <v>0</v>
      </c>
      <c r="H3081" s="17"/>
      <c r="I3081" s="4">
        <f t="shared" si="143"/>
        <v>349526.07999999996</v>
      </c>
      <c r="J3081" s="32" t="str">
        <f t="shared" si="142"/>
        <v/>
      </c>
      <c r="K3081" s="72"/>
      <c r="L3081" s="72"/>
      <c r="M3081" s="2"/>
      <c r="N3081" s="5"/>
      <c r="O3081" s="3"/>
      <c r="P3081" s="6"/>
      <c r="Q3081" s="48">
        <f>IF(Учет!$O3081=Справочники!$F$2,Учет!$H3081,0)</f>
        <v>0</v>
      </c>
      <c r="R3081" s="48">
        <f>IF(Учет!$O3081=Справочники!$F$3,Учет!$H3081,0)</f>
        <v>0</v>
      </c>
      <c r="S3081" s="48">
        <f>IF(Учет!$O3081=Справочники!$F$4,Учет!$H3081,0)</f>
        <v>0</v>
      </c>
      <c r="T3081" s="48">
        <f>IF(Учет!$O3081=Справочники!$F$5,Учет!$H3081,0)</f>
        <v>0</v>
      </c>
      <c r="U3081" s="48">
        <f>IF(Учет!$O3081=Справочники!$F$6,Учет!$H3081,0)</f>
        <v>0</v>
      </c>
      <c r="V3081" s="43">
        <f>V3080+Учет!Q3081-Q3081</f>
        <v>-488978.92000000004</v>
      </c>
      <c r="W3081" s="43">
        <f>W3080+Учет!R3081-R3081</f>
        <v>336855</v>
      </c>
      <c r="X3081" s="43">
        <f>X3080+Учет!S3081-S3081</f>
        <v>500</v>
      </c>
      <c r="Y3081" s="43">
        <f>Y3080+Учет!T3081-T3081</f>
        <v>1150</v>
      </c>
      <c r="Z3081" s="43">
        <f>Z3080+Учет!U3081-U3081</f>
        <v>500000</v>
      </c>
      <c r="AA3081" s="45">
        <f>Учет!X3081</f>
        <v>500</v>
      </c>
    </row>
    <row r="3082" spans="1:27" ht="15" customHeight="1" x14ac:dyDescent="0.25">
      <c r="A3082" s="1"/>
      <c r="B3082" s="17"/>
      <c r="C3082" s="17"/>
      <c r="D3082" s="17"/>
      <c r="E3082" s="17"/>
      <c r="F3082" s="17"/>
      <c r="G3082" s="4">
        <f t="shared" si="141"/>
        <v>0</v>
      </c>
      <c r="H3082" s="17"/>
      <c r="I3082" s="4">
        <f t="shared" si="143"/>
        <v>349526.07999999996</v>
      </c>
      <c r="J3082" s="32" t="str">
        <f t="shared" si="142"/>
        <v/>
      </c>
      <c r="K3082" s="72"/>
      <c r="L3082" s="72"/>
      <c r="M3082" s="2"/>
      <c r="N3082" s="5"/>
      <c r="O3082" s="3"/>
      <c r="P3082" s="6"/>
      <c r="Q3082" s="48">
        <f>IF(Учет!$O3082=Справочники!$F$2,Учет!$H3082,0)</f>
        <v>0</v>
      </c>
      <c r="R3082" s="48">
        <f>IF(Учет!$O3082=Справочники!$F$3,Учет!$H3082,0)</f>
        <v>0</v>
      </c>
      <c r="S3082" s="48">
        <f>IF(Учет!$O3082=Справочники!$F$4,Учет!$H3082,0)</f>
        <v>0</v>
      </c>
      <c r="T3082" s="48">
        <f>IF(Учет!$O3082=Справочники!$F$5,Учет!$H3082,0)</f>
        <v>0</v>
      </c>
      <c r="U3082" s="48">
        <f>IF(Учет!$O3082=Справочники!$F$6,Учет!$H3082,0)</f>
        <v>0</v>
      </c>
      <c r="V3082" s="43">
        <f>V3081+Учет!Q3082-Q3082</f>
        <v>-488978.92000000004</v>
      </c>
      <c r="W3082" s="43">
        <f>W3081+Учет!R3082-R3082</f>
        <v>336855</v>
      </c>
      <c r="X3082" s="43">
        <f>X3081+Учет!S3082-S3082</f>
        <v>500</v>
      </c>
      <c r="Y3082" s="43">
        <f>Y3081+Учет!T3082-T3082</f>
        <v>1150</v>
      </c>
      <c r="Z3082" s="43">
        <f>Z3081+Учет!U3082-U3082</f>
        <v>500000</v>
      </c>
      <c r="AA3082" s="45">
        <f>Учет!X3082</f>
        <v>500</v>
      </c>
    </row>
    <row r="3083" spans="1:27" ht="15" customHeight="1" x14ac:dyDescent="0.25">
      <c r="A3083" s="1"/>
      <c r="B3083" s="17"/>
      <c r="C3083" s="17"/>
      <c r="D3083" s="17"/>
      <c r="E3083" s="17"/>
      <c r="F3083" s="17"/>
      <c r="G3083" s="4">
        <f t="shared" si="141"/>
        <v>0</v>
      </c>
      <c r="H3083" s="17"/>
      <c r="I3083" s="4">
        <f t="shared" si="143"/>
        <v>349526.07999999996</v>
      </c>
      <c r="J3083" s="32" t="str">
        <f t="shared" si="142"/>
        <v/>
      </c>
      <c r="K3083" s="72"/>
      <c r="L3083" s="72"/>
      <c r="M3083" s="2"/>
      <c r="N3083" s="5"/>
      <c r="O3083" s="3"/>
      <c r="P3083" s="6"/>
      <c r="Q3083" s="48">
        <f>IF(Учет!$O3083=Справочники!$F$2,Учет!$H3083,0)</f>
        <v>0</v>
      </c>
      <c r="R3083" s="48">
        <f>IF(Учет!$O3083=Справочники!$F$3,Учет!$H3083,0)</f>
        <v>0</v>
      </c>
      <c r="S3083" s="48">
        <f>IF(Учет!$O3083=Справочники!$F$4,Учет!$H3083,0)</f>
        <v>0</v>
      </c>
      <c r="T3083" s="48">
        <f>IF(Учет!$O3083=Справочники!$F$5,Учет!$H3083,0)</f>
        <v>0</v>
      </c>
      <c r="U3083" s="48">
        <f>IF(Учет!$O3083=Справочники!$F$6,Учет!$H3083,0)</f>
        <v>0</v>
      </c>
      <c r="V3083" s="43">
        <f>V3082+Учет!Q3083-Q3083</f>
        <v>-488978.92000000004</v>
      </c>
      <c r="W3083" s="43">
        <f>W3082+Учет!R3083-R3083</f>
        <v>336855</v>
      </c>
      <c r="X3083" s="43">
        <f>X3082+Учет!S3083-S3083</f>
        <v>500</v>
      </c>
      <c r="Y3083" s="43">
        <f>Y3082+Учет!T3083-T3083</f>
        <v>1150</v>
      </c>
      <c r="Z3083" s="43">
        <f>Z3082+Учет!U3083-U3083</f>
        <v>500000</v>
      </c>
      <c r="AA3083" s="45">
        <f>Учет!X3083</f>
        <v>500</v>
      </c>
    </row>
    <row r="3084" spans="1:27" ht="15" customHeight="1" x14ac:dyDescent="0.25">
      <c r="A3084" s="1"/>
      <c r="B3084" s="17"/>
      <c r="C3084" s="17"/>
      <c r="D3084" s="17"/>
      <c r="E3084" s="17"/>
      <c r="F3084" s="17"/>
      <c r="G3084" s="4">
        <f t="shared" si="141"/>
        <v>0</v>
      </c>
      <c r="H3084" s="17"/>
      <c r="I3084" s="4">
        <f t="shared" si="143"/>
        <v>349526.07999999996</v>
      </c>
      <c r="J3084" s="32" t="str">
        <f t="shared" si="142"/>
        <v/>
      </c>
      <c r="K3084" s="72"/>
      <c r="L3084" s="72"/>
      <c r="M3084" s="2"/>
      <c r="N3084" s="5"/>
      <c r="O3084" s="3"/>
      <c r="P3084" s="6"/>
      <c r="Q3084" s="48">
        <f>IF(Учет!$O3084=Справочники!$F$2,Учет!$H3084,0)</f>
        <v>0</v>
      </c>
      <c r="R3084" s="48">
        <f>IF(Учет!$O3084=Справочники!$F$3,Учет!$H3084,0)</f>
        <v>0</v>
      </c>
      <c r="S3084" s="48">
        <f>IF(Учет!$O3084=Справочники!$F$4,Учет!$H3084,0)</f>
        <v>0</v>
      </c>
      <c r="T3084" s="48">
        <f>IF(Учет!$O3084=Справочники!$F$5,Учет!$H3084,0)</f>
        <v>0</v>
      </c>
      <c r="U3084" s="48">
        <f>IF(Учет!$O3084=Справочники!$F$6,Учет!$H3084,0)</f>
        <v>0</v>
      </c>
      <c r="V3084" s="43">
        <f>V3083+Учет!Q3084-Q3084</f>
        <v>-488978.92000000004</v>
      </c>
      <c r="W3084" s="43">
        <f>W3083+Учет!R3084-R3084</f>
        <v>336855</v>
      </c>
      <c r="X3084" s="43">
        <f>X3083+Учет!S3084-S3084</f>
        <v>500</v>
      </c>
      <c r="Y3084" s="43">
        <f>Y3083+Учет!T3084-T3084</f>
        <v>1150</v>
      </c>
      <c r="Z3084" s="43">
        <f>Z3083+Учет!U3084-U3084</f>
        <v>500000</v>
      </c>
      <c r="AA3084" s="45">
        <f>Учет!X3084</f>
        <v>500</v>
      </c>
    </row>
    <row r="3085" spans="1:27" ht="15" customHeight="1" x14ac:dyDescent="0.25">
      <c r="A3085" s="1"/>
      <c r="B3085" s="17"/>
      <c r="C3085" s="17"/>
      <c r="D3085" s="17"/>
      <c r="E3085" s="17"/>
      <c r="F3085" s="17"/>
      <c r="G3085" s="4">
        <f t="shared" si="141"/>
        <v>0</v>
      </c>
      <c r="H3085" s="17"/>
      <c r="I3085" s="4">
        <f t="shared" si="143"/>
        <v>349526.07999999996</v>
      </c>
      <c r="J3085" s="32" t="str">
        <f t="shared" si="142"/>
        <v/>
      </c>
      <c r="K3085" s="72"/>
      <c r="L3085" s="72"/>
      <c r="M3085" s="2"/>
      <c r="N3085" s="5"/>
      <c r="O3085" s="3"/>
      <c r="P3085" s="6"/>
      <c r="Q3085" s="48">
        <f>IF(Учет!$O3085=Справочники!$F$2,Учет!$H3085,0)</f>
        <v>0</v>
      </c>
      <c r="R3085" s="48">
        <f>IF(Учет!$O3085=Справочники!$F$3,Учет!$H3085,0)</f>
        <v>0</v>
      </c>
      <c r="S3085" s="48">
        <f>IF(Учет!$O3085=Справочники!$F$4,Учет!$H3085,0)</f>
        <v>0</v>
      </c>
      <c r="T3085" s="48">
        <f>IF(Учет!$O3085=Справочники!$F$5,Учет!$H3085,0)</f>
        <v>0</v>
      </c>
      <c r="U3085" s="48">
        <f>IF(Учет!$O3085=Справочники!$F$6,Учет!$H3085,0)</f>
        <v>0</v>
      </c>
      <c r="V3085" s="43">
        <f>V3084+Учет!Q3085-Q3085</f>
        <v>-488978.92000000004</v>
      </c>
      <c r="W3085" s="43">
        <f>W3084+Учет!R3085-R3085</f>
        <v>336855</v>
      </c>
      <c r="X3085" s="43">
        <f>X3084+Учет!S3085-S3085</f>
        <v>500</v>
      </c>
      <c r="Y3085" s="43">
        <f>Y3084+Учет!T3085-T3085</f>
        <v>1150</v>
      </c>
      <c r="Z3085" s="43">
        <f>Z3084+Учет!U3085-U3085</f>
        <v>500000</v>
      </c>
      <c r="AA3085" s="45">
        <f>Учет!X3085</f>
        <v>500</v>
      </c>
    </row>
    <row r="3086" spans="1:27" ht="15" customHeight="1" x14ac:dyDescent="0.25">
      <c r="A3086" s="1"/>
      <c r="B3086" s="17"/>
      <c r="C3086" s="17"/>
      <c r="D3086" s="17"/>
      <c r="E3086" s="17"/>
      <c r="F3086" s="17"/>
      <c r="G3086" s="4">
        <f t="shared" si="141"/>
        <v>0</v>
      </c>
      <c r="H3086" s="17"/>
      <c r="I3086" s="4">
        <f t="shared" si="143"/>
        <v>349526.07999999996</v>
      </c>
      <c r="J3086" s="32" t="str">
        <f t="shared" si="142"/>
        <v/>
      </c>
      <c r="K3086" s="72"/>
      <c r="L3086" s="72"/>
      <c r="M3086" s="2"/>
      <c r="N3086" s="5"/>
      <c r="O3086" s="3"/>
      <c r="P3086" s="6"/>
      <c r="Q3086" s="48">
        <f>IF(Учет!$O3086=Справочники!$F$2,Учет!$H3086,0)</f>
        <v>0</v>
      </c>
      <c r="R3086" s="48">
        <f>IF(Учет!$O3086=Справочники!$F$3,Учет!$H3086,0)</f>
        <v>0</v>
      </c>
      <c r="S3086" s="48">
        <f>IF(Учет!$O3086=Справочники!$F$4,Учет!$H3086,0)</f>
        <v>0</v>
      </c>
      <c r="T3086" s="48">
        <f>IF(Учет!$O3086=Справочники!$F$5,Учет!$H3086,0)</f>
        <v>0</v>
      </c>
      <c r="U3086" s="48">
        <f>IF(Учет!$O3086=Справочники!$F$6,Учет!$H3086,0)</f>
        <v>0</v>
      </c>
      <c r="V3086" s="43">
        <f>V3085+Учет!Q3086-Q3086</f>
        <v>-488978.92000000004</v>
      </c>
      <c r="W3086" s="43">
        <f>W3085+Учет!R3086-R3086</f>
        <v>336855</v>
      </c>
      <c r="X3086" s="43">
        <f>X3085+Учет!S3086-S3086</f>
        <v>500</v>
      </c>
      <c r="Y3086" s="43">
        <f>Y3085+Учет!T3086-T3086</f>
        <v>1150</v>
      </c>
      <c r="Z3086" s="43">
        <f>Z3085+Учет!U3086-U3086</f>
        <v>500000</v>
      </c>
      <c r="AA3086" s="45">
        <f>Учет!X3086</f>
        <v>500</v>
      </c>
    </row>
    <row r="3087" spans="1:27" ht="15" customHeight="1" x14ac:dyDescent="0.25">
      <c r="A3087" s="1"/>
      <c r="B3087" s="17"/>
      <c r="C3087" s="17"/>
      <c r="D3087" s="17"/>
      <c r="E3087" s="17"/>
      <c r="F3087" s="17"/>
      <c r="G3087" s="4">
        <f t="shared" si="141"/>
        <v>0</v>
      </c>
      <c r="H3087" s="17"/>
      <c r="I3087" s="4">
        <f t="shared" si="143"/>
        <v>349526.07999999996</v>
      </c>
      <c r="J3087" s="32" t="str">
        <f t="shared" si="142"/>
        <v/>
      </c>
      <c r="K3087" s="72"/>
      <c r="L3087" s="72"/>
      <c r="M3087" s="2"/>
      <c r="N3087" s="5"/>
      <c r="O3087" s="3"/>
      <c r="P3087" s="6"/>
      <c r="Q3087" s="48">
        <f>IF(Учет!$O3087=Справочники!$F$2,Учет!$H3087,0)</f>
        <v>0</v>
      </c>
      <c r="R3087" s="48">
        <f>IF(Учет!$O3087=Справочники!$F$3,Учет!$H3087,0)</f>
        <v>0</v>
      </c>
      <c r="S3087" s="48">
        <f>IF(Учет!$O3087=Справочники!$F$4,Учет!$H3087,0)</f>
        <v>0</v>
      </c>
      <c r="T3087" s="48">
        <f>IF(Учет!$O3087=Справочники!$F$5,Учет!$H3087,0)</f>
        <v>0</v>
      </c>
      <c r="U3087" s="48">
        <f>IF(Учет!$O3087=Справочники!$F$6,Учет!$H3087,0)</f>
        <v>0</v>
      </c>
      <c r="V3087" s="43">
        <f>V3086+Учет!Q3087-Q3087</f>
        <v>-488978.92000000004</v>
      </c>
      <c r="W3087" s="43">
        <f>W3086+Учет!R3087-R3087</f>
        <v>336855</v>
      </c>
      <c r="X3087" s="43">
        <f>X3086+Учет!S3087-S3087</f>
        <v>500</v>
      </c>
      <c r="Y3087" s="43">
        <f>Y3086+Учет!T3087-T3087</f>
        <v>1150</v>
      </c>
      <c r="Z3087" s="43">
        <f>Z3086+Учет!U3087-U3087</f>
        <v>500000</v>
      </c>
      <c r="AA3087" s="45">
        <f>Учет!X3087</f>
        <v>500</v>
      </c>
    </row>
    <row r="3088" spans="1:27" ht="15" customHeight="1" x14ac:dyDescent="0.25">
      <c r="A3088" s="1"/>
      <c r="B3088" s="17"/>
      <c r="C3088" s="17"/>
      <c r="D3088" s="17"/>
      <c r="E3088" s="17"/>
      <c r="F3088" s="17"/>
      <c r="G3088" s="4">
        <f t="shared" si="141"/>
        <v>0</v>
      </c>
      <c r="H3088" s="17"/>
      <c r="I3088" s="4">
        <f t="shared" si="143"/>
        <v>349526.07999999996</v>
      </c>
      <c r="J3088" s="32" t="str">
        <f t="shared" si="142"/>
        <v/>
      </c>
      <c r="K3088" s="72"/>
      <c r="L3088" s="72"/>
      <c r="M3088" s="2"/>
      <c r="N3088" s="5"/>
      <c r="O3088" s="3"/>
      <c r="P3088" s="6"/>
      <c r="Q3088" s="48">
        <f>IF(Учет!$O3088=Справочники!$F$2,Учет!$H3088,0)</f>
        <v>0</v>
      </c>
      <c r="R3088" s="48">
        <f>IF(Учет!$O3088=Справочники!$F$3,Учет!$H3088,0)</f>
        <v>0</v>
      </c>
      <c r="S3088" s="48">
        <f>IF(Учет!$O3088=Справочники!$F$4,Учет!$H3088,0)</f>
        <v>0</v>
      </c>
      <c r="T3088" s="48">
        <f>IF(Учет!$O3088=Справочники!$F$5,Учет!$H3088,0)</f>
        <v>0</v>
      </c>
      <c r="U3088" s="48">
        <f>IF(Учет!$O3088=Справочники!$F$6,Учет!$H3088,0)</f>
        <v>0</v>
      </c>
      <c r="V3088" s="43">
        <f>V3087+Учет!Q3088-Q3088</f>
        <v>-488978.92000000004</v>
      </c>
      <c r="W3088" s="43">
        <f>W3087+Учет!R3088-R3088</f>
        <v>336855</v>
      </c>
      <c r="X3088" s="43">
        <f>X3087+Учет!S3088-S3088</f>
        <v>500</v>
      </c>
      <c r="Y3088" s="43">
        <f>Y3087+Учет!T3088-T3088</f>
        <v>1150</v>
      </c>
      <c r="Z3088" s="43">
        <f>Z3087+Учет!U3088-U3088</f>
        <v>500000</v>
      </c>
      <c r="AA3088" s="45">
        <f>Учет!X3088</f>
        <v>500</v>
      </c>
    </row>
    <row r="3089" spans="1:27" ht="15" customHeight="1" x14ac:dyDescent="0.25">
      <c r="A3089" s="1"/>
      <c r="B3089" s="17"/>
      <c r="C3089" s="17"/>
      <c r="D3089" s="17"/>
      <c r="E3089" s="17"/>
      <c r="F3089" s="17"/>
      <c r="G3089" s="4">
        <f t="shared" si="141"/>
        <v>0</v>
      </c>
      <c r="H3089" s="17"/>
      <c r="I3089" s="4">
        <f t="shared" si="143"/>
        <v>349526.07999999996</v>
      </c>
      <c r="J3089" s="32" t="str">
        <f t="shared" si="142"/>
        <v/>
      </c>
      <c r="K3089" s="72"/>
      <c r="L3089" s="72"/>
      <c r="M3089" s="2"/>
      <c r="N3089" s="5"/>
      <c r="O3089" s="3"/>
      <c r="P3089" s="6"/>
      <c r="Q3089" s="48">
        <f>IF(Учет!$O3089=Справочники!$F$2,Учет!$H3089,0)</f>
        <v>0</v>
      </c>
      <c r="R3089" s="48">
        <f>IF(Учет!$O3089=Справочники!$F$3,Учет!$H3089,0)</f>
        <v>0</v>
      </c>
      <c r="S3089" s="48">
        <f>IF(Учет!$O3089=Справочники!$F$4,Учет!$H3089,0)</f>
        <v>0</v>
      </c>
      <c r="T3089" s="48">
        <f>IF(Учет!$O3089=Справочники!$F$5,Учет!$H3089,0)</f>
        <v>0</v>
      </c>
      <c r="U3089" s="48">
        <f>IF(Учет!$O3089=Справочники!$F$6,Учет!$H3089,0)</f>
        <v>0</v>
      </c>
      <c r="V3089" s="43">
        <f>V3088+Учет!Q3089-Q3089</f>
        <v>-488978.92000000004</v>
      </c>
      <c r="W3089" s="43">
        <f>W3088+Учет!R3089-R3089</f>
        <v>336855</v>
      </c>
      <c r="X3089" s="43">
        <f>X3088+Учет!S3089-S3089</f>
        <v>500</v>
      </c>
      <c r="Y3089" s="43">
        <f>Y3088+Учет!T3089-T3089</f>
        <v>1150</v>
      </c>
      <c r="Z3089" s="43">
        <f>Z3088+Учет!U3089-U3089</f>
        <v>500000</v>
      </c>
      <c r="AA3089" s="45">
        <f>Учет!X3089</f>
        <v>500</v>
      </c>
    </row>
    <row r="3090" spans="1:27" ht="15" customHeight="1" x14ac:dyDescent="0.25">
      <c r="A3090" s="1"/>
      <c r="B3090" s="17"/>
      <c r="C3090" s="17"/>
      <c r="D3090" s="17"/>
      <c r="E3090" s="17"/>
      <c r="F3090" s="17"/>
      <c r="G3090" s="4">
        <f t="shared" si="141"/>
        <v>0</v>
      </c>
      <c r="H3090" s="17"/>
      <c r="I3090" s="4">
        <f t="shared" si="143"/>
        <v>349526.07999999996</v>
      </c>
      <c r="J3090" s="32" t="str">
        <f t="shared" si="142"/>
        <v/>
      </c>
      <c r="K3090" s="72"/>
      <c r="L3090" s="72"/>
      <c r="M3090" s="2"/>
      <c r="N3090" s="5"/>
      <c r="O3090" s="3"/>
      <c r="P3090" s="6"/>
      <c r="Q3090" s="48">
        <f>IF(Учет!$O3090=Справочники!$F$2,Учет!$H3090,0)</f>
        <v>0</v>
      </c>
      <c r="R3090" s="48">
        <f>IF(Учет!$O3090=Справочники!$F$3,Учет!$H3090,0)</f>
        <v>0</v>
      </c>
      <c r="S3090" s="48">
        <f>IF(Учет!$O3090=Справочники!$F$4,Учет!$H3090,0)</f>
        <v>0</v>
      </c>
      <c r="T3090" s="48">
        <f>IF(Учет!$O3090=Справочники!$F$5,Учет!$H3090,0)</f>
        <v>0</v>
      </c>
      <c r="U3090" s="48">
        <f>IF(Учет!$O3090=Справочники!$F$6,Учет!$H3090,0)</f>
        <v>0</v>
      </c>
      <c r="V3090" s="43">
        <f>V3089+Учет!Q3090-Q3090</f>
        <v>-488978.92000000004</v>
      </c>
      <c r="W3090" s="43">
        <f>W3089+Учет!R3090-R3090</f>
        <v>336855</v>
      </c>
      <c r="X3090" s="43">
        <f>X3089+Учет!S3090-S3090</f>
        <v>500</v>
      </c>
      <c r="Y3090" s="43">
        <f>Y3089+Учет!T3090-T3090</f>
        <v>1150</v>
      </c>
      <c r="Z3090" s="43">
        <f>Z3089+Учет!U3090-U3090</f>
        <v>500000</v>
      </c>
      <c r="AA3090" s="45">
        <f>Учет!X3090</f>
        <v>500</v>
      </c>
    </row>
    <row r="3091" spans="1:27" ht="15" customHeight="1" x14ac:dyDescent="0.25">
      <c r="A3091" s="1"/>
      <c r="B3091" s="17"/>
      <c r="C3091" s="17"/>
      <c r="D3091" s="17"/>
      <c r="E3091" s="17"/>
      <c r="F3091" s="17"/>
      <c r="G3091" s="4">
        <f t="shared" si="141"/>
        <v>0</v>
      </c>
      <c r="H3091" s="17"/>
      <c r="I3091" s="4">
        <f t="shared" si="143"/>
        <v>349526.07999999996</v>
      </c>
      <c r="J3091" s="32" t="str">
        <f t="shared" si="142"/>
        <v/>
      </c>
      <c r="K3091" s="72"/>
      <c r="L3091" s="72"/>
      <c r="M3091" s="2"/>
      <c r="N3091" s="5"/>
      <c r="O3091" s="3"/>
      <c r="P3091" s="6"/>
      <c r="Q3091" s="48">
        <f>IF(Учет!$O3091=Справочники!$F$2,Учет!$H3091,0)</f>
        <v>0</v>
      </c>
      <c r="R3091" s="48">
        <f>IF(Учет!$O3091=Справочники!$F$3,Учет!$H3091,0)</f>
        <v>0</v>
      </c>
      <c r="S3091" s="48">
        <f>IF(Учет!$O3091=Справочники!$F$4,Учет!$H3091,0)</f>
        <v>0</v>
      </c>
      <c r="T3091" s="48">
        <f>IF(Учет!$O3091=Справочники!$F$5,Учет!$H3091,0)</f>
        <v>0</v>
      </c>
      <c r="U3091" s="48">
        <f>IF(Учет!$O3091=Справочники!$F$6,Учет!$H3091,0)</f>
        <v>0</v>
      </c>
      <c r="V3091" s="43">
        <f>V3090+Учет!Q3091-Q3091</f>
        <v>-488978.92000000004</v>
      </c>
      <c r="W3091" s="43">
        <f>W3090+Учет!R3091-R3091</f>
        <v>336855</v>
      </c>
      <c r="X3091" s="43">
        <f>X3090+Учет!S3091-S3091</f>
        <v>500</v>
      </c>
      <c r="Y3091" s="43">
        <f>Y3090+Учет!T3091-T3091</f>
        <v>1150</v>
      </c>
      <c r="Z3091" s="43">
        <f>Z3090+Учет!U3091-U3091</f>
        <v>500000</v>
      </c>
      <c r="AA3091" s="45">
        <f>Учет!X3091</f>
        <v>500</v>
      </c>
    </row>
    <row r="3092" spans="1:27" ht="15" customHeight="1" x14ac:dyDescent="0.25">
      <c r="A3092" s="1"/>
      <c r="B3092" s="17"/>
      <c r="C3092" s="17"/>
      <c r="D3092" s="17"/>
      <c r="E3092" s="17"/>
      <c r="F3092" s="17"/>
      <c r="G3092" s="4">
        <f t="shared" si="141"/>
        <v>0</v>
      </c>
      <c r="H3092" s="17"/>
      <c r="I3092" s="4">
        <f t="shared" si="143"/>
        <v>349526.07999999996</v>
      </c>
      <c r="J3092" s="32" t="str">
        <f t="shared" si="142"/>
        <v/>
      </c>
      <c r="K3092" s="72"/>
      <c r="L3092" s="72"/>
      <c r="M3092" s="2"/>
      <c r="N3092" s="5"/>
      <c r="O3092" s="3"/>
      <c r="P3092" s="6"/>
      <c r="Q3092" s="48">
        <f>IF(Учет!$O3092=Справочники!$F$2,Учет!$H3092,0)</f>
        <v>0</v>
      </c>
      <c r="R3092" s="48">
        <f>IF(Учет!$O3092=Справочники!$F$3,Учет!$H3092,0)</f>
        <v>0</v>
      </c>
      <c r="S3092" s="48">
        <f>IF(Учет!$O3092=Справочники!$F$4,Учет!$H3092,0)</f>
        <v>0</v>
      </c>
      <c r="T3092" s="48">
        <f>IF(Учет!$O3092=Справочники!$F$5,Учет!$H3092,0)</f>
        <v>0</v>
      </c>
      <c r="U3092" s="48">
        <f>IF(Учет!$O3092=Справочники!$F$6,Учет!$H3092,0)</f>
        <v>0</v>
      </c>
      <c r="V3092" s="43">
        <f>V3091+Учет!Q3092-Q3092</f>
        <v>-488978.92000000004</v>
      </c>
      <c r="W3092" s="43">
        <f>W3091+Учет!R3092-R3092</f>
        <v>336855</v>
      </c>
      <c r="X3092" s="43">
        <f>X3091+Учет!S3092-S3092</f>
        <v>500</v>
      </c>
      <c r="Y3092" s="43">
        <f>Y3091+Учет!T3092-T3092</f>
        <v>1150</v>
      </c>
      <c r="Z3092" s="43">
        <f>Z3091+Учет!U3092-U3092</f>
        <v>500000</v>
      </c>
      <c r="AA3092" s="45">
        <f>Учет!X3092</f>
        <v>500</v>
      </c>
    </row>
    <row r="3093" spans="1:27" ht="15" customHeight="1" x14ac:dyDescent="0.25">
      <c r="A3093" s="1"/>
      <c r="B3093" s="17"/>
      <c r="C3093" s="17"/>
      <c r="D3093" s="17"/>
      <c r="E3093" s="17"/>
      <c r="F3093" s="17"/>
      <c r="G3093" s="4">
        <f t="shared" si="141"/>
        <v>0</v>
      </c>
      <c r="H3093" s="17"/>
      <c r="I3093" s="4">
        <f t="shared" si="143"/>
        <v>349526.07999999996</v>
      </c>
      <c r="J3093" s="32" t="str">
        <f t="shared" si="142"/>
        <v/>
      </c>
      <c r="K3093" s="72"/>
      <c r="L3093" s="72"/>
      <c r="M3093" s="2"/>
      <c r="N3093" s="5"/>
      <c r="O3093" s="3"/>
      <c r="P3093" s="6"/>
      <c r="Q3093" s="48">
        <f>IF(Учет!$O3093=Справочники!$F$2,Учет!$H3093,0)</f>
        <v>0</v>
      </c>
      <c r="R3093" s="48">
        <f>IF(Учет!$O3093=Справочники!$F$3,Учет!$H3093,0)</f>
        <v>0</v>
      </c>
      <c r="S3093" s="48">
        <f>IF(Учет!$O3093=Справочники!$F$4,Учет!$H3093,0)</f>
        <v>0</v>
      </c>
      <c r="T3093" s="48">
        <f>IF(Учет!$O3093=Справочники!$F$5,Учет!$H3093,0)</f>
        <v>0</v>
      </c>
      <c r="U3093" s="48">
        <f>IF(Учет!$O3093=Справочники!$F$6,Учет!$H3093,0)</f>
        <v>0</v>
      </c>
      <c r="V3093" s="43">
        <f>V3092+Учет!Q3093-Q3093</f>
        <v>-488978.92000000004</v>
      </c>
      <c r="W3093" s="43">
        <f>W3092+Учет!R3093-R3093</f>
        <v>336855</v>
      </c>
      <c r="X3093" s="43">
        <f>X3092+Учет!S3093-S3093</f>
        <v>500</v>
      </c>
      <c r="Y3093" s="43">
        <f>Y3092+Учет!T3093-T3093</f>
        <v>1150</v>
      </c>
      <c r="Z3093" s="43">
        <f>Z3092+Учет!U3093-U3093</f>
        <v>500000</v>
      </c>
      <c r="AA3093" s="45">
        <f>Учет!X3093</f>
        <v>500</v>
      </c>
    </row>
    <row r="3094" spans="1:27" ht="15" customHeight="1" x14ac:dyDescent="0.25">
      <c r="A3094" s="1"/>
      <c r="B3094" s="17"/>
      <c r="C3094" s="17"/>
      <c r="D3094" s="17"/>
      <c r="E3094" s="17"/>
      <c r="F3094" s="17"/>
      <c r="G3094" s="4">
        <f t="shared" si="141"/>
        <v>0</v>
      </c>
      <c r="H3094" s="17"/>
      <c r="I3094" s="4">
        <f t="shared" si="143"/>
        <v>349526.07999999996</v>
      </c>
      <c r="J3094" s="32" t="str">
        <f t="shared" si="142"/>
        <v/>
      </c>
      <c r="K3094" s="72"/>
      <c r="L3094" s="72"/>
      <c r="M3094" s="2"/>
      <c r="N3094" s="5"/>
      <c r="O3094" s="3"/>
      <c r="P3094" s="6"/>
      <c r="Q3094" s="48">
        <f>IF(Учет!$O3094=Справочники!$F$2,Учет!$H3094,0)</f>
        <v>0</v>
      </c>
      <c r="R3094" s="48">
        <f>IF(Учет!$O3094=Справочники!$F$3,Учет!$H3094,0)</f>
        <v>0</v>
      </c>
      <c r="S3094" s="48">
        <f>IF(Учет!$O3094=Справочники!$F$4,Учет!$H3094,0)</f>
        <v>0</v>
      </c>
      <c r="T3094" s="48">
        <f>IF(Учет!$O3094=Справочники!$F$5,Учет!$H3094,0)</f>
        <v>0</v>
      </c>
      <c r="U3094" s="48">
        <f>IF(Учет!$O3094=Справочники!$F$6,Учет!$H3094,0)</f>
        <v>0</v>
      </c>
      <c r="V3094" s="43">
        <f>V3093+Учет!Q3094-Q3094</f>
        <v>-488978.92000000004</v>
      </c>
      <c r="W3094" s="43">
        <f>W3093+Учет!R3094-R3094</f>
        <v>336855</v>
      </c>
      <c r="X3094" s="43">
        <f>X3093+Учет!S3094-S3094</f>
        <v>500</v>
      </c>
      <c r="Y3094" s="43">
        <f>Y3093+Учет!T3094-T3094</f>
        <v>1150</v>
      </c>
      <c r="Z3094" s="43">
        <f>Z3093+Учет!U3094-U3094</f>
        <v>500000</v>
      </c>
      <c r="AA3094" s="45">
        <f>Учет!X3094</f>
        <v>500</v>
      </c>
    </row>
    <row r="3095" spans="1:27" ht="15" customHeight="1" x14ac:dyDescent="0.25">
      <c r="A3095" s="1"/>
      <c r="B3095" s="17"/>
      <c r="C3095" s="17"/>
      <c r="D3095" s="17"/>
      <c r="E3095" s="17"/>
      <c r="F3095" s="17"/>
      <c r="G3095" s="4">
        <f t="shared" si="141"/>
        <v>0</v>
      </c>
      <c r="H3095" s="17"/>
      <c r="I3095" s="4">
        <f t="shared" si="143"/>
        <v>349526.07999999996</v>
      </c>
      <c r="J3095" s="32" t="str">
        <f t="shared" si="142"/>
        <v/>
      </c>
      <c r="K3095" s="72"/>
      <c r="L3095" s="72"/>
      <c r="M3095" s="2"/>
      <c r="N3095" s="5"/>
      <c r="O3095" s="3"/>
      <c r="P3095" s="6"/>
      <c r="Q3095" s="48">
        <f>IF(Учет!$O3095=Справочники!$F$2,Учет!$H3095,0)</f>
        <v>0</v>
      </c>
      <c r="R3095" s="48">
        <f>IF(Учет!$O3095=Справочники!$F$3,Учет!$H3095,0)</f>
        <v>0</v>
      </c>
      <c r="S3095" s="48">
        <f>IF(Учет!$O3095=Справочники!$F$4,Учет!$H3095,0)</f>
        <v>0</v>
      </c>
      <c r="T3095" s="48">
        <f>IF(Учет!$O3095=Справочники!$F$5,Учет!$H3095,0)</f>
        <v>0</v>
      </c>
      <c r="U3095" s="48">
        <f>IF(Учет!$O3095=Справочники!$F$6,Учет!$H3095,0)</f>
        <v>0</v>
      </c>
      <c r="V3095" s="43">
        <f>V3094+Учет!Q3095-Q3095</f>
        <v>-488978.92000000004</v>
      </c>
      <c r="W3095" s="43">
        <f>W3094+Учет!R3095-R3095</f>
        <v>336855</v>
      </c>
      <c r="X3095" s="43">
        <f>X3094+Учет!S3095-S3095</f>
        <v>500</v>
      </c>
      <c r="Y3095" s="43">
        <f>Y3094+Учет!T3095-T3095</f>
        <v>1150</v>
      </c>
      <c r="Z3095" s="43">
        <f>Z3094+Учет!U3095-U3095</f>
        <v>500000</v>
      </c>
      <c r="AA3095" s="45">
        <f>Учет!X3095</f>
        <v>500</v>
      </c>
    </row>
    <row r="3096" spans="1:27" ht="15" customHeight="1" x14ac:dyDescent="0.25">
      <c r="A3096" s="1"/>
      <c r="B3096" s="17"/>
      <c r="C3096" s="17"/>
      <c r="D3096" s="17"/>
      <c r="E3096" s="17"/>
      <c r="F3096" s="17"/>
      <c r="G3096" s="4">
        <f t="shared" si="141"/>
        <v>0</v>
      </c>
      <c r="H3096" s="17"/>
      <c r="I3096" s="4">
        <f t="shared" si="143"/>
        <v>349526.07999999996</v>
      </c>
      <c r="J3096" s="32" t="str">
        <f t="shared" si="142"/>
        <v/>
      </c>
      <c r="K3096" s="72"/>
      <c r="L3096" s="72"/>
      <c r="M3096" s="2"/>
      <c r="N3096" s="5"/>
      <c r="O3096" s="3"/>
      <c r="P3096" s="6"/>
      <c r="Q3096" s="48">
        <f>IF(Учет!$O3096=Справочники!$F$2,Учет!$H3096,0)</f>
        <v>0</v>
      </c>
      <c r="R3096" s="48">
        <f>IF(Учет!$O3096=Справочники!$F$3,Учет!$H3096,0)</f>
        <v>0</v>
      </c>
      <c r="S3096" s="48">
        <f>IF(Учет!$O3096=Справочники!$F$4,Учет!$H3096,0)</f>
        <v>0</v>
      </c>
      <c r="T3096" s="48">
        <f>IF(Учет!$O3096=Справочники!$F$5,Учет!$H3096,0)</f>
        <v>0</v>
      </c>
      <c r="U3096" s="48">
        <f>IF(Учет!$O3096=Справочники!$F$6,Учет!$H3096,0)</f>
        <v>0</v>
      </c>
      <c r="V3096" s="43">
        <f>V3095+Учет!Q3096-Q3096</f>
        <v>-488978.92000000004</v>
      </c>
      <c r="W3096" s="43">
        <f>W3095+Учет!R3096-R3096</f>
        <v>336855</v>
      </c>
      <c r="X3096" s="43">
        <f>X3095+Учет!S3096-S3096</f>
        <v>500</v>
      </c>
      <c r="Y3096" s="43">
        <f>Y3095+Учет!T3096-T3096</f>
        <v>1150</v>
      </c>
      <c r="Z3096" s="43">
        <f>Z3095+Учет!U3096-U3096</f>
        <v>500000</v>
      </c>
      <c r="AA3096" s="45">
        <f>Учет!X3096</f>
        <v>500</v>
      </c>
    </row>
    <row r="3097" spans="1:27" ht="15" customHeight="1" x14ac:dyDescent="0.25">
      <c r="A3097" s="1"/>
      <c r="B3097" s="17"/>
      <c r="C3097" s="17"/>
      <c r="D3097" s="17"/>
      <c r="E3097" s="17"/>
      <c r="F3097" s="17"/>
      <c r="G3097" s="4">
        <f t="shared" si="141"/>
        <v>0</v>
      </c>
      <c r="H3097" s="17"/>
      <c r="I3097" s="4">
        <f t="shared" si="143"/>
        <v>349526.07999999996</v>
      </c>
      <c r="J3097" s="32" t="str">
        <f t="shared" si="142"/>
        <v/>
      </c>
      <c r="K3097" s="72"/>
      <c r="L3097" s="72"/>
      <c r="M3097" s="2"/>
      <c r="N3097" s="5"/>
      <c r="O3097" s="3"/>
      <c r="P3097" s="6"/>
      <c r="Q3097" s="48">
        <f>IF(Учет!$O3097=Справочники!$F$2,Учет!$H3097,0)</f>
        <v>0</v>
      </c>
      <c r="R3097" s="48">
        <f>IF(Учет!$O3097=Справочники!$F$3,Учет!$H3097,0)</f>
        <v>0</v>
      </c>
      <c r="S3097" s="48">
        <f>IF(Учет!$O3097=Справочники!$F$4,Учет!$H3097,0)</f>
        <v>0</v>
      </c>
      <c r="T3097" s="48">
        <f>IF(Учет!$O3097=Справочники!$F$5,Учет!$H3097,0)</f>
        <v>0</v>
      </c>
      <c r="U3097" s="48">
        <f>IF(Учет!$O3097=Справочники!$F$6,Учет!$H3097,0)</f>
        <v>0</v>
      </c>
      <c r="V3097" s="43">
        <f>V3096+Учет!Q3097-Q3097</f>
        <v>-488978.92000000004</v>
      </c>
      <c r="W3097" s="43">
        <f>W3096+Учет!R3097-R3097</f>
        <v>336855</v>
      </c>
      <c r="X3097" s="43">
        <f>X3096+Учет!S3097-S3097</f>
        <v>500</v>
      </c>
      <c r="Y3097" s="43">
        <f>Y3096+Учет!T3097-T3097</f>
        <v>1150</v>
      </c>
      <c r="Z3097" s="43">
        <f>Z3096+Учет!U3097-U3097</f>
        <v>500000</v>
      </c>
      <c r="AA3097" s="45">
        <f>Учет!X3097</f>
        <v>500</v>
      </c>
    </row>
    <row r="3098" spans="1:27" ht="15" customHeight="1" x14ac:dyDescent="0.25">
      <c r="A3098" s="1"/>
      <c r="B3098" s="17"/>
      <c r="C3098" s="17"/>
      <c r="D3098" s="17"/>
      <c r="E3098" s="17"/>
      <c r="F3098" s="17"/>
      <c r="G3098" s="4">
        <f t="shared" si="141"/>
        <v>0</v>
      </c>
      <c r="H3098" s="17"/>
      <c r="I3098" s="4">
        <f t="shared" si="143"/>
        <v>349526.07999999996</v>
      </c>
      <c r="J3098" s="32" t="str">
        <f t="shared" si="142"/>
        <v/>
      </c>
      <c r="K3098" s="72"/>
      <c r="L3098" s="72"/>
      <c r="M3098" s="2"/>
      <c r="N3098" s="5"/>
      <c r="O3098" s="3"/>
      <c r="P3098" s="6"/>
      <c r="Q3098" s="48">
        <f>IF(Учет!$O3098=Справочники!$F$2,Учет!$H3098,0)</f>
        <v>0</v>
      </c>
      <c r="R3098" s="48">
        <f>IF(Учет!$O3098=Справочники!$F$3,Учет!$H3098,0)</f>
        <v>0</v>
      </c>
      <c r="S3098" s="48">
        <f>IF(Учет!$O3098=Справочники!$F$4,Учет!$H3098,0)</f>
        <v>0</v>
      </c>
      <c r="T3098" s="48">
        <f>IF(Учет!$O3098=Справочники!$F$5,Учет!$H3098,0)</f>
        <v>0</v>
      </c>
      <c r="U3098" s="48">
        <f>IF(Учет!$O3098=Справочники!$F$6,Учет!$H3098,0)</f>
        <v>0</v>
      </c>
      <c r="V3098" s="43">
        <f>V3097+Учет!Q3098-Q3098</f>
        <v>-488978.92000000004</v>
      </c>
      <c r="W3098" s="43">
        <f>W3097+Учет!R3098-R3098</f>
        <v>336855</v>
      </c>
      <c r="X3098" s="43">
        <f>X3097+Учет!S3098-S3098</f>
        <v>500</v>
      </c>
      <c r="Y3098" s="43">
        <f>Y3097+Учет!T3098-T3098</f>
        <v>1150</v>
      </c>
      <c r="Z3098" s="43">
        <f>Z3097+Учет!U3098-U3098</f>
        <v>500000</v>
      </c>
      <c r="AA3098" s="45">
        <f>Учет!X3098</f>
        <v>500</v>
      </c>
    </row>
    <row r="3099" spans="1:27" ht="15" customHeight="1" x14ac:dyDescent="0.25">
      <c r="A3099" s="1"/>
      <c r="B3099" s="17"/>
      <c r="C3099" s="17"/>
      <c r="D3099" s="17"/>
      <c r="E3099" s="17"/>
      <c r="F3099" s="17"/>
      <c r="G3099" s="4">
        <f t="shared" si="141"/>
        <v>0</v>
      </c>
      <c r="H3099" s="17"/>
      <c r="I3099" s="4">
        <f t="shared" si="143"/>
        <v>349526.07999999996</v>
      </c>
      <c r="J3099" s="32" t="str">
        <f t="shared" si="142"/>
        <v/>
      </c>
      <c r="K3099" s="72"/>
      <c r="L3099" s="72"/>
      <c r="M3099" s="2"/>
      <c r="N3099" s="5"/>
      <c r="O3099" s="3"/>
      <c r="P3099" s="6"/>
      <c r="Q3099" s="48">
        <f>IF(Учет!$O3099=Справочники!$F$2,Учет!$H3099,0)</f>
        <v>0</v>
      </c>
      <c r="R3099" s="48">
        <f>IF(Учет!$O3099=Справочники!$F$3,Учет!$H3099,0)</f>
        <v>0</v>
      </c>
      <c r="S3099" s="48">
        <f>IF(Учет!$O3099=Справочники!$F$4,Учет!$H3099,0)</f>
        <v>0</v>
      </c>
      <c r="T3099" s="48">
        <f>IF(Учет!$O3099=Справочники!$F$5,Учет!$H3099,0)</f>
        <v>0</v>
      </c>
      <c r="U3099" s="48">
        <f>IF(Учет!$O3099=Справочники!$F$6,Учет!$H3099,0)</f>
        <v>0</v>
      </c>
      <c r="V3099" s="43">
        <f>V3098+Учет!Q3099-Q3099</f>
        <v>-488978.92000000004</v>
      </c>
      <c r="W3099" s="43">
        <f>W3098+Учет!R3099-R3099</f>
        <v>336855</v>
      </c>
      <c r="X3099" s="43">
        <f>X3098+Учет!S3099-S3099</f>
        <v>500</v>
      </c>
      <c r="Y3099" s="43">
        <f>Y3098+Учет!T3099-T3099</f>
        <v>1150</v>
      </c>
      <c r="Z3099" s="43">
        <f>Z3098+Учет!U3099-U3099</f>
        <v>500000</v>
      </c>
      <c r="AA3099" s="45">
        <f>Учет!X3099</f>
        <v>500</v>
      </c>
    </row>
    <row r="3100" spans="1:27" ht="15" customHeight="1" x14ac:dyDescent="0.25">
      <c r="A3100" s="1"/>
      <c r="B3100" s="17"/>
      <c r="C3100" s="17"/>
      <c r="D3100" s="17"/>
      <c r="E3100" s="17"/>
      <c r="F3100" s="17"/>
      <c r="G3100" s="4">
        <f t="shared" si="141"/>
        <v>0</v>
      </c>
      <c r="H3100" s="17"/>
      <c r="I3100" s="4">
        <f t="shared" si="143"/>
        <v>349526.07999999996</v>
      </c>
      <c r="J3100" s="32" t="str">
        <f t="shared" si="142"/>
        <v/>
      </c>
      <c r="K3100" s="72"/>
      <c r="L3100" s="72"/>
      <c r="M3100" s="2"/>
      <c r="N3100" s="5"/>
      <c r="O3100" s="3"/>
      <c r="P3100" s="6"/>
      <c r="Q3100" s="48">
        <f>IF(Учет!$O3100=Справочники!$F$2,Учет!$H3100,0)</f>
        <v>0</v>
      </c>
      <c r="R3100" s="48">
        <f>IF(Учет!$O3100=Справочники!$F$3,Учет!$H3100,0)</f>
        <v>0</v>
      </c>
      <c r="S3100" s="48">
        <f>IF(Учет!$O3100=Справочники!$F$4,Учет!$H3100,0)</f>
        <v>0</v>
      </c>
      <c r="T3100" s="48">
        <f>IF(Учет!$O3100=Справочники!$F$5,Учет!$H3100,0)</f>
        <v>0</v>
      </c>
      <c r="U3100" s="48">
        <f>IF(Учет!$O3100=Справочники!$F$6,Учет!$H3100,0)</f>
        <v>0</v>
      </c>
      <c r="V3100" s="43">
        <f>V3099+Учет!Q3100-Q3100</f>
        <v>-488978.92000000004</v>
      </c>
      <c r="W3100" s="43">
        <f>W3099+Учет!R3100-R3100</f>
        <v>336855</v>
      </c>
      <c r="X3100" s="43">
        <f>X3099+Учет!S3100-S3100</f>
        <v>500</v>
      </c>
      <c r="Y3100" s="43">
        <f>Y3099+Учет!T3100-T3100</f>
        <v>1150</v>
      </c>
      <c r="Z3100" s="43">
        <f>Z3099+Учет!U3100-U3100</f>
        <v>500000</v>
      </c>
      <c r="AA3100" s="45">
        <f>Учет!X3100</f>
        <v>500</v>
      </c>
    </row>
    <row r="3101" spans="1:27" ht="15" customHeight="1" x14ac:dyDescent="0.25">
      <c r="A3101" s="1"/>
      <c r="B3101" s="17"/>
      <c r="C3101" s="17"/>
      <c r="D3101" s="17"/>
      <c r="E3101" s="17"/>
      <c r="F3101" s="17"/>
      <c r="G3101" s="4">
        <f t="shared" si="141"/>
        <v>0</v>
      </c>
      <c r="H3101" s="17"/>
      <c r="I3101" s="4">
        <f t="shared" si="143"/>
        <v>349526.07999999996</v>
      </c>
      <c r="J3101" s="32" t="str">
        <f t="shared" si="142"/>
        <v/>
      </c>
      <c r="K3101" s="72"/>
      <c r="L3101" s="72"/>
      <c r="M3101" s="2"/>
      <c r="N3101" s="5"/>
      <c r="O3101" s="3"/>
      <c r="P3101" s="6"/>
      <c r="Q3101" s="48">
        <f>IF(Учет!$O3101=Справочники!$F$2,Учет!$H3101,0)</f>
        <v>0</v>
      </c>
      <c r="R3101" s="48">
        <f>IF(Учет!$O3101=Справочники!$F$3,Учет!$H3101,0)</f>
        <v>0</v>
      </c>
      <c r="S3101" s="48">
        <f>IF(Учет!$O3101=Справочники!$F$4,Учет!$H3101,0)</f>
        <v>0</v>
      </c>
      <c r="T3101" s="48">
        <f>IF(Учет!$O3101=Справочники!$F$5,Учет!$H3101,0)</f>
        <v>0</v>
      </c>
      <c r="U3101" s="48">
        <f>IF(Учет!$O3101=Справочники!$F$6,Учет!$H3101,0)</f>
        <v>0</v>
      </c>
      <c r="V3101" s="43">
        <f>V3100+Учет!Q3101-Q3101</f>
        <v>-488978.92000000004</v>
      </c>
      <c r="W3101" s="43">
        <f>W3100+Учет!R3101-R3101</f>
        <v>336855</v>
      </c>
      <c r="X3101" s="43">
        <f>X3100+Учет!S3101-S3101</f>
        <v>500</v>
      </c>
      <c r="Y3101" s="43">
        <f>Y3100+Учет!T3101-T3101</f>
        <v>1150</v>
      </c>
      <c r="Z3101" s="43">
        <f>Z3100+Учет!U3101-U3101</f>
        <v>500000</v>
      </c>
      <c r="AA3101" s="45">
        <f>Учет!X3101</f>
        <v>500</v>
      </c>
    </row>
    <row r="3102" spans="1:27" ht="15" customHeight="1" x14ac:dyDescent="0.25">
      <c r="A3102" s="1"/>
      <c r="B3102" s="17"/>
      <c r="C3102" s="17"/>
      <c r="D3102" s="17"/>
      <c r="E3102" s="17"/>
      <c r="F3102" s="17"/>
      <c r="G3102" s="4">
        <f t="shared" si="141"/>
        <v>0</v>
      </c>
      <c r="H3102" s="17"/>
      <c r="I3102" s="4">
        <f t="shared" si="143"/>
        <v>349526.07999999996</v>
      </c>
      <c r="J3102" s="32" t="str">
        <f t="shared" si="142"/>
        <v/>
      </c>
      <c r="K3102" s="72"/>
      <c r="L3102" s="72"/>
      <c r="M3102" s="2"/>
      <c r="N3102" s="5"/>
      <c r="O3102" s="3"/>
      <c r="P3102" s="6"/>
      <c r="Q3102" s="48">
        <f>IF(Учет!$O3102=Справочники!$F$2,Учет!$H3102,0)</f>
        <v>0</v>
      </c>
      <c r="R3102" s="48">
        <f>IF(Учет!$O3102=Справочники!$F$3,Учет!$H3102,0)</f>
        <v>0</v>
      </c>
      <c r="S3102" s="48">
        <f>IF(Учет!$O3102=Справочники!$F$4,Учет!$H3102,0)</f>
        <v>0</v>
      </c>
      <c r="T3102" s="48">
        <f>IF(Учет!$O3102=Справочники!$F$5,Учет!$H3102,0)</f>
        <v>0</v>
      </c>
      <c r="U3102" s="48">
        <f>IF(Учет!$O3102=Справочники!$F$6,Учет!$H3102,0)</f>
        <v>0</v>
      </c>
      <c r="V3102" s="43">
        <f>V3101+Учет!Q3102-Q3102</f>
        <v>-488978.92000000004</v>
      </c>
      <c r="W3102" s="43">
        <f>W3101+Учет!R3102-R3102</f>
        <v>336855</v>
      </c>
      <c r="X3102" s="43">
        <f>X3101+Учет!S3102-S3102</f>
        <v>500</v>
      </c>
      <c r="Y3102" s="43">
        <f>Y3101+Учет!T3102-T3102</f>
        <v>1150</v>
      </c>
      <c r="Z3102" s="43">
        <f>Z3101+Учет!U3102-U3102</f>
        <v>500000</v>
      </c>
      <c r="AA3102" s="45">
        <f>Учет!X3102</f>
        <v>500</v>
      </c>
    </row>
    <row r="3103" spans="1:27" ht="15" customHeight="1" x14ac:dyDescent="0.25">
      <c r="A3103" s="1"/>
      <c r="B3103" s="17"/>
      <c r="C3103" s="17"/>
      <c r="D3103" s="17"/>
      <c r="E3103" s="17"/>
      <c r="F3103" s="17"/>
      <c r="G3103" s="4">
        <f t="shared" si="141"/>
        <v>0</v>
      </c>
      <c r="H3103" s="17"/>
      <c r="I3103" s="4">
        <f t="shared" si="143"/>
        <v>349526.07999999996</v>
      </c>
      <c r="J3103" s="32" t="str">
        <f t="shared" si="142"/>
        <v/>
      </c>
      <c r="K3103" s="72"/>
      <c r="L3103" s="72"/>
      <c r="M3103" s="2"/>
      <c r="N3103" s="5"/>
      <c r="O3103" s="3"/>
      <c r="P3103" s="6"/>
      <c r="Q3103" s="48">
        <f>IF(Учет!$O3103=Справочники!$F$2,Учет!$H3103,0)</f>
        <v>0</v>
      </c>
      <c r="R3103" s="48">
        <f>IF(Учет!$O3103=Справочники!$F$3,Учет!$H3103,0)</f>
        <v>0</v>
      </c>
      <c r="S3103" s="48">
        <f>IF(Учет!$O3103=Справочники!$F$4,Учет!$H3103,0)</f>
        <v>0</v>
      </c>
      <c r="T3103" s="48">
        <f>IF(Учет!$O3103=Справочники!$F$5,Учет!$H3103,0)</f>
        <v>0</v>
      </c>
      <c r="U3103" s="48">
        <f>IF(Учет!$O3103=Справочники!$F$6,Учет!$H3103,0)</f>
        <v>0</v>
      </c>
      <c r="V3103" s="43">
        <f>V3102+Учет!Q3103-Q3103</f>
        <v>-488978.92000000004</v>
      </c>
      <c r="W3103" s="43">
        <f>W3102+Учет!R3103-R3103</f>
        <v>336855</v>
      </c>
      <c r="X3103" s="43">
        <f>X3102+Учет!S3103-S3103</f>
        <v>500</v>
      </c>
      <c r="Y3103" s="43">
        <f>Y3102+Учет!T3103-T3103</f>
        <v>1150</v>
      </c>
      <c r="Z3103" s="43">
        <f>Z3102+Учет!U3103-U3103</f>
        <v>500000</v>
      </c>
      <c r="AA3103" s="45">
        <f>Учет!X3103</f>
        <v>500</v>
      </c>
    </row>
    <row r="3104" spans="1:27" ht="15" customHeight="1" x14ac:dyDescent="0.25">
      <c r="A3104" s="1"/>
      <c r="B3104" s="17"/>
      <c r="C3104" s="17"/>
      <c r="D3104" s="17"/>
      <c r="E3104" s="17"/>
      <c r="F3104" s="17"/>
      <c r="G3104" s="4">
        <f t="shared" si="141"/>
        <v>0</v>
      </c>
      <c r="H3104" s="17"/>
      <c r="I3104" s="4">
        <f t="shared" si="143"/>
        <v>349526.07999999996</v>
      </c>
      <c r="J3104" s="32" t="str">
        <f t="shared" si="142"/>
        <v/>
      </c>
      <c r="K3104" s="72"/>
      <c r="L3104" s="72"/>
      <c r="M3104" s="2"/>
      <c r="N3104" s="5"/>
      <c r="O3104" s="3"/>
      <c r="P3104" s="6"/>
      <c r="Q3104" s="48">
        <f>IF(Учет!$O3104=Справочники!$F$2,Учет!$H3104,0)</f>
        <v>0</v>
      </c>
      <c r="R3104" s="48">
        <f>IF(Учет!$O3104=Справочники!$F$3,Учет!$H3104,0)</f>
        <v>0</v>
      </c>
      <c r="S3104" s="48">
        <f>IF(Учет!$O3104=Справочники!$F$4,Учет!$H3104,0)</f>
        <v>0</v>
      </c>
      <c r="T3104" s="48">
        <f>IF(Учет!$O3104=Справочники!$F$5,Учет!$H3104,0)</f>
        <v>0</v>
      </c>
      <c r="U3104" s="48">
        <f>IF(Учет!$O3104=Справочники!$F$6,Учет!$H3104,0)</f>
        <v>0</v>
      </c>
      <c r="V3104" s="43">
        <f>V3103+Учет!Q3104-Q3104</f>
        <v>-488978.92000000004</v>
      </c>
      <c r="W3104" s="43">
        <f>W3103+Учет!R3104-R3104</f>
        <v>336855</v>
      </c>
      <c r="X3104" s="43">
        <f>X3103+Учет!S3104-S3104</f>
        <v>500</v>
      </c>
      <c r="Y3104" s="43">
        <f>Y3103+Учет!T3104-T3104</f>
        <v>1150</v>
      </c>
      <c r="Z3104" s="43">
        <f>Z3103+Учет!U3104-U3104</f>
        <v>500000</v>
      </c>
      <c r="AA3104" s="45">
        <f>Учет!X3104</f>
        <v>500</v>
      </c>
    </row>
    <row r="3105" spans="1:27" ht="15" customHeight="1" x14ac:dyDescent="0.25">
      <c r="A3105" s="1"/>
      <c r="B3105" s="17"/>
      <c r="C3105" s="17"/>
      <c r="D3105" s="17"/>
      <c r="E3105" s="17"/>
      <c r="F3105" s="17"/>
      <c r="G3105" s="4">
        <f t="shared" si="141"/>
        <v>0</v>
      </c>
      <c r="H3105" s="17"/>
      <c r="I3105" s="4">
        <f t="shared" si="143"/>
        <v>349526.07999999996</v>
      </c>
      <c r="J3105" s="32" t="str">
        <f t="shared" si="142"/>
        <v/>
      </c>
      <c r="K3105" s="72"/>
      <c r="L3105" s="72"/>
      <c r="M3105" s="2"/>
      <c r="N3105" s="5"/>
      <c r="O3105" s="3"/>
      <c r="P3105" s="6"/>
      <c r="Q3105" s="48">
        <f>IF(Учет!$O3105=Справочники!$F$2,Учет!$H3105,0)</f>
        <v>0</v>
      </c>
      <c r="R3105" s="48">
        <f>IF(Учет!$O3105=Справочники!$F$3,Учет!$H3105,0)</f>
        <v>0</v>
      </c>
      <c r="S3105" s="48">
        <f>IF(Учет!$O3105=Справочники!$F$4,Учет!$H3105,0)</f>
        <v>0</v>
      </c>
      <c r="T3105" s="48">
        <f>IF(Учет!$O3105=Справочники!$F$5,Учет!$H3105,0)</f>
        <v>0</v>
      </c>
      <c r="U3105" s="48">
        <f>IF(Учет!$O3105=Справочники!$F$6,Учет!$H3105,0)</f>
        <v>0</v>
      </c>
      <c r="V3105" s="43">
        <f>V3104+Учет!Q3105-Q3105</f>
        <v>-488978.92000000004</v>
      </c>
      <c r="W3105" s="43">
        <f>W3104+Учет!R3105-R3105</f>
        <v>336855</v>
      </c>
      <c r="X3105" s="43">
        <f>X3104+Учет!S3105-S3105</f>
        <v>500</v>
      </c>
      <c r="Y3105" s="43">
        <f>Y3104+Учет!T3105-T3105</f>
        <v>1150</v>
      </c>
      <c r="Z3105" s="43">
        <f>Z3104+Учет!U3105-U3105</f>
        <v>500000</v>
      </c>
      <c r="AA3105" s="45">
        <f>Учет!X3105</f>
        <v>500</v>
      </c>
    </row>
    <row r="3106" spans="1:27" ht="15" customHeight="1" x14ac:dyDescent="0.25">
      <c r="A3106" s="1"/>
      <c r="B3106" s="17"/>
      <c r="C3106" s="17"/>
      <c r="D3106" s="17"/>
      <c r="E3106" s="17"/>
      <c r="F3106" s="17"/>
      <c r="G3106" s="4">
        <f t="shared" si="141"/>
        <v>0</v>
      </c>
      <c r="H3106" s="17"/>
      <c r="I3106" s="4">
        <f t="shared" si="143"/>
        <v>349526.07999999996</v>
      </c>
      <c r="J3106" s="32" t="str">
        <f t="shared" si="142"/>
        <v/>
      </c>
      <c r="K3106" s="72"/>
      <c r="L3106" s="72"/>
      <c r="M3106" s="2"/>
      <c r="N3106" s="5"/>
      <c r="O3106" s="3"/>
      <c r="P3106" s="6"/>
      <c r="Q3106" s="48">
        <f>IF(Учет!$O3106=Справочники!$F$2,Учет!$H3106,0)</f>
        <v>0</v>
      </c>
      <c r="R3106" s="48">
        <f>IF(Учет!$O3106=Справочники!$F$3,Учет!$H3106,0)</f>
        <v>0</v>
      </c>
      <c r="S3106" s="48">
        <f>IF(Учет!$O3106=Справочники!$F$4,Учет!$H3106,0)</f>
        <v>0</v>
      </c>
      <c r="T3106" s="48">
        <f>IF(Учет!$O3106=Справочники!$F$5,Учет!$H3106,0)</f>
        <v>0</v>
      </c>
      <c r="U3106" s="48">
        <f>IF(Учет!$O3106=Справочники!$F$6,Учет!$H3106,0)</f>
        <v>0</v>
      </c>
      <c r="V3106" s="43">
        <f>V3105+Учет!Q3106-Q3106</f>
        <v>-488978.92000000004</v>
      </c>
      <c r="W3106" s="43">
        <f>W3105+Учет!R3106-R3106</f>
        <v>336855</v>
      </c>
      <c r="X3106" s="43">
        <f>X3105+Учет!S3106-S3106</f>
        <v>500</v>
      </c>
      <c r="Y3106" s="43">
        <f>Y3105+Учет!T3106-T3106</f>
        <v>1150</v>
      </c>
      <c r="Z3106" s="43">
        <f>Z3105+Учет!U3106-U3106</f>
        <v>500000</v>
      </c>
      <c r="AA3106" s="45">
        <f>Учет!X3106</f>
        <v>500</v>
      </c>
    </row>
    <row r="3107" spans="1:27" ht="15" customHeight="1" x14ac:dyDescent="0.25">
      <c r="A3107" s="1"/>
      <c r="B3107" s="17"/>
      <c r="C3107" s="17"/>
      <c r="D3107" s="17"/>
      <c r="E3107" s="17"/>
      <c r="F3107" s="17"/>
      <c r="G3107" s="4">
        <f t="shared" si="141"/>
        <v>0</v>
      </c>
      <c r="H3107" s="17"/>
      <c r="I3107" s="4">
        <f t="shared" si="143"/>
        <v>349526.07999999996</v>
      </c>
      <c r="J3107" s="32" t="str">
        <f t="shared" si="142"/>
        <v/>
      </c>
      <c r="K3107" s="72"/>
      <c r="L3107" s="72"/>
      <c r="M3107" s="2"/>
      <c r="N3107" s="5"/>
      <c r="O3107" s="3"/>
      <c r="P3107" s="6"/>
      <c r="Q3107" s="48">
        <f>IF(Учет!$O3107=Справочники!$F$2,Учет!$H3107,0)</f>
        <v>0</v>
      </c>
      <c r="R3107" s="48">
        <f>IF(Учет!$O3107=Справочники!$F$3,Учет!$H3107,0)</f>
        <v>0</v>
      </c>
      <c r="S3107" s="48">
        <f>IF(Учет!$O3107=Справочники!$F$4,Учет!$H3107,0)</f>
        <v>0</v>
      </c>
      <c r="T3107" s="48">
        <f>IF(Учет!$O3107=Справочники!$F$5,Учет!$H3107,0)</f>
        <v>0</v>
      </c>
      <c r="U3107" s="48">
        <f>IF(Учет!$O3107=Справочники!$F$6,Учет!$H3107,0)</f>
        <v>0</v>
      </c>
      <c r="V3107" s="43">
        <f>V3106+Учет!Q3107-Q3107</f>
        <v>-488978.92000000004</v>
      </c>
      <c r="W3107" s="43">
        <f>W3106+Учет!R3107-R3107</f>
        <v>336855</v>
      </c>
      <c r="X3107" s="43">
        <f>X3106+Учет!S3107-S3107</f>
        <v>500</v>
      </c>
      <c r="Y3107" s="43">
        <f>Y3106+Учет!T3107-T3107</f>
        <v>1150</v>
      </c>
      <c r="Z3107" s="43">
        <f>Z3106+Учет!U3107-U3107</f>
        <v>500000</v>
      </c>
      <c r="AA3107" s="45">
        <f>Учет!X3107</f>
        <v>500</v>
      </c>
    </row>
    <row r="3108" spans="1:27" ht="15" customHeight="1" x14ac:dyDescent="0.25">
      <c r="A3108" s="1"/>
      <c r="B3108" s="17"/>
      <c r="C3108" s="17"/>
      <c r="D3108" s="17"/>
      <c r="E3108" s="17"/>
      <c r="F3108" s="17"/>
      <c r="G3108" s="4">
        <f t="shared" si="141"/>
        <v>0</v>
      </c>
      <c r="H3108" s="17"/>
      <c r="I3108" s="4">
        <f t="shared" si="143"/>
        <v>349526.07999999996</v>
      </c>
      <c r="J3108" s="32" t="str">
        <f t="shared" si="142"/>
        <v/>
      </c>
      <c r="K3108" s="72"/>
      <c r="L3108" s="72"/>
      <c r="M3108" s="2"/>
      <c r="N3108" s="5"/>
      <c r="O3108" s="3"/>
      <c r="P3108" s="6"/>
      <c r="Q3108" s="48">
        <f>IF(Учет!$O3108=Справочники!$F$2,Учет!$H3108,0)</f>
        <v>0</v>
      </c>
      <c r="R3108" s="48">
        <f>IF(Учет!$O3108=Справочники!$F$3,Учет!$H3108,0)</f>
        <v>0</v>
      </c>
      <c r="S3108" s="48">
        <f>IF(Учет!$O3108=Справочники!$F$4,Учет!$H3108,0)</f>
        <v>0</v>
      </c>
      <c r="T3108" s="48">
        <f>IF(Учет!$O3108=Справочники!$F$5,Учет!$H3108,0)</f>
        <v>0</v>
      </c>
      <c r="U3108" s="48">
        <f>IF(Учет!$O3108=Справочники!$F$6,Учет!$H3108,0)</f>
        <v>0</v>
      </c>
      <c r="V3108" s="43">
        <f>V3107+Учет!Q3108-Q3108</f>
        <v>-488978.92000000004</v>
      </c>
      <c r="W3108" s="43">
        <f>W3107+Учет!R3108-R3108</f>
        <v>336855</v>
      </c>
      <c r="X3108" s="43">
        <f>X3107+Учет!S3108-S3108</f>
        <v>500</v>
      </c>
      <c r="Y3108" s="43">
        <f>Y3107+Учет!T3108-T3108</f>
        <v>1150</v>
      </c>
      <c r="Z3108" s="43">
        <f>Z3107+Учет!U3108-U3108</f>
        <v>500000</v>
      </c>
      <c r="AA3108" s="45">
        <f>Учет!X3108</f>
        <v>500</v>
      </c>
    </row>
    <row r="3109" spans="1:27" ht="15" customHeight="1" x14ac:dyDescent="0.25">
      <c r="A3109" s="1"/>
      <c r="B3109" s="17"/>
      <c r="C3109" s="17"/>
      <c r="D3109" s="17"/>
      <c r="E3109" s="17"/>
      <c r="F3109" s="17"/>
      <c r="G3109" s="4">
        <f t="shared" si="141"/>
        <v>0</v>
      </c>
      <c r="H3109" s="17"/>
      <c r="I3109" s="4">
        <f t="shared" si="143"/>
        <v>349526.07999999996</v>
      </c>
      <c r="J3109" s="32" t="str">
        <f t="shared" si="142"/>
        <v/>
      </c>
      <c r="K3109" s="72"/>
      <c r="L3109" s="72"/>
      <c r="M3109" s="2"/>
      <c r="N3109" s="5"/>
      <c r="O3109" s="3"/>
      <c r="P3109" s="6"/>
      <c r="Q3109" s="48">
        <f>IF(Учет!$O3109=Справочники!$F$2,Учет!$H3109,0)</f>
        <v>0</v>
      </c>
      <c r="R3109" s="48">
        <f>IF(Учет!$O3109=Справочники!$F$3,Учет!$H3109,0)</f>
        <v>0</v>
      </c>
      <c r="S3109" s="48">
        <f>IF(Учет!$O3109=Справочники!$F$4,Учет!$H3109,0)</f>
        <v>0</v>
      </c>
      <c r="T3109" s="48">
        <f>IF(Учет!$O3109=Справочники!$F$5,Учет!$H3109,0)</f>
        <v>0</v>
      </c>
      <c r="U3109" s="48">
        <f>IF(Учет!$O3109=Справочники!$F$6,Учет!$H3109,0)</f>
        <v>0</v>
      </c>
      <c r="V3109" s="43">
        <f>V3108+Учет!Q3109-Q3109</f>
        <v>-488978.92000000004</v>
      </c>
      <c r="W3109" s="43">
        <f>W3108+Учет!R3109-R3109</f>
        <v>336855</v>
      </c>
      <c r="X3109" s="43">
        <f>X3108+Учет!S3109-S3109</f>
        <v>500</v>
      </c>
      <c r="Y3109" s="43">
        <f>Y3108+Учет!T3109-T3109</f>
        <v>1150</v>
      </c>
      <c r="Z3109" s="43">
        <f>Z3108+Учет!U3109-U3109</f>
        <v>500000</v>
      </c>
      <c r="AA3109" s="45">
        <f>Учет!X3109</f>
        <v>500</v>
      </c>
    </row>
    <row r="3110" spans="1:27" ht="15" customHeight="1" x14ac:dyDescent="0.25">
      <c r="A3110" s="1"/>
      <c r="B3110" s="17"/>
      <c r="C3110" s="17"/>
      <c r="D3110" s="17"/>
      <c r="E3110" s="17"/>
      <c r="F3110" s="17"/>
      <c r="G3110" s="4">
        <f t="shared" si="141"/>
        <v>0</v>
      </c>
      <c r="H3110" s="17"/>
      <c r="I3110" s="4">
        <f t="shared" si="143"/>
        <v>349526.07999999996</v>
      </c>
      <c r="J3110" s="32" t="str">
        <f t="shared" si="142"/>
        <v/>
      </c>
      <c r="K3110" s="72"/>
      <c r="L3110" s="72"/>
      <c r="M3110" s="2"/>
      <c r="N3110" s="5"/>
      <c r="O3110" s="3"/>
      <c r="P3110" s="6"/>
      <c r="Q3110" s="48">
        <f>IF(Учет!$O3110=Справочники!$F$2,Учет!$H3110,0)</f>
        <v>0</v>
      </c>
      <c r="R3110" s="48">
        <f>IF(Учет!$O3110=Справочники!$F$3,Учет!$H3110,0)</f>
        <v>0</v>
      </c>
      <c r="S3110" s="48">
        <f>IF(Учет!$O3110=Справочники!$F$4,Учет!$H3110,0)</f>
        <v>0</v>
      </c>
      <c r="T3110" s="48">
        <f>IF(Учет!$O3110=Справочники!$F$5,Учет!$H3110,0)</f>
        <v>0</v>
      </c>
      <c r="U3110" s="48">
        <f>IF(Учет!$O3110=Справочники!$F$6,Учет!$H3110,0)</f>
        <v>0</v>
      </c>
      <c r="V3110" s="43">
        <f>V3109+Учет!Q3110-Q3110</f>
        <v>-488978.92000000004</v>
      </c>
      <c r="W3110" s="43">
        <f>W3109+Учет!R3110-R3110</f>
        <v>336855</v>
      </c>
      <c r="X3110" s="43">
        <f>X3109+Учет!S3110-S3110</f>
        <v>500</v>
      </c>
      <c r="Y3110" s="43">
        <f>Y3109+Учет!T3110-T3110</f>
        <v>1150</v>
      </c>
      <c r="Z3110" s="43">
        <f>Z3109+Учет!U3110-U3110</f>
        <v>500000</v>
      </c>
      <c r="AA3110" s="45">
        <f>Учет!X3110</f>
        <v>500</v>
      </c>
    </row>
    <row r="3111" spans="1:27" ht="15" customHeight="1" x14ac:dyDescent="0.25">
      <c r="A3111" s="1"/>
      <c r="B3111" s="17"/>
      <c r="C3111" s="17"/>
      <c r="D3111" s="17"/>
      <c r="E3111" s="17"/>
      <c r="F3111" s="17"/>
      <c r="G3111" s="4">
        <f t="shared" si="141"/>
        <v>0</v>
      </c>
      <c r="H3111" s="17"/>
      <c r="I3111" s="4">
        <f t="shared" si="143"/>
        <v>349526.07999999996</v>
      </c>
      <c r="J3111" s="32" t="str">
        <f t="shared" si="142"/>
        <v/>
      </c>
      <c r="K3111" s="72"/>
      <c r="L3111" s="72"/>
      <c r="M3111" s="2"/>
      <c r="N3111" s="5"/>
      <c r="O3111" s="3"/>
      <c r="P3111" s="6"/>
      <c r="Q3111" s="48">
        <f>IF(Учет!$O3111=Справочники!$F$2,Учет!$H3111,0)</f>
        <v>0</v>
      </c>
      <c r="R3111" s="48">
        <f>IF(Учет!$O3111=Справочники!$F$3,Учет!$H3111,0)</f>
        <v>0</v>
      </c>
      <c r="S3111" s="48">
        <f>IF(Учет!$O3111=Справочники!$F$4,Учет!$H3111,0)</f>
        <v>0</v>
      </c>
      <c r="T3111" s="48">
        <f>IF(Учет!$O3111=Справочники!$F$5,Учет!$H3111,0)</f>
        <v>0</v>
      </c>
      <c r="U3111" s="48">
        <f>IF(Учет!$O3111=Справочники!$F$6,Учет!$H3111,0)</f>
        <v>0</v>
      </c>
      <c r="V3111" s="43">
        <f>V3110+Учет!Q3111-Q3111</f>
        <v>-488978.92000000004</v>
      </c>
      <c r="W3111" s="43">
        <f>W3110+Учет!R3111-R3111</f>
        <v>336855</v>
      </c>
      <c r="X3111" s="43">
        <f>X3110+Учет!S3111-S3111</f>
        <v>500</v>
      </c>
      <c r="Y3111" s="43">
        <f>Y3110+Учет!T3111-T3111</f>
        <v>1150</v>
      </c>
      <c r="Z3111" s="43">
        <f>Z3110+Учет!U3111-U3111</f>
        <v>500000</v>
      </c>
      <c r="AA3111" s="45">
        <f>Учет!X3111</f>
        <v>500</v>
      </c>
    </row>
    <row r="3112" spans="1:27" ht="15" customHeight="1" x14ac:dyDescent="0.25">
      <c r="A3112" s="1"/>
      <c r="B3112" s="17"/>
      <c r="C3112" s="17"/>
      <c r="D3112" s="17"/>
      <c r="E3112" s="17"/>
      <c r="F3112" s="17"/>
      <c r="G3112" s="4">
        <f t="shared" si="141"/>
        <v>0</v>
      </c>
      <c r="H3112" s="17"/>
      <c r="I3112" s="4">
        <f t="shared" si="143"/>
        <v>349526.07999999996</v>
      </c>
      <c r="J3112" s="32" t="str">
        <f t="shared" si="142"/>
        <v/>
      </c>
      <c r="K3112" s="72"/>
      <c r="L3112" s="72"/>
      <c r="M3112" s="2"/>
      <c r="N3112" s="5"/>
      <c r="O3112" s="3"/>
      <c r="P3112" s="6"/>
      <c r="Q3112" s="48">
        <f>IF(Учет!$O3112=Справочники!$F$2,Учет!$H3112,0)</f>
        <v>0</v>
      </c>
      <c r="R3112" s="48">
        <f>IF(Учет!$O3112=Справочники!$F$3,Учет!$H3112,0)</f>
        <v>0</v>
      </c>
      <c r="S3112" s="48">
        <f>IF(Учет!$O3112=Справочники!$F$4,Учет!$H3112,0)</f>
        <v>0</v>
      </c>
      <c r="T3112" s="48">
        <f>IF(Учет!$O3112=Справочники!$F$5,Учет!$H3112,0)</f>
        <v>0</v>
      </c>
      <c r="U3112" s="48">
        <f>IF(Учет!$O3112=Справочники!$F$6,Учет!$H3112,0)</f>
        <v>0</v>
      </c>
      <c r="V3112" s="43">
        <f>V3111+Учет!Q3112-Q3112</f>
        <v>-488978.92000000004</v>
      </c>
      <c r="W3112" s="43">
        <f>W3111+Учет!R3112-R3112</f>
        <v>336855</v>
      </c>
      <c r="X3112" s="43">
        <f>X3111+Учет!S3112-S3112</f>
        <v>500</v>
      </c>
      <c r="Y3112" s="43">
        <f>Y3111+Учет!T3112-T3112</f>
        <v>1150</v>
      </c>
      <c r="Z3112" s="43">
        <f>Z3111+Учет!U3112-U3112</f>
        <v>500000</v>
      </c>
      <c r="AA3112" s="45">
        <f>Учет!X3112</f>
        <v>500</v>
      </c>
    </row>
    <row r="3113" spans="1:27" ht="15" customHeight="1" x14ac:dyDescent="0.25">
      <c r="A3113" s="1"/>
      <c r="B3113" s="17"/>
      <c r="C3113" s="17"/>
      <c r="D3113" s="17"/>
      <c r="E3113" s="17"/>
      <c r="F3113" s="17"/>
      <c r="G3113" s="4">
        <f t="shared" si="141"/>
        <v>0</v>
      </c>
      <c r="H3113" s="17"/>
      <c r="I3113" s="4">
        <f t="shared" si="143"/>
        <v>349526.07999999996</v>
      </c>
      <c r="J3113" s="32" t="str">
        <f t="shared" si="142"/>
        <v/>
      </c>
      <c r="K3113" s="72"/>
      <c r="L3113" s="72"/>
      <c r="M3113" s="2"/>
      <c r="N3113" s="5"/>
      <c r="O3113" s="3"/>
      <c r="P3113" s="6"/>
      <c r="Q3113" s="48">
        <f>IF(Учет!$O3113=Справочники!$F$2,Учет!$H3113,0)</f>
        <v>0</v>
      </c>
      <c r="R3113" s="48">
        <f>IF(Учет!$O3113=Справочники!$F$3,Учет!$H3113,0)</f>
        <v>0</v>
      </c>
      <c r="S3113" s="48">
        <f>IF(Учет!$O3113=Справочники!$F$4,Учет!$H3113,0)</f>
        <v>0</v>
      </c>
      <c r="T3113" s="48">
        <f>IF(Учет!$O3113=Справочники!$F$5,Учет!$H3113,0)</f>
        <v>0</v>
      </c>
      <c r="U3113" s="48">
        <f>IF(Учет!$O3113=Справочники!$F$6,Учет!$H3113,0)</f>
        <v>0</v>
      </c>
      <c r="V3113" s="43">
        <f>V3112+Учет!Q3113-Q3113</f>
        <v>-488978.92000000004</v>
      </c>
      <c r="W3113" s="43">
        <f>W3112+Учет!R3113-R3113</f>
        <v>336855</v>
      </c>
      <c r="X3113" s="43">
        <f>X3112+Учет!S3113-S3113</f>
        <v>500</v>
      </c>
      <c r="Y3113" s="43">
        <f>Y3112+Учет!T3113-T3113</f>
        <v>1150</v>
      </c>
      <c r="Z3113" s="43">
        <f>Z3112+Учет!U3113-U3113</f>
        <v>500000</v>
      </c>
      <c r="AA3113" s="45">
        <f>Учет!X3113</f>
        <v>500</v>
      </c>
    </row>
    <row r="3114" spans="1:27" ht="15" customHeight="1" x14ac:dyDescent="0.25">
      <c r="A3114" s="1"/>
      <c r="B3114" s="17"/>
      <c r="C3114" s="17"/>
      <c r="D3114" s="17"/>
      <c r="E3114" s="17"/>
      <c r="F3114" s="17"/>
      <c r="G3114" s="4">
        <f t="shared" si="141"/>
        <v>0</v>
      </c>
      <c r="H3114" s="17"/>
      <c r="I3114" s="4">
        <f t="shared" si="143"/>
        <v>349526.07999999996</v>
      </c>
      <c r="J3114" s="32" t="str">
        <f t="shared" si="142"/>
        <v/>
      </c>
      <c r="K3114" s="72"/>
      <c r="L3114" s="72"/>
      <c r="M3114" s="2"/>
      <c r="N3114" s="5"/>
      <c r="O3114" s="3"/>
      <c r="P3114" s="6"/>
      <c r="Q3114" s="48">
        <f>IF(Учет!$O3114=Справочники!$F$2,Учет!$H3114,0)</f>
        <v>0</v>
      </c>
      <c r="R3114" s="48">
        <f>IF(Учет!$O3114=Справочники!$F$3,Учет!$H3114,0)</f>
        <v>0</v>
      </c>
      <c r="S3114" s="48">
        <f>IF(Учет!$O3114=Справочники!$F$4,Учет!$H3114,0)</f>
        <v>0</v>
      </c>
      <c r="T3114" s="48">
        <f>IF(Учет!$O3114=Справочники!$F$5,Учет!$H3114,0)</f>
        <v>0</v>
      </c>
      <c r="U3114" s="48">
        <f>IF(Учет!$O3114=Справочники!$F$6,Учет!$H3114,0)</f>
        <v>0</v>
      </c>
      <c r="V3114" s="43">
        <f>V3113+Учет!Q3114-Q3114</f>
        <v>-488978.92000000004</v>
      </c>
      <c r="W3114" s="43">
        <f>W3113+Учет!R3114-R3114</f>
        <v>336855</v>
      </c>
      <c r="X3114" s="43">
        <f>X3113+Учет!S3114-S3114</f>
        <v>500</v>
      </c>
      <c r="Y3114" s="43">
        <f>Y3113+Учет!T3114-T3114</f>
        <v>1150</v>
      </c>
      <c r="Z3114" s="43">
        <f>Z3113+Учет!U3114-U3114</f>
        <v>500000</v>
      </c>
      <c r="AA3114" s="45">
        <f>Учет!X3114</f>
        <v>500</v>
      </c>
    </row>
    <row r="3115" spans="1:27" ht="15" customHeight="1" x14ac:dyDescent="0.25">
      <c r="A3115" s="1"/>
      <c r="B3115" s="17"/>
      <c r="C3115" s="17"/>
      <c r="D3115" s="17"/>
      <c r="E3115" s="17"/>
      <c r="F3115" s="17"/>
      <c r="G3115" s="4">
        <f t="shared" si="141"/>
        <v>0</v>
      </c>
      <c r="H3115" s="17"/>
      <c r="I3115" s="4">
        <f t="shared" si="143"/>
        <v>349526.07999999996</v>
      </c>
      <c r="J3115" s="32" t="str">
        <f t="shared" si="142"/>
        <v/>
      </c>
      <c r="K3115" s="72"/>
      <c r="L3115" s="72"/>
      <c r="M3115" s="2"/>
      <c r="N3115" s="5"/>
      <c r="O3115" s="3"/>
      <c r="P3115" s="6"/>
      <c r="Q3115" s="48">
        <f>IF(Учет!$O3115=Справочники!$F$2,Учет!$H3115,0)</f>
        <v>0</v>
      </c>
      <c r="R3115" s="48">
        <f>IF(Учет!$O3115=Справочники!$F$3,Учет!$H3115,0)</f>
        <v>0</v>
      </c>
      <c r="S3115" s="48">
        <f>IF(Учет!$O3115=Справочники!$F$4,Учет!$H3115,0)</f>
        <v>0</v>
      </c>
      <c r="T3115" s="48">
        <f>IF(Учет!$O3115=Справочники!$F$5,Учет!$H3115,0)</f>
        <v>0</v>
      </c>
      <c r="U3115" s="48">
        <f>IF(Учет!$O3115=Справочники!$F$6,Учет!$H3115,0)</f>
        <v>0</v>
      </c>
      <c r="V3115" s="43">
        <f>V3114+Учет!Q3115-Q3115</f>
        <v>-488978.92000000004</v>
      </c>
      <c r="W3115" s="43">
        <f>W3114+Учет!R3115-R3115</f>
        <v>336855</v>
      </c>
      <c r="X3115" s="43">
        <f>X3114+Учет!S3115-S3115</f>
        <v>500</v>
      </c>
      <c r="Y3115" s="43">
        <f>Y3114+Учет!T3115-T3115</f>
        <v>1150</v>
      </c>
      <c r="Z3115" s="43">
        <f>Z3114+Учет!U3115-U3115</f>
        <v>500000</v>
      </c>
      <c r="AA3115" s="45">
        <f>Учет!X3115</f>
        <v>500</v>
      </c>
    </row>
    <row r="3116" spans="1:27" ht="15" customHeight="1" x14ac:dyDescent="0.25">
      <c r="A3116" s="1"/>
      <c r="B3116" s="17"/>
      <c r="C3116" s="17"/>
      <c r="D3116" s="17"/>
      <c r="E3116" s="17"/>
      <c r="F3116" s="17"/>
      <c r="G3116" s="4">
        <f t="shared" si="141"/>
        <v>0</v>
      </c>
      <c r="H3116" s="17"/>
      <c r="I3116" s="4">
        <f t="shared" si="143"/>
        <v>349526.07999999996</v>
      </c>
      <c r="J3116" s="32" t="str">
        <f t="shared" si="142"/>
        <v/>
      </c>
      <c r="K3116" s="72"/>
      <c r="L3116" s="72"/>
      <c r="M3116" s="2"/>
      <c r="N3116" s="5"/>
      <c r="O3116" s="3"/>
      <c r="P3116" s="6"/>
      <c r="Q3116" s="48">
        <f>IF(Учет!$O3116=Справочники!$F$2,Учет!$H3116,0)</f>
        <v>0</v>
      </c>
      <c r="R3116" s="48">
        <f>IF(Учет!$O3116=Справочники!$F$3,Учет!$H3116,0)</f>
        <v>0</v>
      </c>
      <c r="S3116" s="48">
        <f>IF(Учет!$O3116=Справочники!$F$4,Учет!$H3116,0)</f>
        <v>0</v>
      </c>
      <c r="T3116" s="48">
        <f>IF(Учет!$O3116=Справочники!$F$5,Учет!$H3116,0)</f>
        <v>0</v>
      </c>
      <c r="U3116" s="48">
        <f>IF(Учет!$O3116=Справочники!$F$6,Учет!$H3116,0)</f>
        <v>0</v>
      </c>
      <c r="V3116" s="43">
        <f>V3115+Учет!Q3116-Q3116</f>
        <v>-488978.92000000004</v>
      </c>
      <c r="W3116" s="43">
        <f>W3115+Учет!R3116-R3116</f>
        <v>336855</v>
      </c>
      <c r="X3116" s="43">
        <f>X3115+Учет!S3116-S3116</f>
        <v>500</v>
      </c>
      <c r="Y3116" s="43">
        <f>Y3115+Учет!T3116-T3116</f>
        <v>1150</v>
      </c>
      <c r="Z3116" s="43">
        <f>Z3115+Учет!U3116-U3116</f>
        <v>500000</v>
      </c>
      <c r="AA3116" s="45">
        <f>Учет!X3116</f>
        <v>500</v>
      </c>
    </row>
    <row r="3117" spans="1:27" ht="15" customHeight="1" x14ac:dyDescent="0.25">
      <c r="A3117" s="1"/>
      <c r="B3117" s="17"/>
      <c r="C3117" s="17"/>
      <c r="D3117" s="17"/>
      <c r="E3117" s="17"/>
      <c r="F3117" s="17"/>
      <c r="G3117" s="4">
        <f t="shared" si="141"/>
        <v>0</v>
      </c>
      <c r="H3117" s="17"/>
      <c r="I3117" s="4">
        <f t="shared" si="143"/>
        <v>349526.07999999996</v>
      </c>
      <c r="J3117" s="32" t="str">
        <f t="shared" si="142"/>
        <v/>
      </c>
      <c r="K3117" s="72"/>
      <c r="L3117" s="72"/>
      <c r="M3117" s="2"/>
      <c r="N3117" s="5"/>
      <c r="O3117" s="3"/>
      <c r="P3117" s="6"/>
      <c r="Q3117" s="48">
        <f>IF(Учет!$O3117=Справочники!$F$2,Учет!$H3117,0)</f>
        <v>0</v>
      </c>
      <c r="R3117" s="48">
        <f>IF(Учет!$O3117=Справочники!$F$3,Учет!$H3117,0)</f>
        <v>0</v>
      </c>
      <c r="S3117" s="48">
        <f>IF(Учет!$O3117=Справочники!$F$4,Учет!$H3117,0)</f>
        <v>0</v>
      </c>
      <c r="T3117" s="48">
        <f>IF(Учет!$O3117=Справочники!$F$5,Учет!$H3117,0)</f>
        <v>0</v>
      </c>
      <c r="U3117" s="48">
        <f>IF(Учет!$O3117=Справочники!$F$6,Учет!$H3117,0)</f>
        <v>0</v>
      </c>
      <c r="V3117" s="43">
        <f>V3116+Учет!Q3117-Q3117</f>
        <v>-488978.92000000004</v>
      </c>
      <c r="W3117" s="43">
        <f>W3116+Учет!R3117-R3117</f>
        <v>336855</v>
      </c>
      <c r="X3117" s="43">
        <f>X3116+Учет!S3117-S3117</f>
        <v>500</v>
      </c>
      <c r="Y3117" s="43">
        <f>Y3116+Учет!T3117-T3117</f>
        <v>1150</v>
      </c>
      <c r="Z3117" s="43">
        <f>Z3116+Учет!U3117-U3117</f>
        <v>500000</v>
      </c>
      <c r="AA3117" s="45">
        <f>Учет!X3117</f>
        <v>500</v>
      </c>
    </row>
    <row r="3118" spans="1:27" ht="15" customHeight="1" x14ac:dyDescent="0.25">
      <c r="A3118" s="1"/>
      <c r="B3118" s="17"/>
      <c r="C3118" s="17"/>
      <c r="D3118" s="17"/>
      <c r="E3118" s="17"/>
      <c r="F3118" s="17"/>
      <c r="G3118" s="4">
        <f t="shared" si="141"/>
        <v>0</v>
      </c>
      <c r="H3118" s="17"/>
      <c r="I3118" s="4">
        <f t="shared" si="143"/>
        <v>349526.07999999996</v>
      </c>
      <c r="J3118" s="32" t="str">
        <f t="shared" si="142"/>
        <v/>
      </c>
      <c r="K3118" s="72"/>
      <c r="L3118" s="72"/>
      <c r="M3118" s="2"/>
      <c r="N3118" s="5"/>
      <c r="O3118" s="3"/>
      <c r="P3118" s="6"/>
      <c r="Q3118" s="48">
        <f>IF(Учет!$O3118=Справочники!$F$2,Учет!$H3118,0)</f>
        <v>0</v>
      </c>
      <c r="R3118" s="48">
        <f>IF(Учет!$O3118=Справочники!$F$3,Учет!$H3118,0)</f>
        <v>0</v>
      </c>
      <c r="S3118" s="48">
        <f>IF(Учет!$O3118=Справочники!$F$4,Учет!$H3118,0)</f>
        <v>0</v>
      </c>
      <c r="T3118" s="48">
        <f>IF(Учет!$O3118=Справочники!$F$5,Учет!$H3118,0)</f>
        <v>0</v>
      </c>
      <c r="U3118" s="48">
        <f>IF(Учет!$O3118=Справочники!$F$6,Учет!$H3118,0)</f>
        <v>0</v>
      </c>
      <c r="V3118" s="43">
        <f>V3117+Учет!Q3118-Q3118</f>
        <v>-488978.92000000004</v>
      </c>
      <c r="W3118" s="43">
        <f>W3117+Учет!R3118-R3118</f>
        <v>336855</v>
      </c>
      <c r="X3118" s="43">
        <f>X3117+Учет!S3118-S3118</f>
        <v>500</v>
      </c>
      <c r="Y3118" s="43">
        <f>Y3117+Учет!T3118-T3118</f>
        <v>1150</v>
      </c>
      <c r="Z3118" s="43">
        <f>Z3117+Учет!U3118-U3118</f>
        <v>500000</v>
      </c>
      <c r="AA3118" s="45">
        <f>Учет!X3118</f>
        <v>500</v>
      </c>
    </row>
    <row r="3119" spans="1:27" ht="15" customHeight="1" x14ac:dyDescent="0.25">
      <c r="A3119" s="1"/>
      <c r="B3119" s="17"/>
      <c r="C3119" s="17"/>
      <c r="D3119" s="17"/>
      <c r="E3119" s="17"/>
      <c r="F3119" s="17"/>
      <c r="G3119" s="4">
        <f t="shared" si="141"/>
        <v>0</v>
      </c>
      <c r="H3119" s="17"/>
      <c r="I3119" s="4">
        <f t="shared" si="143"/>
        <v>349526.07999999996</v>
      </c>
      <c r="J3119" s="32" t="str">
        <f t="shared" si="142"/>
        <v/>
      </c>
      <c r="K3119" s="72"/>
      <c r="L3119" s="72"/>
      <c r="M3119" s="2"/>
      <c r="N3119" s="5"/>
      <c r="O3119" s="3"/>
      <c r="P3119" s="6"/>
      <c r="Q3119" s="48">
        <f>IF(Учет!$O3119=Справочники!$F$2,Учет!$H3119,0)</f>
        <v>0</v>
      </c>
      <c r="R3119" s="48">
        <f>IF(Учет!$O3119=Справочники!$F$3,Учет!$H3119,0)</f>
        <v>0</v>
      </c>
      <c r="S3119" s="48">
        <f>IF(Учет!$O3119=Справочники!$F$4,Учет!$H3119,0)</f>
        <v>0</v>
      </c>
      <c r="T3119" s="48">
        <f>IF(Учет!$O3119=Справочники!$F$5,Учет!$H3119,0)</f>
        <v>0</v>
      </c>
      <c r="U3119" s="48">
        <f>IF(Учет!$O3119=Справочники!$F$6,Учет!$H3119,0)</f>
        <v>0</v>
      </c>
      <c r="V3119" s="43">
        <f>V3118+Учет!Q3119-Q3119</f>
        <v>-488978.92000000004</v>
      </c>
      <c r="W3119" s="43">
        <f>W3118+Учет!R3119-R3119</f>
        <v>336855</v>
      </c>
      <c r="X3119" s="43">
        <f>X3118+Учет!S3119-S3119</f>
        <v>500</v>
      </c>
      <c r="Y3119" s="43">
        <f>Y3118+Учет!T3119-T3119</f>
        <v>1150</v>
      </c>
      <c r="Z3119" s="43">
        <f>Z3118+Учет!U3119-U3119</f>
        <v>500000</v>
      </c>
      <c r="AA3119" s="45">
        <f>Учет!X3119</f>
        <v>500</v>
      </c>
    </row>
    <row r="3120" spans="1:27" ht="15" customHeight="1" x14ac:dyDescent="0.25">
      <c r="A3120" s="1"/>
      <c r="B3120" s="17"/>
      <c r="C3120" s="17"/>
      <c r="D3120" s="17"/>
      <c r="E3120" s="17"/>
      <c r="F3120" s="17"/>
      <c r="G3120" s="4">
        <f t="shared" si="141"/>
        <v>0</v>
      </c>
      <c r="H3120" s="17"/>
      <c r="I3120" s="4">
        <f t="shared" si="143"/>
        <v>349526.07999999996</v>
      </c>
      <c r="J3120" s="32" t="str">
        <f t="shared" si="142"/>
        <v/>
      </c>
      <c r="K3120" s="72"/>
      <c r="L3120" s="72"/>
      <c r="M3120" s="2"/>
      <c r="N3120" s="5"/>
      <c r="O3120" s="3"/>
      <c r="P3120" s="6"/>
      <c r="Q3120" s="48">
        <f>IF(Учет!$O3120=Справочники!$F$2,Учет!$H3120,0)</f>
        <v>0</v>
      </c>
      <c r="R3120" s="48">
        <f>IF(Учет!$O3120=Справочники!$F$3,Учет!$H3120,0)</f>
        <v>0</v>
      </c>
      <c r="S3120" s="48">
        <f>IF(Учет!$O3120=Справочники!$F$4,Учет!$H3120,0)</f>
        <v>0</v>
      </c>
      <c r="T3120" s="48">
        <f>IF(Учет!$O3120=Справочники!$F$5,Учет!$H3120,0)</f>
        <v>0</v>
      </c>
      <c r="U3120" s="48">
        <f>IF(Учет!$O3120=Справочники!$F$6,Учет!$H3120,0)</f>
        <v>0</v>
      </c>
      <c r="V3120" s="43">
        <f>V3119+Учет!Q3120-Q3120</f>
        <v>-488978.92000000004</v>
      </c>
      <c r="W3120" s="43">
        <f>W3119+Учет!R3120-R3120</f>
        <v>336855</v>
      </c>
      <c r="X3120" s="43">
        <f>X3119+Учет!S3120-S3120</f>
        <v>500</v>
      </c>
      <c r="Y3120" s="43">
        <f>Y3119+Учет!T3120-T3120</f>
        <v>1150</v>
      </c>
      <c r="Z3120" s="43">
        <f>Z3119+Учет!U3120-U3120</f>
        <v>500000</v>
      </c>
      <c r="AA3120" s="45">
        <f>Учет!X3120</f>
        <v>500</v>
      </c>
    </row>
    <row r="3121" spans="1:27" ht="15" customHeight="1" x14ac:dyDescent="0.25">
      <c r="A3121" s="1"/>
      <c r="B3121" s="17"/>
      <c r="C3121" s="17"/>
      <c r="D3121" s="17"/>
      <c r="E3121" s="17"/>
      <c r="F3121" s="17"/>
      <c r="G3121" s="4">
        <f t="shared" si="141"/>
        <v>0</v>
      </c>
      <c r="H3121" s="17"/>
      <c r="I3121" s="4">
        <f t="shared" si="143"/>
        <v>349526.07999999996</v>
      </c>
      <c r="J3121" s="32" t="str">
        <f t="shared" si="142"/>
        <v/>
      </c>
      <c r="K3121" s="72"/>
      <c r="L3121" s="72"/>
      <c r="M3121" s="2"/>
      <c r="N3121" s="5"/>
      <c r="O3121" s="3"/>
      <c r="P3121" s="6"/>
      <c r="Q3121" s="48">
        <f>IF(Учет!$O3121=Справочники!$F$2,Учет!$H3121,0)</f>
        <v>0</v>
      </c>
      <c r="R3121" s="48">
        <f>IF(Учет!$O3121=Справочники!$F$3,Учет!$H3121,0)</f>
        <v>0</v>
      </c>
      <c r="S3121" s="48">
        <f>IF(Учет!$O3121=Справочники!$F$4,Учет!$H3121,0)</f>
        <v>0</v>
      </c>
      <c r="T3121" s="48">
        <f>IF(Учет!$O3121=Справочники!$F$5,Учет!$H3121,0)</f>
        <v>0</v>
      </c>
      <c r="U3121" s="48">
        <f>IF(Учет!$O3121=Справочники!$F$6,Учет!$H3121,0)</f>
        <v>0</v>
      </c>
      <c r="V3121" s="43">
        <f>V3120+Учет!Q3121-Q3121</f>
        <v>-488978.92000000004</v>
      </c>
      <c r="W3121" s="43">
        <f>W3120+Учет!R3121-R3121</f>
        <v>336855</v>
      </c>
      <c r="X3121" s="43">
        <f>X3120+Учет!S3121-S3121</f>
        <v>500</v>
      </c>
      <c r="Y3121" s="43">
        <f>Y3120+Учет!T3121-T3121</f>
        <v>1150</v>
      </c>
      <c r="Z3121" s="43">
        <f>Z3120+Учет!U3121-U3121</f>
        <v>500000</v>
      </c>
      <c r="AA3121" s="45">
        <f>Учет!X3121</f>
        <v>500</v>
      </c>
    </row>
    <row r="3122" spans="1:27" ht="15" customHeight="1" x14ac:dyDescent="0.25">
      <c r="A3122" s="1"/>
      <c r="B3122" s="17"/>
      <c r="C3122" s="17"/>
      <c r="D3122" s="17"/>
      <c r="E3122" s="17"/>
      <c r="F3122" s="17"/>
      <c r="G3122" s="4">
        <f t="shared" si="141"/>
        <v>0</v>
      </c>
      <c r="H3122" s="17"/>
      <c r="I3122" s="4">
        <f t="shared" si="143"/>
        <v>349526.07999999996</v>
      </c>
      <c r="J3122" s="32" t="str">
        <f t="shared" si="142"/>
        <v/>
      </c>
      <c r="K3122" s="72"/>
      <c r="L3122" s="72"/>
      <c r="M3122" s="2"/>
      <c r="N3122" s="5"/>
      <c r="O3122" s="3"/>
      <c r="P3122" s="6"/>
      <c r="Q3122" s="48">
        <f>IF(Учет!$O3122=Справочники!$F$2,Учет!$H3122,0)</f>
        <v>0</v>
      </c>
      <c r="R3122" s="48">
        <f>IF(Учет!$O3122=Справочники!$F$3,Учет!$H3122,0)</f>
        <v>0</v>
      </c>
      <c r="S3122" s="48">
        <f>IF(Учет!$O3122=Справочники!$F$4,Учет!$H3122,0)</f>
        <v>0</v>
      </c>
      <c r="T3122" s="48">
        <f>IF(Учет!$O3122=Справочники!$F$5,Учет!$H3122,0)</f>
        <v>0</v>
      </c>
      <c r="U3122" s="48">
        <f>IF(Учет!$O3122=Справочники!$F$6,Учет!$H3122,0)</f>
        <v>0</v>
      </c>
      <c r="V3122" s="43">
        <f>V3121+Учет!Q3122-Q3122</f>
        <v>-488978.92000000004</v>
      </c>
      <c r="W3122" s="43">
        <f>W3121+Учет!R3122-R3122</f>
        <v>336855</v>
      </c>
      <c r="X3122" s="43">
        <f>X3121+Учет!S3122-S3122</f>
        <v>500</v>
      </c>
      <c r="Y3122" s="43">
        <f>Y3121+Учет!T3122-T3122</f>
        <v>1150</v>
      </c>
      <c r="Z3122" s="43">
        <f>Z3121+Учет!U3122-U3122</f>
        <v>500000</v>
      </c>
      <c r="AA3122" s="45">
        <f>Учет!X3122</f>
        <v>500</v>
      </c>
    </row>
    <row r="3123" spans="1:27" ht="15" customHeight="1" x14ac:dyDescent="0.25">
      <c r="A3123" s="1"/>
      <c r="B3123" s="17"/>
      <c r="C3123" s="17"/>
      <c r="D3123" s="17"/>
      <c r="E3123" s="17"/>
      <c r="F3123" s="17"/>
      <c r="G3123" s="4">
        <f t="shared" si="141"/>
        <v>0</v>
      </c>
      <c r="H3123" s="17"/>
      <c r="I3123" s="4">
        <f t="shared" si="143"/>
        <v>349526.07999999996</v>
      </c>
      <c r="J3123" s="32" t="str">
        <f t="shared" si="142"/>
        <v/>
      </c>
      <c r="K3123" s="72"/>
      <c r="L3123" s="72"/>
      <c r="M3123" s="2"/>
      <c r="N3123" s="5"/>
      <c r="O3123" s="3"/>
      <c r="P3123" s="6"/>
      <c r="Q3123" s="48">
        <f>IF(Учет!$O3123=Справочники!$F$2,Учет!$H3123,0)</f>
        <v>0</v>
      </c>
      <c r="R3123" s="48">
        <f>IF(Учет!$O3123=Справочники!$F$3,Учет!$H3123,0)</f>
        <v>0</v>
      </c>
      <c r="S3123" s="48">
        <f>IF(Учет!$O3123=Справочники!$F$4,Учет!$H3123,0)</f>
        <v>0</v>
      </c>
      <c r="T3123" s="48">
        <f>IF(Учет!$O3123=Справочники!$F$5,Учет!$H3123,0)</f>
        <v>0</v>
      </c>
      <c r="U3123" s="48">
        <f>IF(Учет!$O3123=Справочники!$F$6,Учет!$H3123,0)</f>
        <v>0</v>
      </c>
      <c r="V3123" s="43">
        <f>V3122+Учет!Q3123-Q3123</f>
        <v>-488978.92000000004</v>
      </c>
      <c r="W3123" s="43">
        <f>W3122+Учет!R3123-R3123</f>
        <v>336855</v>
      </c>
      <c r="X3123" s="43">
        <f>X3122+Учет!S3123-S3123</f>
        <v>500</v>
      </c>
      <c r="Y3123" s="43">
        <f>Y3122+Учет!T3123-T3123</f>
        <v>1150</v>
      </c>
      <c r="Z3123" s="43">
        <f>Z3122+Учет!U3123-U3123</f>
        <v>500000</v>
      </c>
      <c r="AA3123" s="45">
        <f>Учет!X3123</f>
        <v>500</v>
      </c>
    </row>
    <row r="3124" spans="1:27" ht="15" customHeight="1" x14ac:dyDescent="0.25">
      <c r="A3124" s="1"/>
      <c r="B3124" s="17"/>
      <c r="C3124" s="17"/>
      <c r="D3124" s="17"/>
      <c r="E3124" s="17"/>
      <c r="F3124" s="17"/>
      <c r="G3124" s="4">
        <f t="shared" si="141"/>
        <v>0</v>
      </c>
      <c r="H3124" s="17"/>
      <c r="I3124" s="4">
        <f t="shared" si="143"/>
        <v>349526.07999999996</v>
      </c>
      <c r="J3124" s="32" t="str">
        <f t="shared" si="142"/>
        <v/>
      </c>
      <c r="K3124" s="72"/>
      <c r="L3124" s="72"/>
      <c r="M3124" s="2"/>
      <c r="N3124" s="5"/>
      <c r="O3124" s="3"/>
      <c r="P3124" s="6"/>
      <c r="Q3124" s="48">
        <f>IF(Учет!$O3124=Справочники!$F$2,Учет!$H3124,0)</f>
        <v>0</v>
      </c>
      <c r="R3124" s="48">
        <f>IF(Учет!$O3124=Справочники!$F$3,Учет!$H3124,0)</f>
        <v>0</v>
      </c>
      <c r="S3124" s="48">
        <f>IF(Учет!$O3124=Справочники!$F$4,Учет!$H3124,0)</f>
        <v>0</v>
      </c>
      <c r="T3124" s="48">
        <f>IF(Учет!$O3124=Справочники!$F$5,Учет!$H3124,0)</f>
        <v>0</v>
      </c>
      <c r="U3124" s="48">
        <f>IF(Учет!$O3124=Справочники!$F$6,Учет!$H3124,0)</f>
        <v>0</v>
      </c>
      <c r="V3124" s="43">
        <f>V3123+Учет!Q3124-Q3124</f>
        <v>-488978.92000000004</v>
      </c>
      <c r="W3124" s="43">
        <f>W3123+Учет!R3124-R3124</f>
        <v>336855</v>
      </c>
      <c r="X3124" s="43">
        <f>X3123+Учет!S3124-S3124</f>
        <v>500</v>
      </c>
      <c r="Y3124" s="43">
        <f>Y3123+Учет!T3124-T3124</f>
        <v>1150</v>
      </c>
      <c r="Z3124" s="43">
        <f>Z3123+Учет!U3124-U3124</f>
        <v>500000</v>
      </c>
      <c r="AA3124" s="45">
        <f>Учет!X3124</f>
        <v>500</v>
      </c>
    </row>
    <row r="3125" spans="1:27" ht="15" customHeight="1" x14ac:dyDescent="0.25">
      <c r="A3125" s="1"/>
      <c r="B3125" s="17"/>
      <c r="C3125" s="17"/>
      <c r="D3125" s="17"/>
      <c r="E3125" s="17"/>
      <c r="F3125" s="17"/>
      <c r="G3125" s="4">
        <f t="shared" si="141"/>
        <v>0</v>
      </c>
      <c r="H3125" s="17"/>
      <c r="I3125" s="4">
        <f t="shared" si="143"/>
        <v>349526.07999999996</v>
      </c>
      <c r="J3125" s="32" t="str">
        <f t="shared" si="142"/>
        <v/>
      </c>
      <c r="K3125" s="72"/>
      <c r="L3125" s="72"/>
      <c r="M3125" s="2"/>
      <c r="N3125" s="5"/>
      <c r="O3125" s="3"/>
      <c r="P3125" s="6"/>
      <c r="Q3125" s="48">
        <f>IF(Учет!$O3125=Справочники!$F$2,Учет!$H3125,0)</f>
        <v>0</v>
      </c>
      <c r="R3125" s="48">
        <f>IF(Учет!$O3125=Справочники!$F$3,Учет!$H3125,0)</f>
        <v>0</v>
      </c>
      <c r="S3125" s="48">
        <f>IF(Учет!$O3125=Справочники!$F$4,Учет!$H3125,0)</f>
        <v>0</v>
      </c>
      <c r="T3125" s="48">
        <f>IF(Учет!$O3125=Справочники!$F$5,Учет!$H3125,0)</f>
        <v>0</v>
      </c>
      <c r="U3125" s="48">
        <f>IF(Учет!$O3125=Справочники!$F$6,Учет!$H3125,0)</f>
        <v>0</v>
      </c>
      <c r="V3125" s="43">
        <f>V3124+Учет!Q3125-Q3125</f>
        <v>-488978.92000000004</v>
      </c>
      <c r="W3125" s="43">
        <f>W3124+Учет!R3125-R3125</f>
        <v>336855</v>
      </c>
      <c r="X3125" s="43">
        <f>X3124+Учет!S3125-S3125</f>
        <v>500</v>
      </c>
      <c r="Y3125" s="43">
        <f>Y3124+Учет!T3125-T3125</f>
        <v>1150</v>
      </c>
      <c r="Z3125" s="43">
        <f>Z3124+Учет!U3125-U3125</f>
        <v>500000</v>
      </c>
      <c r="AA3125" s="45">
        <f>Учет!X3125</f>
        <v>500</v>
      </c>
    </row>
    <row r="3126" spans="1:27" ht="15" customHeight="1" x14ac:dyDescent="0.25">
      <c r="A3126" s="1"/>
      <c r="B3126" s="17"/>
      <c r="C3126" s="17"/>
      <c r="D3126" s="17"/>
      <c r="E3126" s="17"/>
      <c r="F3126" s="17"/>
      <c r="G3126" s="4">
        <f t="shared" si="141"/>
        <v>0</v>
      </c>
      <c r="H3126" s="17"/>
      <c r="I3126" s="4">
        <f t="shared" si="143"/>
        <v>349526.07999999996</v>
      </c>
      <c r="J3126" s="32" t="str">
        <f t="shared" si="142"/>
        <v/>
      </c>
      <c r="K3126" s="72"/>
      <c r="L3126" s="72"/>
      <c r="M3126" s="2"/>
      <c r="N3126" s="5"/>
      <c r="O3126" s="3"/>
      <c r="P3126" s="6"/>
      <c r="Q3126" s="48">
        <f>IF(Учет!$O3126=Справочники!$F$2,Учет!$H3126,0)</f>
        <v>0</v>
      </c>
      <c r="R3126" s="48">
        <f>IF(Учет!$O3126=Справочники!$F$3,Учет!$H3126,0)</f>
        <v>0</v>
      </c>
      <c r="S3126" s="48">
        <f>IF(Учет!$O3126=Справочники!$F$4,Учет!$H3126,0)</f>
        <v>0</v>
      </c>
      <c r="T3126" s="48">
        <f>IF(Учет!$O3126=Справочники!$F$5,Учет!$H3126,0)</f>
        <v>0</v>
      </c>
      <c r="U3126" s="48">
        <f>IF(Учет!$O3126=Справочники!$F$6,Учет!$H3126,0)</f>
        <v>0</v>
      </c>
      <c r="V3126" s="43">
        <f>V3125+Учет!Q3126-Q3126</f>
        <v>-488978.92000000004</v>
      </c>
      <c r="W3126" s="43">
        <f>W3125+Учет!R3126-R3126</f>
        <v>336855</v>
      </c>
      <c r="X3126" s="43">
        <f>X3125+Учет!S3126-S3126</f>
        <v>500</v>
      </c>
      <c r="Y3126" s="43">
        <f>Y3125+Учет!T3126-T3126</f>
        <v>1150</v>
      </c>
      <c r="Z3126" s="43">
        <f>Z3125+Учет!U3126-U3126</f>
        <v>500000</v>
      </c>
      <c r="AA3126" s="45">
        <f>Учет!X3126</f>
        <v>500</v>
      </c>
    </row>
    <row r="3127" spans="1:27" ht="15" customHeight="1" x14ac:dyDescent="0.25">
      <c r="A3127" s="1"/>
      <c r="B3127" s="17"/>
      <c r="C3127" s="17"/>
      <c r="D3127" s="17"/>
      <c r="E3127" s="17"/>
      <c r="F3127" s="17"/>
      <c r="G3127" s="4">
        <f t="shared" si="141"/>
        <v>0</v>
      </c>
      <c r="H3127" s="17"/>
      <c r="I3127" s="4">
        <f t="shared" si="143"/>
        <v>349526.07999999996</v>
      </c>
      <c r="J3127" s="32" t="str">
        <f t="shared" si="142"/>
        <v/>
      </c>
      <c r="K3127" s="72"/>
      <c r="L3127" s="72"/>
      <c r="M3127" s="2"/>
      <c r="N3127" s="5"/>
      <c r="O3127" s="3"/>
      <c r="P3127" s="6"/>
      <c r="Q3127" s="48">
        <f>IF(Учет!$O3127=Справочники!$F$2,Учет!$H3127,0)</f>
        <v>0</v>
      </c>
      <c r="R3127" s="48">
        <f>IF(Учет!$O3127=Справочники!$F$3,Учет!$H3127,0)</f>
        <v>0</v>
      </c>
      <c r="S3127" s="48">
        <f>IF(Учет!$O3127=Справочники!$F$4,Учет!$H3127,0)</f>
        <v>0</v>
      </c>
      <c r="T3127" s="48">
        <f>IF(Учет!$O3127=Справочники!$F$5,Учет!$H3127,0)</f>
        <v>0</v>
      </c>
      <c r="U3127" s="48">
        <f>IF(Учет!$O3127=Справочники!$F$6,Учет!$H3127,0)</f>
        <v>0</v>
      </c>
      <c r="V3127" s="43">
        <f>V3126+Учет!Q3127-Q3127</f>
        <v>-488978.92000000004</v>
      </c>
      <c r="W3127" s="43">
        <f>W3126+Учет!R3127-R3127</f>
        <v>336855</v>
      </c>
      <c r="X3127" s="43">
        <f>X3126+Учет!S3127-S3127</f>
        <v>500</v>
      </c>
      <c r="Y3127" s="43">
        <f>Y3126+Учет!T3127-T3127</f>
        <v>1150</v>
      </c>
      <c r="Z3127" s="43">
        <f>Z3126+Учет!U3127-U3127</f>
        <v>500000</v>
      </c>
      <c r="AA3127" s="45">
        <f>Учет!X3127</f>
        <v>500</v>
      </c>
    </row>
    <row r="3128" spans="1:27" ht="15" customHeight="1" x14ac:dyDescent="0.25">
      <c r="A3128" s="1"/>
      <c r="B3128" s="17"/>
      <c r="C3128" s="17"/>
      <c r="D3128" s="17"/>
      <c r="E3128" s="17"/>
      <c r="F3128" s="17"/>
      <c r="G3128" s="4">
        <f t="shared" si="141"/>
        <v>0</v>
      </c>
      <c r="H3128" s="17"/>
      <c r="I3128" s="4">
        <f t="shared" si="143"/>
        <v>349526.07999999996</v>
      </c>
      <c r="J3128" s="32" t="str">
        <f t="shared" si="142"/>
        <v/>
      </c>
      <c r="K3128" s="72"/>
      <c r="L3128" s="72"/>
      <c r="M3128" s="2"/>
      <c r="N3128" s="5"/>
      <c r="O3128" s="3"/>
      <c r="P3128" s="6"/>
      <c r="Q3128" s="48">
        <f>IF(Учет!$O3128=Справочники!$F$2,Учет!$H3128,0)</f>
        <v>0</v>
      </c>
      <c r="R3128" s="48">
        <f>IF(Учет!$O3128=Справочники!$F$3,Учет!$H3128,0)</f>
        <v>0</v>
      </c>
      <c r="S3128" s="48">
        <f>IF(Учет!$O3128=Справочники!$F$4,Учет!$H3128,0)</f>
        <v>0</v>
      </c>
      <c r="T3128" s="48">
        <f>IF(Учет!$O3128=Справочники!$F$5,Учет!$H3128,0)</f>
        <v>0</v>
      </c>
      <c r="U3128" s="48">
        <f>IF(Учет!$O3128=Справочники!$F$6,Учет!$H3128,0)</f>
        <v>0</v>
      </c>
      <c r="V3128" s="43">
        <f>V3127+Учет!Q3128-Q3128</f>
        <v>-488978.92000000004</v>
      </c>
      <c r="W3128" s="43">
        <f>W3127+Учет!R3128-R3128</f>
        <v>336855</v>
      </c>
      <c r="X3128" s="43">
        <f>X3127+Учет!S3128-S3128</f>
        <v>500</v>
      </c>
      <c r="Y3128" s="43">
        <f>Y3127+Учет!T3128-T3128</f>
        <v>1150</v>
      </c>
      <c r="Z3128" s="43">
        <f>Z3127+Учет!U3128-U3128</f>
        <v>500000</v>
      </c>
      <c r="AA3128" s="45">
        <f>Учет!X3128</f>
        <v>500</v>
      </c>
    </row>
    <row r="3129" spans="1:27" ht="15" customHeight="1" x14ac:dyDescent="0.25">
      <c r="A3129" s="1"/>
      <c r="B3129" s="17"/>
      <c r="C3129" s="17"/>
      <c r="D3129" s="17"/>
      <c r="E3129" s="17"/>
      <c r="F3129" s="17"/>
      <c r="G3129" s="4">
        <f t="shared" si="141"/>
        <v>0</v>
      </c>
      <c r="H3129" s="17"/>
      <c r="I3129" s="4">
        <f t="shared" si="143"/>
        <v>349526.07999999996</v>
      </c>
      <c r="J3129" s="32" t="str">
        <f t="shared" si="142"/>
        <v/>
      </c>
      <c r="K3129" s="72"/>
      <c r="L3129" s="72"/>
      <c r="M3129" s="2"/>
      <c r="N3129" s="5"/>
      <c r="O3129" s="3"/>
      <c r="P3129" s="6"/>
      <c r="Q3129" s="48">
        <f>IF(Учет!$O3129=Справочники!$F$2,Учет!$H3129,0)</f>
        <v>0</v>
      </c>
      <c r="R3129" s="48">
        <f>IF(Учет!$O3129=Справочники!$F$3,Учет!$H3129,0)</f>
        <v>0</v>
      </c>
      <c r="S3129" s="48">
        <f>IF(Учет!$O3129=Справочники!$F$4,Учет!$H3129,0)</f>
        <v>0</v>
      </c>
      <c r="T3129" s="48">
        <f>IF(Учет!$O3129=Справочники!$F$5,Учет!$H3129,0)</f>
        <v>0</v>
      </c>
      <c r="U3129" s="48">
        <f>IF(Учет!$O3129=Справочники!$F$6,Учет!$H3129,0)</f>
        <v>0</v>
      </c>
      <c r="V3129" s="43">
        <f>V3128+Учет!Q3129-Q3129</f>
        <v>-488978.92000000004</v>
      </c>
      <c r="W3129" s="43">
        <f>W3128+Учет!R3129-R3129</f>
        <v>336855</v>
      </c>
      <c r="X3129" s="43">
        <f>X3128+Учет!S3129-S3129</f>
        <v>500</v>
      </c>
      <c r="Y3129" s="43">
        <f>Y3128+Учет!T3129-T3129</f>
        <v>1150</v>
      </c>
      <c r="Z3129" s="43">
        <f>Z3128+Учет!U3129-U3129</f>
        <v>500000</v>
      </c>
      <c r="AA3129" s="45">
        <f>Учет!X3129</f>
        <v>500</v>
      </c>
    </row>
    <row r="3130" spans="1:27" ht="15" customHeight="1" x14ac:dyDescent="0.25">
      <c r="A3130" s="1"/>
      <c r="B3130" s="17"/>
      <c r="C3130" s="17"/>
      <c r="D3130" s="17"/>
      <c r="E3130" s="17"/>
      <c r="F3130" s="17"/>
      <c r="G3130" s="4">
        <f t="shared" si="141"/>
        <v>0</v>
      </c>
      <c r="H3130" s="17"/>
      <c r="I3130" s="4">
        <f t="shared" si="143"/>
        <v>349526.07999999996</v>
      </c>
      <c r="J3130" s="32" t="str">
        <f t="shared" si="142"/>
        <v/>
      </c>
      <c r="K3130" s="72"/>
      <c r="L3130" s="72"/>
      <c r="M3130" s="2"/>
      <c r="N3130" s="5"/>
      <c r="O3130" s="3"/>
      <c r="P3130" s="6"/>
      <c r="Q3130" s="48">
        <f>IF(Учет!$O3130=Справочники!$F$2,Учет!$H3130,0)</f>
        <v>0</v>
      </c>
      <c r="R3130" s="48">
        <f>IF(Учет!$O3130=Справочники!$F$3,Учет!$H3130,0)</f>
        <v>0</v>
      </c>
      <c r="S3130" s="48">
        <f>IF(Учет!$O3130=Справочники!$F$4,Учет!$H3130,0)</f>
        <v>0</v>
      </c>
      <c r="T3130" s="48">
        <f>IF(Учет!$O3130=Справочники!$F$5,Учет!$H3130,0)</f>
        <v>0</v>
      </c>
      <c r="U3130" s="48">
        <f>IF(Учет!$O3130=Справочники!$F$6,Учет!$H3130,0)</f>
        <v>0</v>
      </c>
      <c r="V3130" s="43">
        <f>V3129+Учет!Q3130-Q3130</f>
        <v>-488978.92000000004</v>
      </c>
      <c r="W3130" s="43">
        <f>W3129+Учет!R3130-R3130</f>
        <v>336855</v>
      </c>
      <c r="X3130" s="43">
        <f>X3129+Учет!S3130-S3130</f>
        <v>500</v>
      </c>
      <c r="Y3130" s="43">
        <f>Y3129+Учет!T3130-T3130</f>
        <v>1150</v>
      </c>
      <c r="Z3130" s="43">
        <f>Z3129+Учет!U3130-U3130</f>
        <v>500000</v>
      </c>
      <c r="AA3130" s="45">
        <f>Учет!X3130</f>
        <v>500</v>
      </c>
    </row>
    <row r="3131" spans="1:27" ht="15" customHeight="1" x14ac:dyDescent="0.25">
      <c r="A3131" s="1"/>
      <c r="B3131" s="17"/>
      <c r="C3131" s="17"/>
      <c r="D3131" s="17"/>
      <c r="E3131" s="17"/>
      <c r="F3131" s="17"/>
      <c r="G3131" s="4">
        <f t="shared" si="141"/>
        <v>0</v>
      </c>
      <c r="H3131" s="17"/>
      <c r="I3131" s="4">
        <f t="shared" si="143"/>
        <v>349526.07999999996</v>
      </c>
      <c r="J3131" s="32" t="str">
        <f t="shared" si="142"/>
        <v/>
      </c>
      <c r="K3131" s="72"/>
      <c r="L3131" s="72"/>
      <c r="M3131" s="2"/>
      <c r="N3131" s="5"/>
      <c r="O3131" s="3"/>
      <c r="P3131" s="6"/>
      <c r="Q3131" s="48">
        <f>IF(Учет!$O3131=Справочники!$F$2,Учет!$H3131,0)</f>
        <v>0</v>
      </c>
      <c r="R3131" s="48">
        <f>IF(Учет!$O3131=Справочники!$F$3,Учет!$H3131,0)</f>
        <v>0</v>
      </c>
      <c r="S3131" s="48">
        <f>IF(Учет!$O3131=Справочники!$F$4,Учет!$H3131,0)</f>
        <v>0</v>
      </c>
      <c r="T3131" s="48">
        <f>IF(Учет!$O3131=Справочники!$F$5,Учет!$H3131,0)</f>
        <v>0</v>
      </c>
      <c r="U3131" s="48">
        <f>IF(Учет!$O3131=Справочники!$F$6,Учет!$H3131,0)</f>
        <v>0</v>
      </c>
      <c r="V3131" s="43">
        <f>V3130+Учет!Q3131-Q3131</f>
        <v>-488978.92000000004</v>
      </c>
      <c r="W3131" s="43">
        <f>W3130+Учет!R3131-R3131</f>
        <v>336855</v>
      </c>
      <c r="X3131" s="43">
        <f>X3130+Учет!S3131-S3131</f>
        <v>500</v>
      </c>
      <c r="Y3131" s="43">
        <f>Y3130+Учет!T3131-T3131</f>
        <v>1150</v>
      </c>
      <c r="Z3131" s="43">
        <f>Z3130+Учет!U3131-U3131</f>
        <v>500000</v>
      </c>
      <c r="AA3131" s="45">
        <f>Учет!X3131</f>
        <v>500</v>
      </c>
    </row>
    <row r="3132" spans="1:27" ht="15" customHeight="1" x14ac:dyDescent="0.25">
      <c r="A3132" s="1"/>
      <c r="B3132" s="17"/>
      <c r="C3132" s="17"/>
      <c r="D3132" s="17"/>
      <c r="E3132" s="17"/>
      <c r="F3132" s="17"/>
      <c r="G3132" s="4">
        <f t="shared" si="141"/>
        <v>0</v>
      </c>
      <c r="H3132" s="17"/>
      <c r="I3132" s="4">
        <f t="shared" si="143"/>
        <v>349526.07999999996</v>
      </c>
      <c r="J3132" s="32" t="str">
        <f t="shared" si="142"/>
        <v/>
      </c>
      <c r="K3132" s="72"/>
      <c r="L3132" s="72"/>
      <c r="M3132" s="2"/>
      <c r="N3132" s="5"/>
      <c r="O3132" s="3"/>
      <c r="P3132" s="6"/>
      <c r="Q3132" s="48">
        <f>IF(Учет!$O3132=Справочники!$F$2,Учет!$H3132,0)</f>
        <v>0</v>
      </c>
      <c r="R3132" s="48">
        <f>IF(Учет!$O3132=Справочники!$F$3,Учет!$H3132,0)</f>
        <v>0</v>
      </c>
      <c r="S3132" s="48">
        <f>IF(Учет!$O3132=Справочники!$F$4,Учет!$H3132,0)</f>
        <v>0</v>
      </c>
      <c r="T3132" s="48">
        <f>IF(Учет!$O3132=Справочники!$F$5,Учет!$H3132,0)</f>
        <v>0</v>
      </c>
      <c r="U3132" s="48">
        <f>IF(Учет!$O3132=Справочники!$F$6,Учет!$H3132,0)</f>
        <v>0</v>
      </c>
      <c r="V3132" s="43">
        <f>V3131+Учет!Q3132-Q3132</f>
        <v>-488978.92000000004</v>
      </c>
      <c r="W3132" s="43">
        <f>W3131+Учет!R3132-R3132</f>
        <v>336855</v>
      </c>
      <c r="X3132" s="43">
        <f>X3131+Учет!S3132-S3132</f>
        <v>500</v>
      </c>
      <c r="Y3132" s="43">
        <f>Y3131+Учет!T3132-T3132</f>
        <v>1150</v>
      </c>
      <c r="Z3132" s="43">
        <f>Z3131+Учет!U3132-U3132</f>
        <v>500000</v>
      </c>
      <c r="AA3132" s="45">
        <f>Учет!X3132</f>
        <v>500</v>
      </c>
    </row>
    <row r="3133" spans="1:27" ht="15" customHeight="1" x14ac:dyDescent="0.25">
      <c r="A3133" s="1"/>
      <c r="B3133" s="17"/>
      <c r="C3133" s="17"/>
      <c r="D3133" s="17"/>
      <c r="E3133" s="17"/>
      <c r="F3133" s="17"/>
      <c r="G3133" s="4">
        <f t="shared" si="141"/>
        <v>0</v>
      </c>
      <c r="H3133" s="17"/>
      <c r="I3133" s="4">
        <f t="shared" si="143"/>
        <v>349526.07999999996</v>
      </c>
      <c r="J3133" s="32" t="str">
        <f t="shared" si="142"/>
        <v/>
      </c>
      <c r="K3133" s="72"/>
      <c r="L3133" s="72"/>
      <c r="M3133" s="2"/>
      <c r="N3133" s="5"/>
      <c r="O3133" s="3"/>
      <c r="P3133" s="6"/>
      <c r="Q3133" s="48">
        <f>IF(Учет!$O3133=Справочники!$F$2,Учет!$H3133,0)</f>
        <v>0</v>
      </c>
      <c r="R3133" s="48">
        <f>IF(Учет!$O3133=Справочники!$F$3,Учет!$H3133,0)</f>
        <v>0</v>
      </c>
      <c r="S3133" s="48">
        <f>IF(Учет!$O3133=Справочники!$F$4,Учет!$H3133,0)</f>
        <v>0</v>
      </c>
      <c r="T3133" s="48">
        <f>IF(Учет!$O3133=Справочники!$F$5,Учет!$H3133,0)</f>
        <v>0</v>
      </c>
      <c r="U3133" s="48">
        <f>IF(Учет!$O3133=Справочники!$F$6,Учет!$H3133,0)</f>
        <v>0</v>
      </c>
      <c r="V3133" s="43">
        <f>V3132+Учет!Q3133-Q3133</f>
        <v>-488978.92000000004</v>
      </c>
      <c r="W3133" s="43">
        <f>W3132+Учет!R3133-R3133</f>
        <v>336855</v>
      </c>
      <c r="X3133" s="43">
        <f>X3132+Учет!S3133-S3133</f>
        <v>500</v>
      </c>
      <c r="Y3133" s="43">
        <f>Y3132+Учет!T3133-T3133</f>
        <v>1150</v>
      </c>
      <c r="Z3133" s="43">
        <f>Z3132+Учет!U3133-U3133</f>
        <v>500000</v>
      </c>
      <c r="AA3133" s="45">
        <f>Учет!X3133</f>
        <v>500</v>
      </c>
    </row>
    <row r="3134" spans="1:27" ht="15" customHeight="1" x14ac:dyDescent="0.25">
      <c r="A3134" s="1"/>
      <c r="B3134" s="17"/>
      <c r="C3134" s="17"/>
      <c r="D3134" s="17"/>
      <c r="E3134" s="17"/>
      <c r="F3134" s="17"/>
      <c r="G3134" s="4">
        <f t="shared" si="141"/>
        <v>0</v>
      </c>
      <c r="H3134" s="17"/>
      <c r="I3134" s="4">
        <f t="shared" si="143"/>
        <v>349526.07999999996</v>
      </c>
      <c r="J3134" s="32" t="str">
        <f t="shared" si="142"/>
        <v/>
      </c>
      <c r="K3134" s="72"/>
      <c r="L3134" s="72"/>
      <c r="M3134" s="2"/>
      <c r="N3134" s="5"/>
      <c r="O3134" s="3"/>
      <c r="P3134" s="6"/>
      <c r="Q3134" s="48">
        <f>IF(Учет!$O3134=Справочники!$F$2,Учет!$H3134,0)</f>
        <v>0</v>
      </c>
      <c r="R3134" s="48">
        <f>IF(Учет!$O3134=Справочники!$F$3,Учет!$H3134,0)</f>
        <v>0</v>
      </c>
      <c r="S3134" s="48">
        <f>IF(Учет!$O3134=Справочники!$F$4,Учет!$H3134,0)</f>
        <v>0</v>
      </c>
      <c r="T3134" s="48">
        <f>IF(Учет!$O3134=Справочники!$F$5,Учет!$H3134,0)</f>
        <v>0</v>
      </c>
      <c r="U3134" s="48">
        <f>IF(Учет!$O3134=Справочники!$F$6,Учет!$H3134,0)</f>
        <v>0</v>
      </c>
      <c r="V3134" s="43">
        <f>V3133+Учет!Q3134-Q3134</f>
        <v>-488978.92000000004</v>
      </c>
      <c r="W3134" s="43">
        <f>W3133+Учет!R3134-R3134</f>
        <v>336855</v>
      </c>
      <c r="X3134" s="43">
        <f>X3133+Учет!S3134-S3134</f>
        <v>500</v>
      </c>
      <c r="Y3134" s="43">
        <f>Y3133+Учет!T3134-T3134</f>
        <v>1150</v>
      </c>
      <c r="Z3134" s="43">
        <f>Z3133+Учет!U3134-U3134</f>
        <v>500000</v>
      </c>
      <c r="AA3134" s="45">
        <f>Учет!X3134</f>
        <v>500</v>
      </c>
    </row>
    <row r="3135" spans="1:27" ht="15" customHeight="1" x14ac:dyDescent="0.25">
      <c r="A3135" s="1"/>
      <c r="B3135" s="17"/>
      <c r="C3135" s="17"/>
      <c r="D3135" s="17"/>
      <c r="E3135" s="17"/>
      <c r="F3135" s="17"/>
      <c r="G3135" s="4">
        <f t="shared" si="141"/>
        <v>0</v>
      </c>
      <c r="H3135" s="17"/>
      <c r="I3135" s="4">
        <f t="shared" si="143"/>
        <v>349526.07999999996</v>
      </c>
      <c r="J3135" s="32" t="str">
        <f t="shared" si="142"/>
        <v/>
      </c>
      <c r="K3135" s="72"/>
      <c r="L3135" s="72"/>
      <c r="M3135" s="2"/>
      <c r="N3135" s="5"/>
      <c r="O3135" s="3"/>
      <c r="P3135" s="6"/>
      <c r="Q3135" s="48">
        <f>IF(Учет!$O3135=Справочники!$F$2,Учет!$H3135,0)</f>
        <v>0</v>
      </c>
      <c r="R3135" s="48">
        <f>IF(Учет!$O3135=Справочники!$F$3,Учет!$H3135,0)</f>
        <v>0</v>
      </c>
      <c r="S3135" s="48">
        <f>IF(Учет!$O3135=Справочники!$F$4,Учет!$H3135,0)</f>
        <v>0</v>
      </c>
      <c r="T3135" s="48">
        <f>IF(Учет!$O3135=Справочники!$F$5,Учет!$H3135,0)</f>
        <v>0</v>
      </c>
      <c r="U3135" s="48">
        <f>IF(Учет!$O3135=Справочники!$F$6,Учет!$H3135,0)</f>
        <v>0</v>
      </c>
      <c r="V3135" s="43">
        <f>V3134+Учет!Q3135-Q3135</f>
        <v>-488978.92000000004</v>
      </c>
      <c r="W3135" s="43">
        <f>W3134+Учет!R3135-R3135</f>
        <v>336855</v>
      </c>
      <c r="X3135" s="43">
        <f>X3134+Учет!S3135-S3135</f>
        <v>500</v>
      </c>
      <c r="Y3135" s="43">
        <f>Y3134+Учет!T3135-T3135</f>
        <v>1150</v>
      </c>
      <c r="Z3135" s="43">
        <f>Z3134+Учет!U3135-U3135</f>
        <v>500000</v>
      </c>
      <c r="AA3135" s="45">
        <f>Учет!X3135</f>
        <v>500</v>
      </c>
    </row>
    <row r="3136" spans="1:27" ht="15" customHeight="1" x14ac:dyDescent="0.25">
      <c r="A3136" s="1"/>
      <c r="B3136" s="17"/>
      <c r="C3136" s="17"/>
      <c r="D3136" s="17"/>
      <c r="E3136" s="17"/>
      <c r="F3136" s="17"/>
      <c r="G3136" s="4">
        <f t="shared" si="141"/>
        <v>0</v>
      </c>
      <c r="H3136" s="17"/>
      <c r="I3136" s="4">
        <f t="shared" si="143"/>
        <v>349526.07999999996</v>
      </c>
      <c r="J3136" s="32" t="str">
        <f t="shared" si="142"/>
        <v/>
      </c>
      <c r="K3136" s="72"/>
      <c r="L3136" s="72"/>
      <c r="M3136" s="2"/>
      <c r="N3136" s="5"/>
      <c r="O3136" s="3"/>
      <c r="P3136" s="6"/>
      <c r="Q3136" s="48">
        <f>IF(Учет!$O3136=Справочники!$F$2,Учет!$H3136,0)</f>
        <v>0</v>
      </c>
      <c r="R3136" s="48">
        <f>IF(Учет!$O3136=Справочники!$F$3,Учет!$H3136,0)</f>
        <v>0</v>
      </c>
      <c r="S3136" s="48">
        <f>IF(Учет!$O3136=Справочники!$F$4,Учет!$H3136,0)</f>
        <v>0</v>
      </c>
      <c r="T3136" s="48">
        <f>IF(Учет!$O3136=Справочники!$F$5,Учет!$H3136,0)</f>
        <v>0</v>
      </c>
      <c r="U3136" s="48">
        <f>IF(Учет!$O3136=Справочники!$F$6,Учет!$H3136,0)</f>
        <v>0</v>
      </c>
      <c r="V3136" s="43">
        <f>V3135+Учет!Q3136-Q3136</f>
        <v>-488978.92000000004</v>
      </c>
      <c r="W3136" s="43">
        <f>W3135+Учет!R3136-R3136</f>
        <v>336855</v>
      </c>
      <c r="X3136" s="43">
        <f>X3135+Учет!S3136-S3136</f>
        <v>500</v>
      </c>
      <c r="Y3136" s="43">
        <f>Y3135+Учет!T3136-T3136</f>
        <v>1150</v>
      </c>
      <c r="Z3136" s="43">
        <f>Z3135+Учет!U3136-U3136</f>
        <v>500000</v>
      </c>
      <c r="AA3136" s="45">
        <f>Учет!X3136</f>
        <v>500</v>
      </c>
    </row>
    <row r="3137" spans="1:27" ht="15" customHeight="1" x14ac:dyDescent="0.25">
      <c r="A3137" s="1"/>
      <c r="B3137" s="17"/>
      <c r="C3137" s="17"/>
      <c r="D3137" s="17"/>
      <c r="E3137" s="17"/>
      <c r="F3137" s="17"/>
      <c r="G3137" s="4">
        <f t="shared" si="141"/>
        <v>0</v>
      </c>
      <c r="H3137" s="17"/>
      <c r="I3137" s="4">
        <f t="shared" si="143"/>
        <v>349526.07999999996</v>
      </c>
      <c r="J3137" s="32" t="str">
        <f t="shared" si="142"/>
        <v/>
      </c>
      <c r="K3137" s="72"/>
      <c r="L3137" s="72"/>
      <c r="M3137" s="2"/>
      <c r="N3137" s="5"/>
      <c r="O3137" s="3"/>
      <c r="P3137" s="6"/>
      <c r="Q3137" s="48">
        <f>IF(Учет!$O3137=Справочники!$F$2,Учет!$H3137,0)</f>
        <v>0</v>
      </c>
      <c r="R3137" s="48">
        <f>IF(Учет!$O3137=Справочники!$F$3,Учет!$H3137,0)</f>
        <v>0</v>
      </c>
      <c r="S3137" s="48">
        <f>IF(Учет!$O3137=Справочники!$F$4,Учет!$H3137,0)</f>
        <v>0</v>
      </c>
      <c r="T3137" s="48">
        <f>IF(Учет!$O3137=Справочники!$F$5,Учет!$H3137,0)</f>
        <v>0</v>
      </c>
      <c r="U3137" s="48">
        <f>IF(Учет!$O3137=Справочники!$F$6,Учет!$H3137,0)</f>
        <v>0</v>
      </c>
      <c r="V3137" s="43">
        <f>V3136+Учет!Q3137-Q3137</f>
        <v>-488978.92000000004</v>
      </c>
      <c r="W3137" s="43">
        <f>W3136+Учет!R3137-R3137</f>
        <v>336855</v>
      </c>
      <c r="X3137" s="43">
        <f>X3136+Учет!S3137-S3137</f>
        <v>500</v>
      </c>
      <c r="Y3137" s="43">
        <f>Y3136+Учет!T3137-T3137</f>
        <v>1150</v>
      </c>
      <c r="Z3137" s="43">
        <f>Z3136+Учет!U3137-U3137</f>
        <v>500000</v>
      </c>
      <c r="AA3137" s="45">
        <f>Учет!X3137</f>
        <v>500</v>
      </c>
    </row>
    <row r="3138" spans="1:27" ht="15" customHeight="1" x14ac:dyDescent="0.25">
      <c r="A3138" s="1"/>
      <c r="B3138" s="17"/>
      <c r="C3138" s="17"/>
      <c r="D3138" s="17"/>
      <c r="E3138" s="17"/>
      <c r="F3138" s="17"/>
      <c r="G3138" s="4">
        <f t="shared" ref="G3138:G3201" si="144">SUM($B3138:$F3138)</f>
        <v>0</v>
      </c>
      <c r="H3138" s="17"/>
      <c r="I3138" s="4">
        <f t="shared" si="143"/>
        <v>349526.07999999996</v>
      </c>
      <c r="J3138" s="32" t="str">
        <f t="shared" ref="J3138:J3201" si="145">IF($A3139&lt;&gt;$A3138,$I3138,"")</f>
        <v/>
      </c>
      <c r="K3138" s="72"/>
      <c r="L3138" s="72"/>
      <c r="M3138" s="2"/>
      <c r="N3138" s="5"/>
      <c r="O3138" s="3"/>
      <c r="P3138" s="6"/>
      <c r="Q3138" s="48">
        <f>IF(Учет!$O3138=Справочники!$F$2,Учет!$H3138,0)</f>
        <v>0</v>
      </c>
      <c r="R3138" s="48">
        <f>IF(Учет!$O3138=Справочники!$F$3,Учет!$H3138,0)</f>
        <v>0</v>
      </c>
      <c r="S3138" s="48">
        <f>IF(Учет!$O3138=Справочники!$F$4,Учет!$H3138,0)</f>
        <v>0</v>
      </c>
      <c r="T3138" s="48">
        <f>IF(Учет!$O3138=Справочники!$F$5,Учет!$H3138,0)</f>
        <v>0</v>
      </c>
      <c r="U3138" s="48">
        <f>IF(Учет!$O3138=Справочники!$F$6,Учет!$H3138,0)</f>
        <v>0</v>
      </c>
      <c r="V3138" s="43">
        <f>V3137+Учет!Q3138-Q3138</f>
        <v>-488978.92000000004</v>
      </c>
      <c r="W3138" s="43">
        <f>W3137+Учет!R3138-R3138</f>
        <v>336855</v>
      </c>
      <c r="X3138" s="43">
        <f>X3137+Учет!S3138-S3138</f>
        <v>500</v>
      </c>
      <c r="Y3138" s="43">
        <f>Y3137+Учет!T3138-T3138</f>
        <v>1150</v>
      </c>
      <c r="Z3138" s="43">
        <f>Z3137+Учет!U3138-U3138</f>
        <v>500000</v>
      </c>
      <c r="AA3138" s="45">
        <f>Учет!X3138</f>
        <v>500</v>
      </c>
    </row>
    <row r="3139" spans="1:27" ht="15" customHeight="1" x14ac:dyDescent="0.25">
      <c r="A3139" s="1"/>
      <c r="B3139" s="17"/>
      <c r="C3139" s="17"/>
      <c r="D3139" s="17"/>
      <c r="E3139" s="17"/>
      <c r="F3139" s="17"/>
      <c r="G3139" s="4">
        <f t="shared" si="144"/>
        <v>0</v>
      </c>
      <c r="H3139" s="17"/>
      <c r="I3139" s="4">
        <f t="shared" ref="I3139:I3202" si="146">$I3138+$G3139-$H3139</f>
        <v>349526.07999999996</v>
      </c>
      <c r="J3139" s="32" t="str">
        <f t="shared" si="145"/>
        <v/>
      </c>
      <c r="K3139" s="72"/>
      <c r="L3139" s="72"/>
      <c r="M3139" s="2"/>
      <c r="N3139" s="5"/>
      <c r="O3139" s="3"/>
      <c r="P3139" s="6"/>
      <c r="Q3139" s="48">
        <f>IF(Учет!$O3139=Справочники!$F$2,Учет!$H3139,0)</f>
        <v>0</v>
      </c>
      <c r="R3139" s="48">
        <f>IF(Учет!$O3139=Справочники!$F$3,Учет!$H3139,0)</f>
        <v>0</v>
      </c>
      <c r="S3139" s="48">
        <f>IF(Учет!$O3139=Справочники!$F$4,Учет!$H3139,0)</f>
        <v>0</v>
      </c>
      <c r="T3139" s="48">
        <f>IF(Учет!$O3139=Справочники!$F$5,Учет!$H3139,0)</f>
        <v>0</v>
      </c>
      <c r="U3139" s="48">
        <f>IF(Учет!$O3139=Справочники!$F$6,Учет!$H3139,0)</f>
        <v>0</v>
      </c>
      <c r="V3139" s="43">
        <f>V3138+Учет!Q3139-Q3139</f>
        <v>-488978.92000000004</v>
      </c>
      <c r="W3139" s="43">
        <f>W3138+Учет!R3139-R3139</f>
        <v>336855</v>
      </c>
      <c r="X3139" s="43">
        <f>X3138+Учет!S3139-S3139</f>
        <v>500</v>
      </c>
      <c r="Y3139" s="43">
        <f>Y3138+Учет!T3139-T3139</f>
        <v>1150</v>
      </c>
      <c r="Z3139" s="43">
        <f>Z3138+Учет!U3139-U3139</f>
        <v>500000</v>
      </c>
      <c r="AA3139" s="45">
        <f>Учет!X3139</f>
        <v>500</v>
      </c>
    </row>
    <row r="3140" spans="1:27" ht="15" customHeight="1" x14ac:dyDescent="0.25">
      <c r="A3140" s="1"/>
      <c r="B3140" s="17"/>
      <c r="C3140" s="17"/>
      <c r="D3140" s="17"/>
      <c r="E3140" s="17"/>
      <c r="F3140" s="17"/>
      <c r="G3140" s="4">
        <f t="shared" si="144"/>
        <v>0</v>
      </c>
      <c r="H3140" s="17"/>
      <c r="I3140" s="4">
        <f t="shared" si="146"/>
        <v>349526.07999999996</v>
      </c>
      <c r="J3140" s="32" t="str">
        <f t="shared" si="145"/>
        <v/>
      </c>
      <c r="K3140" s="72"/>
      <c r="L3140" s="72"/>
      <c r="M3140" s="2"/>
      <c r="N3140" s="5"/>
      <c r="O3140" s="3"/>
      <c r="P3140" s="6"/>
      <c r="Q3140" s="48">
        <f>IF(Учет!$O3140=Справочники!$F$2,Учет!$H3140,0)</f>
        <v>0</v>
      </c>
      <c r="R3140" s="48">
        <f>IF(Учет!$O3140=Справочники!$F$3,Учет!$H3140,0)</f>
        <v>0</v>
      </c>
      <c r="S3140" s="48">
        <f>IF(Учет!$O3140=Справочники!$F$4,Учет!$H3140,0)</f>
        <v>0</v>
      </c>
      <c r="T3140" s="48">
        <f>IF(Учет!$O3140=Справочники!$F$5,Учет!$H3140,0)</f>
        <v>0</v>
      </c>
      <c r="U3140" s="48">
        <f>IF(Учет!$O3140=Справочники!$F$6,Учет!$H3140,0)</f>
        <v>0</v>
      </c>
      <c r="V3140" s="43">
        <f>V3139+Учет!Q3140-Q3140</f>
        <v>-488978.92000000004</v>
      </c>
      <c r="W3140" s="43">
        <f>W3139+Учет!R3140-R3140</f>
        <v>336855</v>
      </c>
      <c r="X3140" s="43">
        <f>X3139+Учет!S3140-S3140</f>
        <v>500</v>
      </c>
      <c r="Y3140" s="43">
        <f>Y3139+Учет!T3140-T3140</f>
        <v>1150</v>
      </c>
      <c r="Z3140" s="43">
        <f>Z3139+Учет!U3140-U3140</f>
        <v>500000</v>
      </c>
      <c r="AA3140" s="45">
        <f>Учет!X3140</f>
        <v>500</v>
      </c>
    </row>
    <row r="3141" spans="1:27" ht="15" customHeight="1" x14ac:dyDescent="0.25">
      <c r="A3141" s="1"/>
      <c r="B3141" s="17"/>
      <c r="C3141" s="17"/>
      <c r="D3141" s="17"/>
      <c r="E3141" s="17"/>
      <c r="F3141" s="17"/>
      <c r="G3141" s="4">
        <f t="shared" si="144"/>
        <v>0</v>
      </c>
      <c r="H3141" s="17"/>
      <c r="I3141" s="4">
        <f t="shared" si="146"/>
        <v>349526.07999999996</v>
      </c>
      <c r="J3141" s="32" t="str">
        <f t="shared" si="145"/>
        <v/>
      </c>
      <c r="K3141" s="72"/>
      <c r="L3141" s="72"/>
      <c r="M3141" s="2"/>
      <c r="N3141" s="5"/>
      <c r="O3141" s="3"/>
      <c r="P3141" s="6"/>
      <c r="Q3141" s="48">
        <f>IF(Учет!$O3141=Справочники!$F$2,Учет!$H3141,0)</f>
        <v>0</v>
      </c>
      <c r="R3141" s="48">
        <f>IF(Учет!$O3141=Справочники!$F$3,Учет!$H3141,0)</f>
        <v>0</v>
      </c>
      <c r="S3141" s="48">
        <f>IF(Учет!$O3141=Справочники!$F$4,Учет!$H3141,0)</f>
        <v>0</v>
      </c>
      <c r="T3141" s="48">
        <f>IF(Учет!$O3141=Справочники!$F$5,Учет!$H3141,0)</f>
        <v>0</v>
      </c>
      <c r="U3141" s="48">
        <f>IF(Учет!$O3141=Справочники!$F$6,Учет!$H3141,0)</f>
        <v>0</v>
      </c>
      <c r="V3141" s="43">
        <f>V3140+Учет!Q3141-Q3141</f>
        <v>-488978.92000000004</v>
      </c>
      <c r="W3141" s="43">
        <f>W3140+Учет!R3141-R3141</f>
        <v>336855</v>
      </c>
      <c r="X3141" s="43">
        <f>X3140+Учет!S3141-S3141</f>
        <v>500</v>
      </c>
      <c r="Y3141" s="43">
        <f>Y3140+Учет!T3141-T3141</f>
        <v>1150</v>
      </c>
      <c r="Z3141" s="43">
        <f>Z3140+Учет!U3141-U3141</f>
        <v>500000</v>
      </c>
      <c r="AA3141" s="45">
        <f>Учет!X3141</f>
        <v>500</v>
      </c>
    </row>
    <row r="3142" spans="1:27" ht="15" customHeight="1" x14ac:dyDescent="0.25">
      <c r="A3142" s="1"/>
      <c r="B3142" s="17"/>
      <c r="C3142" s="17"/>
      <c r="D3142" s="17"/>
      <c r="E3142" s="17"/>
      <c r="F3142" s="17"/>
      <c r="G3142" s="4">
        <f t="shared" si="144"/>
        <v>0</v>
      </c>
      <c r="H3142" s="17"/>
      <c r="I3142" s="4">
        <f t="shared" si="146"/>
        <v>349526.07999999996</v>
      </c>
      <c r="J3142" s="32" t="str">
        <f t="shared" si="145"/>
        <v/>
      </c>
      <c r="K3142" s="72"/>
      <c r="L3142" s="72"/>
      <c r="M3142" s="2"/>
      <c r="N3142" s="5"/>
      <c r="O3142" s="3"/>
      <c r="P3142" s="6"/>
      <c r="Q3142" s="48">
        <f>IF(Учет!$O3142=Справочники!$F$2,Учет!$H3142,0)</f>
        <v>0</v>
      </c>
      <c r="R3142" s="48">
        <f>IF(Учет!$O3142=Справочники!$F$3,Учет!$H3142,0)</f>
        <v>0</v>
      </c>
      <c r="S3142" s="48">
        <f>IF(Учет!$O3142=Справочники!$F$4,Учет!$H3142,0)</f>
        <v>0</v>
      </c>
      <c r="T3142" s="48">
        <f>IF(Учет!$O3142=Справочники!$F$5,Учет!$H3142,0)</f>
        <v>0</v>
      </c>
      <c r="U3142" s="48">
        <f>IF(Учет!$O3142=Справочники!$F$6,Учет!$H3142,0)</f>
        <v>0</v>
      </c>
      <c r="V3142" s="43">
        <f>V3141+Учет!Q3142-Q3142</f>
        <v>-488978.92000000004</v>
      </c>
      <c r="W3142" s="43">
        <f>W3141+Учет!R3142-R3142</f>
        <v>336855</v>
      </c>
      <c r="X3142" s="43">
        <f>X3141+Учет!S3142-S3142</f>
        <v>500</v>
      </c>
      <c r="Y3142" s="43">
        <f>Y3141+Учет!T3142-T3142</f>
        <v>1150</v>
      </c>
      <c r="Z3142" s="43">
        <f>Z3141+Учет!U3142-U3142</f>
        <v>500000</v>
      </c>
      <c r="AA3142" s="45">
        <f>Учет!X3142</f>
        <v>500</v>
      </c>
    </row>
    <row r="3143" spans="1:27" ht="15" customHeight="1" x14ac:dyDescent="0.25">
      <c r="A3143" s="1"/>
      <c r="B3143" s="17"/>
      <c r="C3143" s="17"/>
      <c r="D3143" s="17"/>
      <c r="E3143" s="17"/>
      <c r="F3143" s="17"/>
      <c r="G3143" s="4">
        <f t="shared" si="144"/>
        <v>0</v>
      </c>
      <c r="H3143" s="17"/>
      <c r="I3143" s="4">
        <f t="shared" si="146"/>
        <v>349526.07999999996</v>
      </c>
      <c r="J3143" s="32" t="str">
        <f t="shared" si="145"/>
        <v/>
      </c>
      <c r="K3143" s="72"/>
      <c r="L3143" s="72"/>
      <c r="M3143" s="2"/>
      <c r="N3143" s="5"/>
      <c r="O3143" s="3"/>
      <c r="P3143" s="6"/>
      <c r="Q3143" s="48">
        <f>IF(Учет!$O3143=Справочники!$F$2,Учет!$H3143,0)</f>
        <v>0</v>
      </c>
      <c r="R3143" s="48">
        <f>IF(Учет!$O3143=Справочники!$F$3,Учет!$H3143,0)</f>
        <v>0</v>
      </c>
      <c r="S3143" s="48">
        <f>IF(Учет!$O3143=Справочники!$F$4,Учет!$H3143,0)</f>
        <v>0</v>
      </c>
      <c r="T3143" s="48">
        <f>IF(Учет!$O3143=Справочники!$F$5,Учет!$H3143,0)</f>
        <v>0</v>
      </c>
      <c r="U3143" s="48">
        <f>IF(Учет!$O3143=Справочники!$F$6,Учет!$H3143,0)</f>
        <v>0</v>
      </c>
      <c r="V3143" s="43">
        <f>V3142+Учет!Q3143-Q3143</f>
        <v>-488978.92000000004</v>
      </c>
      <c r="W3143" s="43">
        <f>W3142+Учет!R3143-R3143</f>
        <v>336855</v>
      </c>
      <c r="X3143" s="43">
        <f>X3142+Учет!S3143-S3143</f>
        <v>500</v>
      </c>
      <c r="Y3143" s="43">
        <f>Y3142+Учет!T3143-T3143</f>
        <v>1150</v>
      </c>
      <c r="Z3143" s="43">
        <f>Z3142+Учет!U3143-U3143</f>
        <v>500000</v>
      </c>
      <c r="AA3143" s="45">
        <f>Учет!X3143</f>
        <v>500</v>
      </c>
    </row>
    <row r="3144" spans="1:27" ht="15" customHeight="1" x14ac:dyDescent="0.25">
      <c r="A3144" s="1"/>
      <c r="B3144" s="17"/>
      <c r="C3144" s="17"/>
      <c r="D3144" s="17"/>
      <c r="E3144" s="17"/>
      <c r="F3144" s="17"/>
      <c r="G3144" s="4">
        <f t="shared" si="144"/>
        <v>0</v>
      </c>
      <c r="H3144" s="17"/>
      <c r="I3144" s="4">
        <f t="shared" si="146"/>
        <v>349526.07999999996</v>
      </c>
      <c r="J3144" s="32" t="str">
        <f t="shared" si="145"/>
        <v/>
      </c>
      <c r="K3144" s="72"/>
      <c r="L3144" s="72"/>
      <c r="M3144" s="2"/>
      <c r="N3144" s="5"/>
      <c r="O3144" s="3"/>
      <c r="P3144" s="6"/>
      <c r="Q3144" s="48">
        <f>IF(Учет!$O3144=Справочники!$F$2,Учет!$H3144,0)</f>
        <v>0</v>
      </c>
      <c r="R3144" s="48">
        <f>IF(Учет!$O3144=Справочники!$F$3,Учет!$H3144,0)</f>
        <v>0</v>
      </c>
      <c r="S3144" s="48">
        <f>IF(Учет!$O3144=Справочники!$F$4,Учет!$H3144,0)</f>
        <v>0</v>
      </c>
      <c r="T3144" s="48">
        <f>IF(Учет!$O3144=Справочники!$F$5,Учет!$H3144,0)</f>
        <v>0</v>
      </c>
      <c r="U3144" s="48">
        <f>IF(Учет!$O3144=Справочники!$F$6,Учет!$H3144,0)</f>
        <v>0</v>
      </c>
      <c r="V3144" s="43">
        <f>V3143+Учет!Q3144-Q3144</f>
        <v>-488978.92000000004</v>
      </c>
      <c r="W3144" s="43">
        <f>W3143+Учет!R3144-R3144</f>
        <v>336855</v>
      </c>
      <c r="X3144" s="43">
        <f>X3143+Учет!S3144-S3144</f>
        <v>500</v>
      </c>
      <c r="Y3144" s="43">
        <f>Y3143+Учет!T3144-T3144</f>
        <v>1150</v>
      </c>
      <c r="Z3144" s="43">
        <f>Z3143+Учет!U3144-U3144</f>
        <v>500000</v>
      </c>
      <c r="AA3144" s="45">
        <f>Учет!X3144</f>
        <v>500</v>
      </c>
    </row>
    <row r="3145" spans="1:27" ht="15" customHeight="1" x14ac:dyDescent="0.25">
      <c r="A3145" s="1"/>
      <c r="B3145" s="17"/>
      <c r="C3145" s="17"/>
      <c r="D3145" s="17"/>
      <c r="E3145" s="17"/>
      <c r="F3145" s="17"/>
      <c r="G3145" s="4">
        <f t="shared" si="144"/>
        <v>0</v>
      </c>
      <c r="H3145" s="17"/>
      <c r="I3145" s="4">
        <f t="shared" si="146"/>
        <v>349526.07999999996</v>
      </c>
      <c r="J3145" s="32" t="str">
        <f t="shared" si="145"/>
        <v/>
      </c>
      <c r="K3145" s="72"/>
      <c r="L3145" s="72"/>
      <c r="M3145" s="2"/>
      <c r="N3145" s="5"/>
      <c r="O3145" s="3"/>
      <c r="P3145" s="6"/>
      <c r="Q3145" s="48">
        <f>IF(Учет!$O3145=Справочники!$F$2,Учет!$H3145,0)</f>
        <v>0</v>
      </c>
      <c r="R3145" s="48">
        <f>IF(Учет!$O3145=Справочники!$F$3,Учет!$H3145,0)</f>
        <v>0</v>
      </c>
      <c r="S3145" s="48">
        <f>IF(Учет!$O3145=Справочники!$F$4,Учет!$H3145,0)</f>
        <v>0</v>
      </c>
      <c r="T3145" s="48">
        <f>IF(Учет!$O3145=Справочники!$F$5,Учет!$H3145,0)</f>
        <v>0</v>
      </c>
      <c r="U3145" s="48">
        <f>IF(Учет!$O3145=Справочники!$F$6,Учет!$H3145,0)</f>
        <v>0</v>
      </c>
      <c r="V3145" s="43">
        <f>V3144+Учет!Q3145-Q3145</f>
        <v>-488978.92000000004</v>
      </c>
      <c r="W3145" s="43">
        <f>W3144+Учет!R3145-R3145</f>
        <v>336855</v>
      </c>
      <c r="X3145" s="43">
        <f>X3144+Учет!S3145-S3145</f>
        <v>500</v>
      </c>
      <c r="Y3145" s="43">
        <f>Y3144+Учет!T3145-T3145</f>
        <v>1150</v>
      </c>
      <c r="Z3145" s="43">
        <f>Z3144+Учет!U3145-U3145</f>
        <v>500000</v>
      </c>
      <c r="AA3145" s="45">
        <f>Учет!X3145</f>
        <v>500</v>
      </c>
    </row>
    <row r="3146" spans="1:27" ht="15" customHeight="1" x14ac:dyDescent="0.25">
      <c r="A3146" s="1"/>
      <c r="B3146" s="17"/>
      <c r="C3146" s="17"/>
      <c r="D3146" s="17"/>
      <c r="E3146" s="17"/>
      <c r="F3146" s="17"/>
      <c r="G3146" s="4">
        <f t="shared" si="144"/>
        <v>0</v>
      </c>
      <c r="H3146" s="17"/>
      <c r="I3146" s="4">
        <f t="shared" si="146"/>
        <v>349526.07999999996</v>
      </c>
      <c r="J3146" s="32" t="str">
        <f t="shared" si="145"/>
        <v/>
      </c>
      <c r="K3146" s="72"/>
      <c r="L3146" s="72"/>
      <c r="M3146" s="2"/>
      <c r="N3146" s="5"/>
      <c r="O3146" s="3"/>
      <c r="P3146" s="6"/>
      <c r="Q3146" s="48">
        <f>IF(Учет!$O3146=Справочники!$F$2,Учет!$H3146,0)</f>
        <v>0</v>
      </c>
      <c r="R3146" s="48">
        <f>IF(Учет!$O3146=Справочники!$F$3,Учет!$H3146,0)</f>
        <v>0</v>
      </c>
      <c r="S3146" s="48">
        <f>IF(Учет!$O3146=Справочники!$F$4,Учет!$H3146,0)</f>
        <v>0</v>
      </c>
      <c r="T3146" s="48">
        <f>IF(Учет!$O3146=Справочники!$F$5,Учет!$H3146,0)</f>
        <v>0</v>
      </c>
      <c r="U3146" s="48">
        <f>IF(Учет!$O3146=Справочники!$F$6,Учет!$H3146,0)</f>
        <v>0</v>
      </c>
      <c r="V3146" s="43">
        <f>V3145+Учет!Q3146-Q3146</f>
        <v>-488978.92000000004</v>
      </c>
      <c r="W3146" s="43">
        <f>W3145+Учет!R3146-R3146</f>
        <v>336855</v>
      </c>
      <c r="X3146" s="43">
        <f>X3145+Учет!S3146-S3146</f>
        <v>500</v>
      </c>
      <c r="Y3146" s="43">
        <f>Y3145+Учет!T3146-T3146</f>
        <v>1150</v>
      </c>
      <c r="Z3146" s="43">
        <f>Z3145+Учет!U3146-U3146</f>
        <v>500000</v>
      </c>
      <c r="AA3146" s="45">
        <f>Учет!X3146</f>
        <v>500</v>
      </c>
    </row>
    <row r="3147" spans="1:27" ht="15" customHeight="1" x14ac:dyDescent="0.25">
      <c r="A3147" s="1"/>
      <c r="B3147" s="17"/>
      <c r="C3147" s="17"/>
      <c r="D3147" s="17"/>
      <c r="E3147" s="17"/>
      <c r="F3147" s="17"/>
      <c r="G3147" s="4">
        <f t="shared" si="144"/>
        <v>0</v>
      </c>
      <c r="H3147" s="17"/>
      <c r="I3147" s="4">
        <f t="shared" si="146"/>
        <v>349526.07999999996</v>
      </c>
      <c r="J3147" s="32" t="str">
        <f t="shared" si="145"/>
        <v/>
      </c>
      <c r="K3147" s="72"/>
      <c r="L3147" s="72"/>
      <c r="M3147" s="2"/>
      <c r="N3147" s="5"/>
      <c r="O3147" s="3"/>
      <c r="P3147" s="6"/>
      <c r="Q3147" s="48">
        <f>IF(Учет!$O3147=Справочники!$F$2,Учет!$H3147,0)</f>
        <v>0</v>
      </c>
      <c r="R3147" s="48">
        <f>IF(Учет!$O3147=Справочники!$F$3,Учет!$H3147,0)</f>
        <v>0</v>
      </c>
      <c r="S3147" s="48">
        <f>IF(Учет!$O3147=Справочники!$F$4,Учет!$H3147,0)</f>
        <v>0</v>
      </c>
      <c r="T3147" s="48">
        <f>IF(Учет!$O3147=Справочники!$F$5,Учет!$H3147,0)</f>
        <v>0</v>
      </c>
      <c r="U3147" s="48">
        <f>IF(Учет!$O3147=Справочники!$F$6,Учет!$H3147,0)</f>
        <v>0</v>
      </c>
      <c r="V3147" s="43">
        <f>V3146+Учет!Q3147-Q3147</f>
        <v>-488978.92000000004</v>
      </c>
      <c r="W3147" s="43">
        <f>W3146+Учет!R3147-R3147</f>
        <v>336855</v>
      </c>
      <c r="X3147" s="43">
        <f>X3146+Учет!S3147-S3147</f>
        <v>500</v>
      </c>
      <c r="Y3147" s="43">
        <f>Y3146+Учет!T3147-T3147</f>
        <v>1150</v>
      </c>
      <c r="Z3147" s="43">
        <f>Z3146+Учет!U3147-U3147</f>
        <v>500000</v>
      </c>
      <c r="AA3147" s="45">
        <f>Учет!X3147</f>
        <v>500</v>
      </c>
    </row>
    <row r="3148" spans="1:27" ht="15" customHeight="1" x14ac:dyDescent="0.25">
      <c r="A3148" s="1"/>
      <c r="B3148" s="17"/>
      <c r="C3148" s="17"/>
      <c r="D3148" s="17"/>
      <c r="E3148" s="17"/>
      <c r="F3148" s="17"/>
      <c r="G3148" s="4">
        <f t="shared" si="144"/>
        <v>0</v>
      </c>
      <c r="H3148" s="17"/>
      <c r="I3148" s="4">
        <f t="shared" si="146"/>
        <v>349526.07999999996</v>
      </c>
      <c r="J3148" s="32" t="str">
        <f t="shared" si="145"/>
        <v/>
      </c>
      <c r="K3148" s="72"/>
      <c r="L3148" s="72"/>
      <c r="M3148" s="2"/>
      <c r="N3148" s="5"/>
      <c r="O3148" s="3"/>
      <c r="P3148" s="6"/>
      <c r="Q3148" s="48">
        <f>IF(Учет!$O3148=Справочники!$F$2,Учет!$H3148,0)</f>
        <v>0</v>
      </c>
      <c r="R3148" s="48">
        <f>IF(Учет!$O3148=Справочники!$F$3,Учет!$H3148,0)</f>
        <v>0</v>
      </c>
      <c r="S3148" s="48">
        <f>IF(Учет!$O3148=Справочники!$F$4,Учет!$H3148,0)</f>
        <v>0</v>
      </c>
      <c r="T3148" s="48">
        <f>IF(Учет!$O3148=Справочники!$F$5,Учет!$H3148,0)</f>
        <v>0</v>
      </c>
      <c r="U3148" s="48">
        <f>IF(Учет!$O3148=Справочники!$F$6,Учет!$H3148,0)</f>
        <v>0</v>
      </c>
      <c r="V3148" s="43">
        <f>V3147+Учет!Q3148-Q3148</f>
        <v>-488978.92000000004</v>
      </c>
      <c r="W3148" s="43">
        <f>W3147+Учет!R3148-R3148</f>
        <v>336855</v>
      </c>
      <c r="X3148" s="43">
        <f>X3147+Учет!S3148-S3148</f>
        <v>500</v>
      </c>
      <c r="Y3148" s="43">
        <f>Y3147+Учет!T3148-T3148</f>
        <v>1150</v>
      </c>
      <c r="Z3148" s="43">
        <f>Z3147+Учет!U3148-U3148</f>
        <v>500000</v>
      </c>
      <c r="AA3148" s="45">
        <f>Учет!X3148</f>
        <v>500</v>
      </c>
    </row>
    <row r="3149" spans="1:27" ht="15" customHeight="1" x14ac:dyDescent="0.25">
      <c r="A3149" s="1"/>
      <c r="B3149" s="17"/>
      <c r="C3149" s="17"/>
      <c r="D3149" s="17"/>
      <c r="E3149" s="17"/>
      <c r="F3149" s="17"/>
      <c r="G3149" s="4">
        <f t="shared" si="144"/>
        <v>0</v>
      </c>
      <c r="H3149" s="17"/>
      <c r="I3149" s="4">
        <f t="shared" si="146"/>
        <v>349526.07999999996</v>
      </c>
      <c r="J3149" s="32" t="str">
        <f t="shared" si="145"/>
        <v/>
      </c>
      <c r="K3149" s="72"/>
      <c r="L3149" s="72"/>
      <c r="M3149" s="2"/>
      <c r="N3149" s="5"/>
      <c r="O3149" s="3"/>
      <c r="P3149" s="6"/>
      <c r="Q3149" s="48">
        <f>IF(Учет!$O3149=Справочники!$F$2,Учет!$H3149,0)</f>
        <v>0</v>
      </c>
      <c r="R3149" s="48">
        <f>IF(Учет!$O3149=Справочники!$F$3,Учет!$H3149,0)</f>
        <v>0</v>
      </c>
      <c r="S3149" s="48">
        <f>IF(Учет!$O3149=Справочники!$F$4,Учет!$H3149,0)</f>
        <v>0</v>
      </c>
      <c r="T3149" s="48">
        <f>IF(Учет!$O3149=Справочники!$F$5,Учет!$H3149,0)</f>
        <v>0</v>
      </c>
      <c r="U3149" s="48">
        <f>IF(Учет!$O3149=Справочники!$F$6,Учет!$H3149,0)</f>
        <v>0</v>
      </c>
      <c r="V3149" s="43">
        <f>V3148+Учет!Q3149-Q3149</f>
        <v>-488978.92000000004</v>
      </c>
      <c r="W3149" s="43">
        <f>W3148+Учет!R3149-R3149</f>
        <v>336855</v>
      </c>
      <c r="X3149" s="43">
        <f>X3148+Учет!S3149-S3149</f>
        <v>500</v>
      </c>
      <c r="Y3149" s="43">
        <f>Y3148+Учет!T3149-T3149</f>
        <v>1150</v>
      </c>
      <c r="Z3149" s="43">
        <f>Z3148+Учет!U3149-U3149</f>
        <v>500000</v>
      </c>
      <c r="AA3149" s="45">
        <f>Учет!X3149</f>
        <v>500</v>
      </c>
    </row>
    <row r="3150" spans="1:27" ht="15" customHeight="1" x14ac:dyDescent="0.25">
      <c r="A3150" s="1"/>
      <c r="B3150" s="17"/>
      <c r="C3150" s="17"/>
      <c r="D3150" s="17"/>
      <c r="E3150" s="17"/>
      <c r="F3150" s="17"/>
      <c r="G3150" s="4">
        <f t="shared" si="144"/>
        <v>0</v>
      </c>
      <c r="H3150" s="17"/>
      <c r="I3150" s="4">
        <f t="shared" si="146"/>
        <v>349526.07999999996</v>
      </c>
      <c r="J3150" s="32" t="str">
        <f t="shared" si="145"/>
        <v/>
      </c>
      <c r="K3150" s="72"/>
      <c r="L3150" s="72"/>
      <c r="M3150" s="2"/>
      <c r="N3150" s="5"/>
      <c r="O3150" s="3"/>
      <c r="P3150" s="6"/>
      <c r="Q3150" s="48">
        <f>IF(Учет!$O3150=Справочники!$F$2,Учет!$H3150,0)</f>
        <v>0</v>
      </c>
      <c r="R3150" s="48">
        <f>IF(Учет!$O3150=Справочники!$F$3,Учет!$H3150,0)</f>
        <v>0</v>
      </c>
      <c r="S3150" s="48">
        <f>IF(Учет!$O3150=Справочники!$F$4,Учет!$H3150,0)</f>
        <v>0</v>
      </c>
      <c r="T3150" s="48">
        <f>IF(Учет!$O3150=Справочники!$F$5,Учет!$H3150,0)</f>
        <v>0</v>
      </c>
      <c r="U3150" s="48">
        <f>IF(Учет!$O3150=Справочники!$F$6,Учет!$H3150,0)</f>
        <v>0</v>
      </c>
      <c r="V3150" s="43">
        <f>V3149+Учет!Q3150-Q3150</f>
        <v>-488978.92000000004</v>
      </c>
      <c r="W3150" s="43">
        <f>W3149+Учет!R3150-R3150</f>
        <v>336855</v>
      </c>
      <c r="X3150" s="43">
        <f>X3149+Учет!S3150-S3150</f>
        <v>500</v>
      </c>
      <c r="Y3150" s="43">
        <f>Y3149+Учет!T3150-T3150</f>
        <v>1150</v>
      </c>
      <c r="Z3150" s="43">
        <f>Z3149+Учет!U3150-U3150</f>
        <v>500000</v>
      </c>
      <c r="AA3150" s="45">
        <f>Учет!X3150</f>
        <v>500</v>
      </c>
    </row>
    <row r="3151" spans="1:27" ht="15" customHeight="1" x14ac:dyDescent="0.25">
      <c r="A3151" s="1"/>
      <c r="B3151" s="17"/>
      <c r="C3151" s="17"/>
      <c r="D3151" s="17"/>
      <c r="E3151" s="17"/>
      <c r="F3151" s="17"/>
      <c r="G3151" s="4">
        <f t="shared" si="144"/>
        <v>0</v>
      </c>
      <c r="H3151" s="17"/>
      <c r="I3151" s="4">
        <f t="shared" si="146"/>
        <v>349526.07999999996</v>
      </c>
      <c r="J3151" s="32" t="str">
        <f t="shared" si="145"/>
        <v/>
      </c>
      <c r="K3151" s="72"/>
      <c r="L3151" s="72"/>
      <c r="M3151" s="2"/>
      <c r="N3151" s="5"/>
      <c r="O3151" s="3"/>
      <c r="P3151" s="6"/>
      <c r="Q3151" s="48">
        <f>IF(Учет!$O3151=Справочники!$F$2,Учет!$H3151,0)</f>
        <v>0</v>
      </c>
      <c r="R3151" s="48">
        <f>IF(Учет!$O3151=Справочники!$F$3,Учет!$H3151,0)</f>
        <v>0</v>
      </c>
      <c r="S3151" s="48">
        <f>IF(Учет!$O3151=Справочники!$F$4,Учет!$H3151,0)</f>
        <v>0</v>
      </c>
      <c r="T3151" s="48">
        <f>IF(Учет!$O3151=Справочники!$F$5,Учет!$H3151,0)</f>
        <v>0</v>
      </c>
      <c r="U3151" s="48">
        <f>IF(Учет!$O3151=Справочники!$F$6,Учет!$H3151,0)</f>
        <v>0</v>
      </c>
      <c r="V3151" s="43">
        <f>V3150+Учет!Q3151-Q3151</f>
        <v>-488978.92000000004</v>
      </c>
      <c r="W3151" s="43">
        <f>W3150+Учет!R3151-R3151</f>
        <v>336855</v>
      </c>
      <c r="X3151" s="43">
        <f>X3150+Учет!S3151-S3151</f>
        <v>500</v>
      </c>
      <c r="Y3151" s="43">
        <f>Y3150+Учет!T3151-T3151</f>
        <v>1150</v>
      </c>
      <c r="Z3151" s="43">
        <f>Z3150+Учет!U3151-U3151</f>
        <v>500000</v>
      </c>
      <c r="AA3151" s="45">
        <f>Учет!X3151</f>
        <v>500</v>
      </c>
    </row>
    <row r="3152" spans="1:27" ht="15" customHeight="1" x14ac:dyDescent="0.25">
      <c r="A3152" s="1"/>
      <c r="B3152" s="17"/>
      <c r="C3152" s="17"/>
      <c r="D3152" s="17"/>
      <c r="E3152" s="17"/>
      <c r="F3152" s="17"/>
      <c r="G3152" s="4">
        <f t="shared" si="144"/>
        <v>0</v>
      </c>
      <c r="H3152" s="17"/>
      <c r="I3152" s="4">
        <f t="shared" si="146"/>
        <v>349526.07999999996</v>
      </c>
      <c r="J3152" s="32" t="str">
        <f t="shared" si="145"/>
        <v/>
      </c>
      <c r="K3152" s="72"/>
      <c r="L3152" s="72"/>
      <c r="M3152" s="2"/>
      <c r="N3152" s="5"/>
      <c r="O3152" s="3"/>
      <c r="P3152" s="6"/>
      <c r="Q3152" s="48">
        <f>IF(Учет!$O3152=Справочники!$F$2,Учет!$H3152,0)</f>
        <v>0</v>
      </c>
      <c r="R3152" s="48">
        <f>IF(Учет!$O3152=Справочники!$F$3,Учет!$H3152,0)</f>
        <v>0</v>
      </c>
      <c r="S3152" s="48">
        <f>IF(Учет!$O3152=Справочники!$F$4,Учет!$H3152,0)</f>
        <v>0</v>
      </c>
      <c r="T3152" s="48">
        <f>IF(Учет!$O3152=Справочники!$F$5,Учет!$H3152,0)</f>
        <v>0</v>
      </c>
      <c r="U3152" s="48">
        <f>IF(Учет!$O3152=Справочники!$F$6,Учет!$H3152,0)</f>
        <v>0</v>
      </c>
      <c r="V3152" s="43">
        <f>V3151+Учет!Q3152-Q3152</f>
        <v>-488978.92000000004</v>
      </c>
      <c r="W3152" s="43">
        <f>W3151+Учет!R3152-R3152</f>
        <v>336855</v>
      </c>
      <c r="X3152" s="43">
        <f>X3151+Учет!S3152-S3152</f>
        <v>500</v>
      </c>
      <c r="Y3152" s="43">
        <f>Y3151+Учет!T3152-T3152</f>
        <v>1150</v>
      </c>
      <c r="Z3152" s="43">
        <f>Z3151+Учет!U3152-U3152</f>
        <v>500000</v>
      </c>
      <c r="AA3152" s="45">
        <f>Учет!X3152</f>
        <v>500</v>
      </c>
    </row>
    <row r="3153" spans="1:27" ht="15" customHeight="1" x14ac:dyDescent="0.25">
      <c r="A3153" s="1"/>
      <c r="B3153" s="17"/>
      <c r="C3153" s="17"/>
      <c r="D3153" s="17"/>
      <c r="E3153" s="17"/>
      <c r="F3153" s="17"/>
      <c r="G3153" s="4">
        <f t="shared" si="144"/>
        <v>0</v>
      </c>
      <c r="H3153" s="17"/>
      <c r="I3153" s="4">
        <f t="shared" si="146"/>
        <v>349526.07999999996</v>
      </c>
      <c r="J3153" s="32" t="str">
        <f t="shared" si="145"/>
        <v/>
      </c>
      <c r="K3153" s="72"/>
      <c r="L3153" s="72"/>
      <c r="M3153" s="2"/>
      <c r="N3153" s="5"/>
      <c r="O3153" s="3"/>
      <c r="P3153" s="6"/>
      <c r="Q3153" s="48">
        <f>IF(Учет!$O3153=Справочники!$F$2,Учет!$H3153,0)</f>
        <v>0</v>
      </c>
      <c r="R3153" s="48">
        <f>IF(Учет!$O3153=Справочники!$F$3,Учет!$H3153,0)</f>
        <v>0</v>
      </c>
      <c r="S3153" s="48">
        <f>IF(Учет!$O3153=Справочники!$F$4,Учет!$H3153,0)</f>
        <v>0</v>
      </c>
      <c r="T3153" s="48">
        <f>IF(Учет!$O3153=Справочники!$F$5,Учет!$H3153,0)</f>
        <v>0</v>
      </c>
      <c r="U3153" s="48">
        <f>IF(Учет!$O3153=Справочники!$F$6,Учет!$H3153,0)</f>
        <v>0</v>
      </c>
      <c r="V3153" s="43">
        <f>V3152+Учет!Q3153-Q3153</f>
        <v>-488978.92000000004</v>
      </c>
      <c r="W3153" s="43">
        <f>W3152+Учет!R3153-R3153</f>
        <v>336855</v>
      </c>
      <c r="X3153" s="43">
        <f>X3152+Учет!S3153-S3153</f>
        <v>500</v>
      </c>
      <c r="Y3153" s="43">
        <f>Y3152+Учет!T3153-T3153</f>
        <v>1150</v>
      </c>
      <c r="Z3153" s="43">
        <f>Z3152+Учет!U3153-U3153</f>
        <v>500000</v>
      </c>
      <c r="AA3153" s="45">
        <f>Учет!X3153</f>
        <v>500</v>
      </c>
    </row>
    <row r="3154" spans="1:27" ht="15" customHeight="1" x14ac:dyDescent="0.25">
      <c r="A3154" s="1"/>
      <c r="B3154" s="17"/>
      <c r="C3154" s="17"/>
      <c r="D3154" s="17"/>
      <c r="E3154" s="17"/>
      <c r="F3154" s="17"/>
      <c r="G3154" s="4">
        <f t="shared" si="144"/>
        <v>0</v>
      </c>
      <c r="H3154" s="17"/>
      <c r="I3154" s="4">
        <f t="shared" si="146"/>
        <v>349526.07999999996</v>
      </c>
      <c r="J3154" s="32" t="str">
        <f t="shared" si="145"/>
        <v/>
      </c>
      <c r="K3154" s="72"/>
      <c r="L3154" s="72"/>
      <c r="M3154" s="2"/>
      <c r="N3154" s="5"/>
      <c r="O3154" s="3"/>
      <c r="P3154" s="6"/>
      <c r="Q3154" s="48">
        <f>IF(Учет!$O3154=Справочники!$F$2,Учет!$H3154,0)</f>
        <v>0</v>
      </c>
      <c r="R3154" s="48">
        <f>IF(Учет!$O3154=Справочники!$F$3,Учет!$H3154,0)</f>
        <v>0</v>
      </c>
      <c r="S3154" s="48">
        <f>IF(Учет!$O3154=Справочники!$F$4,Учет!$H3154,0)</f>
        <v>0</v>
      </c>
      <c r="T3154" s="48">
        <f>IF(Учет!$O3154=Справочники!$F$5,Учет!$H3154,0)</f>
        <v>0</v>
      </c>
      <c r="U3154" s="48">
        <f>IF(Учет!$O3154=Справочники!$F$6,Учет!$H3154,0)</f>
        <v>0</v>
      </c>
      <c r="V3154" s="43">
        <f>V3153+Учет!Q3154-Q3154</f>
        <v>-488978.92000000004</v>
      </c>
      <c r="W3154" s="43">
        <f>W3153+Учет!R3154-R3154</f>
        <v>336855</v>
      </c>
      <c r="X3154" s="43">
        <f>X3153+Учет!S3154-S3154</f>
        <v>500</v>
      </c>
      <c r="Y3154" s="43">
        <f>Y3153+Учет!T3154-T3154</f>
        <v>1150</v>
      </c>
      <c r="Z3154" s="43">
        <f>Z3153+Учет!U3154-U3154</f>
        <v>500000</v>
      </c>
      <c r="AA3154" s="45">
        <f>Учет!X3154</f>
        <v>500</v>
      </c>
    </row>
    <row r="3155" spans="1:27" ht="15" customHeight="1" x14ac:dyDescent="0.25">
      <c r="A3155" s="1"/>
      <c r="B3155" s="17"/>
      <c r="C3155" s="17"/>
      <c r="D3155" s="17"/>
      <c r="E3155" s="17"/>
      <c r="F3155" s="17"/>
      <c r="G3155" s="4">
        <f t="shared" si="144"/>
        <v>0</v>
      </c>
      <c r="H3155" s="17"/>
      <c r="I3155" s="4">
        <f t="shared" si="146"/>
        <v>349526.07999999996</v>
      </c>
      <c r="J3155" s="32" t="str">
        <f t="shared" si="145"/>
        <v/>
      </c>
      <c r="K3155" s="72"/>
      <c r="L3155" s="72"/>
      <c r="M3155" s="2"/>
      <c r="N3155" s="5"/>
      <c r="O3155" s="3"/>
      <c r="P3155" s="6"/>
      <c r="Q3155" s="48">
        <f>IF(Учет!$O3155=Справочники!$F$2,Учет!$H3155,0)</f>
        <v>0</v>
      </c>
      <c r="R3155" s="48">
        <f>IF(Учет!$O3155=Справочники!$F$3,Учет!$H3155,0)</f>
        <v>0</v>
      </c>
      <c r="S3155" s="48">
        <f>IF(Учет!$O3155=Справочники!$F$4,Учет!$H3155,0)</f>
        <v>0</v>
      </c>
      <c r="T3155" s="48">
        <f>IF(Учет!$O3155=Справочники!$F$5,Учет!$H3155,0)</f>
        <v>0</v>
      </c>
      <c r="U3155" s="48">
        <f>IF(Учет!$O3155=Справочники!$F$6,Учет!$H3155,0)</f>
        <v>0</v>
      </c>
      <c r="V3155" s="43">
        <f>V3154+Учет!Q3155-Q3155</f>
        <v>-488978.92000000004</v>
      </c>
      <c r="W3155" s="43">
        <f>W3154+Учет!R3155-R3155</f>
        <v>336855</v>
      </c>
      <c r="X3155" s="43">
        <f>X3154+Учет!S3155-S3155</f>
        <v>500</v>
      </c>
      <c r="Y3155" s="43">
        <f>Y3154+Учет!T3155-T3155</f>
        <v>1150</v>
      </c>
      <c r="Z3155" s="43">
        <f>Z3154+Учет!U3155-U3155</f>
        <v>500000</v>
      </c>
      <c r="AA3155" s="45">
        <f>Учет!X3155</f>
        <v>500</v>
      </c>
    </row>
    <row r="3156" spans="1:27" ht="15" customHeight="1" x14ac:dyDescent="0.25">
      <c r="A3156" s="1"/>
      <c r="B3156" s="17"/>
      <c r="C3156" s="17"/>
      <c r="D3156" s="17"/>
      <c r="E3156" s="17"/>
      <c r="F3156" s="17"/>
      <c r="G3156" s="4">
        <f t="shared" si="144"/>
        <v>0</v>
      </c>
      <c r="H3156" s="17"/>
      <c r="I3156" s="4">
        <f t="shared" si="146"/>
        <v>349526.07999999996</v>
      </c>
      <c r="J3156" s="32" t="str">
        <f t="shared" si="145"/>
        <v/>
      </c>
      <c r="K3156" s="72"/>
      <c r="L3156" s="72"/>
      <c r="M3156" s="2"/>
      <c r="N3156" s="5"/>
      <c r="O3156" s="3"/>
      <c r="P3156" s="6"/>
      <c r="Q3156" s="48">
        <f>IF(Учет!$O3156=Справочники!$F$2,Учет!$H3156,0)</f>
        <v>0</v>
      </c>
      <c r="R3156" s="48">
        <f>IF(Учет!$O3156=Справочники!$F$3,Учет!$H3156,0)</f>
        <v>0</v>
      </c>
      <c r="S3156" s="48">
        <f>IF(Учет!$O3156=Справочники!$F$4,Учет!$H3156,0)</f>
        <v>0</v>
      </c>
      <c r="T3156" s="48">
        <f>IF(Учет!$O3156=Справочники!$F$5,Учет!$H3156,0)</f>
        <v>0</v>
      </c>
      <c r="U3156" s="48">
        <f>IF(Учет!$O3156=Справочники!$F$6,Учет!$H3156,0)</f>
        <v>0</v>
      </c>
      <c r="V3156" s="43">
        <f>V3155+Учет!Q3156-Q3156</f>
        <v>-488978.92000000004</v>
      </c>
      <c r="W3156" s="43">
        <f>W3155+Учет!R3156-R3156</f>
        <v>336855</v>
      </c>
      <c r="X3156" s="43">
        <f>X3155+Учет!S3156-S3156</f>
        <v>500</v>
      </c>
      <c r="Y3156" s="43">
        <f>Y3155+Учет!T3156-T3156</f>
        <v>1150</v>
      </c>
      <c r="Z3156" s="43">
        <f>Z3155+Учет!U3156-U3156</f>
        <v>500000</v>
      </c>
      <c r="AA3156" s="45">
        <f>Учет!X3156</f>
        <v>500</v>
      </c>
    </row>
    <row r="3157" spans="1:27" ht="15" customHeight="1" x14ac:dyDescent="0.25">
      <c r="A3157" s="1"/>
      <c r="B3157" s="17"/>
      <c r="C3157" s="17"/>
      <c r="D3157" s="17"/>
      <c r="E3157" s="17"/>
      <c r="F3157" s="17"/>
      <c r="G3157" s="4">
        <f t="shared" si="144"/>
        <v>0</v>
      </c>
      <c r="H3157" s="17"/>
      <c r="I3157" s="4">
        <f t="shared" si="146"/>
        <v>349526.07999999996</v>
      </c>
      <c r="J3157" s="32" t="str">
        <f t="shared" si="145"/>
        <v/>
      </c>
      <c r="K3157" s="72"/>
      <c r="L3157" s="72"/>
      <c r="M3157" s="2"/>
      <c r="N3157" s="5"/>
      <c r="O3157" s="3"/>
      <c r="P3157" s="6"/>
      <c r="Q3157" s="48">
        <f>IF(Учет!$O3157=Справочники!$F$2,Учет!$H3157,0)</f>
        <v>0</v>
      </c>
      <c r="R3157" s="48">
        <f>IF(Учет!$O3157=Справочники!$F$3,Учет!$H3157,0)</f>
        <v>0</v>
      </c>
      <c r="S3157" s="48">
        <f>IF(Учет!$O3157=Справочники!$F$4,Учет!$H3157,0)</f>
        <v>0</v>
      </c>
      <c r="T3157" s="48">
        <f>IF(Учет!$O3157=Справочники!$F$5,Учет!$H3157,0)</f>
        <v>0</v>
      </c>
      <c r="U3157" s="48">
        <f>IF(Учет!$O3157=Справочники!$F$6,Учет!$H3157,0)</f>
        <v>0</v>
      </c>
      <c r="V3157" s="43">
        <f>V3156+Учет!Q3157-Q3157</f>
        <v>-488978.92000000004</v>
      </c>
      <c r="W3157" s="43">
        <f>W3156+Учет!R3157-R3157</f>
        <v>336855</v>
      </c>
      <c r="X3157" s="43">
        <f>X3156+Учет!S3157-S3157</f>
        <v>500</v>
      </c>
      <c r="Y3157" s="43">
        <f>Y3156+Учет!T3157-T3157</f>
        <v>1150</v>
      </c>
      <c r="Z3157" s="43">
        <f>Z3156+Учет!U3157-U3157</f>
        <v>500000</v>
      </c>
      <c r="AA3157" s="45">
        <f>Учет!X3157</f>
        <v>500</v>
      </c>
    </row>
    <row r="3158" spans="1:27" ht="15" customHeight="1" x14ac:dyDescent="0.25">
      <c r="A3158" s="1"/>
      <c r="B3158" s="17"/>
      <c r="C3158" s="17"/>
      <c r="D3158" s="17"/>
      <c r="E3158" s="17"/>
      <c r="F3158" s="17"/>
      <c r="G3158" s="4">
        <f t="shared" si="144"/>
        <v>0</v>
      </c>
      <c r="H3158" s="17"/>
      <c r="I3158" s="4">
        <f t="shared" si="146"/>
        <v>349526.07999999996</v>
      </c>
      <c r="J3158" s="32" t="str">
        <f t="shared" si="145"/>
        <v/>
      </c>
      <c r="K3158" s="72"/>
      <c r="L3158" s="72"/>
      <c r="M3158" s="2"/>
      <c r="N3158" s="5"/>
      <c r="O3158" s="3"/>
      <c r="P3158" s="6"/>
      <c r="Q3158" s="48">
        <f>IF(Учет!$O3158=Справочники!$F$2,Учет!$H3158,0)</f>
        <v>0</v>
      </c>
      <c r="R3158" s="48">
        <f>IF(Учет!$O3158=Справочники!$F$3,Учет!$H3158,0)</f>
        <v>0</v>
      </c>
      <c r="S3158" s="48">
        <f>IF(Учет!$O3158=Справочники!$F$4,Учет!$H3158,0)</f>
        <v>0</v>
      </c>
      <c r="T3158" s="48">
        <f>IF(Учет!$O3158=Справочники!$F$5,Учет!$H3158,0)</f>
        <v>0</v>
      </c>
      <c r="U3158" s="48">
        <f>IF(Учет!$O3158=Справочники!$F$6,Учет!$H3158,0)</f>
        <v>0</v>
      </c>
      <c r="V3158" s="43">
        <f>V3157+Учет!Q3158-Q3158</f>
        <v>-488978.92000000004</v>
      </c>
      <c r="W3158" s="43">
        <f>W3157+Учет!R3158-R3158</f>
        <v>336855</v>
      </c>
      <c r="X3158" s="43">
        <f>X3157+Учет!S3158-S3158</f>
        <v>500</v>
      </c>
      <c r="Y3158" s="43">
        <f>Y3157+Учет!T3158-T3158</f>
        <v>1150</v>
      </c>
      <c r="Z3158" s="43">
        <f>Z3157+Учет!U3158-U3158</f>
        <v>500000</v>
      </c>
      <c r="AA3158" s="45">
        <f>Учет!X3158</f>
        <v>500</v>
      </c>
    </row>
    <row r="3159" spans="1:27" ht="15" customHeight="1" x14ac:dyDescent="0.25">
      <c r="A3159" s="1"/>
      <c r="B3159" s="17"/>
      <c r="C3159" s="17"/>
      <c r="D3159" s="17"/>
      <c r="E3159" s="17"/>
      <c r="F3159" s="17"/>
      <c r="G3159" s="4">
        <f t="shared" si="144"/>
        <v>0</v>
      </c>
      <c r="H3159" s="17"/>
      <c r="I3159" s="4">
        <f t="shared" si="146"/>
        <v>349526.07999999996</v>
      </c>
      <c r="J3159" s="32" t="str">
        <f t="shared" si="145"/>
        <v/>
      </c>
      <c r="K3159" s="72"/>
      <c r="L3159" s="72"/>
      <c r="M3159" s="2"/>
      <c r="N3159" s="5"/>
      <c r="O3159" s="3"/>
      <c r="P3159" s="6"/>
      <c r="Q3159" s="48">
        <f>IF(Учет!$O3159=Справочники!$F$2,Учет!$H3159,0)</f>
        <v>0</v>
      </c>
      <c r="R3159" s="48">
        <f>IF(Учет!$O3159=Справочники!$F$3,Учет!$H3159,0)</f>
        <v>0</v>
      </c>
      <c r="S3159" s="48">
        <f>IF(Учет!$O3159=Справочники!$F$4,Учет!$H3159,0)</f>
        <v>0</v>
      </c>
      <c r="T3159" s="48">
        <f>IF(Учет!$O3159=Справочники!$F$5,Учет!$H3159,0)</f>
        <v>0</v>
      </c>
      <c r="U3159" s="48">
        <f>IF(Учет!$O3159=Справочники!$F$6,Учет!$H3159,0)</f>
        <v>0</v>
      </c>
      <c r="V3159" s="43">
        <f>V3158+Учет!Q3159-Q3159</f>
        <v>-488978.92000000004</v>
      </c>
      <c r="W3159" s="43">
        <f>W3158+Учет!R3159-R3159</f>
        <v>336855</v>
      </c>
      <c r="X3159" s="43">
        <f>X3158+Учет!S3159-S3159</f>
        <v>500</v>
      </c>
      <c r="Y3159" s="43">
        <f>Y3158+Учет!T3159-T3159</f>
        <v>1150</v>
      </c>
      <c r="Z3159" s="43">
        <f>Z3158+Учет!U3159-U3159</f>
        <v>500000</v>
      </c>
      <c r="AA3159" s="45">
        <f>Учет!X3159</f>
        <v>500</v>
      </c>
    </row>
    <row r="3160" spans="1:27" ht="15" customHeight="1" x14ac:dyDescent="0.25">
      <c r="A3160" s="1"/>
      <c r="B3160" s="17"/>
      <c r="C3160" s="17"/>
      <c r="D3160" s="17"/>
      <c r="E3160" s="17"/>
      <c r="F3160" s="17"/>
      <c r="G3160" s="4">
        <f t="shared" si="144"/>
        <v>0</v>
      </c>
      <c r="H3160" s="17"/>
      <c r="I3160" s="4">
        <f t="shared" si="146"/>
        <v>349526.07999999996</v>
      </c>
      <c r="J3160" s="32" t="str">
        <f t="shared" si="145"/>
        <v/>
      </c>
      <c r="K3160" s="72"/>
      <c r="L3160" s="72"/>
      <c r="M3160" s="2"/>
      <c r="N3160" s="5"/>
      <c r="O3160" s="3"/>
      <c r="P3160" s="6"/>
      <c r="Q3160" s="48">
        <f>IF(Учет!$O3160=Справочники!$F$2,Учет!$H3160,0)</f>
        <v>0</v>
      </c>
      <c r="R3160" s="48">
        <f>IF(Учет!$O3160=Справочники!$F$3,Учет!$H3160,0)</f>
        <v>0</v>
      </c>
      <c r="S3160" s="48">
        <f>IF(Учет!$O3160=Справочники!$F$4,Учет!$H3160,0)</f>
        <v>0</v>
      </c>
      <c r="T3160" s="48">
        <f>IF(Учет!$O3160=Справочники!$F$5,Учет!$H3160,0)</f>
        <v>0</v>
      </c>
      <c r="U3160" s="48">
        <f>IF(Учет!$O3160=Справочники!$F$6,Учет!$H3160,0)</f>
        <v>0</v>
      </c>
      <c r="V3160" s="43">
        <f>V3159+Учет!Q3160-Q3160</f>
        <v>-488978.92000000004</v>
      </c>
      <c r="W3160" s="43">
        <f>W3159+Учет!R3160-R3160</f>
        <v>336855</v>
      </c>
      <c r="X3160" s="43">
        <f>X3159+Учет!S3160-S3160</f>
        <v>500</v>
      </c>
      <c r="Y3160" s="43">
        <f>Y3159+Учет!T3160-T3160</f>
        <v>1150</v>
      </c>
      <c r="Z3160" s="43">
        <f>Z3159+Учет!U3160-U3160</f>
        <v>500000</v>
      </c>
      <c r="AA3160" s="45">
        <f>Учет!X3160</f>
        <v>500</v>
      </c>
    </row>
    <row r="3161" spans="1:27" ht="15" customHeight="1" x14ac:dyDescent="0.25">
      <c r="A3161" s="1"/>
      <c r="B3161" s="17"/>
      <c r="C3161" s="17"/>
      <c r="D3161" s="17"/>
      <c r="E3161" s="17"/>
      <c r="F3161" s="17"/>
      <c r="G3161" s="4">
        <f t="shared" si="144"/>
        <v>0</v>
      </c>
      <c r="H3161" s="17"/>
      <c r="I3161" s="4">
        <f t="shared" si="146"/>
        <v>349526.07999999996</v>
      </c>
      <c r="J3161" s="32" t="str">
        <f t="shared" si="145"/>
        <v/>
      </c>
      <c r="K3161" s="72"/>
      <c r="L3161" s="72"/>
      <c r="M3161" s="2"/>
      <c r="N3161" s="5"/>
      <c r="O3161" s="3"/>
      <c r="P3161" s="6"/>
      <c r="Q3161" s="48">
        <f>IF(Учет!$O3161=Справочники!$F$2,Учет!$H3161,0)</f>
        <v>0</v>
      </c>
      <c r="R3161" s="48">
        <f>IF(Учет!$O3161=Справочники!$F$3,Учет!$H3161,0)</f>
        <v>0</v>
      </c>
      <c r="S3161" s="48">
        <f>IF(Учет!$O3161=Справочники!$F$4,Учет!$H3161,0)</f>
        <v>0</v>
      </c>
      <c r="T3161" s="48">
        <f>IF(Учет!$O3161=Справочники!$F$5,Учет!$H3161,0)</f>
        <v>0</v>
      </c>
      <c r="U3161" s="48">
        <f>IF(Учет!$O3161=Справочники!$F$6,Учет!$H3161,0)</f>
        <v>0</v>
      </c>
      <c r="V3161" s="43">
        <f>V3160+Учет!Q3161-Q3161</f>
        <v>-488978.92000000004</v>
      </c>
      <c r="W3161" s="43">
        <f>W3160+Учет!R3161-R3161</f>
        <v>336855</v>
      </c>
      <c r="X3161" s="43">
        <f>X3160+Учет!S3161-S3161</f>
        <v>500</v>
      </c>
      <c r="Y3161" s="43">
        <f>Y3160+Учет!T3161-T3161</f>
        <v>1150</v>
      </c>
      <c r="Z3161" s="43">
        <f>Z3160+Учет!U3161-U3161</f>
        <v>500000</v>
      </c>
      <c r="AA3161" s="45">
        <f>Учет!X3161</f>
        <v>500</v>
      </c>
    </row>
    <row r="3162" spans="1:27" ht="15" customHeight="1" x14ac:dyDescent="0.25">
      <c r="A3162" s="1"/>
      <c r="B3162" s="17"/>
      <c r="C3162" s="17"/>
      <c r="D3162" s="17"/>
      <c r="E3162" s="17"/>
      <c r="F3162" s="17"/>
      <c r="G3162" s="4">
        <f t="shared" si="144"/>
        <v>0</v>
      </c>
      <c r="H3162" s="17"/>
      <c r="I3162" s="4">
        <f t="shared" si="146"/>
        <v>349526.07999999996</v>
      </c>
      <c r="J3162" s="32" t="str">
        <f t="shared" si="145"/>
        <v/>
      </c>
      <c r="K3162" s="72"/>
      <c r="L3162" s="72"/>
      <c r="M3162" s="2"/>
      <c r="N3162" s="5"/>
      <c r="O3162" s="3"/>
      <c r="P3162" s="6"/>
      <c r="Q3162" s="48">
        <f>IF(Учет!$O3162=Справочники!$F$2,Учет!$H3162,0)</f>
        <v>0</v>
      </c>
      <c r="R3162" s="48">
        <f>IF(Учет!$O3162=Справочники!$F$3,Учет!$H3162,0)</f>
        <v>0</v>
      </c>
      <c r="S3162" s="48">
        <f>IF(Учет!$O3162=Справочники!$F$4,Учет!$H3162,0)</f>
        <v>0</v>
      </c>
      <c r="T3162" s="48">
        <f>IF(Учет!$O3162=Справочники!$F$5,Учет!$H3162,0)</f>
        <v>0</v>
      </c>
      <c r="U3162" s="48">
        <f>IF(Учет!$O3162=Справочники!$F$6,Учет!$H3162,0)</f>
        <v>0</v>
      </c>
      <c r="V3162" s="43">
        <f>V3161+Учет!Q3162-Q3162</f>
        <v>-488978.92000000004</v>
      </c>
      <c r="W3162" s="43">
        <f>W3161+Учет!R3162-R3162</f>
        <v>336855</v>
      </c>
      <c r="X3162" s="43">
        <f>X3161+Учет!S3162-S3162</f>
        <v>500</v>
      </c>
      <c r="Y3162" s="43">
        <f>Y3161+Учет!T3162-T3162</f>
        <v>1150</v>
      </c>
      <c r="Z3162" s="43">
        <f>Z3161+Учет!U3162-U3162</f>
        <v>500000</v>
      </c>
      <c r="AA3162" s="45">
        <f>Учет!X3162</f>
        <v>500</v>
      </c>
    </row>
    <row r="3163" spans="1:27" ht="15" customHeight="1" x14ac:dyDescent="0.25">
      <c r="A3163" s="1"/>
      <c r="B3163" s="17"/>
      <c r="C3163" s="17"/>
      <c r="D3163" s="17"/>
      <c r="E3163" s="17"/>
      <c r="F3163" s="17"/>
      <c r="G3163" s="4">
        <f t="shared" si="144"/>
        <v>0</v>
      </c>
      <c r="H3163" s="17"/>
      <c r="I3163" s="4">
        <f t="shared" si="146"/>
        <v>349526.07999999996</v>
      </c>
      <c r="J3163" s="32" t="str">
        <f t="shared" si="145"/>
        <v/>
      </c>
      <c r="K3163" s="72"/>
      <c r="L3163" s="72"/>
      <c r="M3163" s="2"/>
      <c r="N3163" s="5"/>
      <c r="O3163" s="3"/>
      <c r="P3163" s="6"/>
      <c r="Q3163" s="48">
        <f>IF(Учет!$O3163=Справочники!$F$2,Учет!$H3163,0)</f>
        <v>0</v>
      </c>
      <c r="R3163" s="48">
        <f>IF(Учет!$O3163=Справочники!$F$3,Учет!$H3163,0)</f>
        <v>0</v>
      </c>
      <c r="S3163" s="48">
        <f>IF(Учет!$O3163=Справочники!$F$4,Учет!$H3163,0)</f>
        <v>0</v>
      </c>
      <c r="T3163" s="48">
        <f>IF(Учет!$O3163=Справочники!$F$5,Учет!$H3163,0)</f>
        <v>0</v>
      </c>
      <c r="U3163" s="48">
        <f>IF(Учет!$O3163=Справочники!$F$6,Учет!$H3163,0)</f>
        <v>0</v>
      </c>
      <c r="V3163" s="43">
        <f>V3162+Учет!Q3163-Q3163</f>
        <v>-488978.92000000004</v>
      </c>
      <c r="W3163" s="43">
        <f>W3162+Учет!R3163-R3163</f>
        <v>336855</v>
      </c>
      <c r="X3163" s="43">
        <f>X3162+Учет!S3163-S3163</f>
        <v>500</v>
      </c>
      <c r="Y3163" s="43">
        <f>Y3162+Учет!T3163-T3163</f>
        <v>1150</v>
      </c>
      <c r="Z3163" s="43">
        <f>Z3162+Учет!U3163-U3163</f>
        <v>500000</v>
      </c>
      <c r="AA3163" s="45">
        <f>Учет!X3163</f>
        <v>500</v>
      </c>
    </row>
    <row r="3164" spans="1:27" ht="15" customHeight="1" x14ac:dyDescent="0.25">
      <c r="A3164" s="1"/>
      <c r="B3164" s="17"/>
      <c r="C3164" s="17"/>
      <c r="D3164" s="17"/>
      <c r="E3164" s="17"/>
      <c r="F3164" s="17"/>
      <c r="G3164" s="4">
        <f t="shared" si="144"/>
        <v>0</v>
      </c>
      <c r="H3164" s="17"/>
      <c r="I3164" s="4">
        <f t="shared" si="146"/>
        <v>349526.07999999996</v>
      </c>
      <c r="J3164" s="32" t="str">
        <f t="shared" si="145"/>
        <v/>
      </c>
      <c r="K3164" s="72"/>
      <c r="L3164" s="72"/>
      <c r="M3164" s="2"/>
      <c r="N3164" s="5"/>
      <c r="O3164" s="3"/>
      <c r="P3164" s="6"/>
      <c r="Q3164" s="48">
        <f>IF(Учет!$O3164=Справочники!$F$2,Учет!$H3164,0)</f>
        <v>0</v>
      </c>
      <c r="R3164" s="48">
        <f>IF(Учет!$O3164=Справочники!$F$3,Учет!$H3164,0)</f>
        <v>0</v>
      </c>
      <c r="S3164" s="48">
        <f>IF(Учет!$O3164=Справочники!$F$4,Учет!$H3164,0)</f>
        <v>0</v>
      </c>
      <c r="T3164" s="48">
        <f>IF(Учет!$O3164=Справочники!$F$5,Учет!$H3164,0)</f>
        <v>0</v>
      </c>
      <c r="U3164" s="48">
        <f>IF(Учет!$O3164=Справочники!$F$6,Учет!$H3164,0)</f>
        <v>0</v>
      </c>
      <c r="V3164" s="43">
        <f>V3163+Учет!Q3164-Q3164</f>
        <v>-488978.92000000004</v>
      </c>
      <c r="W3164" s="43">
        <f>W3163+Учет!R3164-R3164</f>
        <v>336855</v>
      </c>
      <c r="X3164" s="43">
        <f>X3163+Учет!S3164-S3164</f>
        <v>500</v>
      </c>
      <c r="Y3164" s="43">
        <f>Y3163+Учет!T3164-T3164</f>
        <v>1150</v>
      </c>
      <c r="Z3164" s="43">
        <f>Z3163+Учет!U3164-U3164</f>
        <v>500000</v>
      </c>
      <c r="AA3164" s="45">
        <f>Учет!X3164</f>
        <v>500</v>
      </c>
    </row>
    <row r="3165" spans="1:27" ht="15" customHeight="1" x14ac:dyDescent="0.25">
      <c r="A3165" s="1"/>
      <c r="B3165" s="17"/>
      <c r="C3165" s="17"/>
      <c r="D3165" s="17"/>
      <c r="E3165" s="17"/>
      <c r="F3165" s="17"/>
      <c r="G3165" s="4">
        <f t="shared" si="144"/>
        <v>0</v>
      </c>
      <c r="H3165" s="17"/>
      <c r="I3165" s="4">
        <f t="shared" si="146"/>
        <v>349526.07999999996</v>
      </c>
      <c r="J3165" s="32" t="str">
        <f t="shared" si="145"/>
        <v/>
      </c>
      <c r="K3165" s="72"/>
      <c r="L3165" s="72"/>
      <c r="M3165" s="2"/>
      <c r="N3165" s="5"/>
      <c r="O3165" s="3"/>
      <c r="P3165" s="6"/>
      <c r="Q3165" s="48">
        <f>IF(Учет!$O3165=Справочники!$F$2,Учет!$H3165,0)</f>
        <v>0</v>
      </c>
      <c r="R3165" s="48">
        <f>IF(Учет!$O3165=Справочники!$F$3,Учет!$H3165,0)</f>
        <v>0</v>
      </c>
      <c r="S3165" s="48">
        <f>IF(Учет!$O3165=Справочники!$F$4,Учет!$H3165,0)</f>
        <v>0</v>
      </c>
      <c r="T3165" s="48">
        <f>IF(Учет!$O3165=Справочники!$F$5,Учет!$H3165,0)</f>
        <v>0</v>
      </c>
      <c r="U3165" s="48">
        <f>IF(Учет!$O3165=Справочники!$F$6,Учет!$H3165,0)</f>
        <v>0</v>
      </c>
      <c r="V3165" s="43">
        <f>V3164+Учет!Q3165-Q3165</f>
        <v>-488978.92000000004</v>
      </c>
      <c r="W3165" s="43">
        <f>W3164+Учет!R3165-R3165</f>
        <v>336855</v>
      </c>
      <c r="X3165" s="43">
        <f>X3164+Учет!S3165-S3165</f>
        <v>500</v>
      </c>
      <c r="Y3165" s="43">
        <f>Y3164+Учет!T3165-T3165</f>
        <v>1150</v>
      </c>
      <c r="Z3165" s="43">
        <f>Z3164+Учет!U3165-U3165</f>
        <v>500000</v>
      </c>
      <c r="AA3165" s="45">
        <f>Учет!X3165</f>
        <v>500</v>
      </c>
    </row>
    <row r="3166" spans="1:27" ht="15" customHeight="1" x14ac:dyDescent="0.25">
      <c r="A3166" s="1"/>
      <c r="B3166" s="17"/>
      <c r="C3166" s="17"/>
      <c r="D3166" s="17"/>
      <c r="E3166" s="17"/>
      <c r="F3166" s="17"/>
      <c r="G3166" s="4">
        <f t="shared" si="144"/>
        <v>0</v>
      </c>
      <c r="H3166" s="17"/>
      <c r="I3166" s="4">
        <f t="shared" si="146"/>
        <v>349526.07999999996</v>
      </c>
      <c r="J3166" s="32" t="str">
        <f t="shared" si="145"/>
        <v/>
      </c>
      <c r="K3166" s="72"/>
      <c r="L3166" s="72"/>
      <c r="M3166" s="2"/>
      <c r="N3166" s="5"/>
      <c r="O3166" s="3"/>
      <c r="P3166" s="6"/>
      <c r="Q3166" s="48">
        <f>IF(Учет!$O3166=Справочники!$F$2,Учет!$H3166,0)</f>
        <v>0</v>
      </c>
      <c r="R3166" s="48">
        <f>IF(Учет!$O3166=Справочники!$F$3,Учет!$H3166,0)</f>
        <v>0</v>
      </c>
      <c r="S3166" s="48">
        <f>IF(Учет!$O3166=Справочники!$F$4,Учет!$H3166,0)</f>
        <v>0</v>
      </c>
      <c r="T3166" s="48">
        <f>IF(Учет!$O3166=Справочники!$F$5,Учет!$H3166,0)</f>
        <v>0</v>
      </c>
      <c r="U3166" s="48">
        <f>IF(Учет!$O3166=Справочники!$F$6,Учет!$H3166,0)</f>
        <v>0</v>
      </c>
      <c r="V3166" s="43">
        <f>V3165+Учет!Q3166-Q3166</f>
        <v>-488978.92000000004</v>
      </c>
      <c r="W3166" s="43">
        <f>W3165+Учет!R3166-R3166</f>
        <v>336855</v>
      </c>
      <c r="X3166" s="43">
        <f>X3165+Учет!S3166-S3166</f>
        <v>500</v>
      </c>
      <c r="Y3166" s="43">
        <f>Y3165+Учет!T3166-T3166</f>
        <v>1150</v>
      </c>
      <c r="Z3166" s="43">
        <f>Z3165+Учет!U3166-U3166</f>
        <v>500000</v>
      </c>
      <c r="AA3166" s="45">
        <f>Учет!X3166</f>
        <v>500</v>
      </c>
    </row>
    <row r="3167" spans="1:27" ht="15" customHeight="1" x14ac:dyDescent="0.25">
      <c r="A3167" s="1"/>
      <c r="B3167" s="17"/>
      <c r="C3167" s="17"/>
      <c r="D3167" s="17"/>
      <c r="E3167" s="17"/>
      <c r="F3167" s="17"/>
      <c r="G3167" s="4">
        <f t="shared" si="144"/>
        <v>0</v>
      </c>
      <c r="H3167" s="17"/>
      <c r="I3167" s="4">
        <f t="shared" si="146"/>
        <v>349526.07999999996</v>
      </c>
      <c r="J3167" s="32" t="str">
        <f t="shared" si="145"/>
        <v/>
      </c>
      <c r="K3167" s="72"/>
      <c r="L3167" s="72"/>
      <c r="M3167" s="2"/>
      <c r="N3167" s="5"/>
      <c r="O3167" s="3"/>
      <c r="P3167" s="6"/>
      <c r="Q3167" s="48">
        <f>IF(Учет!$O3167=Справочники!$F$2,Учет!$H3167,0)</f>
        <v>0</v>
      </c>
      <c r="R3167" s="48">
        <f>IF(Учет!$O3167=Справочники!$F$3,Учет!$H3167,0)</f>
        <v>0</v>
      </c>
      <c r="S3167" s="48">
        <f>IF(Учет!$O3167=Справочники!$F$4,Учет!$H3167,0)</f>
        <v>0</v>
      </c>
      <c r="T3167" s="48">
        <f>IF(Учет!$O3167=Справочники!$F$5,Учет!$H3167,0)</f>
        <v>0</v>
      </c>
      <c r="U3167" s="48">
        <f>IF(Учет!$O3167=Справочники!$F$6,Учет!$H3167,0)</f>
        <v>0</v>
      </c>
      <c r="V3167" s="43">
        <f>V3166+Учет!Q3167-Q3167</f>
        <v>-488978.92000000004</v>
      </c>
      <c r="W3167" s="43">
        <f>W3166+Учет!R3167-R3167</f>
        <v>336855</v>
      </c>
      <c r="X3167" s="43">
        <f>X3166+Учет!S3167-S3167</f>
        <v>500</v>
      </c>
      <c r="Y3167" s="43">
        <f>Y3166+Учет!T3167-T3167</f>
        <v>1150</v>
      </c>
      <c r="Z3167" s="43">
        <f>Z3166+Учет!U3167-U3167</f>
        <v>500000</v>
      </c>
      <c r="AA3167" s="45">
        <f>Учет!X3167</f>
        <v>500</v>
      </c>
    </row>
    <row r="3168" spans="1:27" ht="15" customHeight="1" x14ac:dyDescent="0.25">
      <c r="A3168" s="1"/>
      <c r="B3168" s="17"/>
      <c r="C3168" s="17"/>
      <c r="D3168" s="17"/>
      <c r="E3168" s="17"/>
      <c r="F3168" s="17"/>
      <c r="G3168" s="4">
        <f t="shared" si="144"/>
        <v>0</v>
      </c>
      <c r="H3168" s="17"/>
      <c r="I3168" s="4">
        <f t="shared" si="146"/>
        <v>349526.07999999996</v>
      </c>
      <c r="J3168" s="32" t="str">
        <f t="shared" si="145"/>
        <v/>
      </c>
      <c r="K3168" s="72"/>
      <c r="L3168" s="72"/>
      <c r="M3168" s="2"/>
      <c r="N3168" s="5"/>
      <c r="O3168" s="3"/>
      <c r="P3168" s="6"/>
      <c r="Q3168" s="48">
        <f>IF(Учет!$O3168=Справочники!$F$2,Учет!$H3168,0)</f>
        <v>0</v>
      </c>
      <c r="R3168" s="48">
        <f>IF(Учет!$O3168=Справочники!$F$3,Учет!$H3168,0)</f>
        <v>0</v>
      </c>
      <c r="S3168" s="48">
        <f>IF(Учет!$O3168=Справочники!$F$4,Учет!$H3168,0)</f>
        <v>0</v>
      </c>
      <c r="T3168" s="48">
        <f>IF(Учет!$O3168=Справочники!$F$5,Учет!$H3168,0)</f>
        <v>0</v>
      </c>
      <c r="U3168" s="48">
        <f>IF(Учет!$O3168=Справочники!$F$6,Учет!$H3168,0)</f>
        <v>0</v>
      </c>
      <c r="V3168" s="43">
        <f>V3167+Учет!Q3168-Q3168</f>
        <v>-488978.92000000004</v>
      </c>
      <c r="W3168" s="43">
        <f>W3167+Учет!R3168-R3168</f>
        <v>336855</v>
      </c>
      <c r="X3168" s="43">
        <f>X3167+Учет!S3168-S3168</f>
        <v>500</v>
      </c>
      <c r="Y3168" s="43">
        <f>Y3167+Учет!T3168-T3168</f>
        <v>1150</v>
      </c>
      <c r="Z3168" s="43">
        <f>Z3167+Учет!U3168-U3168</f>
        <v>500000</v>
      </c>
      <c r="AA3168" s="45">
        <f>Учет!X3168</f>
        <v>500</v>
      </c>
    </row>
    <row r="3169" spans="1:27" ht="15" customHeight="1" x14ac:dyDescent="0.25">
      <c r="A3169" s="1"/>
      <c r="B3169" s="17"/>
      <c r="C3169" s="17"/>
      <c r="D3169" s="17"/>
      <c r="E3169" s="17"/>
      <c r="F3169" s="17"/>
      <c r="G3169" s="4">
        <f t="shared" si="144"/>
        <v>0</v>
      </c>
      <c r="H3169" s="17"/>
      <c r="I3169" s="4">
        <f t="shared" si="146"/>
        <v>349526.07999999996</v>
      </c>
      <c r="J3169" s="32" t="str">
        <f t="shared" si="145"/>
        <v/>
      </c>
      <c r="K3169" s="72"/>
      <c r="L3169" s="72"/>
      <c r="M3169" s="2"/>
      <c r="N3169" s="5"/>
      <c r="O3169" s="3"/>
      <c r="P3169" s="6"/>
      <c r="Q3169" s="48">
        <f>IF(Учет!$O3169=Справочники!$F$2,Учет!$H3169,0)</f>
        <v>0</v>
      </c>
      <c r="R3169" s="48">
        <f>IF(Учет!$O3169=Справочники!$F$3,Учет!$H3169,0)</f>
        <v>0</v>
      </c>
      <c r="S3169" s="48">
        <f>IF(Учет!$O3169=Справочники!$F$4,Учет!$H3169,0)</f>
        <v>0</v>
      </c>
      <c r="T3169" s="48">
        <f>IF(Учет!$O3169=Справочники!$F$5,Учет!$H3169,0)</f>
        <v>0</v>
      </c>
      <c r="U3169" s="48">
        <f>IF(Учет!$O3169=Справочники!$F$6,Учет!$H3169,0)</f>
        <v>0</v>
      </c>
      <c r="V3169" s="43">
        <f>V3168+Учет!Q3169-Q3169</f>
        <v>-488978.92000000004</v>
      </c>
      <c r="W3169" s="43">
        <f>W3168+Учет!R3169-R3169</f>
        <v>336855</v>
      </c>
      <c r="X3169" s="43">
        <f>X3168+Учет!S3169-S3169</f>
        <v>500</v>
      </c>
      <c r="Y3169" s="43">
        <f>Y3168+Учет!T3169-T3169</f>
        <v>1150</v>
      </c>
      <c r="Z3169" s="43">
        <f>Z3168+Учет!U3169-U3169</f>
        <v>500000</v>
      </c>
      <c r="AA3169" s="45">
        <f>Учет!X3169</f>
        <v>500</v>
      </c>
    </row>
    <row r="3170" spans="1:27" ht="15" customHeight="1" x14ac:dyDescent="0.25">
      <c r="A3170" s="1"/>
      <c r="B3170" s="17"/>
      <c r="C3170" s="17"/>
      <c r="D3170" s="17"/>
      <c r="E3170" s="17"/>
      <c r="F3170" s="17"/>
      <c r="G3170" s="4">
        <f t="shared" si="144"/>
        <v>0</v>
      </c>
      <c r="H3170" s="17"/>
      <c r="I3170" s="4">
        <f t="shared" si="146"/>
        <v>349526.07999999996</v>
      </c>
      <c r="J3170" s="32" t="str">
        <f t="shared" si="145"/>
        <v/>
      </c>
      <c r="K3170" s="72"/>
      <c r="L3170" s="72"/>
      <c r="M3170" s="2"/>
      <c r="N3170" s="5"/>
      <c r="O3170" s="3"/>
      <c r="P3170" s="6"/>
      <c r="Q3170" s="48">
        <f>IF(Учет!$O3170=Справочники!$F$2,Учет!$H3170,0)</f>
        <v>0</v>
      </c>
      <c r="R3170" s="48">
        <f>IF(Учет!$O3170=Справочники!$F$3,Учет!$H3170,0)</f>
        <v>0</v>
      </c>
      <c r="S3170" s="48">
        <f>IF(Учет!$O3170=Справочники!$F$4,Учет!$H3170,0)</f>
        <v>0</v>
      </c>
      <c r="T3170" s="48">
        <f>IF(Учет!$O3170=Справочники!$F$5,Учет!$H3170,0)</f>
        <v>0</v>
      </c>
      <c r="U3170" s="48">
        <f>IF(Учет!$O3170=Справочники!$F$6,Учет!$H3170,0)</f>
        <v>0</v>
      </c>
      <c r="V3170" s="43">
        <f>V3169+Учет!Q3170-Q3170</f>
        <v>-488978.92000000004</v>
      </c>
      <c r="W3170" s="43">
        <f>W3169+Учет!R3170-R3170</f>
        <v>336855</v>
      </c>
      <c r="X3170" s="43">
        <f>X3169+Учет!S3170-S3170</f>
        <v>500</v>
      </c>
      <c r="Y3170" s="43">
        <f>Y3169+Учет!T3170-T3170</f>
        <v>1150</v>
      </c>
      <c r="Z3170" s="43">
        <f>Z3169+Учет!U3170-U3170</f>
        <v>500000</v>
      </c>
      <c r="AA3170" s="45">
        <f>Учет!X3170</f>
        <v>500</v>
      </c>
    </row>
    <row r="3171" spans="1:27" ht="15" customHeight="1" x14ac:dyDescent="0.25">
      <c r="A3171" s="1"/>
      <c r="B3171" s="17"/>
      <c r="C3171" s="17"/>
      <c r="D3171" s="17"/>
      <c r="E3171" s="17"/>
      <c r="F3171" s="17"/>
      <c r="G3171" s="4">
        <f t="shared" si="144"/>
        <v>0</v>
      </c>
      <c r="H3171" s="17"/>
      <c r="I3171" s="4">
        <f t="shared" si="146"/>
        <v>349526.07999999996</v>
      </c>
      <c r="J3171" s="32" t="str">
        <f t="shared" si="145"/>
        <v/>
      </c>
      <c r="K3171" s="72"/>
      <c r="L3171" s="72"/>
      <c r="M3171" s="2"/>
      <c r="N3171" s="5"/>
      <c r="O3171" s="3"/>
      <c r="P3171" s="6"/>
      <c r="Q3171" s="48">
        <f>IF(Учет!$O3171=Справочники!$F$2,Учет!$H3171,0)</f>
        <v>0</v>
      </c>
      <c r="R3171" s="48">
        <f>IF(Учет!$O3171=Справочники!$F$3,Учет!$H3171,0)</f>
        <v>0</v>
      </c>
      <c r="S3171" s="48">
        <f>IF(Учет!$O3171=Справочники!$F$4,Учет!$H3171,0)</f>
        <v>0</v>
      </c>
      <c r="T3171" s="48">
        <f>IF(Учет!$O3171=Справочники!$F$5,Учет!$H3171,0)</f>
        <v>0</v>
      </c>
      <c r="U3171" s="48">
        <f>IF(Учет!$O3171=Справочники!$F$6,Учет!$H3171,0)</f>
        <v>0</v>
      </c>
      <c r="V3171" s="43">
        <f>V3170+Учет!Q3171-Q3171</f>
        <v>-488978.92000000004</v>
      </c>
      <c r="W3171" s="43">
        <f>W3170+Учет!R3171-R3171</f>
        <v>336855</v>
      </c>
      <c r="X3171" s="43">
        <f>X3170+Учет!S3171-S3171</f>
        <v>500</v>
      </c>
      <c r="Y3171" s="43">
        <f>Y3170+Учет!T3171-T3171</f>
        <v>1150</v>
      </c>
      <c r="Z3171" s="43">
        <f>Z3170+Учет!U3171-U3171</f>
        <v>500000</v>
      </c>
      <c r="AA3171" s="45">
        <f>Учет!X3171</f>
        <v>500</v>
      </c>
    </row>
    <row r="3172" spans="1:27" ht="15" customHeight="1" x14ac:dyDescent="0.25">
      <c r="A3172" s="1"/>
      <c r="B3172" s="17"/>
      <c r="C3172" s="17"/>
      <c r="D3172" s="17"/>
      <c r="E3172" s="17"/>
      <c r="F3172" s="17"/>
      <c r="G3172" s="4">
        <f t="shared" si="144"/>
        <v>0</v>
      </c>
      <c r="H3172" s="17"/>
      <c r="I3172" s="4">
        <f t="shared" si="146"/>
        <v>349526.07999999996</v>
      </c>
      <c r="J3172" s="32" t="str">
        <f t="shared" si="145"/>
        <v/>
      </c>
      <c r="K3172" s="72"/>
      <c r="L3172" s="72"/>
      <c r="M3172" s="2"/>
      <c r="N3172" s="5"/>
      <c r="O3172" s="3"/>
      <c r="P3172" s="6"/>
      <c r="Q3172" s="48">
        <f>IF(Учет!$O3172=Справочники!$F$2,Учет!$H3172,0)</f>
        <v>0</v>
      </c>
      <c r="R3172" s="48">
        <f>IF(Учет!$O3172=Справочники!$F$3,Учет!$H3172,0)</f>
        <v>0</v>
      </c>
      <c r="S3172" s="48">
        <f>IF(Учет!$O3172=Справочники!$F$4,Учет!$H3172,0)</f>
        <v>0</v>
      </c>
      <c r="T3172" s="48">
        <f>IF(Учет!$O3172=Справочники!$F$5,Учет!$H3172,0)</f>
        <v>0</v>
      </c>
      <c r="U3172" s="48">
        <f>IF(Учет!$O3172=Справочники!$F$6,Учет!$H3172,0)</f>
        <v>0</v>
      </c>
      <c r="V3172" s="43">
        <f>V3171+Учет!Q3172-Q3172</f>
        <v>-488978.92000000004</v>
      </c>
      <c r="W3172" s="43">
        <f>W3171+Учет!R3172-R3172</f>
        <v>336855</v>
      </c>
      <c r="X3172" s="43">
        <f>X3171+Учет!S3172-S3172</f>
        <v>500</v>
      </c>
      <c r="Y3172" s="43">
        <f>Y3171+Учет!T3172-T3172</f>
        <v>1150</v>
      </c>
      <c r="Z3172" s="43">
        <f>Z3171+Учет!U3172-U3172</f>
        <v>500000</v>
      </c>
      <c r="AA3172" s="45">
        <f>Учет!X3172</f>
        <v>500</v>
      </c>
    </row>
    <row r="3173" spans="1:27" ht="15" customHeight="1" x14ac:dyDescent="0.25">
      <c r="A3173" s="1"/>
      <c r="B3173" s="17"/>
      <c r="C3173" s="17"/>
      <c r="D3173" s="17"/>
      <c r="E3173" s="17"/>
      <c r="F3173" s="17"/>
      <c r="G3173" s="4">
        <f t="shared" si="144"/>
        <v>0</v>
      </c>
      <c r="H3173" s="17"/>
      <c r="I3173" s="4">
        <f t="shared" si="146"/>
        <v>349526.07999999996</v>
      </c>
      <c r="J3173" s="32" t="str">
        <f t="shared" si="145"/>
        <v/>
      </c>
      <c r="K3173" s="72"/>
      <c r="L3173" s="72"/>
      <c r="M3173" s="2"/>
      <c r="N3173" s="5"/>
      <c r="O3173" s="3"/>
      <c r="P3173" s="6"/>
      <c r="Q3173" s="48">
        <f>IF(Учет!$O3173=Справочники!$F$2,Учет!$H3173,0)</f>
        <v>0</v>
      </c>
      <c r="R3173" s="48">
        <f>IF(Учет!$O3173=Справочники!$F$3,Учет!$H3173,0)</f>
        <v>0</v>
      </c>
      <c r="S3173" s="48">
        <f>IF(Учет!$O3173=Справочники!$F$4,Учет!$H3173,0)</f>
        <v>0</v>
      </c>
      <c r="T3173" s="48">
        <f>IF(Учет!$O3173=Справочники!$F$5,Учет!$H3173,0)</f>
        <v>0</v>
      </c>
      <c r="U3173" s="48">
        <f>IF(Учет!$O3173=Справочники!$F$6,Учет!$H3173,0)</f>
        <v>0</v>
      </c>
      <c r="V3173" s="43">
        <f>V3172+Учет!Q3173-Q3173</f>
        <v>-488978.92000000004</v>
      </c>
      <c r="W3173" s="43">
        <f>W3172+Учет!R3173-R3173</f>
        <v>336855</v>
      </c>
      <c r="X3173" s="43">
        <f>X3172+Учет!S3173-S3173</f>
        <v>500</v>
      </c>
      <c r="Y3173" s="43">
        <f>Y3172+Учет!T3173-T3173</f>
        <v>1150</v>
      </c>
      <c r="Z3173" s="43">
        <f>Z3172+Учет!U3173-U3173</f>
        <v>500000</v>
      </c>
      <c r="AA3173" s="45">
        <f>Учет!X3173</f>
        <v>500</v>
      </c>
    </row>
    <row r="3174" spans="1:27" ht="15" customHeight="1" x14ac:dyDescent="0.25">
      <c r="A3174" s="1"/>
      <c r="B3174" s="17"/>
      <c r="C3174" s="17"/>
      <c r="D3174" s="17"/>
      <c r="E3174" s="17"/>
      <c r="F3174" s="17"/>
      <c r="G3174" s="4">
        <f t="shared" si="144"/>
        <v>0</v>
      </c>
      <c r="H3174" s="17"/>
      <c r="I3174" s="4">
        <f t="shared" si="146"/>
        <v>349526.07999999996</v>
      </c>
      <c r="J3174" s="32" t="str">
        <f t="shared" si="145"/>
        <v/>
      </c>
      <c r="K3174" s="72"/>
      <c r="L3174" s="72"/>
      <c r="M3174" s="2"/>
      <c r="N3174" s="5"/>
      <c r="O3174" s="3"/>
      <c r="P3174" s="6"/>
      <c r="Q3174" s="48">
        <f>IF(Учет!$O3174=Справочники!$F$2,Учет!$H3174,0)</f>
        <v>0</v>
      </c>
      <c r="R3174" s="48">
        <f>IF(Учет!$O3174=Справочники!$F$3,Учет!$H3174,0)</f>
        <v>0</v>
      </c>
      <c r="S3174" s="48">
        <f>IF(Учет!$O3174=Справочники!$F$4,Учет!$H3174,0)</f>
        <v>0</v>
      </c>
      <c r="T3174" s="48">
        <f>IF(Учет!$O3174=Справочники!$F$5,Учет!$H3174,0)</f>
        <v>0</v>
      </c>
      <c r="U3174" s="48">
        <f>IF(Учет!$O3174=Справочники!$F$6,Учет!$H3174,0)</f>
        <v>0</v>
      </c>
      <c r="V3174" s="43">
        <f>V3173+Учет!Q3174-Q3174</f>
        <v>-488978.92000000004</v>
      </c>
      <c r="W3174" s="43">
        <f>W3173+Учет!R3174-R3174</f>
        <v>336855</v>
      </c>
      <c r="X3174" s="43">
        <f>X3173+Учет!S3174-S3174</f>
        <v>500</v>
      </c>
      <c r="Y3174" s="43">
        <f>Y3173+Учет!T3174-T3174</f>
        <v>1150</v>
      </c>
      <c r="Z3174" s="43">
        <f>Z3173+Учет!U3174-U3174</f>
        <v>500000</v>
      </c>
      <c r="AA3174" s="45">
        <f>Учет!X3174</f>
        <v>500</v>
      </c>
    </row>
    <row r="3175" spans="1:27" ht="15" customHeight="1" x14ac:dyDescent="0.25">
      <c r="A3175" s="1"/>
      <c r="B3175" s="17"/>
      <c r="C3175" s="17"/>
      <c r="D3175" s="17"/>
      <c r="E3175" s="17"/>
      <c r="F3175" s="17"/>
      <c r="G3175" s="4">
        <f t="shared" si="144"/>
        <v>0</v>
      </c>
      <c r="H3175" s="17"/>
      <c r="I3175" s="4">
        <f t="shared" si="146"/>
        <v>349526.07999999996</v>
      </c>
      <c r="J3175" s="32" t="str">
        <f t="shared" si="145"/>
        <v/>
      </c>
      <c r="K3175" s="72"/>
      <c r="L3175" s="72"/>
      <c r="M3175" s="2"/>
      <c r="N3175" s="5"/>
      <c r="O3175" s="3"/>
      <c r="P3175" s="6"/>
      <c r="Q3175" s="48">
        <f>IF(Учет!$O3175=Справочники!$F$2,Учет!$H3175,0)</f>
        <v>0</v>
      </c>
      <c r="R3175" s="48">
        <f>IF(Учет!$O3175=Справочники!$F$3,Учет!$H3175,0)</f>
        <v>0</v>
      </c>
      <c r="S3175" s="48">
        <f>IF(Учет!$O3175=Справочники!$F$4,Учет!$H3175,0)</f>
        <v>0</v>
      </c>
      <c r="T3175" s="48">
        <f>IF(Учет!$O3175=Справочники!$F$5,Учет!$H3175,0)</f>
        <v>0</v>
      </c>
      <c r="U3175" s="48">
        <f>IF(Учет!$O3175=Справочники!$F$6,Учет!$H3175,0)</f>
        <v>0</v>
      </c>
      <c r="V3175" s="43">
        <f>V3174+Учет!Q3175-Q3175</f>
        <v>-488978.92000000004</v>
      </c>
      <c r="W3175" s="43">
        <f>W3174+Учет!R3175-R3175</f>
        <v>336855</v>
      </c>
      <c r="X3175" s="43">
        <f>X3174+Учет!S3175-S3175</f>
        <v>500</v>
      </c>
      <c r="Y3175" s="43">
        <f>Y3174+Учет!T3175-T3175</f>
        <v>1150</v>
      </c>
      <c r="Z3175" s="43">
        <f>Z3174+Учет!U3175-U3175</f>
        <v>500000</v>
      </c>
      <c r="AA3175" s="45">
        <f>Учет!X3175</f>
        <v>500</v>
      </c>
    </row>
    <row r="3176" spans="1:27" ht="15" customHeight="1" x14ac:dyDescent="0.25">
      <c r="A3176" s="1"/>
      <c r="B3176" s="17"/>
      <c r="C3176" s="17"/>
      <c r="D3176" s="17"/>
      <c r="E3176" s="17"/>
      <c r="F3176" s="17"/>
      <c r="G3176" s="4">
        <f t="shared" si="144"/>
        <v>0</v>
      </c>
      <c r="H3176" s="17"/>
      <c r="I3176" s="4">
        <f t="shared" si="146"/>
        <v>349526.07999999996</v>
      </c>
      <c r="J3176" s="32" t="str">
        <f t="shared" si="145"/>
        <v/>
      </c>
      <c r="K3176" s="72"/>
      <c r="L3176" s="72"/>
      <c r="M3176" s="2"/>
      <c r="N3176" s="5"/>
      <c r="O3176" s="3"/>
      <c r="P3176" s="6"/>
      <c r="Q3176" s="48">
        <f>IF(Учет!$O3176=Справочники!$F$2,Учет!$H3176,0)</f>
        <v>0</v>
      </c>
      <c r="R3176" s="48">
        <f>IF(Учет!$O3176=Справочники!$F$3,Учет!$H3176,0)</f>
        <v>0</v>
      </c>
      <c r="S3176" s="48">
        <f>IF(Учет!$O3176=Справочники!$F$4,Учет!$H3176,0)</f>
        <v>0</v>
      </c>
      <c r="T3176" s="48">
        <f>IF(Учет!$O3176=Справочники!$F$5,Учет!$H3176,0)</f>
        <v>0</v>
      </c>
      <c r="U3176" s="48">
        <f>IF(Учет!$O3176=Справочники!$F$6,Учет!$H3176,0)</f>
        <v>0</v>
      </c>
      <c r="V3176" s="43">
        <f>V3175+Учет!Q3176-Q3176</f>
        <v>-488978.92000000004</v>
      </c>
      <c r="W3176" s="43">
        <f>W3175+Учет!R3176-R3176</f>
        <v>336855</v>
      </c>
      <c r="X3176" s="43">
        <f>X3175+Учет!S3176-S3176</f>
        <v>500</v>
      </c>
      <c r="Y3176" s="43">
        <f>Y3175+Учет!T3176-T3176</f>
        <v>1150</v>
      </c>
      <c r="Z3176" s="43">
        <f>Z3175+Учет!U3176-U3176</f>
        <v>500000</v>
      </c>
      <c r="AA3176" s="45">
        <f>Учет!X3176</f>
        <v>500</v>
      </c>
    </row>
    <row r="3177" spans="1:27" ht="15" customHeight="1" x14ac:dyDescent="0.25">
      <c r="A3177" s="1"/>
      <c r="B3177" s="17"/>
      <c r="C3177" s="17"/>
      <c r="D3177" s="17"/>
      <c r="E3177" s="17"/>
      <c r="F3177" s="17"/>
      <c r="G3177" s="4">
        <f t="shared" si="144"/>
        <v>0</v>
      </c>
      <c r="H3177" s="17"/>
      <c r="I3177" s="4">
        <f t="shared" si="146"/>
        <v>349526.07999999996</v>
      </c>
      <c r="J3177" s="32" t="str">
        <f t="shared" si="145"/>
        <v/>
      </c>
      <c r="K3177" s="72"/>
      <c r="L3177" s="72"/>
      <c r="M3177" s="2"/>
      <c r="N3177" s="5"/>
      <c r="O3177" s="3"/>
      <c r="P3177" s="6"/>
      <c r="Q3177" s="48">
        <f>IF(Учет!$O3177=Справочники!$F$2,Учет!$H3177,0)</f>
        <v>0</v>
      </c>
      <c r="R3177" s="48">
        <f>IF(Учет!$O3177=Справочники!$F$3,Учет!$H3177,0)</f>
        <v>0</v>
      </c>
      <c r="S3177" s="48">
        <f>IF(Учет!$O3177=Справочники!$F$4,Учет!$H3177,0)</f>
        <v>0</v>
      </c>
      <c r="T3177" s="48">
        <f>IF(Учет!$O3177=Справочники!$F$5,Учет!$H3177,0)</f>
        <v>0</v>
      </c>
      <c r="U3177" s="48">
        <f>IF(Учет!$O3177=Справочники!$F$6,Учет!$H3177,0)</f>
        <v>0</v>
      </c>
      <c r="V3177" s="43">
        <f>V3176+Учет!Q3177-Q3177</f>
        <v>-488978.92000000004</v>
      </c>
      <c r="W3177" s="43">
        <f>W3176+Учет!R3177-R3177</f>
        <v>336855</v>
      </c>
      <c r="X3177" s="43">
        <f>X3176+Учет!S3177-S3177</f>
        <v>500</v>
      </c>
      <c r="Y3177" s="43">
        <f>Y3176+Учет!T3177-T3177</f>
        <v>1150</v>
      </c>
      <c r="Z3177" s="43">
        <f>Z3176+Учет!U3177-U3177</f>
        <v>500000</v>
      </c>
      <c r="AA3177" s="45">
        <f>Учет!X3177</f>
        <v>500</v>
      </c>
    </row>
    <row r="3178" spans="1:27" ht="15" customHeight="1" x14ac:dyDescent="0.25">
      <c r="A3178" s="1"/>
      <c r="B3178" s="17"/>
      <c r="C3178" s="17"/>
      <c r="D3178" s="17"/>
      <c r="E3178" s="17"/>
      <c r="F3178" s="17"/>
      <c r="G3178" s="4">
        <f t="shared" si="144"/>
        <v>0</v>
      </c>
      <c r="H3178" s="17"/>
      <c r="I3178" s="4">
        <f t="shared" si="146"/>
        <v>349526.07999999996</v>
      </c>
      <c r="J3178" s="32" t="str">
        <f t="shared" si="145"/>
        <v/>
      </c>
      <c r="K3178" s="72"/>
      <c r="L3178" s="72"/>
      <c r="M3178" s="2"/>
      <c r="N3178" s="5"/>
      <c r="O3178" s="3"/>
      <c r="P3178" s="6"/>
      <c r="Q3178" s="48">
        <f>IF(Учет!$O3178=Справочники!$F$2,Учет!$H3178,0)</f>
        <v>0</v>
      </c>
      <c r="R3178" s="48">
        <f>IF(Учет!$O3178=Справочники!$F$3,Учет!$H3178,0)</f>
        <v>0</v>
      </c>
      <c r="S3178" s="48">
        <f>IF(Учет!$O3178=Справочники!$F$4,Учет!$H3178,0)</f>
        <v>0</v>
      </c>
      <c r="T3178" s="48">
        <f>IF(Учет!$O3178=Справочники!$F$5,Учет!$H3178,0)</f>
        <v>0</v>
      </c>
      <c r="U3178" s="48">
        <f>IF(Учет!$O3178=Справочники!$F$6,Учет!$H3178,0)</f>
        <v>0</v>
      </c>
      <c r="V3178" s="43">
        <f>V3177+Учет!Q3178-Q3178</f>
        <v>-488978.92000000004</v>
      </c>
      <c r="W3178" s="43">
        <f>W3177+Учет!R3178-R3178</f>
        <v>336855</v>
      </c>
      <c r="X3178" s="43">
        <f>X3177+Учет!S3178-S3178</f>
        <v>500</v>
      </c>
      <c r="Y3178" s="43">
        <f>Y3177+Учет!T3178-T3178</f>
        <v>1150</v>
      </c>
      <c r="Z3178" s="43">
        <f>Z3177+Учет!U3178-U3178</f>
        <v>500000</v>
      </c>
      <c r="AA3178" s="45">
        <f>Учет!X3178</f>
        <v>500</v>
      </c>
    </row>
    <row r="3179" spans="1:27" ht="15" customHeight="1" x14ac:dyDescent="0.25">
      <c r="A3179" s="1"/>
      <c r="B3179" s="17"/>
      <c r="C3179" s="17"/>
      <c r="D3179" s="17"/>
      <c r="E3179" s="17"/>
      <c r="F3179" s="17"/>
      <c r="G3179" s="4">
        <f t="shared" si="144"/>
        <v>0</v>
      </c>
      <c r="H3179" s="17"/>
      <c r="I3179" s="4">
        <f t="shared" si="146"/>
        <v>349526.07999999996</v>
      </c>
      <c r="J3179" s="32" t="str">
        <f t="shared" si="145"/>
        <v/>
      </c>
      <c r="K3179" s="72"/>
      <c r="L3179" s="72"/>
      <c r="M3179" s="2"/>
      <c r="N3179" s="5"/>
      <c r="O3179" s="3"/>
      <c r="P3179" s="6"/>
      <c r="Q3179" s="48">
        <f>IF(Учет!$O3179=Справочники!$F$2,Учет!$H3179,0)</f>
        <v>0</v>
      </c>
      <c r="R3179" s="48">
        <f>IF(Учет!$O3179=Справочники!$F$3,Учет!$H3179,0)</f>
        <v>0</v>
      </c>
      <c r="S3179" s="48">
        <f>IF(Учет!$O3179=Справочники!$F$4,Учет!$H3179,0)</f>
        <v>0</v>
      </c>
      <c r="T3179" s="48">
        <f>IF(Учет!$O3179=Справочники!$F$5,Учет!$H3179,0)</f>
        <v>0</v>
      </c>
      <c r="U3179" s="48">
        <f>IF(Учет!$O3179=Справочники!$F$6,Учет!$H3179,0)</f>
        <v>0</v>
      </c>
      <c r="V3179" s="43">
        <f>V3178+Учет!Q3179-Q3179</f>
        <v>-488978.92000000004</v>
      </c>
      <c r="W3179" s="43">
        <f>W3178+Учет!R3179-R3179</f>
        <v>336855</v>
      </c>
      <c r="X3179" s="43">
        <f>X3178+Учет!S3179-S3179</f>
        <v>500</v>
      </c>
      <c r="Y3179" s="43">
        <f>Y3178+Учет!T3179-T3179</f>
        <v>1150</v>
      </c>
      <c r="Z3179" s="43">
        <f>Z3178+Учет!U3179-U3179</f>
        <v>500000</v>
      </c>
      <c r="AA3179" s="45">
        <f>Учет!X3179</f>
        <v>500</v>
      </c>
    </row>
    <row r="3180" spans="1:27" ht="15" customHeight="1" x14ac:dyDescent="0.25">
      <c r="A3180" s="1"/>
      <c r="B3180" s="17"/>
      <c r="C3180" s="17"/>
      <c r="D3180" s="17"/>
      <c r="E3180" s="17"/>
      <c r="F3180" s="17"/>
      <c r="G3180" s="4">
        <f t="shared" si="144"/>
        <v>0</v>
      </c>
      <c r="H3180" s="17"/>
      <c r="I3180" s="4">
        <f t="shared" si="146"/>
        <v>349526.07999999996</v>
      </c>
      <c r="J3180" s="32" t="str">
        <f t="shared" si="145"/>
        <v/>
      </c>
      <c r="K3180" s="72"/>
      <c r="L3180" s="72"/>
      <c r="M3180" s="2"/>
      <c r="N3180" s="5"/>
      <c r="O3180" s="3"/>
      <c r="P3180" s="6"/>
      <c r="Q3180" s="48">
        <f>IF(Учет!$O3180=Справочники!$F$2,Учет!$H3180,0)</f>
        <v>0</v>
      </c>
      <c r="R3180" s="48">
        <f>IF(Учет!$O3180=Справочники!$F$3,Учет!$H3180,0)</f>
        <v>0</v>
      </c>
      <c r="S3180" s="48">
        <f>IF(Учет!$O3180=Справочники!$F$4,Учет!$H3180,0)</f>
        <v>0</v>
      </c>
      <c r="T3180" s="48">
        <f>IF(Учет!$O3180=Справочники!$F$5,Учет!$H3180,0)</f>
        <v>0</v>
      </c>
      <c r="U3180" s="48">
        <f>IF(Учет!$O3180=Справочники!$F$6,Учет!$H3180,0)</f>
        <v>0</v>
      </c>
      <c r="V3180" s="43">
        <f>V3179+Учет!Q3180-Q3180</f>
        <v>-488978.92000000004</v>
      </c>
      <c r="W3180" s="43">
        <f>W3179+Учет!R3180-R3180</f>
        <v>336855</v>
      </c>
      <c r="X3180" s="43">
        <f>X3179+Учет!S3180-S3180</f>
        <v>500</v>
      </c>
      <c r="Y3180" s="43">
        <f>Y3179+Учет!T3180-T3180</f>
        <v>1150</v>
      </c>
      <c r="Z3180" s="43">
        <f>Z3179+Учет!U3180-U3180</f>
        <v>500000</v>
      </c>
      <c r="AA3180" s="45">
        <f>Учет!X3180</f>
        <v>500</v>
      </c>
    </row>
    <row r="3181" spans="1:27" ht="15" customHeight="1" x14ac:dyDescent="0.25">
      <c r="A3181" s="1"/>
      <c r="B3181" s="17"/>
      <c r="C3181" s="17"/>
      <c r="D3181" s="17"/>
      <c r="E3181" s="17"/>
      <c r="F3181" s="17"/>
      <c r="G3181" s="4">
        <f t="shared" si="144"/>
        <v>0</v>
      </c>
      <c r="H3181" s="17"/>
      <c r="I3181" s="4">
        <f t="shared" si="146"/>
        <v>349526.07999999996</v>
      </c>
      <c r="J3181" s="32" t="str">
        <f t="shared" si="145"/>
        <v/>
      </c>
      <c r="K3181" s="72"/>
      <c r="L3181" s="72"/>
      <c r="M3181" s="2"/>
      <c r="N3181" s="5"/>
      <c r="O3181" s="3"/>
      <c r="P3181" s="6"/>
      <c r="Q3181" s="48">
        <f>IF(Учет!$O3181=Справочники!$F$2,Учет!$H3181,0)</f>
        <v>0</v>
      </c>
      <c r="R3181" s="48">
        <f>IF(Учет!$O3181=Справочники!$F$3,Учет!$H3181,0)</f>
        <v>0</v>
      </c>
      <c r="S3181" s="48">
        <f>IF(Учет!$O3181=Справочники!$F$4,Учет!$H3181,0)</f>
        <v>0</v>
      </c>
      <c r="T3181" s="48">
        <f>IF(Учет!$O3181=Справочники!$F$5,Учет!$H3181,0)</f>
        <v>0</v>
      </c>
      <c r="U3181" s="48">
        <f>IF(Учет!$O3181=Справочники!$F$6,Учет!$H3181,0)</f>
        <v>0</v>
      </c>
      <c r="V3181" s="43">
        <f>V3180+Учет!Q3181-Q3181</f>
        <v>-488978.92000000004</v>
      </c>
      <c r="W3181" s="43">
        <f>W3180+Учет!R3181-R3181</f>
        <v>336855</v>
      </c>
      <c r="X3181" s="43">
        <f>X3180+Учет!S3181-S3181</f>
        <v>500</v>
      </c>
      <c r="Y3181" s="43">
        <f>Y3180+Учет!T3181-T3181</f>
        <v>1150</v>
      </c>
      <c r="Z3181" s="43">
        <f>Z3180+Учет!U3181-U3181</f>
        <v>500000</v>
      </c>
      <c r="AA3181" s="45">
        <f>Учет!X3181</f>
        <v>500</v>
      </c>
    </row>
    <row r="3182" spans="1:27" ht="15" customHeight="1" x14ac:dyDescent="0.25">
      <c r="A3182" s="1"/>
      <c r="B3182" s="17"/>
      <c r="C3182" s="17"/>
      <c r="D3182" s="17"/>
      <c r="E3182" s="17"/>
      <c r="F3182" s="17"/>
      <c r="G3182" s="4">
        <f t="shared" si="144"/>
        <v>0</v>
      </c>
      <c r="H3182" s="17"/>
      <c r="I3182" s="4">
        <f t="shared" si="146"/>
        <v>349526.07999999996</v>
      </c>
      <c r="J3182" s="32" t="str">
        <f t="shared" si="145"/>
        <v/>
      </c>
      <c r="K3182" s="72"/>
      <c r="L3182" s="72"/>
      <c r="M3182" s="2"/>
      <c r="N3182" s="5"/>
      <c r="O3182" s="3"/>
      <c r="P3182" s="6"/>
      <c r="Q3182" s="48">
        <f>IF(Учет!$O3182=Справочники!$F$2,Учет!$H3182,0)</f>
        <v>0</v>
      </c>
      <c r="R3182" s="48">
        <f>IF(Учет!$O3182=Справочники!$F$3,Учет!$H3182,0)</f>
        <v>0</v>
      </c>
      <c r="S3182" s="48">
        <f>IF(Учет!$O3182=Справочники!$F$4,Учет!$H3182,0)</f>
        <v>0</v>
      </c>
      <c r="T3182" s="48">
        <f>IF(Учет!$O3182=Справочники!$F$5,Учет!$H3182,0)</f>
        <v>0</v>
      </c>
      <c r="U3182" s="48">
        <f>IF(Учет!$O3182=Справочники!$F$6,Учет!$H3182,0)</f>
        <v>0</v>
      </c>
      <c r="V3182" s="43">
        <f>V3181+Учет!Q3182-Q3182</f>
        <v>-488978.92000000004</v>
      </c>
      <c r="W3182" s="43">
        <f>W3181+Учет!R3182-R3182</f>
        <v>336855</v>
      </c>
      <c r="X3182" s="43">
        <f>X3181+Учет!S3182-S3182</f>
        <v>500</v>
      </c>
      <c r="Y3182" s="43">
        <f>Y3181+Учет!T3182-T3182</f>
        <v>1150</v>
      </c>
      <c r="Z3182" s="43">
        <f>Z3181+Учет!U3182-U3182</f>
        <v>500000</v>
      </c>
      <c r="AA3182" s="45">
        <f>Учет!X3182</f>
        <v>500</v>
      </c>
    </row>
    <row r="3183" spans="1:27" ht="15" customHeight="1" x14ac:dyDescent="0.25">
      <c r="A3183" s="1"/>
      <c r="B3183" s="17"/>
      <c r="C3183" s="17"/>
      <c r="D3183" s="17"/>
      <c r="E3183" s="17"/>
      <c r="F3183" s="17"/>
      <c r="G3183" s="4">
        <f t="shared" si="144"/>
        <v>0</v>
      </c>
      <c r="H3183" s="17"/>
      <c r="I3183" s="4">
        <f t="shared" si="146"/>
        <v>349526.07999999996</v>
      </c>
      <c r="J3183" s="32" t="str">
        <f t="shared" si="145"/>
        <v/>
      </c>
      <c r="K3183" s="72"/>
      <c r="L3183" s="72"/>
      <c r="M3183" s="2"/>
      <c r="N3183" s="5"/>
      <c r="O3183" s="3"/>
      <c r="P3183" s="6"/>
      <c r="Q3183" s="48">
        <f>IF(Учет!$O3183=Справочники!$F$2,Учет!$H3183,0)</f>
        <v>0</v>
      </c>
      <c r="R3183" s="48">
        <f>IF(Учет!$O3183=Справочники!$F$3,Учет!$H3183,0)</f>
        <v>0</v>
      </c>
      <c r="S3183" s="48">
        <f>IF(Учет!$O3183=Справочники!$F$4,Учет!$H3183,0)</f>
        <v>0</v>
      </c>
      <c r="T3183" s="48">
        <f>IF(Учет!$O3183=Справочники!$F$5,Учет!$H3183,0)</f>
        <v>0</v>
      </c>
      <c r="U3183" s="48">
        <f>IF(Учет!$O3183=Справочники!$F$6,Учет!$H3183,0)</f>
        <v>0</v>
      </c>
      <c r="V3183" s="43">
        <f>V3182+Учет!Q3183-Q3183</f>
        <v>-488978.92000000004</v>
      </c>
      <c r="W3183" s="43">
        <f>W3182+Учет!R3183-R3183</f>
        <v>336855</v>
      </c>
      <c r="X3183" s="43">
        <f>X3182+Учет!S3183-S3183</f>
        <v>500</v>
      </c>
      <c r="Y3183" s="43">
        <f>Y3182+Учет!T3183-T3183</f>
        <v>1150</v>
      </c>
      <c r="Z3183" s="43">
        <f>Z3182+Учет!U3183-U3183</f>
        <v>500000</v>
      </c>
      <c r="AA3183" s="45">
        <f>Учет!X3183</f>
        <v>500</v>
      </c>
    </row>
    <row r="3184" spans="1:27" ht="15" customHeight="1" x14ac:dyDescent="0.25">
      <c r="A3184" s="1"/>
      <c r="B3184" s="17"/>
      <c r="C3184" s="17"/>
      <c r="D3184" s="17"/>
      <c r="E3184" s="17"/>
      <c r="F3184" s="17"/>
      <c r="G3184" s="4">
        <f t="shared" si="144"/>
        <v>0</v>
      </c>
      <c r="H3184" s="17"/>
      <c r="I3184" s="4">
        <f t="shared" si="146"/>
        <v>349526.07999999996</v>
      </c>
      <c r="J3184" s="32" t="str">
        <f t="shared" si="145"/>
        <v/>
      </c>
      <c r="K3184" s="72"/>
      <c r="L3184" s="72"/>
      <c r="M3184" s="2"/>
      <c r="N3184" s="5"/>
      <c r="O3184" s="3"/>
      <c r="P3184" s="6"/>
      <c r="Q3184" s="48">
        <f>IF(Учет!$O3184=Справочники!$F$2,Учет!$H3184,0)</f>
        <v>0</v>
      </c>
      <c r="R3184" s="48">
        <f>IF(Учет!$O3184=Справочники!$F$3,Учет!$H3184,0)</f>
        <v>0</v>
      </c>
      <c r="S3184" s="48">
        <f>IF(Учет!$O3184=Справочники!$F$4,Учет!$H3184,0)</f>
        <v>0</v>
      </c>
      <c r="T3184" s="48">
        <f>IF(Учет!$O3184=Справочники!$F$5,Учет!$H3184,0)</f>
        <v>0</v>
      </c>
      <c r="U3184" s="48">
        <f>IF(Учет!$O3184=Справочники!$F$6,Учет!$H3184,0)</f>
        <v>0</v>
      </c>
      <c r="V3184" s="43">
        <f>V3183+Учет!Q3184-Q3184</f>
        <v>-488978.92000000004</v>
      </c>
      <c r="W3184" s="43">
        <f>W3183+Учет!R3184-R3184</f>
        <v>336855</v>
      </c>
      <c r="X3184" s="43">
        <f>X3183+Учет!S3184-S3184</f>
        <v>500</v>
      </c>
      <c r="Y3184" s="43">
        <f>Y3183+Учет!T3184-T3184</f>
        <v>1150</v>
      </c>
      <c r="Z3184" s="43">
        <f>Z3183+Учет!U3184-U3184</f>
        <v>500000</v>
      </c>
      <c r="AA3184" s="45">
        <f>Учет!X3184</f>
        <v>500</v>
      </c>
    </row>
    <row r="3185" spans="1:27" ht="15" customHeight="1" x14ac:dyDescent="0.25">
      <c r="A3185" s="1"/>
      <c r="B3185" s="17"/>
      <c r="C3185" s="17"/>
      <c r="D3185" s="17"/>
      <c r="E3185" s="17"/>
      <c r="F3185" s="17"/>
      <c r="G3185" s="4">
        <f t="shared" si="144"/>
        <v>0</v>
      </c>
      <c r="H3185" s="17"/>
      <c r="I3185" s="4">
        <f t="shared" si="146"/>
        <v>349526.07999999996</v>
      </c>
      <c r="J3185" s="32" t="str">
        <f t="shared" si="145"/>
        <v/>
      </c>
      <c r="K3185" s="72"/>
      <c r="L3185" s="72"/>
      <c r="M3185" s="2"/>
      <c r="N3185" s="5"/>
      <c r="O3185" s="3"/>
      <c r="P3185" s="6"/>
      <c r="Q3185" s="48">
        <f>IF(Учет!$O3185=Справочники!$F$2,Учет!$H3185,0)</f>
        <v>0</v>
      </c>
      <c r="R3185" s="48">
        <f>IF(Учет!$O3185=Справочники!$F$3,Учет!$H3185,0)</f>
        <v>0</v>
      </c>
      <c r="S3185" s="48">
        <f>IF(Учет!$O3185=Справочники!$F$4,Учет!$H3185,0)</f>
        <v>0</v>
      </c>
      <c r="T3185" s="48">
        <f>IF(Учет!$O3185=Справочники!$F$5,Учет!$H3185,0)</f>
        <v>0</v>
      </c>
      <c r="U3185" s="48">
        <f>IF(Учет!$O3185=Справочники!$F$6,Учет!$H3185,0)</f>
        <v>0</v>
      </c>
      <c r="V3185" s="43">
        <f>V3184+Учет!Q3185-Q3185</f>
        <v>-488978.92000000004</v>
      </c>
      <c r="W3185" s="43">
        <f>W3184+Учет!R3185-R3185</f>
        <v>336855</v>
      </c>
      <c r="X3185" s="43">
        <f>X3184+Учет!S3185-S3185</f>
        <v>500</v>
      </c>
      <c r="Y3185" s="43">
        <f>Y3184+Учет!T3185-T3185</f>
        <v>1150</v>
      </c>
      <c r="Z3185" s="43">
        <f>Z3184+Учет!U3185-U3185</f>
        <v>500000</v>
      </c>
      <c r="AA3185" s="45">
        <f>Учет!X3185</f>
        <v>500</v>
      </c>
    </row>
    <row r="3186" spans="1:27" ht="15" customHeight="1" x14ac:dyDescent="0.25">
      <c r="A3186" s="1"/>
      <c r="B3186" s="17"/>
      <c r="C3186" s="17"/>
      <c r="D3186" s="17"/>
      <c r="E3186" s="17"/>
      <c r="F3186" s="17"/>
      <c r="G3186" s="4">
        <f t="shared" si="144"/>
        <v>0</v>
      </c>
      <c r="H3186" s="17"/>
      <c r="I3186" s="4">
        <f t="shared" si="146"/>
        <v>349526.07999999996</v>
      </c>
      <c r="J3186" s="32" t="str">
        <f t="shared" si="145"/>
        <v/>
      </c>
      <c r="K3186" s="72"/>
      <c r="L3186" s="72"/>
      <c r="M3186" s="2"/>
      <c r="N3186" s="5"/>
      <c r="O3186" s="3"/>
      <c r="P3186" s="6"/>
      <c r="Q3186" s="48">
        <f>IF(Учет!$O3186=Справочники!$F$2,Учет!$H3186,0)</f>
        <v>0</v>
      </c>
      <c r="R3186" s="48">
        <f>IF(Учет!$O3186=Справочники!$F$3,Учет!$H3186,0)</f>
        <v>0</v>
      </c>
      <c r="S3186" s="48">
        <f>IF(Учет!$O3186=Справочники!$F$4,Учет!$H3186,0)</f>
        <v>0</v>
      </c>
      <c r="T3186" s="48">
        <f>IF(Учет!$O3186=Справочники!$F$5,Учет!$H3186,0)</f>
        <v>0</v>
      </c>
      <c r="U3186" s="48">
        <f>IF(Учет!$O3186=Справочники!$F$6,Учет!$H3186,0)</f>
        <v>0</v>
      </c>
      <c r="V3186" s="43">
        <f>V3185+Учет!Q3186-Q3186</f>
        <v>-488978.92000000004</v>
      </c>
      <c r="W3186" s="43">
        <f>W3185+Учет!R3186-R3186</f>
        <v>336855</v>
      </c>
      <c r="X3186" s="43">
        <f>X3185+Учет!S3186-S3186</f>
        <v>500</v>
      </c>
      <c r="Y3186" s="43">
        <f>Y3185+Учет!T3186-T3186</f>
        <v>1150</v>
      </c>
      <c r="Z3186" s="43">
        <f>Z3185+Учет!U3186-U3186</f>
        <v>500000</v>
      </c>
      <c r="AA3186" s="45">
        <f>Учет!X3186</f>
        <v>500</v>
      </c>
    </row>
    <row r="3187" spans="1:27" ht="15" customHeight="1" x14ac:dyDescent="0.25">
      <c r="A3187" s="1"/>
      <c r="B3187" s="17"/>
      <c r="C3187" s="17"/>
      <c r="D3187" s="17"/>
      <c r="E3187" s="17"/>
      <c r="F3187" s="17"/>
      <c r="G3187" s="4">
        <f t="shared" si="144"/>
        <v>0</v>
      </c>
      <c r="H3187" s="17"/>
      <c r="I3187" s="4">
        <f t="shared" si="146"/>
        <v>349526.07999999996</v>
      </c>
      <c r="J3187" s="32" t="str">
        <f t="shared" si="145"/>
        <v/>
      </c>
      <c r="K3187" s="72"/>
      <c r="L3187" s="72"/>
      <c r="M3187" s="2"/>
      <c r="N3187" s="5"/>
      <c r="O3187" s="3"/>
      <c r="P3187" s="6"/>
      <c r="Q3187" s="48">
        <f>IF(Учет!$O3187=Справочники!$F$2,Учет!$H3187,0)</f>
        <v>0</v>
      </c>
      <c r="R3187" s="48">
        <f>IF(Учет!$O3187=Справочники!$F$3,Учет!$H3187,0)</f>
        <v>0</v>
      </c>
      <c r="S3187" s="48">
        <f>IF(Учет!$O3187=Справочники!$F$4,Учет!$H3187,0)</f>
        <v>0</v>
      </c>
      <c r="T3187" s="48">
        <f>IF(Учет!$O3187=Справочники!$F$5,Учет!$H3187,0)</f>
        <v>0</v>
      </c>
      <c r="U3187" s="48">
        <f>IF(Учет!$O3187=Справочники!$F$6,Учет!$H3187,0)</f>
        <v>0</v>
      </c>
      <c r="V3187" s="43">
        <f>V3186+Учет!Q3187-Q3187</f>
        <v>-488978.92000000004</v>
      </c>
      <c r="W3187" s="43">
        <f>W3186+Учет!R3187-R3187</f>
        <v>336855</v>
      </c>
      <c r="X3187" s="43">
        <f>X3186+Учет!S3187-S3187</f>
        <v>500</v>
      </c>
      <c r="Y3187" s="43">
        <f>Y3186+Учет!T3187-T3187</f>
        <v>1150</v>
      </c>
      <c r="Z3187" s="43">
        <f>Z3186+Учет!U3187-U3187</f>
        <v>500000</v>
      </c>
      <c r="AA3187" s="45">
        <f>Учет!X3187</f>
        <v>500</v>
      </c>
    </row>
    <row r="3188" spans="1:27" ht="15" customHeight="1" x14ac:dyDescent="0.25">
      <c r="A3188" s="1"/>
      <c r="B3188" s="17"/>
      <c r="C3188" s="17"/>
      <c r="D3188" s="17"/>
      <c r="E3188" s="17"/>
      <c r="F3188" s="17"/>
      <c r="G3188" s="4">
        <f t="shared" si="144"/>
        <v>0</v>
      </c>
      <c r="H3188" s="17"/>
      <c r="I3188" s="4">
        <f t="shared" si="146"/>
        <v>349526.07999999996</v>
      </c>
      <c r="J3188" s="32" t="str">
        <f t="shared" si="145"/>
        <v/>
      </c>
      <c r="K3188" s="72"/>
      <c r="L3188" s="72"/>
      <c r="M3188" s="2"/>
      <c r="N3188" s="5"/>
      <c r="O3188" s="3"/>
      <c r="P3188" s="6"/>
      <c r="Q3188" s="48">
        <f>IF(Учет!$O3188=Справочники!$F$2,Учет!$H3188,0)</f>
        <v>0</v>
      </c>
      <c r="R3188" s="48">
        <f>IF(Учет!$O3188=Справочники!$F$3,Учет!$H3188,0)</f>
        <v>0</v>
      </c>
      <c r="S3188" s="48">
        <f>IF(Учет!$O3188=Справочники!$F$4,Учет!$H3188,0)</f>
        <v>0</v>
      </c>
      <c r="T3188" s="48">
        <f>IF(Учет!$O3188=Справочники!$F$5,Учет!$H3188,0)</f>
        <v>0</v>
      </c>
      <c r="U3188" s="48">
        <f>IF(Учет!$O3188=Справочники!$F$6,Учет!$H3188,0)</f>
        <v>0</v>
      </c>
      <c r="V3188" s="43">
        <f>V3187+Учет!Q3188-Q3188</f>
        <v>-488978.92000000004</v>
      </c>
      <c r="W3188" s="43">
        <f>W3187+Учет!R3188-R3188</f>
        <v>336855</v>
      </c>
      <c r="X3188" s="43">
        <f>X3187+Учет!S3188-S3188</f>
        <v>500</v>
      </c>
      <c r="Y3188" s="43">
        <f>Y3187+Учет!T3188-T3188</f>
        <v>1150</v>
      </c>
      <c r="Z3188" s="43">
        <f>Z3187+Учет!U3188-U3188</f>
        <v>500000</v>
      </c>
      <c r="AA3188" s="45">
        <f>Учет!X3188</f>
        <v>500</v>
      </c>
    </row>
    <row r="3189" spans="1:27" ht="15" customHeight="1" x14ac:dyDescent="0.25">
      <c r="A3189" s="1"/>
      <c r="B3189" s="17"/>
      <c r="C3189" s="17"/>
      <c r="D3189" s="17"/>
      <c r="E3189" s="17"/>
      <c r="F3189" s="17"/>
      <c r="G3189" s="4">
        <f t="shared" si="144"/>
        <v>0</v>
      </c>
      <c r="H3189" s="17"/>
      <c r="I3189" s="4">
        <f t="shared" si="146"/>
        <v>349526.07999999996</v>
      </c>
      <c r="J3189" s="32" t="str">
        <f t="shared" si="145"/>
        <v/>
      </c>
      <c r="K3189" s="72"/>
      <c r="L3189" s="72"/>
      <c r="M3189" s="2"/>
      <c r="N3189" s="5"/>
      <c r="O3189" s="3"/>
      <c r="P3189" s="6"/>
      <c r="Q3189" s="48">
        <f>IF(Учет!$O3189=Справочники!$F$2,Учет!$H3189,0)</f>
        <v>0</v>
      </c>
      <c r="R3189" s="48">
        <f>IF(Учет!$O3189=Справочники!$F$3,Учет!$H3189,0)</f>
        <v>0</v>
      </c>
      <c r="S3189" s="48">
        <f>IF(Учет!$O3189=Справочники!$F$4,Учет!$H3189,0)</f>
        <v>0</v>
      </c>
      <c r="T3189" s="48">
        <f>IF(Учет!$O3189=Справочники!$F$5,Учет!$H3189,0)</f>
        <v>0</v>
      </c>
      <c r="U3189" s="48">
        <f>IF(Учет!$O3189=Справочники!$F$6,Учет!$H3189,0)</f>
        <v>0</v>
      </c>
      <c r="V3189" s="43">
        <f>V3188+Учет!Q3189-Q3189</f>
        <v>-488978.92000000004</v>
      </c>
      <c r="W3189" s="43">
        <f>W3188+Учет!R3189-R3189</f>
        <v>336855</v>
      </c>
      <c r="X3189" s="43">
        <f>X3188+Учет!S3189-S3189</f>
        <v>500</v>
      </c>
      <c r="Y3189" s="43">
        <f>Y3188+Учет!T3189-T3189</f>
        <v>1150</v>
      </c>
      <c r="Z3189" s="43">
        <f>Z3188+Учет!U3189-U3189</f>
        <v>500000</v>
      </c>
      <c r="AA3189" s="45">
        <f>Учет!X3189</f>
        <v>500</v>
      </c>
    </row>
    <row r="3190" spans="1:27" ht="15" customHeight="1" x14ac:dyDescent="0.25">
      <c r="A3190" s="1"/>
      <c r="B3190" s="17"/>
      <c r="C3190" s="17"/>
      <c r="D3190" s="17"/>
      <c r="E3190" s="17"/>
      <c r="F3190" s="17"/>
      <c r="G3190" s="4">
        <f t="shared" si="144"/>
        <v>0</v>
      </c>
      <c r="H3190" s="17"/>
      <c r="I3190" s="4">
        <f t="shared" si="146"/>
        <v>349526.07999999996</v>
      </c>
      <c r="J3190" s="32" t="str">
        <f t="shared" si="145"/>
        <v/>
      </c>
      <c r="K3190" s="72"/>
      <c r="L3190" s="72"/>
      <c r="M3190" s="2"/>
      <c r="N3190" s="5"/>
      <c r="O3190" s="3"/>
      <c r="P3190" s="6"/>
      <c r="Q3190" s="48">
        <f>IF(Учет!$O3190=Справочники!$F$2,Учет!$H3190,0)</f>
        <v>0</v>
      </c>
      <c r="R3190" s="48">
        <f>IF(Учет!$O3190=Справочники!$F$3,Учет!$H3190,0)</f>
        <v>0</v>
      </c>
      <c r="S3190" s="48">
        <f>IF(Учет!$O3190=Справочники!$F$4,Учет!$H3190,0)</f>
        <v>0</v>
      </c>
      <c r="T3190" s="48">
        <f>IF(Учет!$O3190=Справочники!$F$5,Учет!$H3190,0)</f>
        <v>0</v>
      </c>
      <c r="U3190" s="48">
        <f>IF(Учет!$O3190=Справочники!$F$6,Учет!$H3190,0)</f>
        <v>0</v>
      </c>
      <c r="V3190" s="43">
        <f>V3189+Учет!Q3190-Q3190</f>
        <v>-488978.92000000004</v>
      </c>
      <c r="W3190" s="43">
        <f>W3189+Учет!R3190-R3190</f>
        <v>336855</v>
      </c>
      <c r="X3190" s="43">
        <f>X3189+Учет!S3190-S3190</f>
        <v>500</v>
      </c>
      <c r="Y3190" s="43">
        <f>Y3189+Учет!T3190-T3190</f>
        <v>1150</v>
      </c>
      <c r="Z3190" s="43">
        <f>Z3189+Учет!U3190-U3190</f>
        <v>500000</v>
      </c>
      <c r="AA3190" s="45">
        <f>Учет!X3190</f>
        <v>500</v>
      </c>
    </row>
    <row r="3191" spans="1:27" ht="15" customHeight="1" x14ac:dyDescent="0.25">
      <c r="A3191" s="1"/>
      <c r="B3191" s="17"/>
      <c r="C3191" s="17"/>
      <c r="D3191" s="17"/>
      <c r="E3191" s="17"/>
      <c r="F3191" s="17"/>
      <c r="G3191" s="4">
        <f t="shared" si="144"/>
        <v>0</v>
      </c>
      <c r="H3191" s="17"/>
      <c r="I3191" s="4">
        <f t="shared" si="146"/>
        <v>349526.07999999996</v>
      </c>
      <c r="J3191" s="32" t="str">
        <f t="shared" si="145"/>
        <v/>
      </c>
      <c r="K3191" s="72"/>
      <c r="L3191" s="72"/>
      <c r="M3191" s="2"/>
      <c r="N3191" s="5"/>
      <c r="O3191" s="3"/>
      <c r="P3191" s="6"/>
      <c r="Q3191" s="48">
        <f>IF(Учет!$O3191=Справочники!$F$2,Учет!$H3191,0)</f>
        <v>0</v>
      </c>
      <c r="R3191" s="48">
        <f>IF(Учет!$O3191=Справочники!$F$3,Учет!$H3191,0)</f>
        <v>0</v>
      </c>
      <c r="S3191" s="48">
        <f>IF(Учет!$O3191=Справочники!$F$4,Учет!$H3191,0)</f>
        <v>0</v>
      </c>
      <c r="T3191" s="48">
        <f>IF(Учет!$O3191=Справочники!$F$5,Учет!$H3191,0)</f>
        <v>0</v>
      </c>
      <c r="U3191" s="48">
        <f>IF(Учет!$O3191=Справочники!$F$6,Учет!$H3191,0)</f>
        <v>0</v>
      </c>
      <c r="V3191" s="43">
        <f>V3190+Учет!Q3191-Q3191</f>
        <v>-488978.92000000004</v>
      </c>
      <c r="W3191" s="43">
        <f>W3190+Учет!R3191-R3191</f>
        <v>336855</v>
      </c>
      <c r="X3191" s="43">
        <f>X3190+Учет!S3191-S3191</f>
        <v>500</v>
      </c>
      <c r="Y3191" s="43">
        <f>Y3190+Учет!T3191-T3191</f>
        <v>1150</v>
      </c>
      <c r="Z3191" s="43">
        <f>Z3190+Учет!U3191-U3191</f>
        <v>500000</v>
      </c>
      <c r="AA3191" s="45">
        <f>Учет!X3191</f>
        <v>500</v>
      </c>
    </row>
    <row r="3192" spans="1:27" ht="15" customHeight="1" x14ac:dyDescent="0.25">
      <c r="A3192" s="1"/>
      <c r="B3192" s="17"/>
      <c r="C3192" s="17"/>
      <c r="D3192" s="17"/>
      <c r="E3192" s="17"/>
      <c r="F3192" s="17"/>
      <c r="G3192" s="4">
        <f t="shared" si="144"/>
        <v>0</v>
      </c>
      <c r="H3192" s="17"/>
      <c r="I3192" s="4">
        <f t="shared" si="146"/>
        <v>349526.07999999996</v>
      </c>
      <c r="J3192" s="32" t="str">
        <f t="shared" si="145"/>
        <v/>
      </c>
      <c r="K3192" s="72"/>
      <c r="L3192" s="72"/>
      <c r="M3192" s="2"/>
      <c r="N3192" s="5"/>
      <c r="O3192" s="3"/>
      <c r="P3192" s="6"/>
      <c r="Q3192" s="48">
        <f>IF(Учет!$O3192=Справочники!$F$2,Учет!$H3192,0)</f>
        <v>0</v>
      </c>
      <c r="R3192" s="48">
        <f>IF(Учет!$O3192=Справочники!$F$3,Учет!$H3192,0)</f>
        <v>0</v>
      </c>
      <c r="S3192" s="48">
        <f>IF(Учет!$O3192=Справочники!$F$4,Учет!$H3192,0)</f>
        <v>0</v>
      </c>
      <c r="T3192" s="48">
        <f>IF(Учет!$O3192=Справочники!$F$5,Учет!$H3192,0)</f>
        <v>0</v>
      </c>
      <c r="U3192" s="48">
        <f>IF(Учет!$O3192=Справочники!$F$6,Учет!$H3192,0)</f>
        <v>0</v>
      </c>
      <c r="V3192" s="43">
        <f>V3191+Учет!Q3192-Q3192</f>
        <v>-488978.92000000004</v>
      </c>
      <c r="W3192" s="43">
        <f>W3191+Учет!R3192-R3192</f>
        <v>336855</v>
      </c>
      <c r="X3192" s="43">
        <f>X3191+Учет!S3192-S3192</f>
        <v>500</v>
      </c>
      <c r="Y3192" s="43">
        <f>Y3191+Учет!T3192-T3192</f>
        <v>1150</v>
      </c>
      <c r="Z3192" s="43">
        <f>Z3191+Учет!U3192-U3192</f>
        <v>500000</v>
      </c>
      <c r="AA3192" s="45">
        <f>Учет!X3192</f>
        <v>500</v>
      </c>
    </row>
    <row r="3193" spans="1:27" ht="15" customHeight="1" x14ac:dyDescent="0.25">
      <c r="A3193" s="1"/>
      <c r="B3193" s="17"/>
      <c r="C3193" s="17"/>
      <c r="D3193" s="17"/>
      <c r="E3193" s="17"/>
      <c r="F3193" s="17"/>
      <c r="G3193" s="4">
        <f t="shared" si="144"/>
        <v>0</v>
      </c>
      <c r="H3193" s="17"/>
      <c r="I3193" s="4">
        <f t="shared" si="146"/>
        <v>349526.07999999996</v>
      </c>
      <c r="J3193" s="32" t="str">
        <f t="shared" si="145"/>
        <v/>
      </c>
      <c r="K3193" s="72"/>
      <c r="L3193" s="72"/>
      <c r="M3193" s="2"/>
      <c r="N3193" s="5"/>
      <c r="O3193" s="3"/>
      <c r="P3193" s="6"/>
      <c r="Q3193" s="48">
        <f>IF(Учет!$O3193=Справочники!$F$2,Учет!$H3193,0)</f>
        <v>0</v>
      </c>
      <c r="R3193" s="48">
        <f>IF(Учет!$O3193=Справочники!$F$3,Учет!$H3193,0)</f>
        <v>0</v>
      </c>
      <c r="S3193" s="48">
        <f>IF(Учет!$O3193=Справочники!$F$4,Учет!$H3193,0)</f>
        <v>0</v>
      </c>
      <c r="T3193" s="48">
        <f>IF(Учет!$O3193=Справочники!$F$5,Учет!$H3193,0)</f>
        <v>0</v>
      </c>
      <c r="U3193" s="48">
        <f>IF(Учет!$O3193=Справочники!$F$6,Учет!$H3193,0)</f>
        <v>0</v>
      </c>
      <c r="V3193" s="43">
        <f>V3192+Учет!Q3193-Q3193</f>
        <v>-488978.92000000004</v>
      </c>
      <c r="W3193" s="43">
        <f>W3192+Учет!R3193-R3193</f>
        <v>336855</v>
      </c>
      <c r="X3193" s="43">
        <f>X3192+Учет!S3193-S3193</f>
        <v>500</v>
      </c>
      <c r="Y3193" s="43">
        <f>Y3192+Учет!T3193-T3193</f>
        <v>1150</v>
      </c>
      <c r="Z3193" s="43">
        <f>Z3192+Учет!U3193-U3193</f>
        <v>500000</v>
      </c>
      <c r="AA3193" s="45">
        <f>Учет!X3193</f>
        <v>500</v>
      </c>
    </row>
    <row r="3194" spans="1:27" ht="15" customHeight="1" x14ac:dyDescent="0.25">
      <c r="A3194" s="1"/>
      <c r="B3194" s="17"/>
      <c r="C3194" s="17"/>
      <c r="D3194" s="17"/>
      <c r="E3194" s="17"/>
      <c r="F3194" s="17"/>
      <c r="G3194" s="4">
        <f t="shared" si="144"/>
        <v>0</v>
      </c>
      <c r="H3194" s="17"/>
      <c r="I3194" s="4">
        <f t="shared" si="146"/>
        <v>349526.07999999996</v>
      </c>
      <c r="J3194" s="32" t="str">
        <f t="shared" si="145"/>
        <v/>
      </c>
      <c r="K3194" s="72"/>
      <c r="L3194" s="72"/>
      <c r="M3194" s="2"/>
      <c r="N3194" s="5"/>
      <c r="O3194" s="3"/>
      <c r="P3194" s="6"/>
      <c r="Q3194" s="48">
        <f>IF(Учет!$O3194=Справочники!$F$2,Учет!$H3194,0)</f>
        <v>0</v>
      </c>
      <c r="R3194" s="48">
        <f>IF(Учет!$O3194=Справочники!$F$3,Учет!$H3194,0)</f>
        <v>0</v>
      </c>
      <c r="S3194" s="48">
        <f>IF(Учет!$O3194=Справочники!$F$4,Учет!$H3194,0)</f>
        <v>0</v>
      </c>
      <c r="T3194" s="48">
        <f>IF(Учет!$O3194=Справочники!$F$5,Учет!$H3194,0)</f>
        <v>0</v>
      </c>
      <c r="U3194" s="48">
        <f>IF(Учет!$O3194=Справочники!$F$6,Учет!$H3194,0)</f>
        <v>0</v>
      </c>
      <c r="V3194" s="43">
        <f>V3193+Учет!Q3194-Q3194</f>
        <v>-488978.92000000004</v>
      </c>
      <c r="W3194" s="43">
        <f>W3193+Учет!R3194-R3194</f>
        <v>336855</v>
      </c>
      <c r="X3194" s="43">
        <f>X3193+Учет!S3194-S3194</f>
        <v>500</v>
      </c>
      <c r="Y3194" s="43">
        <f>Y3193+Учет!T3194-T3194</f>
        <v>1150</v>
      </c>
      <c r="Z3194" s="43">
        <f>Z3193+Учет!U3194-U3194</f>
        <v>500000</v>
      </c>
      <c r="AA3194" s="45">
        <f>Учет!X3194</f>
        <v>500</v>
      </c>
    </row>
    <row r="3195" spans="1:27" ht="15" customHeight="1" x14ac:dyDescent="0.25">
      <c r="A3195" s="1"/>
      <c r="B3195" s="17"/>
      <c r="C3195" s="17"/>
      <c r="D3195" s="17"/>
      <c r="E3195" s="17"/>
      <c r="F3195" s="17"/>
      <c r="G3195" s="4">
        <f t="shared" si="144"/>
        <v>0</v>
      </c>
      <c r="H3195" s="17"/>
      <c r="I3195" s="4">
        <f t="shared" si="146"/>
        <v>349526.07999999996</v>
      </c>
      <c r="J3195" s="32" t="str">
        <f t="shared" si="145"/>
        <v/>
      </c>
      <c r="K3195" s="72"/>
      <c r="L3195" s="72"/>
      <c r="M3195" s="2"/>
      <c r="N3195" s="5"/>
      <c r="O3195" s="3"/>
      <c r="P3195" s="6"/>
      <c r="Q3195" s="48">
        <f>IF(Учет!$O3195=Справочники!$F$2,Учет!$H3195,0)</f>
        <v>0</v>
      </c>
      <c r="R3195" s="48">
        <f>IF(Учет!$O3195=Справочники!$F$3,Учет!$H3195,0)</f>
        <v>0</v>
      </c>
      <c r="S3195" s="48">
        <f>IF(Учет!$O3195=Справочники!$F$4,Учет!$H3195,0)</f>
        <v>0</v>
      </c>
      <c r="T3195" s="48">
        <f>IF(Учет!$O3195=Справочники!$F$5,Учет!$H3195,0)</f>
        <v>0</v>
      </c>
      <c r="U3195" s="48">
        <f>IF(Учет!$O3195=Справочники!$F$6,Учет!$H3195,0)</f>
        <v>0</v>
      </c>
      <c r="V3195" s="43">
        <f>V3194+Учет!Q3195-Q3195</f>
        <v>-488978.92000000004</v>
      </c>
      <c r="W3195" s="43">
        <f>W3194+Учет!R3195-R3195</f>
        <v>336855</v>
      </c>
      <c r="X3195" s="43">
        <f>X3194+Учет!S3195-S3195</f>
        <v>500</v>
      </c>
      <c r="Y3195" s="43">
        <f>Y3194+Учет!T3195-T3195</f>
        <v>1150</v>
      </c>
      <c r="Z3195" s="43">
        <f>Z3194+Учет!U3195-U3195</f>
        <v>500000</v>
      </c>
      <c r="AA3195" s="45">
        <f>Учет!X3195</f>
        <v>500</v>
      </c>
    </row>
    <row r="3196" spans="1:27" ht="15" customHeight="1" x14ac:dyDescent="0.25">
      <c r="A3196" s="1"/>
      <c r="B3196" s="17"/>
      <c r="C3196" s="17"/>
      <c r="D3196" s="17"/>
      <c r="E3196" s="17"/>
      <c r="F3196" s="17"/>
      <c r="G3196" s="4">
        <f t="shared" si="144"/>
        <v>0</v>
      </c>
      <c r="H3196" s="17"/>
      <c r="I3196" s="4">
        <f t="shared" si="146"/>
        <v>349526.07999999996</v>
      </c>
      <c r="J3196" s="32" t="str">
        <f t="shared" si="145"/>
        <v/>
      </c>
      <c r="K3196" s="72"/>
      <c r="L3196" s="72"/>
      <c r="M3196" s="2"/>
      <c r="N3196" s="5"/>
      <c r="O3196" s="3"/>
      <c r="P3196" s="6"/>
      <c r="Q3196" s="48">
        <f>IF(Учет!$O3196=Справочники!$F$2,Учет!$H3196,0)</f>
        <v>0</v>
      </c>
      <c r="R3196" s="48">
        <f>IF(Учет!$O3196=Справочники!$F$3,Учет!$H3196,0)</f>
        <v>0</v>
      </c>
      <c r="S3196" s="48">
        <f>IF(Учет!$O3196=Справочники!$F$4,Учет!$H3196,0)</f>
        <v>0</v>
      </c>
      <c r="T3196" s="48">
        <f>IF(Учет!$O3196=Справочники!$F$5,Учет!$H3196,0)</f>
        <v>0</v>
      </c>
      <c r="U3196" s="48">
        <f>IF(Учет!$O3196=Справочники!$F$6,Учет!$H3196,0)</f>
        <v>0</v>
      </c>
      <c r="V3196" s="43">
        <f>V3195+Учет!Q3196-Q3196</f>
        <v>-488978.92000000004</v>
      </c>
      <c r="W3196" s="43">
        <f>W3195+Учет!R3196-R3196</f>
        <v>336855</v>
      </c>
      <c r="X3196" s="43">
        <f>X3195+Учет!S3196-S3196</f>
        <v>500</v>
      </c>
      <c r="Y3196" s="43">
        <f>Y3195+Учет!T3196-T3196</f>
        <v>1150</v>
      </c>
      <c r="Z3196" s="43">
        <f>Z3195+Учет!U3196-U3196</f>
        <v>500000</v>
      </c>
      <c r="AA3196" s="45">
        <f>Учет!X3196</f>
        <v>500</v>
      </c>
    </row>
    <row r="3197" spans="1:27" ht="15" customHeight="1" x14ac:dyDescent="0.25">
      <c r="A3197" s="1"/>
      <c r="B3197" s="17"/>
      <c r="C3197" s="17"/>
      <c r="D3197" s="17"/>
      <c r="E3197" s="17"/>
      <c r="F3197" s="17"/>
      <c r="G3197" s="4">
        <f t="shared" si="144"/>
        <v>0</v>
      </c>
      <c r="H3197" s="17"/>
      <c r="I3197" s="4">
        <f t="shared" si="146"/>
        <v>349526.07999999996</v>
      </c>
      <c r="J3197" s="32" t="str">
        <f t="shared" si="145"/>
        <v/>
      </c>
      <c r="K3197" s="72"/>
      <c r="L3197" s="72"/>
      <c r="M3197" s="2"/>
      <c r="N3197" s="5"/>
      <c r="O3197" s="3"/>
      <c r="P3197" s="6"/>
      <c r="Q3197" s="48">
        <f>IF(Учет!$O3197=Справочники!$F$2,Учет!$H3197,0)</f>
        <v>0</v>
      </c>
      <c r="R3197" s="48">
        <f>IF(Учет!$O3197=Справочники!$F$3,Учет!$H3197,0)</f>
        <v>0</v>
      </c>
      <c r="S3197" s="48">
        <f>IF(Учет!$O3197=Справочники!$F$4,Учет!$H3197,0)</f>
        <v>0</v>
      </c>
      <c r="T3197" s="48">
        <f>IF(Учет!$O3197=Справочники!$F$5,Учет!$H3197,0)</f>
        <v>0</v>
      </c>
      <c r="U3197" s="48">
        <f>IF(Учет!$O3197=Справочники!$F$6,Учет!$H3197,0)</f>
        <v>0</v>
      </c>
      <c r="V3197" s="43">
        <f>V3196+Учет!Q3197-Q3197</f>
        <v>-488978.92000000004</v>
      </c>
      <c r="W3197" s="43">
        <f>W3196+Учет!R3197-R3197</f>
        <v>336855</v>
      </c>
      <c r="X3197" s="43">
        <f>X3196+Учет!S3197-S3197</f>
        <v>500</v>
      </c>
      <c r="Y3197" s="43">
        <f>Y3196+Учет!T3197-T3197</f>
        <v>1150</v>
      </c>
      <c r="Z3197" s="43">
        <f>Z3196+Учет!U3197-U3197</f>
        <v>500000</v>
      </c>
      <c r="AA3197" s="45">
        <f>Учет!X3197</f>
        <v>500</v>
      </c>
    </row>
    <row r="3198" spans="1:27" ht="15" customHeight="1" x14ac:dyDescent="0.25">
      <c r="A3198" s="1"/>
      <c r="B3198" s="17"/>
      <c r="C3198" s="17"/>
      <c r="D3198" s="17"/>
      <c r="E3198" s="17"/>
      <c r="F3198" s="17"/>
      <c r="G3198" s="4">
        <f t="shared" si="144"/>
        <v>0</v>
      </c>
      <c r="H3198" s="17"/>
      <c r="I3198" s="4">
        <f t="shared" si="146"/>
        <v>349526.07999999996</v>
      </c>
      <c r="J3198" s="32" t="str">
        <f t="shared" si="145"/>
        <v/>
      </c>
      <c r="K3198" s="72"/>
      <c r="L3198" s="72"/>
      <c r="M3198" s="2"/>
      <c r="N3198" s="5"/>
      <c r="O3198" s="3"/>
      <c r="P3198" s="6"/>
      <c r="Q3198" s="48">
        <f>IF(Учет!$O3198=Справочники!$F$2,Учет!$H3198,0)</f>
        <v>0</v>
      </c>
      <c r="R3198" s="48">
        <f>IF(Учет!$O3198=Справочники!$F$3,Учет!$H3198,0)</f>
        <v>0</v>
      </c>
      <c r="S3198" s="48">
        <f>IF(Учет!$O3198=Справочники!$F$4,Учет!$H3198,0)</f>
        <v>0</v>
      </c>
      <c r="T3198" s="48">
        <f>IF(Учет!$O3198=Справочники!$F$5,Учет!$H3198,0)</f>
        <v>0</v>
      </c>
      <c r="U3198" s="48">
        <f>IF(Учет!$O3198=Справочники!$F$6,Учет!$H3198,0)</f>
        <v>0</v>
      </c>
      <c r="V3198" s="43">
        <f>V3197+Учет!Q3198-Q3198</f>
        <v>-488978.92000000004</v>
      </c>
      <c r="W3198" s="43">
        <f>W3197+Учет!R3198-R3198</f>
        <v>336855</v>
      </c>
      <c r="X3198" s="43">
        <f>X3197+Учет!S3198-S3198</f>
        <v>500</v>
      </c>
      <c r="Y3198" s="43">
        <f>Y3197+Учет!T3198-T3198</f>
        <v>1150</v>
      </c>
      <c r="Z3198" s="43">
        <f>Z3197+Учет!U3198-U3198</f>
        <v>500000</v>
      </c>
      <c r="AA3198" s="45">
        <f>Учет!X3198</f>
        <v>500</v>
      </c>
    </row>
    <row r="3199" spans="1:27" ht="15" customHeight="1" x14ac:dyDescent="0.25">
      <c r="A3199" s="1"/>
      <c r="B3199" s="17"/>
      <c r="C3199" s="17"/>
      <c r="D3199" s="17"/>
      <c r="E3199" s="17"/>
      <c r="F3199" s="17"/>
      <c r="G3199" s="4">
        <f t="shared" si="144"/>
        <v>0</v>
      </c>
      <c r="H3199" s="17"/>
      <c r="I3199" s="4">
        <f t="shared" si="146"/>
        <v>349526.07999999996</v>
      </c>
      <c r="J3199" s="32" t="str">
        <f t="shared" si="145"/>
        <v/>
      </c>
      <c r="K3199" s="72"/>
      <c r="L3199" s="72"/>
      <c r="M3199" s="2"/>
      <c r="N3199" s="5"/>
      <c r="O3199" s="3"/>
      <c r="P3199" s="6"/>
      <c r="Q3199" s="48">
        <f>IF(Учет!$O3199=Справочники!$F$2,Учет!$H3199,0)</f>
        <v>0</v>
      </c>
      <c r="R3199" s="48">
        <f>IF(Учет!$O3199=Справочники!$F$3,Учет!$H3199,0)</f>
        <v>0</v>
      </c>
      <c r="S3199" s="48">
        <f>IF(Учет!$O3199=Справочники!$F$4,Учет!$H3199,0)</f>
        <v>0</v>
      </c>
      <c r="T3199" s="48">
        <f>IF(Учет!$O3199=Справочники!$F$5,Учет!$H3199,0)</f>
        <v>0</v>
      </c>
      <c r="U3199" s="48">
        <f>IF(Учет!$O3199=Справочники!$F$6,Учет!$H3199,0)</f>
        <v>0</v>
      </c>
      <c r="V3199" s="43">
        <f>V3198+Учет!Q3199-Q3199</f>
        <v>-488978.92000000004</v>
      </c>
      <c r="W3199" s="43">
        <f>W3198+Учет!R3199-R3199</f>
        <v>336855</v>
      </c>
      <c r="X3199" s="43">
        <f>X3198+Учет!S3199-S3199</f>
        <v>500</v>
      </c>
      <c r="Y3199" s="43">
        <f>Y3198+Учет!T3199-T3199</f>
        <v>1150</v>
      </c>
      <c r="Z3199" s="43">
        <f>Z3198+Учет!U3199-U3199</f>
        <v>500000</v>
      </c>
      <c r="AA3199" s="45">
        <f>Учет!X3199</f>
        <v>500</v>
      </c>
    </row>
    <row r="3200" spans="1:27" ht="15" customHeight="1" x14ac:dyDescent="0.25">
      <c r="A3200" s="1"/>
      <c r="B3200" s="17"/>
      <c r="C3200" s="17"/>
      <c r="D3200" s="17"/>
      <c r="E3200" s="17"/>
      <c r="F3200" s="17"/>
      <c r="G3200" s="4">
        <f t="shared" si="144"/>
        <v>0</v>
      </c>
      <c r="H3200" s="17"/>
      <c r="I3200" s="4">
        <f t="shared" si="146"/>
        <v>349526.07999999996</v>
      </c>
      <c r="J3200" s="32" t="str">
        <f t="shared" si="145"/>
        <v/>
      </c>
      <c r="K3200" s="72"/>
      <c r="L3200" s="72"/>
      <c r="M3200" s="2"/>
      <c r="N3200" s="5"/>
      <c r="O3200" s="3"/>
      <c r="P3200" s="6"/>
      <c r="Q3200" s="48">
        <f>IF(Учет!$O3200=Справочники!$F$2,Учет!$H3200,0)</f>
        <v>0</v>
      </c>
      <c r="R3200" s="48">
        <f>IF(Учет!$O3200=Справочники!$F$3,Учет!$H3200,0)</f>
        <v>0</v>
      </c>
      <c r="S3200" s="48">
        <f>IF(Учет!$O3200=Справочники!$F$4,Учет!$H3200,0)</f>
        <v>0</v>
      </c>
      <c r="T3200" s="48">
        <f>IF(Учет!$O3200=Справочники!$F$5,Учет!$H3200,0)</f>
        <v>0</v>
      </c>
      <c r="U3200" s="48">
        <f>IF(Учет!$O3200=Справочники!$F$6,Учет!$H3200,0)</f>
        <v>0</v>
      </c>
      <c r="V3200" s="43">
        <f>V3199+Учет!Q3200-Q3200</f>
        <v>-488978.92000000004</v>
      </c>
      <c r="W3200" s="43">
        <f>W3199+Учет!R3200-R3200</f>
        <v>336855</v>
      </c>
      <c r="X3200" s="43">
        <f>X3199+Учет!S3200-S3200</f>
        <v>500</v>
      </c>
      <c r="Y3200" s="43">
        <f>Y3199+Учет!T3200-T3200</f>
        <v>1150</v>
      </c>
      <c r="Z3200" s="43">
        <f>Z3199+Учет!U3200-U3200</f>
        <v>500000</v>
      </c>
      <c r="AA3200" s="45">
        <f>Учет!X3200</f>
        <v>500</v>
      </c>
    </row>
    <row r="3201" spans="1:27" ht="15" customHeight="1" x14ac:dyDescent="0.25">
      <c r="A3201" s="1"/>
      <c r="B3201" s="17"/>
      <c r="C3201" s="17"/>
      <c r="D3201" s="17"/>
      <c r="E3201" s="17"/>
      <c r="F3201" s="17"/>
      <c r="G3201" s="4">
        <f t="shared" si="144"/>
        <v>0</v>
      </c>
      <c r="H3201" s="17"/>
      <c r="I3201" s="4">
        <f t="shared" si="146"/>
        <v>349526.07999999996</v>
      </c>
      <c r="J3201" s="32" t="str">
        <f t="shared" si="145"/>
        <v/>
      </c>
      <c r="K3201" s="72"/>
      <c r="L3201" s="72"/>
      <c r="M3201" s="2"/>
      <c r="N3201" s="5"/>
      <c r="O3201" s="3"/>
      <c r="P3201" s="6"/>
      <c r="Q3201" s="48">
        <f>IF(Учет!$O3201=Справочники!$F$2,Учет!$H3201,0)</f>
        <v>0</v>
      </c>
      <c r="R3201" s="48">
        <f>IF(Учет!$O3201=Справочники!$F$3,Учет!$H3201,0)</f>
        <v>0</v>
      </c>
      <c r="S3201" s="48">
        <f>IF(Учет!$O3201=Справочники!$F$4,Учет!$H3201,0)</f>
        <v>0</v>
      </c>
      <c r="T3201" s="48">
        <f>IF(Учет!$O3201=Справочники!$F$5,Учет!$H3201,0)</f>
        <v>0</v>
      </c>
      <c r="U3201" s="48">
        <f>IF(Учет!$O3201=Справочники!$F$6,Учет!$H3201,0)</f>
        <v>0</v>
      </c>
      <c r="V3201" s="43">
        <f>V3200+Учет!Q3201-Q3201</f>
        <v>-488978.92000000004</v>
      </c>
      <c r="W3201" s="43">
        <f>W3200+Учет!R3201-R3201</f>
        <v>336855</v>
      </c>
      <c r="X3201" s="43">
        <f>X3200+Учет!S3201-S3201</f>
        <v>500</v>
      </c>
      <c r="Y3201" s="43">
        <f>Y3200+Учет!T3201-T3201</f>
        <v>1150</v>
      </c>
      <c r="Z3201" s="43">
        <f>Z3200+Учет!U3201-U3201</f>
        <v>500000</v>
      </c>
      <c r="AA3201" s="45">
        <f>Учет!X3201</f>
        <v>500</v>
      </c>
    </row>
    <row r="3202" spans="1:27" ht="15" customHeight="1" x14ac:dyDescent="0.25">
      <c r="A3202" s="1"/>
      <c r="B3202" s="17"/>
      <c r="C3202" s="17"/>
      <c r="D3202" s="17"/>
      <c r="E3202" s="17"/>
      <c r="F3202" s="17"/>
      <c r="G3202" s="4">
        <f t="shared" ref="G3202:G3265" si="147">SUM($B3202:$F3202)</f>
        <v>0</v>
      </c>
      <c r="H3202" s="17"/>
      <c r="I3202" s="4">
        <f t="shared" si="146"/>
        <v>349526.07999999996</v>
      </c>
      <c r="J3202" s="32" t="str">
        <f t="shared" ref="J3202:J3265" si="148">IF($A3203&lt;&gt;$A3202,$I3202,"")</f>
        <v/>
      </c>
      <c r="K3202" s="72"/>
      <c r="L3202" s="72"/>
      <c r="M3202" s="2"/>
      <c r="N3202" s="5"/>
      <c r="O3202" s="3"/>
      <c r="P3202" s="6"/>
      <c r="Q3202" s="48">
        <f>IF(Учет!$O3202=Справочники!$F$2,Учет!$H3202,0)</f>
        <v>0</v>
      </c>
      <c r="R3202" s="48">
        <f>IF(Учет!$O3202=Справочники!$F$3,Учет!$H3202,0)</f>
        <v>0</v>
      </c>
      <c r="S3202" s="48">
        <f>IF(Учет!$O3202=Справочники!$F$4,Учет!$H3202,0)</f>
        <v>0</v>
      </c>
      <c r="T3202" s="48">
        <f>IF(Учет!$O3202=Справочники!$F$5,Учет!$H3202,0)</f>
        <v>0</v>
      </c>
      <c r="U3202" s="48">
        <f>IF(Учет!$O3202=Справочники!$F$6,Учет!$H3202,0)</f>
        <v>0</v>
      </c>
      <c r="V3202" s="43">
        <f>V3201+Учет!Q3202-Q3202</f>
        <v>-488978.92000000004</v>
      </c>
      <c r="W3202" s="43">
        <f>W3201+Учет!R3202-R3202</f>
        <v>336855</v>
      </c>
      <c r="X3202" s="43">
        <f>X3201+Учет!S3202-S3202</f>
        <v>500</v>
      </c>
      <c r="Y3202" s="43">
        <f>Y3201+Учет!T3202-T3202</f>
        <v>1150</v>
      </c>
      <c r="Z3202" s="43">
        <f>Z3201+Учет!U3202-U3202</f>
        <v>500000</v>
      </c>
      <c r="AA3202" s="45">
        <f>Учет!X3202</f>
        <v>500</v>
      </c>
    </row>
    <row r="3203" spans="1:27" ht="15" customHeight="1" x14ac:dyDescent="0.25">
      <c r="A3203" s="1"/>
      <c r="B3203" s="17"/>
      <c r="C3203" s="17"/>
      <c r="D3203" s="17"/>
      <c r="E3203" s="17"/>
      <c r="F3203" s="17"/>
      <c r="G3203" s="4">
        <f t="shared" si="147"/>
        <v>0</v>
      </c>
      <c r="H3203" s="17"/>
      <c r="I3203" s="4">
        <f t="shared" ref="I3203:I3266" si="149">$I3202+$G3203-$H3203</f>
        <v>349526.07999999996</v>
      </c>
      <c r="J3203" s="32" t="str">
        <f t="shared" si="148"/>
        <v/>
      </c>
      <c r="K3203" s="72"/>
      <c r="L3203" s="72"/>
      <c r="M3203" s="2"/>
      <c r="N3203" s="5"/>
      <c r="O3203" s="3"/>
      <c r="P3203" s="6"/>
      <c r="Q3203" s="48">
        <f>IF(Учет!$O3203=Справочники!$F$2,Учет!$H3203,0)</f>
        <v>0</v>
      </c>
      <c r="R3203" s="48">
        <f>IF(Учет!$O3203=Справочники!$F$3,Учет!$H3203,0)</f>
        <v>0</v>
      </c>
      <c r="S3203" s="48">
        <f>IF(Учет!$O3203=Справочники!$F$4,Учет!$H3203,0)</f>
        <v>0</v>
      </c>
      <c r="T3203" s="48">
        <f>IF(Учет!$O3203=Справочники!$F$5,Учет!$H3203,0)</f>
        <v>0</v>
      </c>
      <c r="U3203" s="48">
        <f>IF(Учет!$O3203=Справочники!$F$6,Учет!$H3203,0)</f>
        <v>0</v>
      </c>
      <c r="V3203" s="43">
        <f>V3202+Учет!Q3203-Q3203</f>
        <v>-488978.92000000004</v>
      </c>
      <c r="W3203" s="43">
        <f>W3202+Учет!R3203-R3203</f>
        <v>336855</v>
      </c>
      <c r="X3203" s="43">
        <f>X3202+Учет!S3203-S3203</f>
        <v>500</v>
      </c>
      <c r="Y3203" s="43">
        <f>Y3202+Учет!T3203-T3203</f>
        <v>1150</v>
      </c>
      <c r="Z3203" s="43">
        <f>Z3202+Учет!U3203-U3203</f>
        <v>500000</v>
      </c>
      <c r="AA3203" s="45">
        <f>Учет!X3203</f>
        <v>500</v>
      </c>
    </row>
    <row r="3204" spans="1:27" ht="15" customHeight="1" x14ac:dyDescent="0.25">
      <c r="A3204" s="1"/>
      <c r="B3204" s="17"/>
      <c r="C3204" s="17"/>
      <c r="D3204" s="17"/>
      <c r="E3204" s="17"/>
      <c r="F3204" s="17"/>
      <c r="G3204" s="4">
        <f t="shared" si="147"/>
        <v>0</v>
      </c>
      <c r="H3204" s="17"/>
      <c r="I3204" s="4">
        <f t="shared" si="149"/>
        <v>349526.07999999996</v>
      </c>
      <c r="J3204" s="32" t="str">
        <f t="shared" si="148"/>
        <v/>
      </c>
      <c r="K3204" s="72"/>
      <c r="L3204" s="72"/>
      <c r="M3204" s="2"/>
      <c r="N3204" s="5"/>
      <c r="O3204" s="3"/>
      <c r="P3204" s="6"/>
      <c r="Q3204" s="48">
        <f>IF(Учет!$O3204=Справочники!$F$2,Учет!$H3204,0)</f>
        <v>0</v>
      </c>
      <c r="R3204" s="48">
        <f>IF(Учет!$O3204=Справочники!$F$3,Учет!$H3204,0)</f>
        <v>0</v>
      </c>
      <c r="S3204" s="48">
        <f>IF(Учет!$O3204=Справочники!$F$4,Учет!$H3204,0)</f>
        <v>0</v>
      </c>
      <c r="T3204" s="48">
        <f>IF(Учет!$O3204=Справочники!$F$5,Учет!$H3204,0)</f>
        <v>0</v>
      </c>
      <c r="U3204" s="48">
        <f>IF(Учет!$O3204=Справочники!$F$6,Учет!$H3204,0)</f>
        <v>0</v>
      </c>
      <c r="V3204" s="43">
        <f>V3203+Учет!Q3204-Q3204</f>
        <v>-488978.92000000004</v>
      </c>
      <c r="W3204" s="43">
        <f>W3203+Учет!R3204-R3204</f>
        <v>336855</v>
      </c>
      <c r="X3204" s="43">
        <f>X3203+Учет!S3204-S3204</f>
        <v>500</v>
      </c>
      <c r="Y3204" s="43">
        <f>Y3203+Учет!T3204-T3204</f>
        <v>1150</v>
      </c>
      <c r="Z3204" s="43">
        <f>Z3203+Учет!U3204-U3204</f>
        <v>500000</v>
      </c>
      <c r="AA3204" s="45">
        <f>Учет!X3204</f>
        <v>500</v>
      </c>
    </row>
    <row r="3205" spans="1:27" ht="15" customHeight="1" x14ac:dyDescent="0.25">
      <c r="A3205" s="1"/>
      <c r="B3205" s="17"/>
      <c r="C3205" s="17"/>
      <c r="D3205" s="17"/>
      <c r="E3205" s="17"/>
      <c r="F3205" s="17"/>
      <c r="G3205" s="4">
        <f t="shared" si="147"/>
        <v>0</v>
      </c>
      <c r="H3205" s="17"/>
      <c r="I3205" s="4">
        <f t="shared" si="149"/>
        <v>349526.07999999996</v>
      </c>
      <c r="J3205" s="32" t="str">
        <f t="shared" si="148"/>
        <v/>
      </c>
      <c r="K3205" s="72"/>
      <c r="L3205" s="72"/>
      <c r="M3205" s="2"/>
      <c r="N3205" s="5"/>
      <c r="O3205" s="3"/>
      <c r="P3205" s="6"/>
      <c r="Q3205" s="48">
        <f>IF(Учет!$O3205=Справочники!$F$2,Учет!$H3205,0)</f>
        <v>0</v>
      </c>
      <c r="R3205" s="48">
        <f>IF(Учет!$O3205=Справочники!$F$3,Учет!$H3205,0)</f>
        <v>0</v>
      </c>
      <c r="S3205" s="48">
        <f>IF(Учет!$O3205=Справочники!$F$4,Учет!$H3205,0)</f>
        <v>0</v>
      </c>
      <c r="T3205" s="48">
        <f>IF(Учет!$O3205=Справочники!$F$5,Учет!$H3205,0)</f>
        <v>0</v>
      </c>
      <c r="U3205" s="48">
        <f>IF(Учет!$O3205=Справочники!$F$6,Учет!$H3205,0)</f>
        <v>0</v>
      </c>
      <c r="V3205" s="43">
        <f>V3204+Учет!Q3205-Q3205</f>
        <v>-488978.92000000004</v>
      </c>
      <c r="W3205" s="43">
        <f>W3204+Учет!R3205-R3205</f>
        <v>336855</v>
      </c>
      <c r="X3205" s="43">
        <f>X3204+Учет!S3205-S3205</f>
        <v>500</v>
      </c>
      <c r="Y3205" s="43">
        <f>Y3204+Учет!T3205-T3205</f>
        <v>1150</v>
      </c>
      <c r="Z3205" s="43">
        <f>Z3204+Учет!U3205-U3205</f>
        <v>500000</v>
      </c>
      <c r="AA3205" s="45">
        <f>Учет!X3205</f>
        <v>500</v>
      </c>
    </row>
    <row r="3206" spans="1:27" ht="15" customHeight="1" x14ac:dyDescent="0.25">
      <c r="A3206" s="1"/>
      <c r="B3206" s="17"/>
      <c r="C3206" s="17"/>
      <c r="D3206" s="17"/>
      <c r="E3206" s="17"/>
      <c r="F3206" s="17"/>
      <c r="G3206" s="4">
        <f t="shared" si="147"/>
        <v>0</v>
      </c>
      <c r="H3206" s="17"/>
      <c r="I3206" s="4">
        <f t="shared" si="149"/>
        <v>349526.07999999996</v>
      </c>
      <c r="J3206" s="32" t="str">
        <f t="shared" si="148"/>
        <v/>
      </c>
      <c r="K3206" s="72"/>
      <c r="L3206" s="72"/>
      <c r="M3206" s="2"/>
      <c r="N3206" s="5"/>
      <c r="O3206" s="3"/>
      <c r="P3206" s="6"/>
      <c r="Q3206" s="48">
        <f>IF(Учет!$O3206=Справочники!$F$2,Учет!$H3206,0)</f>
        <v>0</v>
      </c>
      <c r="R3206" s="48">
        <f>IF(Учет!$O3206=Справочники!$F$3,Учет!$H3206,0)</f>
        <v>0</v>
      </c>
      <c r="S3206" s="48">
        <f>IF(Учет!$O3206=Справочники!$F$4,Учет!$H3206,0)</f>
        <v>0</v>
      </c>
      <c r="T3206" s="48">
        <f>IF(Учет!$O3206=Справочники!$F$5,Учет!$H3206,0)</f>
        <v>0</v>
      </c>
      <c r="U3206" s="48">
        <f>IF(Учет!$O3206=Справочники!$F$6,Учет!$H3206,0)</f>
        <v>0</v>
      </c>
      <c r="V3206" s="43">
        <f>V3205+Учет!Q3206-Q3206</f>
        <v>-488978.92000000004</v>
      </c>
      <c r="W3206" s="43">
        <f>W3205+Учет!R3206-R3206</f>
        <v>336855</v>
      </c>
      <c r="X3206" s="43">
        <f>X3205+Учет!S3206-S3206</f>
        <v>500</v>
      </c>
      <c r="Y3206" s="43">
        <f>Y3205+Учет!T3206-T3206</f>
        <v>1150</v>
      </c>
      <c r="Z3206" s="43">
        <f>Z3205+Учет!U3206-U3206</f>
        <v>500000</v>
      </c>
      <c r="AA3206" s="45">
        <f>Учет!X3206</f>
        <v>500</v>
      </c>
    </row>
    <row r="3207" spans="1:27" ht="15" customHeight="1" x14ac:dyDescent="0.25">
      <c r="A3207" s="1"/>
      <c r="B3207" s="17"/>
      <c r="C3207" s="17"/>
      <c r="D3207" s="17"/>
      <c r="E3207" s="17"/>
      <c r="F3207" s="17"/>
      <c r="G3207" s="4">
        <f t="shared" si="147"/>
        <v>0</v>
      </c>
      <c r="H3207" s="17"/>
      <c r="I3207" s="4">
        <f t="shared" si="149"/>
        <v>349526.07999999996</v>
      </c>
      <c r="J3207" s="32" t="str">
        <f t="shared" si="148"/>
        <v/>
      </c>
      <c r="K3207" s="72"/>
      <c r="L3207" s="72"/>
      <c r="M3207" s="2"/>
      <c r="N3207" s="5"/>
      <c r="O3207" s="3"/>
      <c r="P3207" s="6"/>
      <c r="Q3207" s="48">
        <f>IF(Учет!$O3207=Справочники!$F$2,Учет!$H3207,0)</f>
        <v>0</v>
      </c>
      <c r="R3207" s="48">
        <f>IF(Учет!$O3207=Справочники!$F$3,Учет!$H3207,0)</f>
        <v>0</v>
      </c>
      <c r="S3207" s="48">
        <f>IF(Учет!$O3207=Справочники!$F$4,Учет!$H3207,0)</f>
        <v>0</v>
      </c>
      <c r="T3207" s="48">
        <f>IF(Учет!$O3207=Справочники!$F$5,Учет!$H3207,0)</f>
        <v>0</v>
      </c>
      <c r="U3207" s="48">
        <f>IF(Учет!$O3207=Справочники!$F$6,Учет!$H3207,0)</f>
        <v>0</v>
      </c>
      <c r="V3207" s="43">
        <f>V3206+Учет!Q3207-Q3207</f>
        <v>-488978.92000000004</v>
      </c>
      <c r="W3207" s="43">
        <f>W3206+Учет!R3207-R3207</f>
        <v>336855</v>
      </c>
      <c r="X3207" s="43">
        <f>X3206+Учет!S3207-S3207</f>
        <v>500</v>
      </c>
      <c r="Y3207" s="43">
        <f>Y3206+Учет!T3207-T3207</f>
        <v>1150</v>
      </c>
      <c r="Z3207" s="43">
        <f>Z3206+Учет!U3207-U3207</f>
        <v>500000</v>
      </c>
      <c r="AA3207" s="45">
        <f>Учет!X3207</f>
        <v>500</v>
      </c>
    </row>
    <row r="3208" spans="1:27" ht="15" customHeight="1" x14ac:dyDescent="0.25">
      <c r="A3208" s="1"/>
      <c r="B3208" s="17"/>
      <c r="C3208" s="17"/>
      <c r="D3208" s="17"/>
      <c r="E3208" s="17"/>
      <c r="F3208" s="17"/>
      <c r="G3208" s="4">
        <f t="shared" si="147"/>
        <v>0</v>
      </c>
      <c r="H3208" s="17"/>
      <c r="I3208" s="4">
        <f t="shared" si="149"/>
        <v>349526.07999999996</v>
      </c>
      <c r="J3208" s="32" t="str">
        <f t="shared" si="148"/>
        <v/>
      </c>
      <c r="K3208" s="72"/>
      <c r="L3208" s="72"/>
      <c r="M3208" s="2"/>
      <c r="N3208" s="5"/>
      <c r="O3208" s="3"/>
      <c r="P3208" s="6"/>
      <c r="Q3208" s="48">
        <f>IF(Учет!$O3208=Справочники!$F$2,Учет!$H3208,0)</f>
        <v>0</v>
      </c>
      <c r="R3208" s="48">
        <f>IF(Учет!$O3208=Справочники!$F$3,Учет!$H3208,0)</f>
        <v>0</v>
      </c>
      <c r="S3208" s="48">
        <f>IF(Учет!$O3208=Справочники!$F$4,Учет!$H3208,0)</f>
        <v>0</v>
      </c>
      <c r="T3208" s="48">
        <f>IF(Учет!$O3208=Справочники!$F$5,Учет!$H3208,0)</f>
        <v>0</v>
      </c>
      <c r="U3208" s="48">
        <f>IF(Учет!$O3208=Справочники!$F$6,Учет!$H3208,0)</f>
        <v>0</v>
      </c>
      <c r="V3208" s="43">
        <f>V3207+Учет!Q3208-Q3208</f>
        <v>-488978.92000000004</v>
      </c>
      <c r="W3208" s="43">
        <f>W3207+Учет!R3208-R3208</f>
        <v>336855</v>
      </c>
      <c r="X3208" s="43">
        <f>X3207+Учет!S3208-S3208</f>
        <v>500</v>
      </c>
      <c r="Y3208" s="43">
        <f>Y3207+Учет!T3208-T3208</f>
        <v>1150</v>
      </c>
      <c r="Z3208" s="43">
        <f>Z3207+Учет!U3208-U3208</f>
        <v>500000</v>
      </c>
      <c r="AA3208" s="45">
        <f>Учет!X3208</f>
        <v>500</v>
      </c>
    </row>
    <row r="3209" spans="1:27" ht="15" customHeight="1" x14ac:dyDescent="0.25">
      <c r="A3209" s="1"/>
      <c r="B3209" s="17"/>
      <c r="C3209" s="17"/>
      <c r="D3209" s="17"/>
      <c r="E3209" s="17"/>
      <c r="F3209" s="17"/>
      <c r="G3209" s="4">
        <f t="shared" si="147"/>
        <v>0</v>
      </c>
      <c r="H3209" s="17"/>
      <c r="I3209" s="4">
        <f t="shared" si="149"/>
        <v>349526.07999999996</v>
      </c>
      <c r="J3209" s="32" t="str">
        <f t="shared" si="148"/>
        <v/>
      </c>
      <c r="K3209" s="72"/>
      <c r="L3209" s="72"/>
      <c r="M3209" s="2"/>
      <c r="N3209" s="5"/>
      <c r="O3209" s="3"/>
      <c r="P3209" s="6"/>
      <c r="Q3209" s="48">
        <f>IF(Учет!$O3209=Справочники!$F$2,Учет!$H3209,0)</f>
        <v>0</v>
      </c>
      <c r="R3209" s="48">
        <f>IF(Учет!$O3209=Справочники!$F$3,Учет!$H3209,0)</f>
        <v>0</v>
      </c>
      <c r="S3209" s="48">
        <f>IF(Учет!$O3209=Справочники!$F$4,Учет!$H3209,0)</f>
        <v>0</v>
      </c>
      <c r="T3209" s="48">
        <f>IF(Учет!$O3209=Справочники!$F$5,Учет!$H3209,0)</f>
        <v>0</v>
      </c>
      <c r="U3209" s="48">
        <f>IF(Учет!$O3209=Справочники!$F$6,Учет!$H3209,0)</f>
        <v>0</v>
      </c>
      <c r="V3209" s="43">
        <f>V3208+Учет!Q3209-Q3209</f>
        <v>-488978.92000000004</v>
      </c>
      <c r="W3209" s="43">
        <f>W3208+Учет!R3209-R3209</f>
        <v>336855</v>
      </c>
      <c r="X3209" s="43">
        <f>X3208+Учет!S3209-S3209</f>
        <v>500</v>
      </c>
      <c r="Y3209" s="43">
        <f>Y3208+Учет!T3209-T3209</f>
        <v>1150</v>
      </c>
      <c r="Z3209" s="43">
        <f>Z3208+Учет!U3209-U3209</f>
        <v>500000</v>
      </c>
      <c r="AA3209" s="45">
        <f>Учет!X3209</f>
        <v>500</v>
      </c>
    </row>
    <row r="3210" spans="1:27" ht="15" customHeight="1" x14ac:dyDescent="0.25">
      <c r="A3210" s="1"/>
      <c r="B3210" s="17"/>
      <c r="C3210" s="17"/>
      <c r="D3210" s="17"/>
      <c r="E3210" s="17"/>
      <c r="F3210" s="17"/>
      <c r="G3210" s="4">
        <f t="shared" si="147"/>
        <v>0</v>
      </c>
      <c r="H3210" s="17"/>
      <c r="I3210" s="4">
        <f t="shared" si="149"/>
        <v>349526.07999999996</v>
      </c>
      <c r="J3210" s="32" t="str">
        <f t="shared" si="148"/>
        <v/>
      </c>
      <c r="K3210" s="72"/>
      <c r="L3210" s="72"/>
      <c r="M3210" s="2"/>
      <c r="N3210" s="5"/>
      <c r="O3210" s="3"/>
      <c r="P3210" s="6"/>
      <c r="Q3210" s="48">
        <f>IF(Учет!$O3210=Справочники!$F$2,Учет!$H3210,0)</f>
        <v>0</v>
      </c>
      <c r="R3210" s="48">
        <f>IF(Учет!$O3210=Справочники!$F$3,Учет!$H3210,0)</f>
        <v>0</v>
      </c>
      <c r="S3210" s="48">
        <f>IF(Учет!$O3210=Справочники!$F$4,Учет!$H3210,0)</f>
        <v>0</v>
      </c>
      <c r="T3210" s="48">
        <f>IF(Учет!$O3210=Справочники!$F$5,Учет!$H3210,0)</f>
        <v>0</v>
      </c>
      <c r="U3210" s="48">
        <f>IF(Учет!$O3210=Справочники!$F$6,Учет!$H3210,0)</f>
        <v>0</v>
      </c>
      <c r="V3210" s="43">
        <f>V3209+Учет!Q3210-Q3210</f>
        <v>-488978.92000000004</v>
      </c>
      <c r="W3210" s="43">
        <f>W3209+Учет!R3210-R3210</f>
        <v>336855</v>
      </c>
      <c r="X3210" s="43">
        <f>X3209+Учет!S3210-S3210</f>
        <v>500</v>
      </c>
      <c r="Y3210" s="43">
        <f>Y3209+Учет!T3210-T3210</f>
        <v>1150</v>
      </c>
      <c r="Z3210" s="43">
        <f>Z3209+Учет!U3210-U3210</f>
        <v>500000</v>
      </c>
      <c r="AA3210" s="45">
        <f>Учет!X3210</f>
        <v>500</v>
      </c>
    </row>
    <row r="3211" spans="1:27" ht="15" customHeight="1" x14ac:dyDescent="0.25">
      <c r="A3211" s="1"/>
      <c r="B3211" s="17"/>
      <c r="C3211" s="17"/>
      <c r="D3211" s="17"/>
      <c r="E3211" s="17"/>
      <c r="F3211" s="17"/>
      <c r="G3211" s="4">
        <f t="shared" si="147"/>
        <v>0</v>
      </c>
      <c r="H3211" s="17"/>
      <c r="I3211" s="4">
        <f t="shared" si="149"/>
        <v>349526.07999999996</v>
      </c>
      <c r="J3211" s="32" t="str">
        <f t="shared" si="148"/>
        <v/>
      </c>
      <c r="K3211" s="72"/>
      <c r="L3211" s="72"/>
      <c r="M3211" s="2"/>
      <c r="N3211" s="5"/>
      <c r="O3211" s="3"/>
      <c r="P3211" s="6"/>
      <c r="Q3211" s="48">
        <f>IF(Учет!$O3211=Справочники!$F$2,Учет!$H3211,0)</f>
        <v>0</v>
      </c>
      <c r="R3211" s="48">
        <f>IF(Учет!$O3211=Справочники!$F$3,Учет!$H3211,0)</f>
        <v>0</v>
      </c>
      <c r="S3211" s="48">
        <f>IF(Учет!$O3211=Справочники!$F$4,Учет!$H3211,0)</f>
        <v>0</v>
      </c>
      <c r="T3211" s="48">
        <f>IF(Учет!$O3211=Справочники!$F$5,Учет!$H3211,0)</f>
        <v>0</v>
      </c>
      <c r="U3211" s="48">
        <f>IF(Учет!$O3211=Справочники!$F$6,Учет!$H3211,0)</f>
        <v>0</v>
      </c>
      <c r="V3211" s="43">
        <f>V3210+Учет!Q3211-Q3211</f>
        <v>-488978.92000000004</v>
      </c>
      <c r="W3211" s="43">
        <f>W3210+Учет!R3211-R3211</f>
        <v>336855</v>
      </c>
      <c r="X3211" s="43">
        <f>X3210+Учет!S3211-S3211</f>
        <v>500</v>
      </c>
      <c r="Y3211" s="43">
        <f>Y3210+Учет!T3211-T3211</f>
        <v>1150</v>
      </c>
      <c r="Z3211" s="43">
        <f>Z3210+Учет!U3211-U3211</f>
        <v>500000</v>
      </c>
      <c r="AA3211" s="45">
        <f>Учет!X3211</f>
        <v>500</v>
      </c>
    </row>
    <row r="3212" spans="1:27" ht="15" customHeight="1" x14ac:dyDescent="0.25">
      <c r="A3212" s="1"/>
      <c r="B3212" s="17"/>
      <c r="C3212" s="17"/>
      <c r="D3212" s="17"/>
      <c r="E3212" s="17"/>
      <c r="F3212" s="17"/>
      <c r="G3212" s="4">
        <f t="shared" si="147"/>
        <v>0</v>
      </c>
      <c r="H3212" s="17"/>
      <c r="I3212" s="4">
        <f t="shared" si="149"/>
        <v>349526.07999999996</v>
      </c>
      <c r="J3212" s="32" t="str">
        <f t="shared" si="148"/>
        <v/>
      </c>
      <c r="K3212" s="72"/>
      <c r="L3212" s="72"/>
      <c r="M3212" s="2"/>
      <c r="N3212" s="5"/>
      <c r="O3212" s="3"/>
      <c r="P3212" s="6"/>
      <c r="Q3212" s="48">
        <f>IF(Учет!$O3212=Справочники!$F$2,Учет!$H3212,0)</f>
        <v>0</v>
      </c>
      <c r="R3212" s="48">
        <f>IF(Учет!$O3212=Справочники!$F$3,Учет!$H3212,0)</f>
        <v>0</v>
      </c>
      <c r="S3212" s="48">
        <f>IF(Учет!$O3212=Справочники!$F$4,Учет!$H3212,0)</f>
        <v>0</v>
      </c>
      <c r="T3212" s="48">
        <f>IF(Учет!$O3212=Справочники!$F$5,Учет!$H3212,0)</f>
        <v>0</v>
      </c>
      <c r="U3212" s="48">
        <f>IF(Учет!$O3212=Справочники!$F$6,Учет!$H3212,0)</f>
        <v>0</v>
      </c>
      <c r="V3212" s="43">
        <f>V3211+Учет!Q3212-Q3212</f>
        <v>-488978.92000000004</v>
      </c>
      <c r="W3212" s="43">
        <f>W3211+Учет!R3212-R3212</f>
        <v>336855</v>
      </c>
      <c r="X3212" s="43">
        <f>X3211+Учет!S3212-S3212</f>
        <v>500</v>
      </c>
      <c r="Y3212" s="43">
        <f>Y3211+Учет!T3212-T3212</f>
        <v>1150</v>
      </c>
      <c r="Z3212" s="43">
        <f>Z3211+Учет!U3212-U3212</f>
        <v>500000</v>
      </c>
      <c r="AA3212" s="45">
        <f>Учет!X3212</f>
        <v>500</v>
      </c>
    </row>
    <row r="3213" spans="1:27" ht="15" customHeight="1" x14ac:dyDescent="0.25">
      <c r="A3213" s="1"/>
      <c r="B3213" s="17"/>
      <c r="C3213" s="17"/>
      <c r="D3213" s="17"/>
      <c r="E3213" s="17"/>
      <c r="F3213" s="17"/>
      <c r="G3213" s="4">
        <f t="shared" si="147"/>
        <v>0</v>
      </c>
      <c r="H3213" s="17"/>
      <c r="I3213" s="4">
        <f t="shared" si="149"/>
        <v>349526.07999999996</v>
      </c>
      <c r="J3213" s="32" t="str">
        <f t="shared" si="148"/>
        <v/>
      </c>
      <c r="K3213" s="72"/>
      <c r="L3213" s="72"/>
      <c r="M3213" s="2"/>
      <c r="N3213" s="5"/>
      <c r="O3213" s="3"/>
      <c r="P3213" s="6"/>
      <c r="Q3213" s="48">
        <f>IF(Учет!$O3213=Справочники!$F$2,Учет!$H3213,0)</f>
        <v>0</v>
      </c>
      <c r="R3213" s="48">
        <f>IF(Учет!$O3213=Справочники!$F$3,Учет!$H3213,0)</f>
        <v>0</v>
      </c>
      <c r="S3213" s="48">
        <f>IF(Учет!$O3213=Справочники!$F$4,Учет!$H3213,0)</f>
        <v>0</v>
      </c>
      <c r="T3213" s="48">
        <f>IF(Учет!$O3213=Справочники!$F$5,Учет!$H3213,0)</f>
        <v>0</v>
      </c>
      <c r="U3213" s="48">
        <f>IF(Учет!$O3213=Справочники!$F$6,Учет!$H3213,0)</f>
        <v>0</v>
      </c>
      <c r="V3213" s="43">
        <f>V3212+Учет!Q3213-Q3213</f>
        <v>-488978.92000000004</v>
      </c>
      <c r="W3213" s="43">
        <f>W3212+Учет!R3213-R3213</f>
        <v>336855</v>
      </c>
      <c r="X3213" s="43">
        <f>X3212+Учет!S3213-S3213</f>
        <v>500</v>
      </c>
      <c r="Y3213" s="43">
        <f>Y3212+Учет!T3213-T3213</f>
        <v>1150</v>
      </c>
      <c r="Z3213" s="43">
        <f>Z3212+Учет!U3213-U3213</f>
        <v>500000</v>
      </c>
      <c r="AA3213" s="45">
        <f>Учет!X3213</f>
        <v>500</v>
      </c>
    </row>
    <row r="3214" spans="1:27" ht="15" customHeight="1" x14ac:dyDescent="0.25">
      <c r="A3214" s="1"/>
      <c r="B3214" s="17"/>
      <c r="C3214" s="17"/>
      <c r="D3214" s="17"/>
      <c r="E3214" s="17"/>
      <c r="F3214" s="17"/>
      <c r="G3214" s="4">
        <f t="shared" si="147"/>
        <v>0</v>
      </c>
      <c r="H3214" s="17"/>
      <c r="I3214" s="4">
        <f t="shared" si="149"/>
        <v>349526.07999999996</v>
      </c>
      <c r="J3214" s="32" t="str">
        <f t="shared" si="148"/>
        <v/>
      </c>
      <c r="K3214" s="72"/>
      <c r="L3214" s="72"/>
      <c r="M3214" s="2"/>
      <c r="N3214" s="5"/>
      <c r="O3214" s="3"/>
      <c r="P3214" s="6"/>
      <c r="Q3214" s="48">
        <f>IF(Учет!$O3214=Справочники!$F$2,Учет!$H3214,0)</f>
        <v>0</v>
      </c>
      <c r="R3214" s="48">
        <f>IF(Учет!$O3214=Справочники!$F$3,Учет!$H3214,0)</f>
        <v>0</v>
      </c>
      <c r="S3214" s="48">
        <f>IF(Учет!$O3214=Справочники!$F$4,Учет!$H3214,0)</f>
        <v>0</v>
      </c>
      <c r="T3214" s="48">
        <f>IF(Учет!$O3214=Справочники!$F$5,Учет!$H3214,0)</f>
        <v>0</v>
      </c>
      <c r="U3214" s="48">
        <f>IF(Учет!$O3214=Справочники!$F$6,Учет!$H3214,0)</f>
        <v>0</v>
      </c>
      <c r="V3214" s="43">
        <f>V3213+Учет!Q3214-Q3214</f>
        <v>-488978.92000000004</v>
      </c>
      <c r="W3214" s="43">
        <f>W3213+Учет!R3214-R3214</f>
        <v>336855</v>
      </c>
      <c r="X3214" s="43">
        <f>X3213+Учет!S3214-S3214</f>
        <v>500</v>
      </c>
      <c r="Y3214" s="43">
        <f>Y3213+Учет!T3214-T3214</f>
        <v>1150</v>
      </c>
      <c r="Z3214" s="43">
        <f>Z3213+Учет!U3214-U3214</f>
        <v>500000</v>
      </c>
      <c r="AA3214" s="45">
        <f>Учет!X3214</f>
        <v>500</v>
      </c>
    </row>
    <row r="3215" spans="1:27" ht="15" customHeight="1" x14ac:dyDescent="0.25">
      <c r="A3215" s="1"/>
      <c r="B3215" s="17"/>
      <c r="C3215" s="17"/>
      <c r="D3215" s="17"/>
      <c r="E3215" s="17"/>
      <c r="F3215" s="17"/>
      <c r="G3215" s="4">
        <f t="shared" si="147"/>
        <v>0</v>
      </c>
      <c r="H3215" s="17"/>
      <c r="I3215" s="4">
        <f t="shared" si="149"/>
        <v>349526.07999999996</v>
      </c>
      <c r="J3215" s="32" t="str">
        <f t="shared" si="148"/>
        <v/>
      </c>
      <c r="K3215" s="72"/>
      <c r="L3215" s="72"/>
      <c r="M3215" s="2"/>
      <c r="N3215" s="5"/>
      <c r="O3215" s="3"/>
      <c r="P3215" s="6"/>
      <c r="Q3215" s="48">
        <f>IF(Учет!$O3215=Справочники!$F$2,Учет!$H3215,0)</f>
        <v>0</v>
      </c>
      <c r="R3215" s="48">
        <f>IF(Учет!$O3215=Справочники!$F$3,Учет!$H3215,0)</f>
        <v>0</v>
      </c>
      <c r="S3215" s="48">
        <f>IF(Учет!$O3215=Справочники!$F$4,Учет!$H3215,0)</f>
        <v>0</v>
      </c>
      <c r="T3215" s="48">
        <f>IF(Учет!$O3215=Справочники!$F$5,Учет!$H3215,0)</f>
        <v>0</v>
      </c>
      <c r="U3215" s="48">
        <f>IF(Учет!$O3215=Справочники!$F$6,Учет!$H3215,0)</f>
        <v>0</v>
      </c>
      <c r="V3215" s="43">
        <f>V3214+Учет!Q3215-Q3215</f>
        <v>-488978.92000000004</v>
      </c>
      <c r="W3215" s="43">
        <f>W3214+Учет!R3215-R3215</f>
        <v>336855</v>
      </c>
      <c r="X3215" s="43">
        <f>X3214+Учет!S3215-S3215</f>
        <v>500</v>
      </c>
      <c r="Y3215" s="43">
        <f>Y3214+Учет!T3215-T3215</f>
        <v>1150</v>
      </c>
      <c r="Z3215" s="43">
        <f>Z3214+Учет!U3215-U3215</f>
        <v>500000</v>
      </c>
      <c r="AA3215" s="45">
        <f>Учет!X3215</f>
        <v>500</v>
      </c>
    </row>
    <row r="3216" spans="1:27" ht="15" customHeight="1" x14ac:dyDescent="0.25">
      <c r="A3216" s="1"/>
      <c r="B3216" s="17"/>
      <c r="C3216" s="17"/>
      <c r="D3216" s="17"/>
      <c r="E3216" s="17"/>
      <c r="F3216" s="17"/>
      <c r="G3216" s="4">
        <f t="shared" si="147"/>
        <v>0</v>
      </c>
      <c r="H3216" s="17"/>
      <c r="I3216" s="4">
        <f t="shared" si="149"/>
        <v>349526.07999999996</v>
      </c>
      <c r="J3216" s="32" t="str">
        <f t="shared" si="148"/>
        <v/>
      </c>
      <c r="K3216" s="72"/>
      <c r="L3216" s="72"/>
      <c r="M3216" s="2"/>
      <c r="N3216" s="5"/>
      <c r="O3216" s="3"/>
      <c r="P3216" s="6"/>
      <c r="Q3216" s="48">
        <f>IF(Учет!$O3216=Справочники!$F$2,Учет!$H3216,0)</f>
        <v>0</v>
      </c>
      <c r="R3216" s="48">
        <f>IF(Учет!$O3216=Справочники!$F$3,Учет!$H3216,0)</f>
        <v>0</v>
      </c>
      <c r="S3216" s="48">
        <f>IF(Учет!$O3216=Справочники!$F$4,Учет!$H3216,0)</f>
        <v>0</v>
      </c>
      <c r="T3216" s="48">
        <f>IF(Учет!$O3216=Справочники!$F$5,Учет!$H3216,0)</f>
        <v>0</v>
      </c>
      <c r="U3216" s="48">
        <f>IF(Учет!$O3216=Справочники!$F$6,Учет!$H3216,0)</f>
        <v>0</v>
      </c>
      <c r="V3216" s="43">
        <f>V3215+Учет!Q3216-Q3216</f>
        <v>-488978.92000000004</v>
      </c>
      <c r="W3216" s="43">
        <f>W3215+Учет!R3216-R3216</f>
        <v>336855</v>
      </c>
      <c r="X3216" s="43">
        <f>X3215+Учет!S3216-S3216</f>
        <v>500</v>
      </c>
      <c r="Y3216" s="43">
        <f>Y3215+Учет!T3216-T3216</f>
        <v>1150</v>
      </c>
      <c r="Z3216" s="43">
        <f>Z3215+Учет!U3216-U3216</f>
        <v>500000</v>
      </c>
      <c r="AA3216" s="45">
        <f>Учет!X3216</f>
        <v>500</v>
      </c>
    </row>
    <row r="3217" spans="1:27" ht="15" customHeight="1" x14ac:dyDescent="0.25">
      <c r="A3217" s="1"/>
      <c r="B3217" s="17"/>
      <c r="C3217" s="17"/>
      <c r="D3217" s="17"/>
      <c r="E3217" s="17"/>
      <c r="F3217" s="17"/>
      <c r="G3217" s="4">
        <f t="shared" si="147"/>
        <v>0</v>
      </c>
      <c r="H3217" s="17"/>
      <c r="I3217" s="4">
        <f t="shared" si="149"/>
        <v>349526.07999999996</v>
      </c>
      <c r="J3217" s="32" t="str">
        <f t="shared" si="148"/>
        <v/>
      </c>
      <c r="K3217" s="72"/>
      <c r="L3217" s="72"/>
      <c r="M3217" s="2"/>
      <c r="N3217" s="5"/>
      <c r="O3217" s="3"/>
      <c r="P3217" s="6"/>
      <c r="Q3217" s="48">
        <f>IF(Учет!$O3217=Справочники!$F$2,Учет!$H3217,0)</f>
        <v>0</v>
      </c>
      <c r="R3217" s="48">
        <f>IF(Учет!$O3217=Справочники!$F$3,Учет!$H3217,0)</f>
        <v>0</v>
      </c>
      <c r="S3217" s="48">
        <f>IF(Учет!$O3217=Справочники!$F$4,Учет!$H3217,0)</f>
        <v>0</v>
      </c>
      <c r="T3217" s="48">
        <f>IF(Учет!$O3217=Справочники!$F$5,Учет!$H3217,0)</f>
        <v>0</v>
      </c>
      <c r="U3217" s="48">
        <f>IF(Учет!$O3217=Справочники!$F$6,Учет!$H3217,0)</f>
        <v>0</v>
      </c>
      <c r="V3217" s="43">
        <f>V3216+Учет!Q3217-Q3217</f>
        <v>-488978.92000000004</v>
      </c>
      <c r="W3217" s="43">
        <f>W3216+Учет!R3217-R3217</f>
        <v>336855</v>
      </c>
      <c r="X3217" s="43">
        <f>X3216+Учет!S3217-S3217</f>
        <v>500</v>
      </c>
      <c r="Y3217" s="43">
        <f>Y3216+Учет!T3217-T3217</f>
        <v>1150</v>
      </c>
      <c r="Z3217" s="43">
        <f>Z3216+Учет!U3217-U3217</f>
        <v>500000</v>
      </c>
      <c r="AA3217" s="45">
        <f>Учет!X3217</f>
        <v>500</v>
      </c>
    </row>
    <row r="3218" spans="1:27" ht="15" customHeight="1" x14ac:dyDescent="0.25">
      <c r="A3218" s="1"/>
      <c r="B3218" s="17"/>
      <c r="C3218" s="17"/>
      <c r="D3218" s="17"/>
      <c r="E3218" s="17"/>
      <c r="F3218" s="17"/>
      <c r="G3218" s="4">
        <f t="shared" si="147"/>
        <v>0</v>
      </c>
      <c r="H3218" s="17"/>
      <c r="I3218" s="4">
        <f t="shared" si="149"/>
        <v>349526.07999999996</v>
      </c>
      <c r="J3218" s="32" t="str">
        <f t="shared" si="148"/>
        <v/>
      </c>
      <c r="K3218" s="72"/>
      <c r="L3218" s="72"/>
      <c r="M3218" s="2"/>
      <c r="N3218" s="5"/>
      <c r="O3218" s="3"/>
      <c r="P3218" s="6"/>
      <c r="Q3218" s="48">
        <f>IF(Учет!$O3218=Справочники!$F$2,Учет!$H3218,0)</f>
        <v>0</v>
      </c>
      <c r="R3218" s="48">
        <f>IF(Учет!$O3218=Справочники!$F$3,Учет!$H3218,0)</f>
        <v>0</v>
      </c>
      <c r="S3218" s="48">
        <f>IF(Учет!$O3218=Справочники!$F$4,Учет!$H3218,0)</f>
        <v>0</v>
      </c>
      <c r="T3218" s="48">
        <f>IF(Учет!$O3218=Справочники!$F$5,Учет!$H3218,0)</f>
        <v>0</v>
      </c>
      <c r="U3218" s="48">
        <f>IF(Учет!$O3218=Справочники!$F$6,Учет!$H3218,0)</f>
        <v>0</v>
      </c>
      <c r="V3218" s="43">
        <f>V3217+Учет!Q3218-Q3218</f>
        <v>-488978.92000000004</v>
      </c>
      <c r="W3218" s="43">
        <f>W3217+Учет!R3218-R3218</f>
        <v>336855</v>
      </c>
      <c r="X3218" s="43">
        <f>X3217+Учет!S3218-S3218</f>
        <v>500</v>
      </c>
      <c r="Y3218" s="43">
        <f>Y3217+Учет!T3218-T3218</f>
        <v>1150</v>
      </c>
      <c r="Z3218" s="43">
        <f>Z3217+Учет!U3218-U3218</f>
        <v>500000</v>
      </c>
      <c r="AA3218" s="45">
        <f>Учет!X3218</f>
        <v>500</v>
      </c>
    </row>
    <row r="3219" spans="1:27" ht="15" customHeight="1" x14ac:dyDescent="0.25">
      <c r="A3219" s="1"/>
      <c r="B3219" s="17"/>
      <c r="C3219" s="17"/>
      <c r="D3219" s="17"/>
      <c r="E3219" s="17"/>
      <c r="F3219" s="17"/>
      <c r="G3219" s="4">
        <f t="shared" si="147"/>
        <v>0</v>
      </c>
      <c r="H3219" s="17"/>
      <c r="I3219" s="4">
        <f t="shared" si="149"/>
        <v>349526.07999999996</v>
      </c>
      <c r="J3219" s="32" t="str">
        <f t="shared" si="148"/>
        <v/>
      </c>
      <c r="K3219" s="72"/>
      <c r="L3219" s="72"/>
      <c r="M3219" s="2"/>
      <c r="N3219" s="5"/>
      <c r="O3219" s="3"/>
      <c r="P3219" s="6"/>
      <c r="Q3219" s="48">
        <f>IF(Учет!$O3219=Справочники!$F$2,Учет!$H3219,0)</f>
        <v>0</v>
      </c>
      <c r="R3219" s="48">
        <f>IF(Учет!$O3219=Справочники!$F$3,Учет!$H3219,0)</f>
        <v>0</v>
      </c>
      <c r="S3219" s="48">
        <f>IF(Учет!$O3219=Справочники!$F$4,Учет!$H3219,0)</f>
        <v>0</v>
      </c>
      <c r="T3219" s="48">
        <f>IF(Учет!$O3219=Справочники!$F$5,Учет!$H3219,0)</f>
        <v>0</v>
      </c>
      <c r="U3219" s="48">
        <f>IF(Учет!$O3219=Справочники!$F$6,Учет!$H3219,0)</f>
        <v>0</v>
      </c>
      <c r="V3219" s="43">
        <f>V3218+Учет!Q3219-Q3219</f>
        <v>-488978.92000000004</v>
      </c>
      <c r="W3219" s="43">
        <f>W3218+Учет!R3219-R3219</f>
        <v>336855</v>
      </c>
      <c r="X3219" s="43">
        <f>X3218+Учет!S3219-S3219</f>
        <v>500</v>
      </c>
      <c r="Y3219" s="43">
        <f>Y3218+Учет!T3219-T3219</f>
        <v>1150</v>
      </c>
      <c r="Z3219" s="43">
        <f>Z3218+Учет!U3219-U3219</f>
        <v>500000</v>
      </c>
      <c r="AA3219" s="45">
        <f>Учет!X3219</f>
        <v>500</v>
      </c>
    </row>
    <row r="3220" spans="1:27" ht="15" customHeight="1" x14ac:dyDescent="0.25">
      <c r="A3220" s="1"/>
      <c r="B3220" s="17"/>
      <c r="C3220" s="17"/>
      <c r="D3220" s="17"/>
      <c r="E3220" s="17"/>
      <c r="F3220" s="17"/>
      <c r="G3220" s="4">
        <f t="shared" si="147"/>
        <v>0</v>
      </c>
      <c r="H3220" s="17"/>
      <c r="I3220" s="4">
        <f t="shared" si="149"/>
        <v>349526.07999999996</v>
      </c>
      <c r="J3220" s="32" t="str">
        <f t="shared" si="148"/>
        <v/>
      </c>
      <c r="K3220" s="72"/>
      <c r="L3220" s="72"/>
      <c r="M3220" s="2"/>
      <c r="N3220" s="5"/>
      <c r="O3220" s="3"/>
      <c r="P3220" s="6"/>
      <c r="Q3220" s="48">
        <f>IF(Учет!$O3220=Справочники!$F$2,Учет!$H3220,0)</f>
        <v>0</v>
      </c>
      <c r="R3220" s="48">
        <f>IF(Учет!$O3220=Справочники!$F$3,Учет!$H3220,0)</f>
        <v>0</v>
      </c>
      <c r="S3220" s="48">
        <f>IF(Учет!$O3220=Справочники!$F$4,Учет!$H3220,0)</f>
        <v>0</v>
      </c>
      <c r="T3220" s="48">
        <f>IF(Учет!$O3220=Справочники!$F$5,Учет!$H3220,0)</f>
        <v>0</v>
      </c>
      <c r="U3220" s="48">
        <f>IF(Учет!$O3220=Справочники!$F$6,Учет!$H3220,0)</f>
        <v>0</v>
      </c>
      <c r="V3220" s="43">
        <f>V3219+Учет!Q3220-Q3220</f>
        <v>-488978.92000000004</v>
      </c>
      <c r="W3220" s="43">
        <f>W3219+Учет!R3220-R3220</f>
        <v>336855</v>
      </c>
      <c r="X3220" s="43">
        <f>X3219+Учет!S3220-S3220</f>
        <v>500</v>
      </c>
      <c r="Y3220" s="43">
        <f>Y3219+Учет!T3220-T3220</f>
        <v>1150</v>
      </c>
      <c r="Z3220" s="43">
        <f>Z3219+Учет!U3220-U3220</f>
        <v>500000</v>
      </c>
      <c r="AA3220" s="45">
        <f>Учет!X3220</f>
        <v>500</v>
      </c>
    </row>
    <row r="3221" spans="1:27" ht="15" customHeight="1" x14ac:dyDescent="0.25">
      <c r="A3221" s="1"/>
      <c r="B3221" s="17"/>
      <c r="C3221" s="17"/>
      <c r="D3221" s="17"/>
      <c r="E3221" s="17"/>
      <c r="F3221" s="17"/>
      <c r="G3221" s="4">
        <f t="shared" si="147"/>
        <v>0</v>
      </c>
      <c r="H3221" s="17"/>
      <c r="I3221" s="4">
        <f t="shared" si="149"/>
        <v>349526.07999999996</v>
      </c>
      <c r="J3221" s="32" t="str">
        <f t="shared" si="148"/>
        <v/>
      </c>
      <c r="K3221" s="72"/>
      <c r="L3221" s="72"/>
      <c r="M3221" s="2"/>
      <c r="N3221" s="5"/>
      <c r="O3221" s="3"/>
      <c r="P3221" s="6"/>
      <c r="Q3221" s="48">
        <f>IF(Учет!$O3221=Справочники!$F$2,Учет!$H3221,0)</f>
        <v>0</v>
      </c>
      <c r="R3221" s="48">
        <f>IF(Учет!$O3221=Справочники!$F$3,Учет!$H3221,0)</f>
        <v>0</v>
      </c>
      <c r="S3221" s="48">
        <f>IF(Учет!$O3221=Справочники!$F$4,Учет!$H3221,0)</f>
        <v>0</v>
      </c>
      <c r="T3221" s="48">
        <f>IF(Учет!$O3221=Справочники!$F$5,Учет!$H3221,0)</f>
        <v>0</v>
      </c>
      <c r="U3221" s="48">
        <f>IF(Учет!$O3221=Справочники!$F$6,Учет!$H3221,0)</f>
        <v>0</v>
      </c>
      <c r="V3221" s="43">
        <f>V3220+Учет!Q3221-Q3221</f>
        <v>-488978.92000000004</v>
      </c>
      <c r="W3221" s="43">
        <f>W3220+Учет!R3221-R3221</f>
        <v>336855</v>
      </c>
      <c r="X3221" s="43">
        <f>X3220+Учет!S3221-S3221</f>
        <v>500</v>
      </c>
      <c r="Y3221" s="43">
        <f>Y3220+Учет!T3221-T3221</f>
        <v>1150</v>
      </c>
      <c r="Z3221" s="43">
        <f>Z3220+Учет!U3221-U3221</f>
        <v>500000</v>
      </c>
      <c r="AA3221" s="45">
        <f>Учет!X3221</f>
        <v>500</v>
      </c>
    </row>
    <row r="3222" spans="1:27" ht="15" customHeight="1" x14ac:dyDescent="0.25">
      <c r="A3222" s="1"/>
      <c r="B3222" s="17"/>
      <c r="C3222" s="17"/>
      <c r="D3222" s="17"/>
      <c r="E3222" s="17"/>
      <c r="F3222" s="17"/>
      <c r="G3222" s="4">
        <f t="shared" si="147"/>
        <v>0</v>
      </c>
      <c r="H3222" s="17"/>
      <c r="I3222" s="4">
        <f t="shared" si="149"/>
        <v>349526.07999999996</v>
      </c>
      <c r="J3222" s="32" t="str">
        <f t="shared" si="148"/>
        <v/>
      </c>
      <c r="K3222" s="72"/>
      <c r="L3222" s="72"/>
      <c r="M3222" s="2"/>
      <c r="N3222" s="5"/>
      <c r="O3222" s="3"/>
      <c r="P3222" s="6"/>
      <c r="Q3222" s="48">
        <f>IF(Учет!$O3222=Справочники!$F$2,Учет!$H3222,0)</f>
        <v>0</v>
      </c>
      <c r="R3222" s="48">
        <f>IF(Учет!$O3222=Справочники!$F$3,Учет!$H3222,0)</f>
        <v>0</v>
      </c>
      <c r="S3222" s="48">
        <f>IF(Учет!$O3222=Справочники!$F$4,Учет!$H3222,0)</f>
        <v>0</v>
      </c>
      <c r="T3222" s="48">
        <f>IF(Учет!$O3222=Справочники!$F$5,Учет!$H3222,0)</f>
        <v>0</v>
      </c>
      <c r="U3222" s="48">
        <f>IF(Учет!$O3222=Справочники!$F$6,Учет!$H3222,0)</f>
        <v>0</v>
      </c>
      <c r="V3222" s="43">
        <f>V3221+Учет!Q3222-Q3222</f>
        <v>-488978.92000000004</v>
      </c>
      <c r="W3222" s="43">
        <f>W3221+Учет!R3222-R3222</f>
        <v>336855</v>
      </c>
      <c r="X3222" s="43">
        <f>X3221+Учет!S3222-S3222</f>
        <v>500</v>
      </c>
      <c r="Y3222" s="43">
        <f>Y3221+Учет!T3222-T3222</f>
        <v>1150</v>
      </c>
      <c r="Z3222" s="43">
        <f>Z3221+Учет!U3222-U3222</f>
        <v>500000</v>
      </c>
      <c r="AA3222" s="45">
        <f>Учет!X3222</f>
        <v>500</v>
      </c>
    </row>
    <row r="3223" spans="1:27" ht="15" customHeight="1" x14ac:dyDescent="0.25">
      <c r="A3223" s="1"/>
      <c r="B3223" s="17"/>
      <c r="C3223" s="17"/>
      <c r="D3223" s="17"/>
      <c r="E3223" s="17"/>
      <c r="F3223" s="17"/>
      <c r="G3223" s="4">
        <f t="shared" si="147"/>
        <v>0</v>
      </c>
      <c r="H3223" s="17"/>
      <c r="I3223" s="4">
        <f t="shared" si="149"/>
        <v>349526.07999999996</v>
      </c>
      <c r="J3223" s="32" t="str">
        <f t="shared" si="148"/>
        <v/>
      </c>
      <c r="K3223" s="72"/>
      <c r="L3223" s="72"/>
      <c r="M3223" s="2"/>
      <c r="N3223" s="5"/>
      <c r="O3223" s="3"/>
      <c r="P3223" s="6"/>
      <c r="Q3223" s="48">
        <f>IF(Учет!$O3223=Справочники!$F$2,Учет!$H3223,0)</f>
        <v>0</v>
      </c>
      <c r="R3223" s="48">
        <f>IF(Учет!$O3223=Справочники!$F$3,Учет!$H3223,0)</f>
        <v>0</v>
      </c>
      <c r="S3223" s="48">
        <f>IF(Учет!$O3223=Справочники!$F$4,Учет!$H3223,0)</f>
        <v>0</v>
      </c>
      <c r="T3223" s="48">
        <f>IF(Учет!$O3223=Справочники!$F$5,Учет!$H3223,0)</f>
        <v>0</v>
      </c>
      <c r="U3223" s="48">
        <f>IF(Учет!$O3223=Справочники!$F$6,Учет!$H3223,0)</f>
        <v>0</v>
      </c>
      <c r="V3223" s="43">
        <f>V3222+Учет!Q3223-Q3223</f>
        <v>-488978.92000000004</v>
      </c>
      <c r="W3223" s="43">
        <f>W3222+Учет!R3223-R3223</f>
        <v>336855</v>
      </c>
      <c r="X3223" s="43">
        <f>X3222+Учет!S3223-S3223</f>
        <v>500</v>
      </c>
      <c r="Y3223" s="43">
        <f>Y3222+Учет!T3223-T3223</f>
        <v>1150</v>
      </c>
      <c r="Z3223" s="43">
        <f>Z3222+Учет!U3223-U3223</f>
        <v>500000</v>
      </c>
      <c r="AA3223" s="45">
        <f>Учет!X3223</f>
        <v>500</v>
      </c>
    </row>
    <row r="3224" spans="1:27" ht="15" customHeight="1" x14ac:dyDescent="0.25">
      <c r="A3224" s="1"/>
      <c r="B3224" s="17"/>
      <c r="C3224" s="17"/>
      <c r="D3224" s="17"/>
      <c r="E3224" s="17"/>
      <c r="F3224" s="17"/>
      <c r="G3224" s="4">
        <f t="shared" si="147"/>
        <v>0</v>
      </c>
      <c r="H3224" s="17"/>
      <c r="I3224" s="4">
        <f t="shared" si="149"/>
        <v>349526.07999999996</v>
      </c>
      <c r="J3224" s="32" t="str">
        <f t="shared" si="148"/>
        <v/>
      </c>
      <c r="K3224" s="72"/>
      <c r="L3224" s="72"/>
      <c r="M3224" s="2"/>
      <c r="N3224" s="5"/>
      <c r="O3224" s="3"/>
      <c r="P3224" s="6"/>
      <c r="Q3224" s="48">
        <f>IF(Учет!$O3224=Справочники!$F$2,Учет!$H3224,0)</f>
        <v>0</v>
      </c>
      <c r="R3224" s="48">
        <f>IF(Учет!$O3224=Справочники!$F$3,Учет!$H3224,0)</f>
        <v>0</v>
      </c>
      <c r="S3224" s="48">
        <f>IF(Учет!$O3224=Справочники!$F$4,Учет!$H3224,0)</f>
        <v>0</v>
      </c>
      <c r="T3224" s="48">
        <f>IF(Учет!$O3224=Справочники!$F$5,Учет!$H3224,0)</f>
        <v>0</v>
      </c>
      <c r="U3224" s="48">
        <f>IF(Учет!$O3224=Справочники!$F$6,Учет!$H3224,0)</f>
        <v>0</v>
      </c>
      <c r="V3224" s="43">
        <f>V3223+Учет!Q3224-Q3224</f>
        <v>-488978.92000000004</v>
      </c>
      <c r="W3224" s="43">
        <f>W3223+Учет!R3224-R3224</f>
        <v>336855</v>
      </c>
      <c r="X3224" s="43">
        <f>X3223+Учет!S3224-S3224</f>
        <v>500</v>
      </c>
      <c r="Y3224" s="43">
        <f>Y3223+Учет!T3224-T3224</f>
        <v>1150</v>
      </c>
      <c r="Z3224" s="43">
        <f>Z3223+Учет!U3224-U3224</f>
        <v>500000</v>
      </c>
      <c r="AA3224" s="45">
        <f>Учет!X3224</f>
        <v>500</v>
      </c>
    </row>
    <row r="3225" spans="1:27" ht="15" customHeight="1" x14ac:dyDescent="0.25">
      <c r="A3225" s="1"/>
      <c r="B3225" s="17"/>
      <c r="C3225" s="17"/>
      <c r="D3225" s="17"/>
      <c r="E3225" s="17"/>
      <c r="F3225" s="17"/>
      <c r="G3225" s="4">
        <f t="shared" si="147"/>
        <v>0</v>
      </c>
      <c r="H3225" s="17"/>
      <c r="I3225" s="4">
        <f t="shared" si="149"/>
        <v>349526.07999999996</v>
      </c>
      <c r="J3225" s="32" t="str">
        <f t="shared" si="148"/>
        <v/>
      </c>
      <c r="K3225" s="72"/>
      <c r="L3225" s="72"/>
      <c r="M3225" s="2"/>
      <c r="N3225" s="5"/>
      <c r="O3225" s="3"/>
      <c r="P3225" s="6"/>
      <c r="Q3225" s="48">
        <f>IF(Учет!$O3225=Справочники!$F$2,Учет!$H3225,0)</f>
        <v>0</v>
      </c>
      <c r="R3225" s="48">
        <f>IF(Учет!$O3225=Справочники!$F$3,Учет!$H3225,0)</f>
        <v>0</v>
      </c>
      <c r="S3225" s="48">
        <f>IF(Учет!$O3225=Справочники!$F$4,Учет!$H3225,0)</f>
        <v>0</v>
      </c>
      <c r="T3225" s="48">
        <f>IF(Учет!$O3225=Справочники!$F$5,Учет!$H3225,0)</f>
        <v>0</v>
      </c>
      <c r="U3225" s="48">
        <f>IF(Учет!$O3225=Справочники!$F$6,Учет!$H3225,0)</f>
        <v>0</v>
      </c>
      <c r="V3225" s="43">
        <f>V3224+Учет!Q3225-Q3225</f>
        <v>-488978.92000000004</v>
      </c>
      <c r="W3225" s="43">
        <f>W3224+Учет!R3225-R3225</f>
        <v>336855</v>
      </c>
      <c r="X3225" s="43">
        <f>X3224+Учет!S3225-S3225</f>
        <v>500</v>
      </c>
      <c r="Y3225" s="43">
        <f>Y3224+Учет!T3225-T3225</f>
        <v>1150</v>
      </c>
      <c r="Z3225" s="43">
        <f>Z3224+Учет!U3225-U3225</f>
        <v>500000</v>
      </c>
      <c r="AA3225" s="45">
        <f>Учет!X3225</f>
        <v>500</v>
      </c>
    </row>
    <row r="3226" spans="1:27" ht="15" customHeight="1" x14ac:dyDescent="0.25">
      <c r="A3226" s="1"/>
      <c r="B3226" s="17"/>
      <c r="C3226" s="17"/>
      <c r="D3226" s="17"/>
      <c r="E3226" s="17"/>
      <c r="F3226" s="17"/>
      <c r="G3226" s="4">
        <f t="shared" si="147"/>
        <v>0</v>
      </c>
      <c r="H3226" s="17"/>
      <c r="I3226" s="4">
        <f t="shared" si="149"/>
        <v>349526.07999999996</v>
      </c>
      <c r="J3226" s="32" t="str">
        <f t="shared" si="148"/>
        <v/>
      </c>
      <c r="K3226" s="72"/>
      <c r="L3226" s="72"/>
      <c r="M3226" s="2"/>
      <c r="N3226" s="5"/>
      <c r="O3226" s="3"/>
      <c r="P3226" s="6"/>
      <c r="Q3226" s="48">
        <f>IF(Учет!$O3226=Справочники!$F$2,Учет!$H3226,0)</f>
        <v>0</v>
      </c>
      <c r="R3226" s="48">
        <f>IF(Учет!$O3226=Справочники!$F$3,Учет!$H3226,0)</f>
        <v>0</v>
      </c>
      <c r="S3226" s="48">
        <f>IF(Учет!$O3226=Справочники!$F$4,Учет!$H3226,0)</f>
        <v>0</v>
      </c>
      <c r="T3226" s="48">
        <f>IF(Учет!$O3226=Справочники!$F$5,Учет!$H3226,0)</f>
        <v>0</v>
      </c>
      <c r="U3226" s="48">
        <f>IF(Учет!$O3226=Справочники!$F$6,Учет!$H3226,0)</f>
        <v>0</v>
      </c>
      <c r="V3226" s="43">
        <f>V3225+Учет!Q3226-Q3226</f>
        <v>-488978.92000000004</v>
      </c>
      <c r="W3226" s="43">
        <f>W3225+Учет!R3226-R3226</f>
        <v>336855</v>
      </c>
      <c r="X3226" s="43">
        <f>X3225+Учет!S3226-S3226</f>
        <v>500</v>
      </c>
      <c r="Y3226" s="43">
        <f>Y3225+Учет!T3226-T3226</f>
        <v>1150</v>
      </c>
      <c r="Z3226" s="43">
        <f>Z3225+Учет!U3226-U3226</f>
        <v>500000</v>
      </c>
      <c r="AA3226" s="45">
        <f>Учет!X3226</f>
        <v>500</v>
      </c>
    </row>
    <row r="3227" spans="1:27" ht="15" customHeight="1" x14ac:dyDescent="0.25">
      <c r="A3227" s="1"/>
      <c r="B3227" s="17"/>
      <c r="C3227" s="17"/>
      <c r="D3227" s="17"/>
      <c r="E3227" s="17"/>
      <c r="F3227" s="17"/>
      <c r="G3227" s="4">
        <f t="shared" si="147"/>
        <v>0</v>
      </c>
      <c r="H3227" s="17"/>
      <c r="I3227" s="4">
        <f t="shared" si="149"/>
        <v>349526.07999999996</v>
      </c>
      <c r="J3227" s="32" t="str">
        <f t="shared" si="148"/>
        <v/>
      </c>
      <c r="K3227" s="72"/>
      <c r="L3227" s="72"/>
      <c r="M3227" s="2"/>
      <c r="N3227" s="5"/>
      <c r="O3227" s="3"/>
      <c r="P3227" s="6"/>
      <c r="Q3227" s="48">
        <f>IF(Учет!$O3227=Справочники!$F$2,Учет!$H3227,0)</f>
        <v>0</v>
      </c>
      <c r="R3227" s="48">
        <f>IF(Учет!$O3227=Справочники!$F$3,Учет!$H3227,0)</f>
        <v>0</v>
      </c>
      <c r="S3227" s="48">
        <f>IF(Учет!$O3227=Справочники!$F$4,Учет!$H3227,0)</f>
        <v>0</v>
      </c>
      <c r="T3227" s="48">
        <f>IF(Учет!$O3227=Справочники!$F$5,Учет!$H3227,0)</f>
        <v>0</v>
      </c>
      <c r="U3227" s="48">
        <f>IF(Учет!$O3227=Справочники!$F$6,Учет!$H3227,0)</f>
        <v>0</v>
      </c>
      <c r="V3227" s="43">
        <f>V3226+Учет!Q3227-Q3227</f>
        <v>-488978.92000000004</v>
      </c>
      <c r="W3227" s="43">
        <f>W3226+Учет!R3227-R3227</f>
        <v>336855</v>
      </c>
      <c r="X3227" s="43">
        <f>X3226+Учет!S3227-S3227</f>
        <v>500</v>
      </c>
      <c r="Y3227" s="43">
        <f>Y3226+Учет!T3227-T3227</f>
        <v>1150</v>
      </c>
      <c r="Z3227" s="43">
        <f>Z3226+Учет!U3227-U3227</f>
        <v>500000</v>
      </c>
      <c r="AA3227" s="45">
        <f>Учет!X3227</f>
        <v>500</v>
      </c>
    </row>
    <row r="3228" spans="1:27" ht="15" customHeight="1" x14ac:dyDescent="0.25">
      <c r="A3228" s="1"/>
      <c r="B3228" s="17"/>
      <c r="C3228" s="17"/>
      <c r="D3228" s="17"/>
      <c r="E3228" s="17"/>
      <c r="F3228" s="17"/>
      <c r="G3228" s="4">
        <f t="shared" si="147"/>
        <v>0</v>
      </c>
      <c r="H3228" s="17"/>
      <c r="I3228" s="4">
        <f t="shared" si="149"/>
        <v>349526.07999999996</v>
      </c>
      <c r="J3228" s="32" t="str">
        <f t="shared" si="148"/>
        <v/>
      </c>
      <c r="K3228" s="72"/>
      <c r="L3228" s="72"/>
      <c r="M3228" s="2"/>
      <c r="N3228" s="5"/>
      <c r="O3228" s="3"/>
      <c r="P3228" s="6"/>
      <c r="Q3228" s="48">
        <f>IF(Учет!$O3228=Справочники!$F$2,Учет!$H3228,0)</f>
        <v>0</v>
      </c>
      <c r="R3228" s="48">
        <f>IF(Учет!$O3228=Справочники!$F$3,Учет!$H3228,0)</f>
        <v>0</v>
      </c>
      <c r="S3228" s="48">
        <f>IF(Учет!$O3228=Справочники!$F$4,Учет!$H3228,0)</f>
        <v>0</v>
      </c>
      <c r="T3228" s="48">
        <f>IF(Учет!$O3228=Справочники!$F$5,Учет!$H3228,0)</f>
        <v>0</v>
      </c>
      <c r="U3228" s="48">
        <f>IF(Учет!$O3228=Справочники!$F$6,Учет!$H3228,0)</f>
        <v>0</v>
      </c>
      <c r="V3228" s="43">
        <f>V3227+Учет!Q3228-Q3228</f>
        <v>-488978.92000000004</v>
      </c>
      <c r="W3228" s="43">
        <f>W3227+Учет!R3228-R3228</f>
        <v>336855</v>
      </c>
      <c r="X3228" s="43">
        <f>X3227+Учет!S3228-S3228</f>
        <v>500</v>
      </c>
      <c r="Y3228" s="43">
        <f>Y3227+Учет!T3228-T3228</f>
        <v>1150</v>
      </c>
      <c r="Z3228" s="43">
        <f>Z3227+Учет!U3228-U3228</f>
        <v>500000</v>
      </c>
      <c r="AA3228" s="45">
        <f>Учет!X3228</f>
        <v>500</v>
      </c>
    </row>
    <row r="3229" spans="1:27" ht="15" customHeight="1" x14ac:dyDescent="0.25">
      <c r="A3229" s="1"/>
      <c r="B3229" s="17"/>
      <c r="C3229" s="17"/>
      <c r="D3229" s="17"/>
      <c r="E3229" s="17"/>
      <c r="F3229" s="17"/>
      <c r="G3229" s="4">
        <f t="shared" si="147"/>
        <v>0</v>
      </c>
      <c r="H3229" s="17"/>
      <c r="I3229" s="4">
        <f t="shared" si="149"/>
        <v>349526.07999999996</v>
      </c>
      <c r="J3229" s="32" t="str">
        <f t="shared" si="148"/>
        <v/>
      </c>
      <c r="K3229" s="72"/>
      <c r="L3229" s="72"/>
      <c r="M3229" s="2"/>
      <c r="N3229" s="5"/>
      <c r="O3229" s="3"/>
      <c r="P3229" s="6"/>
      <c r="Q3229" s="48">
        <f>IF(Учет!$O3229=Справочники!$F$2,Учет!$H3229,0)</f>
        <v>0</v>
      </c>
      <c r="R3229" s="48">
        <f>IF(Учет!$O3229=Справочники!$F$3,Учет!$H3229,0)</f>
        <v>0</v>
      </c>
      <c r="S3229" s="48">
        <f>IF(Учет!$O3229=Справочники!$F$4,Учет!$H3229,0)</f>
        <v>0</v>
      </c>
      <c r="T3229" s="48">
        <f>IF(Учет!$O3229=Справочники!$F$5,Учет!$H3229,0)</f>
        <v>0</v>
      </c>
      <c r="U3229" s="48">
        <f>IF(Учет!$O3229=Справочники!$F$6,Учет!$H3229,0)</f>
        <v>0</v>
      </c>
      <c r="V3229" s="43">
        <f>V3228+Учет!Q3229-Q3229</f>
        <v>-488978.92000000004</v>
      </c>
      <c r="W3229" s="43">
        <f>W3228+Учет!R3229-R3229</f>
        <v>336855</v>
      </c>
      <c r="X3229" s="43">
        <f>X3228+Учет!S3229-S3229</f>
        <v>500</v>
      </c>
      <c r="Y3229" s="43">
        <f>Y3228+Учет!T3229-T3229</f>
        <v>1150</v>
      </c>
      <c r="Z3229" s="43">
        <f>Z3228+Учет!U3229-U3229</f>
        <v>500000</v>
      </c>
      <c r="AA3229" s="45">
        <f>Учет!X3229</f>
        <v>500</v>
      </c>
    </row>
    <row r="3230" spans="1:27" ht="15" customHeight="1" x14ac:dyDescent="0.25">
      <c r="A3230" s="1"/>
      <c r="B3230" s="17"/>
      <c r="C3230" s="17"/>
      <c r="D3230" s="17"/>
      <c r="E3230" s="17"/>
      <c r="F3230" s="17"/>
      <c r="G3230" s="4">
        <f t="shared" si="147"/>
        <v>0</v>
      </c>
      <c r="H3230" s="17"/>
      <c r="I3230" s="4">
        <f t="shared" si="149"/>
        <v>349526.07999999996</v>
      </c>
      <c r="J3230" s="32" t="str">
        <f t="shared" si="148"/>
        <v/>
      </c>
      <c r="K3230" s="72"/>
      <c r="L3230" s="72"/>
      <c r="M3230" s="2"/>
      <c r="N3230" s="5"/>
      <c r="O3230" s="3"/>
      <c r="P3230" s="6"/>
      <c r="Q3230" s="48">
        <f>IF(Учет!$O3230=Справочники!$F$2,Учет!$H3230,0)</f>
        <v>0</v>
      </c>
      <c r="R3230" s="48">
        <f>IF(Учет!$O3230=Справочники!$F$3,Учет!$H3230,0)</f>
        <v>0</v>
      </c>
      <c r="S3230" s="48">
        <f>IF(Учет!$O3230=Справочники!$F$4,Учет!$H3230,0)</f>
        <v>0</v>
      </c>
      <c r="T3230" s="48">
        <f>IF(Учет!$O3230=Справочники!$F$5,Учет!$H3230,0)</f>
        <v>0</v>
      </c>
      <c r="U3230" s="48">
        <f>IF(Учет!$O3230=Справочники!$F$6,Учет!$H3230,0)</f>
        <v>0</v>
      </c>
      <c r="V3230" s="43">
        <f>V3229+Учет!Q3230-Q3230</f>
        <v>-488978.92000000004</v>
      </c>
      <c r="W3230" s="43">
        <f>W3229+Учет!R3230-R3230</f>
        <v>336855</v>
      </c>
      <c r="X3230" s="43">
        <f>X3229+Учет!S3230-S3230</f>
        <v>500</v>
      </c>
      <c r="Y3230" s="43">
        <f>Y3229+Учет!T3230-T3230</f>
        <v>1150</v>
      </c>
      <c r="Z3230" s="43">
        <f>Z3229+Учет!U3230-U3230</f>
        <v>500000</v>
      </c>
      <c r="AA3230" s="45">
        <f>Учет!X3230</f>
        <v>500</v>
      </c>
    </row>
    <row r="3231" spans="1:27" ht="15" customHeight="1" x14ac:dyDescent="0.25">
      <c r="A3231" s="1"/>
      <c r="B3231" s="17"/>
      <c r="C3231" s="17"/>
      <c r="D3231" s="17"/>
      <c r="E3231" s="17"/>
      <c r="F3231" s="17"/>
      <c r="G3231" s="4">
        <f t="shared" si="147"/>
        <v>0</v>
      </c>
      <c r="H3231" s="17"/>
      <c r="I3231" s="4">
        <f t="shared" si="149"/>
        <v>349526.07999999996</v>
      </c>
      <c r="J3231" s="32" t="str">
        <f t="shared" si="148"/>
        <v/>
      </c>
      <c r="K3231" s="72"/>
      <c r="L3231" s="72"/>
      <c r="M3231" s="2"/>
      <c r="N3231" s="5"/>
      <c r="O3231" s="3"/>
      <c r="P3231" s="6"/>
      <c r="Q3231" s="48">
        <f>IF(Учет!$O3231=Справочники!$F$2,Учет!$H3231,0)</f>
        <v>0</v>
      </c>
      <c r="R3231" s="48">
        <f>IF(Учет!$O3231=Справочники!$F$3,Учет!$H3231,0)</f>
        <v>0</v>
      </c>
      <c r="S3231" s="48">
        <f>IF(Учет!$O3231=Справочники!$F$4,Учет!$H3231,0)</f>
        <v>0</v>
      </c>
      <c r="T3231" s="48">
        <f>IF(Учет!$O3231=Справочники!$F$5,Учет!$H3231,0)</f>
        <v>0</v>
      </c>
      <c r="U3231" s="48">
        <f>IF(Учет!$O3231=Справочники!$F$6,Учет!$H3231,0)</f>
        <v>0</v>
      </c>
      <c r="V3231" s="43">
        <f>V3230+Учет!Q3231-Q3231</f>
        <v>-488978.92000000004</v>
      </c>
      <c r="W3231" s="43">
        <f>W3230+Учет!R3231-R3231</f>
        <v>336855</v>
      </c>
      <c r="X3231" s="43">
        <f>X3230+Учет!S3231-S3231</f>
        <v>500</v>
      </c>
      <c r="Y3231" s="43">
        <f>Y3230+Учет!T3231-T3231</f>
        <v>1150</v>
      </c>
      <c r="Z3231" s="43">
        <f>Z3230+Учет!U3231-U3231</f>
        <v>500000</v>
      </c>
      <c r="AA3231" s="45">
        <f>Учет!X3231</f>
        <v>500</v>
      </c>
    </row>
    <row r="3232" spans="1:27" ht="15" customHeight="1" x14ac:dyDescent="0.25">
      <c r="A3232" s="1"/>
      <c r="B3232" s="17"/>
      <c r="C3232" s="17"/>
      <c r="D3232" s="17"/>
      <c r="E3232" s="17"/>
      <c r="F3232" s="17"/>
      <c r="G3232" s="4">
        <f t="shared" si="147"/>
        <v>0</v>
      </c>
      <c r="H3232" s="17"/>
      <c r="I3232" s="4">
        <f t="shared" si="149"/>
        <v>349526.07999999996</v>
      </c>
      <c r="J3232" s="32" t="str">
        <f t="shared" si="148"/>
        <v/>
      </c>
      <c r="K3232" s="72"/>
      <c r="L3232" s="72"/>
      <c r="M3232" s="2"/>
      <c r="N3232" s="5"/>
      <c r="O3232" s="3"/>
      <c r="P3232" s="6"/>
      <c r="Q3232" s="48">
        <f>IF(Учет!$O3232=Справочники!$F$2,Учет!$H3232,0)</f>
        <v>0</v>
      </c>
      <c r="R3232" s="48">
        <f>IF(Учет!$O3232=Справочники!$F$3,Учет!$H3232,0)</f>
        <v>0</v>
      </c>
      <c r="S3232" s="48">
        <f>IF(Учет!$O3232=Справочники!$F$4,Учет!$H3232,0)</f>
        <v>0</v>
      </c>
      <c r="T3232" s="48">
        <f>IF(Учет!$O3232=Справочники!$F$5,Учет!$H3232,0)</f>
        <v>0</v>
      </c>
      <c r="U3232" s="48">
        <f>IF(Учет!$O3232=Справочники!$F$6,Учет!$H3232,0)</f>
        <v>0</v>
      </c>
      <c r="V3232" s="43">
        <f>V3231+Учет!Q3232-Q3232</f>
        <v>-488978.92000000004</v>
      </c>
      <c r="W3232" s="43">
        <f>W3231+Учет!R3232-R3232</f>
        <v>336855</v>
      </c>
      <c r="X3232" s="43">
        <f>X3231+Учет!S3232-S3232</f>
        <v>500</v>
      </c>
      <c r="Y3232" s="43">
        <f>Y3231+Учет!T3232-T3232</f>
        <v>1150</v>
      </c>
      <c r="Z3232" s="43">
        <f>Z3231+Учет!U3232-U3232</f>
        <v>500000</v>
      </c>
      <c r="AA3232" s="45">
        <f>Учет!X3232</f>
        <v>500</v>
      </c>
    </row>
    <row r="3233" spans="1:27" ht="15" customHeight="1" x14ac:dyDescent="0.25">
      <c r="A3233" s="1"/>
      <c r="B3233" s="17"/>
      <c r="C3233" s="17"/>
      <c r="D3233" s="17"/>
      <c r="E3233" s="17"/>
      <c r="F3233" s="17"/>
      <c r="G3233" s="4">
        <f t="shared" si="147"/>
        <v>0</v>
      </c>
      <c r="H3233" s="17"/>
      <c r="I3233" s="4">
        <f t="shared" si="149"/>
        <v>349526.07999999996</v>
      </c>
      <c r="J3233" s="32" t="str">
        <f t="shared" si="148"/>
        <v/>
      </c>
      <c r="K3233" s="72"/>
      <c r="L3233" s="72"/>
      <c r="M3233" s="2"/>
      <c r="N3233" s="5"/>
      <c r="O3233" s="3"/>
      <c r="P3233" s="6"/>
      <c r="Q3233" s="48">
        <f>IF(Учет!$O3233=Справочники!$F$2,Учет!$H3233,0)</f>
        <v>0</v>
      </c>
      <c r="R3233" s="48">
        <f>IF(Учет!$O3233=Справочники!$F$3,Учет!$H3233,0)</f>
        <v>0</v>
      </c>
      <c r="S3233" s="48">
        <f>IF(Учет!$O3233=Справочники!$F$4,Учет!$H3233,0)</f>
        <v>0</v>
      </c>
      <c r="T3233" s="48">
        <f>IF(Учет!$O3233=Справочники!$F$5,Учет!$H3233,0)</f>
        <v>0</v>
      </c>
      <c r="U3233" s="48">
        <f>IF(Учет!$O3233=Справочники!$F$6,Учет!$H3233,0)</f>
        <v>0</v>
      </c>
      <c r="V3233" s="43">
        <f>V3232+Учет!Q3233-Q3233</f>
        <v>-488978.92000000004</v>
      </c>
      <c r="W3233" s="43">
        <f>W3232+Учет!R3233-R3233</f>
        <v>336855</v>
      </c>
      <c r="X3233" s="43">
        <f>X3232+Учет!S3233-S3233</f>
        <v>500</v>
      </c>
      <c r="Y3233" s="43">
        <f>Y3232+Учет!T3233-T3233</f>
        <v>1150</v>
      </c>
      <c r="Z3233" s="43">
        <f>Z3232+Учет!U3233-U3233</f>
        <v>500000</v>
      </c>
      <c r="AA3233" s="45">
        <f>Учет!X3233</f>
        <v>500</v>
      </c>
    </row>
    <row r="3234" spans="1:27" ht="15" customHeight="1" x14ac:dyDescent="0.25">
      <c r="A3234" s="1"/>
      <c r="B3234" s="17"/>
      <c r="C3234" s="17"/>
      <c r="D3234" s="17"/>
      <c r="E3234" s="17"/>
      <c r="F3234" s="17"/>
      <c r="G3234" s="4">
        <f t="shared" si="147"/>
        <v>0</v>
      </c>
      <c r="H3234" s="17"/>
      <c r="I3234" s="4">
        <f t="shared" si="149"/>
        <v>349526.07999999996</v>
      </c>
      <c r="J3234" s="32" t="str">
        <f t="shared" si="148"/>
        <v/>
      </c>
      <c r="K3234" s="72"/>
      <c r="L3234" s="72"/>
      <c r="M3234" s="2"/>
      <c r="N3234" s="5"/>
      <c r="O3234" s="3"/>
      <c r="P3234" s="6"/>
      <c r="Q3234" s="48">
        <f>IF(Учет!$O3234=Справочники!$F$2,Учет!$H3234,0)</f>
        <v>0</v>
      </c>
      <c r="R3234" s="48">
        <f>IF(Учет!$O3234=Справочники!$F$3,Учет!$H3234,0)</f>
        <v>0</v>
      </c>
      <c r="S3234" s="48">
        <f>IF(Учет!$O3234=Справочники!$F$4,Учет!$H3234,0)</f>
        <v>0</v>
      </c>
      <c r="T3234" s="48">
        <f>IF(Учет!$O3234=Справочники!$F$5,Учет!$H3234,0)</f>
        <v>0</v>
      </c>
      <c r="U3234" s="48">
        <f>IF(Учет!$O3234=Справочники!$F$6,Учет!$H3234,0)</f>
        <v>0</v>
      </c>
      <c r="V3234" s="43">
        <f>V3233+Учет!Q3234-Q3234</f>
        <v>-488978.92000000004</v>
      </c>
      <c r="W3234" s="43">
        <f>W3233+Учет!R3234-R3234</f>
        <v>336855</v>
      </c>
      <c r="X3234" s="43">
        <f>X3233+Учет!S3234-S3234</f>
        <v>500</v>
      </c>
      <c r="Y3234" s="43">
        <f>Y3233+Учет!T3234-T3234</f>
        <v>1150</v>
      </c>
      <c r="Z3234" s="43">
        <f>Z3233+Учет!U3234-U3234</f>
        <v>500000</v>
      </c>
      <c r="AA3234" s="45">
        <f>Учет!X3234</f>
        <v>500</v>
      </c>
    </row>
    <row r="3235" spans="1:27" ht="15" customHeight="1" x14ac:dyDescent="0.25">
      <c r="A3235" s="1"/>
      <c r="B3235" s="17"/>
      <c r="C3235" s="17"/>
      <c r="D3235" s="17"/>
      <c r="E3235" s="17"/>
      <c r="F3235" s="17"/>
      <c r="G3235" s="4">
        <f t="shared" si="147"/>
        <v>0</v>
      </c>
      <c r="H3235" s="17"/>
      <c r="I3235" s="4">
        <f t="shared" si="149"/>
        <v>349526.07999999996</v>
      </c>
      <c r="J3235" s="32" t="str">
        <f t="shared" si="148"/>
        <v/>
      </c>
      <c r="K3235" s="72"/>
      <c r="L3235" s="72"/>
      <c r="M3235" s="2"/>
      <c r="N3235" s="5"/>
      <c r="O3235" s="3"/>
      <c r="P3235" s="6"/>
      <c r="Q3235" s="48">
        <f>IF(Учет!$O3235=Справочники!$F$2,Учет!$H3235,0)</f>
        <v>0</v>
      </c>
      <c r="R3235" s="48">
        <f>IF(Учет!$O3235=Справочники!$F$3,Учет!$H3235,0)</f>
        <v>0</v>
      </c>
      <c r="S3235" s="48">
        <f>IF(Учет!$O3235=Справочники!$F$4,Учет!$H3235,0)</f>
        <v>0</v>
      </c>
      <c r="T3235" s="48">
        <f>IF(Учет!$O3235=Справочники!$F$5,Учет!$H3235,0)</f>
        <v>0</v>
      </c>
      <c r="U3235" s="48">
        <f>IF(Учет!$O3235=Справочники!$F$6,Учет!$H3235,0)</f>
        <v>0</v>
      </c>
      <c r="V3235" s="43">
        <f>V3234+Учет!Q3235-Q3235</f>
        <v>-488978.92000000004</v>
      </c>
      <c r="W3235" s="43">
        <f>W3234+Учет!R3235-R3235</f>
        <v>336855</v>
      </c>
      <c r="X3235" s="43">
        <f>X3234+Учет!S3235-S3235</f>
        <v>500</v>
      </c>
      <c r="Y3235" s="43">
        <f>Y3234+Учет!T3235-T3235</f>
        <v>1150</v>
      </c>
      <c r="Z3235" s="43">
        <f>Z3234+Учет!U3235-U3235</f>
        <v>500000</v>
      </c>
      <c r="AA3235" s="45">
        <f>Учет!X3235</f>
        <v>500</v>
      </c>
    </row>
    <row r="3236" spans="1:27" ht="15" customHeight="1" x14ac:dyDescent="0.25">
      <c r="A3236" s="1"/>
      <c r="B3236" s="17"/>
      <c r="C3236" s="17"/>
      <c r="D3236" s="17"/>
      <c r="E3236" s="17"/>
      <c r="F3236" s="17"/>
      <c r="G3236" s="4">
        <f t="shared" si="147"/>
        <v>0</v>
      </c>
      <c r="H3236" s="17"/>
      <c r="I3236" s="4">
        <f t="shared" si="149"/>
        <v>349526.07999999996</v>
      </c>
      <c r="J3236" s="32" t="str">
        <f t="shared" si="148"/>
        <v/>
      </c>
      <c r="K3236" s="72"/>
      <c r="L3236" s="72"/>
      <c r="M3236" s="2"/>
      <c r="N3236" s="5"/>
      <c r="O3236" s="3"/>
      <c r="P3236" s="6"/>
      <c r="Q3236" s="48">
        <f>IF(Учет!$O3236=Справочники!$F$2,Учет!$H3236,0)</f>
        <v>0</v>
      </c>
      <c r="R3236" s="48">
        <f>IF(Учет!$O3236=Справочники!$F$3,Учет!$H3236,0)</f>
        <v>0</v>
      </c>
      <c r="S3236" s="48">
        <f>IF(Учет!$O3236=Справочники!$F$4,Учет!$H3236,0)</f>
        <v>0</v>
      </c>
      <c r="T3236" s="48">
        <f>IF(Учет!$O3236=Справочники!$F$5,Учет!$H3236,0)</f>
        <v>0</v>
      </c>
      <c r="U3236" s="48">
        <f>IF(Учет!$O3236=Справочники!$F$6,Учет!$H3236,0)</f>
        <v>0</v>
      </c>
      <c r="V3236" s="43">
        <f>V3235+Учет!Q3236-Q3236</f>
        <v>-488978.92000000004</v>
      </c>
      <c r="W3236" s="43">
        <f>W3235+Учет!R3236-R3236</f>
        <v>336855</v>
      </c>
      <c r="X3236" s="43">
        <f>X3235+Учет!S3236-S3236</f>
        <v>500</v>
      </c>
      <c r="Y3236" s="43">
        <f>Y3235+Учет!T3236-T3236</f>
        <v>1150</v>
      </c>
      <c r="Z3236" s="43">
        <f>Z3235+Учет!U3236-U3236</f>
        <v>500000</v>
      </c>
      <c r="AA3236" s="45">
        <f>Учет!X3236</f>
        <v>500</v>
      </c>
    </row>
    <row r="3237" spans="1:27" ht="15" customHeight="1" x14ac:dyDescent="0.25">
      <c r="A3237" s="1"/>
      <c r="B3237" s="17"/>
      <c r="C3237" s="17"/>
      <c r="D3237" s="17"/>
      <c r="E3237" s="17"/>
      <c r="F3237" s="17"/>
      <c r="G3237" s="4">
        <f t="shared" si="147"/>
        <v>0</v>
      </c>
      <c r="H3237" s="17"/>
      <c r="I3237" s="4">
        <f t="shared" si="149"/>
        <v>349526.07999999996</v>
      </c>
      <c r="J3237" s="32" t="str">
        <f t="shared" si="148"/>
        <v/>
      </c>
      <c r="K3237" s="72"/>
      <c r="L3237" s="72"/>
      <c r="M3237" s="2"/>
      <c r="N3237" s="5"/>
      <c r="O3237" s="3"/>
      <c r="P3237" s="6"/>
      <c r="Q3237" s="48">
        <f>IF(Учет!$O3237=Справочники!$F$2,Учет!$H3237,0)</f>
        <v>0</v>
      </c>
      <c r="R3237" s="48">
        <f>IF(Учет!$O3237=Справочники!$F$3,Учет!$H3237,0)</f>
        <v>0</v>
      </c>
      <c r="S3237" s="48">
        <f>IF(Учет!$O3237=Справочники!$F$4,Учет!$H3237,0)</f>
        <v>0</v>
      </c>
      <c r="T3237" s="48">
        <f>IF(Учет!$O3237=Справочники!$F$5,Учет!$H3237,0)</f>
        <v>0</v>
      </c>
      <c r="U3237" s="48">
        <f>IF(Учет!$O3237=Справочники!$F$6,Учет!$H3237,0)</f>
        <v>0</v>
      </c>
      <c r="V3237" s="43">
        <f>V3236+Учет!Q3237-Q3237</f>
        <v>-488978.92000000004</v>
      </c>
      <c r="W3237" s="43">
        <f>W3236+Учет!R3237-R3237</f>
        <v>336855</v>
      </c>
      <c r="X3237" s="43">
        <f>X3236+Учет!S3237-S3237</f>
        <v>500</v>
      </c>
      <c r="Y3237" s="43">
        <f>Y3236+Учет!T3237-T3237</f>
        <v>1150</v>
      </c>
      <c r="Z3237" s="43">
        <f>Z3236+Учет!U3237-U3237</f>
        <v>500000</v>
      </c>
      <c r="AA3237" s="45">
        <f>Учет!X3237</f>
        <v>500</v>
      </c>
    </row>
    <row r="3238" spans="1:27" ht="15" customHeight="1" x14ac:dyDescent="0.25">
      <c r="A3238" s="1"/>
      <c r="B3238" s="17"/>
      <c r="C3238" s="17"/>
      <c r="D3238" s="17"/>
      <c r="E3238" s="17"/>
      <c r="F3238" s="17"/>
      <c r="G3238" s="4">
        <f t="shared" si="147"/>
        <v>0</v>
      </c>
      <c r="H3238" s="17"/>
      <c r="I3238" s="4">
        <f t="shared" si="149"/>
        <v>349526.07999999996</v>
      </c>
      <c r="J3238" s="32" t="str">
        <f t="shared" si="148"/>
        <v/>
      </c>
      <c r="K3238" s="72"/>
      <c r="L3238" s="72"/>
      <c r="M3238" s="2"/>
      <c r="N3238" s="5"/>
      <c r="O3238" s="3"/>
      <c r="P3238" s="6"/>
      <c r="Q3238" s="48">
        <f>IF(Учет!$O3238=Справочники!$F$2,Учет!$H3238,0)</f>
        <v>0</v>
      </c>
      <c r="R3238" s="48">
        <f>IF(Учет!$O3238=Справочники!$F$3,Учет!$H3238,0)</f>
        <v>0</v>
      </c>
      <c r="S3238" s="48">
        <f>IF(Учет!$O3238=Справочники!$F$4,Учет!$H3238,0)</f>
        <v>0</v>
      </c>
      <c r="T3238" s="48">
        <f>IF(Учет!$O3238=Справочники!$F$5,Учет!$H3238,0)</f>
        <v>0</v>
      </c>
      <c r="U3238" s="48">
        <f>IF(Учет!$O3238=Справочники!$F$6,Учет!$H3238,0)</f>
        <v>0</v>
      </c>
      <c r="V3238" s="43">
        <f>V3237+Учет!Q3238-Q3238</f>
        <v>-488978.92000000004</v>
      </c>
      <c r="W3238" s="43">
        <f>W3237+Учет!R3238-R3238</f>
        <v>336855</v>
      </c>
      <c r="X3238" s="43">
        <f>X3237+Учет!S3238-S3238</f>
        <v>500</v>
      </c>
      <c r="Y3238" s="43">
        <f>Y3237+Учет!T3238-T3238</f>
        <v>1150</v>
      </c>
      <c r="Z3238" s="43">
        <f>Z3237+Учет!U3238-U3238</f>
        <v>500000</v>
      </c>
      <c r="AA3238" s="45">
        <f>Учет!X3238</f>
        <v>500</v>
      </c>
    </row>
    <row r="3239" spans="1:27" ht="15" customHeight="1" x14ac:dyDescent="0.25">
      <c r="A3239" s="1"/>
      <c r="B3239" s="17"/>
      <c r="C3239" s="17"/>
      <c r="D3239" s="17"/>
      <c r="E3239" s="17"/>
      <c r="F3239" s="17"/>
      <c r="G3239" s="4">
        <f t="shared" si="147"/>
        <v>0</v>
      </c>
      <c r="H3239" s="17"/>
      <c r="I3239" s="4">
        <f t="shared" si="149"/>
        <v>349526.07999999996</v>
      </c>
      <c r="J3239" s="32" t="str">
        <f t="shared" si="148"/>
        <v/>
      </c>
      <c r="K3239" s="72"/>
      <c r="L3239" s="72"/>
      <c r="M3239" s="2"/>
      <c r="N3239" s="5"/>
      <c r="O3239" s="3"/>
      <c r="P3239" s="6"/>
      <c r="Q3239" s="48">
        <f>IF(Учет!$O3239=Справочники!$F$2,Учет!$H3239,0)</f>
        <v>0</v>
      </c>
      <c r="R3239" s="48">
        <f>IF(Учет!$O3239=Справочники!$F$3,Учет!$H3239,0)</f>
        <v>0</v>
      </c>
      <c r="S3239" s="48">
        <f>IF(Учет!$O3239=Справочники!$F$4,Учет!$H3239,0)</f>
        <v>0</v>
      </c>
      <c r="T3239" s="48">
        <f>IF(Учет!$O3239=Справочники!$F$5,Учет!$H3239,0)</f>
        <v>0</v>
      </c>
      <c r="U3239" s="48">
        <f>IF(Учет!$O3239=Справочники!$F$6,Учет!$H3239,0)</f>
        <v>0</v>
      </c>
      <c r="V3239" s="43">
        <f>V3238+Учет!Q3239-Q3239</f>
        <v>-488978.92000000004</v>
      </c>
      <c r="W3239" s="43">
        <f>W3238+Учет!R3239-R3239</f>
        <v>336855</v>
      </c>
      <c r="X3239" s="43">
        <f>X3238+Учет!S3239-S3239</f>
        <v>500</v>
      </c>
      <c r="Y3239" s="43">
        <f>Y3238+Учет!T3239-T3239</f>
        <v>1150</v>
      </c>
      <c r="Z3239" s="43">
        <f>Z3238+Учет!U3239-U3239</f>
        <v>500000</v>
      </c>
      <c r="AA3239" s="45">
        <f>Учет!X3239</f>
        <v>500</v>
      </c>
    </row>
    <row r="3240" spans="1:27" ht="15" customHeight="1" x14ac:dyDescent="0.25">
      <c r="A3240" s="1"/>
      <c r="B3240" s="17"/>
      <c r="C3240" s="17"/>
      <c r="D3240" s="17"/>
      <c r="E3240" s="17"/>
      <c r="F3240" s="17"/>
      <c r="G3240" s="4">
        <f t="shared" si="147"/>
        <v>0</v>
      </c>
      <c r="H3240" s="17"/>
      <c r="I3240" s="4">
        <f t="shared" si="149"/>
        <v>349526.07999999996</v>
      </c>
      <c r="J3240" s="32" t="str">
        <f t="shared" si="148"/>
        <v/>
      </c>
      <c r="K3240" s="72"/>
      <c r="L3240" s="72"/>
      <c r="M3240" s="2"/>
      <c r="N3240" s="5"/>
      <c r="O3240" s="3"/>
      <c r="P3240" s="6"/>
      <c r="Q3240" s="48">
        <f>IF(Учет!$O3240=Справочники!$F$2,Учет!$H3240,0)</f>
        <v>0</v>
      </c>
      <c r="R3240" s="48">
        <f>IF(Учет!$O3240=Справочники!$F$3,Учет!$H3240,0)</f>
        <v>0</v>
      </c>
      <c r="S3240" s="48">
        <f>IF(Учет!$O3240=Справочники!$F$4,Учет!$H3240,0)</f>
        <v>0</v>
      </c>
      <c r="T3240" s="48">
        <f>IF(Учет!$O3240=Справочники!$F$5,Учет!$H3240,0)</f>
        <v>0</v>
      </c>
      <c r="U3240" s="48">
        <f>IF(Учет!$O3240=Справочники!$F$6,Учет!$H3240,0)</f>
        <v>0</v>
      </c>
      <c r="V3240" s="43">
        <f>V3239+Учет!Q3240-Q3240</f>
        <v>-488978.92000000004</v>
      </c>
      <c r="W3240" s="43">
        <f>W3239+Учет!R3240-R3240</f>
        <v>336855</v>
      </c>
      <c r="X3240" s="43">
        <f>X3239+Учет!S3240-S3240</f>
        <v>500</v>
      </c>
      <c r="Y3240" s="43">
        <f>Y3239+Учет!T3240-T3240</f>
        <v>1150</v>
      </c>
      <c r="Z3240" s="43">
        <f>Z3239+Учет!U3240-U3240</f>
        <v>500000</v>
      </c>
      <c r="AA3240" s="45">
        <f>Учет!X3240</f>
        <v>500</v>
      </c>
    </row>
    <row r="3241" spans="1:27" ht="15" customHeight="1" x14ac:dyDescent="0.25">
      <c r="A3241" s="1"/>
      <c r="B3241" s="17"/>
      <c r="C3241" s="17"/>
      <c r="D3241" s="17"/>
      <c r="E3241" s="17"/>
      <c r="F3241" s="17"/>
      <c r="G3241" s="4">
        <f t="shared" si="147"/>
        <v>0</v>
      </c>
      <c r="H3241" s="17"/>
      <c r="I3241" s="4">
        <f t="shared" si="149"/>
        <v>349526.07999999996</v>
      </c>
      <c r="J3241" s="32" t="str">
        <f t="shared" si="148"/>
        <v/>
      </c>
      <c r="K3241" s="72"/>
      <c r="L3241" s="72"/>
      <c r="M3241" s="2"/>
      <c r="N3241" s="5"/>
      <c r="O3241" s="3"/>
      <c r="P3241" s="6"/>
      <c r="Q3241" s="48">
        <f>IF(Учет!$O3241=Справочники!$F$2,Учет!$H3241,0)</f>
        <v>0</v>
      </c>
      <c r="R3241" s="48">
        <f>IF(Учет!$O3241=Справочники!$F$3,Учет!$H3241,0)</f>
        <v>0</v>
      </c>
      <c r="S3241" s="48">
        <f>IF(Учет!$O3241=Справочники!$F$4,Учет!$H3241,0)</f>
        <v>0</v>
      </c>
      <c r="T3241" s="48">
        <f>IF(Учет!$O3241=Справочники!$F$5,Учет!$H3241,0)</f>
        <v>0</v>
      </c>
      <c r="U3241" s="48">
        <f>IF(Учет!$O3241=Справочники!$F$6,Учет!$H3241,0)</f>
        <v>0</v>
      </c>
      <c r="V3241" s="43">
        <f>V3240+Учет!Q3241-Q3241</f>
        <v>-488978.92000000004</v>
      </c>
      <c r="W3241" s="43">
        <f>W3240+Учет!R3241-R3241</f>
        <v>336855</v>
      </c>
      <c r="X3241" s="43">
        <f>X3240+Учет!S3241-S3241</f>
        <v>500</v>
      </c>
      <c r="Y3241" s="43">
        <f>Y3240+Учет!T3241-T3241</f>
        <v>1150</v>
      </c>
      <c r="Z3241" s="43">
        <f>Z3240+Учет!U3241-U3241</f>
        <v>500000</v>
      </c>
      <c r="AA3241" s="45">
        <f>Учет!X3241</f>
        <v>500</v>
      </c>
    </row>
    <row r="3242" spans="1:27" ht="15" customHeight="1" x14ac:dyDescent="0.25">
      <c r="A3242" s="1"/>
      <c r="B3242" s="17"/>
      <c r="C3242" s="17"/>
      <c r="D3242" s="17"/>
      <c r="E3242" s="17"/>
      <c r="F3242" s="17"/>
      <c r="G3242" s="4">
        <f t="shared" si="147"/>
        <v>0</v>
      </c>
      <c r="H3242" s="17"/>
      <c r="I3242" s="4">
        <f t="shared" si="149"/>
        <v>349526.07999999996</v>
      </c>
      <c r="J3242" s="32" t="str">
        <f t="shared" si="148"/>
        <v/>
      </c>
      <c r="K3242" s="72"/>
      <c r="L3242" s="72"/>
      <c r="M3242" s="2"/>
      <c r="N3242" s="5"/>
      <c r="O3242" s="3"/>
      <c r="P3242" s="6"/>
      <c r="Q3242" s="48">
        <f>IF(Учет!$O3242=Справочники!$F$2,Учет!$H3242,0)</f>
        <v>0</v>
      </c>
      <c r="R3242" s="48">
        <f>IF(Учет!$O3242=Справочники!$F$3,Учет!$H3242,0)</f>
        <v>0</v>
      </c>
      <c r="S3242" s="48">
        <f>IF(Учет!$O3242=Справочники!$F$4,Учет!$H3242,0)</f>
        <v>0</v>
      </c>
      <c r="T3242" s="48">
        <f>IF(Учет!$O3242=Справочники!$F$5,Учет!$H3242,0)</f>
        <v>0</v>
      </c>
      <c r="U3242" s="48">
        <f>IF(Учет!$O3242=Справочники!$F$6,Учет!$H3242,0)</f>
        <v>0</v>
      </c>
      <c r="V3242" s="43">
        <f>V3241+Учет!Q3242-Q3242</f>
        <v>-488978.92000000004</v>
      </c>
      <c r="W3242" s="43">
        <f>W3241+Учет!R3242-R3242</f>
        <v>336855</v>
      </c>
      <c r="X3242" s="43">
        <f>X3241+Учет!S3242-S3242</f>
        <v>500</v>
      </c>
      <c r="Y3242" s="43">
        <f>Y3241+Учет!T3242-T3242</f>
        <v>1150</v>
      </c>
      <c r="Z3242" s="43">
        <f>Z3241+Учет!U3242-U3242</f>
        <v>500000</v>
      </c>
      <c r="AA3242" s="45">
        <f>Учет!X3242</f>
        <v>500</v>
      </c>
    </row>
    <row r="3243" spans="1:27" ht="15" customHeight="1" x14ac:dyDescent="0.25">
      <c r="A3243" s="1"/>
      <c r="B3243" s="17"/>
      <c r="C3243" s="17"/>
      <c r="D3243" s="17"/>
      <c r="E3243" s="17"/>
      <c r="F3243" s="17"/>
      <c r="G3243" s="4">
        <f t="shared" si="147"/>
        <v>0</v>
      </c>
      <c r="H3243" s="17"/>
      <c r="I3243" s="4">
        <f t="shared" si="149"/>
        <v>349526.07999999996</v>
      </c>
      <c r="J3243" s="32" t="str">
        <f t="shared" si="148"/>
        <v/>
      </c>
      <c r="K3243" s="72"/>
      <c r="L3243" s="72"/>
      <c r="M3243" s="2"/>
      <c r="N3243" s="5"/>
      <c r="O3243" s="3"/>
      <c r="P3243" s="6"/>
      <c r="Q3243" s="48">
        <f>IF(Учет!$O3243=Справочники!$F$2,Учет!$H3243,0)</f>
        <v>0</v>
      </c>
      <c r="R3243" s="48">
        <f>IF(Учет!$O3243=Справочники!$F$3,Учет!$H3243,0)</f>
        <v>0</v>
      </c>
      <c r="S3243" s="48">
        <f>IF(Учет!$O3243=Справочники!$F$4,Учет!$H3243,0)</f>
        <v>0</v>
      </c>
      <c r="T3243" s="48">
        <f>IF(Учет!$O3243=Справочники!$F$5,Учет!$H3243,0)</f>
        <v>0</v>
      </c>
      <c r="U3243" s="48">
        <f>IF(Учет!$O3243=Справочники!$F$6,Учет!$H3243,0)</f>
        <v>0</v>
      </c>
      <c r="V3243" s="43">
        <f>V3242+Учет!Q3243-Q3243</f>
        <v>-488978.92000000004</v>
      </c>
      <c r="W3243" s="43">
        <f>W3242+Учет!R3243-R3243</f>
        <v>336855</v>
      </c>
      <c r="X3243" s="43">
        <f>X3242+Учет!S3243-S3243</f>
        <v>500</v>
      </c>
      <c r="Y3243" s="43">
        <f>Y3242+Учет!T3243-T3243</f>
        <v>1150</v>
      </c>
      <c r="Z3243" s="43">
        <f>Z3242+Учет!U3243-U3243</f>
        <v>500000</v>
      </c>
      <c r="AA3243" s="45">
        <f>Учет!X3243</f>
        <v>500</v>
      </c>
    </row>
    <row r="3244" spans="1:27" ht="15" customHeight="1" x14ac:dyDescent="0.25">
      <c r="A3244" s="1"/>
      <c r="B3244" s="17"/>
      <c r="C3244" s="17"/>
      <c r="D3244" s="17"/>
      <c r="E3244" s="17"/>
      <c r="F3244" s="17"/>
      <c r="G3244" s="4">
        <f t="shared" si="147"/>
        <v>0</v>
      </c>
      <c r="H3244" s="17"/>
      <c r="I3244" s="4">
        <f t="shared" si="149"/>
        <v>349526.07999999996</v>
      </c>
      <c r="J3244" s="32" t="str">
        <f t="shared" si="148"/>
        <v/>
      </c>
      <c r="K3244" s="72"/>
      <c r="L3244" s="72"/>
      <c r="M3244" s="2"/>
      <c r="N3244" s="5"/>
      <c r="O3244" s="3"/>
      <c r="P3244" s="6"/>
      <c r="Q3244" s="48">
        <f>IF(Учет!$O3244=Справочники!$F$2,Учет!$H3244,0)</f>
        <v>0</v>
      </c>
      <c r="R3244" s="48">
        <f>IF(Учет!$O3244=Справочники!$F$3,Учет!$H3244,0)</f>
        <v>0</v>
      </c>
      <c r="S3244" s="48">
        <f>IF(Учет!$O3244=Справочники!$F$4,Учет!$H3244,0)</f>
        <v>0</v>
      </c>
      <c r="T3244" s="48">
        <f>IF(Учет!$O3244=Справочники!$F$5,Учет!$H3244,0)</f>
        <v>0</v>
      </c>
      <c r="U3244" s="48">
        <f>IF(Учет!$O3244=Справочники!$F$6,Учет!$H3244,0)</f>
        <v>0</v>
      </c>
      <c r="V3244" s="43">
        <f>V3243+Учет!Q3244-Q3244</f>
        <v>-488978.92000000004</v>
      </c>
      <c r="W3244" s="43">
        <f>W3243+Учет!R3244-R3244</f>
        <v>336855</v>
      </c>
      <c r="X3244" s="43">
        <f>X3243+Учет!S3244-S3244</f>
        <v>500</v>
      </c>
      <c r="Y3244" s="43">
        <f>Y3243+Учет!T3244-T3244</f>
        <v>1150</v>
      </c>
      <c r="Z3244" s="43">
        <f>Z3243+Учет!U3244-U3244</f>
        <v>500000</v>
      </c>
      <c r="AA3244" s="45">
        <f>Учет!X3244</f>
        <v>500</v>
      </c>
    </row>
    <row r="3245" spans="1:27" ht="15" customHeight="1" x14ac:dyDescent="0.25">
      <c r="A3245" s="1"/>
      <c r="B3245" s="17"/>
      <c r="C3245" s="17"/>
      <c r="D3245" s="17"/>
      <c r="E3245" s="17"/>
      <c r="F3245" s="17"/>
      <c r="G3245" s="4">
        <f t="shared" si="147"/>
        <v>0</v>
      </c>
      <c r="H3245" s="17"/>
      <c r="I3245" s="4">
        <f t="shared" si="149"/>
        <v>349526.07999999996</v>
      </c>
      <c r="J3245" s="32" t="str">
        <f t="shared" si="148"/>
        <v/>
      </c>
      <c r="K3245" s="72"/>
      <c r="L3245" s="72"/>
      <c r="M3245" s="2"/>
      <c r="N3245" s="5"/>
      <c r="O3245" s="3"/>
      <c r="P3245" s="6"/>
      <c r="Q3245" s="48">
        <f>IF(Учет!$O3245=Справочники!$F$2,Учет!$H3245,0)</f>
        <v>0</v>
      </c>
      <c r="R3245" s="48">
        <f>IF(Учет!$O3245=Справочники!$F$3,Учет!$H3245,0)</f>
        <v>0</v>
      </c>
      <c r="S3245" s="48">
        <f>IF(Учет!$O3245=Справочники!$F$4,Учет!$H3245,0)</f>
        <v>0</v>
      </c>
      <c r="T3245" s="48">
        <f>IF(Учет!$O3245=Справочники!$F$5,Учет!$H3245,0)</f>
        <v>0</v>
      </c>
      <c r="U3245" s="48">
        <f>IF(Учет!$O3245=Справочники!$F$6,Учет!$H3245,0)</f>
        <v>0</v>
      </c>
      <c r="V3245" s="43">
        <f>V3244+Учет!Q3245-Q3245</f>
        <v>-488978.92000000004</v>
      </c>
      <c r="W3245" s="43">
        <f>W3244+Учет!R3245-R3245</f>
        <v>336855</v>
      </c>
      <c r="X3245" s="43">
        <f>X3244+Учет!S3245-S3245</f>
        <v>500</v>
      </c>
      <c r="Y3245" s="43">
        <f>Y3244+Учет!T3245-T3245</f>
        <v>1150</v>
      </c>
      <c r="Z3245" s="43">
        <f>Z3244+Учет!U3245-U3245</f>
        <v>500000</v>
      </c>
      <c r="AA3245" s="45">
        <f>Учет!X3245</f>
        <v>500</v>
      </c>
    </row>
    <row r="3246" spans="1:27" ht="15" customHeight="1" x14ac:dyDescent="0.25">
      <c r="A3246" s="1"/>
      <c r="B3246" s="17"/>
      <c r="C3246" s="17"/>
      <c r="D3246" s="17"/>
      <c r="E3246" s="17"/>
      <c r="F3246" s="17"/>
      <c r="G3246" s="4">
        <f t="shared" si="147"/>
        <v>0</v>
      </c>
      <c r="H3246" s="17"/>
      <c r="I3246" s="4">
        <f t="shared" si="149"/>
        <v>349526.07999999996</v>
      </c>
      <c r="J3246" s="32" t="str">
        <f t="shared" si="148"/>
        <v/>
      </c>
      <c r="K3246" s="72"/>
      <c r="L3246" s="72"/>
      <c r="M3246" s="2"/>
      <c r="N3246" s="5"/>
      <c r="O3246" s="3"/>
      <c r="P3246" s="6"/>
      <c r="Q3246" s="48">
        <f>IF(Учет!$O3246=Справочники!$F$2,Учет!$H3246,0)</f>
        <v>0</v>
      </c>
      <c r="R3246" s="48">
        <f>IF(Учет!$O3246=Справочники!$F$3,Учет!$H3246,0)</f>
        <v>0</v>
      </c>
      <c r="S3246" s="48">
        <f>IF(Учет!$O3246=Справочники!$F$4,Учет!$H3246,0)</f>
        <v>0</v>
      </c>
      <c r="T3246" s="48">
        <f>IF(Учет!$O3246=Справочники!$F$5,Учет!$H3246,0)</f>
        <v>0</v>
      </c>
      <c r="U3246" s="48">
        <f>IF(Учет!$O3246=Справочники!$F$6,Учет!$H3246,0)</f>
        <v>0</v>
      </c>
      <c r="V3246" s="43">
        <f>V3245+Учет!Q3246-Q3246</f>
        <v>-488978.92000000004</v>
      </c>
      <c r="W3246" s="43">
        <f>W3245+Учет!R3246-R3246</f>
        <v>336855</v>
      </c>
      <c r="X3246" s="43">
        <f>X3245+Учет!S3246-S3246</f>
        <v>500</v>
      </c>
      <c r="Y3246" s="43">
        <f>Y3245+Учет!T3246-T3246</f>
        <v>1150</v>
      </c>
      <c r="Z3246" s="43">
        <f>Z3245+Учет!U3246-U3246</f>
        <v>500000</v>
      </c>
      <c r="AA3246" s="45">
        <f>Учет!X3246</f>
        <v>500</v>
      </c>
    </row>
    <row r="3247" spans="1:27" ht="15" customHeight="1" x14ac:dyDescent="0.25">
      <c r="A3247" s="1"/>
      <c r="B3247" s="17"/>
      <c r="C3247" s="17"/>
      <c r="D3247" s="17"/>
      <c r="E3247" s="17"/>
      <c r="F3247" s="17"/>
      <c r="G3247" s="4">
        <f t="shared" si="147"/>
        <v>0</v>
      </c>
      <c r="H3247" s="17"/>
      <c r="I3247" s="4">
        <f t="shared" si="149"/>
        <v>349526.07999999996</v>
      </c>
      <c r="J3247" s="32" t="str">
        <f t="shared" si="148"/>
        <v/>
      </c>
      <c r="K3247" s="72"/>
      <c r="L3247" s="72"/>
      <c r="M3247" s="2"/>
      <c r="N3247" s="5"/>
      <c r="O3247" s="3"/>
      <c r="P3247" s="6"/>
      <c r="Q3247" s="48">
        <f>IF(Учет!$O3247=Справочники!$F$2,Учет!$H3247,0)</f>
        <v>0</v>
      </c>
      <c r="R3247" s="48">
        <f>IF(Учет!$O3247=Справочники!$F$3,Учет!$H3247,0)</f>
        <v>0</v>
      </c>
      <c r="S3247" s="48">
        <f>IF(Учет!$O3247=Справочники!$F$4,Учет!$H3247,0)</f>
        <v>0</v>
      </c>
      <c r="T3247" s="48">
        <f>IF(Учет!$O3247=Справочники!$F$5,Учет!$H3247,0)</f>
        <v>0</v>
      </c>
      <c r="U3247" s="48">
        <f>IF(Учет!$O3247=Справочники!$F$6,Учет!$H3247,0)</f>
        <v>0</v>
      </c>
      <c r="V3247" s="43">
        <f>V3246+Учет!Q3247-Q3247</f>
        <v>-488978.92000000004</v>
      </c>
      <c r="W3247" s="43">
        <f>W3246+Учет!R3247-R3247</f>
        <v>336855</v>
      </c>
      <c r="X3247" s="43">
        <f>X3246+Учет!S3247-S3247</f>
        <v>500</v>
      </c>
      <c r="Y3247" s="43">
        <f>Y3246+Учет!T3247-T3247</f>
        <v>1150</v>
      </c>
      <c r="Z3247" s="43">
        <f>Z3246+Учет!U3247-U3247</f>
        <v>500000</v>
      </c>
      <c r="AA3247" s="45">
        <f>Учет!X3247</f>
        <v>500</v>
      </c>
    </row>
    <row r="3248" spans="1:27" ht="15" customHeight="1" x14ac:dyDescent="0.25">
      <c r="A3248" s="1"/>
      <c r="B3248" s="17"/>
      <c r="C3248" s="17"/>
      <c r="D3248" s="17"/>
      <c r="E3248" s="17"/>
      <c r="F3248" s="17"/>
      <c r="G3248" s="4">
        <f t="shared" si="147"/>
        <v>0</v>
      </c>
      <c r="H3248" s="17"/>
      <c r="I3248" s="4">
        <f t="shared" si="149"/>
        <v>349526.07999999996</v>
      </c>
      <c r="J3248" s="32" t="str">
        <f t="shared" si="148"/>
        <v/>
      </c>
      <c r="K3248" s="72"/>
      <c r="L3248" s="72"/>
      <c r="M3248" s="2"/>
      <c r="N3248" s="5"/>
      <c r="O3248" s="3"/>
      <c r="P3248" s="6"/>
      <c r="Q3248" s="48">
        <f>IF(Учет!$O3248=Справочники!$F$2,Учет!$H3248,0)</f>
        <v>0</v>
      </c>
      <c r="R3248" s="48">
        <f>IF(Учет!$O3248=Справочники!$F$3,Учет!$H3248,0)</f>
        <v>0</v>
      </c>
      <c r="S3248" s="48">
        <f>IF(Учет!$O3248=Справочники!$F$4,Учет!$H3248,0)</f>
        <v>0</v>
      </c>
      <c r="T3248" s="48">
        <f>IF(Учет!$O3248=Справочники!$F$5,Учет!$H3248,0)</f>
        <v>0</v>
      </c>
      <c r="U3248" s="48">
        <f>IF(Учет!$O3248=Справочники!$F$6,Учет!$H3248,0)</f>
        <v>0</v>
      </c>
      <c r="V3248" s="43">
        <f>V3247+Учет!Q3248-Q3248</f>
        <v>-488978.92000000004</v>
      </c>
      <c r="W3248" s="43">
        <f>W3247+Учет!R3248-R3248</f>
        <v>336855</v>
      </c>
      <c r="X3248" s="43">
        <f>X3247+Учет!S3248-S3248</f>
        <v>500</v>
      </c>
      <c r="Y3248" s="43">
        <f>Y3247+Учет!T3248-T3248</f>
        <v>1150</v>
      </c>
      <c r="Z3248" s="43">
        <f>Z3247+Учет!U3248-U3248</f>
        <v>500000</v>
      </c>
      <c r="AA3248" s="45">
        <f>Учет!X3248</f>
        <v>500</v>
      </c>
    </row>
    <row r="3249" spans="1:27" ht="15" customHeight="1" x14ac:dyDescent="0.25">
      <c r="A3249" s="1"/>
      <c r="B3249" s="17"/>
      <c r="C3249" s="17"/>
      <c r="D3249" s="17"/>
      <c r="E3249" s="17"/>
      <c r="F3249" s="17"/>
      <c r="G3249" s="4">
        <f t="shared" si="147"/>
        <v>0</v>
      </c>
      <c r="H3249" s="17"/>
      <c r="I3249" s="4">
        <f t="shared" si="149"/>
        <v>349526.07999999996</v>
      </c>
      <c r="J3249" s="32" t="str">
        <f t="shared" si="148"/>
        <v/>
      </c>
      <c r="K3249" s="72"/>
      <c r="L3249" s="72"/>
      <c r="M3249" s="2"/>
      <c r="N3249" s="5"/>
      <c r="O3249" s="3"/>
      <c r="P3249" s="6"/>
      <c r="Q3249" s="48">
        <f>IF(Учет!$O3249=Справочники!$F$2,Учет!$H3249,0)</f>
        <v>0</v>
      </c>
      <c r="R3249" s="48">
        <f>IF(Учет!$O3249=Справочники!$F$3,Учет!$H3249,0)</f>
        <v>0</v>
      </c>
      <c r="S3249" s="48">
        <f>IF(Учет!$O3249=Справочники!$F$4,Учет!$H3249,0)</f>
        <v>0</v>
      </c>
      <c r="T3249" s="48">
        <f>IF(Учет!$O3249=Справочники!$F$5,Учет!$H3249,0)</f>
        <v>0</v>
      </c>
      <c r="U3249" s="48">
        <f>IF(Учет!$O3249=Справочники!$F$6,Учет!$H3249,0)</f>
        <v>0</v>
      </c>
      <c r="V3249" s="43">
        <f>V3248+Учет!Q3249-Q3249</f>
        <v>-488978.92000000004</v>
      </c>
      <c r="W3249" s="43">
        <f>W3248+Учет!R3249-R3249</f>
        <v>336855</v>
      </c>
      <c r="X3249" s="43">
        <f>X3248+Учет!S3249-S3249</f>
        <v>500</v>
      </c>
      <c r="Y3249" s="43">
        <f>Y3248+Учет!T3249-T3249</f>
        <v>1150</v>
      </c>
      <c r="Z3249" s="43">
        <f>Z3248+Учет!U3249-U3249</f>
        <v>500000</v>
      </c>
      <c r="AA3249" s="45">
        <f>Учет!X3249</f>
        <v>500</v>
      </c>
    </row>
    <row r="3250" spans="1:27" ht="15" customHeight="1" x14ac:dyDescent="0.25">
      <c r="A3250" s="1"/>
      <c r="B3250" s="17"/>
      <c r="C3250" s="17"/>
      <c r="D3250" s="17"/>
      <c r="E3250" s="17"/>
      <c r="F3250" s="17"/>
      <c r="G3250" s="4">
        <f t="shared" si="147"/>
        <v>0</v>
      </c>
      <c r="H3250" s="17"/>
      <c r="I3250" s="4">
        <f t="shared" si="149"/>
        <v>349526.07999999996</v>
      </c>
      <c r="J3250" s="32" t="str">
        <f t="shared" si="148"/>
        <v/>
      </c>
      <c r="K3250" s="72"/>
      <c r="L3250" s="72"/>
      <c r="M3250" s="2"/>
      <c r="N3250" s="5"/>
      <c r="O3250" s="3"/>
      <c r="P3250" s="6"/>
      <c r="Q3250" s="48">
        <f>IF(Учет!$O3250=Справочники!$F$2,Учет!$H3250,0)</f>
        <v>0</v>
      </c>
      <c r="R3250" s="48">
        <f>IF(Учет!$O3250=Справочники!$F$3,Учет!$H3250,0)</f>
        <v>0</v>
      </c>
      <c r="S3250" s="48">
        <f>IF(Учет!$O3250=Справочники!$F$4,Учет!$H3250,0)</f>
        <v>0</v>
      </c>
      <c r="T3250" s="48">
        <f>IF(Учет!$O3250=Справочники!$F$5,Учет!$H3250,0)</f>
        <v>0</v>
      </c>
      <c r="U3250" s="48">
        <f>IF(Учет!$O3250=Справочники!$F$6,Учет!$H3250,0)</f>
        <v>0</v>
      </c>
      <c r="V3250" s="43">
        <f>V3249+Учет!Q3250-Q3250</f>
        <v>-488978.92000000004</v>
      </c>
      <c r="W3250" s="43">
        <f>W3249+Учет!R3250-R3250</f>
        <v>336855</v>
      </c>
      <c r="X3250" s="43">
        <f>X3249+Учет!S3250-S3250</f>
        <v>500</v>
      </c>
      <c r="Y3250" s="43">
        <f>Y3249+Учет!T3250-T3250</f>
        <v>1150</v>
      </c>
      <c r="Z3250" s="43">
        <f>Z3249+Учет!U3250-U3250</f>
        <v>500000</v>
      </c>
      <c r="AA3250" s="45">
        <f>Учет!X3250</f>
        <v>500</v>
      </c>
    </row>
    <row r="3251" spans="1:27" ht="15" customHeight="1" x14ac:dyDescent="0.25">
      <c r="A3251" s="1"/>
      <c r="B3251" s="17"/>
      <c r="C3251" s="17"/>
      <c r="D3251" s="17"/>
      <c r="E3251" s="17"/>
      <c r="F3251" s="17"/>
      <c r="G3251" s="4">
        <f t="shared" si="147"/>
        <v>0</v>
      </c>
      <c r="H3251" s="17"/>
      <c r="I3251" s="4">
        <f t="shared" si="149"/>
        <v>349526.07999999996</v>
      </c>
      <c r="J3251" s="32" t="str">
        <f t="shared" si="148"/>
        <v/>
      </c>
      <c r="K3251" s="72"/>
      <c r="L3251" s="72"/>
      <c r="M3251" s="2"/>
      <c r="N3251" s="5"/>
      <c r="O3251" s="3"/>
      <c r="P3251" s="6"/>
      <c r="Q3251" s="48">
        <f>IF(Учет!$O3251=Справочники!$F$2,Учет!$H3251,0)</f>
        <v>0</v>
      </c>
      <c r="R3251" s="48">
        <f>IF(Учет!$O3251=Справочники!$F$3,Учет!$H3251,0)</f>
        <v>0</v>
      </c>
      <c r="S3251" s="48">
        <f>IF(Учет!$O3251=Справочники!$F$4,Учет!$H3251,0)</f>
        <v>0</v>
      </c>
      <c r="T3251" s="48">
        <f>IF(Учет!$O3251=Справочники!$F$5,Учет!$H3251,0)</f>
        <v>0</v>
      </c>
      <c r="U3251" s="48">
        <f>IF(Учет!$O3251=Справочники!$F$6,Учет!$H3251,0)</f>
        <v>0</v>
      </c>
      <c r="V3251" s="43">
        <f>V3250+Учет!Q3251-Q3251</f>
        <v>-488978.92000000004</v>
      </c>
      <c r="W3251" s="43">
        <f>W3250+Учет!R3251-R3251</f>
        <v>336855</v>
      </c>
      <c r="X3251" s="43">
        <f>X3250+Учет!S3251-S3251</f>
        <v>500</v>
      </c>
      <c r="Y3251" s="43">
        <f>Y3250+Учет!T3251-T3251</f>
        <v>1150</v>
      </c>
      <c r="Z3251" s="43">
        <f>Z3250+Учет!U3251-U3251</f>
        <v>500000</v>
      </c>
      <c r="AA3251" s="45">
        <f>Учет!X3251</f>
        <v>500</v>
      </c>
    </row>
    <row r="3252" spans="1:27" ht="15" customHeight="1" x14ac:dyDescent="0.25">
      <c r="A3252" s="1"/>
      <c r="B3252" s="17"/>
      <c r="C3252" s="17"/>
      <c r="D3252" s="17"/>
      <c r="E3252" s="17"/>
      <c r="F3252" s="17"/>
      <c r="G3252" s="4">
        <f t="shared" si="147"/>
        <v>0</v>
      </c>
      <c r="H3252" s="17"/>
      <c r="I3252" s="4">
        <f t="shared" si="149"/>
        <v>349526.07999999996</v>
      </c>
      <c r="J3252" s="32" t="str">
        <f t="shared" si="148"/>
        <v/>
      </c>
      <c r="K3252" s="72"/>
      <c r="L3252" s="72"/>
      <c r="M3252" s="2"/>
      <c r="N3252" s="5"/>
      <c r="O3252" s="3"/>
      <c r="P3252" s="6"/>
      <c r="Q3252" s="48">
        <f>IF(Учет!$O3252=Справочники!$F$2,Учет!$H3252,0)</f>
        <v>0</v>
      </c>
      <c r="R3252" s="48">
        <f>IF(Учет!$O3252=Справочники!$F$3,Учет!$H3252,0)</f>
        <v>0</v>
      </c>
      <c r="S3252" s="48">
        <f>IF(Учет!$O3252=Справочники!$F$4,Учет!$H3252,0)</f>
        <v>0</v>
      </c>
      <c r="T3252" s="48">
        <f>IF(Учет!$O3252=Справочники!$F$5,Учет!$H3252,0)</f>
        <v>0</v>
      </c>
      <c r="U3252" s="48">
        <f>IF(Учет!$O3252=Справочники!$F$6,Учет!$H3252,0)</f>
        <v>0</v>
      </c>
      <c r="V3252" s="43">
        <f>V3251+Учет!Q3252-Q3252</f>
        <v>-488978.92000000004</v>
      </c>
      <c r="W3252" s="43">
        <f>W3251+Учет!R3252-R3252</f>
        <v>336855</v>
      </c>
      <c r="X3252" s="43">
        <f>X3251+Учет!S3252-S3252</f>
        <v>500</v>
      </c>
      <c r="Y3252" s="43">
        <f>Y3251+Учет!T3252-T3252</f>
        <v>1150</v>
      </c>
      <c r="Z3252" s="43">
        <f>Z3251+Учет!U3252-U3252</f>
        <v>500000</v>
      </c>
      <c r="AA3252" s="45">
        <f>Учет!X3252</f>
        <v>500</v>
      </c>
    </row>
    <row r="3253" spans="1:27" ht="15" customHeight="1" x14ac:dyDescent="0.25">
      <c r="A3253" s="1"/>
      <c r="B3253" s="17"/>
      <c r="C3253" s="17"/>
      <c r="D3253" s="17"/>
      <c r="E3253" s="17"/>
      <c r="F3253" s="17"/>
      <c r="G3253" s="4">
        <f t="shared" si="147"/>
        <v>0</v>
      </c>
      <c r="H3253" s="17"/>
      <c r="I3253" s="4">
        <f t="shared" si="149"/>
        <v>349526.07999999996</v>
      </c>
      <c r="J3253" s="32" t="str">
        <f t="shared" si="148"/>
        <v/>
      </c>
      <c r="K3253" s="72"/>
      <c r="L3253" s="72"/>
      <c r="M3253" s="2"/>
      <c r="N3253" s="5"/>
      <c r="O3253" s="3"/>
      <c r="P3253" s="6"/>
      <c r="Q3253" s="48">
        <f>IF(Учет!$O3253=Справочники!$F$2,Учет!$H3253,0)</f>
        <v>0</v>
      </c>
      <c r="R3253" s="48">
        <f>IF(Учет!$O3253=Справочники!$F$3,Учет!$H3253,0)</f>
        <v>0</v>
      </c>
      <c r="S3253" s="48">
        <f>IF(Учет!$O3253=Справочники!$F$4,Учет!$H3253,0)</f>
        <v>0</v>
      </c>
      <c r="T3253" s="48">
        <f>IF(Учет!$O3253=Справочники!$F$5,Учет!$H3253,0)</f>
        <v>0</v>
      </c>
      <c r="U3253" s="48">
        <f>IF(Учет!$O3253=Справочники!$F$6,Учет!$H3253,0)</f>
        <v>0</v>
      </c>
      <c r="V3253" s="43">
        <f>V3252+Учет!Q3253-Q3253</f>
        <v>-488978.92000000004</v>
      </c>
      <c r="W3253" s="43">
        <f>W3252+Учет!R3253-R3253</f>
        <v>336855</v>
      </c>
      <c r="X3253" s="43">
        <f>X3252+Учет!S3253-S3253</f>
        <v>500</v>
      </c>
      <c r="Y3253" s="43">
        <f>Y3252+Учет!T3253-T3253</f>
        <v>1150</v>
      </c>
      <c r="Z3253" s="43">
        <f>Z3252+Учет!U3253-U3253</f>
        <v>500000</v>
      </c>
      <c r="AA3253" s="45">
        <f>Учет!X3253</f>
        <v>500</v>
      </c>
    </row>
    <row r="3254" spans="1:27" ht="15" customHeight="1" x14ac:dyDescent="0.25">
      <c r="A3254" s="1"/>
      <c r="B3254" s="17"/>
      <c r="C3254" s="17"/>
      <c r="D3254" s="17"/>
      <c r="E3254" s="17"/>
      <c r="F3254" s="17"/>
      <c r="G3254" s="4">
        <f t="shared" si="147"/>
        <v>0</v>
      </c>
      <c r="H3254" s="17"/>
      <c r="I3254" s="4">
        <f t="shared" si="149"/>
        <v>349526.07999999996</v>
      </c>
      <c r="J3254" s="32" t="str">
        <f t="shared" si="148"/>
        <v/>
      </c>
      <c r="K3254" s="72"/>
      <c r="L3254" s="72"/>
      <c r="M3254" s="2"/>
      <c r="N3254" s="5"/>
      <c r="O3254" s="3"/>
      <c r="P3254" s="6"/>
      <c r="Q3254" s="48">
        <f>IF(Учет!$O3254=Справочники!$F$2,Учет!$H3254,0)</f>
        <v>0</v>
      </c>
      <c r="R3254" s="48">
        <f>IF(Учет!$O3254=Справочники!$F$3,Учет!$H3254,0)</f>
        <v>0</v>
      </c>
      <c r="S3254" s="48">
        <f>IF(Учет!$O3254=Справочники!$F$4,Учет!$H3254,0)</f>
        <v>0</v>
      </c>
      <c r="T3254" s="48">
        <f>IF(Учет!$O3254=Справочники!$F$5,Учет!$H3254,0)</f>
        <v>0</v>
      </c>
      <c r="U3254" s="48">
        <f>IF(Учет!$O3254=Справочники!$F$6,Учет!$H3254,0)</f>
        <v>0</v>
      </c>
      <c r="V3254" s="43">
        <f>V3253+Учет!Q3254-Q3254</f>
        <v>-488978.92000000004</v>
      </c>
      <c r="W3254" s="43">
        <f>W3253+Учет!R3254-R3254</f>
        <v>336855</v>
      </c>
      <c r="X3254" s="43">
        <f>X3253+Учет!S3254-S3254</f>
        <v>500</v>
      </c>
      <c r="Y3254" s="43">
        <f>Y3253+Учет!T3254-T3254</f>
        <v>1150</v>
      </c>
      <c r="Z3254" s="43">
        <f>Z3253+Учет!U3254-U3254</f>
        <v>500000</v>
      </c>
      <c r="AA3254" s="45">
        <f>Учет!X3254</f>
        <v>500</v>
      </c>
    </row>
    <row r="3255" spans="1:27" ht="15" customHeight="1" x14ac:dyDescent="0.25">
      <c r="A3255" s="1"/>
      <c r="B3255" s="17"/>
      <c r="C3255" s="17"/>
      <c r="D3255" s="17"/>
      <c r="E3255" s="17"/>
      <c r="F3255" s="17"/>
      <c r="G3255" s="4">
        <f t="shared" si="147"/>
        <v>0</v>
      </c>
      <c r="H3255" s="17"/>
      <c r="I3255" s="4">
        <f t="shared" si="149"/>
        <v>349526.07999999996</v>
      </c>
      <c r="J3255" s="32" t="str">
        <f t="shared" si="148"/>
        <v/>
      </c>
      <c r="K3255" s="72"/>
      <c r="L3255" s="72"/>
      <c r="M3255" s="2"/>
      <c r="N3255" s="5"/>
      <c r="O3255" s="3"/>
      <c r="P3255" s="6"/>
      <c r="Q3255" s="48">
        <f>IF(Учет!$O3255=Справочники!$F$2,Учет!$H3255,0)</f>
        <v>0</v>
      </c>
      <c r="R3255" s="48">
        <f>IF(Учет!$O3255=Справочники!$F$3,Учет!$H3255,0)</f>
        <v>0</v>
      </c>
      <c r="S3255" s="48">
        <f>IF(Учет!$O3255=Справочники!$F$4,Учет!$H3255,0)</f>
        <v>0</v>
      </c>
      <c r="T3255" s="48">
        <f>IF(Учет!$O3255=Справочники!$F$5,Учет!$H3255,0)</f>
        <v>0</v>
      </c>
      <c r="U3255" s="48">
        <f>IF(Учет!$O3255=Справочники!$F$6,Учет!$H3255,0)</f>
        <v>0</v>
      </c>
      <c r="V3255" s="43">
        <f>V3254+Учет!Q3255-Q3255</f>
        <v>-488978.92000000004</v>
      </c>
      <c r="W3255" s="43">
        <f>W3254+Учет!R3255-R3255</f>
        <v>336855</v>
      </c>
      <c r="X3255" s="43">
        <f>X3254+Учет!S3255-S3255</f>
        <v>500</v>
      </c>
      <c r="Y3255" s="43">
        <f>Y3254+Учет!T3255-T3255</f>
        <v>1150</v>
      </c>
      <c r="Z3255" s="43">
        <f>Z3254+Учет!U3255-U3255</f>
        <v>500000</v>
      </c>
      <c r="AA3255" s="45">
        <f>Учет!X3255</f>
        <v>500</v>
      </c>
    </row>
    <row r="3256" spans="1:27" ht="15" customHeight="1" x14ac:dyDescent="0.25">
      <c r="A3256" s="1"/>
      <c r="B3256" s="17"/>
      <c r="C3256" s="17"/>
      <c r="D3256" s="17"/>
      <c r="E3256" s="17"/>
      <c r="F3256" s="17"/>
      <c r="G3256" s="4">
        <f t="shared" si="147"/>
        <v>0</v>
      </c>
      <c r="H3256" s="17"/>
      <c r="I3256" s="4">
        <f t="shared" si="149"/>
        <v>349526.07999999996</v>
      </c>
      <c r="J3256" s="32" t="str">
        <f t="shared" si="148"/>
        <v/>
      </c>
      <c r="K3256" s="72"/>
      <c r="L3256" s="72"/>
      <c r="M3256" s="2"/>
      <c r="N3256" s="5"/>
      <c r="O3256" s="3"/>
      <c r="P3256" s="6"/>
      <c r="Q3256" s="48">
        <f>IF(Учет!$O3256=Справочники!$F$2,Учет!$H3256,0)</f>
        <v>0</v>
      </c>
      <c r="R3256" s="48">
        <f>IF(Учет!$O3256=Справочники!$F$3,Учет!$H3256,0)</f>
        <v>0</v>
      </c>
      <c r="S3256" s="48">
        <f>IF(Учет!$O3256=Справочники!$F$4,Учет!$H3256,0)</f>
        <v>0</v>
      </c>
      <c r="T3256" s="48">
        <f>IF(Учет!$O3256=Справочники!$F$5,Учет!$H3256,0)</f>
        <v>0</v>
      </c>
      <c r="U3256" s="48">
        <f>IF(Учет!$O3256=Справочники!$F$6,Учет!$H3256,0)</f>
        <v>0</v>
      </c>
      <c r="V3256" s="43">
        <f>V3255+Учет!Q3256-Q3256</f>
        <v>-488978.92000000004</v>
      </c>
      <c r="W3256" s="43">
        <f>W3255+Учет!R3256-R3256</f>
        <v>336855</v>
      </c>
      <c r="X3256" s="43">
        <f>X3255+Учет!S3256-S3256</f>
        <v>500</v>
      </c>
      <c r="Y3256" s="43">
        <f>Y3255+Учет!T3256-T3256</f>
        <v>1150</v>
      </c>
      <c r="Z3256" s="43">
        <f>Z3255+Учет!U3256-U3256</f>
        <v>500000</v>
      </c>
      <c r="AA3256" s="45">
        <f>Учет!X3256</f>
        <v>500</v>
      </c>
    </row>
    <row r="3257" spans="1:27" ht="15" customHeight="1" x14ac:dyDescent="0.25">
      <c r="A3257" s="1"/>
      <c r="B3257" s="17"/>
      <c r="C3257" s="17"/>
      <c r="D3257" s="17"/>
      <c r="E3257" s="17"/>
      <c r="F3257" s="17"/>
      <c r="G3257" s="4">
        <f t="shared" si="147"/>
        <v>0</v>
      </c>
      <c r="H3257" s="17"/>
      <c r="I3257" s="4">
        <f t="shared" si="149"/>
        <v>349526.07999999996</v>
      </c>
      <c r="J3257" s="32" t="str">
        <f t="shared" si="148"/>
        <v/>
      </c>
      <c r="K3257" s="72"/>
      <c r="L3257" s="72"/>
      <c r="M3257" s="2"/>
      <c r="N3257" s="5"/>
      <c r="O3257" s="3"/>
      <c r="P3257" s="6"/>
      <c r="Q3257" s="48">
        <f>IF(Учет!$O3257=Справочники!$F$2,Учет!$H3257,0)</f>
        <v>0</v>
      </c>
      <c r="R3257" s="48">
        <f>IF(Учет!$O3257=Справочники!$F$3,Учет!$H3257,0)</f>
        <v>0</v>
      </c>
      <c r="S3257" s="48">
        <f>IF(Учет!$O3257=Справочники!$F$4,Учет!$H3257,0)</f>
        <v>0</v>
      </c>
      <c r="T3257" s="48">
        <f>IF(Учет!$O3257=Справочники!$F$5,Учет!$H3257,0)</f>
        <v>0</v>
      </c>
      <c r="U3257" s="48">
        <f>IF(Учет!$O3257=Справочники!$F$6,Учет!$H3257,0)</f>
        <v>0</v>
      </c>
      <c r="V3257" s="43">
        <f>V3256+Учет!Q3257-Q3257</f>
        <v>-488978.92000000004</v>
      </c>
      <c r="W3257" s="43">
        <f>W3256+Учет!R3257-R3257</f>
        <v>336855</v>
      </c>
      <c r="X3257" s="43">
        <f>X3256+Учет!S3257-S3257</f>
        <v>500</v>
      </c>
      <c r="Y3257" s="43">
        <f>Y3256+Учет!T3257-T3257</f>
        <v>1150</v>
      </c>
      <c r="Z3257" s="43">
        <f>Z3256+Учет!U3257-U3257</f>
        <v>500000</v>
      </c>
      <c r="AA3257" s="45">
        <f>Учет!X3257</f>
        <v>500</v>
      </c>
    </row>
    <row r="3258" spans="1:27" ht="15" customHeight="1" x14ac:dyDescent="0.25">
      <c r="A3258" s="1"/>
      <c r="B3258" s="17"/>
      <c r="C3258" s="17"/>
      <c r="D3258" s="17"/>
      <c r="E3258" s="17"/>
      <c r="F3258" s="17"/>
      <c r="G3258" s="4">
        <f t="shared" si="147"/>
        <v>0</v>
      </c>
      <c r="H3258" s="17"/>
      <c r="I3258" s="4">
        <f t="shared" si="149"/>
        <v>349526.07999999996</v>
      </c>
      <c r="J3258" s="32" t="str">
        <f t="shared" si="148"/>
        <v/>
      </c>
      <c r="K3258" s="72"/>
      <c r="L3258" s="72"/>
      <c r="M3258" s="2"/>
      <c r="N3258" s="5"/>
      <c r="O3258" s="3"/>
      <c r="P3258" s="6"/>
      <c r="Q3258" s="48">
        <f>IF(Учет!$O3258=Справочники!$F$2,Учет!$H3258,0)</f>
        <v>0</v>
      </c>
      <c r="R3258" s="48">
        <f>IF(Учет!$O3258=Справочники!$F$3,Учет!$H3258,0)</f>
        <v>0</v>
      </c>
      <c r="S3258" s="48">
        <f>IF(Учет!$O3258=Справочники!$F$4,Учет!$H3258,0)</f>
        <v>0</v>
      </c>
      <c r="T3258" s="48">
        <f>IF(Учет!$O3258=Справочники!$F$5,Учет!$H3258,0)</f>
        <v>0</v>
      </c>
      <c r="U3258" s="48">
        <f>IF(Учет!$O3258=Справочники!$F$6,Учет!$H3258,0)</f>
        <v>0</v>
      </c>
      <c r="V3258" s="43">
        <f>V3257+Учет!Q3258-Q3258</f>
        <v>-488978.92000000004</v>
      </c>
      <c r="W3258" s="43">
        <f>W3257+Учет!R3258-R3258</f>
        <v>336855</v>
      </c>
      <c r="X3258" s="43">
        <f>X3257+Учет!S3258-S3258</f>
        <v>500</v>
      </c>
      <c r="Y3258" s="43">
        <f>Y3257+Учет!T3258-T3258</f>
        <v>1150</v>
      </c>
      <c r="Z3258" s="43">
        <f>Z3257+Учет!U3258-U3258</f>
        <v>500000</v>
      </c>
      <c r="AA3258" s="45">
        <f>Учет!X3258</f>
        <v>500</v>
      </c>
    </row>
    <row r="3259" spans="1:27" ht="15" customHeight="1" x14ac:dyDescent="0.25">
      <c r="A3259" s="1"/>
      <c r="B3259" s="17"/>
      <c r="C3259" s="17"/>
      <c r="D3259" s="17"/>
      <c r="E3259" s="17"/>
      <c r="F3259" s="17"/>
      <c r="G3259" s="4">
        <f t="shared" si="147"/>
        <v>0</v>
      </c>
      <c r="H3259" s="17"/>
      <c r="I3259" s="4">
        <f t="shared" si="149"/>
        <v>349526.07999999996</v>
      </c>
      <c r="J3259" s="32" t="str">
        <f t="shared" si="148"/>
        <v/>
      </c>
      <c r="K3259" s="72"/>
      <c r="L3259" s="72"/>
      <c r="M3259" s="2"/>
      <c r="N3259" s="5"/>
      <c r="O3259" s="3"/>
      <c r="P3259" s="6"/>
      <c r="Q3259" s="48">
        <f>IF(Учет!$O3259=Справочники!$F$2,Учет!$H3259,0)</f>
        <v>0</v>
      </c>
      <c r="R3259" s="48">
        <f>IF(Учет!$O3259=Справочники!$F$3,Учет!$H3259,0)</f>
        <v>0</v>
      </c>
      <c r="S3259" s="48">
        <f>IF(Учет!$O3259=Справочники!$F$4,Учет!$H3259,0)</f>
        <v>0</v>
      </c>
      <c r="T3259" s="48">
        <f>IF(Учет!$O3259=Справочники!$F$5,Учет!$H3259,0)</f>
        <v>0</v>
      </c>
      <c r="U3259" s="48">
        <f>IF(Учет!$O3259=Справочники!$F$6,Учет!$H3259,0)</f>
        <v>0</v>
      </c>
      <c r="V3259" s="43">
        <f>V3258+Учет!Q3259-Q3259</f>
        <v>-488978.92000000004</v>
      </c>
      <c r="W3259" s="43">
        <f>W3258+Учет!R3259-R3259</f>
        <v>336855</v>
      </c>
      <c r="X3259" s="43">
        <f>X3258+Учет!S3259-S3259</f>
        <v>500</v>
      </c>
      <c r="Y3259" s="43">
        <f>Y3258+Учет!T3259-T3259</f>
        <v>1150</v>
      </c>
      <c r="Z3259" s="43">
        <f>Z3258+Учет!U3259-U3259</f>
        <v>500000</v>
      </c>
      <c r="AA3259" s="45">
        <f>Учет!X3259</f>
        <v>500</v>
      </c>
    </row>
    <row r="3260" spans="1:27" ht="15" customHeight="1" x14ac:dyDescent="0.25">
      <c r="A3260" s="1"/>
      <c r="B3260" s="17"/>
      <c r="C3260" s="17"/>
      <c r="D3260" s="17"/>
      <c r="E3260" s="17"/>
      <c r="F3260" s="17"/>
      <c r="G3260" s="4">
        <f t="shared" si="147"/>
        <v>0</v>
      </c>
      <c r="H3260" s="17"/>
      <c r="I3260" s="4">
        <f t="shared" si="149"/>
        <v>349526.07999999996</v>
      </c>
      <c r="J3260" s="32" t="str">
        <f t="shared" si="148"/>
        <v/>
      </c>
      <c r="K3260" s="72"/>
      <c r="L3260" s="72"/>
      <c r="M3260" s="2"/>
      <c r="N3260" s="5"/>
      <c r="O3260" s="3"/>
      <c r="P3260" s="6"/>
      <c r="Q3260" s="48">
        <f>IF(Учет!$O3260=Справочники!$F$2,Учет!$H3260,0)</f>
        <v>0</v>
      </c>
      <c r="R3260" s="48">
        <f>IF(Учет!$O3260=Справочники!$F$3,Учет!$H3260,0)</f>
        <v>0</v>
      </c>
      <c r="S3260" s="48">
        <f>IF(Учет!$O3260=Справочники!$F$4,Учет!$H3260,0)</f>
        <v>0</v>
      </c>
      <c r="T3260" s="48">
        <f>IF(Учет!$O3260=Справочники!$F$5,Учет!$H3260,0)</f>
        <v>0</v>
      </c>
      <c r="U3260" s="48">
        <f>IF(Учет!$O3260=Справочники!$F$6,Учет!$H3260,0)</f>
        <v>0</v>
      </c>
      <c r="V3260" s="43">
        <f>V3259+Учет!Q3260-Q3260</f>
        <v>-488978.92000000004</v>
      </c>
      <c r="W3260" s="43">
        <f>W3259+Учет!R3260-R3260</f>
        <v>336855</v>
      </c>
      <c r="X3260" s="43">
        <f>X3259+Учет!S3260-S3260</f>
        <v>500</v>
      </c>
      <c r="Y3260" s="43">
        <f>Y3259+Учет!T3260-T3260</f>
        <v>1150</v>
      </c>
      <c r="Z3260" s="43">
        <f>Z3259+Учет!U3260-U3260</f>
        <v>500000</v>
      </c>
      <c r="AA3260" s="45">
        <f>Учет!X3260</f>
        <v>500</v>
      </c>
    </row>
    <row r="3261" spans="1:27" ht="15" customHeight="1" x14ac:dyDescent="0.25">
      <c r="A3261" s="1"/>
      <c r="B3261" s="17"/>
      <c r="C3261" s="17"/>
      <c r="D3261" s="17"/>
      <c r="E3261" s="17"/>
      <c r="F3261" s="17"/>
      <c r="G3261" s="4">
        <f t="shared" si="147"/>
        <v>0</v>
      </c>
      <c r="H3261" s="17"/>
      <c r="I3261" s="4">
        <f t="shared" si="149"/>
        <v>349526.07999999996</v>
      </c>
      <c r="J3261" s="32" t="str">
        <f t="shared" si="148"/>
        <v/>
      </c>
      <c r="K3261" s="72"/>
      <c r="L3261" s="72"/>
      <c r="M3261" s="2"/>
      <c r="N3261" s="5"/>
      <c r="O3261" s="3"/>
      <c r="P3261" s="6"/>
      <c r="Q3261" s="48">
        <f>IF(Учет!$O3261=Справочники!$F$2,Учет!$H3261,0)</f>
        <v>0</v>
      </c>
      <c r="R3261" s="48">
        <f>IF(Учет!$O3261=Справочники!$F$3,Учет!$H3261,0)</f>
        <v>0</v>
      </c>
      <c r="S3261" s="48">
        <f>IF(Учет!$O3261=Справочники!$F$4,Учет!$H3261,0)</f>
        <v>0</v>
      </c>
      <c r="T3261" s="48">
        <f>IF(Учет!$O3261=Справочники!$F$5,Учет!$H3261,0)</f>
        <v>0</v>
      </c>
      <c r="U3261" s="48">
        <f>IF(Учет!$O3261=Справочники!$F$6,Учет!$H3261,0)</f>
        <v>0</v>
      </c>
      <c r="V3261" s="43">
        <f>V3260+Учет!Q3261-Q3261</f>
        <v>-488978.92000000004</v>
      </c>
      <c r="W3261" s="43">
        <f>W3260+Учет!R3261-R3261</f>
        <v>336855</v>
      </c>
      <c r="X3261" s="43">
        <f>X3260+Учет!S3261-S3261</f>
        <v>500</v>
      </c>
      <c r="Y3261" s="43">
        <f>Y3260+Учет!T3261-T3261</f>
        <v>1150</v>
      </c>
      <c r="Z3261" s="43">
        <f>Z3260+Учет!U3261-U3261</f>
        <v>500000</v>
      </c>
      <c r="AA3261" s="45">
        <f>Учет!X3261</f>
        <v>500</v>
      </c>
    </row>
    <row r="3262" spans="1:27" ht="15" customHeight="1" x14ac:dyDescent="0.25">
      <c r="A3262" s="1"/>
      <c r="B3262" s="17"/>
      <c r="C3262" s="17"/>
      <c r="D3262" s="17"/>
      <c r="E3262" s="17"/>
      <c r="F3262" s="17"/>
      <c r="G3262" s="4">
        <f t="shared" si="147"/>
        <v>0</v>
      </c>
      <c r="H3262" s="17"/>
      <c r="I3262" s="4">
        <f t="shared" si="149"/>
        <v>349526.07999999996</v>
      </c>
      <c r="J3262" s="32" t="str">
        <f t="shared" si="148"/>
        <v/>
      </c>
      <c r="K3262" s="72"/>
      <c r="L3262" s="72"/>
      <c r="M3262" s="2"/>
      <c r="N3262" s="5"/>
      <c r="O3262" s="3"/>
      <c r="P3262" s="6"/>
      <c r="Q3262" s="48">
        <f>IF(Учет!$O3262=Справочники!$F$2,Учет!$H3262,0)</f>
        <v>0</v>
      </c>
      <c r="R3262" s="48">
        <f>IF(Учет!$O3262=Справочники!$F$3,Учет!$H3262,0)</f>
        <v>0</v>
      </c>
      <c r="S3262" s="48">
        <f>IF(Учет!$O3262=Справочники!$F$4,Учет!$H3262,0)</f>
        <v>0</v>
      </c>
      <c r="T3262" s="48">
        <f>IF(Учет!$O3262=Справочники!$F$5,Учет!$H3262,0)</f>
        <v>0</v>
      </c>
      <c r="U3262" s="48">
        <f>IF(Учет!$O3262=Справочники!$F$6,Учет!$H3262,0)</f>
        <v>0</v>
      </c>
      <c r="V3262" s="43">
        <f>V3261+Учет!Q3262-Q3262</f>
        <v>-488978.92000000004</v>
      </c>
      <c r="W3262" s="43">
        <f>W3261+Учет!R3262-R3262</f>
        <v>336855</v>
      </c>
      <c r="X3262" s="43">
        <f>X3261+Учет!S3262-S3262</f>
        <v>500</v>
      </c>
      <c r="Y3262" s="43">
        <f>Y3261+Учет!T3262-T3262</f>
        <v>1150</v>
      </c>
      <c r="Z3262" s="43">
        <f>Z3261+Учет!U3262-U3262</f>
        <v>500000</v>
      </c>
      <c r="AA3262" s="45">
        <f>Учет!X3262</f>
        <v>500</v>
      </c>
    </row>
    <row r="3263" spans="1:27" ht="15" customHeight="1" x14ac:dyDescent="0.25">
      <c r="A3263" s="1"/>
      <c r="B3263" s="17"/>
      <c r="C3263" s="17"/>
      <c r="D3263" s="17"/>
      <c r="E3263" s="17"/>
      <c r="F3263" s="17"/>
      <c r="G3263" s="4">
        <f t="shared" si="147"/>
        <v>0</v>
      </c>
      <c r="H3263" s="17"/>
      <c r="I3263" s="4">
        <f t="shared" si="149"/>
        <v>349526.07999999996</v>
      </c>
      <c r="J3263" s="32" t="str">
        <f t="shared" si="148"/>
        <v/>
      </c>
      <c r="K3263" s="72"/>
      <c r="L3263" s="72"/>
      <c r="M3263" s="2"/>
      <c r="N3263" s="5"/>
      <c r="O3263" s="3"/>
      <c r="P3263" s="6"/>
      <c r="Q3263" s="48">
        <f>IF(Учет!$O3263=Справочники!$F$2,Учет!$H3263,0)</f>
        <v>0</v>
      </c>
      <c r="R3263" s="48">
        <f>IF(Учет!$O3263=Справочники!$F$3,Учет!$H3263,0)</f>
        <v>0</v>
      </c>
      <c r="S3263" s="48">
        <f>IF(Учет!$O3263=Справочники!$F$4,Учет!$H3263,0)</f>
        <v>0</v>
      </c>
      <c r="T3263" s="48">
        <f>IF(Учет!$O3263=Справочники!$F$5,Учет!$H3263,0)</f>
        <v>0</v>
      </c>
      <c r="U3263" s="48">
        <f>IF(Учет!$O3263=Справочники!$F$6,Учет!$H3263,0)</f>
        <v>0</v>
      </c>
      <c r="V3263" s="43">
        <f>V3262+Учет!Q3263-Q3263</f>
        <v>-488978.92000000004</v>
      </c>
      <c r="W3263" s="43">
        <f>W3262+Учет!R3263-R3263</f>
        <v>336855</v>
      </c>
      <c r="X3263" s="43">
        <f>X3262+Учет!S3263-S3263</f>
        <v>500</v>
      </c>
      <c r="Y3263" s="43">
        <f>Y3262+Учет!T3263-T3263</f>
        <v>1150</v>
      </c>
      <c r="Z3263" s="43">
        <f>Z3262+Учет!U3263-U3263</f>
        <v>500000</v>
      </c>
      <c r="AA3263" s="45">
        <f>Учет!X3263</f>
        <v>500</v>
      </c>
    </row>
    <row r="3264" spans="1:27" ht="15" customHeight="1" x14ac:dyDescent="0.25">
      <c r="A3264" s="1"/>
      <c r="B3264" s="17"/>
      <c r="C3264" s="17"/>
      <c r="D3264" s="17"/>
      <c r="E3264" s="17"/>
      <c r="F3264" s="17"/>
      <c r="G3264" s="4">
        <f t="shared" si="147"/>
        <v>0</v>
      </c>
      <c r="H3264" s="17"/>
      <c r="I3264" s="4">
        <f t="shared" si="149"/>
        <v>349526.07999999996</v>
      </c>
      <c r="J3264" s="32" t="str">
        <f t="shared" si="148"/>
        <v/>
      </c>
      <c r="K3264" s="72"/>
      <c r="L3264" s="72"/>
      <c r="M3264" s="2"/>
      <c r="N3264" s="5"/>
      <c r="O3264" s="3"/>
      <c r="P3264" s="6"/>
      <c r="Q3264" s="48">
        <f>IF(Учет!$O3264=Справочники!$F$2,Учет!$H3264,0)</f>
        <v>0</v>
      </c>
      <c r="R3264" s="48">
        <f>IF(Учет!$O3264=Справочники!$F$3,Учет!$H3264,0)</f>
        <v>0</v>
      </c>
      <c r="S3264" s="48">
        <f>IF(Учет!$O3264=Справочники!$F$4,Учет!$H3264,0)</f>
        <v>0</v>
      </c>
      <c r="T3264" s="48">
        <f>IF(Учет!$O3264=Справочники!$F$5,Учет!$H3264,0)</f>
        <v>0</v>
      </c>
      <c r="U3264" s="48">
        <f>IF(Учет!$O3264=Справочники!$F$6,Учет!$H3264,0)</f>
        <v>0</v>
      </c>
      <c r="V3264" s="43">
        <f>V3263+Учет!Q3264-Q3264</f>
        <v>-488978.92000000004</v>
      </c>
      <c r="W3264" s="43">
        <f>W3263+Учет!R3264-R3264</f>
        <v>336855</v>
      </c>
      <c r="X3264" s="43">
        <f>X3263+Учет!S3264-S3264</f>
        <v>500</v>
      </c>
      <c r="Y3264" s="43">
        <f>Y3263+Учет!T3264-T3264</f>
        <v>1150</v>
      </c>
      <c r="Z3264" s="43">
        <f>Z3263+Учет!U3264-U3264</f>
        <v>500000</v>
      </c>
      <c r="AA3264" s="45">
        <f>Учет!X3264</f>
        <v>500</v>
      </c>
    </row>
    <row r="3265" spans="1:27" ht="15" customHeight="1" x14ac:dyDescent="0.25">
      <c r="A3265" s="1"/>
      <c r="B3265" s="17"/>
      <c r="C3265" s="17"/>
      <c r="D3265" s="17"/>
      <c r="E3265" s="17"/>
      <c r="F3265" s="17"/>
      <c r="G3265" s="4">
        <f t="shared" si="147"/>
        <v>0</v>
      </c>
      <c r="H3265" s="17"/>
      <c r="I3265" s="4">
        <f t="shared" si="149"/>
        <v>349526.07999999996</v>
      </c>
      <c r="J3265" s="32" t="str">
        <f t="shared" si="148"/>
        <v/>
      </c>
      <c r="K3265" s="72"/>
      <c r="L3265" s="72"/>
      <c r="M3265" s="2"/>
      <c r="N3265" s="5"/>
      <c r="O3265" s="3"/>
      <c r="P3265" s="6"/>
      <c r="Q3265" s="48">
        <f>IF(Учет!$O3265=Справочники!$F$2,Учет!$H3265,0)</f>
        <v>0</v>
      </c>
      <c r="R3265" s="48">
        <f>IF(Учет!$O3265=Справочники!$F$3,Учет!$H3265,0)</f>
        <v>0</v>
      </c>
      <c r="S3265" s="48">
        <f>IF(Учет!$O3265=Справочники!$F$4,Учет!$H3265,0)</f>
        <v>0</v>
      </c>
      <c r="T3265" s="48">
        <f>IF(Учет!$O3265=Справочники!$F$5,Учет!$H3265,0)</f>
        <v>0</v>
      </c>
      <c r="U3265" s="48">
        <f>IF(Учет!$O3265=Справочники!$F$6,Учет!$H3265,0)</f>
        <v>0</v>
      </c>
      <c r="V3265" s="43">
        <f>V3264+Учет!Q3265-Q3265</f>
        <v>-488978.92000000004</v>
      </c>
      <c r="W3265" s="43">
        <f>W3264+Учет!R3265-R3265</f>
        <v>336855</v>
      </c>
      <c r="X3265" s="43">
        <f>X3264+Учет!S3265-S3265</f>
        <v>500</v>
      </c>
      <c r="Y3265" s="43">
        <f>Y3264+Учет!T3265-T3265</f>
        <v>1150</v>
      </c>
      <c r="Z3265" s="43">
        <f>Z3264+Учет!U3265-U3265</f>
        <v>500000</v>
      </c>
      <c r="AA3265" s="45">
        <f>Учет!X3265</f>
        <v>500</v>
      </c>
    </row>
    <row r="3266" spans="1:27" ht="15" customHeight="1" x14ac:dyDescent="0.25">
      <c r="A3266" s="1"/>
      <c r="B3266" s="17"/>
      <c r="C3266" s="17"/>
      <c r="D3266" s="17"/>
      <c r="E3266" s="17"/>
      <c r="F3266" s="17"/>
      <c r="G3266" s="4">
        <f t="shared" ref="G3266:G3329" si="150">SUM($B3266:$F3266)</f>
        <v>0</v>
      </c>
      <c r="H3266" s="17"/>
      <c r="I3266" s="4">
        <f t="shared" si="149"/>
        <v>349526.07999999996</v>
      </c>
      <c r="J3266" s="32" t="str">
        <f t="shared" ref="J3266:J3329" si="151">IF($A3267&lt;&gt;$A3266,$I3266,"")</f>
        <v/>
      </c>
      <c r="K3266" s="72"/>
      <c r="L3266" s="72"/>
      <c r="M3266" s="2"/>
      <c r="N3266" s="5"/>
      <c r="O3266" s="3"/>
      <c r="P3266" s="6"/>
      <c r="Q3266" s="48">
        <f>IF(Учет!$O3266=Справочники!$F$2,Учет!$H3266,0)</f>
        <v>0</v>
      </c>
      <c r="R3266" s="48">
        <f>IF(Учет!$O3266=Справочники!$F$3,Учет!$H3266,0)</f>
        <v>0</v>
      </c>
      <c r="S3266" s="48">
        <f>IF(Учет!$O3266=Справочники!$F$4,Учет!$H3266,0)</f>
        <v>0</v>
      </c>
      <c r="T3266" s="48">
        <f>IF(Учет!$O3266=Справочники!$F$5,Учет!$H3266,0)</f>
        <v>0</v>
      </c>
      <c r="U3266" s="48">
        <f>IF(Учет!$O3266=Справочники!$F$6,Учет!$H3266,0)</f>
        <v>0</v>
      </c>
      <c r="V3266" s="43">
        <f>V3265+Учет!Q3266-Q3266</f>
        <v>-488978.92000000004</v>
      </c>
      <c r="W3266" s="43">
        <f>W3265+Учет!R3266-R3266</f>
        <v>336855</v>
      </c>
      <c r="X3266" s="43">
        <f>X3265+Учет!S3266-S3266</f>
        <v>500</v>
      </c>
      <c r="Y3266" s="43">
        <f>Y3265+Учет!T3266-T3266</f>
        <v>1150</v>
      </c>
      <c r="Z3266" s="43">
        <f>Z3265+Учет!U3266-U3266</f>
        <v>500000</v>
      </c>
      <c r="AA3266" s="45">
        <f>Учет!X3266</f>
        <v>500</v>
      </c>
    </row>
    <row r="3267" spans="1:27" ht="15" customHeight="1" x14ac:dyDescent="0.25">
      <c r="A3267" s="1"/>
      <c r="B3267" s="17"/>
      <c r="C3267" s="17"/>
      <c r="D3267" s="17"/>
      <c r="E3267" s="17"/>
      <c r="F3267" s="17"/>
      <c r="G3267" s="4">
        <f t="shared" si="150"/>
        <v>0</v>
      </c>
      <c r="H3267" s="17"/>
      <c r="I3267" s="4">
        <f t="shared" ref="I3267:I3330" si="152">$I3266+$G3267-$H3267</f>
        <v>349526.07999999996</v>
      </c>
      <c r="J3267" s="32" t="str">
        <f t="shared" si="151"/>
        <v/>
      </c>
      <c r="K3267" s="72"/>
      <c r="L3267" s="72"/>
      <c r="M3267" s="2"/>
      <c r="N3267" s="5"/>
      <c r="O3267" s="3"/>
      <c r="P3267" s="6"/>
      <c r="Q3267" s="48">
        <f>IF(Учет!$O3267=Справочники!$F$2,Учет!$H3267,0)</f>
        <v>0</v>
      </c>
      <c r="R3267" s="48">
        <f>IF(Учет!$O3267=Справочники!$F$3,Учет!$H3267,0)</f>
        <v>0</v>
      </c>
      <c r="S3267" s="48">
        <f>IF(Учет!$O3267=Справочники!$F$4,Учет!$H3267,0)</f>
        <v>0</v>
      </c>
      <c r="T3267" s="48">
        <f>IF(Учет!$O3267=Справочники!$F$5,Учет!$H3267,0)</f>
        <v>0</v>
      </c>
      <c r="U3267" s="48">
        <f>IF(Учет!$O3267=Справочники!$F$6,Учет!$H3267,0)</f>
        <v>0</v>
      </c>
      <c r="V3267" s="43">
        <f>V3266+Учет!Q3267-Q3267</f>
        <v>-488978.92000000004</v>
      </c>
      <c r="W3267" s="43">
        <f>W3266+Учет!R3267-R3267</f>
        <v>336855</v>
      </c>
      <c r="X3267" s="43">
        <f>X3266+Учет!S3267-S3267</f>
        <v>500</v>
      </c>
      <c r="Y3267" s="43">
        <f>Y3266+Учет!T3267-T3267</f>
        <v>1150</v>
      </c>
      <c r="Z3267" s="43">
        <f>Z3266+Учет!U3267-U3267</f>
        <v>500000</v>
      </c>
      <c r="AA3267" s="45">
        <f>Учет!X3267</f>
        <v>500</v>
      </c>
    </row>
    <row r="3268" spans="1:27" ht="15" customHeight="1" x14ac:dyDescent="0.25">
      <c r="A3268" s="1"/>
      <c r="B3268" s="17"/>
      <c r="C3268" s="17"/>
      <c r="D3268" s="17"/>
      <c r="E3268" s="17"/>
      <c r="F3268" s="17"/>
      <c r="G3268" s="4">
        <f t="shared" si="150"/>
        <v>0</v>
      </c>
      <c r="H3268" s="17"/>
      <c r="I3268" s="4">
        <f t="shared" si="152"/>
        <v>349526.07999999996</v>
      </c>
      <c r="J3268" s="32" t="str">
        <f t="shared" si="151"/>
        <v/>
      </c>
      <c r="K3268" s="72"/>
      <c r="L3268" s="72"/>
      <c r="M3268" s="2"/>
      <c r="N3268" s="5"/>
      <c r="O3268" s="3"/>
      <c r="P3268" s="6"/>
      <c r="Q3268" s="48">
        <f>IF(Учет!$O3268=Справочники!$F$2,Учет!$H3268,0)</f>
        <v>0</v>
      </c>
      <c r="R3268" s="48">
        <f>IF(Учет!$O3268=Справочники!$F$3,Учет!$H3268,0)</f>
        <v>0</v>
      </c>
      <c r="S3268" s="48">
        <f>IF(Учет!$O3268=Справочники!$F$4,Учет!$H3268,0)</f>
        <v>0</v>
      </c>
      <c r="T3268" s="48">
        <f>IF(Учет!$O3268=Справочники!$F$5,Учет!$H3268,0)</f>
        <v>0</v>
      </c>
      <c r="U3268" s="48">
        <f>IF(Учет!$O3268=Справочники!$F$6,Учет!$H3268,0)</f>
        <v>0</v>
      </c>
      <c r="V3268" s="43">
        <f>V3267+Учет!Q3268-Q3268</f>
        <v>-488978.92000000004</v>
      </c>
      <c r="W3268" s="43">
        <f>W3267+Учет!R3268-R3268</f>
        <v>336855</v>
      </c>
      <c r="X3268" s="43">
        <f>X3267+Учет!S3268-S3268</f>
        <v>500</v>
      </c>
      <c r="Y3268" s="43">
        <f>Y3267+Учет!T3268-T3268</f>
        <v>1150</v>
      </c>
      <c r="Z3268" s="43">
        <f>Z3267+Учет!U3268-U3268</f>
        <v>500000</v>
      </c>
      <c r="AA3268" s="45">
        <f>Учет!X3268</f>
        <v>500</v>
      </c>
    </row>
    <row r="3269" spans="1:27" ht="15" customHeight="1" x14ac:dyDescent="0.25">
      <c r="A3269" s="1"/>
      <c r="B3269" s="17"/>
      <c r="C3269" s="17"/>
      <c r="D3269" s="17"/>
      <c r="E3269" s="17"/>
      <c r="F3269" s="17"/>
      <c r="G3269" s="4">
        <f t="shared" si="150"/>
        <v>0</v>
      </c>
      <c r="H3269" s="17"/>
      <c r="I3269" s="4">
        <f t="shared" si="152"/>
        <v>349526.07999999996</v>
      </c>
      <c r="J3269" s="32" t="str">
        <f t="shared" si="151"/>
        <v/>
      </c>
      <c r="K3269" s="72"/>
      <c r="L3269" s="72"/>
      <c r="M3269" s="2"/>
      <c r="N3269" s="5"/>
      <c r="O3269" s="3"/>
      <c r="P3269" s="6"/>
      <c r="Q3269" s="48">
        <f>IF(Учет!$O3269=Справочники!$F$2,Учет!$H3269,0)</f>
        <v>0</v>
      </c>
      <c r="R3269" s="48">
        <f>IF(Учет!$O3269=Справочники!$F$3,Учет!$H3269,0)</f>
        <v>0</v>
      </c>
      <c r="S3269" s="48">
        <f>IF(Учет!$O3269=Справочники!$F$4,Учет!$H3269,0)</f>
        <v>0</v>
      </c>
      <c r="T3269" s="48">
        <f>IF(Учет!$O3269=Справочники!$F$5,Учет!$H3269,0)</f>
        <v>0</v>
      </c>
      <c r="U3269" s="48">
        <f>IF(Учет!$O3269=Справочники!$F$6,Учет!$H3269,0)</f>
        <v>0</v>
      </c>
      <c r="V3269" s="43">
        <f>V3268+Учет!Q3269-Q3269</f>
        <v>-488978.92000000004</v>
      </c>
      <c r="W3269" s="43">
        <f>W3268+Учет!R3269-R3269</f>
        <v>336855</v>
      </c>
      <c r="X3269" s="43">
        <f>X3268+Учет!S3269-S3269</f>
        <v>500</v>
      </c>
      <c r="Y3269" s="43">
        <f>Y3268+Учет!T3269-T3269</f>
        <v>1150</v>
      </c>
      <c r="Z3269" s="43">
        <f>Z3268+Учет!U3269-U3269</f>
        <v>500000</v>
      </c>
      <c r="AA3269" s="45">
        <f>Учет!X3269</f>
        <v>500</v>
      </c>
    </row>
    <row r="3270" spans="1:27" ht="15" customHeight="1" x14ac:dyDescent="0.25">
      <c r="A3270" s="1"/>
      <c r="B3270" s="17"/>
      <c r="C3270" s="17"/>
      <c r="D3270" s="17"/>
      <c r="E3270" s="17"/>
      <c r="F3270" s="17"/>
      <c r="G3270" s="4">
        <f t="shared" si="150"/>
        <v>0</v>
      </c>
      <c r="H3270" s="17"/>
      <c r="I3270" s="4">
        <f t="shared" si="152"/>
        <v>349526.07999999996</v>
      </c>
      <c r="J3270" s="32" t="str">
        <f t="shared" si="151"/>
        <v/>
      </c>
      <c r="K3270" s="72"/>
      <c r="L3270" s="72"/>
      <c r="M3270" s="2"/>
      <c r="N3270" s="5"/>
      <c r="O3270" s="3"/>
      <c r="P3270" s="6"/>
      <c r="Q3270" s="48">
        <f>IF(Учет!$O3270=Справочники!$F$2,Учет!$H3270,0)</f>
        <v>0</v>
      </c>
      <c r="R3270" s="48">
        <f>IF(Учет!$O3270=Справочники!$F$3,Учет!$H3270,0)</f>
        <v>0</v>
      </c>
      <c r="S3270" s="48">
        <f>IF(Учет!$O3270=Справочники!$F$4,Учет!$H3270,0)</f>
        <v>0</v>
      </c>
      <c r="T3270" s="48">
        <f>IF(Учет!$O3270=Справочники!$F$5,Учет!$H3270,0)</f>
        <v>0</v>
      </c>
      <c r="U3270" s="48">
        <f>IF(Учет!$O3270=Справочники!$F$6,Учет!$H3270,0)</f>
        <v>0</v>
      </c>
      <c r="V3270" s="43">
        <f>V3269+Учет!Q3270-Q3270</f>
        <v>-488978.92000000004</v>
      </c>
      <c r="W3270" s="43">
        <f>W3269+Учет!R3270-R3270</f>
        <v>336855</v>
      </c>
      <c r="X3270" s="43">
        <f>X3269+Учет!S3270-S3270</f>
        <v>500</v>
      </c>
      <c r="Y3270" s="43">
        <f>Y3269+Учет!T3270-T3270</f>
        <v>1150</v>
      </c>
      <c r="Z3270" s="43">
        <f>Z3269+Учет!U3270-U3270</f>
        <v>500000</v>
      </c>
      <c r="AA3270" s="45">
        <f>Учет!X3270</f>
        <v>500</v>
      </c>
    </row>
    <row r="3271" spans="1:27" ht="15" customHeight="1" x14ac:dyDescent="0.25">
      <c r="A3271" s="1"/>
      <c r="B3271" s="17"/>
      <c r="C3271" s="17"/>
      <c r="D3271" s="17"/>
      <c r="E3271" s="17"/>
      <c r="F3271" s="17"/>
      <c r="G3271" s="4">
        <f t="shared" si="150"/>
        <v>0</v>
      </c>
      <c r="H3271" s="17"/>
      <c r="I3271" s="4">
        <f t="shared" si="152"/>
        <v>349526.07999999996</v>
      </c>
      <c r="J3271" s="32" t="str">
        <f t="shared" si="151"/>
        <v/>
      </c>
      <c r="K3271" s="72"/>
      <c r="L3271" s="72"/>
      <c r="M3271" s="2"/>
      <c r="N3271" s="5"/>
      <c r="O3271" s="3"/>
      <c r="P3271" s="6"/>
      <c r="Q3271" s="48">
        <f>IF(Учет!$O3271=Справочники!$F$2,Учет!$H3271,0)</f>
        <v>0</v>
      </c>
      <c r="R3271" s="48">
        <f>IF(Учет!$O3271=Справочники!$F$3,Учет!$H3271,0)</f>
        <v>0</v>
      </c>
      <c r="S3271" s="48">
        <f>IF(Учет!$O3271=Справочники!$F$4,Учет!$H3271,0)</f>
        <v>0</v>
      </c>
      <c r="T3271" s="48">
        <f>IF(Учет!$O3271=Справочники!$F$5,Учет!$H3271,0)</f>
        <v>0</v>
      </c>
      <c r="U3271" s="48">
        <f>IF(Учет!$O3271=Справочники!$F$6,Учет!$H3271,0)</f>
        <v>0</v>
      </c>
      <c r="V3271" s="43">
        <f>V3270+Учет!Q3271-Q3271</f>
        <v>-488978.92000000004</v>
      </c>
      <c r="W3271" s="43">
        <f>W3270+Учет!R3271-R3271</f>
        <v>336855</v>
      </c>
      <c r="X3271" s="43">
        <f>X3270+Учет!S3271-S3271</f>
        <v>500</v>
      </c>
      <c r="Y3271" s="43">
        <f>Y3270+Учет!T3271-T3271</f>
        <v>1150</v>
      </c>
      <c r="Z3271" s="43">
        <f>Z3270+Учет!U3271-U3271</f>
        <v>500000</v>
      </c>
      <c r="AA3271" s="45">
        <f>Учет!X3271</f>
        <v>500</v>
      </c>
    </row>
    <row r="3272" spans="1:27" ht="15" customHeight="1" x14ac:dyDescent="0.25">
      <c r="A3272" s="1"/>
      <c r="B3272" s="17"/>
      <c r="C3272" s="17"/>
      <c r="D3272" s="17"/>
      <c r="E3272" s="17"/>
      <c r="F3272" s="17"/>
      <c r="G3272" s="4">
        <f t="shared" si="150"/>
        <v>0</v>
      </c>
      <c r="H3272" s="17"/>
      <c r="I3272" s="4">
        <f t="shared" si="152"/>
        <v>349526.07999999996</v>
      </c>
      <c r="J3272" s="32" t="str">
        <f t="shared" si="151"/>
        <v/>
      </c>
      <c r="K3272" s="72"/>
      <c r="L3272" s="72"/>
      <c r="M3272" s="2"/>
      <c r="N3272" s="5"/>
      <c r="O3272" s="3"/>
      <c r="P3272" s="6"/>
      <c r="Q3272" s="48">
        <f>IF(Учет!$O3272=Справочники!$F$2,Учет!$H3272,0)</f>
        <v>0</v>
      </c>
      <c r="R3272" s="48">
        <f>IF(Учет!$O3272=Справочники!$F$3,Учет!$H3272,0)</f>
        <v>0</v>
      </c>
      <c r="S3272" s="48">
        <f>IF(Учет!$O3272=Справочники!$F$4,Учет!$H3272,0)</f>
        <v>0</v>
      </c>
      <c r="T3272" s="48">
        <f>IF(Учет!$O3272=Справочники!$F$5,Учет!$H3272,0)</f>
        <v>0</v>
      </c>
      <c r="U3272" s="48">
        <f>IF(Учет!$O3272=Справочники!$F$6,Учет!$H3272,0)</f>
        <v>0</v>
      </c>
      <c r="V3272" s="43">
        <f>V3271+Учет!Q3272-Q3272</f>
        <v>-488978.92000000004</v>
      </c>
      <c r="W3272" s="43">
        <f>W3271+Учет!R3272-R3272</f>
        <v>336855</v>
      </c>
      <c r="X3272" s="43">
        <f>X3271+Учет!S3272-S3272</f>
        <v>500</v>
      </c>
      <c r="Y3272" s="43">
        <f>Y3271+Учет!T3272-T3272</f>
        <v>1150</v>
      </c>
      <c r="Z3272" s="43">
        <f>Z3271+Учет!U3272-U3272</f>
        <v>500000</v>
      </c>
      <c r="AA3272" s="45">
        <f>Учет!X3272</f>
        <v>500</v>
      </c>
    </row>
    <row r="3273" spans="1:27" ht="15" customHeight="1" x14ac:dyDescent="0.25">
      <c r="A3273" s="1"/>
      <c r="B3273" s="17"/>
      <c r="C3273" s="17"/>
      <c r="D3273" s="17"/>
      <c r="E3273" s="17"/>
      <c r="F3273" s="17"/>
      <c r="G3273" s="4">
        <f t="shared" si="150"/>
        <v>0</v>
      </c>
      <c r="H3273" s="17"/>
      <c r="I3273" s="4">
        <f t="shared" si="152"/>
        <v>349526.07999999996</v>
      </c>
      <c r="J3273" s="32" t="str">
        <f t="shared" si="151"/>
        <v/>
      </c>
      <c r="K3273" s="72"/>
      <c r="L3273" s="72"/>
      <c r="M3273" s="2"/>
      <c r="N3273" s="5"/>
      <c r="O3273" s="3"/>
      <c r="P3273" s="6"/>
      <c r="Q3273" s="48">
        <f>IF(Учет!$O3273=Справочники!$F$2,Учет!$H3273,0)</f>
        <v>0</v>
      </c>
      <c r="R3273" s="48">
        <f>IF(Учет!$O3273=Справочники!$F$3,Учет!$H3273,0)</f>
        <v>0</v>
      </c>
      <c r="S3273" s="48">
        <f>IF(Учет!$O3273=Справочники!$F$4,Учет!$H3273,0)</f>
        <v>0</v>
      </c>
      <c r="T3273" s="48">
        <f>IF(Учет!$O3273=Справочники!$F$5,Учет!$H3273,0)</f>
        <v>0</v>
      </c>
      <c r="U3273" s="48">
        <f>IF(Учет!$O3273=Справочники!$F$6,Учет!$H3273,0)</f>
        <v>0</v>
      </c>
      <c r="V3273" s="43">
        <f>V3272+Учет!Q3273-Q3273</f>
        <v>-488978.92000000004</v>
      </c>
      <c r="W3273" s="43">
        <f>W3272+Учет!R3273-R3273</f>
        <v>336855</v>
      </c>
      <c r="X3273" s="43">
        <f>X3272+Учет!S3273-S3273</f>
        <v>500</v>
      </c>
      <c r="Y3273" s="43">
        <f>Y3272+Учет!T3273-T3273</f>
        <v>1150</v>
      </c>
      <c r="Z3273" s="43">
        <f>Z3272+Учет!U3273-U3273</f>
        <v>500000</v>
      </c>
      <c r="AA3273" s="45">
        <f>Учет!X3273</f>
        <v>500</v>
      </c>
    </row>
    <row r="3274" spans="1:27" ht="15" customHeight="1" x14ac:dyDescent="0.25">
      <c r="A3274" s="1"/>
      <c r="B3274" s="17"/>
      <c r="C3274" s="17"/>
      <c r="D3274" s="17"/>
      <c r="E3274" s="17"/>
      <c r="F3274" s="17"/>
      <c r="G3274" s="4">
        <f t="shared" si="150"/>
        <v>0</v>
      </c>
      <c r="H3274" s="17"/>
      <c r="I3274" s="4">
        <f t="shared" si="152"/>
        <v>349526.07999999996</v>
      </c>
      <c r="J3274" s="32" t="str">
        <f t="shared" si="151"/>
        <v/>
      </c>
      <c r="K3274" s="72"/>
      <c r="L3274" s="72"/>
      <c r="M3274" s="2"/>
      <c r="N3274" s="5"/>
      <c r="O3274" s="3"/>
      <c r="P3274" s="6"/>
      <c r="Q3274" s="48">
        <f>IF(Учет!$O3274=Справочники!$F$2,Учет!$H3274,0)</f>
        <v>0</v>
      </c>
      <c r="R3274" s="48">
        <f>IF(Учет!$O3274=Справочники!$F$3,Учет!$H3274,0)</f>
        <v>0</v>
      </c>
      <c r="S3274" s="48">
        <f>IF(Учет!$O3274=Справочники!$F$4,Учет!$H3274,0)</f>
        <v>0</v>
      </c>
      <c r="T3274" s="48">
        <f>IF(Учет!$O3274=Справочники!$F$5,Учет!$H3274,0)</f>
        <v>0</v>
      </c>
      <c r="U3274" s="48">
        <f>IF(Учет!$O3274=Справочники!$F$6,Учет!$H3274,0)</f>
        <v>0</v>
      </c>
      <c r="V3274" s="43">
        <f>V3273+Учет!Q3274-Q3274</f>
        <v>-488978.92000000004</v>
      </c>
      <c r="W3274" s="43">
        <f>W3273+Учет!R3274-R3274</f>
        <v>336855</v>
      </c>
      <c r="X3274" s="43">
        <f>X3273+Учет!S3274-S3274</f>
        <v>500</v>
      </c>
      <c r="Y3274" s="43">
        <f>Y3273+Учет!T3274-T3274</f>
        <v>1150</v>
      </c>
      <c r="Z3274" s="43">
        <f>Z3273+Учет!U3274-U3274</f>
        <v>500000</v>
      </c>
      <c r="AA3274" s="45">
        <f>Учет!X3274</f>
        <v>500</v>
      </c>
    </row>
    <row r="3275" spans="1:27" ht="15" customHeight="1" x14ac:dyDescent="0.25">
      <c r="A3275" s="1"/>
      <c r="B3275" s="17"/>
      <c r="C3275" s="17"/>
      <c r="D3275" s="17"/>
      <c r="E3275" s="17"/>
      <c r="F3275" s="17"/>
      <c r="G3275" s="4">
        <f t="shared" si="150"/>
        <v>0</v>
      </c>
      <c r="H3275" s="17"/>
      <c r="I3275" s="4">
        <f t="shared" si="152"/>
        <v>349526.07999999996</v>
      </c>
      <c r="J3275" s="32" t="str">
        <f t="shared" si="151"/>
        <v/>
      </c>
      <c r="K3275" s="72"/>
      <c r="L3275" s="72"/>
      <c r="M3275" s="2"/>
      <c r="N3275" s="5"/>
      <c r="O3275" s="3"/>
      <c r="P3275" s="6"/>
      <c r="Q3275" s="48">
        <f>IF(Учет!$O3275=Справочники!$F$2,Учет!$H3275,0)</f>
        <v>0</v>
      </c>
      <c r="R3275" s="48">
        <f>IF(Учет!$O3275=Справочники!$F$3,Учет!$H3275,0)</f>
        <v>0</v>
      </c>
      <c r="S3275" s="48">
        <f>IF(Учет!$O3275=Справочники!$F$4,Учет!$H3275,0)</f>
        <v>0</v>
      </c>
      <c r="T3275" s="48">
        <f>IF(Учет!$O3275=Справочники!$F$5,Учет!$H3275,0)</f>
        <v>0</v>
      </c>
      <c r="U3275" s="48">
        <f>IF(Учет!$O3275=Справочники!$F$6,Учет!$H3275,0)</f>
        <v>0</v>
      </c>
      <c r="V3275" s="43">
        <f>V3274+Учет!Q3275-Q3275</f>
        <v>-488978.92000000004</v>
      </c>
      <c r="W3275" s="43">
        <f>W3274+Учет!R3275-R3275</f>
        <v>336855</v>
      </c>
      <c r="X3275" s="43">
        <f>X3274+Учет!S3275-S3275</f>
        <v>500</v>
      </c>
      <c r="Y3275" s="43">
        <f>Y3274+Учет!T3275-T3275</f>
        <v>1150</v>
      </c>
      <c r="Z3275" s="43">
        <f>Z3274+Учет!U3275-U3275</f>
        <v>500000</v>
      </c>
      <c r="AA3275" s="45">
        <f>Учет!X3275</f>
        <v>500</v>
      </c>
    </row>
    <row r="3276" spans="1:27" ht="15" customHeight="1" x14ac:dyDescent="0.25">
      <c r="A3276" s="1"/>
      <c r="B3276" s="17"/>
      <c r="C3276" s="17"/>
      <c r="D3276" s="17"/>
      <c r="E3276" s="17"/>
      <c r="F3276" s="17"/>
      <c r="G3276" s="4">
        <f t="shared" si="150"/>
        <v>0</v>
      </c>
      <c r="H3276" s="17"/>
      <c r="I3276" s="4">
        <f t="shared" si="152"/>
        <v>349526.07999999996</v>
      </c>
      <c r="J3276" s="32" t="str">
        <f t="shared" si="151"/>
        <v/>
      </c>
      <c r="K3276" s="72"/>
      <c r="L3276" s="72"/>
      <c r="M3276" s="2"/>
      <c r="N3276" s="5"/>
      <c r="O3276" s="3"/>
      <c r="P3276" s="6"/>
      <c r="Q3276" s="48">
        <f>IF(Учет!$O3276=Справочники!$F$2,Учет!$H3276,0)</f>
        <v>0</v>
      </c>
      <c r="R3276" s="48">
        <f>IF(Учет!$O3276=Справочники!$F$3,Учет!$H3276,0)</f>
        <v>0</v>
      </c>
      <c r="S3276" s="48">
        <f>IF(Учет!$O3276=Справочники!$F$4,Учет!$H3276,0)</f>
        <v>0</v>
      </c>
      <c r="T3276" s="48">
        <f>IF(Учет!$O3276=Справочники!$F$5,Учет!$H3276,0)</f>
        <v>0</v>
      </c>
      <c r="U3276" s="48">
        <f>IF(Учет!$O3276=Справочники!$F$6,Учет!$H3276,0)</f>
        <v>0</v>
      </c>
      <c r="V3276" s="43">
        <f>V3275+Учет!Q3276-Q3276</f>
        <v>-488978.92000000004</v>
      </c>
      <c r="W3276" s="43">
        <f>W3275+Учет!R3276-R3276</f>
        <v>336855</v>
      </c>
      <c r="X3276" s="43">
        <f>X3275+Учет!S3276-S3276</f>
        <v>500</v>
      </c>
      <c r="Y3276" s="43">
        <f>Y3275+Учет!T3276-T3276</f>
        <v>1150</v>
      </c>
      <c r="Z3276" s="43">
        <f>Z3275+Учет!U3276-U3276</f>
        <v>500000</v>
      </c>
      <c r="AA3276" s="45">
        <f>Учет!X3276</f>
        <v>500</v>
      </c>
    </row>
    <row r="3277" spans="1:27" ht="15" customHeight="1" x14ac:dyDescent="0.25">
      <c r="A3277" s="1"/>
      <c r="B3277" s="17"/>
      <c r="C3277" s="17"/>
      <c r="D3277" s="17"/>
      <c r="E3277" s="17"/>
      <c r="F3277" s="17"/>
      <c r="G3277" s="4">
        <f t="shared" si="150"/>
        <v>0</v>
      </c>
      <c r="H3277" s="17"/>
      <c r="I3277" s="4">
        <f t="shared" si="152"/>
        <v>349526.07999999996</v>
      </c>
      <c r="J3277" s="32" t="str">
        <f t="shared" si="151"/>
        <v/>
      </c>
      <c r="K3277" s="72"/>
      <c r="L3277" s="72"/>
      <c r="M3277" s="2"/>
      <c r="N3277" s="5"/>
      <c r="O3277" s="3"/>
      <c r="P3277" s="6"/>
      <c r="Q3277" s="48">
        <f>IF(Учет!$O3277=Справочники!$F$2,Учет!$H3277,0)</f>
        <v>0</v>
      </c>
      <c r="R3277" s="48">
        <f>IF(Учет!$O3277=Справочники!$F$3,Учет!$H3277,0)</f>
        <v>0</v>
      </c>
      <c r="S3277" s="48">
        <f>IF(Учет!$O3277=Справочники!$F$4,Учет!$H3277,0)</f>
        <v>0</v>
      </c>
      <c r="T3277" s="48">
        <f>IF(Учет!$O3277=Справочники!$F$5,Учет!$H3277,0)</f>
        <v>0</v>
      </c>
      <c r="U3277" s="48">
        <f>IF(Учет!$O3277=Справочники!$F$6,Учет!$H3277,0)</f>
        <v>0</v>
      </c>
      <c r="V3277" s="43">
        <f>V3276+Учет!Q3277-Q3277</f>
        <v>-488978.92000000004</v>
      </c>
      <c r="W3277" s="43">
        <f>W3276+Учет!R3277-R3277</f>
        <v>336855</v>
      </c>
      <c r="X3277" s="43">
        <f>X3276+Учет!S3277-S3277</f>
        <v>500</v>
      </c>
      <c r="Y3277" s="43">
        <f>Y3276+Учет!T3277-T3277</f>
        <v>1150</v>
      </c>
      <c r="Z3277" s="43">
        <f>Z3276+Учет!U3277-U3277</f>
        <v>500000</v>
      </c>
      <c r="AA3277" s="45">
        <f>Учет!X3277</f>
        <v>500</v>
      </c>
    </row>
    <row r="3278" spans="1:27" ht="15" customHeight="1" x14ac:dyDescent="0.25">
      <c r="A3278" s="1"/>
      <c r="B3278" s="17"/>
      <c r="C3278" s="17"/>
      <c r="D3278" s="17"/>
      <c r="E3278" s="17"/>
      <c r="F3278" s="17"/>
      <c r="G3278" s="4">
        <f t="shared" si="150"/>
        <v>0</v>
      </c>
      <c r="H3278" s="17"/>
      <c r="I3278" s="4">
        <f t="shared" si="152"/>
        <v>349526.07999999996</v>
      </c>
      <c r="J3278" s="32" t="str">
        <f t="shared" si="151"/>
        <v/>
      </c>
      <c r="K3278" s="72"/>
      <c r="L3278" s="72"/>
      <c r="M3278" s="2"/>
      <c r="N3278" s="5"/>
      <c r="O3278" s="3"/>
      <c r="P3278" s="6"/>
      <c r="Q3278" s="48">
        <f>IF(Учет!$O3278=Справочники!$F$2,Учет!$H3278,0)</f>
        <v>0</v>
      </c>
      <c r="R3278" s="48">
        <f>IF(Учет!$O3278=Справочники!$F$3,Учет!$H3278,0)</f>
        <v>0</v>
      </c>
      <c r="S3278" s="48">
        <f>IF(Учет!$O3278=Справочники!$F$4,Учет!$H3278,0)</f>
        <v>0</v>
      </c>
      <c r="T3278" s="48">
        <f>IF(Учет!$O3278=Справочники!$F$5,Учет!$H3278,0)</f>
        <v>0</v>
      </c>
      <c r="U3278" s="48">
        <f>IF(Учет!$O3278=Справочники!$F$6,Учет!$H3278,0)</f>
        <v>0</v>
      </c>
      <c r="V3278" s="43">
        <f>V3277+Учет!Q3278-Q3278</f>
        <v>-488978.92000000004</v>
      </c>
      <c r="W3278" s="43">
        <f>W3277+Учет!R3278-R3278</f>
        <v>336855</v>
      </c>
      <c r="X3278" s="43">
        <f>X3277+Учет!S3278-S3278</f>
        <v>500</v>
      </c>
      <c r="Y3278" s="43">
        <f>Y3277+Учет!T3278-T3278</f>
        <v>1150</v>
      </c>
      <c r="Z3278" s="43">
        <f>Z3277+Учет!U3278-U3278</f>
        <v>500000</v>
      </c>
      <c r="AA3278" s="45">
        <f>Учет!X3278</f>
        <v>500</v>
      </c>
    </row>
    <row r="3279" spans="1:27" ht="15" customHeight="1" x14ac:dyDescent="0.25">
      <c r="A3279" s="1"/>
      <c r="B3279" s="17"/>
      <c r="C3279" s="17"/>
      <c r="D3279" s="17"/>
      <c r="E3279" s="17"/>
      <c r="F3279" s="17"/>
      <c r="G3279" s="4">
        <f t="shared" si="150"/>
        <v>0</v>
      </c>
      <c r="H3279" s="17"/>
      <c r="I3279" s="4">
        <f t="shared" si="152"/>
        <v>349526.07999999996</v>
      </c>
      <c r="J3279" s="32" t="str">
        <f t="shared" si="151"/>
        <v/>
      </c>
      <c r="K3279" s="72"/>
      <c r="L3279" s="72"/>
      <c r="M3279" s="2"/>
      <c r="N3279" s="5"/>
      <c r="O3279" s="3"/>
      <c r="P3279" s="6"/>
      <c r="Q3279" s="48">
        <f>IF(Учет!$O3279=Справочники!$F$2,Учет!$H3279,0)</f>
        <v>0</v>
      </c>
      <c r="R3279" s="48">
        <f>IF(Учет!$O3279=Справочники!$F$3,Учет!$H3279,0)</f>
        <v>0</v>
      </c>
      <c r="S3279" s="48">
        <f>IF(Учет!$O3279=Справочники!$F$4,Учет!$H3279,0)</f>
        <v>0</v>
      </c>
      <c r="T3279" s="48">
        <f>IF(Учет!$O3279=Справочники!$F$5,Учет!$H3279,0)</f>
        <v>0</v>
      </c>
      <c r="U3279" s="48">
        <f>IF(Учет!$O3279=Справочники!$F$6,Учет!$H3279,0)</f>
        <v>0</v>
      </c>
      <c r="V3279" s="43">
        <f>V3278+Учет!Q3279-Q3279</f>
        <v>-488978.92000000004</v>
      </c>
      <c r="W3279" s="43">
        <f>W3278+Учет!R3279-R3279</f>
        <v>336855</v>
      </c>
      <c r="X3279" s="43">
        <f>X3278+Учет!S3279-S3279</f>
        <v>500</v>
      </c>
      <c r="Y3279" s="43">
        <f>Y3278+Учет!T3279-T3279</f>
        <v>1150</v>
      </c>
      <c r="Z3279" s="43">
        <f>Z3278+Учет!U3279-U3279</f>
        <v>500000</v>
      </c>
      <c r="AA3279" s="45">
        <f>Учет!X3279</f>
        <v>500</v>
      </c>
    </row>
    <row r="3280" spans="1:27" ht="15" customHeight="1" x14ac:dyDescent="0.25">
      <c r="A3280" s="1"/>
      <c r="B3280" s="17"/>
      <c r="C3280" s="17"/>
      <c r="D3280" s="17"/>
      <c r="E3280" s="17"/>
      <c r="F3280" s="17"/>
      <c r="G3280" s="4">
        <f t="shared" si="150"/>
        <v>0</v>
      </c>
      <c r="H3280" s="17"/>
      <c r="I3280" s="4">
        <f t="shared" si="152"/>
        <v>349526.07999999996</v>
      </c>
      <c r="J3280" s="32" t="str">
        <f t="shared" si="151"/>
        <v/>
      </c>
      <c r="K3280" s="72"/>
      <c r="L3280" s="72"/>
      <c r="M3280" s="2"/>
      <c r="N3280" s="5"/>
      <c r="O3280" s="3"/>
      <c r="P3280" s="6"/>
      <c r="Q3280" s="48">
        <f>IF(Учет!$O3280=Справочники!$F$2,Учет!$H3280,0)</f>
        <v>0</v>
      </c>
      <c r="R3280" s="48">
        <f>IF(Учет!$O3280=Справочники!$F$3,Учет!$H3280,0)</f>
        <v>0</v>
      </c>
      <c r="S3280" s="48">
        <f>IF(Учет!$O3280=Справочники!$F$4,Учет!$H3280,0)</f>
        <v>0</v>
      </c>
      <c r="T3280" s="48">
        <f>IF(Учет!$O3280=Справочники!$F$5,Учет!$H3280,0)</f>
        <v>0</v>
      </c>
      <c r="U3280" s="48">
        <f>IF(Учет!$O3280=Справочники!$F$6,Учет!$H3280,0)</f>
        <v>0</v>
      </c>
      <c r="V3280" s="43">
        <f>V3279+Учет!Q3280-Q3280</f>
        <v>-488978.92000000004</v>
      </c>
      <c r="W3280" s="43">
        <f>W3279+Учет!R3280-R3280</f>
        <v>336855</v>
      </c>
      <c r="X3280" s="43">
        <f>X3279+Учет!S3280-S3280</f>
        <v>500</v>
      </c>
      <c r="Y3280" s="43">
        <f>Y3279+Учет!T3280-T3280</f>
        <v>1150</v>
      </c>
      <c r="Z3280" s="43">
        <f>Z3279+Учет!U3280-U3280</f>
        <v>500000</v>
      </c>
      <c r="AA3280" s="45">
        <f>Учет!X3280</f>
        <v>500</v>
      </c>
    </row>
    <row r="3281" spans="1:27" ht="15" customHeight="1" x14ac:dyDescent="0.25">
      <c r="A3281" s="1"/>
      <c r="B3281" s="17"/>
      <c r="C3281" s="17"/>
      <c r="D3281" s="17"/>
      <c r="E3281" s="17"/>
      <c r="F3281" s="17"/>
      <c r="G3281" s="4">
        <f t="shared" si="150"/>
        <v>0</v>
      </c>
      <c r="H3281" s="17"/>
      <c r="I3281" s="4">
        <f t="shared" si="152"/>
        <v>349526.07999999996</v>
      </c>
      <c r="J3281" s="32" t="str">
        <f t="shared" si="151"/>
        <v/>
      </c>
      <c r="K3281" s="72"/>
      <c r="L3281" s="72"/>
      <c r="M3281" s="2"/>
      <c r="N3281" s="5"/>
      <c r="O3281" s="3"/>
      <c r="P3281" s="6"/>
      <c r="Q3281" s="48">
        <f>IF(Учет!$O3281=Справочники!$F$2,Учет!$H3281,0)</f>
        <v>0</v>
      </c>
      <c r="R3281" s="48">
        <f>IF(Учет!$O3281=Справочники!$F$3,Учет!$H3281,0)</f>
        <v>0</v>
      </c>
      <c r="S3281" s="48">
        <f>IF(Учет!$O3281=Справочники!$F$4,Учет!$H3281,0)</f>
        <v>0</v>
      </c>
      <c r="T3281" s="48">
        <f>IF(Учет!$O3281=Справочники!$F$5,Учет!$H3281,0)</f>
        <v>0</v>
      </c>
      <c r="U3281" s="48">
        <f>IF(Учет!$O3281=Справочники!$F$6,Учет!$H3281,0)</f>
        <v>0</v>
      </c>
      <c r="V3281" s="43">
        <f>V3280+Учет!Q3281-Q3281</f>
        <v>-488978.92000000004</v>
      </c>
      <c r="W3281" s="43">
        <f>W3280+Учет!R3281-R3281</f>
        <v>336855</v>
      </c>
      <c r="X3281" s="43">
        <f>X3280+Учет!S3281-S3281</f>
        <v>500</v>
      </c>
      <c r="Y3281" s="43">
        <f>Y3280+Учет!T3281-T3281</f>
        <v>1150</v>
      </c>
      <c r="Z3281" s="43">
        <f>Z3280+Учет!U3281-U3281</f>
        <v>500000</v>
      </c>
      <c r="AA3281" s="45">
        <f>Учет!X3281</f>
        <v>500</v>
      </c>
    </row>
    <row r="3282" spans="1:27" ht="15" customHeight="1" x14ac:dyDescent="0.25">
      <c r="A3282" s="1"/>
      <c r="B3282" s="17"/>
      <c r="C3282" s="17"/>
      <c r="D3282" s="17"/>
      <c r="E3282" s="17"/>
      <c r="F3282" s="17"/>
      <c r="G3282" s="4">
        <f t="shared" si="150"/>
        <v>0</v>
      </c>
      <c r="H3282" s="17"/>
      <c r="I3282" s="4">
        <f t="shared" si="152"/>
        <v>349526.07999999996</v>
      </c>
      <c r="J3282" s="32" t="str">
        <f t="shared" si="151"/>
        <v/>
      </c>
      <c r="K3282" s="72"/>
      <c r="L3282" s="72"/>
      <c r="M3282" s="2"/>
      <c r="N3282" s="5"/>
      <c r="O3282" s="3"/>
      <c r="P3282" s="6"/>
      <c r="Q3282" s="48">
        <f>IF(Учет!$O3282=Справочники!$F$2,Учет!$H3282,0)</f>
        <v>0</v>
      </c>
      <c r="R3282" s="48">
        <f>IF(Учет!$O3282=Справочники!$F$3,Учет!$H3282,0)</f>
        <v>0</v>
      </c>
      <c r="S3282" s="48">
        <f>IF(Учет!$O3282=Справочники!$F$4,Учет!$H3282,0)</f>
        <v>0</v>
      </c>
      <c r="T3282" s="48">
        <f>IF(Учет!$O3282=Справочники!$F$5,Учет!$H3282,0)</f>
        <v>0</v>
      </c>
      <c r="U3282" s="48">
        <f>IF(Учет!$O3282=Справочники!$F$6,Учет!$H3282,0)</f>
        <v>0</v>
      </c>
      <c r="V3282" s="43">
        <f>V3281+Учет!Q3282-Q3282</f>
        <v>-488978.92000000004</v>
      </c>
      <c r="W3282" s="43">
        <f>W3281+Учет!R3282-R3282</f>
        <v>336855</v>
      </c>
      <c r="X3282" s="43">
        <f>X3281+Учет!S3282-S3282</f>
        <v>500</v>
      </c>
      <c r="Y3282" s="43">
        <f>Y3281+Учет!T3282-T3282</f>
        <v>1150</v>
      </c>
      <c r="Z3282" s="43">
        <f>Z3281+Учет!U3282-U3282</f>
        <v>500000</v>
      </c>
      <c r="AA3282" s="45">
        <f>Учет!X3282</f>
        <v>500</v>
      </c>
    </row>
    <row r="3283" spans="1:27" ht="15" customHeight="1" x14ac:dyDescent="0.25">
      <c r="A3283" s="1"/>
      <c r="B3283" s="17"/>
      <c r="C3283" s="17"/>
      <c r="D3283" s="17"/>
      <c r="E3283" s="17"/>
      <c r="F3283" s="17"/>
      <c r="G3283" s="4">
        <f t="shared" si="150"/>
        <v>0</v>
      </c>
      <c r="H3283" s="17"/>
      <c r="I3283" s="4">
        <f t="shared" si="152"/>
        <v>349526.07999999996</v>
      </c>
      <c r="J3283" s="32" t="str">
        <f t="shared" si="151"/>
        <v/>
      </c>
      <c r="K3283" s="72"/>
      <c r="L3283" s="72"/>
      <c r="M3283" s="2"/>
      <c r="N3283" s="5"/>
      <c r="O3283" s="3"/>
      <c r="P3283" s="6"/>
      <c r="Q3283" s="48">
        <f>IF(Учет!$O3283=Справочники!$F$2,Учет!$H3283,0)</f>
        <v>0</v>
      </c>
      <c r="R3283" s="48">
        <f>IF(Учет!$O3283=Справочники!$F$3,Учет!$H3283,0)</f>
        <v>0</v>
      </c>
      <c r="S3283" s="48">
        <f>IF(Учет!$O3283=Справочники!$F$4,Учет!$H3283,0)</f>
        <v>0</v>
      </c>
      <c r="T3283" s="48">
        <f>IF(Учет!$O3283=Справочники!$F$5,Учет!$H3283,0)</f>
        <v>0</v>
      </c>
      <c r="U3283" s="48">
        <f>IF(Учет!$O3283=Справочники!$F$6,Учет!$H3283,0)</f>
        <v>0</v>
      </c>
      <c r="V3283" s="43">
        <f>V3282+Учет!Q3283-Q3283</f>
        <v>-488978.92000000004</v>
      </c>
      <c r="W3283" s="43">
        <f>W3282+Учет!R3283-R3283</f>
        <v>336855</v>
      </c>
      <c r="X3283" s="43">
        <f>X3282+Учет!S3283-S3283</f>
        <v>500</v>
      </c>
      <c r="Y3283" s="43">
        <f>Y3282+Учет!T3283-T3283</f>
        <v>1150</v>
      </c>
      <c r="Z3283" s="43">
        <f>Z3282+Учет!U3283-U3283</f>
        <v>500000</v>
      </c>
      <c r="AA3283" s="45">
        <f>Учет!X3283</f>
        <v>500</v>
      </c>
    </row>
    <row r="3284" spans="1:27" ht="15" customHeight="1" x14ac:dyDescent="0.25">
      <c r="A3284" s="1"/>
      <c r="B3284" s="17"/>
      <c r="C3284" s="17"/>
      <c r="D3284" s="17"/>
      <c r="E3284" s="17"/>
      <c r="F3284" s="17"/>
      <c r="G3284" s="4">
        <f t="shared" si="150"/>
        <v>0</v>
      </c>
      <c r="H3284" s="17"/>
      <c r="I3284" s="4">
        <f t="shared" si="152"/>
        <v>349526.07999999996</v>
      </c>
      <c r="J3284" s="32" t="str">
        <f t="shared" si="151"/>
        <v/>
      </c>
      <c r="K3284" s="72"/>
      <c r="L3284" s="72"/>
      <c r="M3284" s="2"/>
      <c r="N3284" s="5"/>
      <c r="O3284" s="3"/>
      <c r="P3284" s="6"/>
      <c r="Q3284" s="48">
        <f>IF(Учет!$O3284=Справочники!$F$2,Учет!$H3284,0)</f>
        <v>0</v>
      </c>
      <c r="R3284" s="48">
        <f>IF(Учет!$O3284=Справочники!$F$3,Учет!$H3284,0)</f>
        <v>0</v>
      </c>
      <c r="S3284" s="48">
        <f>IF(Учет!$O3284=Справочники!$F$4,Учет!$H3284,0)</f>
        <v>0</v>
      </c>
      <c r="T3284" s="48">
        <f>IF(Учет!$O3284=Справочники!$F$5,Учет!$H3284,0)</f>
        <v>0</v>
      </c>
      <c r="U3284" s="48">
        <f>IF(Учет!$O3284=Справочники!$F$6,Учет!$H3284,0)</f>
        <v>0</v>
      </c>
      <c r="V3284" s="43">
        <f>V3283+Учет!Q3284-Q3284</f>
        <v>-488978.92000000004</v>
      </c>
      <c r="W3284" s="43">
        <f>W3283+Учет!R3284-R3284</f>
        <v>336855</v>
      </c>
      <c r="X3284" s="43">
        <f>X3283+Учет!S3284-S3284</f>
        <v>500</v>
      </c>
      <c r="Y3284" s="43">
        <f>Y3283+Учет!T3284-T3284</f>
        <v>1150</v>
      </c>
      <c r="Z3284" s="43">
        <f>Z3283+Учет!U3284-U3284</f>
        <v>500000</v>
      </c>
      <c r="AA3284" s="45">
        <f>Учет!X3284</f>
        <v>500</v>
      </c>
    </row>
    <row r="3285" spans="1:27" ht="15" customHeight="1" x14ac:dyDescent="0.25">
      <c r="A3285" s="1"/>
      <c r="B3285" s="17"/>
      <c r="C3285" s="17"/>
      <c r="D3285" s="17"/>
      <c r="E3285" s="17"/>
      <c r="F3285" s="17"/>
      <c r="G3285" s="4">
        <f t="shared" si="150"/>
        <v>0</v>
      </c>
      <c r="H3285" s="17"/>
      <c r="I3285" s="4">
        <f t="shared" si="152"/>
        <v>349526.07999999996</v>
      </c>
      <c r="J3285" s="32" t="str">
        <f t="shared" si="151"/>
        <v/>
      </c>
      <c r="K3285" s="72"/>
      <c r="L3285" s="72"/>
      <c r="M3285" s="2"/>
      <c r="N3285" s="5"/>
      <c r="O3285" s="3"/>
      <c r="P3285" s="6"/>
      <c r="Q3285" s="48">
        <f>IF(Учет!$O3285=Справочники!$F$2,Учет!$H3285,0)</f>
        <v>0</v>
      </c>
      <c r="R3285" s="48">
        <f>IF(Учет!$O3285=Справочники!$F$3,Учет!$H3285,0)</f>
        <v>0</v>
      </c>
      <c r="S3285" s="48">
        <f>IF(Учет!$O3285=Справочники!$F$4,Учет!$H3285,0)</f>
        <v>0</v>
      </c>
      <c r="T3285" s="48">
        <f>IF(Учет!$O3285=Справочники!$F$5,Учет!$H3285,0)</f>
        <v>0</v>
      </c>
      <c r="U3285" s="48">
        <f>IF(Учет!$O3285=Справочники!$F$6,Учет!$H3285,0)</f>
        <v>0</v>
      </c>
      <c r="V3285" s="43">
        <f>V3284+Учет!Q3285-Q3285</f>
        <v>-488978.92000000004</v>
      </c>
      <c r="W3285" s="43">
        <f>W3284+Учет!R3285-R3285</f>
        <v>336855</v>
      </c>
      <c r="X3285" s="43">
        <f>X3284+Учет!S3285-S3285</f>
        <v>500</v>
      </c>
      <c r="Y3285" s="43">
        <f>Y3284+Учет!T3285-T3285</f>
        <v>1150</v>
      </c>
      <c r="Z3285" s="43">
        <f>Z3284+Учет!U3285-U3285</f>
        <v>500000</v>
      </c>
      <c r="AA3285" s="45">
        <f>Учет!X3285</f>
        <v>500</v>
      </c>
    </row>
    <row r="3286" spans="1:27" ht="15" customHeight="1" x14ac:dyDescent="0.25">
      <c r="A3286" s="1"/>
      <c r="B3286" s="17"/>
      <c r="C3286" s="17"/>
      <c r="D3286" s="17"/>
      <c r="E3286" s="17"/>
      <c r="F3286" s="17"/>
      <c r="G3286" s="4">
        <f t="shared" si="150"/>
        <v>0</v>
      </c>
      <c r="H3286" s="17"/>
      <c r="I3286" s="4">
        <f t="shared" si="152"/>
        <v>349526.07999999996</v>
      </c>
      <c r="J3286" s="32" t="str">
        <f t="shared" si="151"/>
        <v/>
      </c>
      <c r="K3286" s="72"/>
      <c r="L3286" s="72"/>
      <c r="M3286" s="2"/>
      <c r="N3286" s="5"/>
      <c r="O3286" s="3"/>
      <c r="P3286" s="6"/>
      <c r="Q3286" s="48">
        <f>IF(Учет!$O3286=Справочники!$F$2,Учет!$H3286,0)</f>
        <v>0</v>
      </c>
      <c r="R3286" s="48">
        <f>IF(Учет!$O3286=Справочники!$F$3,Учет!$H3286,0)</f>
        <v>0</v>
      </c>
      <c r="S3286" s="48">
        <f>IF(Учет!$O3286=Справочники!$F$4,Учет!$H3286,0)</f>
        <v>0</v>
      </c>
      <c r="T3286" s="48">
        <f>IF(Учет!$O3286=Справочники!$F$5,Учет!$H3286,0)</f>
        <v>0</v>
      </c>
      <c r="U3286" s="48">
        <f>IF(Учет!$O3286=Справочники!$F$6,Учет!$H3286,0)</f>
        <v>0</v>
      </c>
      <c r="V3286" s="43">
        <f>V3285+Учет!Q3286-Q3286</f>
        <v>-488978.92000000004</v>
      </c>
      <c r="W3286" s="43">
        <f>W3285+Учет!R3286-R3286</f>
        <v>336855</v>
      </c>
      <c r="X3286" s="43">
        <f>X3285+Учет!S3286-S3286</f>
        <v>500</v>
      </c>
      <c r="Y3286" s="43">
        <f>Y3285+Учет!T3286-T3286</f>
        <v>1150</v>
      </c>
      <c r="Z3286" s="43">
        <f>Z3285+Учет!U3286-U3286</f>
        <v>500000</v>
      </c>
      <c r="AA3286" s="45">
        <f>Учет!X3286</f>
        <v>500</v>
      </c>
    </row>
    <row r="3287" spans="1:27" ht="15" customHeight="1" x14ac:dyDescent="0.25">
      <c r="A3287" s="1"/>
      <c r="B3287" s="17"/>
      <c r="C3287" s="17"/>
      <c r="D3287" s="17"/>
      <c r="E3287" s="17"/>
      <c r="F3287" s="17"/>
      <c r="G3287" s="4">
        <f t="shared" si="150"/>
        <v>0</v>
      </c>
      <c r="H3287" s="17"/>
      <c r="I3287" s="4">
        <f t="shared" si="152"/>
        <v>349526.07999999996</v>
      </c>
      <c r="J3287" s="32" t="str">
        <f t="shared" si="151"/>
        <v/>
      </c>
      <c r="K3287" s="72"/>
      <c r="L3287" s="72"/>
      <c r="M3287" s="2"/>
      <c r="N3287" s="5"/>
      <c r="O3287" s="3"/>
      <c r="P3287" s="6"/>
      <c r="Q3287" s="48">
        <f>IF(Учет!$O3287=Справочники!$F$2,Учет!$H3287,0)</f>
        <v>0</v>
      </c>
      <c r="R3287" s="48">
        <f>IF(Учет!$O3287=Справочники!$F$3,Учет!$H3287,0)</f>
        <v>0</v>
      </c>
      <c r="S3287" s="48">
        <f>IF(Учет!$O3287=Справочники!$F$4,Учет!$H3287,0)</f>
        <v>0</v>
      </c>
      <c r="T3287" s="48">
        <f>IF(Учет!$O3287=Справочники!$F$5,Учет!$H3287,0)</f>
        <v>0</v>
      </c>
      <c r="U3287" s="48">
        <f>IF(Учет!$O3287=Справочники!$F$6,Учет!$H3287,0)</f>
        <v>0</v>
      </c>
      <c r="V3287" s="43">
        <f>V3286+Учет!Q3287-Q3287</f>
        <v>-488978.92000000004</v>
      </c>
      <c r="W3287" s="43">
        <f>W3286+Учет!R3287-R3287</f>
        <v>336855</v>
      </c>
      <c r="X3287" s="43">
        <f>X3286+Учет!S3287-S3287</f>
        <v>500</v>
      </c>
      <c r="Y3287" s="43">
        <f>Y3286+Учет!T3287-T3287</f>
        <v>1150</v>
      </c>
      <c r="Z3287" s="43">
        <f>Z3286+Учет!U3287-U3287</f>
        <v>500000</v>
      </c>
      <c r="AA3287" s="45">
        <f>Учет!X3287</f>
        <v>500</v>
      </c>
    </row>
    <row r="3288" spans="1:27" ht="15" customHeight="1" x14ac:dyDescent="0.25">
      <c r="A3288" s="1"/>
      <c r="B3288" s="17"/>
      <c r="C3288" s="17"/>
      <c r="D3288" s="17"/>
      <c r="E3288" s="17"/>
      <c r="F3288" s="17"/>
      <c r="G3288" s="4">
        <f t="shared" si="150"/>
        <v>0</v>
      </c>
      <c r="H3288" s="17"/>
      <c r="I3288" s="4">
        <f t="shared" si="152"/>
        <v>349526.07999999996</v>
      </c>
      <c r="J3288" s="32" t="str">
        <f t="shared" si="151"/>
        <v/>
      </c>
      <c r="K3288" s="72"/>
      <c r="L3288" s="72"/>
      <c r="M3288" s="2"/>
      <c r="N3288" s="5"/>
      <c r="O3288" s="3"/>
      <c r="P3288" s="6"/>
      <c r="Q3288" s="48">
        <f>IF(Учет!$O3288=Справочники!$F$2,Учет!$H3288,0)</f>
        <v>0</v>
      </c>
      <c r="R3288" s="48">
        <f>IF(Учет!$O3288=Справочники!$F$3,Учет!$H3288,0)</f>
        <v>0</v>
      </c>
      <c r="S3288" s="48">
        <f>IF(Учет!$O3288=Справочники!$F$4,Учет!$H3288,0)</f>
        <v>0</v>
      </c>
      <c r="T3288" s="48">
        <f>IF(Учет!$O3288=Справочники!$F$5,Учет!$H3288,0)</f>
        <v>0</v>
      </c>
      <c r="U3288" s="48">
        <f>IF(Учет!$O3288=Справочники!$F$6,Учет!$H3288,0)</f>
        <v>0</v>
      </c>
      <c r="V3288" s="43">
        <f>V3287+Учет!Q3288-Q3288</f>
        <v>-488978.92000000004</v>
      </c>
      <c r="W3288" s="43">
        <f>W3287+Учет!R3288-R3288</f>
        <v>336855</v>
      </c>
      <c r="X3288" s="43">
        <f>X3287+Учет!S3288-S3288</f>
        <v>500</v>
      </c>
      <c r="Y3288" s="43">
        <f>Y3287+Учет!T3288-T3288</f>
        <v>1150</v>
      </c>
      <c r="Z3288" s="43">
        <f>Z3287+Учет!U3288-U3288</f>
        <v>500000</v>
      </c>
      <c r="AA3288" s="45">
        <f>Учет!X3288</f>
        <v>500</v>
      </c>
    </row>
    <row r="3289" spans="1:27" ht="15" customHeight="1" x14ac:dyDescent="0.25">
      <c r="A3289" s="1"/>
      <c r="B3289" s="17"/>
      <c r="C3289" s="17"/>
      <c r="D3289" s="17"/>
      <c r="E3289" s="17"/>
      <c r="F3289" s="17"/>
      <c r="G3289" s="4">
        <f t="shared" si="150"/>
        <v>0</v>
      </c>
      <c r="H3289" s="17"/>
      <c r="I3289" s="4">
        <f t="shared" si="152"/>
        <v>349526.07999999996</v>
      </c>
      <c r="J3289" s="32" t="str">
        <f t="shared" si="151"/>
        <v/>
      </c>
      <c r="K3289" s="72"/>
      <c r="L3289" s="72"/>
      <c r="M3289" s="2"/>
      <c r="N3289" s="5"/>
      <c r="O3289" s="3"/>
      <c r="P3289" s="6"/>
      <c r="Q3289" s="48">
        <f>IF(Учет!$O3289=Справочники!$F$2,Учет!$H3289,0)</f>
        <v>0</v>
      </c>
      <c r="R3289" s="48">
        <f>IF(Учет!$O3289=Справочники!$F$3,Учет!$H3289,0)</f>
        <v>0</v>
      </c>
      <c r="S3289" s="48">
        <f>IF(Учет!$O3289=Справочники!$F$4,Учет!$H3289,0)</f>
        <v>0</v>
      </c>
      <c r="T3289" s="48">
        <f>IF(Учет!$O3289=Справочники!$F$5,Учет!$H3289,0)</f>
        <v>0</v>
      </c>
      <c r="U3289" s="48">
        <f>IF(Учет!$O3289=Справочники!$F$6,Учет!$H3289,0)</f>
        <v>0</v>
      </c>
      <c r="V3289" s="43">
        <f>V3288+Учет!Q3289-Q3289</f>
        <v>-488978.92000000004</v>
      </c>
      <c r="W3289" s="43">
        <f>W3288+Учет!R3289-R3289</f>
        <v>336855</v>
      </c>
      <c r="X3289" s="43">
        <f>X3288+Учет!S3289-S3289</f>
        <v>500</v>
      </c>
      <c r="Y3289" s="43">
        <f>Y3288+Учет!T3289-T3289</f>
        <v>1150</v>
      </c>
      <c r="Z3289" s="43">
        <f>Z3288+Учет!U3289-U3289</f>
        <v>500000</v>
      </c>
      <c r="AA3289" s="45">
        <f>Учет!X3289</f>
        <v>500</v>
      </c>
    </row>
    <row r="3290" spans="1:27" ht="15" customHeight="1" x14ac:dyDescent="0.25">
      <c r="A3290" s="1"/>
      <c r="B3290" s="17"/>
      <c r="C3290" s="17"/>
      <c r="D3290" s="17"/>
      <c r="E3290" s="17"/>
      <c r="F3290" s="17"/>
      <c r="G3290" s="4">
        <f t="shared" si="150"/>
        <v>0</v>
      </c>
      <c r="H3290" s="17"/>
      <c r="I3290" s="4">
        <f t="shared" si="152"/>
        <v>349526.07999999996</v>
      </c>
      <c r="J3290" s="32" t="str">
        <f t="shared" si="151"/>
        <v/>
      </c>
      <c r="K3290" s="72"/>
      <c r="L3290" s="72"/>
      <c r="M3290" s="2"/>
      <c r="N3290" s="5"/>
      <c r="O3290" s="3"/>
      <c r="P3290" s="6"/>
      <c r="Q3290" s="48">
        <f>IF(Учет!$O3290=Справочники!$F$2,Учет!$H3290,0)</f>
        <v>0</v>
      </c>
      <c r="R3290" s="48">
        <f>IF(Учет!$O3290=Справочники!$F$3,Учет!$H3290,0)</f>
        <v>0</v>
      </c>
      <c r="S3290" s="48">
        <f>IF(Учет!$O3290=Справочники!$F$4,Учет!$H3290,0)</f>
        <v>0</v>
      </c>
      <c r="T3290" s="48">
        <f>IF(Учет!$O3290=Справочники!$F$5,Учет!$H3290,0)</f>
        <v>0</v>
      </c>
      <c r="U3290" s="48">
        <f>IF(Учет!$O3290=Справочники!$F$6,Учет!$H3290,0)</f>
        <v>0</v>
      </c>
      <c r="V3290" s="43">
        <f>V3289+Учет!Q3290-Q3290</f>
        <v>-488978.92000000004</v>
      </c>
      <c r="W3290" s="43">
        <f>W3289+Учет!R3290-R3290</f>
        <v>336855</v>
      </c>
      <c r="X3290" s="43">
        <f>X3289+Учет!S3290-S3290</f>
        <v>500</v>
      </c>
      <c r="Y3290" s="43">
        <f>Y3289+Учет!T3290-T3290</f>
        <v>1150</v>
      </c>
      <c r="Z3290" s="43">
        <f>Z3289+Учет!U3290-U3290</f>
        <v>500000</v>
      </c>
      <c r="AA3290" s="45">
        <f>Учет!X3290</f>
        <v>500</v>
      </c>
    </row>
    <row r="3291" spans="1:27" ht="15" customHeight="1" x14ac:dyDescent="0.25">
      <c r="A3291" s="1"/>
      <c r="B3291" s="17"/>
      <c r="C3291" s="17"/>
      <c r="D3291" s="17"/>
      <c r="E3291" s="17"/>
      <c r="F3291" s="17"/>
      <c r="G3291" s="4">
        <f t="shared" si="150"/>
        <v>0</v>
      </c>
      <c r="H3291" s="17"/>
      <c r="I3291" s="4">
        <f t="shared" si="152"/>
        <v>349526.07999999996</v>
      </c>
      <c r="J3291" s="32" t="str">
        <f t="shared" si="151"/>
        <v/>
      </c>
      <c r="K3291" s="72"/>
      <c r="L3291" s="72"/>
      <c r="M3291" s="2"/>
      <c r="N3291" s="5"/>
      <c r="O3291" s="3"/>
      <c r="P3291" s="6"/>
      <c r="Q3291" s="48">
        <f>IF(Учет!$O3291=Справочники!$F$2,Учет!$H3291,0)</f>
        <v>0</v>
      </c>
      <c r="R3291" s="48">
        <f>IF(Учет!$O3291=Справочники!$F$3,Учет!$H3291,0)</f>
        <v>0</v>
      </c>
      <c r="S3291" s="48">
        <f>IF(Учет!$O3291=Справочники!$F$4,Учет!$H3291,0)</f>
        <v>0</v>
      </c>
      <c r="T3291" s="48">
        <f>IF(Учет!$O3291=Справочники!$F$5,Учет!$H3291,0)</f>
        <v>0</v>
      </c>
      <c r="U3291" s="48">
        <f>IF(Учет!$O3291=Справочники!$F$6,Учет!$H3291,0)</f>
        <v>0</v>
      </c>
      <c r="V3291" s="43">
        <f>V3290+Учет!Q3291-Q3291</f>
        <v>-488978.92000000004</v>
      </c>
      <c r="W3291" s="43">
        <f>W3290+Учет!R3291-R3291</f>
        <v>336855</v>
      </c>
      <c r="X3291" s="43">
        <f>X3290+Учет!S3291-S3291</f>
        <v>500</v>
      </c>
      <c r="Y3291" s="43">
        <f>Y3290+Учет!T3291-T3291</f>
        <v>1150</v>
      </c>
      <c r="Z3291" s="43">
        <f>Z3290+Учет!U3291-U3291</f>
        <v>500000</v>
      </c>
      <c r="AA3291" s="45">
        <f>Учет!X3291</f>
        <v>500</v>
      </c>
    </row>
    <row r="3292" spans="1:27" ht="15" customHeight="1" x14ac:dyDescent="0.25">
      <c r="A3292" s="1"/>
      <c r="B3292" s="17"/>
      <c r="C3292" s="17"/>
      <c r="D3292" s="17"/>
      <c r="E3292" s="17"/>
      <c r="F3292" s="17"/>
      <c r="G3292" s="4">
        <f t="shared" si="150"/>
        <v>0</v>
      </c>
      <c r="H3292" s="17"/>
      <c r="I3292" s="4">
        <f t="shared" si="152"/>
        <v>349526.07999999996</v>
      </c>
      <c r="J3292" s="32" t="str">
        <f t="shared" si="151"/>
        <v/>
      </c>
      <c r="K3292" s="72"/>
      <c r="L3292" s="72"/>
      <c r="M3292" s="2"/>
      <c r="N3292" s="5"/>
      <c r="O3292" s="3"/>
      <c r="P3292" s="6"/>
      <c r="Q3292" s="48">
        <f>IF(Учет!$O3292=Справочники!$F$2,Учет!$H3292,0)</f>
        <v>0</v>
      </c>
      <c r="R3292" s="48">
        <f>IF(Учет!$O3292=Справочники!$F$3,Учет!$H3292,0)</f>
        <v>0</v>
      </c>
      <c r="S3292" s="48">
        <f>IF(Учет!$O3292=Справочники!$F$4,Учет!$H3292,0)</f>
        <v>0</v>
      </c>
      <c r="T3292" s="48">
        <f>IF(Учет!$O3292=Справочники!$F$5,Учет!$H3292,0)</f>
        <v>0</v>
      </c>
      <c r="U3292" s="48">
        <f>IF(Учет!$O3292=Справочники!$F$6,Учет!$H3292,0)</f>
        <v>0</v>
      </c>
      <c r="V3292" s="43">
        <f>V3291+Учет!Q3292-Q3292</f>
        <v>-488978.92000000004</v>
      </c>
      <c r="W3292" s="43">
        <f>W3291+Учет!R3292-R3292</f>
        <v>336855</v>
      </c>
      <c r="X3292" s="43">
        <f>X3291+Учет!S3292-S3292</f>
        <v>500</v>
      </c>
      <c r="Y3292" s="43">
        <f>Y3291+Учет!T3292-T3292</f>
        <v>1150</v>
      </c>
      <c r="Z3292" s="43">
        <f>Z3291+Учет!U3292-U3292</f>
        <v>500000</v>
      </c>
      <c r="AA3292" s="45">
        <f>Учет!X3292</f>
        <v>500</v>
      </c>
    </row>
    <row r="3293" spans="1:27" ht="15" customHeight="1" x14ac:dyDescent="0.25">
      <c r="A3293" s="1"/>
      <c r="B3293" s="17"/>
      <c r="C3293" s="17"/>
      <c r="D3293" s="17"/>
      <c r="E3293" s="17"/>
      <c r="F3293" s="17"/>
      <c r="G3293" s="4">
        <f t="shared" si="150"/>
        <v>0</v>
      </c>
      <c r="H3293" s="17"/>
      <c r="I3293" s="4">
        <f t="shared" si="152"/>
        <v>349526.07999999996</v>
      </c>
      <c r="J3293" s="32" t="str">
        <f t="shared" si="151"/>
        <v/>
      </c>
      <c r="K3293" s="72"/>
      <c r="L3293" s="72"/>
      <c r="M3293" s="2"/>
      <c r="N3293" s="5"/>
      <c r="O3293" s="3"/>
      <c r="P3293" s="6"/>
      <c r="Q3293" s="48">
        <f>IF(Учет!$O3293=Справочники!$F$2,Учет!$H3293,0)</f>
        <v>0</v>
      </c>
      <c r="R3293" s="48">
        <f>IF(Учет!$O3293=Справочники!$F$3,Учет!$H3293,0)</f>
        <v>0</v>
      </c>
      <c r="S3293" s="48">
        <f>IF(Учет!$O3293=Справочники!$F$4,Учет!$H3293,0)</f>
        <v>0</v>
      </c>
      <c r="T3293" s="48">
        <f>IF(Учет!$O3293=Справочники!$F$5,Учет!$H3293,0)</f>
        <v>0</v>
      </c>
      <c r="U3293" s="48">
        <f>IF(Учет!$O3293=Справочники!$F$6,Учет!$H3293,0)</f>
        <v>0</v>
      </c>
      <c r="V3293" s="43">
        <f>V3292+Учет!Q3293-Q3293</f>
        <v>-488978.92000000004</v>
      </c>
      <c r="W3293" s="43">
        <f>W3292+Учет!R3293-R3293</f>
        <v>336855</v>
      </c>
      <c r="X3293" s="43">
        <f>X3292+Учет!S3293-S3293</f>
        <v>500</v>
      </c>
      <c r="Y3293" s="43">
        <f>Y3292+Учет!T3293-T3293</f>
        <v>1150</v>
      </c>
      <c r="Z3293" s="43">
        <f>Z3292+Учет!U3293-U3293</f>
        <v>500000</v>
      </c>
      <c r="AA3293" s="45">
        <f>Учет!X3293</f>
        <v>500</v>
      </c>
    </row>
    <row r="3294" spans="1:27" ht="15" customHeight="1" x14ac:dyDescent="0.25">
      <c r="A3294" s="1"/>
      <c r="B3294" s="17"/>
      <c r="C3294" s="17"/>
      <c r="D3294" s="17"/>
      <c r="E3294" s="17"/>
      <c r="F3294" s="17"/>
      <c r="G3294" s="4">
        <f t="shared" si="150"/>
        <v>0</v>
      </c>
      <c r="H3294" s="17"/>
      <c r="I3294" s="4">
        <f t="shared" si="152"/>
        <v>349526.07999999996</v>
      </c>
      <c r="J3294" s="32" t="str">
        <f t="shared" si="151"/>
        <v/>
      </c>
      <c r="K3294" s="72"/>
      <c r="L3294" s="72"/>
      <c r="M3294" s="2"/>
      <c r="N3294" s="5"/>
      <c r="O3294" s="3"/>
      <c r="P3294" s="6"/>
      <c r="Q3294" s="48">
        <f>IF(Учет!$O3294=Справочники!$F$2,Учет!$H3294,0)</f>
        <v>0</v>
      </c>
      <c r="R3294" s="48">
        <f>IF(Учет!$O3294=Справочники!$F$3,Учет!$H3294,0)</f>
        <v>0</v>
      </c>
      <c r="S3294" s="48">
        <f>IF(Учет!$O3294=Справочники!$F$4,Учет!$H3294,0)</f>
        <v>0</v>
      </c>
      <c r="T3294" s="48">
        <f>IF(Учет!$O3294=Справочники!$F$5,Учет!$H3294,0)</f>
        <v>0</v>
      </c>
      <c r="U3294" s="48">
        <f>IF(Учет!$O3294=Справочники!$F$6,Учет!$H3294,0)</f>
        <v>0</v>
      </c>
      <c r="V3294" s="43">
        <f>V3293+Учет!Q3294-Q3294</f>
        <v>-488978.92000000004</v>
      </c>
      <c r="W3294" s="43">
        <f>W3293+Учет!R3294-R3294</f>
        <v>336855</v>
      </c>
      <c r="X3294" s="43">
        <f>X3293+Учет!S3294-S3294</f>
        <v>500</v>
      </c>
      <c r="Y3294" s="43">
        <f>Y3293+Учет!T3294-T3294</f>
        <v>1150</v>
      </c>
      <c r="Z3294" s="43">
        <f>Z3293+Учет!U3294-U3294</f>
        <v>500000</v>
      </c>
      <c r="AA3294" s="45">
        <f>Учет!X3294</f>
        <v>500</v>
      </c>
    </row>
    <row r="3295" spans="1:27" ht="15" customHeight="1" x14ac:dyDescent="0.25">
      <c r="A3295" s="1"/>
      <c r="B3295" s="17"/>
      <c r="C3295" s="17"/>
      <c r="D3295" s="17"/>
      <c r="E3295" s="17"/>
      <c r="F3295" s="17"/>
      <c r="G3295" s="4">
        <f t="shared" si="150"/>
        <v>0</v>
      </c>
      <c r="H3295" s="17"/>
      <c r="I3295" s="4">
        <f t="shared" si="152"/>
        <v>349526.07999999996</v>
      </c>
      <c r="J3295" s="32" t="str">
        <f t="shared" si="151"/>
        <v/>
      </c>
      <c r="K3295" s="72"/>
      <c r="L3295" s="72"/>
      <c r="M3295" s="2"/>
      <c r="N3295" s="5"/>
      <c r="O3295" s="3"/>
      <c r="P3295" s="6"/>
      <c r="Q3295" s="48">
        <f>IF(Учет!$O3295=Справочники!$F$2,Учет!$H3295,0)</f>
        <v>0</v>
      </c>
      <c r="R3295" s="48">
        <f>IF(Учет!$O3295=Справочники!$F$3,Учет!$H3295,0)</f>
        <v>0</v>
      </c>
      <c r="S3295" s="48">
        <f>IF(Учет!$O3295=Справочники!$F$4,Учет!$H3295,0)</f>
        <v>0</v>
      </c>
      <c r="T3295" s="48">
        <f>IF(Учет!$O3295=Справочники!$F$5,Учет!$H3295,0)</f>
        <v>0</v>
      </c>
      <c r="U3295" s="48">
        <f>IF(Учет!$O3295=Справочники!$F$6,Учет!$H3295,0)</f>
        <v>0</v>
      </c>
      <c r="V3295" s="43">
        <f>V3294+Учет!Q3295-Q3295</f>
        <v>-488978.92000000004</v>
      </c>
      <c r="W3295" s="43">
        <f>W3294+Учет!R3295-R3295</f>
        <v>336855</v>
      </c>
      <c r="X3295" s="43">
        <f>X3294+Учет!S3295-S3295</f>
        <v>500</v>
      </c>
      <c r="Y3295" s="43">
        <f>Y3294+Учет!T3295-T3295</f>
        <v>1150</v>
      </c>
      <c r="Z3295" s="43">
        <f>Z3294+Учет!U3295-U3295</f>
        <v>500000</v>
      </c>
      <c r="AA3295" s="45">
        <f>Учет!X3295</f>
        <v>500</v>
      </c>
    </row>
    <row r="3296" spans="1:27" ht="15" customHeight="1" x14ac:dyDescent="0.25">
      <c r="A3296" s="1"/>
      <c r="B3296" s="17"/>
      <c r="C3296" s="17"/>
      <c r="D3296" s="17"/>
      <c r="E3296" s="17"/>
      <c r="F3296" s="17"/>
      <c r="G3296" s="4">
        <f t="shared" si="150"/>
        <v>0</v>
      </c>
      <c r="H3296" s="17"/>
      <c r="I3296" s="4">
        <f t="shared" si="152"/>
        <v>349526.07999999996</v>
      </c>
      <c r="J3296" s="32" t="str">
        <f t="shared" si="151"/>
        <v/>
      </c>
      <c r="K3296" s="72"/>
      <c r="L3296" s="72"/>
      <c r="M3296" s="2"/>
      <c r="N3296" s="5"/>
      <c r="O3296" s="3"/>
      <c r="P3296" s="6"/>
      <c r="Q3296" s="48">
        <f>IF(Учет!$O3296=Справочники!$F$2,Учет!$H3296,0)</f>
        <v>0</v>
      </c>
      <c r="R3296" s="48">
        <f>IF(Учет!$O3296=Справочники!$F$3,Учет!$H3296,0)</f>
        <v>0</v>
      </c>
      <c r="S3296" s="48">
        <f>IF(Учет!$O3296=Справочники!$F$4,Учет!$H3296,0)</f>
        <v>0</v>
      </c>
      <c r="T3296" s="48">
        <f>IF(Учет!$O3296=Справочники!$F$5,Учет!$H3296,0)</f>
        <v>0</v>
      </c>
      <c r="U3296" s="48">
        <f>IF(Учет!$O3296=Справочники!$F$6,Учет!$H3296,0)</f>
        <v>0</v>
      </c>
      <c r="V3296" s="43">
        <f>V3295+Учет!Q3296-Q3296</f>
        <v>-488978.92000000004</v>
      </c>
      <c r="W3296" s="43">
        <f>W3295+Учет!R3296-R3296</f>
        <v>336855</v>
      </c>
      <c r="X3296" s="43">
        <f>X3295+Учет!S3296-S3296</f>
        <v>500</v>
      </c>
      <c r="Y3296" s="43">
        <f>Y3295+Учет!T3296-T3296</f>
        <v>1150</v>
      </c>
      <c r="Z3296" s="43">
        <f>Z3295+Учет!U3296-U3296</f>
        <v>500000</v>
      </c>
      <c r="AA3296" s="45">
        <f>Учет!X3296</f>
        <v>500</v>
      </c>
    </row>
    <row r="3297" spans="1:27" ht="15" customHeight="1" x14ac:dyDescent="0.25">
      <c r="A3297" s="1"/>
      <c r="B3297" s="17"/>
      <c r="C3297" s="17"/>
      <c r="D3297" s="17"/>
      <c r="E3297" s="17"/>
      <c r="F3297" s="17"/>
      <c r="G3297" s="4">
        <f t="shared" si="150"/>
        <v>0</v>
      </c>
      <c r="H3297" s="17"/>
      <c r="I3297" s="4">
        <f t="shared" si="152"/>
        <v>349526.07999999996</v>
      </c>
      <c r="J3297" s="32" t="str">
        <f t="shared" si="151"/>
        <v/>
      </c>
      <c r="K3297" s="72"/>
      <c r="L3297" s="72"/>
      <c r="M3297" s="2"/>
      <c r="N3297" s="5"/>
      <c r="O3297" s="3"/>
      <c r="P3297" s="6"/>
      <c r="Q3297" s="48">
        <f>IF(Учет!$O3297=Справочники!$F$2,Учет!$H3297,0)</f>
        <v>0</v>
      </c>
      <c r="R3297" s="48">
        <f>IF(Учет!$O3297=Справочники!$F$3,Учет!$H3297,0)</f>
        <v>0</v>
      </c>
      <c r="S3297" s="48">
        <f>IF(Учет!$O3297=Справочники!$F$4,Учет!$H3297,0)</f>
        <v>0</v>
      </c>
      <c r="T3297" s="48">
        <f>IF(Учет!$O3297=Справочники!$F$5,Учет!$H3297,0)</f>
        <v>0</v>
      </c>
      <c r="U3297" s="48">
        <f>IF(Учет!$O3297=Справочники!$F$6,Учет!$H3297,0)</f>
        <v>0</v>
      </c>
      <c r="V3297" s="43">
        <f>V3296+Учет!Q3297-Q3297</f>
        <v>-488978.92000000004</v>
      </c>
      <c r="W3297" s="43">
        <f>W3296+Учет!R3297-R3297</f>
        <v>336855</v>
      </c>
      <c r="X3297" s="43">
        <f>X3296+Учет!S3297-S3297</f>
        <v>500</v>
      </c>
      <c r="Y3297" s="43">
        <f>Y3296+Учет!T3297-T3297</f>
        <v>1150</v>
      </c>
      <c r="Z3297" s="43">
        <f>Z3296+Учет!U3297-U3297</f>
        <v>500000</v>
      </c>
      <c r="AA3297" s="45">
        <f>Учет!X3297</f>
        <v>500</v>
      </c>
    </row>
    <row r="3298" spans="1:27" ht="15" customHeight="1" x14ac:dyDescent="0.25">
      <c r="A3298" s="1"/>
      <c r="B3298" s="17"/>
      <c r="C3298" s="17"/>
      <c r="D3298" s="17"/>
      <c r="E3298" s="17"/>
      <c r="F3298" s="17"/>
      <c r="G3298" s="4">
        <f t="shared" si="150"/>
        <v>0</v>
      </c>
      <c r="H3298" s="17"/>
      <c r="I3298" s="4">
        <f t="shared" si="152"/>
        <v>349526.07999999996</v>
      </c>
      <c r="J3298" s="32" t="str">
        <f t="shared" si="151"/>
        <v/>
      </c>
      <c r="K3298" s="72"/>
      <c r="L3298" s="72"/>
      <c r="M3298" s="2"/>
      <c r="N3298" s="5"/>
      <c r="O3298" s="3"/>
      <c r="P3298" s="6"/>
      <c r="Q3298" s="48">
        <f>IF(Учет!$O3298=Справочники!$F$2,Учет!$H3298,0)</f>
        <v>0</v>
      </c>
      <c r="R3298" s="48">
        <f>IF(Учет!$O3298=Справочники!$F$3,Учет!$H3298,0)</f>
        <v>0</v>
      </c>
      <c r="S3298" s="48">
        <f>IF(Учет!$O3298=Справочники!$F$4,Учет!$H3298,0)</f>
        <v>0</v>
      </c>
      <c r="T3298" s="48">
        <f>IF(Учет!$O3298=Справочники!$F$5,Учет!$H3298,0)</f>
        <v>0</v>
      </c>
      <c r="U3298" s="48">
        <f>IF(Учет!$O3298=Справочники!$F$6,Учет!$H3298,0)</f>
        <v>0</v>
      </c>
      <c r="V3298" s="43">
        <f>V3297+Учет!Q3298-Q3298</f>
        <v>-488978.92000000004</v>
      </c>
      <c r="W3298" s="43">
        <f>W3297+Учет!R3298-R3298</f>
        <v>336855</v>
      </c>
      <c r="X3298" s="43">
        <f>X3297+Учет!S3298-S3298</f>
        <v>500</v>
      </c>
      <c r="Y3298" s="43">
        <f>Y3297+Учет!T3298-T3298</f>
        <v>1150</v>
      </c>
      <c r="Z3298" s="43">
        <f>Z3297+Учет!U3298-U3298</f>
        <v>500000</v>
      </c>
      <c r="AA3298" s="45">
        <f>Учет!X3298</f>
        <v>500</v>
      </c>
    </row>
    <row r="3299" spans="1:27" ht="15" customHeight="1" x14ac:dyDescent="0.25">
      <c r="A3299" s="1"/>
      <c r="B3299" s="17"/>
      <c r="C3299" s="17"/>
      <c r="D3299" s="17"/>
      <c r="E3299" s="17"/>
      <c r="F3299" s="17"/>
      <c r="G3299" s="4">
        <f t="shared" si="150"/>
        <v>0</v>
      </c>
      <c r="H3299" s="17"/>
      <c r="I3299" s="4">
        <f t="shared" si="152"/>
        <v>349526.07999999996</v>
      </c>
      <c r="J3299" s="32" t="str">
        <f t="shared" si="151"/>
        <v/>
      </c>
      <c r="K3299" s="72"/>
      <c r="L3299" s="72"/>
      <c r="M3299" s="2"/>
      <c r="N3299" s="5"/>
      <c r="O3299" s="3"/>
      <c r="P3299" s="6"/>
      <c r="Q3299" s="48">
        <f>IF(Учет!$O3299=Справочники!$F$2,Учет!$H3299,0)</f>
        <v>0</v>
      </c>
      <c r="R3299" s="48">
        <f>IF(Учет!$O3299=Справочники!$F$3,Учет!$H3299,0)</f>
        <v>0</v>
      </c>
      <c r="S3299" s="48">
        <f>IF(Учет!$O3299=Справочники!$F$4,Учет!$H3299,0)</f>
        <v>0</v>
      </c>
      <c r="T3299" s="48">
        <f>IF(Учет!$O3299=Справочники!$F$5,Учет!$H3299,0)</f>
        <v>0</v>
      </c>
      <c r="U3299" s="48">
        <f>IF(Учет!$O3299=Справочники!$F$6,Учет!$H3299,0)</f>
        <v>0</v>
      </c>
      <c r="V3299" s="43">
        <f>V3298+Учет!Q3299-Q3299</f>
        <v>-488978.92000000004</v>
      </c>
      <c r="W3299" s="43">
        <f>W3298+Учет!R3299-R3299</f>
        <v>336855</v>
      </c>
      <c r="X3299" s="43">
        <f>X3298+Учет!S3299-S3299</f>
        <v>500</v>
      </c>
      <c r="Y3299" s="43">
        <f>Y3298+Учет!T3299-T3299</f>
        <v>1150</v>
      </c>
      <c r="Z3299" s="43">
        <f>Z3298+Учет!U3299-U3299</f>
        <v>500000</v>
      </c>
      <c r="AA3299" s="45">
        <f>Учет!X3299</f>
        <v>500</v>
      </c>
    </row>
    <row r="3300" spans="1:27" ht="15" customHeight="1" x14ac:dyDescent="0.25">
      <c r="A3300" s="1"/>
      <c r="B3300" s="17"/>
      <c r="C3300" s="17"/>
      <c r="D3300" s="17"/>
      <c r="E3300" s="17"/>
      <c r="F3300" s="17"/>
      <c r="G3300" s="4">
        <f t="shared" si="150"/>
        <v>0</v>
      </c>
      <c r="H3300" s="17"/>
      <c r="I3300" s="4">
        <f t="shared" si="152"/>
        <v>349526.07999999996</v>
      </c>
      <c r="J3300" s="32" t="str">
        <f t="shared" si="151"/>
        <v/>
      </c>
      <c r="K3300" s="72"/>
      <c r="L3300" s="72"/>
      <c r="M3300" s="2"/>
      <c r="N3300" s="5"/>
      <c r="O3300" s="3"/>
      <c r="P3300" s="6"/>
      <c r="Q3300" s="48">
        <f>IF(Учет!$O3300=Справочники!$F$2,Учет!$H3300,0)</f>
        <v>0</v>
      </c>
      <c r="R3300" s="48">
        <f>IF(Учет!$O3300=Справочники!$F$3,Учет!$H3300,0)</f>
        <v>0</v>
      </c>
      <c r="S3300" s="48">
        <f>IF(Учет!$O3300=Справочники!$F$4,Учет!$H3300,0)</f>
        <v>0</v>
      </c>
      <c r="T3300" s="48">
        <f>IF(Учет!$O3300=Справочники!$F$5,Учет!$H3300,0)</f>
        <v>0</v>
      </c>
      <c r="U3300" s="48">
        <f>IF(Учет!$O3300=Справочники!$F$6,Учет!$H3300,0)</f>
        <v>0</v>
      </c>
      <c r="V3300" s="43">
        <f>V3299+Учет!Q3300-Q3300</f>
        <v>-488978.92000000004</v>
      </c>
      <c r="W3300" s="43">
        <f>W3299+Учет!R3300-R3300</f>
        <v>336855</v>
      </c>
      <c r="X3300" s="43">
        <f>X3299+Учет!S3300-S3300</f>
        <v>500</v>
      </c>
      <c r="Y3300" s="43">
        <f>Y3299+Учет!T3300-T3300</f>
        <v>1150</v>
      </c>
      <c r="Z3300" s="43">
        <f>Z3299+Учет!U3300-U3300</f>
        <v>500000</v>
      </c>
      <c r="AA3300" s="45">
        <f>Учет!X3300</f>
        <v>500</v>
      </c>
    </row>
    <row r="3301" spans="1:27" ht="15" customHeight="1" x14ac:dyDescent="0.25">
      <c r="A3301" s="1"/>
      <c r="B3301" s="17"/>
      <c r="C3301" s="17"/>
      <c r="D3301" s="17"/>
      <c r="E3301" s="17"/>
      <c r="F3301" s="17"/>
      <c r="G3301" s="4">
        <f t="shared" si="150"/>
        <v>0</v>
      </c>
      <c r="H3301" s="17"/>
      <c r="I3301" s="4">
        <f t="shared" si="152"/>
        <v>349526.07999999996</v>
      </c>
      <c r="J3301" s="32" t="str">
        <f t="shared" si="151"/>
        <v/>
      </c>
      <c r="K3301" s="72"/>
      <c r="L3301" s="72"/>
      <c r="M3301" s="2"/>
      <c r="N3301" s="5"/>
      <c r="O3301" s="3"/>
      <c r="P3301" s="6"/>
      <c r="Q3301" s="48">
        <f>IF(Учет!$O3301=Справочники!$F$2,Учет!$H3301,0)</f>
        <v>0</v>
      </c>
      <c r="R3301" s="48">
        <f>IF(Учет!$O3301=Справочники!$F$3,Учет!$H3301,0)</f>
        <v>0</v>
      </c>
      <c r="S3301" s="48">
        <f>IF(Учет!$O3301=Справочники!$F$4,Учет!$H3301,0)</f>
        <v>0</v>
      </c>
      <c r="T3301" s="48">
        <f>IF(Учет!$O3301=Справочники!$F$5,Учет!$H3301,0)</f>
        <v>0</v>
      </c>
      <c r="U3301" s="48">
        <f>IF(Учет!$O3301=Справочники!$F$6,Учет!$H3301,0)</f>
        <v>0</v>
      </c>
      <c r="V3301" s="43">
        <f>V3300+Учет!Q3301-Q3301</f>
        <v>-488978.92000000004</v>
      </c>
      <c r="W3301" s="43">
        <f>W3300+Учет!R3301-R3301</f>
        <v>336855</v>
      </c>
      <c r="X3301" s="43">
        <f>X3300+Учет!S3301-S3301</f>
        <v>500</v>
      </c>
      <c r="Y3301" s="43">
        <f>Y3300+Учет!T3301-T3301</f>
        <v>1150</v>
      </c>
      <c r="Z3301" s="43">
        <f>Z3300+Учет!U3301-U3301</f>
        <v>500000</v>
      </c>
      <c r="AA3301" s="45">
        <f>Учет!X3301</f>
        <v>500</v>
      </c>
    </row>
    <row r="3302" spans="1:27" ht="15" customHeight="1" x14ac:dyDescent="0.25">
      <c r="A3302" s="1"/>
      <c r="B3302" s="17"/>
      <c r="C3302" s="17"/>
      <c r="D3302" s="17"/>
      <c r="E3302" s="17"/>
      <c r="F3302" s="17"/>
      <c r="G3302" s="4">
        <f t="shared" si="150"/>
        <v>0</v>
      </c>
      <c r="H3302" s="17"/>
      <c r="I3302" s="4">
        <f t="shared" si="152"/>
        <v>349526.07999999996</v>
      </c>
      <c r="J3302" s="32" t="str">
        <f t="shared" si="151"/>
        <v/>
      </c>
      <c r="K3302" s="72"/>
      <c r="L3302" s="72"/>
      <c r="M3302" s="2"/>
      <c r="N3302" s="5"/>
      <c r="O3302" s="3"/>
      <c r="P3302" s="6"/>
      <c r="Q3302" s="48">
        <f>IF(Учет!$O3302=Справочники!$F$2,Учет!$H3302,0)</f>
        <v>0</v>
      </c>
      <c r="R3302" s="48">
        <f>IF(Учет!$O3302=Справочники!$F$3,Учет!$H3302,0)</f>
        <v>0</v>
      </c>
      <c r="S3302" s="48">
        <f>IF(Учет!$O3302=Справочники!$F$4,Учет!$H3302,0)</f>
        <v>0</v>
      </c>
      <c r="T3302" s="48">
        <f>IF(Учет!$O3302=Справочники!$F$5,Учет!$H3302,0)</f>
        <v>0</v>
      </c>
      <c r="U3302" s="48">
        <f>IF(Учет!$O3302=Справочники!$F$6,Учет!$H3302,0)</f>
        <v>0</v>
      </c>
      <c r="V3302" s="43">
        <f>V3301+Учет!Q3302-Q3302</f>
        <v>-488978.92000000004</v>
      </c>
      <c r="W3302" s="43">
        <f>W3301+Учет!R3302-R3302</f>
        <v>336855</v>
      </c>
      <c r="X3302" s="43">
        <f>X3301+Учет!S3302-S3302</f>
        <v>500</v>
      </c>
      <c r="Y3302" s="43">
        <f>Y3301+Учет!T3302-T3302</f>
        <v>1150</v>
      </c>
      <c r="Z3302" s="43">
        <f>Z3301+Учет!U3302-U3302</f>
        <v>500000</v>
      </c>
      <c r="AA3302" s="45">
        <f>Учет!X3302</f>
        <v>500</v>
      </c>
    </row>
    <row r="3303" spans="1:27" ht="15" customHeight="1" x14ac:dyDescent="0.25">
      <c r="A3303" s="1"/>
      <c r="B3303" s="17"/>
      <c r="C3303" s="17"/>
      <c r="D3303" s="17"/>
      <c r="E3303" s="17"/>
      <c r="F3303" s="17"/>
      <c r="G3303" s="4">
        <f t="shared" si="150"/>
        <v>0</v>
      </c>
      <c r="H3303" s="17"/>
      <c r="I3303" s="4">
        <f t="shared" si="152"/>
        <v>349526.07999999996</v>
      </c>
      <c r="J3303" s="32" t="str">
        <f t="shared" si="151"/>
        <v/>
      </c>
      <c r="K3303" s="72"/>
      <c r="L3303" s="72"/>
      <c r="M3303" s="2"/>
      <c r="N3303" s="5"/>
      <c r="O3303" s="3"/>
      <c r="P3303" s="6"/>
      <c r="Q3303" s="48">
        <f>IF(Учет!$O3303=Справочники!$F$2,Учет!$H3303,0)</f>
        <v>0</v>
      </c>
      <c r="R3303" s="48">
        <f>IF(Учет!$O3303=Справочники!$F$3,Учет!$H3303,0)</f>
        <v>0</v>
      </c>
      <c r="S3303" s="48">
        <f>IF(Учет!$O3303=Справочники!$F$4,Учет!$H3303,0)</f>
        <v>0</v>
      </c>
      <c r="T3303" s="48">
        <f>IF(Учет!$O3303=Справочники!$F$5,Учет!$H3303,0)</f>
        <v>0</v>
      </c>
      <c r="U3303" s="48">
        <f>IF(Учет!$O3303=Справочники!$F$6,Учет!$H3303,0)</f>
        <v>0</v>
      </c>
      <c r="V3303" s="43">
        <f>V3302+Учет!Q3303-Q3303</f>
        <v>-488978.92000000004</v>
      </c>
      <c r="W3303" s="43">
        <f>W3302+Учет!R3303-R3303</f>
        <v>336855</v>
      </c>
      <c r="X3303" s="43">
        <f>X3302+Учет!S3303-S3303</f>
        <v>500</v>
      </c>
      <c r="Y3303" s="43">
        <f>Y3302+Учет!T3303-T3303</f>
        <v>1150</v>
      </c>
      <c r="Z3303" s="43">
        <f>Z3302+Учет!U3303-U3303</f>
        <v>500000</v>
      </c>
      <c r="AA3303" s="45">
        <f>Учет!X3303</f>
        <v>500</v>
      </c>
    </row>
    <row r="3304" spans="1:27" ht="15" customHeight="1" x14ac:dyDescent="0.25">
      <c r="A3304" s="1"/>
      <c r="B3304" s="17"/>
      <c r="C3304" s="17"/>
      <c r="D3304" s="17"/>
      <c r="E3304" s="17"/>
      <c r="F3304" s="17"/>
      <c r="G3304" s="4">
        <f t="shared" si="150"/>
        <v>0</v>
      </c>
      <c r="H3304" s="17"/>
      <c r="I3304" s="4">
        <f t="shared" si="152"/>
        <v>349526.07999999996</v>
      </c>
      <c r="J3304" s="32" t="str">
        <f t="shared" si="151"/>
        <v/>
      </c>
      <c r="K3304" s="72"/>
      <c r="L3304" s="72"/>
      <c r="M3304" s="2"/>
      <c r="N3304" s="5"/>
      <c r="O3304" s="3"/>
      <c r="P3304" s="6"/>
      <c r="Q3304" s="48">
        <f>IF(Учет!$O3304=Справочники!$F$2,Учет!$H3304,0)</f>
        <v>0</v>
      </c>
      <c r="R3304" s="48">
        <f>IF(Учет!$O3304=Справочники!$F$3,Учет!$H3304,0)</f>
        <v>0</v>
      </c>
      <c r="S3304" s="48">
        <f>IF(Учет!$O3304=Справочники!$F$4,Учет!$H3304,0)</f>
        <v>0</v>
      </c>
      <c r="T3304" s="48">
        <f>IF(Учет!$O3304=Справочники!$F$5,Учет!$H3304,0)</f>
        <v>0</v>
      </c>
      <c r="U3304" s="48">
        <f>IF(Учет!$O3304=Справочники!$F$6,Учет!$H3304,0)</f>
        <v>0</v>
      </c>
      <c r="V3304" s="43">
        <f>V3303+Учет!Q3304-Q3304</f>
        <v>-488978.92000000004</v>
      </c>
      <c r="W3304" s="43">
        <f>W3303+Учет!R3304-R3304</f>
        <v>336855</v>
      </c>
      <c r="X3304" s="43">
        <f>X3303+Учет!S3304-S3304</f>
        <v>500</v>
      </c>
      <c r="Y3304" s="43">
        <f>Y3303+Учет!T3304-T3304</f>
        <v>1150</v>
      </c>
      <c r="Z3304" s="43">
        <f>Z3303+Учет!U3304-U3304</f>
        <v>500000</v>
      </c>
      <c r="AA3304" s="45">
        <f>Учет!X3304</f>
        <v>500</v>
      </c>
    </row>
    <row r="3305" spans="1:27" ht="15" customHeight="1" x14ac:dyDescent="0.25">
      <c r="A3305" s="1"/>
      <c r="B3305" s="17"/>
      <c r="C3305" s="17"/>
      <c r="D3305" s="17"/>
      <c r="E3305" s="17"/>
      <c r="F3305" s="17"/>
      <c r="G3305" s="4">
        <f t="shared" si="150"/>
        <v>0</v>
      </c>
      <c r="H3305" s="17"/>
      <c r="I3305" s="4">
        <f t="shared" si="152"/>
        <v>349526.07999999996</v>
      </c>
      <c r="J3305" s="32" t="str">
        <f t="shared" si="151"/>
        <v/>
      </c>
      <c r="K3305" s="72"/>
      <c r="L3305" s="72"/>
      <c r="M3305" s="2"/>
      <c r="N3305" s="5"/>
      <c r="O3305" s="3"/>
      <c r="P3305" s="6"/>
      <c r="Q3305" s="48">
        <f>IF(Учет!$O3305=Справочники!$F$2,Учет!$H3305,0)</f>
        <v>0</v>
      </c>
      <c r="R3305" s="48">
        <f>IF(Учет!$O3305=Справочники!$F$3,Учет!$H3305,0)</f>
        <v>0</v>
      </c>
      <c r="S3305" s="48">
        <f>IF(Учет!$O3305=Справочники!$F$4,Учет!$H3305,0)</f>
        <v>0</v>
      </c>
      <c r="T3305" s="48">
        <f>IF(Учет!$O3305=Справочники!$F$5,Учет!$H3305,0)</f>
        <v>0</v>
      </c>
      <c r="U3305" s="48">
        <f>IF(Учет!$O3305=Справочники!$F$6,Учет!$H3305,0)</f>
        <v>0</v>
      </c>
      <c r="V3305" s="43">
        <f>V3304+Учет!Q3305-Q3305</f>
        <v>-488978.92000000004</v>
      </c>
      <c r="W3305" s="43">
        <f>W3304+Учет!R3305-R3305</f>
        <v>336855</v>
      </c>
      <c r="X3305" s="43">
        <f>X3304+Учет!S3305-S3305</f>
        <v>500</v>
      </c>
      <c r="Y3305" s="43">
        <f>Y3304+Учет!T3305-T3305</f>
        <v>1150</v>
      </c>
      <c r="Z3305" s="43">
        <f>Z3304+Учет!U3305-U3305</f>
        <v>500000</v>
      </c>
      <c r="AA3305" s="45">
        <f>Учет!X3305</f>
        <v>500</v>
      </c>
    </row>
    <row r="3306" spans="1:27" ht="15" customHeight="1" x14ac:dyDescent="0.25">
      <c r="A3306" s="1"/>
      <c r="B3306" s="17"/>
      <c r="C3306" s="17"/>
      <c r="D3306" s="17"/>
      <c r="E3306" s="17"/>
      <c r="F3306" s="17"/>
      <c r="G3306" s="4">
        <f t="shared" si="150"/>
        <v>0</v>
      </c>
      <c r="H3306" s="17"/>
      <c r="I3306" s="4">
        <f t="shared" si="152"/>
        <v>349526.07999999996</v>
      </c>
      <c r="J3306" s="32" t="str">
        <f t="shared" si="151"/>
        <v/>
      </c>
      <c r="K3306" s="72"/>
      <c r="L3306" s="72"/>
      <c r="M3306" s="2"/>
      <c r="N3306" s="5"/>
      <c r="O3306" s="3"/>
      <c r="P3306" s="6"/>
      <c r="Q3306" s="48">
        <f>IF(Учет!$O3306=Справочники!$F$2,Учет!$H3306,0)</f>
        <v>0</v>
      </c>
      <c r="R3306" s="48">
        <f>IF(Учет!$O3306=Справочники!$F$3,Учет!$H3306,0)</f>
        <v>0</v>
      </c>
      <c r="S3306" s="48">
        <f>IF(Учет!$O3306=Справочники!$F$4,Учет!$H3306,0)</f>
        <v>0</v>
      </c>
      <c r="T3306" s="48">
        <f>IF(Учет!$O3306=Справочники!$F$5,Учет!$H3306,0)</f>
        <v>0</v>
      </c>
      <c r="U3306" s="48">
        <f>IF(Учет!$O3306=Справочники!$F$6,Учет!$H3306,0)</f>
        <v>0</v>
      </c>
      <c r="V3306" s="43">
        <f>V3305+Учет!Q3306-Q3306</f>
        <v>-488978.92000000004</v>
      </c>
      <c r="W3306" s="43">
        <f>W3305+Учет!R3306-R3306</f>
        <v>336855</v>
      </c>
      <c r="X3306" s="43">
        <f>X3305+Учет!S3306-S3306</f>
        <v>500</v>
      </c>
      <c r="Y3306" s="43">
        <f>Y3305+Учет!T3306-T3306</f>
        <v>1150</v>
      </c>
      <c r="Z3306" s="43">
        <f>Z3305+Учет!U3306-U3306</f>
        <v>500000</v>
      </c>
      <c r="AA3306" s="45">
        <f>Учет!X3306</f>
        <v>500</v>
      </c>
    </row>
    <row r="3307" spans="1:27" ht="15" customHeight="1" x14ac:dyDescent="0.25">
      <c r="A3307" s="1"/>
      <c r="B3307" s="17"/>
      <c r="C3307" s="17"/>
      <c r="D3307" s="17"/>
      <c r="E3307" s="17"/>
      <c r="F3307" s="17"/>
      <c r="G3307" s="4">
        <f t="shared" si="150"/>
        <v>0</v>
      </c>
      <c r="H3307" s="17"/>
      <c r="I3307" s="4">
        <f t="shared" si="152"/>
        <v>349526.07999999996</v>
      </c>
      <c r="J3307" s="32" t="str">
        <f t="shared" si="151"/>
        <v/>
      </c>
      <c r="K3307" s="72"/>
      <c r="L3307" s="72"/>
      <c r="M3307" s="2"/>
      <c r="N3307" s="5"/>
      <c r="O3307" s="3"/>
      <c r="P3307" s="6"/>
      <c r="Q3307" s="48">
        <f>IF(Учет!$O3307=Справочники!$F$2,Учет!$H3307,0)</f>
        <v>0</v>
      </c>
      <c r="R3307" s="48">
        <f>IF(Учет!$O3307=Справочники!$F$3,Учет!$H3307,0)</f>
        <v>0</v>
      </c>
      <c r="S3307" s="48">
        <f>IF(Учет!$O3307=Справочники!$F$4,Учет!$H3307,0)</f>
        <v>0</v>
      </c>
      <c r="T3307" s="48">
        <f>IF(Учет!$O3307=Справочники!$F$5,Учет!$H3307,0)</f>
        <v>0</v>
      </c>
      <c r="U3307" s="48">
        <f>IF(Учет!$O3307=Справочники!$F$6,Учет!$H3307,0)</f>
        <v>0</v>
      </c>
      <c r="V3307" s="43">
        <f>V3306+Учет!Q3307-Q3307</f>
        <v>-488978.92000000004</v>
      </c>
      <c r="W3307" s="43">
        <f>W3306+Учет!R3307-R3307</f>
        <v>336855</v>
      </c>
      <c r="X3307" s="43">
        <f>X3306+Учет!S3307-S3307</f>
        <v>500</v>
      </c>
      <c r="Y3307" s="43">
        <f>Y3306+Учет!T3307-T3307</f>
        <v>1150</v>
      </c>
      <c r="Z3307" s="43">
        <f>Z3306+Учет!U3307-U3307</f>
        <v>500000</v>
      </c>
      <c r="AA3307" s="45">
        <f>Учет!X3307</f>
        <v>500</v>
      </c>
    </row>
    <row r="3308" spans="1:27" ht="15" customHeight="1" x14ac:dyDescent="0.25">
      <c r="A3308" s="1"/>
      <c r="B3308" s="17"/>
      <c r="C3308" s="17"/>
      <c r="D3308" s="17"/>
      <c r="E3308" s="17"/>
      <c r="F3308" s="17"/>
      <c r="G3308" s="4">
        <f t="shared" si="150"/>
        <v>0</v>
      </c>
      <c r="H3308" s="17"/>
      <c r="I3308" s="4">
        <f t="shared" si="152"/>
        <v>349526.07999999996</v>
      </c>
      <c r="J3308" s="32" t="str">
        <f t="shared" si="151"/>
        <v/>
      </c>
      <c r="K3308" s="72"/>
      <c r="L3308" s="72"/>
      <c r="M3308" s="2"/>
      <c r="N3308" s="5"/>
      <c r="O3308" s="3"/>
      <c r="P3308" s="6"/>
      <c r="Q3308" s="48">
        <f>IF(Учет!$O3308=Справочники!$F$2,Учет!$H3308,0)</f>
        <v>0</v>
      </c>
      <c r="R3308" s="48">
        <f>IF(Учет!$O3308=Справочники!$F$3,Учет!$H3308,0)</f>
        <v>0</v>
      </c>
      <c r="S3308" s="48">
        <f>IF(Учет!$O3308=Справочники!$F$4,Учет!$H3308,0)</f>
        <v>0</v>
      </c>
      <c r="T3308" s="48">
        <f>IF(Учет!$O3308=Справочники!$F$5,Учет!$H3308,0)</f>
        <v>0</v>
      </c>
      <c r="U3308" s="48">
        <f>IF(Учет!$O3308=Справочники!$F$6,Учет!$H3308,0)</f>
        <v>0</v>
      </c>
      <c r="V3308" s="43">
        <f>V3307+Учет!Q3308-Q3308</f>
        <v>-488978.92000000004</v>
      </c>
      <c r="W3308" s="43">
        <f>W3307+Учет!R3308-R3308</f>
        <v>336855</v>
      </c>
      <c r="X3308" s="43">
        <f>X3307+Учет!S3308-S3308</f>
        <v>500</v>
      </c>
      <c r="Y3308" s="43">
        <f>Y3307+Учет!T3308-T3308</f>
        <v>1150</v>
      </c>
      <c r="Z3308" s="43">
        <f>Z3307+Учет!U3308-U3308</f>
        <v>500000</v>
      </c>
      <c r="AA3308" s="45">
        <f>Учет!X3308</f>
        <v>500</v>
      </c>
    </row>
    <row r="3309" spans="1:27" ht="15" customHeight="1" x14ac:dyDescent="0.25">
      <c r="A3309" s="1"/>
      <c r="B3309" s="17"/>
      <c r="C3309" s="17"/>
      <c r="D3309" s="17"/>
      <c r="E3309" s="17"/>
      <c r="F3309" s="17"/>
      <c r="G3309" s="4">
        <f t="shared" si="150"/>
        <v>0</v>
      </c>
      <c r="H3309" s="17"/>
      <c r="I3309" s="4">
        <f t="shared" si="152"/>
        <v>349526.07999999996</v>
      </c>
      <c r="J3309" s="32" t="str">
        <f t="shared" si="151"/>
        <v/>
      </c>
      <c r="K3309" s="72"/>
      <c r="L3309" s="72"/>
      <c r="M3309" s="2"/>
      <c r="N3309" s="5"/>
      <c r="O3309" s="3"/>
      <c r="P3309" s="6"/>
      <c r="Q3309" s="48">
        <f>IF(Учет!$O3309=Справочники!$F$2,Учет!$H3309,0)</f>
        <v>0</v>
      </c>
      <c r="R3309" s="48">
        <f>IF(Учет!$O3309=Справочники!$F$3,Учет!$H3309,0)</f>
        <v>0</v>
      </c>
      <c r="S3309" s="48">
        <f>IF(Учет!$O3309=Справочники!$F$4,Учет!$H3309,0)</f>
        <v>0</v>
      </c>
      <c r="T3309" s="48">
        <f>IF(Учет!$O3309=Справочники!$F$5,Учет!$H3309,0)</f>
        <v>0</v>
      </c>
      <c r="U3309" s="48">
        <f>IF(Учет!$O3309=Справочники!$F$6,Учет!$H3309,0)</f>
        <v>0</v>
      </c>
      <c r="V3309" s="43">
        <f>V3308+Учет!Q3309-Q3309</f>
        <v>-488978.92000000004</v>
      </c>
      <c r="W3309" s="43">
        <f>W3308+Учет!R3309-R3309</f>
        <v>336855</v>
      </c>
      <c r="X3309" s="43">
        <f>X3308+Учет!S3309-S3309</f>
        <v>500</v>
      </c>
      <c r="Y3309" s="43">
        <f>Y3308+Учет!T3309-T3309</f>
        <v>1150</v>
      </c>
      <c r="Z3309" s="43">
        <f>Z3308+Учет!U3309-U3309</f>
        <v>500000</v>
      </c>
      <c r="AA3309" s="45">
        <f>Учет!X3309</f>
        <v>500</v>
      </c>
    </row>
    <row r="3310" spans="1:27" ht="15" customHeight="1" x14ac:dyDescent="0.25">
      <c r="A3310" s="1"/>
      <c r="B3310" s="17"/>
      <c r="C3310" s="17"/>
      <c r="D3310" s="17"/>
      <c r="E3310" s="17"/>
      <c r="F3310" s="17"/>
      <c r="G3310" s="4">
        <f t="shared" si="150"/>
        <v>0</v>
      </c>
      <c r="H3310" s="17"/>
      <c r="I3310" s="4">
        <f t="shared" si="152"/>
        <v>349526.07999999996</v>
      </c>
      <c r="J3310" s="32" t="str">
        <f t="shared" si="151"/>
        <v/>
      </c>
      <c r="K3310" s="72"/>
      <c r="L3310" s="72"/>
      <c r="M3310" s="2"/>
      <c r="N3310" s="5"/>
      <c r="O3310" s="3"/>
      <c r="P3310" s="6"/>
      <c r="Q3310" s="48">
        <f>IF(Учет!$O3310=Справочники!$F$2,Учет!$H3310,0)</f>
        <v>0</v>
      </c>
      <c r="R3310" s="48">
        <f>IF(Учет!$O3310=Справочники!$F$3,Учет!$H3310,0)</f>
        <v>0</v>
      </c>
      <c r="S3310" s="48">
        <f>IF(Учет!$O3310=Справочники!$F$4,Учет!$H3310,0)</f>
        <v>0</v>
      </c>
      <c r="T3310" s="48">
        <f>IF(Учет!$O3310=Справочники!$F$5,Учет!$H3310,0)</f>
        <v>0</v>
      </c>
      <c r="U3310" s="48">
        <f>IF(Учет!$O3310=Справочники!$F$6,Учет!$H3310,0)</f>
        <v>0</v>
      </c>
      <c r="V3310" s="43">
        <f>V3309+Учет!Q3310-Q3310</f>
        <v>-488978.92000000004</v>
      </c>
      <c r="W3310" s="43">
        <f>W3309+Учет!R3310-R3310</f>
        <v>336855</v>
      </c>
      <c r="X3310" s="43">
        <f>X3309+Учет!S3310-S3310</f>
        <v>500</v>
      </c>
      <c r="Y3310" s="43">
        <f>Y3309+Учет!T3310-T3310</f>
        <v>1150</v>
      </c>
      <c r="Z3310" s="43">
        <f>Z3309+Учет!U3310-U3310</f>
        <v>500000</v>
      </c>
      <c r="AA3310" s="45">
        <f>Учет!X3310</f>
        <v>500</v>
      </c>
    </row>
    <row r="3311" spans="1:27" ht="15" customHeight="1" x14ac:dyDescent="0.25">
      <c r="A3311" s="1"/>
      <c r="B3311" s="17"/>
      <c r="C3311" s="17"/>
      <c r="D3311" s="17"/>
      <c r="E3311" s="17"/>
      <c r="F3311" s="17"/>
      <c r="G3311" s="4">
        <f t="shared" si="150"/>
        <v>0</v>
      </c>
      <c r="H3311" s="17"/>
      <c r="I3311" s="4">
        <f t="shared" si="152"/>
        <v>349526.07999999996</v>
      </c>
      <c r="J3311" s="32" t="str">
        <f t="shared" si="151"/>
        <v/>
      </c>
      <c r="K3311" s="72"/>
      <c r="L3311" s="72"/>
      <c r="M3311" s="2"/>
      <c r="N3311" s="5"/>
      <c r="O3311" s="3"/>
      <c r="P3311" s="6"/>
      <c r="Q3311" s="48">
        <f>IF(Учет!$O3311=Справочники!$F$2,Учет!$H3311,0)</f>
        <v>0</v>
      </c>
      <c r="R3311" s="48">
        <f>IF(Учет!$O3311=Справочники!$F$3,Учет!$H3311,0)</f>
        <v>0</v>
      </c>
      <c r="S3311" s="48">
        <f>IF(Учет!$O3311=Справочники!$F$4,Учет!$H3311,0)</f>
        <v>0</v>
      </c>
      <c r="T3311" s="48">
        <f>IF(Учет!$O3311=Справочники!$F$5,Учет!$H3311,0)</f>
        <v>0</v>
      </c>
      <c r="U3311" s="48">
        <f>IF(Учет!$O3311=Справочники!$F$6,Учет!$H3311,0)</f>
        <v>0</v>
      </c>
      <c r="V3311" s="43">
        <f>V3310+Учет!Q3311-Q3311</f>
        <v>-488978.92000000004</v>
      </c>
      <c r="W3311" s="43">
        <f>W3310+Учет!R3311-R3311</f>
        <v>336855</v>
      </c>
      <c r="X3311" s="43">
        <f>X3310+Учет!S3311-S3311</f>
        <v>500</v>
      </c>
      <c r="Y3311" s="43">
        <f>Y3310+Учет!T3311-T3311</f>
        <v>1150</v>
      </c>
      <c r="Z3311" s="43">
        <f>Z3310+Учет!U3311-U3311</f>
        <v>500000</v>
      </c>
      <c r="AA3311" s="45">
        <f>Учет!X3311</f>
        <v>500</v>
      </c>
    </row>
    <row r="3312" spans="1:27" ht="15" customHeight="1" x14ac:dyDescent="0.25">
      <c r="A3312" s="1"/>
      <c r="B3312" s="17"/>
      <c r="C3312" s="17"/>
      <c r="D3312" s="17"/>
      <c r="E3312" s="17"/>
      <c r="F3312" s="17"/>
      <c r="G3312" s="4">
        <f t="shared" si="150"/>
        <v>0</v>
      </c>
      <c r="H3312" s="17"/>
      <c r="I3312" s="4">
        <f t="shared" si="152"/>
        <v>349526.07999999996</v>
      </c>
      <c r="J3312" s="32" t="str">
        <f t="shared" si="151"/>
        <v/>
      </c>
      <c r="K3312" s="72"/>
      <c r="L3312" s="72"/>
      <c r="M3312" s="2"/>
      <c r="N3312" s="5"/>
      <c r="O3312" s="3"/>
      <c r="P3312" s="6"/>
      <c r="Q3312" s="48">
        <f>IF(Учет!$O3312=Справочники!$F$2,Учет!$H3312,0)</f>
        <v>0</v>
      </c>
      <c r="R3312" s="48">
        <f>IF(Учет!$O3312=Справочники!$F$3,Учет!$H3312,0)</f>
        <v>0</v>
      </c>
      <c r="S3312" s="48">
        <f>IF(Учет!$O3312=Справочники!$F$4,Учет!$H3312,0)</f>
        <v>0</v>
      </c>
      <c r="T3312" s="48">
        <f>IF(Учет!$O3312=Справочники!$F$5,Учет!$H3312,0)</f>
        <v>0</v>
      </c>
      <c r="U3312" s="48">
        <f>IF(Учет!$O3312=Справочники!$F$6,Учет!$H3312,0)</f>
        <v>0</v>
      </c>
      <c r="V3312" s="43">
        <f>V3311+Учет!Q3312-Q3312</f>
        <v>-488978.92000000004</v>
      </c>
      <c r="W3312" s="43">
        <f>W3311+Учет!R3312-R3312</f>
        <v>336855</v>
      </c>
      <c r="X3312" s="43">
        <f>X3311+Учет!S3312-S3312</f>
        <v>500</v>
      </c>
      <c r="Y3312" s="43">
        <f>Y3311+Учет!T3312-T3312</f>
        <v>1150</v>
      </c>
      <c r="Z3312" s="43">
        <f>Z3311+Учет!U3312-U3312</f>
        <v>500000</v>
      </c>
      <c r="AA3312" s="45">
        <f>Учет!X3312</f>
        <v>500</v>
      </c>
    </row>
    <row r="3313" spans="1:27" ht="15" customHeight="1" x14ac:dyDescent="0.25">
      <c r="A3313" s="1"/>
      <c r="B3313" s="17"/>
      <c r="C3313" s="17"/>
      <c r="D3313" s="17"/>
      <c r="E3313" s="17"/>
      <c r="F3313" s="17"/>
      <c r="G3313" s="4">
        <f t="shared" si="150"/>
        <v>0</v>
      </c>
      <c r="H3313" s="17"/>
      <c r="I3313" s="4">
        <f t="shared" si="152"/>
        <v>349526.07999999996</v>
      </c>
      <c r="J3313" s="32" t="str">
        <f t="shared" si="151"/>
        <v/>
      </c>
      <c r="K3313" s="72"/>
      <c r="L3313" s="72"/>
      <c r="M3313" s="2"/>
      <c r="N3313" s="5"/>
      <c r="O3313" s="3"/>
      <c r="P3313" s="6"/>
      <c r="Q3313" s="48">
        <f>IF(Учет!$O3313=Справочники!$F$2,Учет!$H3313,0)</f>
        <v>0</v>
      </c>
      <c r="R3313" s="48">
        <f>IF(Учет!$O3313=Справочники!$F$3,Учет!$H3313,0)</f>
        <v>0</v>
      </c>
      <c r="S3313" s="48">
        <f>IF(Учет!$O3313=Справочники!$F$4,Учет!$H3313,0)</f>
        <v>0</v>
      </c>
      <c r="T3313" s="48">
        <f>IF(Учет!$O3313=Справочники!$F$5,Учет!$H3313,0)</f>
        <v>0</v>
      </c>
      <c r="U3313" s="48">
        <f>IF(Учет!$O3313=Справочники!$F$6,Учет!$H3313,0)</f>
        <v>0</v>
      </c>
      <c r="V3313" s="43">
        <f>V3312+Учет!Q3313-Q3313</f>
        <v>-488978.92000000004</v>
      </c>
      <c r="W3313" s="43">
        <f>W3312+Учет!R3313-R3313</f>
        <v>336855</v>
      </c>
      <c r="X3313" s="43">
        <f>X3312+Учет!S3313-S3313</f>
        <v>500</v>
      </c>
      <c r="Y3313" s="43">
        <f>Y3312+Учет!T3313-T3313</f>
        <v>1150</v>
      </c>
      <c r="Z3313" s="43">
        <f>Z3312+Учет!U3313-U3313</f>
        <v>500000</v>
      </c>
      <c r="AA3313" s="45">
        <f>Учет!X3313</f>
        <v>500</v>
      </c>
    </row>
    <row r="3314" spans="1:27" ht="15" customHeight="1" x14ac:dyDescent="0.25">
      <c r="A3314" s="1"/>
      <c r="B3314" s="17"/>
      <c r="C3314" s="17"/>
      <c r="D3314" s="17"/>
      <c r="E3314" s="17"/>
      <c r="F3314" s="17"/>
      <c r="G3314" s="4">
        <f t="shared" si="150"/>
        <v>0</v>
      </c>
      <c r="H3314" s="17"/>
      <c r="I3314" s="4">
        <f t="shared" si="152"/>
        <v>349526.07999999996</v>
      </c>
      <c r="J3314" s="32" t="str">
        <f t="shared" si="151"/>
        <v/>
      </c>
      <c r="K3314" s="72"/>
      <c r="L3314" s="72"/>
      <c r="M3314" s="2"/>
      <c r="N3314" s="5"/>
      <c r="O3314" s="3"/>
      <c r="P3314" s="6"/>
      <c r="Q3314" s="48">
        <f>IF(Учет!$O3314=Справочники!$F$2,Учет!$H3314,0)</f>
        <v>0</v>
      </c>
      <c r="R3314" s="48">
        <f>IF(Учет!$O3314=Справочники!$F$3,Учет!$H3314,0)</f>
        <v>0</v>
      </c>
      <c r="S3314" s="48">
        <f>IF(Учет!$O3314=Справочники!$F$4,Учет!$H3314,0)</f>
        <v>0</v>
      </c>
      <c r="T3314" s="48">
        <f>IF(Учет!$O3314=Справочники!$F$5,Учет!$H3314,0)</f>
        <v>0</v>
      </c>
      <c r="U3314" s="48">
        <f>IF(Учет!$O3314=Справочники!$F$6,Учет!$H3314,0)</f>
        <v>0</v>
      </c>
      <c r="V3314" s="43">
        <f>V3313+Учет!Q3314-Q3314</f>
        <v>-488978.92000000004</v>
      </c>
      <c r="W3314" s="43">
        <f>W3313+Учет!R3314-R3314</f>
        <v>336855</v>
      </c>
      <c r="X3314" s="43">
        <f>X3313+Учет!S3314-S3314</f>
        <v>500</v>
      </c>
      <c r="Y3314" s="43">
        <f>Y3313+Учет!T3314-T3314</f>
        <v>1150</v>
      </c>
      <c r="Z3314" s="43">
        <f>Z3313+Учет!U3314-U3314</f>
        <v>500000</v>
      </c>
      <c r="AA3314" s="45">
        <f>Учет!X3314</f>
        <v>500</v>
      </c>
    </row>
    <row r="3315" spans="1:27" ht="15" customHeight="1" x14ac:dyDescent="0.25">
      <c r="A3315" s="1"/>
      <c r="B3315" s="17"/>
      <c r="C3315" s="17"/>
      <c r="D3315" s="17"/>
      <c r="E3315" s="17"/>
      <c r="F3315" s="17"/>
      <c r="G3315" s="4">
        <f t="shared" si="150"/>
        <v>0</v>
      </c>
      <c r="H3315" s="17"/>
      <c r="I3315" s="4">
        <f t="shared" si="152"/>
        <v>349526.07999999996</v>
      </c>
      <c r="J3315" s="32" t="str">
        <f t="shared" si="151"/>
        <v/>
      </c>
      <c r="K3315" s="72"/>
      <c r="L3315" s="72"/>
      <c r="M3315" s="2"/>
      <c r="N3315" s="5"/>
      <c r="O3315" s="3"/>
      <c r="P3315" s="6"/>
      <c r="Q3315" s="48">
        <f>IF(Учет!$O3315=Справочники!$F$2,Учет!$H3315,0)</f>
        <v>0</v>
      </c>
      <c r="R3315" s="48">
        <f>IF(Учет!$O3315=Справочники!$F$3,Учет!$H3315,0)</f>
        <v>0</v>
      </c>
      <c r="S3315" s="48">
        <f>IF(Учет!$O3315=Справочники!$F$4,Учет!$H3315,0)</f>
        <v>0</v>
      </c>
      <c r="T3315" s="48">
        <f>IF(Учет!$O3315=Справочники!$F$5,Учет!$H3315,0)</f>
        <v>0</v>
      </c>
      <c r="U3315" s="48">
        <f>IF(Учет!$O3315=Справочники!$F$6,Учет!$H3315,0)</f>
        <v>0</v>
      </c>
      <c r="V3315" s="43">
        <f>V3314+Учет!Q3315-Q3315</f>
        <v>-488978.92000000004</v>
      </c>
      <c r="W3315" s="43">
        <f>W3314+Учет!R3315-R3315</f>
        <v>336855</v>
      </c>
      <c r="X3315" s="43">
        <f>X3314+Учет!S3315-S3315</f>
        <v>500</v>
      </c>
      <c r="Y3315" s="43">
        <f>Y3314+Учет!T3315-T3315</f>
        <v>1150</v>
      </c>
      <c r="Z3315" s="43">
        <f>Z3314+Учет!U3315-U3315</f>
        <v>500000</v>
      </c>
      <c r="AA3315" s="45">
        <f>Учет!X3315</f>
        <v>500</v>
      </c>
    </row>
    <row r="3316" spans="1:27" ht="15" customHeight="1" x14ac:dyDescent="0.25">
      <c r="A3316" s="1"/>
      <c r="B3316" s="17"/>
      <c r="C3316" s="17"/>
      <c r="D3316" s="17"/>
      <c r="E3316" s="17"/>
      <c r="F3316" s="17"/>
      <c r="G3316" s="4">
        <f t="shared" si="150"/>
        <v>0</v>
      </c>
      <c r="H3316" s="17"/>
      <c r="I3316" s="4">
        <f t="shared" si="152"/>
        <v>349526.07999999996</v>
      </c>
      <c r="J3316" s="32" t="str">
        <f t="shared" si="151"/>
        <v/>
      </c>
      <c r="K3316" s="72"/>
      <c r="L3316" s="72"/>
      <c r="M3316" s="2"/>
      <c r="N3316" s="5"/>
      <c r="O3316" s="3"/>
      <c r="P3316" s="6"/>
      <c r="Q3316" s="48">
        <f>IF(Учет!$O3316=Справочники!$F$2,Учет!$H3316,0)</f>
        <v>0</v>
      </c>
      <c r="R3316" s="48">
        <f>IF(Учет!$O3316=Справочники!$F$3,Учет!$H3316,0)</f>
        <v>0</v>
      </c>
      <c r="S3316" s="48">
        <f>IF(Учет!$O3316=Справочники!$F$4,Учет!$H3316,0)</f>
        <v>0</v>
      </c>
      <c r="T3316" s="48">
        <f>IF(Учет!$O3316=Справочники!$F$5,Учет!$H3316,0)</f>
        <v>0</v>
      </c>
      <c r="U3316" s="48">
        <f>IF(Учет!$O3316=Справочники!$F$6,Учет!$H3316,0)</f>
        <v>0</v>
      </c>
      <c r="V3316" s="43">
        <f>V3315+Учет!Q3316-Q3316</f>
        <v>-488978.92000000004</v>
      </c>
      <c r="W3316" s="43">
        <f>W3315+Учет!R3316-R3316</f>
        <v>336855</v>
      </c>
      <c r="X3316" s="43">
        <f>X3315+Учет!S3316-S3316</f>
        <v>500</v>
      </c>
      <c r="Y3316" s="43">
        <f>Y3315+Учет!T3316-T3316</f>
        <v>1150</v>
      </c>
      <c r="Z3316" s="43">
        <f>Z3315+Учет!U3316-U3316</f>
        <v>500000</v>
      </c>
      <c r="AA3316" s="45">
        <f>Учет!X3316</f>
        <v>500</v>
      </c>
    </row>
    <row r="3317" spans="1:27" ht="15" customHeight="1" x14ac:dyDescent="0.25">
      <c r="A3317" s="1"/>
      <c r="B3317" s="17"/>
      <c r="C3317" s="17"/>
      <c r="D3317" s="17"/>
      <c r="E3317" s="17"/>
      <c r="F3317" s="17"/>
      <c r="G3317" s="4">
        <f t="shared" si="150"/>
        <v>0</v>
      </c>
      <c r="H3317" s="17"/>
      <c r="I3317" s="4">
        <f t="shared" si="152"/>
        <v>349526.07999999996</v>
      </c>
      <c r="J3317" s="32" t="str">
        <f t="shared" si="151"/>
        <v/>
      </c>
      <c r="K3317" s="72"/>
      <c r="L3317" s="72"/>
      <c r="M3317" s="2"/>
      <c r="N3317" s="5"/>
      <c r="O3317" s="3"/>
      <c r="P3317" s="6"/>
      <c r="Q3317" s="48">
        <f>IF(Учет!$O3317=Справочники!$F$2,Учет!$H3317,0)</f>
        <v>0</v>
      </c>
      <c r="R3317" s="48">
        <f>IF(Учет!$O3317=Справочники!$F$3,Учет!$H3317,0)</f>
        <v>0</v>
      </c>
      <c r="S3317" s="48">
        <f>IF(Учет!$O3317=Справочники!$F$4,Учет!$H3317,0)</f>
        <v>0</v>
      </c>
      <c r="T3317" s="48">
        <f>IF(Учет!$O3317=Справочники!$F$5,Учет!$H3317,0)</f>
        <v>0</v>
      </c>
      <c r="U3317" s="48">
        <f>IF(Учет!$O3317=Справочники!$F$6,Учет!$H3317,0)</f>
        <v>0</v>
      </c>
      <c r="V3317" s="43">
        <f>V3316+Учет!Q3317-Q3317</f>
        <v>-488978.92000000004</v>
      </c>
      <c r="W3317" s="43">
        <f>W3316+Учет!R3317-R3317</f>
        <v>336855</v>
      </c>
      <c r="X3317" s="43">
        <f>X3316+Учет!S3317-S3317</f>
        <v>500</v>
      </c>
      <c r="Y3317" s="43">
        <f>Y3316+Учет!T3317-T3317</f>
        <v>1150</v>
      </c>
      <c r="Z3317" s="43">
        <f>Z3316+Учет!U3317-U3317</f>
        <v>500000</v>
      </c>
      <c r="AA3317" s="45">
        <f>Учет!X3317</f>
        <v>500</v>
      </c>
    </row>
    <row r="3318" spans="1:27" ht="15" customHeight="1" x14ac:dyDescent="0.25">
      <c r="A3318" s="1"/>
      <c r="B3318" s="17"/>
      <c r="C3318" s="17"/>
      <c r="D3318" s="17"/>
      <c r="E3318" s="17"/>
      <c r="F3318" s="17"/>
      <c r="G3318" s="4">
        <f t="shared" si="150"/>
        <v>0</v>
      </c>
      <c r="H3318" s="17"/>
      <c r="I3318" s="4">
        <f t="shared" si="152"/>
        <v>349526.07999999996</v>
      </c>
      <c r="J3318" s="32" t="str">
        <f t="shared" si="151"/>
        <v/>
      </c>
      <c r="K3318" s="72"/>
      <c r="L3318" s="72"/>
      <c r="M3318" s="2"/>
      <c r="N3318" s="5"/>
      <c r="O3318" s="3"/>
      <c r="P3318" s="6"/>
      <c r="Q3318" s="48">
        <f>IF(Учет!$O3318=Справочники!$F$2,Учет!$H3318,0)</f>
        <v>0</v>
      </c>
      <c r="R3318" s="48">
        <f>IF(Учет!$O3318=Справочники!$F$3,Учет!$H3318,0)</f>
        <v>0</v>
      </c>
      <c r="S3318" s="48">
        <f>IF(Учет!$O3318=Справочники!$F$4,Учет!$H3318,0)</f>
        <v>0</v>
      </c>
      <c r="T3318" s="48">
        <f>IF(Учет!$O3318=Справочники!$F$5,Учет!$H3318,0)</f>
        <v>0</v>
      </c>
      <c r="U3318" s="48">
        <f>IF(Учет!$O3318=Справочники!$F$6,Учет!$H3318,0)</f>
        <v>0</v>
      </c>
      <c r="V3318" s="43">
        <f>V3317+Учет!Q3318-Q3318</f>
        <v>-488978.92000000004</v>
      </c>
      <c r="W3318" s="43">
        <f>W3317+Учет!R3318-R3318</f>
        <v>336855</v>
      </c>
      <c r="X3318" s="43">
        <f>X3317+Учет!S3318-S3318</f>
        <v>500</v>
      </c>
      <c r="Y3318" s="43">
        <f>Y3317+Учет!T3318-T3318</f>
        <v>1150</v>
      </c>
      <c r="Z3318" s="43">
        <f>Z3317+Учет!U3318-U3318</f>
        <v>500000</v>
      </c>
      <c r="AA3318" s="45">
        <f>Учет!X3318</f>
        <v>500</v>
      </c>
    </row>
    <row r="3319" spans="1:27" ht="15" customHeight="1" x14ac:dyDescent="0.25">
      <c r="A3319" s="1"/>
      <c r="B3319" s="17"/>
      <c r="C3319" s="17"/>
      <c r="D3319" s="17"/>
      <c r="E3319" s="17"/>
      <c r="F3319" s="17"/>
      <c r="G3319" s="4">
        <f t="shared" si="150"/>
        <v>0</v>
      </c>
      <c r="H3319" s="17"/>
      <c r="I3319" s="4">
        <f t="shared" si="152"/>
        <v>349526.07999999996</v>
      </c>
      <c r="J3319" s="32" t="str">
        <f t="shared" si="151"/>
        <v/>
      </c>
      <c r="K3319" s="72"/>
      <c r="L3319" s="72"/>
      <c r="M3319" s="2"/>
      <c r="N3319" s="5"/>
      <c r="O3319" s="3"/>
      <c r="P3319" s="6"/>
      <c r="Q3319" s="48">
        <f>IF(Учет!$O3319=Справочники!$F$2,Учет!$H3319,0)</f>
        <v>0</v>
      </c>
      <c r="R3319" s="48">
        <f>IF(Учет!$O3319=Справочники!$F$3,Учет!$H3319,0)</f>
        <v>0</v>
      </c>
      <c r="S3319" s="48">
        <f>IF(Учет!$O3319=Справочники!$F$4,Учет!$H3319,0)</f>
        <v>0</v>
      </c>
      <c r="T3319" s="48">
        <f>IF(Учет!$O3319=Справочники!$F$5,Учет!$H3319,0)</f>
        <v>0</v>
      </c>
      <c r="U3319" s="48">
        <f>IF(Учет!$O3319=Справочники!$F$6,Учет!$H3319,0)</f>
        <v>0</v>
      </c>
      <c r="V3319" s="43">
        <f>V3318+Учет!Q3319-Q3319</f>
        <v>-488978.92000000004</v>
      </c>
      <c r="W3319" s="43">
        <f>W3318+Учет!R3319-R3319</f>
        <v>336855</v>
      </c>
      <c r="X3319" s="43">
        <f>X3318+Учет!S3319-S3319</f>
        <v>500</v>
      </c>
      <c r="Y3319" s="43">
        <f>Y3318+Учет!T3319-T3319</f>
        <v>1150</v>
      </c>
      <c r="Z3319" s="43">
        <f>Z3318+Учет!U3319-U3319</f>
        <v>500000</v>
      </c>
      <c r="AA3319" s="45">
        <f>Учет!X3319</f>
        <v>500</v>
      </c>
    </row>
    <row r="3320" spans="1:27" ht="15" customHeight="1" x14ac:dyDescent="0.25">
      <c r="A3320" s="1"/>
      <c r="B3320" s="17"/>
      <c r="C3320" s="17"/>
      <c r="D3320" s="17"/>
      <c r="E3320" s="17"/>
      <c r="F3320" s="17"/>
      <c r="G3320" s="4">
        <f t="shared" si="150"/>
        <v>0</v>
      </c>
      <c r="H3320" s="17"/>
      <c r="I3320" s="4">
        <f t="shared" si="152"/>
        <v>349526.07999999996</v>
      </c>
      <c r="J3320" s="32" t="str">
        <f t="shared" si="151"/>
        <v/>
      </c>
      <c r="K3320" s="72"/>
      <c r="L3320" s="72"/>
      <c r="M3320" s="2"/>
      <c r="N3320" s="5"/>
      <c r="O3320" s="3"/>
      <c r="P3320" s="6"/>
      <c r="Q3320" s="48">
        <f>IF(Учет!$O3320=Справочники!$F$2,Учет!$H3320,0)</f>
        <v>0</v>
      </c>
      <c r="R3320" s="48">
        <f>IF(Учет!$O3320=Справочники!$F$3,Учет!$H3320,0)</f>
        <v>0</v>
      </c>
      <c r="S3320" s="48">
        <f>IF(Учет!$O3320=Справочники!$F$4,Учет!$H3320,0)</f>
        <v>0</v>
      </c>
      <c r="T3320" s="48">
        <f>IF(Учет!$O3320=Справочники!$F$5,Учет!$H3320,0)</f>
        <v>0</v>
      </c>
      <c r="U3320" s="48">
        <f>IF(Учет!$O3320=Справочники!$F$6,Учет!$H3320,0)</f>
        <v>0</v>
      </c>
      <c r="V3320" s="43">
        <f>V3319+Учет!Q3320-Q3320</f>
        <v>-488978.92000000004</v>
      </c>
      <c r="W3320" s="43">
        <f>W3319+Учет!R3320-R3320</f>
        <v>336855</v>
      </c>
      <c r="X3320" s="43">
        <f>X3319+Учет!S3320-S3320</f>
        <v>500</v>
      </c>
      <c r="Y3320" s="43">
        <f>Y3319+Учет!T3320-T3320</f>
        <v>1150</v>
      </c>
      <c r="Z3320" s="43">
        <f>Z3319+Учет!U3320-U3320</f>
        <v>500000</v>
      </c>
      <c r="AA3320" s="45">
        <f>Учет!X3320</f>
        <v>500</v>
      </c>
    </row>
    <row r="3321" spans="1:27" ht="15" customHeight="1" x14ac:dyDescent="0.25">
      <c r="A3321" s="1"/>
      <c r="B3321" s="17"/>
      <c r="C3321" s="17"/>
      <c r="D3321" s="17"/>
      <c r="E3321" s="17"/>
      <c r="F3321" s="17"/>
      <c r="G3321" s="4">
        <f t="shared" si="150"/>
        <v>0</v>
      </c>
      <c r="H3321" s="17"/>
      <c r="I3321" s="4">
        <f t="shared" si="152"/>
        <v>349526.07999999996</v>
      </c>
      <c r="J3321" s="32" t="str">
        <f t="shared" si="151"/>
        <v/>
      </c>
      <c r="K3321" s="72"/>
      <c r="L3321" s="72"/>
      <c r="M3321" s="2"/>
      <c r="N3321" s="5"/>
      <c r="O3321" s="3"/>
      <c r="P3321" s="6"/>
      <c r="Q3321" s="48">
        <f>IF(Учет!$O3321=Справочники!$F$2,Учет!$H3321,0)</f>
        <v>0</v>
      </c>
      <c r="R3321" s="48">
        <f>IF(Учет!$O3321=Справочники!$F$3,Учет!$H3321,0)</f>
        <v>0</v>
      </c>
      <c r="S3321" s="48">
        <f>IF(Учет!$O3321=Справочники!$F$4,Учет!$H3321,0)</f>
        <v>0</v>
      </c>
      <c r="T3321" s="48">
        <f>IF(Учет!$O3321=Справочники!$F$5,Учет!$H3321,0)</f>
        <v>0</v>
      </c>
      <c r="U3321" s="48">
        <f>IF(Учет!$O3321=Справочники!$F$6,Учет!$H3321,0)</f>
        <v>0</v>
      </c>
      <c r="V3321" s="43">
        <f>V3320+Учет!Q3321-Q3321</f>
        <v>-488978.92000000004</v>
      </c>
      <c r="W3321" s="43">
        <f>W3320+Учет!R3321-R3321</f>
        <v>336855</v>
      </c>
      <c r="X3321" s="43">
        <f>X3320+Учет!S3321-S3321</f>
        <v>500</v>
      </c>
      <c r="Y3321" s="43">
        <f>Y3320+Учет!T3321-T3321</f>
        <v>1150</v>
      </c>
      <c r="Z3321" s="43">
        <f>Z3320+Учет!U3321-U3321</f>
        <v>500000</v>
      </c>
      <c r="AA3321" s="45">
        <f>Учет!X3321</f>
        <v>500</v>
      </c>
    </row>
    <row r="3322" spans="1:27" ht="15" customHeight="1" x14ac:dyDescent="0.25">
      <c r="A3322" s="1"/>
      <c r="B3322" s="17"/>
      <c r="C3322" s="17"/>
      <c r="D3322" s="17"/>
      <c r="E3322" s="17"/>
      <c r="F3322" s="17"/>
      <c r="G3322" s="4">
        <f t="shared" si="150"/>
        <v>0</v>
      </c>
      <c r="H3322" s="17"/>
      <c r="I3322" s="4">
        <f t="shared" si="152"/>
        <v>349526.07999999996</v>
      </c>
      <c r="J3322" s="32" t="str">
        <f t="shared" si="151"/>
        <v/>
      </c>
      <c r="K3322" s="72"/>
      <c r="L3322" s="72"/>
      <c r="M3322" s="2"/>
      <c r="N3322" s="5"/>
      <c r="O3322" s="3"/>
      <c r="P3322" s="6"/>
      <c r="Q3322" s="48">
        <f>IF(Учет!$O3322=Справочники!$F$2,Учет!$H3322,0)</f>
        <v>0</v>
      </c>
      <c r="R3322" s="48">
        <f>IF(Учет!$O3322=Справочники!$F$3,Учет!$H3322,0)</f>
        <v>0</v>
      </c>
      <c r="S3322" s="48">
        <f>IF(Учет!$O3322=Справочники!$F$4,Учет!$H3322,0)</f>
        <v>0</v>
      </c>
      <c r="T3322" s="48">
        <f>IF(Учет!$O3322=Справочники!$F$5,Учет!$H3322,0)</f>
        <v>0</v>
      </c>
      <c r="U3322" s="48">
        <f>IF(Учет!$O3322=Справочники!$F$6,Учет!$H3322,0)</f>
        <v>0</v>
      </c>
      <c r="V3322" s="43">
        <f>V3321+Учет!Q3322-Q3322</f>
        <v>-488978.92000000004</v>
      </c>
      <c r="W3322" s="43">
        <f>W3321+Учет!R3322-R3322</f>
        <v>336855</v>
      </c>
      <c r="X3322" s="43">
        <f>X3321+Учет!S3322-S3322</f>
        <v>500</v>
      </c>
      <c r="Y3322" s="43">
        <f>Y3321+Учет!T3322-T3322</f>
        <v>1150</v>
      </c>
      <c r="Z3322" s="43">
        <f>Z3321+Учет!U3322-U3322</f>
        <v>500000</v>
      </c>
      <c r="AA3322" s="45">
        <f>Учет!X3322</f>
        <v>500</v>
      </c>
    </row>
    <row r="3323" spans="1:27" ht="15" customHeight="1" x14ac:dyDescent="0.25">
      <c r="A3323" s="1"/>
      <c r="B3323" s="17"/>
      <c r="C3323" s="17"/>
      <c r="D3323" s="17"/>
      <c r="E3323" s="17"/>
      <c r="F3323" s="17"/>
      <c r="G3323" s="4">
        <f t="shared" si="150"/>
        <v>0</v>
      </c>
      <c r="H3323" s="17"/>
      <c r="I3323" s="4">
        <f t="shared" si="152"/>
        <v>349526.07999999996</v>
      </c>
      <c r="J3323" s="32" t="str">
        <f t="shared" si="151"/>
        <v/>
      </c>
      <c r="K3323" s="72"/>
      <c r="L3323" s="72"/>
      <c r="M3323" s="2"/>
      <c r="N3323" s="5"/>
      <c r="O3323" s="3"/>
      <c r="P3323" s="6"/>
      <c r="Q3323" s="48">
        <f>IF(Учет!$O3323=Справочники!$F$2,Учет!$H3323,0)</f>
        <v>0</v>
      </c>
      <c r="R3323" s="48">
        <f>IF(Учет!$O3323=Справочники!$F$3,Учет!$H3323,0)</f>
        <v>0</v>
      </c>
      <c r="S3323" s="48">
        <f>IF(Учет!$O3323=Справочники!$F$4,Учет!$H3323,0)</f>
        <v>0</v>
      </c>
      <c r="T3323" s="48">
        <f>IF(Учет!$O3323=Справочники!$F$5,Учет!$H3323,0)</f>
        <v>0</v>
      </c>
      <c r="U3323" s="48">
        <f>IF(Учет!$O3323=Справочники!$F$6,Учет!$H3323,0)</f>
        <v>0</v>
      </c>
      <c r="V3323" s="43">
        <f>V3322+Учет!Q3323-Q3323</f>
        <v>-488978.92000000004</v>
      </c>
      <c r="W3323" s="43">
        <f>W3322+Учет!R3323-R3323</f>
        <v>336855</v>
      </c>
      <c r="X3323" s="43">
        <f>X3322+Учет!S3323-S3323</f>
        <v>500</v>
      </c>
      <c r="Y3323" s="43">
        <f>Y3322+Учет!T3323-T3323</f>
        <v>1150</v>
      </c>
      <c r="Z3323" s="43">
        <f>Z3322+Учет!U3323-U3323</f>
        <v>500000</v>
      </c>
      <c r="AA3323" s="45">
        <f>Учет!X3323</f>
        <v>500</v>
      </c>
    </row>
    <row r="3324" spans="1:27" ht="15" customHeight="1" x14ac:dyDescent="0.25">
      <c r="A3324" s="1"/>
      <c r="B3324" s="17"/>
      <c r="C3324" s="17"/>
      <c r="D3324" s="17"/>
      <c r="E3324" s="17"/>
      <c r="F3324" s="17"/>
      <c r="G3324" s="4">
        <f t="shared" si="150"/>
        <v>0</v>
      </c>
      <c r="H3324" s="17"/>
      <c r="I3324" s="4">
        <f t="shared" si="152"/>
        <v>349526.07999999996</v>
      </c>
      <c r="J3324" s="32" t="str">
        <f t="shared" si="151"/>
        <v/>
      </c>
      <c r="K3324" s="72"/>
      <c r="L3324" s="72"/>
      <c r="M3324" s="2"/>
      <c r="N3324" s="5"/>
      <c r="O3324" s="3"/>
      <c r="P3324" s="6"/>
      <c r="Q3324" s="48">
        <f>IF(Учет!$O3324=Справочники!$F$2,Учет!$H3324,0)</f>
        <v>0</v>
      </c>
      <c r="R3324" s="48">
        <f>IF(Учет!$O3324=Справочники!$F$3,Учет!$H3324,0)</f>
        <v>0</v>
      </c>
      <c r="S3324" s="48">
        <f>IF(Учет!$O3324=Справочники!$F$4,Учет!$H3324,0)</f>
        <v>0</v>
      </c>
      <c r="T3324" s="48">
        <f>IF(Учет!$O3324=Справочники!$F$5,Учет!$H3324,0)</f>
        <v>0</v>
      </c>
      <c r="U3324" s="48">
        <f>IF(Учет!$O3324=Справочники!$F$6,Учет!$H3324,0)</f>
        <v>0</v>
      </c>
      <c r="V3324" s="43">
        <f>V3323+Учет!Q3324-Q3324</f>
        <v>-488978.92000000004</v>
      </c>
      <c r="W3324" s="43">
        <f>W3323+Учет!R3324-R3324</f>
        <v>336855</v>
      </c>
      <c r="X3324" s="43">
        <f>X3323+Учет!S3324-S3324</f>
        <v>500</v>
      </c>
      <c r="Y3324" s="43">
        <f>Y3323+Учет!T3324-T3324</f>
        <v>1150</v>
      </c>
      <c r="Z3324" s="43">
        <f>Z3323+Учет!U3324-U3324</f>
        <v>500000</v>
      </c>
      <c r="AA3324" s="45">
        <f>Учет!X3324</f>
        <v>500</v>
      </c>
    </row>
    <row r="3325" spans="1:27" ht="15" customHeight="1" x14ac:dyDescent="0.25">
      <c r="A3325" s="1"/>
      <c r="B3325" s="17"/>
      <c r="C3325" s="17"/>
      <c r="D3325" s="17"/>
      <c r="E3325" s="17"/>
      <c r="F3325" s="17"/>
      <c r="G3325" s="4">
        <f t="shared" si="150"/>
        <v>0</v>
      </c>
      <c r="H3325" s="17"/>
      <c r="I3325" s="4">
        <f t="shared" si="152"/>
        <v>349526.07999999996</v>
      </c>
      <c r="J3325" s="32" t="str">
        <f t="shared" si="151"/>
        <v/>
      </c>
      <c r="K3325" s="72"/>
      <c r="L3325" s="72"/>
      <c r="M3325" s="2"/>
      <c r="N3325" s="5"/>
      <c r="O3325" s="3"/>
      <c r="P3325" s="6"/>
      <c r="Q3325" s="48">
        <f>IF(Учет!$O3325=Справочники!$F$2,Учет!$H3325,0)</f>
        <v>0</v>
      </c>
      <c r="R3325" s="48">
        <f>IF(Учет!$O3325=Справочники!$F$3,Учет!$H3325,0)</f>
        <v>0</v>
      </c>
      <c r="S3325" s="48">
        <f>IF(Учет!$O3325=Справочники!$F$4,Учет!$H3325,0)</f>
        <v>0</v>
      </c>
      <c r="T3325" s="48">
        <f>IF(Учет!$O3325=Справочники!$F$5,Учет!$H3325,0)</f>
        <v>0</v>
      </c>
      <c r="U3325" s="48">
        <f>IF(Учет!$O3325=Справочники!$F$6,Учет!$H3325,0)</f>
        <v>0</v>
      </c>
      <c r="V3325" s="43">
        <f>V3324+Учет!Q3325-Q3325</f>
        <v>-488978.92000000004</v>
      </c>
      <c r="W3325" s="43">
        <f>W3324+Учет!R3325-R3325</f>
        <v>336855</v>
      </c>
      <c r="X3325" s="43">
        <f>X3324+Учет!S3325-S3325</f>
        <v>500</v>
      </c>
      <c r="Y3325" s="43">
        <f>Y3324+Учет!T3325-T3325</f>
        <v>1150</v>
      </c>
      <c r="Z3325" s="43">
        <f>Z3324+Учет!U3325-U3325</f>
        <v>500000</v>
      </c>
      <c r="AA3325" s="45">
        <f>Учет!X3325</f>
        <v>500</v>
      </c>
    </row>
    <row r="3326" spans="1:27" ht="15" customHeight="1" x14ac:dyDescent="0.25">
      <c r="A3326" s="1"/>
      <c r="B3326" s="17"/>
      <c r="C3326" s="17"/>
      <c r="D3326" s="17"/>
      <c r="E3326" s="17"/>
      <c r="F3326" s="17"/>
      <c r="G3326" s="4">
        <f t="shared" si="150"/>
        <v>0</v>
      </c>
      <c r="H3326" s="17"/>
      <c r="I3326" s="4">
        <f t="shared" si="152"/>
        <v>349526.07999999996</v>
      </c>
      <c r="J3326" s="32" t="str">
        <f t="shared" si="151"/>
        <v/>
      </c>
      <c r="K3326" s="72"/>
      <c r="L3326" s="72"/>
      <c r="M3326" s="2"/>
      <c r="N3326" s="5"/>
      <c r="O3326" s="3"/>
      <c r="P3326" s="6"/>
      <c r="Q3326" s="48">
        <f>IF(Учет!$O3326=Справочники!$F$2,Учет!$H3326,0)</f>
        <v>0</v>
      </c>
      <c r="R3326" s="48">
        <f>IF(Учет!$O3326=Справочники!$F$3,Учет!$H3326,0)</f>
        <v>0</v>
      </c>
      <c r="S3326" s="48">
        <f>IF(Учет!$O3326=Справочники!$F$4,Учет!$H3326,0)</f>
        <v>0</v>
      </c>
      <c r="T3326" s="48">
        <f>IF(Учет!$O3326=Справочники!$F$5,Учет!$H3326,0)</f>
        <v>0</v>
      </c>
      <c r="U3326" s="48">
        <f>IF(Учет!$O3326=Справочники!$F$6,Учет!$H3326,0)</f>
        <v>0</v>
      </c>
      <c r="V3326" s="43">
        <f>V3325+Учет!Q3326-Q3326</f>
        <v>-488978.92000000004</v>
      </c>
      <c r="W3326" s="43">
        <f>W3325+Учет!R3326-R3326</f>
        <v>336855</v>
      </c>
      <c r="X3326" s="43">
        <f>X3325+Учет!S3326-S3326</f>
        <v>500</v>
      </c>
      <c r="Y3326" s="43">
        <f>Y3325+Учет!T3326-T3326</f>
        <v>1150</v>
      </c>
      <c r="Z3326" s="43">
        <f>Z3325+Учет!U3326-U3326</f>
        <v>500000</v>
      </c>
      <c r="AA3326" s="45">
        <f>Учет!X3326</f>
        <v>500</v>
      </c>
    </row>
    <row r="3327" spans="1:27" ht="15" customHeight="1" x14ac:dyDescent="0.25">
      <c r="A3327" s="1"/>
      <c r="B3327" s="17"/>
      <c r="C3327" s="17"/>
      <c r="D3327" s="17"/>
      <c r="E3327" s="17"/>
      <c r="F3327" s="17"/>
      <c r="G3327" s="4">
        <f t="shared" si="150"/>
        <v>0</v>
      </c>
      <c r="H3327" s="17"/>
      <c r="I3327" s="4">
        <f t="shared" si="152"/>
        <v>349526.07999999996</v>
      </c>
      <c r="J3327" s="32" t="str">
        <f t="shared" si="151"/>
        <v/>
      </c>
      <c r="K3327" s="72"/>
      <c r="L3327" s="72"/>
      <c r="M3327" s="2"/>
      <c r="N3327" s="5"/>
      <c r="O3327" s="3"/>
      <c r="P3327" s="6"/>
      <c r="Q3327" s="48">
        <f>IF(Учет!$O3327=Справочники!$F$2,Учет!$H3327,0)</f>
        <v>0</v>
      </c>
      <c r="R3327" s="48">
        <f>IF(Учет!$O3327=Справочники!$F$3,Учет!$H3327,0)</f>
        <v>0</v>
      </c>
      <c r="S3327" s="48">
        <f>IF(Учет!$O3327=Справочники!$F$4,Учет!$H3327,0)</f>
        <v>0</v>
      </c>
      <c r="T3327" s="48">
        <f>IF(Учет!$O3327=Справочники!$F$5,Учет!$H3327,0)</f>
        <v>0</v>
      </c>
      <c r="U3327" s="48">
        <f>IF(Учет!$O3327=Справочники!$F$6,Учет!$H3327,0)</f>
        <v>0</v>
      </c>
      <c r="V3327" s="43">
        <f>V3326+Учет!Q3327-Q3327</f>
        <v>-488978.92000000004</v>
      </c>
      <c r="W3327" s="43">
        <f>W3326+Учет!R3327-R3327</f>
        <v>336855</v>
      </c>
      <c r="X3327" s="43">
        <f>X3326+Учет!S3327-S3327</f>
        <v>500</v>
      </c>
      <c r="Y3327" s="43">
        <f>Y3326+Учет!T3327-T3327</f>
        <v>1150</v>
      </c>
      <c r="Z3327" s="43">
        <f>Z3326+Учет!U3327-U3327</f>
        <v>500000</v>
      </c>
      <c r="AA3327" s="45">
        <f>Учет!X3327</f>
        <v>500</v>
      </c>
    </row>
    <row r="3328" spans="1:27" ht="15" customHeight="1" x14ac:dyDescent="0.25">
      <c r="A3328" s="1"/>
      <c r="B3328" s="17"/>
      <c r="C3328" s="17"/>
      <c r="D3328" s="17"/>
      <c r="E3328" s="17"/>
      <c r="F3328" s="17"/>
      <c r="G3328" s="4">
        <f t="shared" si="150"/>
        <v>0</v>
      </c>
      <c r="H3328" s="17"/>
      <c r="I3328" s="4">
        <f t="shared" si="152"/>
        <v>349526.07999999996</v>
      </c>
      <c r="J3328" s="32" t="str">
        <f t="shared" si="151"/>
        <v/>
      </c>
      <c r="K3328" s="72"/>
      <c r="L3328" s="72"/>
      <c r="M3328" s="2"/>
      <c r="N3328" s="5"/>
      <c r="O3328" s="3"/>
      <c r="P3328" s="6"/>
      <c r="Q3328" s="48">
        <f>IF(Учет!$O3328=Справочники!$F$2,Учет!$H3328,0)</f>
        <v>0</v>
      </c>
      <c r="R3328" s="48">
        <f>IF(Учет!$O3328=Справочники!$F$3,Учет!$H3328,0)</f>
        <v>0</v>
      </c>
      <c r="S3328" s="48">
        <f>IF(Учет!$O3328=Справочники!$F$4,Учет!$H3328,0)</f>
        <v>0</v>
      </c>
      <c r="T3328" s="48">
        <f>IF(Учет!$O3328=Справочники!$F$5,Учет!$H3328,0)</f>
        <v>0</v>
      </c>
      <c r="U3328" s="48">
        <f>IF(Учет!$O3328=Справочники!$F$6,Учет!$H3328,0)</f>
        <v>0</v>
      </c>
      <c r="V3328" s="43">
        <f>V3327+Учет!Q3328-Q3328</f>
        <v>-488978.92000000004</v>
      </c>
      <c r="W3328" s="43">
        <f>W3327+Учет!R3328-R3328</f>
        <v>336855</v>
      </c>
      <c r="X3328" s="43">
        <f>X3327+Учет!S3328-S3328</f>
        <v>500</v>
      </c>
      <c r="Y3328" s="43">
        <f>Y3327+Учет!T3328-T3328</f>
        <v>1150</v>
      </c>
      <c r="Z3328" s="43">
        <f>Z3327+Учет!U3328-U3328</f>
        <v>500000</v>
      </c>
      <c r="AA3328" s="45">
        <f>Учет!X3328</f>
        <v>500</v>
      </c>
    </row>
    <row r="3329" spans="1:27" ht="15" customHeight="1" x14ac:dyDescent="0.25">
      <c r="A3329" s="1"/>
      <c r="B3329" s="17"/>
      <c r="C3329" s="17"/>
      <c r="D3329" s="17"/>
      <c r="E3329" s="17"/>
      <c r="F3329" s="17"/>
      <c r="G3329" s="4">
        <f t="shared" si="150"/>
        <v>0</v>
      </c>
      <c r="H3329" s="17"/>
      <c r="I3329" s="4">
        <f t="shared" si="152"/>
        <v>349526.07999999996</v>
      </c>
      <c r="J3329" s="32" t="str">
        <f t="shared" si="151"/>
        <v/>
      </c>
      <c r="K3329" s="72"/>
      <c r="L3329" s="72"/>
      <c r="M3329" s="2"/>
      <c r="N3329" s="5"/>
      <c r="O3329" s="3"/>
      <c r="P3329" s="6"/>
      <c r="Q3329" s="48">
        <f>IF(Учет!$O3329=Справочники!$F$2,Учет!$H3329,0)</f>
        <v>0</v>
      </c>
      <c r="R3329" s="48">
        <f>IF(Учет!$O3329=Справочники!$F$3,Учет!$H3329,0)</f>
        <v>0</v>
      </c>
      <c r="S3329" s="48">
        <f>IF(Учет!$O3329=Справочники!$F$4,Учет!$H3329,0)</f>
        <v>0</v>
      </c>
      <c r="T3329" s="48">
        <f>IF(Учет!$O3329=Справочники!$F$5,Учет!$H3329,0)</f>
        <v>0</v>
      </c>
      <c r="U3329" s="48">
        <f>IF(Учет!$O3329=Справочники!$F$6,Учет!$H3329,0)</f>
        <v>0</v>
      </c>
      <c r="V3329" s="43">
        <f>V3328+Учет!Q3329-Q3329</f>
        <v>-488978.92000000004</v>
      </c>
      <c r="W3329" s="43">
        <f>W3328+Учет!R3329-R3329</f>
        <v>336855</v>
      </c>
      <c r="X3329" s="43">
        <f>X3328+Учет!S3329-S3329</f>
        <v>500</v>
      </c>
      <c r="Y3329" s="43">
        <f>Y3328+Учет!T3329-T3329</f>
        <v>1150</v>
      </c>
      <c r="Z3329" s="43">
        <f>Z3328+Учет!U3329-U3329</f>
        <v>500000</v>
      </c>
      <c r="AA3329" s="45">
        <f>Учет!X3329</f>
        <v>500</v>
      </c>
    </row>
    <row r="3330" spans="1:27" ht="15" customHeight="1" x14ac:dyDescent="0.25">
      <c r="A3330" s="1"/>
      <c r="B3330" s="17"/>
      <c r="C3330" s="17"/>
      <c r="D3330" s="17"/>
      <c r="E3330" s="17"/>
      <c r="F3330" s="17"/>
      <c r="G3330" s="4">
        <f t="shared" ref="G3330:G3393" si="153">SUM($B3330:$F3330)</f>
        <v>0</v>
      </c>
      <c r="H3330" s="17"/>
      <c r="I3330" s="4">
        <f t="shared" si="152"/>
        <v>349526.07999999996</v>
      </c>
      <c r="J3330" s="32" t="str">
        <f t="shared" ref="J3330:J3393" si="154">IF($A3331&lt;&gt;$A3330,$I3330,"")</f>
        <v/>
      </c>
      <c r="K3330" s="72"/>
      <c r="L3330" s="72"/>
      <c r="M3330" s="2"/>
      <c r="N3330" s="5"/>
      <c r="O3330" s="3"/>
      <c r="P3330" s="6"/>
      <c r="Q3330" s="48">
        <f>IF(Учет!$O3330=Справочники!$F$2,Учет!$H3330,0)</f>
        <v>0</v>
      </c>
      <c r="R3330" s="48">
        <f>IF(Учет!$O3330=Справочники!$F$3,Учет!$H3330,0)</f>
        <v>0</v>
      </c>
      <c r="S3330" s="48">
        <f>IF(Учет!$O3330=Справочники!$F$4,Учет!$H3330,0)</f>
        <v>0</v>
      </c>
      <c r="T3330" s="48">
        <f>IF(Учет!$O3330=Справочники!$F$5,Учет!$H3330,0)</f>
        <v>0</v>
      </c>
      <c r="U3330" s="48">
        <f>IF(Учет!$O3330=Справочники!$F$6,Учет!$H3330,0)</f>
        <v>0</v>
      </c>
      <c r="V3330" s="43">
        <f>V3329+Учет!Q3330-Q3330</f>
        <v>-488978.92000000004</v>
      </c>
      <c r="W3330" s="43">
        <f>W3329+Учет!R3330-R3330</f>
        <v>336855</v>
      </c>
      <c r="X3330" s="43">
        <f>X3329+Учет!S3330-S3330</f>
        <v>500</v>
      </c>
      <c r="Y3330" s="43">
        <f>Y3329+Учет!T3330-T3330</f>
        <v>1150</v>
      </c>
      <c r="Z3330" s="43">
        <f>Z3329+Учет!U3330-U3330</f>
        <v>500000</v>
      </c>
      <c r="AA3330" s="45">
        <f>Учет!X3330</f>
        <v>500</v>
      </c>
    </row>
    <row r="3331" spans="1:27" ht="15" customHeight="1" x14ac:dyDescent="0.25">
      <c r="A3331" s="1"/>
      <c r="B3331" s="17"/>
      <c r="C3331" s="17"/>
      <c r="D3331" s="17"/>
      <c r="E3331" s="17"/>
      <c r="F3331" s="17"/>
      <c r="G3331" s="4">
        <f t="shared" si="153"/>
        <v>0</v>
      </c>
      <c r="H3331" s="17"/>
      <c r="I3331" s="4">
        <f t="shared" ref="I3331:I3394" si="155">$I3330+$G3331-$H3331</f>
        <v>349526.07999999996</v>
      </c>
      <c r="J3331" s="32" t="str">
        <f t="shared" si="154"/>
        <v/>
      </c>
      <c r="K3331" s="72"/>
      <c r="L3331" s="72"/>
      <c r="M3331" s="2"/>
      <c r="N3331" s="5"/>
      <c r="O3331" s="3"/>
      <c r="P3331" s="6"/>
      <c r="Q3331" s="48">
        <f>IF(Учет!$O3331=Справочники!$F$2,Учет!$H3331,0)</f>
        <v>0</v>
      </c>
      <c r="R3331" s="48">
        <f>IF(Учет!$O3331=Справочники!$F$3,Учет!$H3331,0)</f>
        <v>0</v>
      </c>
      <c r="S3331" s="48">
        <f>IF(Учет!$O3331=Справочники!$F$4,Учет!$H3331,0)</f>
        <v>0</v>
      </c>
      <c r="T3331" s="48">
        <f>IF(Учет!$O3331=Справочники!$F$5,Учет!$H3331,0)</f>
        <v>0</v>
      </c>
      <c r="U3331" s="48">
        <f>IF(Учет!$O3331=Справочники!$F$6,Учет!$H3331,0)</f>
        <v>0</v>
      </c>
      <c r="V3331" s="43">
        <f>V3330+Учет!Q3331-Q3331</f>
        <v>-488978.92000000004</v>
      </c>
      <c r="W3331" s="43">
        <f>W3330+Учет!R3331-R3331</f>
        <v>336855</v>
      </c>
      <c r="X3331" s="43">
        <f>X3330+Учет!S3331-S3331</f>
        <v>500</v>
      </c>
      <c r="Y3331" s="43">
        <f>Y3330+Учет!T3331-T3331</f>
        <v>1150</v>
      </c>
      <c r="Z3331" s="43">
        <f>Z3330+Учет!U3331-U3331</f>
        <v>500000</v>
      </c>
      <c r="AA3331" s="45">
        <f>Учет!X3331</f>
        <v>500</v>
      </c>
    </row>
    <row r="3332" spans="1:27" ht="15" customHeight="1" x14ac:dyDescent="0.25">
      <c r="A3332" s="1"/>
      <c r="B3332" s="17"/>
      <c r="C3332" s="17"/>
      <c r="D3332" s="17"/>
      <c r="E3332" s="17"/>
      <c r="F3332" s="17"/>
      <c r="G3332" s="4">
        <f t="shared" si="153"/>
        <v>0</v>
      </c>
      <c r="H3332" s="17"/>
      <c r="I3332" s="4">
        <f t="shared" si="155"/>
        <v>349526.07999999996</v>
      </c>
      <c r="J3332" s="32" t="str">
        <f t="shared" si="154"/>
        <v/>
      </c>
      <c r="K3332" s="72"/>
      <c r="L3332" s="72"/>
      <c r="M3332" s="2"/>
      <c r="N3332" s="5"/>
      <c r="O3332" s="3"/>
      <c r="P3332" s="6"/>
      <c r="Q3332" s="48">
        <f>IF(Учет!$O3332=Справочники!$F$2,Учет!$H3332,0)</f>
        <v>0</v>
      </c>
      <c r="R3332" s="48">
        <f>IF(Учет!$O3332=Справочники!$F$3,Учет!$H3332,0)</f>
        <v>0</v>
      </c>
      <c r="S3332" s="48">
        <f>IF(Учет!$O3332=Справочники!$F$4,Учет!$H3332,0)</f>
        <v>0</v>
      </c>
      <c r="T3332" s="48">
        <f>IF(Учет!$O3332=Справочники!$F$5,Учет!$H3332,0)</f>
        <v>0</v>
      </c>
      <c r="U3332" s="48">
        <f>IF(Учет!$O3332=Справочники!$F$6,Учет!$H3332,0)</f>
        <v>0</v>
      </c>
      <c r="V3332" s="43">
        <f>V3331+Учет!Q3332-Q3332</f>
        <v>-488978.92000000004</v>
      </c>
      <c r="W3332" s="43">
        <f>W3331+Учет!R3332-R3332</f>
        <v>336855</v>
      </c>
      <c r="X3332" s="43">
        <f>X3331+Учет!S3332-S3332</f>
        <v>500</v>
      </c>
      <c r="Y3332" s="43">
        <f>Y3331+Учет!T3332-T3332</f>
        <v>1150</v>
      </c>
      <c r="Z3332" s="43">
        <f>Z3331+Учет!U3332-U3332</f>
        <v>500000</v>
      </c>
      <c r="AA3332" s="45">
        <f>Учет!X3332</f>
        <v>500</v>
      </c>
    </row>
    <row r="3333" spans="1:27" ht="15" customHeight="1" x14ac:dyDescent="0.25">
      <c r="A3333" s="1"/>
      <c r="B3333" s="17"/>
      <c r="C3333" s="17"/>
      <c r="D3333" s="17"/>
      <c r="E3333" s="17"/>
      <c r="F3333" s="17"/>
      <c r="G3333" s="4">
        <f t="shared" si="153"/>
        <v>0</v>
      </c>
      <c r="H3333" s="17"/>
      <c r="I3333" s="4">
        <f t="shared" si="155"/>
        <v>349526.07999999996</v>
      </c>
      <c r="J3333" s="32" t="str">
        <f t="shared" si="154"/>
        <v/>
      </c>
      <c r="K3333" s="72"/>
      <c r="L3333" s="72"/>
      <c r="M3333" s="2"/>
      <c r="N3333" s="5"/>
      <c r="O3333" s="3"/>
      <c r="P3333" s="6"/>
      <c r="Q3333" s="48">
        <f>IF(Учет!$O3333=Справочники!$F$2,Учет!$H3333,0)</f>
        <v>0</v>
      </c>
      <c r="R3333" s="48">
        <f>IF(Учет!$O3333=Справочники!$F$3,Учет!$H3333,0)</f>
        <v>0</v>
      </c>
      <c r="S3333" s="48">
        <f>IF(Учет!$O3333=Справочники!$F$4,Учет!$H3333,0)</f>
        <v>0</v>
      </c>
      <c r="T3333" s="48">
        <f>IF(Учет!$O3333=Справочники!$F$5,Учет!$H3333,0)</f>
        <v>0</v>
      </c>
      <c r="U3333" s="48">
        <f>IF(Учет!$O3333=Справочники!$F$6,Учет!$H3333,0)</f>
        <v>0</v>
      </c>
      <c r="V3333" s="43">
        <f>V3332+Учет!Q3333-Q3333</f>
        <v>-488978.92000000004</v>
      </c>
      <c r="W3333" s="43">
        <f>W3332+Учет!R3333-R3333</f>
        <v>336855</v>
      </c>
      <c r="X3333" s="43">
        <f>X3332+Учет!S3333-S3333</f>
        <v>500</v>
      </c>
      <c r="Y3333" s="43">
        <f>Y3332+Учет!T3333-T3333</f>
        <v>1150</v>
      </c>
      <c r="Z3333" s="43">
        <f>Z3332+Учет!U3333-U3333</f>
        <v>500000</v>
      </c>
      <c r="AA3333" s="45">
        <f>Учет!X3333</f>
        <v>500</v>
      </c>
    </row>
    <row r="3334" spans="1:27" ht="15" customHeight="1" x14ac:dyDescent="0.25">
      <c r="A3334" s="1"/>
      <c r="B3334" s="17"/>
      <c r="C3334" s="17"/>
      <c r="D3334" s="17"/>
      <c r="E3334" s="17"/>
      <c r="F3334" s="17"/>
      <c r="G3334" s="4">
        <f t="shared" si="153"/>
        <v>0</v>
      </c>
      <c r="H3334" s="17"/>
      <c r="I3334" s="4">
        <f t="shared" si="155"/>
        <v>349526.07999999996</v>
      </c>
      <c r="J3334" s="32" t="str">
        <f t="shared" si="154"/>
        <v/>
      </c>
      <c r="K3334" s="72"/>
      <c r="L3334" s="72"/>
      <c r="M3334" s="2"/>
      <c r="N3334" s="5"/>
      <c r="O3334" s="3"/>
      <c r="P3334" s="6"/>
      <c r="Q3334" s="48">
        <f>IF(Учет!$O3334=Справочники!$F$2,Учет!$H3334,0)</f>
        <v>0</v>
      </c>
      <c r="R3334" s="48">
        <f>IF(Учет!$O3334=Справочники!$F$3,Учет!$H3334,0)</f>
        <v>0</v>
      </c>
      <c r="S3334" s="48">
        <f>IF(Учет!$O3334=Справочники!$F$4,Учет!$H3334,0)</f>
        <v>0</v>
      </c>
      <c r="T3334" s="48">
        <f>IF(Учет!$O3334=Справочники!$F$5,Учет!$H3334,0)</f>
        <v>0</v>
      </c>
      <c r="U3334" s="48">
        <f>IF(Учет!$O3334=Справочники!$F$6,Учет!$H3334,0)</f>
        <v>0</v>
      </c>
      <c r="V3334" s="43">
        <f>V3333+Учет!Q3334-Q3334</f>
        <v>-488978.92000000004</v>
      </c>
      <c r="W3334" s="43">
        <f>W3333+Учет!R3334-R3334</f>
        <v>336855</v>
      </c>
      <c r="X3334" s="43">
        <f>X3333+Учет!S3334-S3334</f>
        <v>500</v>
      </c>
      <c r="Y3334" s="43">
        <f>Y3333+Учет!T3334-T3334</f>
        <v>1150</v>
      </c>
      <c r="Z3334" s="43">
        <f>Z3333+Учет!U3334-U3334</f>
        <v>500000</v>
      </c>
      <c r="AA3334" s="45">
        <f>Учет!X3334</f>
        <v>500</v>
      </c>
    </row>
    <row r="3335" spans="1:27" ht="15" customHeight="1" x14ac:dyDescent="0.25">
      <c r="A3335" s="1"/>
      <c r="B3335" s="17"/>
      <c r="C3335" s="17"/>
      <c r="D3335" s="17"/>
      <c r="E3335" s="17"/>
      <c r="F3335" s="17"/>
      <c r="G3335" s="4">
        <f t="shared" si="153"/>
        <v>0</v>
      </c>
      <c r="H3335" s="17"/>
      <c r="I3335" s="4">
        <f t="shared" si="155"/>
        <v>349526.07999999996</v>
      </c>
      <c r="J3335" s="32" t="str">
        <f t="shared" si="154"/>
        <v/>
      </c>
      <c r="K3335" s="72"/>
      <c r="L3335" s="72"/>
      <c r="M3335" s="2"/>
      <c r="N3335" s="5"/>
      <c r="O3335" s="3"/>
      <c r="P3335" s="6"/>
      <c r="Q3335" s="48">
        <f>IF(Учет!$O3335=Справочники!$F$2,Учет!$H3335,0)</f>
        <v>0</v>
      </c>
      <c r="R3335" s="48">
        <f>IF(Учет!$O3335=Справочники!$F$3,Учет!$H3335,0)</f>
        <v>0</v>
      </c>
      <c r="S3335" s="48">
        <f>IF(Учет!$O3335=Справочники!$F$4,Учет!$H3335,0)</f>
        <v>0</v>
      </c>
      <c r="T3335" s="48">
        <f>IF(Учет!$O3335=Справочники!$F$5,Учет!$H3335,0)</f>
        <v>0</v>
      </c>
      <c r="U3335" s="48">
        <f>IF(Учет!$O3335=Справочники!$F$6,Учет!$H3335,0)</f>
        <v>0</v>
      </c>
      <c r="V3335" s="43">
        <f>V3334+Учет!Q3335-Q3335</f>
        <v>-488978.92000000004</v>
      </c>
      <c r="W3335" s="43">
        <f>W3334+Учет!R3335-R3335</f>
        <v>336855</v>
      </c>
      <c r="X3335" s="43">
        <f>X3334+Учет!S3335-S3335</f>
        <v>500</v>
      </c>
      <c r="Y3335" s="43">
        <f>Y3334+Учет!T3335-T3335</f>
        <v>1150</v>
      </c>
      <c r="Z3335" s="43">
        <f>Z3334+Учет!U3335-U3335</f>
        <v>500000</v>
      </c>
      <c r="AA3335" s="45">
        <f>Учет!X3335</f>
        <v>500</v>
      </c>
    </row>
    <row r="3336" spans="1:27" ht="15" customHeight="1" x14ac:dyDescent="0.25">
      <c r="A3336" s="1"/>
      <c r="B3336" s="17"/>
      <c r="C3336" s="17"/>
      <c r="D3336" s="17"/>
      <c r="E3336" s="17"/>
      <c r="F3336" s="17"/>
      <c r="G3336" s="4">
        <f t="shared" si="153"/>
        <v>0</v>
      </c>
      <c r="H3336" s="17"/>
      <c r="I3336" s="4">
        <f t="shared" si="155"/>
        <v>349526.07999999996</v>
      </c>
      <c r="J3336" s="32" t="str">
        <f t="shared" si="154"/>
        <v/>
      </c>
      <c r="K3336" s="72"/>
      <c r="L3336" s="72"/>
      <c r="M3336" s="2"/>
      <c r="N3336" s="5"/>
      <c r="O3336" s="3"/>
      <c r="P3336" s="6"/>
      <c r="Q3336" s="48">
        <f>IF(Учет!$O3336=Справочники!$F$2,Учет!$H3336,0)</f>
        <v>0</v>
      </c>
      <c r="R3336" s="48">
        <f>IF(Учет!$O3336=Справочники!$F$3,Учет!$H3336,0)</f>
        <v>0</v>
      </c>
      <c r="S3336" s="48">
        <f>IF(Учет!$O3336=Справочники!$F$4,Учет!$H3336,0)</f>
        <v>0</v>
      </c>
      <c r="T3336" s="48">
        <f>IF(Учет!$O3336=Справочники!$F$5,Учет!$H3336,0)</f>
        <v>0</v>
      </c>
      <c r="U3336" s="48">
        <f>IF(Учет!$O3336=Справочники!$F$6,Учет!$H3336,0)</f>
        <v>0</v>
      </c>
      <c r="V3336" s="43">
        <f>V3335+Учет!Q3336-Q3336</f>
        <v>-488978.92000000004</v>
      </c>
      <c r="W3336" s="43">
        <f>W3335+Учет!R3336-R3336</f>
        <v>336855</v>
      </c>
      <c r="X3336" s="43">
        <f>X3335+Учет!S3336-S3336</f>
        <v>500</v>
      </c>
      <c r="Y3336" s="43">
        <f>Y3335+Учет!T3336-T3336</f>
        <v>1150</v>
      </c>
      <c r="Z3336" s="43">
        <f>Z3335+Учет!U3336-U3336</f>
        <v>500000</v>
      </c>
      <c r="AA3336" s="45">
        <f>Учет!X3336</f>
        <v>500</v>
      </c>
    </row>
    <row r="3337" spans="1:27" ht="15" customHeight="1" x14ac:dyDescent="0.25">
      <c r="A3337" s="1"/>
      <c r="B3337" s="17"/>
      <c r="C3337" s="17"/>
      <c r="D3337" s="17"/>
      <c r="E3337" s="17"/>
      <c r="F3337" s="17"/>
      <c r="G3337" s="4">
        <f t="shared" si="153"/>
        <v>0</v>
      </c>
      <c r="H3337" s="17"/>
      <c r="I3337" s="4">
        <f t="shared" si="155"/>
        <v>349526.07999999996</v>
      </c>
      <c r="J3337" s="32" t="str">
        <f t="shared" si="154"/>
        <v/>
      </c>
      <c r="K3337" s="72"/>
      <c r="L3337" s="72"/>
      <c r="M3337" s="2"/>
      <c r="N3337" s="5"/>
      <c r="O3337" s="3"/>
      <c r="P3337" s="6"/>
      <c r="Q3337" s="48">
        <f>IF(Учет!$O3337=Справочники!$F$2,Учет!$H3337,0)</f>
        <v>0</v>
      </c>
      <c r="R3337" s="48">
        <f>IF(Учет!$O3337=Справочники!$F$3,Учет!$H3337,0)</f>
        <v>0</v>
      </c>
      <c r="S3337" s="48">
        <f>IF(Учет!$O3337=Справочники!$F$4,Учет!$H3337,0)</f>
        <v>0</v>
      </c>
      <c r="T3337" s="48">
        <f>IF(Учет!$O3337=Справочники!$F$5,Учет!$H3337,0)</f>
        <v>0</v>
      </c>
      <c r="U3337" s="48">
        <f>IF(Учет!$O3337=Справочники!$F$6,Учет!$H3337,0)</f>
        <v>0</v>
      </c>
      <c r="V3337" s="43">
        <f>V3336+Учет!Q3337-Q3337</f>
        <v>-488978.92000000004</v>
      </c>
      <c r="W3337" s="43">
        <f>W3336+Учет!R3337-R3337</f>
        <v>336855</v>
      </c>
      <c r="X3337" s="43">
        <f>X3336+Учет!S3337-S3337</f>
        <v>500</v>
      </c>
      <c r="Y3337" s="43">
        <f>Y3336+Учет!T3337-T3337</f>
        <v>1150</v>
      </c>
      <c r="Z3337" s="43">
        <f>Z3336+Учет!U3337-U3337</f>
        <v>500000</v>
      </c>
      <c r="AA3337" s="45">
        <f>Учет!X3337</f>
        <v>500</v>
      </c>
    </row>
    <row r="3338" spans="1:27" ht="15" customHeight="1" x14ac:dyDescent="0.25">
      <c r="A3338" s="1"/>
      <c r="B3338" s="17"/>
      <c r="C3338" s="17"/>
      <c r="D3338" s="17"/>
      <c r="E3338" s="17"/>
      <c r="F3338" s="17"/>
      <c r="G3338" s="4">
        <f t="shared" si="153"/>
        <v>0</v>
      </c>
      <c r="H3338" s="17"/>
      <c r="I3338" s="4">
        <f t="shared" si="155"/>
        <v>349526.07999999996</v>
      </c>
      <c r="J3338" s="32" t="str">
        <f t="shared" si="154"/>
        <v/>
      </c>
      <c r="K3338" s="72"/>
      <c r="L3338" s="72"/>
      <c r="M3338" s="2"/>
      <c r="N3338" s="5"/>
      <c r="O3338" s="3"/>
      <c r="P3338" s="6"/>
      <c r="Q3338" s="48">
        <f>IF(Учет!$O3338=Справочники!$F$2,Учет!$H3338,0)</f>
        <v>0</v>
      </c>
      <c r="R3338" s="48">
        <f>IF(Учет!$O3338=Справочники!$F$3,Учет!$H3338,0)</f>
        <v>0</v>
      </c>
      <c r="S3338" s="48">
        <f>IF(Учет!$O3338=Справочники!$F$4,Учет!$H3338,0)</f>
        <v>0</v>
      </c>
      <c r="T3338" s="48">
        <f>IF(Учет!$O3338=Справочники!$F$5,Учет!$H3338,0)</f>
        <v>0</v>
      </c>
      <c r="U3338" s="48">
        <f>IF(Учет!$O3338=Справочники!$F$6,Учет!$H3338,0)</f>
        <v>0</v>
      </c>
      <c r="V3338" s="43">
        <f>V3337+Учет!Q3338-Q3338</f>
        <v>-488978.92000000004</v>
      </c>
      <c r="W3338" s="43">
        <f>W3337+Учет!R3338-R3338</f>
        <v>336855</v>
      </c>
      <c r="X3338" s="43">
        <f>X3337+Учет!S3338-S3338</f>
        <v>500</v>
      </c>
      <c r="Y3338" s="43">
        <f>Y3337+Учет!T3338-T3338</f>
        <v>1150</v>
      </c>
      <c r="Z3338" s="43">
        <f>Z3337+Учет!U3338-U3338</f>
        <v>500000</v>
      </c>
      <c r="AA3338" s="45">
        <f>Учет!X3338</f>
        <v>500</v>
      </c>
    </row>
    <row r="3339" spans="1:27" ht="15" customHeight="1" x14ac:dyDescent="0.25">
      <c r="A3339" s="1"/>
      <c r="B3339" s="17"/>
      <c r="C3339" s="17"/>
      <c r="D3339" s="17"/>
      <c r="E3339" s="17"/>
      <c r="F3339" s="17"/>
      <c r="G3339" s="4">
        <f t="shared" si="153"/>
        <v>0</v>
      </c>
      <c r="H3339" s="17"/>
      <c r="I3339" s="4">
        <f t="shared" si="155"/>
        <v>349526.07999999996</v>
      </c>
      <c r="J3339" s="32" t="str">
        <f t="shared" si="154"/>
        <v/>
      </c>
      <c r="K3339" s="72"/>
      <c r="L3339" s="72"/>
      <c r="M3339" s="2"/>
      <c r="N3339" s="5"/>
      <c r="O3339" s="3"/>
      <c r="P3339" s="6"/>
      <c r="Q3339" s="48">
        <f>IF(Учет!$O3339=Справочники!$F$2,Учет!$H3339,0)</f>
        <v>0</v>
      </c>
      <c r="R3339" s="48">
        <f>IF(Учет!$O3339=Справочники!$F$3,Учет!$H3339,0)</f>
        <v>0</v>
      </c>
      <c r="S3339" s="48">
        <f>IF(Учет!$O3339=Справочники!$F$4,Учет!$H3339,0)</f>
        <v>0</v>
      </c>
      <c r="T3339" s="48">
        <f>IF(Учет!$O3339=Справочники!$F$5,Учет!$H3339,0)</f>
        <v>0</v>
      </c>
      <c r="U3339" s="48">
        <f>IF(Учет!$O3339=Справочники!$F$6,Учет!$H3339,0)</f>
        <v>0</v>
      </c>
      <c r="V3339" s="43">
        <f>V3338+Учет!Q3339-Q3339</f>
        <v>-488978.92000000004</v>
      </c>
      <c r="W3339" s="43">
        <f>W3338+Учет!R3339-R3339</f>
        <v>336855</v>
      </c>
      <c r="X3339" s="43">
        <f>X3338+Учет!S3339-S3339</f>
        <v>500</v>
      </c>
      <c r="Y3339" s="43">
        <f>Y3338+Учет!T3339-T3339</f>
        <v>1150</v>
      </c>
      <c r="Z3339" s="43">
        <f>Z3338+Учет!U3339-U3339</f>
        <v>500000</v>
      </c>
      <c r="AA3339" s="45">
        <f>Учет!X3339</f>
        <v>500</v>
      </c>
    </row>
    <row r="3340" spans="1:27" ht="15" customHeight="1" x14ac:dyDescent="0.25">
      <c r="A3340" s="1"/>
      <c r="B3340" s="17"/>
      <c r="C3340" s="17"/>
      <c r="D3340" s="17"/>
      <c r="E3340" s="17"/>
      <c r="F3340" s="17"/>
      <c r="G3340" s="4">
        <f t="shared" si="153"/>
        <v>0</v>
      </c>
      <c r="H3340" s="17"/>
      <c r="I3340" s="4">
        <f t="shared" si="155"/>
        <v>349526.07999999996</v>
      </c>
      <c r="J3340" s="32" t="str">
        <f t="shared" si="154"/>
        <v/>
      </c>
      <c r="K3340" s="72"/>
      <c r="L3340" s="72"/>
      <c r="M3340" s="2"/>
      <c r="N3340" s="5"/>
      <c r="O3340" s="3"/>
      <c r="P3340" s="6"/>
      <c r="Q3340" s="48">
        <f>IF(Учет!$O3340=Справочники!$F$2,Учет!$H3340,0)</f>
        <v>0</v>
      </c>
      <c r="R3340" s="48">
        <f>IF(Учет!$O3340=Справочники!$F$3,Учет!$H3340,0)</f>
        <v>0</v>
      </c>
      <c r="S3340" s="48">
        <f>IF(Учет!$O3340=Справочники!$F$4,Учет!$H3340,0)</f>
        <v>0</v>
      </c>
      <c r="T3340" s="48">
        <f>IF(Учет!$O3340=Справочники!$F$5,Учет!$H3340,0)</f>
        <v>0</v>
      </c>
      <c r="U3340" s="48">
        <f>IF(Учет!$O3340=Справочники!$F$6,Учет!$H3340,0)</f>
        <v>0</v>
      </c>
      <c r="V3340" s="43">
        <f>V3339+Учет!Q3340-Q3340</f>
        <v>-488978.92000000004</v>
      </c>
      <c r="W3340" s="43">
        <f>W3339+Учет!R3340-R3340</f>
        <v>336855</v>
      </c>
      <c r="X3340" s="43">
        <f>X3339+Учет!S3340-S3340</f>
        <v>500</v>
      </c>
      <c r="Y3340" s="43">
        <f>Y3339+Учет!T3340-T3340</f>
        <v>1150</v>
      </c>
      <c r="Z3340" s="43">
        <f>Z3339+Учет!U3340-U3340</f>
        <v>500000</v>
      </c>
      <c r="AA3340" s="45">
        <f>Учет!X3340</f>
        <v>500</v>
      </c>
    </row>
    <row r="3341" spans="1:27" ht="15" customHeight="1" x14ac:dyDescent="0.25">
      <c r="A3341" s="1"/>
      <c r="B3341" s="17"/>
      <c r="C3341" s="17"/>
      <c r="D3341" s="17"/>
      <c r="E3341" s="17"/>
      <c r="F3341" s="17"/>
      <c r="G3341" s="4">
        <f t="shared" si="153"/>
        <v>0</v>
      </c>
      <c r="H3341" s="17"/>
      <c r="I3341" s="4">
        <f t="shared" si="155"/>
        <v>349526.07999999996</v>
      </c>
      <c r="J3341" s="32" t="str">
        <f t="shared" si="154"/>
        <v/>
      </c>
      <c r="K3341" s="72"/>
      <c r="L3341" s="72"/>
      <c r="M3341" s="2"/>
      <c r="N3341" s="5"/>
      <c r="O3341" s="3"/>
      <c r="P3341" s="6"/>
      <c r="Q3341" s="48">
        <f>IF(Учет!$O3341=Справочники!$F$2,Учет!$H3341,0)</f>
        <v>0</v>
      </c>
      <c r="R3341" s="48">
        <f>IF(Учет!$O3341=Справочники!$F$3,Учет!$H3341,0)</f>
        <v>0</v>
      </c>
      <c r="S3341" s="48">
        <f>IF(Учет!$O3341=Справочники!$F$4,Учет!$H3341,0)</f>
        <v>0</v>
      </c>
      <c r="T3341" s="48">
        <f>IF(Учет!$O3341=Справочники!$F$5,Учет!$H3341,0)</f>
        <v>0</v>
      </c>
      <c r="U3341" s="48">
        <f>IF(Учет!$O3341=Справочники!$F$6,Учет!$H3341,0)</f>
        <v>0</v>
      </c>
      <c r="V3341" s="43">
        <f>V3340+Учет!Q3341-Q3341</f>
        <v>-488978.92000000004</v>
      </c>
      <c r="W3341" s="43">
        <f>W3340+Учет!R3341-R3341</f>
        <v>336855</v>
      </c>
      <c r="X3341" s="43">
        <f>X3340+Учет!S3341-S3341</f>
        <v>500</v>
      </c>
      <c r="Y3341" s="43">
        <f>Y3340+Учет!T3341-T3341</f>
        <v>1150</v>
      </c>
      <c r="Z3341" s="43">
        <f>Z3340+Учет!U3341-U3341</f>
        <v>500000</v>
      </c>
      <c r="AA3341" s="45">
        <f>Учет!X3341</f>
        <v>500</v>
      </c>
    </row>
    <row r="3342" spans="1:27" ht="15" customHeight="1" x14ac:dyDescent="0.25">
      <c r="A3342" s="1"/>
      <c r="B3342" s="17"/>
      <c r="C3342" s="17"/>
      <c r="D3342" s="17"/>
      <c r="E3342" s="17"/>
      <c r="F3342" s="17"/>
      <c r="G3342" s="4">
        <f t="shared" si="153"/>
        <v>0</v>
      </c>
      <c r="H3342" s="17"/>
      <c r="I3342" s="4">
        <f t="shared" si="155"/>
        <v>349526.07999999996</v>
      </c>
      <c r="J3342" s="32" t="str">
        <f t="shared" si="154"/>
        <v/>
      </c>
      <c r="K3342" s="72"/>
      <c r="L3342" s="72"/>
      <c r="M3342" s="2"/>
      <c r="N3342" s="5"/>
      <c r="O3342" s="3"/>
      <c r="P3342" s="6"/>
      <c r="Q3342" s="48">
        <f>IF(Учет!$O3342=Справочники!$F$2,Учет!$H3342,0)</f>
        <v>0</v>
      </c>
      <c r="R3342" s="48">
        <f>IF(Учет!$O3342=Справочники!$F$3,Учет!$H3342,0)</f>
        <v>0</v>
      </c>
      <c r="S3342" s="48">
        <f>IF(Учет!$O3342=Справочники!$F$4,Учет!$H3342,0)</f>
        <v>0</v>
      </c>
      <c r="T3342" s="48">
        <f>IF(Учет!$O3342=Справочники!$F$5,Учет!$H3342,0)</f>
        <v>0</v>
      </c>
      <c r="U3342" s="48">
        <f>IF(Учет!$O3342=Справочники!$F$6,Учет!$H3342,0)</f>
        <v>0</v>
      </c>
      <c r="V3342" s="43">
        <f>V3341+Учет!Q3342-Q3342</f>
        <v>-488978.92000000004</v>
      </c>
      <c r="W3342" s="43">
        <f>W3341+Учет!R3342-R3342</f>
        <v>336855</v>
      </c>
      <c r="X3342" s="43">
        <f>X3341+Учет!S3342-S3342</f>
        <v>500</v>
      </c>
      <c r="Y3342" s="43">
        <f>Y3341+Учет!T3342-T3342</f>
        <v>1150</v>
      </c>
      <c r="Z3342" s="43">
        <f>Z3341+Учет!U3342-U3342</f>
        <v>500000</v>
      </c>
      <c r="AA3342" s="45">
        <f>Учет!X3342</f>
        <v>500</v>
      </c>
    </row>
    <row r="3343" spans="1:27" ht="15" customHeight="1" x14ac:dyDescent="0.25">
      <c r="A3343" s="1"/>
      <c r="B3343" s="17"/>
      <c r="C3343" s="17"/>
      <c r="D3343" s="17"/>
      <c r="E3343" s="17"/>
      <c r="F3343" s="17"/>
      <c r="G3343" s="4">
        <f t="shared" si="153"/>
        <v>0</v>
      </c>
      <c r="H3343" s="17"/>
      <c r="I3343" s="4">
        <f t="shared" si="155"/>
        <v>349526.07999999996</v>
      </c>
      <c r="J3343" s="32" t="str">
        <f t="shared" si="154"/>
        <v/>
      </c>
      <c r="K3343" s="72"/>
      <c r="L3343" s="72"/>
      <c r="M3343" s="2"/>
      <c r="N3343" s="5"/>
      <c r="O3343" s="3"/>
      <c r="P3343" s="6"/>
      <c r="Q3343" s="48">
        <f>IF(Учет!$O3343=Справочники!$F$2,Учет!$H3343,0)</f>
        <v>0</v>
      </c>
      <c r="R3343" s="48">
        <f>IF(Учет!$O3343=Справочники!$F$3,Учет!$H3343,0)</f>
        <v>0</v>
      </c>
      <c r="S3343" s="48">
        <f>IF(Учет!$O3343=Справочники!$F$4,Учет!$H3343,0)</f>
        <v>0</v>
      </c>
      <c r="T3343" s="48">
        <f>IF(Учет!$O3343=Справочники!$F$5,Учет!$H3343,0)</f>
        <v>0</v>
      </c>
      <c r="U3343" s="48">
        <f>IF(Учет!$O3343=Справочники!$F$6,Учет!$H3343,0)</f>
        <v>0</v>
      </c>
      <c r="V3343" s="43">
        <f>V3342+Учет!Q3343-Q3343</f>
        <v>-488978.92000000004</v>
      </c>
      <c r="W3343" s="43">
        <f>W3342+Учет!R3343-R3343</f>
        <v>336855</v>
      </c>
      <c r="X3343" s="43">
        <f>X3342+Учет!S3343-S3343</f>
        <v>500</v>
      </c>
      <c r="Y3343" s="43">
        <f>Y3342+Учет!T3343-T3343</f>
        <v>1150</v>
      </c>
      <c r="Z3343" s="43">
        <f>Z3342+Учет!U3343-U3343</f>
        <v>500000</v>
      </c>
      <c r="AA3343" s="45">
        <f>Учет!X3343</f>
        <v>500</v>
      </c>
    </row>
    <row r="3344" spans="1:27" ht="15" customHeight="1" x14ac:dyDescent="0.25">
      <c r="A3344" s="1"/>
      <c r="B3344" s="17"/>
      <c r="C3344" s="17"/>
      <c r="D3344" s="17"/>
      <c r="E3344" s="17"/>
      <c r="F3344" s="17"/>
      <c r="G3344" s="4">
        <f t="shared" si="153"/>
        <v>0</v>
      </c>
      <c r="H3344" s="17"/>
      <c r="I3344" s="4">
        <f t="shared" si="155"/>
        <v>349526.07999999996</v>
      </c>
      <c r="J3344" s="32" t="str">
        <f t="shared" si="154"/>
        <v/>
      </c>
      <c r="K3344" s="72"/>
      <c r="L3344" s="72"/>
      <c r="M3344" s="2"/>
      <c r="N3344" s="5"/>
      <c r="O3344" s="3"/>
      <c r="P3344" s="6"/>
      <c r="Q3344" s="48">
        <f>IF(Учет!$O3344=Справочники!$F$2,Учет!$H3344,0)</f>
        <v>0</v>
      </c>
      <c r="R3344" s="48">
        <f>IF(Учет!$O3344=Справочники!$F$3,Учет!$H3344,0)</f>
        <v>0</v>
      </c>
      <c r="S3344" s="48">
        <f>IF(Учет!$O3344=Справочники!$F$4,Учет!$H3344,0)</f>
        <v>0</v>
      </c>
      <c r="T3344" s="48">
        <f>IF(Учет!$O3344=Справочники!$F$5,Учет!$H3344,0)</f>
        <v>0</v>
      </c>
      <c r="U3344" s="48">
        <f>IF(Учет!$O3344=Справочники!$F$6,Учет!$H3344,0)</f>
        <v>0</v>
      </c>
      <c r="V3344" s="43">
        <f>V3343+Учет!Q3344-Q3344</f>
        <v>-488978.92000000004</v>
      </c>
      <c r="W3344" s="43">
        <f>W3343+Учет!R3344-R3344</f>
        <v>336855</v>
      </c>
      <c r="X3344" s="43">
        <f>X3343+Учет!S3344-S3344</f>
        <v>500</v>
      </c>
      <c r="Y3344" s="43">
        <f>Y3343+Учет!T3344-T3344</f>
        <v>1150</v>
      </c>
      <c r="Z3344" s="43">
        <f>Z3343+Учет!U3344-U3344</f>
        <v>500000</v>
      </c>
      <c r="AA3344" s="45">
        <f>Учет!X3344</f>
        <v>500</v>
      </c>
    </row>
    <row r="3345" spans="1:27" ht="15" customHeight="1" x14ac:dyDescent="0.25">
      <c r="A3345" s="1"/>
      <c r="B3345" s="17"/>
      <c r="C3345" s="17"/>
      <c r="D3345" s="17"/>
      <c r="E3345" s="17"/>
      <c r="F3345" s="17"/>
      <c r="G3345" s="4">
        <f t="shared" si="153"/>
        <v>0</v>
      </c>
      <c r="H3345" s="17"/>
      <c r="I3345" s="4">
        <f t="shared" si="155"/>
        <v>349526.07999999996</v>
      </c>
      <c r="J3345" s="32" t="str">
        <f t="shared" si="154"/>
        <v/>
      </c>
      <c r="K3345" s="72"/>
      <c r="L3345" s="72"/>
      <c r="M3345" s="2"/>
      <c r="N3345" s="5"/>
      <c r="O3345" s="3"/>
      <c r="P3345" s="6"/>
      <c r="Q3345" s="48">
        <f>IF(Учет!$O3345=Справочники!$F$2,Учет!$H3345,0)</f>
        <v>0</v>
      </c>
      <c r="R3345" s="48">
        <f>IF(Учет!$O3345=Справочники!$F$3,Учет!$H3345,0)</f>
        <v>0</v>
      </c>
      <c r="S3345" s="48">
        <f>IF(Учет!$O3345=Справочники!$F$4,Учет!$H3345,0)</f>
        <v>0</v>
      </c>
      <c r="T3345" s="48">
        <f>IF(Учет!$O3345=Справочники!$F$5,Учет!$H3345,0)</f>
        <v>0</v>
      </c>
      <c r="U3345" s="48">
        <f>IF(Учет!$O3345=Справочники!$F$6,Учет!$H3345,0)</f>
        <v>0</v>
      </c>
      <c r="V3345" s="43">
        <f>V3344+Учет!Q3345-Q3345</f>
        <v>-488978.92000000004</v>
      </c>
      <c r="W3345" s="43">
        <f>W3344+Учет!R3345-R3345</f>
        <v>336855</v>
      </c>
      <c r="X3345" s="43">
        <f>X3344+Учет!S3345-S3345</f>
        <v>500</v>
      </c>
      <c r="Y3345" s="43">
        <f>Y3344+Учет!T3345-T3345</f>
        <v>1150</v>
      </c>
      <c r="Z3345" s="43">
        <f>Z3344+Учет!U3345-U3345</f>
        <v>500000</v>
      </c>
      <c r="AA3345" s="45">
        <f>Учет!X3345</f>
        <v>500</v>
      </c>
    </row>
    <row r="3346" spans="1:27" ht="15" customHeight="1" x14ac:dyDescent="0.25">
      <c r="A3346" s="1"/>
      <c r="B3346" s="17"/>
      <c r="C3346" s="17"/>
      <c r="D3346" s="17"/>
      <c r="E3346" s="17"/>
      <c r="F3346" s="17"/>
      <c r="G3346" s="4">
        <f t="shared" si="153"/>
        <v>0</v>
      </c>
      <c r="H3346" s="17"/>
      <c r="I3346" s="4">
        <f t="shared" si="155"/>
        <v>349526.07999999996</v>
      </c>
      <c r="J3346" s="32" t="str">
        <f t="shared" si="154"/>
        <v/>
      </c>
      <c r="K3346" s="72"/>
      <c r="L3346" s="72"/>
      <c r="M3346" s="2"/>
      <c r="N3346" s="5"/>
      <c r="O3346" s="3"/>
      <c r="P3346" s="6"/>
      <c r="Q3346" s="48">
        <f>IF(Учет!$O3346=Справочники!$F$2,Учет!$H3346,0)</f>
        <v>0</v>
      </c>
      <c r="R3346" s="48">
        <f>IF(Учет!$O3346=Справочники!$F$3,Учет!$H3346,0)</f>
        <v>0</v>
      </c>
      <c r="S3346" s="48">
        <f>IF(Учет!$O3346=Справочники!$F$4,Учет!$H3346,0)</f>
        <v>0</v>
      </c>
      <c r="T3346" s="48">
        <f>IF(Учет!$O3346=Справочники!$F$5,Учет!$H3346,0)</f>
        <v>0</v>
      </c>
      <c r="U3346" s="48">
        <f>IF(Учет!$O3346=Справочники!$F$6,Учет!$H3346,0)</f>
        <v>0</v>
      </c>
      <c r="V3346" s="43">
        <f>V3345+Учет!Q3346-Q3346</f>
        <v>-488978.92000000004</v>
      </c>
      <c r="W3346" s="43">
        <f>W3345+Учет!R3346-R3346</f>
        <v>336855</v>
      </c>
      <c r="X3346" s="43">
        <f>X3345+Учет!S3346-S3346</f>
        <v>500</v>
      </c>
      <c r="Y3346" s="43">
        <f>Y3345+Учет!T3346-T3346</f>
        <v>1150</v>
      </c>
      <c r="Z3346" s="43">
        <f>Z3345+Учет!U3346-U3346</f>
        <v>500000</v>
      </c>
      <c r="AA3346" s="45">
        <f>Учет!X3346</f>
        <v>500</v>
      </c>
    </row>
    <row r="3347" spans="1:27" ht="15" customHeight="1" x14ac:dyDescent="0.25">
      <c r="A3347" s="1"/>
      <c r="B3347" s="17"/>
      <c r="C3347" s="17"/>
      <c r="D3347" s="17"/>
      <c r="E3347" s="17"/>
      <c r="F3347" s="17"/>
      <c r="G3347" s="4">
        <f t="shared" si="153"/>
        <v>0</v>
      </c>
      <c r="H3347" s="17"/>
      <c r="I3347" s="4">
        <f t="shared" si="155"/>
        <v>349526.07999999996</v>
      </c>
      <c r="J3347" s="32" t="str">
        <f t="shared" si="154"/>
        <v/>
      </c>
      <c r="K3347" s="72"/>
      <c r="L3347" s="72"/>
      <c r="M3347" s="2"/>
      <c r="N3347" s="5"/>
      <c r="O3347" s="3"/>
      <c r="P3347" s="6"/>
      <c r="Q3347" s="48">
        <f>IF(Учет!$O3347=Справочники!$F$2,Учет!$H3347,0)</f>
        <v>0</v>
      </c>
      <c r="R3347" s="48">
        <f>IF(Учет!$O3347=Справочники!$F$3,Учет!$H3347,0)</f>
        <v>0</v>
      </c>
      <c r="S3347" s="48">
        <f>IF(Учет!$O3347=Справочники!$F$4,Учет!$H3347,0)</f>
        <v>0</v>
      </c>
      <c r="T3347" s="48">
        <f>IF(Учет!$O3347=Справочники!$F$5,Учет!$H3347,0)</f>
        <v>0</v>
      </c>
      <c r="U3347" s="48">
        <f>IF(Учет!$O3347=Справочники!$F$6,Учет!$H3347,0)</f>
        <v>0</v>
      </c>
      <c r="V3347" s="43">
        <f>V3346+Учет!Q3347-Q3347</f>
        <v>-488978.92000000004</v>
      </c>
      <c r="W3347" s="43">
        <f>W3346+Учет!R3347-R3347</f>
        <v>336855</v>
      </c>
      <c r="X3347" s="43">
        <f>X3346+Учет!S3347-S3347</f>
        <v>500</v>
      </c>
      <c r="Y3347" s="43">
        <f>Y3346+Учет!T3347-T3347</f>
        <v>1150</v>
      </c>
      <c r="Z3347" s="43">
        <f>Z3346+Учет!U3347-U3347</f>
        <v>500000</v>
      </c>
      <c r="AA3347" s="45">
        <f>Учет!X3347</f>
        <v>500</v>
      </c>
    </row>
    <row r="3348" spans="1:27" ht="15" customHeight="1" x14ac:dyDescent="0.25">
      <c r="A3348" s="1"/>
      <c r="B3348" s="17"/>
      <c r="C3348" s="17"/>
      <c r="D3348" s="17"/>
      <c r="E3348" s="17"/>
      <c r="F3348" s="17"/>
      <c r="G3348" s="4">
        <f t="shared" si="153"/>
        <v>0</v>
      </c>
      <c r="H3348" s="17"/>
      <c r="I3348" s="4">
        <f t="shared" si="155"/>
        <v>349526.07999999996</v>
      </c>
      <c r="J3348" s="32" t="str">
        <f t="shared" si="154"/>
        <v/>
      </c>
      <c r="K3348" s="72"/>
      <c r="L3348" s="72"/>
      <c r="M3348" s="2"/>
      <c r="N3348" s="5"/>
      <c r="O3348" s="3"/>
      <c r="P3348" s="6"/>
      <c r="Q3348" s="48">
        <f>IF(Учет!$O3348=Справочники!$F$2,Учет!$H3348,0)</f>
        <v>0</v>
      </c>
      <c r="R3348" s="48">
        <f>IF(Учет!$O3348=Справочники!$F$3,Учет!$H3348,0)</f>
        <v>0</v>
      </c>
      <c r="S3348" s="48">
        <f>IF(Учет!$O3348=Справочники!$F$4,Учет!$H3348,0)</f>
        <v>0</v>
      </c>
      <c r="T3348" s="48">
        <f>IF(Учет!$O3348=Справочники!$F$5,Учет!$H3348,0)</f>
        <v>0</v>
      </c>
      <c r="U3348" s="48">
        <f>IF(Учет!$O3348=Справочники!$F$6,Учет!$H3348,0)</f>
        <v>0</v>
      </c>
      <c r="V3348" s="43">
        <f>V3347+Учет!Q3348-Q3348</f>
        <v>-488978.92000000004</v>
      </c>
      <c r="W3348" s="43">
        <f>W3347+Учет!R3348-R3348</f>
        <v>336855</v>
      </c>
      <c r="X3348" s="43">
        <f>X3347+Учет!S3348-S3348</f>
        <v>500</v>
      </c>
      <c r="Y3348" s="43">
        <f>Y3347+Учет!T3348-T3348</f>
        <v>1150</v>
      </c>
      <c r="Z3348" s="43">
        <f>Z3347+Учет!U3348-U3348</f>
        <v>500000</v>
      </c>
      <c r="AA3348" s="45">
        <f>Учет!X3348</f>
        <v>500</v>
      </c>
    </row>
    <row r="3349" spans="1:27" ht="15" customHeight="1" x14ac:dyDescent="0.25">
      <c r="A3349" s="1"/>
      <c r="B3349" s="17"/>
      <c r="C3349" s="17"/>
      <c r="D3349" s="17"/>
      <c r="E3349" s="17"/>
      <c r="F3349" s="17"/>
      <c r="G3349" s="4">
        <f t="shared" si="153"/>
        <v>0</v>
      </c>
      <c r="H3349" s="17"/>
      <c r="I3349" s="4">
        <f t="shared" si="155"/>
        <v>349526.07999999996</v>
      </c>
      <c r="J3349" s="32" t="str">
        <f t="shared" si="154"/>
        <v/>
      </c>
      <c r="K3349" s="72"/>
      <c r="L3349" s="72"/>
      <c r="M3349" s="2"/>
      <c r="N3349" s="5"/>
      <c r="O3349" s="3"/>
      <c r="P3349" s="6"/>
      <c r="Q3349" s="48">
        <f>IF(Учет!$O3349=Справочники!$F$2,Учет!$H3349,0)</f>
        <v>0</v>
      </c>
      <c r="R3349" s="48">
        <f>IF(Учет!$O3349=Справочники!$F$3,Учет!$H3349,0)</f>
        <v>0</v>
      </c>
      <c r="S3349" s="48">
        <f>IF(Учет!$O3349=Справочники!$F$4,Учет!$H3349,0)</f>
        <v>0</v>
      </c>
      <c r="T3349" s="48">
        <f>IF(Учет!$O3349=Справочники!$F$5,Учет!$H3349,0)</f>
        <v>0</v>
      </c>
      <c r="U3349" s="48">
        <f>IF(Учет!$O3349=Справочники!$F$6,Учет!$H3349,0)</f>
        <v>0</v>
      </c>
      <c r="V3349" s="43">
        <f>V3348+Учет!Q3349-Q3349</f>
        <v>-488978.92000000004</v>
      </c>
      <c r="W3349" s="43">
        <f>W3348+Учет!R3349-R3349</f>
        <v>336855</v>
      </c>
      <c r="X3349" s="43">
        <f>X3348+Учет!S3349-S3349</f>
        <v>500</v>
      </c>
      <c r="Y3349" s="43">
        <f>Y3348+Учет!T3349-T3349</f>
        <v>1150</v>
      </c>
      <c r="Z3349" s="43">
        <f>Z3348+Учет!U3349-U3349</f>
        <v>500000</v>
      </c>
      <c r="AA3349" s="45">
        <f>Учет!X3349</f>
        <v>500</v>
      </c>
    </row>
    <row r="3350" spans="1:27" ht="15" customHeight="1" x14ac:dyDescent="0.25">
      <c r="A3350" s="1"/>
      <c r="B3350" s="17"/>
      <c r="C3350" s="17"/>
      <c r="D3350" s="17"/>
      <c r="E3350" s="17"/>
      <c r="F3350" s="17"/>
      <c r="G3350" s="4">
        <f t="shared" si="153"/>
        <v>0</v>
      </c>
      <c r="H3350" s="17"/>
      <c r="I3350" s="4">
        <f t="shared" si="155"/>
        <v>349526.07999999996</v>
      </c>
      <c r="J3350" s="32" t="str">
        <f t="shared" si="154"/>
        <v/>
      </c>
      <c r="K3350" s="72"/>
      <c r="L3350" s="72"/>
      <c r="M3350" s="2"/>
      <c r="N3350" s="5"/>
      <c r="O3350" s="3"/>
      <c r="P3350" s="6"/>
      <c r="Q3350" s="48">
        <f>IF(Учет!$O3350=Справочники!$F$2,Учет!$H3350,0)</f>
        <v>0</v>
      </c>
      <c r="R3350" s="48">
        <f>IF(Учет!$O3350=Справочники!$F$3,Учет!$H3350,0)</f>
        <v>0</v>
      </c>
      <c r="S3350" s="48">
        <f>IF(Учет!$O3350=Справочники!$F$4,Учет!$H3350,0)</f>
        <v>0</v>
      </c>
      <c r="T3350" s="48">
        <f>IF(Учет!$O3350=Справочники!$F$5,Учет!$H3350,0)</f>
        <v>0</v>
      </c>
      <c r="U3350" s="48">
        <f>IF(Учет!$O3350=Справочники!$F$6,Учет!$H3350,0)</f>
        <v>0</v>
      </c>
      <c r="V3350" s="43">
        <f>V3349+Учет!Q3350-Q3350</f>
        <v>-488978.92000000004</v>
      </c>
      <c r="W3350" s="43">
        <f>W3349+Учет!R3350-R3350</f>
        <v>336855</v>
      </c>
      <c r="X3350" s="43">
        <f>X3349+Учет!S3350-S3350</f>
        <v>500</v>
      </c>
      <c r="Y3350" s="43">
        <f>Y3349+Учет!T3350-T3350</f>
        <v>1150</v>
      </c>
      <c r="Z3350" s="43">
        <f>Z3349+Учет!U3350-U3350</f>
        <v>500000</v>
      </c>
      <c r="AA3350" s="45">
        <f>Учет!X3350</f>
        <v>500</v>
      </c>
    </row>
    <row r="3351" spans="1:27" ht="15" customHeight="1" x14ac:dyDescent="0.25">
      <c r="A3351" s="1"/>
      <c r="B3351" s="17"/>
      <c r="C3351" s="17"/>
      <c r="D3351" s="17"/>
      <c r="E3351" s="17"/>
      <c r="F3351" s="17"/>
      <c r="G3351" s="4">
        <f t="shared" si="153"/>
        <v>0</v>
      </c>
      <c r="H3351" s="17"/>
      <c r="I3351" s="4">
        <f t="shared" si="155"/>
        <v>349526.07999999996</v>
      </c>
      <c r="J3351" s="32" t="str">
        <f t="shared" si="154"/>
        <v/>
      </c>
      <c r="K3351" s="72"/>
      <c r="L3351" s="72"/>
      <c r="M3351" s="2"/>
      <c r="N3351" s="5"/>
      <c r="O3351" s="3"/>
      <c r="P3351" s="6"/>
      <c r="Q3351" s="48">
        <f>IF(Учет!$O3351=Справочники!$F$2,Учет!$H3351,0)</f>
        <v>0</v>
      </c>
      <c r="R3351" s="48">
        <f>IF(Учет!$O3351=Справочники!$F$3,Учет!$H3351,0)</f>
        <v>0</v>
      </c>
      <c r="S3351" s="48">
        <f>IF(Учет!$O3351=Справочники!$F$4,Учет!$H3351,0)</f>
        <v>0</v>
      </c>
      <c r="T3351" s="48">
        <f>IF(Учет!$O3351=Справочники!$F$5,Учет!$H3351,0)</f>
        <v>0</v>
      </c>
      <c r="U3351" s="48">
        <f>IF(Учет!$O3351=Справочники!$F$6,Учет!$H3351,0)</f>
        <v>0</v>
      </c>
      <c r="V3351" s="43">
        <f>V3350+Учет!Q3351-Q3351</f>
        <v>-488978.92000000004</v>
      </c>
      <c r="W3351" s="43">
        <f>W3350+Учет!R3351-R3351</f>
        <v>336855</v>
      </c>
      <c r="X3351" s="43">
        <f>X3350+Учет!S3351-S3351</f>
        <v>500</v>
      </c>
      <c r="Y3351" s="43">
        <f>Y3350+Учет!T3351-T3351</f>
        <v>1150</v>
      </c>
      <c r="Z3351" s="43">
        <f>Z3350+Учет!U3351-U3351</f>
        <v>500000</v>
      </c>
      <c r="AA3351" s="45">
        <f>Учет!X3351</f>
        <v>500</v>
      </c>
    </row>
    <row r="3352" spans="1:27" ht="15" customHeight="1" x14ac:dyDescent="0.25">
      <c r="A3352" s="1"/>
      <c r="B3352" s="17"/>
      <c r="C3352" s="17"/>
      <c r="D3352" s="17"/>
      <c r="E3352" s="17"/>
      <c r="F3352" s="17"/>
      <c r="G3352" s="4">
        <f t="shared" si="153"/>
        <v>0</v>
      </c>
      <c r="H3352" s="17"/>
      <c r="I3352" s="4">
        <f t="shared" si="155"/>
        <v>349526.07999999996</v>
      </c>
      <c r="J3352" s="32" t="str">
        <f t="shared" si="154"/>
        <v/>
      </c>
      <c r="K3352" s="72"/>
      <c r="L3352" s="72"/>
      <c r="M3352" s="2"/>
      <c r="N3352" s="5"/>
      <c r="O3352" s="3"/>
      <c r="P3352" s="6"/>
      <c r="Q3352" s="48">
        <f>IF(Учет!$O3352=Справочники!$F$2,Учет!$H3352,0)</f>
        <v>0</v>
      </c>
      <c r="R3352" s="48">
        <f>IF(Учет!$O3352=Справочники!$F$3,Учет!$H3352,0)</f>
        <v>0</v>
      </c>
      <c r="S3352" s="48">
        <f>IF(Учет!$O3352=Справочники!$F$4,Учет!$H3352,0)</f>
        <v>0</v>
      </c>
      <c r="T3352" s="48">
        <f>IF(Учет!$O3352=Справочники!$F$5,Учет!$H3352,0)</f>
        <v>0</v>
      </c>
      <c r="U3352" s="48">
        <f>IF(Учет!$O3352=Справочники!$F$6,Учет!$H3352,0)</f>
        <v>0</v>
      </c>
      <c r="V3352" s="43">
        <f>V3351+Учет!Q3352-Q3352</f>
        <v>-488978.92000000004</v>
      </c>
      <c r="W3352" s="43">
        <f>W3351+Учет!R3352-R3352</f>
        <v>336855</v>
      </c>
      <c r="X3352" s="43">
        <f>X3351+Учет!S3352-S3352</f>
        <v>500</v>
      </c>
      <c r="Y3352" s="43">
        <f>Y3351+Учет!T3352-T3352</f>
        <v>1150</v>
      </c>
      <c r="Z3352" s="43">
        <f>Z3351+Учет!U3352-U3352</f>
        <v>500000</v>
      </c>
      <c r="AA3352" s="45">
        <f>Учет!X3352</f>
        <v>500</v>
      </c>
    </row>
    <row r="3353" spans="1:27" ht="15" customHeight="1" x14ac:dyDescent="0.25">
      <c r="A3353" s="1"/>
      <c r="B3353" s="17"/>
      <c r="C3353" s="17"/>
      <c r="D3353" s="17"/>
      <c r="E3353" s="17"/>
      <c r="F3353" s="17"/>
      <c r="G3353" s="4">
        <f t="shared" si="153"/>
        <v>0</v>
      </c>
      <c r="H3353" s="17"/>
      <c r="I3353" s="4">
        <f t="shared" si="155"/>
        <v>349526.07999999996</v>
      </c>
      <c r="J3353" s="32" t="str">
        <f t="shared" si="154"/>
        <v/>
      </c>
      <c r="K3353" s="72"/>
      <c r="L3353" s="72"/>
      <c r="M3353" s="2"/>
      <c r="N3353" s="5"/>
      <c r="O3353" s="3"/>
      <c r="P3353" s="6"/>
      <c r="Q3353" s="48">
        <f>IF(Учет!$O3353=Справочники!$F$2,Учет!$H3353,0)</f>
        <v>0</v>
      </c>
      <c r="R3353" s="48">
        <f>IF(Учет!$O3353=Справочники!$F$3,Учет!$H3353,0)</f>
        <v>0</v>
      </c>
      <c r="S3353" s="48">
        <f>IF(Учет!$O3353=Справочники!$F$4,Учет!$H3353,0)</f>
        <v>0</v>
      </c>
      <c r="T3353" s="48">
        <f>IF(Учет!$O3353=Справочники!$F$5,Учет!$H3353,0)</f>
        <v>0</v>
      </c>
      <c r="U3353" s="48">
        <f>IF(Учет!$O3353=Справочники!$F$6,Учет!$H3353,0)</f>
        <v>0</v>
      </c>
      <c r="V3353" s="43">
        <f>V3352+Учет!Q3353-Q3353</f>
        <v>-488978.92000000004</v>
      </c>
      <c r="W3353" s="43">
        <f>W3352+Учет!R3353-R3353</f>
        <v>336855</v>
      </c>
      <c r="X3353" s="43">
        <f>X3352+Учет!S3353-S3353</f>
        <v>500</v>
      </c>
      <c r="Y3353" s="43">
        <f>Y3352+Учет!T3353-T3353</f>
        <v>1150</v>
      </c>
      <c r="Z3353" s="43">
        <f>Z3352+Учет!U3353-U3353</f>
        <v>500000</v>
      </c>
      <c r="AA3353" s="45">
        <f>Учет!X3353</f>
        <v>500</v>
      </c>
    </row>
    <row r="3354" spans="1:27" ht="15" customHeight="1" x14ac:dyDescent="0.25">
      <c r="A3354" s="1"/>
      <c r="B3354" s="17"/>
      <c r="C3354" s="17"/>
      <c r="D3354" s="17"/>
      <c r="E3354" s="17"/>
      <c r="F3354" s="17"/>
      <c r="G3354" s="4">
        <f t="shared" si="153"/>
        <v>0</v>
      </c>
      <c r="H3354" s="17"/>
      <c r="I3354" s="4">
        <f t="shared" si="155"/>
        <v>349526.07999999996</v>
      </c>
      <c r="J3354" s="32" t="str">
        <f t="shared" si="154"/>
        <v/>
      </c>
      <c r="K3354" s="72"/>
      <c r="L3354" s="72"/>
      <c r="M3354" s="2"/>
      <c r="N3354" s="5"/>
      <c r="O3354" s="3"/>
      <c r="P3354" s="6"/>
      <c r="Q3354" s="48">
        <f>IF(Учет!$O3354=Справочники!$F$2,Учет!$H3354,0)</f>
        <v>0</v>
      </c>
      <c r="R3354" s="48">
        <f>IF(Учет!$O3354=Справочники!$F$3,Учет!$H3354,0)</f>
        <v>0</v>
      </c>
      <c r="S3354" s="48">
        <f>IF(Учет!$O3354=Справочники!$F$4,Учет!$H3354,0)</f>
        <v>0</v>
      </c>
      <c r="T3354" s="48">
        <f>IF(Учет!$O3354=Справочники!$F$5,Учет!$H3354,0)</f>
        <v>0</v>
      </c>
      <c r="U3354" s="48">
        <f>IF(Учет!$O3354=Справочники!$F$6,Учет!$H3354,0)</f>
        <v>0</v>
      </c>
      <c r="V3354" s="43">
        <f>V3353+Учет!Q3354-Q3354</f>
        <v>-488978.92000000004</v>
      </c>
      <c r="W3354" s="43">
        <f>W3353+Учет!R3354-R3354</f>
        <v>336855</v>
      </c>
      <c r="X3354" s="43">
        <f>X3353+Учет!S3354-S3354</f>
        <v>500</v>
      </c>
      <c r="Y3354" s="43">
        <f>Y3353+Учет!T3354-T3354</f>
        <v>1150</v>
      </c>
      <c r="Z3354" s="43">
        <f>Z3353+Учет!U3354-U3354</f>
        <v>500000</v>
      </c>
      <c r="AA3354" s="45">
        <f>Учет!X3354</f>
        <v>500</v>
      </c>
    </row>
    <row r="3355" spans="1:27" ht="15" customHeight="1" x14ac:dyDescent="0.25">
      <c r="A3355" s="1"/>
      <c r="B3355" s="17"/>
      <c r="C3355" s="17"/>
      <c r="D3355" s="17"/>
      <c r="E3355" s="17"/>
      <c r="F3355" s="17"/>
      <c r="G3355" s="4">
        <f t="shared" si="153"/>
        <v>0</v>
      </c>
      <c r="H3355" s="17"/>
      <c r="I3355" s="4">
        <f t="shared" si="155"/>
        <v>349526.07999999996</v>
      </c>
      <c r="J3355" s="32" t="str">
        <f t="shared" si="154"/>
        <v/>
      </c>
      <c r="K3355" s="72"/>
      <c r="L3355" s="72"/>
      <c r="M3355" s="2"/>
      <c r="N3355" s="5"/>
      <c r="O3355" s="3"/>
      <c r="P3355" s="6"/>
      <c r="Q3355" s="48">
        <f>IF(Учет!$O3355=Справочники!$F$2,Учет!$H3355,0)</f>
        <v>0</v>
      </c>
      <c r="R3355" s="48">
        <f>IF(Учет!$O3355=Справочники!$F$3,Учет!$H3355,0)</f>
        <v>0</v>
      </c>
      <c r="S3355" s="48">
        <f>IF(Учет!$O3355=Справочники!$F$4,Учет!$H3355,0)</f>
        <v>0</v>
      </c>
      <c r="T3355" s="48">
        <f>IF(Учет!$O3355=Справочники!$F$5,Учет!$H3355,0)</f>
        <v>0</v>
      </c>
      <c r="U3355" s="48">
        <f>IF(Учет!$O3355=Справочники!$F$6,Учет!$H3355,0)</f>
        <v>0</v>
      </c>
      <c r="V3355" s="43">
        <f>V3354+Учет!Q3355-Q3355</f>
        <v>-488978.92000000004</v>
      </c>
      <c r="W3355" s="43">
        <f>W3354+Учет!R3355-R3355</f>
        <v>336855</v>
      </c>
      <c r="X3355" s="43">
        <f>X3354+Учет!S3355-S3355</f>
        <v>500</v>
      </c>
      <c r="Y3355" s="43">
        <f>Y3354+Учет!T3355-T3355</f>
        <v>1150</v>
      </c>
      <c r="Z3355" s="43">
        <f>Z3354+Учет!U3355-U3355</f>
        <v>500000</v>
      </c>
      <c r="AA3355" s="45">
        <f>Учет!X3355</f>
        <v>500</v>
      </c>
    </row>
    <row r="3356" spans="1:27" ht="15" customHeight="1" x14ac:dyDescent="0.25">
      <c r="A3356" s="1"/>
      <c r="B3356" s="17"/>
      <c r="C3356" s="17"/>
      <c r="D3356" s="17"/>
      <c r="E3356" s="17"/>
      <c r="F3356" s="17"/>
      <c r="G3356" s="4">
        <f t="shared" si="153"/>
        <v>0</v>
      </c>
      <c r="H3356" s="17"/>
      <c r="I3356" s="4">
        <f t="shared" si="155"/>
        <v>349526.07999999996</v>
      </c>
      <c r="J3356" s="32" t="str">
        <f t="shared" si="154"/>
        <v/>
      </c>
      <c r="K3356" s="72"/>
      <c r="L3356" s="72"/>
      <c r="M3356" s="2"/>
      <c r="N3356" s="5"/>
      <c r="O3356" s="3"/>
      <c r="P3356" s="6"/>
      <c r="Q3356" s="48">
        <f>IF(Учет!$O3356=Справочники!$F$2,Учет!$H3356,0)</f>
        <v>0</v>
      </c>
      <c r="R3356" s="48">
        <f>IF(Учет!$O3356=Справочники!$F$3,Учет!$H3356,0)</f>
        <v>0</v>
      </c>
      <c r="S3356" s="48">
        <f>IF(Учет!$O3356=Справочники!$F$4,Учет!$H3356,0)</f>
        <v>0</v>
      </c>
      <c r="T3356" s="48">
        <f>IF(Учет!$O3356=Справочники!$F$5,Учет!$H3356,0)</f>
        <v>0</v>
      </c>
      <c r="U3356" s="48">
        <f>IF(Учет!$O3356=Справочники!$F$6,Учет!$H3356,0)</f>
        <v>0</v>
      </c>
      <c r="V3356" s="43">
        <f>V3355+Учет!Q3356-Q3356</f>
        <v>-488978.92000000004</v>
      </c>
      <c r="W3356" s="43">
        <f>W3355+Учет!R3356-R3356</f>
        <v>336855</v>
      </c>
      <c r="X3356" s="43">
        <f>X3355+Учет!S3356-S3356</f>
        <v>500</v>
      </c>
      <c r="Y3356" s="43">
        <f>Y3355+Учет!T3356-T3356</f>
        <v>1150</v>
      </c>
      <c r="Z3356" s="43">
        <f>Z3355+Учет!U3356-U3356</f>
        <v>500000</v>
      </c>
      <c r="AA3356" s="45">
        <f>Учет!X3356</f>
        <v>500</v>
      </c>
    </row>
    <row r="3357" spans="1:27" ht="15" customHeight="1" x14ac:dyDescent="0.25">
      <c r="A3357" s="1"/>
      <c r="B3357" s="17"/>
      <c r="C3357" s="17"/>
      <c r="D3357" s="17"/>
      <c r="E3357" s="17"/>
      <c r="F3357" s="17"/>
      <c r="G3357" s="4">
        <f t="shared" si="153"/>
        <v>0</v>
      </c>
      <c r="H3357" s="17"/>
      <c r="I3357" s="4">
        <f t="shared" si="155"/>
        <v>349526.07999999996</v>
      </c>
      <c r="J3357" s="32" t="str">
        <f t="shared" si="154"/>
        <v/>
      </c>
      <c r="K3357" s="72"/>
      <c r="L3357" s="72"/>
      <c r="M3357" s="2"/>
      <c r="N3357" s="5"/>
      <c r="O3357" s="3"/>
      <c r="P3357" s="6"/>
      <c r="Q3357" s="48">
        <f>IF(Учет!$O3357=Справочники!$F$2,Учет!$H3357,0)</f>
        <v>0</v>
      </c>
      <c r="R3357" s="48">
        <f>IF(Учет!$O3357=Справочники!$F$3,Учет!$H3357,0)</f>
        <v>0</v>
      </c>
      <c r="S3357" s="48">
        <f>IF(Учет!$O3357=Справочники!$F$4,Учет!$H3357,0)</f>
        <v>0</v>
      </c>
      <c r="T3357" s="48">
        <f>IF(Учет!$O3357=Справочники!$F$5,Учет!$H3357,0)</f>
        <v>0</v>
      </c>
      <c r="U3357" s="48">
        <f>IF(Учет!$O3357=Справочники!$F$6,Учет!$H3357,0)</f>
        <v>0</v>
      </c>
      <c r="V3357" s="43">
        <f>V3356+Учет!Q3357-Q3357</f>
        <v>-488978.92000000004</v>
      </c>
      <c r="W3357" s="43">
        <f>W3356+Учет!R3357-R3357</f>
        <v>336855</v>
      </c>
      <c r="X3357" s="43">
        <f>X3356+Учет!S3357-S3357</f>
        <v>500</v>
      </c>
      <c r="Y3357" s="43">
        <f>Y3356+Учет!T3357-T3357</f>
        <v>1150</v>
      </c>
      <c r="Z3357" s="43">
        <f>Z3356+Учет!U3357-U3357</f>
        <v>500000</v>
      </c>
      <c r="AA3357" s="45">
        <f>Учет!X3357</f>
        <v>500</v>
      </c>
    </row>
    <row r="3358" spans="1:27" ht="15" customHeight="1" x14ac:dyDescent="0.25">
      <c r="A3358" s="1"/>
      <c r="B3358" s="17"/>
      <c r="C3358" s="17"/>
      <c r="D3358" s="17"/>
      <c r="E3358" s="17"/>
      <c r="F3358" s="17"/>
      <c r="G3358" s="4">
        <f t="shared" si="153"/>
        <v>0</v>
      </c>
      <c r="H3358" s="17"/>
      <c r="I3358" s="4">
        <f t="shared" si="155"/>
        <v>349526.07999999996</v>
      </c>
      <c r="J3358" s="32" t="str">
        <f t="shared" si="154"/>
        <v/>
      </c>
      <c r="K3358" s="72"/>
      <c r="L3358" s="72"/>
      <c r="M3358" s="2"/>
      <c r="N3358" s="5"/>
      <c r="O3358" s="3"/>
      <c r="P3358" s="6"/>
      <c r="Q3358" s="48">
        <f>IF(Учет!$O3358=Справочники!$F$2,Учет!$H3358,0)</f>
        <v>0</v>
      </c>
      <c r="R3358" s="48">
        <f>IF(Учет!$O3358=Справочники!$F$3,Учет!$H3358,0)</f>
        <v>0</v>
      </c>
      <c r="S3358" s="48">
        <f>IF(Учет!$O3358=Справочники!$F$4,Учет!$H3358,0)</f>
        <v>0</v>
      </c>
      <c r="T3358" s="48">
        <f>IF(Учет!$O3358=Справочники!$F$5,Учет!$H3358,0)</f>
        <v>0</v>
      </c>
      <c r="U3358" s="48">
        <f>IF(Учет!$O3358=Справочники!$F$6,Учет!$H3358,0)</f>
        <v>0</v>
      </c>
      <c r="V3358" s="43">
        <f>V3357+Учет!Q3358-Q3358</f>
        <v>-488978.92000000004</v>
      </c>
      <c r="W3358" s="43">
        <f>W3357+Учет!R3358-R3358</f>
        <v>336855</v>
      </c>
      <c r="X3358" s="43">
        <f>X3357+Учет!S3358-S3358</f>
        <v>500</v>
      </c>
      <c r="Y3358" s="43">
        <f>Y3357+Учет!T3358-T3358</f>
        <v>1150</v>
      </c>
      <c r="Z3358" s="43">
        <f>Z3357+Учет!U3358-U3358</f>
        <v>500000</v>
      </c>
      <c r="AA3358" s="45">
        <f>Учет!X3358</f>
        <v>500</v>
      </c>
    </row>
    <row r="3359" spans="1:27" ht="15" customHeight="1" x14ac:dyDescent="0.25">
      <c r="A3359" s="1"/>
      <c r="B3359" s="17"/>
      <c r="C3359" s="17"/>
      <c r="D3359" s="17"/>
      <c r="E3359" s="17"/>
      <c r="F3359" s="17"/>
      <c r="G3359" s="4">
        <f t="shared" si="153"/>
        <v>0</v>
      </c>
      <c r="H3359" s="17"/>
      <c r="I3359" s="4">
        <f t="shared" si="155"/>
        <v>349526.07999999996</v>
      </c>
      <c r="J3359" s="32" t="str">
        <f t="shared" si="154"/>
        <v/>
      </c>
      <c r="K3359" s="72"/>
      <c r="L3359" s="72"/>
      <c r="M3359" s="2"/>
      <c r="N3359" s="5"/>
      <c r="O3359" s="3"/>
      <c r="P3359" s="6"/>
      <c r="Q3359" s="48">
        <f>IF(Учет!$O3359=Справочники!$F$2,Учет!$H3359,0)</f>
        <v>0</v>
      </c>
      <c r="R3359" s="48">
        <f>IF(Учет!$O3359=Справочники!$F$3,Учет!$H3359,0)</f>
        <v>0</v>
      </c>
      <c r="S3359" s="48">
        <f>IF(Учет!$O3359=Справочники!$F$4,Учет!$H3359,0)</f>
        <v>0</v>
      </c>
      <c r="T3359" s="48">
        <f>IF(Учет!$O3359=Справочники!$F$5,Учет!$H3359,0)</f>
        <v>0</v>
      </c>
      <c r="U3359" s="48">
        <f>IF(Учет!$O3359=Справочники!$F$6,Учет!$H3359,0)</f>
        <v>0</v>
      </c>
      <c r="V3359" s="43">
        <f>V3358+Учет!Q3359-Q3359</f>
        <v>-488978.92000000004</v>
      </c>
      <c r="W3359" s="43">
        <f>W3358+Учет!R3359-R3359</f>
        <v>336855</v>
      </c>
      <c r="X3359" s="43">
        <f>X3358+Учет!S3359-S3359</f>
        <v>500</v>
      </c>
      <c r="Y3359" s="43">
        <f>Y3358+Учет!T3359-T3359</f>
        <v>1150</v>
      </c>
      <c r="Z3359" s="43">
        <f>Z3358+Учет!U3359-U3359</f>
        <v>500000</v>
      </c>
      <c r="AA3359" s="45">
        <f>Учет!X3359</f>
        <v>500</v>
      </c>
    </row>
    <row r="3360" spans="1:27" ht="15" customHeight="1" x14ac:dyDescent="0.25">
      <c r="A3360" s="1"/>
      <c r="B3360" s="17"/>
      <c r="C3360" s="17"/>
      <c r="D3360" s="17"/>
      <c r="E3360" s="17"/>
      <c r="F3360" s="17"/>
      <c r="G3360" s="4">
        <f t="shared" si="153"/>
        <v>0</v>
      </c>
      <c r="H3360" s="17"/>
      <c r="I3360" s="4">
        <f t="shared" si="155"/>
        <v>349526.07999999996</v>
      </c>
      <c r="J3360" s="32" t="str">
        <f t="shared" si="154"/>
        <v/>
      </c>
      <c r="K3360" s="72"/>
      <c r="L3360" s="72"/>
      <c r="M3360" s="2"/>
      <c r="N3360" s="5"/>
      <c r="O3360" s="3"/>
      <c r="P3360" s="6"/>
      <c r="Q3360" s="48">
        <f>IF(Учет!$O3360=Справочники!$F$2,Учет!$H3360,0)</f>
        <v>0</v>
      </c>
      <c r="R3360" s="48">
        <f>IF(Учет!$O3360=Справочники!$F$3,Учет!$H3360,0)</f>
        <v>0</v>
      </c>
      <c r="S3360" s="48">
        <f>IF(Учет!$O3360=Справочники!$F$4,Учет!$H3360,0)</f>
        <v>0</v>
      </c>
      <c r="T3360" s="48">
        <f>IF(Учет!$O3360=Справочники!$F$5,Учет!$H3360,0)</f>
        <v>0</v>
      </c>
      <c r="U3360" s="48">
        <f>IF(Учет!$O3360=Справочники!$F$6,Учет!$H3360,0)</f>
        <v>0</v>
      </c>
      <c r="V3360" s="43">
        <f>V3359+Учет!Q3360-Q3360</f>
        <v>-488978.92000000004</v>
      </c>
      <c r="W3360" s="43">
        <f>W3359+Учет!R3360-R3360</f>
        <v>336855</v>
      </c>
      <c r="X3360" s="43">
        <f>X3359+Учет!S3360-S3360</f>
        <v>500</v>
      </c>
      <c r="Y3360" s="43">
        <f>Y3359+Учет!T3360-T3360</f>
        <v>1150</v>
      </c>
      <c r="Z3360" s="43">
        <f>Z3359+Учет!U3360-U3360</f>
        <v>500000</v>
      </c>
      <c r="AA3360" s="45">
        <f>Учет!X3360</f>
        <v>500</v>
      </c>
    </row>
    <row r="3361" spans="1:27" ht="15" customHeight="1" x14ac:dyDescent="0.25">
      <c r="A3361" s="1"/>
      <c r="B3361" s="17"/>
      <c r="C3361" s="17"/>
      <c r="D3361" s="17"/>
      <c r="E3361" s="17"/>
      <c r="F3361" s="17"/>
      <c r="G3361" s="4">
        <f t="shared" si="153"/>
        <v>0</v>
      </c>
      <c r="H3361" s="17"/>
      <c r="I3361" s="4">
        <f t="shared" si="155"/>
        <v>349526.07999999996</v>
      </c>
      <c r="J3361" s="32" t="str">
        <f t="shared" si="154"/>
        <v/>
      </c>
      <c r="K3361" s="72"/>
      <c r="L3361" s="72"/>
      <c r="M3361" s="2"/>
      <c r="N3361" s="5"/>
      <c r="O3361" s="3"/>
      <c r="P3361" s="6"/>
      <c r="Q3361" s="48">
        <f>IF(Учет!$O3361=Справочники!$F$2,Учет!$H3361,0)</f>
        <v>0</v>
      </c>
      <c r="R3361" s="48">
        <f>IF(Учет!$O3361=Справочники!$F$3,Учет!$H3361,0)</f>
        <v>0</v>
      </c>
      <c r="S3361" s="48">
        <f>IF(Учет!$O3361=Справочники!$F$4,Учет!$H3361,0)</f>
        <v>0</v>
      </c>
      <c r="T3361" s="48">
        <f>IF(Учет!$O3361=Справочники!$F$5,Учет!$H3361,0)</f>
        <v>0</v>
      </c>
      <c r="U3361" s="48">
        <f>IF(Учет!$O3361=Справочники!$F$6,Учет!$H3361,0)</f>
        <v>0</v>
      </c>
      <c r="V3361" s="43">
        <f>V3360+Учет!Q3361-Q3361</f>
        <v>-488978.92000000004</v>
      </c>
      <c r="W3361" s="43">
        <f>W3360+Учет!R3361-R3361</f>
        <v>336855</v>
      </c>
      <c r="X3361" s="43">
        <f>X3360+Учет!S3361-S3361</f>
        <v>500</v>
      </c>
      <c r="Y3361" s="43">
        <f>Y3360+Учет!T3361-T3361</f>
        <v>1150</v>
      </c>
      <c r="Z3361" s="43">
        <f>Z3360+Учет!U3361-U3361</f>
        <v>500000</v>
      </c>
      <c r="AA3361" s="45">
        <f>Учет!X3361</f>
        <v>500</v>
      </c>
    </row>
    <row r="3362" spans="1:27" ht="15" customHeight="1" x14ac:dyDescent="0.25">
      <c r="A3362" s="1"/>
      <c r="B3362" s="17"/>
      <c r="C3362" s="17"/>
      <c r="D3362" s="17"/>
      <c r="E3362" s="17"/>
      <c r="F3362" s="17"/>
      <c r="G3362" s="4">
        <f t="shared" si="153"/>
        <v>0</v>
      </c>
      <c r="H3362" s="17"/>
      <c r="I3362" s="4">
        <f t="shared" si="155"/>
        <v>349526.07999999996</v>
      </c>
      <c r="J3362" s="32" t="str">
        <f t="shared" si="154"/>
        <v/>
      </c>
      <c r="K3362" s="72"/>
      <c r="L3362" s="72"/>
      <c r="M3362" s="2"/>
      <c r="N3362" s="5"/>
      <c r="O3362" s="3"/>
      <c r="P3362" s="6"/>
      <c r="Q3362" s="48">
        <f>IF(Учет!$O3362=Справочники!$F$2,Учет!$H3362,0)</f>
        <v>0</v>
      </c>
      <c r="R3362" s="48">
        <f>IF(Учет!$O3362=Справочники!$F$3,Учет!$H3362,0)</f>
        <v>0</v>
      </c>
      <c r="S3362" s="48">
        <f>IF(Учет!$O3362=Справочники!$F$4,Учет!$H3362,0)</f>
        <v>0</v>
      </c>
      <c r="T3362" s="48">
        <f>IF(Учет!$O3362=Справочники!$F$5,Учет!$H3362,0)</f>
        <v>0</v>
      </c>
      <c r="U3362" s="48">
        <f>IF(Учет!$O3362=Справочники!$F$6,Учет!$H3362,0)</f>
        <v>0</v>
      </c>
      <c r="V3362" s="43">
        <f>V3361+Учет!Q3362-Q3362</f>
        <v>-488978.92000000004</v>
      </c>
      <c r="W3362" s="43">
        <f>W3361+Учет!R3362-R3362</f>
        <v>336855</v>
      </c>
      <c r="X3362" s="43">
        <f>X3361+Учет!S3362-S3362</f>
        <v>500</v>
      </c>
      <c r="Y3362" s="43">
        <f>Y3361+Учет!T3362-T3362</f>
        <v>1150</v>
      </c>
      <c r="Z3362" s="43">
        <f>Z3361+Учет!U3362-U3362</f>
        <v>500000</v>
      </c>
      <c r="AA3362" s="45">
        <f>Учет!X3362</f>
        <v>500</v>
      </c>
    </row>
    <row r="3363" spans="1:27" ht="15" customHeight="1" x14ac:dyDescent="0.25">
      <c r="A3363" s="1"/>
      <c r="B3363" s="17"/>
      <c r="C3363" s="17"/>
      <c r="D3363" s="17"/>
      <c r="E3363" s="17"/>
      <c r="F3363" s="17"/>
      <c r="G3363" s="4">
        <f t="shared" si="153"/>
        <v>0</v>
      </c>
      <c r="H3363" s="17"/>
      <c r="I3363" s="4">
        <f t="shared" si="155"/>
        <v>349526.07999999996</v>
      </c>
      <c r="J3363" s="32" t="str">
        <f t="shared" si="154"/>
        <v/>
      </c>
      <c r="K3363" s="72"/>
      <c r="L3363" s="72"/>
      <c r="M3363" s="2"/>
      <c r="N3363" s="5"/>
      <c r="O3363" s="3"/>
      <c r="P3363" s="6"/>
      <c r="Q3363" s="48">
        <f>IF(Учет!$O3363=Справочники!$F$2,Учет!$H3363,0)</f>
        <v>0</v>
      </c>
      <c r="R3363" s="48">
        <f>IF(Учет!$O3363=Справочники!$F$3,Учет!$H3363,0)</f>
        <v>0</v>
      </c>
      <c r="S3363" s="48">
        <f>IF(Учет!$O3363=Справочники!$F$4,Учет!$H3363,0)</f>
        <v>0</v>
      </c>
      <c r="T3363" s="48">
        <f>IF(Учет!$O3363=Справочники!$F$5,Учет!$H3363,0)</f>
        <v>0</v>
      </c>
      <c r="U3363" s="48">
        <f>IF(Учет!$O3363=Справочники!$F$6,Учет!$H3363,0)</f>
        <v>0</v>
      </c>
      <c r="V3363" s="43">
        <f>V3362+Учет!Q3363-Q3363</f>
        <v>-488978.92000000004</v>
      </c>
      <c r="W3363" s="43">
        <f>W3362+Учет!R3363-R3363</f>
        <v>336855</v>
      </c>
      <c r="X3363" s="43">
        <f>X3362+Учет!S3363-S3363</f>
        <v>500</v>
      </c>
      <c r="Y3363" s="43">
        <f>Y3362+Учет!T3363-T3363</f>
        <v>1150</v>
      </c>
      <c r="Z3363" s="43">
        <f>Z3362+Учет!U3363-U3363</f>
        <v>500000</v>
      </c>
      <c r="AA3363" s="45">
        <f>Учет!X3363</f>
        <v>500</v>
      </c>
    </row>
    <row r="3364" spans="1:27" ht="15" customHeight="1" x14ac:dyDescent="0.25">
      <c r="A3364" s="1"/>
      <c r="B3364" s="17"/>
      <c r="C3364" s="17"/>
      <c r="D3364" s="17"/>
      <c r="E3364" s="17"/>
      <c r="F3364" s="17"/>
      <c r="G3364" s="4">
        <f t="shared" si="153"/>
        <v>0</v>
      </c>
      <c r="H3364" s="17"/>
      <c r="I3364" s="4">
        <f t="shared" si="155"/>
        <v>349526.07999999996</v>
      </c>
      <c r="J3364" s="32" t="str">
        <f t="shared" si="154"/>
        <v/>
      </c>
      <c r="K3364" s="72"/>
      <c r="L3364" s="72"/>
      <c r="M3364" s="2"/>
      <c r="N3364" s="5"/>
      <c r="O3364" s="3"/>
      <c r="P3364" s="6"/>
      <c r="Q3364" s="48">
        <f>IF(Учет!$O3364=Справочники!$F$2,Учет!$H3364,0)</f>
        <v>0</v>
      </c>
      <c r="R3364" s="48">
        <f>IF(Учет!$O3364=Справочники!$F$3,Учет!$H3364,0)</f>
        <v>0</v>
      </c>
      <c r="S3364" s="48">
        <f>IF(Учет!$O3364=Справочники!$F$4,Учет!$H3364,0)</f>
        <v>0</v>
      </c>
      <c r="T3364" s="48">
        <f>IF(Учет!$O3364=Справочники!$F$5,Учет!$H3364,0)</f>
        <v>0</v>
      </c>
      <c r="U3364" s="48">
        <f>IF(Учет!$O3364=Справочники!$F$6,Учет!$H3364,0)</f>
        <v>0</v>
      </c>
      <c r="V3364" s="43">
        <f>V3363+Учет!Q3364-Q3364</f>
        <v>-488978.92000000004</v>
      </c>
      <c r="W3364" s="43">
        <f>W3363+Учет!R3364-R3364</f>
        <v>336855</v>
      </c>
      <c r="X3364" s="43">
        <f>X3363+Учет!S3364-S3364</f>
        <v>500</v>
      </c>
      <c r="Y3364" s="43">
        <f>Y3363+Учет!T3364-T3364</f>
        <v>1150</v>
      </c>
      <c r="Z3364" s="43">
        <f>Z3363+Учет!U3364-U3364</f>
        <v>500000</v>
      </c>
      <c r="AA3364" s="45">
        <f>Учет!X3364</f>
        <v>500</v>
      </c>
    </row>
    <row r="3365" spans="1:27" ht="15" customHeight="1" x14ac:dyDescent="0.25">
      <c r="A3365" s="1"/>
      <c r="B3365" s="17"/>
      <c r="C3365" s="17"/>
      <c r="D3365" s="17"/>
      <c r="E3365" s="17"/>
      <c r="F3365" s="17"/>
      <c r="G3365" s="4">
        <f t="shared" si="153"/>
        <v>0</v>
      </c>
      <c r="H3365" s="17"/>
      <c r="I3365" s="4">
        <f t="shared" si="155"/>
        <v>349526.07999999996</v>
      </c>
      <c r="J3365" s="32" t="str">
        <f t="shared" si="154"/>
        <v/>
      </c>
      <c r="K3365" s="72"/>
      <c r="L3365" s="72"/>
      <c r="M3365" s="2"/>
      <c r="N3365" s="5"/>
      <c r="O3365" s="3"/>
      <c r="P3365" s="6"/>
      <c r="Q3365" s="48">
        <f>IF(Учет!$O3365=Справочники!$F$2,Учет!$H3365,0)</f>
        <v>0</v>
      </c>
      <c r="R3365" s="48">
        <f>IF(Учет!$O3365=Справочники!$F$3,Учет!$H3365,0)</f>
        <v>0</v>
      </c>
      <c r="S3365" s="48">
        <f>IF(Учет!$O3365=Справочники!$F$4,Учет!$H3365,0)</f>
        <v>0</v>
      </c>
      <c r="T3365" s="48">
        <f>IF(Учет!$O3365=Справочники!$F$5,Учет!$H3365,0)</f>
        <v>0</v>
      </c>
      <c r="U3365" s="48">
        <f>IF(Учет!$O3365=Справочники!$F$6,Учет!$H3365,0)</f>
        <v>0</v>
      </c>
      <c r="V3365" s="43">
        <f>V3364+Учет!Q3365-Q3365</f>
        <v>-488978.92000000004</v>
      </c>
      <c r="W3365" s="43">
        <f>W3364+Учет!R3365-R3365</f>
        <v>336855</v>
      </c>
      <c r="X3365" s="43">
        <f>X3364+Учет!S3365-S3365</f>
        <v>500</v>
      </c>
      <c r="Y3365" s="43">
        <f>Y3364+Учет!T3365-T3365</f>
        <v>1150</v>
      </c>
      <c r="Z3365" s="43">
        <f>Z3364+Учет!U3365-U3365</f>
        <v>500000</v>
      </c>
      <c r="AA3365" s="45">
        <f>Учет!X3365</f>
        <v>500</v>
      </c>
    </row>
    <row r="3366" spans="1:27" ht="15" customHeight="1" x14ac:dyDescent="0.25">
      <c r="A3366" s="1"/>
      <c r="B3366" s="17"/>
      <c r="C3366" s="17"/>
      <c r="D3366" s="17"/>
      <c r="E3366" s="17"/>
      <c r="F3366" s="17"/>
      <c r="G3366" s="4">
        <f t="shared" si="153"/>
        <v>0</v>
      </c>
      <c r="H3366" s="17"/>
      <c r="I3366" s="4">
        <f t="shared" si="155"/>
        <v>349526.07999999996</v>
      </c>
      <c r="J3366" s="32" t="str">
        <f t="shared" si="154"/>
        <v/>
      </c>
      <c r="K3366" s="72"/>
      <c r="L3366" s="72"/>
      <c r="M3366" s="2"/>
      <c r="N3366" s="5"/>
      <c r="O3366" s="3"/>
      <c r="P3366" s="6"/>
      <c r="Q3366" s="48">
        <f>IF(Учет!$O3366=Справочники!$F$2,Учет!$H3366,0)</f>
        <v>0</v>
      </c>
      <c r="R3366" s="48">
        <f>IF(Учет!$O3366=Справочники!$F$3,Учет!$H3366,0)</f>
        <v>0</v>
      </c>
      <c r="S3366" s="48">
        <f>IF(Учет!$O3366=Справочники!$F$4,Учет!$H3366,0)</f>
        <v>0</v>
      </c>
      <c r="T3366" s="48">
        <f>IF(Учет!$O3366=Справочники!$F$5,Учет!$H3366,0)</f>
        <v>0</v>
      </c>
      <c r="U3366" s="48">
        <f>IF(Учет!$O3366=Справочники!$F$6,Учет!$H3366,0)</f>
        <v>0</v>
      </c>
      <c r="V3366" s="43">
        <f>V3365+Учет!Q3366-Q3366</f>
        <v>-488978.92000000004</v>
      </c>
      <c r="W3366" s="43">
        <f>W3365+Учет!R3366-R3366</f>
        <v>336855</v>
      </c>
      <c r="X3366" s="43">
        <f>X3365+Учет!S3366-S3366</f>
        <v>500</v>
      </c>
      <c r="Y3366" s="43">
        <f>Y3365+Учет!T3366-T3366</f>
        <v>1150</v>
      </c>
      <c r="Z3366" s="43">
        <f>Z3365+Учет!U3366-U3366</f>
        <v>500000</v>
      </c>
      <c r="AA3366" s="45">
        <f>Учет!X3366</f>
        <v>500</v>
      </c>
    </row>
    <row r="3367" spans="1:27" ht="15" customHeight="1" x14ac:dyDescent="0.25">
      <c r="A3367" s="1"/>
      <c r="B3367" s="17"/>
      <c r="C3367" s="17"/>
      <c r="D3367" s="17"/>
      <c r="E3367" s="17"/>
      <c r="F3367" s="17"/>
      <c r="G3367" s="4">
        <f t="shared" si="153"/>
        <v>0</v>
      </c>
      <c r="H3367" s="17"/>
      <c r="I3367" s="4">
        <f t="shared" si="155"/>
        <v>349526.07999999996</v>
      </c>
      <c r="J3367" s="32" t="str">
        <f t="shared" si="154"/>
        <v/>
      </c>
      <c r="K3367" s="72"/>
      <c r="L3367" s="72"/>
      <c r="M3367" s="2"/>
      <c r="N3367" s="5"/>
      <c r="O3367" s="3"/>
      <c r="P3367" s="6"/>
      <c r="Q3367" s="48">
        <f>IF(Учет!$O3367=Справочники!$F$2,Учет!$H3367,0)</f>
        <v>0</v>
      </c>
      <c r="R3367" s="48">
        <f>IF(Учет!$O3367=Справочники!$F$3,Учет!$H3367,0)</f>
        <v>0</v>
      </c>
      <c r="S3367" s="48">
        <f>IF(Учет!$O3367=Справочники!$F$4,Учет!$H3367,0)</f>
        <v>0</v>
      </c>
      <c r="T3367" s="48">
        <f>IF(Учет!$O3367=Справочники!$F$5,Учет!$H3367,0)</f>
        <v>0</v>
      </c>
      <c r="U3367" s="48">
        <f>IF(Учет!$O3367=Справочники!$F$6,Учет!$H3367,0)</f>
        <v>0</v>
      </c>
      <c r="V3367" s="43">
        <f>V3366+Учет!Q3367-Q3367</f>
        <v>-488978.92000000004</v>
      </c>
      <c r="W3367" s="43">
        <f>W3366+Учет!R3367-R3367</f>
        <v>336855</v>
      </c>
      <c r="X3367" s="43">
        <f>X3366+Учет!S3367-S3367</f>
        <v>500</v>
      </c>
      <c r="Y3367" s="43">
        <f>Y3366+Учет!T3367-T3367</f>
        <v>1150</v>
      </c>
      <c r="Z3367" s="43">
        <f>Z3366+Учет!U3367-U3367</f>
        <v>500000</v>
      </c>
      <c r="AA3367" s="45">
        <f>Учет!X3367</f>
        <v>500</v>
      </c>
    </row>
    <row r="3368" spans="1:27" ht="15" customHeight="1" x14ac:dyDescent="0.25">
      <c r="A3368" s="1"/>
      <c r="B3368" s="17"/>
      <c r="C3368" s="17"/>
      <c r="D3368" s="17"/>
      <c r="E3368" s="17"/>
      <c r="F3368" s="17"/>
      <c r="G3368" s="4">
        <f t="shared" si="153"/>
        <v>0</v>
      </c>
      <c r="H3368" s="17"/>
      <c r="I3368" s="4">
        <f t="shared" si="155"/>
        <v>349526.07999999996</v>
      </c>
      <c r="J3368" s="32" t="str">
        <f t="shared" si="154"/>
        <v/>
      </c>
      <c r="K3368" s="72"/>
      <c r="L3368" s="72"/>
      <c r="M3368" s="2"/>
      <c r="N3368" s="5"/>
      <c r="O3368" s="3"/>
      <c r="P3368" s="6"/>
      <c r="Q3368" s="48">
        <f>IF(Учет!$O3368=Справочники!$F$2,Учет!$H3368,0)</f>
        <v>0</v>
      </c>
      <c r="R3368" s="48">
        <f>IF(Учет!$O3368=Справочники!$F$3,Учет!$H3368,0)</f>
        <v>0</v>
      </c>
      <c r="S3368" s="48">
        <f>IF(Учет!$O3368=Справочники!$F$4,Учет!$H3368,0)</f>
        <v>0</v>
      </c>
      <c r="T3368" s="48">
        <f>IF(Учет!$O3368=Справочники!$F$5,Учет!$H3368,0)</f>
        <v>0</v>
      </c>
      <c r="U3368" s="48">
        <f>IF(Учет!$O3368=Справочники!$F$6,Учет!$H3368,0)</f>
        <v>0</v>
      </c>
      <c r="V3368" s="43">
        <f>V3367+Учет!Q3368-Q3368</f>
        <v>-488978.92000000004</v>
      </c>
      <c r="W3368" s="43">
        <f>W3367+Учет!R3368-R3368</f>
        <v>336855</v>
      </c>
      <c r="X3368" s="43">
        <f>X3367+Учет!S3368-S3368</f>
        <v>500</v>
      </c>
      <c r="Y3368" s="43">
        <f>Y3367+Учет!T3368-T3368</f>
        <v>1150</v>
      </c>
      <c r="Z3368" s="43">
        <f>Z3367+Учет!U3368-U3368</f>
        <v>500000</v>
      </c>
      <c r="AA3368" s="45">
        <f>Учет!X3368</f>
        <v>500</v>
      </c>
    </row>
    <row r="3369" spans="1:27" ht="15" customHeight="1" x14ac:dyDescent="0.25">
      <c r="A3369" s="1"/>
      <c r="B3369" s="17"/>
      <c r="C3369" s="17"/>
      <c r="D3369" s="17"/>
      <c r="E3369" s="17"/>
      <c r="F3369" s="17"/>
      <c r="G3369" s="4">
        <f t="shared" si="153"/>
        <v>0</v>
      </c>
      <c r="H3369" s="17"/>
      <c r="I3369" s="4">
        <f t="shared" si="155"/>
        <v>349526.07999999996</v>
      </c>
      <c r="J3369" s="32" t="str">
        <f t="shared" si="154"/>
        <v/>
      </c>
      <c r="K3369" s="72"/>
      <c r="L3369" s="72"/>
      <c r="M3369" s="2"/>
      <c r="N3369" s="5"/>
      <c r="O3369" s="3"/>
      <c r="P3369" s="6"/>
      <c r="Q3369" s="48">
        <f>IF(Учет!$O3369=Справочники!$F$2,Учет!$H3369,0)</f>
        <v>0</v>
      </c>
      <c r="R3369" s="48">
        <f>IF(Учет!$O3369=Справочники!$F$3,Учет!$H3369,0)</f>
        <v>0</v>
      </c>
      <c r="S3369" s="48">
        <f>IF(Учет!$O3369=Справочники!$F$4,Учет!$H3369,0)</f>
        <v>0</v>
      </c>
      <c r="T3369" s="48">
        <f>IF(Учет!$O3369=Справочники!$F$5,Учет!$H3369,0)</f>
        <v>0</v>
      </c>
      <c r="U3369" s="48">
        <f>IF(Учет!$O3369=Справочники!$F$6,Учет!$H3369,0)</f>
        <v>0</v>
      </c>
      <c r="V3369" s="43">
        <f>V3368+Учет!Q3369-Q3369</f>
        <v>-488978.92000000004</v>
      </c>
      <c r="W3369" s="43">
        <f>W3368+Учет!R3369-R3369</f>
        <v>336855</v>
      </c>
      <c r="X3369" s="43">
        <f>X3368+Учет!S3369-S3369</f>
        <v>500</v>
      </c>
      <c r="Y3369" s="43">
        <f>Y3368+Учет!T3369-T3369</f>
        <v>1150</v>
      </c>
      <c r="Z3369" s="43">
        <f>Z3368+Учет!U3369-U3369</f>
        <v>500000</v>
      </c>
      <c r="AA3369" s="45">
        <f>Учет!X3369</f>
        <v>500</v>
      </c>
    </row>
    <row r="3370" spans="1:27" ht="15" customHeight="1" x14ac:dyDescent="0.25">
      <c r="A3370" s="1"/>
      <c r="B3370" s="17"/>
      <c r="C3370" s="17"/>
      <c r="D3370" s="17"/>
      <c r="E3370" s="17"/>
      <c r="F3370" s="17"/>
      <c r="G3370" s="4">
        <f t="shared" si="153"/>
        <v>0</v>
      </c>
      <c r="H3370" s="17"/>
      <c r="I3370" s="4">
        <f t="shared" si="155"/>
        <v>349526.07999999996</v>
      </c>
      <c r="J3370" s="32" t="str">
        <f t="shared" si="154"/>
        <v/>
      </c>
      <c r="K3370" s="72"/>
      <c r="L3370" s="72"/>
      <c r="M3370" s="2"/>
      <c r="N3370" s="5"/>
      <c r="O3370" s="3"/>
      <c r="P3370" s="6"/>
      <c r="Q3370" s="48">
        <f>IF(Учет!$O3370=Справочники!$F$2,Учет!$H3370,0)</f>
        <v>0</v>
      </c>
      <c r="R3370" s="48">
        <f>IF(Учет!$O3370=Справочники!$F$3,Учет!$H3370,0)</f>
        <v>0</v>
      </c>
      <c r="S3370" s="48">
        <f>IF(Учет!$O3370=Справочники!$F$4,Учет!$H3370,0)</f>
        <v>0</v>
      </c>
      <c r="T3370" s="48">
        <f>IF(Учет!$O3370=Справочники!$F$5,Учет!$H3370,0)</f>
        <v>0</v>
      </c>
      <c r="U3370" s="48">
        <f>IF(Учет!$O3370=Справочники!$F$6,Учет!$H3370,0)</f>
        <v>0</v>
      </c>
      <c r="V3370" s="43">
        <f>V3369+Учет!Q3370-Q3370</f>
        <v>-488978.92000000004</v>
      </c>
      <c r="W3370" s="43">
        <f>W3369+Учет!R3370-R3370</f>
        <v>336855</v>
      </c>
      <c r="X3370" s="43">
        <f>X3369+Учет!S3370-S3370</f>
        <v>500</v>
      </c>
      <c r="Y3370" s="43">
        <f>Y3369+Учет!T3370-T3370</f>
        <v>1150</v>
      </c>
      <c r="Z3370" s="43">
        <f>Z3369+Учет!U3370-U3370</f>
        <v>500000</v>
      </c>
      <c r="AA3370" s="45">
        <f>Учет!X3370</f>
        <v>500</v>
      </c>
    </row>
    <row r="3371" spans="1:27" ht="15" customHeight="1" x14ac:dyDescent="0.25">
      <c r="A3371" s="1"/>
      <c r="B3371" s="17"/>
      <c r="C3371" s="17"/>
      <c r="D3371" s="17"/>
      <c r="E3371" s="17"/>
      <c r="F3371" s="17"/>
      <c r="G3371" s="4">
        <f t="shared" si="153"/>
        <v>0</v>
      </c>
      <c r="H3371" s="17"/>
      <c r="I3371" s="4">
        <f t="shared" si="155"/>
        <v>349526.07999999996</v>
      </c>
      <c r="J3371" s="32" t="str">
        <f t="shared" si="154"/>
        <v/>
      </c>
      <c r="K3371" s="72"/>
      <c r="L3371" s="72"/>
      <c r="M3371" s="2"/>
      <c r="N3371" s="5"/>
      <c r="O3371" s="3"/>
      <c r="P3371" s="6"/>
      <c r="Q3371" s="48">
        <f>IF(Учет!$O3371=Справочники!$F$2,Учет!$H3371,0)</f>
        <v>0</v>
      </c>
      <c r="R3371" s="48">
        <f>IF(Учет!$O3371=Справочники!$F$3,Учет!$H3371,0)</f>
        <v>0</v>
      </c>
      <c r="S3371" s="48">
        <f>IF(Учет!$O3371=Справочники!$F$4,Учет!$H3371,0)</f>
        <v>0</v>
      </c>
      <c r="T3371" s="48">
        <f>IF(Учет!$O3371=Справочники!$F$5,Учет!$H3371,0)</f>
        <v>0</v>
      </c>
      <c r="U3371" s="48">
        <f>IF(Учет!$O3371=Справочники!$F$6,Учет!$H3371,0)</f>
        <v>0</v>
      </c>
      <c r="V3371" s="43">
        <f>V3370+Учет!Q3371-Q3371</f>
        <v>-488978.92000000004</v>
      </c>
      <c r="W3371" s="43">
        <f>W3370+Учет!R3371-R3371</f>
        <v>336855</v>
      </c>
      <c r="X3371" s="43">
        <f>X3370+Учет!S3371-S3371</f>
        <v>500</v>
      </c>
      <c r="Y3371" s="43">
        <f>Y3370+Учет!T3371-T3371</f>
        <v>1150</v>
      </c>
      <c r="Z3371" s="43">
        <f>Z3370+Учет!U3371-U3371</f>
        <v>500000</v>
      </c>
      <c r="AA3371" s="45">
        <f>Учет!X3371</f>
        <v>500</v>
      </c>
    </row>
    <row r="3372" spans="1:27" ht="15" customHeight="1" x14ac:dyDescent="0.25">
      <c r="A3372" s="1"/>
      <c r="B3372" s="17"/>
      <c r="C3372" s="17"/>
      <c r="D3372" s="17"/>
      <c r="E3372" s="17"/>
      <c r="F3372" s="17"/>
      <c r="G3372" s="4">
        <f t="shared" si="153"/>
        <v>0</v>
      </c>
      <c r="H3372" s="17"/>
      <c r="I3372" s="4">
        <f t="shared" si="155"/>
        <v>349526.07999999996</v>
      </c>
      <c r="J3372" s="32" t="str">
        <f t="shared" si="154"/>
        <v/>
      </c>
      <c r="K3372" s="72"/>
      <c r="L3372" s="72"/>
      <c r="M3372" s="2"/>
      <c r="N3372" s="5"/>
      <c r="O3372" s="3"/>
      <c r="P3372" s="6"/>
      <c r="Q3372" s="48">
        <f>IF(Учет!$O3372=Справочники!$F$2,Учет!$H3372,0)</f>
        <v>0</v>
      </c>
      <c r="R3372" s="48">
        <f>IF(Учет!$O3372=Справочники!$F$3,Учет!$H3372,0)</f>
        <v>0</v>
      </c>
      <c r="S3372" s="48">
        <f>IF(Учет!$O3372=Справочники!$F$4,Учет!$H3372,0)</f>
        <v>0</v>
      </c>
      <c r="T3372" s="48">
        <f>IF(Учет!$O3372=Справочники!$F$5,Учет!$H3372,0)</f>
        <v>0</v>
      </c>
      <c r="U3372" s="48">
        <f>IF(Учет!$O3372=Справочники!$F$6,Учет!$H3372,0)</f>
        <v>0</v>
      </c>
      <c r="V3372" s="43">
        <f>V3371+Учет!Q3372-Q3372</f>
        <v>-488978.92000000004</v>
      </c>
      <c r="W3372" s="43">
        <f>W3371+Учет!R3372-R3372</f>
        <v>336855</v>
      </c>
      <c r="X3372" s="43">
        <f>X3371+Учет!S3372-S3372</f>
        <v>500</v>
      </c>
      <c r="Y3372" s="43">
        <f>Y3371+Учет!T3372-T3372</f>
        <v>1150</v>
      </c>
      <c r="Z3372" s="43">
        <f>Z3371+Учет!U3372-U3372</f>
        <v>500000</v>
      </c>
      <c r="AA3372" s="45">
        <f>Учет!X3372</f>
        <v>500</v>
      </c>
    </row>
    <row r="3373" spans="1:27" ht="15" customHeight="1" x14ac:dyDescent="0.25">
      <c r="A3373" s="1"/>
      <c r="B3373" s="17"/>
      <c r="C3373" s="17"/>
      <c r="D3373" s="17"/>
      <c r="E3373" s="17"/>
      <c r="F3373" s="17"/>
      <c r="G3373" s="4">
        <f t="shared" si="153"/>
        <v>0</v>
      </c>
      <c r="H3373" s="17"/>
      <c r="I3373" s="4">
        <f t="shared" si="155"/>
        <v>349526.07999999996</v>
      </c>
      <c r="J3373" s="32" t="str">
        <f t="shared" si="154"/>
        <v/>
      </c>
      <c r="K3373" s="72"/>
      <c r="L3373" s="72"/>
      <c r="M3373" s="2"/>
      <c r="N3373" s="5"/>
      <c r="O3373" s="3"/>
      <c r="P3373" s="6"/>
      <c r="Q3373" s="48">
        <f>IF(Учет!$O3373=Справочники!$F$2,Учет!$H3373,0)</f>
        <v>0</v>
      </c>
      <c r="R3373" s="48">
        <f>IF(Учет!$O3373=Справочники!$F$3,Учет!$H3373,0)</f>
        <v>0</v>
      </c>
      <c r="S3373" s="48">
        <f>IF(Учет!$O3373=Справочники!$F$4,Учет!$H3373,0)</f>
        <v>0</v>
      </c>
      <c r="T3373" s="48">
        <f>IF(Учет!$O3373=Справочники!$F$5,Учет!$H3373,0)</f>
        <v>0</v>
      </c>
      <c r="U3373" s="48">
        <f>IF(Учет!$O3373=Справочники!$F$6,Учет!$H3373,0)</f>
        <v>0</v>
      </c>
      <c r="V3373" s="43">
        <f>V3372+Учет!Q3373-Q3373</f>
        <v>-488978.92000000004</v>
      </c>
      <c r="W3373" s="43">
        <f>W3372+Учет!R3373-R3373</f>
        <v>336855</v>
      </c>
      <c r="X3373" s="43">
        <f>X3372+Учет!S3373-S3373</f>
        <v>500</v>
      </c>
      <c r="Y3373" s="43">
        <f>Y3372+Учет!T3373-T3373</f>
        <v>1150</v>
      </c>
      <c r="Z3373" s="43">
        <f>Z3372+Учет!U3373-U3373</f>
        <v>500000</v>
      </c>
      <c r="AA3373" s="45">
        <f>Учет!X3373</f>
        <v>500</v>
      </c>
    </row>
    <row r="3374" spans="1:27" ht="15" customHeight="1" x14ac:dyDescent="0.25">
      <c r="A3374" s="1"/>
      <c r="B3374" s="17"/>
      <c r="C3374" s="17"/>
      <c r="D3374" s="17"/>
      <c r="E3374" s="17"/>
      <c r="F3374" s="17"/>
      <c r="G3374" s="4">
        <f t="shared" si="153"/>
        <v>0</v>
      </c>
      <c r="H3374" s="17"/>
      <c r="I3374" s="4">
        <f t="shared" si="155"/>
        <v>349526.07999999996</v>
      </c>
      <c r="J3374" s="32" t="str">
        <f t="shared" si="154"/>
        <v/>
      </c>
      <c r="K3374" s="72"/>
      <c r="L3374" s="72"/>
      <c r="M3374" s="2"/>
      <c r="N3374" s="5"/>
      <c r="O3374" s="3"/>
      <c r="P3374" s="6"/>
      <c r="Q3374" s="48">
        <f>IF(Учет!$O3374=Справочники!$F$2,Учет!$H3374,0)</f>
        <v>0</v>
      </c>
      <c r="R3374" s="48">
        <f>IF(Учет!$O3374=Справочники!$F$3,Учет!$H3374,0)</f>
        <v>0</v>
      </c>
      <c r="S3374" s="48">
        <f>IF(Учет!$O3374=Справочники!$F$4,Учет!$H3374,0)</f>
        <v>0</v>
      </c>
      <c r="T3374" s="48">
        <f>IF(Учет!$O3374=Справочники!$F$5,Учет!$H3374,0)</f>
        <v>0</v>
      </c>
      <c r="U3374" s="48">
        <f>IF(Учет!$O3374=Справочники!$F$6,Учет!$H3374,0)</f>
        <v>0</v>
      </c>
      <c r="V3374" s="43">
        <f>V3373+Учет!Q3374-Q3374</f>
        <v>-488978.92000000004</v>
      </c>
      <c r="W3374" s="43">
        <f>W3373+Учет!R3374-R3374</f>
        <v>336855</v>
      </c>
      <c r="X3374" s="43">
        <f>X3373+Учет!S3374-S3374</f>
        <v>500</v>
      </c>
      <c r="Y3374" s="43">
        <f>Y3373+Учет!T3374-T3374</f>
        <v>1150</v>
      </c>
      <c r="Z3374" s="43">
        <f>Z3373+Учет!U3374-U3374</f>
        <v>500000</v>
      </c>
      <c r="AA3374" s="45">
        <f>Учет!X3374</f>
        <v>500</v>
      </c>
    </row>
    <row r="3375" spans="1:27" ht="15" customHeight="1" x14ac:dyDescent="0.25">
      <c r="A3375" s="1"/>
      <c r="B3375" s="17"/>
      <c r="C3375" s="17"/>
      <c r="D3375" s="17"/>
      <c r="E3375" s="17"/>
      <c r="F3375" s="17"/>
      <c r="G3375" s="4">
        <f t="shared" si="153"/>
        <v>0</v>
      </c>
      <c r="H3375" s="17"/>
      <c r="I3375" s="4">
        <f t="shared" si="155"/>
        <v>349526.07999999996</v>
      </c>
      <c r="J3375" s="32" t="str">
        <f t="shared" si="154"/>
        <v/>
      </c>
      <c r="K3375" s="72"/>
      <c r="L3375" s="72"/>
      <c r="M3375" s="2"/>
      <c r="N3375" s="5"/>
      <c r="O3375" s="3"/>
      <c r="P3375" s="6"/>
      <c r="Q3375" s="48">
        <f>IF(Учет!$O3375=Справочники!$F$2,Учет!$H3375,0)</f>
        <v>0</v>
      </c>
      <c r="R3375" s="48">
        <f>IF(Учет!$O3375=Справочники!$F$3,Учет!$H3375,0)</f>
        <v>0</v>
      </c>
      <c r="S3375" s="48">
        <f>IF(Учет!$O3375=Справочники!$F$4,Учет!$H3375,0)</f>
        <v>0</v>
      </c>
      <c r="T3375" s="48">
        <f>IF(Учет!$O3375=Справочники!$F$5,Учет!$H3375,0)</f>
        <v>0</v>
      </c>
      <c r="U3375" s="48">
        <f>IF(Учет!$O3375=Справочники!$F$6,Учет!$H3375,0)</f>
        <v>0</v>
      </c>
      <c r="V3375" s="43">
        <f>V3374+Учет!Q3375-Q3375</f>
        <v>-488978.92000000004</v>
      </c>
      <c r="W3375" s="43">
        <f>W3374+Учет!R3375-R3375</f>
        <v>336855</v>
      </c>
      <c r="X3375" s="43">
        <f>X3374+Учет!S3375-S3375</f>
        <v>500</v>
      </c>
      <c r="Y3375" s="43">
        <f>Y3374+Учет!T3375-T3375</f>
        <v>1150</v>
      </c>
      <c r="Z3375" s="43">
        <f>Z3374+Учет!U3375-U3375</f>
        <v>500000</v>
      </c>
      <c r="AA3375" s="45">
        <f>Учет!X3375</f>
        <v>500</v>
      </c>
    </row>
    <row r="3376" spans="1:27" ht="15" customHeight="1" x14ac:dyDescent="0.25">
      <c r="A3376" s="1"/>
      <c r="B3376" s="17"/>
      <c r="C3376" s="17"/>
      <c r="D3376" s="17"/>
      <c r="E3376" s="17"/>
      <c r="F3376" s="17"/>
      <c r="G3376" s="4">
        <f t="shared" si="153"/>
        <v>0</v>
      </c>
      <c r="H3376" s="17"/>
      <c r="I3376" s="4">
        <f t="shared" si="155"/>
        <v>349526.07999999996</v>
      </c>
      <c r="J3376" s="32" t="str">
        <f t="shared" si="154"/>
        <v/>
      </c>
      <c r="K3376" s="72"/>
      <c r="L3376" s="72"/>
      <c r="M3376" s="2"/>
      <c r="N3376" s="5"/>
      <c r="O3376" s="3"/>
      <c r="P3376" s="6"/>
      <c r="Q3376" s="48">
        <f>IF(Учет!$O3376=Справочники!$F$2,Учет!$H3376,0)</f>
        <v>0</v>
      </c>
      <c r="R3376" s="48">
        <f>IF(Учет!$O3376=Справочники!$F$3,Учет!$H3376,0)</f>
        <v>0</v>
      </c>
      <c r="S3376" s="48">
        <f>IF(Учет!$O3376=Справочники!$F$4,Учет!$H3376,0)</f>
        <v>0</v>
      </c>
      <c r="T3376" s="48">
        <f>IF(Учет!$O3376=Справочники!$F$5,Учет!$H3376,0)</f>
        <v>0</v>
      </c>
      <c r="U3376" s="48">
        <f>IF(Учет!$O3376=Справочники!$F$6,Учет!$H3376,0)</f>
        <v>0</v>
      </c>
      <c r="V3376" s="43">
        <f>V3375+Учет!Q3376-Q3376</f>
        <v>-488978.92000000004</v>
      </c>
      <c r="W3376" s="43">
        <f>W3375+Учет!R3376-R3376</f>
        <v>336855</v>
      </c>
      <c r="X3376" s="43">
        <f>X3375+Учет!S3376-S3376</f>
        <v>500</v>
      </c>
      <c r="Y3376" s="43">
        <f>Y3375+Учет!T3376-T3376</f>
        <v>1150</v>
      </c>
      <c r="Z3376" s="43">
        <f>Z3375+Учет!U3376-U3376</f>
        <v>500000</v>
      </c>
      <c r="AA3376" s="45">
        <f>Учет!X3376</f>
        <v>500</v>
      </c>
    </row>
    <row r="3377" spans="1:27" ht="15" customHeight="1" x14ac:dyDescent="0.25">
      <c r="A3377" s="1"/>
      <c r="B3377" s="17"/>
      <c r="C3377" s="17"/>
      <c r="D3377" s="17"/>
      <c r="E3377" s="17"/>
      <c r="F3377" s="17"/>
      <c r="G3377" s="4">
        <f t="shared" si="153"/>
        <v>0</v>
      </c>
      <c r="H3377" s="17"/>
      <c r="I3377" s="4">
        <f t="shared" si="155"/>
        <v>349526.07999999996</v>
      </c>
      <c r="J3377" s="32" t="str">
        <f t="shared" si="154"/>
        <v/>
      </c>
      <c r="K3377" s="72"/>
      <c r="L3377" s="72"/>
      <c r="M3377" s="2"/>
      <c r="N3377" s="5"/>
      <c r="O3377" s="3"/>
      <c r="P3377" s="6"/>
      <c r="Q3377" s="48">
        <f>IF(Учет!$O3377=Справочники!$F$2,Учет!$H3377,0)</f>
        <v>0</v>
      </c>
      <c r="R3377" s="48">
        <f>IF(Учет!$O3377=Справочники!$F$3,Учет!$H3377,0)</f>
        <v>0</v>
      </c>
      <c r="S3377" s="48">
        <f>IF(Учет!$O3377=Справочники!$F$4,Учет!$H3377,0)</f>
        <v>0</v>
      </c>
      <c r="T3377" s="48">
        <f>IF(Учет!$O3377=Справочники!$F$5,Учет!$H3377,0)</f>
        <v>0</v>
      </c>
      <c r="U3377" s="48">
        <f>IF(Учет!$O3377=Справочники!$F$6,Учет!$H3377,0)</f>
        <v>0</v>
      </c>
      <c r="V3377" s="43">
        <f>V3376+Учет!Q3377-Q3377</f>
        <v>-488978.92000000004</v>
      </c>
      <c r="W3377" s="43">
        <f>W3376+Учет!R3377-R3377</f>
        <v>336855</v>
      </c>
      <c r="X3377" s="43">
        <f>X3376+Учет!S3377-S3377</f>
        <v>500</v>
      </c>
      <c r="Y3377" s="43">
        <f>Y3376+Учет!T3377-T3377</f>
        <v>1150</v>
      </c>
      <c r="Z3377" s="43">
        <f>Z3376+Учет!U3377-U3377</f>
        <v>500000</v>
      </c>
      <c r="AA3377" s="45">
        <f>Учет!X3377</f>
        <v>500</v>
      </c>
    </row>
    <row r="3378" spans="1:27" ht="15" customHeight="1" x14ac:dyDescent="0.25">
      <c r="A3378" s="1"/>
      <c r="B3378" s="17"/>
      <c r="C3378" s="17"/>
      <c r="D3378" s="17"/>
      <c r="E3378" s="17"/>
      <c r="F3378" s="17"/>
      <c r="G3378" s="4">
        <f t="shared" si="153"/>
        <v>0</v>
      </c>
      <c r="H3378" s="17"/>
      <c r="I3378" s="4">
        <f t="shared" si="155"/>
        <v>349526.07999999996</v>
      </c>
      <c r="J3378" s="32" t="str">
        <f t="shared" si="154"/>
        <v/>
      </c>
      <c r="K3378" s="72"/>
      <c r="L3378" s="72"/>
      <c r="M3378" s="2"/>
      <c r="N3378" s="5"/>
      <c r="O3378" s="3"/>
      <c r="P3378" s="6"/>
      <c r="Q3378" s="48">
        <f>IF(Учет!$O3378=Справочники!$F$2,Учет!$H3378,0)</f>
        <v>0</v>
      </c>
      <c r="R3378" s="48">
        <f>IF(Учет!$O3378=Справочники!$F$3,Учет!$H3378,0)</f>
        <v>0</v>
      </c>
      <c r="S3378" s="48">
        <f>IF(Учет!$O3378=Справочники!$F$4,Учет!$H3378,0)</f>
        <v>0</v>
      </c>
      <c r="T3378" s="48">
        <f>IF(Учет!$O3378=Справочники!$F$5,Учет!$H3378,0)</f>
        <v>0</v>
      </c>
      <c r="U3378" s="48">
        <f>IF(Учет!$O3378=Справочники!$F$6,Учет!$H3378,0)</f>
        <v>0</v>
      </c>
      <c r="V3378" s="43">
        <f>V3377+Учет!Q3378-Q3378</f>
        <v>-488978.92000000004</v>
      </c>
      <c r="W3378" s="43">
        <f>W3377+Учет!R3378-R3378</f>
        <v>336855</v>
      </c>
      <c r="X3378" s="43">
        <f>X3377+Учет!S3378-S3378</f>
        <v>500</v>
      </c>
      <c r="Y3378" s="43">
        <f>Y3377+Учет!T3378-T3378</f>
        <v>1150</v>
      </c>
      <c r="Z3378" s="43">
        <f>Z3377+Учет!U3378-U3378</f>
        <v>500000</v>
      </c>
      <c r="AA3378" s="45">
        <f>Учет!X3378</f>
        <v>500</v>
      </c>
    </row>
    <row r="3379" spans="1:27" ht="15" customHeight="1" x14ac:dyDescent="0.25">
      <c r="A3379" s="1"/>
      <c r="B3379" s="17"/>
      <c r="C3379" s="17"/>
      <c r="D3379" s="17"/>
      <c r="E3379" s="17"/>
      <c r="F3379" s="17"/>
      <c r="G3379" s="4">
        <f t="shared" si="153"/>
        <v>0</v>
      </c>
      <c r="H3379" s="17"/>
      <c r="I3379" s="4">
        <f t="shared" si="155"/>
        <v>349526.07999999996</v>
      </c>
      <c r="J3379" s="32" t="str">
        <f t="shared" si="154"/>
        <v/>
      </c>
      <c r="K3379" s="72"/>
      <c r="L3379" s="72"/>
      <c r="M3379" s="2"/>
      <c r="N3379" s="5"/>
      <c r="O3379" s="3"/>
      <c r="P3379" s="6"/>
      <c r="Q3379" s="48">
        <f>IF(Учет!$O3379=Справочники!$F$2,Учет!$H3379,0)</f>
        <v>0</v>
      </c>
      <c r="R3379" s="48">
        <f>IF(Учет!$O3379=Справочники!$F$3,Учет!$H3379,0)</f>
        <v>0</v>
      </c>
      <c r="S3379" s="48">
        <f>IF(Учет!$O3379=Справочники!$F$4,Учет!$H3379,0)</f>
        <v>0</v>
      </c>
      <c r="T3379" s="48">
        <f>IF(Учет!$O3379=Справочники!$F$5,Учет!$H3379,0)</f>
        <v>0</v>
      </c>
      <c r="U3379" s="48">
        <f>IF(Учет!$O3379=Справочники!$F$6,Учет!$H3379,0)</f>
        <v>0</v>
      </c>
      <c r="V3379" s="43">
        <f>V3378+Учет!Q3379-Q3379</f>
        <v>-488978.92000000004</v>
      </c>
      <c r="W3379" s="43">
        <f>W3378+Учет!R3379-R3379</f>
        <v>336855</v>
      </c>
      <c r="X3379" s="43">
        <f>X3378+Учет!S3379-S3379</f>
        <v>500</v>
      </c>
      <c r="Y3379" s="43">
        <f>Y3378+Учет!T3379-T3379</f>
        <v>1150</v>
      </c>
      <c r="Z3379" s="43">
        <f>Z3378+Учет!U3379-U3379</f>
        <v>500000</v>
      </c>
      <c r="AA3379" s="45">
        <f>Учет!X3379</f>
        <v>500</v>
      </c>
    </row>
    <row r="3380" spans="1:27" ht="15" customHeight="1" x14ac:dyDescent="0.25">
      <c r="A3380" s="1"/>
      <c r="B3380" s="17"/>
      <c r="C3380" s="17"/>
      <c r="D3380" s="17"/>
      <c r="E3380" s="17"/>
      <c r="F3380" s="17"/>
      <c r="G3380" s="4">
        <f t="shared" si="153"/>
        <v>0</v>
      </c>
      <c r="H3380" s="17"/>
      <c r="I3380" s="4">
        <f t="shared" si="155"/>
        <v>349526.07999999996</v>
      </c>
      <c r="J3380" s="32" t="str">
        <f t="shared" si="154"/>
        <v/>
      </c>
      <c r="K3380" s="72"/>
      <c r="L3380" s="72"/>
      <c r="M3380" s="2"/>
      <c r="N3380" s="5"/>
      <c r="O3380" s="3"/>
      <c r="P3380" s="6"/>
      <c r="Q3380" s="48">
        <f>IF(Учет!$O3380=Справочники!$F$2,Учет!$H3380,0)</f>
        <v>0</v>
      </c>
      <c r="R3380" s="48">
        <f>IF(Учет!$O3380=Справочники!$F$3,Учет!$H3380,0)</f>
        <v>0</v>
      </c>
      <c r="S3380" s="48">
        <f>IF(Учет!$O3380=Справочники!$F$4,Учет!$H3380,0)</f>
        <v>0</v>
      </c>
      <c r="T3380" s="48">
        <f>IF(Учет!$O3380=Справочники!$F$5,Учет!$H3380,0)</f>
        <v>0</v>
      </c>
      <c r="U3380" s="48">
        <f>IF(Учет!$O3380=Справочники!$F$6,Учет!$H3380,0)</f>
        <v>0</v>
      </c>
      <c r="V3380" s="43">
        <f>V3379+Учет!Q3380-Q3380</f>
        <v>-488978.92000000004</v>
      </c>
      <c r="W3380" s="43">
        <f>W3379+Учет!R3380-R3380</f>
        <v>336855</v>
      </c>
      <c r="X3380" s="43">
        <f>X3379+Учет!S3380-S3380</f>
        <v>500</v>
      </c>
      <c r="Y3380" s="43">
        <f>Y3379+Учет!T3380-T3380</f>
        <v>1150</v>
      </c>
      <c r="Z3380" s="43">
        <f>Z3379+Учет!U3380-U3380</f>
        <v>500000</v>
      </c>
      <c r="AA3380" s="45">
        <f>Учет!X3380</f>
        <v>500</v>
      </c>
    </row>
    <row r="3381" spans="1:27" ht="15" customHeight="1" x14ac:dyDescent="0.25">
      <c r="A3381" s="1"/>
      <c r="B3381" s="17"/>
      <c r="C3381" s="17"/>
      <c r="D3381" s="17"/>
      <c r="E3381" s="17"/>
      <c r="F3381" s="17"/>
      <c r="G3381" s="4">
        <f t="shared" si="153"/>
        <v>0</v>
      </c>
      <c r="H3381" s="17"/>
      <c r="I3381" s="4">
        <f t="shared" si="155"/>
        <v>349526.07999999996</v>
      </c>
      <c r="J3381" s="32" t="str">
        <f t="shared" si="154"/>
        <v/>
      </c>
      <c r="K3381" s="72"/>
      <c r="L3381" s="72"/>
      <c r="M3381" s="2"/>
      <c r="N3381" s="5"/>
      <c r="O3381" s="3"/>
      <c r="P3381" s="6"/>
      <c r="Q3381" s="48">
        <f>IF(Учет!$O3381=Справочники!$F$2,Учет!$H3381,0)</f>
        <v>0</v>
      </c>
      <c r="R3381" s="48">
        <f>IF(Учет!$O3381=Справочники!$F$3,Учет!$H3381,0)</f>
        <v>0</v>
      </c>
      <c r="S3381" s="48">
        <f>IF(Учет!$O3381=Справочники!$F$4,Учет!$H3381,0)</f>
        <v>0</v>
      </c>
      <c r="T3381" s="48">
        <f>IF(Учет!$O3381=Справочники!$F$5,Учет!$H3381,0)</f>
        <v>0</v>
      </c>
      <c r="U3381" s="48">
        <f>IF(Учет!$O3381=Справочники!$F$6,Учет!$H3381,0)</f>
        <v>0</v>
      </c>
      <c r="V3381" s="43">
        <f>V3380+Учет!Q3381-Q3381</f>
        <v>-488978.92000000004</v>
      </c>
      <c r="W3381" s="43">
        <f>W3380+Учет!R3381-R3381</f>
        <v>336855</v>
      </c>
      <c r="X3381" s="43">
        <f>X3380+Учет!S3381-S3381</f>
        <v>500</v>
      </c>
      <c r="Y3381" s="43">
        <f>Y3380+Учет!T3381-T3381</f>
        <v>1150</v>
      </c>
      <c r="Z3381" s="43">
        <f>Z3380+Учет!U3381-U3381</f>
        <v>500000</v>
      </c>
      <c r="AA3381" s="45">
        <f>Учет!X3381</f>
        <v>500</v>
      </c>
    </row>
    <row r="3382" spans="1:27" ht="15" customHeight="1" x14ac:dyDescent="0.25">
      <c r="A3382" s="1"/>
      <c r="B3382" s="17"/>
      <c r="C3382" s="17"/>
      <c r="D3382" s="17"/>
      <c r="E3382" s="17"/>
      <c r="F3382" s="17"/>
      <c r="G3382" s="4">
        <f t="shared" si="153"/>
        <v>0</v>
      </c>
      <c r="H3382" s="17"/>
      <c r="I3382" s="4">
        <f t="shared" si="155"/>
        <v>349526.07999999996</v>
      </c>
      <c r="J3382" s="32" t="str">
        <f t="shared" si="154"/>
        <v/>
      </c>
      <c r="K3382" s="72"/>
      <c r="L3382" s="72"/>
      <c r="M3382" s="2"/>
      <c r="N3382" s="5"/>
      <c r="O3382" s="3"/>
      <c r="P3382" s="6"/>
      <c r="Q3382" s="48">
        <f>IF(Учет!$O3382=Справочники!$F$2,Учет!$H3382,0)</f>
        <v>0</v>
      </c>
      <c r="R3382" s="48">
        <f>IF(Учет!$O3382=Справочники!$F$3,Учет!$H3382,0)</f>
        <v>0</v>
      </c>
      <c r="S3382" s="48">
        <f>IF(Учет!$O3382=Справочники!$F$4,Учет!$H3382,0)</f>
        <v>0</v>
      </c>
      <c r="T3382" s="48">
        <f>IF(Учет!$O3382=Справочники!$F$5,Учет!$H3382,0)</f>
        <v>0</v>
      </c>
      <c r="U3382" s="48">
        <f>IF(Учет!$O3382=Справочники!$F$6,Учет!$H3382,0)</f>
        <v>0</v>
      </c>
      <c r="V3382" s="43">
        <f>V3381+Учет!Q3382-Q3382</f>
        <v>-488978.92000000004</v>
      </c>
      <c r="W3382" s="43">
        <f>W3381+Учет!R3382-R3382</f>
        <v>336855</v>
      </c>
      <c r="X3382" s="43">
        <f>X3381+Учет!S3382-S3382</f>
        <v>500</v>
      </c>
      <c r="Y3382" s="43">
        <f>Y3381+Учет!T3382-T3382</f>
        <v>1150</v>
      </c>
      <c r="Z3382" s="43">
        <f>Z3381+Учет!U3382-U3382</f>
        <v>500000</v>
      </c>
      <c r="AA3382" s="45">
        <f>Учет!X3382</f>
        <v>500</v>
      </c>
    </row>
    <row r="3383" spans="1:27" ht="15" customHeight="1" x14ac:dyDescent="0.25">
      <c r="A3383" s="1"/>
      <c r="B3383" s="17"/>
      <c r="C3383" s="17"/>
      <c r="D3383" s="17"/>
      <c r="E3383" s="17"/>
      <c r="F3383" s="17"/>
      <c r="G3383" s="4">
        <f t="shared" si="153"/>
        <v>0</v>
      </c>
      <c r="H3383" s="17"/>
      <c r="I3383" s="4">
        <f t="shared" si="155"/>
        <v>349526.07999999996</v>
      </c>
      <c r="J3383" s="32" t="str">
        <f t="shared" si="154"/>
        <v/>
      </c>
      <c r="K3383" s="72"/>
      <c r="L3383" s="72"/>
      <c r="M3383" s="2"/>
      <c r="N3383" s="5"/>
      <c r="O3383" s="3"/>
      <c r="P3383" s="6"/>
      <c r="Q3383" s="48">
        <f>IF(Учет!$O3383=Справочники!$F$2,Учет!$H3383,0)</f>
        <v>0</v>
      </c>
      <c r="R3383" s="48">
        <f>IF(Учет!$O3383=Справочники!$F$3,Учет!$H3383,0)</f>
        <v>0</v>
      </c>
      <c r="S3383" s="48">
        <f>IF(Учет!$O3383=Справочники!$F$4,Учет!$H3383,0)</f>
        <v>0</v>
      </c>
      <c r="T3383" s="48">
        <f>IF(Учет!$O3383=Справочники!$F$5,Учет!$H3383,0)</f>
        <v>0</v>
      </c>
      <c r="U3383" s="48">
        <f>IF(Учет!$O3383=Справочники!$F$6,Учет!$H3383,0)</f>
        <v>0</v>
      </c>
      <c r="V3383" s="43">
        <f>V3382+Учет!Q3383-Q3383</f>
        <v>-488978.92000000004</v>
      </c>
      <c r="W3383" s="43">
        <f>W3382+Учет!R3383-R3383</f>
        <v>336855</v>
      </c>
      <c r="X3383" s="43">
        <f>X3382+Учет!S3383-S3383</f>
        <v>500</v>
      </c>
      <c r="Y3383" s="43">
        <f>Y3382+Учет!T3383-T3383</f>
        <v>1150</v>
      </c>
      <c r="Z3383" s="43">
        <f>Z3382+Учет!U3383-U3383</f>
        <v>500000</v>
      </c>
      <c r="AA3383" s="45">
        <f>Учет!X3383</f>
        <v>500</v>
      </c>
    </row>
    <row r="3384" spans="1:27" ht="15" customHeight="1" x14ac:dyDescent="0.25">
      <c r="A3384" s="1"/>
      <c r="B3384" s="17"/>
      <c r="C3384" s="17"/>
      <c r="D3384" s="17"/>
      <c r="E3384" s="17"/>
      <c r="F3384" s="17"/>
      <c r="G3384" s="4">
        <f t="shared" si="153"/>
        <v>0</v>
      </c>
      <c r="H3384" s="17"/>
      <c r="I3384" s="4">
        <f t="shared" si="155"/>
        <v>349526.07999999996</v>
      </c>
      <c r="J3384" s="32" t="str">
        <f t="shared" si="154"/>
        <v/>
      </c>
      <c r="K3384" s="72"/>
      <c r="L3384" s="72"/>
      <c r="M3384" s="2"/>
      <c r="N3384" s="5"/>
      <c r="O3384" s="3"/>
      <c r="P3384" s="6"/>
      <c r="Q3384" s="48">
        <f>IF(Учет!$O3384=Справочники!$F$2,Учет!$H3384,0)</f>
        <v>0</v>
      </c>
      <c r="R3384" s="48">
        <f>IF(Учет!$O3384=Справочники!$F$3,Учет!$H3384,0)</f>
        <v>0</v>
      </c>
      <c r="S3384" s="48">
        <f>IF(Учет!$O3384=Справочники!$F$4,Учет!$H3384,0)</f>
        <v>0</v>
      </c>
      <c r="T3384" s="48">
        <f>IF(Учет!$O3384=Справочники!$F$5,Учет!$H3384,0)</f>
        <v>0</v>
      </c>
      <c r="U3384" s="48">
        <f>IF(Учет!$O3384=Справочники!$F$6,Учет!$H3384,0)</f>
        <v>0</v>
      </c>
      <c r="V3384" s="43">
        <f>V3383+Учет!Q3384-Q3384</f>
        <v>-488978.92000000004</v>
      </c>
      <c r="W3384" s="43">
        <f>W3383+Учет!R3384-R3384</f>
        <v>336855</v>
      </c>
      <c r="X3384" s="43">
        <f>X3383+Учет!S3384-S3384</f>
        <v>500</v>
      </c>
      <c r="Y3384" s="43">
        <f>Y3383+Учет!T3384-T3384</f>
        <v>1150</v>
      </c>
      <c r="Z3384" s="43">
        <f>Z3383+Учет!U3384-U3384</f>
        <v>500000</v>
      </c>
      <c r="AA3384" s="45">
        <f>Учет!X3384</f>
        <v>500</v>
      </c>
    </row>
    <row r="3385" spans="1:27" ht="15" customHeight="1" x14ac:dyDescent="0.25">
      <c r="A3385" s="1"/>
      <c r="B3385" s="17"/>
      <c r="C3385" s="17"/>
      <c r="D3385" s="17"/>
      <c r="E3385" s="17"/>
      <c r="F3385" s="17"/>
      <c r="G3385" s="4">
        <f t="shared" si="153"/>
        <v>0</v>
      </c>
      <c r="H3385" s="17"/>
      <c r="I3385" s="4">
        <f t="shared" si="155"/>
        <v>349526.07999999996</v>
      </c>
      <c r="J3385" s="32" t="str">
        <f t="shared" si="154"/>
        <v/>
      </c>
      <c r="K3385" s="72"/>
      <c r="L3385" s="72"/>
      <c r="M3385" s="2"/>
      <c r="N3385" s="5"/>
      <c r="O3385" s="3"/>
      <c r="P3385" s="6"/>
      <c r="Q3385" s="48">
        <f>IF(Учет!$O3385=Справочники!$F$2,Учет!$H3385,0)</f>
        <v>0</v>
      </c>
      <c r="R3385" s="48">
        <f>IF(Учет!$O3385=Справочники!$F$3,Учет!$H3385,0)</f>
        <v>0</v>
      </c>
      <c r="S3385" s="48">
        <f>IF(Учет!$O3385=Справочники!$F$4,Учет!$H3385,0)</f>
        <v>0</v>
      </c>
      <c r="T3385" s="48">
        <f>IF(Учет!$O3385=Справочники!$F$5,Учет!$H3385,0)</f>
        <v>0</v>
      </c>
      <c r="U3385" s="48">
        <f>IF(Учет!$O3385=Справочники!$F$6,Учет!$H3385,0)</f>
        <v>0</v>
      </c>
      <c r="V3385" s="43">
        <f>V3384+Учет!Q3385-Q3385</f>
        <v>-488978.92000000004</v>
      </c>
      <c r="W3385" s="43">
        <f>W3384+Учет!R3385-R3385</f>
        <v>336855</v>
      </c>
      <c r="X3385" s="43">
        <f>X3384+Учет!S3385-S3385</f>
        <v>500</v>
      </c>
      <c r="Y3385" s="43">
        <f>Y3384+Учет!T3385-T3385</f>
        <v>1150</v>
      </c>
      <c r="Z3385" s="43">
        <f>Z3384+Учет!U3385-U3385</f>
        <v>500000</v>
      </c>
      <c r="AA3385" s="45">
        <f>Учет!X3385</f>
        <v>500</v>
      </c>
    </row>
    <row r="3386" spans="1:27" ht="15" customHeight="1" x14ac:dyDescent="0.25">
      <c r="A3386" s="1"/>
      <c r="B3386" s="17"/>
      <c r="C3386" s="17"/>
      <c r="D3386" s="17"/>
      <c r="E3386" s="17"/>
      <c r="F3386" s="17"/>
      <c r="G3386" s="4">
        <f t="shared" si="153"/>
        <v>0</v>
      </c>
      <c r="H3386" s="17"/>
      <c r="I3386" s="4">
        <f t="shared" si="155"/>
        <v>349526.07999999996</v>
      </c>
      <c r="J3386" s="32" t="str">
        <f t="shared" si="154"/>
        <v/>
      </c>
      <c r="K3386" s="72"/>
      <c r="L3386" s="72"/>
      <c r="M3386" s="2"/>
      <c r="N3386" s="5"/>
      <c r="O3386" s="3"/>
      <c r="P3386" s="6"/>
      <c r="Q3386" s="48">
        <f>IF(Учет!$O3386=Справочники!$F$2,Учет!$H3386,0)</f>
        <v>0</v>
      </c>
      <c r="R3386" s="48">
        <f>IF(Учет!$O3386=Справочники!$F$3,Учет!$H3386,0)</f>
        <v>0</v>
      </c>
      <c r="S3386" s="48">
        <f>IF(Учет!$O3386=Справочники!$F$4,Учет!$H3386,0)</f>
        <v>0</v>
      </c>
      <c r="T3386" s="48">
        <f>IF(Учет!$O3386=Справочники!$F$5,Учет!$H3386,0)</f>
        <v>0</v>
      </c>
      <c r="U3386" s="48">
        <f>IF(Учет!$O3386=Справочники!$F$6,Учет!$H3386,0)</f>
        <v>0</v>
      </c>
      <c r="V3386" s="43">
        <f>V3385+Учет!Q3386-Q3386</f>
        <v>-488978.92000000004</v>
      </c>
      <c r="W3386" s="43">
        <f>W3385+Учет!R3386-R3386</f>
        <v>336855</v>
      </c>
      <c r="X3386" s="43">
        <f>X3385+Учет!S3386-S3386</f>
        <v>500</v>
      </c>
      <c r="Y3386" s="43">
        <f>Y3385+Учет!T3386-T3386</f>
        <v>1150</v>
      </c>
      <c r="Z3386" s="43">
        <f>Z3385+Учет!U3386-U3386</f>
        <v>500000</v>
      </c>
      <c r="AA3386" s="45">
        <f>Учет!X3386</f>
        <v>500</v>
      </c>
    </row>
    <row r="3387" spans="1:27" ht="15" customHeight="1" x14ac:dyDescent="0.25">
      <c r="A3387" s="1"/>
      <c r="B3387" s="17"/>
      <c r="C3387" s="17"/>
      <c r="D3387" s="17"/>
      <c r="E3387" s="17"/>
      <c r="F3387" s="17"/>
      <c r="G3387" s="4">
        <f t="shared" si="153"/>
        <v>0</v>
      </c>
      <c r="H3387" s="17"/>
      <c r="I3387" s="4">
        <f t="shared" si="155"/>
        <v>349526.07999999996</v>
      </c>
      <c r="J3387" s="32" t="str">
        <f t="shared" si="154"/>
        <v/>
      </c>
      <c r="K3387" s="72"/>
      <c r="L3387" s="72"/>
      <c r="M3387" s="2"/>
      <c r="N3387" s="5"/>
      <c r="O3387" s="3"/>
      <c r="P3387" s="6"/>
      <c r="Q3387" s="48">
        <f>IF(Учет!$O3387=Справочники!$F$2,Учет!$H3387,0)</f>
        <v>0</v>
      </c>
      <c r="R3387" s="48">
        <f>IF(Учет!$O3387=Справочники!$F$3,Учет!$H3387,0)</f>
        <v>0</v>
      </c>
      <c r="S3387" s="48">
        <f>IF(Учет!$O3387=Справочники!$F$4,Учет!$H3387,0)</f>
        <v>0</v>
      </c>
      <c r="T3387" s="48">
        <f>IF(Учет!$O3387=Справочники!$F$5,Учет!$H3387,0)</f>
        <v>0</v>
      </c>
      <c r="U3387" s="48">
        <f>IF(Учет!$O3387=Справочники!$F$6,Учет!$H3387,0)</f>
        <v>0</v>
      </c>
      <c r="V3387" s="43">
        <f>V3386+Учет!Q3387-Q3387</f>
        <v>-488978.92000000004</v>
      </c>
      <c r="W3387" s="43">
        <f>W3386+Учет!R3387-R3387</f>
        <v>336855</v>
      </c>
      <c r="X3387" s="43">
        <f>X3386+Учет!S3387-S3387</f>
        <v>500</v>
      </c>
      <c r="Y3387" s="43">
        <f>Y3386+Учет!T3387-T3387</f>
        <v>1150</v>
      </c>
      <c r="Z3387" s="43">
        <f>Z3386+Учет!U3387-U3387</f>
        <v>500000</v>
      </c>
      <c r="AA3387" s="45">
        <f>Учет!X3387</f>
        <v>500</v>
      </c>
    </row>
    <row r="3388" spans="1:27" ht="15" customHeight="1" x14ac:dyDescent="0.25">
      <c r="A3388" s="1"/>
      <c r="B3388" s="17"/>
      <c r="C3388" s="17"/>
      <c r="D3388" s="17"/>
      <c r="E3388" s="17"/>
      <c r="F3388" s="17"/>
      <c r="G3388" s="4">
        <f t="shared" si="153"/>
        <v>0</v>
      </c>
      <c r="H3388" s="17"/>
      <c r="I3388" s="4">
        <f t="shared" si="155"/>
        <v>349526.07999999996</v>
      </c>
      <c r="J3388" s="32" t="str">
        <f t="shared" si="154"/>
        <v/>
      </c>
      <c r="K3388" s="72"/>
      <c r="L3388" s="72"/>
      <c r="M3388" s="2"/>
      <c r="N3388" s="5"/>
      <c r="O3388" s="3"/>
      <c r="P3388" s="6"/>
      <c r="Q3388" s="48">
        <f>IF(Учет!$O3388=Справочники!$F$2,Учет!$H3388,0)</f>
        <v>0</v>
      </c>
      <c r="R3388" s="48">
        <f>IF(Учет!$O3388=Справочники!$F$3,Учет!$H3388,0)</f>
        <v>0</v>
      </c>
      <c r="S3388" s="48">
        <f>IF(Учет!$O3388=Справочники!$F$4,Учет!$H3388,0)</f>
        <v>0</v>
      </c>
      <c r="T3388" s="48">
        <f>IF(Учет!$O3388=Справочники!$F$5,Учет!$H3388,0)</f>
        <v>0</v>
      </c>
      <c r="U3388" s="48">
        <f>IF(Учет!$O3388=Справочники!$F$6,Учет!$H3388,0)</f>
        <v>0</v>
      </c>
      <c r="V3388" s="43">
        <f>V3387+Учет!Q3388-Q3388</f>
        <v>-488978.92000000004</v>
      </c>
      <c r="W3388" s="43">
        <f>W3387+Учет!R3388-R3388</f>
        <v>336855</v>
      </c>
      <c r="X3388" s="43">
        <f>X3387+Учет!S3388-S3388</f>
        <v>500</v>
      </c>
      <c r="Y3388" s="43">
        <f>Y3387+Учет!T3388-T3388</f>
        <v>1150</v>
      </c>
      <c r="Z3388" s="43">
        <f>Z3387+Учет!U3388-U3388</f>
        <v>500000</v>
      </c>
      <c r="AA3388" s="45">
        <f>Учет!X3388</f>
        <v>500</v>
      </c>
    </row>
    <row r="3389" spans="1:27" ht="15" customHeight="1" x14ac:dyDescent="0.25">
      <c r="A3389" s="1"/>
      <c r="B3389" s="17"/>
      <c r="C3389" s="17"/>
      <c r="D3389" s="17"/>
      <c r="E3389" s="17"/>
      <c r="F3389" s="17"/>
      <c r="G3389" s="4">
        <f t="shared" si="153"/>
        <v>0</v>
      </c>
      <c r="H3389" s="17"/>
      <c r="I3389" s="4">
        <f t="shared" si="155"/>
        <v>349526.07999999996</v>
      </c>
      <c r="J3389" s="32" t="str">
        <f t="shared" si="154"/>
        <v/>
      </c>
      <c r="K3389" s="72"/>
      <c r="L3389" s="72"/>
      <c r="M3389" s="2"/>
      <c r="N3389" s="5"/>
      <c r="O3389" s="3"/>
      <c r="P3389" s="6"/>
      <c r="Q3389" s="48">
        <f>IF(Учет!$O3389=Справочники!$F$2,Учет!$H3389,0)</f>
        <v>0</v>
      </c>
      <c r="R3389" s="48">
        <f>IF(Учет!$O3389=Справочники!$F$3,Учет!$H3389,0)</f>
        <v>0</v>
      </c>
      <c r="S3389" s="48">
        <f>IF(Учет!$O3389=Справочники!$F$4,Учет!$H3389,0)</f>
        <v>0</v>
      </c>
      <c r="T3389" s="48">
        <f>IF(Учет!$O3389=Справочники!$F$5,Учет!$H3389,0)</f>
        <v>0</v>
      </c>
      <c r="U3389" s="48">
        <f>IF(Учет!$O3389=Справочники!$F$6,Учет!$H3389,0)</f>
        <v>0</v>
      </c>
      <c r="V3389" s="43">
        <f>V3388+Учет!Q3389-Q3389</f>
        <v>-488978.92000000004</v>
      </c>
      <c r="W3389" s="43">
        <f>W3388+Учет!R3389-R3389</f>
        <v>336855</v>
      </c>
      <c r="X3389" s="43">
        <f>X3388+Учет!S3389-S3389</f>
        <v>500</v>
      </c>
      <c r="Y3389" s="43">
        <f>Y3388+Учет!T3389-T3389</f>
        <v>1150</v>
      </c>
      <c r="Z3389" s="43">
        <f>Z3388+Учет!U3389-U3389</f>
        <v>500000</v>
      </c>
      <c r="AA3389" s="45">
        <f>Учет!X3389</f>
        <v>500</v>
      </c>
    </row>
    <row r="3390" spans="1:27" ht="15" customHeight="1" x14ac:dyDescent="0.25">
      <c r="A3390" s="1"/>
      <c r="B3390" s="17"/>
      <c r="C3390" s="17"/>
      <c r="D3390" s="17"/>
      <c r="E3390" s="17"/>
      <c r="F3390" s="17"/>
      <c r="G3390" s="4">
        <f t="shared" si="153"/>
        <v>0</v>
      </c>
      <c r="H3390" s="17"/>
      <c r="I3390" s="4">
        <f t="shared" si="155"/>
        <v>349526.07999999996</v>
      </c>
      <c r="J3390" s="32" t="str">
        <f t="shared" si="154"/>
        <v/>
      </c>
      <c r="K3390" s="72"/>
      <c r="L3390" s="72"/>
      <c r="M3390" s="2"/>
      <c r="N3390" s="5"/>
      <c r="O3390" s="3"/>
      <c r="P3390" s="6"/>
      <c r="Q3390" s="48">
        <f>IF(Учет!$O3390=Справочники!$F$2,Учет!$H3390,0)</f>
        <v>0</v>
      </c>
      <c r="R3390" s="48">
        <f>IF(Учет!$O3390=Справочники!$F$3,Учет!$H3390,0)</f>
        <v>0</v>
      </c>
      <c r="S3390" s="48">
        <f>IF(Учет!$O3390=Справочники!$F$4,Учет!$H3390,0)</f>
        <v>0</v>
      </c>
      <c r="T3390" s="48">
        <f>IF(Учет!$O3390=Справочники!$F$5,Учет!$H3390,0)</f>
        <v>0</v>
      </c>
      <c r="U3390" s="48">
        <f>IF(Учет!$O3390=Справочники!$F$6,Учет!$H3390,0)</f>
        <v>0</v>
      </c>
      <c r="V3390" s="43">
        <f>V3389+Учет!Q3390-Q3390</f>
        <v>-488978.92000000004</v>
      </c>
      <c r="W3390" s="43">
        <f>W3389+Учет!R3390-R3390</f>
        <v>336855</v>
      </c>
      <c r="X3390" s="43">
        <f>X3389+Учет!S3390-S3390</f>
        <v>500</v>
      </c>
      <c r="Y3390" s="43">
        <f>Y3389+Учет!T3390-T3390</f>
        <v>1150</v>
      </c>
      <c r="Z3390" s="43">
        <f>Z3389+Учет!U3390-U3390</f>
        <v>500000</v>
      </c>
      <c r="AA3390" s="45">
        <f>Учет!X3390</f>
        <v>500</v>
      </c>
    </row>
    <row r="3391" spans="1:27" ht="15" customHeight="1" x14ac:dyDescent="0.25">
      <c r="A3391" s="1"/>
      <c r="B3391" s="17"/>
      <c r="C3391" s="17"/>
      <c r="D3391" s="17"/>
      <c r="E3391" s="17"/>
      <c r="F3391" s="17"/>
      <c r="G3391" s="4">
        <f t="shared" si="153"/>
        <v>0</v>
      </c>
      <c r="H3391" s="17"/>
      <c r="I3391" s="4">
        <f t="shared" si="155"/>
        <v>349526.07999999996</v>
      </c>
      <c r="J3391" s="32" t="str">
        <f t="shared" si="154"/>
        <v/>
      </c>
      <c r="K3391" s="72"/>
      <c r="L3391" s="72"/>
      <c r="M3391" s="2"/>
      <c r="N3391" s="5"/>
      <c r="O3391" s="3"/>
      <c r="P3391" s="6"/>
      <c r="Q3391" s="48">
        <f>IF(Учет!$O3391=Справочники!$F$2,Учет!$H3391,0)</f>
        <v>0</v>
      </c>
      <c r="R3391" s="48">
        <f>IF(Учет!$O3391=Справочники!$F$3,Учет!$H3391,0)</f>
        <v>0</v>
      </c>
      <c r="S3391" s="48">
        <f>IF(Учет!$O3391=Справочники!$F$4,Учет!$H3391,0)</f>
        <v>0</v>
      </c>
      <c r="T3391" s="48">
        <f>IF(Учет!$O3391=Справочники!$F$5,Учет!$H3391,0)</f>
        <v>0</v>
      </c>
      <c r="U3391" s="48">
        <f>IF(Учет!$O3391=Справочники!$F$6,Учет!$H3391,0)</f>
        <v>0</v>
      </c>
      <c r="V3391" s="43">
        <f>V3390+Учет!Q3391-Q3391</f>
        <v>-488978.92000000004</v>
      </c>
      <c r="W3391" s="43">
        <f>W3390+Учет!R3391-R3391</f>
        <v>336855</v>
      </c>
      <c r="X3391" s="43">
        <f>X3390+Учет!S3391-S3391</f>
        <v>500</v>
      </c>
      <c r="Y3391" s="43">
        <f>Y3390+Учет!T3391-T3391</f>
        <v>1150</v>
      </c>
      <c r="Z3391" s="43">
        <f>Z3390+Учет!U3391-U3391</f>
        <v>500000</v>
      </c>
      <c r="AA3391" s="45">
        <f>Учет!X3391</f>
        <v>500</v>
      </c>
    </row>
    <row r="3392" spans="1:27" ht="15" customHeight="1" x14ac:dyDescent="0.25">
      <c r="A3392" s="1"/>
      <c r="B3392" s="17"/>
      <c r="C3392" s="17"/>
      <c r="D3392" s="17"/>
      <c r="E3392" s="17"/>
      <c r="F3392" s="17"/>
      <c r="G3392" s="4">
        <f t="shared" si="153"/>
        <v>0</v>
      </c>
      <c r="H3392" s="17"/>
      <c r="I3392" s="4">
        <f t="shared" si="155"/>
        <v>349526.07999999996</v>
      </c>
      <c r="J3392" s="32" t="str">
        <f t="shared" si="154"/>
        <v/>
      </c>
      <c r="K3392" s="72"/>
      <c r="L3392" s="72"/>
      <c r="M3392" s="2"/>
      <c r="N3392" s="5"/>
      <c r="O3392" s="3"/>
      <c r="P3392" s="6"/>
      <c r="Q3392" s="48">
        <f>IF(Учет!$O3392=Справочники!$F$2,Учет!$H3392,0)</f>
        <v>0</v>
      </c>
      <c r="R3392" s="48">
        <f>IF(Учет!$O3392=Справочники!$F$3,Учет!$H3392,0)</f>
        <v>0</v>
      </c>
      <c r="S3392" s="48">
        <f>IF(Учет!$O3392=Справочники!$F$4,Учет!$H3392,0)</f>
        <v>0</v>
      </c>
      <c r="T3392" s="48">
        <f>IF(Учет!$O3392=Справочники!$F$5,Учет!$H3392,0)</f>
        <v>0</v>
      </c>
      <c r="U3392" s="48">
        <f>IF(Учет!$O3392=Справочники!$F$6,Учет!$H3392,0)</f>
        <v>0</v>
      </c>
      <c r="V3392" s="43">
        <f>V3391+Учет!Q3392-Q3392</f>
        <v>-488978.92000000004</v>
      </c>
      <c r="W3392" s="43">
        <f>W3391+Учет!R3392-R3392</f>
        <v>336855</v>
      </c>
      <c r="X3392" s="43">
        <f>X3391+Учет!S3392-S3392</f>
        <v>500</v>
      </c>
      <c r="Y3392" s="43">
        <f>Y3391+Учет!T3392-T3392</f>
        <v>1150</v>
      </c>
      <c r="Z3392" s="43">
        <f>Z3391+Учет!U3392-U3392</f>
        <v>500000</v>
      </c>
      <c r="AA3392" s="45">
        <f>Учет!X3392</f>
        <v>500</v>
      </c>
    </row>
    <row r="3393" spans="1:27" ht="15" customHeight="1" x14ac:dyDescent="0.25">
      <c r="A3393" s="1"/>
      <c r="B3393" s="17"/>
      <c r="C3393" s="17"/>
      <c r="D3393" s="17"/>
      <c r="E3393" s="17"/>
      <c r="F3393" s="17"/>
      <c r="G3393" s="4">
        <f t="shared" si="153"/>
        <v>0</v>
      </c>
      <c r="H3393" s="17"/>
      <c r="I3393" s="4">
        <f t="shared" si="155"/>
        <v>349526.07999999996</v>
      </c>
      <c r="J3393" s="32" t="str">
        <f t="shared" si="154"/>
        <v/>
      </c>
      <c r="K3393" s="72"/>
      <c r="L3393" s="72"/>
      <c r="M3393" s="2"/>
      <c r="N3393" s="5"/>
      <c r="O3393" s="3"/>
      <c r="P3393" s="6"/>
      <c r="Q3393" s="48">
        <f>IF(Учет!$O3393=Справочники!$F$2,Учет!$H3393,0)</f>
        <v>0</v>
      </c>
      <c r="R3393" s="48">
        <f>IF(Учет!$O3393=Справочники!$F$3,Учет!$H3393,0)</f>
        <v>0</v>
      </c>
      <c r="S3393" s="48">
        <f>IF(Учет!$O3393=Справочники!$F$4,Учет!$H3393,0)</f>
        <v>0</v>
      </c>
      <c r="T3393" s="48">
        <f>IF(Учет!$O3393=Справочники!$F$5,Учет!$H3393,0)</f>
        <v>0</v>
      </c>
      <c r="U3393" s="48">
        <f>IF(Учет!$O3393=Справочники!$F$6,Учет!$H3393,0)</f>
        <v>0</v>
      </c>
      <c r="V3393" s="43">
        <f>V3392+Учет!Q3393-Q3393</f>
        <v>-488978.92000000004</v>
      </c>
      <c r="W3393" s="43">
        <f>W3392+Учет!R3393-R3393</f>
        <v>336855</v>
      </c>
      <c r="X3393" s="43">
        <f>X3392+Учет!S3393-S3393</f>
        <v>500</v>
      </c>
      <c r="Y3393" s="43">
        <f>Y3392+Учет!T3393-T3393</f>
        <v>1150</v>
      </c>
      <c r="Z3393" s="43">
        <f>Z3392+Учет!U3393-U3393</f>
        <v>500000</v>
      </c>
      <c r="AA3393" s="45">
        <f>Учет!X3393</f>
        <v>500</v>
      </c>
    </row>
    <row r="3394" spans="1:27" ht="15" customHeight="1" x14ac:dyDescent="0.25">
      <c r="A3394" s="1"/>
      <c r="B3394" s="17"/>
      <c r="C3394" s="17"/>
      <c r="D3394" s="17"/>
      <c r="E3394" s="17"/>
      <c r="F3394" s="17"/>
      <c r="G3394" s="4">
        <f t="shared" ref="G3394:G3457" si="156">SUM($B3394:$F3394)</f>
        <v>0</v>
      </c>
      <c r="H3394" s="17"/>
      <c r="I3394" s="4">
        <f t="shared" si="155"/>
        <v>349526.07999999996</v>
      </c>
      <c r="J3394" s="32" t="str">
        <f t="shared" ref="J3394:J3457" si="157">IF($A3395&lt;&gt;$A3394,$I3394,"")</f>
        <v/>
      </c>
      <c r="K3394" s="72"/>
      <c r="L3394" s="72"/>
      <c r="M3394" s="2"/>
      <c r="N3394" s="5"/>
      <c r="O3394" s="3"/>
      <c r="P3394" s="6"/>
      <c r="Q3394" s="48">
        <f>IF(Учет!$O3394=Справочники!$F$2,Учет!$H3394,0)</f>
        <v>0</v>
      </c>
      <c r="R3394" s="48">
        <f>IF(Учет!$O3394=Справочники!$F$3,Учет!$H3394,0)</f>
        <v>0</v>
      </c>
      <c r="S3394" s="48">
        <f>IF(Учет!$O3394=Справочники!$F$4,Учет!$H3394,0)</f>
        <v>0</v>
      </c>
      <c r="T3394" s="48">
        <f>IF(Учет!$O3394=Справочники!$F$5,Учет!$H3394,0)</f>
        <v>0</v>
      </c>
      <c r="U3394" s="48">
        <f>IF(Учет!$O3394=Справочники!$F$6,Учет!$H3394,0)</f>
        <v>0</v>
      </c>
      <c r="V3394" s="43">
        <f>V3393+Учет!Q3394-Q3394</f>
        <v>-488978.92000000004</v>
      </c>
      <c r="W3394" s="43">
        <f>W3393+Учет!R3394-R3394</f>
        <v>336855</v>
      </c>
      <c r="X3394" s="43">
        <f>X3393+Учет!S3394-S3394</f>
        <v>500</v>
      </c>
      <c r="Y3394" s="43">
        <f>Y3393+Учет!T3394-T3394</f>
        <v>1150</v>
      </c>
      <c r="Z3394" s="43">
        <f>Z3393+Учет!U3394-U3394</f>
        <v>500000</v>
      </c>
      <c r="AA3394" s="45">
        <f>Учет!X3394</f>
        <v>500</v>
      </c>
    </row>
    <row r="3395" spans="1:27" ht="15" customHeight="1" x14ac:dyDescent="0.25">
      <c r="A3395" s="1"/>
      <c r="B3395" s="17"/>
      <c r="C3395" s="17"/>
      <c r="D3395" s="17"/>
      <c r="E3395" s="17"/>
      <c r="F3395" s="17"/>
      <c r="G3395" s="4">
        <f t="shared" si="156"/>
        <v>0</v>
      </c>
      <c r="H3395" s="17"/>
      <c r="I3395" s="4">
        <f t="shared" ref="I3395:I3458" si="158">$I3394+$G3395-$H3395</f>
        <v>349526.07999999996</v>
      </c>
      <c r="J3395" s="32" t="str">
        <f t="shared" si="157"/>
        <v/>
      </c>
      <c r="K3395" s="72"/>
      <c r="L3395" s="72"/>
      <c r="M3395" s="2"/>
      <c r="N3395" s="5"/>
      <c r="O3395" s="3"/>
      <c r="P3395" s="6"/>
      <c r="Q3395" s="48">
        <f>IF(Учет!$O3395=Справочники!$F$2,Учет!$H3395,0)</f>
        <v>0</v>
      </c>
      <c r="R3395" s="48">
        <f>IF(Учет!$O3395=Справочники!$F$3,Учет!$H3395,0)</f>
        <v>0</v>
      </c>
      <c r="S3395" s="48">
        <f>IF(Учет!$O3395=Справочники!$F$4,Учет!$H3395,0)</f>
        <v>0</v>
      </c>
      <c r="T3395" s="48">
        <f>IF(Учет!$O3395=Справочники!$F$5,Учет!$H3395,0)</f>
        <v>0</v>
      </c>
      <c r="U3395" s="48">
        <f>IF(Учет!$O3395=Справочники!$F$6,Учет!$H3395,0)</f>
        <v>0</v>
      </c>
      <c r="V3395" s="43">
        <f>V3394+Учет!Q3395-Q3395</f>
        <v>-488978.92000000004</v>
      </c>
      <c r="W3395" s="43">
        <f>W3394+Учет!R3395-R3395</f>
        <v>336855</v>
      </c>
      <c r="X3395" s="43">
        <f>X3394+Учет!S3395-S3395</f>
        <v>500</v>
      </c>
      <c r="Y3395" s="43">
        <f>Y3394+Учет!T3395-T3395</f>
        <v>1150</v>
      </c>
      <c r="Z3395" s="43">
        <f>Z3394+Учет!U3395-U3395</f>
        <v>500000</v>
      </c>
      <c r="AA3395" s="45">
        <f>Учет!X3395</f>
        <v>500</v>
      </c>
    </row>
    <row r="3396" spans="1:27" ht="15" customHeight="1" x14ac:dyDescent="0.25">
      <c r="A3396" s="1"/>
      <c r="B3396" s="17"/>
      <c r="C3396" s="17"/>
      <c r="D3396" s="17"/>
      <c r="E3396" s="17"/>
      <c r="F3396" s="17"/>
      <c r="G3396" s="4">
        <f t="shared" si="156"/>
        <v>0</v>
      </c>
      <c r="H3396" s="17"/>
      <c r="I3396" s="4">
        <f t="shared" si="158"/>
        <v>349526.07999999996</v>
      </c>
      <c r="J3396" s="32" t="str">
        <f t="shared" si="157"/>
        <v/>
      </c>
      <c r="K3396" s="72"/>
      <c r="L3396" s="72"/>
      <c r="M3396" s="2"/>
      <c r="N3396" s="5"/>
      <c r="O3396" s="3"/>
      <c r="P3396" s="6"/>
      <c r="Q3396" s="48">
        <f>IF(Учет!$O3396=Справочники!$F$2,Учет!$H3396,0)</f>
        <v>0</v>
      </c>
      <c r="R3396" s="48">
        <f>IF(Учет!$O3396=Справочники!$F$3,Учет!$H3396,0)</f>
        <v>0</v>
      </c>
      <c r="S3396" s="48">
        <f>IF(Учет!$O3396=Справочники!$F$4,Учет!$H3396,0)</f>
        <v>0</v>
      </c>
      <c r="T3396" s="48">
        <f>IF(Учет!$O3396=Справочники!$F$5,Учет!$H3396,0)</f>
        <v>0</v>
      </c>
      <c r="U3396" s="48">
        <f>IF(Учет!$O3396=Справочники!$F$6,Учет!$H3396,0)</f>
        <v>0</v>
      </c>
      <c r="V3396" s="43">
        <f>V3395+Учет!Q3396-Q3396</f>
        <v>-488978.92000000004</v>
      </c>
      <c r="W3396" s="43">
        <f>W3395+Учет!R3396-R3396</f>
        <v>336855</v>
      </c>
      <c r="X3396" s="43">
        <f>X3395+Учет!S3396-S3396</f>
        <v>500</v>
      </c>
      <c r="Y3396" s="43">
        <f>Y3395+Учет!T3396-T3396</f>
        <v>1150</v>
      </c>
      <c r="Z3396" s="43">
        <f>Z3395+Учет!U3396-U3396</f>
        <v>500000</v>
      </c>
      <c r="AA3396" s="45">
        <f>Учет!X3396</f>
        <v>500</v>
      </c>
    </row>
    <row r="3397" spans="1:27" ht="15" customHeight="1" x14ac:dyDescent="0.25">
      <c r="A3397" s="1"/>
      <c r="B3397" s="17"/>
      <c r="C3397" s="17"/>
      <c r="D3397" s="17"/>
      <c r="E3397" s="17"/>
      <c r="F3397" s="17"/>
      <c r="G3397" s="4">
        <f t="shared" si="156"/>
        <v>0</v>
      </c>
      <c r="H3397" s="17"/>
      <c r="I3397" s="4">
        <f t="shared" si="158"/>
        <v>349526.07999999996</v>
      </c>
      <c r="J3397" s="32" t="str">
        <f t="shared" si="157"/>
        <v/>
      </c>
      <c r="K3397" s="72"/>
      <c r="L3397" s="72"/>
      <c r="M3397" s="2"/>
      <c r="N3397" s="5"/>
      <c r="O3397" s="3"/>
      <c r="P3397" s="6"/>
      <c r="Q3397" s="48">
        <f>IF(Учет!$O3397=Справочники!$F$2,Учет!$H3397,0)</f>
        <v>0</v>
      </c>
      <c r="R3397" s="48">
        <f>IF(Учет!$O3397=Справочники!$F$3,Учет!$H3397,0)</f>
        <v>0</v>
      </c>
      <c r="S3397" s="48">
        <f>IF(Учет!$O3397=Справочники!$F$4,Учет!$H3397,0)</f>
        <v>0</v>
      </c>
      <c r="T3397" s="48">
        <f>IF(Учет!$O3397=Справочники!$F$5,Учет!$H3397,0)</f>
        <v>0</v>
      </c>
      <c r="U3397" s="48">
        <f>IF(Учет!$O3397=Справочники!$F$6,Учет!$H3397,0)</f>
        <v>0</v>
      </c>
      <c r="V3397" s="43">
        <f>V3396+Учет!Q3397-Q3397</f>
        <v>-488978.92000000004</v>
      </c>
      <c r="W3397" s="43">
        <f>W3396+Учет!R3397-R3397</f>
        <v>336855</v>
      </c>
      <c r="X3397" s="43">
        <f>X3396+Учет!S3397-S3397</f>
        <v>500</v>
      </c>
      <c r="Y3397" s="43">
        <f>Y3396+Учет!T3397-T3397</f>
        <v>1150</v>
      </c>
      <c r="Z3397" s="43">
        <f>Z3396+Учет!U3397-U3397</f>
        <v>500000</v>
      </c>
      <c r="AA3397" s="45">
        <f>Учет!X3397</f>
        <v>500</v>
      </c>
    </row>
    <row r="3398" spans="1:27" ht="15" customHeight="1" x14ac:dyDescent="0.25">
      <c r="A3398" s="1"/>
      <c r="B3398" s="17"/>
      <c r="C3398" s="17"/>
      <c r="D3398" s="17"/>
      <c r="E3398" s="17"/>
      <c r="F3398" s="17"/>
      <c r="G3398" s="4">
        <f t="shared" si="156"/>
        <v>0</v>
      </c>
      <c r="H3398" s="17"/>
      <c r="I3398" s="4">
        <f t="shared" si="158"/>
        <v>349526.07999999996</v>
      </c>
      <c r="J3398" s="32" t="str">
        <f t="shared" si="157"/>
        <v/>
      </c>
      <c r="K3398" s="72"/>
      <c r="L3398" s="72"/>
      <c r="M3398" s="2"/>
      <c r="N3398" s="5"/>
      <c r="O3398" s="3"/>
      <c r="P3398" s="6"/>
      <c r="Q3398" s="48">
        <f>IF(Учет!$O3398=Справочники!$F$2,Учет!$H3398,0)</f>
        <v>0</v>
      </c>
      <c r="R3398" s="48">
        <f>IF(Учет!$O3398=Справочники!$F$3,Учет!$H3398,0)</f>
        <v>0</v>
      </c>
      <c r="S3398" s="48">
        <f>IF(Учет!$O3398=Справочники!$F$4,Учет!$H3398,0)</f>
        <v>0</v>
      </c>
      <c r="T3398" s="48">
        <f>IF(Учет!$O3398=Справочники!$F$5,Учет!$H3398,0)</f>
        <v>0</v>
      </c>
      <c r="U3398" s="48">
        <f>IF(Учет!$O3398=Справочники!$F$6,Учет!$H3398,0)</f>
        <v>0</v>
      </c>
      <c r="V3398" s="43">
        <f>V3397+Учет!Q3398-Q3398</f>
        <v>-488978.92000000004</v>
      </c>
      <c r="W3398" s="43">
        <f>W3397+Учет!R3398-R3398</f>
        <v>336855</v>
      </c>
      <c r="X3398" s="43">
        <f>X3397+Учет!S3398-S3398</f>
        <v>500</v>
      </c>
      <c r="Y3398" s="43">
        <f>Y3397+Учет!T3398-T3398</f>
        <v>1150</v>
      </c>
      <c r="Z3398" s="43">
        <f>Z3397+Учет!U3398-U3398</f>
        <v>500000</v>
      </c>
      <c r="AA3398" s="45">
        <f>Учет!X3398</f>
        <v>500</v>
      </c>
    </row>
    <row r="3399" spans="1:27" ht="15" customHeight="1" x14ac:dyDescent="0.25">
      <c r="A3399" s="1"/>
      <c r="B3399" s="17"/>
      <c r="C3399" s="17"/>
      <c r="D3399" s="17"/>
      <c r="E3399" s="17"/>
      <c r="F3399" s="17"/>
      <c r="G3399" s="4">
        <f t="shared" si="156"/>
        <v>0</v>
      </c>
      <c r="H3399" s="17"/>
      <c r="I3399" s="4">
        <f t="shared" si="158"/>
        <v>349526.07999999996</v>
      </c>
      <c r="J3399" s="32" t="str">
        <f t="shared" si="157"/>
        <v/>
      </c>
      <c r="K3399" s="72"/>
      <c r="L3399" s="72"/>
      <c r="M3399" s="2"/>
      <c r="N3399" s="5"/>
      <c r="O3399" s="3"/>
      <c r="P3399" s="6"/>
      <c r="Q3399" s="48">
        <f>IF(Учет!$O3399=Справочники!$F$2,Учет!$H3399,0)</f>
        <v>0</v>
      </c>
      <c r="R3399" s="48">
        <f>IF(Учет!$O3399=Справочники!$F$3,Учет!$H3399,0)</f>
        <v>0</v>
      </c>
      <c r="S3399" s="48">
        <f>IF(Учет!$O3399=Справочники!$F$4,Учет!$H3399,0)</f>
        <v>0</v>
      </c>
      <c r="T3399" s="48">
        <f>IF(Учет!$O3399=Справочники!$F$5,Учет!$H3399,0)</f>
        <v>0</v>
      </c>
      <c r="U3399" s="48">
        <f>IF(Учет!$O3399=Справочники!$F$6,Учет!$H3399,0)</f>
        <v>0</v>
      </c>
      <c r="V3399" s="43">
        <f>V3398+Учет!Q3399-Q3399</f>
        <v>-488978.92000000004</v>
      </c>
      <c r="W3399" s="43">
        <f>W3398+Учет!R3399-R3399</f>
        <v>336855</v>
      </c>
      <c r="X3399" s="43">
        <f>X3398+Учет!S3399-S3399</f>
        <v>500</v>
      </c>
      <c r="Y3399" s="43">
        <f>Y3398+Учет!T3399-T3399</f>
        <v>1150</v>
      </c>
      <c r="Z3399" s="43">
        <f>Z3398+Учет!U3399-U3399</f>
        <v>500000</v>
      </c>
      <c r="AA3399" s="45">
        <f>Учет!X3399</f>
        <v>500</v>
      </c>
    </row>
    <row r="3400" spans="1:27" ht="15" customHeight="1" x14ac:dyDescent="0.25">
      <c r="A3400" s="1"/>
      <c r="B3400" s="17"/>
      <c r="C3400" s="17"/>
      <c r="D3400" s="17"/>
      <c r="E3400" s="17"/>
      <c r="F3400" s="17"/>
      <c r="G3400" s="4">
        <f t="shared" si="156"/>
        <v>0</v>
      </c>
      <c r="H3400" s="17"/>
      <c r="I3400" s="4">
        <f t="shared" si="158"/>
        <v>349526.07999999996</v>
      </c>
      <c r="J3400" s="32" t="str">
        <f t="shared" si="157"/>
        <v/>
      </c>
      <c r="K3400" s="72"/>
      <c r="L3400" s="72"/>
      <c r="M3400" s="2"/>
      <c r="N3400" s="5"/>
      <c r="O3400" s="3"/>
      <c r="P3400" s="6"/>
      <c r="Q3400" s="48">
        <f>IF(Учет!$O3400=Справочники!$F$2,Учет!$H3400,0)</f>
        <v>0</v>
      </c>
      <c r="R3400" s="48">
        <f>IF(Учет!$O3400=Справочники!$F$3,Учет!$H3400,0)</f>
        <v>0</v>
      </c>
      <c r="S3400" s="48">
        <f>IF(Учет!$O3400=Справочники!$F$4,Учет!$H3400,0)</f>
        <v>0</v>
      </c>
      <c r="T3400" s="48">
        <f>IF(Учет!$O3400=Справочники!$F$5,Учет!$H3400,0)</f>
        <v>0</v>
      </c>
      <c r="U3400" s="48">
        <f>IF(Учет!$O3400=Справочники!$F$6,Учет!$H3400,0)</f>
        <v>0</v>
      </c>
      <c r="V3400" s="43">
        <f>V3399+Учет!Q3400-Q3400</f>
        <v>-488978.92000000004</v>
      </c>
      <c r="W3400" s="43">
        <f>W3399+Учет!R3400-R3400</f>
        <v>336855</v>
      </c>
      <c r="X3400" s="43">
        <f>X3399+Учет!S3400-S3400</f>
        <v>500</v>
      </c>
      <c r="Y3400" s="43">
        <f>Y3399+Учет!T3400-T3400</f>
        <v>1150</v>
      </c>
      <c r="Z3400" s="43">
        <f>Z3399+Учет!U3400-U3400</f>
        <v>500000</v>
      </c>
      <c r="AA3400" s="45">
        <f>Учет!X3400</f>
        <v>500</v>
      </c>
    </row>
    <row r="3401" spans="1:27" ht="15" customHeight="1" x14ac:dyDescent="0.25">
      <c r="A3401" s="1"/>
      <c r="B3401" s="17"/>
      <c r="C3401" s="17"/>
      <c r="D3401" s="17"/>
      <c r="E3401" s="17"/>
      <c r="F3401" s="17"/>
      <c r="G3401" s="4">
        <f t="shared" si="156"/>
        <v>0</v>
      </c>
      <c r="H3401" s="17"/>
      <c r="I3401" s="4">
        <f t="shared" si="158"/>
        <v>349526.07999999996</v>
      </c>
      <c r="J3401" s="32" t="str">
        <f t="shared" si="157"/>
        <v/>
      </c>
      <c r="K3401" s="72"/>
      <c r="L3401" s="72"/>
      <c r="M3401" s="2"/>
      <c r="N3401" s="5"/>
      <c r="O3401" s="3"/>
      <c r="P3401" s="6"/>
      <c r="Q3401" s="48">
        <f>IF(Учет!$O3401=Справочники!$F$2,Учет!$H3401,0)</f>
        <v>0</v>
      </c>
      <c r="R3401" s="48">
        <f>IF(Учет!$O3401=Справочники!$F$3,Учет!$H3401,0)</f>
        <v>0</v>
      </c>
      <c r="S3401" s="48">
        <f>IF(Учет!$O3401=Справочники!$F$4,Учет!$H3401,0)</f>
        <v>0</v>
      </c>
      <c r="T3401" s="48">
        <f>IF(Учет!$O3401=Справочники!$F$5,Учет!$H3401,0)</f>
        <v>0</v>
      </c>
      <c r="U3401" s="48">
        <f>IF(Учет!$O3401=Справочники!$F$6,Учет!$H3401,0)</f>
        <v>0</v>
      </c>
      <c r="V3401" s="43">
        <f>V3400+Учет!Q3401-Q3401</f>
        <v>-488978.92000000004</v>
      </c>
      <c r="W3401" s="43">
        <f>W3400+Учет!R3401-R3401</f>
        <v>336855</v>
      </c>
      <c r="X3401" s="43">
        <f>X3400+Учет!S3401-S3401</f>
        <v>500</v>
      </c>
      <c r="Y3401" s="43">
        <f>Y3400+Учет!T3401-T3401</f>
        <v>1150</v>
      </c>
      <c r="Z3401" s="43">
        <f>Z3400+Учет!U3401-U3401</f>
        <v>500000</v>
      </c>
      <c r="AA3401" s="45">
        <f>Учет!X3401</f>
        <v>500</v>
      </c>
    </row>
    <row r="3402" spans="1:27" ht="15" customHeight="1" x14ac:dyDescent="0.25">
      <c r="A3402" s="1"/>
      <c r="B3402" s="17"/>
      <c r="C3402" s="17"/>
      <c r="D3402" s="17"/>
      <c r="E3402" s="17"/>
      <c r="F3402" s="17"/>
      <c r="G3402" s="4">
        <f t="shared" si="156"/>
        <v>0</v>
      </c>
      <c r="H3402" s="17"/>
      <c r="I3402" s="4">
        <f t="shared" si="158"/>
        <v>349526.07999999996</v>
      </c>
      <c r="J3402" s="32" t="str">
        <f t="shared" si="157"/>
        <v/>
      </c>
      <c r="K3402" s="72"/>
      <c r="L3402" s="72"/>
      <c r="M3402" s="2"/>
      <c r="N3402" s="5"/>
      <c r="O3402" s="3"/>
      <c r="P3402" s="6"/>
      <c r="Q3402" s="48">
        <f>IF(Учет!$O3402=Справочники!$F$2,Учет!$H3402,0)</f>
        <v>0</v>
      </c>
      <c r="R3402" s="48">
        <f>IF(Учет!$O3402=Справочники!$F$3,Учет!$H3402,0)</f>
        <v>0</v>
      </c>
      <c r="S3402" s="48">
        <f>IF(Учет!$O3402=Справочники!$F$4,Учет!$H3402,0)</f>
        <v>0</v>
      </c>
      <c r="T3402" s="48">
        <f>IF(Учет!$O3402=Справочники!$F$5,Учет!$H3402,0)</f>
        <v>0</v>
      </c>
      <c r="U3402" s="48">
        <f>IF(Учет!$O3402=Справочники!$F$6,Учет!$H3402,0)</f>
        <v>0</v>
      </c>
      <c r="V3402" s="43">
        <f>V3401+Учет!Q3402-Q3402</f>
        <v>-488978.92000000004</v>
      </c>
      <c r="W3402" s="43">
        <f>W3401+Учет!R3402-R3402</f>
        <v>336855</v>
      </c>
      <c r="X3402" s="43">
        <f>X3401+Учет!S3402-S3402</f>
        <v>500</v>
      </c>
      <c r="Y3402" s="43">
        <f>Y3401+Учет!T3402-T3402</f>
        <v>1150</v>
      </c>
      <c r="Z3402" s="43">
        <f>Z3401+Учет!U3402-U3402</f>
        <v>500000</v>
      </c>
      <c r="AA3402" s="45">
        <f>Учет!X3402</f>
        <v>500</v>
      </c>
    </row>
    <row r="3403" spans="1:27" ht="15" customHeight="1" x14ac:dyDescent="0.25">
      <c r="A3403" s="1"/>
      <c r="B3403" s="17"/>
      <c r="C3403" s="17"/>
      <c r="D3403" s="17"/>
      <c r="E3403" s="17"/>
      <c r="F3403" s="17"/>
      <c r="G3403" s="4">
        <f t="shared" si="156"/>
        <v>0</v>
      </c>
      <c r="H3403" s="17"/>
      <c r="I3403" s="4">
        <f t="shared" si="158"/>
        <v>349526.07999999996</v>
      </c>
      <c r="J3403" s="32" t="str">
        <f t="shared" si="157"/>
        <v/>
      </c>
      <c r="K3403" s="72"/>
      <c r="L3403" s="72"/>
      <c r="M3403" s="2"/>
      <c r="N3403" s="5"/>
      <c r="O3403" s="3"/>
      <c r="P3403" s="6"/>
      <c r="Q3403" s="48">
        <f>IF(Учет!$O3403=Справочники!$F$2,Учет!$H3403,0)</f>
        <v>0</v>
      </c>
      <c r="R3403" s="48">
        <f>IF(Учет!$O3403=Справочники!$F$3,Учет!$H3403,0)</f>
        <v>0</v>
      </c>
      <c r="S3403" s="48">
        <f>IF(Учет!$O3403=Справочники!$F$4,Учет!$H3403,0)</f>
        <v>0</v>
      </c>
      <c r="T3403" s="48">
        <f>IF(Учет!$O3403=Справочники!$F$5,Учет!$H3403,0)</f>
        <v>0</v>
      </c>
      <c r="U3403" s="48">
        <f>IF(Учет!$O3403=Справочники!$F$6,Учет!$H3403,0)</f>
        <v>0</v>
      </c>
      <c r="V3403" s="43">
        <f>V3402+Учет!Q3403-Q3403</f>
        <v>-488978.92000000004</v>
      </c>
      <c r="W3403" s="43">
        <f>W3402+Учет!R3403-R3403</f>
        <v>336855</v>
      </c>
      <c r="X3403" s="43">
        <f>X3402+Учет!S3403-S3403</f>
        <v>500</v>
      </c>
      <c r="Y3403" s="43">
        <f>Y3402+Учет!T3403-T3403</f>
        <v>1150</v>
      </c>
      <c r="Z3403" s="43">
        <f>Z3402+Учет!U3403-U3403</f>
        <v>500000</v>
      </c>
      <c r="AA3403" s="45">
        <f>Учет!X3403</f>
        <v>500</v>
      </c>
    </row>
    <row r="3404" spans="1:27" ht="15" customHeight="1" x14ac:dyDescent="0.25">
      <c r="A3404" s="1"/>
      <c r="B3404" s="17"/>
      <c r="C3404" s="17"/>
      <c r="D3404" s="17"/>
      <c r="E3404" s="17"/>
      <c r="F3404" s="17"/>
      <c r="G3404" s="4">
        <f t="shared" si="156"/>
        <v>0</v>
      </c>
      <c r="H3404" s="17"/>
      <c r="I3404" s="4">
        <f t="shared" si="158"/>
        <v>349526.07999999996</v>
      </c>
      <c r="J3404" s="32" t="str">
        <f t="shared" si="157"/>
        <v/>
      </c>
      <c r="K3404" s="72"/>
      <c r="L3404" s="72"/>
      <c r="M3404" s="2"/>
      <c r="N3404" s="5"/>
      <c r="O3404" s="3"/>
      <c r="P3404" s="6"/>
      <c r="Q3404" s="48">
        <f>IF(Учет!$O3404=Справочники!$F$2,Учет!$H3404,0)</f>
        <v>0</v>
      </c>
      <c r="R3404" s="48">
        <f>IF(Учет!$O3404=Справочники!$F$3,Учет!$H3404,0)</f>
        <v>0</v>
      </c>
      <c r="S3404" s="48">
        <f>IF(Учет!$O3404=Справочники!$F$4,Учет!$H3404,0)</f>
        <v>0</v>
      </c>
      <c r="T3404" s="48">
        <f>IF(Учет!$O3404=Справочники!$F$5,Учет!$H3404,0)</f>
        <v>0</v>
      </c>
      <c r="U3404" s="48">
        <f>IF(Учет!$O3404=Справочники!$F$6,Учет!$H3404,0)</f>
        <v>0</v>
      </c>
      <c r="V3404" s="43">
        <f>V3403+Учет!Q3404-Q3404</f>
        <v>-488978.92000000004</v>
      </c>
      <c r="W3404" s="43">
        <f>W3403+Учет!R3404-R3404</f>
        <v>336855</v>
      </c>
      <c r="X3404" s="43">
        <f>X3403+Учет!S3404-S3404</f>
        <v>500</v>
      </c>
      <c r="Y3404" s="43">
        <f>Y3403+Учет!T3404-T3404</f>
        <v>1150</v>
      </c>
      <c r="Z3404" s="43">
        <f>Z3403+Учет!U3404-U3404</f>
        <v>500000</v>
      </c>
      <c r="AA3404" s="45">
        <f>Учет!X3404</f>
        <v>500</v>
      </c>
    </row>
    <row r="3405" spans="1:27" ht="15" customHeight="1" x14ac:dyDescent="0.25">
      <c r="A3405" s="1"/>
      <c r="B3405" s="17"/>
      <c r="C3405" s="17"/>
      <c r="D3405" s="17"/>
      <c r="E3405" s="17"/>
      <c r="F3405" s="17"/>
      <c r="G3405" s="4">
        <f t="shared" si="156"/>
        <v>0</v>
      </c>
      <c r="H3405" s="17"/>
      <c r="I3405" s="4">
        <f t="shared" si="158"/>
        <v>349526.07999999996</v>
      </c>
      <c r="J3405" s="32" t="str">
        <f t="shared" si="157"/>
        <v/>
      </c>
      <c r="K3405" s="72"/>
      <c r="L3405" s="72"/>
      <c r="M3405" s="2"/>
      <c r="N3405" s="5"/>
      <c r="O3405" s="3"/>
      <c r="P3405" s="6"/>
      <c r="Q3405" s="48">
        <f>IF(Учет!$O3405=Справочники!$F$2,Учет!$H3405,0)</f>
        <v>0</v>
      </c>
      <c r="R3405" s="48">
        <f>IF(Учет!$O3405=Справочники!$F$3,Учет!$H3405,0)</f>
        <v>0</v>
      </c>
      <c r="S3405" s="48">
        <f>IF(Учет!$O3405=Справочники!$F$4,Учет!$H3405,0)</f>
        <v>0</v>
      </c>
      <c r="T3405" s="48">
        <f>IF(Учет!$O3405=Справочники!$F$5,Учет!$H3405,0)</f>
        <v>0</v>
      </c>
      <c r="U3405" s="48">
        <f>IF(Учет!$O3405=Справочники!$F$6,Учет!$H3405,0)</f>
        <v>0</v>
      </c>
      <c r="V3405" s="43">
        <f>V3404+Учет!Q3405-Q3405</f>
        <v>-488978.92000000004</v>
      </c>
      <c r="W3405" s="43">
        <f>W3404+Учет!R3405-R3405</f>
        <v>336855</v>
      </c>
      <c r="X3405" s="43">
        <f>X3404+Учет!S3405-S3405</f>
        <v>500</v>
      </c>
      <c r="Y3405" s="43">
        <f>Y3404+Учет!T3405-T3405</f>
        <v>1150</v>
      </c>
      <c r="Z3405" s="43">
        <f>Z3404+Учет!U3405-U3405</f>
        <v>500000</v>
      </c>
      <c r="AA3405" s="45">
        <f>Учет!X3405</f>
        <v>500</v>
      </c>
    </row>
    <row r="3406" spans="1:27" ht="15" customHeight="1" x14ac:dyDescent="0.25">
      <c r="A3406" s="1"/>
      <c r="B3406" s="17"/>
      <c r="C3406" s="17"/>
      <c r="D3406" s="17"/>
      <c r="E3406" s="17"/>
      <c r="F3406" s="17"/>
      <c r="G3406" s="4">
        <f t="shared" si="156"/>
        <v>0</v>
      </c>
      <c r="H3406" s="17"/>
      <c r="I3406" s="4">
        <f t="shared" si="158"/>
        <v>349526.07999999996</v>
      </c>
      <c r="J3406" s="32" t="str">
        <f t="shared" si="157"/>
        <v/>
      </c>
      <c r="K3406" s="72"/>
      <c r="L3406" s="72"/>
      <c r="M3406" s="2"/>
      <c r="N3406" s="5"/>
      <c r="O3406" s="3"/>
      <c r="P3406" s="6"/>
      <c r="Q3406" s="48">
        <f>IF(Учет!$O3406=Справочники!$F$2,Учет!$H3406,0)</f>
        <v>0</v>
      </c>
      <c r="R3406" s="48">
        <f>IF(Учет!$O3406=Справочники!$F$3,Учет!$H3406,0)</f>
        <v>0</v>
      </c>
      <c r="S3406" s="48">
        <f>IF(Учет!$O3406=Справочники!$F$4,Учет!$H3406,0)</f>
        <v>0</v>
      </c>
      <c r="T3406" s="48">
        <f>IF(Учет!$O3406=Справочники!$F$5,Учет!$H3406,0)</f>
        <v>0</v>
      </c>
      <c r="U3406" s="48">
        <f>IF(Учет!$O3406=Справочники!$F$6,Учет!$H3406,0)</f>
        <v>0</v>
      </c>
      <c r="V3406" s="43">
        <f>V3405+Учет!Q3406-Q3406</f>
        <v>-488978.92000000004</v>
      </c>
      <c r="W3406" s="43">
        <f>W3405+Учет!R3406-R3406</f>
        <v>336855</v>
      </c>
      <c r="X3406" s="43">
        <f>X3405+Учет!S3406-S3406</f>
        <v>500</v>
      </c>
      <c r="Y3406" s="43">
        <f>Y3405+Учет!T3406-T3406</f>
        <v>1150</v>
      </c>
      <c r="Z3406" s="43">
        <f>Z3405+Учет!U3406-U3406</f>
        <v>500000</v>
      </c>
      <c r="AA3406" s="45">
        <f>Учет!X3406</f>
        <v>500</v>
      </c>
    </row>
    <row r="3407" spans="1:27" ht="15" customHeight="1" x14ac:dyDescent="0.25">
      <c r="A3407" s="1"/>
      <c r="B3407" s="17"/>
      <c r="C3407" s="17"/>
      <c r="D3407" s="17"/>
      <c r="E3407" s="17"/>
      <c r="F3407" s="17"/>
      <c r="G3407" s="4">
        <f t="shared" si="156"/>
        <v>0</v>
      </c>
      <c r="H3407" s="17"/>
      <c r="I3407" s="4">
        <f t="shared" si="158"/>
        <v>349526.07999999996</v>
      </c>
      <c r="J3407" s="32" t="str">
        <f t="shared" si="157"/>
        <v/>
      </c>
      <c r="K3407" s="72"/>
      <c r="L3407" s="72"/>
      <c r="M3407" s="2"/>
      <c r="N3407" s="5"/>
      <c r="O3407" s="3"/>
      <c r="P3407" s="6"/>
      <c r="Q3407" s="48">
        <f>IF(Учет!$O3407=Справочники!$F$2,Учет!$H3407,0)</f>
        <v>0</v>
      </c>
      <c r="R3407" s="48">
        <f>IF(Учет!$O3407=Справочники!$F$3,Учет!$H3407,0)</f>
        <v>0</v>
      </c>
      <c r="S3407" s="48">
        <f>IF(Учет!$O3407=Справочники!$F$4,Учет!$H3407,0)</f>
        <v>0</v>
      </c>
      <c r="T3407" s="48">
        <f>IF(Учет!$O3407=Справочники!$F$5,Учет!$H3407,0)</f>
        <v>0</v>
      </c>
      <c r="U3407" s="48">
        <f>IF(Учет!$O3407=Справочники!$F$6,Учет!$H3407,0)</f>
        <v>0</v>
      </c>
      <c r="V3407" s="43">
        <f>V3406+Учет!Q3407-Q3407</f>
        <v>-488978.92000000004</v>
      </c>
      <c r="W3407" s="43">
        <f>W3406+Учет!R3407-R3407</f>
        <v>336855</v>
      </c>
      <c r="X3407" s="43">
        <f>X3406+Учет!S3407-S3407</f>
        <v>500</v>
      </c>
      <c r="Y3407" s="43">
        <f>Y3406+Учет!T3407-T3407</f>
        <v>1150</v>
      </c>
      <c r="Z3407" s="43">
        <f>Z3406+Учет!U3407-U3407</f>
        <v>500000</v>
      </c>
      <c r="AA3407" s="45">
        <f>Учет!X3407</f>
        <v>500</v>
      </c>
    </row>
    <row r="3408" spans="1:27" ht="15" customHeight="1" x14ac:dyDescent="0.25">
      <c r="A3408" s="1"/>
      <c r="B3408" s="17"/>
      <c r="C3408" s="17"/>
      <c r="D3408" s="17"/>
      <c r="E3408" s="17"/>
      <c r="F3408" s="17"/>
      <c r="G3408" s="4">
        <f t="shared" si="156"/>
        <v>0</v>
      </c>
      <c r="H3408" s="17"/>
      <c r="I3408" s="4">
        <f t="shared" si="158"/>
        <v>349526.07999999996</v>
      </c>
      <c r="J3408" s="32" t="str">
        <f t="shared" si="157"/>
        <v/>
      </c>
      <c r="K3408" s="72"/>
      <c r="L3408" s="72"/>
      <c r="M3408" s="2"/>
      <c r="N3408" s="5"/>
      <c r="O3408" s="3"/>
      <c r="P3408" s="6"/>
      <c r="Q3408" s="48">
        <f>IF(Учет!$O3408=Справочники!$F$2,Учет!$H3408,0)</f>
        <v>0</v>
      </c>
      <c r="R3408" s="48">
        <f>IF(Учет!$O3408=Справочники!$F$3,Учет!$H3408,0)</f>
        <v>0</v>
      </c>
      <c r="S3408" s="48">
        <f>IF(Учет!$O3408=Справочники!$F$4,Учет!$H3408,0)</f>
        <v>0</v>
      </c>
      <c r="T3408" s="48">
        <f>IF(Учет!$O3408=Справочники!$F$5,Учет!$H3408,0)</f>
        <v>0</v>
      </c>
      <c r="U3408" s="48">
        <f>IF(Учет!$O3408=Справочники!$F$6,Учет!$H3408,0)</f>
        <v>0</v>
      </c>
      <c r="V3408" s="43">
        <f>V3407+Учет!Q3408-Q3408</f>
        <v>-488978.92000000004</v>
      </c>
      <c r="W3408" s="43">
        <f>W3407+Учет!R3408-R3408</f>
        <v>336855</v>
      </c>
      <c r="X3408" s="43">
        <f>X3407+Учет!S3408-S3408</f>
        <v>500</v>
      </c>
      <c r="Y3408" s="43">
        <f>Y3407+Учет!T3408-T3408</f>
        <v>1150</v>
      </c>
      <c r="Z3408" s="43">
        <f>Z3407+Учет!U3408-U3408</f>
        <v>500000</v>
      </c>
      <c r="AA3408" s="45">
        <f>Учет!X3408</f>
        <v>500</v>
      </c>
    </row>
    <row r="3409" spans="1:27" ht="15" customHeight="1" x14ac:dyDescent="0.25">
      <c r="A3409" s="1"/>
      <c r="B3409" s="17"/>
      <c r="C3409" s="17"/>
      <c r="D3409" s="17"/>
      <c r="E3409" s="17"/>
      <c r="F3409" s="17"/>
      <c r="G3409" s="4">
        <f t="shared" si="156"/>
        <v>0</v>
      </c>
      <c r="H3409" s="17"/>
      <c r="I3409" s="4">
        <f t="shared" si="158"/>
        <v>349526.07999999996</v>
      </c>
      <c r="J3409" s="32" t="str">
        <f t="shared" si="157"/>
        <v/>
      </c>
      <c r="K3409" s="72"/>
      <c r="L3409" s="72"/>
      <c r="M3409" s="2"/>
      <c r="N3409" s="5"/>
      <c r="O3409" s="3"/>
      <c r="P3409" s="6"/>
      <c r="Q3409" s="48">
        <f>IF(Учет!$O3409=Справочники!$F$2,Учет!$H3409,0)</f>
        <v>0</v>
      </c>
      <c r="R3409" s="48">
        <f>IF(Учет!$O3409=Справочники!$F$3,Учет!$H3409,0)</f>
        <v>0</v>
      </c>
      <c r="S3409" s="48">
        <f>IF(Учет!$O3409=Справочники!$F$4,Учет!$H3409,0)</f>
        <v>0</v>
      </c>
      <c r="T3409" s="48">
        <f>IF(Учет!$O3409=Справочники!$F$5,Учет!$H3409,0)</f>
        <v>0</v>
      </c>
      <c r="U3409" s="48">
        <f>IF(Учет!$O3409=Справочники!$F$6,Учет!$H3409,0)</f>
        <v>0</v>
      </c>
      <c r="V3409" s="43">
        <f>V3408+Учет!Q3409-Q3409</f>
        <v>-488978.92000000004</v>
      </c>
      <c r="W3409" s="43">
        <f>W3408+Учет!R3409-R3409</f>
        <v>336855</v>
      </c>
      <c r="X3409" s="43">
        <f>X3408+Учет!S3409-S3409</f>
        <v>500</v>
      </c>
      <c r="Y3409" s="43">
        <f>Y3408+Учет!T3409-T3409</f>
        <v>1150</v>
      </c>
      <c r="Z3409" s="43">
        <f>Z3408+Учет!U3409-U3409</f>
        <v>500000</v>
      </c>
      <c r="AA3409" s="45">
        <f>Учет!X3409</f>
        <v>500</v>
      </c>
    </row>
    <row r="3410" spans="1:27" ht="15" customHeight="1" x14ac:dyDescent="0.25">
      <c r="A3410" s="1"/>
      <c r="B3410" s="17"/>
      <c r="C3410" s="17"/>
      <c r="D3410" s="17"/>
      <c r="E3410" s="17"/>
      <c r="F3410" s="17"/>
      <c r="G3410" s="4">
        <f t="shared" si="156"/>
        <v>0</v>
      </c>
      <c r="H3410" s="17"/>
      <c r="I3410" s="4">
        <f t="shared" si="158"/>
        <v>349526.07999999996</v>
      </c>
      <c r="J3410" s="32" t="str">
        <f t="shared" si="157"/>
        <v/>
      </c>
      <c r="K3410" s="72"/>
      <c r="L3410" s="72"/>
      <c r="M3410" s="2"/>
      <c r="N3410" s="5"/>
      <c r="O3410" s="3"/>
      <c r="P3410" s="6"/>
      <c r="Q3410" s="48">
        <f>IF(Учет!$O3410=Справочники!$F$2,Учет!$H3410,0)</f>
        <v>0</v>
      </c>
      <c r="R3410" s="48">
        <f>IF(Учет!$O3410=Справочники!$F$3,Учет!$H3410,0)</f>
        <v>0</v>
      </c>
      <c r="S3410" s="48">
        <f>IF(Учет!$O3410=Справочники!$F$4,Учет!$H3410,0)</f>
        <v>0</v>
      </c>
      <c r="T3410" s="48">
        <f>IF(Учет!$O3410=Справочники!$F$5,Учет!$H3410,0)</f>
        <v>0</v>
      </c>
      <c r="U3410" s="48">
        <f>IF(Учет!$O3410=Справочники!$F$6,Учет!$H3410,0)</f>
        <v>0</v>
      </c>
      <c r="V3410" s="43">
        <f>V3409+Учет!Q3410-Q3410</f>
        <v>-488978.92000000004</v>
      </c>
      <c r="W3410" s="43">
        <f>W3409+Учет!R3410-R3410</f>
        <v>336855</v>
      </c>
      <c r="X3410" s="43">
        <f>X3409+Учет!S3410-S3410</f>
        <v>500</v>
      </c>
      <c r="Y3410" s="43">
        <f>Y3409+Учет!T3410-T3410</f>
        <v>1150</v>
      </c>
      <c r="Z3410" s="43">
        <f>Z3409+Учет!U3410-U3410</f>
        <v>500000</v>
      </c>
      <c r="AA3410" s="45">
        <f>Учет!X3410</f>
        <v>500</v>
      </c>
    </row>
    <row r="3411" spans="1:27" ht="15" customHeight="1" x14ac:dyDescent="0.25">
      <c r="A3411" s="1"/>
      <c r="B3411" s="17"/>
      <c r="C3411" s="17"/>
      <c r="D3411" s="17"/>
      <c r="E3411" s="17"/>
      <c r="F3411" s="17"/>
      <c r="G3411" s="4">
        <f t="shared" si="156"/>
        <v>0</v>
      </c>
      <c r="H3411" s="17"/>
      <c r="I3411" s="4">
        <f t="shared" si="158"/>
        <v>349526.07999999996</v>
      </c>
      <c r="J3411" s="32" t="str">
        <f t="shared" si="157"/>
        <v/>
      </c>
      <c r="K3411" s="72"/>
      <c r="L3411" s="72"/>
      <c r="M3411" s="2"/>
      <c r="N3411" s="5"/>
      <c r="O3411" s="3"/>
      <c r="P3411" s="6"/>
      <c r="Q3411" s="48">
        <f>IF(Учет!$O3411=Справочники!$F$2,Учет!$H3411,0)</f>
        <v>0</v>
      </c>
      <c r="R3411" s="48">
        <f>IF(Учет!$O3411=Справочники!$F$3,Учет!$H3411,0)</f>
        <v>0</v>
      </c>
      <c r="S3411" s="48">
        <f>IF(Учет!$O3411=Справочники!$F$4,Учет!$H3411,0)</f>
        <v>0</v>
      </c>
      <c r="T3411" s="48">
        <f>IF(Учет!$O3411=Справочники!$F$5,Учет!$H3411,0)</f>
        <v>0</v>
      </c>
      <c r="U3411" s="48">
        <f>IF(Учет!$O3411=Справочники!$F$6,Учет!$H3411,0)</f>
        <v>0</v>
      </c>
      <c r="V3411" s="43">
        <f>V3410+Учет!Q3411-Q3411</f>
        <v>-488978.92000000004</v>
      </c>
      <c r="W3411" s="43">
        <f>W3410+Учет!R3411-R3411</f>
        <v>336855</v>
      </c>
      <c r="X3411" s="43">
        <f>X3410+Учет!S3411-S3411</f>
        <v>500</v>
      </c>
      <c r="Y3411" s="43">
        <f>Y3410+Учет!T3411-T3411</f>
        <v>1150</v>
      </c>
      <c r="Z3411" s="43">
        <f>Z3410+Учет!U3411-U3411</f>
        <v>500000</v>
      </c>
      <c r="AA3411" s="45">
        <f>Учет!X3411</f>
        <v>500</v>
      </c>
    </row>
    <row r="3412" spans="1:27" ht="15" customHeight="1" x14ac:dyDescent="0.25">
      <c r="A3412" s="1"/>
      <c r="B3412" s="17"/>
      <c r="C3412" s="17"/>
      <c r="D3412" s="17"/>
      <c r="E3412" s="17"/>
      <c r="F3412" s="17"/>
      <c r="G3412" s="4">
        <f t="shared" si="156"/>
        <v>0</v>
      </c>
      <c r="H3412" s="17"/>
      <c r="I3412" s="4">
        <f t="shared" si="158"/>
        <v>349526.07999999996</v>
      </c>
      <c r="J3412" s="32" t="str">
        <f t="shared" si="157"/>
        <v/>
      </c>
      <c r="K3412" s="72"/>
      <c r="L3412" s="72"/>
      <c r="M3412" s="2"/>
      <c r="N3412" s="5"/>
      <c r="O3412" s="3"/>
      <c r="P3412" s="6"/>
      <c r="Q3412" s="48">
        <f>IF(Учет!$O3412=Справочники!$F$2,Учет!$H3412,0)</f>
        <v>0</v>
      </c>
      <c r="R3412" s="48">
        <f>IF(Учет!$O3412=Справочники!$F$3,Учет!$H3412,0)</f>
        <v>0</v>
      </c>
      <c r="S3412" s="48">
        <f>IF(Учет!$O3412=Справочники!$F$4,Учет!$H3412,0)</f>
        <v>0</v>
      </c>
      <c r="T3412" s="48">
        <f>IF(Учет!$O3412=Справочники!$F$5,Учет!$H3412,0)</f>
        <v>0</v>
      </c>
      <c r="U3412" s="48">
        <f>IF(Учет!$O3412=Справочники!$F$6,Учет!$H3412,0)</f>
        <v>0</v>
      </c>
      <c r="V3412" s="43">
        <f>V3411+Учет!Q3412-Q3412</f>
        <v>-488978.92000000004</v>
      </c>
      <c r="W3412" s="43">
        <f>W3411+Учет!R3412-R3412</f>
        <v>336855</v>
      </c>
      <c r="X3412" s="43">
        <f>X3411+Учет!S3412-S3412</f>
        <v>500</v>
      </c>
      <c r="Y3412" s="43">
        <f>Y3411+Учет!T3412-T3412</f>
        <v>1150</v>
      </c>
      <c r="Z3412" s="43">
        <f>Z3411+Учет!U3412-U3412</f>
        <v>500000</v>
      </c>
      <c r="AA3412" s="45">
        <f>Учет!X3412</f>
        <v>500</v>
      </c>
    </row>
    <row r="3413" spans="1:27" ht="15" customHeight="1" x14ac:dyDescent="0.25">
      <c r="A3413" s="1"/>
      <c r="B3413" s="17"/>
      <c r="C3413" s="17"/>
      <c r="D3413" s="17"/>
      <c r="E3413" s="17"/>
      <c r="F3413" s="17"/>
      <c r="G3413" s="4">
        <f t="shared" si="156"/>
        <v>0</v>
      </c>
      <c r="H3413" s="17"/>
      <c r="I3413" s="4">
        <f t="shared" si="158"/>
        <v>349526.07999999996</v>
      </c>
      <c r="J3413" s="32" t="str">
        <f t="shared" si="157"/>
        <v/>
      </c>
      <c r="K3413" s="72"/>
      <c r="L3413" s="72"/>
      <c r="M3413" s="2"/>
      <c r="N3413" s="5"/>
      <c r="O3413" s="3"/>
      <c r="P3413" s="6"/>
      <c r="Q3413" s="48">
        <f>IF(Учет!$O3413=Справочники!$F$2,Учет!$H3413,0)</f>
        <v>0</v>
      </c>
      <c r="R3413" s="48">
        <f>IF(Учет!$O3413=Справочники!$F$3,Учет!$H3413,0)</f>
        <v>0</v>
      </c>
      <c r="S3413" s="48">
        <f>IF(Учет!$O3413=Справочники!$F$4,Учет!$H3413,0)</f>
        <v>0</v>
      </c>
      <c r="T3413" s="48">
        <f>IF(Учет!$O3413=Справочники!$F$5,Учет!$H3413,0)</f>
        <v>0</v>
      </c>
      <c r="U3413" s="48">
        <f>IF(Учет!$O3413=Справочники!$F$6,Учет!$H3413,0)</f>
        <v>0</v>
      </c>
      <c r="V3413" s="43">
        <f>V3412+Учет!Q3413-Q3413</f>
        <v>-488978.92000000004</v>
      </c>
      <c r="W3413" s="43">
        <f>W3412+Учет!R3413-R3413</f>
        <v>336855</v>
      </c>
      <c r="X3413" s="43">
        <f>X3412+Учет!S3413-S3413</f>
        <v>500</v>
      </c>
      <c r="Y3413" s="43">
        <f>Y3412+Учет!T3413-T3413</f>
        <v>1150</v>
      </c>
      <c r="Z3413" s="43">
        <f>Z3412+Учет!U3413-U3413</f>
        <v>500000</v>
      </c>
      <c r="AA3413" s="45">
        <f>Учет!X3413</f>
        <v>500</v>
      </c>
    </row>
    <row r="3414" spans="1:27" ht="15" customHeight="1" x14ac:dyDescent="0.25">
      <c r="A3414" s="1"/>
      <c r="B3414" s="17"/>
      <c r="C3414" s="17"/>
      <c r="D3414" s="17"/>
      <c r="E3414" s="17"/>
      <c r="F3414" s="17"/>
      <c r="G3414" s="4">
        <f t="shared" si="156"/>
        <v>0</v>
      </c>
      <c r="H3414" s="17"/>
      <c r="I3414" s="4">
        <f t="shared" si="158"/>
        <v>349526.07999999996</v>
      </c>
      <c r="J3414" s="32" t="str">
        <f t="shared" si="157"/>
        <v/>
      </c>
      <c r="K3414" s="72"/>
      <c r="L3414" s="72"/>
      <c r="M3414" s="2"/>
      <c r="N3414" s="5"/>
      <c r="O3414" s="3"/>
      <c r="P3414" s="6"/>
      <c r="Q3414" s="48">
        <f>IF(Учет!$O3414=Справочники!$F$2,Учет!$H3414,0)</f>
        <v>0</v>
      </c>
      <c r="R3414" s="48">
        <f>IF(Учет!$O3414=Справочники!$F$3,Учет!$H3414,0)</f>
        <v>0</v>
      </c>
      <c r="S3414" s="48">
        <f>IF(Учет!$O3414=Справочники!$F$4,Учет!$H3414,0)</f>
        <v>0</v>
      </c>
      <c r="T3414" s="48">
        <f>IF(Учет!$O3414=Справочники!$F$5,Учет!$H3414,0)</f>
        <v>0</v>
      </c>
      <c r="U3414" s="48">
        <f>IF(Учет!$O3414=Справочники!$F$6,Учет!$H3414,0)</f>
        <v>0</v>
      </c>
      <c r="V3414" s="43">
        <f>V3413+Учет!Q3414-Q3414</f>
        <v>-488978.92000000004</v>
      </c>
      <c r="W3414" s="43">
        <f>W3413+Учет!R3414-R3414</f>
        <v>336855</v>
      </c>
      <c r="X3414" s="43">
        <f>X3413+Учет!S3414-S3414</f>
        <v>500</v>
      </c>
      <c r="Y3414" s="43">
        <f>Y3413+Учет!T3414-T3414</f>
        <v>1150</v>
      </c>
      <c r="Z3414" s="43">
        <f>Z3413+Учет!U3414-U3414</f>
        <v>500000</v>
      </c>
      <c r="AA3414" s="45">
        <f>Учет!X3414</f>
        <v>500</v>
      </c>
    </row>
    <row r="3415" spans="1:27" ht="15" customHeight="1" x14ac:dyDescent="0.25">
      <c r="A3415" s="1"/>
      <c r="B3415" s="17"/>
      <c r="C3415" s="17"/>
      <c r="D3415" s="17"/>
      <c r="E3415" s="17"/>
      <c r="F3415" s="17"/>
      <c r="G3415" s="4">
        <f t="shared" si="156"/>
        <v>0</v>
      </c>
      <c r="H3415" s="17"/>
      <c r="I3415" s="4">
        <f t="shared" si="158"/>
        <v>349526.07999999996</v>
      </c>
      <c r="J3415" s="32" t="str">
        <f t="shared" si="157"/>
        <v/>
      </c>
      <c r="K3415" s="72"/>
      <c r="L3415" s="72"/>
      <c r="M3415" s="2"/>
      <c r="N3415" s="5"/>
      <c r="O3415" s="3"/>
      <c r="P3415" s="6"/>
      <c r="Q3415" s="48">
        <f>IF(Учет!$O3415=Справочники!$F$2,Учет!$H3415,0)</f>
        <v>0</v>
      </c>
      <c r="R3415" s="48">
        <f>IF(Учет!$O3415=Справочники!$F$3,Учет!$H3415,0)</f>
        <v>0</v>
      </c>
      <c r="S3415" s="48">
        <f>IF(Учет!$O3415=Справочники!$F$4,Учет!$H3415,0)</f>
        <v>0</v>
      </c>
      <c r="T3415" s="48">
        <f>IF(Учет!$O3415=Справочники!$F$5,Учет!$H3415,0)</f>
        <v>0</v>
      </c>
      <c r="U3415" s="48">
        <f>IF(Учет!$O3415=Справочники!$F$6,Учет!$H3415,0)</f>
        <v>0</v>
      </c>
      <c r="V3415" s="43">
        <f>V3414+Учет!Q3415-Q3415</f>
        <v>-488978.92000000004</v>
      </c>
      <c r="W3415" s="43">
        <f>W3414+Учет!R3415-R3415</f>
        <v>336855</v>
      </c>
      <c r="X3415" s="43">
        <f>X3414+Учет!S3415-S3415</f>
        <v>500</v>
      </c>
      <c r="Y3415" s="43">
        <f>Y3414+Учет!T3415-T3415</f>
        <v>1150</v>
      </c>
      <c r="Z3415" s="43">
        <f>Z3414+Учет!U3415-U3415</f>
        <v>500000</v>
      </c>
      <c r="AA3415" s="45">
        <f>Учет!X3415</f>
        <v>500</v>
      </c>
    </row>
    <row r="3416" spans="1:27" ht="15" customHeight="1" x14ac:dyDescent="0.25">
      <c r="A3416" s="1"/>
      <c r="B3416" s="17"/>
      <c r="C3416" s="17"/>
      <c r="D3416" s="17"/>
      <c r="E3416" s="17"/>
      <c r="F3416" s="17"/>
      <c r="G3416" s="4">
        <f t="shared" si="156"/>
        <v>0</v>
      </c>
      <c r="H3416" s="17"/>
      <c r="I3416" s="4">
        <f t="shared" si="158"/>
        <v>349526.07999999996</v>
      </c>
      <c r="J3416" s="32" t="str">
        <f t="shared" si="157"/>
        <v/>
      </c>
      <c r="K3416" s="72"/>
      <c r="L3416" s="72"/>
      <c r="M3416" s="2"/>
      <c r="N3416" s="5"/>
      <c r="O3416" s="3"/>
      <c r="P3416" s="6"/>
      <c r="Q3416" s="48">
        <f>IF(Учет!$O3416=Справочники!$F$2,Учет!$H3416,0)</f>
        <v>0</v>
      </c>
      <c r="R3416" s="48">
        <f>IF(Учет!$O3416=Справочники!$F$3,Учет!$H3416,0)</f>
        <v>0</v>
      </c>
      <c r="S3416" s="48">
        <f>IF(Учет!$O3416=Справочники!$F$4,Учет!$H3416,0)</f>
        <v>0</v>
      </c>
      <c r="T3416" s="48">
        <f>IF(Учет!$O3416=Справочники!$F$5,Учет!$H3416,0)</f>
        <v>0</v>
      </c>
      <c r="U3416" s="48">
        <f>IF(Учет!$O3416=Справочники!$F$6,Учет!$H3416,0)</f>
        <v>0</v>
      </c>
      <c r="V3416" s="43">
        <f>V3415+Учет!Q3416-Q3416</f>
        <v>-488978.92000000004</v>
      </c>
      <c r="W3416" s="43">
        <f>W3415+Учет!R3416-R3416</f>
        <v>336855</v>
      </c>
      <c r="X3416" s="43">
        <f>X3415+Учет!S3416-S3416</f>
        <v>500</v>
      </c>
      <c r="Y3416" s="43">
        <f>Y3415+Учет!T3416-T3416</f>
        <v>1150</v>
      </c>
      <c r="Z3416" s="43">
        <f>Z3415+Учет!U3416-U3416</f>
        <v>500000</v>
      </c>
      <c r="AA3416" s="45">
        <f>Учет!X3416</f>
        <v>500</v>
      </c>
    </row>
    <row r="3417" spans="1:27" ht="15" customHeight="1" x14ac:dyDescent="0.25">
      <c r="A3417" s="1"/>
      <c r="B3417" s="17"/>
      <c r="C3417" s="17"/>
      <c r="D3417" s="17"/>
      <c r="E3417" s="17"/>
      <c r="F3417" s="17"/>
      <c r="G3417" s="4">
        <f t="shared" si="156"/>
        <v>0</v>
      </c>
      <c r="H3417" s="17"/>
      <c r="I3417" s="4">
        <f t="shared" si="158"/>
        <v>349526.07999999996</v>
      </c>
      <c r="J3417" s="32" t="str">
        <f t="shared" si="157"/>
        <v/>
      </c>
      <c r="K3417" s="72"/>
      <c r="L3417" s="72"/>
      <c r="M3417" s="2"/>
      <c r="N3417" s="5"/>
      <c r="O3417" s="3"/>
      <c r="P3417" s="6"/>
      <c r="Q3417" s="48">
        <f>IF(Учет!$O3417=Справочники!$F$2,Учет!$H3417,0)</f>
        <v>0</v>
      </c>
      <c r="R3417" s="48">
        <f>IF(Учет!$O3417=Справочники!$F$3,Учет!$H3417,0)</f>
        <v>0</v>
      </c>
      <c r="S3417" s="48">
        <f>IF(Учет!$O3417=Справочники!$F$4,Учет!$H3417,0)</f>
        <v>0</v>
      </c>
      <c r="T3417" s="48">
        <f>IF(Учет!$O3417=Справочники!$F$5,Учет!$H3417,0)</f>
        <v>0</v>
      </c>
      <c r="U3417" s="48">
        <f>IF(Учет!$O3417=Справочники!$F$6,Учет!$H3417,0)</f>
        <v>0</v>
      </c>
      <c r="V3417" s="43">
        <f>V3416+Учет!Q3417-Q3417</f>
        <v>-488978.92000000004</v>
      </c>
      <c r="W3417" s="43">
        <f>W3416+Учет!R3417-R3417</f>
        <v>336855</v>
      </c>
      <c r="X3417" s="43">
        <f>X3416+Учет!S3417-S3417</f>
        <v>500</v>
      </c>
      <c r="Y3417" s="43">
        <f>Y3416+Учет!T3417-T3417</f>
        <v>1150</v>
      </c>
      <c r="Z3417" s="43">
        <f>Z3416+Учет!U3417-U3417</f>
        <v>500000</v>
      </c>
      <c r="AA3417" s="45">
        <f>Учет!X3417</f>
        <v>500</v>
      </c>
    </row>
    <row r="3418" spans="1:27" ht="15" customHeight="1" x14ac:dyDescent="0.25">
      <c r="A3418" s="1"/>
      <c r="B3418" s="17"/>
      <c r="C3418" s="17"/>
      <c r="D3418" s="17"/>
      <c r="E3418" s="17"/>
      <c r="F3418" s="17"/>
      <c r="G3418" s="4">
        <f t="shared" si="156"/>
        <v>0</v>
      </c>
      <c r="H3418" s="17"/>
      <c r="I3418" s="4">
        <f t="shared" si="158"/>
        <v>349526.07999999996</v>
      </c>
      <c r="J3418" s="32" t="str">
        <f t="shared" si="157"/>
        <v/>
      </c>
      <c r="K3418" s="72"/>
      <c r="L3418" s="72"/>
      <c r="M3418" s="2"/>
      <c r="N3418" s="5"/>
      <c r="O3418" s="3"/>
      <c r="P3418" s="6"/>
      <c r="Q3418" s="48">
        <f>IF(Учет!$O3418=Справочники!$F$2,Учет!$H3418,0)</f>
        <v>0</v>
      </c>
      <c r="R3418" s="48">
        <f>IF(Учет!$O3418=Справочники!$F$3,Учет!$H3418,0)</f>
        <v>0</v>
      </c>
      <c r="S3418" s="48">
        <f>IF(Учет!$O3418=Справочники!$F$4,Учет!$H3418,0)</f>
        <v>0</v>
      </c>
      <c r="T3418" s="48">
        <f>IF(Учет!$O3418=Справочники!$F$5,Учет!$H3418,0)</f>
        <v>0</v>
      </c>
      <c r="U3418" s="48">
        <f>IF(Учет!$O3418=Справочники!$F$6,Учет!$H3418,0)</f>
        <v>0</v>
      </c>
      <c r="V3418" s="43">
        <f>V3417+Учет!Q3418-Q3418</f>
        <v>-488978.92000000004</v>
      </c>
      <c r="W3418" s="43">
        <f>W3417+Учет!R3418-R3418</f>
        <v>336855</v>
      </c>
      <c r="X3418" s="43">
        <f>X3417+Учет!S3418-S3418</f>
        <v>500</v>
      </c>
      <c r="Y3418" s="43">
        <f>Y3417+Учет!T3418-T3418</f>
        <v>1150</v>
      </c>
      <c r="Z3418" s="43">
        <f>Z3417+Учет!U3418-U3418</f>
        <v>500000</v>
      </c>
      <c r="AA3418" s="45">
        <f>Учет!X3418</f>
        <v>500</v>
      </c>
    </row>
    <row r="3419" spans="1:27" ht="15" customHeight="1" x14ac:dyDescent="0.25">
      <c r="A3419" s="1"/>
      <c r="B3419" s="17"/>
      <c r="C3419" s="17"/>
      <c r="D3419" s="17"/>
      <c r="E3419" s="17"/>
      <c r="F3419" s="17"/>
      <c r="G3419" s="4">
        <f t="shared" si="156"/>
        <v>0</v>
      </c>
      <c r="H3419" s="17"/>
      <c r="I3419" s="4">
        <f t="shared" si="158"/>
        <v>349526.07999999996</v>
      </c>
      <c r="J3419" s="32" t="str">
        <f t="shared" si="157"/>
        <v/>
      </c>
      <c r="K3419" s="72"/>
      <c r="L3419" s="72"/>
      <c r="M3419" s="2"/>
      <c r="N3419" s="5"/>
      <c r="O3419" s="3"/>
      <c r="P3419" s="6"/>
      <c r="Q3419" s="48">
        <f>IF(Учет!$O3419=Справочники!$F$2,Учет!$H3419,0)</f>
        <v>0</v>
      </c>
      <c r="R3419" s="48">
        <f>IF(Учет!$O3419=Справочники!$F$3,Учет!$H3419,0)</f>
        <v>0</v>
      </c>
      <c r="S3419" s="48">
        <f>IF(Учет!$O3419=Справочники!$F$4,Учет!$H3419,0)</f>
        <v>0</v>
      </c>
      <c r="T3419" s="48">
        <f>IF(Учет!$O3419=Справочники!$F$5,Учет!$H3419,0)</f>
        <v>0</v>
      </c>
      <c r="U3419" s="48">
        <f>IF(Учет!$O3419=Справочники!$F$6,Учет!$H3419,0)</f>
        <v>0</v>
      </c>
      <c r="V3419" s="43">
        <f>V3418+Учет!Q3419-Q3419</f>
        <v>-488978.92000000004</v>
      </c>
      <c r="W3419" s="43">
        <f>W3418+Учет!R3419-R3419</f>
        <v>336855</v>
      </c>
      <c r="X3419" s="43">
        <f>X3418+Учет!S3419-S3419</f>
        <v>500</v>
      </c>
      <c r="Y3419" s="43">
        <f>Y3418+Учет!T3419-T3419</f>
        <v>1150</v>
      </c>
      <c r="Z3419" s="43">
        <f>Z3418+Учет!U3419-U3419</f>
        <v>500000</v>
      </c>
      <c r="AA3419" s="45">
        <f>Учет!X3419</f>
        <v>500</v>
      </c>
    </row>
    <row r="3420" spans="1:27" ht="15" customHeight="1" x14ac:dyDescent="0.25">
      <c r="A3420" s="1"/>
      <c r="B3420" s="17"/>
      <c r="C3420" s="17"/>
      <c r="D3420" s="17"/>
      <c r="E3420" s="17"/>
      <c r="F3420" s="17"/>
      <c r="G3420" s="4">
        <f t="shared" si="156"/>
        <v>0</v>
      </c>
      <c r="H3420" s="17"/>
      <c r="I3420" s="4">
        <f t="shared" si="158"/>
        <v>349526.07999999996</v>
      </c>
      <c r="J3420" s="32" t="str">
        <f t="shared" si="157"/>
        <v/>
      </c>
      <c r="K3420" s="72"/>
      <c r="L3420" s="72"/>
      <c r="M3420" s="2"/>
      <c r="N3420" s="5"/>
      <c r="O3420" s="3"/>
      <c r="P3420" s="6"/>
      <c r="Q3420" s="48">
        <f>IF(Учет!$O3420=Справочники!$F$2,Учет!$H3420,0)</f>
        <v>0</v>
      </c>
      <c r="R3420" s="48">
        <f>IF(Учет!$O3420=Справочники!$F$3,Учет!$H3420,0)</f>
        <v>0</v>
      </c>
      <c r="S3420" s="48">
        <f>IF(Учет!$O3420=Справочники!$F$4,Учет!$H3420,0)</f>
        <v>0</v>
      </c>
      <c r="T3420" s="48">
        <f>IF(Учет!$O3420=Справочники!$F$5,Учет!$H3420,0)</f>
        <v>0</v>
      </c>
      <c r="U3420" s="48">
        <f>IF(Учет!$O3420=Справочники!$F$6,Учет!$H3420,0)</f>
        <v>0</v>
      </c>
      <c r="V3420" s="43">
        <f>V3419+Учет!Q3420-Q3420</f>
        <v>-488978.92000000004</v>
      </c>
      <c r="W3420" s="43">
        <f>W3419+Учет!R3420-R3420</f>
        <v>336855</v>
      </c>
      <c r="X3420" s="43">
        <f>X3419+Учет!S3420-S3420</f>
        <v>500</v>
      </c>
      <c r="Y3420" s="43">
        <f>Y3419+Учет!T3420-T3420</f>
        <v>1150</v>
      </c>
      <c r="Z3420" s="43">
        <f>Z3419+Учет!U3420-U3420</f>
        <v>500000</v>
      </c>
      <c r="AA3420" s="45">
        <f>Учет!X3420</f>
        <v>500</v>
      </c>
    </row>
    <row r="3421" spans="1:27" ht="15" customHeight="1" x14ac:dyDescent="0.25">
      <c r="A3421" s="1"/>
      <c r="B3421" s="17"/>
      <c r="C3421" s="17"/>
      <c r="D3421" s="17"/>
      <c r="E3421" s="17"/>
      <c r="F3421" s="17"/>
      <c r="G3421" s="4">
        <f t="shared" si="156"/>
        <v>0</v>
      </c>
      <c r="H3421" s="17"/>
      <c r="I3421" s="4">
        <f t="shared" si="158"/>
        <v>349526.07999999996</v>
      </c>
      <c r="J3421" s="32" t="str">
        <f t="shared" si="157"/>
        <v/>
      </c>
      <c r="K3421" s="72"/>
      <c r="L3421" s="72"/>
      <c r="M3421" s="2"/>
      <c r="N3421" s="5"/>
      <c r="O3421" s="3"/>
      <c r="P3421" s="6"/>
      <c r="Q3421" s="48">
        <f>IF(Учет!$O3421=Справочники!$F$2,Учет!$H3421,0)</f>
        <v>0</v>
      </c>
      <c r="R3421" s="48">
        <f>IF(Учет!$O3421=Справочники!$F$3,Учет!$H3421,0)</f>
        <v>0</v>
      </c>
      <c r="S3421" s="48">
        <f>IF(Учет!$O3421=Справочники!$F$4,Учет!$H3421,0)</f>
        <v>0</v>
      </c>
      <c r="T3421" s="48">
        <f>IF(Учет!$O3421=Справочники!$F$5,Учет!$H3421,0)</f>
        <v>0</v>
      </c>
      <c r="U3421" s="48">
        <f>IF(Учет!$O3421=Справочники!$F$6,Учет!$H3421,0)</f>
        <v>0</v>
      </c>
      <c r="V3421" s="43">
        <f>V3420+Учет!Q3421-Q3421</f>
        <v>-488978.92000000004</v>
      </c>
      <c r="W3421" s="43">
        <f>W3420+Учет!R3421-R3421</f>
        <v>336855</v>
      </c>
      <c r="X3421" s="43">
        <f>X3420+Учет!S3421-S3421</f>
        <v>500</v>
      </c>
      <c r="Y3421" s="43">
        <f>Y3420+Учет!T3421-T3421</f>
        <v>1150</v>
      </c>
      <c r="Z3421" s="43">
        <f>Z3420+Учет!U3421-U3421</f>
        <v>500000</v>
      </c>
      <c r="AA3421" s="45">
        <f>Учет!X3421</f>
        <v>500</v>
      </c>
    </row>
    <row r="3422" spans="1:27" ht="15" customHeight="1" x14ac:dyDescent="0.25">
      <c r="A3422" s="1"/>
      <c r="B3422" s="17"/>
      <c r="C3422" s="17"/>
      <c r="D3422" s="17"/>
      <c r="E3422" s="17"/>
      <c r="F3422" s="17"/>
      <c r="G3422" s="4">
        <f t="shared" si="156"/>
        <v>0</v>
      </c>
      <c r="H3422" s="17"/>
      <c r="I3422" s="4">
        <f t="shared" si="158"/>
        <v>349526.07999999996</v>
      </c>
      <c r="J3422" s="32" t="str">
        <f t="shared" si="157"/>
        <v/>
      </c>
      <c r="K3422" s="72"/>
      <c r="L3422" s="72"/>
      <c r="M3422" s="2"/>
      <c r="N3422" s="5"/>
      <c r="O3422" s="3"/>
      <c r="P3422" s="6"/>
      <c r="Q3422" s="48">
        <f>IF(Учет!$O3422=Справочники!$F$2,Учет!$H3422,0)</f>
        <v>0</v>
      </c>
      <c r="R3422" s="48">
        <f>IF(Учет!$O3422=Справочники!$F$3,Учет!$H3422,0)</f>
        <v>0</v>
      </c>
      <c r="S3422" s="48">
        <f>IF(Учет!$O3422=Справочники!$F$4,Учет!$H3422,0)</f>
        <v>0</v>
      </c>
      <c r="T3422" s="48">
        <f>IF(Учет!$O3422=Справочники!$F$5,Учет!$H3422,0)</f>
        <v>0</v>
      </c>
      <c r="U3422" s="48">
        <f>IF(Учет!$O3422=Справочники!$F$6,Учет!$H3422,0)</f>
        <v>0</v>
      </c>
      <c r="V3422" s="43">
        <f>V3421+Учет!Q3422-Q3422</f>
        <v>-488978.92000000004</v>
      </c>
      <c r="W3422" s="43">
        <f>W3421+Учет!R3422-R3422</f>
        <v>336855</v>
      </c>
      <c r="X3422" s="43">
        <f>X3421+Учет!S3422-S3422</f>
        <v>500</v>
      </c>
      <c r="Y3422" s="43">
        <f>Y3421+Учет!T3422-T3422</f>
        <v>1150</v>
      </c>
      <c r="Z3422" s="43">
        <f>Z3421+Учет!U3422-U3422</f>
        <v>500000</v>
      </c>
      <c r="AA3422" s="45">
        <f>Учет!X3422</f>
        <v>500</v>
      </c>
    </row>
    <row r="3423" spans="1:27" ht="15" customHeight="1" x14ac:dyDescent="0.25">
      <c r="A3423" s="1"/>
      <c r="B3423" s="17"/>
      <c r="C3423" s="17"/>
      <c r="D3423" s="17"/>
      <c r="E3423" s="17"/>
      <c r="F3423" s="17"/>
      <c r="G3423" s="4">
        <f t="shared" si="156"/>
        <v>0</v>
      </c>
      <c r="H3423" s="17"/>
      <c r="I3423" s="4">
        <f t="shared" si="158"/>
        <v>349526.07999999996</v>
      </c>
      <c r="J3423" s="32" t="str">
        <f t="shared" si="157"/>
        <v/>
      </c>
      <c r="K3423" s="72"/>
      <c r="L3423" s="72"/>
      <c r="M3423" s="2"/>
      <c r="N3423" s="5"/>
      <c r="O3423" s="3"/>
      <c r="P3423" s="6"/>
      <c r="Q3423" s="48">
        <f>IF(Учет!$O3423=Справочники!$F$2,Учет!$H3423,0)</f>
        <v>0</v>
      </c>
      <c r="R3423" s="48">
        <f>IF(Учет!$O3423=Справочники!$F$3,Учет!$H3423,0)</f>
        <v>0</v>
      </c>
      <c r="S3423" s="48">
        <f>IF(Учет!$O3423=Справочники!$F$4,Учет!$H3423,0)</f>
        <v>0</v>
      </c>
      <c r="T3423" s="48">
        <f>IF(Учет!$O3423=Справочники!$F$5,Учет!$H3423,0)</f>
        <v>0</v>
      </c>
      <c r="U3423" s="48">
        <f>IF(Учет!$O3423=Справочники!$F$6,Учет!$H3423,0)</f>
        <v>0</v>
      </c>
      <c r="V3423" s="43">
        <f>V3422+Учет!Q3423-Q3423</f>
        <v>-488978.92000000004</v>
      </c>
      <c r="W3423" s="43">
        <f>W3422+Учет!R3423-R3423</f>
        <v>336855</v>
      </c>
      <c r="X3423" s="43">
        <f>X3422+Учет!S3423-S3423</f>
        <v>500</v>
      </c>
      <c r="Y3423" s="43">
        <f>Y3422+Учет!T3423-T3423</f>
        <v>1150</v>
      </c>
      <c r="Z3423" s="43">
        <f>Z3422+Учет!U3423-U3423</f>
        <v>500000</v>
      </c>
      <c r="AA3423" s="45">
        <f>Учет!X3423</f>
        <v>500</v>
      </c>
    </row>
    <row r="3424" spans="1:27" ht="15" customHeight="1" x14ac:dyDescent="0.25">
      <c r="A3424" s="1"/>
      <c r="B3424" s="17"/>
      <c r="C3424" s="17"/>
      <c r="D3424" s="17"/>
      <c r="E3424" s="17"/>
      <c r="F3424" s="17"/>
      <c r="G3424" s="4">
        <f t="shared" si="156"/>
        <v>0</v>
      </c>
      <c r="H3424" s="17"/>
      <c r="I3424" s="4">
        <f t="shared" si="158"/>
        <v>349526.07999999996</v>
      </c>
      <c r="J3424" s="32" t="str">
        <f t="shared" si="157"/>
        <v/>
      </c>
      <c r="K3424" s="72"/>
      <c r="L3424" s="72"/>
      <c r="M3424" s="2"/>
      <c r="N3424" s="5"/>
      <c r="O3424" s="3"/>
      <c r="P3424" s="6"/>
      <c r="Q3424" s="48">
        <f>IF(Учет!$O3424=Справочники!$F$2,Учет!$H3424,0)</f>
        <v>0</v>
      </c>
      <c r="R3424" s="48">
        <f>IF(Учет!$O3424=Справочники!$F$3,Учет!$H3424,0)</f>
        <v>0</v>
      </c>
      <c r="S3424" s="48">
        <f>IF(Учет!$O3424=Справочники!$F$4,Учет!$H3424,0)</f>
        <v>0</v>
      </c>
      <c r="T3424" s="48">
        <f>IF(Учет!$O3424=Справочники!$F$5,Учет!$H3424,0)</f>
        <v>0</v>
      </c>
      <c r="U3424" s="48">
        <f>IF(Учет!$O3424=Справочники!$F$6,Учет!$H3424,0)</f>
        <v>0</v>
      </c>
      <c r="V3424" s="43">
        <f>V3423+Учет!Q3424-Q3424</f>
        <v>-488978.92000000004</v>
      </c>
      <c r="W3424" s="43">
        <f>W3423+Учет!R3424-R3424</f>
        <v>336855</v>
      </c>
      <c r="X3424" s="43">
        <f>X3423+Учет!S3424-S3424</f>
        <v>500</v>
      </c>
      <c r="Y3424" s="43">
        <f>Y3423+Учет!T3424-T3424</f>
        <v>1150</v>
      </c>
      <c r="Z3424" s="43">
        <f>Z3423+Учет!U3424-U3424</f>
        <v>500000</v>
      </c>
      <c r="AA3424" s="45">
        <f>Учет!X3424</f>
        <v>500</v>
      </c>
    </row>
    <row r="3425" spans="1:27" ht="15" customHeight="1" x14ac:dyDescent="0.25">
      <c r="A3425" s="1"/>
      <c r="B3425" s="17"/>
      <c r="C3425" s="17"/>
      <c r="D3425" s="17"/>
      <c r="E3425" s="17"/>
      <c r="F3425" s="17"/>
      <c r="G3425" s="4">
        <f t="shared" si="156"/>
        <v>0</v>
      </c>
      <c r="H3425" s="17"/>
      <c r="I3425" s="4">
        <f t="shared" si="158"/>
        <v>349526.07999999996</v>
      </c>
      <c r="J3425" s="32" t="str">
        <f t="shared" si="157"/>
        <v/>
      </c>
      <c r="K3425" s="72"/>
      <c r="L3425" s="72"/>
      <c r="M3425" s="2"/>
      <c r="N3425" s="5"/>
      <c r="O3425" s="3"/>
      <c r="P3425" s="6"/>
      <c r="Q3425" s="48">
        <f>IF(Учет!$O3425=Справочники!$F$2,Учет!$H3425,0)</f>
        <v>0</v>
      </c>
      <c r="R3425" s="48">
        <f>IF(Учет!$O3425=Справочники!$F$3,Учет!$H3425,0)</f>
        <v>0</v>
      </c>
      <c r="S3425" s="48">
        <f>IF(Учет!$O3425=Справочники!$F$4,Учет!$H3425,0)</f>
        <v>0</v>
      </c>
      <c r="T3425" s="48">
        <f>IF(Учет!$O3425=Справочники!$F$5,Учет!$H3425,0)</f>
        <v>0</v>
      </c>
      <c r="U3425" s="48">
        <f>IF(Учет!$O3425=Справочники!$F$6,Учет!$H3425,0)</f>
        <v>0</v>
      </c>
      <c r="V3425" s="43">
        <f>V3424+Учет!Q3425-Q3425</f>
        <v>-488978.92000000004</v>
      </c>
      <c r="W3425" s="43">
        <f>W3424+Учет!R3425-R3425</f>
        <v>336855</v>
      </c>
      <c r="X3425" s="43">
        <f>X3424+Учет!S3425-S3425</f>
        <v>500</v>
      </c>
      <c r="Y3425" s="43">
        <f>Y3424+Учет!T3425-T3425</f>
        <v>1150</v>
      </c>
      <c r="Z3425" s="43">
        <f>Z3424+Учет!U3425-U3425</f>
        <v>500000</v>
      </c>
      <c r="AA3425" s="45">
        <f>Учет!X3425</f>
        <v>500</v>
      </c>
    </row>
    <row r="3426" spans="1:27" ht="15" customHeight="1" x14ac:dyDescent="0.25">
      <c r="A3426" s="1"/>
      <c r="B3426" s="17"/>
      <c r="C3426" s="17"/>
      <c r="D3426" s="17"/>
      <c r="E3426" s="17"/>
      <c r="F3426" s="17"/>
      <c r="G3426" s="4">
        <f t="shared" si="156"/>
        <v>0</v>
      </c>
      <c r="H3426" s="17"/>
      <c r="I3426" s="4">
        <f t="shared" si="158"/>
        <v>349526.07999999996</v>
      </c>
      <c r="J3426" s="32" t="str">
        <f t="shared" si="157"/>
        <v/>
      </c>
      <c r="K3426" s="72"/>
      <c r="L3426" s="72"/>
      <c r="M3426" s="2"/>
      <c r="N3426" s="5"/>
      <c r="O3426" s="3"/>
      <c r="P3426" s="6"/>
      <c r="Q3426" s="48">
        <f>IF(Учет!$O3426=Справочники!$F$2,Учет!$H3426,0)</f>
        <v>0</v>
      </c>
      <c r="R3426" s="48">
        <f>IF(Учет!$O3426=Справочники!$F$3,Учет!$H3426,0)</f>
        <v>0</v>
      </c>
      <c r="S3426" s="48">
        <f>IF(Учет!$O3426=Справочники!$F$4,Учет!$H3426,0)</f>
        <v>0</v>
      </c>
      <c r="T3426" s="48">
        <f>IF(Учет!$O3426=Справочники!$F$5,Учет!$H3426,0)</f>
        <v>0</v>
      </c>
      <c r="U3426" s="48">
        <f>IF(Учет!$O3426=Справочники!$F$6,Учет!$H3426,0)</f>
        <v>0</v>
      </c>
      <c r="V3426" s="43">
        <f>V3425+Учет!Q3426-Q3426</f>
        <v>-488978.92000000004</v>
      </c>
      <c r="W3426" s="43">
        <f>W3425+Учет!R3426-R3426</f>
        <v>336855</v>
      </c>
      <c r="X3426" s="43">
        <f>X3425+Учет!S3426-S3426</f>
        <v>500</v>
      </c>
      <c r="Y3426" s="43">
        <f>Y3425+Учет!T3426-T3426</f>
        <v>1150</v>
      </c>
      <c r="Z3426" s="43">
        <f>Z3425+Учет!U3426-U3426</f>
        <v>500000</v>
      </c>
      <c r="AA3426" s="45">
        <f>Учет!X3426</f>
        <v>500</v>
      </c>
    </row>
    <row r="3427" spans="1:27" ht="15" customHeight="1" x14ac:dyDescent="0.25">
      <c r="A3427" s="1"/>
      <c r="B3427" s="17"/>
      <c r="C3427" s="17"/>
      <c r="D3427" s="17"/>
      <c r="E3427" s="17"/>
      <c r="F3427" s="17"/>
      <c r="G3427" s="4">
        <f t="shared" si="156"/>
        <v>0</v>
      </c>
      <c r="H3427" s="17"/>
      <c r="I3427" s="4">
        <f t="shared" si="158"/>
        <v>349526.07999999996</v>
      </c>
      <c r="J3427" s="32" t="str">
        <f t="shared" si="157"/>
        <v/>
      </c>
      <c r="K3427" s="72"/>
      <c r="L3427" s="72"/>
      <c r="M3427" s="2"/>
      <c r="N3427" s="5"/>
      <c r="O3427" s="3"/>
      <c r="P3427" s="6"/>
      <c r="Q3427" s="48">
        <f>IF(Учет!$O3427=Справочники!$F$2,Учет!$H3427,0)</f>
        <v>0</v>
      </c>
      <c r="R3427" s="48">
        <f>IF(Учет!$O3427=Справочники!$F$3,Учет!$H3427,0)</f>
        <v>0</v>
      </c>
      <c r="S3427" s="48">
        <f>IF(Учет!$O3427=Справочники!$F$4,Учет!$H3427,0)</f>
        <v>0</v>
      </c>
      <c r="T3427" s="48">
        <f>IF(Учет!$O3427=Справочники!$F$5,Учет!$H3427,0)</f>
        <v>0</v>
      </c>
      <c r="U3427" s="48">
        <f>IF(Учет!$O3427=Справочники!$F$6,Учет!$H3427,0)</f>
        <v>0</v>
      </c>
      <c r="V3427" s="43">
        <f>V3426+Учет!Q3427-Q3427</f>
        <v>-488978.92000000004</v>
      </c>
      <c r="W3427" s="43">
        <f>W3426+Учет!R3427-R3427</f>
        <v>336855</v>
      </c>
      <c r="X3427" s="43">
        <f>X3426+Учет!S3427-S3427</f>
        <v>500</v>
      </c>
      <c r="Y3427" s="43">
        <f>Y3426+Учет!T3427-T3427</f>
        <v>1150</v>
      </c>
      <c r="Z3427" s="43">
        <f>Z3426+Учет!U3427-U3427</f>
        <v>500000</v>
      </c>
      <c r="AA3427" s="45">
        <f>Учет!X3427</f>
        <v>500</v>
      </c>
    </row>
    <row r="3428" spans="1:27" ht="15" customHeight="1" x14ac:dyDescent="0.25">
      <c r="A3428" s="1"/>
      <c r="B3428" s="17"/>
      <c r="C3428" s="17"/>
      <c r="D3428" s="17"/>
      <c r="E3428" s="17"/>
      <c r="F3428" s="17"/>
      <c r="G3428" s="4">
        <f t="shared" si="156"/>
        <v>0</v>
      </c>
      <c r="H3428" s="17"/>
      <c r="I3428" s="4">
        <f t="shared" si="158"/>
        <v>349526.07999999996</v>
      </c>
      <c r="J3428" s="32" t="str">
        <f t="shared" si="157"/>
        <v/>
      </c>
      <c r="K3428" s="72"/>
      <c r="L3428" s="72"/>
      <c r="M3428" s="2"/>
      <c r="N3428" s="5"/>
      <c r="O3428" s="3"/>
      <c r="P3428" s="6"/>
      <c r="Q3428" s="48">
        <f>IF(Учет!$O3428=Справочники!$F$2,Учет!$H3428,0)</f>
        <v>0</v>
      </c>
      <c r="R3428" s="48">
        <f>IF(Учет!$O3428=Справочники!$F$3,Учет!$H3428,0)</f>
        <v>0</v>
      </c>
      <c r="S3428" s="48">
        <f>IF(Учет!$O3428=Справочники!$F$4,Учет!$H3428,0)</f>
        <v>0</v>
      </c>
      <c r="T3428" s="48">
        <f>IF(Учет!$O3428=Справочники!$F$5,Учет!$H3428,0)</f>
        <v>0</v>
      </c>
      <c r="U3428" s="48">
        <f>IF(Учет!$O3428=Справочники!$F$6,Учет!$H3428,0)</f>
        <v>0</v>
      </c>
      <c r="V3428" s="43">
        <f>V3427+Учет!Q3428-Q3428</f>
        <v>-488978.92000000004</v>
      </c>
      <c r="W3428" s="43">
        <f>W3427+Учет!R3428-R3428</f>
        <v>336855</v>
      </c>
      <c r="X3428" s="43">
        <f>X3427+Учет!S3428-S3428</f>
        <v>500</v>
      </c>
      <c r="Y3428" s="43">
        <f>Y3427+Учет!T3428-T3428</f>
        <v>1150</v>
      </c>
      <c r="Z3428" s="43">
        <f>Z3427+Учет!U3428-U3428</f>
        <v>500000</v>
      </c>
      <c r="AA3428" s="45">
        <f>Учет!X3428</f>
        <v>500</v>
      </c>
    </row>
    <row r="3429" spans="1:27" ht="15" customHeight="1" x14ac:dyDescent="0.25">
      <c r="A3429" s="1"/>
      <c r="B3429" s="17"/>
      <c r="C3429" s="17"/>
      <c r="D3429" s="17"/>
      <c r="E3429" s="17"/>
      <c r="F3429" s="17"/>
      <c r="G3429" s="4">
        <f t="shared" si="156"/>
        <v>0</v>
      </c>
      <c r="H3429" s="17"/>
      <c r="I3429" s="4">
        <f t="shared" si="158"/>
        <v>349526.07999999996</v>
      </c>
      <c r="J3429" s="32" t="str">
        <f t="shared" si="157"/>
        <v/>
      </c>
      <c r="K3429" s="72"/>
      <c r="L3429" s="72"/>
      <c r="M3429" s="2"/>
      <c r="N3429" s="5"/>
      <c r="O3429" s="3"/>
      <c r="P3429" s="6"/>
      <c r="Q3429" s="48">
        <f>IF(Учет!$O3429=Справочники!$F$2,Учет!$H3429,0)</f>
        <v>0</v>
      </c>
      <c r="R3429" s="48">
        <f>IF(Учет!$O3429=Справочники!$F$3,Учет!$H3429,0)</f>
        <v>0</v>
      </c>
      <c r="S3429" s="48">
        <f>IF(Учет!$O3429=Справочники!$F$4,Учет!$H3429,0)</f>
        <v>0</v>
      </c>
      <c r="T3429" s="48">
        <f>IF(Учет!$O3429=Справочники!$F$5,Учет!$H3429,0)</f>
        <v>0</v>
      </c>
      <c r="U3429" s="48">
        <f>IF(Учет!$O3429=Справочники!$F$6,Учет!$H3429,0)</f>
        <v>0</v>
      </c>
      <c r="V3429" s="43">
        <f>V3428+Учет!Q3429-Q3429</f>
        <v>-488978.92000000004</v>
      </c>
      <c r="W3429" s="43">
        <f>W3428+Учет!R3429-R3429</f>
        <v>336855</v>
      </c>
      <c r="X3429" s="43">
        <f>X3428+Учет!S3429-S3429</f>
        <v>500</v>
      </c>
      <c r="Y3429" s="43">
        <f>Y3428+Учет!T3429-T3429</f>
        <v>1150</v>
      </c>
      <c r="Z3429" s="43">
        <f>Z3428+Учет!U3429-U3429</f>
        <v>500000</v>
      </c>
      <c r="AA3429" s="45">
        <f>Учет!X3429</f>
        <v>500</v>
      </c>
    </row>
    <row r="3430" spans="1:27" ht="15" customHeight="1" x14ac:dyDescent="0.25">
      <c r="A3430" s="1"/>
      <c r="B3430" s="17"/>
      <c r="C3430" s="17"/>
      <c r="D3430" s="17"/>
      <c r="E3430" s="17"/>
      <c r="F3430" s="17"/>
      <c r="G3430" s="4">
        <f t="shared" si="156"/>
        <v>0</v>
      </c>
      <c r="H3430" s="17"/>
      <c r="I3430" s="4">
        <f t="shared" si="158"/>
        <v>349526.07999999996</v>
      </c>
      <c r="J3430" s="32" t="str">
        <f t="shared" si="157"/>
        <v/>
      </c>
      <c r="K3430" s="72"/>
      <c r="L3430" s="72"/>
      <c r="M3430" s="2"/>
      <c r="N3430" s="5"/>
      <c r="O3430" s="3"/>
      <c r="P3430" s="6"/>
      <c r="Q3430" s="48">
        <f>IF(Учет!$O3430=Справочники!$F$2,Учет!$H3430,0)</f>
        <v>0</v>
      </c>
      <c r="R3430" s="48">
        <f>IF(Учет!$O3430=Справочники!$F$3,Учет!$H3430,0)</f>
        <v>0</v>
      </c>
      <c r="S3430" s="48">
        <f>IF(Учет!$O3430=Справочники!$F$4,Учет!$H3430,0)</f>
        <v>0</v>
      </c>
      <c r="T3430" s="48">
        <f>IF(Учет!$O3430=Справочники!$F$5,Учет!$H3430,0)</f>
        <v>0</v>
      </c>
      <c r="U3430" s="48">
        <f>IF(Учет!$O3430=Справочники!$F$6,Учет!$H3430,0)</f>
        <v>0</v>
      </c>
      <c r="V3430" s="43">
        <f>V3429+Учет!Q3430-Q3430</f>
        <v>-488978.92000000004</v>
      </c>
      <c r="W3430" s="43">
        <f>W3429+Учет!R3430-R3430</f>
        <v>336855</v>
      </c>
      <c r="X3430" s="43">
        <f>X3429+Учет!S3430-S3430</f>
        <v>500</v>
      </c>
      <c r="Y3430" s="43">
        <f>Y3429+Учет!T3430-T3430</f>
        <v>1150</v>
      </c>
      <c r="Z3430" s="43">
        <f>Z3429+Учет!U3430-U3430</f>
        <v>500000</v>
      </c>
      <c r="AA3430" s="45">
        <f>Учет!X3430</f>
        <v>500</v>
      </c>
    </row>
    <row r="3431" spans="1:27" ht="15" customHeight="1" x14ac:dyDescent="0.25">
      <c r="A3431" s="1"/>
      <c r="B3431" s="17"/>
      <c r="C3431" s="17"/>
      <c r="D3431" s="17"/>
      <c r="E3431" s="17"/>
      <c r="F3431" s="17"/>
      <c r="G3431" s="4">
        <f t="shared" si="156"/>
        <v>0</v>
      </c>
      <c r="H3431" s="17"/>
      <c r="I3431" s="4">
        <f t="shared" si="158"/>
        <v>349526.07999999996</v>
      </c>
      <c r="J3431" s="32" t="str">
        <f t="shared" si="157"/>
        <v/>
      </c>
      <c r="K3431" s="72"/>
      <c r="L3431" s="72"/>
      <c r="M3431" s="2"/>
      <c r="N3431" s="5"/>
      <c r="O3431" s="3"/>
      <c r="P3431" s="6"/>
      <c r="Q3431" s="48">
        <f>IF(Учет!$O3431=Справочники!$F$2,Учет!$H3431,0)</f>
        <v>0</v>
      </c>
      <c r="R3431" s="48">
        <f>IF(Учет!$O3431=Справочники!$F$3,Учет!$H3431,0)</f>
        <v>0</v>
      </c>
      <c r="S3431" s="48">
        <f>IF(Учет!$O3431=Справочники!$F$4,Учет!$H3431,0)</f>
        <v>0</v>
      </c>
      <c r="T3431" s="48">
        <f>IF(Учет!$O3431=Справочники!$F$5,Учет!$H3431,0)</f>
        <v>0</v>
      </c>
      <c r="U3431" s="48">
        <f>IF(Учет!$O3431=Справочники!$F$6,Учет!$H3431,0)</f>
        <v>0</v>
      </c>
      <c r="V3431" s="43">
        <f>V3430+Учет!Q3431-Q3431</f>
        <v>-488978.92000000004</v>
      </c>
      <c r="W3431" s="43">
        <f>W3430+Учет!R3431-R3431</f>
        <v>336855</v>
      </c>
      <c r="X3431" s="43">
        <f>X3430+Учет!S3431-S3431</f>
        <v>500</v>
      </c>
      <c r="Y3431" s="43">
        <f>Y3430+Учет!T3431-T3431</f>
        <v>1150</v>
      </c>
      <c r="Z3431" s="43">
        <f>Z3430+Учет!U3431-U3431</f>
        <v>500000</v>
      </c>
      <c r="AA3431" s="45">
        <f>Учет!X3431</f>
        <v>500</v>
      </c>
    </row>
    <row r="3432" spans="1:27" ht="15" customHeight="1" x14ac:dyDescent="0.25">
      <c r="A3432" s="1"/>
      <c r="B3432" s="17"/>
      <c r="C3432" s="17"/>
      <c r="D3432" s="17"/>
      <c r="E3432" s="17"/>
      <c r="F3432" s="17"/>
      <c r="G3432" s="4">
        <f t="shared" si="156"/>
        <v>0</v>
      </c>
      <c r="H3432" s="17"/>
      <c r="I3432" s="4">
        <f t="shared" si="158"/>
        <v>349526.07999999996</v>
      </c>
      <c r="J3432" s="32" t="str">
        <f t="shared" si="157"/>
        <v/>
      </c>
      <c r="K3432" s="72"/>
      <c r="L3432" s="72"/>
      <c r="M3432" s="2"/>
      <c r="N3432" s="5"/>
      <c r="O3432" s="3"/>
      <c r="P3432" s="6"/>
      <c r="Q3432" s="48">
        <f>IF(Учет!$O3432=Справочники!$F$2,Учет!$H3432,0)</f>
        <v>0</v>
      </c>
      <c r="R3432" s="48">
        <f>IF(Учет!$O3432=Справочники!$F$3,Учет!$H3432,0)</f>
        <v>0</v>
      </c>
      <c r="S3432" s="48">
        <f>IF(Учет!$O3432=Справочники!$F$4,Учет!$H3432,0)</f>
        <v>0</v>
      </c>
      <c r="T3432" s="48">
        <f>IF(Учет!$O3432=Справочники!$F$5,Учет!$H3432,0)</f>
        <v>0</v>
      </c>
      <c r="U3432" s="48">
        <f>IF(Учет!$O3432=Справочники!$F$6,Учет!$H3432,0)</f>
        <v>0</v>
      </c>
      <c r="V3432" s="43">
        <f>V3431+Учет!Q3432-Q3432</f>
        <v>-488978.92000000004</v>
      </c>
      <c r="W3432" s="43">
        <f>W3431+Учет!R3432-R3432</f>
        <v>336855</v>
      </c>
      <c r="X3432" s="43">
        <f>X3431+Учет!S3432-S3432</f>
        <v>500</v>
      </c>
      <c r="Y3432" s="43">
        <f>Y3431+Учет!T3432-T3432</f>
        <v>1150</v>
      </c>
      <c r="Z3432" s="43">
        <f>Z3431+Учет!U3432-U3432</f>
        <v>500000</v>
      </c>
      <c r="AA3432" s="45">
        <f>Учет!X3432</f>
        <v>500</v>
      </c>
    </row>
    <row r="3433" spans="1:27" ht="15" customHeight="1" x14ac:dyDescent="0.25">
      <c r="A3433" s="1"/>
      <c r="B3433" s="17"/>
      <c r="C3433" s="17"/>
      <c r="D3433" s="17"/>
      <c r="E3433" s="17"/>
      <c r="F3433" s="17"/>
      <c r="G3433" s="4">
        <f t="shared" si="156"/>
        <v>0</v>
      </c>
      <c r="H3433" s="17"/>
      <c r="I3433" s="4">
        <f t="shared" si="158"/>
        <v>349526.07999999996</v>
      </c>
      <c r="J3433" s="32" t="str">
        <f t="shared" si="157"/>
        <v/>
      </c>
      <c r="K3433" s="72"/>
      <c r="L3433" s="72"/>
      <c r="M3433" s="2"/>
      <c r="N3433" s="5"/>
      <c r="O3433" s="3"/>
      <c r="P3433" s="6"/>
      <c r="Q3433" s="48">
        <f>IF(Учет!$O3433=Справочники!$F$2,Учет!$H3433,0)</f>
        <v>0</v>
      </c>
      <c r="R3433" s="48">
        <f>IF(Учет!$O3433=Справочники!$F$3,Учет!$H3433,0)</f>
        <v>0</v>
      </c>
      <c r="S3433" s="48">
        <f>IF(Учет!$O3433=Справочники!$F$4,Учет!$H3433,0)</f>
        <v>0</v>
      </c>
      <c r="T3433" s="48">
        <f>IF(Учет!$O3433=Справочники!$F$5,Учет!$H3433,0)</f>
        <v>0</v>
      </c>
      <c r="U3433" s="48">
        <f>IF(Учет!$O3433=Справочники!$F$6,Учет!$H3433,0)</f>
        <v>0</v>
      </c>
      <c r="V3433" s="43">
        <f>V3432+Учет!Q3433-Q3433</f>
        <v>-488978.92000000004</v>
      </c>
      <c r="W3433" s="43">
        <f>W3432+Учет!R3433-R3433</f>
        <v>336855</v>
      </c>
      <c r="X3433" s="43">
        <f>X3432+Учет!S3433-S3433</f>
        <v>500</v>
      </c>
      <c r="Y3433" s="43">
        <f>Y3432+Учет!T3433-T3433</f>
        <v>1150</v>
      </c>
      <c r="Z3433" s="43">
        <f>Z3432+Учет!U3433-U3433</f>
        <v>500000</v>
      </c>
      <c r="AA3433" s="45">
        <f>Учет!X3433</f>
        <v>500</v>
      </c>
    </row>
    <row r="3434" spans="1:27" ht="15" customHeight="1" x14ac:dyDescent="0.25">
      <c r="A3434" s="1"/>
      <c r="B3434" s="17"/>
      <c r="C3434" s="17"/>
      <c r="D3434" s="17"/>
      <c r="E3434" s="17"/>
      <c r="F3434" s="17"/>
      <c r="G3434" s="4">
        <f t="shared" si="156"/>
        <v>0</v>
      </c>
      <c r="H3434" s="17"/>
      <c r="I3434" s="4">
        <f t="shared" si="158"/>
        <v>349526.07999999996</v>
      </c>
      <c r="J3434" s="32" t="str">
        <f t="shared" si="157"/>
        <v/>
      </c>
      <c r="K3434" s="72"/>
      <c r="L3434" s="72"/>
      <c r="M3434" s="2"/>
      <c r="N3434" s="5"/>
      <c r="O3434" s="3"/>
      <c r="P3434" s="6"/>
      <c r="Q3434" s="48">
        <f>IF(Учет!$O3434=Справочники!$F$2,Учет!$H3434,0)</f>
        <v>0</v>
      </c>
      <c r="R3434" s="48">
        <f>IF(Учет!$O3434=Справочники!$F$3,Учет!$H3434,0)</f>
        <v>0</v>
      </c>
      <c r="S3434" s="48">
        <f>IF(Учет!$O3434=Справочники!$F$4,Учет!$H3434,0)</f>
        <v>0</v>
      </c>
      <c r="T3434" s="48">
        <f>IF(Учет!$O3434=Справочники!$F$5,Учет!$H3434,0)</f>
        <v>0</v>
      </c>
      <c r="U3434" s="48">
        <f>IF(Учет!$O3434=Справочники!$F$6,Учет!$H3434,0)</f>
        <v>0</v>
      </c>
      <c r="V3434" s="43">
        <f>V3433+Учет!Q3434-Q3434</f>
        <v>-488978.92000000004</v>
      </c>
      <c r="W3434" s="43">
        <f>W3433+Учет!R3434-R3434</f>
        <v>336855</v>
      </c>
      <c r="X3434" s="43">
        <f>X3433+Учет!S3434-S3434</f>
        <v>500</v>
      </c>
      <c r="Y3434" s="43">
        <f>Y3433+Учет!T3434-T3434</f>
        <v>1150</v>
      </c>
      <c r="Z3434" s="43">
        <f>Z3433+Учет!U3434-U3434</f>
        <v>500000</v>
      </c>
      <c r="AA3434" s="45">
        <f>Учет!X3434</f>
        <v>500</v>
      </c>
    </row>
    <row r="3435" spans="1:27" ht="15" customHeight="1" x14ac:dyDescent="0.25">
      <c r="A3435" s="1"/>
      <c r="B3435" s="17"/>
      <c r="C3435" s="17"/>
      <c r="D3435" s="17"/>
      <c r="E3435" s="17"/>
      <c r="F3435" s="17"/>
      <c r="G3435" s="4">
        <f t="shared" si="156"/>
        <v>0</v>
      </c>
      <c r="H3435" s="17"/>
      <c r="I3435" s="4">
        <f t="shared" si="158"/>
        <v>349526.07999999996</v>
      </c>
      <c r="J3435" s="32" t="str">
        <f t="shared" si="157"/>
        <v/>
      </c>
      <c r="K3435" s="72"/>
      <c r="L3435" s="72"/>
      <c r="M3435" s="2"/>
      <c r="N3435" s="5"/>
      <c r="O3435" s="3"/>
      <c r="P3435" s="6"/>
      <c r="Q3435" s="48">
        <f>IF(Учет!$O3435=Справочники!$F$2,Учет!$H3435,0)</f>
        <v>0</v>
      </c>
      <c r="R3435" s="48">
        <f>IF(Учет!$O3435=Справочники!$F$3,Учет!$H3435,0)</f>
        <v>0</v>
      </c>
      <c r="S3435" s="48">
        <f>IF(Учет!$O3435=Справочники!$F$4,Учет!$H3435,0)</f>
        <v>0</v>
      </c>
      <c r="T3435" s="48">
        <f>IF(Учет!$O3435=Справочники!$F$5,Учет!$H3435,0)</f>
        <v>0</v>
      </c>
      <c r="U3435" s="48">
        <f>IF(Учет!$O3435=Справочники!$F$6,Учет!$H3435,0)</f>
        <v>0</v>
      </c>
      <c r="V3435" s="43">
        <f>V3434+Учет!Q3435-Q3435</f>
        <v>-488978.92000000004</v>
      </c>
      <c r="W3435" s="43">
        <f>W3434+Учет!R3435-R3435</f>
        <v>336855</v>
      </c>
      <c r="X3435" s="43">
        <f>X3434+Учет!S3435-S3435</f>
        <v>500</v>
      </c>
      <c r="Y3435" s="43">
        <f>Y3434+Учет!T3435-T3435</f>
        <v>1150</v>
      </c>
      <c r="Z3435" s="43">
        <f>Z3434+Учет!U3435-U3435</f>
        <v>500000</v>
      </c>
      <c r="AA3435" s="45">
        <f>Учет!X3435</f>
        <v>500</v>
      </c>
    </row>
    <row r="3436" spans="1:27" ht="15" customHeight="1" x14ac:dyDescent="0.25">
      <c r="A3436" s="1"/>
      <c r="B3436" s="17"/>
      <c r="C3436" s="17"/>
      <c r="D3436" s="17"/>
      <c r="E3436" s="17"/>
      <c r="F3436" s="17"/>
      <c r="G3436" s="4">
        <f t="shared" si="156"/>
        <v>0</v>
      </c>
      <c r="H3436" s="17"/>
      <c r="I3436" s="4">
        <f t="shared" si="158"/>
        <v>349526.07999999996</v>
      </c>
      <c r="J3436" s="32" t="str">
        <f t="shared" si="157"/>
        <v/>
      </c>
      <c r="K3436" s="72"/>
      <c r="L3436" s="72"/>
      <c r="M3436" s="2"/>
      <c r="N3436" s="5"/>
      <c r="O3436" s="3"/>
      <c r="P3436" s="6"/>
      <c r="Q3436" s="48">
        <f>IF(Учет!$O3436=Справочники!$F$2,Учет!$H3436,0)</f>
        <v>0</v>
      </c>
      <c r="R3436" s="48">
        <f>IF(Учет!$O3436=Справочники!$F$3,Учет!$H3436,0)</f>
        <v>0</v>
      </c>
      <c r="S3436" s="48">
        <f>IF(Учет!$O3436=Справочники!$F$4,Учет!$H3436,0)</f>
        <v>0</v>
      </c>
      <c r="T3436" s="48">
        <f>IF(Учет!$O3436=Справочники!$F$5,Учет!$H3436,0)</f>
        <v>0</v>
      </c>
      <c r="U3436" s="48">
        <f>IF(Учет!$O3436=Справочники!$F$6,Учет!$H3436,0)</f>
        <v>0</v>
      </c>
      <c r="V3436" s="43">
        <f>V3435+Учет!Q3436-Q3436</f>
        <v>-488978.92000000004</v>
      </c>
      <c r="W3436" s="43">
        <f>W3435+Учет!R3436-R3436</f>
        <v>336855</v>
      </c>
      <c r="X3436" s="43">
        <f>X3435+Учет!S3436-S3436</f>
        <v>500</v>
      </c>
      <c r="Y3436" s="43">
        <f>Y3435+Учет!T3436-T3436</f>
        <v>1150</v>
      </c>
      <c r="Z3436" s="43">
        <f>Z3435+Учет!U3436-U3436</f>
        <v>500000</v>
      </c>
      <c r="AA3436" s="45">
        <f>Учет!X3436</f>
        <v>500</v>
      </c>
    </row>
    <row r="3437" spans="1:27" ht="15" customHeight="1" x14ac:dyDescent="0.25">
      <c r="A3437" s="1"/>
      <c r="B3437" s="17"/>
      <c r="C3437" s="17"/>
      <c r="D3437" s="17"/>
      <c r="E3437" s="17"/>
      <c r="F3437" s="17"/>
      <c r="G3437" s="4">
        <f t="shared" si="156"/>
        <v>0</v>
      </c>
      <c r="H3437" s="17"/>
      <c r="I3437" s="4">
        <f t="shared" si="158"/>
        <v>349526.07999999996</v>
      </c>
      <c r="J3437" s="32" t="str">
        <f t="shared" si="157"/>
        <v/>
      </c>
      <c r="K3437" s="72"/>
      <c r="L3437" s="72"/>
      <c r="M3437" s="2"/>
      <c r="N3437" s="5"/>
      <c r="O3437" s="3"/>
      <c r="P3437" s="6"/>
      <c r="Q3437" s="48">
        <f>IF(Учет!$O3437=Справочники!$F$2,Учет!$H3437,0)</f>
        <v>0</v>
      </c>
      <c r="R3437" s="48">
        <f>IF(Учет!$O3437=Справочники!$F$3,Учет!$H3437,0)</f>
        <v>0</v>
      </c>
      <c r="S3437" s="48">
        <f>IF(Учет!$O3437=Справочники!$F$4,Учет!$H3437,0)</f>
        <v>0</v>
      </c>
      <c r="T3437" s="48">
        <f>IF(Учет!$O3437=Справочники!$F$5,Учет!$H3437,0)</f>
        <v>0</v>
      </c>
      <c r="U3437" s="48">
        <f>IF(Учет!$O3437=Справочники!$F$6,Учет!$H3437,0)</f>
        <v>0</v>
      </c>
      <c r="V3437" s="43">
        <f>V3436+Учет!Q3437-Q3437</f>
        <v>-488978.92000000004</v>
      </c>
      <c r="W3437" s="43">
        <f>W3436+Учет!R3437-R3437</f>
        <v>336855</v>
      </c>
      <c r="X3437" s="43">
        <f>X3436+Учет!S3437-S3437</f>
        <v>500</v>
      </c>
      <c r="Y3437" s="43">
        <f>Y3436+Учет!T3437-T3437</f>
        <v>1150</v>
      </c>
      <c r="Z3437" s="43">
        <f>Z3436+Учет!U3437-U3437</f>
        <v>500000</v>
      </c>
      <c r="AA3437" s="45">
        <f>Учет!X3437</f>
        <v>500</v>
      </c>
    </row>
    <row r="3438" spans="1:27" ht="15" customHeight="1" x14ac:dyDescent="0.25">
      <c r="A3438" s="1"/>
      <c r="B3438" s="17"/>
      <c r="C3438" s="17"/>
      <c r="D3438" s="17"/>
      <c r="E3438" s="17"/>
      <c r="F3438" s="17"/>
      <c r="G3438" s="4">
        <f t="shared" si="156"/>
        <v>0</v>
      </c>
      <c r="H3438" s="17"/>
      <c r="I3438" s="4">
        <f t="shared" si="158"/>
        <v>349526.07999999996</v>
      </c>
      <c r="J3438" s="32" t="str">
        <f t="shared" si="157"/>
        <v/>
      </c>
      <c r="K3438" s="72"/>
      <c r="L3438" s="72"/>
      <c r="M3438" s="2"/>
      <c r="N3438" s="5"/>
      <c r="O3438" s="3"/>
      <c r="P3438" s="6"/>
      <c r="Q3438" s="48">
        <f>IF(Учет!$O3438=Справочники!$F$2,Учет!$H3438,0)</f>
        <v>0</v>
      </c>
      <c r="R3438" s="48">
        <f>IF(Учет!$O3438=Справочники!$F$3,Учет!$H3438,0)</f>
        <v>0</v>
      </c>
      <c r="S3438" s="48">
        <f>IF(Учет!$O3438=Справочники!$F$4,Учет!$H3438,0)</f>
        <v>0</v>
      </c>
      <c r="T3438" s="48">
        <f>IF(Учет!$O3438=Справочники!$F$5,Учет!$H3438,0)</f>
        <v>0</v>
      </c>
      <c r="U3438" s="48">
        <f>IF(Учет!$O3438=Справочники!$F$6,Учет!$H3438,0)</f>
        <v>0</v>
      </c>
      <c r="V3438" s="43">
        <f>V3437+Учет!Q3438-Q3438</f>
        <v>-488978.92000000004</v>
      </c>
      <c r="W3438" s="43">
        <f>W3437+Учет!R3438-R3438</f>
        <v>336855</v>
      </c>
      <c r="X3438" s="43">
        <f>X3437+Учет!S3438-S3438</f>
        <v>500</v>
      </c>
      <c r="Y3438" s="43">
        <f>Y3437+Учет!T3438-T3438</f>
        <v>1150</v>
      </c>
      <c r="Z3438" s="43">
        <f>Z3437+Учет!U3438-U3438</f>
        <v>500000</v>
      </c>
      <c r="AA3438" s="45">
        <f>Учет!X3438</f>
        <v>500</v>
      </c>
    </row>
    <row r="3439" spans="1:27" ht="15" customHeight="1" x14ac:dyDescent="0.25">
      <c r="A3439" s="1"/>
      <c r="B3439" s="17"/>
      <c r="C3439" s="17"/>
      <c r="D3439" s="17"/>
      <c r="E3439" s="17"/>
      <c r="F3439" s="17"/>
      <c r="G3439" s="4">
        <f t="shared" si="156"/>
        <v>0</v>
      </c>
      <c r="H3439" s="17"/>
      <c r="I3439" s="4">
        <f t="shared" si="158"/>
        <v>349526.07999999996</v>
      </c>
      <c r="J3439" s="32" t="str">
        <f t="shared" si="157"/>
        <v/>
      </c>
      <c r="K3439" s="72"/>
      <c r="L3439" s="72"/>
      <c r="M3439" s="2"/>
      <c r="N3439" s="5"/>
      <c r="O3439" s="3"/>
      <c r="P3439" s="6"/>
      <c r="Q3439" s="48">
        <f>IF(Учет!$O3439=Справочники!$F$2,Учет!$H3439,0)</f>
        <v>0</v>
      </c>
      <c r="R3439" s="48">
        <f>IF(Учет!$O3439=Справочники!$F$3,Учет!$H3439,0)</f>
        <v>0</v>
      </c>
      <c r="S3439" s="48">
        <f>IF(Учет!$O3439=Справочники!$F$4,Учет!$H3439,0)</f>
        <v>0</v>
      </c>
      <c r="T3439" s="48">
        <f>IF(Учет!$O3439=Справочники!$F$5,Учет!$H3439,0)</f>
        <v>0</v>
      </c>
      <c r="U3439" s="48">
        <f>IF(Учет!$O3439=Справочники!$F$6,Учет!$H3439,0)</f>
        <v>0</v>
      </c>
      <c r="V3439" s="43">
        <f>V3438+Учет!Q3439-Q3439</f>
        <v>-488978.92000000004</v>
      </c>
      <c r="W3439" s="43">
        <f>W3438+Учет!R3439-R3439</f>
        <v>336855</v>
      </c>
      <c r="X3439" s="43">
        <f>X3438+Учет!S3439-S3439</f>
        <v>500</v>
      </c>
      <c r="Y3439" s="43">
        <f>Y3438+Учет!T3439-T3439</f>
        <v>1150</v>
      </c>
      <c r="Z3439" s="43">
        <f>Z3438+Учет!U3439-U3439</f>
        <v>500000</v>
      </c>
      <c r="AA3439" s="45">
        <f>Учет!X3439</f>
        <v>500</v>
      </c>
    </row>
    <row r="3440" spans="1:27" ht="15" customHeight="1" x14ac:dyDescent="0.25">
      <c r="A3440" s="1"/>
      <c r="B3440" s="17"/>
      <c r="C3440" s="17"/>
      <c r="D3440" s="17"/>
      <c r="E3440" s="17"/>
      <c r="F3440" s="17"/>
      <c r="G3440" s="4">
        <f t="shared" si="156"/>
        <v>0</v>
      </c>
      <c r="H3440" s="17"/>
      <c r="I3440" s="4">
        <f t="shared" si="158"/>
        <v>349526.07999999996</v>
      </c>
      <c r="J3440" s="32" t="str">
        <f t="shared" si="157"/>
        <v/>
      </c>
      <c r="K3440" s="72"/>
      <c r="L3440" s="72"/>
      <c r="M3440" s="2"/>
      <c r="N3440" s="5"/>
      <c r="O3440" s="3"/>
      <c r="P3440" s="6"/>
      <c r="Q3440" s="48">
        <f>IF(Учет!$O3440=Справочники!$F$2,Учет!$H3440,0)</f>
        <v>0</v>
      </c>
      <c r="R3440" s="48">
        <f>IF(Учет!$O3440=Справочники!$F$3,Учет!$H3440,0)</f>
        <v>0</v>
      </c>
      <c r="S3440" s="48">
        <f>IF(Учет!$O3440=Справочники!$F$4,Учет!$H3440,0)</f>
        <v>0</v>
      </c>
      <c r="T3440" s="48">
        <f>IF(Учет!$O3440=Справочники!$F$5,Учет!$H3440,0)</f>
        <v>0</v>
      </c>
      <c r="U3440" s="48">
        <f>IF(Учет!$O3440=Справочники!$F$6,Учет!$H3440,0)</f>
        <v>0</v>
      </c>
      <c r="V3440" s="43">
        <f>V3439+Учет!Q3440-Q3440</f>
        <v>-488978.92000000004</v>
      </c>
      <c r="W3440" s="43">
        <f>W3439+Учет!R3440-R3440</f>
        <v>336855</v>
      </c>
      <c r="X3440" s="43">
        <f>X3439+Учет!S3440-S3440</f>
        <v>500</v>
      </c>
      <c r="Y3440" s="43">
        <f>Y3439+Учет!T3440-T3440</f>
        <v>1150</v>
      </c>
      <c r="Z3440" s="43">
        <f>Z3439+Учет!U3440-U3440</f>
        <v>500000</v>
      </c>
      <c r="AA3440" s="45">
        <f>Учет!X3440</f>
        <v>500</v>
      </c>
    </row>
    <row r="3441" spans="1:27" ht="15" customHeight="1" x14ac:dyDescent="0.25">
      <c r="A3441" s="1"/>
      <c r="B3441" s="17"/>
      <c r="C3441" s="17"/>
      <c r="D3441" s="17"/>
      <c r="E3441" s="17"/>
      <c r="F3441" s="17"/>
      <c r="G3441" s="4">
        <f t="shared" si="156"/>
        <v>0</v>
      </c>
      <c r="H3441" s="17"/>
      <c r="I3441" s="4">
        <f t="shared" si="158"/>
        <v>349526.07999999996</v>
      </c>
      <c r="J3441" s="32" t="str">
        <f t="shared" si="157"/>
        <v/>
      </c>
      <c r="K3441" s="72"/>
      <c r="L3441" s="72"/>
      <c r="M3441" s="2"/>
      <c r="N3441" s="5"/>
      <c r="O3441" s="3"/>
      <c r="P3441" s="6"/>
      <c r="Q3441" s="48">
        <f>IF(Учет!$O3441=Справочники!$F$2,Учет!$H3441,0)</f>
        <v>0</v>
      </c>
      <c r="R3441" s="48">
        <f>IF(Учет!$O3441=Справочники!$F$3,Учет!$H3441,0)</f>
        <v>0</v>
      </c>
      <c r="S3441" s="48">
        <f>IF(Учет!$O3441=Справочники!$F$4,Учет!$H3441,0)</f>
        <v>0</v>
      </c>
      <c r="T3441" s="48">
        <f>IF(Учет!$O3441=Справочники!$F$5,Учет!$H3441,0)</f>
        <v>0</v>
      </c>
      <c r="U3441" s="48">
        <f>IF(Учет!$O3441=Справочники!$F$6,Учет!$H3441,0)</f>
        <v>0</v>
      </c>
      <c r="V3441" s="43">
        <f>V3440+Учет!Q3441-Q3441</f>
        <v>-488978.92000000004</v>
      </c>
      <c r="W3441" s="43">
        <f>W3440+Учет!R3441-R3441</f>
        <v>336855</v>
      </c>
      <c r="X3441" s="43">
        <f>X3440+Учет!S3441-S3441</f>
        <v>500</v>
      </c>
      <c r="Y3441" s="43">
        <f>Y3440+Учет!T3441-T3441</f>
        <v>1150</v>
      </c>
      <c r="Z3441" s="43">
        <f>Z3440+Учет!U3441-U3441</f>
        <v>500000</v>
      </c>
      <c r="AA3441" s="45">
        <f>Учет!X3441</f>
        <v>500</v>
      </c>
    </row>
    <row r="3442" spans="1:27" ht="15" customHeight="1" x14ac:dyDescent="0.25">
      <c r="A3442" s="1"/>
      <c r="B3442" s="17"/>
      <c r="C3442" s="17"/>
      <c r="D3442" s="17"/>
      <c r="E3442" s="17"/>
      <c r="F3442" s="17"/>
      <c r="G3442" s="4">
        <f t="shared" si="156"/>
        <v>0</v>
      </c>
      <c r="H3442" s="17"/>
      <c r="I3442" s="4">
        <f t="shared" si="158"/>
        <v>349526.07999999996</v>
      </c>
      <c r="J3442" s="32" t="str">
        <f t="shared" si="157"/>
        <v/>
      </c>
      <c r="K3442" s="72"/>
      <c r="L3442" s="72"/>
      <c r="M3442" s="2"/>
      <c r="N3442" s="5"/>
      <c r="O3442" s="3"/>
      <c r="P3442" s="6"/>
      <c r="Q3442" s="48">
        <f>IF(Учет!$O3442=Справочники!$F$2,Учет!$H3442,0)</f>
        <v>0</v>
      </c>
      <c r="R3442" s="48">
        <f>IF(Учет!$O3442=Справочники!$F$3,Учет!$H3442,0)</f>
        <v>0</v>
      </c>
      <c r="S3442" s="48">
        <f>IF(Учет!$O3442=Справочники!$F$4,Учет!$H3442,0)</f>
        <v>0</v>
      </c>
      <c r="T3442" s="48">
        <f>IF(Учет!$O3442=Справочники!$F$5,Учет!$H3442,0)</f>
        <v>0</v>
      </c>
      <c r="U3442" s="48">
        <f>IF(Учет!$O3442=Справочники!$F$6,Учет!$H3442,0)</f>
        <v>0</v>
      </c>
      <c r="V3442" s="43">
        <f>V3441+Учет!Q3442-Q3442</f>
        <v>-488978.92000000004</v>
      </c>
      <c r="W3442" s="43">
        <f>W3441+Учет!R3442-R3442</f>
        <v>336855</v>
      </c>
      <c r="X3442" s="43">
        <f>X3441+Учет!S3442-S3442</f>
        <v>500</v>
      </c>
      <c r="Y3442" s="43">
        <f>Y3441+Учет!T3442-T3442</f>
        <v>1150</v>
      </c>
      <c r="Z3442" s="43">
        <f>Z3441+Учет!U3442-U3442</f>
        <v>500000</v>
      </c>
      <c r="AA3442" s="45">
        <f>Учет!X3442</f>
        <v>500</v>
      </c>
    </row>
    <row r="3443" spans="1:27" ht="15" customHeight="1" x14ac:dyDescent="0.25">
      <c r="A3443" s="1"/>
      <c r="B3443" s="17"/>
      <c r="C3443" s="17"/>
      <c r="D3443" s="17"/>
      <c r="E3443" s="17"/>
      <c r="F3443" s="17"/>
      <c r="G3443" s="4">
        <f t="shared" si="156"/>
        <v>0</v>
      </c>
      <c r="H3443" s="17"/>
      <c r="I3443" s="4">
        <f t="shared" si="158"/>
        <v>349526.07999999996</v>
      </c>
      <c r="J3443" s="32" t="str">
        <f t="shared" si="157"/>
        <v/>
      </c>
      <c r="K3443" s="72"/>
      <c r="L3443" s="72"/>
      <c r="M3443" s="2"/>
      <c r="N3443" s="5"/>
      <c r="O3443" s="3"/>
      <c r="P3443" s="6"/>
      <c r="Q3443" s="48">
        <f>IF(Учет!$O3443=Справочники!$F$2,Учет!$H3443,0)</f>
        <v>0</v>
      </c>
      <c r="R3443" s="48">
        <f>IF(Учет!$O3443=Справочники!$F$3,Учет!$H3443,0)</f>
        <v>0</v>
      </c>
      <c r="S3443" s="48">
        <f>IF(Учет!$O3443=Справочники!$F$4,Учет!$H3443,0)</f>
        <v>0</v>
      </c>
      <c r="T3443" s="48">
        <f>IF(Учет!$O3443=Справочники!$F$5,Учет!$H3443,0)</f>
        <v>0</v>
      </c>
      <c r="U3443" s="48">
        <f>IF(Учет!$O3443=Справочники!$F$6,Учет!$H3443,0)</f>
        <v>0</v>
      </c>
      <c r="V3443" s="43">
        <f>V3442+Учет!Q3443-Q3443</f>
        <v>-488978.92000000004</v>
      </c>
      <c r="W3443" s="43">
        <f>W3442+Учет!R3443-R3443</f>
        <v>336855</v>
      </c>
      <c r="X3443" s="43">
        <f>X3442+Учет!S3443-S3443</f>
        <v>500</v>
      </c>
      <c r="Y3443" s="43">
        <f>Y3442+Учет!T3443-T3443</f>
        <v>1150</v>
      </c>
      <c r="Z3443" s="43">
        <f>Z3442+Учет!U3443-U3443</f>
        <v>500000</v>
      </c>
      <c r="AA3443" s="45">
        <f>Учет!X3443</f>
        <v>500</v>
      </c>
    </row>
    <row r="3444" spans="1:27" ht="15" customHeight="1" x14ac:dyDescent="0.25">
      <c r="A3444" s="1"/>
      <c r="B3444" s="17"/>
      <c r="C3444" s="17"/>
      <c r="D3444" s="17"/>
      <c r="E3444" s="17"/>
      <c r="F3444" s="17"/>
      <c r="G3444" s="4">
        <f t="shared" si="156"/>
        <v>0</v>
      </c>
      <c r="H3444" s="17"/>
      <c r="I3444" s="4">
        <f t="shared" si="158"/>
        <v>349526.07999999996</v>
      </c>
      <c r="J3444" s="32" t="str">
        <f t="shared" si="157"/>
        <v/>
      </c>
      <c r="K3444" s="72"/>
      <c r="L3444" s="72"/>
      <c r="M3444" s="2"/>
      <c r="N3444" s="5"/>
      <c r="O3444" s="3"/>
      <c r="P3444" s="6"/>
      <c r="Q3444" s="48">
        <f>IF(Учет!$O3444=Справочники!$F$2,Учет!$H3444,0)</f>
        <v>0</v>
      </c>
      <c r="R3444" s="48">
        <f>IF(Учет!$O3444=Справочники!$F$3,Учет!$H3444,0)</f>
        <v>0</v>
      </c>
      <c r="S3444" s="48">
        <f>IF(Учет!$O3444=Справочники!$F$4,Учет!$H3444,0)</f>
        <v>0</v>
      </c>
      <c r="T3444" s="48">
        <f>IF(Учет!$O3444=Справочники!$F$5,Учет!$H3444,0)</f>
        <v>0</v>
      </c>
      <c r="U3444" s="48">
        <f>IF(Учет!$O3444=Справочники!$F$6,Учет!$H3444,0)</f>
        <v>0</v>
      </c>
      <c r="V3444" s="43">
        <f>V3443+Учет!Q3444-Q3444</f>
        <v>-488978.92000000004</v>
      </c>
      <c r="W3444" s="43">
        <f>W3443+Учет!R3444-R3444</f>
        <v>336855</v>
      </c>
      <c r="X3444" s="43">
        <f>X3443+Учет!S3444-S3444</f>
        <v>500</v>
      </c>
      <c r="Y3444" s="43">
        <f>Y3443+Учет!T3444-T3444</f>
        <v>1150</v>
      </c>
      <c r="Z3444" s="43">
        <f>Z3443+Учет!U3444-U3444</f>
        <v>500000</v>
      </c>
      <c r="AA3444" s="45">
        <f>Учет!X3444</f>
        <v>500</v>
      </c>
    </row>
    <row r="3445" spans="1:27" ht="15" customHeight="1" x14ac:dyDescent="0.25">
      <c r="A3445" s="1"/>
      <c r="B3445" s="17"/>
      <c r="C3445" s="17"/>
      <c r="D3445" s="17"/>
      <c r="E3445" s="17"/>
      <c r="F3445" s="17"/>
      <c r="G3445" s="4">
        <f t="shared" si="156"/>
        <v>0</v>
      </c>
      <c r="H3445" s="17"/>
      <c r="I3445" s="4">
        <f t="shared" si="158"/>
        <v>349526.07999999996</v>
      </c>
      <c r="J3445" s="32" t="str">
        <f t="shared" si="157"/>
        <v/>
      </c>
      <c r="K3445" s="72"/>
      <c r="L3445" s="72"/>
      <c r="M3445" s="2"/>
      <c r="N3445" s="5"/>
      <c r="O3445" s="3"/>
      <c r="P3445" s="6"/>
      <c r="Q3445" s="48">
        <f>IF(Учет!$O3445=Справочники!$F$2,Учет!$H3445,0)</f>
        <v>0</v>
      </c>
      <c r="R3445" s="48">
        <f>IF(Учет!$O3445=Справочники!$F$3,Учет!$H3445,0)</f>
        <v>0</v>
      </c>
      <c r="S3445" s="48">
        <f>IF(Учет!$O3445=Справочники!$F$4,Учет!$H3445,0)</f>
        <v>0</v>
      </c>
      <c r="T3445" s="48">
        <f>IF(Учет!$O3445=Справочники!$F$5,Учет!$H3445,0)</f>
        <v>0</v>
      </c>
      <c r="U3445" s="48">
        <f>IF(Учет!$O3445=Справочники!$F$6,Учет!$H3445,0)</f>
        <v>0</v>
      </c>
      <c r="V3445" s="43">
        <f>V3444+Учет!Q3445-Q3445</f>
        <v>-488978.92000000004</v>
      </c>
      <c r="W3445" s="43">
        <f>W3444+Учет!R3445-R3445</f>
        <v>336855</v>
      </c>
      <c r="X3445" s="43">
        <f>X3444+Учет!S3445-S3445</f>
        <v>500</v>
      </c>
      <c r="Y3445" s="43">
        <f>Y3444+Учет!T3445-T3445</f>
        <v>1150</v>
      </c>
      <c r="Z3445" s="43">
        <f>Z3444+Учет!U3445-U3445</f>
        <v>500000</v>
      </c>
      <c r="AA3445" s="45">
        <f>Учет!X3445</f>
        <v>500</v>
      </c>
    </row>
    <row r="3446" spans="1:27" ht="15" customHeight="1" x14ac:dyDescent="0.25">
      <c r="A3446" s="1"/>
      <c r="B3446" s="17"/>
      <c r="C3446" s="17"/>
      <c r="D3446" s="17"/>
      <c r="E3446" s="17"/>
      <c r="F3446" s="17"/>
      <c r="G3446" s="4">
        <f t="shared" si="156"/>
        <v>0</v>
      </c>
      <c r="H3446" s="17"/>
      <c r="I3446" s="4">
        <f t="shared" si="158"/>
        <v>349526.07999999996</v>
      </c>
      <c r="J3446" s="32" t="str">
        <f t="shared" si="157"/>
        <v/>
      </c>
      <c r="K3446" s="72"/>
      <c r="L3446" s="72"/>
      <c r="M3446" s="2"/>
      <c r="N3446" s="5"/>
      <c r="O3446" s="3"/>
      <c r="P3446" s="6"/>
      <c r="Q3446" s="48">
        <f>IF(Учет!$O3446=Справочники!$F$2,Учет!$H3446,0)</f>
        <v>0</v>
      </c>
      <c r="R3446" s="48">
        <f>IF(Учет!$O3446=Справочники!$F$3,Учет!$H3446,0)</f>
        <v>0</v>
      </c>
      <c r="S3446" s="48">
        <f>IF(Учет!$O3446=Справочники!$F$4,Учет!$H3446,0)</f>
        <v>0</v>
      </c>
      <c r="T3446" s="48">
        <f>IF(Учет!$O3446=Справочники!$F$5,Учет!$H3446,0)</f>
        <v>0</v>
      </c>
      <c r="U3446" s="48">
        <f>IF(Учет!$O3446=Справочники!$F$6,Учет!$H3446,0)</f>
        <v>0</v>
      </c>
      <c r="V3446" s="43">
        <f>V3445+Учет!Q3446-Q3446</f>
        <v>-488978.92000000004</v>
      </c>
      <c r="W3446" s="43">
        <f>W3445+Учет!R3446-R3446</f>
        <v>336855</v>
      </c>
      <c r="X3446" s="43">
        <f>X3445+Учет!S3446-S3446</f>
        <v>500</v>
      </c>
      <c r="Y3446" s="43">
        <f>Y3445+Учет!T3446-T3446</f>
        <v>1150</v>
      </c>
      <c r="Z3446" s="43">
        <f>Z3445+Учет!U3446-U3446</f>
        <v>500000</v>
      </c>
      <c r="AA3446" s="45">
        <f>Учет!X3446</f>
        <v>500</v>
      </c>
    </row>
    <row r="3447" spans="1:27" ht="15" customHeight="1" x14ac:dyDescent="0.25">
      <c r="A3447" s="1"/>
      <c r="B3447" s="17"/>
      <c r="C3447" s="17"/>
      <c r="D3447" s="17"/>
      <c r="E3447" s="17"/>
      <c r="F3447" s="17"/>
      <c r="G3447" s="4">
        <f t="shared" si="156"/>
        <v>0</v>
      </c>
      <c r="H3447" s="17"/>
      <c r="I3447" s="4">
        <f t="shared" si="158"/>
        <v>349526.07999999996</v>
      </c>
      <c r="J3447" s="32" t="str">
        <f t="shared" si="157"/>
        <v/>
      </c>
      <c r="K3447" s="72"/>
      <c r="L3447" s="72"/>
      <c r="M3447" s="2"/>
      <c r="N3447" s="5"/>
      <c r="O3447" s="3"/>
      <c r="P3447" s="6"/>
      <c r="Q3447" s="48">
        <f>IF(Учет!$O3447=Справочники!$F$2,Учет!$H3447,0)</f>
        <v>0</v>
      </c>
      <c r="R3447" s="48">
        <f>IF(Учет!$O3447=Справочники!$F$3,Учет!$H3447,0)</f>
        <v>0</v>
      </c>
      <c r="S3447" s="48">
        <f>IF(Учет!$O3447=Справочники!$F$4,Учет!$H3447,0)</f>
        <v>0</v>
      </c>
      <c r="T3447" s="48">
        <f>IF(Учет!$O3447=Справочники!$F$5,Учет!$H3447,0)</f>
        <v>0</v>
      </c>
      <c r="U3447" s="48">
        <f>IF(Учет!$O3447=Справочники!$F$6,Учет!$H3447,0)</f>
        <v>0</v>
      </c>
      <c r="V3447" s="43">
        <f>V3446+Учет!Q3447-Q3447</f>
        <v>-488978.92000000004</v>
      </c>
      <c r="W3447" s="43">
        <f>W3446+Учет!R3447-R3447</f>
        <v>336855</v>
      </c>
      <c r="X3447" s="43">
        <f>X3446+Учет!S3447-S3447</f>
        <v>500</v>
      </c>
      <c r="Y3447" s="43">
        <f>Y3446+Учет!T3447-T3447</f>
        <v>1150</v>
      </c>
      <c r="Z3447" s="43">
        <f>Z3446+Учет!U3447-U3447</f>
        <v>500000</v>
      </c>
      <c r="AA3447" s="45">
        <f>Учет!X3447</f>
        <v>500</v>
      </c>
    </row>
    <row r="3448" spans="1:27" ht="15" customHeight="1" x14ac:dyDescent="0.25">
      <c r="A3448" s="1"/>
      <c r="B3448" s="17"/>
      <c r="C3448" s="17"/>
      <c r="D3448" s="17"/>
      <c r="E3448" s="17"/>
      <c r="F3448" s="17"/>
      <c r="G3448" s="4">
        <f t="shared" si="156"/>
        <v>0</v>
      </c>
      <c r="H3448" s="17"/>
      <c r="I3448" s="4">
        <f t="shared" si="158"/>
        <v>349526.07999999996</v>
      </c>
      <c r="J3448" s="32" t="str">
        <f t="shared" si="157"/>
        <v/>
      </c>
      <c r="K3448" s="72"/>
      <c r="L3448" s="72"/>
      <c r="M3448" s="2"/>
      <c r="N3448" s="5"/>
      <c r="O3448" s="3"/>
      <c r="P3448" s="6"/>
      <c r="Q3448" s="48">
        <f>IF(Учет!$O3448=Справочники!$F$2,Учет!$H3448,0)</f>
        <v>0</v>
      </c>
      <c r="R3448" s="48">
        <f>IF(Учет!$O3448=Справочники!$F$3,Учет!$H3448,0)</f>
        <v>0</v>
      </c>
      <c r="S3448" s="48">
        <f>IF(Учет!$O3448=Справочники!$F$4,Учет!$H3448,0)</f>
        <v>0</v>
      </c>
      <c r="T3448" s="48">
        <f>IF(Учет!$O3448=Справочники!$F$5,Учет!$H3448,0)</f>
        <v>0</v>
      </c>
      <c r="U3448" s="48">
        <f>IF(Учет!$O3448=Справочники!$F$6,Учет!$H3448,0)</f>
        <v>0</v>
      </c>
      <c r="V3448" s="43">
        <f>V3447+Учет!Q3448-Q3448</f>
        <v>-488978.92000000004</v>
      </c>
      <c r="W3448" s="43">
        <f>W3447+Учет!R3448-R3448</f>
        <v>336855</v>
      </c>
      <c r="X3448" s="43">
        <f>X3447+Учет!S3448-S3448</f>
        <v>500</v>
      </c>
      <c r="Y3448" s="43">
        <f>Y3447+Учет!T3448-T3448</f>
        <v>1150</v>
      </c>
      <c r="Z3448" s="43">
        <f>Z3447+Учет!U3448-U3448</f>
        <v>500000</v>
      </c>
      <c r="AA3448" s="45">
        <f>Учет!X3448</f>
        <v>500</v>
      </c>
    </row>
    <row r="3449" spans="1:27" ht="15" customHeight="1" x14ac:dyDescent="0.25">
      <c r="A3449" s="1"/>
      <c r="B3449" s="17"/>
      <c r="C3449" s="17"/>
      <c r="D3449" s="17"/>
      <c r="E3449" s="17"/>
      <c r="F3449" s="17"/>
      <c r="G3449" s="4">
        <f t="shared" si="156"/>
        <v>0</v>
      </c>
      <c r="H3449" s="17"/>
      <c r="I3449" s="4">
        <f t="shared" si="158"/>
        <v>349526.07999999996</v>
      </c>
      <c r="J3449" s="32" t="str">
        <f t="shared" si="157"/>
        <v/>
      </c>
      <c r="K3449" s="72"/>
      <c r="L3449" s="72"/>
      <c r="M3449" s="2"/>
      <c r="N3449" s="5"/>
      <c r="O3449" s="3"/>
      <c r="P3449" s="6"/>
      <c r="Q3449" s="48">
        <f>IF(Учет!$O3449=Справочники!$F$2,Учет!$H3449,0)</f>
        <v>0</v>
      </c>
      <c r="R3449" s="48">
        <f>IF(Учет!$O3449=Справочники!$F$3,Учет!$H3449,0)</f>
        <v>0</v>
      </c>
      <c r="S3449" s="48">
        <f>IF(Учет!$O3449=Справочники!$F$4,Учет!$H3449,0)</f>
        <v>0</v>
      </c>
      <c r="T3449" s="48">
        <f>IF(Учет!$O3449=Справочники!$F$5,Учет!$H3449,0)</f>
        <v>0</v>
      </c>
      <c r="U3449" s="48">
        <f>IF(Учет!$O3449=Справочники!$F$6,Учет!$H3449,0)</f>
        <v>0</v>
      </c>
      <c r="V3449" s="43">
        <f>V3448+Учет!Q3449-Q3449</f>
        <v>-488978.92000000004</v>
      </c>
      <c r="W3449" s="43">
        <f>W3448+Учет!R3449-R3449</f>
        <v>336855</v>
      </c>
      <c r="X3449" s="43">
        <f>X3448+Учет!S3449-S3449</f>
        <v>500</v>
      </c>
      <c r="Y3449" s="43">
        <f>Y3448+Учет!T3449-T3449</f>
        <v>1150</v>
      </c>
      <c r="Z3449" s="43">
        <f>Z3448+Учет!U3449-U3449</f>
        <v>500000</v>
      </c>
      <c r="AA3449" s="45">
        <f>Учет!X3449</f>
        <v>500</v>
      </c>
    </row>
    <row r="3450" spans="1:27" ht="15" customHeight="1" x14ac:dyDescent="0.25">
      <c r="A3450" s="1"/>
      <c r="B3450" s="17"/>
      <c r="C3450" s="17"/>
      <c r="D3450" s="17"/>
      <c r="E3450" s="17"/>
      <c r="F3450" s="17"/>
      <c r="G3450" s="4">
        <f t="shared" si="156"/>
        <v>0</v>
      </c>
      <c r="H3450" s="17"/>
      <c r="I3450" s="4">
        <f t="shared" si="158"/>
        <v>349526.07999999996</v>
      </c>
      <c r="J3450" s="32" t="str">
        <f t="shared" si="157"/>
        <v/>
      </c>
      <c r="K3450" s="72"/>
      <c r="L3450" s="72"/>
      <c r="M3450" s="2"/>
      <c r="N3450" s="5"/>
      <c r="O3450" s="3"/>
      <c r="P3450" s="6"/>
      <c r="Q3450" s="48">
        <f>IF(Учет!$O3450=Справочники!$F$2,Учет!$H3450,0)</f>
        <v>0</v>
      </c>
      <c r="R3450" s="48">
        <f>IF(Учет!$O3450=Справочники!$F$3,Учет!$H3450,0)</f>
        <v>0</v>
      </c>
      <c r="S3450" s="48">
        <f>IF(Учет!$O3450=Справочники!$F$4,Учет!$H3450,0)</f>
        <v>0</v>
      </c>
      <c r="T3450" s="48">
        <f>IF(Учет!$O3450=Справочники!$F$5,Учет!$H3450,0)</f>
        <v>0</v>
      </c>
      <c r="U3450" s="48">
        <f>IF(Учет!$O3450=Справочники!$F$6,Учет!$H3450,0)</f>
        <v>0</v>
      </c>
      <c r="V3450" s="43">
        <f>V3449+Учет!Q3450-Q3450</f>
        <v>-488978.92000000004</v>
      </c>
      <c r="W3450" s="43">
        <f>W3449+Учет!R3450-R3450</f>
        <v>336855</v>
      </c>
      <c r="X3450" s="43">
        <f>X3449+Учет!S3450-S3450</f>
        <v>500</v>
      </c>
      <c r="Y3450" s="43">
        <f>Y3449+Учет!T3450-T3450</f>
        <v>1150</v>
      </c>
      <c r="Z3450" s="43">
        <f>Z3449+Учет!U3450-U3450</f>
        <v>500000</v>
      </c>
      <c r="AA3450" s="45">
        <f>Учет!X3450</f>
        <v>500</v>
      </c>
    </row>
    <row r="3451" spans="1:27" ht="15" customHeight="1" x14ac:dyDescent="0.25">
      <c r="A3451" s="1"/>
      <c r="B3451" s="17"/>
      <c r="C3451" s="17"/>
      <c r="D3451" s="17"/>
      <c r="E3451" s="17"/>
      <c r="F3451" s="17"/>
      <c r="G3451" s="4">
        <f t="shared" si="156"/>
        <v>0</v>
      </c>
      <c r="H3451" s="17"/>
      <c r="I3451" s="4">
        <f t="shared" si="158"/>
        <v>349526.07999999996</v>
      </c>
      <c r="J3451" s="32" t="str">
        <f t="shared" si="157"/>
        <v/>
      </c>
      <c r="K3451" s="72"/>
      <c r="L3451" s="72"/>
      <c r="M3451" s="2"/>
      <c r="N3451" s="5"/>
      <c r="O3451" s="3"/>
      <c r="P3451" s="6"/>
      <c r="Q3451" s="48">
        <f>IF(Учет!$O3451=Справочники!$F$2,Учет!$H3451,0)</f>
        <v>0</v>
      </c>
      <c r="R3451" s="48">
        <f>IF(Учет!$O3451=Справочники!$F$3,Учет!$H3451,0)</f>
        <v>0</v>
      </c>
      <c r="S3451" s="48">
        <f>IF(Учет!$O3451=Справочники!$F$4,Учет!$H3451,0)</f>
        <v>0</v>
      </c>
      <c r="T3451" s="48">
        <f>IF(Учет!$O3451=Справочники!$F$5,Учет!$H3451,0)</f>
        <v>0</v>
      </c>
      <c r="U3451" s="48">
        <f>IF(Учет!$O3451=Справочники!$F$6,Учет!$H3451,0)</f>
        <v>0</v>
      </c>
      <c r="V3451" s="43">
        <f>V3450+Учет!Q3451-Q3451</f>
        <v>-488978.92000000004</v>
      </c>
      <c r="W3451" s="43">
        <f>W3450+Учет!R3451-R3451</f>
        <v>336855</v>
      </c>
      <c r="X3451" s="43">
        <f>X3450+Учет!S3451-S3451</f>
        <v>500</v>
      </c>
      <c r="Y3451" s="43">
        <f>Y3450+Учет!T3451-T3451</f>
        <v>1150</v>
      </c>
      <c r="Z3451" s="43">
        <f>Z3450+Учет!U3451-U3451</f>
        <v>500000</v>
      </c>
      <c r="AA3451" s="45">
        <f>Учет!X3451</f>
        <v>500</v>
      </c>
    </row>
    <row r="3452" spans="1:27" ht="15" customHeight="1" x14ac:dyDescent="0.25">
      <c r="A3452" s="1"/>
      <c r="B3452" s="17"/>
      <c r="C3452" s="17"/>
      <c r="D3452" s="17"/>
      <c r="E3452" s="17"/>
      <c r="F3452" s="17"/>
      <c r="G3452" s="4">
        <f t="shared" si="156"/>
        <v>0</v>
      </c>
      <c r="H3452" s="17"/>
      <c r="I3452" s="4">
        <f t="shared" si="158"/>
        <v>349526.07999999996</v>
      </c>
      <c r="J3452" s="32" t="str">
        <f t="shared" si="157"/>
        <v/>
      </c>
      <c r="K3452" s="72"/>
      <c r="L3452" s="72"/>
      <c r="M3452" s="2"/>
      <c r="N3452" s="5"/>
      <c r="O3452" s="3"/>
      <c r="P3452" s="6"/>
      <c r="Q3452" s="48">
        <f>IF(Учет!$O3452=Справочники!$F$2,Учет!$H3452,0)</f>
        <v>0</v>
      </c>
      <c r="R3452" s="48">
        <f>IF(Учет!$O3452=Справочники!$F$3,Учет!$H3452,0)</f>
        <v>0</v>
      </c>
      <c r="S3452" s="48">
        <f>IF(Учет!$O3452=Справочники!$F$4,Учет!$H3452,0)</f>
        <v>0</v>
      </c>
      <c r="T3452" s="48">
        <f>IF(Учет!$O3452=Справочники!$F$5,Учет!$H3452,0)</f>
        <v>0</v>
      </c>
      <c r="U3452" s="48">
        <f>IF(Учет!$O3452=Справочники!$F$6,Учет!$H3452,0)</f>
        <v>0</v>
      </c>
      <c r="V3452" s="43">
        <f>V3451+Учет!Q3452-Q3452</f>
        <v>-488978.92000000004</v>
      </c>
      <c r="W3452" s="43">
        <f>W3451+Учет!R3452-R3452</f>
        <v>336855</v>
      </c>
      <c r="X3452" s="43">
        <f>X3451+Учет!S3452-S3452</f>
        <v>500</v>
      </c>
      <c r="Y3452" s="43">
        <f>Y3451+Учет!T3452-T3452</f>
        <v>1150</v>
      </c>
      <c r="Z3452" s="43">
        <f>Z3451+Учет!U3452-U3452</f>
        <v>500000</v>
      </c>
      <c r="AA3452" s="45">
        <f>Учет!X3452</f>
        <v>500</v>
      </c>
    </row>
    <row r="3453" spans="1:27" ht="15" customHeight="1" x14ac:dyDescent="0.25">
      <c r="A3453" s="1"/>
      <c r="B3453" s="17"/>
      <c r="C3453" s="17"/>
      <c r="D3453" s="17"/>
      <c r="E3453" s="17"/>
      <c r="F3453" s="17"/>
      <c r="G3453" s="4">
        <f t="shared" si="156"/>
        <v>0</v>
      </c>
      <c r="H3453" s="17"/>
      <c r="I3453" s="4">
        <f t="shared" si="158"/>
        <v>349526.07999999996</v>
      </c>
      <c r="J3453" s="32" t="str">
        <f t="shared" si="157"/>
        <v/>
      </c>
      <c r="K3453" s="72"/>
      <c r="L3453" s="72"/>
      <c r="M3453" s="2"/>
      <c r="N3453" s="5"/>
      <c r="O3453" s="3"/>
      <c r="P3453" s="6"/>
      <c r="Q3453" s="48">
        <f>IF(Учет!$O3453=Справочники!$F$2,Учет!$H3453,0)</f>
        <v>0</v>
      </c>
      <c r="R3453" s="48">
        <f>IF(Учет!$O3453=Справочники!$F$3,Учет!$H3453,0)</f>
        <v>0</v>
      </c>
      <c r="S3453" s="48">
        <f>IF(Учет!$O3453=Справочники!$F$4,Учет!$H3453,0)</f>
        <v>0</v>
      </c>
      <c r="T3453" s="48">
        <f>IF(Учет!$O3453=Справочники!$F$5,Учет!$H3453,0)</f>
        <v>0</v>
      </c>
      <c r="U3453" s="48">
        <f>IF(Учет!$O3453=Справочники!$F$6,Учет!$H3453,0)</f>
        <v>0</v>
      </c>
      <c r="V3453" s="43">
        <f>V3452+Учет!Q3453-Q3453</f>
        <v>-488978.92000000004</v>
      </c>
      <c r="W3453" s="43">
        <f>W3452+Учет!R3453-R3453</f>
        <v>336855</v>
      </c>
      <c r="X3453" s="43">
        <f>X3452+Учет!S3453-S3453</f>
        <v>500</v>
      </c>
      <c r="Y3453" s="43">
        <f>Y3452+Учет!T3453-T3453</f>
        <v>1150</v>
      </c>
      <c r="Z3453" s="43">
        <f>Z3452+Учет!U3453-U3453</f>
        <v>500000</v>
      </c>
      <c r="AA3453" s="45">
        <f>Учет!X3453</f>
        <v>500</v>
      </c>
    </row>
    <row r="3454" spans="1:27" ht="15" customHeight="1" x14ac:dyDescent="0.25">
      <c r="A3454" s="1"/>
      <c r="B3454" s="17"/>
      <c r="C3454" s="17"/>
      <c r="D3454" s="17"/>
      <c r="E3454" s="17"/>
      <c r="F3454" s="17"/>
      <c r="G3454" s="4">
        <f t="shared" si="156"/>
        <v>0</v>
      </c>
      <c r="H3454" s="17"/>
      <c r="I3454" s="4">
        <f t="shared" si="158"/>
        <v>349526.07999999996</v>
      </c>
      <c r="J3454" s="32" t="str">
        <f t="shared" si="157"/>
        <v/>
      </c>
      <c r="K3454" s="72"/>
      <c r="L3454" s="72"/>
      <c r="M3454" s="2"/>
      <c r="N3454" s="5"/>
      <c r="O3454" s="3"/>
      <c r="P3454" s="6"/>
      <c r="Q3454" s="48">
        <f>IF(Учет!$O3454=Справочники!$F$2,Учет!$H3454,0)</f>
        <v>0</v>
      </c>
      <c r="R3454" s="48">
        <f>IF(Учет!$O3454=Справочники!$F$3,Учет!$H3454,0)</f>
        <v>0</v>
      </c>
      <c r="S3454" s="48">
        <f>IF(Учет!$O3454=Справочники!$F$4,Учет!$H3454,0)</f>
        <v>0</v>
      </c>
      <c r="T3454" s="48">
        <f>IF(Учет!$O3454=Справочники!$F$5,Учет!$H3454,0)</f>
        <v>0</v>
      </c>
      <c r="U3454" s="48">
        <f>IF(Учет!$O3454=Справочники!$F$6,Учет!$H3454,0)</f>
        <v>0</v>
      </c>
      <c r="V3454" s="43">
        <f>V3453+Учет!Q3454-Q3454</f>
        <v>-488978.92000000004</v>
      </c>
      <c r="W3454" s="43">
        <f>W3453+Учет!R3454-R3454</f>
        <v>336855</v>
      </c>
      <c r="X3454" s="43">
        <f>X3453+Учет!S3454-S3454</f>
        <v>500</v>
      </c>
      <c r="Y3454" s="43">
        <f>Y3453+Учет!T3454-T3454</f>
        <v>1150</v>
      </c>
      <c r="Z3454" s="43">
        <f>Z3453+Учет!U3454-U3454</f>
        <v>500000</v>
      </c>
      <c r="AA3454" s="45">
        <f>Учет!X3454</f>
        <v>500</v>
      </c>
    </row>
    <row r="3455" spans="1:27" ht="15" customHeight="1" x14ac:dyDescent="0.25">
      <c r="A3455" s="1"/>
      <c r="B3455" s="17"/>
      <c r="C3455" s="17"/>
      <c r="D3455" s="17"/>
      <c r="E3455" s="17"/>
      <c r="F3455" s="17"/>
      <c r="G3455" s="4">
        <f t="shared" si="156"/>
        <v>0</v>
      </c>
      <c r="H3455" s="17"/>
      <c r="I3455" s="4">
        <f t="shared" si="158"/>
        <v>349526.07999999996</v>
      </c>
      <c r="J3455" s="32" t="str">
        <f t="shared" si="157"/>
        <v/>
      </c>
      <c r="K3455" s="72"/>
      <c r="L3455" s="72"/>
      <c r="M3455" s="2"/>
      <c r="N3455" s="5"/>
      <c r="O3455" s="3"/>
      <c r="P3455" s="6"/>
      <c r="Q3455" s="48">
        <f>IF(Учет!$O3455=Справочники!$F$2,Учет!$H3455,0)</f>
        <v>0</v>
      </c>
      <c r="R3455" s="48">
        <f>IF(Учет!$O3455=Справочники!$F$3,Учет!$H3455,0)</f>
        <v>0</v>
      </c>
      <c r="S3455" s="48">
        <f>IF(Учет!$O3455=Справочники!$F$4,Учет!$H3455,0)</f>
        <v>0</v>
      </c>
      <c r="T3455" s="48">
        <f>IF(Учет!$O3455=Справочники!$F$5,Учет!$H3455,0)</f>
        <v>0</v>
      </c>
      <c r="U3455" s="48">
        <f>IF(Учет!$O3455=Справочники!$F$6,Учет!$H3455,0)</f>
        <v>0</v>
      </c>
      <c r="V3455" s="43">
        <f>V3454+Учет!Q3455-Q3455</f>
        <v>-488978.92000000004</v>
      </c>
      <c r="W3455" s="43">
        <f>W3454+Учет!R3455-R3455</f>
        <v>336855</v>
      </c>
      <c r="X3455" s="43">
        <f>X3454+Учет!S3455-S3455</f>
        <v>500</v>
      </c>
      <c r="Y3455" s="43">
        <f>Y3454+Учет!T3455-T3455</f>
        <v>1150</v>
      </c>
      <c r="Z3455" s="43">
        <f>Z3454+Учет!U3455-U3455</f>
        <v>500000</v>
      </c>
      <c r="AA3455" s="45">
        <f>Учет!X3455</f>
        <v>500</v>
      </c>
    </row>
    <row r="3456" spans="1:27" ht="15" customHeight="1" x14ac:dyDescent="0.25">
      <c r="A3456" s="1"/>
      <c r="B3456" s="17"/>
      <c r="C3456" s="17"/>
      <c r="D3456" s="17"/>
      <c r="E3456" s="17"/>
      <c r="F3456" s="17"/>
      <c r="G3456" s="4">
        <f t="shared" si="156"/>
        <v>0</v>
      </c>
      <c r="H3456" s="17"/>
      <c r="I3456" s="4">
        <f t="shared" si="158"/>
        <v>349526.07999999996</v>
      </c>
      <c r="J3456" s="32" t="str">
        <f t="shared" si="157"/>
        <v/>
      </c>
      <c r="K3456" s="72"/>
      <c r="L3456" s="72"/>
      <c r="M3456" s="2"/>
      <c r="N3456" s="5"/>
      <c r="O3456" s="3"/>
      <c r="P3456" s="6"/>
      <c r="Q3456" s="48">
        <f>IF(Учет!$O3456=Справочники!$F$2,Учет!$H3456,0)</f>
        <v>0</v>
      </c>
      <c r="R3456" s="48">
        <f>IF(Учет!$O3456=Справочники!$F$3,Учет!$H3456,0)</f>
        <v>0</v>
      </c>
      <c r="S3456" s="48">
        <f>IF(Учет!$O3456=Справочники!$F$4,Учет!$H3456,0)</f>
        <v>0</v>
      </c>
      <c r="T3456" s="48">
        <f>IF(Учет!$O3456=Справочники!$F$5,Учет!$H3456,0)</f>
        <v>0</v>
      </c>
      <c r="U3456" s="48">
        <f>IF(Учет!$O3456=Справочники!$F$6,Учет!$H3456,0)</f>
        <v>0</v>
      </c>
      <c r="V3456" s="43">
        <f>V3455+Учет!Q3456-Q3456</f>
        <v>-488978.92000000004</v>
      </c>
      <c r="W3456" s="43">
        <f>W3455+Учет!R3456-R3456</f>
        <v>336855</v>
      </c>
      <c r="X3456" s="43">
        <f>X3455+Учет!S3456-S3456</f>
        <v>500</v>
      </c>
      <c r="Y3456" s="43">
        <f>Y3455+Учет!T3456-T3456</f>
        <v>1150</v>
      </c>
      <c r="Z3456" s="43">
        <f>Z3455+Учет!U3456-U3456</f>
        <v>500000</v>
      </c>
      <c r="AA3456" s="45">
        <f>Учет!X3456</f>
        <v>500</v>
      </c>
    </row>
    <row r="3457" spans="1:27" ht="15" customHeight="1" x14ac:dyDescent="0.25">
      <c r="A3457" s="1"/>
      <c r="B3457" s="17"/>
      <c r="C3457" s="17"/>
      <c r="D3457" s="17"/>
      <c r="E3457" s="17"/>
      <c r="F3457" s="17"/>
      <c r="G3457" s="4">
        <f t="shared" si="156"/>
        <v>0</v>
      </c>
      <c r="H3457" s="17"/>
      <c r="I3457" s="4">
        <f t="shared" si="158"/>
        <v>349526.07999999996</v>
      </c>
      <c r="J3457" s="32" t="str">
        <f t="shared" si="157"/>
        <v/>
      </c>
      <c r="K3457" s="72"/>
      <c r="L3457" s="72"/>
      <c r="M3457" s="2"/>
      <c r="N3457" s="5"/>
      <c r="O3457" s="3"/>
      <c r="P3457" s="6"/>
      <c r="Q3457" s="48">
        <f>IF(Учет!$O3457=Справочники!$F$2,Учет!$H3457,0)</f>
        <v>0</v>
      </c>
      <c r="R3457" s="48">
        <f>IF(Учет!$O3457=Справочники!$F$3,Учет!$H3457,0)</f>
        <v>0</v>
      </c>
      <c r="S3457" s="48">
        <f>IF(Учет!$O3457=Справочники!$F$4,Учет!$H3457,0)</f>
        <v>0</v>
      </c>
      <c r="T3457" s="48">
        <f>IF(Учет!$O3457=Справочники!$F$5,Учет!$H3457,0)</f>
        <v>0</v>
      </c>
      <c r="U3457" s="48">
        <f>IF(Учет!$O3457=Справочники!$F$6,Учет!$H3457,0)</f>
        <v>0</v>
      </c>
      <c r="V3457" s="43">
        <f>V3456+Учет!Q3457-Q3457</f>
        <v>-488978.92000000004</v>
      </c>
      <c r="W3457" s="43">
        <f>W3456+Учет!R3457-R3457</f>
        <v>336855</v>
      </c>
      <c r="X3457" s="43">
        <f>X3456+Учет!S3457-S3457</f>
        <v>500</v>
      </c>
      <c r="Y3457" s="43">
        <f>Y3456+Учет!T3457-T3457</f>
        <v>1150</v>
      </c>
      <c r="Z3457" s="43">
        <f>Z3456+Учет!U3457-U3457</f>
        <v>500000</v>
      </c>
      <c r="AA3457" s="45">
        <f>Учет!X3457</f>
        <v>500</v>
      </c>
    </row>
    <row r="3458" spans="1:27" ht="15" customHeight="1" x14ac:dyDescent="0.25">
      <c r="A3458" s="1"/>
      <c r="B3458" s="17"/>
      <c r="C3458" s="17"/>
      <c r="D3458" s="17"/>
      <c r="E3458" s="17"/>
      <c r="F3458" s="17"/>
      <c r="G3458" s="4">
        <f t="shared" ref="G3458:G3504" si="159">SUM($B3458:$F3458)</f>
        <v>0</v>
      </c>
      <c r="H3458" s="17"/>
      <c r="I3458" s="4">
        <f t="shared" si="158"/>
        <v>349526.07999999996</v>
      </c>
      <c r="J3458" s="32" t="str">
        <f t="shared" ref="J3458:J3504" si="160">IF($A3459&lt;&gt;$A3458,$I3458,"")</f>
        <v/>
      </c>
      <c r="K3458" s="72"/>
      <c r="L3458" s="72"/>
      <c r="M3458" s="2"/>
      <c r="N3458" s="5"/>
      <c r="O3458" s="3"/>
      <c r="P3458" s="6"/>
      <c r="Q3458" s="48">
        <f>IF(Учет!$O3458=Справочники!$F$2,Учет!$H3458,0)</f>
        <v>0</v>
      </c>
      <c r="R3458" s="48">
        <f>IF(Учет!$O3458=Справочники!$F$3,Учет!$H3458,0)</f>
        <v>0</v>
      </c>
      <c r="S3458" s="48">
        <f>IF(Учет!$O3458=Справочники!$F$4,Учет!$H3458,0)</f>
        <v>0</v>
      </c>
      <c r="T3458" s="48">
        <f>IF(Учет!$O3458=Справочники!$F$5,Учет!$H3458,0)</f>
        <v>0</v>
      </c>
      <c r="U3458" s="48">
        <f>IF(Учет!$O3458=Справочники!$F$6,Учет!$H3458,0)</f>
        <v>0</v>
      </c>
      <c r="V3458" s="43">
        <f>V3457+Учет!Q3458-Q3458</f>
        <v>-488978.92000000004</v>
      </c>
      <c r="W3458" s="43">
        <f>W3457+Учет!R3458-R3458</f>
        <v>336855</v>
      </c>
      <c r="X3458" s="43">
        <f>X3457+Учет!S3458-S3458</f>
        <v>500</v>
      </c>
      <c r="Y3458" s="43">
        <f>Y3457+Учет!T3458-T3458</f>
        <v>1150</v>
      </c>
      <c r="Z3458" s="43">
        <f>Z3457+Учет!U3458-U3458</f>
        <v>500000</v>
      </c>
      <c r="AA3458" s="45">
        <f>Учет!X3458</f>
        <v>500</v>
      </c>
    </row>
    <row r="3459" spans="1:27" ht="15" customHeight="1" x14ac:dyDescent="0.25">
      <c r="A3459" s="1"/>
      <c r="B3459" s="17"/>
      <c r="C3459" s="17"/>
      <c r="D3459" s="17"/>
      <c r="E3459" s="17"/>
      <c r="F3459" s="17"/>
      <c r="G3459" s="4">
        <f t="shared" si="159"/>
        <v>0</v>
      </c>
      <c r="H3459" s="17"/>
      <c r="I3459" s="4">
        <f t="shared" ref="I3459:I3504" si="161">$I3458+$G3459-$H3459</f>
        <v>349526.07999999996</v>
      </c>
      <c r="J3459" s="32" t="str">
        <f t="shared" si="160"/>
        <v/>
      </c>
      <c r="K3459" s="72"/>
      <c r="L3459" s="72"/>
      <c r="M3459" s="2"/>
      <c r="N3459" s="5"/>
      <c r="O3459" s="3"/>
      <c r="P3459" s="6"/>
      <c r="Q3459" s="48">
        <f>IF(Учет!$O3459=Справочники!$F$2,Учет!$H3459,0)</f>
        <v>0</v>
      </c>
      <c r="R3459" s="48">
        <f>IF(Учет!$O3459=Справочники!$F$3,Учет!$H3459,0)</f>
        <v>0</v>
      </c>
      <c r="S3459" s="48">
        <f>IF(Учет!$O3459=Справочники!$F$4,Учет!$H3459,0)</f>
        <v>0</v>
      </c>
      <c r="T3459" s="48">
        <f>IF(Учет!$O3459=Справочники!$F$5,Учет!$H3459,0)</f>
        <v>0</v>
      </c>
      <c r="U3459" s="48">
        <f>IF(Учет!$O3459=Справочники!$F$6,Учет!$H3459,0)</f>
        <v>0</v>
      </c>
      <c r="V3459" s="43">
        <f>V3458+Учет!Q3459-Q3459</f>
        <v>-488978.92000000004</v>
      </c>
      <c r="W3459" s="43">
        <f>W3458+Учет!R3459-R3459</f>
        <v>336855</v>
      </c>
      <c r="X3459" s="43">
        <f>X3458+Учет!S3459-S3459</f>
        <v>500</v>
      </c>
      <c r="Y3459" s="43">
        <f>Y3458+Учет!T3459-T3459</f>
        <v>1150</v>
      </c>
      <c r="Z3459" s="43">
        <f>Z3458+Учет!U3459-U3459</f>
        <v>500000</v>
      </c>
      <c r="AA3459" s="45">
        <f>Учет!X3459</f>
        <v>500</v>
      </c>
    </row>
    <row r="3460" spans="1:27" ht="15" customHeight="1" x14ac:dyDescent="0.25">
      <c r="A3460" s="1"/>
      <c r="B3460" s="17"/>
      <c r="C3460" s="17"/>
      <c r="D3460" s="17"/>
      <c r="E3460" s="17"/>
      <c r="F3460" s="17"/>
      <c r="G3460" s="4">
        <f t="shared" si="159"/>
        <v>0</v>
      </c>
      <c r="H3460" s="17"/>
      <c r="I3460" s="4">
        <f t="shared" si="161"/>
        <v>349526.07999999996</v>
      </c>
      <c r="J3460" s="32" t="str">
        <f t="shared" si="160"/>
        <v/>
      </c>
      <c r="K3460" s="72"/>
      <c r="L3460" s="72"/>
      <c r="M3460" s="2"/>
      <c r="N3460" s="5"/>
      <c r="O3460" s="3"/>
      <c r="P3460" s="6"/>
      <c r="Q3460" s="48">
        <f>IF(Учет!$O3460=Справочники!$F$2,Учет!$H3460,0)</f>
        <v>0</v>
      </c>
      <c r="R3460" s="48">
        <f>IF(Учет!$O3460=Справочники!$F$3,Учет!$H3460,0)</f>
        <v>0</v>
      </c>
      <c r="S3460" s="48">
        <f>IF(Учет!$O3460=Справочники!$F$4,Учет!$H3460,0)</f>
        <v>0</v>
      </c>
      <c r="T3460" s="48">
        <f>IF(Учет!$O3460=Справочники!$F$5,Учет!$H3460,0)</f>
        <v>0</v>
      </c>
      <c r="U3460" s="48">
        <f>IF(Учет!$O3460=Справочники!$F$6,Учет!$H3460,0)</f>
        <v>0</v>
      </c>
      <c r="V3460" s="43">
        <f>V3459+Учет!Q3460-Q3460</f>
        <v>-488978.92000000004</v>
      </c>
      <c r="W3460" s="43">
        <f>W3459+Учет!R3460-R3460</f>
        <v>336855</v>
      </c>
      <c r="X3460" s="43">
        <f>X3459+Учет!S3460-S3460</f>
        <v>500</v>
      </c>
      <c r="Y3460" s="43">
        <f>Y3459+Учет!T3460-T3460</f>
        <v>1150</v>
      </c>
      <c r="Z3460" s="43">
        <f>Z3459+Учет!U3460-U3460</f>
        <v>500000</v>
      </c>
      <c r="AA3460" s="45">
        <f>Учет!X3460</f>
        <v>500</v>
      </c>
    </row>
    <row r="3461" spans="1:27" ht="15" customHeight="1" x14ac:dyDescent="0.25">
      <c r="A3461" s="1"/>
      <c r="B3461" s="17"/>
      <c r="C3461" s="17"/>
      <c r="D3461" s="17"/>
      <c r="E3461" s="17"/>
      <c r="F3461" s="17"/>
      <c r="G3461" s="4">
        <f t="shared" si="159"/>
        <v>0</v>
      </c>
      <c r="H3461" s="17"/>
      <c r="I3461" s="4">
        <f t="shared" si="161"/>
        <v>349526.07999999996</v>
      </c>
      <c r="J3461" s="32" t="str">
        <f t="shared" si="160"/>
        <v/>
      </c>
      <c r="K3461" s="72"/>
      <c r="L3461" s="72"/>
      <c r="M3461" s="2"/>
      <c r="N3461" s="5"/>
      <c r="O3461" s="3"/>
      <c r="P3461" s="6"/>
      <c r="Q3461" s="48">
        <f>IF(Учет!$O3461=Справочники!$F$2,Учет!$H3461,0)</f>
        <v>0</v>
      </c>
      <c r="R3461" s="48">
        <f>IF(Учет!$O3461=Справочники!$F$3,Учет!$H3461,0)</f>
        <v>0</v>
      </c>
      <c r="S3461" s="48">
        <f>IF(Учет!$O3461=Справочники!$F$4,Учет!$H3461,0)</f>
        <v>0</v>
      </c>
      <c r="T3461" s="48">
        <f>IF(Учет!$O3461=Справочники!$F$5,Учет!$H3461,0)</f>
        <v>0</v>
      </c>
      <c r="U3461" s="48">
        <f>IF(Учет!$O3461=Справочники!$F$6,Учет!$H3461,0)</f>
        <v>0</v>
      </c>
      <c r="V3461" s="43">
        <f>V3460+Учет!Q3461-Q3461</f>
        <v>-488978.92000000004</v>
      </c>
      <c r="W3461" s="43">
        <f>W3460+Учет!R3461-R3461</f>
        <v>336855</v>
      </c>
      <c r="X3461" s="43">
        <f>X3460+Учет!S3461-S3461</f>
        <v>500</v>
      </c>
      <c r="Y3461" s="43">
        <f>Y3460+Учет!T3461-T3461</f>
        <v>1150</v>
      </c>
      <c r="Z3461" s="43">
        <f>Z3460+Учет!U3461-U3461</f>
        <v>500000</v>
      </c>
      <c r="AA3461" s="45">
        <f>Учет!X3461</f>
        <v>500</v>
      </c>
    </row>
    <row r="3462" spans="1:27" ht="15" customHeight="1" x14ac:dyDescent="0.25">
      <c r="A3462" s="1"/>
      <c r="B3462" s="17"/>
      <c r="C3462" s="17"/>
      <c r="D3462" s="17"/>
      <c r="E3462" s="17"/>
      <c r="F3462" s="17"/>
      <c r="G3462" s="4">
        <f t="shared" si="159"/>
        <v>0</v>
      </c>
      <c r="H3462" s="17"/>
      <c r="I3462" s="4">
        <f t="shared" si="161"/>
        <v>349526.07999999996</v>
      </c>
      <c r="J3462" s="32" t="str">
        <f t="shared" si="160"/>
        <v/>
      </c>
      <c r="K3462" s="72"/>
      <c r="L3462" s="72"/>
      <c r="M3462" s="2"/>
      <c r="N3462" s="5"/>
      <c r="O3462" s="3"/>
      <c r="P3462" s="6"/>
      <c r="Q3462" s="48">
        <f>IF(Учет!$O3462=Справочники!$F$2,Учет!$H3462,0)</f>
        <v>0</v>
      </c>
      <c r="R3462" s="48">
        <f>IF(Учет!$O3462=Справочники!$F$3,Учет!$H3462,0)</f>
        <v>0</v>
      </c>
      <c r="S3462" s="48">
        <f>IF(Учет!$O3462=Справочники!$F$4,Учет!$H3462,0)</f>
        <v>0</v>
      </c>
      <c r="T3462" s="48">
        <f>IF(Учет!$O3462=Справочники!$F$5,Учет!$H3462,0)</f>
        <v>0</v>
      </c>
      <c r="U3462" s="48">
        <f>IF(Учет!$O3462=Справочники!$F$6,Учет!$H3462,0)</f>
        <v>0</v>
      </c>
      <c r="V3462" s="43">
        <f>V3461+Учет!Q3462-Q3462</f>
        <v>-488978.92000000004</v>
      </c>
      <c r="W3462" s="43">
        <f>W3461+Учет!R3462-R3462</f>
        <v>336855</v>
      </c>
      <c r="X3462" s="43">
        <f>X3461+Учет!S3462-S3462</f>
        <v>500</v>
      </c>
      <c r="Y3462" s="43">
        <f>Y3461+Учет!T3462-T3462</f>
        <v>1150</v>
      </c>
      <c r="Z3462" s="43">
        <f>Z3461+Учет!U3462-U3462</f>
        <v>500000</v>
      </c>
      <c r="AA3462" s="45">
        <f>Учет!X3462</f>
        <v>500</v>
      </c>
    </row>
    <row r="3463" spans="1:27" ht="15" customHeight="1" x14ac:dyDescent="0.25">
      <c r="A3463" s="1"/>
      <c r="B3463" s="17"/>
      <c r="C3463" s="17"/>
      <c r="D3463" s="17"/>
      <c r="E3463" s="17"/>
      <c r="F3463" s="17"/>
      <c r="G3463" s="4">
        <f t="shared" si="159"/>
        <v>0</v>
      </c>
      <c r="H3463" s="17"/>
      <c r="I3463" s="4">
        <f t="shared" si="161"/>
        <v>349526.07999999996</v>
      </c>
      <c r="J3463" s="32" t="str">
        <f t="shared" si="160"/>
        <v/>
      </c>
      <c r="K3463" s="72"/>
      <c r="L3463" s="72"/>
      <c r="M3463" s="2"/>
      <c r="N3463" s="5"/>
      <c r="O3463" s="3"/>
      <c r="P3463" s="6"/>
      <c r="Q3463" s="48">
        <f>IF(Учет!$O3463=Справочники!$F$2,Учет!$H3463,0)</f>
        <v>0</v>
      </c>
      <c r="R3463" s="48">
        <f>IF(Учет!$O3463=Справочники!$F$3,Учет!$H3463,0)</f>
        <v>0</v>
      </c>
      <c r="S3463" s="48">
        <f>IF(Учет!$O3463=Справочники!$F$4,Учет!$H3463,0)</f>
        <v>0</v>
      </c>
      <c r="T3463" s="48">
        <f>IF(Учет!$O3463=Справочники!$F$5,Учет!$H3463,0)</f>
        <v>0</v>
      </c>
      <c r="U3463" s="48">
        <f>IF(Учет!$O3463=Справочники!$F$6,Учет!$H3463,0)</f>
        <v>0</v>
      </c>
      <c r="V3463" s="43">
        <f>V3462+Учет!Q3463-Q3463</f>
        <v>-488978.92000000004</v>
      </c>
      <c r="W3463" s="43">
        <f>W3462+Учет!R3463-R3463</f>
        <v>336855</v>
      </c>
      <c r="X3463" s="43">
        <f>X3462+Учет!S3463-S3463</f>
        <v>500</v>
      </c>
      <c r="Y3463" s="43">
        <f>Y3462+Учет!T3463-T3463</f>
        <v>1150</v>
      </c>
      <c r="Z3463" s="43">
        <f>Z3462+Учет!U3463-U3463</f>
        <v>500000</v>
      </c>
      <c r="AA3463" s="45">
        <f>Учет!X3463</f>
        <v>500</v>
      </c>
    </row>
    <row r="3464" spans="1:27" ht="15" customHeight="1" x14ac:dyDescent="0.25">
      <c r="A3464" s="1"/>
      <c r="B3464" s="17"/>
      <c r="C3464" s="17"/>
      <c r="D3464" s="17"/>
      <c r="E3464" s="17"/>
      <c r="F3464" s="17"/>
      <c r="G3464" s="4">
        <f t="shared" si="159"/>
        <v>0</v>
      </c>
      <c r="H3464" s="17"/>
      <c r="I3464" s="4">
        <f t="shared" si="161"/>
        <v>349526.07999999996</v>
      </c>
      <c r="J3464" s="32" t="str">
        <f t="shared" si="160"/>
        <v/>
      </c>
      <c r="K3464" s="72"/>
      <c r="L3464" s="72"/>
      <c r="M3464" s="2"/>
      <c r="N3464" s="5"/>
      <c r="O3464" s="3"/>
      <c r="P3464" s="6"/>
      <c r="Q3464" s="48">
        <f>IF(Учет!$O3464=Справочники!$F$2,Учет!$H3464,0)</f>
        <v>0</v>
      </c>
      <c r="R3464" s="48">
        <f>IF(Учет!$O3464=Справочники!$F$3,Учет!$H3464,0)</f>
        <v>0</v>
      </c>
      <c r="S3464" s="48">
        <f>IF(Учет!$O3464=Справочники!$F$4,Учет!$H3464,0)</f>
        <v>0</v>
      </c>
      <c r="T3464" s="48">
        <f>IF(Учет!$O3464=Справочники!$F$5,Учет!$H3464,0)</f>
        <v>0</v>
      </c>
      <c r="U3464" s="48">
        <f>IF(Учет!$O3464=Справочники!$F$6,Учет!$H3464,0)</f>
        <v>0</v>
      </c>
      <c r="V3464" s="43">
        <f>V3463+Учет!Q3464-Q3464</f>
        <v>-488978.92000000004</v>
      </c>
      <c r="W3464" s="43">
        <f>W3463+Учет!R3464-R3464</f>
        <v>336855</v>
      </c>
      <c r="X3464" s="43">
        <f>X3463+Учет!S3464-S3464</f>
        <v>500</v>
      </c>
      <c r="Y3464" s="43">
        <f>Y3463+Учет!T3464-T3464</f>
        <v>1150</v>
      </c>
      <c r="Z3464" s="43">
        <f>Z3463+Учет!U3464-U3464</f>
        <v>500000</v>
      </c>
      <c r="AA3464" s="45">
        <f>Учет!X3464</f>
        <v>500</v>
      </c>
    </row>
    <row r="3465" spans="1:27" ht="15" customHeight="1" x14ac:dyDescent="0.25">
      <c r="A3465" s="1"/>
      <c r="B3465" s="17"/>
      <c r="C3465" s="17"/>
      <c r="D3465" s="17"/>
      <c r="E3465" s="17"/>
      <c r="F3465" s="17"/>
      <c r="G3465" s="4">
        <f t="shared" si="159"/>
        <v>0</v>
      </c>
      <c r="H3465" s="17"/>
      <c r="I3465" s="4">
        <f t="shared" si="161"/>
        <v>349526.07999999996</v>
      </c>
      <c r="J3465" s="32" t="str">
        <f t="shared" si="160"/>
        <v/>
      </c>
      <c r="K3465" s="72"/>
      <c r="L3465" s="72"/>
      <c r="M3465" s="2"/>
      <c r="N3465" s="5"/>
      <c r="O3465" s="3"/>
      <c r="P3465" s="6"/>
      <c r="Q3465" s="48">
        <f>IF(Учет!$O3465=Справочники!$F$2,Учет!$H3465,0)</f>
        <v>0</v>
      </c>
      <c r="R3465" s="48">
        <f>IF(Учет!$O3465=Справочники!$F$3,Учет!$H3465,0)</f>
        <v>0</v>
      </c>
      <c r="S3465" s="48">
        <f>IF(Учет!$O3465=Справочники!$F$4,Учет!$H3465,0)</f>
        <v>0</v>
      </c>
      <c r="T3465" s="48">
        <f>IF(Учет!$O3465=Справочники!$F$5,Учет!$H3465,0)</f>
        <v>0</v>
      </c>
      <c r="U3465" s="48">
        <f>IF(Учет!$O3465=Справочники!$F$6,Учет!$H3465,0)</f>
        <v>0</v>
      </c>
      <c r="V3465" s="43">
        <f>V3464+Учет!Q3465-Q3465</f>
        <v>-488978.92000000004</v>
      </c>
      <c r="W3465" s="43">
        <f>W3464+Учет!R3465-R3465</f>
        <v>336855</v>
      </c>
      <c r="X3465" s="43">
        <f>X3464+Учет!S3465-S3465</f>
        <v>500</v>
      </c>
      <c r="Y3465" s="43">
        <f>Y3464+Учет!T3465-T3465</f>
        <v>1150</v>
      </c>
      <c r="Z3465" s="43">
        <f>Z3464+Учет!U3465-U3465</f>
        <v>500000</v>
      </c>
      <c r="AA3465" s="45">
        <f>Учет!X3465</f>
        <v>500</v>
      </c>
    </row>
    <row r="3466" spans="1:27" ht="15" customHeight="1" x14ac:dyDescent="0.25">
      <c r="A3466" s="1"/>
      <c r="B3466" s="17"/>
      <c r="C3466" s="17"/>
      <c r="D3466" s="17"/>
      <c r="E3466" s="17"/>
      <c r="F3466" s="17"/>
      <c r="G3466" s="4">
        <f t="shared" si="159"/>
        <v>0</v>
      </c>
      <c r="H3466" s="17"/>
      <c r="I3466" s="4">
        <f t="shared" si="161"/>
        <v>349526.07999999996</v>
      </c>
      <c r="J3466" s="32" t="str">
        <f t="shared" si="160"/>
        <v/>
      </c>
      <c r="K3466" s="72"/>
      <c r="L3466" s="72"/>
      <c r="M3466" s="2"/>
      <c r="N3466" s="5"/>
      <c r="O3466" s="3"/>
      <c r="P3466" s="6"/>
      <c r="Q3466" s="48">
        <f>IF(Учет!$O3466=Справочники!$F$2,Учет!$H3466,0)</f>
        <v>0</v>
      </c>
      <c r="R3466" s="48">
        <f>IF(Учет!$O3466=Справочники!$F$3,Учет!$H3466,0)</f>
        <v>0</v>
      </c>
      <c r="S3466" s="48">
        <f>IF(Учет!$O3466=Справочники!$F$4,Учет!$H3466,0)</f>
        <v>0</v>
      </c>
      <c r="T3466" s="48">
        <f>IF(Учет!$O3466=Справочники!$F$5,Учет!$H3466,0)</f>
        <v>0</v>
      </c>
      <c r="U3466" s="48">
        <f>IF(Учет!$O3466=Справочники!$F$6,Учет!$H3466,0)</f>
        <v>0</v>
      </c>
      <c r="V3466" s="43">
        <f>V3465+Учет!Q3466-Q3466</f>
        <v>-488978.92000000004</v>
      </c>
      <c r="W3466" s="43">
        <f>W3465+Учет!R3466-R3466</f>
        <v>336855</v>
      </c>
      <c r="X3466" s="43">
        <f>X3465+Учет!S3466-S3466</f>
        <v>500</v>
      </c>
      <c r="Y3466" s="43">
        <f>Y3465+Учет!T3466-T3466</f>
        <v>1150</v>
      </c>
      <c r="Z3466" s="43">
        <f>Z3465+Учет!U3466-U3466</f>
        <v>500000</v>
      </c>
      <c r="AA3466" s="45">
        <f>Учет!X3466</f>
        <v>500</v>
      </c>
    </row>
    <row r="3467" spans="1:27" ht="15" customHeight="1" x14ac:dyDescent="0.25">
      <c r="A3467" s="1"/>
      <c r="B3467" s="17"/>
      <c r="C3467" s="17"/>
      <c r="D3467" s="17"/>
      <c r="E3467" s="17"/>
      <c r="F3467" s="17"/>
      <c r="G3467" s="4">
        <f t="shared" si="159"/>
        <v>0</v>
      </c>
      <c r="H3467" s="17"/>
      <c r="I3467" s="4">
        <f t="shared" si="161"/>
        <v>349526.07999999996</v>
      </c>
      <c r="J3467" s="32" t="str">
        <f t="shared" si="160"/>
        <v/>
      </c>
      <c r="K3467" s="72"/>
      <c r="L3467" s="72"/>
      <c r="M3467" s="2"/>
      <c r="N3467" s="5"/>
      <c r="O3467" s="3"/>
      <c r="P3467" s="6"/>
      <c r="Q3467" s="48">
        <f>IF(Учет!$O3467=Справочники!$F$2,Учет!$H3467,0)</f>
        <v>0</v>
      </c>
      <c r="R3467" s="48">
        <f>IF(Учет!$O3467=Справочники!$F$3,Учет!$H3467,0)</f>
        <v>0</v>
      </c>
      <c r="S3467" s="48">
        <f>IF(Учет!$O3467=Справочники!$F$4,Учет!$H3467,0)</f>
        <v>0</v>
      </c>
      <c r="T3467" s="48">
        <f>IF(Учет!$O3467=Справочники!$F$5,Учет!$H3467,0)</f>
        <v>0</v>
      </c>
      <c r="U3467" s="48">
        <f>IF(Учет!$O3467=Справочники!$F$6,Учет!$H3467,0)</f>
        <v>0</v>
      </c>
      <c r="V3467" s="43">
        <f>V3466+Учет!Q3467-Q3467</f>
        <v>-488978.92000000004</v>
      </c>
      <c r="W3467" s="43">
        <f>W3466+Учет!R3467-R3467</f>
        <v>336855</v>
      </c>
      <c r="X3467" s="43">
        <f>X3466+Учет!S3467-S3467</f>
        <v>500</v>
      </c>
      <c r="Y3467" s="43">
        <f>Y3466+Учет!T3467-T3467</f>
        <v>1150</v>
      </c>
      <c r="Z3467" s="43">
        <f>Z3466+Учет!U3467-U3467</f>
        <v>500000</v>
      </c>
      <c r="AA3467" s="45">
        <f>Учет!X3467</f>
        <v>500</v>
      </c>
    </row>
    <row r="3468" spans="1:27" ht="15" customHeight="1" x14ac:dyDescent="0.25">
      <c r="A3468" s="1"/>
      <c r="B3468" s="17"/>
      <c r="C3468" s="17"/>
      <c r="D3468" s="17"/>
      <c r="E3468" s="17"/>
      <c r="F3468" s="17"/>
      <c r="G3468" s="4">
        <f t="shared" si="159"/>
        <v>0</v>
      </c>
      <c r="H3468" s="17"/>
      <c r="I3468" s="4">
        <f t="shared" si="161"/>
        <v>349526.07999999996</v>
      </c>
      <c r="J3468" s="32" t="str">
        <f t="shared" si="160"/>
        <v/>
      </c>
      <c r="K3468" s="72"/>
      <c r="L3468" s="72"/>
      <c r="M3468" s="2"/>
      <c r="N3468" s="5"/>
      <c r="O3468" s="3"/>
      <c r="P3468" s="6"/>
      <c r="Q3468" s="48">
        <f>IF(Учет!$O3468=Справочники!$F$2,Учет!$H3468,0)</f>
        <v>0</v>
      </c>
      <c r="R3468" s="48">
        <f>IF(Учет!$O3468=Справочники!$F$3,Учет!$H3468,0)</f>
        <v>0</v>
      </c>
      <c r="S3468" s="48">
        <f>IF(Учет!$O3468=Справочники!$F$4,Учет!$H3468,0)</f>
        <v>0</v>
      </c>
      <c r="T3468" s="48">
        <f>IF(Учет!$O3468=Справочники!$F$5,Учет!$H3468,0)</f>
        <v>0</v>
      </c>
      <c r="U3468" s="48">
        <f>IF(Учет!$O3468=Справочники!$F$6,Учет!$H3468,0)</f>
        <v>0</v>
      </c>
      <c r="V3468" s="43">
        <f>V3467+Учет!Q3468-Q3468</f>
        <v>-488978.92000000004</v>
      </c>
      <c r="W3468" s="43">
        <f>W3467+Учет!R3468-R3468</f>
        <v>336855</v>
      </c>
      <c r="X3468" s="43">
        <f>X3467+Учет!S3468-S3468</f>
        <v>500</v>
      </c>
      <c r="Y3468" s="43">
        <f>Y3467+Учет!T3468-T3468</f>
        <v>1150</v>
      </c>
      <c r="Z3468" s="43">
        <f>Z3467+Учет!U3468-U3468</f>
        <v>500000</v>
      </c>
      <c r="AA3468" s="45">
        <f>Учет!X3468</f>
        <v>500</v>
      </c>
    </row>
    <row r="3469" spans="1:27" ht="15" customHeight="1" x14ac:dyDescent="0.25">
      <c r="A3469" s="1"/>
      <c r="B3469" s="17"/>
      <c r="C3469" s="17"/>
      <c r="D3469" s="17"/>
      <c r="E3469" s="17"/>
      <c r="F3469" s="17"/>
      <c r="G3469" s="4">
        <f t="shared" si="159"/>
        <v>0</v>
      </c>
      <c r="H3469" s="17"/>
      <c r="I3469" s="4">
        <f t="shared" si="161"/>
        <v>349526.07999999996</v>
      </c>
      <c r="J3469" s="32" t="str">
        <f t="shared" si="160"/>
        <v/>
      </c>
      <c r="K3469" s="72"/>
      <c r="L3469" s="72"/>
      <c r="M3469" s="2"/>
      <c r="N3469" s="5"/>
      <c r="O3469" s="3"/>
      <c r="P3469" s="6"/>
      <c r="Q3469" s="48">
        <f>IF(Учет!$O3469=Справочники!$F$2,Учет!$H3469,0)</f>
        <v>0</v>
      </c>
      <c r="R3469" s="48">
        <f>IF(Учет!$O3469=Справочники!$F$3,Учет!$H3469,0)</f>
        <v>0</v>
      </c>
      <c r="S3469" s="48">
        <f>IF(Учет!$O3469=Справочники!$F$4,Учет!$H3469,0)</f>
        <v>0</v>
      </c>
      <c r="T3469" s="48">
        <f>IF(Учет!$O3469=Справочники!$F$5,Учет!$H3469,0)</f>
        <v>0</v>
      </c>
      <c r="U3469" s="48">
        <f>IF(Учет!$O3469=Справочники!$F$6,Учет!$H3469,0)</f>
        <v>0</v>
      </c>
      <c r="V3469" s="43">
        <f>V3468+Учет!Q3469-Q3469</f>
        <v>-488978.92000000004</v>
      </c>
      <c r="W3469" s="43">
        <f>W3468+Учет!R3469-R3469</f>
        <v>336855</v>
      </c>
      <c r="X3469" s="43">
        <f>X3468+Учет!S3469-S3469</f>
        <v>500</v>
      </c>
      <c r="Y3469" s="43">
        <f>Y3468+Учет!T3469-T3469</f>
        <v>1150</v>
      </c>
      <c r="Z3469" s="43">
        <f>Z3468+Учет!U3469-U3469</f>
        <v>500000</v>
      </c>
      <c r="AA3469" s="45">
        <f>Учет!X3469</f>
        <v>500</v>
      </c>
    </row>
    <row r="3470" spans="1:27" ht="15" customHeight="1" x14ac:dyDescent="0.25">
      <c r="A3470" s="1"/>
      <c r="B3470" s="17"/>
      <c r="C3470" s="17"/>
      <c r="D3470" s="17"/>
      <c r="E3470" s="17"/>
      <c r="F3470" s="17"/>
      <c r="G3470" s="4">
        <f t="shared" si="159"/>
        <v>0</v>
      </c>
      <c r="H3470" s="17"/>
      <c r="I3470" s="4">
        <f t="shared" si="161"/>
        <v>349526.07999999996</v>
      </c>
      <c r="J3470" s="32" t="str">
        <f t="shared" si="160"/>
        <v/>
      </c>
      <c r="K3470" s="72"/>
      <c r="L3470" s="72"/>
      <c r="M3470" s="2"/>
      <c r="N3470" s="5"/>
      <c r="O3470" s="3"/>
      <c r="P3470" s="6"/>
      <c r="Q3470" s="48">
        <f>IF(Учет!$O3470=Справочники!$F$2,Учет!$H3470,0)</f>
        <v>0</v>
      </c>
      <c r="R3470" s="48">
        <f>IF(Учет!$O3470=Справочники!$F$3,Учет!$H3470,0)</f>
        <v>0</v>
      </c>
      <c r="S3470" s="48">
        <f>IF(Учет!$O3470=Справочники!$F$4,Учет!$H3470,0)</f>
        <v>0</v>
      </c>
      <c r="T3470" s="48">
        <f>IF(Учет!$O3470=Справочники!$F$5,Учет!$H3470,0)</f>
        <v>0</v>
      </c>
      <c r="U3470" s="48">
        <f>IF(Учет!$O3470=Справочники!$F$6,Учет!$H3470,0)</f>
        <v>0</v>
      </c>
      <c r="V3470" s="43">
        <f>V3469+Учет!Q3470-Q3470</f>
        <v>-488978.92000000004</v>
      </c>
      <c r="W3470" s="43">
        <f>W3469+Учет!R3470-R3470</f>
        <v>336855</v>
      </c>
      <c r="X3470" s="43">
        <f>X3469+Учет!S3470-S3470</f>
        <v>500</v>
      </c>
      <c r="Y3470" s="43">
        <f>Y3469+Учет!T3470-T3470</f>
        <v>1150</v>
      </c>
      <c r="Z3470" s="43">
        <f>Z3469+Учет!U3470-U3470</f>
        <v>500000</v>
      </c>
      <c r="AA3470" s="45">
        <f>Учет!X3470</f>
        <v>500</v>
      </c>
    </row>
    <row r="3471" spans="1:27" ht="15" customHeight="1" x14ac:dyDescent="0.25">
      <c r="A3471" s="1"/>
      <c r="B3471" s="17"/>
      <c r="C3471" s="17"/>
      <c r="D3471" s="17"/>
      <c r="E3471" s="17"/>
      <c r="F3471" s="17"/>
      <c r="G3471" s="4">
        <f t="shared" si="159"/>
        <v>0</v>
      </c>
      <c r="H3471" s="17"/>
      <c r="I3471" s="4">
        <f t="shared" si="161"/>
        <v>349526.07999999996</v>
      </c>
      <c r="J3471" s="32" t="str">
        <f t="shared" si="160"/>
        <v/>
      </c>
      <c r="K3471" s="72"/>
      <c r="L3471" s="72"/>
      <c r="M3471" s="2"/>
      <c r="N3471" s="5"/>
      <c r="O3471" s="3"/>
      <c r="P3471" s="6"/>
      <c r="Q3471" s="48">
        <f>IF(Учет!$O3471=Справочники!$F$2,Учет!$H3471,0)</f>
        <v>0</v>
      </c>
      <c r="R3471" s="48">
        <f>IF(Учет!$O3471=Справочники!$F$3,Учет!$H3471,0)</f>
        <v>0</v>
      </c>
      <c r="S3471" s="48">
        <f>IF(Учет!$O3471=Справочники!$F$4,Учет!$H3471,0)</f>
        <v>0</v>
      </c>
      <c r="T3471" s="48">
        <f>IF(Учет!$O3471=Справочники!$F$5,Учет!$H3471,0)</f>
        <v>0</v>
      </c>
      <c r="U3471" s="48">
        <f>IF(Учет!$O3471=Справочники!$F$6,Учет!$H3471,0)</f>
        <v>0</v>
      </c>
      <c r="V3471" s="43">
        <f>V3470+Учет!Q3471-Q3471</f>
        <v>-488978.92000000004</v>
      </c>
      <c r="W3471" s="43">
        <f>W3470+Учет!R3471-R3471</f>
        <v>336855</v>
      </c>
      <c r="X3471" s="43">
        <f>X3470+Учет!S3471-S3471</f>
        <v>500</v>
      </c>
      <c r="Y3471" s="43">
        <f>Y3470+Учет!T3471-T3471</f>
        <v>1150</v>
      </c>
      <c r="Z3471" s="43">
        <f>Z3470+Учет!U3471-U3471</f>
        <v>500000</v>
      </c>
      <c r="AA3471" s="45">
        <f>Учет!X3471</f>
        <v>500</v>
      </c>
    </row>
    <row r="3472" spans="1:27" ht="15" customHeight="1" x14ac:dyDescent="0.25">
      <c r="A3472" s="1"/>
      <c r="B3472" s="17"/>
      <c r="C3472" s="17"/>
      <c r="D3472" s="17"/>
      <c r="E3472" s="17"/>
      <c r="F3472" s="17"/>
      <c r="G3472" s="4">
        <f t="shared" si="159"/>
        <v>0</v>
      </c>
      <c r="H3472" s="17"/>
      <c r="I3472" s="4">
        <f t="shared" si="161"/>
        <v>349526.07999999996</v>
      </c>
      <c r="J3472" s="32" t="str">
        <f t="shared" si="160"/>
        <v/>
      </c>
      <c r="K3472" s="72"/>
      <c r="L3472" s="72"/>
      <c r="M3472" s="2"/>
      <c r="N3472" s="5"/>
      <c r="O3472" s="3"/>
      <c r="P3472" s="6"/>
      <c r="Q3472" s="48">
        <f>IF(Учет!$O3472=Справочники!$F$2,Учет!$H3472,0)</f>
        <v>0</v>
      </c>
      <c r="R3472" s="48">
        <f>IF(Учет!$O3472=Справочники!$F$3,Учет!$H3472,0)</f>
        <v>0</v>
      </c>
      <c r="S3472" s="48">
        <f>IF(Учет!$O3472=Справочники!$F$4,Учет!$H3472,0)</f>
        <v>0</v>
      </c>
      <c r="T3472" s="48">
        <f>IF(Учет!$O3472=Справочники!$F$5,Учет!$H3472,0)</f>
        <v>0</v>
      </c>
      <c r="U3472" s="48">
        <f>IF(Учет!$O3472=Справочники!$F$6,Учет!$H3472,0)</f>
        <v>0</v>
      </c>
      <c r="V3472" s="43">
        <f>V3471+Учет!Q3472-Q3472</f>
        <v>-488978.92000000004</v>
      </c>
      <c r="W3472" s="43">
        <f>W3471+Учет!R3472-R3472</f>
        <v>336855</v>
      </c>
      <c r="X3472" s="43">
        <f>X3471+Учет!S3472-S3472</f>
        <v>500</v>
      </c>
      <c r="Y3472" s="43">
        <f>Y3471+Учет!T3472-T3472</f>
        <v>1150</v>
      </c>
      <c r="Z3472" s="43">
        <f>Z3471+Учет!U3472-U3472</f>
        <v>500000</v>
      </c>
      <c r="AA3472" s="45">
        <f>Учет!X3472</f>
        <v>500</v>
      </c>
    </row>
    <row r="3473" spans="1:27" ht="15" customHeight="1" x14ac:dyDescent="0.25">
      <c r="A3473" s="1"/>
      <c r="B3473" s="17"/>
      <c r="C3473" s="17"/>
      <c r="D3473" s="17"/>
      <c r="E3473" s="17"/>
      <c r="F3473" s="17"/>
      <c r="G3473" s="4">
        <f t="shared" si="159"/>
        <v>0</v>
      </c>
      <c r="H3473" s="17"/>
      <c r="I3473" s="4">
        <f t="shared" si="161"/>
        <v>349526.07999999996</v>
      </c>
      <c r="J3473" s="32" t="str">
        <f t="shared" si="160"/>
        <v/>
      </c>
      <c r="K3473" s="72"/>
      <c r="L3473" s="72"/>
      <c r="M3473" s="2"/>
      <c r="N3473" s="5"/>
      <c r="O3473" s="3"/>
      <c r="P3473" s="6"/>
      <c r="Q3473" s="48">
        <f>IF(Учет!$O3473=Справочники!$F$2,Учет!$H3473,0)</f>
        <v>0</v>
      </c>
      <c r="R3473" s="48">
        <f>IF(Учет!$O3473=Справочники!$F$3,Учет!$H3473,0)</f>
        <v>0</v>
      </c>
      <c r="S3473" s="48">
        <f>IF(Учет!$O3473=Справочники!$F$4,Учет!$H3473,0)</f>
        <v>0</v>
      </c>
      <c r="T3473" s="48">
        <f>IF(Учет!$O3473=Справочники!$F$5,Учет!$H3473,0)</f>
        <v>0</v>
      </c>
      <c r="U3473" s="48">
        <f>IF(Учет!$O3473=Справочники!$F$6,Учет!$H3473,0)</f>
        <v>0</v>
      </c>
      <c r="V3473" s="43">
        <f>V3472+Учет!Q3473-Q3473</f>
        <v>-488978.92000000004</v>
      </c>
      <c r="W3473" s="43">
        <f>W3472+Учет!R3473-R3473</f>
        <v>336855</v>
      </c>
      <c r="X3473" s="43">
        <f>X3472+Учет!S3473-S3473</f>
        <v>500</v>
      </c>
      <c r="Y3473" s="43">
        <f>Y3472+Учет!T3473-T3473</f>
        <v>1150</v>
      </c>
      <c r="Z3473" s="43">
        <f>Z3472+Учет!U3473-U3473</f>
        <v>500000</v>
      </c>
      <c r="AA3473" s="45">
        <f>Учет!X3473</f>
        <v>500</v>
      </c>
    </row>
    <row r="3474" spans="1:27" ht="15" customHeight="1" x14ac:dyDescent="0.25">
      <c r="A3474" s="1"/>
      <c r="B3474" s="17"/>
      <c r="C3474" s="17"/>
      <c r="D3474" s="17"/>
      <c r="E3474" s="17"/>
      <c r="F3474" s="17"/>
      <c r="G3474" s="4">
        <f t="shared" si="159"/>
        <v>0</v>
      </c>
      <c r="H3474" s="17"/>
      <c r="I3474" s="4">
        <f t="shared" si="161"/>
        <v>349526.07999999996</v>
      </c>
      <c r="J3474" s="32" t="str">
        <f t="shared" si="160"/>
        <v/>
      </c>
      <c r="K3474" s="72"/>
      <c r="L3474" s="72"/>
      <c r="M3474" s="2"/>
      <c r="N3474" s="5"/>
      <c r="O3474" s="3"/>
      <c r="P3474" s="6"/>
      <c r="Q3474" s="48">
        <f>IF(Учет!$O3474=Справочники!$F$2,Учет!$H3474,0)</f>
        <v>0</v>
      </c>
      <c r="R3474" s="48">
        <f>IF(Учет!$O3474=Справочники!$F$3,Учет!$H3474,0)</f>
        <v>0</v>
      </c>
      <c r="S3474" s="48">
        <f>IF(Учет!$O3474=Справочники!$F$4,Учет!$H3474,0)</f>
        <v>0</v>
      </c>
      <c r="T3474" s="48">
        <f>IF(Учет!$O3474=Справочники!$F$5,Учет!$H3474,0)</f>
        <v>0</v>
      </c>
      <c r="U3474" s="48">
        <f>IF(Учет!$O3474=Справочники!$F$6,Учет!$H3474,0)</f>
        <v>0</v>
      </c>
      <c r="V3474" s="43">
        <f>V3473+Учет!Q3474-Q3474</f>
        <v>-488978.92000000004</v>
      </c>
      <c r="W3474" s="43">
        <f>W3473+Учет!R3474-R3474</f>
        <v>336855</v>
      </c>
      <c r="X3474" s="43">
        <f>X3473+Учет!S3474-S3474</f>
        <v>500</v>
      </c>
      <c r="Y3474" s="43">
        <f>Y3473+Учет!T3474-T3474</f>
        <v>1150</v>
      </c>
      <c r="Z3474" s="43">
        <f>Z3473+Учет!U3474-U3474</f>
        <v>500000</v>
      </c>
      <c r="AA3474" s="45">
        <f>Учет!X3474</f>
        <v>500</v>
      </c>
    </row>
    <row r="3475" spans="1:27" ht="15" customHeight="1" x14ac:dyDescent="0.25">
      <c r="A3475" s="1"/>
      <c r="B3475" s="17"/>
      <c r="C3475" s="17"/>
      <c r="D3475" s="17"/>
      <c r="E3475" s="17"/>
      <c r="F3475" s="17"/>
      <c r="G3475" s="4">
        <f t="shared" si="159"/>
        <v>0</v>
      </c>
      <c r="H3475" s="17"/>
      <c r="I3475" s="4">
        <f t="shared" si="161"/>
        <v>349526.07999999996</v>
      </c>
      <c r="J3475" s="32" t="str">
        <f t="shared" si="160"/>
        <v/>
      </c>
      <c r="K3475" s="72"/>
      <c r="L3475" s="72"/>
      <c r="M3475" s="2"/>
      <c r="N3475" s="5"/>
      <c r="O3475" s="3"/>
      <c r="P3475" s="6"/>
      <c r="Q3475" s="48">
        <f>IF(Учет!$O3475=Справочники!$F$2,Учет!$H3475,0)</f>
        <v>0</v>
      </c>
      <c r="R3475" s="48">
        <f>IF(Учет!$O3475=Справочники!$F$3,Учет!$H3475,0)</f>
        <v>0</v>
      </c>
      <c r="S3475" s="48">
        <f>IF(Учет!$O3475=Справочники!$F$4,Учет!$H3475,0)</f>
        <v>0</v>
      </c>
      <c r="T3475" s="48">
        <f>IF(Учет!$O3475=Справочники!$F$5,Учет!$H3475,0)</f>
        <v>0</v>
      </c>
      <c r="U3475" s="48">
        <f>IF(Учет!$O3475=Справочники!$F$6,Учет!$H3475,0)</f>
        <v>0</v>
      </c>
      <c r="V3475" s="43">
        <f>V3474+Учет!Q3475-Q3475</f>
        <v>-488978.92000000004</v>
      </c>
      <c r="W3475" s="43">
        <f>W3474+Учет!R3475-R3475</f>
        <v>336855</v>
      </c>
      <c r="X3475" s="43">
        <f>X3474+Учет!S3475-S3475</f>
        <v>500</v>
      </c>
      <c r="Y3475" s="43">
        <f>Y3474+Учет!T3475-T3475</f>
        <v>1150</v>
      </c>
      <c r="Z3475" s="43">
        <f>Z3474+Учет!U3475-U3475</f>
        <v>500000</v>
      </c>
      <c r="AA3475" s="45">
        <f>Учет!X3475</f>
        <v>500</v>
      </c>
    </row>
    <row r="3476" spans="1:27" ht="15" customHeight="1" x14ac:dyDescent="0.25">
      <c r="A3476" s="1"/>
      <c r="B3476" s="17"/>
      <c r="C3476" s="17"/>
      <c r="D3476" s="17"/>
      <c r="E3476" s="17"/>
      <c r="F3476" s="17"/>
      <c r="G3476" s="4">
        <f t="shared" si="159"/>
        <v>0</v>
      </c>
      <c r="H3476" s="17"/>
      <c r="I3476" s="4">
        <f t="shared" si="161"/>
        <v>349526.07999999996</v>
      </c>
      <c r="J3476" s="32" t="str">
        <f t="shared" si="160"/>
        <v/>
      </c>
      <c r="K3476" s="72"/>
      <c r="L3476" s="72"/>
      <c r="M3476" s="2"/>
      <c r="N3476" s="5"/>
      <c r="O3476" s="3"/>
      <c r="P3476" s="6"/>
      <c r="Q3476" s="48">
        <f>IF(Учет!$O3476=Справочники!$F$2,Учет!$H3476,0)</f>
        <v>0</v>
      </c>
      <c r="R3476" s="48">
        <f>IF(Учет!$O3476=Справочники!$F$3,Учет!$H3476,0)</f>
        <v>0</v>
      </c>
      <c r="S3476" s="48">
        <f>IF(Учет!$O3476=Справочники!$F$4,Учет!$H3476,0)</f>
        <v>0</v>
      </c>
      <c r="T3476" s="48">
        <f>IF(Учет!$O3476=Справочники!$F$5,Учет!$H3476,0)</f>
        <v>0</v>
      </c>
      <c r="U3476" s="48">
        <f>IF(Учет!$O3476=Справочники!$F$6,Учет!$H3476,0)</f>
        <v>0</v>
      </c>
      <c r="V3476" s="43">
        <f>V3475+Учет!Q3476-Q3476</f>
        <v>-488978.92000000004</v>
      </c>
      <c r="W3476" s="43">
        <f>W3475+Учет!R3476-R3476</f>
        <v>336855</v>
      </c>
      <c r="X3476" s="43">
        <f>X3475+Учет!S3476-S3476</f>
        <v>500</v>
      </c>
      <c r="Y3476" s="43">
        <f>Y3475+Учет!T3476-T3476</f>
        <v>1150</v>
      </c>
      <c r="Z3476" s="43">
        <f>Z3475+Учет!U3476-U3476</f>
        <v>500000</v>
      </c>
      <c r="AA3476" s="45">
        <f>Учет!X3476</f>
        <v>500</v>
      </c>
    </row>
    <row r="3477" spans="1:27" ht="15" customHeight="1" x14ac:dyDescent="0.25">
      <c r="A3477" s="1"/>
      <c r="B3477" s="17"/>
      <c r="C3477" s="17"/>
      <c r="D3477" s="17"/>
      <c r="E3477" s="17"/>
      <c r="F3477" s="17"/>
      <c r="G3477" s="4">
        <f t="shared" si="159"/>
        <v>0</v>
      </c>
      <c r="H3477" s="17"/>
      <c r="I3477" s="4">
        <f t="shared" si="161"/>
        <v>349526.07999999996</v>
      </c>
      <c r="J3477" s="32" t="str">
        <f t="shared" si="160"/>
        <v/>
      </c>
      <c r="K3477" s="72"/>
      <c r="L3477" s="72"/>
      <c r="M3477" s="2"/>
      <c r="N3477" s="5"/>
      <c r="O3477" s="3"/>
      <c r="P3477" s="6"/>
      <c r="Q3477" s="48">
        <f>IF(Учет!$O3477=Справочники!$F$2,Учет!$H3477,0)</f>
        <v>0</v>
      </c>
      <c r="R3477" s="48">
        <f>IF(Учет!$O3477=Справочники!$F$3,Учет!$H3477,0)</f>
        <v>0</v>
      </c>
      <c r="S3477" s="48">
        <f>IF(Учет!$O3477=Справочники!$F$4,Учет!$H3477,0)</f>
        <v>0</v>
      </c>
      <c r="T3477" s="48">
        <f>IF(Учет!$O3477=Справочники!$F$5,Учет!$H3477,0)</f>
        <v>0</v>
      </c>
      <c r="U3477" s="48">
        <f>IF(Учет!$O3477=Справочники!$F$6,Учет!$H3477,0)</f>
        <v>0</v>
      </c>
      <c r="V3477" s="43">
        <f>V3476+Учет!Q3477-Q3477</f>
        <v>-488978.92000000004</v>
      </c>
      <c r="W3477" s="43">
        <f>W3476+Учет!R3477-R3477</f>
        <v>336855</v>
      </c>
      <c r="X3477" s="43">
        <f>X3476+Учет!S3477-S3477</f>
        <v>500</v>
      </c>
      <c r="Y3477" s="43">
        <f>Y3476+Учет!T3477-T3477</f>
        <v>1150</v>
      </c>
      <c r="Z3477" s="43">
        <f>Z3476+Учет!U3477-U3477</f>
        <v>500000</v>
      </c>
      <c r="AA3477" s="45">
        <f>Учет!X3477</f>
        <v>500</v>
      </c>
    </row>
    <row r="3478" spans="1:27" ht="15" customHeight="1" x14ac:dyDescent="0.25">
      <c r="A3478" s="1"/>
      <c r="B3478" s="17"/>
      <c r="C3478" s="17"/>
      <c r="D3478" s="17"/>
      <c r="E3478" s="17"/>
      <c r="F3478" s="17"/>
      <c r="G3478" s="4">
        <f t="shared" si="159"/>
        <v>0</v>
      </c>
      <c r="H3478" s="17"/>
      <c r="I3478" s="4">
        <f t="shared" si="161"/>
        <v>349526.07999999996</v>
      </c>
      <c r="J3478" s="32" t="str">
        <f t="shared" si="160"/>
        <v/>
      </c>
      <c r="K3478" s="72"/>
      <c r="L3478" s="72"/>
      <c r="M3478" s="2"/>
      <c r="N3478" s="5"/>
      <c r="O3478" s="3"/>
      <c r="P3478" s="6"/>
      <c r="Q3478" s="48">
        <f>IF(Учет!$O3478=Справочники!$F$2,Учет!$H3478,0)</f>
        <v>0</v>
      </c>
      <c r="R3478" s="48">
        <f>IF(Учет!$O3478=Справочники!$F$3,Учет!$H3478,0)</f>
        <v>0</v>
      </c>
      <c r="S3478" s="48">
        <f>IF(Учет!$O3478=Справочники!$F$4,Учет!$H3478,0)</f>
        <v>0</v>
      </c>
      <c r="T3478" s="48">
        <f>IF(Учет!$O3478=Справочники!$F$5,Учет!$H3478,0)</f>
        <v>0</v>
      </c>
      <c r="U3478" s="48">
        <f>IF(Учет!$O3478=Справочники!$F$6,Учет!$H3478,0)</f>
        <v>0</v>
      </c>
      <c r="V3478" s="43">
        <f>V3477+Учет!Q3478-Q3478</f>
        <v>-488978.92000000004</v>
      </c>
      <c r="W3478" s="43">
        <f>W3477+Учет!R3478-R3478</f>
        <v>336855</v>
      </c>
      <c r="X3478" s="43">
        <f>X3477+Учет!S3478-S3478</f>
        <v>500</v>
      </c>
      <c r="Y3478" s="43">
        <f>Y3477+Учет!T3478-T3478</f>
        <v>1150</v>
      </c>
      <c r="Z3478" s="43">
        <f>Z3477+Учет!U3478-U3478</f>
        <v>500000</v>
      </c>
      <c r="AA3478" s="45">
        <f>Учет!X3478</f>
        <v>500</v>
      </c>
    </row>
    <row r="3479" spans="1:27" ht="15" customHeight="1" x14ac:dyDescent="0.25">
      <c r="A3479" s="1"/>
      <c r="B3479" s="17"/>
      <c r="C3479" s="17"/>
      <c r="D3479" s="17"/>
      <c r="E3479" s="17"/>
      <c r="F3479" s="17"/>
      <c r="G3479" s="4">
        <f t="shared" si="159"/>
        <v>0</v>
      </c>
      <c r="H3479" s="17"/>
      <c r="I3479" s="4">
        <f t="shared" si="161"/>
        <v>349526.07999999996</v>
      </c>
      <c r="J3479" s="32" t="str">
        <f t="shared" si="160"/>
        <v/>
      </c>
      <c r="K3479" s="72"/>
      <c r="L3479" s="72"/>
      <c r="M3479" s="2"/>
      <c r="N3479" s="5"/>
      <c r="O3479" s="3"/>
      <c r="P3479" s="6"/>
      <c r="Q3479" s="48">
        <f>IF(Учет!$O3479=Справочники!$F$2,Учет!$H3479,0)</f>
        <v>0</v>
      </c>
      <c r="R3479" s="48">
        <f>IF(Учет!$O3479=Справочники!$F$3,Учет!$H3479,0)</f>
        <v>0</v>
      </c>
      <c r="S3479" s="48">
        <f>IF(Учет!$O3479=Справочники!$F$4,Учет!$H3479,0)</f>
        <v>0</v>
      </c>
      <c r="T3479" s="48">
        <f>IF(Учет!$O3479=Справочники!$F$5,Учет!$H3479,0)</f>
        <v>0</v>
      </c>
      <c r="U3479" s="48">
        <f>IF(Учет!$O3479=Справочники!$F$6,Учет!$H3479,0)</f>
        <v>0</v>
      </c>
      <c r="V3479" s="43">
        <f>V3478+Учет!Q3479-Q3479</f>
        <v>-488978.92000000004</v>
      </c>
      <c r="W3479" s="43">
        <f>W3478+Учет!R3479-R3479</f>
        <v>336855</v>
      </c>
      <c r="X3479" s="43">
        <f>X3478+Учет!S3479-S3479</f>
        <v>500</v>
      </c>
      <c r="Y3479" s="43">
        <f>Y3478+Учет!T3479-T3479</f>
        <v>1150</v>
      </c>
      <c r="Z3479" s="43">
        <f>Z3478+Учет!U3479-U3479</f>
        <v>500000</v>
      </c>
      <c r="AA3479" s="45">
        <f>Учет!X3479</f>
        <v>500</v>
      </c>
    </row>
    <row r="3480" spans="1:27" ht="15" customHeight="1" x14ac:dyDescent="0.25">
      <c r="A3480" s="1"/>
      <c r="B3480" s="17"/>
      <c r="C3480" s="17"/>
      <c r="D3480" s="17"/>
      <c r="E3480" s="17"/>
      <c r="F3480" s="17"/>
      <c r="G3480" s="4">
        <f t="shared" si="159"/>
        <v>0</v>
      </c>
      <c r="H3480" s="17"/>
      <c r="I3480" s="4">
        <f t="shared" si="161"/>
        <v>349526.07999999996</v>
      </c>
      <c r="J3480" s="32" t="str">
        <f t="shared" si="160"/>
        <v/>
      </c>
      <c r="K3480" s="72"/>
      <c r="L3480" s="72"/>
      <c r="M3480" s="2"/>
      <c r="N3480" s="5"/>
      <c r="O3480" s="3"/>
      <c r="P3480" s="6"/>
      <c r="Q3480" s="48">
        <f>IF(Учет!$O3480=Справочники!$F$2,Учет!$H3480,0)</f>
        <v>0</v>
      </c>
      <c r="R3480" s="48">
        <f>IF(Учет!$O3480=Справочники!$F$3,Учет!$H3480,0)</f>
        <v>0</v>
      </c>
      <c r="S3480" s="48">
        <f>IF(Учет!$O3480=Справочники!$F$4,Учет!$H3480,0)</f>
        <v>0</v>
      </c>
      <c r="T3480" s="48">
        <f>IF(Учет!$O3480=Справочники!$F$5,Учет!$H3480,0)</f>
        <v>0</v>
      </c>
      <c r="U3480" s="48">
        <f>IF(Учет!$O3480=Справочники!$F$6,Учет!$H3480,0)</f>
        <v>0</v>
      </c>
      <c r="V3480" s="43">
        <f>V3479+Учет!Q3480-Q3480</f>
        <v>-488978.92000000004</v>
      </c>
      <c r="W3480" s="43">
        <f>W3479+Учет!R3480-R3480</f>
        <v>336855</v>
      </c>
      <c r="X3480" s="43">
        <f>X3479+Учет!S3480-S3480</f>
        <v>500</v>
      </c>
      <c r="Y3480" s="43">
        <f>Y3479+Учет!T3480-T3480</f>
        <v>1150</v>
      </c>
      <c r="Z3480" s="43">
        <f>Z3479+Учет!U3480-U3480</f>
        <v>500000</v>
      </c>
      <c r="AA3480" s="45">
        <f>Учет!X3480</f>
        <v>500</v>
      </c>
    </row>
    <row r="3481" spans="1:27" ht="15" customHeight="1" x14ac:dyDescent="0.25">
      <c r="A3481" s="1"/>
      <c r="B3481" s="17"/>
      <c r="C3481" s="17"/>
      <c r="D3481" s="17"/>
      <c r="E3481" s="17"/>
      <c r="F3481" s="17"/>
      <c r="G3481" s="4">
        <f t="shared" si="159"/>
        <v>0</v>
      </c>
      <c r="H3481" s="17"/>
      <c r="I3481" s="4">
        <f t="shared" si="161"/>
        <v>349526.07999999996</v>
      </c>
      <c r="J3481" s="32" t="str">
        <f t="shared" si="160"/>
        <v/>
      </c>
      <c r="K3481" s="72"/>
      <c r="L3481" s="72"/>
      <c r="M3481" s="2"/>
      <c r="N3481" s="5"/>
      <c r="O3481" s="3"/>
      <c r="P3481" s="6"/>
      <c r="Q3481" s="48">
        <f>IF(Учет!$O3481=Справочники!$F$2,Учет!$H3481,0)</f>
        <v>0</v>
      </c>
      <c r="R3481" s="48">
        <f>IF(Учет!$O3481=Справочники!$F$3,Учет!$H3481,0)</f>
        <v>0</v>
      </c>
      <c r="S3481" s="48">
        <f>IF(Учет!$O3481=Справочники!$F$4,Учет!$H3481,0)</f>
        <v>0</v>
      </c>
      <c r="T3481" s="48">
        <f>IF(Учет!$O3481=Справочники!$F$5,Учет!$H3481,0)</f>
        <v>0</v>
      </c>
      <c r="U3481" s="48">
        <f>IF(Учет!$O3481=Справочники!$F$6,Учет!$H3481,0)</f>
        <v>0</v>
      </c>
      <c r="V3481" s="43">
        <f>V3480+Учет!Q3481-Q3481</f>
        <v>-488978.92000000004</v>
      </c>
      <c r="W3481" s="43">
        <f>W3480+Учет!R3481-R3481</f>
        <v>336855</v>
      </c>
      <c r="X3481" s="43">
        <f>X3480+Учет!S3481-S3481</f>
        <v>500</v>
      </c>
      <c r="Y3481" s="43">
        <f>Y3480+Учет!T3481-T3481</f>
        <v>1150</v>
      </c>
      <c r="Z3481" s="43">
        <f>Z3480+Учет!U3481-U3481</f>
        <v>500000</v>
      </c>
      <c r="AA3481" s="45">
        <f>Учет!X3481</f>
        <v>500</v>
      </c>
    </row>
    <row r="3482" spans="1:27" ht="15" customHeight="1" x14ac:dyDescent="0.25">
      <c r="A3482" s="1"/>
      <c r="B3482" s="17"/>
      <c r="C3482" s="17"/>
      <c r="D3482" s="17"/>
      <c r="E3482" s="17"/>
      <c r="F3482" s="17"/>
      <c r="G3482" s="4">
        <f t="shared" si="159"/>
        <v>0</v>
      </c>
      <c r="H3482" s="17"/>
      <c r="I3482" s="4">
        <f t="shared" si="161"/>
        <v>349526.07999999996</v>
      </c>
      <c r="J3482" s="32" t="str">
        <f t="shared" si="160"/>
        <v/>
      </c>
      <c r="K3482" s="72"/>
      <c r="L3482" s="72"/>
      <c r="M3482" s="2"/>
      <c r="N3482" s="5"/>
      <c r="O3482" s="3"/>
      <c r="P3482" s="6"/>
      <c r="Q3482" s="48">
        <f>IF(Учет!$O3482=Справочники!$F$2,Учет!$H3482,0)</f>
        <v>0</v>
      </c>
      <c r="R3482" s="48">
        <f>IF(Учет!$O3482=Справочники!$F$3,Учет!$H3482,0)</f>
        <v>0</v>
      </c>
      <c r="S3482" s="48">
        <f>IF(Учет!$O3482=Справочники!$F$4,Учет!$H3482,0)</f>
        <v>0</v>
      </c>
      <c r="T3482" s="48">
        <f>IF(Учет!$O3482=Справочники!$F$5,Учет!$H3482,0)</f>
        <v>0</v>
      </c>
      <c r="U3482" s="48">
        <f>IF(Учет!$O3482=Справочники!$F$6,Учет!$H3482,0)</f>
        <v>0</v>
      </c>
      <c r="V3482" s="43">
        <f>V3481+Учет!Q3482-Q3482</f>
        <v>-488978.92000000004</v>
      </c>
      <c r="W3482" s="43">
        <f>W3481+Учет!R3482-R3482</f>
        <v>336855</v>
      </c>
      <c r="X3482" s="43">
        <f>X3481+Учет!S3482-S3482</f>
        <v>500</v>
      </c>
      <c r="Y3482" s="43">
        <f>Y3481+Учет!T3482-T3482</f>
        <v>1150</v>
      </c>
      <c r="Z3482" s="43">
        <f>Z3481+Учет!U3482-U3482</f>
        <v>500000</v>
      </c>
      <c r="AA3482" s="45">
        <f>Учет!X3482</f>
        <v>500</v>
      </c>
    </row>
    <row r="3483" spans="1:27" ht="15" customHeight="1" x14ac:dyDescent="0.25">
      <c r="A3483" s="1"/>
      <c r="B3483" s="17"/>
      <c r="C3483" s="17"/>
      <c r="D3483" s="17"/>
      <c r="E3483" s="17"/>
      <c r="F3483" s="17"/>
      <c r="G3483" s="4">
        <f t="shared" si="159"/>
        <v>0</v>
      </c>
      <c r="H3483" s="17"/>
      <c r="I3483" s="4">
        <f t="shared" si="161"/>
        <v>349526.07999999996</v>
      </c>
      <c r="J3483" s="32" t="str">
        <f t="shared" si="160"/>
        <v/>
      </c>
      <c r="K3483" s="72"/>
      <c r="L3483" s="72"/>
      <c r="M3483" s="2"/>
      <c r="N3483" s="5"/>
      <c r="O3483" s="3"/>
      <c r="P3483" s="6"/>
      <c r="Q3483" s="48">
        <f>IF(Учет!$O3483=Справочники!$F$2,Учет!$H3483,0)</f>
        <v>0</v>
      </c>
      <c r="R3483" s="48">
        <f>IF(Учет!$O3483=Справочники!$F$3,Учет!$H3483,0)</f>
        <v>0</v>
      </c>
      <c r="S3483" s="48">
        <f>IF(Учет!$O3483=Справочники!$F$4,Учет!$H3483,0)</f>
        <v>0</v>
      </c>
      <c r="T3483" s="48">
        <f>IF(Учет!$O3483=Справочники!$F$5,Учет!$H3483,0)</f>
        <v>0</v>
      </c>
      <c r="U3483" s="48">
        <f>IF(Учет!$O3483=Справочники!$F$6,Учет!$H3483,0)</f>
        <v>0</v>
      </c>
      <c r="V3483" s="43">
        <f>V3482+Учет!Q3483-Q3483</f>
        <v>-488978.92000000004</v>
      </c>
      <c r="W3483" s="43">
        <f>W3482+Учет!R3483-R3483</f>
        <v>336855</v>
      </c>
      <c r="X3483" s="43">
        <f>X3482+Учет!S3483-S3483</f>
        <v>500</v>
      </c>
      <c r="Y3483" s="43">
        <f>Y3482+Учет!T3483-T3483</f>
        <v>1150</v>
      </c>
      <c r="Z3483" s="43">
        <f>Z3482+Учет!U3483-U3483</f>
        <v>500000</v>
      </c>
      <c r="AA3483" s="45">
        <f>Учет!X3483</f>
        <v>500</v>
      </c>
    </row>
    <row r="3484" spans="1:27" ht="15" customHeight="1" x14ac:dyDescent="0.25">
      <c r="A3484" s="1"/>
      <c r="B3484" s="17"/>
      <c r="C3484" s="17"/>
      <c r="D3484" s="17"/>
      <c r="E3484" s="17"/>
      <c r="F3484" s="17"/>
      <c r="G3484" s="4">
        <f t="shared" si="159"/>
        <v>0</v>
      </c>
      <c r="H3484" s="17"/>
      <c r="I3484" s="4">
        <f t="shared" si="161"/>
        <v>349526.07999999996</v>
      </c>
      <c r="J3484" s="32" t="str">
        <f t="shared" si="160"/>
        <v/>
      </c>
      <c r="K3484" s="72"/>
      <c r="L3484" s="72"/>
      <c r="M3484" s="2"/>
      <c r="N3484" s="5"/>
      <c r="O3484" s="3"/>
      <c r="P3484" s="6"/>
      <c r="Q3484" s="48">
        <f>IF(Учет!$O3484=Справочники!$F$2,Учет!$H3484,0)</f>
        <v>0</v>
      </c>
      <c r="R3484" s="48">
        <f>IF(Учет!$O3484=Справочники!$F$3,Учет!$H3484,0)</f>
        <v>0</v>
      </c>
      <c r="S3484" s="48">
        <f>IF(Учет!$O3484=Справочники!$F$4,Учет!$H3484,0)</f>
        <v>0</v>
      </c>
      <c r="T3484" s="48">
        <f>IF(Учет!$O3484=Справочники!$F$5,Учет!$H3484,0)</f>
        <v>0</v>
      </c>
      <c r="U3484" s="48">
        <f>IF(Учет!$O3484=Справочники!$F$6,Учет!$H3484,0)</f>
        <v>0</v>
      </c>
      <c r="V3484" s="43">
        <f>V3483+Учет!Q3484-Q3484</f>
        <v>-488978.92000000004</v>
      </c>
      <c r="W3484" s="43">
        <f>W3483+Учет!R3484-R3484</f>
        <v>336855</v>
      </c>
      <c r="X3484" s="43">
        <f>X3483+Учет!S3484-S3484</f>
        <v>500</v>
      </c>
      <c r="Y3484" s="43">
        <f>Y3483+Учет!T3484-T3484</f>
        <v>1150</v>
      </c>
      <c r="Z3484" s="43">
        <f>Z3483+Учет!U3484-U3484</f>
        <v>500000</v>
      </c>
      <c r="AA3484" s="45">
        <f>Учет!X3484</f>
        <v>500</v>
      </c>
    </row>
    <row r="3485" spans="1:27" ht="15" customHeight="1" x14ac:dyDescent="0.25">
      <c r="A3485" s="1"/>
      <c r="B3485" s="17"/>
      <c r="C3485" s="17"/>
      <c r="D3485" s="17"/>
      <c r="E3485" s="17"/>
      <c r="F3485" s="17"/>
      <c r="G3485" s="4">
        <f t="shared" si="159"/>
        <v>0</v>
      </c>
      <c r="H3485" s="17"/>
      <c r="I3485" s="4">
        <f t="shared" si="161"/>
        <v>349526.07999999996</v>
      </c>
      <c r="J3485" s="32" t="str">
        <f t="shared" si="160"/>
        <v/>
      </c>
      <c r="K3485" s="72"/>
      <c r="L3485" s="72"/>
      <c r="M3485" s="2"/>
      <c r="N3485" s="5"/>
      <c r="O3485" s="3"/>
      <c r="P3485" s="6"/>
      <c r="Q3485" s="48">
        <f>IF(Учет!$O3485=Справочники!$F$2,Учет!$H3485,0)</f>
        <v>0</v>
      </c>
      <c r="R3485" s="48">
        <f>IF(Учет!$O3485=Справочники!$F$3,Учет!$H3485,0)</f>
        <v>0</v>
      </c>
      <c r="S3485" s="48">
        <f>IF(Учет!$O3485=Справочники!$F$4,Учет!$H3485,0)</f>
        <v>0</v>
      </c>
      <c r="T3485" s="48">
        <f>IF(Учет!$O3485=Справочники!$F$5,Учет!$H3485,0)</f>
        <v>0</v>
      </c>
      <c r="U3485" s="48">
        <f>IF(Учет!$O3485=Справочники!$F$6,Учет!$H3485,0)</f>
        <v>0</v>
      </c>
      <c r="V3485" s="43">
        <f>V3484+Учет!Q3485-Q3485</f>
        <v>-488978.92000000004</v>
      </c>
      <c r="W3485" s="43">
        <f>W3484+Учет!R3485-R3485</f>
        <v>336855</v>
      </c>
      <c r="X3485" s="43">
        <f>X3484+Учет!S3485-S3485</f>
        <v>500</v>
      </c>
      <c r="Y3485" s="43">
        <f>Y3484+Учет!T3485-T3485</f>
        <v>1150</v>
      </c>
      <c r="Z3485" s="43">
        <f>Z3484+Учет!U3485-U3485</f>
        <v>500000</v>
      </c>
      <c r="AA3485" s="45">
        <f>Учет!X3485</f>
        <v>500</v>
      </c>
    </row>
    <row r="3486" spans="1:27" ht="15" customHeight="1" x14ac:dyDescent="0.25">
      <c r="A3486" s="1"/>
      <c r="B3486" s="17"/>
      <c r="C3486" s="17"/>
      <c r="D3486" s="17"/>
      <c r="E3486" s="17"/>
      <c r="F3486" s="17"/>
      <c r="G3486" s="4">
        <f t="shared" si="159"/>
        <v>0</v>
      </c>
      <c r="H3486" s="17"/>
      <c r="I3486" s="4">
        <f t="shared" si="161"/>
        <v>349526.07999999996</v>
      </c>
      <c r="J3486" s="32" t="str">
        <f t="shared" si="160"/>
        <v/>
      </c>
      <c r="K3486" s="72"/>
      <c r="L3486" s="72"/>
      <c r="M3486" s="2"/>
      <c r="N3486" s="5"/>
      <c r="O3486" s="3"/>
      <c r="P3486" s="6"/>
      <c r="Q3486" s="48">
        <f>IF(Учет!$O3486=Справочники!$F$2,Учет!$H3486,0)</f>
        <v>0</v>
      </c>
      <c r="R3486" s="48">
        <f>IF(Учет!$O3486=Справочники!$F$3,Учет!$H3486,0)</f>
        <v>0</v>
      </c>
      <c r="S3486" s="48">
        <f>IF(Учет!$O3486=Справочники!$F$4,Учет!$H3486,0)</f>
        <v>0</v>
      </c>
      <c r="T3486" s="48">
        <f>IF(Учет!$O3486=Справочники!$F$5,Учет!$H3486,0)</f>
        <v>0</v>
      </c>
      <c r="U3486" s="48">
        <f>IF(Учет!$O3486=Справочники!$F$6,Учет!$H3486,0)</f>
        <v>0</v>
      </c>
      <c r="V3486" s="43">
        <f>V3485+Учет!Q3486-Q3486</f>
        <v>-488978.92000000004</v>
      </c>
      <c r="W3486" s="43">
        <f>W3485+Учет!R3486-R3486</f>
        <v>336855</v>
      </c>
      <c r="X3486" s="43">
        <f>X3485+Учет!S3486-S3486</f>
        <v>500</v>
      </c>
      <c r="Y3486" s="43">
        <f>Y3485+Учет!T3486-T3486</f>
        <v>1150</v>
      </c>
      <c r="Z3486" s="43">
        <f>Z3485+Учет!U3486-U3486</f>
        <v>500000</v>
      </c>
      <c r="AA3486" s="45">
        <f>Учет!X3486</f>
        <v>500</v>
      </c>
    </row>
    <row r="3487" spans="1:27" ht="15" customHeight="1" x14ac:dyDescent="0.25">
      <c r="A3487" s="1"/>
      <c r="B3487" s="17"/>
      <c r="C3487" s="17"/>
      <c r="D3487" s="17"/>
      <c r="E3487" s="17"/>
      <c r="F3487" s="17"/>
      <c r="G3487" s="4">
        <f t="shared" si="159"/>
        <v>0</v>
      </c>
      <c r="H3487" s="17"/>
      <c r="I3487" s="4">
        <f t="shared" si="161"/>
        <v>349526.07999999996</v>
      </c>
      <c r="J3487" s="32" t="str">
        <f t="shared" si="160"/>
        <v/>
      </c>
      <c r="K3487" s="72"/>
      <c r="L3487" s="72"/>
      <c r="M3487" s="2"/>
      <c r="N3487" s="5"/>
      <c r="O3487" s="3"/>
      <c r="P3487" s="6"/>
      <c r="Q3487" s="48">
        <f>IF(Учет!$O3487=Справочники!$F$2,Учет!$H3487,0)</f>
        <v>0</v>
      </c>
      <c r="R3487" s="48">
        <f>IF(Учет!$O3487=Справочники!$F$3,Учет!$H3487,0)</f>
        <v>0</v>
      </c>
      <c r="S3487" s="48">
        <f>IF(Учет!$O3487=Справочники!$F$4,Учет!$H3487,0)</f>
        <v>0</v>
      </c>
      <c r="T3487" s="48">
        <f>IF(Учет!$O3487=Справочники!$F$5,Учет!$H3487,0)</f>
        <v>0</v>
      </c>
      <c r="U3487" s="48">
        <f>IF(Учет!$O3487=Справочники!$F$6,Учет!$H3487,0)</f>
        <v>0</v>
      </c>
      <c r="V3487" s="43">
        <f>V3486+Учет!Q3487-Q3487</f>
        <v>-488978.92000000004</v>
      </c>
      <c r="W3487" s="43">
        <f>W3486+Учет!R3487-R3487</f>
        <v>336855</v>
      </c>
      <c r="X3487" s="43">
        <f>X3486+Учет!S3487-S3487</f>
        <v>500</v>
      </c>
      <c r="Y3487" s="43">
        <f>Y3486+Учет!T3487-T3487</f>
        <v>1150</v>
      </c>
      <c r="Z3487" s="43">
        <f>Z3486+Учет!U3487-U3487</f>
        <v>500000</v>
      </c>
      <c r="AA3487" s="45">
        <f>Учет!X3487</f>
        <v>500</v>
      </c>
    </row>
    <row r="3488" spans="1:27" ht="15" customHeight="1" x14ac:dyDescent="0.25">
      <c r="A3488" s="1"/>
      <c r="B3488" s="17"/>
      <c r="C3488" s="17"/>
      <c r="D3488" s="17"/>
      <c r="E3488" s="17"/>
      <c r="F3488" s="17"/>
      <c r="G3488" s="4">
        <f t="shared" si="159"/>
        <v>0</v>
      </c>
      <c r="H3488" s="17"/>
      <c r="I3488" s="4">
        <f t="shared" si="161"/>
        <v>349526.07999999996</v>
      </c>
      <c r="J3488" s="32" t="str">
        <f t="shared" si="160"/>
        <v/>
      </c>
      <c r="K3488" s="72"/>
      <c r="L3488" s="72"/>
      <c r="M3488" s="2"/>
      <c r="N3488" s="5"/>
      <c r="O3488" s="3"/>
      <c r="P3488" s="6"/>
      <c r="Q3488" s="48">
        <f>IF(Учет!$O3488=Справочники!$F$2,Учет!$H3488,0)</f>
        <v>0</v>
      </c>
      <c r="R3488" s="48">
        <f>IF(Учет!$O3488=Справочники!$F$3,Учет!$H3488,0)</f>
        <v>0</v>
      </c>
      <c r="S3488" s="48">
        <f>IF(Учет!$O3488=Справочники!$F$4,Учет!$H3488,0)</f>
        <v>0</v>
      </c>
      <c r="T3488" s="48">
        <f>IF(Учет!$O3488=Справочники!$F$5,Учет!$H3488,0)</f>
        <v>0</v>
      </c>
      <c r="U3488" s="48">
        <f>IF(Учет!$O3488=Справочники!$F$6,Учет!$H3488,0)</f>
        <v>0</v>
      </c>
      <c r="V3488" s="43">
        <f>V3487+Учет!Q3488-Q3488</f>
        <v>-488978.92000000004</v>
      </c>
      <c r="W3488" s="43">
        <f>W3487+Учет!R3488-R3488</f>
        <v>336855</v>
      </c>
      <c r="X3488" s="43">
        <f>X3487+Учет!S3488-S3488</f>
        <v>500</v>
      </c>
      <c r="Y3488" s="43">
        <f>Y3487+Учет!T3488-T3488</f>
        <v>1150</v>
      </c>
      <c r="Z3488" s="43">
        <f>Z3487+Учет!U3488-U3488</f>
        <v>500000</v>
      </c>
      <c r="AA3488" s="45">
        <f>Учет!X3488</f>
        <v>500</v>
      </c>
    </row>
    <row r="3489" spans="1:27" ht="15" customHeight="1" x14ac:dyDescent="0.25">
      <c r="A3489" s="1"/>
      <c r="B3489" s="17"/>
      <c r="C3489" s="17"/>
      <c r="D3489" s="17"/>
      <c r="E3489" s="17"/>
      <c r="F3489" s="17"/>
      <c r="G3489" s="4">
        <f t="shared" si="159"/>
        <v>0</v>
      </c>
      <c r="H3489" s="17"/>
      <c r="I3489" s="4">
        <f t="shared" si="161"/>
        <v>349526.07999999996</v>
      </c>
      <c r="J3489" s="32" t="str">
        <f t="shared" si="160"/>
        <v/>
      </c>
      <c r="K3489" s="72"/>
      <c r="L3489" s="72"/>
      <c r="M3489" s="2"/>
      <c r="N3489" s="5"/>
      <c r="O3489" s="3"/>
      <c r="P3489" s="6"/>
      <c r="Q3489" s="48">
        <f>IF(Учет!$O3489=Справочники!$F$2,Учет!$H3489,0)</f>
        <v>0</v>
      </c>
      <c r="R3489" s="48">
        <f>IF(Учет!$O3489=Справочники!$F$3,Учет!$H3489,0)</f>
        <v>0</v>
      </c>
      <c r="S3489" s="48">
        <f>IF(Учет!$O3489=Справочники!$F$4,Учет!$H3489,0)</f>
        <v>0</v>
      </c>
      <c r="T3489" s="48">
        <f>IF(Учет!$O3489=Справочники!$F$5,Учет!$H3489,0)</f>
        <v>0</v>
      </c>
      <c r="U3489" s="48">
        <f>IF(Учет!$O3489=Справочники!$F$6,Учет!$H3489,0)</f>
        <v>0</v>
      </c>
      <c r="V3489" s="43">
        <f>V3488+Учет!Q3489-Q3489</f>
        <v>-488978.92000000004</v>
      </c>
      <c r="W3489" s="43">
        <f>W3488+Учет!R3489-R3489</f>
        <v>336855</v>
      </c>
      <c r="X3489" s="43">
        <f>X3488+Учет!S3489-S3489</f>
        <v>500</v>
      </c>
      <c r="Y3489" s="43">
        <f>Y3488+Учет!T3489-T3489</f>
        <v>1150</v>
      </c>
      <c r="Z3489" s="43">
        <f>Z3488+Учет!U3489-U3489</f>
        <v>500000</v>
      </c>
      <c r="AA3489" s="45">
        <f>Учет!X3489</f>
        <v>500</v>
      </c>
    </row>
    <row r="3490" spans="1:27" ht="15" customHeight="1" x14ac:dyDescent="0.25">
      <c r="A3490" s="1"/>
      <c r="B3490" s="17"/>
      <c r="C3490" s="17"/>
      <c r="D3490" s="17"/>
      <c r="E3490" s="17"/>
      <c r="F3490" s="17"/>
      <c r="G3490" s="4">
        <f t="shared" si="159"/>
        <v>0</v>
      </c>
      <c r="H3490" s="17"/>
      <c r="I3490" s="4">
        <f t="shared" si="161"/>
        <v>349526.07999999996</v>
      </c>
      <c r="J3490" s="32" t="str">
        <f t="shared" si="160"/>
        <v/>
      </c>
      <c r="K3490" s="72"/>
      <c r="L3490" s="72"/>
      <c r="M3490" s="2"/>
      <c r="N3490" s="5"/>
      <c r="O3490" s="3"/>
      <c r="P3490" s="6"/>
      <c r="Q3490" s="48">
        <f>IF(Учет!$O3490=Справочники!$F$2,Учет!$H3490,0)</f>
        <v>0</v>
      </c>
      <c r="R3490" s="48">
        <f>IF(Учет!$O3490=Справочники!$F$3,Учет!$H3490,0)</f>
        <v>0</v>
      </c>
      <c r="S3490" s="48">
        <f>IF(Учет!$O3490=Справочники!$F$4,Учет!$H3490,0)</f>
        <v>0</v>
      </c>
      <c r="T3490" s="48">
        <f>IF(Учет!$O3490=Справочники!$F$5,Учет!$H3490,0)</f>
        <v>0</v>
      </c>
      <c r="U3490" s="48">
        <f>IF(Учет!$O3490=Справочники!$F$6,Учет!$H3490,0)</f>
        <v>0</v>
      </c>
      <c r="V3490" s="43">
        <f>V3489+Учет!Q3490-Q3490</f>
        <v>-488978.92000000004</v>
      </c>
      <c r="W3490" s="43">
        <f>W3489+Учет!R3490-R3490</f>
        <v>336855</v>
      </c>
      <c r="X3490" s="43">
        <f>X3489+Учет!S3490-S3490</f>
        <v>500</v>
      </c>
      <c r="Y3490" s="43">
        <f>Y3489+Учет!T3490-T3490</f>
        <v>1150</v>
      </c>
      <c r="Z3490" s="43">
        <f>Z3489+Учет!U3490-U3490</f>
        <v>500000</v>
      </c>
      <c r="AA3490" s="45">
        <f>Учет!X3490</f>
        <v>500</v>
      </c>
    </row>
    <row r="3491" spans="1:27" ht="15" customHeight="1" x14ac:dyDescent="0.25">
      <c r="A3491" s="1"/>
      <c r="B3491" s="17"/>
      <c r="C3491" s="17"/>
      <c r="D3491" s="17"/>
      <c r="E3491" s="17"/>
      <c r="F3491" s="17"/>
      <c r="G3491" s="4">
        <f t="shared" si="159"/>
        <v>0</v>
      </c>
      <c r="H3491" s="17"/>
      <c r="I3491" s="4">
        <f t="shared" si="161"/>
        <v>349526.07999999996</v>
      </c>
      <c r="J3491" s="32" t="str">
        <f t="shared" si="160"/>
        <v/>
      </c>
      <c r="K3491" s="72"/>
      <c r="L3491" s="72"/>
      <c r="M3491" s="2"/>
      <c r="N3491" s="5"/>
      <c r="O3491" s="3"/>
      <c r="P3491" s="6"/>
      <c r="Q3491" s="48">
        <f>IF(Учет!$O3491=Справочники!$F$2,Учет!$H3491,0)</f>
        <v>0</v>
      </c>
      <c r="R3491" s="48">
        <f>IF(Учет!$O3491=Справочники!$F$3,Учет!$H3491,0)</f>
        <v>0</v>
      </c>
      <c r="S3491" s="48">
        <f>IF(Учет!$O3491=Справочники!$F$4,Учет!$H3491,0)</f>
        <v>0</v>
      </c>
      <c r="T3491" s="48">
        <f>IF(Учет!$O3491=Справочники!$F$5,Учет!$H3491,0)</f>
        <v>0</v>
      </c>
      <c r="U3491" s="48">
        <f>IF(Учет!$O3491=Справочники!$F$6,Учет!$H3491,0)</f>
        <v>0</v>
      </c>
      <c r="V3491" s="43">
        <f>V3490+Учет!Q3491-Q3491</f>
        <v>-488978.92000000004</v>
      </c>
      <c r="W3491" s="43">
        <f>W3490+Учет!R3491-R3491</f>
        <v>336855</v>
      </c>
      <c r="X3491" s="43">
        <f>X3490+Учет!S3491-S3491</f>
        <v>500</v>
      </c>
      <c r="Y3491" s="43">
        <f>Y3490+Учет!T3491-T3491</f>
        <v>1150</v>
      </c>
      <c r="Z3491" s="43">
        <f>Z3490+Учет!U3491-U3491</f>
        <v>500000</v>
      </c>
      <c r="AA3491" s="45">
        <f>Учет!X3491</f>
        <v>500</v>
      </c>
    </row>
    <row r="3492" spans="1:27" ht="15" customHeight="1" x14ac:dyDescent="0.25">
      <c r="A3492" s="1"/>
      <c r="B3492" s="17"/>
      <c r="C3492" s="17"/>
      <c r="D3492" s="17"/>
      <c r="E3492" s="17"/>
      <c r="F3492" s="17"/>
      <c r="G3492" s="4">
        <f t="shared" si="159"/>
        <v>0</v>
      </c>
      <c r="H3492" s="17"/>
      <c r="I3492" s="4">
        <f t="shared" si="161"/>
        <v>349526.07999999996</v>
      </c>
      <c r="J3492" s="32" t="str">
        <f t="shared" si="160"/>
        <v/>
      </c>
      <c r="K3492" s="72"/>
      <c r="L3492" s="72"/>
      <c r="M3492" s="2"/>
      <c r="N3492" s="5"/>
      <c r="O3492" s="3"/>
      <c r="P3492" s="6"/>
      <c r="Q3492" s="48">
        <f>IF(Учет!$O3492=Справочники!$F$2,Учет!$H3492,0)</f>
        <v>0</v>
      </c>
      <c r="R3492" s="48">
        <f>IF(Учет!$O3492=Справочники!$F$3,Учет!$H3492,0)</f>
        <v>0</v>
      </c>
      <c r="S3492" s="48">
        <f>IF(Учет!$O3492=Справочники!$F$4,Учет!$H3492,0)</f>
        <v>0</v>
      </c>
      <c r="T3492" s="48">
        <f>IF(Учет!$O3492=Справочники!$F$5,Учет!$H3492,0)</f>
        <v>0</v>
      </c>
      <c r="U3492" s="48">
        <f>IF(Учет!$O3492=Справочники!$F$6,Учет!$H3492,0)</f>
        <v>0</v>
      </c>
      <c r="V3492" s="43">
        <f>V3491+Учет!Q3492-Q3492</f>
        <v>-488978.92000000004</v>
      </c>
      <c r="W3492" s="43">
        <f>W3491+Учет!R3492-R3492</f>
        <v>336855</v>
      </c>
      <c r="X3492" s="43">
        <f>X3491+Учет!S3492-S3492</f>
        <v>500</v>
      </c>
      <c r="Y3492" s="43">
        <f>Y3491+Учет!T3492-T3492</f>
        <v>1150</v>
      </c>
      <c r="Z3492" s="43">
        <f>Z3491+Учет!U3492-U3492</f>
        <v>500000</v>
      </c>
      <c r="AA3492" s="45">
        <f>Учет!X3492</f>
        <v>500</v>
      </c>
    </row>
    <row r="3493" spans="1:27" ht="15" customHeight="1" x14ac:dyDescent="0.25">
      <c r="A3493" s="1"/>
      <c r="B3493" s="17"/>
      <c r="C3493" s="17"/>
      <c r="D3493" s="17"/>
      <c r="E3493" s="17"/>
      <c r="F3493" s="17"/>
      <c r="G3493" s="4">
        <f t="shared" si="159"/>
        <v>0</v>
      </c>
      <c r="H3493" s="17"/>
      <c r="I3493" s="4">
        <f t="shared" si="161"/>
        <v>349526.07999999996</v>
      </c>
      <c r="J3493" s="32" t="str">
        <f t="shared" si="160"/>
        <v/>
      </c>
      <c r="K3493" s="72"/>
      <c r="L3493" s="72"/>
      <c r="M3493" s="2"/>
      <c r="N3493" s="5"/>
      <c r="O3493" s="3"/>
      <c r="P3493" s="6"/>
      <c r="Q3493" s="48">
        <f>IF(Учет!$O3493=Справочники!$F$2,Учет!$H3493,0)</f>
        <v>0</v>
      </c>
      <c r="R3493" s="48">
        <f>IF(Учет!$O3493=Справочники!$F$3,Учет!$H3493,0)</f>
        <v>0</v>
      </c>
      <c r="S3493" s="48">
        <f>IF(Учет!$O3493=Справочники!$F$4,Учет!$H3493,0)</f>
        <v>0</v>
      </c>
      <c r="T3493" s="48">
        <f>IF(Учет!$O3493=Справочники!$F$5,Учет!$H3493,0)</f>
        <v>0</v>
      </c>
      <c r="U3493" s="48">
        <f>IF(Учет!$O3493=Справочники!$F$6,Учет!$H3493,0)</f>
        <v>0</v>
      </c>
      <c r="V3493" s="43">
        <f>V3492+Учет!Q3493-Q3493</f>
        <v>-488978.92000000004</v>
      </c>
      <c r="W3493" s="43">
        <f>W3492+Учет!R3493-R3493</f>
        <v>336855</v>
      </c>
      <c r="X3493" s="43">
        <f>X3492+Учет!S3493-S3493</f>
        <v>500</v>
      </c>
      <c r="Y3493" s="43">
        <f>Y3492+Учет!T3493-T3493</f>
        <v>1150</v>
      </c>
      <c r="Z3493" s="43">
        <f>Z3492+Учет!U3493-U3493</f>
        <v>500000</v>
      </c>
      <c r="AA3493" s="45">
        <f>Учет!X3493</f>
        <v>500</v>
      </c>
    </row>
    <row r="3494" spans="1:27" ht="15" customHeight="1" x14ac:dyDescent="0.25">
      <c r="A3494" s="1"/>
      <c r="B3494" s="17"/>
      <c r="C3494" s="17"/>
      <c r="D3494" s="17"/>
      <c r="E3494" s="17"/>
      <c r="F3494" s="17"/>
      <c r="G3494" s="4">
        <f t="shared" si="159"/>
        <v>0</v>
      </c>
      <c r="H3494" s="17"/>
      <c r="I3494" s="4">
        <f t="shared" si="161"/>
        <v>349526.07999999996</v>
      </c>
      <c r="J3494" s="32" t="str">
        <f t="shared" si="160"/>
        <v/>
      </c>
      <c r="K3494" s="72"/>
      <c r="L3494" s="72"/>
      <c r="M3494" s="2"/>
      <c r="N3494" s="5"/>
      <c r="O3494" s="3"/>
      <c r="P3494" s="6"/>
      <c r="Q3494" s="48">
        <f>IF(Учет!$O3494=Справочники!$F$2,Учет!$H3494,0)</f>
        <v>0</v>
      </c>
      <c r="R3494" s="48">
        <f>IF(Учет!$O3494=Справочники!$F$3,Учет!$H3494,0)</f>
        <v>0</v>
      </c>
      <c r="S3494" s="48">
        <f>IF(Учет!$O3494=Справочники!$F$4,Учет!$H3494,0)</f>
        <v>0</v>
      </c>
      <c r="T3494" s="48">
        <f>IF(Учет!$O3494=Справочники!$F$5,Учет!$H3494,0)</f>
        <v>0</v>
      </c>
      <c r="U3494" s="48">
        <f>IF(Учет!$O3494=Справочники!$F$6,Учет!$H3494,0)</f>
        <v>0</v>
      </c>
      <c r="V3494" s="43">
        <f>V3493+Учет!Q3494-Q3494</f>
        <v>-488978.92000000004</v>
      </c>
      <c r="W3494" s="43">
        <f>W3493+Учет!R3494-R3494</f>
        <v>336855</v>
      </c>
      <c r="X3494" s="43">
        <f>X3493+Учет!S3494-S3494</f>
        <v>500</v>
      </c>
      <c r="Y3494" s="43">
        <f>Y3493+Учет!T3494-T3494</f>
        <v>1150</v>
      </c>
      <c r="Z3494" s="43">
        <f>Z3493+Учет!U3494-U3494</f>
        <v>500000</v>
      </c>
      <c r="AA3494" s="45">
        <f>Учет!X3494</f>
        <v>500</v>
      </c>
    </row>
    <row r="3495" spans="1:27" ht="15" customHeight="1" x14ac:dyDescent="0.25">
      <c r="A3495" s="1"/>
      <c r="B3495" s="17"/>
      <c r="C3495" s="17"/>
      <c r="D3495" s="17"/>
      <c r="E3495" s="17"/>
      <c r="F3495" s="17"/>
      <c r="G3495" s="4">
        <f t="shared" si="159"/>
        <v>0</v>
      </c>
      <c r="H3495" s="17"/>
      <c r="I3495" s="4">
        <f t="shared" si="161"/>
        <v>349526.07999999996</v>
      </c>
      <c r="J3495" s="32" t="str">
        <f t="shared" si="160"/>
        <v/>
      </c>
      <c r="K3495" s="72"/>
      <c r="L3495" s="72"/>
      <c r="M3495" s="2"/>
      <c r="N3495" s="5"/>
      <c r="O3495" s="3"/>
      <c r="P3495" s="6"/>
      <c r="Q3495" s="48">
        <f>IF(Учет!$O3495=Справочники!$F$2,Учет!$H3495,0)</f>
        <v>0</v>
      </c>
      <c r="R3495" s="48">
        <f>IF(Учет!$O3495=Справочники!$F$3,Учет!$H3495,0)</f>
        <v>0</v>
      </c>
      <c r="S3495" s="48">
        <f>IF(Учет!$O3495=Справочники!$F$4,Учет!$H3495,0)</f>
        <v>0</v>
      </c>
      <c r="T3495" s="48">
        <f>IF(Учет!$O3495=Справочники!$F$5,Учет!$H3495,0)</f>
        <v>0</v>
      </c>
      <c r="U3495" s="48">
        <f>IF(Учет!$O3495=Справочники!$F$6,Учет!$H3495,0)</f>
        <v>0</v>
      </c>
      <c r="V3495" s="43">
        <f>V3494+Учет!Q3495-Q3495</f>
        <v>-488978.92000000004</v>
      </c>
      <c r="W3495" s="43">
        <f>W3494+Учет!R3495-R3495</f>
        <v>336855</v>
      </c>
      <c r="X3495" s="43">
        <f>X3494+Учет!S3495-S3495</f>
        <v>500</v>
      </c>
      <c r="Y3495" s="43">
        <f>Y3494+Учет!T3495-T3495</f>
        <v>1150</v>
      </c>
      <c r="Z3495" s="43">
        <f>Z3494+Учет!U3495-U3495</f>
        <v>500000</v>
      </c>
      <c r="AA3495" s="45">
        <f>Учет!X3495</f>
        <v>500</v>
      </c>
    </row>
    <row r="3496" spans="1:27" ht="15" customHeight="1" x14ac:dyDescent="0.25">
      <c r="A3496" s="1"/>
      <c r="B3496" s="17"/>
      <c r="C3496" s="17"/>
      <c r="D3496" s="17"/>
      <c r="E3496" s="17"/>
      <c r="F3496" s="17"/>
      <c r="G3496" s="4">
        <f t="shared" si="159"/>
        <v>0</v>
      </c>
      <c r="H3496" s="17"/>
      <c r="I3496" s="4">
        <f t="shared" si="161"/>
        <v>349526.07999999996</v>
      </c>
      <c r="J3496" s="32" t="str">
        <f t="shared" si="160"/>
        <v/>
      </c>
      <c r="K3496" s="72"/>
      <c r="L3496" s="72"/>
      <c r="M3496" s="2"/>
      <c r="N3496" s="5"/>
      <c r="O3496" s="3"/>
      <c r="P3496" s="6"/>
      <c r="Q3496" s="48">
        <f>IF(Учет!$O3496=Справочники!$F$2,Учет!$H3496,0)</f>
        <v>0</v>
      </c>
      <c r="R3496" s="48">
        <f>IF(Учет!$O3496=Справочники!$F$3,Учет!$H3496,0)</f>
        <v>0</v>
      </c>
      <c r="S3496" s="48">
        <f>IF(Учет!$O3496=Справочники!$F$4,Учет!$H3496,0)</f>
        <v>0</v>
      </c>
      <c r="T3496" s="48">
        <f>IF(Учет!$O3496=Справочники!$F$5,Учет!$H3496,0)</f>
        <v>0</v>
      </c>
      <c r="U3496" s="48">
        <f>IF(Учет!$O3496=Справочники!$F$6,Учет!$H3496,0)</f>
        <v>0</v>
      </c>
      <c r="V3496" s="43">
        <f>V3495+Учет!Q3496-Q3496</f>
        <v>-488978.92000000004</v>
      </c>
      <c r="W3496" s="43">
        <f>W3495+Учет!R3496-R3496</f>
        <v>336855</v>
      </c>
      <c r="X3496" s="43">
        <f>X3495+Учет!S3496-S3496</f>
        <v>500</v>
      </c>
      <c r="Y3496" s="43">
        <f>Y3495+Учет!T3496-T3496</f>
        <v>1150</v>
      </c>
      <c r="Z3496" s="43">
        <f>Z3495+Учет!U3496-U3496</f>
        <v>500000</v>
      </c>
      <c r="AA3496" s="45">
        <f>Учет!X3496</f>
        <v>500</v>
      </c>
    </row>
    <row r="3497" spans="1:27" ht="15" customHeight="1" x14ac:dyDescent="0.25">
      <c r="A3497" s="1"/>
      <c r="B3497" s="17"/>
      <c r="C3497" s="17"/>
      <c r="D3497" s="17"/>
      <c r="E3497" s="17"/>
      <c r="F3497" s="17"/>
      <c r="G3497" s="4">
        <f t="shared" si="159"/>
        <v>0</v>
      </c>
      <c r="H3497" s="17"/>
      <c r="I3497" s="4">
        <f t="shared" si="161"/>
        <v>349526.07999999996</v>
      </c>
      <c r="J3497" s="32" t="str">
        <f t="shared" si="160"/>
        <v/>
      </c>
      <c r="K3497" s="72"/>
      <c r="L3497" s="72"/>
      <c r="M3497" s="2"/>
      <c r="N3497" s="5"/>
      <c r="O3497" s="3"/>
      <c r="P3497" s="6"/>
      <c r="Q3497" s="48">
        <f>IF(Учет!$O3497=Справочники!$F$2,Учет!$H3497,0)</f>
        <v>0</v>
      </c>
      <c r="R3497" s="48">
        <f>IF(Учет!$O3497=Справочники!$F$3,Учет!$H3497,0)</f>
        <v>0</v>
      </c>
      <c r="S3497" s="48">
        <f>IF(Учет!$O3497=Справочники!$F$4,Учет!$H3497,0)</f>
        <v>0</v>
      </c>
      <c r="T3497" s="48">
        <f>IF(Учет!$O3497=Справочники!$F$5,Учет!$H3497,0)</f>
        <v>0</v>
      </c>
      <c r="U3497" s="48">
        <f>IF(Учет!$O3497=Справочники!$F$6,Учет!$H3497,0)</f>
        <v>0</v>
      </c>
      <c r="V3497" s="43">
        <f>V3496+Учет!Q3497-Q3497</f>
        <v>-488978.92000000004</v>
      </c>
      <c r="W3497" s="43">
        <f>W3496+Учет!R3497-R3497</f>
        <v>336855</v>
      </c>
      <c r="X3497" s="43">
        <f>X3496+Учет!S3497-S3497</f>
        <v>500</v>
      </c>
      <c r="Y3497" s="43">
        <f>Y3496+Учет!T3497-T3497</f>
        <v>1150</v>
      </c>
      <c r="Z3497" s="43">
        <f>Z3496+Учет!U3497-U3497</f>
        <v>500000</v>
      </c>
      <c r="AA3497" s="45">
        <f>Учет!X3497</f>
        <v>500</v>
      </c>
    </row>
    <row r="3498" spans="1:27" ht="15" customHeight="1" x14ac:dyDescent="0.25">
      <c r="A3498" s="1"/>
      <c r="B3498" s="17"/>
      <c r="C3498" s="17"/>
      <c r="D3498" s="17"/>
      <c r="E3498" s="17"/>
      <c r="F3498" s="17"/>
      <c r="G3498" s="4">
        <f t="shared" si="159"/>
        <v>0</v>
      </c>
      <c r="H3498" s="17"/>
      <c r="I3498" s="4">
        <f t="shared" si="161"/>
        <v>349526.07999999996</v>
      </c>
      <c r="J3498" s="32" t="str">
        <f t="shared" si="160"/>
        <v/>
      </c>
      <c r="K3498" s="72"/>
      <c r="L3498" s="72"/>
      <c r="M3498" s="2"/>
      <c r="N3498" s="5"/>
      <c r="O3498" s="3"/>
      <c r="P3498" s="6"/>
      <c r="Q3498" s="48">
        <f>IF(Учет!$O3498=Справочники!$F$2,Учет!$H3498,0)</f>
        <v>0</v>
      </c>
      <c r="R3498" s="48">
        <f>IF(Учет!$O3498=Справочники!$F$3,Учет!$H3498,0)</f>
        <v>0</v>
      </c>
      <c r="S3498" s="48">
        <f>IF(Учет!$O3498=Справочники!$F$4,Учет!$H3498,0)</f>
        <v>0</v>
      </c>
      <c r="T3498" s="48">
        <f>IF(Учет!$O3498=Справочники!$F$5,Учет!$H3498,0)</f>
        <v>0</v>
      </c>
      <c r="U3498" s="48">
        <f>IF(Учет!$O3498=Справочники!$F$6,Учет!$H3498,0)</f>
        <v>0</v>
      </c>
      <c r="V3498" s="43">
        <f>V3497+Учет!Q3498-Q3498</f>
        <v>-488978.92000000004</v>
      </c>
      <c r="W3498" s="43">
        <f>W3497+Учет!R3498-R3498</f>
        <v>336855</v>
      </c>
      <c r="X3498" s="43">
        <f>X3497+Учет!S3498-S3498</f>
        <v>500</v>
      </c>
      <c r="Y3498" s="43">
        <f>Y3497+Учет!T3498-T3498</f>
        <v>1150</v>
      </c>
      <c r="Z3498" s="43">
        <f>Z3497+Учет!U3498-U3498</f>
        <v>500000</v>
      </c>
      <c r="AA3498" s="45">
        <f>Учет!X3498</f>
        <v>500</v>
      </c>
    </row>
    <row r="3499" spans="1:27" ht="15" customHeight="1" x14ac:dyDescent="0.25">
      <c r="A3499" s="1"/>
      <c r="B3499" s="17"/>
      <c r="C3499" s="17"/>
      <c r="D3499" s="17"/>
      <c r="E3499" s="17"/>
      <c r="F3499" s="17"/>
      <c r="G3499" s="4">
        <f t="shared" si="159"/>
        <v>0</v>
      </c>
      <c r="H3499" s="17"/>
      <c r="I3499" s="4">
        <f t="shared" si="161"/>
        <v>349526.07999999996</v>
      </c>
      <c r="J3499" s="32" t="str">
        <f t="shared" si="160"/>
        <v/>
      </c>
      <c r="K3499" s="72"/>
      <c r="L3499" s="72"/>
      <c r="M3499" s="2"/>
      <c r="N3499" s="5"/>
      <c r="O3499" s="3"/>
      <c r="P3499" s="6"/>
      <c r="Q3499" s="48">
        <f>IF(Учет!$O3499=Справочники!$F$2,Учет!$H3499,0)</f>
        <v>0</v>
      </c>
      <c r="R3499" s="48">
        <f>IF(Учет!$O3499=Справочники!$F$3,Учет!$H3499,0)</f>
        <v>0</v>
      </c>
      <c r="S3499" s="48">
        <f>IF(Учет!$O3499=Справочники!$F$4,Учет!$H3499,0)</f>
        <v>0</v>
      </c>
      <c r="T3499" s="48">
        <f>IF(Учет!$O3499=Справочники!$F$5,Учет!$H3499,0)</f>
        <v>0</v>
      </c>
      <c r="U3499" s="48">
        <f>IF(Учет!$O3499=Справочники!$F$6,Учет!$H3499,0)</f>
        <v>0</v>
      </c>
      <c r="V3499" s="43">
        <f>V3498+Учет!Q3499-Q3499</f>
        <v>-488978.92000000004</v>
      </c>
      <c r="W3499" s="43">
        <f>W3498+Учет!R3499-R3499</f>
        <v>336855</v>
      </c>
      <c r="X3499" s="43">
        <f>X3498+Учет!S3499-S3499</f>
        <v>500</v>
      </c>
      <c r="Y3499" s="43">
        <f>Y3498+Учет!T3499-T3499</f>
        <v>1150</v>
      </c>
      <c r="Z3499" s="43">
        <f>Z3498+Учет!U3499-U3499</f>
        <v>500000</v>
      </c>
      <c r="AA3499" s="45">
        <f>Учет!X3499</f>
        <v>500</v>
      </c>
    </row>
    <row r="3500" spans="1:27" ht="15" customHeight="1" x14ac:dyDescent="0.25">
      <c r="A3500" s="1"/>
      <c r="B3500" s="17"/>
      <c r="C3500" s="17"/>
      <c r="D3500" s="17"/>
      <c r="E3500" s="17"/>
      <c r="F3500" s="17"/>
      <c r="G3500" s="4">
        <f t="shared" si="159"/>
        <v>0</v>
      </c>
      <c r="H3500" s="17"/>
      <c r="I3500" s="4">
        <f t="shared" si="161"/>
        <v>349526.07999999996</v>
      </c>
      <c r="J3500" s="32" t="str">
        <f t="shared" si="160"/>
        <v/>
      </c>
      <c r="K3500" s="72"/>
      <c r="L3500" s="72"/>
      <c r="M3500" s="2"/>
      <c r="N3500" s="5"/>
      <c r="O3500" s="3"/>
      <c r="P3500" s="6"/>
      <c r="Q3500" s="48">
        <f>IF(Учет!$O3500=Справочники!$F$2,Учет!$H3500,0)</f>
        <v>0</v>
      </c>
      <c r="R3500" s="48">
        <f>IF(Учет!$O3500=Справочники!$F$3,Учет!$H3500,0)</f>
        <v>0</v>
      </c>
      <c r="S3500" s="48">
        <f>IF(Учет!$O3500=Справочники!$F$4,Учет!$H3500,0)</f>
        <v>0</v>
      </c>
      <c r="T3500" s="48">
        <f>IF(Учет!$O3500=Справочники!$F$5,Учет!$H3500,0)</f>
        <v>0</v>
      </c>
      <c r="U3500" s="48">
        <f>IF(Учет!$O3500=Справочники!$F$6,Учет!$H3500,0)</f>
        <v>0</v>
      </c>
      <c r="V3500" s="43">
        <f>V3499+Учет!Q3500-Q3500</f>
        <v>-488978.92000000004</v>
      </c>
      <c r="W3500" s="43">
        <f>W3499+Учет!R3500-R3500</f>
        <v>336855</v>
      </c>
      <c r="X3500" s="43">
        <f>X3499+Учет!S3500-S3500</f>
        <v>500</v>
      </c>
      <c r="Y3500" s="43">
        <f>Y3499+Учет!T3500-T3500</f>
        <v>1150</v>
      </c>
      <c r="Z3500" s="43">
        <f>Z3499+Учет!U3500-U3500</f>
        <v>500000</v>
      </c>
      <c r="AA3500" s="45">
        <f>Учет!X3500</f>
        <v>500</v>
      </c>
    </row>
    <row r="3501" spans="1:27" ht="15" customHeight="1" x14ac:dyDescent="0.25">
      <c r="A3501" s="1"/>
      <c r="B3501" s="17"/>
      <c r="C3501" s="17"/>
      <c r="D3501" s="17"/>
      <c r="E3501" s="17"/>
      <c r="F3501" s="17"/>
      <c r="G3501" s="4">
        <f t="shared" si="159"/>
        <v>0</v>
      </c>
      <c r="H3501" s="17"/>
      <c r="I3501" s="4">
        <f t="shared" si="161"/>
        <v>349526.07999999996</v>
      </c>
      <c r="J3501" s="32" t="str">
        <f t="shared" si="160"/>
        <v/>
      </c>
      <c r="K3501" s="72"/>
      <c r="L3501" s="72"/>
      <c r="M3501" s="2"/>
      <c r="N3501" s="5"/>
      <c r="O3501" s="3"/>
      <c r="P3501" s="6"/>
      <c r="Q3501" s="48">
        <f>IF(Учет!$O3501=Справочники!$F$2,Учет!$H3501,0)</f>
        <v>0</v>
      </c>
      <c r="R3501" s="48">
        <f>IF(Учет!$O3501=Справочники!$F$3,Учет!$H3501,0)</f>
        <v>0</v>
      </c>
      <c r="S3501" s="48">
        <f>IF(Учет!$O3501=Справочники!$F$4,Учет!$H3501,0)</f>
        <v>0</v>
      </c>
      <c r="T3501" s="48">
        <f>IF(Учет!$O3501=Справочники!$F$5,Учет!$H3501,0)</f>
        <v>0</v>
      </c>
      <c r="U3501" s="48">
        <f>IF(Учет!$O3501=Справочники!$F$6,Учет!$H3501,0)</f>
        <v>0</v>
      </c>
      <c r="V3501" s="43">
        <f>V3500+Учет!Q3501-Q3501</f>
        <v>-488978.92000000004</v>
      </c>
      <c r="W3501" s="43">
        <f>W3500+Учет!R3501-R3501</f>
        <v>336855</v>
      </c>
      <c r="X3501" s="43">
        <f>X3500+Учет!S3501-S3501</f>
        <v>500</v>
      </c>
      <c r="Y3501" s="43">
        <f>Y3500+Учет!T3501-T3501</f>
        <v>1150</v>
      </c>
      <c r="Z3501" s="43">
        <f>Z3500+Учет!U3501-U3501</f>
        <v>500000</v>
      </c>
      <c r="AA3501" s="45">
        <f>Учет!X3501</f>
        <v>500</v>
      </c>
    </row>
    <row r="3502" spans="1:27" ht="15" customHeight="1" x14ac:dyDescent="0.25">
      <c r="A3502" s="1"/>
      <c r="B3502" s="17"/>
      <c r="C3502" s="17"/>
      <c r="D3502" s="17"/>
      <c r="E3502" s="17"/>
      <c r="F3502" s="17"/>
      <c r="G3502" s="4">
        <f t="shared" si="159"/>
        <v>0</v>
      </c>
      <c r="H3502" s="17"/>
      <c r="I3502" s="4">
        <f t="shared" si="161"/>
        <v>349526.07999999996</v>
      </c>
      <c r="J3502" s="32" t="str">
        <f t="shared" si="160"/>
        <v/>
      </c>
      <c r="K3502" s="72"/>
      <c r="L3502" s="72"/>
      <c r="M3502" s="2"/>
      <c r="N3502" s="5"/>
      <c r="O3502" s="3"/>
      <c r="P3502" s="6"/>
      <c r="Q3502" s="48">
        <f>IF(Учет!$O3502=Справочники!$F$2,Учет!$H3502,0)</f>
        <v>0</v>
      </c>
      <c r="R3502" s="48">
        <f>IF(Учет!$O3502=Справочники!$F$3,Учет!$H3502,0)</f>
        <v>0</v>
      </c>
      <c r="S3502" s="48">
        <f>IF(Учет!$O3502=Справочники!$F$4,Учет!$H3502,0)</f>
        <v>0</v>
      </c>
      <c r="T3502" s="48">
        <f>IF(Учет!$O3502=Справочники!$F$5,Учет!$H3502,0)</f>
        <v>0</v>
      </c>
      <c r="U3502" s="48">
        <f>IF(Учет!$O3502=Справочники!$F$6,Учет!$H3502,0)</f>
        <v>0</v>
      </c>
      <c r="V3502" s="43">
        <f>V3501+Учет!Q3502-Q3502</f>
        <v>-488978.92000000004</v>
      </c>
      <c r="W3502" s="43">
        <f>W3501+Учет!R3502-R3502</f>
        <v>336855</v>
      </c>
      <c r="X3502" s="43">
        <f>X3501+Учет!S3502-S3502</f>
        <v>500</v>
      </c>
      <c r="Y3502" s="43">
        <f>Y3501+Учет!T3502-T3502</f>
        <v>1150</v>
      </c>
      <c r="Z3502" s="43">
        <f>Z3501+Учет!U3502-U3502</f>
        <v>500000</v>
      </c>
      <c r="AA3502" s="45">
        <f>Учет!X3502</f>
        <v>500</v>
      </c>
    </row>
    <row r="3503" spans="1:27" ht="15" customHeight="1" x14ac:dyDescent="0.25">
      <c r="A3503" s="1"/>
      <c r="B3503" s="17"/>
      <c r="C3503" s="17"/>
      <c r="D3503" s="17"/>
      <c r="E3503" s="17"/>
      <c r="F3503" s="17"/>
      <c r="G3503" s="4">
        <f t="shared" si="159"/>
        <v>0</v>
      </c>
      <c r="H3503" s="17"/>
      <c r="I3503" s="4">
        <f t="shared" si="161"/>
        <v>349526.07999999996</v>
      </c>
      <c r="J3503" s="32" t="str">
        <f t="shared" si="160"/>
        <v/>
      </c>
      <c r="K3503" s="72"/>
      <c r="L3503" s="72"/>
      <c r="M3503" s="2"/>
      <c r="N3503" s="5"/>
      <c r="O3503" s="3"/>
      <c r="P3503" s="6"/>
      <c r="Q3503" s="48">
        <f>IF(Учет!$O3503=Справочники!$F$2,Учет!$H3503,0)</f>
        <v>0</v>
      </c>
      <c r="R3503" s="48">
        <f>IF(Учет!$O3503=Справочники!$F$3,Учет!$H3503,0)</f>
        <v>0</v>
      </c>
      <c r="S3503" s="48">
        <f>IF(Учет!$O3503=Справочники!$F$4,Учет!$H3503,0)</f>
        <v>0</v>
      </c>
      <c r="T3503" s="48">
        <f>IF(Учет!$O3503=Справочники!$F$5,Учет!$H3503,0)</f>
        <v>0</v>
      </c>
      <c r="U3503" s="48">
        <f>IF(Учет!$O3503=Справочники!$F$6,Учет!$H3503,0)</f>
        <v>0</v>
      </c>
      <c r="V3503" s="43">
        <f>V3502+Учет!Q3503-Q3503</f>
        <v>-488978.92000000004</v>
      </c>
      <c r="W3503" s="43">
        <f>W3502+Учет!R3503-R3503</f>
        <v>336855</v>
      </c>
      <c r="X3503" s="43">
        <f>X3502+Учет!S3503-S3503</f>
        <v>500</v>
      </c>
      <c r="Y3503" s="43">
        <f>Y3502+Учет!T3503-T3503</f>
        <v>1150</v>
      </c>
      <c r="Z3503" s="43">
        <f>Z3502+Учет!U3503-U3503</f>
        <v>500000</v>
      </c>
      <c r="AA3503" s="45">
        <f>Учет!X3503</f>
        <v>500</v>
      </c>
    </row>
    <row r="3504" spans="1:27" ht="15" customHeight="1" x14ac:dyDescent="0.25">
      <c r="A3504" s="1"/>
      <c r="B3504" s="17"/>
      <c r="C3504" s="17"/>
      <c r="D3504" s="17"/>
      <c r="E3504" s="17"/>
      <c r="F3504" s="17"/>
      <c r="G3504" s="4">
        <f t="shared" si="159"/>
        <v>0</v>
      </c>
      <c r="H3504" s="17"/>
      <c r="I3504" s="4">
        <f t="shared" si="161"/>
        <v>349526.07999999996</v>
      </c>
      <c r="J3504" s="32" t="str">
        <f t="shared" si="160"/>
        <v/>
      </c>
      <c r="K3504" s="72"/>
      <c r="L3504" s="72"/>
      <c r="M3504" s="2"/>
      <c r="N3504" s="5"/>
      <c r="O3504" s="3"/>
      <c r="P3504" s="6"/>
      <c r="Q3504" s="48">
        <f>IF(Учет!$O3504=Справочники!$F$2,Учет!$H3504,0)</f>
        <v>0</v>
      </c>
      <c r="R3504" s="48">
        <f>IF(Учет!$O3504=Справочники!$F$3,Учет!$H3504,0)</f>
        <v>0</v>
      </c>
      <c r="S3504" s="48">
        <f>IF(Учет!$O3504=Справочники!$F$4,Учет!$H3504,0)</f>
        <v>0</v>
      </c>
      <c r="T3504" s="48">
        <f>IF(Учет!$O3504=Справочники!$F$5,Учет!$H3504,0)</f>
        <v>0</v>
      </c>
      <c r="U3504" s="48">
        <f>IF(Учет!$O3504=Справочники!$F$6,Учет!$H3504,0)</f>
        <v>0</v>
      </c>
      <c r="V3504" s="43">
        <f>V3503+Учет!Q3504-Q3504</f>
        <v>-488978.92000000004</v>
      </c>
      <c r="W3504" s="43">
        <f>W3503+Учет!R3504-R3504</f>
        <v>336855</v>
      </c>
      <c r="X3504" s="43">
        <f>X3503+Учет!S3504-S3504</f>
        <v>500</v>
      </c>
      <c r="Y3504" s="43">
        <f>Y3503+Учет!T3504-T3504</f>
        <v>1150</v>
      </c>
      <c r="Z3504" s="43">
        <f>Z3503+Учет!U3504-U3504</f>
        <v>500000</v>
      </c>
      <c r="AA3504" s="45">
        <f>Учет!X3504</f>
        <v>500</v>
      </c>
    </row>
    <row r="3505" spans="17:27" x14ac:dyDescent="0.25">
      <c r="Q3505" s="48">
        <f>IF(Учет!$O3505=Справочники!$F$2,Учет!$H3505,0)</f>
        <v>0</v>
      </c>
      <c r="R3505" s="48">
        <f>IF(Учет!$O3505=Справочники!$F$3,Учет!$H3505,0)</f>
        <v>0</v>
      </c>
      <c r="S3505" s="48">
        <f>IF(Учет!$O3505=Справочники!$F$4,Учет!$H3505,0)</f>
        <v>0</v>
      </c>
      <c r="T3505" s="48">
        <f>IF(Учет!$O3505=Справочники!$F$5,Учет!$H3505,0)</f>
        <v>0</v>
      </c>
      <c r="U3505" s="48">
        <f>IF(Учет!$O3505=Справочники!$F$6,Учет!$H3505,0)</f>
        <v>0</v>
      </c>
      <c r="V3505" s="43">
        <f>V3504+Учет!Q3505-Q3505</f>
        <v>-488978.92000000004</v>
      </c>
      <c r="W3505" s="43">
        <f>W3504+Учет!R3505-R3505</f>
        <v>336855</v>
      </c>
      <c r="X3505" s="43">
        <f>X3504+Учет!S3505-S3505</f>
        <v>500</v>
      </c>
      <c r="Y3505" s="43">
        <f>Y3504+Учет!T3505-T3505</f>
        <v>1150</v>
      </c>
      <c r="Z3505" s="43">
        <f>Z3504+Учет!U3505-U3505</f>
        <v>500000</v>
      </c>
      <c r="AA3505" s="45">
        <f>Учет!X3505</f>
        <v>500</v>
      </c>
    </row>
    <row r="3506" spans="17:27" x14ac:dyDescent="0.25">
      <c r="Q3506" s="48">
        <f>IF(Учет!$O3506=Справочники!$F$2,Учет!$H3506,0)</f>
        <v>0</v>
      </c>
      <c r="R3506" s="48">
        <f>IF(Учет!$O3506=Справочники!$F$3,Учет!$H3506,0)</f>
        <v>0</v>
      </c>
      <c r="S3506" s="48">
        <f>IF(Учет!$O3506=Справочники!$F$4,Учет!$H3506,0)</f>
        <v>0</v>
      </c>
      <c r="T3506" s="48">
        <f>IF(Учет!$O3506=Справочники!$F$5,Учет!$H3506,0)</f>
        <v>0</v>
      </c>
      <c r="U3506" s="48">
        <f>IF(Учет!$O3506=Справочники!$F$6,Учет!$H3506,0)</f>
        <v>0</v>
      </c>
      <c r="V3506" s="43">
        <f>V3505+Учет!Q3506-Q3506</f>
        <v>-488978.92000000004</v>
      </c>
      <c r="W3506" s="43">
        <f>W3505+Учет!R3506-R3506</f>
        <v>336855</v>
      </c>
      <c r="X3506" s="43">
        <f>X3505+Учет!S3506-S3506</f>
        <v>500</v>
      </c>
      <c r="Y3506" s="43">
        <f>Y3505+Учет!T3506-T3506</f>
        <v>1150</v>
      </c>
      <c r="Z3506" s="43">
        <f>Z3505+Учет!U3506-U3506</f>
        <v>500000</v>
      </c>
      <c r="AA3506" s="45">
        <f>Учет!X3506</f>
        <v>500</v>
      </c>
    </row>
    <row r="3507" spans="17:27" x14ac:dyDescent="0.25">
      <c r="Q3507" s="48">
        <f>IF(Учет!$O3507=Справочники!$F$2,Учет!$H3507,0)</f>
        <v>0</v>
      </c>
      <c r="R3507" s="48">
        <f>IF(Учет!$O3507=Справочники!$F$3,Учет!$H3507,0)</f>
        <v>0</v>
      </c>
      <c r="S3507" s="48">
        <f>IF(Учет!$O3507=Справочники!$F$4,Учет!$H3507,0)</f>
        <v>0</v>
      </c>
      <c r="T3507" s="48">
        <f>IF(Учет!$O3507=Справочники!$F$5,Учет!$H3507,0)</f>
        <v>0</v>
      </c>
      <c r="U3507" s="48">
        <f>IF(Учет!$O3507=Справочники!$F$6,Учет!$H3507,0)</f>
        <v>0</v>
      </c>
      <c r="V3507" s="43">
        <f>V3506+Учет!Q3507-Q3507</f>
        <v>-488978.92000000004</v>
      </c>
      <c r="W3507" s="43">
        <f>W3506+Учет!R3507-R3507</f>
        <v>336855</v>
      </c>
      <c r="X3507" s="43">
        <f>X3506+Учет!S3507-S3507</f>
        <v>500</v>
      </c>
      <c r="Y3507" s="43">
        <f>Y3506+Учет!T3507-T3507</f>
        <v>1150</v>
      </c>
      <c r="Z3507" s="43">
        <f>Z3506+Учет!U3507-U3507</f>
        <v>500000</v>
      </c>
      <c r="AA3507" s="45">
        <f>Учет!X3507</f>
        <v>500</v>
      </c>
    </row>
  </sheetData>
  <autoFilter ref="A1:P567" xr:uid="{00000000-0009-0000-0000-000001000000}"/>
  <sortState xmlns:xlrd2="http://schemas.microsoft.com/office/spreadsheetml/2017/richdata2" ref="A2:P97">
    <sortCondition ref="A2:A97"/>
  </sortState>
  <dataValidations count="2">
    <dataValidation type="decimal" allowBlank="1" showInputMessage="1" showErrorMessage="1" errorTitle="Суммы" error="Вводите только число" sqref="J2:J3504 B2:H3504" xr:uid="{00000000-0002-0000-0100-000000000000}">
      <formula1>-100000000</formula1>
      <formula2>100000000</formula2>
    </dataValidation>
    <dataValidation type="date" allowBlank="1" showInputMessage="1" showErrorMessage="1" sqref="A2:A3504" xr:uid="{00000000-0002-0000-0100-000001000000}">
      <formula1>44562</formula1>
      <formula2>47848</formula2>
    </dataValidation>
  </dataValidations>
  <printOptions horizontalCentered="1"/>
  <pageMargins left="0.31496062992125984" right="0.31496062992125984" top="0.35433070866141736" bottom="0.74803149606299213" header="0.31496062992125984" footer="0.31496062992125984"/>
  <pageSetup paperSize="9" scale="49" fitToHeight="100" orientation="landscape" blackAndWhite="1" r:id="rId1"/>
  <headerFooter>
    <oddFooter>&amp;L&amp;A&amp;C&amp;D&amp;Rстр.&amp;P из &amp;N</oddFooter>
  </headerFooter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2000000}">
          <x14:formula1>
            <xm:f>Справочники!$H$2:$H$11</xm:f>
          </x14:formula1>
          <xm:sqref>K3:K3504</xm:sqref>
        </x14:dataValidation>
        <x14:dataValidation type="list" allowBlank="1" showInputMessage="1" showErrorMessage="1" xr:uid="{00000000-0002-0000-0100-000003000000}">
          <x14:formula1>
            <xm:f>OFFSET(Справочники!D$1:D$15,0,0,COUNTA(Справочники!D$1:D$242),1)</xm:f>
          </x14:formula1>
          <xm:sqref>N3:N3504</xm:sqref>
        </x14:dataValidation>
        <x14:dataValidation type="list" allowBlank="1" showInputMessage="1" showErrorMessage="1" xr:uid="{00000000-0002-0000-0100-000004000000}">
          <x14:formula1>
            <xm:f>OFFSET(Справочники!B$1:B$19,0,0,COUNTA(Справочники!$B$1:$B$242),1)</xm:f>
          </x14:formula1>
          <xm:sqref>M5:M3504</xm:sqref>
        </x14:dataValidation>
        <x14:dataValidation type="list" allowBlank="1" showInputMessage="1" showErrorMessage="1" xr:uid="{00000000-0002-0000-0100-000005000000}">
          <x14:formula1>
            <xm:f>OFFSET(Справочники!F$2:F$10,0,0,COUNTA(Справочники!F$2:F$10),1)</xm:f>
          </x14:formula1>
          <xm:sqref>O3:O3504</xm:sqref>
        </x14:dataValidation>
        <x14:dataValidation type="list" allowBlank="1" showInputMessage="1" showErrorMessage="1" xr:uid="{00000000-0002-0000-0100-000006000000}">
          <x14:formula1>
            <xm:f>OFFSET(Справочники!B1:B19,0,0,COUNTA(Справочники!$B$1:$B$242),1)</xm:f>
          </x14:formula1>
          <xm:sqref>M3</xm:sqref>
        </x14:dataValidation>
        <x14:dataValidation type="list" allowBlank="1" showInputMessage="1" showErrorMessage="1" xr:uid="{00000000-0002-0000-0100-000007000000}">
          <x14:formula1>
            <xm:f>OFFSET(Справочники!B$1:B$20,0,0,COUNTA(Справочники!$B$1:$B$242),1)</xm:f>
          </x14:formula1>
          <xm:sqref>M4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9"/>
  <dimension ref="B1:U67"/>
  <sheetViews>
    <sheetView showGridLines="0" workbookViewId="0">
      <selection activeCell="Q6" sqref="Q6"/>
    </sheetView>
  </sheetViews>
  <sheetFormatPr defaultRowHeight="15" x14ac:dyDescent="0.25"/>
  <cols>
    <col min="1" max="1" width="2.7109375" customWidth="1"/>
    <col min="2" max="2" width="14.28515625" customWidth="1"/>
    <col min="3" max="3" width="18.28515625" customWidth="1"/>
    <col min="4" max="4" width="16.42578125" customWidth="1"/>
    <col min="5" max="5" width="18.42578125" customWidth="1"/>
    <col min="6" max="6" width="13.140625" customWidth="1"/>
    <col min="7" max="7" width="11" customWidth="1"/>
    <col min="8" max="9" width="4.140625" customWidth="1"/>
    <col min="10" max="10" width="15.140625" customWidth="1"/>
    <col min="11" max="11" width="17.140625" customWidth="1"/>
    <col min="12" max="12" width="14.5703125" customWidth="1"/>
    <col min="13" max="13" width="12.28515625" customWidth="1"/>
    <col min="14" max="14" width="18.7109375" customWidth="1"/>
    <col min="15" max="16" width="3.28515625" customWidth="1"/>
    <col min="17" max="17" width="18.5703125" customWidth="1"/>
    <col min="18" max="18" width="20.42578125" customWidth="1"/>
    <col min="19" max="19" width="12.7109375" customWidth="1"/>
    <col min="20" max="20" width="12.140625" customWidth="1"/>
    <col min="21" max="21" width="13.42578125" customWidth="1"/>
  </cols>
  <sheetData>
    <row r="1" spans="2:21" s="31" customFormat="1" ht="18.75" x14ac:dyDescent="0.3">
      <c r="B1" s="31" t="s">
        <v>109</v>
      </c>
      <c r="J1" s="31" t="s">
        <v>110</v>
      </c>
      <c r="Q1" s="31" t="s">
        <v>111</v>
      </c>
    </row>
    <row r="3" spans="2:21" x14ac:dyDescent="0.25">
      <c r="B3" s="7" t="s">
        <v>9</v>
      </c>
      <c r="C3" t="s">
        <v>18</v>
      </c>
      <c r="J3" s="7" t="s">
        <v>9</v>
      </c>
      <c r="K3" t="s">
        <v>18</v>
      </c>
      <c r="Q3" s="7" t="s">
        <v>9</v>
      </c>
      <c r="R3" t="s">
        <v>18</v>
      </c>
    </row>
    <row r="5" spans="2:21" x14ac:dyDescent="0.25">
      <c r="B5" s="7" t="s">
        <v>4</v>
      </c>
      <c r="C5" s="7" t="s">
        <v>125</v>
      </c>
      <c r="D5" s="7" t="s">
        <v>1</v>
      </c>
      <c r="E5" s="7" t="s">
        <v>3</v>
      </c>
      <c r="F5" s="7" t="s">
        <v>0</v>
      </c>
      <c r="G5" t="s">
        <v>129</v>
      </c>
      <c r="J5" s="7" t="s">
        <v>4</v>
      </c>
      <c r="K5" s="7" t="s">
        <v>1</v>
      </c>
      <c r="L5" s="7" t="s">
        <v>3</v>
      </c>
      <c r="M5" s="7" t="s">
        <v>0</v>
      </c>
      <c r="N5" t="s">
        <v>129</v>
      </c>
      <c r="Q5" s="7" t="s">
        <v>4</v>
      </c>
      <c r="R5" s="7" t="s">
        <v>125</v>
      </c>
      <c r="S5" s="7" t="s">
        <v>3</v>
      </c>
      <c r="T5" s="7" t="s">
        <v>0</v>
      </c>
      <c r="U5" t="s">
        <v>129</v>
      </c>
    </row>
    <row r="6" spans="2:21" x14ac:dyDescent="0.25">
      <c r="B6" s="8" t="s">
        <v>62</v>
      </c>
      <c r="C6" s="8" t="s">
        <v>28</v>
      </c>
      <c r="D6" s="8" t="s">
        <v>11</v>
      </c>
      <c r="E6" s="8" t="s">
        <v>5</v>
      </c>
      <c r="F6" s="81">
        <v>45155</v>
      </c>
      <c r="G6" s="9">
        <v>47258</v>
      </c>
      <c r="H6" s="9"/>
      <c r="J6" s="8" t="s">
        <v>28</v>
      </c>
      <c r="K6" s="8" t="s">
        <v>11</v>
      </c>
      <c r="L6" s="8" t="s">
        <v>5</v>
      </c>
      <c r="M6" s="81">
        <v>45155</v>
      </c>
      <c r="N6" s="9">
        <v>47258</v>
      </c>
      <c r="O6" s="9"/>
      <c r="Q6" s="8" t="s">
        <v>11</v>
      </c>
      <c r="R6" s="8" t="s">
        <v>28</v>
      </c>
      <c r="S6" s="8" t="s">
        <v>5</v>
      </c>
      <c r="T6" s="81">
        <v>45155</v>
      </c>
      <c r="U6" s="9">
        <v>47258</v>
      </c>
    </row>
    <row r="7" spans="2:21" x14ac:dyDescent="0.25">
      <c r="C7" s="8" t="s">
        <v>62</v>
      </c>
      <c r="D7" s="8" t="s">
        <v>18</v>
      </c>
      <c r="E7" s="8" t="s">
        <v>87</v>
      </c>
      <c r="F7" s="81">
        <v>45160</v>
      </c>
      <c r="G7" s="9">
        <v>2000</v>
      </c>
      <c r="H7" s="9"/>
      <c r="K7" s="8" t="s">
        <v>15</v>
      </c>
      <c r="L7" s="8" t="s">
        <v>5</v>
      </c>
      <c r="M7" s="81">
        <v>45149</v>
      </c>
      <c r="N7" s="9">
        <v>25000</v>
      </c>
      <c r="O7" s="9"/>
      <c r="R7" s="8" t="s">
        <v>162</v>
      </c>
      <c r="S7" s="8" t="s">
        <v>67</v>
      </c>
      <c r="T7" s="81">
        <v>45142</v>
      </c>
      <c r="U7" s="9">
        <v>6000</v>
      </c>
    </row>
    <row r="8" spans="2:21" x14ac:dyDescent="0.25">
      <c r="E8" s="8" t="s">
        <v>5</v>
      </c>
      <c r="F8" s="81">
        <v>45142</v>
      </c>
      <c r="G8" s="9">
        <v>200000</v>
      </c>
      <c r="H8" s="9"/>
      <c r="J8" s="8" t="s">
        <v>178</v>
      </c>
      <c r="N8" s="9">
        <v>72258</v>
      </c>
      <c r="O8" s="9"/>
      <c r="R8" s="8" t="s">
        <v>167</v>
      </c>
      <c r="S8" s="8" t="s">
        <v>72</v>
      </c>
      <c r="T8" s="81">
        <v>45156</v>
      </c>
      <c r="U8" s="9">
        <v>60000</v>
      </c>
    </row>
    <row r="9" spans="2:21" x14ac:dyDescent="0.25">
      <c r="F9" s="81">
        <v>45146</v>
      </c>
      <c r="G9" s="9">
        <v>1000</v>
      </c>
      <c r="H9" s="9"/>
      <c r="J9" s="8" t="s">
        <v>160</v>
      </c>
      <c r="K9" s="8" t="s">
        <v>18</v>
      </c>
      <c r="L9" s="8" t="s">
        <v>5</v>
      </c>
      <c r="M9" s="81">
        <v>45141</v>
      </c>
      <c r="N9" s="9">
        <v>17000</v>
      </c>
      <c r="O9" s="9"/>
      <c r="S9" s="8" t="s">
        <v>5</v>
      </c>
      <c r="T9" s="81">
        <v>45146</v>
      </c>
      <c r="U9" s="9">
        <v>20000</v>
      </c>
    </row>
    <row r="10" spans="2:21" x14ac:dyDescent="0.25">
      <c r="F10" s="81">
        <v>45155</v>
      </c>
      <c r="G10" s="9">
        <v>2200</v>
      </c>
      <c r="H10" s="9"/>
      <c r="M10" s="81">
        <v>45159</v>
      </c>
      <c r="N10" s="9">
        <v>10000</v>
      </c>
      <c r="O10" s="9"/>
      <c r="Q10" s="8" t="s">
        <v>42</v>
      </c>
      <c r="U10" s="9">
        <v>133258</v>
      </c>
    </row>
    <row r="11" spans="2:21" x14ac:dyDescent="0.25">
      <c r="B11" s="8" t="s">
        <v>106</v>
      </c>
      <c r="G11" s="9">
        <v>252458</v>
      </c>
      <c r="H11" s="9"/>
      <c r="M11" s="81">
        <v>45161</v>
      </c>
      <c r="N11" s="9">
        <v>30000</v>
      </c>
      <c r="O11" s="9"/>
      <c r="Q11" s="8" t="s">
        <v>14</v>
      </c>
      <c r="R11" s="8" t="s">
        <v>166</v>
      </c>
      <c r="S11" s="8" t="s">
        <v>5</v>
      </c>
      <c r="T11" s="81">
        <v>45149</v>
      </c>
      <c r="U11" s="9">
        <v>10000</v>
      </c>
    </row>
    <row r="12" spans="2:21" x14ac:dyDescent="0.25">
      <c r="B12" s="8" t="s">
        <v>21</v>
      </c>
      <c r="C12" s="8" t="s">
        <v>160</v>
      </c>
      <c r="D12" s="8" t="s">
        <v>18</v>
      </c>
      <c r="E12" s="8" t="s">
        <v>5</v>
      </c>
      <c r="F12" s="81">
        <v>45141</v>
      </c>
      <c r="G12" s="9">
        <v>17000</v>
      </c>
      <c r="H12" s="9"/>
      <c r="J12" s="8" t="s">
        <v>222</v>
      </c>
      <c r="N12" s="9">
        <v>57000</v>
      </c>
      <c r="O12" s="9"/>
      <c r="T12" s="81">
        <v>45161</v>
      </c>
      <c r="U12" s="9">
        <v>10000</v>
      </c>
    </row>
    <row r="13" spans="2:21" x14ac:dyDescent="0.25">
      <c r="F13" s="81">
        <v>45159</v>
      </c>
      <c r="G13" s="9">
        <v>10000</v>
      </c>
      <c r="H13" s="9"/>
      <c r="J13" s="8" t="s">
        <v>161</v>
      </c>
      <c r="K13" s="8" t="s">
        <v>16</v>
      </c>
      <c r="L13" s="8" t="s">
        <v>5</v>
      </c>
      <c r="M13" s="81">
        <v>45141</v>
      </c>
      <c r="N13" s="9">
        <v>2000</v>
      </c>
      <c r="O13" s="9"/>
      <c r="Q13" s="8" t="s">
        <v>43</v>
      </c>
      <c r="U13" s="9">
        <v>20000</v>
      </c>
    </row>
    <row r="14" spans="2:21" x14ac:dyDescent="0.25">
      <c r="F14" s="81">
        <v>45161</v>
      </c>
      <c r="G14" s="9">
        <v>30000</v>
      </c>
      <c r="H14" s="9"/>
      <c r="M14" s="81">
        <v>45147</v>
      </c>
      <c r="N14" s="9">
        <v>158800</v>
      </c>
      <c r="O14" s="9"/>
      <c r="Q14" s="8" t="s">
        <v>18</v>
      </c>
      <c r="R14" s="8" t="s">
        <v>160</v>
      </c>
      <c r="S14" s="8" t="s">
        <v>5</v>
      </c>
      <c r="T14" s="81">
        <v>45141</v>
      </c>
      <c r="U14" s="9">
        <v>17000</v>
      </c>
    </row>
    <row r="15" spans="2:21" x14ac:dyDescent="0.25">
      <c r="C15" s="8" t="s">
        <v>161</v>
      </c>
      <c r="D15" s="8" t="s">
        <v>16</v>
      </c>
      <c r="E15" s="8" t="s">
        <v>5</v>
      </c>
      <c r="F15" s="81">
        <v>45141</v>
      </c>
      <c r="G15" s="9">
        <v>2000</v>
      </c>
      <c r="H15" s="9"/>
      <c r="J15" s="8" t="s">
        <v>223</v>
      </c>
      <c r="N15" s="9">
        <v>160800</v>
      </c>
      <c r="O15" s="9"/>
      <c r="T15" s="81">
        <v>45159</v>
      </c>
      <c r="U15" s="9">
        <v>10000</v>
      </c>
    </row>
    <row r="16" spans="2:21" x14ac:dyDescent="0.25">
      <c r="F16" s="81">
        <v>45147</v>
      </c>
      <c r="G16" s="9">
        <v>158800</v>
      </c>
      <c r="H16" s="9"/>
      <c r="J16" s="8" t="s">
        <v>62</v>
      </c>
      <c r="K16" s="8" t="s">
        <v>18</v>
      </c>
      <c r="L16" s="8" t="s">
        <v>87</v>
      </c>
      <c r="M16" s="81">
        <v>45160</v>
      </c>
      <c r="N16" s="9">
        <v>2000</v>
      </c>
      <c r="O16" s="9"/>
      <c r="T16" s="81">
        <v>45161</v>
      </c>
      <c r="U16" s="9">
        <v>30000</v>
      </c>
    </row>
    <row r="17" spans="2:21" x14ac:dyDescent="0.25">
      <c r="C17" s="8" t="s">
        <v>162</v>
      </c>
      <c r="D17" s="8" t="s">
        <v>11</v>
      </c>
      <c r="E17" s="8" t="s">
        <v>67</v>
      </c>
      <c r="F17" s="81">
        <v>45142</v>
      </c>
      <c r="G17" s="9">
        <v>6000</v>
      </c>
      <c r="H17" s="9"/>
      <c r="L17" s="8" t="s">
        <v>5</v>
      </c>
      <c r="M17" s="81">
        <v>45142</v>
      </c>
      <c r="N17" s="9">
        <v>200000</v>
      </c>
      <c r="O17" s="9"/>
      <c r="R17" s="8" t="s">
        <v>62</v>
      </c>
      <c r="S17" s="8" t="s">
        <v>87</v>
      </c>
      <c r="T17" s="81">
        <v>45160</v>
      </c>
      <c r="U17" s="9">
        <v>2000</v>
      </c>
    </row>
    <row r="18" spans="2:21" x14ac:dyDescent="0.25">
      <c r="D18" s="8" t="s">
        <v>17</v>
      </c>
      <c r="E18" s="8" t="s">
        <v>5</v>
      </c>
      <c r="F18" s="81">
        <v>45147</v>
      </c>
      <c r="G18" s="9">
        <v>100000</v>
      </c>
      <c r="H18" s="9"/>
      <c r="M18" s="81">
        <v>45146</v>
      </c>
      <c r="N18" s="9">
        <v>1000</v>
      </c>
      <c r="O18" s="9"/>
      <c r="S18" s="8" t="s">
        <v>5</v>
      </c>
      <c r="T18" s="81">
        <v>45142</v>
      </c>
      <c r="U18" s="9">
        <v>200000</v>
      </c>
    </row>
    <row r="19" spans="2:21" x14ac:dyDescent="0.25">
      <c r="C19" s="8" t="s">
        <v>167</v>
      </c>
      <c r="D19" s="8" t="s">
        <v>11</v>
      </c>
      <c r="E19" s="8" t="s">
        <v>72</v>
      </c>
      <c r="F19" s="81">
        <v>45156</v>
      </c>
      <c r="G19" s="9">
        <v>60000</v>
      </c>
      <c r="H19" s="9"/>
      <c r="M19" s="81">
        <v>45155</v>
      </c>
      <c r="N19" s="9">
        <v>2200</v>
      </c>
      <c r="O19" s="9"/>
      <c r="T19" s="81">
        <v>45146</v>
      </c>
      <c r="U19" s="9">
        <v>1000</v>
      </c>
    </row>
    <row r="20" spans="2:21" x14ac:dyDescent="0.25">
      <c r="E20" s="8" t="s">
        <v>5</v>
      </c>
      <c r="F20" s="81">
        <v>45146</v>
      </c>
      <c r="G20" s="9">
        <v>20000</v>
      </c>
      <c r="H20" s="9"/>
      <c r="J20" s="8" t="s">
        <v>106</v>
      </c>
      <c r="N20" s="9">
        <v>205200</v>
      </c>
      <c r="O20" s="9"/>
      <c r="T20" s="81">
        <v>45155</v>
      </c>
      <c r="U20" s="9">
        <v>2200</v>
      </c>
    </row>
    <row r="21" spans="2:21" x14ac:dyDescent="0.25">
      <c r="B21" s="8" t="s">
        <v>107</v>
      </c>
      <c r="G21" s="9">
        <v>403800</v>
      </c>
      <c r="H21" s="9"/>
      <c r="J21" s="8" t="s">
        <v>162</v>
      </c>
      <c r="K21" s="8" t="s">
        <v>11</v>
      </c>
      <c r="L21" s="8" t="s">
        <v>67</v>
      </c>
      <c r="M21" s="81">
        <v>45142</v>
      </c>
      <c r="N21" s="9">
        <v>6000</v>
      </c>
      <c r="O21" s="9"/>
      <c r="R21" s="8" t="s">
        <v>20</v>
      </c>
      <c r="S21" s="8" t="s">
        <v>5</v>
      </c>
      <c r="T21" s="81">
        <v>45148</v>
      </c>
      <c r="U21" s="9">
        <v>10000</v>
      </c>
    </row>
    <row r="22" spans="2:21" x14ac:dyDescent="0.25">
      <c r="B22" s="8" t="s">
        <v>20</v>
      </c>
      <c r="C22" s="8" t="s">
        <v>163</v>
      </c>
      <c r="D22" s="8" t="s">
        <v>5</v>
      </c>
      <c r="E22" s="8" t="s">
        <v>5</v>
      </c>
      <c r="F22" s="81">
        <v>45161</v>
      </c>
      <c r="G22" s="9">
        <v>2000</v>
      </c>
      <c r="H22" s="9"/>
      <c r="K22" s="8" t="s">
        <v>17</v>
      </c>
      <c r="L22" s="8" t="s">
        <v>5</v>
      </c>
      <c r="M22" s="81">
        <v>45147</v>
      </c>
      <c r="N22" s="9">
        <v>100000</v>
      </c>
      <c r="O22" s="9"/>
      <c r="Q22" s="8" t="s">
        <v>74</v>
      </c>
      <c r="U22" s="9">
        <v>272200</v>
      </c>
    </row>
    <row r="23" spans="2:21" x14ac:dyDescent="0.25">
      <c r="C23" s="8" t="s">
        <v>20</v>
      </c>
      <c r="D23" s="8" t="s">
        <v>5</v>
      </c>
      <c r="E23" s="8" t="s">
        <v>5</v>
      </c>
      <c r="F23" s="81">
        <v>45143</v>
      </c>
      <c r="G23" s="9">
        <v>1500</v>
      </c>
      <c r="H23" s="9"/>
      <c r="J23" s="8" t="s">
        <v>224</v>
      </c>
      <c r="N23" s="9">
        <v>106000</v>
      </c>
      <c r="O23" s="9"/>
      <c r="Q23" s="8" t="s">
        <v>15</v>
      </c>
      <c r="R23" s="8" t="s">
        <v>28</v>
      </c>
      <c r="S23" s="8" t="s">
        <v>5</v>
      </c>
      <c r="T23" s="81">
        <v>45149</v>
      </c>
      <c r="U23" s="9">
        <v>25000</v>
      </c>
    </row>
    <row r="24" spans="2:21" x14ac:dyDescent="0.25">
      <c r="C24" s="8" t="s">
        <v>166</v>
      </c>
      <c r="D24" s="8" t="s">
        <v>14</v>
      </c>
      <c r="E24" s="8" t="s">
        <v>5</v>
      </c>
      <c r="F24" s="81">
        <v>45161</v>
      </c>
      <c r="G24" s="9">
        <v>10000</v>
      </c>
      <c r="H24" s="9"/>
      <c r="J24" s="8" t="s">
        <v>159</v>
      </c>
      <c r="K24" s="8" t="s">
        <v>61</v>
      </c>
      <c r="L24" s="8" t="s">
        <v>5</v>
      </c>
      <c r="M24" s="81">
        <v>45158</v>
      </c>
      <c r="N24" s="9">
        <v>5000</v>
      </c>
      <c r="O24" s="9"/>
      <c r="Q24" s="8" t="s">
        <v>44</v>
      </c>
      <c r="U24" s="9">
        <v>25000</v>
      </c>
    </row>
    <row r="25" spans="2:21" x14ac:dyDescent="0.25">
      <c r="C25" s="8" t="s">
        <v>168</v>
      </c>
      <c r="D25" s="8" t="s">
        <v>12</v>
      </c>
      <c r="E25" s="8" t="s">
        <v>5</v>
      </c>
      <c r="F25" s="81">
        <v>45161</v>
      </c>
      <c r="G25" s="9">
        <v>10000</v>
      </c>
      <c r="H25" s="9"/>
      <c r="K25" s="8" t="s">
        <v>5</v>
      </c>
      <c r="L25" s="8" t="s">
        <v>5</v>
      </c>
      <c r="M25" s="81">
        <v>45143</v>
      </c>
      <c r="N25" s="9">
        <v>7000</v>
      </c>
      <c r="O25" s="9"/>
      <c r="Q25" s="8" t="s">
        <v>12</v>
      </c>
      <c r="R25" s="8" t="s">
        <v>164</v>
      </c>
      <c r="S25" s="8" t="s">
        <v>23</v>
      </c>
      <c r="T25" s="81">
        <v>45143</v>
      </c>
      <c r="U25" s="9">
        <v>26000</v>
      </c>
    </row>
    <row r="26" spans="2:21" x14ac:dyDescent="0.25">
      <c r="B26" s="8" t="s">
        <v>108</v>
      </c>
      <c r="G26" s="9">
        <v>23500</v>
      </c>
      <c r="H26" s="9"/>
      <c r="M26" s="81">
        <v>45152</v>
      </c>
      <c r="N26" s="9">
        <v>10000</v>
      </c>
      <c r="O26" s="9"/>
      <c r="T26" s="81">
        <v>45157</v>
      </c>
      <c r="U26" s="9">
        <v>20000</v>
      </c>
    </row>
    <row r="27" spans="2:21" x14ac:dyDescent="0.25">
      <c r="B27" s="8" t="s">
        <v>5</v>
      </c>
      <c r="C27" s="8" t="s">
        <v>28</v>
      </c>
      <c r="D27" s="8" t="s">
        <v>15</v>
      </c>
      <c r="E27" s="8" t="s">
        <v>5</v>
      </c>
      <c r="F27" s="81">
        <v>45149</v>
      </c>
      <c r="G27" s="9">
        <v>25000</v>
      </c>
      <c r="H27" s="9"/>
      <c r="J27" s="8" t="s">
        <v>181</v>
      </c>
      <c r="N27" s="9">
        <v>22000</v>
      </c>
      <c r="O27" s="9"/>
      <c r="R27" s="8" t="s">
        <v>168</v>
      </c>
      <c r="S27" s="8" t="s">
        <v>5</v>
      </c>
      <c r="T27" s="81">
        <v>45161</v>
      </c>
      <c r="U27" s="9">
        <v>10000</v>
      </c>
    </row>
    <row r="28" spans="2:21" x14ac:dyDescent="0.25">
      <c r="C28" s="8" t="s">
        <v>159</v>
      </c>
      <c r="D28" s="8" t="s">
        <v>61</v>
      </c>
      <c r="E28" s="8" t="s">
        <v>5</v>
      </c>
      <c r="F28" s="81">
        <v>45158</v>
      </c>
      <c r="G28" s="9">
        <v>5000</v>
      </c>
      <c r="H28" s="9"/>
      <c r="J28" s="8" t="s">
        <v>163</v>
      </c>
      <c r="K28" s="8" t="s">
        <v>33</v>
      </c>
      <c r="L28" s="8" t="s">
        <v>68</v>
      </c>
      <c r="M28" s="81">
        <v>45143</v>
      </c>
      <c r="N28" s="9">
        <v>30000</v>
      </c>
      <c r="O28" s="9"/>
      <c r="Q28" s="8" t="s">
        <v>45</v>
      </c>
      <c r="U28" s="9">
        <v>56000</v>
      </c>
    </row>
    <row r="29" spans="2:21" x14ac:dyDescent="0.25">
      <c r="D29" s="8" t="s">
        <v>5</v>
      </c>
      <c r="E29" s="8" t="s">
        <v>5</v>
      </c>
      <c r="F29" s="81">
        <v>45143</v>
      </c>
      <c r="G29" s="9">
        <v>7000</v>
      </c>
      <c r="H29" s="9"/>
      <c r="K29" s="8" t="s">
        <v>5</v>
      </c>
      <c r="L29" s="8" t="s">
        <v>70</v>
      </c>
      <c r="M29" s="81">
        <v>45148</v>
      </c>
      <c r="N29" s="9">
        <v>3000</v>
      </c>
      <c r="O29" s="9"/>
      <c r="Q29" s="8" t="s">
        <v>61</v>
      </c>
      <c r="R29" s="8" t="s">
        <v>159</v>
      </c>
      <c r="S29" s="8" t="s">
        <v>5</v>
      </c>
      <c r="T29" s="81">
        <v>45158</v>
      </c>
      <c r="U29" s="9">
        <v>5000</v>
      </c>
    </row>
    <row r="30" spans="2:21" x14ac:dyDescent="0.25">
      <c r="F30" s="81">
        <v>45152</v>
      </c>
      <c r="G30" s="9">
        <v>10000</v>
      </c>
      <c r="H30" s="9"/>
      <c r="L30" s="8" t="s">
        <v>5</v>
      </c>
      <c r="M30" s="81">
        <v>45157</v>
      </c>
      <c r="N30" s="9">
        <v>30000</v>
      </c>
      <c r="O30" s="9"/>
      <c r="Q30" s="8" t="s">
        <v>75</v>
      </c>
      <c r="U30" s="9">
        <v>5000</v>
      </c>
    </row>
    <row r="31" spans="2:21" x14ac:dyDescent="0.25">
      <c r="C31" s="8" t="s">
        <v>163</v>
      </c>
      <c r="D31" s="8" t="s">
        <v>33</v>
      </c>
      <c r="E31" s="8" t="s">
        <v>68</v>
      </c>
      <c r="F31" s="81">
        <v>45143</v>
      </c>
      <c r="G31" s="9">
        <v>30000</v>
      </c>
      <c r="H31" s="9"/>
      <c r="M31" s="81">
        <v>45161</v>
      </c>
      <c r="N31" s="9">
        <v>2000</v>
      </c>
      <c r="O31" s="9"/>
      <c r="Q31" s="8" t="s">
        <v>58</v>
      </c>
      <c r="R31" s="8" t="s">
        <v>165</v>
      </c>
      <c r="S31" s="8" t="s">
        <v>71</v>
      </c>
      <c r="T31" s="81">
        <v>45148</v>
      </c>
      <c r="U31" s="9">
        <v>5000</v>
      </c>
    </row>
    <row r="32" spans="2:21" x14ac:dyDescent="0.25">
      <c r="D32" s="8" t="s">
        <v>5</v>
      </c>
      <c r="E32" s="8" t="s">
        <v>70</v>
      </c>
      <c r="F32" s="81">
        <v>45148</v>
      </c>
      <c r="G32" s="9">
        <v>3000</v>
      </c>
      <c r="H32" s="9"/>
      <c r="J32" s="8" t="s">
        <v>176</v>
      </c>
      <c r="N32" s="9">
        <v>65000</v>
      </c>
      <c r="O32" s="9"/>
      <c r="Q32" s="8" t="s">
        <v>77</v>
      </c>
      <c r="U32" s="9">
        <v>5000</v>
      </c>
    </row>
    <row r="33" spans="2:21" x14ac:dyDescent="0.25">
      <c r="E33" s="8" t="s">
        <v>5</v>
      </c>
      <c r="F33" s="81">
        <v>45157</v>
      </c>
      <c r="G33" s="9">
        <v>30000</v>
      </c>
      <c r="H33" s="9"/>
      <c r="J33" s="8" t="s">
        <v>164</v>
      </c>
      <c r="K33" s="8" t="s">
        <v>12</v>
      </c>
      <c r="L33" s="8" t="s">
        <v>23</v>
      </c>
      <c r="M33" s="81">
        <v>45143</v>
      </c>
      <c r="N33" s="9">
        <v>26000</v>
      </c>
      <c r="O33" s="9"/>
      <c r="Q33" s="8" t="s">
        <v>33</v>
      </c>
      <c r="R33" s="8" t="s">
        <v>163</v>
      </c>
      <c r="S33" s="8" t="s">
        <v>68</v>
      </c>
      <c r="T33" s="81">
        <v>45143</v>
      </c>
      <c r="U33" s="9">
        <v>30000</v>
      </c>
    </row>
    <row r="34" spans="2:21" x14ac:dyDescent="0.25">
      <c r="C34" s="8" t="s">
        <v>164</v>
      </c>
      <c r="D34" s="8" t="s">
        <v>12</v>
      </c>
      <c r="E34" s="8" t="s">
        <v>23</v>
      </c>
      <c r="F34" s="81">
        <v>45143</v>
      </c>
      <c r="G34" s="9">
        <v>26000</v>
      </c>
      <c r="H34" s="9"/>
      <c r="M34" s="81">
        <v>45157</v>
      </c>
      <c r="N34" s="9">
        <v>20000</v>
      </c>
      <c r="O34" s="9"/>
      <c r="Q34" s="8" t="s">
        <v>48</v>
      </c>
      <c r="U34" s="9">
        <v>30000</v>
      </c>
    </row>
    <row r="35" spans="2:21" x14ac:dyDescent="0.25">
      <c r="F35" s="81">
        <v>45157</v>
      </c>
      <c r="G35" s="9">
        <v>20000</v>
      </c>
      <c r="H35" s="9"/>
      <c r="J35" s="8" t="s">
        <v>179</v>
      </c>
      <c r="N35" s="9">
        <v>46000</v>
      </c>
      <c r="O35" s="9"/>
      <c r="Q35" s="8" t="s">
        <v>16</v>
      </c>
      <c r="R35" s="8" t="s">
        <v>161</v>
      </c>
      <c r="S35" s="8" t="s">
        <v>5</v>
      </c>
      <c r="T35" s="81">
        <v>45141</v>
      </c>
      <c r="U35" s="9">
        <v>2000</v>
      </c>
    </row>
    <row r="36" spans="2:21" x14ac:dyDescent="0.25">
      <c r="C36" s="8" t="s">
        <v>20</v>
      </c>
      <c r="D36" s="8" t="s">
        <v>18</v>
      </c>
      <c r="E36" s="8" t="s">
        <v>5</v>
      </c>
      <c r="F36" s="81">
        <v>45148</v>
      </c>
      <c r="G36" s="9">
        <v>10000</v>
      </c>
      <c r="H36" s="9"/>
      <c r="J36" s="8" t="s">
        <v>20</v>
      </c>
      <c r="K36" s="8" t="s">
        <v>18</v>
      </c>
      <c r="L36" s="8" t="s">
        <v>5</v>
      </c>
      <c r="M36" s="81">
        <v>45148</v>
      </c>
      <c r="N36" s="9">
        <v>10000</v>
      </c>
      <c r="O36" s="9"/>
      <c r="T36" s="81">
        <v>45147</v>
      </c>
      <c r="U36" s="9">
        <v>158800</v>
      </c>
    </row>
    <row r="37" spans="2:21" x14ac:dyDescent="0.25">
      <c r="C37" s="8" t="s">
        <v>88</v>
      </c>
      <c r="D37" s="8" t="s">
        <v>5</v>
      </c>
      <c r="E37" s="8" t="s">
        <v>5</v>
      </c>
      <c r="F37" s="81">
        <v>45148</v>
      </c>
      <c r="G37" s="9">
        <v>10000</v>
      </c>
      <c r="H37" s="9"/>
      <c r="K37" s="8" t="s">
        <v>5</v>
      </c>
      <c r="L37" s="8" t="s">
        <v>5</v>
      </c>
      <c r="M37" s="81">
        <v>45143</v>
      </c>
      <c r="N37" s="9">
        <v>1500</v>
      </c>
      <c r="O37" s="9"/>
      <c r="Q37" s="8" t="s">
        <v>49</v>
      </c>
      <c r="U37" s="9">
        <v>160800</v>
      </c>
    </row>
    <row r="38" spans="2:21" x14ac:dyDescent="0.25">
      <c r="C38" s="8" t="s">
        <v>169</v>
      </c>
      <c r="D38" s="8" t="s">
        <v>5</v>
      </c>
      <c r="E38" s="8" t="s">
        <v>5</v>
      </c>
      <c r="F38" s="81">
        <v>45148</v>
      </c>
      <c r="G38" s="9">
        <v>250000</v>
      </c>
      <c r="H38" s="9"/>
      <c r="J38" s="8" t="s">
        <v>108</v>
      </c>
      <c r="N38" s="9">
        <v>11500</v>
      </c>
      <c r="O38" s="9"/>
      <c r="Q38" s="8" t="s">
        <v>17</v>
      </c>
      <c r="R38" s="8" t="s">
        <v>162</v>
      </c>
      <c r="S38" s="8" t="s">
        <v>5</v>
      </c>
      <c r="T38" s="81">
        <v>45147</v>
      </c>
      <c r="U38" s="9">
        <v>100000</v>
      </c>
    </row>
    <row r="39" spans="2:21" x14ac:dyDescent="0.25">
      <c r="C39" s="8" t="s">
        <v>165</v>
      </c>
      <c r="D39" s="8" t="s">
        <v>58</v>
      </c>
      <c r="E39" s="8" t="s">
        <v>71</v>
      </c>
      <c r="F39" s="81">
        <v>45148</v>
      </c>
      <c r="G39" s="9">
        <v>5000</v>
      </c>
      <c r="H39" s="9"/>
      <c r="J39" s="8" t="s">
        <v>167</v>
      </c>
      <c r="K39" s="8" t="s">
        <v>11</v>
      </c>
      <c r="L39" s="8" t="s">
        <v>72</v>
      </c>
      <c r="M39" s="81">
        <v>45156</v>
      </c>
      <c r="N39" s="9">
        <v>60000</v>
      </c>
      <c r="O39" s="9"/>
      <c r="Q39" s="8" t="s">
        <v>50</v>
      </c>
      <c r="U39" s="9">
        <v>100000</v>
      </c>
    </row>
    <row r="40" spans="2:21" x14ac:dyDescent="0.25">
      <c r="C40" s="8" t="s">
        <v>166</v>
      </c>
      <c r="D40" s="8" t="s">
        <v>14</v>
      </c>
      <c r="E40" s="8" t="s">
        <v>5</v>
      </c>
      <c r="F40" s="81">
        <v>45149</v>
      </c>
      <c r="G40" s="9">
        <v>10000</v>
      </c>
      <c r="H40" s="9"/>
      <c r="L40" s="8" t="s">
        <v>5</v>
      </c>
      <c r="M40" s="81">
        <v>45146</v>
      </c>
      <c r="N40" s="9">
        <v>20000</v>
      </c>
      <c r="Q40" s="8" t="s">
        <v>5</v>
      </c>
      <c r="R40" s="8" t="s">
        <v>159</v>
      </c>
      <c r="S40" s="8" t="s">
        <v>5</v>
      </c>
      <c r="T40" s="81">
        <v>45143</v>
      </c>
      <c r="U40" s="9">
        <v>7000</v>
      </c>
    </row>
    <row r="41" spans="2:21" x14ac:dyDescent="0.25">
      <c r="C41" s="8" t="s">
        <v>19</v>
      </c>
      <c r="D41" s="8" t="s">
        <v>5</v>
      </c>
      <c r="E41" s="8" t="s">
        <v>5</v>
      </c>
      <c r="F41" s="81">
        <v>45157</v>
      </c>
      <c r="G41" s="9">
        <v>4000</v>
      </c>
      <c r="H41" s="9"/>
      <c r="J41" s="8" t="s">
        <v>225</v>
      </c>
      <c r="N41" s="9">
        <v>80000</v>
      </c>
      <c r="T41" s="81">
        <v>45152</v>
      </c>
      <c r="U41" s="9">
        <v>10000</v>
      </c>
    </row>
    <row r="42" spans="2:21" x14ac:dyDescent="0.25">
      <c r="B42" s="8" t="s">
        <v>24</v>
      </c>
      <c r="G42" s="9">
        <v>445000</v>
      </c>
      <c r="H42" s="9"/>
      <c r="J42" s="8" t="s">
        <v>88</v>
      </c>
      <c r="K42" s="8" t="s">
        <v>5</v>
      </c>
      <c r="L42" s="8" t="s">
        <v>5</v>
      </c>
      <c r="M42" s="81">
        <v>45148</v>
      </c>
      <c r="N42" s="9">
        <v>10000</v>
      </c>
      <c r="R42" s="8" t="s">
        <v>163</v>
      </c>
      <c r="S42" s="8" t="s">
        <v>70</v>
      </c>
      <c r="T42" s="81">
        <v>45148</v>
      </c>
      <c r="U42" s="9">
        <v>3000</v>
      </c>
    </row>
    <row r="43" spans="2:21" x14ac:dyDescent="0.25">
      <c r="B43" s="8" t="s">
        <v>6</v>
      </c>
      <c r="G43" s="9">
        <v>1124758</v>
      </c>
      <c r="H43" s="9"/>
      <c r="J43" s="8" t="s">
        <v>174</v>
      </c>
      <c r="N43" s="9">
        <v>10000</v>
      </c>
      <c r="S43" s="8" t="s">
        <v>5</v>
      </c>
      <c r="T43" s="81">
        <v>45157</v>
      </c>
      <c r="U43" s="9">
        <v>30000</v>
      </c>
    </row>
    <row r="44" spans="2:21" x14ac:dyDescent="0.25">
      <c r="J44" s="8" t="s">
        <v>169</v>
      </c>
      <c r="K44" s="8" t="s">
        <v>5</v>
      </c>
      <c r="L44" s="8" t="s">
        <v>5</v>
      </c>
      <c r="M44" s="81">
        <v>45148</v>
      </c>
      <c r="N44" s="9">
        <v>250000</v>
      </c>
      <c r="T44" s="81">
        <v>45161</v>
      </c>
      <c r="U44" s="9">
        <v>2000</v>
      </c>
    </row>
    <row r="45" spans="2:21" x14ac:dyDescent="0.25">
      <c r="J45" s="8" t="s">
        <v>180</v>
      </c>
      <c r="N45" s="9">
        <v>250000</v>
      </c>
      <c r="R45" s="8" t="s">
        <v>20</v>
      </c>
      <c r="S45" s="8" t="s">
        <v>5</v>
      </c>
      <c r="T45" s="81">
        <v>45143</v>
      </c>
      <c r="U45" s="9">
        <v>1500</v>
      </c>
    </row>
    <row r="46" spans="2:21" x14ac:dyDescent="0.25">
      <c r="J46" s="8" t="s">
        <v>165</v>
      </c>
      <c r="K46" s="8" t="s">
        <v>58</v>
      </c>
      <c r="L46" s="8" t="s">
        <v>71</v>
      </c>
      <c r="M46" s="81">
        <v>45148</v>
      </c>
      <c r="N46" s="9">
        <v>5000</v>
      </c>
      <c r="R46" s="8" t="s">
        <v>88</v>
      </c>
      <c r="S46" s="8" t="s">
        <v>5</v>
      </c>
      <c r="T46" s="81">
        <v>45148</v>
      </c>
      <c r="U46" s="9">
        <v>10000</v>
      </c>
    </row>
    <row r="47" spans="2:21" x14ac:dyDescent="0.25">
      <c r="J47" s="8" t="s">
        <v>173</v>
      </c>
      <c r="N47" s="9">
        <v>5000</v>
      </c>
      <c r="R47" s="8" t="s">
        <v>169</v>
      </c>
      <c r="S47" s="8" t="s">
        <v>5</v>
      </c>
      <c r="T47" s="81">
        <v>45148</v>
      </c>
      <c r="U47" s="9">
        <v>250000</v>
      </c>
    </row>
    <row r="48" spans="2:21" x14ac:dyDescent="0.25">
      <c r="J48" s="8" t="s">
        <v>166</v>
      </c>
      <c r="K48" s="8" t="s">
        <v>14</v>
      </c>
      <c r="L48" s="8" t="s">
        <v>5</v>
      </c>
      <c r="M48" s="81">
        <v>45149</v>
      </c>
      <c r="N48" s="9">
        <v>10000</v>
      </c>
      <c r="R48" s="8" t="s">
        <v>19</v>
      </c>
      <c r="S48" s="8" t="s">
        <v>5</v>
      </c>
      <c r="T48" s="81">
        <v>45157</v>
      </c>
      <c r="U48" s="9">
        <v>4000</v>
      </c>
    </row>
    <row r="49" spans="10:21" x14ac:dyDescent="0.25">
      <c r="M49" s="81">
        <v>45161</v>
      </c>
      <c r="N49" s="9">
        <v>10000</v>
      </c>
      <c r="Q49" s="8" t="s">
        <v>24</v>
      </c>
      <c r="U49" s="9">
        <v>317500</v>
      </c>
    </row>
    <row r="50" spans="10:21" x14ac:dyDescent="0.25">
      <c r="J50" s="8" t="s">
        <v>175</v>
      </c>
      <c r="N50" s="9">
        <v>20000</v>
      </c>
      <c r="Q50" s="8" t="s">
        <v>6</v>
      </c>
      <c r="U50" s="9">
        <v>1124758</v>
      </c>
    </row>
    <row r="51" spans="10:21" x14ac:dyDescent="0.25">
      <c r="J51" s="8" t="s">
        <v>19</v>
      </c>
      <c r="K51" s="8" t="s">
        <v>5</v>
      </c>
      <c r="L51" s="8" t="s">
        <v>5</v>
      </c>
      <c r="M51" s="81">
        <v>45157</v>
      </c>
      <c r="N51" s="9">
        <v>4000</v>
      </c>
    </row>
    <row r="52" spans="10:21" x14ac:dyDescent="0.25">
      <c r="J52" s="8" t="s">
        <v>177</v>
      </c>
      <c r="N52" s="9">
        <v>4000</v>
      </c>
    </row>
    <row r="53" spans="10:21" x14ac:dyDescent="0.25">
      <c r="J53" s="8" t="s">
        <v>168</v>
      </c>
      <c r="K53" s="8" t="s">
        <v>12</v>
      </c>
      <c r="L53" s="8" t="s">
        <v>5</v>
      </c>
      <c r="M53" s="81">
        <v>45161</v>
      </c>
      <c r="N53" s="9">
        <v>10000</v>
      </c>
    </row>
    <row r="54" spans="10:21" x14ac:dyDescent="0.25">
      <c r="J54" s="8" t="s">
        <v>226</v>
      </c>
      <c r="N54" s="9">
        <v>10000</v>
      </c>
    </row>
    <row r="55" spans="10:21" x14ac:dyDescent="0.25">
      <c r="J55" s="8" t="s">
        <v>6</v>
      </c>
      <c r="N55" s="9">
        <v>1124758</v>
      </c>
    </row>
    <row r="65" spans="7:8" x14ac:dyDescent="0.25">
      <c r="G65" s="9"/>
      <c r="H65" s="9"/>
    </row>
    <row r="66" spans="7:8" x14ac:dyDescent="0.25">
      <c r="G66" s="9"/>
      <c r="H66" s="9"/>
    </row>
    <row r="67" spans="7:8" x14ac:dyDescent="0.25">
      <c r="G67" s="9"/>
      <c r="H67" s="9"/>
    </row>
  </sheetData>
  <printOptions horizontalCentered="1"/>
  <pageMargins left="0.31496062992125984" right="0.31496062992125984" top="0.55118110236220474" bottom="0.55118110236220474" header="0.31496062992125984" footer="0.31496062992125984"/>
  <pageSetup paperSize="9" scale="90" orientation="portrait" blackAndWhite="1" horizontalDpi="200" verticalDpi="200" r:id="rId4"/>
  <colBreaks count="2" manualBreakCount="2">
    <brk id="8" max="1048575" man="1"/>
    <brk id="15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0"/>
  <dimension ref="A1:L165"/>
  <sheetViews>
    <sheetView showGridLines="0"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XFD1048576"/>
    </sheetView>
  </sheetViews>
  <sheetFormatPr defaultRowHeight="15" x14ac:dyDescent="0.25"/>
  <cols>
    <col min="1" max="1" width="5.28515625" style="130" customWidth="1"/>
    <col min="2" max="2" width="17.28515625" style="53" customWidth="1"/>
    <col min="3" max="3" width="13" style="53" customWidth="1"/>
    <col min="4" max="4" width="19.28515625" style="53" customWidth="1"/>
    <col min="5" max="5" width="19.7109375" style="53" customWidth="1"/>
    <col min="6" max="6" width="13.28515625" style="78" customWidth="1"/>
    <col min="7" max="7" width="14" style="79" customWidth="1"/>
    <col min="8" max="8" width="14.140625" style="53" customWidth="1"/>
    <col min="9" max="9" width="22.140625" style="84" customWidth="1"/>
    <col min="10" max="10" width="5" style="53" customWidth="1"/>
    <col min="11" max="16384" width="9.140625" style="53"/>
  </cols>
  <sheetData>
    <row r="1" spans="1:12" s="52" customFormat="1" ht="32.25" customHeight="1" x14ac:dyDescent="0.25">
      <c r="A1" s="133" t="s">
        <v>120</v>
      </c>
      <c r="B1" s="133" t="s">
        <v>121</v>
      </c>
      <c r="C1" s="133" t="s">
        <v>122</v>
      </c>
      <c r="D1" s="133" t="s">
        <v>1</v>
      </c>
      <c r="E1" s="133" t="s">
        <v>3</v>
      </c>
      <c r="F1" s="82" t="s">
        <v>0</v>
      </c>
      <c r="G1" s="83" t="s">
        <v>126</v>
      </c>
      <c r="H1" s="133" t="s">
        <v>127</v>
      </c>
      <c r="I1" s="82" t="s">
        <v>128</v>
      </c>
      <c r="L1" s="53"/>
    </row>
    <row r="2" spans="1:12" x14ac:dyDescent="0.25">
      <c r="A2" s="130" t="s">
        <v>303</v>
      </c>
    </row>
    <row r="3" spans="1:12" x14ac:dyDescent="0.25">
      <c r="C3" s="111"/>
    </row>
    <row r="5" spans="1:12" x14ac:dyDescent="0.25">
      <c r="C5" s="16"/>
    </row>
    <row r="11" spans="1:12" x14ac:dyDescent="0.25">
      <c r="C11" s="16"/>
    </row>
    <row r="13" spans="1:12" x14ac:dyDescent="0.25">
      <c r="C13" s="131"/>
    </row>
    <row r="17" spans="3:3" x14ac:dyDescent="0.25">
      <c r="C17" s="131"/>
    </row>
    <row r="18" spans="3:3" x14ac:dyDescent="0.25">
      <c r="C18" s="131"/>
    </row>
    <row r="22" spans="3:3" x14ac:dyDescent="0.25">
      <c r="C22" s="16"/>
    </row>
    <row r="24" spans="3:3" x14ac:dyDescent="0.25">
      <c r="C24" s="16"/>
    </row>
    <row r="28" spans="3:3" x14ac:dyDescent="0.25">
      <c r="C28" s="16"/>
    </row>
    <row r="30" spans="3:3" x14ac:dyDescent="0.25">
      <c r="C30" s="16"/>
    </row>
    <row r="32" spans="3:3" x14ac:dyDescent="0.25">
      <c r="C32" s="16"/>
    </row>
    <row r="35" spans="3:3" x14ac:dyDescent="0.25">
      <c r="C35" s="16"/>
    </row>
    <row r="36" spans="3:3" x14ac:dyDescent="0.25">
      <c r="C36" s="131"/>
    </row>
    <row r="37" spans="3:3" x14ac:dyDescent="0.25">
      <c r="C37" s="111"/>
    </row>
    <row r="43" spans="3:3" x14ac:dyDescent="0.25">
      <c r="C43" s="16"/>
    </row>
    <row r="44" spans="3:3" x14ac:dyDescent="0.25">
      <c r="C44" s="131"/>
    </row>
    <row r="47" spans="3:3" x14ac:dyDescent="0.25">
      <c r="C47" s="16"/>
    </row>
    <row r="48" spans="3:3" x14ac:dyDescent="0.25">
      <c r="C48" s="131"/>
    </row>
    <row r="49" spans="3:3" x14ac:dyDescent="0.25">
      <c r="C49" s="131"/>
    </row>
    <row r="60" spans="3:3" x14ac:dyDescent="0.25">
      <c r="C60" s="131"/>
    </row>
    <row r="61" spans="3:3" x14ac:dyDescent="0.25">
      <c r="C61" s="131"/>
    </row>
    <row r="72" spans="3:3" x14ac:dyDescent="0.25">
      <c r="C72" s="131"/>
    </row>
    <row r="73" spans="3:3" x14ac:dyDescent="0.25">
      <c r="C73" s="131"/>
    </row>
    <row r="96" spans="3:3" x14ac:dyDescent="0.25">
      <c r="C96" s="131"/>
    </row>
    <row r="97" spans="3:3" x14ac:dyDescent="0.25">
      <c r="C97" s="131"/>
    </row>
    <row r="165" spans="3:3" x14ac:dyDescent="0.25">
      <c r="C165" s="16"/>
    </row>
  </sheetData>
  <sortState xmlns:xlrd2="http://schemas.microsoft.com/office/spreadsheetml/2017/richdata2" ref="B2:I35">
    <sortCondition ref="C1:C35"/>
  </sortState>
  <printOptions horizontalCentered="1"/>
  <pageMargins left="0.11811023622047245" right="0.11811023622047245" top="0.74803149606299213" bottom="0.74803149606299213" header="0.31496062992125984" footer="0.31496062992125984"/>
  <pageSetup paperSize="9" scale="65" orientation="portrait" blackAndWhite="1" r:id="rId1"/>
  <headerFooter>
    <oddFooter>&amp;L&amp;A&amp;C&amp;D&amp;Rстр.&amp;P из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B1:AG300"/>
  <sheetViews>
    <sheetView showGridLines="0" zoomScale="90" zoomScaleNormal="90" workbookViewId="0">
      <pane ySplit="4" topLeftCell="A5" activePane="bottomLeft" state="frozen"/>
      <selection pane="bottomLeft" activeCell="Z13" sqref="Z13"/>
    </sheetView>
  </sheetViews>
  <sheetFormatPr defaultRowHeight="15" x14ac:dyDescent="0.25"/>
  <cols>
    <col min="1" max="1" width="1.85546875" customWidth="1"/>
    <col min="2" max="2" width="14.42578125" customWidth="1"/>
    <col min="3" max="3" width="14.85546875" customWidth="1"/>
    <col min="4" max="4" width="15.28515625" customWidth="1"/>
    <col min="5" max="6" width="4" customWidth="1"/>
    <col min="7" max="7" width="12.85546875" customWidth="1"/>
    <col min="8" max="8" width="12.140625" customWidth="1"/>
    <col min="9" max="9" width="12.28515625" customWidth="1"/>
    <col min="10" max="10" width="13.28515625" customWidth="1"/>
    <col min="11" max="11" width="13.5703125" customWidth="1"/>
    <col min="12" max="12" width="13.42578125" customWidth="1"/>
    <col min="13" max="13" width="3.7109375" customWidth="1"/>
    <col min="14" max="14" width="4" customWidth="1"/>
    <col min="15" max="15" width="13.42578125" style="34" customWidth="1"/>
    <col min="16" max="16" width="12.140625" style="34" customWidth="1"/>
    <col min="17" max="17" width="9.28515625" style="34" customWidth="1"/>
    <col min="18" max="18" width="13.5703125" style="34" customWidth="1"/>
    <col min="19" max="23" width="14.28515625" style="34" customWidth="1"/>
    <col min="24" max="24" width="2.85546875" customWidth="1"/>
    <col min="25" max="25" width="13.42578125" customWidth="1"/>
    <col min="26" max="26" width="12.140625" customWidth="1"/>
    <col min="27" max="27" width="12.28515625" customWidth="1"/>
    <col min="28" max="28" width="16" customWidth="1"/>
    <col min="29" max="33" width="14" customWidth="1"/>
    <col min="34" max="34" width="3.7109375" customWidth="1"/>
  </cols>
  <sheetData>
    <row r="1" spans="2:33" s="50" customFormat="1" ht="15.75" x14ac:dyDescent="0.25">
      <c r="B1" s="50" t="s">
        <v>51</v>
      </c>
      <c r="G1" s="50" t="s">
        <v>80</v>
      </c>
      <c r="O1" s="50" t="s">
        <v>52</v>
      </c>
      <c r="Y1" s="50" t="s">
        <v>53</v>
      </c>
    </row>
    <row r="2" spans="2:33" ht="20.25" customHeight="1" x14ac:dyDescent="0.25">
      <c r="B2" s="7" t="s">
        <v>9</v>
      </c>
      <c r="C2" t="s">
        <v>193</v>
      </c>
      <c r="G2" t="s">
        <v>200</v>
      </c>
      <c r="O2" t="s">
        <v>200</v>
      </c>
      <c r="P2"/>
      <c r="Y2" t="s">
        <v>200</v>
      </c>
    </row>
    <row r="3" spans="2:33" ht="9" customHeight="1" x14ac:dyDescent="0.25"/>
    <row r="4" spans="2:33" x14ac:dyDescent="0.25">
      <c r="B4" s="7" t="s">
        <v>4</v>
      </c>
      <c r="C4" t="s">
        <v>187</v>
      </c>
      <c r="D4" t="s">
        <v>188</v>
      </c>
      <c r="G4" s="7" t="s">
        <v>4</v>
      </c>
      <c r="H4" s="7" t="s">
        <v>1</v>
      </c>
      <c r="I4" s="7" t="s">
        <v>9</v>
      </c>
      <c r="J4" s="7" t="s">
        <v>2</v>
      </c>
      <c r="K4" t="s">
        <v>187</v>
      </c>
      <c r="L4" t="s">
        <v>188</v>
      </c>
      <c r="O4" s="35" t="s">
        <v>4</v>
      </c>
      <c r="P4" s="35" t="s">
        <v>1</v>
      </c>
      <c r="Q4" s="35" t="s">
        <v>2</v>
      </c>
      <c r="R4" s="35" t="s">
        <v>9</v>
      </c>
      <c r="S4" t="s">
        <v>194</v>
      </c>
      <c r="T4" t="s">
        <v>195</v>
      </c>
      <c r="U4" t="s">
        <v>196</v>
      </c>
      <c r="V4" t="s">
        <v>197</v>
      </c>
      <c r="W4" t="s">
        <v>198</v>
      </c>
      <c r="Y4" s="7" t="s">
        <v>192</v>
      </c>
      <c r="AC4" s="7" t="s">
        <v>199</v>
      </c>
    </row>
    <row r="5" spans="2:33" x14ac:dyDescent="0.25">
      <c r="B5" s="80">
        <v>45140</v>
      </c>
      <c r="C5" s="9">
        <v>477855</v>
      </c>
      <c r="D5" s="9"/>
      <c r="E5" s="9"/>
      <c r="G5" t="s">
        <v>5</v>
      </c>
      <c r="H5" t="s">
        <v>5</v>
      </c>
      <c r="I5" t="s">
        <v>5</v>
      </c>
      <c r="J5" t="s">
        <v>5</v>
      </c>
      <c r="K5" s="9">
        <v>0</v>
      </c>
      <c r="L5" s="9"/>
      <c r="O5" s="8" t="s">
        <v>5</v>
      </c>
      <c r="P5" s="8" t="s">
        <v>5</v>
      </c>
      <c r="Q5" s="8" t="s">
        <v>5</v>
      </c>
      <c r="R5" s="8" t="s">
        <v>5</v>
      </c>
      <c r="S5" s="112"/>
      <c r="T5" s="112"/>
      <c r="U5" s="112"/>
      <c r="V5" s="112"/>
      <c r="W5" s="112"/>
      <c r="Y5" s="7" t="s">
        <v>4</v>
      </c>
      <c r="Z5" s="7" t="s">
        <v>1</v>
      </c>
      <c r="AA5" s="7" t="s">
        <v>2</v>
      </c>
      <c r="AB5" s="7" t="s">
        <v>9</v>
      </c>
      <c r="AC5" t="s">
        <v>37</v>
      </c>
      <c r="AD5" t="s">
        <v>56</v>
      </c>
      <c r="AE5" t="s">
        <v>57</v>
      </c>
      <c r="AF5" t="s">
        <v>5</v>
      </c>
      <c r="AG5" t="s">
        <v>6</v>
      </c>
    </row>
    <row r="6" spans="2:33" x14ac:dyDescent="0.25">
      <c r="B6" s="80">
        <v>45141</v>
      </c>
      <c r="C6" s="9">
        <v>500000</v>
      </c>
      <c r="D6" s="9">
        <v>183500</v>
      </c>
      <c r="E6" s="9"/>
      <c r="G6" t="s">
        <v>24</v>
      </c>
      <c r="K6" s="9">
        <v>0</v>
      </c>
      <c r="L6" s="9"/>
      <c r="O6" s="8" t="s">
        <v>24</v>
      </c>
      <c r="P6"/>
      <c r="Q6"/>
      <c r="R6"/>
      <c r="S6" s="112"/>
      <c r="T6" s="112"/>
      <c r="U6" s="112"/>
      <c r="V6" s="112"/>
      <c r="W6" s="112"/>
      <c r="Y6" s="8" t="s">
        <v>5</v>
      </c>
      <c r="Z6" s="8" t="s">
        <v>5</v>
      </c>
      <c r="AA6" s="8" t="s">
        <v>5</v>
      </c>
      <c r="AB6" s="8" t="s">
        <v>5</v>
      </c>
      <c r="AC6" s="9"/>
      <c r="AD6" s="9"/>
      <c r="AE6" s="9"/>
      <c r="AF6" s="9"/>
      <c r="AG6" s="9"/>
    </row>
    <row r="7" spans="2:33" x14ac:dyDescent="0.25">
      <c r="B7" s="80">
        <v>45142</v>
      </c>
      <c r="C7" s="9">
        <v>1300000</v>
      </c>
      <c r="D7" s="9">
        <v>1028750</v>
      </c>
      <c r="E7" s="9"/>
      <c r="G7" s="80">
        <v>45140</v>
      </c>
      <c r="H7" t="s">
        <v>10</v>
      </c>
      <c r="I7" t="s">
        <v>10</v>
      </c>
      <c r="J7" t="s">
        <v>5</v>
      </c>
      <c r="K7" s="9">
        <v>477855</v>
      </c>
      <c r="L7" s="9"/>
      <c r="O7" s="81">
        <v>45140</v>
      </c>
      <c r="P7" s="8" t="s">
        <v>10</v>
      </c>
      <c r="Q7" s="8" t="s">
        <v>5</v>
      </c>
      <c r="R7" s="8" t="s">
        <v>10</v>
      </c>
      <c r="S7" s="112">
        <v>470000</v>
      </c>
      <c r="T7" s="112"/>
      <c r="U7" s="112">
        <v>7855</v>
      </c>
      <c r="V7" s="112"/>
      <c r="W7" s="112"/>
      <c r="Y7" s="8" t="s">
        <v>24</v>
      </c>
      <c r="AC7" s="9"/>
      <c r="AD7" s="9"/>
      <c r="AE7" s="9"/>
      <c r="AF7" s="9"/>
      <c r="AG7" s="9"/>
    </row>
    <row r="8" spans="2:33" x14ac:dyDescent="0.25">
      <c r="B8" s="80">
        <v>45143</v>
      </c>
      <c r="C8" s="9">
        <v>190500</v>
      </c>
      <c r="D8" s="9">
        <v>144000</v>
      </c>
      <c r="E8" s="9"/>
      <c r="G8" t="s">
        <v>137</v>
      </c>
      <c r="K8" s="9">
        <v>477855</v>
      </c>
      <c r="L8" s="9"/>
      <c r="O8" s="8" t="s">
        <v>137</v>
      </c>
      <c r="P8"/>
      <c r="Q8"/>
      <c r="R8"/>
      <c r="S8" s="112">
        <v>470000</v>
      </c>
      <c r="T8" s="112"/>
      <c r="U8" s="112">
        <v>7855</v>
      </c>
      <c r="V8" s="112"/>
      <c r="W8" s="112"/>
      <c r="Y8" s="81">
        <v>45140</v>
      </c>
      <c r="Z8" s="8" t="s">
        <v>10</v>
      </c>
      <c r="AA8" s="8" t="s">
        <v>5</v>
      </c>
      <c r="AB8" s="8" t="s">
        <v>10</v>
      </c>
      <c r="AC8" s="9"/>
      <c r="AD8" s="9"/>
      <c r="AE8" s="9"/>
      <c r="AF8" s="9"/>
      <c r="AG8" s="9"/>
    </row>
    <row r="9" spans="2:33" x14ac:dyDescent="0.25">
      <c r="B9" s="80">
        <v>45146</v>
      </c>
      <c r="C9" s="9">
        <v>0</v>
      </c>
      <c r="D9" s="9">
        <v>57500</v>
      </c>
      <c r="E9" s="9"/>
      <c r="G9" s="80">
        <v>45141</v>
      </c>
      <c r="H9" t="s">
        <v>11</v>
      </c>
      <c r="I9" t="s">
        <v>91</v>
      </c>
      <c r="J9" t="s">
        <v>21</v>
      </c>
      <c r="K9" s="9">
        <v>0</v>
      </c>
      <c r="L9" s="9">
        <v>11000</v>
      </c>
      <c r="O9" s="81">
        <v>45141</v>
      </c>
      <c r="P9" s="8" t="s">
        <v>11</v>
      </c>
      <c r="Q9" s="8" t="s">
        <v>21</v>
      </c>
      <c r="R9" s="8" t="s">
        <v>91</v>
      </c>
      <c r="S9" s="112"/>
      <c r="T9" s="112"/>
      <c r="U9" s="112"/>
      <c r="V9" s="112"/>
      <c r="W9" s="112"/>
      <c r="Y9" s="8" t="s">
        <v>137</v>
      </c>
      <c r="AC9" s="9"/>
      <c r="AD9" s="9"/>
      <c r="AE9" s="9"/>
      <c r="AF9" s="9"/>
      <c r="AG9" s="9"/>
    </row>
    <row r="10" spans="2:33" x14ac:dyDescent="0.25">
      <c r="B10" s="80">
        <v>45147</v>
      </c>
      <c r="C10" s="9">
        <v>647200</v>
      </c>
      <c r="D10" s="9">
        <v>298600</v>
      </c>
      <c r="E10" s="9"/>
      <c r="I10" t="s">
        <v>101</v>
      </c>
      <c r="J10" t="s">
        <v>21</v>
      </c>
      <c r="K10" s="9">
        <v>0</v>
      </c>
      <c r="L10" s="9">
        <v>71500</v>
      </c>
      <c r="O10"/>
      <c r="P10"/>
      <c r="Q10"/>
      <c r="R10" s="8" t="s">
        <v>101</v>
      </c>
      <c r="S10" s="112"/>
      <c r="T10" s="112"/>
      <c r="U10" s="112"/>
      <c r="V10" s="112"/>
      <c r="W10" s="112"/>
      <c r="Y10" s="81">
        <v>45141</v>
      </c>
      <c r="Z10" s="8" t="s">
        <v>11</v>
      </c>
      <c r="AA10" s="8" t="s">
        <v>21</v>
      </c>
      <c r="AB10" s="8" t="s">
        <v>91</v>
      </c>
      <c r="AC10" s="9">
        <v>11000</v>
      </c>
      <c r="AD10" s="9"/>
      <c r="AE10" s="9"/>
      <c r="AF10" s="9"/>
      <c r="AG10" s="9">
        <v>11000</v>
      </c>
    </row>
    <row r="11" spans="2:33" x14ac:dyDescent="0.25">
      <c r="B11" s="80">
        <v>45148</v>
      </c>
      <c r="C11" s="9">
        <v>0</v>
      </c>
      <c r="D11" s="9">
        <v>280000</v>
      </c>
      <c r="E11" s="9"/>
      <c r="H11" t="s">
        <v>22</v>
      </c>
      <c r="I11" t="s">
        <v>93</v>
      </c>
      <c r="J11" t="s">
        <v>5</v>
      </c>
      <c r="K11" s="9">
        <v>500000</v>
      </c>
      <c r="L11" s="9"/>
      <c r="O11"/>
      <c r="P11" s="8" t="s">
        <v>22</v>
      </c>
      <c r="Q11" s="8" t="s">
        <v>5</v>
      </c>
      <c r="R11" s="8" t="s">
        <v>93</v>
      </c>
      <c r="S11" s="112">
        <v>500000</v>
      </c>
      <c r="T11" s="112"/>
      <c r="U11" s="112"/>
      <c r="V11" s="112"/>
      <c r="W11" s="112"/>
      <c r="AB11" s="8" t="s">
        <v>101</v>
      </c>
      <c r="AC11" s="9">
        <v>71500</v>
      </c>
      <c r="AD11" s="9"/>
      <c r="AE11" s="9"/>
      <c r="AF11" s="9"/>
      <c r="AG11" s="9">
        <v>71500</v>
      </c>
    </row>
    <row r="12" spans="2:33" x14ac:dyDescent="0.25">
      <c r="B12" s="80">
        <v>45149</v>
      </c>
      <c r="C12" s="9">
        <v>0</v>
      </c>
      <c r="D12" s="9">
        <v>107500</v>
      </c>
      <c r="E12" s="9"/>
      <c r="H12" t="s">
        <v>18</v>
      </c>
      <c r="I12" t="s">
        <v>91</v>
      </c>
      <c r="J12" t="s">
        <v>62</v>
      </c>
      <c r="K12" s="9">
        <v>0</v>
      </c>
      <c r="L12" s="9">
        <v>19000</v>
      </c>
      <c r="O12"/>
      <c r="P12" s="8" t="s">
        <v>18</v>
      </c>
      <c r="Q12" s="8" t="s">
        <v>62</v>
      </c>
      <c r="R12" s="8" t="s">
        <v>91</v>
      </c>
      <c r="S12" s="112"/>
      <c r="T12" s="112"/>
      <c r="U12" s="112"/>
      <c r="V12" s="112"/>
      <c r="W12" s="112"/>
      <c r="Z12" s="8" t="s">
        <v>12</v>
      </c>
      <c r="AA12" s="8" t="s">
        <v>21</v>
      </c>
      <c r="AB12" s="8" t="s">
        <v>92</v>
      </c>
      <c r="AC12" s="9">
        <v>63000</v>
      </c>
      <c r="AD12" s="9"/>
      <c r="AE12" s="9"/>
      <c r="AF12" s="9"/>
      <c r="AG12" s="9">
        <v>63000</v>
      </c>
    </row>
    <row r="13" spans="2:33" x14ac:dyDescent="0.25">
      <c r="B13" s="80">
        <v>45152</v>
      </c>
      <c r="C13" s="9">
        <v>0</v>
      </c>
      <c r="D13" s="9">
        <v>540000</v>
      </c>
      <c r="E13" s="9"/>
      <c r="I13" t="s">
        <v>18</v>
      </c>
      <c r="J13" t="s">
        <v>21</v>
      </c>
      <c r="K13" s="9">
        <v>0</v>
      </c>
      <c r="L13" s="9">
        <v>17000</v>
      </c>
      <c r="O13"/>
      <c r="P13"/>
      <c r="Q13" s="8" t="s">
        <v>21</v>
      </c>
      <c r="R13" s="8" t="s">
        <v>18</v>
      </c>
      <c r="S13" s="112"/>
      <c r="T13" s="112"/>
      <c r="U13" s="112"/>
      <c r="V13" s="112"/>
      <c r="W13" s="112"/>
      <c r="Z13" s="8" t="s">
        <v>18</v>
      </c>
      <c r="AA13" s="8" t="s">
        <v>21</v>
      </c>
      <c r="AB13" s="8" t="s">
        <v>18</v>
      </c>
      <c r="AC13" s="9">
        <v>17000</v>
      </c>
      <c r="AD13" s="9"/>
      <c r="AE13" s="9"/>
      <c r="AF13" s="9"/>
      <c r="AG13" s="9">
        <v>17000</v>
      </c>
    </row>
    <row r="14" spans="2:33" x14ac:dyDescent="0.25">
      <c r="B14" s="80">
        <v>45153</v>
      </c>
      <c r="C14" s="9">
        <v>0</v>
      </c>
      <c r="D14" s="9">
        <v>14000</v>
      </c>
      <c r="E14" s="9"/>
      <c r="H14" t="s">
        <v>12</v>
      </c>
      <c r="I14" t="s">
        <v>92</v>
      </c>
      <c r="J14" t="s">
        <v>21</v>
      </c>
      <c r="K14" s="9">
        <v>0</v>
      </c>
      <c r="L14" s="9">
        <v>63000</v>
      </c>
      <c r="O14"/>
      <c r="P14" s="8" t="s">
        <v>12</v>
      </c>
      <c r="Q14" s="8" t="s">
        <v>21</v>
      </c>
      <c r="R14" s="8" t="s">
        <v>92</v>
      </c>
      <c r="S14" s="112"/>
      <c r="T14" s="112"/>
      <c r="U14" s="112"/>
      <c r="V14" s="112"/>
      <c r="W14" s="112"/>
      <c r="AA14" s="8" t="s">
        <v>62</v>
      </c>
      <c r="AB14" s="8" t="s">
        <v>91</v>
      </c>
      <c r="AC14" s="9">
        <v>19000</v>
      </c>
      <c r="AD14" s="9"/>
      <c r="AE14" s="9"/>
      <c r="AF14" s="9"/>
      <c r="AG14" s="9">
        <v>19000</v>
      </c>
    </row>
    <row r="15" spans="2:33" x14ac:dyDescent="0.25">
      <c r="B15" s="80">
        <v>45154</v>
      </c>
      <c r="C15" s="9">
        <v>0</v>
      </c>
      <c r="D15" s="9">
        <v>19750</v>
      </c>
      <c r="E15" s="9"/>
      <c r="H15" t="s">
        <v>16</v>
      </c>
      <c r="I15" t="s">
        <v>18</v>
      </c>
      <c r="J15" t="s">
        <v>21</v>
      </c>
      <c r="K15" s="9">
        <v>0</v>
      </c>
      <c r="L15" s="9">
        <v>2000</v>
      </c>
      <c r="O15"/>
      <c r="P15" s="8" t="s">
        <v>16</v>
      </c>
      <c r="Q15" s="8" t="s">
        <v>21</v>
      </c>
      <c r="R15" s="8" t="s">
        <v>18</v>
      </c>
      <c r="S15" s="112"/>
      <c r="T15" s="112"/>
      <c r="U15" s="112"/>
      <c r="V15" s="112"/>
      <c r="W15" s="112"/>
      <c r="Z15" s="8" t="s">
        <v>22</v>
      </c>
      <c r="AA15" s="8" t="s">
        <v>5</v>
      </c>
      <c r="AB15" s="8" t="s">
        <v>93</v>
      </c>
      <c r="AC15" s="9"/>
      <c r="AD15" s="9"/>
      <c r="AE15" s="9"/>
      <c r="AF15" s="9"/>
      <c r="AG15" s="9"/>
    </row>
    <row r="16" spans="2:33" x14ac:dyDescent="0.25">
      <c r="B16" s="80">
        <v>45155</v>
      </c>
      <c r="C16" s="9">
        <v>200000</v>
      </c>
      <c r="D16" s="9">
        <v>62158</v>
      </c>
      <c r="E16" s="9"/>
      <c r="G16" t="s">
        <v>138</v>
      </c>
      <c r="K16" s="9">
        <v>500000</v>
      </c>
      <c r="L16" s="9">
        <v>183500</v>
      </c>
      <c r="O16" s="8" t="s">
        <v>138</v>
      </c>
      <c r="P16"/>
      <c r="Q16"/>
      <c r="R16"/>
      <c r="S16" s="112">
        <v>500000</v>
      </c>
      <c r="T16" s="112"/>
      <c r="U16" s="112"/>
      <c r="V16" s="112"/>
      <c r="W16" s="112"/>
      <c r="Z16" s="8" t="s">
        <v>16</v>
      </c>
      <c r="AA16" s="8" t="s">
        <v>21</v>
      </c>
      <c r="AB16" s="8" t="s">
        <v>18</v>
      </c>
      <c r="AC16" s="9">
        <v>2000</v>
      </c>
      <c r="AD16" s="9"/>
      <c r="AE16" s="9"/>
      <c r="AF16" s="9"/>
      <c r="AG16" s="9">
        <v>2000</v>
      </c>
    </row>
    <row r="17" spans="2:33" x14ac:dyDescent="0.25">
      <c r="B17" s="80">
        <v>45156</v>
      </c>
      <c r="C17" s="9">
        <v>0</v>
      </c>
      <c r="D17" s="9">
        <v>68000</v>
      </c>
      <c r="E17" s="9"/>
      <c r="G17" s="80">
        <v>45142</v>
      </c>
      <c r="H17" t="s">
        <v>11</v>
      </c>
      <c r="I17" t="s">
        <v>92</v>
      </c>
      <c r="J17" t="s">
        <v>21</v>
      </c>
      <c r="K17" s="9">
        <v>0</v>
      </c>
      <c r="L17" s="9">
        <v>725750</v>
      </c>
      <c r="O17" s="81">
        <v>45142</v>
      </c>
      <c r="P17" s="8" t="s">
        <v>11</v>
      </c>
      <c r="Q17" s="8" t="s">
        <v>21</v>
      </c>
      <c r="R17" s="8" t="s">
        <v>92</v>
      </c>
      <c r="S17" s="112"/>
      <c r="T17" s="112"/>
      <c r="U17" s="112"/>
      <c r="V17" s="112"/>
      <c r="W17" s="112"/>
      <c r="Y17" s="8" t="s">
        <v>138</v>
      </c>
      <c r="AC17" s="9">
        <v>183500</v>
      </c>
      <c r="AD17" s="9"/>
      <c r="AE17" s="9"/>
      <c r="AF17" s="9"/>
      <c r="AG17" s="9">
        <v>183500</v>
      </c>
    </row>
    <row r="18" spans="2:33" x14ac:dyDescent="0.25">
      <c r="B18" s="80">
        <v>45157</v>
      </c>
      <c r="C18" s="9">
        <v>0</v>
      </c>
      <c r="D18" s="9">
        <v>54000</v>
      </c>
      <c r="E18" s="9"/>
      <c r="I18" t="s">
        <v>18</v>
      </c>
      <c r="J18" t="s">
        <v>21</v>
      </c>
      <c r="K18" s="9">
        <v>0</v>
      </c>
      <c r="L18" s="9">
        <v>6000</v>
      </c>
      <c r="O18"/>
      <c r="P18"/>
      <c r="Q18"/>
      <c r="R18" s="8" t="s">
        <v>18</v>
      </c>
      <c r="S18" s="112"/>
      <c r="T18" s="112"/>
      <c r="U18" s="112"/>
      <c r="V18" s="112"/>
      <c r="W18" s="112"/>
      <c r="Y18" s="81">
        <v>45142</v>
      </c>
      <c r="Z18" s="8" t="s">
        <v>5</v>
      </c>
      <c r="AA18" s="8" t="s">
        <v>5</v>
      </c>
      <c r="AB18" s="8" t="s">
        <v>92</v>
      </c>
      <c r="AC18" s="9">
        <v>70000</v>
      </c>
      <c r="AD18" s="9"/>
      <c r="AE18" s="9"/>
      <c r="AF18" s="9"/>
      <c r="AG18" s="9">
        <v>70000</v>
      </c>
    </row>
    <row r="19" spans="2:33" x14ac:dyDescent="0.25">
      <c r="B19" s="80">
        <v>45158</v>
      </c>
      <c r="C19" s="9">
        <v>0</v>
      </c>
      <c r="D19" s="9">
        <v>5000</v>
      </c>
      <c r="E19" s="9"/>
      <c r="I19" t="s">
        <v>93</v>
      </c>
      <c r="J19" t="s">
        <v>5</v>
      </c>
      <c r="K19" s="9">
        <v>1000000</v>
      </c>
      <c r="L19" s="9"/>
      <c r="O19"/>
      <c r="P19"/>
      <c r="Q19" s="8" t="s">
        <v>5</v>
      </c>
      <c r="R19" s="8" t="s">
        <v>93</v>
      </c>
      <c r="S19" s="112">
        <v>1000000</v>
      </c>
      <c r="T19" s="112"/>
      <c r="U19" s="112"/>
      <c r="V19" s="112"/>
      <c r="W19" s="112"/>
      <c r="Z19" s="8" t="s">
        <v>11</v>
      </c>
      <c r="AA19" s="8" t="s">
        <v>5</v>
      </c>
      <c r="AB19" s="8" t="s">
        <v>93</v>
      </c>
      <c r="AC19" s="9"/>
      <c r="AD19" s="9"/>
      <c r="AE19" s="9"/>
      <c r="AF19" s="9"/>
      <c r="AG19" s="9"/>
    </row>
    <row r="20" spans="2:33" x14ac:dyDescent="0.25">
      <c r="B20" s="80">
        <v>45159</v>
      </c>
      <c r="C20" s="9">
        <v>500000</v>
      </c>
      <c r="D20" s="9">
        <v>54948.75</v>
      </c>
      <c r="E20" s="9"/>
      <c r="H20" t="s">
        <v>18</v>
      </c>
      <c r="I20" t="s">
        <v>91</v>
      </c>
      <c r="J20" t="s">
        <v>5</v>
      </c>
      <c r="K20" s="9">
        <v>0</v>
      </c>
      <c r="L20" s="9">
        <v>7000</v>
      </c>
      <c r="O20"/>
      <c r="P20" s="8" t="s">
        <v>18</v>
      </c>
      <c r="Q20" s="8" t="s">
        <v>62</v>
      </c>
      <c r="R20" s="8" t="s">
        <v>18</v>
      </c>
      <c r="S20" s="112"/>
      <c r="T20" s="112"/>
      <c r="U20" s="112"/>
      <c r="V20" s="112"/>
      <c r="W20" s="112"/>
      <c r="AA20" s="8" t="s">
        <v>21</v>
      </c>
      <c r="AB20" s="8" t="s">
        <v>92</v>
      </c>
      <c r="AC20" s="9">
        <v>725750</v>
      </c>
      <c r="AD20" s="9"/>
      <c r="AE20" s="9"/>
      <c r="AF20" s="9"/>
      <c r="AG20" s="9">
        <v>725750</v>
      </c>
    </row>
    <row r="21" spans="2:33" x14ac:dyDescent="0.25">
      <c r="B21" s="80">
        <v>45160</v>
      </c>
      <c r="C21" s="9">
        <v>0</v>
      </c>
      <c r="D21" s="9">
        <v>4500</v>
      </c>
      <c r="E21" s="9"/>
      <c r="I21" t="s">
        <v>92</v>
      </c>
      <c r="J21" t="s">
        <v>5</v>
      </c>
      <c r="K21" s="9">
        <v>0</v>
      </c>
      <c r="L21" s="9">
        <v>20000</v>
      </c>
      <c r="O21"/>
      <c r="P21"/>
      <c r="Q21" s="8" t="s">
        <v>5</v>
      </c>
      <c r="R21" s="8" t="s">
        <v>91</v>
      </c>
      <c r="S21" s="112"/>
      <c r="T21" s="112"/>
      <c r="U21" s="112"/>
      <c r="V21" s="112"/>
      <c r="W21" s="112"/>
      <c r="AB21" s="8" t="s">
        <v>18</v>
      </c>
      <c r="AC21" s="9">
        <v>6000</v>
      </c>
      <c r="AD21" s="9"/>
      <c r="AE21" s="9"/>
      <c r="AF21" s="9"/>
      <c r="AG21" s="9">
        <v>6000</v>
      </c>
    </row>
    <row r="22" spans="2:33" x14ac:dyDescent="0.25">
      <c r="B22" s="80">
        <v>45161</v>
      </c>
      <c r="C22" s="9">
        <v>0</v>
      </c>
      <c r="D22" s="9">
        <v>543822.17000000004</v>
      </c>
      <c r="E22" s="9"/>
      <c r="I22" t="s">
        <v>18</v>
      </c>
      <c r="J22" t="s">
        <v>62</v>
      </c>
      <c r="K22" s="9">
        <v>0</v>
      </c>
      <c r="L22" s="9">
        <v>200000</v>
      </c>
      <c r="O22"/>
      <c r="P22"/>
      <c r="Q22"/>
      <c r="R22" s="8" t="s">
        <v>92</v>
      </c>
      <c r="S22" s="112"/>
      <c r="T22" s="112"/>
      <c r="U22" s="112"/>
      <c r="V22" s="112"/>
      <c r="W22" s="112"/>
      <c r="Z22" s="8" t="s">
        <v>18</v>
      </c>
      <c r="AA22" s="8" t="s">
        <v>5</v>
      </c>
      <c r="AB22" s="8" t="s">
        <v>91</v>
      </c>
      <c r="AC22" s="9">
        <v>7000</v>
      </c>
      <c r="AD22" s="9"/>
      <c r="AE22" s="9"/>
      <c r="AF22" s="9"/>
      <c r="AG22" s="9">
        <v>7000</v>
      </c>
    </row>
    <row r="23" spans="2:33" x14ac:dyDescent="0.25">
      <c r="B23" t="s">
        <v>5</v>
      </c>
      <c r="C23" s="9">
        <v>0</v>
      </c>
      <c r="D23" s="9"/>
      <c r="E23" s="9"/>
      <c r="H23" t="s">
        <v>27</v>
      </c>
      <c r="I23" t="s">
        <v>93</v>
      </c>
      <c r="J23" t="s">
        <v>5</v>
      </c>
      <c r="K23" s="9">
        <v>300000</v>
      </c>
      <c r="L23" s="9"/>
      <c r="O23"/>
      <c r="P23" s="8" t="s">
        <v>27</v>
      </c>
      <c r="Q23" s="8" t="s">
        <v>5</v>
      </c>
      <c r="R23" s="8" t="s">
        <v>93</v>
      </c>
      <c r="S23" s="112"/>
      <c r="T23" s="112"/>
      <c r="U23" s="112">
        <v>300000</v>
      </c>
      <c r="V23" s="112"/>
      <c r="W23" s="112"/>
      <c r="AB23" s="8" t="s">
        <v>92</v>
      </c>
      <c r="AC23" s="9">
        <v>20000</v>
      </c>
      <c r="AD23" s="9"/>
      <c r="AE23" s="9"/>
      <c r="AF23" s="9"/>
      <c r="AG23" s="9">
        <v>20000</v>
      </c>
    </row>
    <row r="24" spans="2:33" x14ac:dyDescent="0.25">
      <c r="B24" t="s">
        <v>6</v>
      </c>
      <c r="C24" s="9">
        <v>3815555</v>
      </c>
      <c r="D24" s="9">
        <v>3466028.92</v>
      </c>
      <c r="E24" s="9"/>
      <c r="H24" t="s">
        <v>5</v>
      </c>
      <c r="I24" t="s">
        <v>92</v>
      </c>
      <c r="J24" t="s">
        <v>5</v>
      </c>
      <c r="K24" s="9">
        <v>0</v>
      </c>
      <c r="L24" s="9">
        <v>70000</v>
      </c>
      <c r="O24"/>
      <c r="P24" s="8" t="s">
        <v>5</v>
      </c>
      <c r="Q24" s="8" t="s">
        <v>5</v>
      </c>
      <c r="R24" s="8" t="s">
        <v>92</v>
      </c>
      <c r="S24" s="112"/>
      <c r="T24" s="112"/>
      <c r="U24" s="112"/>
      <c r="V24" s="112"/>
      <c r="W24" s="112"/>
      <c r="AA24" s="8" t="s">
        <v>62</v>
      </c>
      <c r="AB24" s="8" t="s">
        <v>18</v>
      </c>
      <c r="AC24" s="9">
        <v>200000</v>
      </c>
      <c r="AD24" s="9"/>
      <c r="AE24" s="9"/>
      <c r="AF24" s="9"/>
      <c r="AG24" s="9">
        <v>200000</v>
      </c>
    </row>
    <row r="25" spans="2:33" x14ac:dyDescent="0.25">
      <c r="E25" s="9"/>
      <c r="G25" t="s">
        <v>139</v>
      </c>
      <c r="K25" s="9">
        <v>1300000</v>
      </c>
      <c r="L25" s="9">
        <v>1028750</v>
      </c>
      <c r="O25" s="8" t="s">
        <v>139</v>
      </c>
      <c r="P25"/>
      <c r="Q25"/>
      <c r="R25"/>
      <c r="S25" s="112">
        <v>1000000</v>
      </c>
      <c r="T25" s="112"/>
      <c r="U25" s="112">
        <v>300000</v>
      </c>
      <c r="V25" s="112"/>
      <c r="W25" s="112"/>
      <c r="Z25" s="8" t="s">
        <v>27</v>
      </c>
      <c r="AA25" s="8" t="s">
        <v>5</v>
      </c>
      <c r="AB25" s="8" t="s">
        <v>93</v>
      </c>
      <c r="AC25" s="9"/>
      <c r="AD25" s="9"/>
      <c r="AE25" s="9"/>
      <c r="AF25" s="9"/>
      <c r="AG25" s="9"/>
    </row>
    <row r="26" spans="2:33" x14ac:dyDescent="0.25">
      <c r="E26" s="9"/>
      <c r="G26" s="80">
        <v>45143</v>
      </c>
      <c r="H26" t="s">
        <v>12</v>
      </c>
      <c r="I26" t="s">
        <v>18</v>
      </c>
      <c r="J26" t="s">
        <v>5</v>
      </c>
      <c r="K26" s="9">
        <v>0</v>
      </c>
      <c r="L26" s="9">
        <v>26000</v>
      </c>
      <c r="O26" s="81">
        <v>45143</v>
      </c>
      <c r="P26" s="8" t="s">
        <v>12</v>
      </c>
      <c r="Q26" s="8" t="s">
        <v>5</v>
      </c>
      <c r="R26" s="8" t="s">
        <v>18</v>
      </c>
      <c r="S26" s="112"/>
      <c r="T26" s="112"/>
      <c r="U26" s="112"/>
      <c r="V26" s="112"/>
      <c r="W26" s="112"/>
      <c r="Y26" s="8" t="s">
        <v>139</v>
      </c>
      <c r="AC26" s="9">
        <v>1028750</v>
      </c>
      <c r="AD26" s="9"/>
      <c r="AE26" s="9"/>
      <c r="AF26" s="9"/>
      <c r="AG26" s="9">
        <v>1028750</v>
      </c>
    </row>
    <row r="27" spans="2:33" x14ac:dyDescent="0.25">
      <c r="E27" s="9"/>
      <c r="H27" t="s">
        <v>13</v>
      </c>
      <c r="I27" t="s">
        <v>93</v>
      </c>
      <c r="J27" t="s">
        <v>29</v>
      </c>
      <c r="K27" s="9">
        <v>0</v>
      </c>
      <c r="L27" s="9">
        <v>50000</v>
      </c>
      <c r="O27"/>
      <c r="P27" s="8" t="s">
        <v>13</v>
      </c>
      <c r="Q27" s="8" t="s">
        <v>29</v>
      </c>
      <c r="R27" s="8" t="s">
        <v>93</v>
      </c>
      <c r="S27" s="112"/>
      <c r="T27" s="112"/>
      <c r="U27" s="112"/>
      <c r="V27" s="112"/>
      <c r="W27" s="112"/>
      <c r="Y27" s="81">
        <v>45143</v>
      </c>
      <c r="Z27" s="8" t="s">
        <v>5</v>
      </c>
      <c r="AA27" s="8" t="s">
        <v>5</v>
      </c>
      <c r="AB27" s="8" t="s">
        <v>18</v>
      </c>
      <c r="AC27" s="9"/>
      <c r="AD27" s="9">
        <v>7000</v>
      </c>
      <c r="AE27" s="9"/>
      <c r="AF27" s="9"/>
      <c r="AG27" s="9">
        <v>7000</v>
      </c>
    </row>
    <row r="28" spans="2:33" x14ac:dyDescent="0.25">
      <c r="E28" s="9"/>
      <c r="H28" t="s">
        <v>27</v>
      </c>
      <c r="I28" t="s">
        <v>93</v>
      </c>
      <c r="J28" t="s">
        <v>5</v>
      </c>
      <c r="K28" s="9">
        <v>190500</v>
      </c>
      <c r="L28" s="9"/>
      <c r="O28"/>
      <c r="P28" s="8" t="s">
        <v>27</v>
      </c>
      <c r="Q28" s="8" t="s">
        <v>5</v>
      </c>
      <c r="R28" s="8" t="s">
        <v>93</v>
      </c>
      <c r="S28" s="112"/>
      <c r="T28" s="112"/>
      <c r="U28" s="112">
        <v>190500</v>
      </c>
      <c r="V28" s="112"/>
      <c r="W28" s="112"/>
      <c r="AA28" s="8" t="s">
        <v>21</v>
      </c>
      <c r="AB28" s="8" t="s">
        <v>92</v>
      </c>
      <c r="AC28" s="9"/>
      <c r="AD28" s="9">
        <v>11000</v>
      </c>
      <c r="AE28" s="9"/>
      <c r="AF28" s="9"/>
      <c r="AG28" s="9">
        <v>11000</v>
      </c>
    </row>
    <row r="29" spans="2:33" x14ac:dyDescent="0.25">
      <c r="E29" s="9"/>
      <c r="H29" t="s">
        <v>33</v>
      </c>
      <c r="I29" t="s">
        <v>18</v>
      </c>
      <c r="J29" t="s">
        <v>5</v>
      </c>
      <c r="K29" s="9">
        <v>0</v>
      </c>
      <c r="L29" s="9">
        <v>30000</v>
      </c>
      <c r="O29"/>
      <c r="P29" s="8" t="s">
        <v>33</v>
      </c>
      <c r="Q29" s="8" t="s">
        <v>5</v>
      </c>
      <c r="R29" s="8" t="s">
        <v>18</v>
      </c>
      <c r="S29" s="112"/>
      <c r="T29" s="112"/>
      <c r="U29" s="112"/>
      <c r="V29" s="112"/>
      <c r="W29" s="112"/>
      <c r="AB29" s="8" t="s">
        <v>101</v>
      </c>
      <c r="AC29" s="9"/>
      <c r="AD29" s="9">
        <v>17000</v>
      </c>
      <c r="AE29" s="9"/>
      <c r="AF29" s="9"/>
      <c r="AG29" s="9">
        <v>17000</v>
      </c>
    </row>
    <row r="30" spans="2:33" x14ac:dyDescent="0.25">
      <c r="E30" s="9"/>
      <c r="H30" t="s">
        <v>5</v>
      </c>
      <c r="I30" t="s">
        <v>92</v>
      </c>
      <c r="J30" t="s">
        <v>21</v>
      </c>
      <c r="K30" s="9">
        <v>0</v>
      </c>
      <c r="L30" s="9">
        <v>11000</v>
      </c>
      <c r="O30"/>
      <c r="P30" s="8" t="s">
        <v>5</v>
      </c>
      <c r="Q30" s="8" t="s">
        <v>21</v>
      </c>
      <c r="R30" s="8" t="s">
        <v>92</v>
      </c>
      <c r="S30" s="112"/>
      <c r="T30" s="112"/>
      <c r="U30" s="112"/>
      <c r="V30" s="112"/>
      <c r="W30" s="112"/>
      <c r="AA30" s="8" t="s">
        <v>20</v>
      </c>
      <c r="AB30" s="8" t="s">
        <v>92</v>
      </c>
      <c r="AC30" s="9"/>
      <c r="AD30" s="9">
        <v>1500</v>
      </c>
      <c r="AE30" s="9"/>
      <c r="AF30" s="9"/>
      <c r="AG30" s="9">
        <v>1500</v>
      </c>
    </row>
    <row r="31" spans="2:33" x14ac:dyDescent="0.25">
      <c r="E31" s="9"/>
      <c r="J31" t="s">
        <v>20</v>
      </c>
      <c r="K31" s="9">
        <v>0</v>
      </c>
      <c r="L31" s="9">
        <v>1500</v>
      </c>
      <c r="O31"/>
      <c r="P31"/>
      <c r="Q31"/>
      <c r="R31" s="8" t="s">
        <v>101</v>
      </c>
      <c r="S31" s="112"/>
      <c r="T31" s="112"/>
      <c r="U31" s="112"/>
      <c r="V31" s="112"/>
      <c r="W31" s="112"/>
      <c r="AB31" s="8" t="s">
        <v>18</v>
      </c>
      <c r="AC31" s="9"/>
      <c r="AD31" s="9">
        <v>1500</v>
      </c>
      <c r="AE31" s="9"/>
      <c r="AF31" s="9"/>
      <c r="AG31" s="9">
        <v>1500</v>
      </c>
    </row>
    <row r="32" spans="2:33" x14ac:dyDescent="0.25">
      <c r="E32" s="9"/>
      <c r="I32" t="s">
        <v>18</v>
      </c>
      <c r="J32" t="s">
        <v>5</v>
      </c>
      <c r="K32" s="9">
        <v>0</v>
      </c>
      <c r="L32" s="9">
        <v>7000</v>
      </c>
      <c r="O32"/>
      <c r="P32"/>
      <c r="Q32" s="8" t="s">
        <v>20</v>
      </c>
      <c r="R32" s="8" t="s">
        <v>92</v>
      </c>
      <c r="S32" s="112"/>
      <c r="T32" s="112"/>
      <c r="U32" s="112"/>
      <c r="V32" s="112"/>
      <c r="W32" s="112"/>
      <c r="Z32" s="8" t="s">
        <v>12</v>
      </c>
      <c r="AA32" s="8" t="s">
        <v>5</v>
      </c>
      <c r="AB32" s="8" t="s">
        <v>18</v>
      </c>
      <c r="AC32" s="9"/>
      <c r="AD32" s="9">
        <v>26000</v>
      </c>
      <c r="AE32" s="9"/>
      <c r="AF32" s="9"/>
      <c r="AG32" s="9">
        <v>26000</v>
      </c>
    </row>
    <row r="33" spans="5:33" x14ac:dyDescent="0.25">
      <c r="E33" s="9"/>
      <c r="J33" t="s">
        <v>20</v>
      </c>
      <c r="K33" s="9">
        <v>0</v>
      </c>
      <c r="L33" s="9">
        <v>1500</v>
      </c>
      <c r="O33"/>
      <c r="P33"/>
      <c r="Q33"/>
      <c r="R33" s="8" t="s">
        <v>18</v>
      </c>
      <c r="S33" s="112"/>
      <c r="T33" s="112"/>
      <c r="U33" s="112"/>
      <c r="V33" s="112"/>
      <c r="W33" s="112"/>
      <c r="Z33" s="8" t="s">
        <v>27</v>
      </c>
      <c r="AA33" s="8" t="s">
        <v>5</v>
      </c>
      <c r="AB33" s="8" t="s">
        <v>93</v>
      </c>
      <c r="AC33" s="9"/>
      <c r="AD33" s="9"/>
      <c r="AE33" s="9"/>
      <c r="AF33" s="9"/>
      <c r="AG33" s="9"/>
    </row>
    <row r="34" spans="5:33" x14ac:dyDescent="0.25">
      <c r="E34" s="9"/>
      <c r="I34" t="s">
        <v>101</v>
      </c>
      <c r="J34" t="s">
        <v>21</v>
      </c>
      <c r="K34" s="9">
        <v>0</v>
      </c>
      <c r="L34" s="9">
        <v>17000</v>
      </c>
      <c r="O34"/>
      <c r="P34"/>
      <c r="Q34" s="8" t="s">
        <v>5</v>
      </c>
      <c r="R34" s="8" t="s">
        <v>18</v>
      </c>
      <c r="S34" s="112"/>
      <c r="T34" s="112"/>
      <c r="U34" s="112"/>
      <c r="V34" s="112"/>
      <c r="W34" s="112"/>
      <c r="Z34" s="8" t="s">
        <v>33</v>
      </c>
      <c r="AA34" s="8" t="s">
        <v>5</v>
      </c>
      <c r="AB34" s="8" t="s">
        <v>18</v>
      </c>
      <c r="AC34" s="9"/>
      <c r="AD34" s="9">
        <v>30000</v>
      </c>
      <c r="AE34" s="9"/>
      <c r="AF34" s="9"/>
      <c r="AG34" s="9">
        <v>30000</v>
      </c>
    </row>
    <row r="35" spans="5:33" x14ac:dyDescent="0.25">
      <c r="E35" s="9"/>
      <c r="G35" t="s">
        <v>140</v>
      </c>
      <c r="K35" s="9">
        <v>190500</v>
      </c>
      <c r="L35" s="9">
        <v>144000</v>
      </c>
      <c r="O35" s="8" t="s">
        <v>140</v>
      </c>
      <c r="P35"/>
      <c r="Q35"/>
      <c r="R35"/>
      <c r="S35" s="112"/>
      <c r="T35" s="112"/>
      <c r="U35" s="112">
        <v>190500</v>
      </c>
      <c r="V35" s="112"/>
      <c r="W35" s="112"/>
      <c r="Z35" s="8" t="s">
        <v>13</v>
      </c>
      <c r="AA35" s="8" t="s">
        <v>29</v>
      </c>
      <c r="AB35" s="8" t="s">
        <v>93</v>
      </c>
      <c r="AC35" s="9"/>
      <c r="AD35" s="9">
        <v>50000</v>
      </c>
      <c r="AE35" s="9"/>
      <c r="AF35" s="9"/>
      <c r="AG35" s="9">
        <v>50000</v>
      </c>
    </row>
    <row r="36" spans="5:33" x14ac:dyDescent="0.25">
      <c r="E36" s="9"/>
      <c r="G36" s="80">
        <v>45146</v>
      </c>
      <c r="H36" t="s">
        <v>11</v>
      </c>
      <c r="I36" t="s">
        <v>91</v>
      </c>
      <c r="J36" t="s">
        <v>19</v>
      </c>
      <c r="K36" s="9">
        <v>0</v>
      </c>
      <c r="L36" s="9">
        <v>6500</v>
      </c>
      <c r="O36" s="81">
        <v>45146</v>
      </c>
      <c r="P36" s="8" t="s">
        <v>11</v>
      </c>
      <c r="Q36" s="8" t="s">
        <v>21</v>
      </c>
      <c r="R36" s="8" t="s">
        <v>18</v>
      </c>
      <c r="S36" s="112"/>
      <c r="T36" s="112"/>
      <c r="U36" s="112"/>
      <c r="V36" s="112"/>
      <c r="W36" s="112"/>
      <c r="Y36" s="8" t="s">
        <v>140</v>
      </c>
      <c r="AC36" s="9"/>
      <c r="AD36" s="9">
        <v>144000</v>
      </c>
      <c r="AE36" s="9"/>
      <c r="AF36" s="9"/>
      <c r="AG36" s="9">
        <v>144000</v>
      </c>
    </row>
    <row r="37" spans="5:33" x14ac:dyDescent="0.25">
      <c r="E37" s="9"/>
      <c r="I37" t="s">
        <v>18</v>
      </c>
      <c r="J37" t="s">
        <v>21</v>
      </c>
      <c r="K37" s="9">
        <v>0</v>
      </c>
      <c r="L37" s="9">
        <v>20000</v>
      </c>
      <c r="O37"/>
      <c r="P37"/>
      <c r="Q37" s="8" t="s">
        <v>19</v>
      </c>
      <c r="R37" s="8" t="s">
        <v>91</v>
      </c>
      <c r="S37" s="112"/>
      <c r="T37" s="112"/>
      <c r="U37" s="112"/>
      <c r="V37" s="112"/>
      <c r="W37" s="112"/>
      <c r="Y37" s="81">
        <v>45146</v>
      </c>
      <c r="Z37" s="8" t="s">
        <v>11</v>
      </c>
      <c r="AA37" s="8" t="s">
        <v>19</v>
      </c>
      <c r="AB37" s="8" t="s">
        <v>91</v>
      </c>
      <c r="AC37" s="9">
        <v>6500</v>
      </c>
      <c r="AD37" s="9"/>
      <c r="AE37" s="9"/>
      <c r="AF37" s="9"/>
      <c r="AG37" s="9">
        <v>6500</v>
      </c>
    </row>
    <row r="38" spans="5:33" x14ac:dyDescent="0.25">
      <c r="E38" s="9"/>
      <c r="H38" t="s">
        <v>18</v>
      </c>
      <c r="I38" t="s">
        <v>18</v>
      </c>
      <c r="J38" t="s">
        <v>62</v>
      </c>
      <c r="K38" s="9">
        <v>0</v>
      </c>
      <c r="L38" s="9">
        <v>1000</v>
      </c>
      <c r="O38"/>
      <c r="P38" s="8" t="s">
        <v>18</v>
      </c>
      <c r="Q38" s="8" t="s">
        <v>62</v>
      </c>
      <c r="R38" s="8" t="s">
        <v>18</v>
      </c>
      <c r="S38" s="112"/>
      <c r="T38" s="112"/>
      <c r="U38" s="112"/>
      <c r="V38" s="112"/>
      <c r="W38" s="112"/>
      <c r="AA38" s="8" t="s">
        <v>21</v>
      </c>
      <c r="AB38" s="8" t="s">
        <v>18</v>
      </c>
      <c r="AC38" s="9">
        <v>20000</v>
      </c>
      <c r="AD38" s="9"/>
      <c r="AE38" s="9"/>
      <c r="AF38" s="9"/>
      <c r="AG38" s="9">
        <v>20000</v>
      </c>
    </row>
    <row r="39" spans="5:33" x14ac:dyDescent="0.25">
      <c r="E39" s="9"/>
      <c r="H39" t="s">
        <v>13</v>
      </c>
      <c r="I39" t="s">
        <v>93</v>
      </c>
      <c r="J39" t="s">
        <v>21</v>
      </c>
      <c r="K39" s="9">
        <v>0</v>
      </c>
      <c r="L39" s="9">
        <v>30000</v>
      </c>
      <c r="O39"/>
      <c r="P39" s="8" t="s">
        <v>13</v>
      </c>
      <c r="Q39" s="8" t="s">
        <v>21</v>
      </c>
      <c r="R39" s="8" t="s">
        <v>93</v>
      </c>
      <c r="S39" s="112"/>
      <c r="T39" s="112"/>
      <c r="U39" s="112"/>
      <c r="V39" s="112"/>
      <c r="W39" s="112"/>
      <c r="Z39" s="8" t="s">
        <v>18</v>
      </c>
      <c r="AA39" s="8" t="s">
        <v>62</v>
      </c>
      <c r="AB39" s="8" t="s">
        <v>18</v>
      </c>
      <c r="AC39" s="9">
        <v>1000</v>
      </c>
      <c r="AD39" s="9"/>
      <c r="AE39" s="9"/>
      <c r="AF39" s="9"/>
      <c r="AG39" s="9">
        <v>1000</v>
      </c>
    </row>
    <row r="40" spans="5:33" x14ac:dyDescent="0.25">
      <c r="E40" s="9"/>
      <c r="G40" t="s">
        <v>141</v>
      </c>
      <c r="K40" s="9">
        <v>0</v>
      </c>
      <c r="L40" s="9">
        <v>57500</v>
      </c>
      <c r="O40" s="8" t="s">
        <v>141</v>
      </c>
      <c r="P40"/>
      <c r="Q40"/>
      <c r="R40"/>
      <c r="S40" s="112"/>
      <c r="T40" s="112"/>
      <c r="U40" s="112"/>
      <c r="V40" s="112"/>
      <c r="W40" s="112"/>
      <c r="Z40" s="8" t="s">
        <v>13</v>
      </c>
      <c r="AA40" s="8" t="s">
        <v>21</v>
      </c>
      <c r="AB40" s="8" t="s">
        <v>93</v>
      </c>
      <c r="AC40" s="9">
        <v>30000</v>
      </c>
      <c r="AD40" s="9"/>
      <c r="AE40" s="9"/>
      <c r="AF40" s="9"/>
      <c r="AG40" s="9">
        <v>30000</v>
      </c>
    </row>
    <row r="41" spans="5:33" x14ac:dyDescent="0.25">
      <c r="E41" s="9"/>
      <c r="G41" s="80">
        <v>45147</v>
      </c>
      <c r="H41" t="s">
        <v>11</v>
      </c>
      <c r="I41" t="s">
        <v>93</v>
      </c>
      <c r="J41" t="s">
        <v>5</v>
      </c>
      <c r="K41" s="9">
        <v>330000</v>
      </c>
      <c r="L41" s="9"/>
      <c r="O41" s="81">
        <v>45147</v>
      </c>
      <c r="P41" s="8" t="s">
        <v>11</v>
      </c>
      <c r="Q41" s="8" t="s">
        <v>5</v>
      </c>
      <c r="R41" s="8" t="s">
        <v>93</v>
      </c>
      <c r="S41" s="112">
        <v>330000</v>
      </c>
      <c r="T41" s="112"/>
      <c r="U41" s="112"/>
      <c r="V41" s="112"/>
      <c r="W41" s="112"/>
      <c r="Y41" s="8" t="s">
        <v>141</v>
      </c>
      <c r="AC41" s="9">
        <v>57500</v>
      </c>
      <c r="AD41" s="9"/>
      <c r="AE41" s="9"/>
      <c r="AF41" s="9"/>
      <c r="AG41" s="9">
        <v>57500</v>
      </c>
    </row>
    <row r="42" spans="5:33" x14ac:dyDescent="0.25">
      <c r="E42" s="9"/>
      <c r="H42" t="s">
        <v>14</v>
      </c>
      <c r="I42" t="s">
        <v>93</v>
      </c>
      <c r="J42" t="s">
        <v>5</v>
      </c>
      <c r="K42" s="9">
        <v>317200</v>
      </c>
      <c r="L42" s="9"/>
      <c r="O42"/>
      <c r="P42" s="8" t="s">
        <v>14</v>
      </c>
      <c r="Q42" s="8" t="s">
        <v>5</v>
      </c>
      <c r="R42" s="8" t="s">
        <v>93</v>
      </c>
      <c r="S42" s="112">
        <v>317200</v>
      </c>
      <c r="T42" s="112"/>
      <c r="U42" s="112"/>
      <c r="V42" s="112"/>
      <c r="W42" s="112"/>
      <c r="Y42" s="81">
        <v>45147</v>
      </c>
      <c r="Z42" s="8" t="s">
        <v>11</v>
      </c>
      <c r="AA42" s="8" t="s">
        <v>5</v>
      </c>
      <c r="AB42" s="8" t="s">
        <v>93</v>
      </c>
      <c r="AC42" s="9"/>
      <c r="AD42" s="9"/>
      <c r="AE42" s="9"/>
      <c r="AF42" s="9"/>
      <c r="AG42" s="9"/>
    </row>
    <row r="43" spans="5:33" x14ac:dyDescent="0.25">
      <c r="E43" s="9"/>
      <c r="H43" t="s">
        <v>12</v>
      </c>
      <c r="I43" t="s">
        <v>91</v>
      </c>
      <c r="J43" t="s">
        <v>62</v>
      </c>
      <c r="K43" s="9">
        <v>0</v>
      </c>
      <c r="L43" s="9">
        <v>39800</v>
      </c>
      <c r="O43"/>
      <c r="P43" s="8" t="s">
        <v>12</v>
      </c>
      <c r="Q43" s="8" t="s">
        <v>62</v>
      </c>
      <c r="R43" s="8" t="s">
        <v>91</v>
      </c>
      <c r="S43" s="112"/>
      <c r="T43" s="112"/>
      <c r="U43" s="112"/>
      <c r="V43" s="112"/>
      <c r="W43" s="112"/>
      <c r="Z43" s="8" t="s">
        <v>12</v>
      </c>
      <c r="AA43" s="8" t="s">
        <v>62</v>
      </c>
      <c r="AB43" s="8" t="s">
        <v>91</v>
      </c>
      <c r="AC43" s="9"/>
      <c r="AD43" s="9"/>
      <c r="AE43" s="9">
        <v>39800</v>
      </c>
      <c r="AF43" s="9"/>
      <c r="AG43" s="9">
        <v>39800</v>
      </c>
    </row>
    <row r="44" spans="5:33" x14ac:dyDescent="0.25">
      <c r="E44" s="9"/>
      <c r="H44" t="s">
        <v>16</v>
      </c>
      <c r="I44" t="s">
        <v>18</v>
      </c>
      <c r="J44" t="s">
        <v>21</v>
      </c>
      <c r="K44" s="9">
        <v>0</v>
      </c>
      <c r="L44" s="9">
        <v>158800</v>
      </c>
      <c r="O44"/>
      <c r="P44" s="8" t="s">
        <v>16</v>
      </c>
      <c r="Q44" s="8" t="s">
        <v>21</v>
      </c>
      <c r="R44" s="8" t="s">
        <v>18</v>
      </c>
      <c r="S44" s="112"/>
      <c r="T44" s="112"/>
      <c r="U44" s="112"/>
      <c r="V44" s="112"/>
      <c r="W44" s="112"/>
      <c r="Z44" s="8" t="s">
        <v>16</v>
      </c>
      <c r="AA44" s="8" t="s">
        <v>21</v>
      </c>
      <c r="AB44" s="8" t="s">
        <v>18</v>
      </c>
      <c r="AC44" s="9">
        <v>158800</v>
      </c>
      <c r="AD44" s="9"/>
      <c r="AE44" s="9"/>
      <c r="AF44" s="9"/>
      <c r="AG44" s="9">
        <v>158800</v>
      </c>
    </row>
    <row r="45" spans="5:33" x14ac:dyDescent="0.25">
      <c r="E45" s="9"/>
      <c r="H45" t="s">
        <v>17</v>
      </c>
      <c r="I45" t="s">
        <v>18</v>
      </c>
      <c r="J45" t="s">
        <v>21</v>
      </c>
      <c r="K45" s="9">
        <v>0</v>
      </c>
      <c r="L45" s="9">
        <v>100000</v>
      </c>
      <c r="O45"/>
      <c r="P45" s="8" t="s">
        <v>17</v>
      </c>
      <c r="Q45" s="8" t="s">
        <v>21</v>
      </c>
      <c r="R45" s="8" t="s">
        <v>18</v>
      </c>
      <c r="S45" s="112"/>
      <c r="T45" s="112"/>
      <c r="U45" s="112"/>
      <c r="V45" s="112"/>
      <c r="W45" s="112"/>
      <c r="Z45" s="8" t="s">
        <v>14</v>
      </c>
      <c r="AA45" s="8" t="s">
        <v>5</v>
      </c>
      <c r="AB45" s="8" t="s">
        <v>93</v>
      </c>
      <c r="AC45" s="9"/>
      <c r="AD45" s="9"/>
      <c r="AE45" s="9"/>
      <c r="AF45" s="9"/>
      <c r="AG45" s="9"/>
    </row>
    <row r="46" spans="5:33" x14ac:dyDescent="0.25">
      <c r="E46" s="9"/>
      <c r="G46" t="s">
        <v>142</v>
      </c>
      <c r="K46" s="9">
        <v>647200</v>
      </c>
      <c r="L46" s="9">
        <v>298600</v>
      </c>
      <c r="O46" s="8" t="s">
        <v>142</v>
      </c>
      <c r="P46"/>
      <c r="Q46"/>
      <c r="R46"/>
      <c r="S46" s="112">
        <v>647200</v>
      </c>
      <c r="T46" s="112"/>
      <c r="U46" s="112"/>
      <c r="V46" s="112"/>
      <c r="W46" s="112"/>
      <c r="Z46" s="8" t="s">
        <v>17</v>
      </c>
      <c r="AA46" s="8" t="s">
        <v>21</v>
      </c>
      <c r="AB46" s="8" t="s">
        <v>18</v>
      </c>
      <c r="AC46" s="9">
        <v>100000</v>
      </c>
      <c r="AD46" s="9"/>
      <c r="AE46" s="9"/>
      <c r="AF46" s="9"/>
      <c r="AG46" s="9">
        <v>100000</v>
      </c>
    </row>
    <row r="47" spans="5:33" x14ac:dyDescent="0.25">
      <c r="E47" s="9"/>
      <c r="G47" s="80">
        <v>45148</v>
      </c>
      <c r="H47" t="s">
        <v>18</v>
      </c>
      <c r="I47" t="s">
        <v>18</v>
      </c>
      <c r="J47" t="s">
        <v>5</v>
      </c>
      <c r="K47" s="9">
        <v>0</v>
      </c>
      <c r="L47" s="9">
        <v>10000</v>
      </c>
      <c r="O47" s="81">
        <v>45148</v>
      </c>
      <c r="P47" s="8" t="s">
        <v>18</v>
      </c>
      <c r="Q47" s="8" t="s">
        <v>5</v>
      </c>
      <c r="R47" s="8" t="s">
        <v>18</v>
      </c>
      <c r="S47" s="112"/>
      <c r="T47" s="112"/>
      <c r="U47" s="112"/>
      <c r="V47" s="112"/>
      <c r="W47" s="112"/>
      <c r="Y47" s="8" t="s">
        <v>142</v>
      </c>
      <c r="AC47" s="9">
        <v>258800</v>
      </c>
      <c r="AD47" s="9"/>
      <c r="AE47" s="9">
        <v>39800</v>
      </c>
      <c r="AF47" s="9"/>
      <c r="AG47" s="9">
        <v>298600</v>
      </c>
    </row>
    <row r="48" spans="5:33" x14ac:dyDescent="0.25">
      <c r="E48" s="9"/>
      <c r="H48" t="s">
        <v>58</v>
      </c>
      <c r="I48" t="s">
        <v>18</v>
      </c>
      <c r="J48" t="s">
        <v>5</v>
      </c>
      <c r="K48" s="9">
        <v>0</v>
      </c>
      <c r="L48" s="9">
        <v>5000</v>
      </c>
      <c r="O48"/>
      <c r="P48" s="8" t="s">
        <v>58</v>
      </c>
      <c r="Q48" s="8" t="s">
        <v>5</v>
      </c>
      <c r="R48" s="8" t="s">
        <v>18</v>
      </c>
      <c r="S48" s="112"/>
      <c r="T48" s="112"/>
      <c r="U48" s="112"/>
      <c r="V48" s="112"/>
      <c r="W48" s="112"/>
      <c r="Y48" s="81">
        <v>45148</v>
      </c>
      <c r="Z48" s="8" t="s">
        <v>5</v>
      </c>
      <c r="AA48" s="8" t="s">
        <v>5</v>
      </c>
      <c r="AB48" s="8" t="s">
        <v>18</v>
      </c>
      <c r="AC48" s="9">
        <v>263000</v>
      </c>
      <c r="AD48" s="9"/>
      <c r="AE48" s="9"/>
      <c r="AF48" s="9"/>
      <c r="AG48" s="9">
        <v>263000</v>
      </c>
    </row>
    <row r="49" spans="5:33" x14ac:dyDescent="0.25">
      <c r="E49" s="9"/>
      <c r="H49" t="s">
        <v>33</v>
      </c>
      <c r="I49" t="s">
        <v>91</v>
      </c>
      <c r="J49" t="s">
        <v>5</v>
      </c>
      <c r="K49" s="9">
        <v>0</v>
      </c>
      <c r="L49" s="9">
        <v>2000</v>
      </c>
      <c r="O49"/>
      <c r="P49" s="8" t="s">
        <v>33</v>
      </c>
      <c r="Q49" s="8" t="s">
        <v>5</v>
      </c>
      <c r="R49" s="8" t="s">
        <v>91</v>
      </c>
      <c r="S49" s="112"/>
      <c r="T49" s="112"/>
      <c r="U49" s="112"/>
      <c r="V49" s="112"/>
      <c r="W49" s="112"/>
      <c r="Z49" s="8" t="s">
        <v>18</v>
      </c>
      <c r="AA49" s="8" t="s">
        <v>5</v>
      </c>
      <c r="AB49" s="8" t="s">
        <v>18</v>
      </c>
      <c r="AC49" s="9"/>
      <c r="AD49" s="9">
        <v>10000</v>
      </c>
      <c r="AE49" s="9"/>
      <c r="AF49" s="9"/>
      <c r="AG49" s="9">
        <v>10000</v>
      </c>
    </row>
    <row r="50" spans="5:33" x14ac:dyDescent="0.25">
      <c r="E50" s="9"/>
      <c r="H50" t="s">
        <v>5</v>
      </c>
      <c r="I50" t="s">
        <v>18</v>
      </c>
      <c r="J50" t="s">
        <v>5</v>
      </c>
      <c r="K50" s="9">
        <v>0</v>
      </c>
      <c r="L50" s="9">
        <v>263000</v>
      </c>
      <c r="O50"/>
      <c r="P50" s="8" t="s">
        <v>5</v>
      </c>
      <c r="Q50" s="8" t="s">
        <v>5</v>
      </c>
      <c r="R50" s="8" t="s">
        <v>18</v>
      </c>
      <c r="S50" s="112"/>
      <c r="T50" s="112"/>
      <c r="U50" s="112"/>
      <c r="V50" s="112"/>
      <c r="W50" s="112"/>
      <c r="Z50" s="8" t="s">
        <v>33</v>
      </c>
      <c r="AA50" s="8" t="s">
        <v>5</v>
      </c>
      <c r="AB50" s="8" t="s">
        <v>91</v>
      </c>
      <c r="AC50" s="9"/>
      <c r="AD50" s="9">
        <v>2000</v>
      </c>
      <c r="AE50" s="9"/>
      <c r="AF50" s="9"/>
      <c r="AG50" s="9">
        <v>2000</v>
      </c>
    </row>
    <row r="51" spans="5:33" x14ac:dyDescent="0.25">
      <c r="E51" s="9"/>
      <c r="G51" t="s">
        <v>143</v>
      </c>
      <c r="K51" s="9">
        <v>0</v>
      </c>
      <c r="L51" s="9">
        <v>280000</v>
      </c>
      <c r="O51" s="8" t="s">
        <v>143</v>
      </c>
      <c r="P51"/>
      <c r="Q51"/>
      <c r="R51"/>
      <c r="S51" s="112"/>
      <c r="T51" s="112"/>
      <c r="U51" s="112"/>
      <c r="V51" s="112"/>
      <c r="W51" s="112"/>
      <c r="Z51" s="8" t="s">
        <v>58</v>
      </c>
      <c r="AA51" s="8" t="s">
        <v>5</v>
      </c>
      <c r="AB51" s="8" t="s">
        <v>18</v>
      </c>
      <c r="AC51" s="9"/>
      <c r="AD51" s="9">
        <v>5000</v>
      </c>
      <c r="AE51" s="9"/>
      <c r="AF51" s="9"/>
      <c r="AG51" s="9">
        <v>5000</v>
      </c>
    </row>
    <row r="52" spans="5:33" x14ac:dyDescent="0.25">
      <c r="E52" s="9"/>
      <c r="G52" s="80">
        <v>45149</v>
      </c>
      <c r="H52" t="s">
        <v>11</v>
      </c>
      <c r="I52" t="s">
        <v>92</v>
      </c>
      <c r="J52" t="s">
        <v>21</v>
      </c>
      <c r="K52" s="9">
        <v>0</v>
      </c>
      <c r="L52" s="9">
        <v>26500</v>
      </c>
      <c r="O52" s="81">
        <v>45149</v>
      </c>
      <c r="P52" s="8" t="s">
        <v>11</v>
      </c>
      <c r="Q52" s="8" t="s">
        <v>21</v>
      </c>
      <c r="R52" s="8" t="s">
        <v>92</v>
      </c>
      <c r="S52" s="112"/>
      <c r="T52" s="112"/>
      <c r="U52" s="112"/>
      <c r="V52" s="112"/>
      <c r="W52" s="112"/>
      <c r="Y52" s="8" t="s">
        <v>143</v>
      </c>
      <c r="AC52" s="9">
        <v>263000</v>
      </c>
      <c r="AD52" s="9">
        <v>17000</v>
      </c>
      <c r="AE52" s="9"/>
      <c r="AF52" s="9"/>
      <c r="AG52" s="9">
        <v>280000</v>
      </c>
    </row>
    <row r="53" spans="5:33" x14ac:dyDescent="0.25">
      <c r="E53" s="9"/>
      <c r="H53" t="s">
        <v>14</v>
      </c>
      <c r="I53" t="s">
        <v>18</v>
      </c>
      <c r="J53" t="s">
        <v>5</v>
      </c>
      <c r="K53" s="9">
        <v>0</v>
      </c>
      <c r="L53" s="9">
        <v>10000</v>
      </c>
      <c r="O53"/>
      <c r="P53" s="8" t="s">
        <v>14</v>
      </c>
      <c r="Q53" s="8" t="s">
        <v>5</v>
      </c>
      <c r="R53" s="8" t="s">
        <v>18</v>
      </c>
      <c r="S53" s="112"/>
      <c r="T53" s="112"/>
      <c r="U53" s="112"/>
      <c r="V53" s="112"/>
      <c r="W53" s="112"/>
      <c r="Y53" s="81">
        <v>45149</v>
      </c>
      <c r="Z53" s="8" t="s">
        <v>11</v>
      </c>
      <c r="AA53" s="8" t="s">
        <v>21</v>
      </c>
      <c r="AB53" s="8" t="s">
        <v>92</v>
      </c>
      <c r="AC53" s="9">
        <v>26500</v>
      </c>
      <c r="AD53" s="9"/>
      <c r="AE53" s="9"/>
      <c r="AF53" s="9"/>
      <c r="AG53" s="9">
        <v>26500</v>
      </c>
    </row>
    <row r="54" spans="5:33" x14ac:dyDescent="0.25">
      <c r="E54" s="9"/>
      <c r="H54" t="s">
        <v>18</v>
      </c>
      <c r="I54" t="s">
        <v>91</v>
      </c>
      <c r="J54" t="s">
        <v>5</v>
      </c>
      <c r="K54" s="9">
        <v>0</v>
      </c>
      <c r="L54" s="9">
        <v>6000</v>
      </c>
      <c r="O54"/>
      <c r="P54" s="8" t="s">
        <v>18</v>
      </c>
      <c r="Q54" s="8" t="s">
        <v>5</v>
      </c>
      <c r="R54" s="8" t="s">
        <v>91</v>
      </c>
      <c r="S54" s="112"/>
      <c r="T54" s="112"/>
      <c r="U54" s="112"/>
      <c r="V54" s="112"/>
      <c r="W54" s="112"/>
      <c r="Z54" s="8" t="s">
        <v>18</v>
      </c>
      <c r="AA54" s="8" t="s">
        <v>5</v>
      </c>
      <c r="AB54" s="8" t="s">
        <v>91</v>
      </c>
      <c r="AC54" s="9">
        <v>6000</v>
      </c>
      <c r="AD54" s="9"/>
      <c r="AE54" s="9"/>
      <c r="AF54" s="9"/>
      <c r="AG54" s="9">
        <v>6000</v>
      </c>
    </row>
    <row r="55" spans="5:33" x14ac:dyDescent="0.25">
      <c r="E55" s="9"/>
      <c r="H55" t="s">
        <v>15</v>
      </c>
      <c r="I55" t="s">
        <v>18</v>
      </c>
      <c r="J55" t="s">
        <v>5</v>
      </c>
      <c r="K55" s="9">
        <v>0</v>
      </c>
      <c r="L55" s="9">
        <v>25000</v>
      </c>
      <c r="O55"/>
      <c r="P55" s="8" t="s">
        <v>15</v>
      </c>
      <c r="Q55" s="8" t="s">
        <v>5</v>
      </c>
      <c r="R55" s="8" t="s">
        <v>18</v>
      </c>
      <c r="S55" s="112"/>
      <c r="T55" s="112"/>
      <c r="U55" s="112"/>
      <c r="V55" s="112"/>
      <c r="W55" s="112"/>
      <c r="Z55" s="8" t="s">
        <v>13</v>
      </c>
      <c r="AA55" s="8" t="s">
        <v>21</v>
      </c>
      <c r="AB55" s="8" t="s">
        <v>93</v>
      </c>
      <c r="AC55" s="9">
        <v>40000</v>
      </c>
      <c r="AD55" s="9"/>
      <c r="AE55" s="9"/>
      <c r="AF55" s="9"/>
      <c r="AG55" s="9">
        <v>40000</v>
      </c>
    </row>
    <row r="56" spans="5:33" x14ac:dyDescent="0.25">
      <c r="E56" s="9"/>
      <c r="H56" t="s">
        <v>13</v>
      </c>
      <c r="I56" t="s">
        <v>93</v>
      </c>
      <c r="J56" t="s">
        <v>21</v>
      </c>
      <c r="K56" s="9">
        <v>0</v>
      </c>
      <c r="L56" s="9">
        <v>40000</v>
      </c>
      <c r="O56"/>
      <c r="P56" s="8" t="s">
        <v>13</v>
      </c>
      <c r="Q56" s="8" t="s">
        <v>21</v>
      </c>
      <c r="R56" s="8" t="s">
        <v>93</v>
      </c>
      <c r="S56" s="112"/>
      <c r="T56" s="112"/>
      <c r="U56" s="112"/>
      <c r="V56" s="112"/>
      <c r="W56" s="112"/>
      <c r="Z56" s="8" t="s">
        <v>14</v>
      </c>
      <c r="AA56" s="8" t="s">
        <v>5</v>
      </c>
      <c r="AB56" s="8" t="s">
        <v>18</v>
      </c>
      <c r="AC56" s="9">
        <v>10000</v>
      </c>
      <c r="AD56" s="9"/>
      <c r="AE56" s="9"/>
      <c r="AF56" s="9"/>
      <c r="AG56" s="9">
        <v>10000</v>
      </c>
    </row>
    <row r="57" spans="5:33" x14ac:dyDescent="0.25">
      <c r="E57" s="9"/>
      <c r="G57" t="s">
        <v>144</v>
      </c>
      <c r="K57" s="9">
        <v>0</v>
      </c>
      <c r="L57" s="9">
        <v>107500</v>
      </c>
      <c r="O57" s="8" t="s">
        <v>144</v>
      </c>
      <c r="P57"/>
      <c r="Q57"/>
      <c r="R57"/>
      <c r="S57" s="112"/>
      <c r="T57" s="112"/>
      <c r="U57" s="112"/>
      <c r="V57" s="112"/>
      <c r="W57" s="112"/>
      <c r="Z57" s="8" t="s">
        <v>15</v>
      </c>
      <c r="AA57" s="8" t="s">
        <v>5</v>
      </c>
      <c r="AB57" s="8" t="s">
        <v>18</v>
      </c>
      <c r="AC57" s="9">
        <v>25000</v>
      </c>
      <c r="AD57" s="9"/>
      <c r="AE57" s="9"/>
      <c r="AF57" s="9"/>
      <c r="AG57" s="9">
        <v>25000</v>
      </c>
    </row>
    <row r="58" spans="5:33" x14ac:dyDescent="0.25">
      <c r="E58" s="9"/>
      <c r="G58" s="80">
        <v>45152</v>
      </c>
      <c r="H58" t="s">
        <v>18</v>
      </c>
      <c r="I58" t="s">
        <v>92</v>
      </c>
      <c r="J58" t="s">
        <v>5</v>
      </c>
      <c r="K58" s="9">
        <v>0</v>
      </c>
      <c r="L58" s="9">
        <v>30000</v>
      </c>
      <c r="O58" s="81">
        <v>45152</v>
      </c>
      <c r="P58" s="8" t="s">
        <v>18</v>
      </c>
      <c r="Q58" s="8" t="s">
        <v>5</v>
      </c>
      <c r="R58" s="8" t="s">
        <v>92</v>
      </c>
      <c r="S58" s="112"/>
      <c r="T58" s="112"/>
      <c r="U58" s="112"/>
      <c r="V58" s="112"/>
      <c r="W58" s="112"/>
      <c r="Y58" s="8" t="s">
        <v>144</v>
      </c>
      <c r="AC58" s="9">
        <v>107500</v>
      </c>
      <c r="AD58" s="9"/>
      <c r="AE58" s="9"/>
      <c r="AF58" s="9"/>
      <c r="AG58" s="9">
        <v>107500</v>
      </c>
    </row>
    <row r="59" spans="5:33" x14ac:dyDescent="0.25">
      <c r="E59" s="9"/>
      <c r="H59" t="s">
        <v>5</v>
      </c>
      <c r="I59" t="s">
        <v>91</v>
      </c>
      <c r="J59" t="s">
        <v>29</v>
      </c>
      <c r="K59" s="9">
        <v>0</v>
      </c>
      <c r="L59" s="9">
        <v>500000</v>
      </c>
      <c r="O59"/>
      <c r="P59" s="8" t="s">
        <v>5</v>
      </c>
      <c r="Q59" s="8" t="s">
        <v>29</v>
      </c>
      <c r="R59" s="8" t="s">
        <v>91</v>
      </c>
      <c r="S59" s="112"/>
      <c r="T59" s="112"/>
      <c r="U59" s="112"/>
      <c r="V59" s="112"/>
      <c r="W59" s="112"/>
      <c r="Y59" s="81">
        <v>45152</v>
      </c>
      <c r="Z59" s="8" t="s">
        <v>5</v>
      </c>
      <c r="AA59" s="8" t="s">
        <v>29</v>
      </c>
      <c r="AB59" s="8" t="s">
        <v>91</v>
      </c>
      <c r="AC59" s="9">
        <v>500000</v>
      </c>
      <c r="AD59" s="9"/>
      <c r="AE59" s="9"/>
      <c r="AF59" s="9"/>
      <c r="AG59" s="9">
        <v>500000</v>
      </c>
    </row>
    <row r="60" spans="5:33" x14ac:dyDescent="0.25">
      <c r="E60" s="9"/>
      <c r="I60" t="s">
        <v>18</v>
      </c>
      <c r="J60" t="s">
        <v>5</v>
      </c>
      <c r="K60" s="9">
        <v>0</v>
      </c>
      <c r="L60" s="9">
        <v>10000</v>
      </c>
      <c r="O60"/>
      <c r="P60"/>
      <c r="Q60" s="8" t="s">
        <v>5</v>
      </c>
      <c r="R60" s="8" t="s">
        <v>18</v>
      </c>
      <c r="S60" s="112"/>
      <c r="T60" s="112"/>
      <c r="U60" s="112"/>
      <c r="V60" s="112"/>
      <c r="W60" s="112"/>
      <c r="AA60" s="8" t="s">
        <v>5</v>
      </c>
      <c r="AB60" s="8" t="s">
        <v>18</v>
      </c>
      <c r="AC60" s="9">
        <v>10000</v>
      </c>
      <c r="AD60" s="9"/>
      <c r="AE60" s="9"/>
      <c r="AF60" s="9"/>
      <c r="AG60" s="9">
        <v>10000</v>
      </c>
    </row>
    <row r="61" spans="5:33" x14ac:dyDescent="0.25">
      <c r="G61" t="s">
        <v>145</v>
      </c>
      <c r="K61" s="9">
        <v>0</v>
      </c>
      <c r="L61" s="9">
        <v>540000</v>
      </c>
      <c r="O61" s="8" t="s">
        <v>145</v>
      </c>
      <c r="P61"/>
      <c r="Q61"/>
      <c r="R61"/>
      <c r="S61" s="112"/>
      <c r="T61" s="112"/>
      <c r="U61" s="112"/>
      <c r="V61" s="112"/>
      <c r="W61" s="112"/>
      <c r="Z61" s="8" t="s">
        <v>18</v>
      </c>
      <c r="AA61" s="8" t="s">
        <v>5</v>
      </c>
      <c r="AB61" s="8" t="s">
        <v>92</v>
      </c>
      <c r="AC61" s="9">
        <v>30000</v>
      </c>
      <c r="AD61" s="9"/>
      <c r="AE61" s="9"/>
      <c r="AF61" s="9"/>
      <c r="AG61" s="9">
        <v>30000</v>
      </c>
    </row>
    <row r="62" spans="5:33" x14ac:dyDescent="0.25">
      <c r="G62" s="80">
        <v>45153</v>
      </c>
      <c r="H62" t="s">
        <v>12</v>
      </c>
      <c r="I62" t="s">
        <v>91</v>
      </c>
      <c r="J62" t="s">
        <v>5</v>
      </c>
      <c r="K62" s="9">
        <v>0</v>
      </c>
      <c r="L62" s="9">
        <v>7000</v>
      </c>
      <c r="O62" s="81">
        <v>45153</v>
      </c>
      <c r="P62" s="8" t="s">
        <v>12</v>
      </c>
      <c r="Q62" s="8" t="s">
        <v>5</v>
      </c>
      <c r="R62" s="8" t="s">
        <v>91</v>
      </c>
      <c r="S62" s="112"/>
      <c r="T62" s="112"/>
      <c r="U62" s="112"/>
      <c r="V62" s="112"/>
      <c r="W62" s="112"/>
      <c r="Y62" s="8" t="s">
        <v>145</v>
      </c>
      <c r="AC62" s="9">
        <v>540000</v>
      </c>
      <c r="AD62" s="9"/>
      <c r="AE62" s="9"/>
      <c r="AF62" s="9"/>
      <c r="AG62" s="9">
        <v>540000</v>
      </c>
    </row>
    <row r="63" spans="5:33" x14ac:dyDescent="0.25">
      <c r="H63" t="s">
        <v>59</v>
      </c>
      <c r="I63" t="s">
        <v>92</v>
      </c>
      <c r="J63" t="s">
        <v>21</v>
      </c>
      <c r="K63" s="9">
        <v>0</v>
      </c>
      <c r="L63" s="9">
        <v>5000</v>
      </c>
      <c r="O63"/>
      <c r="P63" s="8" t="s">
        <v>59</v>
      </c>
      <c r="Q63" s="8" t="s">
        <v>21</v>
      </c>
      <c r="R63" s="8" t="s">
        <v>92</v>
      </c>
      <c r="S63" s="112"/>
      <c r="T63" s="112"/>
      <c r="U63" s="112"/>
      <c r="V63" s="112"/>
      <c r="W63" s="112"/>
      <c r="Y63" s="81">
        <v>45153</v>
      </c>
      <c r="Z63" s="8" t="s">
        <v>5</v>
      </c>
      <c r="AA63" s="8" t="s">
        <v>62</v>
      </c>
      <c r="AB63" s="8" t="s">
        <v>91</v>
      </c>
      <c r="AC63" s="9">
        <v>2000</v>
      </c>
      <c r="AD63" s="9"/>
      <c r="AE63" s="9"/>
      <c r="AF63" s="9"/>
      <c r="AG63" s="9">
        <v>2000</v>
      </c>
    </row>
    <row r="64" spans="5:33" x14ac:dyDescent="0.25">
      <c r="H64" t="s">
        <v>5</v>
      </c>
      <c r="I64" t="s">
        <v>91</v>
      </c>
      <c r="J64" t="s">
        <v>62</v>
      </c>
      <c r="K64" s="9">
        <v>0</v>
      </c>
      <c r="L64" s="9">
        <v>2000</v>
      </c>
      <c r="O64"/>
      <c r="P64" s="8" t="s">
        <v>5</v>
      </c>
      <c r="Q64" s="8" t="s">
        <v>62</v>
      </c>
      <c r="R64" s="8" t="s">
        <v>91</v>
      </c>
      <c r="S64" s="112"/>
      <c r="T64" s="112"/>
      <c r="U64" s="112"/>
      <c r="V64" s="112"/>
      <c r="W64" s="112"/>
      <c r="Z64" s="8" t="s">
        <v>12</v>
      </c>
      <c r="AA64" s="8" t="s">
        <v>5</v>
      </c>
      <c r="AB64" s="8" t="s">
        <v>91</v>
      </c>
      <c r="AC64" s="9"/>
      <c r="AD64" s="9"/>
      <c r="AE64" s="9">
        <v>7000</v>
      </c>
      <c r="AF64" s="9"/>
      <c r="AG64" s="9">
        <v>7000</v>
      </c>
    </row>
    <row r="65" spans="7:33" x14ac:dyDescent="0.25">
      <c r="G65" t="s">
        <v>146</v>
      </c>
      <c r="K65" s="9">
        <v>0</v>
      </c>
      <c r="L65" s="9">
        <v>14000</v>
      </c>
      <c r="O65" s="8" t="s">
        <v>146</v>
      </c>
      <c r="P65"/>
      <c r="Q65"/>
      <c r="R65"/>
      <c r="S65" s="112"/>
      <c r="T65" s="112"/>
      <c r="U65" s="112"/>
      <c r="V65" s="112"/>
      <c r="W65" s="112"/>
      <c r="Z65" s="8" t="s">
        <v>59</v>
      </c>
      <c r="AA65" s="8" t="s">
        <v>21</v>
      </c>
      <c r="AB65" s="8" t="s">
        <v>92</v>
      </c>
      <c r="AC65" s="9"/>
      <c r="AD65" s="9"/>
      <c r="AE65" s="9">
        <v>5000</v>
      </c>
      <c r="AF65" s="9"/>
      <c r="AG65" s="9">
        <v>5000</v>
      </c>
    </row>
    <row r="66" spans="7:33" x14ac:dyDescent="0.25">
      <c r="G66" s="80">
        <v>45154</v>
      </c>
      <c r="H66" t="s">
        <v>11</v>
      </c>
      <c r="I66" t="s">
        <v>91</v>
      </c>
      <c r="J66" t="s">
        <v>21</v>
      </c>
      <c r="K66" s="9">
        <v>0</v>
      </c>
      <c r="L66" s="9">
        <v>16250</v>
      </c>
      <c r="O66" s="81">
        <v>45154</v>
      </c>
      <c r="P66" s="8" t="s">
        <v>11</v>
      </c>
      <c r="Q66" s="8" t="s">
        <v>21</v>
      </c>
      <c r="R66" s="8" t="s">
        <v>91</v>
      </c>
      <c r="S66" s="112"/>
      <c r="T66" s="112"/>
      <c r="U66" s="112"/>
      <c r="V66" s="112"/>
      <c r="W66" s="112"/>
      <c r="Y66" s="8" t="s">
        <v>146</v>
      </c>
      <c r="AC66" s="9">
        <v>2000</v>
      </c>
      <c r="AD66" s="9"/>
      <c r="AE66" s="9">
        <v>12000</v>
      </c>
      <c r="AF66" s="9"/>
      <c r="AG66" s="9">
        <v>14000</v>
      </c>
    </row>
    <row r="67" spans="7:33" x14ac:dyDescent="0.25">
      <c r="I67" t="s">
        <v>92</v>
      </c>
      <c r="J67" t="s">
        <v>21</v>
      </c>
      <c r="K67" s="9">
        <v>0</v>
      </c>
      <c r="L67" s="9">
        <v>3500</v>
      </c>
      <c r="O67"/>
      <c r="P67"/>
      <c r="Q67"/>
      <c r="R67" s="8" t="s">
        <v>92</v>
      </c>
      <c r="S67" s="112"/>
      <c r="T67" s="112"/>
      <c r="U67" s="112"/>
      <c r="V67" s="112"/>
      <c r="W67" s="112"/>
      <c r="Y67" s="81">
        <v>45154</v>
      </c>
      <c r="Z67" s="8" t="s">
        <v>11</v>
      </c>
      <c r="AA67" s="8" t="s">
        <v>21</v>
      </c>
      <c r="AB67" s="8" t="s">
        <v>91</v>
      </c>
      <c r="AC67" s="9"/>
      <c r="AD67" s="9"/>
      <c r="AE67" s="9">
        <v>16250</v>
      </c>
      <c r="AF67" s="9"/>
      <c r="AG67" s="9">
        <v>16250</v>
      </c>
    </row>
    <row r="68" spans="7:33" x14ac:dyDescent="0.25">
      <c r="G68" t="s">
        <v>147</v>
      </c>
      <c r="K68" s="9">
        <v>0</v>
      </c>
      <c r="L68" s="9">
        <v>19750</v>
      </c>
      <c r="O68" s="8" t="s">
        <v>147</v>
      </c>
      <c r="P68"/>
      <c r="Q68"/>
      <c r="R68"/>
      <c r="S68" s="112"/>
      <c r="T68" s="112"/>
      <c r="U68" s="112"/>
      <c r="V68" s="112"/>
      <c r="W68" s="112"/>
      <c r="AB68" s="8" t="s">
        <v>92</v>
      </c>
      <c r="AC68" s="9">
        <v>3500</v>
      </c>
      <c r="AD68" s="9"/>
      <c r="AE68" s="9"/>
      <c r="AF68" s="9"/>
      <c r="AG68" s="9">
        <v>3500</v>
      </c>
    </row>
    <row r="69" spans="7:33" x14ac:dyDescent="0.25">
      <c r="G69" s="80">
        <v>45155</v>
      </c>
      <c r="H69" t="s">
        <v>11</v>
      </c>
      <c r="I69" t="s">
        <v>92</v>
      </c>
      <c r="J69" t="s">
        <v>21</v>
      </c>
      <c r="K69" s="9">
        <v>0</v>
      </c>
      <c r="L69" s="9">
        <v>2500</v>
      </c>
      <c r="O69" s="81">
        <v>45155</v>
      </c>
      <c r="P69" s="8" t="s">
        <v>11</v>
      </c>
      <c r="Q69" s="8" t="s">
        <v>62</v>
      </c>
      <c r="R69" s="8" t="s">
        <v>18</v>
      </c>
      <c r="S69" s="112"/>
      <c r="T69" s="112"/>
      <c r="U69" s="112"/>
      <c r="V69" s="112"/>
      <c r="W69" s="112"/>
      <c r="Y69" s="8" t="s">
        <v>147</v>
      </c>
      <c r="AC69" s="9">
        <v>3500</v>
      </c>
      <c r="AD69" s="9"/>
      <c r="AE69" s="9">
        <v>16250</v>
      </c>
      <c r="AF69" s="9"/>
      <c r="AG69" s="9">
        <v>19750</v>
      </c>
    </row>
    <row r="70" spans="7:33" x14ac:dyDescent="0.25">
      <c r="I70" t="s">
        <v>18</v>
      </c>
      <c r="J70" t="s">
        <v>62</v>
      </c>
      <c r="K70" s="9">
        <v>0</v>
      </c>
      <c r="L70" s="9">
        <v>47258</v>
      </c>
      <c r="O70"/>
      <c r="P70"/>
      <c r="Q70" s="8" t="s">
        <v>21</v>
      </c>
      <c r="R70" s="8" t="s">
        <v>92</v>
      </c>
      <c r="S70" s="112"/>
      <c r="T70" s="112"/>
      <c r="U70" s="112"/>
      <c r="V70" s="112"/>
      <c r="W70" s="112"/>
      <c r="Y70" s="81">
        <v>45155</v>
      </c>
      <c r="Z70" s="8" t="s">
        <v>5</v>
      </c>
      <c r="AA70" s="8" t="s">
        <v>62</v>
      </c>
      <c r="AB70" s="8" t="s">
        <v>92</v>
      </c>
      <c r="AC70" s="9">
        <v>2000</v>
      </c>
      <c r="AD70" s="9"/>
      <c r="AE70" s="9"/>
      <c r="AF70" s="9"/>
      <c r="AG70" s="9">
        <v>2000</v>
      </c>
    </row>
    <row r="71" spans="7:33" x14ac:dyDescent="0.25">
      <c r="H71" t="s">
        <v>18</v>
      </c>
      <c r="I71" t="s">
        <v>18</v>
      </c>
      <c r="J71" t="s">
        <v>62</v>
      </c>
      <c r="K71" s="9">
        <v>0</v>
      </c>
      <c r="L71" s="9">
        <v>2200</v>
      </c>
      <c r="O71"/>
      <c r="P71" s="8" t="s">
        <v>18</v>
      </c>
      <c r="Q71" s="8" t="s">
        <v>62</v>
      </c>
      <c r="R71" s="8" t="s">
        <v>18</v>
      </c>
      <c r="S71" s="112"/>
      <c r="T71" s="112"/>
      <c r="U71" s="112"/>
      <c r="V71" s="112"/>
      <c r="W71" s="112"/>
      <c r="Z71" s="8" t="s">
        <v>11</v>
      </c>
      <c r="AA71" s="8" t="s">
        <v>21</v>
      </c>
      <c r="AB71" s="8" t="s">
        <v>92</v>
      </c>
      <c r="AC71" s="9">
        <v>2500</v>
      </c>
      <c r="AD71" s="9"/>
      <c r="AE71" s="9"/>
      <c r="AF71" s="9"/>
      <c r="AG71" s="9">
        <v>2500</v>
      </c>
    </row>
    <row r="72" spans="7:33" x14ac:dyDescent="0.25">
      <c r="H72" t="s">
        <v>60</v>
      </c>
      <c r="I72" t="s">
        <v>93</v>
      </c>
      <c r="J72" t="s">
        <v>5</v>
      </c>
      <c r="K72" s="9">
        <v>200000</v>
      </c>
      <c r="L72" s="9"/>
      <c r="O72"/>
      <c r="P72" s="8" t="s">
        <v>60</v>
      </c>
      <c r="Q72" s="8" t="s">
        <v>5</v>
      </c>
      <c r="R72" s="8" t="s">
        <v>93</v>
      </c>
      <c r="S72" s="112">
        <v>200000</v>
      </c>
      <c r="T72" s="112"/>
      <c r="U72" s="112"/>
      <c r="V72" s="112"/>
      <c r="W72" s="112"/>
      <c r="AA72" s="8" t="s">
        <v>62</v>
      </c>
      <c r="AB72" s="8" t="s">
        <v>18</v>
      </c>
      <c r="AC72" s="9">
        <v>47258</v>
      </c>
      <c r="AD72" s="9"/>
      <c r="AE72" s="9"/>
      <c r="AF72" s="9"/>
      <c r="AG72" s="9">
        <v>47258</v>
      </c>
    </row>
    <row r="73" spans="7:33" x14ac:dyDescent="0.25">
      <c r="H73" t="s">
        <v>59</v>
      </c>
      <c r="I73" t="s">
        <v>91</v>
      </c>
      <c r="J73" t="s">
        <v>21</v>
      </c>
      <c r="K73" s="9">
        <v>0</v>
      </c>
      <c r="L73" s="9">
        <v>8200</v>
      </c>
      <c r="O73"/>
      <c r="P73" s="8" t="s">
        <v>59</v>
      </c>
      <c r="Q73" s="8" t="s">
        <v>21</v>
      </c>
      <c r="R73" s="8" t="s">
        <v>91</v>
      </c>
      <c r="S73" s="112"/>
      <c r="T73" s="112"/>
      <c r="U73" s="112"/>
      <c r="V73" s="112"/>
      <c r="W73" s="112"/>
      <c r="Z73" s="8" t="s">
        <v>18</v>
      </c>
      <c r="AA73" s="8" t="s">
        <v>62</v>
      </c>
      <c r="AB73" s="8" t="s">
        <v>18</v>
      </c>
      <c r="AC73" s="9"/>
      <c r="AD73" s="9"/>
      <c r="AE73" s="9">
        <v>2200</v>
      </c>
      <c r="AF73" s="9"/>
      <c r="AG73" s="9">
        <v>2200</v>
      </c>
    </row>
    <row r="74" spans="7:33" x14ac:dyDescent="0.25">
      <c r="H74" t="s">
        <v>5</v>
      </c>
      <c r="I74" t="s">
        <v>92</v>
      </c>
      <c r="J74" t="s">
        <v>62</v>
      </c>
      <c r="K74" s="9">
        <v>0</v>
      </c>
      <c r="L74" s="9">
        <v>2000</v>
      </c>
      <c r="O74"/>
      <c r="P74" s="8" t="s">
        <v>5</v>
      </c>
      <c r="Q74" s="8" t="s">
        <v>62</v>
      </c>
      <c r="R74" s="8" t="s">
        <v>92</v>
      </c>
      <c r="S74" s="112"/>
      <c r="T74" s="112"/>
      <c r="U74" s="112"/>
      <c r="V74" s="112"/>
      <c r="W74" s="112"/>
      <c r="Z74" s="8" t="s">
        <v>59</v>
      </c>
      <c r="AA74" s="8" t="s">
        <v>21</v>
      </c>
      <c r="AB74" s="8" t="s">
        <v>91</v>
      </c>
      <c r="AC74" s="9"/>
      <c r="AD74" s="9"/>
      <c r="AE74" s="9">
        <v>8200</v>
      </c>
      <c r="AF74" s="9"/>
      <c r="AG74" s="9">
        <v>8200</v>
      </c>
    </row>
    <row r="75" spans="7:33" x14ac:dyDescent="0.25">
      <c r="G75" t="s">
        <v>148</v>
      </c>
      <c r="K75" s="9">
        <v>200000</v>
      </c>
      <c r="L75" s="9">
        <v>62158</v>
      </c>
      <c r="O75" s="8" t="s">
        <v>148</v>
      </c>
      <c r="P75"/>
      <c r="Q75"/>
      <c r="R75"/>
      <c r="S75" s="112">
        <v>200000</v>
      </c>
      <c r="T75" s="112"/>
      <c r="U75" s="112"/>
      <c r="V75" s="112"/>
      <c r="W75" s="112"/>
      <c r="Z75" s="8" t="s">
        <v>60</v>
      </c>
      <c r="AA75" s="8" t="s">
        <v>5</v>
      </c>
      <c r="AB75" s="8" t="s">
        <v>93</v>
      </c>
      <c r="AC75" s="9"/>
      <c r="AD75" s="9"/>
      <c r="AE75" s="9"/>
      <c r="AF75" s="9"/>
      <c r="AG75" s="9"/>
    </row>
    <row r="76" spans="7:33" x14ac:dyDescent="0.25">
      <c r="G76" s="80">
        <v>45156</v>
      </c>
      <c r="H76" t="s">
        <v>11</v>
      </c>
      <c r="I76" t="s">
        <v>18</v>
      </c>
      <c r="J76" t="s">
        <v>21</v>
      </c>
      <c r="K76" s="9">
        <v>0</v>
      </c>
      <c r="L76" s="9">
        <v>60000</v>
      </c>
      <c r="O76" s="81">
        <v>45156</v>
      </c>
      <c r="P76" s="8" t="s">
        <v>11</v>
      </c>
      <c r="Q76" s="8" t="s">
        <v>21</v>
      </c>
      <c r="R76" s="8" t="s">
        <v>18</v>
      </c>
      <c r="S76" s="112"/>
      <c r="T76" s="112"/>
      <c r="U76" s="112"/>
      <c r="V76" s="112"/>
      <c r="W76" s="112"/>
      <c r="Y76" s="8" t="s">
        <v>148</v>
      </c>
      <c r="AC76" s="9">
        <v>51758</v>
      </c>
      <c r="AD76" s="9"/>
      <c r="AE76" s="9">
        <v>10400</v>
      </c>
      <c r="AF76" s="9"/>
      <c r="AG76" s="9">
        <v>62158</v>
      </c>
    </row>
    <row r="77" spans="7:33" x14ac:dyDescent="0.25">
      <c r="H77" t="s">
        <v>5</v>
      </c>
      <c r="I77" t="s">
        <v>91</v>
      </c>
      <c r="J77" t="s">
        <v>5</v>
      </c>
      <c r="K77" s="9">
        <v>0</v>
      </c>
      <c r="L77" s="9">
        <v>8000</v>
      </c>
      <c r="O77"/>
      <c r="P77" s="8" t="s">
        <v>5</v>
      </c>
      <c r="Q77" s="8" t="s">
        <v>5</v>
      </c>
      <c r="R77" s="8" t="s">
        <v>91</v>
      </c>
      <c r="S77" s="112"/>
      <c r="T77" s="112"/>
      <c r="U77" s="112"/>
      <c r="V77" s="112"/>
      <c r="W77" s="112"/>
      <c r="Y77" s="81">
        <v>45156</v>
      </c>
      <c r="Z77" s="8" t="s">
        <v>5</v>
      </c>
      <c r="AA77" s="8" t="s">
        <v>5</v>
      </c>
      <c r="AB77" s="8" t="s">
        <v>91</v>
      </c>
      <c r="AC77" s="9">
        <v>6000</v>
      </c>
      <c r="AD77" s="9"/>
      <c r="AE77" s="9">
        <v>2000</v>
      </c>
      <c r="AF77" s="9"/>
      <c r="AG77" s="9">
        <v>8000</v>
      </c>
    </row>
    <row r="78" spans="7:33" x14ac:dyDescent="0.25">
      <c r="G78" t="s">
        <v>149</v>
      </c>
      <c r="K78" s="9">
        <v>0</v>
      </c>
      <c r="L78" s="9">
        <v>68000</v>
      </c>
      <c r="O78" s="8" t="s">
        <v>149</v>
      </c>
      <c r="P78"/>
      <c r="Q78"/>
      <c r="R78"/>
      <c r="S78" s="112"/>
      <c r="T78" s="112"/>
      <c r="U78" s="112"/>
      <c r="V78" s="112"/>
      <c r="W78" s="112"/>
      <c r="Z78" s="8" t="s">
        <v>11</v>
      </c>
      <c r="AA78" s="8" t="s">
        <v>21</v>
      </c>
      <c r="AB78" s="8" t="s">
        <v>18</v>
      </c>
      <c r="AC78" s="9">
        <v>60000</v>
      </c>
      <c r="AD78" s="9"/>
      <c r="AE78" s="9"/>
      <c r="AF78" s="9"/>
      <c r="AG78" s="9">
        <v>60000</v>
      </c>
    </row>
    <row r="79" spans="7:33" x14ac:dyDescent="0.25">
      <c r="G79" s="80">
        <v>45157</v>
      </c>
      <c r="H79" t="s">
        <v>12</v>
      </c>
      <c r="I79" t="s">
        <v>18</v>
      </c>
      <c r="J79" t="s">
        <v>5</v>
      </c>
      <c r="K79" s="9">
        <v>0</v>
      </c>
      <c r="L79" s="9">
        <v>20000</v>
      </c>
      <c r="O79" s="81">
        <v>45157</v>
      </c>
      <c r="P79" s="8" t="s">
        <v>12</v>
      </c>
      <c r="Q79" s="8" t="s">
        <v>5</v>
      </c>
      <c r="R79" s="8" t="s">
        <v>18</v>
      </c>
      <c r="S79" s="112"/>
      <c r="T79" s="112"/>
      <c r="U79" s="112"/>
      <c r="V79" s="112"/>
      <c r="W79" s="112"/>
      <c r="Y79" s="8" t="s">
        <v>149</v>
      </c>
      <c r="AC79" s="9">
        <v>66000</v>
      </c>
      <c r="AD79" s="9"/>
      <c r="AE79" s="9">
        <v>2000</v>
      </c>
      <c r="AF79" s="9"/>
      <c r="AG79" s="9">
        <v>68000</v>
      </c>
    </row>
    <row r="80" spans="7:33" x14ac:dyDescent="0.25">
      <c r="H80" t="s">
        <v>5</v>
      </c>
      <c r="I80" t="s">
        <v>18</v>
      </c>
      <c r="J80" t="s">
        <v>5</v>
      </c>
      <c r="K80" s="9">
        <v>0</v>
      </c>
      <c r="L80" s="9">
        <v>34000</v>
      </c>
      <c r="O80"/>
      <c r="P80" s="8" t="s">
        <v>5</v>
      </c>
      <c r="Q80" s="8" t="s">
        <v>5</v>
      </c>
      <c r="R80" s="8" t="s">
        <v>18</v>
      </c>
      <c r="S80" s="112"/>
      <c r="T80" s="112"/>
      <c r="U80" s="112"/>
      <c r="V80" s="112"/>
      <c r="W80" s="112"/>
      <c r="Y80" s="81">
        <v>45157</v>
      </c>
      <c r="Z80" s="8" t="s">
        <v>5</v>
      </c>
      <c r="AA80" s="8" t="s">
        <v>5</v>
      </c>
      <c r="AB80" s="8" t="s">
        <v>18</v>
      </c>
      <c r="AC80" s="9">
        <v>34000</v>
      </c>
      <c r="AD80" s="9"/>
      <c r="AE80" s="9"/>
      <c r="AF80" s="9"/>
      <c r="AG80" s="9">
        <v>34000</v>
      </c>
    </row>
    <row r="81" spans="7:33" x14ac:dyDescent="0.25">
      <c r="G81" t="s">
        <v>150</v>
      </c>
      <c r="K81" s="9">
        <v>0</v>
      </c>
      <c r="L81" s="9">
        <v>54000</v>
      </c>
      <c r="O81" s="8" t="s">
        <v>150</v>
      </c>
      <c r="P81"/>
      <c r="Q81"/>
      <c r="R81"/>
      <c r="S81" s="112"/>
      <c r="T81" s="112"/>
      <c r="U81" s="112"/>
      <c r="V81" s="112"/>
      <c r="W81" s="112"/>
      <c r="Z81" s="8" t="s">
        <v>12</v>
      </c>
      <c r="AA81" s="8" t="s">
        <v>5</v>
      </c>
      <c r="AB81" s="8" t="s">
        <v>18</v>
      </c>
      <c r="AC81" s="9">
        <v>20000</v>
      </c>
      <c r="AD81" s="9"/>
      <c r="AE81" s="9"/>
      <c r="AF81" s="9"/>
      <c r="AG81" s="9">
        <v>20000</v>
      </c>
    </row>
    <row r="82" spans="7:33" x14ac:dyDescent="0.25">
      <c r="G82" s="80">
        <v>45158</v>
      </c>
      <c r="H82" t="s">
        <v>61</v>
      </c>
      <c r="I82" t="s">
        <v>18</v>
      </c>
      <c r="J82" t="s">
        <v>5</v>
      </c>
      <c r="K82" s="9">
        <v>0</v>
      </c>
      <c r="L82" s="9">
        <v>5000</v>
      </c>
      <c r="O82" s="81">
        <v>45158</v>
      </c>
      <c r="P82" s="8" t="s">
        <v>61</v>
      </c>
      <c r="Q82" s="8" t="s">
        <v>5</v>
      </c>
      <c r="R82" s="8" t="s">
        <v>18</v>
      </c>
      <c r="S82" s="112"/>
      <c r="T82" s="112"/>
      <c r="U82" s="112"/>
      <c r="V82" s="112"/>
      <c r="W82" s="112"/>
      <c r="Y82" s="8" t="s">
        <v>150</v>
      </c>
      <c r="AC82" s="9">
        <v>54000</v>
      </c>
      <c r="AD82" s="9"/>
      <c r="AE82" s="9"/>
      <c r="AF82" s="9"/>
      <c r="AG82" s="9">
        <v>54000</v>
      </c>
    </row>
    <row r="83" spans="7:33" x14ac:dyDescent="0.25">
      <c r="G83" t="s">
        <v>151</v>
      </c>
      <c r="K83" s="9">
        <v>0</v>
      </c>
      <c r="L83" s="9">
        <v>5000</v>
      </c>
      <c r="O83" s="8" t="s">
        <v>151</v>
      </c>
      <c r="P83"/>
      <c r="Q83"/>
      <c r="R83"/>
      <c r="S83" s="112"/>
      <c r="T83" s="112"/>
      <c r="U83" s="112"/>
      <c r="V83" s="112"/>
      <c r="W83" s="112"/>
      <c r="Y83" s="81">
        <v>45158</v>
      </c>
      <c r="Z83" s="8" t="s">
        <v>61</v>
      </c>
      <c r="AA83" s="8" t="s">
        <v>5</v>
      </c>
      <c r="AB83" s="8" t="s">
        <v>18</v>
      </c>
      <c r="AC83" s="9">
        <v>5000</v>
      </c>
      <c r="AD83" s="9"/>
      <c r="AE83" s="9"/>
      <c r="AF83" s="9"/>
      <c r="AG83" s="9">
        <v>5000</v>
      </c>
    </row>
    <row r="84" spans="7:33" x14ac:dyDescent="0.25">
      <c r="G84" s="80">
        <v>45159</v>
      </c>
      <c r="H84" t="s">
        <v>18</v>
      </c>
      <c r="I84" t="s">
        <v>18</v>
      </c>
      <c r="J84" t="s">
        <v>21</v>
      </c>
      <c r="K84" s="9">
        <v>0</v>
      </c>
      <c r="L84" s="9">
        <v>10000</v>
      </c>
      <c r="O84" s="81">
        <v>45159</v>
      </c>
      <c r="P84" s="8" t="s">
        <v>18</v>
      </c>
      <c r="Q84" s="8" t="s">
        <v>21</v>
      </c>
      <c r="R84" s="8" t="s">
        <v>18</v>
      </c>
      <c r="S84" s="112"/>
      <c r="T84" s="112"/>
      <c r="U84" s="112"/>
      <c r="V84" s="112"/>
      <c r="W84" s="112"/>
      <c r="Y84" s="8" t="s">
        <v>151</v>
      </c>
      <c r="AC84" s="9">
        <v>5000</v>
      </c>
      <c r="AD84" s="9"/>
      <c r="AE84" s="9"/>
      <c r="AF84" s="9"/>
      <c r="AG84" s="9">
        <v>5000</v>
      </c>
    </row>
    <row r="85" spans="7:33" x14ac:dyDescent="0.25">
      <c r="H85" t="s">
        <v>61</v>
      </c>
      <c r="I85" t="s">
        <v>91</v>
      </c>
      <c r="J85" t="s">
        <v>86</v>
      </c>
      <c r="K85" s="9">
        <v>0</v>
      </c>
      <c r="L85" s="9">
        <v>34689.75</v>
      </c>
      <c r="O85"/>
      <c r="P85" s="8" t="s">
        <v>61</v>
      </c>
      <c r="Q85" s="8" t="s">
        <v>86</v>
      </c>
      <c r="R85" s="8" t="s">
        <v>91</v>
      </c>
      <c r="S85" s="112"/>
      <c r="T85" s="112"/>
      <c r="U85" s="112"/>
      <c r="V85" s="112"/>
      <c r="W85" s="112"/>
      <c r="Y85" s="81">
        <v>45159</v>
      </c>
      <c r="Z85" s="8" t="s">
        <v>5</v>
      </c>
      <c r="AA85" s="8" t="s">
        <v>86</v>
      </c>
      <c r="AB85" s="8" t="s">
        <v>105</v>
      </c>
      <c r="AC85" s="9"/>
      <c r="AD85" s="9"/>
      <c r="AE85" s="9"/>
      <c r="AF85" s="9"/>
      <c r="AG85" s="9"/>
    </row>
    <row r="86" spans="7:33" x14ac:dyDescent="0.25">
      <c r="H86" t="s">
        <v>13</v>
      </c>
      <c r="I86" t="s">
        <v>103</v>
      </c>
      <c r="J86" t="s">
        <v>5</v>
      </c>
      <c r="K86" s="9">
        <v>0</v>
      </c>
      <c r="L86" s="9">
        <v>5600</v>
      </c>
      <c r="O86"/>
      <c r="P86" s="8" t="s">
        <v>13</v>
      </c>
      <c r="Q86" s="8" t="s">
        <v>62</v>
      </c>
      <c r="R86" s="8" t="s">
        <v>103</v>
      </c>
      <c r="S86" s="112"/>
      <c r="T86" s="112"/>
      <c r="U86" s="112"/>
      <c r="V86" s="112"/>
      <c r="W86" s="112"/>
      <c r="Z86" s="8" t="s">
        <v>18</v>
      </c>
      <c r="AA86" s="8" t="s">
        <v>21</v>
      </c>
      <c r="AB86" s="8" t="s">
        <v>18</v>
      </c>
      <c r="AC86" s="9"/>
      <c r="AD86" s="9"/>
      <c r="AE86" s="9">
        <v>10000</v>
      </c>
      <c r="AF86" s="9"/>
      <c r="AG86" s="9">
        <v>10000</v>
      </c>
    </row>
    <row r="87" spans="7:33" x14ac:dyDescent="0.25">
      <c r="J87" t="s">
        <v>62</v>
      </c>
      <c r="K87" s="9">
        <v>0</v>
      </c>
      <c r="L87" s="9">
        <v>2800</v>
      </c>
      <c r="O87"/>
      <c r="P87"/>
      <c r="Q87" s="8" t="s">
        <v>5</v>
      </c>
      <c r="R87" s="8" t="s">
        <v>103</v>
      </c>
      <c r="S87" s="112"/>
      <c r="T87" s="112"/>
      <c r="U87" s="112"/>
      <c r="V87" s="112"/>
      <c r="W87" s="112"/>
      <c r="Z87" s="8" t="s">
        <v>27</v>
      </c>
      <c r="AA87" s="8" t="s">
        <v>86</v>
      </c>
      <c r="AB87" s="8" t="s">
        <v>91</v>
      </c>
      <c r="AC87" s="9">
        <v>1859</v>
      </c>
      <c r="AD87" s="9"/>
      <c r="AE87" s="9"/>
      <c r="AF87" s="9"/>
      <c r="AG87" s="9">
        <v>1859</v>
      </c>
    </row>
    <row r="88" spans="7:33" x14ac:dyDescent="0.25">
      <c r="H88" t="s">
        <v>27</v>
      </c>
      <c r="I88" t="s">
        <v>91</v>
      </c>
      <c r="J88" t="s">
        <v>86</v>
      </c>
      <c r="K88" s="9">
        <v>0</v>
      </c>
      <c r="L88" s="9">
        <v>1859</v>
      </c>
      <c r="O88"/>
      <c r="P88" s="8" t="s">
        <v>27</v>
      </c>
      <c r="Q88" s="8" t="s">
        <v>86</v>
      </c>
      <c r="R88" s="8" t="s">
        <v>91</v>
      </c>
      <c r="S88" s="112"/>
      <c r="T88" s="112"/>
      <c r="U88" s="112"/>
      <c r="V88" s="112"/>
      <c r="W88" s="112"/>
      <c r="Z88" s="8" t="s">
        <v>13</v>
      </c>
      <c r="AA88" s="8" t="s">
        <v>5</v>
      </c>
      <c r="AB88" s="8" t="s">
        <v>103</v>
      </c>
      <c r="AC88" s="9"/>
      <c r="AD88" s="9"/>
      <c r="AE88" s="9">
        <v>5600</v>
      </c>
      <c r="AF88" s="9"/>
      <c r="AG88" s="9">
        <v>5600</v>
      </c>
    </row>
    <row r="89" spans="7:33" x14ac:dyDescent="0.25">
      <c r="H89" t="s">
        <v>5</v>
      </c>
      <c r="I89" t="s">
        <v>105</v>
      </c>
      <c r="J89" t="s">
        <v>86</v>
      </c>
      <c r="K89" s="9">
        <v>500000</v>
      </c>
      <c r="L89" s="9"/>
      <c r="O89"/>
      <c r="P89" s="8" t="s">
        <v>5</v>
      </c>
      <c r="Q89" s="8" t="s">
        <v>86</v>
      </c>
      <c r="R89" s="8" t="s">
        <v>105</v>
      </c>
      <c r="S89" s="112"/>
      <c r="T89" s="112"/>
      <c r="U89" s="112"/>
      <c r="V89" s="112"/>
      <c r="W89" s="112">
        <v>500000</v>
      </c>
      <c r="AA89" s="8" t="s">
        <v>62</v>
      </c>
      <c r="AB89" s="8" t="s">
        <v>103</v>
      </c>
      <c r="AC89" s="9"/>
      <c r="AD89" s="9"/>
      <c r="AE89" s="9">
        <v>2800</v>
      </c>
      <c r="AF89" s="9"/>
      <c r="AG89" s="9">
        <v>2800</v>
      </c>
    </row>
    <row r="90" spans="7:33" x14ac:dyDescent="0.25">
      <c r="G90" t="s">
        <v>152</v>
      </c>
      <c r="K90" s="9">
        <v>500000</v>
      </c>
      <c r="L90" s="9">
        <v>54948.75</v>
      </c>
      <c r="O90" s="8" t="s">
        <v>152</v>
      </c>
      <c r="P90"/>
      <c r="Q90"/>
      <c r="R90"/>
      <c r="S90" s="112"/>
      <c r="T90" s="112"/>
      <c r="U90" s="112"/>
      <c r="V90" s="112"/>
      <c r="W90" s="112">
        <v>500000</v>
      </c>
      <c r="Z90" s="8" t="s">
        <v>61</v>
      </c>
      <c r="AA90" s="8" t="s">
        <v>86</v>
      </c>
      <c r="AB90" s="8" t="s">
        <v>91</v>
      </c>
      <c r="AC90" s="9">
        <v>34689.75</v>
      </c>
      <c r="AD90" s="9"/>
      <c r="AE90" s="9"/>
      <c r="AF90" s="9"/>
      <c r="AG90" s="9">
        <v>34689.75</v>
      </c>
    </row>
    <row r="91" spans="7:33" x14ac:dyDescent="0.25">
      <c r="G91" s="80">
        <v>45160</v>
      </c>
      <c r="H91" t="s">
        <v>11</v>
      </c>
      <c r="I91" t="s">
        <v>92</v>
      </c>
      <c r="J91" t="s">
        <v>20</v>
      </c>
      <c r="K91" s="9">
        <v>0</v>
      </c>
      <c r="L91" s="9">
        <v>2500</v>
      </c>
      <c r="O91" s="81">
        <v>45160</v>
      </c>
      <c r="P91" s="8" t="s">
        <v>11</v>
      </c>
      <c r="Q91" s="8" t="s">
        <v>20</v>
      </c>
      <c r="R91" s="8" t="s">
        <v>92</v>
      </c>
      <c r="S91" s="112"/>
      <c r="T91" s="112"/>
      <c r="U91" s="112"/>
      <c r="V91" s="112"/>
      <c r="W91" s="112"/>
      <c r="Y91" s="8" t="s">
        <v>152</v>
      </c>
      <c r="AC91" s="9">
        <v>36548.75</v>
      </c>
      <c r="AD91" s="9"/>
      <c r="AE91" s="9">
        <v>18400</v>
      </c>
      <c r="AF91" s="9"/>
      <c r="AG91" s="9">
        <v>54948.75</v>
      </c>
    </row>
    <row r="92" spans="7:33" x14ac:dyDescent="0.25">
      <c r="H92" t="s">
        <v>18</v>
      </c>
      <c r="I92" t="s">
        <v>18</v>
      </c>
      <c r="J92" t="s">
        <v>62</v>
      </c>
      <c r="K92" s="9">
        <v>0</v>
      </c>
      <c r="L92" s="9">
        <v>2000</v>
      </c>
      <c r="O92"/>
      <c r="P92" s="8" t="s">
        <v>18</v>
      </c>
      <c r="Q92" s="8" t="s">
        <v>62</v>
      </c>
      <c r="R92" s="8" t="s">
        <v>18</v>
      </c>
      <c r="S92" s="112"/>
      <c r="T92" s="112"/>
      <c r="U92" s="112"/>
      <c r="V92" s="112"/>
      <c r="W92" s="112"/>
      <c r="Y92" s="81">
        <v>45160</v>
      </c>
      <c r="Z92" s="8" t="s">
        <v>11</v>
      </c>
      <c r="AA92" s="8" t="s">
        <v>20</v>
      </c>
      <c r="AB92" s="8" t="s">
        <v>92</v>
      </c>
      <c r="AC92" s="9">
        <v>2500</v>
      </c>
      <c r="AD92" s="9"/>
      <c r="AE92" s="9"/>
      <c r="AF92" s="9"/>
      <c r="AG92" s="9">
        <v>2500</v>
      </c>
    </row>
    <row r="93" spans="7:33" x14ac:dyDescent="0.25">
      <c r="G93" t="s">
        <v>153</v>
      </c>
      <c r="K93" s="9">
        <v>0</v>
      </c>
      <c r="L93" s="9">
        <v>4500</v>
      </c>
      <c r="O93" s="8" t="s">
        <v>153</v>
      </c>
      <c r="P93"/>
      <c r="Q93"/>
      <c r="R93"/>
      <c r="S93" s="112"/>
      <c r="T93" s="112"/>
      <c r="U93" s="112"/>
      <c r="V93" s="112"/>
      <c r="W93" s="112"/>
      <c r="Z93" s="8" t="s">
        <v>18</v>
      </c>
      <c r="AA93" s="8" t="s">
        <v>62</v>
      </c>
      <c r="AB93" s="8" t="s">
        <v>18</v>
      </c>
      <c r="AC93" s="9">
        <v>2000</v>
      </c>
      <c r="AD93" s="9"/>
      <c r="AE93" s="9"/>
      <c r="AF93" s="9"/>
      <c r="AG93" s="9">
        <v>2000</v>
      </c>
    </row>
    <row r="94" spans="7:33" x14ac:dyDescent="0.25">
      <c r="G94" s="80">
        <v>45161</v>
      </c>
      <c r="H94" t="s">
        <v>11</v>
      </c>
      <c r="I94" t="s">
        <v>91</v>
      </c>
      <c r="J94" t="s">
        <v>21</v>
      </c>
      <c r="K94" s="9">
        <v>0</v>
      </c>
      <c r="L94" s="9">
        <v>6000</v>
      </c>
      <c r="O94" s="81">
        <v>45161</v>
      </c>
      <c r="P94" s="8" t="s">
        <v>11</v>
      </c>
      <c r="Q94" s="8" t="s">
        <v>21</v>
      </c>
      <c r="R94" s="8" t="s">
        <v>91</v>
      </c>
      <c r="S94" s="112"/>
      <c r="T94" s="112"/>
      <c r="U94" s="112"/>
      <c r="V94" s="112"/>
      <c r="W94" s="112"/>
      <c r="Y94" s="8" t="s">
        <v>153</v>
      </c>
      <c r="AC94" s="9">
        <v>4500</v>
      </c>
      <c r="AD94" s="9"/>
      <c r="AE94" s="9"/>
      <c r="AF94" s="9"/>
      <c r="AG94" s="9">
        <v>4500</v>
      </c>
    </row>
    <row r="95" spans="7:33" x14ac:dyDescent="0.25">
      <c r="I95" t="s">
        <v>92</v>
      </c>
      <c r="J95" t="s">
        <v>21</v>
      </c>
      <c r="K95" s="9">
        <v>0</v>
      </c>
      <c r="L95" s="9">
        <v>193322.17</v>
      </c>
      <c r="O95"/>
      <c r="P95"/>
      <c r="Q95"/>
      <c r="R95" s="8" t="s">
        <v>92</v>
      </c>
      <c r="S95" s="112"/>
      <c r="T95" s="112"/>
      <c r="U95" s="112"/>
      <c r="V95" s="112"/>
      <c r="W95" s="112"/>
      <c r="Y95" s="81">
        <v>45161</v>
      </c>
      <c r="Z95" s="8" t="s">
        <v>5</v>
      </c>
      <c r="AA95" s="8" t="s">
        <v>20</v>
      </c>
      <c r="AB95" s="8" t="s">
        <v>18</v>
      </c>
      <c r="AC95" s="9">
        <v>2000</v>
      </c>
      <c r="AD95" s="9"/>
      <c r="AE95" s="9"/>
      <c r="AF95" s="9"/>
      <c r="AG95" s="9">
        <v>2000</v>
      </c>
    </row>
    <row r="96" spans="7:33" x14ac:dyDescent="0.25">
      <c r="I96" t="s">
        <v>101</v>
      </c>
      <c r="J96" t="s">
        <v>21</v>
      </c>
      <c r="K96" s="9">
        <v>0</v>
      </c>
      <c r="L96" s="9">
        <v>3000</v>
      </c>
      <c r="O96"/>
      <c r="P96"/>
      <c r="Q96"/>
      <c r="R96" s="8" t="s">
        <v>101</v>
      </c>
      <c r="S96" s="112"/>
      <c r="T96" s="112"/>
      <c r="U96" s="112"/>
      <c r="V96" s="112"/>
      <c r="W96" s="112"/>
      <c r="Z96" s="8" t="s">
        <v>11</v>
      </c>
      <c r="AA96" s="8" t="s">
        <v>21</v>
      </c>
      <c r="AB96" s="8" t="s">
        <v>91</v>
      </c>
      <c r="AC96" s="9">
        <v>6000</v>
      </c>
      <c r="AD96" s="9"/>
      <c r="AE96" s="9"/>
      <c r="AF96" s="9"/>
      <c r="AG96" s="9">
        <v>6000</v>
      </c>
    </row>
    <row r="97" spans="7:33" x14ac:dyDescent="0.25">
      <c r="H97" t="s">
        <v>22</v>
      </c>
      <c r="I97" t="s">
        <v>91</v>
      </c>
      <c r="J97" t="s">
        <v>21</v>
      </c>
      <c r="K97" s="9">
        <v>0</v>
      </c>
      <c r="L97" s="9">
        <v>9000</v>
      </c>
      <c r="O97"/>
      <c r="P97" s="8" t="s">
        <v>22</v>
      </c>
      <c r="Q97" s="8" t="s">
        <v>21</v>
      </c>
      <c r="R97" s="8" t="s">
        <v>91</v>
      </c>
      <c r="S97" s="112"/>
      <c r="T97" s="112"/>
      <c r="U97" s="112"/>
      <c r="V97" s="112"/>
      <c r="W97" s="112"/>
      <c r="AB97" s="8" t="s">
        <v>92</v>
      </c>
      <c r="AC97" s="9">
        <v>193322.17</v>
      </c>
      <c r="AD97" s="9"/>
      <c r="AE97" s="9"/>
      <c r="AF97" s="9"/>
      <c r="AG97" s="9">
        <v>193322.17</v>
      </c>
    </row>
    <row r="98" spans="7:33" x14ac:dyDescent="0.25">
      <c r="I98" t="s">
        <v>92</v>
      </c>
      <c r="J98" t="s">
        <v>21</v>
      </c>
      <c r="K98" s="9">
        <v>0</v>
      </c>
      <c r="L98" s="9">
        <v>218500</v>
      </c>
      <c r="O98"/>
      <c r="P98"/>
      <c r="Q98"/>
      <c r="R98" s="8" t="s">
        <v>92</v>
      </c>
      <c r="S98" s="112"/>
      <c r="T98" s="112"/>
      <c r="U98" s="112"/>
      <c r="V98" s="112"/>
      <c r="W98" s="112"/>
      <c r="AB98" s="8" t="s">
        <v>101</v>
      </c>
      <c r="AC98" s="9">
        <v>3000</v>
      </c>
      <c r="AD98" s="9"/>
      <c r="AE98" s="9"/>
      <c r="AF98" s="9"/>
      <c r="AG98" s="9">
        <v>3000</v>
      </c>
    </row>
    <row r="99" spans="7:33" x14ac:dyDescent="0.25">
      <c r="I99" t="s">
        <v>101</v>
      </c>
      <c r="J99" t="s">
        <v>21</v>
      </c>
      <c r="K99" s="9">
        <v>0</v>
      </c>
      <c r="L99" s="9">
        <v>50000</v>
      </c>
      <c r="O99"/>
      <c r="P99"/>
      <c r="Q99"/>
      <c r="R99" s="8" t="s">
        <v>101</v>
      </c>
      <c r="S99" s="112"/>
      <c r="T99" s="112"/>
      <c r="U99" s="112"/>
      <c r="V99" s="112"/>
      <c r="W99" s="112"/>
      <c r="Z99" s="8" t="s">
        <v>12</v>
      </c>
      <c r="AA99" s="8" t="s">
        <v>20</v>
      </c>
      <c r="AB99" s="8" t="s">
        <v>18</v>
      </c>
      <c r="AC99" s="9">
        <v>10000</v>
      </c>
      <c r="AD99" s="9"/>
      <c r="AE99" s="9"/>
      <c r="AF99" s="9"/>
      <c r="AG99" s="9">
        <v>10000</v>
      </c>
    </row>
    <row r="100" spans="7:33" x14ac:dyDescent="0.25">
      <c r="I100" t="s">
        <v>102</v>
      </c>
      <c r="J100" t="s">
        <v>21</v>
      </c>
      <c r="K100" s="9">
        <v>0</v>
      </c>
      <c r="L100" s="9">
        <v>10000</v>
      </c>
      <c r="O100"/>
      <c r="P100"/>
      <c r="Q100"/>
      <c r="R100" s="8" t="s">
        <v>102</v>
      </c>
      <c r="S100" s="112"/>
      <c r="T100" s="112"/>
      <c r="U100" s="112"/>
      <c r="V100" s="112"/>
      <c r="W100" s="112"/>
      <c r="Z100" s="8" t="s">
        <v>18</v>
      </c>
      <c r="AA100" s="8" t="s">
        <v>21</v>
      </c>
      <c r="AB100" s="8" t="s">
        <v>18</v>
      </c>
      <c r="AC100" s="9">
        <v>30000</v>
      </c>
      <c r="AD100" s="9"/>
      <c r="AE100" s="9"/>
      <c r="AF100" s="9"/>
      <c r="AG100" s="9">
        <v>30000</v>
      </c>
    </row>
    <row r="101" spans="7:33" x14ac:dyDescent="0.25">
      <c r="H101" t="s">
        <v>14</v>
      </c>
      <c r="I101" t="s">
        <v>18</v>
      </c>
      <c r="J101" t="s">
        <v>20</v>
      </c>
      <c r="K101" s="9">
        <v>0</v>
      </c>
      <c r="L101" s="9">
        <v>10000</v>
      </c>
      <c r="O101"/>
      <c r="P101" s="8" t="s">
        <v>14</v>
      </c>
      <c r="Q101" s="8" t="s">
        <v>20</v>
      </c>
      <c r="R101" s="8" t="s">
        <v>18</v>
      </c>
      <c r="S101" s="112"/>
      <c r="T101" s="112"/>
      <c r="U101" s="112"/>
      <c r="V101" s="112"/>
      <c r="W101" s="112"/>
      <c r="Z101" s="8" t="s">
        <v>22</v>
      </c>
      <c r="AA101" s="8" t="s">
        <v>21</v>
      </c>
      <c r="AB101" s="8" t="s">
        <v>91</v>
      </c>
      <c r="AC101" s="9">
        <v>9000</v>
      </c>
      <c r="AD101" s="9"/>
      <c r="AE101" s="9"/>
      <c r="AF101" s="9"/>
      <c r="AG101" s="9">
        <v>9000</v>
      </c>
    </row>
    <row r="102" spans="7:33" x14ac:dyDescent="0.25">
      <c r="H102" t="s">
        <v>18</v>
      </c>
      <c r="I102" t="s">
        <v>18</v>
      </c>
      <c r="J102" t="s">
        <v>21</v>
      </c>
      <c r="K102" s="9">
        <v>0</v>
      </c>
      <c r="L102" s="9">
        <v>30000</v>
      </c>
      <c r="O102"/>
      <c r="P102" s="8" t="s">
        <v>18</v>
      </c>
      <c r="Q102" s="8" t="s">
        <v>21</v>
      </c>
      <c r="R102" s="8" t="s">
        <v>18</v>
      </c>
      <c r="S102" s="112"/>
      <c r="T102" s="112"/>
      <c r="U102" s="112"/>
      <c r="V102" s="112"/>
      <c r="W102" s="112"/>
      <c r="AB102" s="8" t="s">
        <v>92</v>
      </c>
      <c r="AC102" s="9">
        <v>218500</v>
      </c>
      <c r="AD102" s="9"/>
      <c r="AE102" s="9"/>
      <c r="AF102" s="9"/>
      <c r="AG102" s="9">
        <v>218500</v>
      </c>
    </row>
    <row r="103" spans="7:33" x14ac:dyDescent="0.25">
      <c r="H103" t="s">
        <v>12</v>
      </c>
      <c r="I103" t="s">
        <v>18</v>
      </c>
      <c r="J103" t="s">
        <v>20</v>
      </c>
      <c r="K103" s="9">
        <v>0</v>
      </c>
      <c r="L103" s="9">
        <v>10000</v>
      </c>
      <c r="O103"/>
      <c r="P103" s="8" t="s">
        <v>12</v>
      </c>
      <c r="Q103" s="8" t="s">
        <v>20</v>
      </c>
      <c r="R103" s="8" t="s">
        <v>18</v>
      </c>
      <c r="S103" s="112"/>
      <c r="T103" s="112"/>
      <c r="U103" s="112"/>
      <c r="V103" s="112"/>
      <c r="W103" s="112"/>
      <c r="AB103" s="8" t="s">
        <v>101</v>
      </c>
      <c r="AC103" s="9">
        <v>50000</v>
      </c>
      <c r="AD103" s="9"/>
      <c r="AE103" s="9"/>
      <c r="AF103" s="9"/>
      <c r="AG103" s="9">
        <v>50000</v>
      </c>
    </row>
    <row r="104" spans="7:33" x14ac:dyDescent="0.25">
      <c r="H104" t="s">
        <v>59</v>
      </c>
      <c r="I104" t="s">
        <v>92</v>
      </c>
      <c r="J104" t="s">
        <v>88</v>
      </c>
      <c r="K104" s="9">
        <v>0</v>
      </c>
      <c r="L104" s="9">
        <v>2000</v>
      </c>
      <c r="O104"/>
      <c r="P104" s="8" t="s">
        <v>59</v>
      </c>
      <c r="Q104" s="8" t="s">
        <v>88</v>
      </c>
      <c r="R104" s="8" t="s">
        <v>92</v>
      </c>
      <c r="S104" s="112"/>
      <c r="T104" s="112"/>
      <c r="U104" s="112"/>
      <c r="V104" s="112"/>
      <c r="W104" s="112"/>
      <c r="AB104" s="8" t="s">
        <v>102</v>
      </c>
      <c r="AC104" s="9">
        <v>10000</v>
      </c>
      <c r="AD104" s="9"/>
      <c r="AE104" s="9"/>
      <c r="AF104" s="9"/>
      <c r="AG104" s="9">
        <v>10000</v>
      </c>
    </row>
    <row r="105" spans="7:33" x14ac:dyDescent="0.25">
      <c r="H105" t="s">
        <v>5</v>
      </c>
      <c r="I105" t="s">
        <v>18</v>
      </c>
      <c r="J105" t="s">
        <v>20</v>
      </c>
      <c r="K105" s="9">
        <v>0</v>
      </c>
      <c r="L105" s="9">
        <v>2000</v>
      </c>
      <c r="O105"/>
      <c r="P105" s="8" t="s">
        <v>5</v>
      </c>
      <c r="Q105" s="8" t="s">
        <v>20</v>
      </c>
      <c r="R105" s="8" t="s">
        <v>18</v>
      </c>
      <c r="S105" s="112"/>
      <c r="T105" s="112"/>
      <c r="U105" s="112"/>
      <c r="V105" s="112"/>
      <c r="W105" s="112"/>
      <c r="Z105" s="8" t="s">
        <v>14</v>
      </c>
      <c r="AA105" s="8" t="s">
        <v>20</v>
      </c>
      <c r="AB105" s="8" t="s">
        <v>18</v>
      </c>
      <c r="AC105" s="9">
        <v>10000</v>
      </c>
      <c r="AD105" s="9"/>
      <c r="AE105" s="9"/>
      <c r="AF105" s="9"/>
      <c r="AG105" s="9">
        <v>10000</v>
      </c>
    </row>
    <row r="106" spans="7:33" x14ac:dyDescent="0.25">
      <c r="G106" t="s">
        <v>154</v>
      </c>
      <c r="K106" s="9">
        <v>0</v>
      </c>
      <c r="L106" s="9">
        <v>543822.17000000004</v>
      </c>
      <c r="O106" s="8" t="s">
        <v>154</v>
      </c>
      <c r="P106"/>
      <c r="Q106"/>
      <c r="R106"/>
      <c r="S106" s="112"/>
      <c r="T106" s="112"/>
      <c r="U106" s="112"/>
      <c r="V106" s="112"/>
      <c r="W106" s="112"/>
      <c r="Z106" s="8" t="s">
        <v>59</v>
      </c>
      <c r="AA106" s="8" t="s">
        <v>88</v>
      </c>
      <c r="AB106" s="8" t="s">
        <v>92</v>
      </c>
      <c r="AC106" s="9">
        <v>2000</v>
      </c>
      <c r="AD106" s="9"/>
      <c r="AE106" s="9"/>
      <c r="AF106" s="9"/>
      <c r="AG106" s="9">
        <v>2000</v>
      </c>
    </row>
    <row r="107" spans="7:33" x14ac:dyDescent="0.25">
      <c r="G107" t="s">
        <v>6</v>
      </c>
      <c r="K107" s="9">
        <v>3815555</v>
      </c>
      <c r="L107" s="9">
        <v>3466028.92</v>
      </c>
      <c r="O107" s="36" t="s">
        <v>6</v>
      </c>
      <c r="S107" s="112">
        <v>2817200</v>
      </c>
      <c r="T107" s="112"/>
      <c r="U107" s="112">
        <v>498355</v>
      </c>
      <c r="V107" s="112"/>
      <c r="W107" s="112">
        <v>500000</v>
      </c>
      <c r="Y107" s="8" t="s">
        <v>154</v>
      </c>
      <c r="AC107" s="9">
        <v>543822.17000000004</v>
      </c>
      <c r="AD107" s="9"/>
      <c r="AE107" s="9"/>
      <c r="AF107" s="9"/>
      <c r="AG107" s="9">
        <v>543822.17000000004</v>
      </c>
    </row>
    <row r="108" spans="7:33" x14ac:dyDescent="0.25">
      <c r="O108"/>
      <c r="P108"/>
      <c r="Q108"/>
      <c r="R108"/>
      <c r="S108"/>
      <c r="T108"/>
      <c r="U108"/>
      <c r="V108"/>
      <c r="W108"/>
      <c r="Y108" s="8" t="s">
        <v>6</v>
      </c>
      <c r="AC108" s="9">
        <v>3206178.92</v>
      </c>
      <c r="AD108" s="9">
        <v>161000</v>
      </c>
      <c r="AE108" s="9">
        <v>98850</v>
      </c>
      <c r="AF108" s="9"/>
      <c r="AG108" s="9">
        <v>3466028.92</v>
      </c>
    </row>
    <row r="109" spans="7:33" x14ac:dyDescent="0.25">
      <c r="O109"/>
      <c r="P109"/>
      <c r="Q109"/>
      <c r="R109"/>
      <c r="S109"/>
      <c r="T109"/>
      <c r="U109"/>
      <c r="V109"/>
      <c r="W109"/>
    </row>
    <row r="110" spans="7:33" x14ac:dyDescent="0.25">
      <c r="O110"/>
      <c r="P110"/>
      <c r="Q110"/>
      <c r="R110"/>
      <c r="S110"/>
      <c r="T110"/>
      <c r="U110"/>
      <c r="V110"/>
      <c r="W110"/>
    </row>
    <row r="111" spans="7:33" x14ac:dyDescent="0.25">
      <c r="O111"/>
      <c r="P111"/>
      <c r="Q111"/>
      <c r="R111"/>
      <c r="S111"/>
      <c r="T111"/>
      <c r="U111"/>
      <c r="V111"/>
      <c r="W111"/>
    </row>
    <row r="112" spans="7:33" x14ac:dyDescent="0.25">
      <c r="O112"/>
      <c r="P112"/>
      <c r="Q112"/>
      <c r="R112"/>
      <c r="S112"/>
      <c r="T112"/>
      <c r="U112"/>
      <c r="V112"/>
      <c r="W112"/>
    </row>
    <row r="113" spans="15:23" x14ac:dyDescent="0.25">
      <c r="O113"/>
      <c r="P113"/>
      <c r="Q113"/>
      <c r="R113"/>
      <c r="S113"/>
      <c r="T113"/>
      <c r="U113"/>
      <c r="V113"/>
      <c r="W113"/>
    </row>
    <row r="114" spans="15:23" x14ac:dyDescent="0.25">
      <c r="O114"/>
      <c r="P114"/>
      <c r="Q114"/>
      <c r="R114"/>
      <c r="S114"/>
      <c r="T114"/>
      <c r="U114"/>
      <c r="V114"/>
      <c r="W114"/>
    </row>
    <row r="115" spans="15:23" x14ac:dyDescent="0.25">
      <c r="O115"/>
      <c r="P115"/>
      <c r="Q115"/>
      <c r="R115"/>
      <c r="S115"/>
      <c r="T115"/>
      <c r="U115"/>
      <c r="V115"/>
      <c r="W115"/>
    </row>
    <row r="116" spans="15:23" x14ac:dyDescent="0.25">
      <c r="O116"/>
      <c r="P116"/>
      <c r="Q116"/>
      <c r="R116"/>
      <c r="S116"/>
      <c r="T116"/>
      <c r="U116"/>
      <c r="V116"/>
      <c r="W116"/>
    </row>
    <row r="117" spans="15:23" x14ac:dyDescent="0.25">
      <c r="O117"/>
      <c r="P117"/>
      <c r="Q117"/>
      <c r="R117"/>
      <c r="S117"/>
      <c r="T117"/>
      <c r="U117"/>
      <c r="V117"/>
      <c r="W117"/>
    </row>
    <row r="118" spans="15:23" x14ac:dyDescent="0.25">
      <c r="O118"/>
      <c r="P118"/>
      <c r="Q118"/>
      <c r="R118"/>
      <c r="S118"/>
      <c r="T118"/>
      <c r="U118"/>
      <c r="V118"/>
    </row>
    <row r="119" spans="15:23" x14ac:dyDescent="0.25">
      <c r="O119"/>
      <c r="P119"/>
      <c r="Q119"/>
      <c r="R119"/>
      <c r="S119"/>
      <c r="T119"/>
      <c r="U119"/>
      <c r="V119"/>
    </row>
    <row r="120" spans="15:23" x14ac:dyDescent="0.25">
      <c r="O120"/>
      <c r="P120"/>
      <c r="Q120"/>
      <c r="R120"/>
      <c r="S120"/>
      <c r="T120"/>
      <c r="U120"/>
      <c r="V120"/>
    </row>
    <row r="121" spans="15:23" x14ac:dyDescent="0.25">
      <c r="O121"/>
      <c r="P121"/>
      <c r="Q121"/>
      <c r="R121"/>
      <c r="S121"/>
      <c r="T121"/>
      <c r="U121"/>
      <c r="V121"/>
    </row>
    <row r="122" spans="15:23" x14ac:dyDescent="0.25">
      <c r="O122"/>
      <c r="P122"/>
      <c r="Q122"/>
      <c r="R122"/>
      <c r="S122"/>
      <c r="T122"/>
      <c r="U122"/>
      <c r="V122"/>
    </row>
    <row r="123" spans="15:23" x14ac:dyDescent="0.25">
      <c r="O123"/>
      <c r="P123"/>
      <c r="Q123"/>
      <c r="R123"/>
      <c r="S123"/>
      <c r="T123"/>
      <c r="U123"/>
      <c r="V123"/>
    </row>
    <row r="124" spans="15:23" x14ac:dyDescent="0.25">
      <c r="O124"/>
      <c r="P124"/>
      <c r="Q124"/>
      <c r="R124"/>
      <c r="S124"/>
      <c r="T124"/>
      <c r="U124"/>
      <c r="V124"/>
    </row>
    <row r="125" spans="15:23" x14ac:dyDescent="0.25">
      <c r="O125"/>
      <c r="P125"/>
      <c r="Q125"/>
      <c r="R125"/>
      <c r="S125"/>
      <c r="T125"/>
      <c r="U125"/>
      <c r="V125"/>
    </row>
    <row r="126" spans="15:23" x14ac:dyDescent="0.25">
      <c r="O126"/>
      <c r="P126"/>
      <c r="Q126"/>
      <c r="R126"/>
      <c r="S126"/>
      <c r="T126"/>
      <c r="U126"/>
      <c r="V126"/>
    </row>
    <row r="127" spans="15:23" x14ac:dyDescent="0.25">
      <c r="O127"/>
      <c r="P127"/>
      <c r="Q127"/>
      <c r="R127"/>
      <c r="S127"/>
      <c r="T127"/>
      <c r="U127"/>
      <c r="V127"/>
    </row>
    <row r="128" spans="15:23" x14ac:dyDescent="0.25">
      <c r="O128"/>
      <c r="P128"/>
      <c r="Q128"/>
      <c r="R128"/>
      <c r="S128"/>
      <c r="T128"/>
      <c r="U128"/>
      <c r="V128"/>
    </row>
    <row r="129" spans="15:22" x14ac:dyDescent="0.25">
      <c r="O129"/>
      <c r="P129"/>
      <c r="Q129"/>
      <c r="R129"/>
      <c r="S129"/>
      <c r="T129"/>
      <c r="U129"/>
      <c r="V129"/>
    </row>
    <row r="130" spans="15:22" x14ac:dyDescent="0.25">
      <c r="O130"/>
      <c r="P130"/>
      <c r="Q130"/>
      <c r="R130"/>
      <c r="S130"/>
      <c r="T130"/>
      <c r="U130"/>
      <c r="V130"/>
    </row>
    <row r="131" spans="15:22" x14ac:dyDescent="0.25">
      <c r="O131"/>
      <c r="P131"/>
      <c r="Q131"/>
      <c r="R131"/>
      <c r="S131"/>
      <c r="T131"/>
      <c r="U131"/>
      <c r="V131"/>
    </row>
    <row r="132" spans="15:22" x14ac:dyDescent="0.25">
      <c r="O132"/>
      <c r="P132"/>
      <c r="Q132"/>
      <c r="R132"/>
      <c r="S132"/>
      <c r="T132"/>
      <c r="U132"/>
      <c r="V132"/>
    </row>
    <row r="133" spans="15:22" x14ac:dyDescent="0.25">
      <c r="O133"/>
      <c r="P133"/>
      <c r="Q133"/>
      <c r="R133"/>
      <c r="S133"/>
      <c r="T133"/>
      <c r="U133"/>
      <c r="V133"/>
    </row>
    <row r="134" spans="15:22" x14ac:dyDescent="0.25">
      <c r="O134"/>
      <c r="P134"/>
      <c r="Q134"/>
      <c r="R134"/>
      <c r="S134"/>
      <c r="T134"/>
      <c r="U134"/>
      <c r="V134"/>
    </row>
    <row r="135" spans="15:22" x14ac:dyDescent="0.25">
      <c r="O135"/>
      <c r="P135"/>
      <c r="Q135"/>
      <c r="R135"/>
      <c r="S135"/>
      <c r="T135"/>
      <c r="U135"/>
      <c r="V135"/>
    </row>
    <row r="136" spans="15:22" x14ac:dyDescent="0.25">
      <c r="O136"/>
      <c r="P136"/>
      <c r="Q136"/>
      <c r="R136"/>
      <c r="S136"/>
      <c r="T136"/>
      <c r="U136"/>
      <c r="V136"/>
    </row>
    <row r="137" spans="15:22" x14ac:dyDescent="0.25">
      <c r="O137"/>
      <c r="P137"/>
      <c r="Q137"/>
      <c r="R137"/>
      <c r="S137"/>
      <c r="T137"/>
      <c r="U137"/>
      <c r="V137"/>
    </row>
    <row r="138" spans="15:22" x14ac:dyDescent="0.25">
      <c r="O138"/>
      <c r="P138"/>
      <c r="Q138"/>
      <c r="R138"/>
      <c r="S138"/>
      <c r="T138"/>
      <c r="U138"/>
      <c r="V138"/>
    </row>
    <row r="139" spans="15:22" x14ac:dyDescent="0.25">
      <c r="O139"/>
      <c r="P139"/>
      <c r="Q139"/>
      <c r="R139"/>
      <c r="S139"/>
      <c r="T139"/>
      <c r="U139"/>
      <c r="V139"/>
    </row>
    <row r="140" spans="15:22" x14ac:dyDescent="0.25">
      <c r="O140"/>
      <c r="P140"/>
      <c r="Q140"/>
      <c r="R140"/>
      <c r="S140"/>
      <c r="T140"/>
      <c r="U140"/>
      <c r="V140"/>
    </row>
    <row r="141" spans="15:22" x14ac:dyDescent="0.25">
      <c r="O141"/>
      <c r="P141"/>
      <c r="Q141"/>
      <c r="R141"/>
      <c r="S141"/>
      <c r="T141"/>
      <c r="U141"/>
      <c r="V141"/>
    </row>
    <row r="142" spans="15:22" x14ac:dyDescent="0.25">
      <c r="O142"/>
      <c r="P142"/>
      <c r="Q142"/>
      <c r="R142"/>
      <c r="S142"/>
      <c r="T142"/>
      <c r="U142"/>
      <c r="V142"/>
    </row>
    <row r="143" spans="15:22" x14ac:dyDescent="0.25">
      <c r="O143"/>
      <c r="P143"/>
      <c r="Q143"/>
      <c r="R143"/>
      <c r="S143"/>
      <c r="T143"/>
      <c r="U143"/>
      <c r="V143"/>
    </row>
    <row r="144" spans="15:22" x14ac:dyDescent="0.25">
      <c r="O144"/>
      <c r="P144"/>
      <c r="Q144"/>
      <c r="R144"/>
      <c r="S144"/>
      <c r="T144"/>
      <c r="U144"/>
      <c r="V144"/>
    </row>
    <row r="145" spans="15:22" x14ac:dyDescent="0.25">
      <c r="O145"/>
      <c r="P145"/>
      <c r="Q145"/>
      <c r="R145"/>
      <c r="S145"/>
      <c r="T145"/>
      <c r="U145"/>
      <c r="V145"/>
    </row>
    <row r="146" spans="15:22" x14ac:dyDescent="0.25">
      <c r="O146"/>
      <c r="P146"/>
      <c r="Q146"/>
      <c r="R146"/>
      <c r="S146"/>
      <c r="T146"/>
      <c r="U146"/>
      <c r="V146"/>
    </row>
    <row r="147" spans="15:22" x14ac:dyDescent="0.25">
      <c r="O147"/>
      <c r="P147"/>
      <c r="Q147"/>
      <c r="R147"/>
      <c r="S147"/>
      <c r="T147"/>
      <c r="U147"/>
      <c r="V147"/>
    </row>
    <row r="148" spans="15:22" x14ac:dyDescent="0.25">
      <c r="O148"/>
      <c r="P148"/>
      <c r="Q148"/>
      <c r="R148"/>
      <c r="S148"/>
      <c r="T148"/>
      <c r="U148"/>
      <c r="V148"/>
    </row>
    <row r="149" spans="15:22" x14ac:dyDescent="0.25">
      <c r="O149"/>
      <c r="P149"/>
      <c r="Q149"/>
      <c r="R149"/>
      <c r="S149"/>
      <c r="T149"/>
      <c r="U149"/>
      <c r="V149"/>
    </row>
    <row r="150" spans="15:22" x14ac:dyDescent="0.25">
      <c r="O150"/>
      <c r="P150"/>
      <c r="Q150"/>
      <c r="R150"/>
      <c r="S150"/>
      <c r="T150"/>
      <c r="U150"/>
      <c r="V150"/>
    </row>
    <row r="151" spans="15:22" x14ac:dyDescent="0.25">
      <c r="O151"/>
      <c r="P151"/>
      <c r="Q151"/>
      <c r="R151"/>
      <c r="S151"/>
      <c r="T151"/>
      <c r="U151"/>
      <c r="V151"/>
    </row>
    <row r="152" spans="15:22" x14ac:dyDescent="0.25">
      <c r="O152"/>
      <c r="P152"/>
      <c r="Q152"/>
      <c r="R152"/>
      <c r="S152"/>
      <c r="T152"/>
      <c r="U152"/>
      <c r="V152"/>
    </row>
    <row r="153" spans="15:22" x14ac:dyDescent="0.25">
      <c r="O153"/>
      <c r="P153"/>
      <c r="Q153"/>
      <c r="R153"/>
      <c r="S153"/>
      <c r="T153"/>
      <c r="U153"/>
      <c r="V153"/>
    </row>
    <row r="154" spans="15:22" x14ac:dyDescent="0.25">
      <c r="O154"/>
      <c r="P154"/>
      <c r="Q154"/>
      <c r="R154"/>
      <c r="S154"/>
      <c r="T154"/>
      <c r="U154"/>
      <c r="V154"/>
    </row>
    <row r="155" spans="15:22" x14ac:dyDescent="0.25">
      <c r="O155"/>
      <c r="P155"/>
      <c r="Q155"/>
      <c r="R155"/>
      <c r="S155"/>
      <c r="T155"/>
      <c r="U155"/>
      <c r="V155"/>
    </row>
    <row r="156" spans="15:22" x14ac:dyDescent="0.25">
      <c r="O156"/>
      <c r="P156"/>
      <c r="Q156"/>
      <c r="R156"/>
      <c r="S156"/>
      <c r="T156"/>
      <c r="U156"/>
    </row>
    <row r="157" spans="15:22" x14ac:dyDescent="0.25">
      <c r="O157"/>
      <c r="P157"/>
      <c r="Q157"/>
      <c r="R157"/>
      <c r="S157"/>
      <c r="T157"/>
      <c r="U157"/>
    </row>
    <row r="158" spans="15:22" x14ac:dyDescent="0.25">
      <c r="O158"/>
      <c r="P158"/>
      <c r="Q158"/>
      <c r="R158"/>
      <c r="S158"/>
      <c r="T158"/>
      <c r="U158"/>
    </row>
    <row r="159" spans="15:22" x14ac:dyDescent="0.25">
      <c r="O159"/>
      <c r="P159"/>
      <c r="Q159"/>
      <c r="R159"/>
      <c r="S159"/>
      <c r="T159"/>
      <c r="U159"/>
    </row>
    <row r="160" spans="15:22" x14ac:dyDescent="0.25">
      <c r="O160"/>
      <c r="P160"/>
      <c r="Q160"/>
      <c r="R160"/>
      <c r="S160"/>
      <c r="T160"/>
      <c r="U160"/>
    </row>
    <row r="161" spans="15:21" x14ac:dyDescent="0.25">
      <c r="O161"/>
      <c r="P161"/>
      <c r="Q161"/>
      <c r="R161"/>
      <c r="S161"/>
      <c r="T161"/>
      <c r="U161"/>
    </row>
    <row r="162" spans="15:21" x14ac:dyDescent="0.25">
      <c r="O162"/>
      <c r="P162"/>
      <c r="Q162"/>
      <c r="R162"/>
      <c r="S162"/>
      <c r="T162"/>
      <c r="U162"/>
    </row>
    <row r="163" spans="15:21" x14ac:dyDescent="0.25">
      <c r="O163"/>
      <c r="P163"/>
      <c r="Q163"/>
      <c r="R163"/>
      <c r="S163"/>
      <c r="T163"/>
      <c r="U163"/>
    </row>
    <row r="164" spans="15:21" x14ac:dyDescent="0.25">
      <c r="O164"/>
      <c r="P164"/>
      <c r="Q164"/>
      <c r="R164"/>
      <c r="S164"/>
      <c r="T164"/>
      <c r="U164"/>
    </row>
    <row r="165" spans="15:21" x14ac:dyDescent="0.25">
      <c r="O165"/>
      <c r="P165"/>
      <c r="Q165"/>
      <c r="R165"/>
      <c r="S165"/>
      <c r="T165"/>
      <c r="U165"/>
    </row>
    <row r="166" spans="15:21" x14ac:dyDescent="0.25">
      <c r="O166"/>
      <c r="P166"/>
      <c r="Q166"/>
      <c r="R166"/>
      <c r="S166"/>
      <c r="T166"/>
      <c r="U166"/>
    </row>
    <row r="167" spans="15:21" x14ac:dyDescent="0.25">
      <c r="O167"/>
      <c r="P167"/>
      <c r="Q167"/>
      <c r="R167"/>
      <c r="S167"/>
      <c r="T167"/>
      <c r="U167"/>
    </row>
    <row r="168" spans="15:21" x14ac:dyDescent="0.25">
      <c r="O168"/>
      <c r="P168"/>
      <c r="Q168"/>
      <c r="R168"/>
      <c r="S168"/>
      <c r="T168"/>
      <c r="U168"/>
    </row>
    <row r="169" spans="15:21" x14ac:dyDescent="0.25">
      <c r="O169"/>
      <c r="P169"/>
      <c r="Q169"/>
      <c r="R169"/>
      <c r="S169"/>
      <c r="T169"/>
      <c r="U169"/>
    </row>
    <row r="170" spans="15:21" x14ac:dyDescent="0.25">
      <c r="O170"/>
      <c r="P170"/>
      <c r="Q170"/>
      <c r="R170"/>
      <c r="S170"/>
      <c r="T170"/>
      <c r="U170"/>
    </row>
    <row r="171" spans="15:21" x14ac:dyDescent="0.25">
      <c r="O171"/>
      <c r="P171"/>
      <c r="Q171"/>
      <c r="R171"/>
      <c r="S171"/>
      <c r="T171"/>
      <c r="U171"/>
    </row>
    <row r="172" spans="15:21" x14ac:dyDescent="0.25">
      <c r="O172"/>
      <c r="P172"/>
      <c r="Q172"/>
      <c r="R172"/>
      <c r="S172"/>
      <c r="T172"/>
      <c r="U172"/>
    </row>
    <row r="173" spans="15:21" x14ac:dyDescent="0.25">
      <c r="O173"/>
      <c r="P173"/>
      <c r="Q173"/>
      <c r="R173"/>
      <c r="S173"/>
      <c r="T173"/>
      <c r="U173"/>
    </row>
    <row r="174" spans="15:21" x14ac:dyDescent="0.25">
      <c r="O174"/>
      <c r="P174"/>
      <c r="Q174"/>
      <c r="R174"/>
      <c r="S174"/>
      <c r="T174"/>
      <c r="U174"/>
    </row>
    <row r="175" spans="15:21" x14ac:dyDescent="0.25">
      <c r="O175"/>
      <c r="P175"/>
      <c r="Q175"/>
      <c r="R175"/>
      <c r="S175"/>
      <c r="T175"/>
      <c r="U175"/>
    </row>
    <row r="176" spans="15:21" x14ac:dyDescent="0.25">
      <c r="O176"/>
      <c r="P176"/>
      <c r="Q176"/>
      <c r="R176"/>
      <c r="S176"/>
      <c r="T176"/>
      <c r="U176"/>
    </row>
    <row r="177" spans="15:21" x14ac:dyDescent="0.25">
      <c r="O177"/>
      <c r="P177"/>
      <c r="Q177"/>
      <c r="R177"/>
      <c r="S177"/>
      <c r="T177"/>
      <c r="U177"/>
    </row>
    <row r="178" spans="15:21" x14ac:dyDescent="0.25">
      <c r="O178"/>
      <c r="P178"/>
      <c r="Q178"/>
      <c r="R178"/>
      <c r="S178"/>
      <c r="T178"/>
      <c r="U178"/>
    </row>
    <row r="179" spans="15:21" x14ac:dyDescent="0.25">
      <c r="O179"/>
      <c r="P179"/>
      <c r="Q179"/>
      <c r="R179"/>
      <c r="S179"/>
      <c r="T179"/>
      <c r="U179"/>
    </row>
    <row r="180" spans="15:21" x14ac:dyDescent="0.25">
      <c r="O180"/>
      <c r="P180"/>
      <c r="Q180"/>
      <c r="R180"/>
      <c r="S180"/>
      <c r="T180"/>
      <c r="U180"/>
    </row>
    <row r="181" spans="15:21" x14ac:dyDescent="0.25">
      <c r="O181"/>
      <c r="P181"/>
      <c r="Q181"/>
      <c r="R181"/>
      <c r="S181"/>
      <c r="T181"/>
      <c r="U181"/>
    </row>
    <row r="182" spans="15:21" x14ac:dyDescent="0.25">
      <c r="O182"/>
      <c r="P182"/>
      <c r="Q182"/>
      <c r="R182"/>
      <c r="S182"/>
      <c r="T182"/>
      <c r="U182"/>
    </row>
    <row r="183" spans="15:21" x14ac:dyDescent="0.25">
      <c r="O183"/>
      <c r="P183"/>
      <c r="Q183"/>
      <c r="R183"/>
      <c r="S183"/>
      <c r="T183"/>
      <c r="U183"/>
    </row>
    <row r="184" spans="15:21" x14ac:dyDescent="0.25">
      <c r="O184"/>
      <c r="P184"/>
      <c r="Q184"/>
      <c r="R184"/>
      <c r="S184"/>
      <c r="T184"/>
      <c r="U184"/>
    </row>
    <row r="185" spans="15:21" x14ac:dyDescent="0.25">
      <c r="O185"/>
      <c r="P185"/>
      <c r="Q185"/>
      <c r="R185"/>
      <c r="S185"/>
      <c r="T185"/>
      <c r="U185"/>
    </row>
    <row r="186" spans="15:21" x14ac:dyDescent="0.25">
      <c r="O186"/>
      <c r="P186"/>
      <c r="Q186"/>
      <c r="R186"/>
      <c r="S186"/>
      <c r="T186"/>
      <c r="U186"/>
    </row>
    <row r="187" spans="15:21" x14ac:dyDescent="0.25">
      <c r="O187"/>
      <c r="P187"/>
      <c r="Q187"/>
      <c r="R187"/>
      <c r="S187"/>
      <c r="T187"/>
      <c r="U187"/>
    </row>
    <row r="188" spans="15:21" x14ac:dyDescent="0.25">
      <c r="O188"/>
      <c r="P188"/>
      <c r="Q188"/>
      <c r="R188"/>
      <c r="S188"/>
      <c r="T188"/>
      <c r="U188"/>
    </row>
    <row r="189" spans="15:21" x14ac:dyDescent="0.25">
      <c r="O189"/>
      <c r="P189"/>
      <c r="Q189"/>
      <c r="R189"/>
      <c r="S189"/>
      <c r="T189"/>
      <c r="U189"/>
    </row>
    <row r="190" spans="15:21" x14ac:dyDescent="0.25">
      <c r="O190"/>
      <c r="P190"/>
      <c r="Q190"/>
      <c r="R190"/>
      <c r="S190"/>
      <c r="T190"/>
      <c r="U190"/>
    </row>
    <row r="191" spans="15:21" x14ac:dyDescent="0.25">
      <c r="O191"/>
      <c r="P191"/>
      <c r="Q191"/>
      <c r="R191"/>
      <c r="S191"/>
      <c r="T191"/>
      <c r="U191"/>
    </row>
    <row r="192" spans="15:21" x14ac:dyDescent="0.25">
      <c r="O192"/>
      <c r="P192"/>
      <c r="Q192"/>
      <c r="R192"/>
      <c r="S192"/>
      <c r="T192"/>
      <c r="U192"/>
    </row>
    <row r="193" spans="15:21" x14ac:dyDescent="0.25">
      <c r="O193"/>
      <c r="P193"/>
      <c r="Q193"/>
      <c r="R193"/>
      <c r="S193"/>
      <c r="T193"/>
      <c r="U193"/>
    </row>
    <row r="194" spans="15:21" x14ac:dyDescent="0.25">
      <c r="O194"/>
      <c r="P194"/>
      <c r="Q194"/>
      <c r="R194"/>
      <c r="S194"/>
      <c r="T194"/>
      <c r="U194"/>
    </row>
    <row r="195" spans="15:21" x14ac:dyDescent="0.25">
      <c r="O195"/>
      <c r="P195"/>
      <c r="Q195"/>
      <c r="R195"/>
      <c r="S195"/>
      <c r="T195"/>
      <c r="U195"/>
    </row>
    <row r="196" spans="15:21" x14ac:dyDescent="0.25">
      <c r="O196"/>
      <c r="P196"/>
      <c r="Q196"/>
      <c r="R196"/>
      <c r="S196"/>
      <c r="T196"/>
      <c r="U196"/>
    </row>
    <row r="197" spans="15:21" x14ac:dyDescent="0.25">
      <c r="O197"/>
      <c r="P197"/>
      <c r="Q197"/>
      <c r="R197"/>
      <c r="S197"/>
      <c r="T197"/>
      <c r="U197"/>
    </row>
    <row r="198" spans="15:21" x14ac:dyDescent="0.25">
      <c r="O198"/>
      <c r="P198"/>
      <c r="Q198"/>
      <c r="R198"/>
      <c r="S198"/>
      <c r="T198"/>
      <c r="U198"/>
    </row>
    <row r="199" spans="15:21" x14ac:dyDescent="0.25">
      <c r="O199"/>
      <c r="P199"/>
      <c r="Q199"/>
      <c r="R199"/>
      <c r="S199"/>
      <c r="T199"/>
      <c r="U199"/>
    </row>
    <row r="200" spans="15:21" x14ac:dyDescent="0.25">
      <c r="O200"/>
      <c r="P200"/>
      <c r="Q200"/>
      <c r="R200"/>
      <c r="S200"/>
      <c r="T200"/>
      <c r="U200"/>
    </row>
    <row r="201" spans="15:21" x14ac:dyDescent="0.25">
      <c r="O201"/>
      <c r="P201"/>
      <c r="Q201"/>
      <c r="R201"/>
      <c r="S201"/>
      <c r="T201"/>
      <c r="U201"/>
    </row>
    <row r="202" spans="15:21" x14ac:dyDescent="0.25">
      <c r="O202"/>
      <c r="P202"/>
      <c r="Q202"/>
      <c r="R202"/>
      <c r="S202"/>
      <c r="T202"/>
      <c r="U202"/>
    </row>
    <row r="203" spans="15:21" x14ac:dyDescent="0.25">
      <c r="O203"/>
      <c r="P203"/>
      <c r="Q203"/>
      <c r="R203"/>
      <c r="S203"/>
      <c r="T203"/>
      <c r="U203"/>
    </row>
    <row r="204" spans="15:21" x14ac:dyDescent="0.25">
      <c r="O204"/>
      <c r="P204"/>
      <c r="Q204"/>
      <c r="R204"/>
      <c r="S204"/>
      <c r="T204"/>
      <c r="U204"/>
    </row>
    <row r="205" spans="15:21" x14ac:dyDescent="0.25">
      <c r="O205"/>
      <c r="P205"/>
      <c r="Q205"/>
      <c r="R205"/>
      <c r="S205"/>
      <c r="T205"/>
      <c r="U205"/>
    </row>
    <row r="206" spans="15:21" x14ac:dyDescent="0.25">
      <c r="O206"/>
      <c r="P206"/>
      <c r="Q206"/>
      <c r="R206"/>
      <c r="S206"/>
      <c r="T206"/>
      <c r="U206"/>
    </row>
    <row r="207" spans="15:21" x14ac:dyDescent="0.25">
      <c r="O207"/>
      <c r="P207"/>
      <c r="Q207"/>
      <c r="R207"/>
      <c r="S207"/>
      <c r="T207"/>
      <c r="U207"/>
    </row>
    <row r="208" spans="15:21" x14ac:dyDescent="0.25">
      <c r="O208"/>
      <c r="P208"/>
      <c r="Q208"/>
      <c r="R208"/>
      <c r="S208"/>
      <c r="T208"/>
      <c r="U208"/>
    </row>
    <row r="209" spans="15:21" x14ac:dyDescent="0.25">
      <c r="O209"/>
      <c r="P209"/>
      <c r="Q209"/>
      <c r="R209"/>
      <c r="S209"/>
      <c r="T209"/>
      <c r="U209"/>
    </row>
    <row r="210" spans="15:21" x14ac:dyDescent="0.25">
      <c r="O210"/>
      <c r="P210"/>
      <c r="Q210"/>
      <c r="R210"/>
      <c r="S210"/>
      <c r="T210"/>
      <c r="U210"/>
    </row>
    <row r="211" spans="15:21" x14ac:dyDescent="0.25">
      <c r="O211"/>
      <c r="P211"/>
      <c r="Q211"/>
      <c r="R211"/>
      <c r="S211"/>
      <c r="T211"/>
      <c r="U211"/>
    </row>
    <row r="212" spans="15:21" x14ac:dyDescent="0.25">
      <c r="O212"/>
      <c r="P212"/>
      <c r="Q212"/>
      <c r="R212"/>
      <c r="S212"/>
      <c r="T212"/>
      <c r="U212"/>
    </row>
    <row r="213" spans="15:21" x14ac:dyDescent="0.25">
      <c r="O213"/>
      <c r="P213"/>
      <c r="Q213"/>
      <c r="R213"/>
      <c r="S213"/>
      <c r="T213"/>
      <c r="U213"/>
    </row>
    <row r="214" spans="15:21" x14ac:dyDescent="0.25">
      <c r="O214"/>
      <c r="P214"/>
      <c r="Q214"/>
      <c r="R214"/>
      <c r="S214"/>
      <c r="T214"/>
      <c r="U214"/>
    </row>
    <row r="215" spans="15:21" x14ac:dyDescent="0.25">
      <c r="O215"/>
      <c r="P215"/>
      <c r="Q215"/>
      <c r="R215"/>
      <c r="S215"/>
      <c r="T215"/>
      <c r="U215"/>
    </row>
    <row r="216" spans="15:21" x14ac:dyDescent="0.25">
      <c r="O216"/>
      <c r="P216"/>
      <c r="Q216"/>
      <c r="R216"/>
      <c r="S216"/>
      <c r="T216"/>
      <c r="U216"/>
    </row>
    <row r="217" spans="15:21" x14ac:dyDescent="0.25">
      <c r="O217"/>
      <c r="P217"/>
      <c r="Q217"/>
      <c r="R217"/>
      <c r="S217"/>
      <c r="T217"/>
      <c r="U217"/>
    </row>
    <row r="218" spans="15:21" x14ac:dyDescent="0.25">
      <c r="O218"/>
      <c r="P218"/>
      <c r="Q218"/>
      <c r="R218"/>
      <c r="S218"/>
      <c r="T218"/>
      <c r="U218"/>
    </row>
    <row r="219" spans="15:21" x14ac:dyDescent="0.25">
      <c r="O219"/>
      <c r="P219"/>
      <c r="Q219"/>
      <c r="R219"/>
      <c r="S219"/>
      <c r="T219"/>
      <c r="U219"/>
    </row>
    <row r="220" spans="15:21" x14ac:dyDescent="0.25">
      <c r="O220"/>
      <c r="P220"/>
      <c r="Q220"/>
      <c r="R220"/>
      <c r="S220"/>
      <c r="T220"/>
      <c r="U220"/>
    </row>
    <row r="221" spans="15:21" x14ac:dyDescent="0.25">
      <c r="O221"/>
      <c r="P221"/>
      <c r="Q221"/>
      <c r="R221"/>
      <c r="S221"/>
      <c r="T221"/>
      <c r="U221"/>
    </row>
    <row r="222" spans="15:21" x14ac:dyDescent="0.25">
      <c r="O222"/>
      <c r="P222"/>
      <c r="Q222"/>
      <c r="R222"/>
      <c r="S222"/>
      <c r="T222"/>
      <c r="U222"/>
    </row>
    <row r="223" spans="15:21" x14ac:dyDescent="0.25">
      <c r="O223"/>
      <c r="P223"/>
      <c r="Q223"/>
      <c r="R223"/>
      <c r="S223"/>
      <c r="T223"/>
      <c r="U223"/>
    </row>
    <row r="224" spans="15:21" x14ac:dyDescent="0.25">
      <c r="O224"/>
      <c r="P224"/>
      <c r="Q224"/>
      <c r="R224"/>
      <c r="S224"/>
      <c r="T224"/>
      <c r="U224"/>
    </row>
    <row r="225" spans="15:21" x14ac:dyDescent="0.25">
      <c r="O225"/>
      <c r="P225"/>
      <c r="Q225"/>
      <c r="R225"/>
      <c r="S225"/>
      <c r="T225"/>
      <c r="U225"/>
    </row>
    <row r="226" spans="15:21" x14ac:dyDescent="0.25">
      <c r="O226"/>
      <c r="P226"/>
      <c r="Q226"/>
      <c r="R226"/>
      <c r="S226"/>
      <c r="T226"/>
      <c r="U226"/>
    </row>
    <row r="227" spans="15:21" x14ac:dyDescent="0.25">
      <c r="O227"/>
      <c r="P227"/>
      <c r="Q227"/>
      <c r="R227"/>
      <c r="S227"/>
      <c r="T227"/>
    </row>
    <row r="228" spans="15:21" x14ac:dyDescent="0.25">
      <c r="O228"/>
      <c r="P228"/>
      <c r="Q228"/>
      <c r="R228"/>
      <c r="S228"/>
      <c r="T228"/>
    </row>
    <row r="229" spans="15:21" x14ac:dyDescent="0.25">
      <c r="O229"/>
      <c r="P229"/>
      <c r="Q229"/>
      <c r="R229"/>
      <c r="S229"/>
      <c r="T229"/>
    </row>
    <row r="230" spans="15:21" x14ac:dyDescent="0.25">
      <c r="O230"/>
      <c r="P230"/>
      <c r="Q230"/>
      <c r="R230"/>
      <c r="S230"/>
      <c r="T230"/>
    </row>
    <row r="231" spans="15:21" x14ac:dyDescent="0.25">
      <c r="O231"/>
      <c r="P231"/>
      <c r="Q231"/>
      <c r="R231"/>
      <c r="S231"/>
      <c r="T231"/>
    </row>
    <row r="232" spans="15:21" x14ac:dyDescent="0.25">
      <c r="O232"/>
      <c r="P232"/>
      <c r="Q232"/>
      <c r="R232"/>
      <c r="S232"/>
      <c r="T232"/>
    </row>
    <row r="233" spans="15:21" x14ac:dyDescent="0.25">
      <c r="O233"/>
      <c r="P233"/>
      <c r="Q233"/>
      <c r="R233"/>
      <c r="S233"/>
      <c r="T233"/>
    </row>
    <row r="234" spans="15:21" x14ac:dyDescent="0.25">
      <c r="O234"/>
      <c r="P234"/>
      <c r="Q234"/>
      <c r="R234"/>
      <c r="S234"/>
      <c r="T234"/>
    </row>
    <row r="235" spans="15:21" x14ac:dyDescent="0.25">
      <c r="O235"/>
      <c r="P235"/>
      <c r="Q235"/>
      <c r="R235"/>
      <c r="S235"/>
      <c r="T235"/>
    </row>
    <row r="236" spans="15:21" x14ac:dyDescent="0.25">
      <c r="O236"/>
      <c r="P236"/>
      <c r="Q236"/>
      <c r="R236"/>
      <c r="S236"/>
      <c r="T236"/>
    </row>
    <row r="237" spans="15:21" x14ac:dyDescent="0.25">
      <c r="O237"/>
      <c r="P237"/>
      <c r="Q237"/>
      <c r="R237"/>
      <c r="S237"/>
      <c r="T237"/>
    </row>
    <row r="238" spans="15:21" x14ac:dyDescent="0.25">
      <c r="O238"/>
      <c r="P238"/>
      <c r="Q238"/>
      <c r="R238"/>
      <c r="S238"/>
      <c r="T238"/>
    </row>
    <row r="239" spans="15:21" x14ac:dyDescent="0.25">
      <c r="O239"/>
      <c r="P239"/>
      <c r="Q239"/>
      <c r="R239"/>
      <c r="S239"/>
      <c r="T239"/>
    </row>
    <row r="240" spans="15:21" x14ac:dyDescent="0.25">
      <c r="O240"/>
      <c r="P240"/>
      <c r="Q240"/>
      <c r="R240"/>
      <c r="S240"/>
      <c r="T240"/>
    </row>
    <row r="241" spans="15:20" x14ac:dyDescent="0.25">
      <c r="O241"/>
      <c r="P241"/>
      <c r="Q241"/>
      <c r="R241"/>
      <c r="S241"/>
      <c r="T241"/>
    </row>
    <row r="242" spans="15:20" x14ac:dyDescent="0.25">
      <c r="O242"/>
      <c r="P242"/>
      <c r="Q242"/>
      <c r="R242"/>
      <c r="S242"/>
      <c r="T242"/>
    </row>
    <row r="243" spans="15:20" x14ac:dyDescent="0.25">
      <c r="O243"/>
      <c r="P243"/>
      <c r="Q243"/>
      <c r="R243"/>
      <c r="S243"/>
      <c r="T243"/>
    </row>
    <row r="244" spans="15:20" x14ac:dyDescent="0.25">
      <c r="O244"/>
      <c r="P244"/>
      <c r="Q244"/>
      <c r="R244"/>
      <c r="S244"/>
      <c r="T244"/>
    </row>
    <row r="245" spans="15:20" x14ac:dyDescent="0.25">
      <c r="O245"/>
      <c r="P245"/>
      <c r="Q245"/>
      <c r="R245"/>
      <c r="S245"/>
      <c r="T245"/>
    </row>
    <row r="246" spans="15:20" x14ac:dyDescent="0.25">
      <c r="O246"/>
      <c r="P246"/>
      <c r="Q246"/>
      <c r="R246"/>
      <c r="S246"/>
      <c r="T246"/>
    </row>
    <row r="247" spans="15:20" x14ac:dyDescent="0.25">
      <c r="O247"/>
      <c r="P247"/>
      <c r="Q247"/>
      <c r="R247"/>
      <c r="S247"/>
      <c r="T247"/>
    </row>
    <row r="248" spans="15:20" x14ac:dyDescent="0.25">
      <c r="O248"/>
      <c r="P248"/>
      <c r="Q248"/>
      <c r="R248"/>
      <c r="S248"/>
      <c r="T248"/>
    </row>
    <row r="249" spans="15:20" x14ac:dyDescent="0.25">
      <c r="O249"/>
      <c r="P249"/>
      <c r="Q249"/>
      <c r="R249"/>
      <c r="S249"/>
      <c r="T249"/>
    </row>
    <row r="250" spans="15:20" x14ac:dyDescent="0.25">
      <c r="O250"/>
      <c r="P250"/>
      <c r="Q250"/>
      <c r="R250"/>
      <c r="S250"/>
      <c r="T250"/>
    </row>
    <row r="251" spans="15:20" x14ac:dyDescent="0.25">
      <c r="O251"/>
      <c r="P251"/>
      <c r="Q251"/>
      <c r="R251"/>
      <c r="S251"/>
      <c r="T251"/>
    </row>
    <row r="252" spans="15:20" x14ac:dyDescent="0.25">
      <c r="O252"/>
      <c r="P252"/>
      <c r="Q252"/>
      <c r="R252"/>
      <c r="S252"/>
      <c r="T252"/>
    </row>
    <row r="253" spans="15:20" x14ac:dyDescent="0.25">
      <c r="O253"/>
      <c r="P253"/>
      <c r="Q253"/>
      <c r="R253"/>
      <c r="S253"/>
      <c r="T253"/>
    </row>
    <row r="254" spans="15:20" x14ac:dyDescent="0.25">
      <c r="O254"/>
      <c r="P254"/>
      <c r="Q254"/>
      <c r="R254"/>
      <c r="S254"/>
      <c r="T254"/>
    </row>
    <row r="255" spans="15:20" x14ac:dyDescent="0.25">
      <c r="O255"/>
      <c r="P255"/>
      <c r="Q255"/>
      <c r="R255"/>
      <c r="S255"/>
      <c r="T255"/>
    </row>
    <row r="256" spans="15:20" x14ac:dyDescent="0.25">
      <c r="O256"/>
      <c r="P256"/>
      <c r="Q256"/>
      <c r="R256"/>
      <c r="S256"/>
      <c r="T256"/>
    </row>
    <row r="257" spans="15:20" x14ac:dyDescent="0.25">
      <c r="O257"/>
      <c r="P257"/>
      <c r="Q257"/>
      <c r="R257"/>
      <c r="S257"/>
      <c r="T257"/>
    </row>
    <row r="258" spans="15:20" x14ac:dyDescent="0.25">
      <c r="O258"/>
      <c r="P258"/>
      <c r="Q258"/>
      <c r="R258"/>
      <c r="S258"/>
      <c r="T258"/>
    </row>
    <row r="259" spans="15:20" x14ac:dyDescent="0.25">
      <c r="O259"/>
      <c r="P259"/>
      <c r="Q259"/>
      <c r="R259"/>
      <c r="S259"/>
      <c r="T259"/>
    </row>
    <row r="260" spans="15:20" x14ac:dyDescent="0.25">
      <c r="O260"/>
      <c r="P260"/>
      <c r="Q260"/>
      <c r="R260"/>
      <c r="S260"/>
      <c r="T260"/>
    </row>
    <row r="261" spans="15:20" x14ac:dyDescent="0.25">
      <c r="O261"/>
      <c r="P261"/>
      <c r="Q261"/>
      <c r="R261"/>
      <c r="S261"/>
      <c r="T261"/>
    </row>
    <row r="262" spans="15:20" x14ac:dyDescent="0.25">
      <c r="O262"/>
      <c r="P262"/>
      <c r="Q262"/>
      <c r="R262"/>
      <c r="S262"/>
      <c r="T262"/>
    </row>
    <row r="263" spans="15:20" x14ac:dyDescent="0.25">
      <c r="O263"/>
      <c r="P263"/>
      <c r="Q263"/>
      <c r="R263"/>
      <c r="S263"/>
      <c r="T263"/>
    </row>
    <row r="264" spans="15:20" x14ac:dyDescent="0.25">
      <c r="O264"/>
      <c r="P264"/>
      <c r="Q264"/>
      <c r="R264"/>
      <c r="S264"/>
      <c r="T264"/>
    </row>
    <row r="265" spans="15:20" x14ac:dyDescent="0.25">
      <c r="O265"/>
      <c r="P265"/>
      <c r="Q265"/>
      <c r="R265"/>
      <c r="S265"/>
      <c r="T265"/>
    </row>
    <row r="266" spans="15:20" x14ac:dyDescent="0.25">
      <c r="O266"/>
      <c r="P266"/>
      <c r="Q266"/>
      <c r="R266"/>
      <c r="S266"/>
      <c r="T266"/>
    </row>
    <row r="267" spans="15:20" x14ac:dyDescent="0.25">
      <c r="O267"/>
      <c r="P267"/>
      <c r="Q267"/>
      <c r="R267"/>
      <c r="S267"/>
      <c r="T267"/>
    </row>
    <row r="268" spans="15:20" x14ac:dyDescent="0.25">
      <c r="O268"/>
      <c r="P268"/>
      <c r="Q268"/>
      <c r="R268"/>
      <c r="S268"/>
      <c r="T268"/>
    </row>
    <row r="269" spans="15:20" x14ac:dyDescent="0.25">
      <c r="O269"/>
      <c r="P269"/>
      <c r="Q269"/>
      <c r="R269"/>
      <c r="S269"/>
      <c r="T269"/>
    </row>
    <row r="270" spans="15:20" x14ac:dyDescent="0.25">
      <c r="O270"/>
      <c r="P270"/>
      <c r="Q270"/>
      <c r="R270"/>
      <c r="S270"/>
      <c r="T270"/>
    </row>
    <row r="271" spans="15:20" x14ac:dyDescent="0.25">
      <c r="O271"/>
      <c r="P271"/>
      <c r="Q271"/>
      <c r="R271"/>
      <c r="S271"/>
      <c r="T271"/>
    </row>
    <row r="272" spans="15:20" x14ac:dyDescent="0.25">
      <c r="O272"/>
      <c r="P272"/>
      <c r="Q272"/>
      <c r="R272"/>
      <c r="S272"/>
      <c r="T272"/>
    </row>
    <row r="273" spans="15:20" x14ac:dyDescent="0.25">
      <c r="O273"/>
      <c r="P273"/>
      <c r="Q273"/>
      <c r="R273"/>
      <c r="S273"/>
      <c r="T273"/>
    </row>
    <row r="274" spans="15:20" x14ac:dyDescent="0.25">
      <c r="O274"/>
      <c r="P274"/>
      <c r="Q274"/>
      <c r="R274"/>
      <c r="S274"/>
      <c r="T274"/>
    </row>
    <row r="275" spans="15:20" x14ac:dyDescent="0.25">
      <c r="O275"/>
      <c r="P275"/>
      <c r="Q275"/>
      <c r="R275"/>
      <c r="S275"/>
      <c r="T275"/>
    </row>
    <row r="276" spans="15:20" x14ac:dyDescent="0.25">
      <c r="O276"/>
      <c r="P276"/>
      <c r="Q276"/>
      <c r="R276"/>
      <c r="S276"/>
      <c r="T276"/>
    </row>
    <row r="277" spans="15:20" x14ac:dyDescent="0.25">
      <c r="O277"/>
      <c r="P277"/>
      <c r="Q277"/>
      <c r="R277"/>
      <c r="S277"/>
      <c r="T277"/>
    </row>
    <row r="278" spans="15:20" x14ac:dyDescent="0.25">
      <c r="O278"/>
      <c r="P278"/>
      <c r="Q278"/>
      <c r="R278"/>
      <c r="S278"/>
      <c r="T278"/>
    </row>
    <row r="279" spans="15:20" x14ac:dyDescent="0.25">
      <c r="O279"/>
      <c r="P279"/>
      <c r="Q279"/>
      <c r="R279"/>
      <c r="S279"/>
      <c r="T279"/>
    </row>
    <row r="280" spans="15:20" x14ac:dyDescent="0.25">
      <c r="O280"/>
      <c r="P280"/>
      <c r="Q280"/>
      <c r="R280"/>
      <c r="S280"/>
      <c r="T280"/>
    </row>
    <row r="281" spans="15:20" x14ac:dyDescent="0.25">
      <c r="O281"/>
      <c r="P281"/>
      <c r="Q281"/>
      <c r="R281"/>
      <c r="S281"/>
      <c r="T281"/>
    </row>
    <row r="282" spans="15:20" x14ac:dyDescent="0.25">
      <c r="O282"/>
      <c r="P282"/>
      <c r="Q282"/>
      <c r="R282"/>
      <c r="S282"/>
      <c r="T282"/>
    </row>
    <row r="283" spans="15:20" x14ac:dyDescent="0.25">
      <c r="O283"/>
      <c r="P283"/>
      <c r="Q283"/>
      <c r="R283"/>
      <c r="S283"/>
      <c r="T283"/>
    </row>
    <row r="284" spans="15:20" x14ac:dyDescent="0.25">
      <c r="O284"/>
      <c r="P284"/>
      <c r="Q284"/>
      <c r="R284"/>
      <c r="S284"/>
      <c r="T284"/>
    </row>
    <row r="285" spans="15:20" x14ac:dyDescent="0.25">
      <c r="O285"/>
      <c r="P285"/>
      <c r="Q285"/>
      <c r="R285"/>
      <c r="S285"/>
      <c r="T285"/>
    </row>
    <row r="286" spans="15:20" x14ac:dyDescent="0.25">
      <c r="O286"/>
      <c r="P286"/>
      <c r="Q286"/>
      <c r="R286"/>
      <c r="S286"/>
      <c r="T286"/>
    </row>
    <row r="287" spans="15:20" x14ac:dyDescent="0.25">
      <c r="O287"/>
      <c r="P287"/>
      <c r="Q287"/>
      <c r="R287"/>
      <c r="S287"/>
      <c r="T287"/>
    </row>
    <row r="288" spans="15:20" x14ac:dyDescent="0.25">
      <c r="O288"/>
      <c r="P288"/>
      <c r="Q288"/>
      <c r="R288"/>
      <c r="S288"/>
      <c r="T288"/>
    </row>
    <row r="289" spans="15:20" x14ac:dyDescent="0.25">
      <c r="O289"/>
      <c r="P289"/>
      <c r="Q289"/>
      <c r="R289"/>
      <c r="S289"/>
      <c r="T289"/>
    </row>
    <row r="290" spans="15:20" x14ac:dyDescent="0.25">
      <c r="O290"/>
      <c r="P290"/>
      <c r="Q290"/>
      <c r="R290"/>
      <c r="S290"/>
      <c r="T290"/>
    </row>
    <row r="291" spans="15:20" x14ac:dyDescent="0.25">
      <c r="O291"/>
      <c r="P291"/>
      <c r="Q291"/>
      <c r="R291"/>
      <c r="S291"/>
      <c r="T291"/>
    </row>
    <row r="292" spans="15:20" x14ac:dyDescent="0.25">
      <c r="O292"/>
      <c r="P292"/>
      <c r="Q292"/>
      <c r="R292"/>
      <c r="S292"/>
      <c r="T292"/>
    </row>
    <row r="293" spans="15:20" x14ac:dyDescent="0.25">
      <c r="O293"/>
      <c r="P293"/>
      <c r="Q293"/>
      <c r="R293"/>
      <c r="S293"/>
      <c r="T293"/>
    </row>
    <row r="294" spans="15:20" x14ac:dyDescent="0.25">
      <c r="O294"/>
      <c r="P294"/>
      <c r="Q294"/>
      <c r="R294"/>
      <c r="S294"/>
      <c r="T294"/>
    </row>
    <row r="295" spans="15:20" x14ac:dyDescent="0.25">
      <c r="O295"/>
      <c r="P295"/>
      <c r="Q295"/>
      <c r="R295"/>
      <c r="S295"/>
      <c r="T295"/>
    </row>
    <row r="296" spans="15:20" x14ac:dyDescent="0.25">
      <c r="O296"/>
      <c r="P296"/>
      <c r="Q296"/>
      <c r="R296"/>
      <c r="S296"/>
      <c r="T296"/>
    </row>
    <row r="297" spans="15:20" x14ac:dyDescent="0.25">
      <c r="O297"/>
      <c r="P297"/>
      <c r="Q297"/>
      <c r="R297"/>
      <c r="S297"/>
      <c r="T297"/>
    </row>
    <row r="298" spans="15:20" x14ac:dyDescent="0.25">
      <c r="O298"/>
      <c r="P298"/>
      <c r="Q298"/>
      <c r="R298"/>
      <c r="S298"/>
      <c r="T298"/>
    </row>
    <row r="299" spans="15:20" x14ac:dyDescent="0.25">
      <c r="O299"/>
      <c r="P299"/>
      <c r="Q299"/>
      <c r="R299"/>
      <c r="S299"/>
      <c r="T299"/>
    </row>
    <row r="300" spans="15:20" x14ac:dyDescent="0.25">
      <c r="O300"/>
      <c r="P300"/>
      <c r="Q300"/>
      <c r="R300"/>
      <c r="S300"/>
      <c r="T300"/>
    </row>
  </sheetData>
  <printOptions horizontalCentered="1"/>
  <pageMargins left="0.11811023622047245" right="0.11811023622047245" top="0.35433070866141736" bottom="0.55118110236220474" header="0.31496062992125984" footer="0.31496062992125984"/>
  <pageSetup paperSize="9" scale="80" fitToHeight="10" orientation="portrait" horizontalDpi="200" verticalDpi="200" r:id="rId5"/>
  <colBreaks count="3" manualBreakCount="3">
    <brk id="5" max="1048575" man="1"/>
    <brk id="13" max="1048575" man="1"/>
    <brk id="24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1"/>
  <dimension ref="A1:BN674"/>
  <sheetViews>
    <sheetView showGridLines="0" zoomScale="90" zoomScaleNormal="90"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BE1" sqref="BE1:BN1048576"/>
    </sheetView>
  </sheetViews>
  <sheetFormatPr defaultRowHeight="15" x14ac:dyDescent="0.25"/>
  <cols>
    <col min="1" max="1" width="11.5703125" style="124" customWidth="1"/>
    <col min="2" max="2" width="14" style="116" customWidth="1"/>
    <col min="3" max="4" width="14" style="117" customWidth="1"/>
    <col min="5" max="5" width="14" style="116" customWidth="1"/>
    <col min="6" max="6" width="14.42578125" style="116" customWidth="1"/>
    <col min="7" max="8" width="2.42578125" style="114" customWidth="1"/>
    <col min="9" max="9" width="11.5703125" style="124" customWidth="1"/>
    <col min="10" max="10" width="14" style="116" customWidth="1"/>
    <col min="11" max="12" width="14" style="117" customWidth="1"/>
    <col min="13" max="13" width="14" style="116" customWidth="1"/>
    <col min="14" max="18" width="14.42578125" style="116" customWidth="1"/>
    <col min="19" max="20" width="1.85546875" style="114" customWidth="1"/>
    <col min="21" max="21" width="11.5703125" style="124" customWidth="1"/>
    <col min="22" max="22" width="14" style="116" customWidth="1"/>
    <col min="23" max="24" width="14" style="117" customWidth="1"/>
    <col min="25" max="25" width="14" style="116" customWidth="1"/>
    <col min="26" max="30" width="14.42578125" style="116" customWidth="1"/>
    <col min="31" max="32" width="3.140625" style="114" customWidth="1"/>
    <col min="33" max="33" width="11.5703125" style="124" customWidth="1"/>
    <col min="34" max="34" width="14" style="116" customWidth="1"/>
    <col min="35" max="36" width="14" style="117" customWidth="1"/>
    <col min="37" max="37" width="14" style="116" customWidth="1"/>
    <col min="38" max="42" width="14.42578125" style="116" customWidth="1"/>
    <col min="43" max="44" width="1.7109375" style="114" customWidth="1"/>
    <col min="45" max="45" width="11.5703125" style="124" customWidth="1"/>
    <col min="46" max="46" width="14" style="116" customWidth="1"/>
    <col min="47" max="48" width="14" style="117" customWidth="1"/>
    <col min="49" max="49" width="14" style="116" customWidth="1"/>
    <col min="50" max="54" width="14.42578125" style="116" customWidth="1"/>
    <col min="55" max="56" width="3.28515625" style="114" customWidth="1"/>
    <col min="57" max="57" width="11.5703125" style="124" customWidth="1"/>
    <col min="58" max="58" width="14" style="116" customWidth="1"/>
    <col min="59" max="60" width="14" style="117" customWidth="1"/>
    <col min="61" max="61" width="14" style="116" customWidth="1"/>
    <col min="62" max="66" width="14.42578125" style="116" customWidth="1"/>
    <col min="67" max="16384" width="9.140625" style="114"/>
  </cols>
  <sheetData>
    <row r="1" spans="1:66" s="113" customFormat="1" ht="33" customHeight="1" x14ac:dyDescent="0.2">
      <c r="A1" s="126" t="s">
        <v>0</v>
      </c>
      <c r="B1" s="127" t="s">
        <v>185</v>
      </c>
      <c r="C1" s="128" t="s">
        <v>187</v>
      </c>
      <c r="D1" s="128" t="s">
        <v>188</v>
      </c>
      <c r="E1" s="127" t="s">
        <v>189</v>
      </c>
      <c r="F1" s="129" t="s">
        <v>3</v>
      </c>
      <c r="I1" s="126" t="s">
        <v>0</v>
      </c>
      <c r="J1" s="127" t="s">
        <v>201</v>
      </c>
      <c r="K1" s="128" t="s">
        <v>202</v>
      </c>
      <c r="L1" s="128" t="s">
        <v>203</v>
      </c>
      <c r="M1" s="127" t="s">
        <v>204</v>
      </c>
      <c r="N1" s="129" t="s">
        <v>9</v>
      </c>
      <c r="O1" s="129" t="s">
        <v>186</v>
      </c>
      <c r="P1" s="129" t="s">
        <v>1</v>
      </c>
      <c r="Q1" s="129" t="s">
        <v>2</v>
      </c>
      <c r="R1" s="129" t="s">
        <v>3</v>
      </c>
      <c r="U1" s="126" t="s">
        <v>0</v>
      </c>
      <c r="V1" s="127" t="s">
        <v>205</v>
      </c>
      <c r="W1" s="128" t="s">
        <v>206</v>
      </c>
      <c r="X1" s="128" t="s">
        <v>207</v>
      </c>
      <c r="Y1" s="127" t="s">
        <v>208</v>
      </c>
      <c r="Z1" s="129" t="s">
        <v>9</v>
      </c>
      <c r="AA1" s="129" t="s">
        <v>186</v>
      </c>
      <c r="AB1" s="129" t="s">
        <v>1</v>
      </c>
      <c r="AC1" s="129" t="s">
        <v>2</v>
      </c>
      <c r="AD1" s="129" t="s">
        <v>3</v>
      </c>
      <c r="AG1" s="126" t="s">
        <v>0</v>
      </c>
      <c r="AH1" s="127" t="s">
        <v>209</v>
      </c>
      <c r="AI1" s="128" t="s">
        <v>210</v>
      </c>
      <c r="AJ1" s="128" t="s">
        <v>211</v>
      </c>
      <c r="AK1" s="127" t="s">
        <v>212</v>
      </c>
      <c r="AL1" s="129" t="s">
        <v>9</v>
      </c>
      <c r="AM1" s="129" t="s">
        <v>186</v>
      </c>
      <c r="AN1" s="129" t="s">
        <v>1</v>
      </c>
      <c r="AO1" s="129" t="s">
        <v>2</v>
      </c>
      <c r="AP1" s="129" t="s">
        <v>3</v>
      </c>
      <c r="AS1" s="126" t="s">
        <v>0</v>
      </c>
      <c r="AT1" s="127" t="s">
        <v>213</v>
      </c>
      <c r="AU1" s="128" t="s">
        <v>214</v>
      </c>
      <c r="AV1" s="128" t="s">
        <v>215</v>
      </c>
      <c r="AW1" s="127" t="s">
        <v>216</v>
      </c>
      <c r="AX1" s="129" t="s">
        <v>9</v>
      </c>
      <c r="AY1" s="129" t="s">
        <v>186</v>
      </c>
      <c r="AZ1" s="129" t="s">
        <v>1</v>
      </c>
      <c r="BA1" s="129" t="s">
        <v>2</v>
      </c>
      <c r="BB1" s="129" t="s">
        <v>3</v>
      </c>
      <c r="BE1" s="126" t="s">
        <v>0</v>
      </c>
      <c r="BF1" s="127" t="s">
        <v>217</v>
      </c>
      <c r="BG1" s="128" t="s">
        <v>218</v>
      </c>
      <c r="BH1" s="128" t="s">
        <v>219</v>
      </c>
      <c r="BI1" s="127" t="s">
        <v>220</v>
      </c>
      <c r="BJ1" s="129" t="s">
        <v>9</v>
      </c>
      <c r="BK1" s="129" t="s">
        <v>186</v>
      </c>
      <c r="BL1" s="129" t="s">
        <v>1</v>
      </c>
      <c r="BM1" s="129" t="s">
        <v>2</v>
      </c>
      <c r="BN1" s="129" t="s">
        <v>3</v>
      </c>
    </row>
    <row r="2" spans="1:66" x14ac:dyDescent="0.25">
      <c r="A2" s="124">
        <v>45140</v>
      </c>
      <c r="C2" s="117">
        <v>477855</v>
      </c>
      <c r="E2" s="116">
        <v>477855</v>
      </c>
      <c r="I2" s="125">
        <v>45140</v>
      </c>
      <c r="J2" s="119" t="s">
        <v>227</v>
      </c>
      <c r="K2" s="120">
        <v>470000</v>
      </c>
      <c r="L2" s="120">
        <v>0</v>
      </c>
      <c r="M2" s="119">
        <v>470000</v>
      </c>
      <c r="N2" s="119" t="s">
        <v>10</v>
      </c>
      <c r="O2" s="119"/>
      <c r="P2" s="119" t="s">
        <v>10</v>
      </c>
      <c r="Q2" s="119"/>
      <c r="R2" s="119"/>
      <c r="U2" s="125">
        <v>45143</v>
      </c>
      <c r="V2" s="119">
        <v>0</v>
      </c>
      <c r="W2" s="120">
        <v>100000</v>
      </c>
      <c r="X2" s="120">
        <v>0</v>
      </c>
      <c r="Y2" s="119">
        <v>100000</v>
      </c>
      <c r="Z2" s="119" t="s">
        <v>104</v>
      </c>
      <c r="AA2" s="119" t="s">
        <v>253</v>
      </c>
      <c r="AB2" s="119"/>
      <c r="AC2" s="119" t="s">
        <v>19</v>
      </c>
      <c r="AD2" s="119"/>
      <c r="AG2" s="125">
        <v>45140</v>
      </c>
      <c r="AH2" s="119" t="s">
        <v>228</v>
      </c>
      <c r="AI2" s="120">
        <v>7855</v>
      </c>
      <c r="AJ2" s="120">
        <v>0</v>
      </c>
      <c r="AK2" s="119">
        <v>7855</v>
      </c>
      <c r="AL2" s="119" t="s">
        <v>10</v>
      </c>
      <c r="AM2" s="119"/>
      <c r="AN2" s="119" t="s">
        <v>10</v>
      </c>
      <c r="AO2" s="119"/>
      <c r="AP2" s="119"/>
      <c r="AS2" s="125">
        <v>45142</v>
      </c>
      <c r="AT2" s="119">
        <v>0</v>
      </c>
      <c r="AU2" s="120">
        <v>100000</v>
      </c>
      <c r="AV2" s="120">
        <v>0</v>
      </c>
      <c r="AW2" s="119">
        <v>100000</v>
      </c>
      <c r="AX2" s="119" t="s">
        <v>104</v>
      </c>
      <c r="AY2" s="119" t="s">
        <v>251</v>
      </c>
      <c r="AZ2" s="119"/>
      <c r="BA2" s="119" t="s">
        <v>62</v>
      </c>
      <c r="BB2" s="119"/>
      <c r="BE2" s="125">
        <v>45159</v>
      </c>
      <c r="BF2" s="119">
        <v>0</v>
      </c>
      <c r="BG2" s="120">
        <v>500000</v>
      </c>
      <c r="BH2" s="120">
        <v>0</v>
      </c>
      <c r="BI2" s="119">
        <v>500000</v>
      </c>
      <c r="BJ2" s="119" t="s">
        <v>105</v>
      </c>
      <c r="BK2" s="119" t="s">
        <v>66</v>
      </c>
      <c r="BL2" s="119"/>
      <c r="BM2" s="119" t="s">
        <v>86</v>
      </c>
      <c r="BN2" s="119"/>
    </row>
    <row r="3" spans="1:66" x14ac:dyDescent="0.25">
      <c r="A3" s="115">
        <v>45141</v>
      </c>
      <c r="B3" s="116">
        <v>477855</v>
      </c>
      <c r="C3" s="117">
        <v>500000</v>
      </c>
      <c r="D3" s="117">
        <v>183500</v>
      </c>
      <c r="E3" s="116">
        <v>794355</v>
      </c>
      <c r="I3" s="125">
        <v>45141</v>
      </c>
      <c r="J3" s="119">
        <v>470000</v>
      </c>
      <c r="K3" s="120"/>
      <c r="L3" s="120">
        <v>11000</v>
      </c>
      <c r="M3" s="119">
        <v>459000</v>
      </c>
      <c r="N3" s="119" t="s">
        <v>91</v>
      </c>
      <c r="O3" s="119" t="s">
        <v>238</v>
      </c>
      <c r="P3" s="119" t="s">
        <v>11</v>
      </c>
      <c r="Q3" s="119" t="s">
        <v>21</v>
      </c>
      <c r="R3" s="119"/>
      <c r="U3" s="125">
        <v>45146</v>
      </c>
      <c r="V3" s="119">
        <v>100000</v>
      </c>
      <c r="W3" s="120">
        <v>86855</v>
      </c>
      <c r="X3" s="120">
        <v>0</v>
      </c>
      <c r="Y3" s="119">
        <v>186855</v>
      </c>
      <c r="Z3" s="119" t="s">
        <v>104</v>
      </c>
      <c r="AA3" s="119" t="s">
        <v>253</v>
      </c>
      <c r="AB3" s="119"/>
      <c r="AC3" s="119" t="s">
        <v>19</v>
      </c>
      <c r="AD3" s="119"/>
      <c r="AG3" s="125">
        <v>45142</v>
      </c>
      <c r="AH3" s="119">
        <v>7855</v>
      </c>
      <c r="AI3" s="120">
        <v>300000</v>
      </c>
      <c r="AJ3" s="120">
        <v>0</v>
      </c>
      <c r="AK3" s="119">
        <v>307855</v>
      </c>
      <c r="AL3" s="119" t="s">
        <v>93</v>
      </c>
      <c r="AM3" s="119"/>
      <c r="AN3" s="119" t="s">
        <v>27</v>
      </c>
      <c r="AO3" s="119"/>
      <c r="AP3" s="119"/>
      <c r="AS3" s="125">
        <v>45147</v>
      </c>
      <c r="AT3" s="119">
        <v>100000</v>
      </c>
      <c r="AU3" s="120"/>
      <c r="AV3" s="120">
        <v>39800</v>
      </c>
      <c r="AW3" s="119">
        <v>60200</v>
      </c>
      <c r="AX3" s="119" t="s">
        <v>91</v>
      </c>
      <c r="AY3" s="119" t="s">
        <v>240</v>
      </c>
      <c r="AZ3" s="119" t="s">
        <v>12</v>
      </c>
      <c r="BA3" s="119" t="s">
        <v>62</v>
      </c>
      <c r="BB3" s="119"/>
      <c r="BE3" s="125"/>
      <c r="BF3" s="119"/>
      <c r="BG3" s="120"/>
      <c r="BH3" s="120"/>
      <c r="BI3" s="119"/>
      <c r="BJ3" s="119"/>
      <c r="BK3" s="119"/>
      <c r="BL3" s="119"/>
      <c r="BM3" s="119"/>
      <c r="BN3" s="119"/>
    </row>
    <row r="4" spans="1:66" x14ac:dyDescent="0.25">
      <c r="A4" s="115">
        <v>45142</v>
      </c>
      <c r="B4" s="116">
        <v>794355</v>
      </c>
      <c r="C4" s="117">
        <v>1300000</v>
      </c>
      <c r="D4" s="117">
        <v>1028750</v>
      </c>
      <c r="E4" s="116">
        <v>1065605</v>
      </c>
      <c r="I4" s="125">
        <v>45141</v>
      </c>
      <c r="J4" s="119">
        <v>459000</v>
      </c>
      <c r="K4" s="120"/>
      <c r="L4" s="120">
        <v>63000</v>
      </c>
      <c r="M4" s="119">
        <v>396000</v>
      </c>
      <c r="N4" s="119" t="s">
        <v>92</v>
      </c>
      <c r="O4" s="119" t="s">
        <v>234</v>
      </c>
      <c r="P4" s="119" t="s">
        <v>12</v>
      </c>
      <c r="Q4" s="119" t="s">
        <v>21</v>
      </c>
      <c r="R4" s="119"/>
      <c r="U4" s="125">
        <v>45146</v>
      </c>
      <c r="V4" s="119">
        <v>186855</v>
      </c>
      <c r="W4" s="120">
        <v>150000</v>
      </c>
      <c r="X4" s="120">
        <v>0</v>
      </c>
      <c r="Y4" s="119">
        <v>336855</v>
      </c>
      <c r="Z4" s="119" t="s">
        <v>104</v>
      </c>
      <c r="AA4" s="119" t="s">
        <v>253</v>
      </c>
      <c r="AB4" s="119"/>
      <c r="AC4" s="119" t="s">
        <v>19</v>
      </c>
      <c r="AD4" s="119"/>
      <c r="AG4" s="125">
        <v>45143</v>
      </c>
      <c r="AH4" s="119">
        <v>307855</v>
      </c>
      <c r="AI4" s="120"/>
      <c r="AJ4" s="120">
        <v>100000</v>
      </c>
      <c r="AK4" s="119">
        <v>207855</v>
      </c>
      <c r="AL4" s="119" t="s">
        <v>104</v>
      </c>
      <c r="AM4" s="119" t="s">
        <v>253</v>
      </c>
      <c r="AN4" s="119"/>
      <c r="AO4" s="119" t="s">
        <v>19</v>
      </c>
      <c r="AP4" s="119"/>
      <c r="AS4" s="125">
        <v>45153</v>
      </c>
      <c r="AT4" s="119">
        <v>60200</v>
      </c>
      <c r="AU4" s="120"/>
      <c r="AV4" s="120">
        <v>5000</v>
      </c>
      <c r="AW4" s="119">
        <v>55200</v>
      </c>
      <c r="AX4" s="119" t="s">
        <v>92</v>
      </c>
      <c r="AY4" s="119" t="s">
        <v>255</v>
      </c>
      <c r="AZ4" s="119" t="s">
        <v>59</v>
      </c>
      <c r="BA4" s="119" t="s">
        <v>21</v>
      </c>
      <c r="BB4" s="119"/>
      <c r="BE4" s="125"/>
      <c r="BF4" s="119"/>
      <c r="BG4" s="120"/>
      <c r="BH4" s="120"/>
      <c r="BI4" s="119"/>
      <c r="BJ4" s="119"/>
      <c r="BK4" s="119"/>
      <c r="BL4" s="119"/>
      <c r="BM4" s="119"/>
      <c r="BN4" s="119"/>
    </row>
    <row r="5" spans="1:66" x14ac:dyDescent="0.25">
      <c r="A5" s="115">
        <v>45143</v>
      </c>
      <c r="B5" s="116">
        <v>1065605</v>
      </c>
      <c r="C5" s="117">
        <v>190500</v>
      </c>
      <c r="D5" s="117">
        <v>144000</v>
      </c>
      <c r="E5" s="116">
        <v>1112105</v>
      </c>
      <c r="I5" s="125">
        <v>45141</v>
      </c>
      <c r="J5" s="119">
        <v>396000</v>
      </c>
      <c r="K5" s="120"/>
      <c r="L5" s="120">
        <v>17000</v>
      </c>
      <c r="M5" s="119">
        <v>379000</v>
      </c>
      <c r="N5" s="119" t="s">
        <v>18</v>
      </c>
      <c r="O5" s="119" t="s">
        <v>160</v>
      </c>
      <c r="P5" s="119" t="s">
        <v>18</v>
      </c>
      <c r="Q5" s="119" t="s">
        <v>21</v>
      </c>
      <c r="R5" s="119"/>
      <c r="U5" s="125"/>
      <c r="V5" s="119"/>
      <c r="W5" s="120"/>
      <c r="X5" s="120"/>
      <c r="Y5" s="119"/>
      <c r="Z5" s="119"/>
      <c r="AA5" s="119"/>
      <c r="AB5" s="119"/>
      <c r="AC5" s="119"/>
      <c r="AD5" s="119"/>
      <c r="AG5" s="125">
        <v>45143</v>
      </c>
      <c r="AH5" s="119">
        <v>207855</v>
      </c>
      <c r="AI5" s="120"/>
      <c r="AJ5" s="120">
        <v>7000</v>
      </c>
      <c r="AK5" s="119">
        <v>200855</v>
      </c>
      <c r="AL5" s="119" t="s">
        <v>18</v>
      </c>
      <c r="AM5" s="119" t="s">
        <v>159</v>
      </c>
      <c r="AN5" s="119"/>
      <c r="AO5" s="119"/>
      <c r="AP5" s="119"/>
      <c r="AS5" s="125">
        <v>45153</v>
      </c>
      <c r="AT5" s="119">
        <v>55200</v>
      </c>
      <c r="AU5" s="120"/>
      <c r="AV5" s="120">
        <v>7000</v>
      </c>
      <c r="AW5" s="119">
        <v>48200</v>
      </c>
      <c r="AX5" s="119" t="s">
        <v>91</v>
      </c>
      <c r="AY5" s="119" t="s">
        <v>257</v>
      </c>
      <c r="AZ5" s="119" t="s">
        <v>12</v>
      </c>
      <c r="BA5" s="119"/>
      <c r="BB5" s="119"/>
      <c r="BE5" s="125"/>
      <c r="BF5" s="119"/>
      <c r="BG5" s="120"/>
      <c r="BH5" s="120"/>
      <c r="BI5" s="119"/>
      <c r="BJ5" s="119"/>
      <c r="BK5" s="119"/>
      <c r="BL5" s="119"/>
      <c r="BM5" s="119"/>
      <c r="BN5" s="119"/>
    </row>
    <row r="6" spans="1:66" x14ac:dyDescent="0.25">
      <c r="A6" s="115">
        <v>45146</v>
      </c>
      <c r="B6" s="116">
        <v>1112105</v>
      </c>
      <c r="C6" s="117">
        <v>0</v>
      </c>
      <c r="D6" s="117">
        <v>57500</v>
      </c>
      <c r="E6" s="116">
        <v>1054605</v>
      </c>
      <c r="I6" s="125">
        <v>45141</v>
      </c>
      <c r="J6" s="119">
        <v>379000</v>
      </c>
      <c r="K6" s="120">
        <v>500000</v>
      </c>
      <c r="L6" s="120">
        <v>0</v>
      </c>
      <c r="M6" s="119">
        <v>879000</v>
      </c>
      <c r="N6" s="119" t="s">
        <v>93</v>
      </c>
      <c r="O6" s="119"/>
      <c r="P6" s="119" t="s">
        <v>22</v>
      </c>
      <c r="Q6" s="119"/>
      <c r="R6" s="119"/>
      <c r="U6" s="125"/>
      <c r="V6" s="119"/>
      <c r="W6" s="120"/>
      <c r="X6" s="120"/>
      <c r="Y6" s="119"/>
      <c r="Z6" s="119"/>
      <c r="AA6" s="119"/>
      <c r="AB6" s="119"/>
      <c r="AC6" s="119"/>
      <c r="AD6" s="119"/>
      <c r="AG6" s="125">
        <v>45143</v>
      </c>
      <c r="AH6" s="119">
        <v>200855</v>
      </c>
      <c r="AI6" s="120"/>
      <c r="AJ6" s="120">
        <v>30000</v>
      </c>
      <c r="AK6" s="119">
        <v>170855</v>
      </c>
      <c r="AL6" s="119" t="s">
        <v>18</v>
      </c>
      <c r="AM6" s="119" t="s">
        <v>163</v>
      </c>
      <c r="AN6" s="119" t="s">
        <v>33</v>
      </c>
      <c r="AO6" s="119"/>
      <c r="AP6" s="119" t="s">
        <v>68</v>
      </c>
      <c r="AS6" s="125">
        <v>45154</v>
      </c>
      <c r="AT6" s="119">
        <v>48200</v>
      </c>
      <c r="AU6" s="120"/>
      <c r="AV6" s="120">
        <v>16250</v>
      </c>
      <c r="AW6" s="119">
        <v>31950</v>
      </c>
      <c r="AX6" s="119" t="s">
        <v>91</v>
      </c>
      <c r="AY6" s="119" t="s">
        <v>63</v>
      </c>
      <c r="AZ6" s="119" t="s">
        <v>11</v>
      </c>
      <c r="BA6" s="119" t="s">
        <v>21</v>
      </c>
      <c r="BB6" s="119"/>
      <c r="BE6" s="125"/>
      <c r="BF6" s="119"/>
      <c r="BG6" s="120"/>
      <c r="BH6" s="120"/>
      <c r="BI6" s="119"/>
      <c r="BJ6" s="119"/>
      <c r="BK6" s="119"/>
      <c r="BL6" s="119"/>
      <c r="BM6" s="119"/>
      <c r="BN6" s="119"/>
    </row>
    <row r="7" spans="1:66" x14ac:dyDescent="0.25">
      <c r="A7" s="115">
        <v>45147</v>
      </c>
      <c r="B7" s="116">
        <v>1054605</v>
      </c>
      <c r="C7" s="117">
        <v>647200</v>
      </c>
      <c r="D7" s="117">
        <v>298600</v>
      </c>
      <c r="E7" s="116">
        <v>1403205</v>
      </c>
      <c r="I7" s="125">
        <v>45141</v>
      </c>
      <c r="J7" s="119">
        <v>879000</v>
      </c>
      <c r="K7" s="120"/>
      <c r="L7" s="120">
        <v>19000</v>
      </c>
      <c r="M7" s="119">
        <v>860000</v>
      </c>
      <c r="N7" s="119" t="s">
        <v>91</v>
      </c>
      <c r="O7" s="119" t="s">
        <v>244</v>
      </c>
      <c r="P7" s="119" t="s">
        <v>18</v>
      </c>
      <c r="Q7" s="119" t="s">
        <v>62</v>
      </c>
      <c r="R7" s="119"/>
      <c r="U7" s="125"/>
      <c r="V7" s="119"/>
      <c r="W7" s="120"/>
      <c r="X7" s="120"/>
      <c r="Y7" s="119"/>
      <c r="Z7" s="119"/>
      <c r="AA7" s="119"/>
      <c r="AB7" s="119"/>
      <c r="AC7" s="119"/>
      <c r="AD7" s="119"/>
      <c r="AG7" s="125">
        <v>45143</v>
      </c>
      <c r="AH7" s="119">
        <v>170855</v>
      </c>
      <c r="AI7" s="120"/>
      <c r="AJ7" s="120">
        <v>26000</v>
      </c>
      <c r="AK7" s="119">
        <v>144855</v>
      </c>
      <c r="AL7" s="119" t="s">
        <v>18</v>
      </c>
      <c r="AM7" s="119" t="s">
        <v>164</v>
      </c>
      <c r="AN7" s="119" t="s">
        <v>12</v>
      </c>
      <c r="AO7" s="119"/>
      <c r="AP7" s="119" t="s">
        <v>23</v>
      </c>
      <c r="AS7" s="125">
        <v>45155</v>
      </c>
      <c r="AT7" s="119">
        <v>31950</v>
      </c>
      <c r="AU7" s="120"/>
      <c r="AV7" s="120">
        <v>8200</v>
      </c>
      <c r="AW7" s="119">
        <v>23750</v>
      </c>
      <c r="AX7" s="119" t="s">
        <v>91</v>
      </c>
      <c r="AY7" s="119" t="s">
        <v>258</v>
      </c>
      <c r="AZ7" s="119" t="s">
        <v>59</v>
      </c>
      <c r="BA7" s="119" t="s">
        <v>21</v>
      </c>
      <c r="BB7" s="119"/>
      <c r="BE7" s="125"/>
      <c r="BF7" s="119"/>
      <c r="BG7" s="120"/>
      <c r="BH7" s="120"/>
      <c r="BI7" s="119"/>
      <c r="BJ7" s="119"/>
      <c r="BK7" s="119"/>
      <c r="BL7" s="119"/>
      <c r="BM7" s="119"/>
      <c r="BN7" s="119"/>
    </row>
    <row r="8" spans="1:66" x14ac:dyDescent="0.25">
      <c r="A8" s="115">
        <v>45148</v>
      </c>
      <c r="B8" s="116">
        <v>1403205</v>
      </c>
      <c r="C8" s="117">
        <v>0</v>
      </c>
      <c r="D8" s="117">
        <v>280000</v>
      </c>
      <c r="E8" s="116">
        <v>1123205</v>
      </c>
      <c r="I8" s="125">
        <v>45141</v>
      </c>
      <c r="J8" s="119">
        <v>860000</v>
      </c>
      <c r="K8" s="120"/>
      <c r="L8" s="120">
        <v>71500</v>
      </c>
      <c r="M8" s="119">
        <v>788500</v>
      </c>
      <c r="N8" s="119" t="s">
        <v>101</v>
      </c>
      <c r="O8" s="119" t="s">
        <v>250</v>
      </c>
      <c r="P8" s="119" t="s">
        <v>11</v>
      </c>
      <c r="Q8" s="119" t="s">
        <v>21</v>
      </c>
      <c r="R8" s="119"/>
      <c r="U8" s="125"/>
      <c r="V8" s="119"/>
      <c r="W8" s="120"/>
      <c r="X8" s="120"/>
      <c r="Y8" s="119"/>
      <c r="Z8" s="119"/>
      <c r="AA8" s="119"/>
      <c r="AB8" s="119"/>
      <c r="AC8" s="119"/>
      <c r="AD8" s="119"/>
      <c r="AG8" s="125">
        <v>45143</v>
      </c>
      <c r="AH8" s="119">
        <v>144855</v>
      </c>
      <c r="AI8" s="120"/>
      <c r="AJ8" s="120">
        <v>50000</v>
      </c>
      <c r="AK8" s="119">
        <v>94855</v>
      </c>
      <c r="AL8" s="119" t="s">
        <v>93</v>
      </c>
      <c r="AM8" s="119"/>
      <c r="AN8" s="119" t="s">
        <v>13</v>
      </c>
      <c r="AO8" s="119" t="s">
        <v>29</v>
      </c>
      <c r="AP8" s="119"/>
      <c r="AS8" s="125">
        <v>45155</v>
      </c>
      <c r="AT8" s="119">
        <v>23750</v>
      </c>
      <c r="AU8" s="120"/>
      <c r="AV8" s="120">
        <v>2200</v>
      </c>
      <c r="AW8" s="119">
        <v>21550</v>
      </c>
      <c r="AX8" s="119" t="s">
        <v>18</v>
      </c>
      <c r="AY8" s="119" t="s">
        <v>62</v>
      </c>
      <c r="AZ8" s="119" t="s">
        <v>18</v>
      </c>
      <c r="BA8" s="119" t="s">
        <v>62</v>
      </c>
      <c r="BB8" s="119"/>
      <c r="BE8" s="125"/>
      <c r="BF8" s="119"/>
      <c r="BG8" s="120"/>
      <c r="BH8" s="120"/>
      <c r="BI8" s="119"/>
      <c r="BJ8" s="119"/>
      <c r="BK8" s="119"/>
      <c r="BL8" s="119"/>
      <c r="BM8" s="119"/>
      <c r="BN8" s="119"/>
    </row>
    <row r="9" spans="1:66" x14ac:dyDescent="0.25">
      <c r="A9" s="115">
        <v>45149</v>
      </c>
      <c r="B9" s="116">
        <v>1123205</v>
      </c>
      <c r="C9" s="117">
        <v>0</v>
      </c>
      <c r="D9" s="117">
        <v>107500</v>
      </c>
      <c r="E9" s="116">
        <v>1015705</v>
      </c>
      <c r="I9" s="125">
        <v>45141</v>
      </c>
      <c r="J9" s="119">
        <v>788500</v>
      </c>
      <c r="K9" s="120"/>
      <c r="L9" s="120">
        <v>2000</v>
      </c>
      <c r="M9" s="119">
        <v>786500</v>
      </c>
      <c r="N9" s="119" t="s">
        <v>18</v>
      </c>
      <c r="O9" s="119" t="s">
        <v>161</v>
      </c>
      <c r="P9" s="119" t="s">
        <v>16</v>
      </c>
      <c r="Q9" s="119" t="s">
        <v>21</v>
      </c>
      <c r="R9" s="119"/>
      <c r="U9" s="125"/>
      <c r="V9" s="119"/>
      <c r="W9" s="120"/>
      <c r="X9" s="120"/>
      <c r="Y9" s="119"/>
      <c r="Z9" s="119"/>
      <c r="AA9" s="119"/>
      <c r="AB9" s="119"/>
      <c r="AC9" s="119"/>
      <c r="AD9" s="119"/>
      <c r="AG9" s="125">
        <v>45143</v>
      </c>
      <c r="AH9" s="119">
        <v>94855</v>
      </c>
      <c r="AI9" s="120"/>
      <c r="AJ9" s="120">
        <v>1500</v>
      </c>
      <c r="AK9" s="119">
        <v>93355</v>
      </c>
      <c r="AL9" s="119" t="s">
        <v>92</v>
      </c>
      <c r="AM9" s="119" t="s">
        <v>254</v>
      </c>
      <c r="AN9" s="119"/>
      <c r="AO9" s="119" t="s">
        <v>20</v>
      </c>
      <c r="AP9" s="119"/>
      <c r="AS9" s="125">
        <v>45156</v>
      </c>
      <c r="AT9" s="119">
        <v>21550</v>
      </c>
      <c r="AU9" s="120"/>
      <c r="AV9" s="120">
        <v>2000</v>
      </c>
      <c r="AW9" s="119">
        <v>19550</v>
      </c>
      <c r="AX9" s="119" t="s">
        <v>91</v>
      </c>
      <c r="AY9" s="119" t="s">
        <v>236</v>
      </c>
      <c r="AZ9" s="119"/>
      <c r="BA9" s="119"/>
      <c r="BB9" s="119"/>
      <c r="BE9" s="125"/>
      <c r="BF9" s="119"/>
      <c r="BG9" s="120"/>
      <c r="BH9" s="120"/>
      <c r="BI9" s="119"/>
      <c r="BJ9" s="119"/>
      <c r="BK9" s="119"/>
      <c r="BL9" s="119"/>
      <c r="BM9" s="119"/>
      <c r="BN9" s="119"/>
    </row>
    <row r="10" spans="1:66" x14ac:dyDescent="0.25">
      <c r="A10" s="115">
        <v>45152</v>
      </c>
      <c r="B10" s="116">
        <v>1015705</v>
      </c>
      <c r="C10" s="117">
        <v>0</v>
      </c>
      <c r="D10" s="117">
        <v>540000</v>
      </c>
      <c r="E10" s="116">
        <v>475705</v>
      </c>
      <c r="I10" s="124">
        <v>45142</v>
      </c>
      <c r="J10" s="119">
        <v>786500</v>
      </c>
      <c r="K10" s="120">
        <v>1000000</v>
      </c>
      <c r="L10" s="120">
        <v>0</v>
      </c>
      <c r="M10" s="119">
        <v>1786500</v>
      </c>
      <c r="N10" s="119" t="s">
        <v>93</v>
      </c>
      <c r="O10" s="119"/>
      <c r="P10" s="119" t="s">
        <v>11</v>
      </c>
      <c r="Q10" s="119"/>
      <c r="R10" s="119"/>
      <c r="U10" s="125"/>
      <c r="V10" s="119"/>
      <c r="W10" s="120"/>
      <c r="X10" s="120"/>
      <c r="Y10" s="119"/>
      <c r="Z10" s="119"/>
      <c r="AA10" s="119"/>
      <c r="AB10" s="119"/>
      <c r="AC10" s="119"/>
      <c r="AD10" s="119"/>
      <c r="AG10" s="125">
        <v>45143</v>
      </c>
      <c r="AH10" s="119">
        <v>93355</v>
      </c>
      <c r="AI10" s="120"/>
      <c r="AJ10" s="120">
        <v>1500</v>
      </c>
      <c r="AK10" s="119">
        <v>91855</v>
      </c>
      <c r="AL10" s="119" t="s">
        <v>18</v>
      </c>
      <c r="AM10" s="119" t="s">
        <v>20</v>
      </c>
      <c r="AN10" s="119"/>
      <c r="AO10" s="119" t="s">
        <v>20</v>
      </c>
      <c r="AP10" s="119"/>
      <c r="AS10" s="125">
        <v>45159</v>
      </c>
      <c r="AT10" s="119">
        <v>19550</v>
      </c>
      <c r="AU10" s="120"/>
      <c r="AV10" s="120">
        <v>2800</v>
      </c>
      <c r="AW10" s="119">
        <v>16750</v>
      </c>
      <c r="AX10" s="119" t="s">
        <v>103</v>
      </c>
      <c r="AY10" s="119" t="s">
        <v>259</v>
      </c>
      <c r="AZ10" s="119" t="s">
        <v>13</v>
      </c>
      <c r="BA10" s="119"/>
      <c r="BB10" s="119"/>
      <c r="BE10" s="125"/>
      <c r="BF10" s="119"/>
      <c r="BG10" s="120"/>
      <c r="BH10" s="120"/>
      <c r="BI10" s="119"/>
      <c r="BJ10" s="119"/>
      <c r="BK10" s="119"/>
      <c r="BL10" s="119"/>
      <c r="BM10" s="119"/>
      <c r="BN10" s="119"/>
    </row>
    <row r="11" spans="1:66" x14ac:dyDescent="0.25">
      <c r="A11" s="115">
        <v>45153</v>
      </c>
      <c r="B11" s="116">
        <v>475705</v>
      </c>
      <c r="C11" s="117">
        <v>0</v>
      </c>
      <c r="D11" s="117">
        <v>14000</v>
      </c>
      <c r="E11" s="116">
        <v>461705</v>
      </c>
      <c r="I11" s="124">
        <v>45142</v>
      </c>
      <c r="J11" s="119">
        <v>1786500</v>
      </c>
      <c r="K11" s="120"/>
      <c r="L11" s="120">
        <v>7000</v>
      </c>
      <c r="M11" s="119">
        <v>1779500</v>
      </c>
      <c r="N11" s="119" t="s">
        <v>91</v>
      </c>
      <c r="O11" s="119" t="s">
        <v>249</v>
      </c>
      <c r="P11" s="119" t="s">
        <v>18</v>
      </c>
      <c r="Q11" s="119"/>
      <c r="R11" s="119"/>
      <c r="U11" s="125"/>
      <c r="V11" s="119"/>
      <c r="W11" s="120"/>
      <c r="X11" s="120"/>
      <c r="Y11" s="119"/>
      <c r="Z11" s="119"/>
      <c r="AA11" s="119"/>
      <c r="AB11" s="119"/>
      <c r="AC11" s="119"/>
      <c r="AD11" s="119"/>
      <c r="AG11" s="124">
        <v>45143</v>
      </c>
      <c r="AH11" s="119">
        <v>91855</v>
      </c>
      <c r="AI11" s="120"/>
      <c r="AJ11" s="120">
        <v>17000</v>
      </c>
      <c r="AK11" s="119">
        <v>74855</v>
      </c>
      <c r="AL11" s="119" t="s">
        <v>101</v>
      </c>
      <c r="AM11" s="119" t="s">
        <v>246</v>
      </c>
      <c r="AN11" s="119"/>
      <c r="AO11" s="119" t="s">
        <v>21</v>
      </c>
      <c r="AP11" s="119"/>
      <c r="AS11" s="124">
        <v>45159</v>
      </c>
      <c r="AT11" s="119">
        <v>16750</v>
      </c>
      <c r="AU11" s="120"/>
      <c r="AV11" s="120">
        <v>2800</v>
      </c>
      <c r="AW11" s="119">
        <v>13950</v>
      </c>
      <c r="AX11" s="119" t="s">
        <v>103</v>
      </c>
      <c r="AY11" s="119" t="s">
        <v>260</v>
      </c>
      <c r="AZ11" s="119" t="s">
        <v>13</v>
      </c>
      <c r="BA11" s="119" t="s">
        <v>62</v>
      </c>
      <c r="BB11" s="119"/>
      <c r="BE11" s="125"/>
      <c r="BF11" s="119"/>
      <c r="BG11" s="120"/>
      <c r="BH11" s="120"/>
      <c r="BI11" s="119"/>
      <c r="BJ11" s="119"/>
      <c r="BK11" s="119"/>
      <c r="BL11" s="119"/>
      <c r="BM11" s="119"/>
      <c r="BN11" s="119"/>
    </row>
    <row r="12" spans="1:66" x14ac:dyDescent="0.25">
      <c r="A12" s="115">
        <v>45154</v>
      </c>
      <c r="B12" s="116">
        <v>461705</v>
      </c>
      <c r="C12" s="117">
        <v>0</v>
      </c>
      <c r="D12" s="117">
        <v>19750</v>
      </c>
      <c r="E12" s="116">
        <v>441955</v>
      </c>
      <c r="I12" s="124">
        <v>45142</v>
      </c>
      <c r="J12" s="119">
        <v>1779500</v>
      </c>
      <c r="K12" s="120"/>
      <c r="L12" s="120">
        <v>18000</v>
      </c>
      <c r="M12" s="119">
        <v>1761500</v>
      </c>
      <c r="N12" s="119" t="s">
        <v>92</v>
      </c>
      <c r="O12" s="119" t="s">
        <v>245</v>
      </c>
      <c r="P12" s="119" t="s">
        <v>11</v>
      </c>
      <c r="Q12" s="119" t="s">
        <v>21</v>
      </c>
      <c r="R12" s="119"/>
      <c r="U12" s="125"/>
      <c r="V12" s="119"/>
      <c r="W12" s="120"/>
      <c r="X12" s="120"/>
      <c r="Y12" s="119"/>
      <c r="Z12" s="119"/>
      <c r="AA12" s="119"/>
      <c r="AB12" s="119"/>
      <c r="AC12" s="119"/>
      <c r="AD12" s="119"/>
      <c r="AG12" s="124">
        <v>45143</v>
      </c>
      <c r="AH12" s="119">
        <v>74855</v>
      </c>
      <c r="AI12" s="120"/>
      <c r="AJ12" s="120">
        <v>11000</v>
      </c>
      <c r="AK12" s="119">
        <v>63855</v>
      </c>
      <c r="AL12" s="119" t="s">
        <v>92</v>
      </c>
      <c r="AM12" s="119" t="s">
        <v>255</v>
      </c>
      <c r="AN12" s="119"/>
      <c r="AO12" s="119" t="s">
        <v>21</v>
      </c>
      <c r="AP12" s="119"/>
      <c r="AS12" s="124">
        <v>45159</v>
      </c>
      <c r="AT12" s="119">
        <v>13950</v>
      </c>
      <c r="AU12" s="120"/>
      <c r="AV12" s="120">
        <v>2800</v>
      </c>
      <c r="AW12" s="119">
        <v>11150</v>
      </c>
      <c r="AX12" s="119" t="s">
        <v>103</v>
      </c>
      <c r="AY12" s="119" t="s">
        <v>248</v>
      </c>
      <c r="AZ12" s="119" t="s">
        <v>13</v>
      </c>
      <c r="BA12" s="119"/>
      <c r="BB12" s="119"/>
      <c r="BE12" s="125"/>
      <c r="BF12" s="119"/>
      <c r="BG12" s="120"/>
      <c r="BH12" s="120"/>
      <c r="BI12" s="119"/>
      <c r="BJ12" s="119"/>
      <c r="BK12" s="119"/>
      <c r="BL12" s="119"/>
      <c r="BM12" s="119"/>
      <c r="BN12" s="119"/>
    </row>
    <row r="13" spans="1:66" x14ac:dyDescent="0.25">
      <c r="A13" s="123">
        <v>45155</v>
      </c>
      <c r="B13" s="119">
        <v>441955</v>
      </c>
      <c r="C13" s="120">
        <v>200000</v>
      </c>
      <c r="D13" s="120">
        <v>62158</v>
      </c>
      <c r="E13" s="119">
        <v>579797</v>
      </c>
      <c r="F13" s="119"/>
      <c r="I13" s="124">
        <v>45142</v>
      </c>
      <c r="J13" s="119">
        <v>1761500</v>
      </c>
      <c r="K13" s="120"/>
      <c r="L13" s="120">
        <v>200000</v>
      </c>
      <c r="M13" s="119">
        <v>1561500</v>
      </c>
      <c r="N13" s="119" t="s">
        <v>18</v>
      </c>
      <c r="O13" s="119" t="s">
        <v>62</v>
      </c>
      <c r="P13" s="119" t="s">
        <v>18</v>
      </c>
      <c r="Q13" s="119" t="s">
        <v>62</v>
      </c>
      <c r="R13" s="119"/>
      <c r="U13" s="125"/>
      <c r="V13" s="119"/>
      <c r="W13" s="120"/>
      <c r="X13" s="120"/>
      <c r="Y13" s="119"/>
      <c r="Z13" s="119"/>
      <c r="AA13" s="119"/>
      <c r="AB13" s="119"/>
      <c r="AC13" s="119"/>
      <c r="AD13" s="119"/>
      <c r="AG13" s="124">
        <v>45143</v>
      </c>
      <c r="AH13" s="119">
        <v>63855</v>
      </c>
      <c r="AI13" s="120">
        <v>190500</v>
      </c>
      <c r="AJ13" s="120">
        <v>0</v>
      </c>
      <c r="AK13" s="119">
        <v>254355</v>
      </c>
      <c r="AL13" s="119" t="s">
        <v>93</v>
      </c>
      <c r="AM13" s="119"/>
      <c r="AN13" s="119" t="s">
        <v>27</v>
      </c>
      <c r="AO13" s="119"/>
      <c r="AP13" s="119"/>
      <c r="AS13" s="124">
        <v>45159</v>
      </c>
      <c r="AT13" s="119">
        <v>11150</v>
      </c>
      <c r="AU13" s="120"/>
      <c r="AV13" s="120">
        <v>10000</v>
      </c>
      <c r="AW13" s="119">
        <v>1150</v>
      </c>
      <c r="AX13" s="119" t="s">
        <v>18</v>
      </c>
      <c r="AY13" s="119" t="s">
        <v>160</v>
      </c>
      <c r="AZ13" s="119" t="s">
        <v>18</v>
      </c>
      <c r="BA13" s="119" t="s">
        <v>21</v>
      </c>
      <c r="BB13" s="119"/>
      <c r="BE13" s="125"/>
      <c r="BF13" s="119"/>
      <c r="BG13" s="120"/>
      <c r="BH13" s="120"/>
      <c r="BI13" s="119"/>
      <c r="BJ13" s="119"/>
      <c r="BK13" s="119"/>
      <c r="BL13" s="119"/>
      <c r="BM13" s="119"/>
      <c r="BN13" s="119"/>
    </row>
    <row r="14" spans="1:66" x14ac:dyDescent="0.25">
      <c r="A14" s="115">
        <v>45156</v>
      </c>
      <c r="B14" s="116">
        <v>579797</v>
      </c>
      <c r="C14" s="117">
        <v>0</v>
      </c>
      <c r="D14" s="117">
        <v>68000</v>
      </c>
      <c r="E14" s="116">
        <v>511797</v>
      </c>
      <c r="I14" s="124">
        <v>45142</v>
      </c>
      <c r="J14" s="119">
        <v>1561500</v>
      </c>
      <c r="K14" s="120"/>
      <c r="L14" s="120">
        <v>100000</v>
      </c>
      <c r="M14" s="119">
        <v>1461500</v>
      </c>
      <c r="N14" s="119" t="s">
        <v>104</v>
      </c>
      <c r="O14" s="119" t="s">
        <v>251</v>
      </c>
      <c r="P14" s="119"/>
      <c r="Q14" s="119" t="s">
        <v>62</v>
      </c>
      <c r="R14" s="119"/>
      <c r="U14" s="125"/>
      <c r="V14" s="119"/>
      <c r="W14" s="120"/>
      <c r="X14" s="120"/>
      <c r="Y14" s="119"/>
      <c r="Z14" s="119"/>
      <c r="AA14" s="119"/>
      <c r="AB14" s="119"/>
      <c r="AC14" s="119"/>
      <c r="AD14" s="119"/>
      <c r="AG14" s="124">
        <v>45146</v>
      </c>
      <c r="AH14" s="119">
        <v>254355</v>
      </c>
      <c r="AI14" s="120"/>
      <c r="AJ14" s="120">
        <v>86855</v>
      </c>
      <c r="AK14" s="119">
        <v>167500</v>
      </c>
      <c r="AL14" s="119" t="s">
        <v>104</v>
      </c>
      <c r="AM14" s="119" t="s">
        <v>253</v>
      </c>
      <c r="AN14" s="119"/>
      <c r="AO14" s="119" t="s">
        <v>19</v>
      </c>
      <c r="AP14" s="119"/>
      <c r="AS14" s="125"/>
      <c r="AT14" s="119"/>
      <c r="AU14" s="120"/>
      <c r="AV14" s="120"/>
      <c r="AW14" s="119"/>
      <c r="AX14" s="119"/>
      <c r="AY14" s="119"/>
      <c r="AZ14" s="119"/>
      <c r="BA14" s="119"/>
      <c r="BB14" s="119"/>
      <c r="BE14" s="125"/>
      <c r="BF14" s="119"/>
      <c r="BG14" s="120"/>
      <c r="BH14" s="120"/>
      <c r="BI14" s="119"/>
      <c r="BJ14" s="119"/>
      <c r="BK14" s="119"/>
      <c r="BL14" s="119"/>
      <c r="BM14" s="119"/>
      <c r="BN14" s="119"/>
    </row>
    <row r="15" spans="1:66" x14ac:dyDescent="0.25">
      <c r="A15" s="115">
        <v>45157</v>
      </c>
      <c r="B15" s="116">
        <v>511797</v>
      </c>
      <c r="C15" s="117">
        <v>0</v>
      </c>
      <c r="D15" s="117">
        <v>54000</v>
      </c>
      <c r="E15" s="116">
        <v>457797</v>
      </c>
      <c r="I15" s="124">
        <v>45142</v>
      </c>
      <c r="J15" s="116">
        <v>1461500</v>
      </c>
      <c r="L15" s="117">
        <v>20000</v>
      </c>
      <c r="M15" s="116">
        <v>1441500</v>
      </c>
      <c r="N15" s="116" t="s">
        <v>92</v>
      </c>
      <c r="O15" s="116" t="s">
        <v>252</v>
      </c>
      <c r="P15" s="116" t="s">
        <v>18</v>
      </c>
      <c r="U15" s="125"/>
      <c r="V15" s="119"/>
      <c r="W15" s="120"/>
      <c r="X15" s="120"/>
      <c r="Y15" s="119"/>
      <c r="Z15" s="119"/>
      <c r="AA15" s="119"/>
      <c r="AB15" s="119"/>
      <c r="AC15" s="119"/>
      <c r="AD15" s="119"/>
      <c r="AG15" s="124">
        <v>45146</v>
      </c>
      <c r="AH15" s="119">
        <v>167500</v>
      </c>
      <c r="AI15" s="120"/>
      <c r="AJ15" s="120">
        <v>150000</v>
      </c>
      <c r="AK15" s="119">
        <v>17500</v>
      </c>
      <c r="AL15" s="119" t="s">
        <v>104</v>
      </c>
      <c r="AM15" s="119" t="s">
        <v>253</v>
      </c>
      <c r="AN15" s="119"/>
      <c r="AO15" s="119" t="s">
        <v>19</v>
      </c>
      <c r="AP15" s="119"/>
      <c r="AS15" s="125"/>
      <c r="AT15" s="119"/>
      <c r="AU15" s="120"/>
      <c r="AV15" s="120"/>
      <c r="AW15" s="119"/>
      <c r="AX15" s="119"/>
      <c r="AY15" s="119"/>
      <c r="AZ15" s="119"/>
      <c r="BA15" s="119"/>
      <c r="BB15" s="119"/>
      <c r="BE15" s="125"/>
      <c r="BF15" s="119"/>
      <c r="BG15" s="120"/>
      <c r="BH15" s="120"/>
      <c r="BI15" s="119"/>
      <c r="BJ15" s="119"/>
      <c r="BK15" s="119"/>
      <c r="BL15" s="119"/>
      <c r="BM15" s="119"/>
      <c r="BN15" s="119"/>
    </row>
    <row r="16" spans="1:66" x14ac:dyDescent="0.25">
      <c r="A16" s="115">
        <v>45158</v>
      </c>
      <c r="B16" s="116">
        <v>457797</v>
      </c>
      <c r="C16" s="117">
        <v>0</v>
      </c>
      <c r="D16" s="117">
        <v>5000</v>
      </c>
      <c r="E16" s="116">
        <v>452797</v>
      </c>
      <c r="I16" s="124">
        <v>45142</v>
      </c>
      <c r="J16" s="116">
        <v>1441500</v>
      </c>
      <c r="L16" s="117">
        <v>70000</v>
      </c>
      <c r="M16" s="116">
        <v>1371500</v>
      </c>
      <c r="N16" s="116" t="s">
        <v>92</v>
      </c>
      <c r="O16" s="116" t="s">
        <v>26</v>
      </c>
      <c r="U16" s="125"/>
      <c r="V16" s="119"/>
      <c r="W16" s="120"/>
      <c r="X16" s="120"/>
      <c r="Y16" s="119"/>
      <c r="Z16" s="119"/>
      <c r="AA16" s="119"/>
      <c r="AB16" s="119"/>
      <c r="AC16" s="119"/>
      <c r="AD16" s="119"/>
      <c r="AG16" s="124">
        <v>45148</v>
      </c>
      <c r="AH16" s="119">
        <v>17500</v>
      </c>
      <c r="AI16" s="120"/>
      <c r="AJ16" s="120">
        <v>5000</v>
      </c>
      <c r="AK16" s="119">
        <v>12500</v>
      </c>
      <c r="AL16" s="119" t="s">
        <v>18</v>
      </c>
      <c r="AM16" s="119" t="s">
        <v>165</v>
      </c>
      <c r="AN16" s="119" t="s">
        <v>58</v>
      </c>
      <c r="AO16" s="119"/>
      <c r="AP16" s="119" t="s">
        <v>71</v>
      </c>
      <c r="AS16" s="125"/>
      <c r="AT16" s="119"/>
      <c r="AU16" s="120"/>
      <c r="AV16" s="120"/>
      <c r="AW16" s="119"/>
      <c r="AX16" s="119"/>
      <c r="AY16" s="119"/>
      <c r="AZ16" s="119"/>
      <c r="BA16" s="119"/>
      <c r="BB16" s="119"/>
      <c r="BE16" s="125"/>
      <c r="BF16" s="119"/>
      <c r="BG16" s="120"/>
      <c r="BH16" s="120"/>
      <c r="BI16" s="119"/>
      <c r="BJ16" s="119"/>
      <c r="BK16" s="119"/>
      <c r="BL16" s="119"/>
      <c r="BM16" s="119"/>
      <c r="BN16" s="119"/>
    </row>
    <row r="17" spans="1:66" x14ac:dyDescent="0.25">
      <c r="A17" s="115">
        <v>45159</v>
      </c>
      <c r="B17" s="116">
        <v>452797</v>
      </c>
      <c r="C17" s="117">
        <v>500000</v>
      </c>
      <c r="D17" s="117">
        <v>54948.75</v>
      </c>
      <c r="E17" s="116">
        <v>897848.25</v>
      </c>
      <c r="I17" s="124">
        <v>45142</v>
      </c>
      <c r="J17" s="116">
        <v>1371500</v>
      </c>
      <c r="L17" s="117">
        <v>707750</v>
      </c>
      <c r="M17" s="116">
        <v>663750</v>
      </c>
      <c r="N17" s="116" t="s">
        <v>92</v>
      </c>
      <c r="O17" s="116" t="s">
        <v>232</v>
      </c>
      <c r="P17" s="116" t="s">
        <v>11</v>
      </c>
      <c r="Q17" s="116" t="s">
        <v>21</v>
      </c>
      <c r="U17" s="125"/>
      <c r="V17" s="119"/>
      <c r="W17" s="120"/>
      <c r="X17" s="120"/>
      <c r="Y17" s="119"/>
      <c r="Z17" s="119"/>
      <c r="AA17" s="119"/>
      <c r="AB17" s="119"/>
      <c r="AC17" s="119"/>
      <c r="AD17" s="119"/>
      <c r="AG17" s="124">
        <v>45148</v>
      </c>
      <c r="AH17" s="119">
        <v>12500</v>
      </c>
      <c r="AI17" s="120"/>
      <c r="AJ17" s="120">
        <v>2000</v>
      </c>
      <c r="AK17" s="119">
        <v>10500</v>
      </c>
      <c r="AL17" s="119" t="s">
        <v>91</v>
      </c>
      <c r="AM17" s="119" t="s">
        <v>235</v>
      </c>
      <c r="AN17" s="119" t="s">
        <v>33</v>
      </c>
      <c r="AO17" s="119"/>
      <c r="AP17" s="119"/>
      <c r="AS17" s="125"/>
      <c r="AT17" s="119"/>
      <c r="AU17" s="120"/>
      <c r="AV17" s="120"/>
      <c r="AW17" s="119"/>
      <c r="AX17" s="119"/>
      <c r="AY17" s="119"/>
      <c r="AZ17" s="119"/>
      <c r="BA17" s="119"/>
      <c r="BB17" s="119"/>
      <c r="BE17" s="125"/>
      <c r="BF17" s="119"/>
      <c r="BG17" s="120"/>
      <c r="BH17" s="120"/>
      <c r="BI17" s="119"/>
      <c r="BJ17" s="119"/>
      <c r="BK17" s="119"/>
      <c r="BL17" s="119"/>
      <c r="BM17" s="119"/>
      <c r="BN17" s="119"/>
    </row>
    <row r="18" spans="1:66" x14ac:dyDescent="0.25">
      <c r="A18" s="115">
        <v>45160</v>
      </c>
      <c r="B18" s="116">
        <v>897848.25</v>
      </c>
      <c r="C18" s="117">
        <v>0</v>
      </c>
      <c r="D18" s="117">
        <v>4500</v>
      </c>
      <c r="E18" s="116">
        <v>893348.25</v>
      </c>
      <c r="I18" s="124">
        <v>45142</v>
      </c>
      <c r="J18" s="116">
        <v>663750</v>
      </c>
      <c r="L18" s="117">
        <v>6000</v>
      </c>
      <c r="M18" s="116">
        <v>657750</v>
      </c>
      <c r="N18" s="116" t="s">
        <v>18</v>
      </c>
      <c r="O18" s="116" t="s">
        <v>162</v>
      </c>
      <c r="P18" s="116" t="s">
        <v>11</v>
      </c>
      <c r="Q18" s="116" t="s">
        <v>21</v>
      </c>
      <c r="R18" s="116" t="s">
        <v>67</v>
      </c>
      <c r="U18" s="125"/>
      <c r="V18" s="119"/>
      <c r="W18" s="120"/>
      <c r="X18" s="120"/>
      <c r="Y18" s="119"/>
      <c r="Z18" s="119"/>
      <c r="AA18" s="119"/>
      <c r="AB18" s="119"/>
      <c r="AC18" s="119"/>
      <c r="AD18" s="119"/>
      <c r="AG18" s="124">
        <v>45148</v>
      </c>
      <c r="AH18" s="119">
        <v>10500</v>
      </c>
      <c r="AI18" s="120"/>
      <c r="AJ18" s="120">
        <v>10000</v>
      </c>
      <c r="AK18" s="119">
        <v>500</v>
      </c>
      <c r="AL18" s="119" t="s">
        <v>18</v>
      </c>
      <c r="AM18" s="119" t="s">
        <v>20</v>
      </c>
      <c r="AN18" s="119" t="s">
        <v>18</v>
      </c>
      <c r="AO18" s="119"/>
      <c r="AP18" s="119"/>
      <c r="AS18" s="125"/>
      <c r="AT18" s="119"/>
      <c r="AU18" s="120"/>
      <c r="AV18" s="120"/>
      <c r="AW18" s="119"/>
      <c r="AX18" s="119"/>
      <c r="AY18" s="119"/>
      <c r="AZ18" s="119"/>
      <c r="BA18" s="119"/>
      <c r="BB18" s="119"/>
      <c r="BE18" s="125"/>
      <c r="BF18" s="119"/>
      <c r="BG18" s="120"/>
      <c r="BH18" s="120"/>
      <c r="BI18" s="119"/>
      <c r="BJ18" s="119"/>
      <c r="BK18" s="119"/>
      <c r="BL18" s="119"/>
      <c r="BM18" s="119"/>
      <c r="BN18" s="119"/>
    </row>
    <row r="19" spans="1:66" x14ac:dyDescent="0.25">
      <c r="A19" s="121">
        <v>45161</v>
      </c>
      <c r="B19" s="122">
        <v>893348.25</v>
      </c>
      <c r="C19" s="120">
        <v>0</v>
      </c>
      <c r="D19" s="120">
        <v>541822.17000000004</v>
      </c>
      <c r="E19" s="122">
        <v>351526.07999999996</v>
      </c>
      <c r="F19" s="122"/>
      <c r="I19" s="124">
        <v>45146</v>
      </c>
      <c r="J19" s="116">
        <v>657750</v>
      </c>
      <c r="L19" s="117">
        <v>6500</v>
      </c>
      <c r="M19" s="116">
        <v>651250</v>
      </c>
      <c r="N19" s="116" t="s">
        <v>91</v>
      </c>
      <c r="O19" s="116" t="s">
        <v>239</v>
      </c>
      <c r="P19" s="116" t="s">
        <v>11</v>
      </c>
      <c r="Q19" s="116" t="s">
        <v>19</v>
      </c>
      <c r="U19" s="125"/>
      <c r="V19" s="119"/>
      <c r="W19" s="120"/>
      <c r="X19" s="120"/>
      <c r="Y19" s="119"/>
      <c r="Z19" s="119"/>
      <c r="AA19" s="119"/>
      <c r="AB19" s="119"/>
      <c r="AC19" s="119"/>
      <c r="AD19" s="119"/>
      <c r="AG19" s="125"/>
      <c r="AH19" s="119"/>
      <c r="AI19" s="120"/>
      <c r="AJ19" s="120"/>
      <c r="AK19" s="119"/>
      <c r="AL19" s="119"/>
      <c r="AM19" s="119"/>
      <c r="AN19" s="119"/>
      <c r="AO19" s="119"/>
      <c r="AP19" s="119"/>
      <c r="AS19" s="125"/>
      <c r="AT19" s="119"/>
      <c r="AU19" s="120"/>
      <c r="AV19" s="120"/>
      <c r="AW19" s="119"/>
      <c r="AX19" s="119"/>
      <c r="AY19" s="119"/>
      <c r="AZ19" s="119"/>
      <c r="BA19" s="119"/>
      <c r="BB19" s="119"/>
      <c r="BE19" s="125"/>
      <c r="BF19" s="119"/>
      <c r="BG19" s="120"/>
      <c r="BH19" s="120"/>
      <c r="BI19" s="119"/>
      <c r="BJ19" s="119"/>
      <c r="BK19" s="119"/>
      <c r="BL19" s="119"/>
      <c r="BM19" s="119"/>
      <c r="BN19" s="119"/>
    </row>
    <row r="20" spans="1:66" x14ac:dyDescent="0.25">
      <c r="A20" s="115">
        <v>45161</v>
      </c>
      <c r="B20" s="116">
        <v>351526.07999999996</v>
      </c>
      <c r="C20" s="117">
        <v>0</v>
      </c>
      <c r="D20" s="117">
        <v>2000</v>
      </c>
      <c r="E20" s="116">
        <v>349526.07999999996</v>
      </c>
      <c r="I20" s="124">
        <v>45146</v>
      </c>
      <c r="J20" s="116">
        <v>651250</v>
      </c>
      <c r="L20" s="117">
        <v>20000</v>
      </c>
      <c r="M20" s="116">
        <v>631250</v>
      </c>
      <c r="N20" s="116" t="s">
        <v>18</v>
      </c>
      <c r="O20" s="116" t="s">
        <v>167</v>
      </c>
      <c r="P20" s="116" t="s">
        <v>11</v>
      </c>
      <c r="Q20" s="116" t="s">
        <v>21</v>
      </c>
      <c r="U20" s="125"/>
      <c r="V20" s="119"/>
      <c r="W20" s="120"/>
      <c r="X20" s="120"/>
      <c r="Y20" s="119"/>
      <c r="Z20" s="119"/>
      <c r="AA20" s="119"/>
      <c r="AB20" s="119"/>
      <c r="AC20" s="119"/>
      <c r="AD20" s="119"/>
      <c r="AG20" s="125"/>
      <c r="AH20" s="119"/>
      <c r="AI20" s="120"/>
      <c r="AJ20" s="120"/>
      <c r="AK20" s="119"/>
      <c r="AL20" s="119"/>
      <c r="AM20" s="119"/>
      <c r="AN20" s="119"/>
      <c r="AO20" s="119"/>
      <c r="AP20" s="119"/>
      <c r="AS20" s="125"/>
      <c r="AT20" s="119"/>
      <c r="AU20" s="120"/>
      <c r="AV20" s="120"/>
      <c r="AW20" s="119"/>
      <c r="AX20" s="119"/>
      <c r="AY20" s="119"/>
      <c r="AZ20" s="119"/>
      <c r="BA20" s="119"/>
      <c r="BB20" s="119"/>
      <c r="BE20" s="125"/>
      <c r="BF20" s="119"/>
      <c r="BG20" s="120"/>
      <c r="BH20" s="120"/>
      <c r="BI20" s="119"/>
      <c r="BJ20" s="119"/>
      <c r="BK20" s="119"/>
      <c r="BL20" s="119"/>
      <c r="BM20" s="119"/>
      <c r="BN20" s="119"/>
    </row>
    <row r="21" spans="1:66" x14ac:dyDescent="0.25">
      <c r="A21" s="123" t="s">
        <v>229</v>
      </c>
      <c r="B21" s="119"/>
      <c r="C21" s="120">
        <v>3815555</v>
      </c>
      <c r="D21" s="120">
        <v>3466028.92</v>
      </c>
      <c r="E21" s="119"/>
      <c r="F21" s="119"/>
      <c r="I21" s="124">
        <v>45146</v>
      </c>
      <c r="J21" s="116">
        <v>631250</v>
      </c>
      <c r="L21" s="117">
        <v>30000</v>
      </c>
      <c r="M21" s="116">
        <v>601250</v>
      </c>
      <c r="N21" s="116" t="s">
        <v>93</v>
      </c>
      <c r="P21" s="116" t="s">
        <v>13</v>
      </c>
      <c r="Q21" s="116" t="s">
        <v>21</v>
      </c>
      <c r="U21" s="125"/>
      <c r="V21" s="119"/>
      <c r="W21" s="120"/>
      <c r="X21" s="120"/>
      <c r="Y21" s="119"/>
      <c r="Z21" s="119"/>
      <c r="AA21" s="119"/>
      <c r="AB21" s="119"/>
      <c r="AC21" s="119"/>
      <c r="AD21" s="119"/>
      <c r="AG21" s="125"/>
      <c r="AH21" s="119"/>
      <c r="AI21" s="120"/>
      <c r="AJ21" s="120"/>
      <c r="AK21" s="119"/>
      <c r="AL21" s="119"/>
      <c r="AM21" s="119"/>
      <c r="AN21" s="119"/>
      <c r="AO21" s="119"/>
      <c r="AP21" s="119"/>
      <c r="AS21" s="125"/>
      <c r="AT21" s="119"/>
      <c r="AU21" s="120"/>
      <c r="AV21" s="120"/>
      <c r="AW21" s="119"/>
      <c r="AX21" s="119"/>
      <c r="AY21" s="119"/>
      <c r="AZ21" s="119"/>
      <c r="BA21" s="119"/>
      <c r="BB21" s="119"/>
      <c r="BE21" s="125"/>
      <c r="BF21" s="119"/>
      <c r="BG21" s="120"/>
      <c r="BH21" s="120"/>
      <c r="BI21" s="119"/>
      <c r="BJ21" s="119"/>
      <c r="BK21" s="119"/>
      <c r="BL21" s="119"/>
      <c r="BM21" s="119"/>
      <c r="BN21" s="119"/>
    </row>
    <row r="22" spans="1:66" x14ac:dyDescent="0.25">
      <c r="I22" s="124">
        <v>45146</v>
      </c>
      <c r="J22" s="116">
        <v>601250</v>
      </c>
      <c r="L22" s="117">
        <v>1000</v>
      </c>
      <c r="M22" s="116">
        <v>600250</v>
      </c>
      <c r="N22" s="116" t="s">
        <v>18</v>
      </c>
      <c r="O22" s="116" t="s">
        <v>62</v>
      </c>
      <c r="P22" s="116" t="s">
        <v>18</v>
      </c>
      <c r="Q22" s="116" t="s">
        <v>62</v>
      </c>
      <c r="U22" s="125"/>
      <c r="V22" s="119"/>
      <c r="W22" s="120"/>
      <c r="X22" s="120"/>
      <c r="Y22" s="119"/>
      <c r="Z22" s="119"/>
      <c r="AA22" s="119"/>
      <c r="AB22" s="119"/>
      <c r="AC22" s="119"/>
      <c r="AD22" s="119"/>
      <c r="AG22" s="125"/>
      <c r="AH22" s="119"/>
      <c r="AI22" s="120"/>
      <c r="AJ22" s="120"/>
      <c r="AK22" s="119"/>
      <c r="AL22" s="119"/>
      <c r="AM22" s="119"/>
      <c r="AN22" s="119"/>
      <c r="AO22" s="119"/>
      <c r="AP22" s="119"/>
      <c r="AS22" s="125"/>
      <c r="AT22" s="119"/>
      <c r="AU22" s="120"/>
      <c r="AV22" s="120"/>
      <c r="AW22" s="119"/>
      <c r="AX22" s="119"/>
      <c r="AY22" s="119"/>
      <c r="AZ22" s="119"/>
      <c r="BA22" s="119"/>
      <c r="BB22" s="119"/>
      <c r="BE22" s="125"/>
      <c r="BF22" s="119"/>
      <c r="BG22" s="120"/>
      <c r="BH22" s="120"/>
      <c r="BI22" s="119"/>
      <c r="BJ22" s="119"/>
      <c r="BK22" s="119"/>
      <c r="BL22" s="119"/>
      <c r="BM22" s="119"/>
      <c r="BN22" s="119"/>
    </row>
    <row r="23" spans="1:66" x14ac:dyDescent="0.25">
      <c r="A23" s="115"/>
      <c r="I23" s="124">
        <v>45147</v>
      </c>
      <c r="J23" s="116">
        <v>600250</v>
      </c>
      <c r="K23" s="117">
        <v>317200</v>
      </c>
      <c r="L23" s="117">
        <v>0</v>
      </c>
      <c r="M23" s="116">
        <v>917450</v>
      </c>
      <c r="N23" s="116" t="s">
        <v>93</v>
      </c>
      <c r="P23" s="116" t="s">
        <v>14</v>
      </c>
      <c r="R23" s="116" t="s">
        <v>69</v>
      </c>
      <c r="U23" s="125"/>
      <c r="V23" s="119"/>
      <c r="W23" s="120"/>
      <c r="X23" s="120"/>
      <c r="Y23" s="119"/>
      <c r="Z23" s="119"/>
      <c r="AA23" s="119"/>
      <c r="AB23" s="119"/>
      <c r="AC23" s="119"/>
      <c r="AD23" s="119"/>
      <c r="AG23" s="125"/>
      <c r="AH23" s="119"/>
      <c r="AI23" s="120"/>
      <c r="AJ23" s="120"/>
      <c r="AK23" s="119"/>
      <c r="AL23" s="119"/>
      <c r="AM23" s="119"/>
      <c r="AN23" s="119"/>
      <c r="AO23" s="119"/>
      <c r="AP23" s="119"/>
      <c r="AS23" s="125"/>
      <c r="AT23" s="119"/>
      <c r="AU23" s="120"/>
      <c r="AV23" s="120"/>
      <c r="AW23" s="119"/>
      <c r="AX23" s="119"/>
      <c r="AY23" s="119"/>
      <c r="AZ23" s="119"/>
      <c r="BA23" s="119"/>
      <c r="BB23" s="119"/>
      <c r="BE23" s="125"/>
      <c r="BF23" s="119"/>
      <c r="BG23" s="120"/>
      <c r="BH23" s="120"/>
      <c r="BI23" s="119"/>
      <c r="BJ23" s="119"/>
      <c r="BK23" s="119"/>
      <c r="BL23" s="119"/>
      <c r="BM23" s="119"/>
      <c r="BN23" s="119"/>
    </row>
    <row r="24" spans="1:66" x14ac:dyDescent="0.25">
      <c r="I24" s="124">
        <v>45147</v>
      </c>
      <c r="J24" s="116">
        <v>917450</v>
      </c>
      <c r="L24" s="117">
        <v>143800</v>
      </c>
      <c r="M24" s="116">
        <v>773650</v>
      </c>
      <c r="N24" s="116" t="s">
        <v>18</v>
      </c>
      <c r="O24" s="116" t="s">
        <v>161</v>
      </c>
      <c r="P24" s="116" t="s">
        <v>16</v>
      </c>
      <c r="Q24" s="116" t="s">
        <v>21</v>
      </c>
      <c r="U24" s="125"/>
      <c r="V24" s="119"/>
      <c r="W24" s="120"/>
      <c r="X24" s="120"/>
      <c r="Y24" s="119"/>
      <c r="Z24" s="119"/>
      <c r="AA24" s="119"/>
      <c r="AB24" s="119"/>
      <c r="AC24" s="119"/>
      <c r="AD24" s="119"/>
      <c r="AG24" s="125"/>
      <c r="AH24" s="119"/>
      <c r="AI24" s="120"/>
      <c r="AJ24" s="120"/>
      <c r="AK24" s="119"/>
      <c r="AL24" s="119"/>
      <c r="AM24" s="119"/>
      <c r="AN24" s="119"/>
      <c r="AO24" s="119"/>
      <c r="AP24" s="119"/>
      <c r="AS24" s="125"/>
      <c r="AT24" s="119"/>
      <c r="AU24" s="120"/>
      <c r="AV24" s="120"/>
      <c r="AW24" s="119"/>
      <c r="AX24" s="119"/>
      <c r="AY24" s="119"/>
      <c r="AZ24" s="119"/>
      <c r="BA24" s="119"/>
      <c r="BB24" s="119"/>
      <c r="BE24" s="125"/>
      <c r="BF24" s="119"/>
      <c r="BG24" s="120"/>
      <c r="BH24" s="120"/>
      <c r="BI24" s="119"/>
      <c r="BJ24" s="119"/>
      <c r="BK24" s="119"/>
      <c r="BL24" s="119"/>
      <c r="BM24" s="119"/>
      <c r="BN24" s="119"/>
    </row>
    <row r="25" spans="1:66" x14ac:dyDescent="0.25">
      <c r="I25" s="124">
        <v>45147</v>
      </c>
      <c r="J25" s="116">
        <v>773650</v>
      </c>
      <c r="L25" s="117">
        <v>100000</v>
      </c>
      <c r="M25" s="116">
        <v>673650</v>
      </c>
      <c r="N25" s="116" t="s">
        <v>18</v>
      </c>
      <c r="O25" s="116" t="s">
        <v>162</v>
      </c>
      <c r="P25" s="116" t="s">
        <v>17</v>
      </c>
      <c r="Q25" s="116" t="s">
        <v>21</v>
      </c>
      <c r="U25" s="125"/>
      <c r="V25" s="119"/>
      <c r="W25" s="120"/>
      <c r="X25" s="120"/>
      <c r="Y25" s="119"/>
      <c r="Z25" s="119"/>
      <c r="AA25" s="119"/>
      <c r="AB25" s="119"/>
      <c r="AC25" s="119"/>
      <c r="AD25" s="119"/>
      <c r="AG25" s="125"/>
      <c r="AH25" s="119"/>
      <c r="AI25" s="120"/>
      <c r="AJ25" s="120"/>
      <c r="AK25" s="119"/>
      <c r="AL25" s="119"/>
      <c r="AM25" s="119"/>
      <c r="AN25" s="119"/>
      <c r="AO25" s="119"/>
      <c r="AP25" s="119"/>
      <c r="AS25" s="125"/>
      <c r="AT25" s="119"/>
      <c r="AU25" s="120"/>
      <c r="AV25" s="120"/>
      <c r="AW25" s="119"/>
      <c r="AX25" s="119"/>
      <c r="AY25" s="119"/>
      <c r="AZ25" s="119"/>
      <c r="BA25" s="119"/>
      <c r="BB25" s="119"/>
      <c r="BE25" s="125"/>
      <c r="BF25" s="119"/>
      <c r="BG25" s="120"/>
      <c r="BH25" s="120"/>
      <c r="BI25" s="119"/>
      <c r="BJ25" s="119"/>
      <c r="BK25" s="119"/>
      <c r="BL25" s="119"/>
      <c r="BM25" s="119"/>
      <c r="BN25" s="119"/>
    </row>
    <row r="26" spans="1:66" x14ac:dyDescent="0.25">
      <c r="I26" s="124">
        <v>45147</v>
      </c>
      <c r="J26" s="116">
        <v>673650</v>
      </c>
      <c r="L26" s="117">
        <v>15000</v>
      </c>
      <c r="M26" s="116">
        <v>658650</v>
      </c>
      <c r="N26" s="116" t="s">
        <v>18</v>
      </c>
      <c r="O26" s="116" t="s">
        <v>161</v>
      </c>
      <c r="P26" s="116" t="s">
        <v>16</v>
      </c>
      <c r="Q26" s="116" t="s">
        <v>21</v>
      </c>
      <c r="U26" s="125"/>
      <c r="V26" s="119"/>
      <c r="W26" s="120"/>
      <c r="X26" s="120"/>
      <c r="Y26" s="119"/>
      <c r="Z26" s="119"/>
      <c r="AA26" s="119"/>
      <c r="AB26" s="119"/>
      <c r="AC26" s="119"/>
      <c r="AD26" s="119"/>
      <c r="AG26" s="125"/>
      <c r="AH26" s="119"/>
      <c r="AI26" s="120"/>
      <c r="AJ26" s="120"/>
      <c r="AK26" s="119"/>
      <c r="AL26" s="119"/>
      <c r="AM26" s="119"/>
      <c r="AN26" s="119"/>
      <c r="AO26" s="119"/>
      <c r="AP26" s="119"/>
      <c r="AT26" s="119"/>
      <c r="AU26" s="120"/>
      <c r="AV26" s="120"/>
      <c r="AW26" s="119"/>
      <c r="AX26" s="119"/>
      <c r="AY26" s="119"/>
      <c r="AZ26" s="119"/>
      <c r="BA26" s="119"/>
      <c r="BB26" s="119"/>
      <c r="BE26" s="125"/>
      <c r="BF26" s="119"/>
      <c r="BG26" s="120"/>
      <c r="BH26" s="120"/>
      <c r="BI26" s="119"/>
      <c r="BJ26" s="119"/>
      <c r="BK26" s="119"/>
      <c r="BL26" s="119"/>
      <c r="BM26" s="119"/>
      <c r="BN26" s="119"/>
    </row>
    <row r="27" spans="1:66" x14ac:dyDescent="0.25">
      <c r="I27" s="124">
        <v>45147</v>
      </c>
      <c r="J27" s="116">
        <v>658650</v>
      </c>
      <c r="K27" s="117">
        <v>330000</v>
      </c>
      <c r="L27" s="117">
        <v>0</v>
      </c>
      <c r="M27" s="116">
        <v>988650</v>
      </c>
      <c r="N27" s="116" t="s">
        <v>93</v>
      </c>
      <c r="P27" s="116" t="s">
        <v>11</v>
      </c>
      <c r="U27" s="125"/>
      <c r="V27" s="119"/>
      <c r="W27" s="120"/>
      <c r="X27" s="120"/>
      <c r="Y27" s="119"/>
      <c r="Z27" s="119"/>
      <c r="AA27" s="119"/>
      <c r="AB27" s="119"/>
      <c r="AC27" s="119"/>
      <c r="AD27" s="119"/>
      <c r="AG27" s="125"/>
      <c r="AH27" s="119"/>
      <c r="AI27" s="120"/>
      <c r="AJ27" s="120"/>
      <c r="AK27" s="119"/>
      <c r="AL27" s="119"/>
      <c r="AM27" s="119"/>
      <c r="AN27" s="119"/>
      <c r="AO27" s="119"/>
      <c r="AP27" s="119"/>
      <c r="AT27" s="119"/>
      <c r="AU27" s="120"/>
      <c r="AV27" s="120"/>
      <c r="AW27" s="119"/>
      <c r="AX27" s="119"/>
      <c r="AY27" s="119"/>
      <c r="AZ27" s="119"/>
      <c r="BA27" s="119"/>
      <c r="BB27" s="119"/>
      <c r="BE27" s="125"/>
      <c r="BF27" s="119"/>
      <c r="BG27" s="120"/>
      <c r="BH27" s="120"/>
      <c r="BI27" s="119"/>
      <c r="BJ27" s="119"/>
      <c r="BK27" s="119"/>
      <c r="BL27" s="119"/>
      <c r="BM27" s="119"/>
      <c r="BN27" s="119"/>
    </row>
    <row r="28" spans="1:66" x14ac:dyDescent="0.25">
      <c r="I28" s="124">
        <v>45148</v>
      </c>
      <c r="J28" s="116">
        <v>988650</v>
      </c>
      <c r="L28" s="117">
        <v>3000</v>
      </c>
      <c r="M28" s="116">
        <v>985650</v>
      </c>
      <c r="N28" s="116" t="s">
        <v>18</v>
      </c>
      <c r="O28" s="116" t="s">
        <v>163</v>
      </c>
      <c r="R28" s="116" t="s">
        <v>70</v>
      </c>
      <c r="U28" s="125"/>
      <c r="V28" s="119"/>
      <c r="W28" s="120"/>
      <c r="X28" s="120"/>
      <c r="Y28" s="119"/>
      <c r="Z28" s="119"/>
      <c r="AA28" s="119"/>
      <c r="AB28" s="119"/>
      <c r="AC28" s="119"/>
      <c r="AD28" s="119"/>
      <c r="AG28" s="125"/>
      <c r="AH28" s="119"/>
      <c r="AI28" s="120"/>
      <c r="AJ28" s="120"/>
      <c r="AK28" s="119"/>
      <c r="AL28" s="119"/>
      <c r="AM28" s="119"/>
      <c r="AN28" s="119"/>
      <c r="AO28" s="119"/>
      <c r="AP28" s="119"/>
      <c r="AT28" s="119"/>
      <c r="AU28" s="120"/>
      <c r="AV28" s="120"/>
      <c r="AW28" s="119"/>
      <c r="AX28" s="119"/>
      <c r="AY28" s="119"/>
      <c r="AZ28" s="119"/>
      <c r="BA28" s="119"/>
      <c r="BB28" s="119"/>
      <c r="BE28" s="125"/>
      <c r="BF28" s="119"/>
      <c r="BG28" s="120"/>
      <c r="BH28" s="120"/>
      <c r="BI28" s="119"/>
      <c r="BJ28" s="119"/>
      <c r="BK28" s="119"/>
      <c r="BL28" s="119"/>
      <c r="BM28" s="119"/>
      <c r="BN28" s="119"/>
    </row>
    <row r="29" spans="1:66" x14ac:dyDescent="0.25">
      <c r="I29" s="124">
        <v>45148</v>
      </c>
      <c r="J29" s="116">
        <v>985650</v>
      </c>
      <c r="L29" s="117">
        <v>10000</v>
      </c>
      <c r="M29" s="116">
        <v>975650</v>
      </c>
      <c r="N29" s="116" t="s">
        <v>18</v>
      </c>
      <c r="O29" s="116" t="s">
        <v>88</v>
      </c>
      <c r="U29" s="125"/>
      <c r="V29" s="119"/>
      <c r="W29" s="120"/>
      <c r="X29" s="120"/>
      <c r="Y29" s="119"/>
      <c r="Z29" s="119"/>
      <c r="AA29" s="119"/>
      <c r="AB29" s="119"/>
      <c r="AC29" s="119"/>
      <c r="AD29" s="119"/>
      <c r="AG29" s="125"/>
      <c r="AH29" s="119"/>
      <c r="AI29" s="120"/>
      <c r="AJ29" s="120"/>
      <c r="AK29" s="119"/>
      <c r="AL29" s="119"/>
      <c r="AM29" s="119"/>
      <c r="AN29" s="119"/>
      <c r="AO29" s="119"/>
      <c r="AP29" s="119"/>
      <c r="AT29" s="119"/>
      <c r="AU29" s="120"/>
      <c r="AV29" s="120"/>
      <c r="AW29" s="119"/>
      <c r="AX29" s="119"/>
      <c r="AY29" s="119"/>
      <c r="AZ29" s="119"/>
      <c r="BA29" s="119"/>
      <c r="BB29" s="119"/>
      <c r="BE29" s="125"/>
      <c r="BF29" s="119"/>
      <c r="BG29" s="120"/>
      <c r="BH29" s="120"/>
      <c r="BI29" s="119"/>
      <c r="BJ29" s="119"/>
      <c r="BK29" s="119"/>
      <c r="BL29" s="119"/>
      <c r="BM29" s="119"/>
      <c r="BN29" s="119"/>
    </row>
    <row r="30" spans="1:66" x14ac:dyDescent="0.25">
      <c r="I30" s="124">
        <v>45148</v>
      </c>
      <c r="J30" s="116">
        <v>975650</v>
      </c>
      <c r="L30" s="117">
        <v>250000</v>
      </c>
      <c r="M30" s="116">
        <v>725650</v>
      </c>
      <c r="N30" s="116" t="s">
        <v>18</v>
      </c>
      <c r="O30" s="116" t="s">
        <v>169</v>
      </c>
      <c r="U30" s="125"/>
      <c r="V30" s="119"/>
      <c r="W30" s="120"/>
      <c r="X30" s="120"/>
      <c r="Y30" s="119"/>
      <c r="Z30" s="119"/>
      <c r="AA30" s="119"/>
      <c r="AB30" s="119"/>
      <c r="AC30" s="119"/>
      <c r="AD30" s="119"/>
      <c r="AG30" s="125"/>
      <c r="AH30" s="119"/>
      <c r="AI30" s="120"/>
      <c r="AJ30" s="120"/>
      <c r="AK30" s="119"/>
      <c r="AL30" s="119"/>
      <c r="AM30" s="119"/>
      <c r="AN30" s="119"/>
      <c r="AO30" s="119"/>
      <c r="AP30" s="119"/>
      <c r="AT30" s="119"/>
      <c r="AU30" s="120"/>
      <c r="AV30" s="120"/>
      <c r="AW30" s="119"/>
      <c r="AX30" s="119"/>
      <c r="AY30" s="119"/>
      <c r="AZ30" s="119"/>
      <c r="BA30" s="119"/>
      <c r="BB30" s="119"/>
      <c r="BE30" s="125"/>
      <c r="BF30" s="119"/>
      <c r="BG30" s="120"/>
      <c r="BH30" s="120"/>
      <c r="BI30" s="119"/>
      <c r="BJ30" s="119"/>
      <c r="BK30" s="119"/>
      <c r="BL30" s="119"/>
      <c r="BM30" s="119"/>
      <c r="BN30" s="119"/>
    </row>
    <row r="31" spans="1:66" x14ac:dyDescent="0.25">
      <c r="I31" s="124">
        <v>45149</v>
      </c>
      <c r="J31" s="116">
        <v>725650</v>
      </c>
      <c r="L31" s="117">
        <v>6000</v>
      </c>
      <c r="M31" s="116">
        <v>719650</v>
      </c>
      <c r="N31" s="116" t="s">
        <v>91</v>
      </c>
      <c r="O31" s="116" t="s">
        <v>247</v>
      </c>
      <c r="P31" s="116" t="s">
        <v>18</v>
      </c>
      <c r="U31" s="125"/>
      <c r="V31" s="119"/>
      <c r="W31" s="120"/>
      <c r="X31" s="120"/>
      <c r="Y31" s="119"/>
      <c r="Z31" s="119"/>
      <c r="AA31" s="119"/>
      <c r="AB31" s="119"/>
      <c r="AC31" s="119"/>
      <c r="AD31" s="119"/>
      <c r="AG31" s="125"/>
      <c r="AH31" s="119"/>
      <c r="AI31" s="120"/>
      <c r="AJ31" s="120"/>
      <c r="AK31" s="119"/>
      <c r="AL31" s="119"/>
      <c r="AM31" s="119"/>
      <c r="AN31" s="119"/>
      <c r="AO31" s="119"/>
      <c r="AP31" s="119"/>
      <c r="AT31" s="119"/>
      <c r="AU31" s="120"/>
      <c r="AV31" s="120"/>
      <c r="AW31" s="119"/>
      <c r="AX31" s="119"/>
      <c r="AY31" s="119"/>
      <c r="AZ31" s="119"/>
      <c r="BA31" s="119"/>
      <c r="BB31" s="119"/>
      <c r="BE31" s="125"/>
      <c r="BF31" s="119"/>
      <c r="BG31" s="120"/>
      <c r="BH31" s="120"/>
      <c r="BI31" s="119"/>
      <c r="BJ31" s="119"/>
      <c r="BK31" s="119"/>
      <c r="BL31" s="119"/>
      <c r="BM31" s="119"/>
      <c r="BN31" s="119"/>
    </row>
    <row r="32" spans="1:66" x14ac:dyDescent="0.25">
      <c r="I32" s="124">
        <v>45149</v>
      </c>
      <c r="J32" s="116">
        <v>719650</v>
      </c>
      <c r="L32" s="117">
        <v>40000</v>
      </c>
      <c r="M32" s="116">
        <v>679650</v>
      </c>
      <c r="N32" s="116" t="s">
        <v>93</v>
      </c>
      <c r="P32" s="116" t="s">
        <v>13</v>
      </c>
      <c r="Q32" s="116" t="s">
        <v>21</v>
      </c>
      <c r="U32" s="125"/>
      <c r="V32" s="119"/>
      <c r="W32" s="120"/>
      <c r="X32" s="120"/>
      <c r="Y32" s="119"/>
      <c r="Z32" s="119"/>
      <c r="AA32" s="119"/>
      <c r="AB32" s="119"/>
      <c r="AC32" s="119"/>
      <c r="AD32" s="119"/>
      <c r="AG32" s="125"/>
      <c r="AH32" s="119"/>
      <c r="AI32" s="120"/>
      <c r="AJ32" s="120"/>
      <c r="AK32" s="119"/>
      <c r="AL32" s="119"/>
      <c r="AM32" s="119"/>
      <c r="AN32" s="119"/>
      <c r="AO32" s="119"/>
      <c r="AP32" s="119"/>
      <c r="AT32" s="119"/>
      <c r="AU32" s="120"/>
      <c r="AV32" s="120"/>
      <c r="AW32" s="119"/>
      <c r="AX32" s="119"/>
      <c r="AY32" s="119"/>
      <c r="AZ32" s="119"/>
      <c r="BA32" s="119"/>
      <c r="BB32" s="119"/>
      <c r="BE32" s="125"/>
      <c r="BF32" s="119"/>
      <c r="BG32" s="120"/>
      <c r="BH32" s="120"/>
      <c r="BI32" s="119"/>
      <c r="BJ32" s="119"/>
      <c r="BK32" s="119"/>
      <c r="BL32" s="119"/>
      <c r="BM32" s="119"/>
      <c r="BN32" s="119"/>
    </row>
    <row r="33" spans="1:66" x14ac:dyDescent="0.25">
      <c r="I33" s="124">
        <v>45149</v>
      </c>
      <c r="J33" s="116">
        <v>679650</v>
      </c>
      <c r="L33" s="117">
        <v>25000</v>
      </c>
      <c r="M33" s="116">
        <v>654650</v>
      </c>
      <c r="N33" s="116" t="s">
        <v>18</v>
      </c>
      <c r="O33" s="116" t="s">
        <v>28</v>
      </c>
      <c r="P33" s="116" t="s">
        <v>15</v>
      </c>
      <c r="U33" s="125"/>
      <c r="V33" s="119"/>
      <c r="W33" s="120"/>
      <c r="X33" s="120"/>
      <c r="Y33" s="119"/>
      <c r="Z33" s="119"/>
      <c r="AA33" s="119"/>
      <c r="AB33" s="119"/>
      <c r="AC33" s="119"/>
      <c r="AD33" s="119"/>
      <c r="AG33" s="125"/>
      <c r="AH33" s="119"/>
      <c r="AI33" s="120"/>
      <c r="AJ33" s="120"/>
      <c r="AK33" s="119"/>
      <c r="AL33" s="119"/>
      <c r="AM33" s="119"/>
      <c r="AN33" s="119"/>
      <c r="AO33" s="119"/>
      <c r="AP33" s="119"/>
      <c r="AT33" s="119"/>
      <c r="AU33" s="120"/>
      <c r="AV33" s="120"/>
      <c r="AW33" s="119"/>
      <c r="AX33" s="119"/>
      <c r="AY33" s="119"/>
      <c r="AZ33" s="119"/>
      <c r="BA33" s="119"/>
      <c r="BB33" s="119"/>
      <c r="BE33" s="125"/>
      <c r="BF33" s="119"/>
      <c r="BG33" s="120"/>
      <c r="BH33" s="120"/>
      <c r="BI33" s="119"/>
      <c r="BJ33" s="119"/>
      <c r="BK33" s="119"/>
      <c r="BL33" s="119"/>
      <c r="BM33" s="119"/>
      <c r="BN33" s="119"/>
    </row>
    <row r="34" spans="1:66" x14ac:dyDescent="0.25">
      <c r="A34" s="125"/>
      <c r="B34" s="122"/>
      <c r="C34" s="120"/>
      <c r="D34" s="120"/>
      <c r="E34" s="122"/>
      <c r="F34" s="122"/>
      <c r="I34" s="124">
        <v>45149</v>
      </c>
      <c r="J34" s="116">
        <v>654650</v>
      </c>
      <c r="L34" s="117">
        <v>26500</v>
      </c>
      <c r="M34" s="116">
        <v>628150</v>
      </c>
      <c r="N34" s="116" t="s">
        <v>92</v>
      </c>
      <c r="O34" s="116" t="s">
        <v>241</v>
      </c>
      <c r="P34" s="116" t="s">
        <v>11</v>
      </c>
      <c r="Q34" s="116" t="s">
        <v>21</v>
      </c>
      <c r="U34" s="125"/>
      <c r="V34" s="119"/>
      <c r="W34" s="120"/>
      <c r="X34" s="120"/>
      <c r="Y34" s="119"/>
      <c r="Z34" s="119"/>
      <c r="AA34" s="119"/>
      <c r="AB34" s="119"/>
      <c r="AC34" s="119"/>
      <c r="AD34" s="119"/>
      <c r="AH34" s="119"/>
      <c r="AI34" s="120"/>
      <c r="AJ34" s="120"/>
      <c r="AK34" s="119"/>
      <c r="AL34" s="119"/>
      <c r="AM34" s="119"/>
      <c r="AN34" s="119"/>
      <c r="AO34" s="119"/>
      <c r="AP34" s="119"/>
      <c r="AT34" s="119"/>
      <c r="AU34" s="120"/>
      <c r="AV34" s="120"/>
      <c r="AW34" s="119"/>
      <c r="AX34" s="119"/>
      <c r="AY34" s="119"/>
      <c r="AZ34" s="119"/>
      <c r="BA34" s="119"/>
      <c r="BB34" s="119"/>
      <c r="BE34" s="125"/>
      <c r="BF34" s="119"/>
      <c r="BG34" s="120"/>
      <c r="BH34" s="120"/>
      <c r="BI34" s="119"/>
      <c r="BJ34" s="119"/>
      <c r="BK34" s="119"/>
      <c r="BL34" s="119"/>
      <c r="BM34" s="119"/>
      <c r="BN34" s="119"/>
    </row>
    <row r="35" spans="1:66" x14ac:dyDescent="0.25">
      <c r="I35" s="124">
        <v>45149</v>
      </c>
      <c r="J35" s="116">
        <v>628150</v>
      </c>
      <c r="L35" s="117">
        <v>10000</v>
      </c>
      <c r="M35" s="116">
        <v>618150</v>
      </c>
      <c r="N35" s="116" t="s">
        <v>18</v>
      </c>
      <c r="O35" s="116" t="s">
        <v>166</v>
      </c>
      <c r="P35" s="116" t="s">
        <v>14</v>
      </c>
      <c r="U35" s="125"/>
      <c r="V35" s="119"/>
      <c r="W35" s="120"/>
      <c r="X35" s="120"/>
      <c r="Y35" s="119"/>
      <c r="Z35" s="119"/>
      <c r="AA35" s="119"/>
      <c r="AB35" s="119"/>
      <c r="AC35" s="119"/>
      <c r="AD35" s="119"/>
      <c r="AH35" s="119"/>
      <c r="AI35" s="120"/>
      <c r="AJ35" s="120"/>
      <c r="AK35" s="119"/>
      <c r="AL35" s="119"/>
      <c r="AM35" s="119"/>
      <c r="AN35" s="119"/>
      <c r="AO35" s="119"/>
      <c r="AP35" s="119"/>
      <c r="AT35" s="119"/>
      <c r="AU35" s="120"/>
      <c r="AV35" s="120"/>
      <c r="AW35" s="119"/>
      <c r="AX35" s="119"/>
      <c r="AY35" s="119"/>
      <c r="AZ35" s="119"/>
      <c r="BA35" s="119"/>
      <c r="BB35" s="119"/>
      <c r="BE35" s="125"/>
      <c r="BF35" s="119"/>
      <c r="BG35" s="120"/>
      <c r="BH35" s="120"/>
      <c r="BI35" s="119"/>
      <c r="BJ35" s="119"/>
      <c r="BK35" s="119"/>
      <c r="BL35" s="119"/>
      <c r="BM35" s="119"/>
      <c r="BN35" s="119"/>
    </row>
    <row r="36" spans="1:66" x14ac:dyDescent="0.25">
      <c r="I36" s="124">
        <v>45152</v>
      </c>
      <c r="J36" s="116">
        <v>618150</v>
      </c>
      <c r="L36" s="117">
        <v>10000</v>
      </c>
      <c r="M36" s="116">
        <v>608150</v>
      </c>
      <c r="N36" s="116" t="s">
        <v>18</v>
      </c>
      <c r="O36" s="116" t="s">
        <v>159</v>
      </c>
      <c r="U36" s="125"/>
      <c r="V36" s="119"/>
      <c r="W36" s="120"/>
      <c r="X36" s="120"/>
      <c r="Y36" s="119"/>
      <c r="Z36" s="119"/>
      <c r="AA36" s="119"/>
      <c r="AB36" s="119"/>
      <c r="AC36" s="119"/>
      <c r="AD36" s="119"/>
      <c r="AH36" s="119"/>
      <c r="AI36" s="120"/>
      <c r="AJ36" s="120"/>
      <c r="AK36" s="119"/>
      <c r="AL36" s="119"/>
      <c r="AM36" s="119"/>
      <c r="AN36" s="119"/>
      <c r="AO36" s="119"/>
      <c r="AP36" s="119"/>
      <c r="AT36" s="119"/>
      <c r="AU36" s="120"/>
      <c r="AV36" s="120"/>
      <c r="AW36" s="119"/>
      <c r="AX36" s="119"/>
      <c r="AY36" s="119"/>
      <c r="AZ36" s="119"/>
      <c r="BA36" s="119"/>
      <c r="BB36" s="119"/>
      <c r="BE36" s="125"/>
      <c r="BF36" s="119"/>
      <c r="BG36" s="120"/>
      <c r="BH36" s="120"/>
      <c r="BI36" s="119"/>
      <c r="BJ36" s="119"/>
      <c r="BK36" s="119"/>
      <c r="BL36" s="119"/>
      <c r="BM36" s="119"/>
      <c r="BN36" s="119"/>
    </row>
    <row r="37" spans="1:66" x14ac:dyDescent="0.25">
      <c r="A37" s="125"/>
      <c r="B37" s="122"/>
      <c r="C37" s="120"/>
      <c r="D37" s="120"/>
      <c r="E37" s="122"/>
      <c r="F37" s="122"/>
      <c r="I37" s="124">
        <v>45152</v>
      </c>
      <c r="J37" s="116">
        <v>608150</v>
      </c>
      <c r="L37" s="117">
        <v>30000</v>
      </c>
      <c r="M37" s="116">
        <v>578150</v>
      </c>
      <c r="N37" s="116" t="s">
        <v>92</v>
      </c>
      <c r="O37" s="116" t="s">
        <v>252</v>
      </c>
      <c r="P37" s="116" t="s">
        <v>18</v>
      </c>
      <c r="U37" s="125"/>
      <c r="V37" s="119"/>
      <c r="W37" s="120"/>
      <c r="X37" s="120"/>
      <c r="Y37" s="119"/>
      <c r="Z37" s="119"/>
      <c r="AA37" s="119"/>
      <c r="AB37" s="119"/>
      <c r="AC37" s="119"/>
      <c r="AD37" s="119"/>
      <c r="AH37" s="119"/>
      <c r="AI37" s="120"/>
      <c r="AJ37" s="120"/>
      <c r="AK37" s="119"/>
      <c r="AL37" s="119"/>
      <c r="AM37" s="119"/>
      <c r="AN37" s="119"/>
      <c r="AO37" s="119"/>
      <c r="AP37" s="119"/>
      <c r="AT37" s="119"/>
      <c r="AU37" s="120"/>
      <c r="AV37" s="120"/>
      <c r="AW37" s="119"/>
      <c r="AX37" s="119"/>
      <c r="AY37" s="119"/>
      <c r="AZ37" s="119"/>
      <c r="BA37" s="119"/>
      <c r="BB37" s="119"/>
      <c r="BE37" s="125"/>
      <c r="BF37" s="119"/>
      <c r="BG37" s="120"/>
      <c r="BH37" s="120"/>
      <c r="BI37" s="119"/>
      <c r="BJ37" s="119"/>
      <c r="BK37" s="119"/>
      <c r="BL37" s="119"/>
      <c r="BM37" s="119"/>
      <c r="BN37" s="119"/>
    </row>
    <row r="38" spans="1:66" x14ac:dyDescent="0.25">
      <c r="I38" s="124">
        <v>45152</v>
      </c>
      <c r="J38" s="116">
        <v>578150</v>
      </c>
      <c r="L38" s="117">
        <v>500000</v>
      </c>
      <c r="M38" s="116">
        <v>78150</v>
      </c>
      <c r="N38" s="116" t="s">
        <v>91</v>
      </c>
      <c r="O38" s="116" t="s">
        <v>28</v>
      </c>
      <c r="Q38" s="116" t="s">
        <v>29</v>
      </c>
      <c r="U38" s="125"/>
      <c r="V38" s="119"/>
      <c r="W38" s="120"/>
      <c r="X38" s="120"/>
      <c r="Y38" s="119"/>
      <c r="Z38" s="119"/>
      <c r="AA38" s="119"/>
      <c r="AB38" s="119"/>
      <c r="AC38" s="119"/>
      <c r="AD38" s="119"/>
      <c r="AH38" s="119"/>
      <c r="AI38" s="120"/>
      <c r="AJ38" s="120"/>
      <c r="AK38" s="119"/>
      <c r="AL38" s="119"/>
      <c r="AM38" s="119"/>
      <c r="AN38" s="119"/>
      <c r="AO38" s="119"/>
      <c r="AP38" s="119"/>
      <c r="AT38" s="119"/>
      <c r="AU38" s="120"/>
      <c r="AV38" s="120"/>
      <c r="AW38" s="119"/>
      <c r="AX38" s="119"/>
      <c r="AY38" s="119"/>
      <c r="AZ38" s="119"/>
      <c r="BA38" s="119"/>
      <c r="BB38" s="119"/>
      <c r="BE38" s="125"/>
      <c r="BF38" s="119"/>
      <c r="BG38" s="120"/>
      <c r="BH38" s="120"/>
      <c r="BI38" s="119"/>
      <c r="BJ38" s="119"/>
      <c r="BK38" s="119"/>
      <c r="BL38" s="119"/>
      <c r="BM38" s="119"/>
      <c r="BN38" s="119"/>
    </row>
    <row r="39" spans="1:66" x14ac:dyDescent="0.25">
      <c r="I39" s="124">
        <v>45153</v>
      </c>
      <c r="J39" s="116">
        <v>78150</v>
      </c>
      <c r="L39" s="117">
        <v>2000</v>
      </c>
      <c r="M39" s="116">
        <v>76150</v>
      </c>
      <c r="N39" s="116" t="s">
        <v>91</v>
      </c>
      <c r="O39" s="116" t="s">
        <v>256</v>
      </c>
      <c r="Q39" s="116" t="s">
        <v>62</v>
      </c>
      <c r="U39" s="125"/>
      <c r="V39" s="119"/>
      <c r="W39" s="120"/>
      <c r="X39" s="120"/>
      <c r="Y39" s="119"/>
      <c r="Z39" s="119"/>
      <c r="AA39" s="119"/>
      <c r="AB39" s="119"/>
      <c r="AC39" s="119"/>
      <c r="AD39" s="119"/>
      <c r="AH39" s="119"/>
      <c r="AI39" s="120"/>
      <c r="AJ39" s="120"/>
      <c r="AK39" s="119"/>
      <c r="AL39" s="119"/>
      <c r="AM39" s="119"/>
      <c r="AN39" s="119"/>
      <c r="AO39" s="119"/>
      <c r="AP39" s="119"/>
      <c r="AT39" s="119"/>
      <c r="AU39" s="120"/>
      <c r="AV39" s="120"/>
      <c r="AW39" s="119"/>
      <c r="AX39" s="119"/>
      <c r="AY39" s="119"/>
      <c r="AZ39" s="119"/>
      <c r="BA39" s="119"/>
      <c r="BB39" s="119"/>
      <c r="BE39" s="125"/>
      <c r="BF39" s="119"/>
      <c r="BG39" s="120"/>
      <c r="BH39" s="120"/>
      <c r="BI39" s="119"/>
      <c r="BJ39" s="119"/>
      <c r="BK39" s="119"/>
      <c r="BL39" s="119"/>
      <c r="BM39" s="119"/>
      <c r="BN39" s="119"/>
    </row>
    <row r="40" spans="1:66" x14ac:dyDescent="0.25">
      <c r="I40" s="124">
        <v>45154</v>
      </c>
      <c r="J40" s="116">
        <v>76150</v>
      </c>
      <c r="L40" s="117">
        <v>3500</v>
      </c>
      <c r="M40" s="116">
        <v>72650</v>
      </c>
      <c r="N40" s="116" t="s">
        <v>92</v>
      </c>
      <c r="O40" s="116" t="s">
        <v>231</v>
      </c>
      <c r="P40" s="116" t="s">
        <v>11</v>
      </c>
      <c r="Q40" s="116" t="s">
        <v>21</v>
      </c>
      <c r="U40" s="125"/>
      <c r="V40" s="119"/>
      <c r="W40" s="120"/>
      <c r="X40" s="120"/>
      <c r="Y40" s="119"/>
      <c r="Z40" s="119"/>
      <c r="AA40" s="119"/>
      <c r="AB40" s="119"/>
      <c r="AC40" s="119"/>
      <c r="AD40" s="119"/>
      <c r="AH40" s="119"/>
      <c r="AI40" s="120"/>
      <c r="AJ40" s="120"/>
      <c r="AK40" s="119"/>
      <c r="AL40" s="119"/>
      <c r="AM40" s="119"/>
      <c r="AN40" s="119"/>
      <c r="AO40" s="119"/>
      <c r="AP40" s="119"/>
      <c r="AT40" s="119"/>
      <c r="AU40" s="120"/>
      <c r="AV40" s="120"/>
      <c r="AW40" s="119"/>
      <c r="AX40" s="119"/>
      <c r="AY40" s="119"/>
      <c r="AZ40" s="119"/>
      <c r="BA40" s="119"/>
      <c r="BB40" s="119"/>
      <c r="BE40" s="125"/>
      <c r="BF40" s="119"/>
      <c r="BG40" s="120"/>
      <c r="BH40" s="120"/>
      <c r="BI40" s="119"/>
      <c r="BJ40" s="119"/>
      <c r="BK40" s="119"/>
      <c r="BL40" s="119"/>
      <c r="BM40" s="119"/>
      <c r="BN40" s="119"/>
    </row>
    <row r="41" spans="1:66" x14ac:dyDescent="0.25">
      <c r="I41" s="124">
        <v>45155</v>
      </c>
      <c r="J41" s="116">
        <v>72650</v>
      </c>
      <c r="L41" s="117">
        <v>2500</v>
      </c>
      <c r="M41" s="116">
        <v>70150</v>
      </c>
      <c r="N41" s="116" t="s">
        <v>92</v>
      </c>
      <c r="O41" s="116" t="s">
        <v>231</v>
      </c>
      <c r="P41" s="116" t="s">
        <v>11</v>
      </c>
      <c r="Q41" s="116" t="s">
        <v>21</v>
      </c>
      <c r="U41" s="125"/>
      <c r="V41" s="119"/>
      <c r="W41" s="120"/>
      <c r="X41" s="120"/>
      <c r="Y41" s="119"/>
      <c r="Z41" s="119"/>
      <c r="AA41" s="119"/>
      <c r="AB41" s="119"/>
      <c r="AC41" s="119"/>
      <c r="AD41" s="119"/>
      <c r="AH41" s="119"/>
      <c r="AI41" s="120"/>
      <c r="AJ41" s="120"/>
      <c r="AK41" s="119"/>
      <c r="AL41" s="119"/>
      <c r="AM41" s="119"/>
      <c r="AN41" s="119"/>
      <c r="AO41" s="119"/>
      <c r="AP41" s="119"/>
      <c r="AT41" s="119"/>
      <c r="AU41" s="120"/>
      <c r="AV41" s="120"/>
      <c r="AW41" s="119"/>
      <c r="AX41" s="119"/>
      <c r="AY41" s="119"/>
      <c r="AZ41" s="119"/>
      <c r="BA41" s="119"/>
      <c r="BB41" s="119"/>
      <c r="BE41" s="125"/>
      <c r="BF41" s="119"/>
      <c r="BG41" s="120"/>
      <c r="BH41" s="120"/>
      <c r="BI41" s="119"/>
      <c r="BJ41" s="119"/>
      <c r="BK41" s="119"/>
      <c r="BL41" s="119"/>
      <c r="BM41" s="119"/>
      <c r="BN41" s="119"/>
    </row>
    <row r="42" spans="1:66" x14ac:dyDescent="0.25">
      <c r="I42" s="124">
        <v>45155</v>
      </c>
      <c r="J42" s="116">
        <v>70150</v>
      </c>
      <c r="K42" s="117">
        <v>200000</v>
      </c>
      <c r="L42" s="117">
        <v>0</v>
      </c>
      <c r="M42" s="116">
        <v>270150</v>
      </c>
      <c r="N42" s="116" t="s">
        <v>93</v>
      </c>
      <c r="P42" s="116" t="s">
        <v>60</v>
      </c>
      <c r="U42" s="125"/>
      <c r="V42" s="119"/>
      <c r="W42" s="120"/>
      <c r="X42" s="120"/>
      <c r="Y42" s="119"/>
      <c r="Z42" s="119"/>
      <c r="AA42" s="119"/>
      <c r="AB42" s="119"/>
      <c r="AC42" s="119"/>
      <c r="AD42" s="119"/>
      <c r="AH42" s="119"/>
      <c r="AI42" s="120"/>
      <c r="AJ42" s="120"/>
      <c r="AK42" s="119"/>
      <c r="AL42" s="119"/>
      <c r="AM42" s="119"/>
      <c r="AN42" s="119"/>
      <c r="AO42" s="119"/>
      <c r="AP42" s="119"/>
      <c r="AT42" s="119"/>
      <c r="AU42" s="120"/>
      <c r="AV42" s="120"/>
      <c r="AW42" s="119"/>
      <c r="AX42" s="119"/>
      <c r="AY42" s="119"/>
      <c r="AZ42" s="119"/>
      <c r="BA42" s="119"/>
      <c r="BB42" s="119"/>
      <c r="BE42" s="125"/>
      <c r="BF42" s="119"/>
      <c r="BG42" s="120"/>
      <c r="BH42" s="120"/>
      <c r="BI42" s="119"/>
      <c r="BJ42" s="119"/>
      <c r="BK42" s="119"/>
      <c r="BL42" s="119"/>
      <c r="BM42" s="119"/>
      <c r="BN42" s="119"/>
    </row>
    <row r="43" spans="1:66" x14ac:dyDescent="0.25">
      <c r="I43" s="124">
        <v>45155</v>
      </c>
      <c r="J43" s="116">
        <v>270150</v>
      </c>
      <c r="L43" s="117">
        <v>47258</v>
      </c>
      <c r="M43" s="116">
        <v>222892</v>
      </c>
      <c r="N43" s="116" t="s">
        <v>18</v>
      </c>
      <c r="O43" s="116" t="s">
        <v>28</v>
      </c>
      <c r="P43" s="116" t="s">
        <v>11</v>
      </c>
      <c r="Q43" s="116" t="s">
        <v>62</v>
      </c>
      <c r="U43" s="125"/>
      <c r="V43" s="119"/>
      <c r="W43" s="120"/>
      <c r="X43" s="120"/>
      <c r="Y43" s="119"/>
      <c r="Z43" s="119"/>
      <c r="AA43" s="119"/>
      <c r="AB43" s="119"/>
      <c r="AC43" s="119"/>
      <c r="AD43" s="119"/>
      <c r="AS43" s="125"/>
      <c r="AT43" s="119"/>
      <c r="AU43" s="120"/>
      <c r="AV43" s="120"/>
      <c r="AW43" s="119"/>
      <c r="AX43" s="119"/>
      <c r="AY43" s="119"/>
      <c r="AZ43" s="119"/>
      <c r="BA43" s="119"/>
      <c r="BB43" s="119"/>
      <c r="BE43" s="125"/>
      <c r="BF43" s="119"/>
      <c r="BG43" s="120"/>
      <c r="BH43" s="120"/>
      <c r="BI43" s="119"/>
      <c r="BJ43" s="119"/>
      <c r="BK43" s="119"/>
      <c r="BL43" s="119"/>
      <c r="BM43" s="119"/>
      <c r="BN43" s="119"/>
    </row>
    <row r="44" spans="1:66" x14ac:dyDescent="0.25">
      <c r="I44" s="124">
        <v>45155</v>
      </c>
      <c r="J44" s="116">
        <v>222892</v>
      </c>
      <c r="L44" s="117">
        <v>2000</v>
      </c>
      <c r="M44" s="116">
        <v>220892</v>
      </c>
      <c r="N44" s="116" t="s">
        <v>92</v>
      </c>
      <c r="O44" s="116" t="s">
        <v>64</v>
      </c>
      <c r="Q44" s="116" t="s">
        <v>62</v>
      </c>
      <c r="U44" s="125"/>
      <c r="V44" s="119"/>
      <c r="W44" s="120"/>
      <c r="X44" s="120"/>
      <c r="Y44" s="119"/>
      <c r="Z44" s="119"/>
      <c r="AA44" s="119"/>
      <c r="AB44" s="119"/>
      <c r="AC44" s="119"/>
      <c r="AD44" s="119"/>
      <c r="AS44" s="125"/>
      <c r="AT44" s="119"/>
      <c r="AU44" s="120"/>
      <c r="AV44" s="120"/>
      <c r="AW44" s="119"/>
      <c r="AX44" s="119"/>
      <c r="AY44" s="119"/>
      <c r="AZ44" s="119"/>
      <c r="BA44" s="119"/>
      <c r="BB44" s="119"/>
      <c r="BE44" s="125"/>
      <c r="BF44" s="119"/>
      <c r="BG44" s="120"/>
      <c r="BH44" s="120"/>
      <c r="BI44" s="119"/>
      <c r="BJ44" s="119"/>
      <c r="BK44" s="119"/>
      <c r="BL44" s="119"/>
      <c r="BM44" s="119"/>
      <c r="BN44" s="119"/>
    </row>
    <row r="45" spans="1:66" x14ac:dyDescent="0.25">
      <c r="I45" s="124">
        <v>45156</v>
      </c>
      <c r="J45" s="116">
        <v>220892</v>
      </c>
      <c r="L45" s="117">
        <v>60000</v>
      </c>
      <c r="M45" s="116">
        <v>160892</v>
      </c>
      <c r="N45" s="116" t="s">
        <v>18</v>
      </c>
      <c r="O45" s="116" t="s">
        <v>167</v>
      </c>
      <c r="P45" s="116" t="s">
        <v>11</v>
      </c>
      <c r="Q45" s="116" t="s">
        <v>21</v>
      </c>
      <c r="R45" s="116" t="s">
        <v>72</v>
      </c>
      <c r="U45" s="125"/>
      <c r="V45" s="119"/>
      <c r="W45" s="120"/>
      <c r="X45" s="120"/>
      <c r="Y45" s="119"/>
      <c r="Z45" s="119"/>
      <c r="AA45" s="119"/>
      <c r="AB45" s="119"/>
      <c r="AC45" s="119"/>
      <c r="AD45" s="119"/>
      <c r="AT45" s="119"/>
      <c r="AU45" s="120"/>
      <c r="AV45" s="120"/>
      <c r="AW45" s="119"/>
      <c r="AX45" s="119"/>
      <c r="AY45" s="119"/>
      <c r="AZ45" s="119"/>
      <c r="BA45" s="119"/>
      <c r="BB45" s="119"/>
      <c r="BE45" s="125"/>
      <c r="BF45" s="119"/>
      <c r="BG45" s="120"/>
      <c r="BH45" s="120"/>
      <c r="BI45" s="119"/>
      <c r="BJ45" s="119"/>
      <c r="BK45" s="119"/>
      <c r="BL45" s="119"/>
      <c r="BM45" s="119"/>
      <c r="BN45" s="119"/>
    </row>
    <row r="46" spans="1:66" x14ac:dyDescent="0.25">
      <c r="I46" s="124">
        <v>45156</v>
      </c>
      <c r="J46" s="116">
        <v>160892</v>
      </c>
      <c r="L46" s="117">
        <v>6000</v>
      </c>
      <c r="M46" s="116">
        <v>154892</v>
      </c>
      <c r="N46" s="116" t="s">
        <v>91</v>
      </c>
      <c r="O46" s="116" t="s">
        <v>65</v>
      </c>
      <c r="U46" s="125"/>
      <c r="V46" s="119"/>
      <c r="W46" s="120"/>
      <c r="X46" s="120"/>
      <c r="Y46" s="119"/>
      <c r="Z46" s="119"/>
      <c r="AA46" s="119"/>
      <c r="AB46" s="119"/>
      <c r="AC46" s="119"/>
      <c r="AD46" s="119"/>
      <c r="AT46" s="119"/>
      <c r="AU46" s="120"/>
      <c r="AV46" s="120"/>
      <c r="AW46" s="119"/>
      <c r="AX46" s="119"/>
      <c r="AY46" s="119"/>
      <c r="AZ46" s="119"/>
      <c r="BA46" s="119"/>
      <c r="BB46" s="119"/>
      <c r="BE46" s="125"/>
      <c r="BF46" s="119"/>
      <c r="BG46" s="120"/>
      <c r="BH46" s="120"/>
      <c r="BI46" s="119"/>
      <c r="BJ46" s="119"/>
      <c r="BK46" s="119"/>
      <c r="BL46" s="119"/>
      <c r="BM46" s="119"/>
      <c r="BN46" s="119"/>
    </row>
    <row r="47" spans="1:66" x14ac:dyDescent="0.25">
      <c r="I47" s="124">
        <v>45157</v>
      </c>
      <c r="J47" s="116">
        <v>154892</v>
      </c>
      <c r="L47" s="117">
        <v>20000</v>
      </c>
      <c r="M47" s="116">
        <v>134892</v>
      </c>
      <c r="N47" s="116" t="s">
        <v>18</v>
      </c>
      <c r="O47" s="116" t="s">
        <v>164</v>
      </c>
      <c r="P47" s="116" t="s">
        <v>12</v>
      </c>
      <c r="R47" s="116" t="s">
        <v>23</v>
      </c>
      <c r="U47" s="125"/>
      <c r="V47" s="119"/>
      <c r="W47" s="120"/>
      <c r="X47" s="120"/>
      <c r="Y47" s="119"/>
      <c r="Z47" s="119"/>
      <c r="AA47" s="119"/>
      <c r="AB47" s="119"/>
      <c r="AC47" s="119"/>
      <c r="AD47" s="119"/>
      <c r="AT47" s="119"/>
      <c r="AU47" s="120"/>
      <c r="AV47" s="120"/>
      <c r="AW47" s="119"/>
      <c r="AX47" s="119"/>
      <c r="AY47" s="119"/>
      <c r="AZ47" s="119"/>
      <c r="BA47" s="119"/>
      <c r="BB47" s="119"/>
      <c r="BE47" s="125"/>
      <c r="BF47" s="119"/>
      <c r="BG47" s="120"/>
      <c r="BH47" s="120"/>
      <c r="BI47" s="119"/>
      <c r="BJ47" s="119"/>
      <c r="BK47" s="119"/>
      <c r="BL47" s="119"/>
      <c r="BM47" s="119"/>
      <c r="BN47" s="119"/>
    </row>
    <row r="48" spans="1:66" x14ac:dyDescent="0.25">
      <c r="I48" s="124">
        <v>45157</v>
      </c>
      <c r="J48" s="116">
        <v>134892</v>
      </c>
      <c r="L48" s="117">
        <v>4000</v>
      </c>
      <c r="M48" s="116">
        <v>130892</v>
      </c>
      <c r="N48" s="116" t="s">
        <v>18</v>
      </c>
      <c r="O48" s="116" t="s">
        <v>19</v>
      </c>
      <c r="U48" s="125"/>
      <c r="V48" s="119"/>
      <c r="W48" s="120"/>
      <c r="X48" s="120"/>
      <c r="Y48" s="119"/>
      <c r="Z48" s="119"/>
      <c r="AA48" s="119"/>
      <c r="AB48" s="119"/>
      <c r="AC48" s="119"/>
      <c r="AD48" s="119"/>
      <c r="AT48" s="119"/>
      <c r="AU48" s="120"/>
      <c r="AV48" s="120"/>
      <c r="AW48" s="119"/>
      <c r="AX48" s="119"/>
      <c r="AY48" s="119"/>
      <c r="AZ48" s="119"/>
      <c r="BA48" s="119"/>
      <c r="BB48" s="119"/>
      <c r="BE48" s="125"/>
      <c r="BF48" s="119"/>
      <c r="BG48" s="120"/>
      <c r="BH48" s="120"/>
      <c r="BI48" s="119"/>
      <c r="BJ48" s="119"/>
      <c r="BK48" s="119"/>
      <c r="BL48" s="119"/>
      <c r="BM48" s="119"/>
      <c r="BN48" s="119"/>
    </row>
    <row r="49" spans="1:66" x14ac:dyDescent="0.25">
      <c r="I49" s="125">
        <v>45157</v>
      </c>
      <c r="J49" s="116">
        <v>130892</v>
      </c>
      <c r="L49" s="117">
        <v>30000</v>
      </c>
      <c r="M49" s="116">
        <v>100892</v>
      </c>
      <c r="N49" s="116" t="s">
        <v>18</v>
      </c>
      <c r="O49" s="116" t="s">
        <v>163</v>
      </c>
      <c r="U49" s="125"/>
      <c r="V49" s="119"/>
      <c r="W49" s="120"/>
      <c r="X49" s="120"/>
      <c r="Y49" s="119"/>
      <c r="Z49" s="119"/>
      <c r="AA49" s="119"/>
      <c r="AB49" s="119"/>
      <c r="AC49" s="119"/>
      <c r="AD49" s="119"/>
      <c r="AS49" s="125"/>
      <c r="AT49" s="119"/>
      <c r="AU49" s="120"/>
      <c r="AV49" s="120"/>
      <c r="AW49" s="119"/>
      <c r="AX49" s="119"/>
      <c r="AY49" s="119"/>
      <c r="AZ49" s="119"/>
      <c r="BA49" s="119"/>
      <c r="BB49" s="119"/>
      <c r="BE49" s="125"/>
      <c r="BF49" s="119"/>
      <c r="BG49" s="120"/>
      <c r="BH49" s="120"/>
      <c r="BI49" s="119"/>
      <c r="BJ49" s="119"/>
      <c r="BK49" s="119"/>
      <c r="BL49" s="119"/>
      <c r="BM49" s="119"/>
      <c r="BN49" s="119"/>
    </row>
    <row r="50" spans="1:66" x14ac:dyDescent="0.25">
      <c r="I50" s="125">
        <v>45158</v>
      </c>
      <c r="J50" s="116">
        <v>100892</v>
      </c>
      <c r="L50" s="117">
        <v>5000</v>
      </c>
      <c r="M50" s="116">
        <v>95892</v>
      </c>
      <c r="N50" s="116" t="s">
        <v>18</v>
      </c>
      <c r="O50" s="116" t="s">
        <v>159</v>
      </c>
      <c r="P50" s="116" t="s">
        <v>61</v>
      </c>
      <c r="U50" s="125"/>
      <c r="V50" s="119"/>
      <c r="W50" s="120"/>
      <c r="X50" s="120"/>
      <c r="Y50" s="119"/>
      <c r="Z50" s="119"/>
      <c r="AA50" s="119"/>
      <c r="AB50" s="119"/>
      <c r="AC50" s="119"/>
      <c r="AD50" s="119"/>
      <c r="AS50" s="125"/>
      <c r="AT50" s="119"/>
      <c r="AU50" s="120"/>
      <c r="AV50" s="120"/>
      <c r="AW50" s="119"/>
      <c r="AX50" s="119"/>
      <c r="AY50" s="119"/>
      <c r="AZ50" s="119"/>
      <c r="BA50" s="119"/>
      <c r="BB50" s="119"/>
      <c r="BE50" s="125"/>
      <c r="BF50" s="119"/>
      <c r="BG50" s="120"/>
      <c r="BH50" s="120"/>
      <c r="BI50" s="119"/>
      <c r="BJ50" s="119"/>
      <c r="BK50" s="119"/>
      <c r="BL50" s="119"/>
      <c r="BM50" s="119"/>
      <c r="BN50" s="119"/>
    </row>
    <row r="51" spans="1:66" x14ac:dyDescent="0.25">
      <c r="I51" s="125">
        <v>45159</v>
      </c>
      <c r="J51" s="116">
        <v>95892</v>
      </c>
      <c r="L51" s="117">
        <v>419</v>
      </c>
      <c r="M51" s="116">
        <v>95473</v>
      </c>
      <c r="N51" s="116" t="s">
        <v>91</v>
      </c>
      <c r="O51" s="116" t="s">
        <v>28</v>
      </c>
      <c r="P51" s="116" t="s">
        <v>27</v>
      </c>
      <c r="Q51" s="116" t="s">
        <v>86</v>
      </c>
      <c r="U51" s="125"/>
      <c r="V51" s="119"/>
      <c r="W51" s="120"/>
      <c r="X51" s="120"/>
      <c r="Y51" s="119"/>
      <c r="Z51" s="119"/>
      <c r="AA51" s="119"/>
      <c r="AB51" s="119"/>
      <c r="AC51" s="119"/>
      <c r="AD51" s="119"/>
      <c r="AS51" s="125"/>
      <c r="AT51" s="119"/>
      <c r="AU51" s="120"/>
      <c r="AV51" s="120"/>
      <c r="AW51" s="119"/>
      <c r="AX51" s="119"/>
      <c r="AY51" s="119"/>
      <c r="AZ51" s="119"/>
      <c r="BA51" s="119"/>
      <c r="BB51" s="119"/>
      <c r="BE51" s="125"/>
      <c r="BF51" s="119"/>
      <c r="BG51" s="120"/>
      <c r="BH51" s="120"/>
      <c r="BI51" s="119"/>
      <c r="BJ51" s="119"/>
      <c r="BK51" s="119"/>
      <c r="BL51" s="119"/>
      <c r="BM51" s="119"/>
      <c r="BN51" s="119"/>
    </row>
    <row r="52" spans="1:66" x14ac:dyDescent="0.25">
      <c r="I52" s="125">
        <v>45159</v>
      </c>
      <c r="J52" s="116">
        <v>95473</v>
      </c>
      <c r="L52" s="117">
        <v>4689.75</v>
      </c>
      <c r="M52" s="116">
        <v>90783.25</v>
      </c>
      <c r="N52" s="116" t="s">
        <v>91</v>
      </c>
      <c r="O52" s="116" t="s">
        <v>28</v>
      </c>
      <c r="P52" s="116" t="s">
        <v>61</v>
      </c>
      <c r="Q52" s="116" t="s">
        <v>86</v>
      </c>
      <c r="U52" s="125"/>
      <c r="V52" s="119"/>
      <c r="W52" s="120"/>
      <c r="X52" s="120"/>
      <c r="Y52" s="119"/>
      <c r="Z52" s="119"/>
      <c r="AA52" s="119"/>
      <c r="AB52" s="119"/>
      <c r="AC52" s="119"/>
      <c r="AD52" s="119"/>
      <c r="AT52" s="119"/>
      <c r="AU52" s="120"/>
      <c r="AV52" s="120"/>
      <c r="AW52" s="119"/>
      <c r="AX52" s="119"/>
      <c r="AY52" s="119"/>
      <c r="AZ52" s="119"/>
      <c r="BA52" s="119"/>
      <c r="BB52" s="119"/>
      <c r="BE52" s="125"/>
      <c r="BF52" s="119"/>
      <c r="BG52" s="120"/>
      <c r="BH52" s="120"/>
      <c r="BI52" s="119"/>
      <c r="BJ52" s="119"/>
      <c r="BK52" s="119"/>
      <c r="BL52" s="119"/>
      <c r="BM52" s="119"/>
      <c r="BN52" s="119"/>
    </row>
    <row r="53" spans="1:66" x14ac:dyDescent="0.25">
      <c r="A53" s="118"/>
      <c r="B53" s="119"/>
      <c r="C53" s="120"/>
      <c r="D53" s="120"/>
      <c r="E53" s="119"/>
      <c r="F53" s="119"/>
      <c r="I53" s="125">
        <v>45159</v>
      </c>
      <c r="J53" s="116">
        <v>90783.25</v>
      </c>
      <c r="L53" s="117">
        <v>1440</v>
      </c>
      <c r="M53" s="116">
        <v>89343.25</v>
      </c>
      <c r="N53" s="116" t="s">
        <v>91</v>
      </c>
      <c r="O53" s="116" t="s">
        <v>28</v>
      </c>
      <c r="P53" s="116" t="s">
        <v>27</v>
      </c>
      <c r="Q53" s="116" t="s">
        <v>86</v>
      </c>
      <c r="U53" s="125"/>
      <c r="V53" s="119"/>
      <c r="W53" s="120"/>
      <c r="X53" s="120"/>
      <c r="Y53" s="119"/>
      <c r="Z53" s="119"/>
      <c r="AA53" s="119"/>
      <c r="AB53" s="119"/>
      <c r="AC53" s="119"/>
      <c r="AD53" s="119"/>
      <c r="AT53" s="119"/>
      <c r="AU53" s="120"/>
      <c r="AV53" s="120"/>
      <c r="AW53" s="119"/>
      <c r="AX53" s="119"/>
      <c r="AY53" s="119"/>
      <c r="AZ53" s="119"/>
      <c r="BA53" s="119"/>
      <c r="BB53" s="119"/>
      <c r="BE53" s="125"/>
      <c r="BF53" s="119"/>
      <c r="BG53" s="120"/>
      <c r="BH53" s="120"/>
      <c r="BI53" s="119"/>
      <c r="BJ53" s="119"/>
      <c r="BK53" s="119"/>
      <c r="BL53" s="119"/>
      <c r="BM53" s="119"/>
      <c r="BN53" s="119"/>
    </row>
    <row r="54" spans="1:66" x14ac:dyDescent="0.25">
      <c r="I54" s="118">
        <v>45159</v>
      </c>
      <c r="J54" s="116">
        <v>89343.25</v>
      </c>
      <c r="L54" s="117">
        <v>30000</v>
      </c>
      <c r="M54" s="116">
        <v>59343.25</v>
      </c>
      <c r="N54" s="116" t="s">
        <v>91</v>
      </c>
      <c r="O54" s="116" t="s">
        <v>28</v>
      </c>
      <c r="P54" s="116" t="s">
        <v>61</v>
      </c>
      <c r="Q54" s="116" t="s">
        <v>86</v>
      </c>
      <c r="U54" s="125"/>
      <c r="V54" s="119"/>
      <c r="W54" s="120"/>
      <c r="X54" s="120"/>
      <c r="Y54" s="119"/>
      <c r="Z54" s="119"/>
      <c r="AA54" s="119"/>
      <c r="AB54" s="119"/>
      <c r="AC54" s="119"/>
      <c r="AD54" s="119"/>
      <c r="AT54" s="119"/>
      <c r="AU54" s="120"/>
      <c r="AV54" s="120"/>
      <c r="AW54" s="119"/>
      <c r="AX54" s="119"/>
      <c r="AY54" s="119"/>
      <c r="AZ54" s="119"/>
      <c r="BA54" s="119"/>
      <c r="BB54" s="119"/>
      <c r="BE54" s="125"/>
      <c r="BF54" s="119"/>
      <c r="BG54" s="120"/>
      <c r="BH54" s="120"/>
      <c r="BI54" s="119"/>
      <c r="BJ54" s="119"/>
      <c r="BK54" s="119"/>
      <c r="BL54" s="119"/>
      <c r="BM54" s="119"/>
      <c r="BN54" s="119"/>
    </row>
    <row r="55" spans="1:66" x14ac:dyDescent="0.25">
      <c r="I55" s="118">
        <v>45160</v>
      </c>
      <c r="J55" s="116">
        <v>59343.25</v>
      </c>
      <c r="L55" s="117">
        <v>2500</v>
      </c>
      <c r="M55" s="116">
        <v>56843.25</v>
      </c>
      <c r="N55" s="116" t="s">
        <v>92</v>
      </c>
      <c r="O55" s="116" t="s">
        <v>231</v>
      </c>
      <c r="P55" s="116" t="s">
        <v>11</v>
      </c>
      <c r="Q55" s="116" t="s">
        <v>20</v>
      </c>
      <c r="U55" s="125"/>
      <c r="V55" s="119"/>
      <c r="W55" s="120"/>
      <c r="X55" s="120"/>
      <c r="Y55" s="119"/>
      <c r="Z55" s="119"/>
      <c r="AA55" s="119"/>
      <c r="AB55" s="119"/>
      <c r="AC55" s="119"/>
      <c r="AD55" s="119"/>
      <c r="AT55" s="119"/>
      <c r="AU55" s="120"/>
      <c r="AV55" s="120"/>
      <c r="AW55" s="119"/>
      <c r="AX55" s="119"/>
      <c r="AY55" s="119"/>
      <c r="AZ55" s="119"/>
      <c r="BA55" s="119"/>
      <c r="BB55" s="119"/>
      <c r="BE55" s="125"/>
      <c r="BF55" s="119"/>
      <c r="BG55" s="120"/>
      <c r="BH55" s="120"/>
      <c r="BI55" s="119"/>
      <c r="BJ55" s="119"/>
      <c r="BK55" s="119"/>
      <c r="BL55" s="119"/>
      <c r="BM55" s="119"/>
      <c r="BN55" s="119"/>
    </row>
    <row r="56" spans="1:66" x14ac:dyDescent="0.25">
      <c r="I56" s="124">
        <v>45160</v>
      </c>
      <c r="J56" s="116">
        <v>56843.25</v>
      </c>
      <c r="L56" s="117">
        <v>2000</v>
      </c>
      <c r="M56" s="116">
        <v>54843.25</v>
      </c>
      <c r="N56" s="116" t="s">
        <v>18</v>
      </c>
      <c r="O56" s="116" t="s">
        <v>62</v>
      </c>
      <c r="P56" s="116" t="s">
        <v>18</v>
      </c>
      <c r="Q56" s="116" t="s">
        <v>62</v>
      </c>
      <c r="R56" s="116" t="s">
        <v>87</v>
      </c>
      <c r="U56" s="125"/>
      <c r="V56" s="119"/>
      <c r="W56" s="120"/>
      <c r="X56" s="120"/>
      <c r="Y56" s="119"/>
      <c r="Z56" s="119"/>
      <c r="AA56" s="119"/>
      <c r="AB56" s="119"/>
      <c r="AC56" s="119"/>
      <c r="AD56" s="119"/>
      <c r="BE56" s="125"/>
      <c r="BF56" s="119"/>
      <c r="BG56" s="120"/>
      <c r="BH56" s="120"/>
      <c r="BI56" s="119"/>
      <c r="BJ56" s="119"/>
      <c r="BK56" s="119"/>
      <c r="BL56" s="119"/>
      <c r="BM56" s="119"/>
      <c r="BN56" s="119"/>
    </row>
    <row r="57" spans="1:66" x14ac:dyDescent="0.25">
      <c r="I57" s="124">
        <v>45161</v>
      </c>
      <c r="J57" s="116">
        <v>54843.25</v>
      </c>
      <c r="L57" s="117">
        <v>6000</v>
      </c>
      <c r="M57" s="116">
        <v>48843.25</v>
      </c>
      <c r="N57" s="116" t="s">
        <v>91</v>
      </c>
      <c r="O57" s="116" t="s">
        <v>242</v>
      </c>
      <c r="P57" s="116" t="s">
        <v>11</v>
      </c>
      <c r="Q57" s="116" t="s">
        <v>21</v>
      </c>
      <c r="U57" s="125"/>
      <c r="V57" s="119"/>
      <c r="W57" s="120"/>
      <c r="X57" s="120"/>
      <c r="Y57" s="119"/>
      <c r="Z57" s="119"/>
      <c r="AA57" s="119"/>
      <c r="AB57" s="119"/>
      <c r="AC57" s="119"/>
      <c r="AD57" s="119"/>
      <c r="BE57" s="125"/>
      <c r="BF57" s="119"/>
      <c r="BG57" s="120"/>
      <c r="BH57" s="120"/>
      <c r="BI57" s="119"/>
      <c r="BJ57" s="119"/>
      <c r="BK57" s="119"/>
      <c r="BL57" s="119"/>
      <c r="BM57" s="119"/>
      <c r="BN57" s="119"/>
    </row>
    <row r="58" spans="1:66" x14ac:dyDescent="0.25">
      <c r="I58" s="124">
        <v>45161</v>
      </c>
      <c r="J58" s="116">
        <v>48843.25</v>
      </c>
      <c r="L58" s="117">
        <v>3000</v>
      </c>
      <c r="M58" s="116">
        <v>45843.25</v>
      </c>
      <c r="N58" s="116" t="s">
        <v>101</v>
      </c>
      <c r="O58" s="116" t="s">
        <v>243</v>
      </c>
      <c r="P58" s="116" t="s">
        <v>11</v>
      </c>
      <c r="Q58" s="116" t="s">
        <v>21</v>
      </c>
      <c r="U58" s="125"/>
      <c r="V58" s="119"/>
      <c r="W58" s="120"/>
      <c r="X58" s="120"/>
      <c r="Y58" s="119"/>
      <c r="Z58" s="119"/>
      <c r="AA58" s="119"/>
      <c r="AB58" s="119"/>
      <c r="AC58" s="119"/>
      <c r="AD58" s="119"/>
      <c r="BE58" s="125"/>
      <c r="BF58" s="119"/>
      <c r="BG58" s="120"/>
      <c r="BH58" s="120"/>
      <c r="BI58" s="119"/>
      <c r="BJ58" s="119"/>
      <c r="BK58" s="119"/>
      <c r="BL58" s="119"/>
      <c r="BM58" s="119"/>
      <c r="BN58" s="119"/>
    </row>
    <row r="59" spans="1:66" x14ac:dyDescent="0.25">
      <c r="I59" s="124">
        <v>45161</v>
      </c>
      <c r="J59" s="116">
        <v>45843.25</v>
      </c>
      <c r="L59" s="117">
        <v>218500</v>
      </c>
      <c r="M59" s="116">
        <v>-172656.75</v>
      </c>
      <c r="N59" s="116" t="s">
        <v>92</v>
      </c>
      <c r="O59" s="116" t="s">
        <v>233</v>
      </c>
      <c r="P59" s="116" t="s">
        <v>22</v>
      </c>
      <c r="Q59" s="116" t="s">
        <v>21</v>
      </c>
      <c r="U59" s="125"/>
      <c r="V59" s="119"/>
      <c r="W59" s="120"/>
      <c r="X59" s="120"/>
      <c r="Y59" s="119"/>
      <c r="Z59" s="119"/>
      <c r="AA59" s="119"/>
      <c r="AB59" s="119"/>
      <c r="AC59" s="119"/>
      <c r="AD59" s="119"/>
      <c r="BE59" s="125"/>
      <c r="BF59" s="119"/>
      <c r="BG59" s="120"/>
      <c r="BH59" s="120"/>
      <c r="BI59" s="119"/>
      <c r="BJ59" s="119"/>
      <c r="BK59" s="119"/>
      <c r="BL59" s="119"/>
      <c r="BM59" s="119"/>
      <c r="BN59" s="119"/>
    </row>
    <row r="60" spans="1:66" x14ac:dyDescent="0.25">
      <c r="I60" s="124">
        <v>45161</v>
      </c>
      <c r="J60" s="116">
        <v>-172656.75</v>
      </c>
      <c r="L60" s="117">
        <v>6000</v>
      </c>
      <c r="M60" s="116">
        <v>-178656.75</v>
      </c>
      <c r="N60" s="116" t="s">
        <v>91</v>
      </c>
      <c r="O60" s="116" t="s">
        <v>238</v>
      </c>
      <c r="P60" s="116" t="s">
        <v>22</v>
      </c>
      <c r="Q60" s="116" t="s">
        <v>21</v>
      </c>
      <c r="U60" s="125"/>
      <c r="V60" s="119"/>
      <c r="W60" s="120"/>
      <c r="X60" s="120"/>
      <c r="Y60" s="119"/>
      <c r="Z60" s="119"/>
      <c r="AA60" s="119"/>
      <c r="AB60" s="119"/>
      <c r="AC60" s="119"/>
      <c r="AD60" s="119"/>
      <c r="AG60" s="125"/>
      <c r="AH60" s="119"/>
      <c r="AI60" s="120"/>
      <c r="AJ60" s="120"/>
      <c r="AK60" s="119"/>
      <c r="AL60" s="119"/>
      <c r="AM60" s="119"/>
      <c r="AN60" s="119"/>
      <c r="AO60" s="119"/>
      <c r="AP60" s="119"/>
      <c r="BE60" s="125"/>
      <c r="BF60" s="119"/>
      <c r="BG60" s="120"/>
      <c r="BH60" s="120"/>
      <c r="BI60" s="119"/>
      <c r="BJ60" s="119"/>
      <c r="BK60" s="119"/>
      <c r="BL60" s="119"/>
      <c r="BM60" s="119"/>
      <c r="BN60" s="119"/>
    </row>
    <row r="61" spans="1:66" x14ac:dyDescent="0.25">
      <c r="I61" s="124">
        <v>45161</v>
      </c>
      <c r="J61" s="116">
        <v>-178656.75</v>
      </c>
      <c r="L61" s="117">
        <v>3000</v>
      </c>
      <c r="M61" s="116">
        <v>-181656.75</v>
      </c>
      <c r="N61" s="116" t="s">
        <v>91</v>
      </c>
      <c r="O61" s="116" t="s">
        <v>261</v>
      </c>
      <c r="P61" s="116" t="s">
        <v>22</v>
      </c>
      <c r="Q61" s="116" t="s">
        <v>21</v>
      </c>
      <c r="U61" s="125"/>
      <c r="V61" s="119"/>
      <c r="W61" s="120"/>
      <c r="X61" s="120"/>
      <c r="Y61" s="119"/>
      <c r="Z61" s="119"/>
      <c r="AA61" s="119"/>
      <c r="AB61" s="119"/>
      <c r="AC61" s="119"/>
      <c r="AD61" s="119"/>
      <c r="AG61" s="125"/>
      <c r="AH61" s="119"/>
      <c r="AI61" s="120"/>
      <c r="AJ61" s="120"/>
      <c r="AK61" s="119"/>
      <c r="AL61" s="119"/>
      <c r="AM61" s="119"/>
      <c r="AN61" s="119"/>
      <c r="AO61" s="119"/>
      <c r="AP61" s="119"/>
      <c r="BE61" s="125"/>
      <c r="BF61" s="119"/>
      <c r="BG61" s="120"/>
      <c r="BH61" s="120"/>
      <c r="BI61" s="119"/>
      <c r="BJ61" s="119"/>
      <c r="BK61" s="119"/>
      <c r="BL61" s="119"/>
      <c r="BM61" s="119"/>
      <c r="BN61" s="119"/>
    </row>
    <row r="62" spans="1:66" x14ac:dyDescent="0.25">
      <c r="I62" s="124">
        <v>45161</v>
      </c>
      <c r="J62" s="116">
        <v>-181656.75</v>
      </c>
      <c r="L62" s="117">
        <v>193322.17</v>
      </c>
      <c r="M62" s="116">
        <v>-374978.92000000004</v>
      </c>
      <c r="N62" s="116" t="s">
        <v>92</v>
      </c>
      <c r="O62" s="116" t="s">
        <v>262</v>
      </c>
      <c r="P62" s="116" t="s">
        <v>11</v>
      </c>
      <c r="Q62" s="116" t="s">
        <v>21</v>
      </c>
      <c r="U62" s="125"/>
      <c r="V62" s="119"/>
      <c r="W62" s="120"/>
      <c r="X62" s="120"/>
      <c r="Y62" s="119"/>
      <c r="Z62" s="119"/>
      <c r="AA62" s="119"/>
      <c r="AB62" s="119"/>
      <c r="AC62" s="119"/>
      <c r="AD62" s="119"/>
      <c r="AG62" s="125"/>
      <c r="AH62" s="119"/>
      <c r="AI62" s="120"/>
      <c r="AJ62" s="120"/>
      <c r="AK62" s="119"/>
      <c r="AL62" s="119"/>
      <c r="AM62" s="119"/>
      <c r="AN62" s="119"/>
      <c r="AO62" s="119"/>
      <c r="AP62" s="119"/>
      <c r="BE62" s="125"/>
      <c r="BF62" s="119"/>
      <c r="BG62" s="120"/>
      <c r="BH62" s="120"/>
      <c r="BI62" s="119"/>
      <c r="BJ62" s="119"/>
      <c r="BK62" s="119"/>
      <c r="BL62" s="119"/>
      <c r="BM62" s="119"/>
      <c r="BN62" s="119"/>
    </row>
    <row r="63" spans="1:66" x14ac:dyDescent="0.25">
      <c r="A63" s="125"/>
      <c r="B63" s="122"/>
      <c r="C63" s="120"/>
      <c r="D63" s="120"/>
      <c r="E63" s="122"/>
      <c r="F63" s="122"/>
      <c r="I63" s="124">
        <v>45161</v>
      </c>
      <c r="J63" s="116">
        <v>-374978.92000000004</v>
      </c>
      <c r="L63" s="117">
        <v>30000</v>
      </c>
      <c r="M63" s="116">
        <v>-404978.92000000004</v>
      </c>
      <c r="N63" s="116" t="s">
        <v>18</v>
      </c>
      <c r="O63" s="116" t="s">
        <v>160</v>
      </c>
      <c r="P63" s="116" t="s">
        <v>18</v>
      </c>
      <c r="Q63" s="116" t="s">
        <v>21</v>
      </c>
      <c r="U63" s="125"/>
      <c r="V63" s="119"/>
      <c r="W63" s="120"/>
      <c r="X63" s="120"/>
      <c r="Y63" s="119"/>
      <c r="Z63" s="119"/>
      <c r="AA63" s="119"/>
      <c r="AB63" s="119"/>
      <c r="AC63" s="119"/>
      <c r="AD63" s="119"/>
      <c r="AG63" s="125"/>
      <c r="AH63" s="119"/>
      <c r="AI63" s="120"/>
      <c r="AJ63" s="120"/>
      <c r="AK63" s="119"/>
      <c r="AL63" s="119"/>
      <c r="AM63" s="119"/>
      <c r="AN63" s="119"/>
      <c r="AO63" s="119"/>
      <c r="AP63" s="119"/>
      <c r="BE63" s="125"/>
      <c r="BF63" s="119"/>
      <c r="BG63" s="120"/>
      <c r="BH63" s="120"/>
      <c r="BI63" s="119"/>
      <c r="BJ63" s="119"/>
      <c r="BK63" s="119"/>
      <c r="BL63" s="119"/>
      <c r="BM63" s="119"/>
      <c r="BN63" s="119"/>
    </row>
    <row r="64" spans="1:66" x14ac:dyDescent="0.25">
      <c r="I64" s="124">
        <v>45161</v>
      </c>
      <c r="J64" s="116">
        <v>-404978.92000000004</v>
      </c>
      <c r="L64" s="117">
        <v>2000</v>
      </c>
      <c r="M64" s="116">
        <v>-406978.92000000004</v>
      </c>
      <c r="N64" s="116" t="s">
        <v>92</v>
      </c>
      <c r="O64" s="116" t="s">
        <v>263</v>
      </c>
      <c r="P64" s="116" t="s">
        <v>59</v>
      </c>
      <c r="Q64" s="116" t="s">
        <v>88</v>
      </c>
      <c r="U64" s="125"/>
      <c r="V64" s="119"/>
      <c r="W64" s="120"/>
      <c r="X64" s="120"/>
      <c r="Y64" s="119"/>
      <c r="Z64" s="119"/>
      <c r="AA64" s="119"/>
      <c r="AB64" s="119"/>
      <c r="AC64" s="119"/>
      <c r="AD64" s="119"/>
      <c r="AG64" s="125"/>
      <c r="AH64" s="119"/>
      <c r="AI64" s="120"/>
      <c r="AJ64" s="120"/>
      <c r="AK64" s="119"/>
      <c r="AL64" s="119"/>
      <c r="AM64" s="119"/>
      <c r="AN64" s="119"/>
      <c r="AO64" s="119"/>
      <c r="AP64" s="119"/>
      <c r="BE64" s="125"/>
      <c r="BF64" s="119"/>
      <c r="BG64" s="120"/>
      <c r="BH64" s="120"/>
      <c r="BI64" s="119"/>
      <c r="BJ64" s="119"/>
      <c r="BK64" s="119"/>
      <c r="BL64" s="119"/>
      <c r="BM64" s="119"/>
      <c r="BN64" s="119"/>
    </row>
    <row r="65" spans="1:66" x14ac:dyDescent="0.25">
      <c r="I65" s="124">
        <v>45161</v>
      </c>
      <c r="J65" s="116">
        <v>-406978.92000000004</v>
      </c>
      <c r="L65" s="117">
        <v>10000</v>
      </c>
      <c r="M65" s="116">
        <v>-416978.92000000004</v>
      </c>
      <c r="N65" s="116" t="s">
        <v>18</v>
      </c>
      <c r="O65" s="116" t="s">
        <v>168</v>
      </c>
      <c r="P65" s="116" t="s">
        <v>12</v>
      </c>
      <c r="Q65" s="116" t="s">
        <v>20</v>
      </c>
      <c r="U65" s="125"/>
      <c r="V65" s="119"/>
      <c r="W65" s="120"/>
      <c r="X65" s="120"/>
      <c r="Y65" s="119"/>
      <c r="Z65" s="119"/>
      <c r="AA65" s="119"/>
      <c r="AB65" s="119"/>
      <c r="AC65" s="119"/>
      <c r="AD65" s="119"/>
      <c r="AG65" s="125"/>
      <c r="AH65" s="119"/>
      <c r="AI65" s="120"/>
      <c r="AJ65" s="120"/>
      <c r="AK65" s="119"/>
      <c r="AL65" s="119"/>
      <c r="AM65" s="119"/>
      <c r="AN65" s="119"/>
      <c r="AO65" s="119"/>
      <c r="AP65" s="119"/>
      <c r="BE65" s="125"/>
      <c r="BF65" s="119"/>
      <c r="BG65" s="120"/>
      <c r="BH65" s="120"/>
      <c r="BI65" s="119"/>
      <c r="BJ65" s="119"/>
      <c r="BK65" s="119"/>
      <c r="BL65" s="119"/>
      <c r="BM65" s="119"/>
      <c r="BN65" s="119"/>
    </row>
    <row r="66" spans="1:66" x14ac:dyDescent="0.25">
      <c r="I66" s="124">
        <v>45161</v>
      </c>
      <c r="J66" s="116">
        <v>-416978.92000000004</v>
      </c>
      <c r="L66" s="117">
        <v>10000</v>
      </c>
      <c r="M66" s="116">
        <v>-426978.92000000004</v>
      </c>
      <c r="N66" s="116" t="s">
        <v>102</v>
      </c>
      <c r="O66" s="116" t="s">
        <v>89</v>
      </c>
      <c r="P66" s="116" t="s">
        <v>22</v>
      </c>
      <c r="Q66" s="116" t="s">
        <v>21</v>
      </c>
      <c r="U66" s="125"/>
      <c r="V66" s="119"/>
      <c r="W66" s="120"/>
      <c r="X66" s="120"/>
      <c r="Y66" s="119"/>
      <c r="Z66" s="119"/>
      <c r="AA66" s="119"/>
      <c r="AB66" s="119"/>
      <c r="AC66" s="119"/>
      <c r="AD66" s="119"/>
      <c r="AH66" s="119"/>
      <c r="AI66" s="120"/>
      <c r="AJ66" s="120"/>
      <c r="AK66" s="119"/>
      <c r="AL66" s="119"/>
      <c r="AM66" s="119"/>
      <c r="AN66" s="119"/>
      <c r="AO66" s="119"/>
      <c r="AP66" s="119"/>
      <c r="AS66" s="125"/>
      <c r="AT66" s="119"/>
      <c r="AU66" s="120"/>
      <c r="AV66" s="120"/>
      <c r="AW66" s="119"/>
      <c r="AX66" s="119"/>
      <c r="AY66" s="119"/>
      <c r="AZ66" s="119"/>
      <c r="BA66" s="119"/>
      <c r="BB66" s="119"/>
      <c r="BE66" s="125"/>
      <c r="BF66" s="119"/>
      <c r="BG66" s="120"/>
      <c r="BH66" s="120"/>
      <c r="BI66" s="119"/>
      <c r="BJ66" s="119"/>
      <c r="BK66" s="119"/>
      <c r="BL66" s="119"/>
      <c r="BM66" s="119"/>
      <c r="BN66" s="119"/>
    </row>
    <row r="67" spans="1:66" x14ac:dyDescent="0.25">
      <c r="I67" s="124">
        <v>45161</v>
      </c>
      <c r="J67" s="116">
        <v>-426978.92000000004</v>
      </c>
      <c r="L67" s="117">
        <v>50000</v>
      </c>
      <c r="M67" s="116">
        <v>-476978.92000000004</v>
      </c>
      <c r="N67" s="116" t="s">
        <v>101</v>
      </c>
      <c r="O67" s="116" t="s">
        <v>237</v>
      </c>
      <c r="P67" s="116" t="s">
        <v>22</v>
      </c>
      <c r="Q67" s="116" t="s">
        <v>21</v>
      </c>
      <c r="U67" s="125"/>
      <c r="V67" s="119"/>
      <c r="W67" s="120"/>
      <c r="X67" s="120"/>
      <c r="Y67" s="119"/>
      <c r="Z67" s="119"/>
      <c r="AA67" s="119"/>
      <c r="AB67" s="119"/>
      <c r="AC67" s="119"/>
      <c r="AD67" s="119"/>
      <c r="AH67" s="119"/>
      <c r="AI67" s="120"/>
      <c r="AJ67" s="120"/>
      <c r="AK67" s="119"/>
      <c r="AL67" s="119"/>
      <c r="AM67" s="119"/>
      <c r="AN67" s="119"/>
      <c r="AO67" s="119"/>
      <c r="AP67" s="119"/>
      <c r="AS67" s="125"/>
      <c r="AT67" s="119"/>
      <c r="AU67" s="120"/>
      <c r="AV67" s="120"/>
      <c r="AW67" s="119"/>
      <c r="AX67" s="119"/>
      <c r="AY67" s="119"/>
      <c r="AZ67" s="119"/>
      <c r="BA67" s="119"/>
      <c r="BB67" s="119"/>
      <c r="BE67" s="125"/>
      <c r="BF67" s="119"/>
      <c r="BG67" s="120"/>
      <c r="BH67" s="120"/>
      <c r="BI67" s="119"/>
      <c r="BJ67" s="119"/>
      <c r="BK67" s="119"/>
      <c r="BL67" s="119"/>
      <c r="BM67" s="119"/>
      <c r="BN67" s="119"/>
    </row>
    <row r="68" spans="1:66" x14ac:dyDescent="0.25">
      <c r="I68" s="124">
        <v>45161</v>
      </c>
      <c r="J68" s="116">
        <v>-476978.92000000004</v>
      </c>
      <c r="L68" s="117">
        <v>10000</v>
      </c>
      <c r="M68" s="116">
        <v>-486978.92000000004</v>
      </c>
      <c r="N68" s="116" t="s">
        <v>18</v>
      </c>
      <c r="O68" s="116" t="s">
        <v>166</v>
      </c>
      <c r="P68" s="116" t="s">
        <v>14</v>
      </c>
      <c r="Q68" s="116" t="s">
        <v>20</v>
      </c>
      <c r="U68" s="125"/>
      <c r="V68" s="119"/>
      <c r="W68" s="120"/>
      <c r="X68" s="120"/>
      <c r="Y68" s="119"/>
      <c r="Z68" s="119"/>
      <c r="AA68" s="119"/>
      <c r="AB68" s="119"/>
      <c r="AC68" s="119"/>
      <c r="AD68" s="119"/>
      <c r="AH68" s="119"/>
      <c r="AI68" s="120"/>
      <c r="AJ68" s="120"/>
      <c r="AK68" s="119"/>
      <c r="AL68" s="119"/>
      <c r="AM68" s="119"/>
      <c r="AN68" s="119"/>
      <c r="AO68" s="119"/>
      <c r="AP68" s="119"/>
      <c r="AS68" s="125"/>
      <c r="AT68" s="119"/>
      <c r="AU68" s="120"/>
      <c r="AV68" s="120"/>
      <c r="AW68" s="119"/>
      <c r="AX68" s="119"/>
      <c r="AY68" s="119"/>
      <c r="AZ68" s="119"/>
      <c r="BA68" s="119"/>
      <c r="BB68" s="119"/>
      <c r="BE68" s="125"/>
      <c r="BF68" s="119"/>
      <c r="BG68" s="120"/>
      <c r="BH68" s="120"/>
      <c r="BI68" s="119"/>
      <c r="BJ68" s="119"/>
      <c r="BK68" s="119"/>
      <c r="BL68" s="119"/>
      <c r="BM68" s="119"/>
      <c r="BN68" s="119"/>
    </row>
    <row r="69" spans="1:66" x14ac:dyDescent="0.25">
      <c r="I69" s="124">
        <v>45161</v>
      </c>
      <c r="J69" s="116">
        <v>-486978.92000000004</v>
      </c>
      <c r="L69" s="117">
        <v>2000</v>
      </c>
      <c r="M69" s="116">
        <v>-488978.92000000004</v>
      </c>
      <c r="N69" s="116" t="s">
        <v>18</v>
      </c>
      <c r="O69" s="116" t="s">
        <v>163</v>
      </c>
      <c r="Q69" s="116" t="s">
        <v>20</v>
      </c>
      <c r="U69" s="125"/>
      <c r="V69" s="119"/>
      <c r="W69" s="120"/>
      <c r="X69" s="120"/>
      <c r="Y69" s="119"/>
      <c r="Z69" s="119"/>
      <c r="AA69" s="119"/>
      <c r="AB69" s="119"/>
      <c r="AC69" s="119"/>
      <c r="AD69" s="119"/>
      <c r="AH69" s="119"/>
      <c r="AI69" s="120"/>
      <c r="AJ69" s="120"/>
      <c r="AK69" s="119"/>
      <c r="AL69" s="119"/>
      <c r="AM69" s="119"/>
      <c r="AN69" s="119"/>
      <c r="AO69" s="119"/>
      <c r="AP69" s="119"/>
      <c r="AS69" s="125"/>
      <c r="AT69" s="119"/>
      <c r="AU69" s="120"/>
      <c r="AV69" s="120"/>
      <c r="AW69" s="119"/>
      <c r="AX69" s="119"/>
      <c r="AY69" s="119"/>
      <c r="AZ69" s="119"/>
      <c r="BA69" s="119"/>
      <c r="BB69" s="119"/>
      <c r="BE69" s="125"/>
      <c r="BF69" s="119"/>
      <c r="BG69" s="120"/>
      <c r="BH69" s="120"/>
      <c r="BI69" s="119"/>
      <c r="BJ69" s="119"/>
      <c r="BK69" s="119"/>
      <c r="BL69" s="119"/>
      <c r="BM69" s="119"/>
      <c r="BN69" s="119"/>
    </row>
    <row r="70" spans="1:66" x14ac:dyDescent="0.25">
      <c r="I70" s="125"/>
      <c r="J70" s="119"/>
      <c r="K70" s="120"/>
      <c r="L70" s="120"/>
      <c r="M70" s="119"/>
      <c r="N70" s="119"/>
      <c r="O70" s="119"/>
      <c r="P70" s="119"/>
      <c r="Q70" s="119"/>
      <c r="R70" s="119"/>
      <c r="U70" s="125"/>
      <c r="V70" s="119"/>
      <c r="W70" s="120"/>
      <c r="X70" s="120"/>
      <c r="Y70" s="119"/>
      <c r="Z70" s="119"/>
      <c r="AA70" s="119"/>
      <c r="AB70" s="119"/>
      <c r="AC70" s="119"/>
      <c r="AD70" s="119"/>
      <c r="AH70" s="119"/>
      <c r="AI70" s="120"/>
      <c r="AJ70" s="120"/>
      <c r="AK70" s="119"/>
      <c r="AL70" s="119"/>
      <c r="AM70" s="119"/>
      <c r="AN70" s="119"/>
      <c r="AO70" s="119"/>
      <c r="AP70" s="119"/>
      <c r="AS70" s="125"/>
      <c r="AT70" s="119"/>
      <c r="AU70" s="120"/>
      <c r="AV70" s="120"/>
      <c r="AW70" s="119"/>
      <c r="AX70" s="119"/>
      <c r="AY70" s="119"/>
      <c r="AZ70" s="119"/>
      <c r="BA70" s="119"/>
      <c r="BB70" s="119"/>
      <c r="BE70" s="125"/>
      <c r="BF70" s="119"/>
      <c r="BG70" s="120"/>
      <c r="BH70" s="120"/>
      <c r="BI70" s="119"/>
      <c r="BJ70" s="119"/>
      <c r="BK70" s="119"/>
      <c r="BL70" s="119"/>
      <c r="BM70" s="119"/>
      <c r="BN70" s="119"/>
    </row>
    <row r="71" spans="1:66" x14ac:dyDescent="0.25">
      <c r="J71" s="119"/>
      <c r="K71" s="120"/>
      <c r="L71" s="120"/>
      <c r="M71" s="119"/>
      <c r="N71" s="119"/>
      <c r="O71" s="119"/>
      <c r="P71" s="119"/>
      <c r="Q71" s="119"/>
      <c r="R71" s="119"/>
      <c r="U71" s="125"/>
      <c r="V71" s="119"/>
      <c r="W71" s="120"/>
      <c r="X71" s="120"/>
      <c r="Y71" s="119"/>
      <c r="Z71" s="119"/>
      <c r="AA71" s="119"/>
      <c r="AB71" s="119"/>
      <c r="AC71" s="119"/>
      <c r="AD71" s="119"/>
      <c r="AG71" s="125"/>
      <c r="AH71" s="119"/>
      <c r="AI71" s="120"/>
      <c r="AJ71" s="120"/>
      <c r="AK71" s="119"/>
      <c r="AL71" s="119"/>
      <c r="AM71" s="119"/>
      <c r="AN71" s="119"/>
      <c r="AO71" s="119"/>
      <c r="AP71" s="119"/>
      <c r="AT71" s="119"/>
      <c r="AU71" s="120"/>
      <c r="AV71" s="120"/>
      <c r="AW71" s="119"/>
      <c r="AX71" s="119"/>
      <c r="AY71" s="119"/>
      <c r="AZ71" s="119"/>
      <c r="BA71" s="119"/>
      <c r="BB71" s="119"/>
      <c r="BE71" s="125"/>
      <c r="BF71" s="119"/>
      <c r="BG71" s="120"/>
      <c r="BH71" s="120"/>
      <c r="BI71" s="119"/>
      <c r="BJ71" s="119"/>
      <c r="BK71" s="119"/>
      <c r="BL71" s="119"/>
      <c r="BM71" s="119"/>
      <c r="BN71" s="119"/>
    </row>
    <row r="72" spans="1:66" x14ac:dyDescent="0.25">
      <c r="U72" s="125"/>
      <c r="V72" s="119"/>
      <c r="W72" s="120"/>
      <c r="X72" s="120"/>
      <c r="Y72" s="119"/>
      <c r="Z72" s="119"/>
      <c r="AA72" s="119"/>
      <c r="AB72" s="119"/>
      <c r="AC72" s="119"/>
      <c r="AD72" s="119"/>
      <c r="AG72" s="125"/>
      <c r="AH72" s="119"/>
      <c r="AI72" s="120"/>
      <c r="AJ72" s="120"/>
      <c r="AK72" s="119"/>
      <c r="AL72" s="119"/>
      <c r="AM72" s="119"/>
      <c r="AN72" s="119"/>
      <c r="AO72" s="119"/>
      <c r="AP72" s="119"/>
      <c r="AT72" s="119"/>
      <c r="AU72" s="120"/>
      <c r="AV72" s="120"/>
      <c r="AW72" s="119"/>
      <c r="AX72" s="119"/>
      <c r="AY72" s="119"/>
      <c r="AZ72" s="119"/>
      <c r="BA72" s="119"/>
      <c r="BB72" s="119"/>
      <c r="BE72" s="125"/>
      <c r="BF72" s="119"/>
      <c r="BG72" s="120"/>
      <c r="BH72" s="120"/>
      <c r="BI72" s="119"/>
      <c r="BJ72" s="119"/>
      <c r="BK72" s="119"/>
      <c r="BL72" s="119"/>
      <c r="BM72" s="119"/>
      <c r="BN72" s="119"/>
    </row>
    <row r="73" spans="1:66" x14ac:dyDescent="0.25">
      <c r="U73" s="125"/>
      <c r="V73" s="119"/>
      <c r="W73" s="120"/>
      <c r="X73" s="120"/>
      <c r="Y73" s="119"/>
      <c r="Z73" s="119"/>
      <c r="AA73" s="119"/>
      <c r="AB73" s="119"/>
      <c r="AC73" s="119"/>
      <c r="AD73" s="119"/>
      <c r="AG73" s="125"/>
      <c r="AH73" s="119"/>
      <c r="AI73" s="120"/>
      <c r="AJ73" s="120"/>
      <c r="AK73" s="119"/>
      <c r="AL73" s="119"/>
      <c r="AM73" s="119"/>
      <c r="AN73" s="119"/>
      <c r="AO73" s="119"/>
      <c r="AP73" s="119"/>
      <c r="AT73" s="119"/>
      <c r="AU73" s="120"/>
      <c r="AV73" s="120"/>
      <c r="AW73" s="119"/>
      <c r="AX73" s="119"/>
      <c r="AY73" s="119"/>
      <c r="AZ73" s="119"/>
      <c r="BA73" s="119"/>
      <c r="BB73" s="119"/>
      <c r="BE73" s="125"/>
      <c r="BF73" s="119"/>
      <c r="BG73" s="120"/>
      <c r="BH73" s="120"/>
      <c r="BI73" s="119"/>
      <c r="BJ73" s="119"/>
      <c r="BK73" s="119"/>
      <c r="BL73" s="119"/>
      <c r="BM73" s="119"/>
      <c r="BN73" s="119"/>
    </row>
    <row r="74" spans="1:66" x14ac:dyDescent="0.25">
      <c r="U74" s="125"/>
      <c r="V74" s="119"/>
      <c r="W74" s="120"/>
      <c r="X74" s="120"/>
      <c r="Y74" s="119"/>
      <c r="Z74" s="119"/>
      <c r="AA74" s="119"/>
      <c r="AB74" s="119"/>
      <c r="AC74" s="119"/>
      <c r="AD74" s="119"/>
      <c r="AG74" s="125"/>
      <c r="AH74" s="119"/>
      <c r="AI74" s="120"/>
      <c r="AJ74" s="120"/>
      <c r="AK74" s="119"/>
      <c r="AL74" s="119"/>
      <c r="AM74" s="119"/>
      <c r="AN74" s="119"/>
      <c r="AO74" s="119"/>
      <c r="AP74" s="119"/>
      <c r="AT74" s="119"/>
      <c r="AU74" s="120"/>
      <c r="AV74" s="120"/>
      <c r="AW74" s="119"/>
      <c r="AX74" s="119"/>
      <c r="AY74" s="119"/>
      <c r="AZ74" s="119"/>
      <c r="BA74" s="119"/>
      <c r="BB74" s="119"/>
      <c r="BE74" s="125"/>
      <c r="BF74" s="119"/>
      <c r="BG74" s="120"/>
      <c r="BH74" s="120"/>
      <c r="BI74" s="119"/>
      <c r="BJ74" s="119"/>
      <c r="BK74" s="119"/>
      <c r="BL74" s="119"/>
      <c r="BM74" s="119"/>
      <c r="BN74" s="119"/>
    </row>
    <row r="75" spans="1:66" x14ac:dyDescent="0.25">
      <c r="U75" s="125"/>
      <c r="V75" s="119"/>
      <c r="W75" s="120"/>
      <c r="X75" s="120"/>
      <c r="Y75" s="119"/>
      <c r="Z75" s="119"/>
      <c r="AA75" s="119"/>
      <c r="AB75" s="119"/>
      <c r="AC75" s="119"/>
      <c r="AD75" s="119"/>
      <c r="AG75" s="125"/>
      <c r="AH75" s="119"/>
      <c r="AI75" s="120"/>
      <c r="AJ75" s="120"/>
      <c r="AK75" s="119"/>
      <c r="AL75" s="119"/>
      <c r="AM75" s="119"/>
      <c r="AN75" s="119"/>
      <c r="AO75" s="119"/>
      <c r="AP75" s="119"/>
      <c r="AT75" s="119"/>
      <c r="AU75" s="120"/>
      <c r="AV75" s="120"/>
      <c r="AW75" s="119"/>
      <c r="AX75" s="119"/>
      <c r="AY75" s="119"/>
      <c r="AZ75" s="119"/>
      <c r="BA75" s="119"/>
      <c r="BB75" s="119"/>
      <c r="BE75" s="125"/>
      <c r="BF75" s="119"/>
      <c r="BG75" s="120"/>
      <c r="BH75" s="120"/>
      <c r="BI75" s="119"/>
      <c r="BJ75" s="119"/>
      <c r="BK75" s="119"/>
      <c r="BL75" s="119"/>
      <c r="BM75" s="119"/>
      <c r="BN75" s="119"/>
    </row>
    <row r="76" spans="1:66" x14ac:dyDescent="0.25">
      <c r="U76" s="125"/>
      <c r="V76" s="119"/>
      <c r="W76" s="120"/>
      <c r="X76" s="120"/>
      <c r="Y76" s="119"/>
      <c r="Z76" s="119"/>
      <c r="AA76" s="119"/>
      <c r="AB76" s="119"/>
      <c r="AC76" s="119"/>
      <c r="AD76" s="119"/>
      <c r="AG76" s="125"/>
      <c r="AH76" s="119"/>
      <c r="AI76" s="120"/>
      <c r="AJ76" s="120"/>
      <c r="AK76" s="119"/>
      <c r="AL76" s="119"/>
      <c r="AM76" s="119"/>
      <c r="AN76" s="119"/>
      <c r="AO76" s="119"/>
      <c r="AP76" s="119"/>
      <c r="AT76" s="119"/>
      <c r="AU76" s="120"/>
      <c r="AV76" s="120"/>
      <c r="AW76" s="119"/>
      <c r="AX76" s="119"/>
      <c r="AY76" s="119"/>
      <c r="AZ76" s="119"/>
      <c r="BA76" s="119"/>
      <c r="BB76" s="119"/>
      <c r="BE76" s="125"/>
      <c r="BF76" s="119"/>
      <c r="BG76" s="120"/>
      <c r="BH76" s="120"/>
      <c r="BI76" s="119"/>
      <c r="BJ76" s="119"/>
      <c r="BK76" s="119"/>
      <c r="BL76" s="119"/>
      <c r="BM76" s="119"/>
      <c r="BN76" s="119"/>
    </row>
    <row r="77" spans="1:66" x14ac:dyDescent="0.25">
      <c r="I77" s="125"/>
      <c r="U77" s="125"/>
      <c r="V77" s="119"/>
      <c r="W77" s="120"/>
      <c r="X77" s="120"/>
      <c r="Y77" s="119"/>
      <c r="Z77" s="119"/>
      <c r="AA77" s="119"/>
      <c r="AB77" s="119"/>
      <c r="AC77" s="119"/>
      <c r="AD77" s="119"/>
      <c r="AG77" s="125"/>
      <c r="AH77" s="119"/>
      <c r="AI77" s="120"/>
      <c r="AJ77" s="120"/>
      <c r="AK77" s="119"/>
      <c r="AL77" s="119"/>
      <c r="AM77" s="119"/>
      <c r="AN77" s="119"/>
      <c r="AO77" s="119"/>
      <c r="AP77" s="119"/>
      <c r="AT77" s="119"/>
      <c r="AU77" s="120"/>
      <c r="AV77" s="120"/>
      <c r="AW77" s="119"/>
      <c r="AX77" s="119"/>
      <c r="AY77" s="119"/>
      <c r="AZ77" s="119"/>
      <c r="BA77" s="119"/>
      <c r="BB77" s="119"/>
      <c r="BE77" s="125"/>
      <c r="BF77" s="119"/>
      <c r="BG77" s="120"/>
      <c r="BH77" s="120"/>
      <c r="BI77" s="119"/>
      <c r="BJ77" s="119"/>
      <c r="BK77" s="119"/>
      <c r="BL77" s="119"/>
      <c r="BM77" s="119"/>
      <c r="BN77" s="119"/>
    </row>
    <row r="78" spans="1:66" x14ac:dyDescent="0.25">
      <c r="I78" s="125"/>
      <c r="U78" s="125"/>
      <c r="V78" s="119"/>
      <c r="W78" s="120"/>
      <c r="X78" s="120"/>
      <c r="Y78" s="119"/>
      <c r="Z78" s="119"/>
      <c r="AA78" s="119"/>
      <c r="AB78" s="119"/>
      <c r="AC78" s="119"/>
      <c r="AD78" s="119"/>
      <c r="AH78" s="119"/>
      <c r="AI78" s="120"/>
      <c r="AJ78" s="120"/>
      <c r="AK78" s="119"/>
      <c r="AL78" s="119"/>
      <c r="AM78" s="119"/>
      <c r="AN78" s="119"/>
      <c r="AO78" s="119"/>
      <c r="AP78" s="119"/>
      <c r="AS78" s="125"/>
      <c r="AT78" s="119"/>
      <c r="AU78" s="120"/>
      <c r="AV78" s="120"/>
      <c r="AW78" s="119"/>
      <c r="AX78" s="119"/>
      <c r="AY78" s="119"/>
      <c r="AZ78" s="119"/>
      <c r="BA78" s="119"/>
      <c r="BB78" s="119"/>
      <c r="BE78" s="125"/>
      <c r="BF78" s="119"/>
      <c r="BG78" s="120"/>
      <c r="BH78" s="120"/>
      <c r="BI78" s="119"/>
      <c r="BJ78" s="119"/>
      <c r="BK78" s="119"/>
      <c r="BL78" s="119"/>
      <c r="BM78" s="119"/>
      <c r="BN78" s="119"/>
    </row>
    <row r="79" spans="1:66" x14ac:dyDescent="0.25">
      <c r="A79" s="118"/>
      <c r="B79" s="119"/>
      <c r="C79" s="120"/>
      <c r="D79" s="120"/>
      <c r="E79" s="119"/>
      <c r="F79" s="119"/>
      <c r="I79" s="118"/>
      <c r="U79" s="125"/>
      <c r="V79" s="119"/>
      <c r="W79" s="120"/>
      <c r="X79" s="120"/>
      <c r="Y79" s="119"/>
      <c r="Z79" s="119"/>
      <c r="AA79" s="119"/>
      <c r="AB79" s="119"/>
      <c r="AC79" s="119"/>
      <c r="AD79" s="119"/>
      <c r="AH79" s="119"/>
      <c r="AI79" s="120"/>
      <c r="AJ79" s="120"/>
      <c r="AK79" s="119"/>
      <c r="AL79" s="119"/>
      <c r="AM79" s="119"/>
      <c r="AN79" s="119"/>
      <c r="AO79" s="119"/>
      <c r="AP79" s="119"/>
      <c r="AS79" s="125"/>
      <c r="AT79" s="119"/>
      <c r="AU79" s="120"/>
      <c r="AV79" s="120"/>
      <c r="AW79" s="119"/>
      <c r="AX79" s="119"/>
      <c r="AY79" s="119"/>
      <c r="AZ79" s="119"/>
      <c r="BA79" s="119"/>
      <c r="BB79" s="119"/>
      <c r="BE79" s="125"/>
      <c r="BF79" s="119"/>
      <c r="BG79" s="120"/>
      <c r="BH79" s="120"/>
      <c r="BI79" s="119"/>
      <c r="BJ79" s="119"/>
      <c r="BK79" s="119"/>
      <c r="BL79" s="119"/>
      <c r="BM79" s="119"/>
      <c r="BN79" s="119"/>
    </row>
    <row r="80" spans="1:66" x14ac:dyDescent="0.25">
      <c r="U80" s="125"/>
      <c r="V80" s="119"/>
      <c r="W80" s="120"/>
      <c r="X80" s="120"/>
      <c r="Y80" s="119"/>
      <c r="Z80" s="119"/>
      <c r="AA80" s="119"/>
      <c r="AB80" s="119"/>
      <c r="AC80" s="119"/>
      <c r="AD80" s="119"/>
      <c r="AH80" s="119"/>
      <c r="AI80" s="120"/>
      <c r="AJ80" s="120"/>
      <c r="AK80" s="119"/>
      <c r="AL80" s="119"/>
      <c r="AM80" s="119"/>
      <c r="AN80" s="119"/>
      <c r="AO80" s="119"/>
      <c r="AP80" s="119"/>
      <c r="AS80" s="125"/>
      <c r="AT80" s="119"/>
      <c r="AU80" s="120"/>
      <c r="AV80" s="120"/>
      <c r="AW80" s="119"/>
      <c r="AX80" s="119"/>
      <c r="AY80" s="119"/>
      <c r="AZ80" s="119"/>
      <c r="BA80" s="119"/>
      <c r="BB80" s="119"/>
      <c r="BE80" s="125"/>
      <c r="BF80" s="119"/>
      <c r="BG80" s="120"/>
      <c r="BH80" s="120"/>
      <c r="BI80" s="119"/>
      <c r="BJ80" s="119"/>
      <c r="BK80" s="119"/>
      <c r="BL80" s="119"/>
      <c r="BM80" s="119"/>
      <c r="BN80" s="119"/>
    </row>
    <row r="81" spans="1:66" x14ac:dyDescent="0.25">
      <c r="U81" s="125"/>
      <c r="V81" s="119"/>
      <c r="W81" s="120"/>
      <c r="X81" s="120"/>
      <c r="Y81" s="119"/>
      <c r="Z81" s="119"/>
      <c r="AA81" s="119"/>
      <c r="AB81" s="119"/>
      <c r="AC81" s="119"/>
      <c r="AD81" s="119"/>
      <c r="AH81" s="119"/>
      <c r="AI81" s="120"/>
      <c r="AJ81" s="120"/>
      <c r="AK81" s="119"/>
      <c r="AL81" s="119"/>
      <c r="AM81" s="119"/>
      <c r="AN81" s="119"/>
      <c r="AO81" s="119"/>
      <c r="AP81" s="119"/>
      <c r="AS81" s="125"/>
      <c r="AT81" s="119"/>
      <c r="AU81" s="120"/>
      <c r="AV81" s="120"/>
      <c r="AW81" s="119"/>
      <c r="AX81" s="119"/>
      <c r="AY81" s="119"/>
      <c r="AZ81" s="119"/>
      <c r="BA81" s="119"/>
      <c r="BB81" s="119"/>
      <c r="BE81" s="125"/>
      <c r="BF81" s="119"/>
      <c r="BG81" s="120"/>
      <c r="BH81" s="120"/>
      <c r="BI81" s="119"/>
      <c r="BJ81" s="119"/>
      <c r="BK81" s="119"/>
      <c r="BL81" s="119"/>
      <c r="BM81" s="119"/>
      <c r="BN81" s="119"/>
    </row>
    <row r="82" spans="1:66" x14ac:dyDescent="0.25">
      <c r="U82" s="125"/>
      <c r="V82" s="119"/>
      <c r="W82" s="120"/>
      <c r="X82" s="120"/>
      <c r="Y82" s="119"/>
      <c r="Z82" s="119"/>
      <c r="AA82" s="119"/>
      <c r="AB82" s="119"/>
      <c r="AC82" s="119"/>
      <c r="AD82" s="119"/>
      <c r="AH82" s="119"/>
      <c r="AI82" s="120"/>
      <c r="AJ82" s="120"/>
      <c r="AK82" s="119"/>
      <c r="AL82" s="119"/>
      <c r="AM82" s="119"/>
      <c r="AN82" s="119"/>
      <c r="AO82" s="119"/>
      <c r="AP82" s="119"/>
      <c r="AS82" s="125"/>
      <c r="AT82" s="119"/>
      <c r="AU82" s="120"/>
      <c r="AV82" s="120"/>
      <c r="AW82" s="119"/>
      <c r="AX82" s="119"/>
      <c r="AY82" s="119"/>
      <c r="AZ82" s="119"/>
      <c r="BA82" s="119"/>
      <c r="BB82" s="119"/>
      <c r="BE82" s="125"/>
      <c r="BF82" s="119"/>
      <c r="BG82" s="120"/>
      <c r="BH82" s="120"/>
      <c r="BI82" s="119"/>
      <c r="BJ82" s="119"/>
      <c r="BK82" s="119"/>
      <c r="BL82" s="119"/>
      <c r="BM82" s="119"/>
      <c r="BN82" s="119"/>
    </row>
    <row r="83" spans="1:66" x14ac:dyDescent="0.25">
      <c r="A83" s="118"/>
      <c r="B83" s="119"/>
      <c r="C83" s="120"/>
      <c r="D83" s="120"/>
      <c r="E83" s="119"/>
      <c r="F83" s="119"/>
      <c r="U83" s="125"/>
      <c r="V83" s="119"/>
      <c r="W83" s="120"/>
      <c r="X83" s="120"/>
      <c r="Y83" s="119"/>
      <c r="Z83" s="119"/>
      <c r="AA83" s="119"/>
      <c r="AB83" s="119"/>
      <c r="AC83" s="119"/>
      <c r="AD83" s="119"/>
      <c r="AH83" s="119"/>
      <c r="AI83" s="120"/>
      <c r="AJ83" s="120"/>
      <c r="AK83" s="119"/>
      <c r="AL83" s="119"/>
      <c r="AM83" s="119"/>
      <c r="AN83" s="119"/>
      <c r="AO83" s="119"/>
      <c r="AP83" s="119"/>
      <c r="AS83" s="125"/>
      <c r="AT83" s="119"/>
      <c r="AU83" s="120"/>
      <c r="AV83" s="120"/>
      <c r="AW83" s="119"/>
      <c r="AX83" s="119"/>
      <c r="AY83" s="119"/>
      <c r="AZ83" s="119"/>
      <c r="BA83" s="119"/>
      <c r="BB83" s="119"/>
      <c r="BE83" s="125"/>
      <c r="BF83" s="119"/>
      <c r="BG83" s="120"/>
      <c r="BH83" s="120"/>
      <c r="BI83" s="119"/>
      <c r="BJ83" s="119"/>
      <c r="BK83" s="119"/>
      <c r="BL83" s="119"/>
      <c r="BM83" s="119"/>
      <c r="BN83" s="119"/>
    </row>
    <row r="84" spans="1:66" x14ac:dyDescent="0.25">
      <c r="I84" s="125"/>
      <c r="J84" s="119"/>
      <c r="K84" s="120"/>
      <c r="L84" s="120"/>
      <c r="M84" s="119"/>
      <c r="N84" s="119"/>
      <c r="O84" s="119"/>
      <c r="P84" s="119"/>
      <c r="Q84" s="119"/>
      <c r="R84" s="119"/>
      <c r="U84" s="125"/>
      <c r="V84" s="119"/>
      <c r="W84" s="120"/>
      <c r="X84" s="120"/>
      <c r="Y84" s="119"/>
      <c r="Z84" s="119"/>
      <c r="AA84" s="119"/>
      <c r="AB84" s="119"/>
      <c r="AC84" s="119"/>
      <c r="AD84" s="119"/>
      <c r="AH84" s="119"/>
      <c r="AI84" s="120"/>
      <c r="AJ84" s="120"/>
      <c r="AK84" s="119"/>
      <c r="AL84" s="119"/>
      <c r="AM84" s="119"/>
      <c r="AN84" s="119"/>
      <c r="AO84" s="119"/>
      <c r="AP84" s="119"/>
      <c r="AS84" s="125"/>
      <c r="AT84" s="119"/>
      <c r="AU84" s="120"/>
      <c r="AV84" s="120"/>
      <c r="AW84" s="119"/>
      <c r="AX84" s="119"/>
      <c r="AY84" s="119"/>
      <c r="AZ84" s="119"/>
      <c r="BA84" s="119"/>
      <c r="BB84" s="119"/>
      <c r="BE84" s="125"/>
      <c r="BF84" s="119"/>
      <c r="BG84" s="120"/>
      <c r="BH84" s="120"/>
      <c r="BI84" s="119"/>
      <c r="BJ84" s="119"/>
      <c r="BK84" s="119"/>
      <c r="BL84" s="119"/>
      <c r="BM84" s="119"/>
      <c r="BN84" s="119"/>
    </row>
    <row r="85" spans="1:66" x14ac:dyDescent="0.25">
      <c r="I85" s="125"/>
      <c r="J85" s="119"/>
      <c r="K85" s="120"/>
      <c r="L85" s="120"/>
      <c r="M85" s="119"/>
      <c r="N85" s="119"/>
      <c r="O85" s="119"/>
      <c r="P85" s="119"/>
      <c r="Q85" s="119"/>
      <c r="R85" s="119"/>
      <c r="U85" s="125"/>
      <c r="V85" s="119"/>
      <c r="W85" s="120"/>
      <c r="X85" s="120"/>
      <c r="Y85" s="119"/>
      <c r="Z85" s="119"/>
      <c r="AA85" s="119"/>
      <c r="AB85" s="119"/>
      <c r="AC85" s="119"/>
      <c r="AD85" s="119"/>
      <c r="AH85" s="119"/>
      <c r="AI85" s="120"/>
      <c r="AJ85" s="120"/>
      <c r="AK85" s="119"/>
      <c r="AL85" s="119"/>
      <c r="AM85" s="119"/>
      <c r="AN85" s="119"/>
      <c r="AO85" s="119"/>
      <c r="AP85" s="119"/>
      <c r="AS85" s="125"/>
      <c r="AT85" s="119"/>
      <c r="AU85" s="120"/>
      <c r="AV85" s="120"/>
      <c r="AW85" s="119"/>
      <c r="AX85" s="119"/>
      <c r="AY85" s="119"/>
      <c r="AZ85" s="119"/>
      <c r="BA85" s="119"/>
      <c r="BB85" s="119"/>
      <c r="BE85" s="125"/>
      <c r="BF85" s="119"/>
      <c r="BG85" s="120"/>
      <c r="BH85" s="120"/>
      <c r="BI85" s="119"/>
      <c r="BJ85" s="119"/>
      <c r="BK85" s="119"/>
      <c r="BL85" s="119"/>
      <c r="BM85" s="119"/>
      <c r="BN85" s="119"/>
    </row>
    <row r="86" spans="1:66" x14ac:dyDescent="0.25">
      <c r="J86" s="119"/>
      <c r="K86" s="120"/>
      <c r="L86" s="120"/>
      <c r="M86" s="119"/>
      <c r="N86" s="119"/>
      <c r="O86" s="119"/>
      <c r="P86" s="119"/>
      <c r="Q86" s="119"/>
      <c r="R86" s="119"/>
      <c r="U86" s="125"/>
      <c r="V86" s="119"/>
      <c r="W86" s="120"/>
      <c r="X86" s="120"/>
      <c r="Y86" s="119"/>
      <c r="Z86" s="119"/>
      <c r="AA86" s="119"/>
      <c r="AB86" s="119"/>
      <c r="AC86" s="119"/>
      <c r="AD86" s="119"/>
      <c r="AT86" s="119"/>
      <c r="AU86" s="120"/>
      <c r="AV86" s="120"/>
      <c r="AW86" s="119"/>
      <c r="AX86" s="119"/>
      <c r="AY86" s="119"/>
      <c r="AZ86" s="119"/>
      <c r="BA86" s="119"/>
      <c r="BB86" s="119"/>
      <c r="BE86" s="125"/>
      <c r="BF86" s="119"/>
      <c r="BG86" s="120"/>
      <c r="BH86" s="120"/>
      <c r="BI86" s="119"/>
      <c r="BJ86" s="119"/>
      <c r="BK86" s="119"/>
      <c r="BL86" s="119"/>
      <c r="BM86" s="119"/>
      <c r="BN86" s="119"/>
    </row>
    <row r="87" spans="1:66" x14ac:dyDescent="0.25">
      <c r="U87" s="125"/>
      <c r="V87" s="119"/>
      <c r="W87" s="120"/>
      <c r="X87" s="120"/>
      <c r="Y87" s="119"/>
      <c r="Z87" s="119"/>
      <c r="AA87" s="119"/>
      <c r="AB87" s="119"/>
      <c r="AC87" s="119"/>
      <c r="AD87" s="119"/>
      <c r="AT87" s="119"/>
      <c r="AU87" s="120"/>
      <c r="AV87" s="120"/>
      <c r="AW87" s="119"/>
      <c r="AX87" s="119"/>
      <c r="AY87" s="119"/>
      <c r="AZ87" s="119"/>
      <c r="BA87" s="119"/>
      <c r="BB87" s="119"/>
      <c r="BE87" s="125"/>
      <c r="BF87" s="119"/>
      <c r="BG87" s="120"/>
      <c r="BH87" s="120"/>
      <c r="BI87" s="119"/>
      <c r="BJ87" s="119"/>
      <c r="BK87" s="119"/>
      <c r="BL87" s="119"/>
      <c r="BM87" s="119"/>
      <c r="BN87" s="119"/>
    </row>
    <row r="88" spans="1:66" x14ac:dyDescent="0.25">
      <c r="U88" s="125"/>
      <c r="V88" s="119"/>
      <c r="W88" s="120"/>
      <c r="X88" s="120"/>
      <c r="Y88" s="119"/>
      <c r="Z88" s="119"/>
      <c r="AA88" s="119"/>
      <c r="AB88" s="119"/>
      <c r="AC88" s="119"/>
      <c r="AD88" s="119"/>
      <c r="AT88" s="119"/>
      <c r="AU88" s="120"/>
      <c r="AV88" s="120"/>
      <c r="AW88" s="119"/>
      <c r="AX88" s="119"/>
      <c r="AY88" s="119"/>
      <c r="AZ88" s="119"/>
      <c r="BA88" s="119"/>
      <c r="BB88" s="119"/>
      <c r="BE88" s="125"/>
      <c r="BF88" s="119"/>
      <c r="BG88" s="120"/>
      <c r="BH88" s="120"/>
      <c r="BI88" s="119"/>
      <c r="BJ88" s="119"/>
      <c r="BK88" s="119"/>
      <c r="BL88" s="119"/>
      <c r="BM88" s="119"/>
      <c r="BN88" s="119"/>
    </row>
    <row r="89" spans="1:66" x14ac:dyDescent="0.25">
      <c r="U89" s="125"/>
      <c r="V89" s="119"/>
      <c r="W89" s="120"/>
      <c r="X89" s="120"/>
      <c r="Y89" s="119"/>
      <c r="Z89" s="119"/>
      <c r="AA89" s="119"/>
      <c r="AB89" s="119"/>
      <c r="AC89" s="119"/>
      <c r="AD89" s="119"/>
      <c r="AT89" s="119"/>
      <c r="AU89" s="120"/>
      <c r="AV89" s="120"/>
      <c r="AW89" s="119"/>
      <c r="AX89" s="119"/>
      <c r="AY89" s="119"/>
      <c r="AZ89" s="119"/>
      <c r="BA89" s="119"/>
      <c r="BB89" s="119"/>
      <c r="BE89" s="125"/>
      <c r="BF89" s="119"/>
      <c r="BG89" s="120"/>
      <c r="BH89" s="120"/>
      <c r="BI89" s="119"/>
      <c r="BJ89" s="119"/>
      <c r="BK89" s="119"/>
      <c r="BL89" s="119"/>
      <c r="BM89" s="119"/>
      <c r="BN89" s="119"/>
    </row>
    <row r="90" spans="1:66" x14ac:dyDescent="0.25">
      <c r="U90" s="125"/>
      <c r="V90" s="119"/>
      <c r="W90" s="120"/>
      <c r="X90" s="120"/>
      <c r="Y90" s="119"/>
      <c r="Z90" s="119"/>
      <c r="AA90" s="119"/>
      <c r="AB90" s="119"/>
      <c r="AC90" s="119"/>
      <c r="AD90" s="119"/>
      <c r="AT90" s="119"/>
      <c r="AU90" s="120"/>
      <c r="AV90" s="120"/>
      <c r="AW90" s="119"/>
      <c r="AX90" s="119"/>
      <c r="AY90" s="119"/>
      <c r="AZ90" s="119"/>
      <c r="BA90" s="119"/>
      <c r="BB90" s="119"/>
      <c r="BE90" s="125"/>
      <c r="BF90" s="119"/>
      <c r="BG90" s="120"/>
      <c r="BH90" s="120"/>
      <c r="BI90" s="119"/>
      <c r="BJ90" s="119"/>
      <c r="BK90" s="119"/>
      <c r="BL90" s="119"/>
      <c r="BM90" s="119"/>
      <c r="BN90" s="119"/>
    </row>
    <row r="91" spans="1:66" x14ac:dyDescent="0.25">
      <c r="U91" s="125"/>
      <c r="V91" s="119"/>
      <c r="W91" s="120"/>
      <c r="X91" s="120"/>
      <c r="Y91" s="119"/>
      <c r="Z91" s="119"/>
      <c r="AA91" s="119"/>
      <c r="AB91" s="119"/>
      <c r="AC91" s="119"/>
      <c r="AD91" s="119"/>
      <c r="AT91" s="119"/>
      <c r="AU91" s="120"/>
      <c r="AV91" s="120"/>
      <c r="AW91" s="119"/>
      <c r="AX91" s="119"/>
      <c r="AY91" s="119"/>
      <c r="AZ91" s="119"/>
      <c r="BA91" s="119"/>
      <c r="BB91" s="119"/>
      <c r="BE91" s="125"/>
      <c r="BF91" s="119"/>
      <c r="BG91" s="120"/>
      <c r="BH91" s="120"/>
      <c r="BI91" s="119"/>
      <c r="BJ91" s="119"/>
      <c r="BK91" s="119"/>
      <c r="BL91" s="119"/>
      <c r="BM91" s="119"/>
      <c r="BN91" s="119"/>
    </row>
    <row r="92" spans="1:66" x14ac:dyDescent="0.25">
      <c r="I92" s="125"/>
      <c r="U92" s="125"/>
      <c r="V92" s="119"/>
      <c r="W92" s="120"/>
      <c r="X92" s="120"/>
      <c r="Y92" s="119"/>
      <c r="Z92" s="119"/>
      <c r="AA92" s="119"/>
      <c r="AB92" s="119"/>
      <c r="AC92" s="119"/>
      <c r="AD92" s="119"/>
      <c r="AT92" s="119"/>
      <c r="AU92" s="120"/>
      <c r="AV92" s="120"/>
      <c r="AW92" s="119"/>
      <c r="AX92" s="119"/>
      <c r="AY92" s="119"/>
      <c r="AZ92" s="119"/>
      <c r="BA92" s="119"/>
      <c r="BB92" s="119"/>
      <c r="BE92" s="125"/>
      <c r="BF92" s="119"/>
      <c r="BG92" s="120"/>
      <c r="BH92" s="120"/>
      <c r="BI92" s="119"/>
      <c r="BJ92" s="119"/>
      <c r="BK92" s="119"/>
      <c r="BL92" s="119"/>
      <c r="BM92" s="119"/>
      <c r="BN92" s="119"/>
    </row>
    <row r="93" spans="1:66" x14ac:dyDescent="0.25">
      <c r="I93" s="125"/>
      <c r="U93" s="125"/>
      <c r="V93" s="119"/>
      <c r="W93" s="120"/>
      <c r="X93" s="120"/>
      <c r="Y93" s="119"/>
      <c r="Z93" s="119"/>
      <c r="AA93" s="119"/>
      <c r="AB93" s="119"/>
      <c r="AC93" s="119"/>
      <c r="AD93" s="119"/>
      <c r="AS93" s="125"/>
      <c r="AT93" s="119"/>
      <c r="AU93" s="120"/>
      <c r="AV93" s="120"/>
      <c r="AW93" s="119"/>
      <c r="AX93" s="119"/>
      <c r="AY93" s="119"/>
      <c r="AZ93" s="119"/>
      <c r="BA93" s="119"/>
      <c r="BB93" s="119"/>
      <c r="BE93" s="125"/>
      <c r="BF93" s="119"/>
      <c r="BG93" s="120"/>
      <c r="BH93" s="120"/>
      <c r="BI93" s="119"/>
      <c r="BJ93" s="119"/>
      <c r="BK93" s="119"/>
      <c r="BL93" s="119"/>
      <c r="BM93" s="119"/>
      <c r="BN93" s="119"/>
    </row>
    <row r="94" spans="1:66" x14ac:dyDescent="0.25">
      <c r="I94" s="118"/>
      <c r="U94" s="125"/>
      <c r="V94" s="119"/>
      <c r="W94" s="120"/>
      <c r="X94" s="120"/>
      <c r="Y94" s="119"/>
      <c r="Z94" s="119"/>
      <c r="AA94" s="119"/>
      <c r="AB94" s="119"/>
      <c r="AC94" s="119"/>
      <c r="AD94" s="119"/>
      <c r="AS94" s="125"/>
      <c r="AT94" s="119"/>
      <c r="AU94" s="120"/>
      <c r="AV94" s="120"/>
      <c r="AW94" s="119"/>
      <c r="AX94" s="119"/>
      <c r="AY94" s="119"/>
      <c r="AZ94" s="119"/>
      <c r="BA94" s="119"/>
      <c r="BB94" s="119"/>
      <c r="BE94" s="125"/>
      <c r="BF94" s="119"/>
      <c r="BG94" s="120"/>
      <c r="BH94" s="120"/>
      <c r="BI94" s="119"/>
      <c r="BJ94" s="119"/>
      <c r="BK94" s="119"/>
      <c r="BL94" s="119"/>
      <c r="BM94" s="119"/>
      <c r="BN94" s="119"/>
    </row>
    <row r="95" spans="1:66" x14ac:dyDescent="0.25">
      <c r="I95" s="118"/>
      <c r="U95" s="125"/>
      <c r="V95" s="119"/>
      <c r="W95" s="120"/>
      <c r="X95" s="120"/>
      <c r="Y95" s="119"/>
      <c r="Z95" s="119"/>
      <c r="AA95" s="119"/>
      <c r="AB95" s="119"/>
      <c r="AC95" s="119"/>
      <c r="AD95" s="119"/>
      <c r="AS95" s="125"/>
      <c r="AT95" s="119"/>
      <c r="AU95" s="120"/>
      <c r="AV95" s="120"/>
      <c r="AW95" s="119"/>
      <c r="AX95" s="119"/>
      <c r="AY95" s="119"/>
      <c r="AZ95" s="119"/>
      <c r="BA95" s="119"/>
      <c r="BB95" s="119"/>
      <c r="BE95" s="125"/>
      <c r="BF95" s="119"/>
      <c r="BG95" s="120"/>
      <c r="BH95" s="120"/>
      <c r="BI95" s="119"/>
      <c r="BJ95" s="119"/>
      <c r="BK95" s="119"/>
      <c r="BL95" s="119"/>
      <c r="BM95" s="119"/>
      <c r="BN95" s="119"/>
    </row>
    <row r="96" spans="1:66" x14ac:dyDescent="0.25">
      <c r="U96" s="125"/>
      <c r="V96" s="119"/>
      <c r="W96" s="120"/>
      <c r="X96" s="120"/>
      <c r="Y96" s="119"/>
      <c r="Z96" s="119"/>
      <c r="AA96" s="119"/>
      <c r="AB96" s="119"/>
      <c r="AC96" s="119"/>
      <c r="AD96" s="119"/>
      <c r="AS96" s="125"/>
      <c r="AT96" s="119"/>
      <c r="AU96" s="120"/>
      <c r="AV96" s="120"/>
      <c r="AW96" s="119"/>
      <c r="AX96" s="119"/>
      <c r="AY96" s="119"/>
      <c r="AZ96" s="119"/>
      <c r="BA96" s="119"/>
      <c r="BB96" s="119"/>
      <c r="BE96" s="125"/>
      <c r="BF96" s="119"/>
      <c r="BG96" s="120"/>
      <c r="BH96" s="120"/>
      <c r="BI96" s="119"/>
      <c r="BJ96" s="119"/>
      <c r="BK96" s="119"/>
      <c r="BL96" s="119"/>
      <c r="BM96" s="119"/>
      <c r="BN96" s="119"/>
    </row>
    <row r="97" spans="1:66" x14ac:dyDescent="0.25">
      <c r="U97" s="125"/>
      <c r="V97" s="119"/>
      <c r="W97" s="120"/>
      <c r="X97" s="120"/>
      <c r="Y97" s="119"/>
      <c r="Z97" s="119"/>
      <c r="AA97" s="119"/>
      <c r="AB97" s="119"/>
      <c r="AC97" s="119"/>
      <c r="AD97" s="119"/>
      <c r="AS97" s="125"/>
      <c r="AT97" s="119"/>
      <c r="AU97" s="120"/>
      <c r="AV97" s="120"/>
      <c r="AW97" s="119"/>
      <c r="AX97" s="119"/>
      <c r="AY97" s="119"/>
      <c r="AZ97" s="119"/>
      <c r="BA97" s="119"/>
      <c r="BB97" s="119"/>
      <c r="BE97" s="125"/>
      <c r="BF97" s="119"/>
      <c r="BG97" s="120"/>
      <c r="BH97" s="120"/>
      <c r="BI97" s="119"/>
      <c r="BJ97" s="119"/>
      <c r="BK97" s="119"/>
      <c r="BL97" s="119"/>
      <c r="BM97" s="119"/>
      <c r="BN97" s="119"/>
    </row>
    <row r="98" spans="1:66" x14ac:dyDescent="0.25">
      <c r="U98" s="125"/>
      <c r="V98" s="119"/>
      <c r="W98" s="120"/>
      <c r="X98" s="120"/>
      <c r="Y98" s="119"/>
      <c r="Z98" s="119"/>
      <c r="AA98" s="119"/>
      <c r="AB98" s="119"/>
      <c r="AC98" s="119"/>
      <c r="AD98" s="119"/>
      <c r="AS98" s="125"/>
      <c r="AT98" s="119"/>
      <c r="AU98" s="120"/>
      <c r="AV98" s="120"/>
      <c r="AW98" s="119"/>
      <c r="AX98" s="119"/>
      <c r="AY98" s="119"/>
      <c r="AZ98" s="119"/>
      <c r="BA98" s="119"/>
      <c r="BB98" s="119"/>
      <c r="BE98" s="125"/>
      <c r="BF98" s="119"/>
      <c r="BG98" s="120"/>
      <c r="BH98" s="120"/>
      <c r="BI98" s="119"/>
      <c r="BJ98" s="119"/>
      <c r="BK98" s="119"/>
      <c r="BL98" s="119"/>
      <c r="BM98" s="119"/>
      <c r="BN98" s="119"/>
    </row>
    <row r="99" spans="1:66" x14ac:dyDescent="0.25">
      <c r="U99" s="125"/>
      <c r="V99" s="119"/>
      <c r="W99" s="120"/>
      <c r="X99" s="120"/>
      <c r="Y99" s="119"/>
      <c r="Z99" s="119"/>
      <c r="AA99" s="119"/>
      <c r="AB99" s="119"/>
      <c r="AC99" s="119"/>
      <c r="AD99" s="119"/>
      <c r="AS99" s="125"/>
      <c r="AT99" s="119"/>
      <c r="AU99" s="120"/>
      <c r="AV99" s="120"/>
      <c r="AW99" s="119"/>
      <c r="AX99" s="119"/>
      <c r="AY99" s="119"/>
      <c r="AZ99" s="119"/>
      <c r="BA99" s="119"/>
      <c r="BB99" s="119"/>
      <c r="BE99" s="125"/>
      <c r="BF99" s="119"/>
      <c r="BG99" s="120"/>
      <c r="BH99" s="120"/>
      <c r="BI99" s="119"/>
      <c r="BJ99" s="119"/>
      <c r="BK99" s="119"/>
      <c r="BL99" s="119"/>
      <c r="BM99" s="119"/>
      <c r="BN99" s="119"/>
    </row>
    <row r="100" spans="1:66" x14ac:dyDescent="0.25">
      <c r="U100" s="125"/>
      <c r="V100" s="119"/>
      <c r="W100" s="120"/>
      <c r="X100" s="120"/>
      <c r="Y100" s="119"/>
      <c r="Z100" s="119"/>
      <c r="AA100" s="119"/>
      <c r="AB100" s="119"/>
      <c r="AC100" s="119"/>
      <c r="AD100" s="119"/>
      <c r="AS100" s="125"/>
      <c r="AT100" s="119"/>
      <c r="AU100" s="120"/>
      <c r="AV100" s="120"/>
      <c r="AW100" s="119"/>
      <c r="AX100" s="119"/>
      <c r="AY100" s="119"/>
      <c r="AZ100" s="119"/>
      <c r="BA100" s="119"/>
      <c r="BB100" s="119"/>
      <c r="BE100" s="125"/>
      <c r="BF100" s="119"/>
      <c r="BG100" s="120"/>
      <c r="BH100" s="120"/>
      <c r="BI100" s="119"/>
      <c r="BJ100" s="119"/>
      <c r="BK100" s="119"/>
      <c r="BL100" s="119"/>
      <c r="BM100" s="119"/>
      <c r="BN100" s="119"/>
    </row>
    <row r="101" spans="1:66" x14ac:dyDescent="0.25">
      <c r="I101" s="125"/>
      <c r="J101" s="119"/>
      <c r="K101" s="120"/>
      <c r="L101" s="120"/>
      <c r="M101" s="119"/>
      <c r="N101" s="119"/>
      <c r="O101" s="119"/>
      <c r="P101" s="119"/>
      <c r="Q101" s="119"/>
      <c r="R101" s="119"/>
      <c r="U101" s="125"/>
      <c r="V101" s="119"/>
      <c r="W101" s="120"/>
      <c r="X101" s="120"/>
      <c r="Y101" s="119"/>
      <c r="Z101" s="119"/>
      <c r="AA101" s="119"/>
      <c r="AB101" s="119"/>
      <c r="AC101" s="119"/>
      <c r="AD101" s="119"/>
      <c r="AS101" s="125"/>
      <c r="AT101" s="119"/>
      <c r="AU101" s="120"/>
      <c r="AV101" s="120"/>
      <c r="AW101" s="119"/>
      <c r="AX101" s="119"/>
      <c r="AY101" s="119"/>
      <c r="AZ101" s="119"/>
      <c r="BA101" s="119"/>
      <c r="BB101" s="119"/>
      <c r="BE101" s="125"/>
      <c r="BF101" s="119"/>
      <c r="BG101" s="120"/>
      <c r="BH101" s="120"/>
      <c r="BI101" s="119"/>
      <c r="BJ101" s="119"/>
      <c r="BK101" s="119"/>
      <c r="BL101" s="119"/>
      <c r="BM101" s="119"/>
      <c r="BN101" s="119"/>
    </row>
    <row r="102" spans="1:66" x14ac:dyDescent="0.25">
      <c r="A102" s="125"/>
      <c r="B102" s="122"/>
      <c r="C102" s="120"/>
      <c r="D102" s="120"/>
      <c r="E102" s="122"/>
      <c r="F102" s="122"/>
      <c r="I102" s="125"/>
      <c r="J102" s="119"/>
      <c r="K102" s="120"/>
      <c r="L102" s="120"/>
      <c r="M102" s="119"/>
      <c r="N102" s="119"/>
      <c r="O102" s="119"/>
      <c r="P102" s="119"/>
      <c r="Q102" s="119"/>
      <c r="R102" s="119"/>
      <c r="U102" s="125"/>
      <c r="V102" s="119"/>
      <c r="W102" s="120"/>
      <c r="X102" s="120"/>
      <c r="Y102" s="119"/>
      <c r="Z102" s="119"/>
      <c r="AA102" s="119"/>
      <c r="AB102" s="119"/>
      <c r="AC102" s="119"/>
      <c r="AD102" s="119"/>
      <c r="AS102" s="125"/>
      <c r="AT102" s="119"/>
      <c r="AU102" s="120"/>
      <c r="AV102" s="120"/>
      <c r="AW102" s="119"/>
      <c r="AX102" s="119"/>
      <c r="AY102" s="119"/>
      <c r="AZ102" s="119"/>
      <c r="BA102" s="119"/>
      <c r="BB102" s="119"/>
      <c r="BE102" s="125"/>
      <c r="BF102" s="119"/>
      <c r="BG102" s="120"/>
      <c r="BH102" s="120"/>
      <c r="BI102" s="119"/>
      <c r="BJ102" s="119"/>
      <c r="BK102" s="119"/>
      <c r="BL102" s="119"/>
      <c r="BM102" s="119"/>
      <c r="BN102" s="119"/>
    </row>
    <row r="103" spans="1:66" x14ac:dyDescent="0.25">
      <c r="J103" s="119"/>
      <c r="K103" s="120"/>
      <c r="L103" s="120"/>
      <c r="M103" s="119"/>
      <c r="N103" s="119"/>
      <c r="O103" s="119"/>
      <c r="P103" s="119"/>
      <c r="Q103" s="119"/>
      <c r="R103" s="119"/>
      <c r="U103" s="125"/>
      <c r="V103" s="119"/>
      <c r="W103" s="120"/>
      <c r="X103" s="120"/>
      <c r="Y103" s="119"/>
      <c r="Z103" s="119"/>
      <c r="AA103" s="119"/>
      <c r="AB103" s="119"/>
      <c r="AC103" s="119"/>
      <c r="AD103" s="119"/>
      <c r="AG103" s="125"/>
      <c r="AH103" s="119"/>
      <c r="AI103" s="120"/>
      <c r="AJ103" s="120"/>
      <c r="AK103" s="119"/>
      <c r="AL103" s="119"/>
      <c r="AM103" s="119"/>
      <c r="AN103" s="119"/>
      <c r="AO103" s="119"/>
      <c r="AP103" s="119"/>
      <c r="AT103" s="119"/>
      <c r="AU103" s="120"/>
      <c r="AV103" s="120"/>
      <c r="AW103" s="119"/>
      <c r="AX103" s="119"/>
      <c r="AY103" s="119"/>
      <c r="AZ103" s="119"/>
      <c r="BA103" s="119"/>
      <c r="BB103" s="119"/>
      <c r="BE103" s="125"/>
      <c r="BF103" s="119"/>
      <c r="BG103" s="120"/>
      <c r="BH103" s="120"/>
      <c r="BI103" s="119"/>
      <c r="BJ103" s="119"/>
      <c r="BK103" s="119"/>
      <c r="BL103" s="119"/>
      <c r="BM103" s="119"/>
      <c r="BN103" s="119"/>
    </row>
    <row r="104" spans="1:66" x14ac:dyDescent="0.25">
      <c r="U104" s="125"/>
      <c r="V104" s="119"/>
      <c r="W104" s="120"/>
      <c r="X104" s="120"/>
      <c r="Y104" s="119"/>
      <c r="Z104" s="119"/>
      <c r="AA104" s="119"/>
      <c r="AB104" s="119"/>
      <c r="AC104" s="119"/>
      <c r="AD104" s="119"/>
      <c r="AG104" s="125"/>
      <c r="AH104" s="119"/>
      <c r="AI104" s="120"/>
      <c r="AJ104" s="120"/>
      <c r="AK104" s="119"/>
      <c r="AL104" s="119"/>
      <c r="AM104" s="119"/>
      <c r="AN104" s="119"/>
      <c r="AO104" s="119"/>
      <c r="AP104" s="119"/>
      <c r="AT104" s="119"/>
      <c r="AU104" s="120"/>
      <c r="AV104" s="120"/>
      <c r="AW104" s="119"/>
      <c r="AX104" s="119"/>
      <c r="AY104" s="119"/>
      <c r="AZ104" s="119"/>
      <c r="BA104" s="119"/>
      <c r="BB104" s="119"/>
      <c r="BE104" s="125"/>
      <c r="BF104" s="119"/>
      <c r="BG104" s="120"/>
      <c r="BH104" s="120"/>
      <c r="BI104" s="119"/>
      <c r="BJ104" s="119"/>
      <c r="BK104" s="119"/>
      <c r="BL104" s="119"/>
      <c r="BM104" s="119"/>
      <c r="BN104" s="119"/>
    </row>
    <row r="105" spans="1:66" x14ac:dyDescent="0.25">
      <c r="U105" s="125"/>
      <c r="V105" s="119"/>
      <c r="W105" s="120"/>
      <c r="X105" s="120"/>
      <c r="Y105" s="119"/>
      <c r="Z105" s="119"/>
      <c r="AA105" s="119"/>
      <c r="AB105" s="119"/>
      <c r="AC105" s="119"/>
      <c r="AD105" s="119"/>
      <c r="AG105" s="125"/>
      <c r="AH105" s="119"/>
      <c r="AI105" s="120"/>
      <c r="AJ105" s="120"/>
      <c r="AK105" s="119"/>
      <c r="AL105" s="119"/>
      <c r="AM105" s="119"/>
      <c r="AN105" s="119"/>
      <c r="AO105" s="119"/>
      <c r="AP105" s="119"/>
      <c r="AT105" s="119"/>
      <c r="AU105" s="120"/>
      <c r="AV105" s="120"/>
      <c r="AW105" s="119"/>
      <c r="AX105" s="119"/>
      <c r="AY105" s="119"/>
      <c r="AZ105" s="119"/>
      <c r="BA105" s="119"/>
      <c r="BB105" s="119"/>
      <c r="BE105" s="125"/>
      <c r="BF105" s="119"/>
      <c r="BG105" s="120"/>
      <c r="BH105" s="120"/>
      <c r="BI105" s="119"/>
      <c r="BJ105" s="119"/>
      <c r="BK105" s="119"/>
      <c r="BL105" s="119"/>
      <c r="BM105" s="119"/>
      <c r="BN105" s="119"/>
    </row>
    <row r="106" spans="1:66" x14ac:dyDescent="0.25">
      <c r="U106" s="125"/>
      <c r="V106" s="119"/>
      <c r="W106" s="120"/>
      <c r="X106" s="120"/>
      <c r="Y106" s="119"/>
      <c r="Z106" s="119"/>
      <c r="AA106" s="119"/>
      <c r="AB106" s="119"/>
      <c r="AC106" s="119"/>
      <c r="AD106" s="119"/>
      <c r="AG106" s="125"/>
      <c r="AH106" s="119"/>
      <c r="AI106" s="120"/>
      <c r="AJ106" s="120"/>
      <c r="AK106" s="119"/>
      <c r="AL106" s="119"/>
      <c r="AM106" s="119"/>
      <c r="AN106" s="119"/>
      <c r="AO106" s="119"/>
      <c r="AP106" s="119"/>
      <c r="AT106" s="119"/>
      <c r="AU106" s="120"/>
      <c r="AV106" s="120"/>
      <c r="AW106" s="119"/>
      <c r="AX106" s="119"/>
      <c r="AY106" s="119"/>
      <c r="AZ106" s="119"/>
      <c r="BA106" s="119"/>
      <c r="BB106" s="119"/>
      <c r="BE106" s="125"/>
      <c r="BF106" s="119"/>
      <c r="BG106" s="120"/>
      <c r="BH106" s="120"/>
      <c r="BI106" s="119"/>
      <c r="BJ106" s="119"/>
      <c r="BK106" s="119"/>
      <c r="BL106" s="119"/>
      <c r="BM106" s="119"/>
      <c r="BN106" s="119"/>
    </row>
    <row r="107" spans="1:66" x14ac:dyDescent="0.25">
      <c r="U107" s="125"/>
      <c r="V107" s="119"/>
      <c r="W107" s="120"/>
      <c r="X107" s="120"/>
      <c r="Y107" s="119"/>
      <c r="Z107" s="119"/>
      <c r="AA107" s="119"/>
      <c r="AB107" s="119"/>
      <c r="AC107" s="119"/>
      <c r="AD107" s="119"/>
      <c r="AG107" s="125"/>
      <c r="AH107" s="119"/>
      <c r="AI107" s="120"/>
      <c r="AJ107" s="120"/>
      <c r="AK107" s="119"/>
      <c r="AL107" s="119"/>
      <c r="AM107" s="119"/>
      <c r="AN107" s="119"/>
      <c r="AO107" s="119"/>
      <c r="AP107" s="119"/>
      <c r="AT107" s="119"/>
      <c r="AU107" s="120"/>
      <c r="AV107" s="120"/>
      <c r="AW107" s="119"/>
      <c r="AX107" s="119"/>
      <c r="AY107" s="119"/>
      <c r="AZ107" s="119"/>
      <c r="BA107" s="119"/>
      <c r="BB107" s="119"/>
      <c r="BE107" s="125"/>
      <c r="BF107" s="119"/>
      <c r="BG107" s="120"/>
      <c r="BH107" s="120"/>
      <c r="BI107" s="119"/>
      <c r="BJ107" s="119"/>
      <c r="BK107" s="119"/>
      <c r="BL107" s="119"/>
      <c r="BM107" s="119"/>
      <c r="BN107" s="119"/>
    </row>
    <row r="108" spans="1:66" x14ac:dyDescent="0.25">
      <c r="A108" s="118"/>
      <c r="B108" s="119"/>
      <c r="C108" s="120"/>
      <c r="D108" s="120"/>
      <c r="E108" s="119"/>
      <c r="F108" s="119"/>
      <c r="U108" s="125"/>
      <c r="V108" s="119"/>
      <c r="W108" s="120"/>
      <c r="X108" s="120"/>
      <c r="Y108" s="119"/>
      <c r="Z108" s="119"/>
      <c r="AA108" s="119"/>
      <c r="AB108" s="119"/>
      <c r="AC108" s="119"/>
      <c r="AD108" s="119"/>
      <c r="AG108" s="125"/>
      <c r="AH108" s="119"/>
      <c r="AI108" s="120"/>
      <c r="AJ108" s="120"/>
      <c r="AK108" s="119"/>
      <c r="AL108" s="119"/>
      <c r="AM108" s="119"/>
      <c r="AN108" s="119"/>
      <c r="AO108" s="119"/>
      <c r="AP108" s="119"/>
      <c r="AT108" s="119"/>
      <c r="AU108" s="120"/>
      <c r="AV108" s="120"/>
      <c r="AW108" s="119"/>
      <c r="AX108" s="119"/>
      <c r="AY108" s="119"/>
      <c r="AZ108" s="119"/>
      <c r="BA108" s="119"/>
      <c r="BB108" s="119"/>
      <c r="BE108" s="125"/>
      <c r="BF108" s="119"/>
      <c r="BG108" s="120"/>
      <c r="BH108" s="120"/>
      <c r="BI108" s="119"/>
      <c r="BJ108" s="119"/>
      <c r="BK108" s="119"/>
      <c r="BL108" s="119"/>
      <c r="BM108" s="119"/>
      <c r="BN108" s="119"/>
    </row>
    <row r="109" spans="1:66" x14ac:dyDescent="0.25">
      <c r="I109" s="125"/>
      <c r="U109" s="125"/>
      <c r="V109" s="119"/>
      <c r="W109" s="120"/>
      <c r="X109" s="120"/>
      <c r="Y109" s="119"/>
      <c r="Z109" s="119"/>
      <c r="AA109" s="119"/>
      <c r="AB109" s="119"/>
      <c r="AC109" s="119"/>
      <c r="AD109" s="119"/>
      <c r="AG109" s="125"/>
      <c r="AH109" s="119"/>
      <c r="AI109" s="120"/>
      <c r="AJ109" s="120"/>
      <c r="AK109" s="119"/>
      <c r="AL109" s="119"/>
      <c r="AM109" s="119"/>
      <c r="AN109" s="119"/>
      <c r="AO109" s="119"/>
      <c r="AP109" s="119"/>
      <c r="AT109" s="119"/>
      <c r="AU109" s="120"/>
      <c r="AV109" s="120"/>
      <c r="AW109" s="119"/>
      <c r="AX109" s="119"/>
      <c r="AY109" s="119"/>
      <c r="AZ109" s="119"/>
      <c r="BA109" s="119"/>
      <c r="BB109" s="119"/>
      <c r="BE109" s="125"/>
      <c r="BF109" s="119"/>
      <c r="BG109" s="120"/>
      <c r="BH109" s="120"/>
      <c r="BI109" s="119"/>
      <c r="BJ109" s="119"/>
      <c r="BK109" s="119"/>
      <c r="BL109" s="119"/>
      <c r="BM109" s="119"/>
      <c r="BN109" s="119"/>
    </row>
    <row r="110" spans="1:66" x14ac:dyDescent="0.25">
      <c r="I110" s="125"/>
      <c r="U110" s="125"/>
      <c r="V110" s="119"/>
      <c r="W110" s="120"/>
      <c r="X110" s="120"/>
      <c r="Y110" s="119"/>
      <c r="Z110" s="119"/>
      <c r="AA110" s="119"/>
      <c r="AB110" s="119"/>
      <c r="AC110" s="119"/>
      <c r="AD110" s="119"/>
      <c r="AH110" s="119"/>
      <c r="AI110" s="120"/>
      <c r="AJ110" s="120"/>
      <c r="AK110" s="119"/>
      <c r="AL110" s="119"/>
      <c r="AM110" s="119"/>
      <c r="AN110" s="119"/>
      <c r="AO110" s="119"/>
      <c r="AP110" s="119"/>
      <c r="AS110" s="125"/>
      <c r="AT110" s="119"/>
      <c r="AU110" s="120"/>
      <c r="AV110" s="120"/>
      <c r="AW110" s="119"/>
      <c r="AX110" s="119"/>
      <c r="AY110" s="119"/>
      <c r="AZ110" s="119"/>
      <c r="BA110" s="119"/>
      <c r="BB110" s="119"/>
      <c r="BE110" s="125"/>
      <c r="BF110" s="119"/>
      <c r="BG110" s="120"/>
      <c r="BH110" s="120"/>
      <c r="BI110" s="119"/>
      <c r="BJ110" s="119"/>
      <c r="BK110" s="119"/>
      <c r="BL110" s="119"/>
      <c r="BM110" s="119"/>
      <c r="BN110" s="119"/>
    </row>
    <row r="111" spans="1:66" x14ac:dyDescent="0.25">
      <c r="I111" s="125"/>
      <c r="U111" s="125"/>
      <c r="V111" s="119"/>
      <c r="W111" s="120"/>
      <c r="X111" s="120"/>
      <c r="Y111" s="119"/>
      <c r="Z111" s="119"/>
      <c r="AA111" s="119"/>
      <c r="AB111" s="119"/>
      <c r="AC111" s="119"/>
      <c r="AD111" s="119"/>
      <c r="AH111" s="119"/>
      <c r="AI111" s="120"/>
      <c r="AJ111" s="120"/>
      <c r="AK111" s="119"/>
      <c r="AL111" s="119"/>
      <c r="AM111" s="119"/>
      <c r="AN111" s="119"/>
      <c r="AO111" s="119"/>
      <c r="AP111" s="119"/>
      <c r="AS111" s="125"/>
      <c r="AT111" s="119"/>
      <c r="AU111" s="120"/>
      <c r="AV111" s="120"/>
      <c r="AW111" s="119"/>
      <c r="AX111" s="119"/>
      <c r="AY111" s="119"/>
      <c r="AZ111" s="119"/>
      <c r="BA111" s="119"/>
      <c r="BB111" s="119"/>
      <c r="BE111" s="125"/>
      <c r="BF111" s="119"/>
      <c r="BG111" s="120"/>
      <c r="BH111" s="120"/>
      <c r="BI111" s="119"/>
      <c r="BJ111" s="119"/>
      <c r="BK111" s="119"/>
      <c r="BL111" s="119"/>
      <c r="BM111" s="119"/>
      <c r="BN111" s="119"/>
    </row>
    <row r="112" spans="1:66" x14ac:dyDescent="0.25">
      <c r="I112" s="118"/>
      <c r="U112" s="125"/>
      <c r="V112" s="119"/>
      <c r="W112" s="120"/>
      <c r="X112" s="120"/>
      <c r="Y112" s="119"/>
      <c r="Z112" s="119"/>
      <c r="AA112" s="119"/>
      <c r="AB112" s="119"/>
      <c r="AC112" s="119"/>
      <c r="AD112" s="119"/>
      <c r="AH112" s="119"/>
      <c r="AI112" s="120"/>
      <c r="AJ112" s="120"/>
      <c r="AK112" s="119"/>
      <c r="AL112" s="119"/>
      <c r="AM112" s="119"/>
      <c r="AN112" s="119"/>
      <c r="AO112" s="119"/>
      <c r="AP112" s="119"/>
      <c r="AS112" s="125"/>
      <c r="AT112" s="119"/>
      <c r="AU112" s="120"/>
      <c r="AV112" s="120"/>
      <c r="AW112" s="119"/>
      <c r="AX112" s="119"/>
      <c r="AY112" s="119"/>
      <c r="AZ112" s="119"/>
      <c r="BA112" s="119"/>
      <c r="BB112" s="119"/>
      <c r="BE112" s="125"/>
      <c r="BF112" s="119"/>
      <c r="BG112" s="120"/>
      <c r="BH112" s="120"/>
      <c r="BI112" s="119"/>
      <c r="BJ112" s="119"/>
      <c r="BK112" s="119"/>
      <c r="BL112" s="119"/>
      <c r="BM112" s="119"/>
      <c r="BN112" s="119"/>
    </row>
    <row r="113" spans="1:66" x14ac:dyDescent="0.25">
      <c r="A113" s="125"/>
      <c r="B113" s="122"/>
      <c r="C113" s="120"/>
      <c r="D113" s="120"/>
      <c r="E113" s="122"/>
      <c r="F113" s="122"/>
      <c r="I113" s="118"/>
      <c r="U113" s="125"/>
      <c r="V113" s="119"/>
      <c r="W113" s="120"/>
      <c r="X113" s="120"/>
      <c r="Y113" s="119"/>
      <c r="Z113" s="119"/>
      <c r="AA113" s="119"/>
      <c r="AB113" s="119"/>
      <c r="AC113" s="119"/>
      <c r="AD113" s="119"/>
      <c r="AH113" s="119"/>
      <c r="AI113" s="120"/>
      <c r="AJ113" s="120"/>
      <c r="AK113" s="119"/>
      <c r="AL113" s="119"/>
      <c r="AM113" s="119"/>
      <c r="AN113" s="119"/>
      <c r="AO113" s="119"/>
      <c r="AP113" s="119"/>
      <c r="AS113" s="125"/>
      <c r="AT113" s="119"/>
      <c r="AU113" s="120"/>
      <c r="AV113" s="120"/>
      <c r="AW113" s="119"/>
      <c r="AX113" s="119"/>
      <c r="AY113" s="119"/>
      <c r="AZ113" s="119"/>
      <c r="BA113" s="119"/>
      <c r="BB113" s="119"/>
      <c r="BE113" s="125"/>
      <c r="BF113" s="119"/>
      <c r="BG113" s="120"/>
      <c r="BH113" s="120"/>
      <c r="BI113" s="119"/>
      <c r="BJ113" s="119"/>
      <c r="BK113" s="119"/>
      <c r="BL113" s="119"/>
      <c r="BM113" s="119"/>
      <c r="BN113" s="119"/>
    </row>
    <row r="114" spans="1:66" x14ac:dyDescent="0.25">
      <c r="U114" s="125"/>
      <c r="V114" s="119"/>
      <c r="W114" s="120"/>
      <c r="X114" s="120"/>
      <c r="Y114" s="119"/>
      <c r="Z114" s="119"/>
      <c r="AA114" s="119"/>
      <c r="AB114" s="119"/>
      <c r="AC114" s="119"/>
      <c r="AD114" s="119"/>
      <c r="AH114" s="119"/>
      <c r="AI114" s="120"/>
      <c r="AJ114" s="120"/>
      <c r="AK114" s="119"/>
      <c r="AL114" s="119"/>
      <c r="AM114" s="119"/>
      <c r="AN114" s="119"/>
      <c r="AO114" s="119"/>
      <c r="AP114" s="119"/>
      <c r="AS114" s="125"/>
      <c r="AT114" s="119"/>
      <c r="AU114" s="120"/>
      <c r="AV114" s="120"/>
      <c r="AW114" s="119"/>
      <c r="AX114" s="119"/>
      <c r="AY114" s="119"/>
      <c r="AZ114" s="119"/>
      <c r="BA114" s="119"/>
      <c r="BB114" s="119"/>
      <c r="BE114" s="125"/>
      <c r="BF114" s="119"/>
      <c r="BG114" s="120"/>
      <c r="BH114" s="120"/>
      <c r="BI114" s="119"/>
      <c r="BJ114" s="119"/>
      <c r="BK114" s="119"/>
      <c r="BL114" s="119"/>
      <c r="BM114" s="119"/>
      <c r="BN114" s="119"/>
    </row>
    <row r="115" spans="1:66" x14ac:dyDescent="0.25">
      <c r="A115" s="118"/>
      <c r="B115" s="119"/>
      <c r="C115" s="120"/>
      <c r="D115" s="120"/>
      <c r="E115" s="119"/>
      <c r="F115" s="119"/>
      <c r="U115" s="125"/>
      <c r="V115" s="119"/>
      <c r="W115" s="120"/>
      <c r="X115" s="120"/>
      <c r="Y115" s="119"/>
      <c r="Z115" s="119"/>
      <c r="AA115" s="119"/>
      <c r="AB115" s="119"/>
      <c r="AC115" s="119"/>
      <c r="AD115" s="119"/>
      <c r="AH115" s="119"/>
      <c r="AI115" s="120"/>
      <c r="AJ115" s="120"/>
      <c r="AK115" s="119"/>
      <c r="AL115" s="119"/>
      <c r="AM115" s="119"/>
      <c r="AN115" s="119"/>
      <c r="AO115" s="119"/>
      <c r="AP115" s="119"/>
      <c r="AS115" s="125"/>
      <c r="AT115" s="119"/>
      <c r="AU115" s="120"/>
      <c r="AV115" s="120"/>
      <c r="AW115" s="119"/>
      <c r="AX115" s="119"/>
      <c r="AY115" s="119"/>
      <c r="AZ115" s="119"/>
      <c r="BA115" s="119"/>
      <c r="BB115" s="119"/>
      <c r="BE115" s="125"/>
      <c r="BF115" s="119"/>
      <c r="BG115" s="120"/>
      <c r="BH115" s="120"/>
      <c r="BI115" s="119"/>
      <c r="BJ115" s="119"/>
      <c r="BK115" s="119"/>
      <c r="BL115" s="119"/>
      <c r="BM115" s="119"/>
      <c r="BN115" s="119"/>
    </row>
    <row r="116" spans="1:66" x14ac:dyDescent="0.25">
      <c r="U116" s="125"/>
      <c r="V116" s="119"/>
      <c r="W116" s="120"/>
      <c r="X116" s="120"/>
      <c r="Y116" s="119"/>
      <c r="Z116" s="119"/>
      <c r="AA116" s="119"/>
      <c r="AB116" s="119"/>
      <c r="AC116" s="119"/>
      <c r="AD116" s="119"/>
      <c r="AH116" s="119"/>
      <c r="AI116" s="120"/>
      <c r="AJ116" s="120"/>
      <c r="AK116" s="119"/>
      <c r="AL116" s="119"/>
      <c r="AM116" s="119"/>
      <c r="AN116" s="119"/>
      <c r="AO116" s="119"/>
      <c r="AP116" s="119"/>
      <c r="AS116" s="125"/>
      <c r="AT116" s="119"/>
      <c r="AU116" s="120"/>
      <c r="AV116" s="120"/>
      <c r="AW116" s="119"/>
      <c r="AX116" s="119"/>
      <c r="AY116" s="119"/>
      <c r="AZ116" s="119"/>
      <c r="BA116" s="119"/>
      <c r="BB116" s="119"/>
      <c r="BE116" s="125"/>
      <c r="BF116" s="119"/>
      <c r="BG116" s="120"/>
      <c r="BH116" s="120"/>
      <c r="BI116" s="119"/>
      <c r="BJ116" s="119"/>
      <c r="BK116" s="119"/>
      <c r="BL116" s="119"/>
      <c r="BM116" s="119"/>
      <c r="BN116" s="119"/>
    </row>
    <row r="117" spans="1:66" x14ac:dyDescent="0.25">
      <c r="U117" s="125"/>
      <c r="V117" s="119"/>
      <c r="W117" s="120"/>
      <c r="X117" s="120"/>
      <c r="Y117" s="119"/>
      <c r="Z117" s="119"/>
      <c r="AA117" s="119"/>
      <c r="AB117" s="119"/>
      <c r="AC117" s="119"/>
      <c r="AD117" s="119"/>
      <c r="AH117" s="119"/>
      <c r="AI117" s="120"/>
      <c r="AJ117" s="120"/>
      <c r="AK117" s="119"/>
      <c r="AL117" s="119"/>
      <c r="AM117" s="119"/>
      <c r="AN117" s="119"/>
      <c r="AO117" s="119"/>
      <c r="AP117" s="119"/>
      <c r="AS117" s="125"/>
      <c r="AT117" s="119"/>
      <c r="AU117" s="120"/>
      <c r="AV117" s="120"/>
      <c r="AW117" s="119"/>
      <c r="AX117" s="119"/>
      <c r="AY117" s="119"/>
      <c r="AZ117" s="119"/>
      <c r="BA117" s="119"/>
      <c r="BB117" s="119"/>
      <c r="BE117" s="125"/>
      <c r="BF117" s="119"/>
      <c r="BG117" s="120"/>
      <c r="BH117" s="120"/>
      <c r="BI117" s="119"/>
      <c r="BJ117" s="119"/>
      <c r="BK117" s="119"/>
      <c r="BL117" s="119"/>
      <c r="BM117" s="119"/>
      <c r="BN117" s="119"/>
    </row>
    <row r="118" spans="1:66" x14ac:dyDescent="0.25">
      <c r="U118" s="125"/>
      <c r="V118" s="119"/>
      <c r="W118" s="120"/>
      <c r="X118" s="120"/>
      <c r="Y118" s="119"/>
      <c r="Z118" s="119"/>
      <c r="AA118" s="119"/>
      <c r="AB118" s="119"/>
      <c r="AC118" s="119"/>
      <c r="AD118" s="119"/>
      <c r="AH118" s="119"/>
      <c r="AI118" s="120"/>
      <c r="AJ118" s="120"/>
      <c r="AK118" s="119"/>
      <c r="AL118" s="119"/>
      <c r="AM118" s="119"/>
      <c r="AN118" s="119"/>
      <c r="AO118" s="119"/>
      <c r="AP118" s="119"/>
      <c r="AS118" s="125"/>
      <c r="AT118" s="119"/>
      <c r="AU118" s="120"/>
      <c r="AV118" s="120"/>
      <c r="AW118" s="119"/>
      <c r="AX118" s="119"/>
      <c r="AY118" s="119"/>
      <c r="AZ118" s="119"/>
      <c r="BA118" s="119"/>
      <c r="BB118" s="119"/>
      <c r="BE118" s="125"/>
      <c r="BF118" s="119"/>
      <c r="BG118" s="120"/>
      <c r="BH118" s="120"/>
      <c r="BI118" s="119"/>
      <c r="BJ118" s="119"/>
      <c r="BK118" s="119"/>
      <c r="BL118" s="119"/>
      <c r="BM118" s="119"/>
      <c r="BN118" s="119"/>
    </row>
    <row r="119" spans="1:66" x14ac:dyDescent="0.25">
      <c r="U119" s="125"/>
      <c r="V119" s="119"/>
      <c r="W119" s="120"/>
      <c r="X119" s="120"/>
      <c r="Y119" s="119"/>
      <c r="Z119" s="119"/>
      <c r="AA119" s="119"/>
      <c r="AB119" s="119"/>
      <c r="AC119" s="119"/>
      <c r="AD119" s="119"/>
      <c r="AH119" s="119"/>
      <c r="AI119" s="120"/>
      <c r="AJ119" s="120"/>
      <c r="AK119" s="119"/>
      <c r="AL119" s="119"/>
      <c r="AM119" s="119"/>
      <c r="AN119" s="119"/>
      <c r="AO119" s="119"/>
      <c r="AP119" s="119"/>
      <c r="AS119" s="125"/>
      <c r="AT119" s="119"/>
      <c r="AU119" s="120"/>
      <c r="AV119" s="120"/>
      <c r="AW119" s="119"/>
      <c r="AX119" s="119"/>
      <c r="AY119" s="119"/>
      <c r="AZ119" s="119"/>
      <c r="BA119" s="119"/>
      <c r="BB119" s="119"/>
      <c r="BE119" s="125"/>
      <c r="BF119" s="119"/>
      <c r="BG119" s="120"/>
      <c r="BH119" s="120"/>
      <c r="BI119" s="119"/>
      <c r="BJ119" s="119"/>
      <c r="BK119" s="119"/>
      <c r="BL119" s="119"/>
      <c r="BM119" s="119"/>
      <c r="BN119" s="119"/>
    </row>
    <row r="120" spans="1:66" x14ac:dyDescent="0.25">
      <c r="I120" s="125"/>
      <c r="J120" s="119"/>
      <c r="K120" s="120"/>
      <c r="L120" s="120"/>
      <c r="M120" s="119"/>
      <c r="N120" s="119"/>
      <c r="O120" s="119"/>
      <c r="P120" s="119"/>
      <c r="Q120" s="119"/>
      <c r="R120" s="119"/>
      <c r="U120" s="125"/>
      <c r="V120" s="119"/>
      <c r="W120" s="120"/>
      <c r="X120" s="120"/>
      <c r="Y120" s="119"/>
      <c r="Z120" s="119"/>
      <c r="AA120" s="119"/>
      <c r="AB120" s="119"/>
      <c r="AC120" s="119"/>
      <c r="AD120" s="119"/>
      <c r="AH120" s="119"/>
      <c r="AI120" s="120"/>
      <c r="AJ120" s="120"/>
      <c r="AK120" s="119"/>
      <c r="AL120" s="119"/>
      <c r="AM120" s="119"/>
      <c r="AN120" s="119"/>
      <c r="AO120" s="119"/>
      <c r="AP120" s="119"/>
      <c r="AS120" s="125"/>
      <c r="AT120" s="119"/>
      <c r="AU120" s="120"/>
      <c r="AV120" s="120"/>
      <c r="AW120" s="119"/>
      <c r="AX120" s="119"/>
      <c r="AY120" s="119"/>
      <c r="AZ120" s="119"/>
      <c r="BA120" s="119"/>
      <c r="BB120" s="119"/>
      <c r="BE120" s="125"/>
      <c r="BF120" s="119"/>
      <c r="BG120" s="120"/>
      <c r="BH120" s="120"/>
      <c r="BI120" s="119"/>
      <c r="BJ120" s="119"/>
      <c r="BK120" s="119"/>
      <c r="BL120" s="119"/>
      <c r="BM120" s="119"/>
      <c r="BN120" s="119"/>
    </row>
    <row r="121" spans="1:66" x14ac:dyDescent="0.25">
      <c r="A121" s="125"/>
      <c r="B121" s="122"/>
      <c r="C121" s="120"/>
      <c r="D121" s="120"/>
      <c r="E121" s="122"/>
      <c r="F121" s="122"/>
      <c r="I121" s="125"/>
      <c r="J121" s="119"/>
      <c r="K121" s="120"/>
      <c r="L121" s="120"/>
      <c r="M121" s="119"/>
      <c r="N121" s="119"/>
      <c r="O121" s="119"/>
      <c r="P121" s="119"/>
      <c r="Q121" s="119"/>
      <c r="R121" s="119"/>
      <c r="U121" s="125"/>
      <c r="V121" s="119"/>
      <c r="W121" s="120"/>
      <c r="X121" s="120"/>
      <c r="Y121" s="119"/>
      <c r="Z121" s="119"/>
      <c r="AA121" s="119"/>
      <c r="AB121" s="119"/>
      <c r="AC121" s="119"/>
      <c r="AD121" s="119"/>
      <c r="AH121" s="119"/>
      <c r="AI121" s="120"/>
      <c r="AJ121" s="120"/>
      <c r="AK121" s="119"/>
      <c r="AL121" s="119"/>
      <c r="AM121" s="119"/>
      <c r="AN121" s="119"/>
      <c r="AO121" s="119"/>
      <c r="AP121" s="119"/>
      <c r="AS121" s="125"/>
      <c r="AT121" s="119"/>
      <c r="AU121" s="120"/>
      <c r="AV121" s="120"/>
      <c r="AW121" s="119"/>
      <c r="AX121" s="119"/>
      <c r="AY121" s="119"/>
      <c r="AZ121" s="119"/>
      <c r="BA121" s="119"/>
      <c r="BB121" s="119"/>
      <c r="BE121" s="125"/>
      <c r="BF121" s="119"/>
      <c r="BG121" s="120"/>
      <c r="BH121" s="120"/>
      <c r="BI121" s="119"/>
      <c r="BJ121" s="119"/>
      <c r="BK121" s="119"/>
      <c r="BL121" s="119"/>
      <c r="BM121" s="119"/>
      <c r="BN121" s="119"/>
    </row>
    <row r="122" spans="1:66" x14ac:dyDescent="0.25">
      <c r="J122" s="119"/>
      <c r="K122" s="120"/>
      <c r="L122" s="120"/>
      <c r="M122" s="119"/>
      <c r="N122" s="119"/>
      <c r="O122" s="119"/>
      <c r="P122" s="119"/>
      <c r="Q122" s="119"/>
      <c r="R122" s="119"/>
      <c r="U122" s="125"/>
      <c r="V122" s="119"/>
      <c r="W122" s="120"/>
      <c r="X122" s="120"/>
      <c r="Y122" s="119"/>
      <c r="Z122" s="119"/>
      <c r="AA122" s="119"/>
      <c r="AB122" s="119"/>
      <c r="AC122" s="119"/>
      <c r="AD122" s="119"/>
      <c r="AG122" s="125"/>
      <c r="AH122" s="119"/>
      <c r="AI122" s="120"/>
      <c r="AJ122" s="120"/>
      <c r="AK122" s="119"/>
      <c r="AL122" s="119"/>
      <c r="AM122" s="119"/>
      <c r="AN122" s="119"/>
      <c r="AO122" s="119"/>
      <c r="AP122" s="119"/>
      <c r="AT122" s="119"/>
      <c r="AU122" s="120"/>
      <c r="AV122" s="120"/>
      <c r="AW122" s="119"/>
      <c r="AX122" s="119"/>
      <c r="AY122" s="119"/>
      <c r="AZ122" s="119"/>
      <c r="BA122" s="119"/>
      <c r="BB122" s="119"/>
      <c r="BE122" s="125"/>
      <c r="BF122" s="119"/>
      <c r="BG122" s="120"/>
      <c r="BH122" s="120"/>
      <c r="BI122" s="119"/>
      <c r="BJ122" s="119"/>
      <c r="BK122" s="119"/>
      <c r="BL122" s="119"/>
      <c r="BM122" s="119"/>
      <c r="BN122" s="119"/>
    </row>
    <row r="123" spans="1:66" x14ac:dyDescent="0.25">
      <c r="U123" s="125"/>
      <c r="V123" s="119"/>
      <c r="W123" s="120"/>
      <c r="X123" s="120"/>
      <c r="Y123" s="119"/>
      <c r="Z123" s="119"/>
      <c r="AA123" s="119"/>
      <c r="AB123" s="119"/>
      <c r="AC123" s="119"/>
      <c r="AD123" s="119"/>
      <c r="AG123" s="125"/>
      <c r="AH123" s="119"/>
      <c r="AI123" s="120"/>
      <c r="AJ123" s="120"/>
      <c r="AK123" s="119"/>
      <c r="AL123" s="119"/>
      <c r="AM123" s="119"/>
      <c r="AN123" s="119"/>
      <c r="AO123" s="119"/>
      <c r="AP123" s="119"/>
      <c r="AT123" s="119"/>
      <c r="AU123" s="120"/>
      <c r="AV123" s="120"/>
      <c r="AW123" s="119"/>
      <c r="AX123" s="119"/>
      <c r="AY123" s="119"/>
      <c r="AZ123" s="119"/>
      <c r="BA123" s="119"/>
      <c r="BB123" s="119"/>
      <c r="BE123" s="125"/>
      <c r="BF123" s="119"/>
      <c r="BG123" s="120"/>
      <c r="BH123" s="120"/>
      <c r="BI123" s="119"/>
      <c r="BJ123" s="119"/>
      <c r="BK123" s="119"/>
      <c r="BL123" s="119"/>
      <c r="BM123" s="119"/>
      <c r="BN123" s="119"/>
    </row>
    <row r="124" spans="1:66" x14ac:dyDescent="0.25">
      <c r="U124" s="125"/>
      <c r="V124" s="119"/>
      <c r="W124" s="120"/>
      <c r="X124" s="120"/>
      <c r="Y124" s="119"/>
      <c r="Z124" s="119"/>
      <c r="AA124" s="119"/>
      <c r="AB124" s="119"/>
      <c r="AC124" s="119"/>
      <c r="AD124" s="119"/>
      <c r="AG124" s="125"/>
      <c r="AH124" s="119"/>
      <c r="AI124" s="120"/>
      <c r="AJ124" s="120"/>
      <c r="AK124" s="119"/>
      <c r="AL124" s="119"/>
      <c r="AM124" s="119"/>
      <c r="AN124" s="119"/>
      <c r="AO124" s="119"/>
      <c r="AP124" s="119"/>
      <c r="AT124" s="119"/>
      <c r="AU124" s="120"/>
      <c r="AV124" s="120"/>
      <c r="AW124" s="119"/>
      <c r="AX124" s="119"/>
      <c r="AY124" s="119"/>
      <c r="AZ124" s="119"/>
      <c r="BA124" s="119"/>
      <c r="BB124" s="119"/>
      <c r="BE124" s="125"/>
      <c r="BF124" s="119"/>
      <c r="BG124" s="120"/>
      <c r="BH124" s="120"/>
      <c r="BI124" s="119"/>
      <c r="BJ124" s="119"/>
      <c r="BK124" s="119"/>
      <c r="BL124" s="119"/>
      <c r="BM124" s="119"/>
      <c r="BN124" s="119"/>
    </row>
    <row r="125" spans="1:66" x14ac:dyDescent="0.25">
      <c r="U125" s="125"/>
      <c r="V125" s="119"/>
      <c r="W125" s="120"/>
      <c r="X125" s="120"/>
      <c r="Y125" s="119"/>
      <c r="Z125" s="119"/>
      <c r="AA125" s="119"/>
      <c r="AB125" s="119"/>
      <c r="AC125" s="119"/>
      <c r="AD125" s="119"/>
      <c r="AG125" s="125"/>
      <c r="AH125" s="119"/>
      <c r="AI125" s="120"/>
      <c r="AJ125" s="120"/>
      <c r="AK125" s="119"/>
      <c r="AL125" s="119"/>
      <c r="AM125" s="119"/>
      <c r="AN125" s="119"/>
      <c r="AO125" s="119"/>
      <c r="AP125" s="119"/>
      <c r="AT125" s="119"/>
      <c r="AU125" s="120"/>
      <c r="AV125" s="120"/>
      <c r="AW125" s="119"/>
      <c r="AX125" s="119"/>
      <c r="AY125" s="119"/>
      <c r="AZ125" s="119"/>
      <c r="BA125" s="119"/>
      <c r="BB125" s="119"/>
      <c r="BE125" s="125"/>
      <c r="BF125" s="119"/>
      <c r="BG125" s="120"/>
      <c r="BH125" s="120"/>
      <c r="BI125" s="119"/>
      <c r="BJ125" s="119"/>
      <c r="BK125" s="119"/>
      <c r="BL125" s="119"/>
      <c r="BM125" s="119"/>
      <c r="BN125" s="119"/>
    </row>
    <row r="126" spans="1:66" x14ac:dyDescent="0.25">
      <c r="U126" s="125"/>
      <c r="V126" s="119"/>
      <c r="W126" s="120"/>
      <c r="X126" s="120"/>
      <c r="Y126" s="119"/>
      <c r="Z126" s="119"/>
      <c r="AA126" s="119"/>
      <c r="AB126" s="119"/>
      <c r="AC126" s="119"/>
      <c r="AD126" s="119"/>
      <c r="AG126" s="125"/>
      <c r="AH126" s="119"/>
      <c r="AI126" s="120"/>
      <c r="AJ126" s="120"/>
      <c r="AK126" s="119"/>
      <c r="AL126" s="119"/>
      <c r="AM126" s="119"/>
      <c r="AN126" s="119"/>
      <c r="AO126" s="119"/>
      <c r="AP126" s="119"/>
      <c r="AT126" s="119"/>
      <c r="AU126" s="120"/>
      <c r="AV126" s="120"/>
      <c r="AW126" s="119"/>
      <c r="AX126" s="119"/>
      <c r="AY126" s="119"/>
      <c r="AZ126" s="119"/>
      <c r="BA126" s="119"/>
      <c r="BB126" s="119"/>
      <c r="BE126" s="125"/>
      <c r="BF126" s="119"/>
      <c r="BG126" s="120"/>
      <c r="BH126" s="120"/>
      <c r="BI126" s="119"/>
      <c r="BJ126" s="119"/>
      <c r="BK126" s="119"/>
      <c r="BL126" s="119"/>
      <c r="BM126" s="119"/>
      <c r="BN126" s="119"/>
    </row>
    <row r="127" spans="1:66" x14ac:dyDescent="0.25">
      <c r="U127" s="125"/>
      <c r="V127" s="119"/>
      <c r="W127" s="120"/>
      <c r="X127" s="120"/>
      <c r="Y127" s="119"/>
      <c r="Z127" s="119"/>
      <c r="AA127" s="119"/>
      <c r="AB127" s="119"/>
      <c r="AC127" s="119"/>
      <c r="AD127" s="119"/>
      <c r="AG127" s="125"/>
      <c r="AH127" s="119"/>
      <c r="AI127" s="120"/>
      <c r="AJ127" s="120"/>
      <c r="AK127" s="119"/>
      <c r="AL127" s="119"/>
      <c r="AM127" s="119"/>
      <c r="AN127" s="119"/>
      <c r="AO127" s="119"/>
      <c r="AP127" s="119"/>
      <c r="AT127" s="119"/>
      <c r="AU127" s="120"/>
      <c r="AV127" s="120"/>
      <c r="AW127" s="119"/>
      <c r="AX127" s="119"/>
      <c r="AY127" s="119"/>
      <c r="AZ127" s="119"/>
      <c r="BA127" s="119"/>
      <c r="BB127" s="119"/>
      <c r="BE127" s="125"/>
      <c r="BF127" s="119"/>
      <c r="BG127" s="120"/>
      <c r="BH127" s="120"/>
      <c r="BI127" s="119"/>
      <c r="BJ127" s="119"/>
      <c r="BK127" s="119"/>
      <c r="BL127" s="119"/>
      <c r="BM127" s="119"/>
      <c r="BN127" s="119"/>
    </row>
    <row r="128" spans="1:66" x14ac:dyDescent="0.25">
      <c r="I128" s="125"/>
      <c r="U128" s="125"/>
      <c r="V128" s="119"/>
      <c r="W128" s="120"/>
      <c r="X128" s="120"/>
      <c r="Y128" s="119"/>
      <c r="Z128" s="119"/>
      <c r="AA128" s="119"/>
      <c r="AB128" s="119"/>
      <c r="AC128" s="119"/>
      <c r="AD128" s="119"/>
      <c r="AG128" s="125"/>
      <c r="AH128" s="119"/>
      <c r="AI128" s="120"/>
      <c r="AJ128" s="120"/>
      <c r="AK128" s="119"/>
      <c r="AL128" s="119"/>
      <c r="AM128" s="119"/>
      <c r="AN128" s="119"/>
      <c r="AO128" s="119"/>
      <c r="AP128" s="119"/>
      <c r="AT128" s="119"/>
      <c r="AU128" s="120"/>
      <c r="AV128" s="120"/>
      <c r="AW128" s="119"/>
      <c r="AX128" s="119"/>
      <c r="AY128" s="119"/>
      <c r="AZ128" s="119"/>
      <c r="BA128" s="119"/>
      <c r="BB128" s="119"/>
      <c r="BE128" s="125"/>
      <c r="BF128" s="119"/>
      <c r="BG128" s="120"/>
      <c r="BH128" s="120"/>
      <c r="BI128" s="119"/>
      <c r="BJ128" s="119"/>
      <c r="BK128" s="119"/>
      <c r="BL128" s="119"/>
      <c r="BM128" s="119"/>
      <c r="BN128" s="119"/>
    </row>
    <row r="129" spans="1:66" x14ac:dyDescent="0.25">
      <c r="I129" s="125"/>
      <c r="U129" s="125"/>
      <c r="V129" s="119"/>
      <c r="W129" s="120"/>
      <c r="X129" s="120"/>
      <c r="Y129" s="119"/>
      <c r="Z129" s="119"/>
      <c r="AA129" s="119"/>
      <c r="AB129" s="119"/>
      <c r="AC129" s="119"/>
      <c r="AD129" s="119"/>
      <c r="AH129" s="119"/>
      <c r="AI129" s="120"/>
      <c r="AJ129" s="120"/>
      <c r="AK129" s="119"/>
      <c r="AL129" s="119"/>
      <c r="AM129" s="119"/>
      <c r="AN129" s="119"/>
      <c r="AO129" s="119"/>
      <c r="AP129" s="119"/>
      <c r="AS129" s="125"/>
      <c r="AT129" s="119"/>
      <c r="AU129" s="120"/>
      <c r="AV129" s="120"/>
      <c r="AW129" s="119"/>
      <c r="AX129" s="119"/>
      <c r="AY129" s="119"/>
      <c r="AZ129" s="119"/>
      <c r="BA129" s="119"/>
      <c r="BB129" s="119"/>
      <c r="BE129" s="125"/>
      <c r="BF129" s="119"/>
      <c r="BG129" s="120"/>
      <c r="BH129" s="120"/>
      <c r="BI129" s="119"/>
      <c r="BJ129" s="119"/>
      <c r="BK129" s="119"/>
      <c r="BL129" s="119"/>
      <c r="BM129" s="119"/>
      <c r="BN129" s="119"/>
    </row>
    <row r="130" spans="1:66" x14ac:dyDescent="0.25">
      <c r="I130" s="125"/>
      <c r="U130" s="125"/>
      <c r="V130" s="119"/>
      <c r="W130" s="120"/>
      <c r="X130" s="120"/>
      <c r="Y130" s="119"/>
      <c r="Z130" s="119"/>
      <c r="AA130" s="119"/>
      <c r="AB130" s="119"/>
      <c r="AC130" s="119"/>
      <c r="AD130" s="119"/>
      <c r="AH130" s="119"/>
      <c r="AI130" s="120"/>
      <c r="AJ130" s="120"/>
      <c r="AK130" s="119"/>
      <c r="AL130" s="119"/>
      <c r="AM130" s="119"/>
      <c r="AN130" s="119"/>
      <c r="AO130" s="119"/>
      <c r="AP130" s="119"/>
      <c r="AS130" s="125"/>
      <c r="AT130" s="119"/>
      <c r="AU130" s="120"/>
      <c r="AV130" s="120"/>
      <c r="AW130" s="119"/>
      <c r="AX130" s="119"/>
      <c r="AY130" s="119"/>
      <c r="AZ130" s="119"/>
      <c r="BA130" s="119"/>
      <c r="BB130" s="119"/>
      <c r="BE130" s="125"/>
      <c r="BF130" s="119"/>
      <c r="BG130" s="120"/>
      <c r="BH130" s="120"/>
      <c r="BI130" s="119"/>
      <c r="BJ130" s="119"/>
      <c r="BK130" s="119"/>
      <c r="BL130" s="119"/>
      <c r="BM130" s="119"/>
      <c r="BN130" s="119"/>
    </row>
    <row r="131" spans="1:66" x14ac:dyDescent="0.25">
      <c r="I131" s="118"/>
      <c r="U131" s="125"/>
      <c r="V131" s="119"/>
      <c r="W131" s="120"/>
      <c r="X131" s="120"/>
      <c r="Y131" s="119"/>
      <c r="Z131" s="119"/>
      <c r="AA131" s="119"/>
      <c r="AB131" s="119"/>
      <c r="AC131" s="119"/>
      <c r="AD131" s="119"/>
      <c r="AH131" s="119"/>
      <c r="AI131" s="120"/>
      <c r="AJ131" s="120"/>
      <c r="AK131" s="119"/>
      <c r="AL131" s="119"/>
      <c r="AM131" s="119"/>
      <c r="AN131" s="119"/>
      <c r="AO131" s="119"/>
      <c r="AP131" s="119"/>
      <c r="AS131" s="125"/>
      <c r="AT131" s="119"/>
      <c r="AU131" s="120"/>
      <c r="AV131" s="120"/>
      <c r="AW131" s="119"/>
      <c r="AX131" s="119"/>
      <c r="AY131" s="119"/>
      <c r="AZ131" s="119"/>
      <c r="BA131" s="119"/>
      <c r="BB131" s="119"/>
      <c r="BE131" s="125"/>
      <c r="BF131" s="119"/>
      <c r="BG131" s="120"/>
      <c r="BH131" s="120"/>
      <c r="BI131" s="119"/>
      <c r="BJ131" s="119"/>
      <c r="BK131" s="119"/>
      <c r="BL131" s="119"/>
      <c r="BM131" s="119"/>
      <c r="BN131" s="119"/>
    </row>
    <row r="132" spans="1:66" x14ac:dyDescent="0.25">
      <c r="I132" s="118"/>
      <c r="U132" s="125"/>
      <c r="V132" s="119"/>
      <c r="W132" s="120"/>
      <c r="X132" s="120"/>
      <c r="Y132" s="119"/>
      <c r="Z132" s="119"/>
      <c r="AA132" s="119"/>
      <c r="AB132" s="119"/>
      <c r="AC132" s="119"/>
      <c r="AD132" s="119"/>
      <c r="AH132" s="119"/>
      <c r="AI132" s="120"/>
      <c r="AJ132" s="120"/>
      <c r="AK132" s="119"/>
      <c r="AL132" s="119"/>
      <c r="AM132" s="119"/>
      <c r="AN132" s="119"/>
      <c r="AO132" s="119"/>
      <c r="AP132" s="119"/>
      <c r="AS132" s="125"/>
      <c r="AT132" s="119"/>
      <c r="AU132" s="120"/>
      <c r="AV132" s="120"/>
      <c r="AW132" s="119"/>
      <c r="AX132" s="119"/>
      <c r="AY132" s="119"/>
      <c r="AZ132" s="119"/>
      <c r="BA132" s="119"/>
      <c r="BB132" s="119"/>
      <c r="BE132" s="125"/>
      <c r="BF132" s="119"/>
      <c r="BG132" s="120"/>
      <c r="BH132" s="120"/>
      <c r="BI132" s="119"/>
      <c r="BJ132" s="119"/>
      <c r="BK132" s="119"/>
      <c r="BL132" s="119"/>
      <c r="BM132" s="119"/>
      <c r="BN132" s="119"/>
    </row>
    <row r="133" spans="1:66" x14ac:dyDescent="0.25">
      <c r="U133" s="125"/>
      <c r="V133" s="119"/>
      <c r="W133" s="120"/>
      <c r="X133" s="120"/>
      <c r="Y133" s="119"/>
      <c r="Z133" s="119"/>
      <c r="AA133" s="119"/>
      <c r="AB133" s="119"/>
      <c r="AC133" s="119"/>
      <c r="AD133" s="119"/>
      <c r="AH133" s="119"/>
      <c r="AI133" s="120"/>
      <c r="AJ133" s="120"/>
      <c r="AK133" s="119"/>
      <c r="AL133" s="119"/>
      <c r="AM133" s="119"/>
      <c r="AN133" s="119"/>
      <c r="AO133" s="119"/>
      <c r="AP133" s="119"/>
      <c r="AS133" s="125"/>
      <c r="AT133" s="119"/>
      <c r="AU133" s="120"/>
      <c r="AV133" s="120"/>
      <c r="AW133" s="119"/>
      <c r="AX133" s="119"/>
      <c r="AY133" s="119"/>
      <c r="AZ133" s="119"/>
      <c r="BA133" s="119"/>
      <c r="BB133" s="119"/>
      <c r="BE133" s="125"/>
      <c r="BF133" s="119"/>
      <c r="BG133" s="120"/>
      <c r="BH133" s="120"/>
      <c r="BI133" s="119"/>
      <c r="BJ133" s="119"/>
      <c r="BK133" s="119"/>
      <c r="BL133" s="119"/>
      <c r="BM133" s="119"/>
      <c r="BN133" s="119"/>
    </row>
    <row r="134" spans="1:66" x14ac:dyDescent="0.25">
      <c r="U134" s="125"/>
      <c r="V134" s="119"/>
      <c r="W134" s="120"/>
      <c r="X134" s="120"/>
      <c r="Y134" s="119"/>
      <c r="Z134" s="119"/>
      <c r="AA134" s="119"/>
      <c r="AB134" s="119"/>
      <c r="AC134" s="119"/>
      <c r="AD134" s="119"/>
      <c r="AH134" s="119"/>
      <c r="AI134" s="120"/>
      <c r="AJ134" s="120"/>
      <c r="AK134" s="119"/>
      <c r="AL134" s="119"/>
      <c r="AM134" s="119"/>
      <c r="AN134" s="119"/>
      <c r="AO134" s="119"/>
      <c r="AP134" s="119"/>
      <c r="AS134" s="125"/>
      <c r="AT134" s="119"/>
      <c r="AU134" s="120"/>
      <c r="AV134" s="120"/>
      <c r="AW134" s="119"/>
      <c r="AX134" s="119"/>
      <c r="AY134" s="119"/>
      <c r="AZ134" s="119"/>
      <c r="BA134" s="119"/>
      <c r="BB134" s="119"/>
      <c r="BE134" s="125"/>
      <c r="BF134" s="119"/>
      <c r="BG134" s="120"/>
      <c r="BH134" s="120"/>
      <c r="BI134" s="119"/>
      <c r="BJ134" s="119"/>
      <c r="BK134" s="119"/>
      <c r="BL134" s="119"/>
      <c r="BM134" s="119"/>
      <c r="BN134" s="119"/>
    </row>
    <row r="135" spans="1:66" x14ac:dyDescent="0.25">
      <c r="A135" s="118"/>
      <c r="B135" s="119"/>
      <c r="C135" s="120"/>
      <c r="D135" s="120"/>
      <c r="E135" s="119"/>
      <c r="F135" s="119"/>
      <c r="U135" s="125"/>
      <c r="V135" s="119"/>
      <c r="W135" s="120"/>
      <c r="X135" s="120"/>
      <c r="Y135" s="119"/>
      <c r="Z135" s="119"/>
      <c r="AA135" s="119"/>
      <c r="AB135" s="119"/>
      <c r="AC135" s="119"/>
      <c r="AD135" s="119"/>
      <c r="AH135" s="119"/>
      <c r="AI135" s="120"/>
      <c r="AJ135" s="120"/>
      <c r="AK135" s="119"/>
      <c r="AL135" s="119"/>
      <c r="AM135" s="119"/>
      <c r="AN135" s="119"/>
      <c r="AO135" s="119"/>
      <c r="AP135" s="119"/>
      <c r="AS135" s="125"/>
      <c r="AT135" s="119"/>
      <c r="AU135" s="120"/>
      <c r="AV135" s="120"/>
      <c r="AW135" s="119"/>
      <c r="AX135" s="119"/>
      <c r="AY135" s="119"/>
      <c r="AZ135" s="119"/>
      <c r="BA135" s="119"/>
      <c r="BB135" s="119"/>
      <c r="BE135" s="125"/>
      <c r="BF135" s="119"/>
      <c r="BG135" s="120"/>
      <c r="BH135" s="120"/>
      <c r="BI135" s="119"/>
      <c r="BJ135" s="119"/>
      <c r="BK135" s="119"/>
      <c r="BL135" s="119"/>
      <c r="BM135" s="119"/>
      <c r="BN135" s="119"/>
    </row>
    <row r="136" spans="1:66" x14ac:dyDescent="0.25">
      <c r="U136" s="125"/>
      <c r="V136" s="119"/>
      <c r="W136" s="120"/>
      <c r="X136" s="120"/>
      <c r="Y136" s="119"/>
      <c r="Z136" s="119"/>
      <c r="AA136" s="119"/>
      <c r="AB136" s="119"/>
      <c r="AC136" s="119"/>
      <c r="AD136" s="119"/>
      <c r="AH136" s="119"/>
      <c r="AI136" s="120"/>
      <c r="AJ136" s="120"/>
      <c r="AK136" s="119"/>
      <c r="AL136" s="119"/>
      <c r="AM136" s="119"/>
      <c r="AN136" s="119"/>
      <c r="AO136" s="119"/>
      <c r="AP136" s="119"/>
      <c r="AS136" s="125"/>
      <c r="AT136" s="119"/>
      <c r="AU136" s="120"/>
      <c r="AV136" s="120"/>
      <c r="AW136" s="119"/>
      <c r="AX136" s="119"/>
      <c r="AY136" s="119"/>
      <c r="AZ136" s="119"/>
      <c r="BA136" s="119"/>
      <c r="BB136" s="119"/>
      <c r="BE136" s="125"/>
      <c r="BF136" s="119"/>
      <c r="BG136" s="120"/>
      <c r="BH136" s="120"/>
      <c r="BI136" s="119"/>
      <c r="BJ136" s="119"/>
      <c r="BK136" s="119"/>
      <c r="BL136" s="119"/>
      <c r="BM136" s="119"/>
      <c r="BN136" s="119"/>
    </row>
    <row r="137" spans="1:66" x14ac:dyDescent="0.25">
      <c r="A137" s="118"/>
      <c r="B137" s="119"/>
      <c r="C137" s="120"/>
      <c r="D137" s="120"/>
      <c r="E137" s="119"/>
      <c r="F137" s="119"/>
      <c r="U137" s="125"/>
      <c r="V137" s="119"/>
      <c r="W137" s="120"/>
      <c r="X137" s="120"/>
      <c r="Y137" s="119"/>
      <c r="Z137" s="119"/>
      <c r="AA137" s="119"/>
      <c r="AB137" s="119"/>
      <c r="AC137" s="119"/>
      <c r="AD137" s="119"/>
      <c r="AH137" s="119"/>
      <c r="AI137" s="120"/>
      <c r="AJ137" s="120"/>
      <c r="AK137" s="119"/>
      <c r="AL137" s="119"/>
      <c r="AM137" s="119"/>
      <c r="AN137" s="119"/>
      <c r="AO137" s="119"/>
      <c r="AP137" s="119"/>
      <c r="AS137" s="125"/>
      <c r="AT137" s="119"/>
      <c r="AU137" s="120"/>
      <c r="AV137" s="120"/>
      <c r="AW137" s="119"/>
      <c r="AX137" s="119"/>
      <c r="AY137" s="119"/>
      <c r="AZ137" s="119"/>
      <c r="BA137" s="119"/>
      <c r="BB137" s="119"/>
      <c r="BE137" s="125"/>
      <c r="BF137" s="119"/>
      <c r="BG137" s="120"/>
      <c r="BH137" s="120"/>
      <c r="BI137" s="119"/>
      <c r="BJ137" s="119"/>
      <c r="BK137" s="119"/>
      <c r="BL137" s="119"/>
      <c r="BM137" s="119"/>
      <c r="BN137" s="119"/>
    </row>
    <row r="138" spans="1:66" x14ac:dyDescent="0.25">
      <c r="U138" s="125"/>
      <c r="V138" s="119"/>
      <c r="W138" s="120"/>
      <c r="X138" s="120"/>
      <c r="Y138" s="119"/>
      <c r="Z138" s="119"/>
      <c r="AA138" s="119"/>
      <c r="AB138" s="119"/>
      <c r="AC138" s="119"/>
      <c r="AD138" s="119"/>
      <c r="AH138" s="119"/>
      <c r="AI138" s="120"/>
      <c r="AJ138" s="120"/>
      <c r="AK138" s="119"/>
      <c r="AL138" s="119"/>
      <c r="AM138" s="119"/>
      <c r="AN138" s="119"/>
      <c r="AO138" s="119"/>
      <c r="AP138" s="119"/>
      <c r="AS138" s="125"/>
      <c r="AT138" s="119"/>
      <c r="AU138" s="120"/>
      <c r="AV138" s="120"/>
      <c r="AW138" s="119"/>
      <c r="AX138" s="119"/>
      <c r="AY138" s="119"/>
      <c r="AZ138" s="119"/>
      <c r="BA138" s="119"/>
      <c r="BB138" s="119"/>
      <c r="BE138" s="125"/>
      <c r="BF138" s="119"/>
      <c r="BG138" s="120"/>
      <c r="BH138" s="120"/>
      <c r="BI138" s="119"/>
      <c r="BJ138" s="119"/>
      <c r="BK138" s="119"/>
      <c r="BL138" s="119"/>
      <c r="BM138" s="119"/>
      <c r="BN138" s="119"/>
    </row>
    <row r="139" spans="1:66" x14ac:dyDescent="0.25">
      <c r="I139" s="125"/>
      <c r="J139" s="119"/>
      <c r="K139" s="120"/>
      <c r="L139" s="120"/>
      <c r="M139" s="119"/>
      <c r="N139" s="119"/>
      <c r="O139" s="119"/>
      <c r="P139" s="119"/>
      <c r="Q139" s="119"/>
      <c r="R139" s="119"/>
      <c r="U139" s="125"/>
      <c r="V139" s="119"/>
      <c r="W139" s="120"/>
      <c r="X139" s="120"/>
      <c r="Y139" s="119"/>
      <c r="Z139" s="119"/>
      <c r="AA139" s="119"/>
      <c r="AB139" s="119"/>
      <c r="AC139" s="119"/>
      <c r="AD139" s="119"/>
      <c r="AH139" s="119"/>
      <c r="AI139" s="120"/>
      <c r="AJ139" s="120"/>
      <c r="AK139" s="119"/>
      <c r="AL139" s="119"/>
      <c r="AM139" s="119"/>
      <c r="AN139" s="119"/>
      <c r="AO139" s="119"/>
      <c r="AP139" s="119"/>
      <c r="AS139" s="125"/>
      <c r="AT139" s="119"/>
      <c r="AU139" s="120"/>
      <c r="AV139" s="120"/>
      <c r="AW139" s="119"/>
      <c r="AX139" s="119"/>
      <c r="AY139" s="119"/>
      <c r="AZ139" s="119"/>
      <c r="BA139" s="119"/>
      <c r="BB139" s="119"/>
      <c r="BE139" s="125"/>
      <c r="BF139" s="119"/>
      <c r="BG139" s="120"/>
      <c r="BH139" s="120"/>
      <c r="BI139" s="119"/>
      <c r="BJ139" s="119"/>
      <c r="BK139" s="119"/>
      <c r="BL139" s="119"/>
      <c r="BM139" s="119"/>
      <c r="BN139" s="119"/>
    </row>
    <row r="140" spans="1:66" x14ac:dyDescent="0.25">
      <c r="I140" s="125"/>
      <c r="J140" s="119"/>
      <c r="K140" s="120"/>
      <c r="L140" s="120"/>
      <c r="M140" s="119"/>
      <c r="N140" s="119"/>
      <c r="O140" s="119"/>
      <c r="P140" s="119"/>
      <c r="Q140" s="119"/>
      <c r="R140" s="119"/>
      <c r="U140" s="125"/>
      <c r="V140" s="119"/>
      <c r="W140" s="120"/>
      <c r="X140" s="120"/>
      <c r="Y140" s="119"/>
      <c r="Z140" s="119"/>
      <c r="AA140" s="119"/>
      <c r="AB140" s="119"/>
      <c r="AC140" s="119"/>
      <c r="AD140" s="119"/>
      <c r="AH140" s="119"/>
      <c r="AI140" s="120"/>
      <c r="AJ140" s="120"/>
      <c r="AK140" s="119"/>
      <c r="AL140" s="119"/>
      <c r="AM140" s="119"/>
      <c r="AN140" s="119"/>
      <c r="AO140" s="119"/>
      <c r="AP140" s="119"/>
      <c r="AS140" s="125"/>
      <c r="AT140" s="119"/>
      <c r="AU140" s="120"/>
      <c r="AV140" s="120"/>
      <c r="AW140" s="119"/>
      <c r="AX140" s="119"/>
      <c r="AY140" s="119"/>
      <c r="AZ140" s="119"/>
      <c r="BA140" s="119"/>
      <c r="BB140" s="119"/>
      <c r="BE140" s="125"/>
      <c r="BF140" s="119"/>
      <c r="BG140" s="120"/>
      <c r="BH140" s="120"/>
      <c r="BI140" s="119"/>
      <c r="BJ140" s="119"/>
      <c r="BK140" s="119"/>
      <c r="BL140" s="119"/>
      <c r="BM140" s="119"/>
      <c r="BN140" s="119"/>
    </row>
    <row r="141" spans="1:66" x14ac:dyDescent="0.25">
      <c r="A141" s="118"/>
      <c r="B141" s="119"/>
      <c r="C141" s="120"/>
      <c r="D141" s="120"/>
      <c r="E141" s="119"/>
      <c r="F141" s="119"/>
      <c r="J141" s="119"/>
      <c r="K141" s="120"/>
      <c r="L141" s="120"/>
      <c r="M141" s="119"/>
      <c r="N141" s="119"/>
      <c r="O141" s="119"/>
      <c r="P141" s="119"/>
      <c r="Q141" s="119"/>
      <c r="R141" s="119"/>
      <c r="U141" s="125"/>
      <c r="V141" s="119"/>
      <c r="W141" s="120"/>
      <c r="X141" s="120"/>
      <c r="Y141" s="119"/>
      <c r="Z141" s="119"/>
      <c r="AA141" s="119"/>
      <c r="AB141" s="119"/>
      <c r="AC141" s="119"/>
      <c r="AD141" s="119"/>
      <c r="AG141" s="125"/>
      <c r="AH141" s="119"/>
      <c r="AI141" s="120"/>
      <c r="AJ141" s="120"/>
      <c r="AK141" s="119"/>
      <c r="AL141" s="119"/>
      <c r="AM141" s="119"/>
      <c r="AN141" s="119"/>
      <c r="AO141" s="119"/>
      <c r="AP141" s="119"/>
      <c r="AT141" s="119"/>
      <c r="AU141" s="120"/>
      <c r="AV141" s="120"/>
      <c r="AW141" s="119"/>
      <c r="AX141" s="119"/>
      <c r="AY141" s="119"/>
      <c r="AZ141" s="119"/>
      <c r="BA141" s="119"/>
      <c r="BB141" s="119"/>
      <c r="BE141" s="125"/>
      <c r="BF141" s="119"/>
      <c r="BG141" s="120"/>
      <c r="BH141" s="120"/>
      <c r="BI141" s="119"/>
      <c r="BJ141" s="119"/>
      <c r="BK141" s="119"/>
      <c r="BL141" s="119"/>
      <c r="BM141" s="119"/>
      <c r="BN141" s="119"/>
    </row>
    <row r="142" spans="1:66" x14ac:dyDescent="0.25">
      <c r="U142" s="125"/>
      <c r="V142" s="119"/>
      <c r="W142" s="120"/>
      <c r="X142" s="120"/>
      <c r="Y142" s="119"/>
      <c r="Z142" s="119"/>
      <c r="AA142" s="119"/>
      <c r="AB142" s="119"/>
      <c r="AC142" s="119"/>
      <c r="AD142" s="119"/>
      <c r="AG142" s="125"/>
      <c r="AH142" s="119"/>
      <c r="AI142" s="120"/>
      <c r="AJ142" s="120"/>
      <c r="AK142" s="119"/>
      <c r="AL142" s="119"/>
      <c r="AM142" s="119"/>
      <c r="AN142" s="119"/>
      <c r="AO142" s="119"/>
      <c r="AP142" s="119"/>
      <c r="AT142" s="119"/>
      <c r="AU142" s="120"/>
      <c r="AV142" s="120"/>
      <c r="AW142" s="119"/>
      <c r="AX142" s="119"/>
      <c r="AY142" s="119"/>
      <c r="AZ142" s="119"/>
      <c r="BA142" s="119"/>
      <c r="BB142" s="119"/>
      <c r="BE142" s="125"/>
      <c r="BF142" s="119"/>
      <c r="BG142" s="120"/>
      <c r="BH142" s="120"/>
      <c r="BI142" s="119"/>
      <c r="BJ142" s="119"/>
      <c r="BK142" s="119"/>
      <c r="BL142" s="119"/>
      <c r="BM142" s="119"/>
      <c r="BN142" s="119"/>
    </row>
    <row r="143" spans="1:66" x14ac:dyDescent="0.25">
      <c r="U143" s="125"/>
      <c r="V143" s="119"/>
      <c r="W143" s="120"/>
      <c r="X143" s="120"/>
      <c r="Y143" s="119"/>
      <c r="Z143" s="119"/>
      <c r="AA143" s="119"/>
      <c r="AB143" s="119"/>
      <c r="AC143" s="119"/>
      <c r="AD143" s="119"/>
      <c r="AG143" s="125"/>
      <c r="AH143" s="119"/>
      <c r="AI143" s="120"/>
      <c r="AJ143" s="120"/>
      <c r="AK143" s="119"/>
      <c r="AL143" s="119"/>
      <c r="AM143" s="119"/>
      <c r="AN143" s="119"/>
      <c r="AO143" s="119"/>
      <c r="AP143" s="119"/>
      <c r="AT143" s="119"/>
      <c r="AU143" s="120"/>
      <c r="AV143" s="120"/>
      <c r="AW143" s="119"/>
      <c r="AX143" s="119"/>
      <c r="AY143" s="119"/>
      <c r="AZ143" s="119"/>
      <c r="BA143" s="119"/>
      <c r="BB143" s="119"/>
      <c r="BE143" s="125"/>
      <c r="BF143" s="119"/>
      <c r="BG143" s="120"/>
      <c r="BH143" s="120"/>
      <c r="BI143" s="119"/>
      <c r="BJ143" s="119"/>
      <c r="BK143" s="119"/>
      <c r="BL143" s="119"/>
      <c r="BM143" s="119"/>
      <c r="BN143" s="119"/>
    </row>
    <row r="144" spans="1:66" x14ac:dyDescent="0.25">
      <c r="U144" s="125"/>
      <c r="V144" s="119"/>
      <c r="W144" s="120"/>
      <c r="X144" s="120"/>
      <c r="Y144" s="119"/>
      <c r="Z144" s="119"/>
      <c r="AA144" s="119"/>
      <c r="AB144" s="119"/>
      <c r="AC144" s="119"/>
      <c r="AD144" s="119"/>
      <c r="AG144" s="125"/>
      <c r="AH144" s="119"/>
      <c r="AI144" s="120"/>
      <c r="AJ144" s="120"/>
      <c r="AK144" s="119"/>
      <c r="AL144" s="119"/>
      <c r="AM144" s="119"/>
      <c r="AN144" s="119"/>
      <c r="AO144" s="119"/>
      <c r="AP144" s="119"/>
      <c r="AT144" s="119"/>
      <c r="AU144" s="120"/>
      <c r="AV144" s="120"/>
      <c r="AW144" s="119"/>
      <c r="AX144" s="119"/>
      <c r="AY144" s="119"/>
      <c r="AZ144" s="119"/>
      <c r="BA144" s="119"/>
      <c r="BB144" s="119"/>
      <c r="BE144" s="125"/>
      <c r="BF144" s="119"/>
      <c r="BG144" s="120"/>
      <c r="BH144" s="120"/>
      <c r="BI144" s="119"/>
      <c r="BJ144" s="119"/>
      <c r="BK144" s="119"/>
      <c r="BL144" s="119"/>
      <c r="BM144" s="119"/>
      <c r="BN144" s="119"/>
    </row>
    <row r="145" spans="1:66" x14ac:dyDescent="0.25">
      <c r="U145" s="125"/>
      <c r="V145" s="119"/>
      <c r="W145" s="120"/>
      <c r="X145" s="120"/>
      <c r="Y145" s="119"/>
      <c r="Z145" s="119"/>
      <c r="AA145" s="119"/>
      <c r="AB145" s="119"/>
      <c r="AC145" s="119"/>
      <c r="AD145" s="119"/>
      <c r="AG145" s="125"/>
      <c r="AH145" s="119"/>
      <c r="AI145" s="120"/>
      <c r="AJ145" s="120"/>
      <c r="AK145" s="119"/>
      <c r="AL145" s="119"/>
      <c r="AM145" s="119"/>
      <c r="AN145" s="119"/>
      <c r="AO145" s="119"/>
      <c r="AP145" s="119"/>
      <c r="AT145" s="119"/>
      <c r="AU145" s="120"/>
      <c r="AV145" s="120"/>
      <c r="AW145" s="119"/>
      <c r="AX145" s="119"/>
      <c r="AY145" s="119"/>
      <c r="AZ145" s="119"/>
      <c r="BA145" s="119"/>
      <c r="BB145" s="119"/>
      <c r="BE145" s="125"/>
      <c r="BF145" s="119"/>
      <c r="BG145" s="120"/>
      <c r="BH145" s="120"/>
      <c r="BI145" s="119"/>
      <c r="BJ145" s="119"/>
      <c r="BK145" s="119"/>
      <c r="BL145" s="119"/>
      <c r="BM145" s="119"/>
      <c r="BN145" s="119"/>
    </row>
    <row r="146" spans="1:66" x14ac:dyDescent="0.25">
      <c r="U146" s="125"/>
      <c r="V146" s="119"/>
      <c r="W146" s="120"/>
      <c r="X146" s="120"/>
      <c r="Y146" s="119"/>
      <c r="Z146" s="119"/>
      <c r="AA146" s="119"/>
      <c r="AB146" s="119"/>
      <c r="AC146" s="119"/>
      <c r="AD146" s="119"/>
      <c r="AG146" s="125"/>
      <c r="AH146" s="119"/>
      <c r="AI146" s="120"/>
      <c r="AJ146" s="120"/>
      <c r="AK146" s="119"/>
      <c r="AL146" s="119"/>
      <c r="AM146" s="119"/>
      <c r="AN146" s="119"/>
      <c r="AO146" s="119"/>
      <c r="AP146" s="119"/>
      <c r="AT146" s="119"/>
      <c r="AU146" s="120"/>
      <c r="AV146" s="120"/>
      <c r="AW146" s="119"/>
      <c r="AX146" s="119"/>
      <c r="AY146" s="119"/>
      <c r="AZ146" s="119"/>
      <c r="BA146" s="119"/>
      <c r="BB146" s="119"/>
      <c r="BE146" s="125"/>
      <c r="BF146" s="119"/>
      <c r="BG146" s="120"/>
      <c r="BH146" s="120"/>
      <c r="BI146" s="119"/>
      <c r="BJ146" s="119"/>
      <c r="BK146" s="119"/>
      <c r="BL146" s="119"/>
      <c r="BM146" s="119"/>
      <c r="BN146" s="119"/>
    </row>
    <row r="147" spans="1:66" x14ac:dyDescent="0.25">
      <c r="I147" s="125"/>
      <c r="U147" s="125"/>
      <c r="V147" s="119"/>
      <c r="W147" s="120"/>
      <c r="X147" s="120"/>
      <c r="Y147" s="119"/>
      <c r="Z147" s="119"/>
      <c r="AA147" s="119"/>
      <c r="AB147" s="119"/>
      <c r="AC147" s="119"/>
      <c r="AD147" s="119"/>
      <c r="AG147" s="125"/>
      <c r="AH147" s="119"/>
      <c r="AI147" s="120"/>
      <c r="AJ147" s="120"/>
      <c r="AK147" s="119"/>
      <c r="AL147" s="119"/>
      <c r="AM147" s="119"/>
      <c r="AN147" s="119"/>
      <c r="AO147" s="119"/>
      <c r="AP147" s="119"/>
      <c r="AT147" s="119"/>
      <c r="AU147" s="120"/>
      <c r="AV147" s="120"/>
      <c r="AW147" s="119"/>
      <c r="AX147" s="119"/>
      <c r="AY147" s="119"/>
      <c r="AZ147" s="119"/>
      <c r="BA147" s="119"/>
      <c r="BB147" s="119"/>
      <c r="BE147" s="125"/>
      <c r="BF147" s="119"/>
      <c r="BG147" s="120"/>
      <c r="BH147" s="120"/>
      <c r="BI147" s="119"/>
      <c r="BJ147" s="119"/>
      <c r="BK147" s="119"/>
      <c r="BL147" s="119"/>
      <c r="BM147" s="119"/>
      <c r="BN147" s="119"/>
    </row>
    <row r="148" spans="1:66" x14ac:dyDescent="0.25">
      <c r="I148" s="125"/>
      <c r="U148" s="125"/>
      <c r="V148" s="119"/>
      <c r="W148" s="120"/>
      <c r="X148" s="120"/>
      <c r="Y148" s="119"/>
      <c r="Z148" s="119"/>
      <c r="AA148" s="119"/>
      <c r="AB148" s="119"/>
      <c r="AC148" s="119"/>
      <c r="AD148" s="119"/>
      <c r="AH148" s="119"/>
      <c r="AI148" s="120"/>
      <c r="AJ148" s="120"/>
      <c r="AK148" s="119"/>
      <c r="AL148" s="119"/>
      <c r="AM148" s="119"/>
      <c r="AN148" s="119"/>
      <c r="AO148" s="119"/>
      <c r="AP148" s="119"/>
      <c r="AS148" s="125"/>
      <c r="AT148" s="119"/>
      <c r="AU148" s="120"/>
      <c r="AV148" s="120"/>
      <c r="AW148" s="119"/>
      <c r="AX148" s="119"/>
      <c r="AY148" s="119"/>
      <c r="AZ148" s="119"/>
      <c r="BA148" s="119"/>
      <c r="BB148" s="119"/>
      <c r="BE148" s="125"/>
      <c r="BF148" s="119"/>
      <c r="BG148" s="120"/>
      <c r="BH148" s="120"/>
      <c r="BI148" s="119"/>
      <c r="BJ148" s="119"/>
      <c r="BK148" s="119"/>
      <c r="BL148" s="119"/>
      <c r="BM148" s="119"/>
      <c r="BN148" s="119"/>
    </row>
    <row r="149" spans="1:66" x14ac:dyDescent="0.25">
      <c r="I149" s="125"/>
      <c r="U149" s="125"/>
      <c r="V149" s="119"/>
      <c r="W149" s="120"/>
      <c r="X149" s="120"/>
      <c r="Y149" s="119"/>
      <c r="Z149" s="119"/>
      <c r="AA149" s="119"/>
      <c r="AB149" s="119"/>
      <c r="AC149" s="119"/>
      <c r="AD149" s="119"/>
      <c r="AH149" s="119"/>
      <c r="AI149" s="120"/>
      <c r="AJ149" s="120"/>
      <c r="AK149" s="119"/>
      <c r="AL149" s="119"/>
      <c r="AM149" s="119"/>
      <c r="AN149" s="119"/>
      <c r="AO149" s="119"/>
      <c r="AP149" s="119"/>
      <c r="AS149" s="125"/>
      <c r="AT149" s="119"/>
      <c r="AU149" s="120"/>
      <c r="AV149" s="120"/>
      <c r="AW149" s="119"/>
      <c r="AX149" s="119"/>
      <c r="AY149" s="119"/>
      <c r="AZ149" s="119"/>
      <c r="BA149" s="119"/>
      <c r="BB149" s="119"/>
      <c r="BE149" s="125"/>
      <c r="BF149" s="119"/>
      <c r="BG149" s="120"/>
      <c r="BH149" s="120"/>
      <c r="BI149" s="119"/>
      <c r="BJ149" s="119"/>
      <c r="BK149" s="119"/>
      <c r="BL149" s="119"/>
      <c r="BM149" s="119"/>
      <c r="BN149" s="119"/>
    </row>
    <row r="150" spans="1:66" x14ac:dyDescent="0.25">
      <c r="I150" s="118"/>
      <c r="U150" s="125"/>
      <c r="V150" s="119"/>
      <c r="W150" s="120"/>
      <c r="X150" s="120"/>
      <c r="Y150" s="119"/>
      <c r="Z150" s="119"/>
      <c r="AA150" s="119"/>
      <c r="AB150" s="119"/>
      <c r="AC150" s="119"/>
      <c r="AD150" s="119"/>
      <c r="AH150" s="119"/>
      <c r="AI150" s="120"/>
      <c r="AJ150" s="120"/>
      <c r="AK150" s="119"/>
      <c r="AL150" s="119"/>
      <c r="AM150" s="119"/>
      <c r="AN150" s="119"/>
      <c r="AO150" s="119"/>
      <c r="AP150" s="119"/>
      <c r="AS150" s="125"/>
      <c r="AT150" s="119"/>
      <c r="AU150" s="120"/>
      <c r="AV150" s="120"/>
      <c r="AW150" s="119"/>
      <c r="AX150" s="119"/>
      <c r="AY150" s="119"/>
      <c r="AZ150" s="119"/>
      <c r="BA150" s="119"/>
      <c r="BB150" s="119"/>
      <c r="BE150" s="125"/>
      <c r="BF150" s="119"/>
      <c r="BG150" s="120"/>
      <c r="BH150" s="120"/>
      <c r="BI150" s="119"/>
      <c r="BJ150" s="119"/>
      <c r="BK150" s="119"/>
      <c r="BL150" s="119"/>
      <c r="BM150" s="119"/>
      <c r="BN150" s="119"/>
    </row>
    <row r="151" spans="1:66" x14ac:dyDescent="0.25">
      <c r="I151" s="118"/>
      <c r="U151" s="125"/>
      <c r="V151" s="119"/>
      <c r="W151" s="120"/>
      <c r="X151" s="120"/>
      <c r="Y151" s="119"/>
      <c r="Z151" s="119"/>
      <c r="AA151" s="119"/>
      <c r="AB151" s="119"/>
      <c r="AC151" s="119"/>
      <c r="AD151" s="119"/>
      <c r="AH151" s="119"/>
      <c r="AI151" s="120"/>
      <c r="AJ151" s="120"/>
      <c r="AK151" s="119"/>
      <c r="AL151" s="119"/>
      <c r="AM151" s="119"/>
      <c r="AN151" s="119"/>
      <c r="AO151" s="119"/>
      <c r="AP151" s="119"/>
      <c r="AS151" s="125"/>
      <c r="AT151" s="119"/>
      <c r="AU151" s="120"/>
      <c r="AV151" s="120"/>
      <c r="AW151" s="119"/>
      <c r="AX151" s="119"/>
      <c r="AY151" s="119"/>
      <c r="AZ151" s="119"/>
      <c r="BA151" s="119"/>
      <c r="BB151" s="119"/>
      <c r="BE151" s="125"/>
      <c r="BF151" s="119"/>
      <c r="BG151" s="120"/>
      <c r="BH151" s="120"/>
      <c r="BI151" s="119"/>
      <c r="BJ151" s="119"/>
      <c r="BK151" s="119"/>
      <c r="BL151" s="119"/>
      <c r="BM151" s="119"/>
      <c r="BN151" s="119"/>
    </row>
    <row r="152" spans="1:66" x14ac:dyDescent="0.25">
      <c r="U152" s="125"/>
      <c r="V152" s="119"/>
      <c r="W152" s="120"/>
      <c r="X152" s="120"/>
      <c r="Y152" s="119"/>
      <c r="Z152" s="119"/>
      <c r="AA152" s="119"/>
      <c r="AB152" s="119"/>
      <c r="AC152" s="119"/>
      <c r="AD152" s="119"/>
      <c r="AH152" s="119"/>
      <c r="AI152" s="120"/>
      <c r="AJ152" s="120"/>
      <c r="AK152" s="119"/>
      <c r="AL152" s="119"/>
      <c r="AM152" s="119"/>
      <c r="AN152" s="119"/>
      <c r="AO152" s="119"/>
      <c r="AP152" s="119"/>
      <c r="AS152" s="125"/>
      <c r="AT152" s="119"/>
      <c r="AU152" s="120"/>
      <c r="AV152" s="120"/>
      <c r="AW152" s="119"/>
      <c r="AX152" s="119"/>
      <c r="AY152" s="119"/>
      <c r="AZ152" s="119"/>
      <c r="BA152" s="119"/>
      <c r="BB152" s="119"/>
      <c r="BE152" s="125"/>
      <c r="BF152" s="119"/>
      <c r="BG152" s="120"/>
      <c r="BH152" s="120"/>
      <c r="BI152" s="119"/>
      <c r="BJ152" s="119"/>
      <c r="BK152" s="119"/>
      <c r="BL152" s="119"/>
      <c r="BM152" s="119"/>
      <c r="BN152" s="119"/>
    </row>
    <row r="153" spans="1:66" x14ac:dyDescent="0.25">
      <c r="U153" s="125"/>
      <c r="V153" s="119"/>
      <c r="W153" s="120"/>
      <c r="X153" s="120"/>
      <c r="Y153" s="119"/>
      <c r="Z153" s="119"/>
      <c r="AA153" s="119"/>
      <c r="AB153" s="119"/>
      <c r="AC153" s="119"/>
      <c r="AD153" s="119"/>
      <c r="AH153" s="119"/>
      <c r="AI153" s="120"/>
      <c r="AJ153" s="120"/>
      <c r="AK153" s="119"/>
      <c r="AL153" s="119"/>
      <c r="AM153" s="119"/>
      <c r="AN153" s="119"/>
      <c r="AO153" s="119"/>
      <c r="AP153" s="119"/>
      <c r="AS153" s="125"/>
      <c r="AT153" s="119"/>
      <c r="AU153" s="120"/>
      <c r="AV153" s="120"/>
      <c r="AW153" s="119"/>
      <c r="AX153" s="119"/>
      <c r="AY153" s="119"/>
      <c r="AZ153" s="119"/>
      <c r="BA153" s="119"/>
      <c r="BB153" s="119"/>
      <c r="BE153" s="125"/>
      <c r="BF153" s="119"/>
      <c r="BG153" s="120"/>
      <c r="BH153" s="120"/>
      <c r="BI153" s="119"/>
      <c r="BJ153" s="119"/>
      <c r="BK153" s="119"/>
      <c r="BL153" s="119"/>
      <c r="BM153" s="119"/>
      <c r="BN153" s="119"/>
    </row>
    <row r="154" spans="1:66" x14ac:dyDescent="0.25">
      <c r="U154" s="125"/>
      <c r="V154" s="119"/>
      <c r="W154" s="120"/>
      <c r="X154" s="120"/>
      <c r="Y154" s="119"/>
      <c r="Z154" s="119"/>
      <c r="AA154" s="119"/>
      <c r="AB154" s="119"/>
      <c r="AC154" s="119"/>
      <c r="AD154" s="119"/>
      <c r="AH154" s="119"/>
      <c r="AI154" s="120"/>
      <c r="AJ154" s="120"/>
      <c r="AK154" s="119"/>
      <c r="AL154" s="119"/>
      <c r="AM154" s="119"/>
      <c r="AN154" s="119"/>
      <c r="AO154" s="119"/>
      <c r="AP154" s="119"/>
      <c r="AS154" s="125"/>
      <c r="AT154" s="119"/>
      <c r="AU154" s="120"/>
      <c r="AV154" s="120"/>
      <c r="AW154" s="119"/>
      <c r="AX154" s="119"/>
      <c r="AY154" s="119"/>
      <c r="AZ154" s="119"/>
      <c r="BA154" s="119"/>
      <c r="BB154" s="119"/>
      <c r="BE154" s="125"/>
      <c r="BF154" s="119"/>
      <c r="BG154" s="120"/>
      <c r="BH154" s="120"/>
      <c r="BI154" s="119"/>
      <c r="BJ154" s="119"/>
      <c r="BK154" s="119"/>
      <c r="BL154" s="119"/>
      <c r="BM154" s="119"/>
      <c r="BN154" s="119"/>
    </row>
    <row r="155" spans="1:66" x14ac:dyDescent="0.25">
      <c r="U155" s="125"/>
      <c r="V155" s="119"/>
      <c r="W155" s="120"/>
      <c r="X155" s="120"/>
      <c r="Y155" s="119"/>
      <c r="Z155" s="119"/>
      <c r="AA155" s="119"/>
      <c r="AB155" s="119"/>
      <c r="AC155" s="119"/>
      <c r="AD155" s="119"/>
      <c r="AH155" s="119"/>
      <c r="AI155" s="120"/>
      <c r="AJ155" s="120"/>
      <c r="AK155" s="119"/>
      <c r="AL155" s="119"/>
      <c r="AM155" s="119"/>
      <c r="AN155" s="119"/>
      <c r="AO155" s="119"/>
      <c r="AP155" s="119"/>
      <c r="AS155" s="125"/>
      <c r="AT155" s="119"/>
      <c r="AU155" s="120"/>
      <c r="AV155" s="120"/>
      <c r="AW155" s="119"/>
      <c r="AX155" s="119"/>
      <c r="AY155" s="119"/>
      <c r="AZ155" s="119"/>
      <c r="BA155" s="119"/>
      <c r="BB155" s="119"/>
      <c r="BE155" s="125"/>
      <c r="BF155" s="119"/>
      <c r="BG155" s="120"/>
      <c r="BH155" s="120"/>
      <c r="BI155" s="119"/>
      <c r="BJ155" s="119"/>
      <c r="BK155" s="119"/>
      <c r="BL155" s="119"/>
      <c r="BM155" s="119"/>
      <c r="BN155" s="119"/>
    </row>
    <row r="156" spans="1:66" x14ac:dyDescent="0.25">
      <c r="U156" s="125"/>
      <c r="V156" s="119"/>
      <c r="W156" s="120"/>
      <c r="X156" s="120"/>
      <c r="Y156" s="119"/>
      <c r="Z156" s="119"/>
      <c r="AA156" s="119"/>
      <c r="AB156" s="119"/>
      <c r="AC156" s="119"/>
      <c r="AD156" s="119"/>
      <c r="AH156" s="119"/>
      <c r="AI156" s="120"/>
      <c r="AJ156" s="120"/>
      <c r="AK156" s="119"/>
      <c r="AL156" s="119"/>
      <c r="AM156" s="119"/>
      <c r="AN156" s="119"/>
      <c r="AO156" s="119"/>
      <c r="AP156" s="119"/>
      <c r="AS156" s="125"/>
      <c r="AT156" s="119"/>
      <c r="AU156" s="120"/>
      <c r="AV156" s="120"/>
      <c r="AW156" s="119"/>
      <c r="AX156" s="119"/>
      <c r="AY156" s="119"/>
      <c r="AZ156" s="119"/>
      <c r="BA156" s="119"/>
      <c r="BB156" s="119"/>
      <c r="BE156" s="125"/>
      <c r="BF156" s="119"/>
      <c r="BG156" s="120"/>
      <c r="BH156" s="120"/>
      <c r="BI156" s="119"/>
      <c r="BJ156" s="119"/>
      <c r="BK156" s="119"/>
      <c r="BL156" s="119"/>
      <c r="BM156" s="119"/>
      <c r="BN156" s="119"/>
    </row>
    <row r="157" spans="1:66" x14ac:dyDescent="0.25">
      <c r="U157" s="125"/>
      <c r="V157" s="119"/>
      <c r="W157" s="120"/>
      <c r="X157" s="120"/>
      <c r="Y157" s="119"/>
      <c r="Z157" s="119"/>
      <c r="AA157" s="119"/>
      <c r="AB157" s="119"/>
      <c r="AC157" s="119"/>
      <c r="AD157" s="119"/>
      <c r="AH157" s="119"/>
      <c r="AI157" s="120"/>
      <c r="AJ157" s="120"/>
      <c r="AK157" s="119"/>
      <c r="AL157" s="119"/>
      <c r="AM157" s="119"/>
      <c r="AN157" s="119"/>
      <c r="AO157" s="119"/>
      <c r="AP157" s="119"/>
      <c r="AS157" s="125"/>
      <c r="AT157" s="119"/>
      <c r="AU157" s="120"/>
      <c r="AV157" s="120"/>
      <c r="AW157" s="119"/>
      <c r="AX157" s="119"/>
      <c r="AY157" s="119"/>
      <c r="AZ157" s="119"/>
      <c r="BA157" s="119"/>
      <c r="BB157" s="119"/>
      <c r="BE157" s="125"/>
      <c r="BF157" s="119"/>
      <c r="BG157" s="120"/>
      <c r="BH157" s="120"/>
      <c r="BI157" s="119"/>
      <c r="BJ157" s="119"/>
      <c r="BK157" s="119"/>
      <c r="BL157" s="119"/>
      <c r="BM157" s="119"/>
      <c r="BN157" s="119"/>
    </row>
    <row r="158" spans="1:66" x14ac:dyDescent="0.25">
      <c r="I158" s="125"/>
      <c r="J158" s="119"/>
      <c r="K158" s="120"/>
      <c r="L158" s="120"/>
      <c r="M158" s="119"/>
      <c r="N158" s="119"/>
      <c r="O158" s="119"/>
      <c r="P158" s="119"/>
      <c r="Q158" s="119"/>
      <c r="R158" s="119"/>
      <c r="U158" s="125"/>
      <c r="V158" s="119"/>
      <c r="W158" s="120"/>
      <c r="X158" s="120"/>
      <c r="Y158" s="119"/>
      <c r="Z158" s="119"/>
      <c r="AA158" s="119"/>
      <c r="AB158" s="119"/>
      <c r="AC158" s="119"/>
      <c r="AD158" s="119"/>
      <c r="AH158" s="119"/>
      <c r="AI158" s="120"/>
      <c r="AJ158" s="120"/>
      <c r="AK158" s="119"/>
      <c r="AL158" s="119"/>
      <c r="AM158" s="119"/>
      <c r="AN158" s="119"/>
      <c r="AO158" s="119"/>
      <c r="AP158" s="119"/>
      <c r="AS158" s="125"/>
      <c r="AT158" s="119"/>
      <c r="AU158" s="120"/>
      <c r="AV158" s="120"/>
      <c r="AW158" s="119"/>
      <c r="AX158" s="119"/>
      <c r="AY158" s="119"/>
      <c r="AZ158" s="119"/>
      <c r="BA158" s="119"/>
      <c r="BB158" s="119"/>
      <c r="BE158" s="125"/>
      <c r="BF158" s="119"/>
      <c r="BG158" s="120"/>
      <c r="BH158" s="120"/>
      <c r="BI158" s="119"/>
      <c r="BJ158" s="119"/>
      <c r="BK158" s="119"/>
      <c r="BL158" s="119"/>
      <c r="BM158" s="119"/>
      <c r="BN158" s="119"/>
    </row>
    <row r="159" spans="1:66" x14ac:dyDescent="0.25">
      <c r="A159" s="118"/>
      <c r="B159" s="119"/>
      <c r="C159" s="120"/>
      <c r="D159" s="120"/>
      <c r="E159" s="119"/>
      <c r="F159" s="119"/>
      <c r="I159" s="125"/>
      <c r="J159" s="119"/>
      <c r="K159" s="120"/>
      <c r="L159" s="120"/>
      <c r="M159" s="119"/>
      <c r="N159" s="119"/>
      <c r="O159" s="119"/>
      <c r="P159" s="119"/>
      <c r="Q159" s="119"/>
      <c r="R159" s="119"/>
      <c r="U159" s="125"/>
      <c r="V159" s="119"/>
      <c r="W159" s="120"/>
      <c r="X159" s="120"/>
      <c r="Y159" s="119"/>
      <c r="Z159" s="119"/>
      <c r="AA159" s="119"/>
      <c r="AB159" s="119"/>
      <c r="AC159" s="119"/>
      <c r="AD159" s="119"/>
      <c r="AH159" s="119"/>
      <c r="AI159" s="120"/>
      <c r="AJ159" s="120"/>
      <c r="AK159" s="119"/>
      <c r="AL159" s="119"/>
      <c r="AM159" s="119"/>
      <c r="AN159" s="119"/>
      <c r="AO159" s="119"/>
      <c r="AP159" s="119"/>
      <c r="AS159" s="125"/>
      <c r="AT159" s="119"/>
      <c r="AU159" s="120"/>
      <c r="AV159" s="120"/>
      <c r="AW159" s="119"/>
      <c r="AX159" s="119"/>
      <c r="AY159" s="119"/>
      <c r="AZ159" s="119"/>
      <c r="BA159" s="119"/>
      <c r="BB159" s="119"/>
      <c r="BE159" s="125"/>
      <c r="BF159" s="119"/>
      <c r="BG159" s="120"/>
      <c r="BH159" s="120"/>
      <c r="BI159" s="119"/>
      <c r="BJ159" s="119"/>
      <c r="BK159" s="119"/>
      <c r="BL159" s="119"/>
      <c r="BM159" s="119"/>
      <c r="BN159" s="119"/>
    </row>
    <row r="160" spans="1:66" x14ac:dyDescent="0.25">
      <c r="A160" s="118"/>
      <c r="B160" s="119"/>
      <c r="C160" s="120"/>
      <c r="D160" s="120"/>
      <c r="E160" s="119"/>
      <c r="F160" s="119"/>
      <c r="J160" s="119"/>
      <c r="K160" s="120"/>
      <c r="L160" s="120"/>
      <c r="M160" s="119"/>
      <c r="N160" s="119"/>
      <c r="O160" s="119"/>
      <c r="P160" s="119"/>
      <c r="Q160" s="119"/>
      <c r="R160" s="119"/>
      <c r="U160" s="125"/>
      <c r="V160" s="119"/>
      <c r="W160" s="120"/>
      <c r="X160" s="120"/>
      <c r="Y160" s="119"/>
      <c r="Z160" s="119"/>
      <c r="AA160" s="119"/>
      <c r="AB160" s="119"/>
      <c r="AC160" s="119"/>
      <c r="AD160" s="119"/>
      <c r="AG160" s="125"/>
      <c r="AH160" s="119"/>
      <c r="AI160" s="120"/>
      <c r="AJ160" s="120"/>
      <c r="AK160" s="119"/>
      <c r="AL160" s="119"/>
      <c r="AM160" s="119"/>
      <c r="AN160" s="119"/>
      <c r="AO160" s="119"/>
      <c r="AP160" s="119"/>
      <c r="AT160" s="119"/>
      <c r="AU160" s="120"/>
      <c r="AV160" s="120"/>
      <c r="AW160" s="119"/>
      <c r="AX160" s="119"/>
      <c r="AY160" s="119"/>
      <c r="AZ160" s="119"/>
      <c r="BA160" s="119"/>
      <c r="BB160" s="119"/>
      <c r="BE160" s="125"/>
      <c r="BF160" s="119"/>
      <c r="BG160" s="120"/>
      <c r="BH160" s="120"/>
      <c r="BI160" s="119"/>
      <c r="BJ160" s="119"/>
      <c r="BK160" s="119"/>
      <c r="BL160" s="119"/>
      <c r="BM160" s="119"/>
      <c r="BN160" s="119"/>
    </row>
    <row r="161" spans="1:66" x14ac:dyDescent="0.25">
      <c r="U161" s="125"/>
      <c r="V161" s="119"/>
      <c r="W161" s="120"/>
      <c r="X161" s="120"/>
      <c r="Y161" s="119"/>
      <c r="Z161" s="119"/>
      <c r="AA161" s="119"/>
      <c r="AB161" s="119"/>
      <c r="AC161" s="119"/>
      <c r="AD161" s="119"/>
      <c r="AG161" s="125"/>
      <c r="AH161" s="119"/>
      <c r="AI161" s="120"/>
      <c r="AJ161" s="120"/>
      <c r="AK161" s="119"/>
      <c r="AL161" s="119"/>
      <c r="AM161" s="119"/>
      <c r="AN161" s="119"/>
      <c r="AO161" s="119"/>
      <c r="AP161" s="119"/>
      <c r="AT161" s="119"/>
      <c r="AU161" s="120"/>
      <c r="AV161" s="120"/>
      <c r="AW161" s="119"/>
      <c r="AX161" s="119"/>
      <c r="AY161" s="119"/>
      <c r="AZ161" s="119"/>
      <c r="BA161" s="119"/>
      <c r="BB161" s="119"/>
      <c r="BE161" s="125"/>
      <c r="BF161" s="119"/>
      <c r="BG161" s="120"/>
      <c r="BH161" s="120"/>
      <c r="BI161" s="119"/>
      <c r="BJ161" s="119"/>
      <c r="BK161" s="119"/>
      <c r="BL161" s="119"/>
      <c r="BM161" s="119"/>
      <c r="BN161" s="119"/>
    </row>
    <row r="162" spans="1:66" x14ac:dyDescent="0.25">
      <c r="U162" s="125"/>
      <c r="V162" s="119"/>
      <c r="W162" s="120"/>
      <c r="X162" s="120"/>
      <c r="Y162" s="119"/>
      <c r="Z162" s="119"/>
      <c r="AA162" s="119"/>
      <c r="AB162" s="119"/>
      <c r="AC162" s="119"/>
      <c r="AD162" s="119"/>
      <c r="AG162" s="125"/>
      <c r="AH162" s="119"/>
      <c r="AI162" s="120"/>
      <c r="AJ162" s="120"/>
      <c r="AK162" s="119"/>
      <c r="AL162" s="119"/>
      <c r="AM162" s="119"/>
      <c r="AN162" s="119"/>
      <c r="AO162" s="119"/>
      <c r="AP162" s="119"/>
      <c r="AT162" s="119"/>
      <c r="AU162" s="120"/>
      <c r="AV162" s="120"/>
      <c r="AW162" s="119"/>
      <c r="AX162" s="119"/>
      <c r="AY162" s="119"/>
      <c r="AZ162" s="119"/>
      <c r="BA162" s="119"/>
      <c r="BB162" s="119"/>
      <c r="BE162" s="125"/>
      <c r="BF162" s="119"/>
      <c r="BG162" s="120"/>
      <c r="BH162" s="120"/>
      <c r="BI162" s="119"/>
      <c r="BJ162" s="119"/>
      <c r="BK162" s="119"/>
      <c r="BL162" s="119"/>
      <c r="BM162" s="119"/>
      <c r="BN162" s="119"/>
    </row>
    <row r="163" spans="1:66" x14ac:dyDescent="0.25">
      <c r="U163" s="125"/>
      <c r="V163" s="119"/>
      <c r="W163" s="120"/>
      <c r="X163" s="120"/>
      <c r="Y163" s="119"/>
      <c r="Z163" s="119"/>
      <c r="AA163" s="119"/>
      <c r="AB163" s="119"/>
      <c r="AC163" s="119"/>
      <c r="AD163" s="119"/>
      <c r="AG163" s="125"/>
      <c r="AH163" s="119"/>
      <c r="AI163" s="120"/>
      <c r="AJ163" s="120"/>
      <c r="AK163" s="119"/>
      <c r="AL163" s="119"/>
      <c r="AM163" s="119"/>
      <c r="AN163" s="119"/>
      <c r="AO163" s="119"/>
      <c r="AP163" s="119"/>
      <c r="AT163" s="119"/>
      <c r="AU163" s="120"/>
      <c r="AV163" s="120"/>
      <c r="AW163" s="119"/>
      <c r="AX163" s="119"/>
      <c r="AY163" s="119"/>
      <c r="AZ163" s="119"/>
      <c r="BA163" s="119"/>
      <c r="BB163" s="119"/>
      <c r="BE163" s="125"/>
      <c r="BF163" s="119"/>
      <c r="BG163" s="120"/>
      <c r="BH163" s="120"/>
      <c r="BI163" s="119"/>
      <c r="BJ163" s="119"/>
      <c r="BK163" s="119"/>
      <c r="BL163" s="119"/>
      <c r="BM163" s="119"/>
      <c r="BN163" s="119"/>
    </row>
    <row r="164" spans="1:66" x14ac:dyDescent="0.25">
      <c r="U164" s="125"/>
      <c r="V164" s="119"/>
      <c r="W164" s="120"/>
      <c r="X164" s="120"/>
      <c r="Y164" s="119"/>
      <c r="Z164" s="119"/>
      <c r="AA164" s="119"/>
      <c r="AB164" s="119"/>
      <c r="AC164" s="119"/>
      <c r="AD164" s="119"/>
      <c r="AG164" s="125"/>
      <c r="AH164" s="119"/>
      <c r="AI164" s="120"/>
      <c r="AJ164" s="120"/>
      <c r="AK164" s="119"/>
      <c r="AL164" s="119"/>
      <c r="AM164" s="119"/>
      <c r="AN164" s="119"/>
      <c r="AO164" s="119"/>
      <c r="AP164" s="119"/>
      <c r="AT164" s="119"/>
      <c r="AU164" s="120"/>
      <c r="AV164" s="120"/>
      <c r="AW164" s="119"/>
      <c r="AX164" s="119"/>
      <c r="AY164" s="119"/>
      <c r="AZ164" s="119"/>
      <c r="BA164" s="119"/>
      <c r="BB164" s="119"/>
      <c r="BE164" s="125"/>
      <c r="BF164" s="119"/>
      <c r="BG164" s="120"/>
      <c r="BH164" s="120"/>
      <c r="BI164" s="119"/>
      <c r="BJ164" s="119"/>
      <c r="BK164" s="119"/>
      <c r="BL164" s="119"/>
      <c r="BM164" s="119"/>
      <c r="BN164" s="119"/>
    </row>
    <row r="165" spans="1:66" x14ac:dyDescent="0.25">
      <c r="U165" s="125"/>
      <c r="V165" s="119"/>
      <c r="W165" s="120"/>
      <c r="X165" s="120"/>
      <c r="Y165" s="119"/>
      <c r="Z165" s="119"/>
      <c r="AA165" s="119"/>
      <c r="AB165" s="119"/>
      <c r="AC165" s="119"/>
      <c r="AD165" s="119"/>
      <c r="AG165" s="125"/>
      <c r="AH165" s="119"/>
      <c r="AI165" s="120"/>
      <c r="AJ165" s="120"/>
      <c r="AK165" s="119"/>
      <c r="AL165" s="119"/>
      <c r="AM165" s="119"/>
      <c r="AN165" s="119"/>
      <c r="AO165" s="119"/>
      <c r="AP165" s="119"/>
      <c r="AT165" s="119"/>
      <c r="AU165" s="120"/>
      <c r="AV165" s="120"/>
      <c r="AW165" s="119"/>
      <c r="AX165" s="119"/>
      <c r="AY165" s="119"/>
      <c r="AZ165" s="119"/>
      <c r="BA165" s="119"/>
      <c r="BB165" s="119"/>
      <c r="BE165" s="125"/>
      <c r="BF165" s="119"/>
      <c r="BG165" s="120"/>
      <c r="BH165" s="120"/>
      <c r="BI165" s="119"/>
      <c r="BJ165" s="119"/>
      <c r="BK165" s="119"/>
      <c r="BL165" s="119"/>
      <c r="BM165" s="119"/>
      <c r="BN165" s="119"/>
    </row>
    <row r="166" spans="1:66" x14ac:dyDescent="0.25">
      <c r="I166" s="125"/>
      <c r="U166" s="125"/>
      <c r="V166" s="119"/>
      <c r="W166" s="120"/>
      <c r="X166" s="120"/>
      <c r="Y166" s="119"/>
      <c r="Z166" s="119"/>
      <c r="AA166" s="119"/>
      <c r="AB166" s="119"/>
      <c r="AC166" s="119"/>
      <c r="AD166" s="119"/>
      <c r="AG166" s="125"/>
      <c r="AH166" s="119"/>
      <c r="AI166" s="120"/>
      <c r="AJ166" s="120"/>
      <c r="AK166" s="119"/>
      <c r="AL166" s="119"/>
      <c r="AM166" s="119"/>
      <c r="AN166" s="119"/>
      <c r="AO166" s="119"/>
      <c r="AP166" s="119"/>
      <c r="AT166" s="119"/>
      <c r="AU166" s="120"/>
      <c r="AV166" s="120"/>
      <c r="AW166" s="119"/>
      <c r="AX166" s="119"/>
      <c r="AY166" s="119"/>
      <c r="AZ166" s="119"/>
      <c r="BA166" s="119"/>
      <c r="BB166" s="119"/>
      <c r="BE166" s="125"/>
      <c r="BF166" s="119"/>
      <c r="BG166" s="120"/>
      <c r="BH166" s="120"/>
      <c r="BI166" s="119"/>
      <c r="BJ166" s="119"/>
      <c r="BK166" s="119"/>
      <c r="BL166" s="119"/>
      <c r="BM166" s="119"/>
      <c r="BN166" s="119"/>
    </row>
    <row r="167" spans="1:66" x14ac:dyDescent="0.25">
      <c r="I167" s="125"/>
      <c r="U167" s="125"/>
      <c r="V167" s="119"/>
      <c r="W167" s="120"/>
      <c r="X167" s="120"/>
      <c r="Y167" s="119"/>
      <c r="Z167" s="119"/>
      <c r="AA167" s="119"/>
      <c r="AB167" s="119"/>
      <c r="AC167" s="119"/>
      <c r="AD167" s="119"/>
      <c r="AH167" s="119"/>
      <c r="AI167" s="120"/>
      <c r="AJ167" s="120"/>
      <c r="AK167" s="119"/>
      <c r="AL167" s="119"/>
      <c r="AM167" s="119"/>
      <c r="AN167" s="119"/>
      <c r="AO167" s="119"/>
      <c r="AP167" s="119"/>
      <c r="AS167" s="125"/>
      <c r="AT167" s="119"/>
      <c r="AU167" s="120"/>
      <c r="AV167" s="120"/>
      <c r="AW167" s="119"/>
      <c r="AX167" s="119"/>
      <c r="AY167" s="119"/>
      <c r="AZ167" s="119"/>
      <c r="BA167" s="119"/>
      <c r="BB167" s="119"/>
      <c r="BE167" s="125"/>
      <c r="BF167" s="119"/>
      <c r="BG167" s="120"/>
      <c r="BH167" s="120"/>
      <c r="BI167" s="119"/>
      <c r="BJ167" s="119"/>
      <c r="BK167" s="119"/>
      <c r="BL167" s="119"/>
      <c r="BM167" s="119"/>
      <c r="BN167" s="119"/>
    </row>
    <row r="168" spans="1:66" x14ac:dyDescent="0.25">
      <c r="I168" s="125"/>
      <c r="U168" s="125"/>
      <c r="V168" s="119"/>
      <c r="W168" s="120"/>
      <c r="X168" s="120"/>
      <c r="Y168" s="119"/>
      <c r="Z168" s="119"/>
      <c r="AA168" s="119"/>
      <c r="AB168" s="119"/>
      <c r="AC168" s="119"/>
      <c r="AD168" s="119"/>
      <c r="AH168" s="119"/>
      <c r="AI168" s="120"/>
      <c r="AJ168" s="120"/>
      <c r="AK168" s="119"/>
      <c r="AL168" s="119"/>
      <c r="AM168" s="119"/>
      <c r="AN168" s="119"/>
      <c r="AO168" s="119"/>
      <c r="AP168" s="119"/>
      <c r="AS168" s="125"/>
      <c r="AT168" s="119"/>
      <c r="AU168" s="120"/>
      <c r="AV168" s="120"/>
      <c r="AW168" s="119"/>
      <c r="AX168" s="119"/>
      <c r="AY168" s="119"/>
      <c r="AZ168" s="119"/>
      <c r="BA168" s="119"/>
      <c r="BB168" s="119"/>
      <c r="BE168" s="125"/>
      <c r="BF168" s="119"/>
      <c r="BG168" s="120"/>
      <c r="BH168" s="120"/>
      <c r="BI168" s="119"/>
      <c r="BJ168" s="119"/>
      <c r="BK168" s="119"/>
      <c r="BL168" s="119"/>
      <c r="BM168" s="119"/>
      <c r="BN168" s="119"/>
    </row>
    <row r="169" spans="1:66" x14ac:dyDescent="0.25">
      <c r="I169" s="118"/>
      <c r="U169" s="125"/>
      <c r="V169" s="119"/>
      <c r="W169" s="120"/>
      <c r="X169" s="120"/>
      <c r="Y169" s="119"/>
      <c r="Z169" s="119"/>
      <c r="AA169" s="119"/>
      <c r="AB169" s="119"/>
      <c r="AC169" s="119"/>
      <c r="AD169" s="119"/>
      <c r="AH169" s="119"/>
      <c r="AI169" s="120"/>
      <c r="AJ169" s="120"/>
      <c r="AK169" s="119"/>
      <c r="AL169" s="119"/>
      <c r="AM169" s="119"/>
      <c r="AN169" s="119"/>
      <c r="AO169" s="119"/>
      <c r="AP169" s="119"/>
      <c r="AS169" s="125"/>
      <c r="AT169" s="119"/>
      <c r="AU169" s="120"/>
      <c r="AV169" s="120"/>
      <c r="AW169" s="119"/>
      <c r="AX169" s="119"/>
      <c r="AY169" s="119"/>
      <c r="AZ169" s="119"/>
      <c r="BA169" s="119"/>
      <c r="BB169" s="119"/>
      <c r="BE169" s="125"/>
      <c r="BF169" s="119"/>
      <c r="BG169" s="120"/>
      <c r="BH169" s="120"/>
      <c r="BI169" s="119"/>
      <c r="BJ169" s="119"/>
      <c r="BK169" s="119"/>
      <c r="BL169" s="119"/>
      <c r="BM169" s="119"/>
      <c r="BN169" s="119"/>
    </row>
    <row r="170" spans="1:66" x14ac:dyDescent="0.25">
      <c r="I170" s="118"/>
      <c r="U170" s="125"/>
      <c r="V170" s="119"/>
      <c r="W170" s="120"/>
      <c r="X170" s="120"/>
      <c r="Y170" s="119"/>
      <c r="Z170" s="119"/>
      <c r="AA170" s="119"/>
      <c r="AB170" s="119"/>
      <c r="AC170" s="119"/>
      <c r="AD170" s="119"/>
      <c r="AH170" s="119"/>
      <c r="AI170" s="120"/>
      <c r="AJ170" s="120"/>
      <c r="AK170" s="119"/>
      <c r="AL170" s="119"/>
      <c r="AM170" s="119"/>
      <c r="AN170" s="119"/>
      <c r="AO170" s="119"/>
      <c r="AP170" s="119"/>
      <c r="AS170" s="125"/>
      <c r="AT170" s="119"/>
      <c r="AU170" s="120"/>
      <c r="AV170" s="120"/>
      <c r="AW170" s="119"/>
      <c r="AX170" s="119"/>
      <c r="AY170" s="119"/>
      <c r="AZ170" s="119"/>
      <c r="BA170" s="119"/>
      <c r="BB170" s="119"/>
      <c r="BE170" s="125"/>
      <c r="BF170" s="119"/>
      <c r="BG170" s="120"/>
      <c r="BH170" s="120"/>
      <c r="BI170" s="119"/>
      <c r="BJ170" s="119"/>
      <c r="BK170" s="119"/>
      <c r="BL170" s="119"/>
      <c r="BM170" s="119"/>
      <c r="BN170" s="119"/>
    </row>
    <row r="171" spans="1:66" x14ac:dyDescent="0.25">
      <c r="U171" s="125"/>
      <c r="V171" s="119"/>
      <c r="W171" s="120"/>
      <c r="X171" s="120"/>
      <c r="Y171" s="119"/>
      <c r="Z171" s="119"/>
      <c r="AA171" s="119"/>
      <c r="AB171" s="119"/>
      <c r="AC171" s="119"/>
      <c r="AD171" s="119"/>
      <c r="AH171" s="119"/>
      <c r="AI171" s="120"/>
      <c r="AJ171" s="120"/>
      <c r="AK171" s="119"/>
      <c r="AL171" s="119"/>
      <c r="AM171" s="119"/>
      <c r="AN171" s="119"/>
      <c r="AO171" s="119"/>
      <c r="AP171" s="119"/>
      <c r="AS171" s="125"/>
      <c r="AT171" s="119"/>
      <c r="AU171" s="120"/>
      <c r="AV171" s="120"/>
      <c r="AW171" s="119"/>
      <c r="AX171" s="119"/>
      <c r="AY171" s="119"/>
      <c r="AZ171" s="119"/>
      <c r="BA171" s="119"/>
      <c r="BB171" s="119"/>
      <c r="BE171" s="125"/>
      <c r="BF171" s="119"/>
      <c r="BG171" s="120"/>
      <c r="BH171" s="120"/>
      <c r="BI171" s="119"/>
      <c r="BJ171" s="119"/>
      <c r="BK171" s="119"/>
      <c r="BL171" s="119"/>
      <c r="BM171" s="119"/>
      <c r="BN171" s="119"/>
    </row>
    <row r="172" spans="1:66" x14ac:dyDescent="0.25">
      <c r="U172" s="125"/>
      <c r="V172" s="119"/>
      <c r="W172" s="120"/>
      <c r="X172" s="120"/>
      <c r="Y172" s="119"/>
      <c r="Z172" s="119"/>
      <c r="AA172" s="119"/>
      <c r="AB172" s="119"/>
      <c r="AC172" s="119"/>
      <c r="AD172" s="119"/>
      <c r="AH172" s="119"/>
      <c r="AI172" s="120"/>
      <c r="AJ172" s="120"/>
      <c r="AK172" s="119"/>
      <c r="AL172" s="119"/>
      <c r="AM172" s="119"/>
      <c r="AN172" s="119"/>
      <c r="AO172" s="119"/>
      <c r="AP172" s="119"/>
      <c r="AS172" s="125"/>
      <c r="AT172" s="119"/>
      <c r="AU172" s="120"/>
      <c r="AV172" s="120"/>
      <c r="AW172" s="119"/>
      <c r="AX172" s="119"/>
      <c r="AY172" s="119"/>
      <c r="AZ172" s="119"/>
      <c r="BA172" s="119"/>
      <c r="BB172" s="119"/>
      <c r="BE172" s="125"/>
      <c r="BF172" s="119"/>
      <c r="BG172" s="120"/>
      <c r="BH172" s="120"/>
      <c r="BI172" s="119"/>
      <c r="BJ172" s="119"/>
      <c r="BK172" s="119"/>
      <c r="BL172" s="119"/>
      <c r="BM172" s="119"/>
      <c r="BN172" s="119"/>
    </row>
    <row r="173" spans="1:66" x14ac:dyDescent="0.25">
      <c r="U173" s="125"/>
      <c r="V173" s="119"/>
      <c r="W173" s="120"/>
      <c r="X173" s="120"/>
      <c r="Y173" s="119"/>
      <c r="Z173" s="119"/>
      <c r="AA173" s="119"/>
      <c r="AB173" s="119"/>
      <c r="AC173" s="119"/>
      <c r="AD173" s="119"/>
      <c r="AH173" s="119"/>
      <c r="AI173" s="120"/>
      <c r="AJ173" s="120"/>
      <c r="AK173" s="119"/>
      <c r="AL173" s="119"/>
      <c r="AM173" s="119"/>
      <c r="AN173" s="119"/>
      <c r="AO173" s="119"/>
      <c r="AP173" s="119"/>
      <c r="AS173" s="125"/>
      <c r="AT173" s="119"/>
      <c r="AU173" s="120"/>
      <c r="AV173" s="120"/>
      <c r="AW173" s="119"/>
      <c r="AX173" s="119"/>
      <c r="AY173" s="119"/>
      <c r="AZ173" s="119"/>
      <c r="BA173" s="119"/>
      <c r="BB173" s="119"/>
      <c r="BE173" s="125"/>
      <c r="BF173" s="119"/>
      <c r="BG173" s="120"/>
      <c r="BH173" s="120"/>
      <c r="BI173" s="119"/>
      <c r="BJ173" s="119"/>
      <c r="BK173" s="119"/>
      <c r="BL173" s="119"/>
      <c r="BM173" s="119"/>
      <c r="BN173" s="119"/>
    </row>
    <row r="174" spans="1:66" x14ac:dyDescent="0.25">
      <c r="U174" s="125"/>
      <c r="V174" s="119"/>
      <c r="W174" s="120"/>
      <c r="X174" s="120"/>
      <c r="Y174" s="119"/>
      <c r="Z174" s="119"/>
      <c r="AA174" s="119"/>
      <c r="AB174" s="119"/>
      <c r="AC174" s="119"/>
      <c r="AD174" s="119"/>
      <c r="AH174" s="119"/>
      <c r="AI174" s="120"/>
      <c r="AJ174" s="120"/>
      <c r="AK174" s="119"/>
      <c r="AL174" s="119"/>
      <c r="AM174" s="119"/>
      <c r="AN174" s="119"/>
      <c r="AO174" s="119"/>
      <c r="AP174" s="119"/>
      <c r="AS174" s="125"/>
      <c r="AT174" s="119"/>
      <c r="AU174" s="120"/>
      <c r="AV174" s="120"/>
      <c r="AW174" s="119"/>
      <c r="AX174" s="119"/>
      <c r="AY174" s="119"/>
      <c r="AZ174" s="119"/>
      <c r="BA174" s="119"/>
      <c r="BB174" s="119"/>
      <c r="BE174" s="125"/>
      <c r="BF174" s="119"/>
      <c r="BG174" s="120"/>
      <c r="BH174" s="120"/>
      <c r="BI174" s="119"/>
      <c r="BJ174" s="119"/>
      <c r="BK174" s="119"/>
      <c r="BL174" s="119"/>
      <c r="BM174" s="119"/>
      <c r="BN174" s="119"/>
    </row>
    <row r="175" spans="1:66" x14ac:dyDescent="0.25">
      <c r="A175" s="118"/>
      <c r="B175" s="119"/>
      <c r="C175" s="120"/>
      <c r="D175" s="120"/>
      <c r="E175" s="119"/>
      <c r="F175" s="119"/>
      <c r="U175" s="125"/>
      <c r="V175" s="119"/>
      <c r="W175" s="120"/>
      <c r="X175" s="120"/>
      <c r="Y175" s="119"/>
      <c r="Z175" s="119"/>
      <c r="AA175" s="119"/>
      <c r="AB175" s="119"/>
      <c r="AC175" s="119"/>
      <c r="AD175" s="119"/>
      <c r="AH175" s="119"/>
      <c r="AI175" s="120"/>
      <c r="AJ175" s="120"/>
      <c r="AK175" s="119"/>
      <c r="AL175" s="119"/>
      <c r="AM175" s="119"/>
      <c r="AN175" s="119"/>
      <c r="AO175" s="119"/>
      <c r="AP175" s="119"/>
      <c r="AS175" s="125"/>
      <c r="AT175" s="119"/>
      <c r="AU175" s="120"/>
      <c r="AV175" s="120"/>
      <c r="AW175" s="119"/>
      <c r="AX175" s="119"/>
      <c r="AY175" s="119"/>
      <c r="AZ175" s="119"/>
      <c r="BA175" s="119"/>
      <c r="BB175" s="119"/>
      <c r="BE175" s="125"/>
      <c r="BF175" s="119"/>
      <c r="BG175" s="120"/>
      <c r="BH175" s="120"/>
      <c r="BI175" s="119"/>
      <c r="BJ175" s="119"/>
      <c r="BK175" s="119"/>
      <c r="BL175" s="119"/>
      <c r="BM175" s="119"/>
      <c r="BN175" s="119"/>
    </row>
    <row r="176" spans="1:66" x14ac:dyDescent="0.25">
      <c r="U176" s="125"/>
      <c r="V176" s="119"/>
      <c r="W176" s="120"/>
      <c r="X176" s="120"/>
      <c r="Y176" s="119"/>
      <c r="Z176" s="119"/>
      <c r="AA176" s="119"/>
      <c r="AB176" s="119"/>
      <c r="AC176" s="119"/>
      <c r="AD176" s="119"/>
      <c r="AH176" s="119"/>
      <c r="AI176" s="120"/>
      <c r="AJ176" s="120"/>
      <c r="AK176" s="119"/>
      <c r="AL176" s="119"/>
      <c r="AM176" s="119"/>
      <c r="AN176" s="119"/>
      <c r="AO176" s="119"/>
      <c r="AP176" s="119"/>
      <c r="AS176" s="125"/>
      <c r="AT176" s="119"/>
      <c r="AU176" s="120"/>
      <c r="AV176" s="120"/>
      <c r="AW176" s="119"/>
      <c r="AX176" s="119"/>
      <c r="AY176" s="119"/>
      <c r="AZ176" s="119"/>
      <c r="BA176" s="119"/>
      <c r="BB176" s="119"/>
      <c r="BE176" s="125"/>
      <c r="BF176" s="119"/>
      <c r="BG176" s="120"/>
      <c r="BH176" s="120"/>
      <c r="BI176" s="119"/>
      <c r="BJ176" s="119"/>
      <c r="BK176" s="119"/>
      <c r="BL176" s="119"/>
      <c r="BM176" s="119"/>
      <c r="BN176" s="119"/>
    </row>
    <row r="177" spans="1:66" x14ac:dyDescent="0.25">
      <c r="U177" s="125"/>
      <c r="V177" s="119"/>
      <c r="W177" s="120"/>
      <c r="X177" s="120"/>
      <c r="Y177" s="119"/>
      <c r="Z177" s="119"/>
      <c r="AA177" s="119"/>
      <c r="AB177" s="119"/>
      <c r="AC177" s="119"/>
      <c r="AD177" s="119"/>
      <c r="AH177" s="119"/>
      <c r="AI177" s="120"/>
      <c r="AJ177" s="120"/>
      <c r="AK177" s="119"/>
      <c r="AL177" s="119"/>
      <c r="AM177" s="119"/>
      <c r="AN177" s="119"/>
      <c r="AO177" s="119"/>
      <c r="AP177" s="119"/>
      <c r="AS177" s="125"/>
      <c r="AT177" s="119"/>
      <c r="AU177" s="120"/>
      <c r="AV177" s="120"/>
      <c r="AW177" s="119"/>
      <c r="AX177" s="119"/>
      <c r="AY177" s="119"/>
      <c r="AZ177" s="119"/>
      <c r="BA177" s="119"/>
      <c r="BB177" s="119"/>
      <c r="BE177" s="125"/>
      <c r="BF177" s="119"/>
      <c r="BG177" s="120"/>
      <c r="BH177" s="120"/>
      <c r="BI177" s="119"/>
      <c r="BJ177" s="119"/>
      <c r="BK177" s="119"/>
      <c r="BL177" s="119"/>
      <c r="BM177" s="119"/>
      <c r="BN177" s="119"/>
    </row>
    <row r="178" spans="1:66" x14ac:dyDescent="0.25">
      <c r="U178" s="125"/>
      <c r="V178" s="119"/>
      <c r="W178" s="120"/>
      <c r="X178" s="120"/>
      <c r="Y178" s="119"/>
      <c r="Z178" s="119"/>
      <c r="AA178" s="119"/>
      <c r="AB178" s="119"/>
      <c r="AC178" s="119"/>
      <c r="AD178" s="119"/>
      <c r="AH178" s="119"/>
      <c r="AI178" s="120"/>
      <c r="AJ178" s="120"/>
      <c r="AK178" s="119"/>
      <c r="AL178" s="119"/>
      <c r="AM178" s="119"/>
      <c r="AN178" s="119"/>
      <c r="AO178" s="119"/>
      <c r="AP178" s="119"/>
      <c r="AS178" s="125"/>
      <c r="AT178" s="119"/>
      <c r="AU178" s="120"/>
      <c r="AV178" s="120"/>
      <c r="AW178" s="119"/>
      <c r="AX178" s="119"/>
      <c r="AY178" s="119"/>
      <c r="AZ178" s="119"/>
      <c r="BA178" s="119"/>
      <c r="BB178" s="119"/>
      <c r="BE178" s="125"/>
      <c r="BF178" s="119"/>
      <c r="BG178" s="120"/>
      <c r="BH178" s="120"/>
      <c r="BI178" s="119"/>
      <c r="BJ178" s="119"/>
      <c r="BK178" s="119"/>
      <c r="BL178" s="119"/>
      <c r="BM178" s="119"/>
      <c r="BN178" s="119"/>
    </row>
    <row r="179" spans="1:66" x14ac:dyDescent="0.25">
      <c r="V179" s="119"/>
      <c r="W179" s="120"/>
      <c r="X179" s="120"/>
      <c r="Y179" s="119"/>
      <c r="Z179" s="119"/>
      <c r="AA179" s="119"/>
      <c r="AB179" s="119"/>
      <c r="AC179" s="119"/>
      <c r="AD179" s="119"/>
      <c r="AG179" s="125"/>
      <c r="AH179" s="119"/>
      <c r="AI179" s="120"/>
      <c r="AJ179" s="120"/>
      <c r="AK179" s="119"/>
      <c r="AL179" s="119"/>
      <c r="AM179" s="119"/>
      <c r="AN179" s="119"/>
      <c r="AO179" s="119"/>
      <c r="AP179" s="119"/>
      <c r="AT179" s="119"/>
      <c r="AU179" s="120"/>
      <c r="AV179" s="120"/>
      <c r="AW179" s="119"/>
      <c r="AX179" s="119"/>
      <c r="AY179" s="119"/>
      <c r="AZ179" s="119"/>
      <c r="BA179" s="119"/>
      <c r="BB179" s="119"/>
      <c r="BF179" s="119"/>
      <c r="BG179" s="120"/>
      <c r="BH179" s="120"/>
      <c r="BI179" s="119"/>
      <c r="BJ179" s="119"/>
      <c r="BK179" s="119"/>
      <c r="BL179" s="119"/>
      <c r="BM179" s="119"/>
      <c r="BN179" s="119"/>
    </row>
    <row r="180" spans="1:66" x14ac:dyDescent="0.25">
      <c r="V180" s="119"/>
      <c r="W180" s="120"/>
      <c r="X180" s="120"/>
      <c r="Y180" s="119"/>
      <c r="Z180" s="119"/>
      <c r="AA180" s="119"/>
      <c r="AB180" s="119"/>
      <c r="AC180" s="119"/>
      <c r="AD180" s="119"/>
      <c r="AG180" s="125"/>
      <c r="AH180" s="119"/>
      <c r="AI180" s="120"/>
      <c r="AJ180" s="120"/>
      <c r="AK180" s="119"/>
      <c r="AL180" s="119"/>
      <c r="AM180" s="119"/>
      <c r="AN180" s="119"/>
      <c r="AO180" s="119"/>
      <c r="AP180" s="119"/>
      <c r="AT180" s="119"/>
      <c r="AU180" s="120"/>
      <c r="AV180" s="120"/>
      <c r="AW180" s="119"/>
      <c r="AX180" s="119"/>
      <c r="AY180" s="119"/>
      <c r="AZ180" s="119"/>
      <c r="BA180" s="119"/>
      <c r="BB180" s="119"/>
      <c r="BF180" s="119"/>
      <c r="BG180" s="120"/>
      <c r="BH180" s="120"/>
      <c r="BI180" s="119"/>
      <c r="BJ180" s="119"/>
      <c r="BK180" s="119"/>
      <c r="BL180" s="119"/>
      <c r="BM180" s="119"/>
      <c r="BN180" s="119"/>
    </row>
    <row r="181" spans="1:66" x14ac:dyDescent="0.25">
      <c r="V181" s="119"/>
      <c r="W181" s="120"/>
      <c r="X181" s="120"/>
      <c r="Y181" s="119"/>
      <c r="Z181" s="119"/>
      <c r="AA181" s="119"/>
      <c r="AB181" s="119"/>
      <c r="AC181" s="119"/>
      <c r="AD181" s="119"/>
      <c r="AG181" s="125"/>
      <c r="AH181" s="119"/>
      <c r="AI181" s="120"/>
      <c r="AJ181" s="120"/>
      <c r="AK181" s="119"/>
      <c r="AL181" s="119"/>
      <c r="AM181" s="119"/>
      <c r="AN181" s="119"/>
      <c r="AO181" s="119"/>
      <c r="AP181" s="119"/>
      <c r="AT181" s="119"/>
      <c r="AU181" s="120"/>
      <c r="AV181" s="120"/>
      <c r="AW181" s="119"/>
      <c r="AX181" s="119"/>
      <c r="AY181" s="119"/>
      <c r="AZ181" s="119"/>
      <c r="BA181" s="119"/>
      <c r="BB181" s="119"/>
      <c r="BF181" s="119"/>
      <c r="BG181" s="120"/>
      <c r="BH181" s="120"/>
      <c r="BI181" s="119"/>
      <c r="BJ181" s="119"/>
      <c r="BK181" s="119"/>
      <c r="BL181" s="119"/>
      <c r="BM181" s="119"/>
      <c r="BN181" s="119"/>
    </row>
    <row r="182" spans="1:66" x14ac:dyDescent="0.25">
      <c r="V182" s="119"/>
      <c r="W182" s="120"/>
      <c r="X182" s="120"/>
      <c r="Y182" s="119"/>
      <c r="Z182" s="119"/>
      <c r="AA182" s="119"/>
      <c r="AB182" s="119"/>
      <c r="AC182" s="119"/>
      <c r="AD182" s="119"/>
      <c r="AG182" s="125"/>
      <c r="AH182" s="119"/>
      <c r="AI182" s="120"/>
      <c r="AJ182" s="120"/>
      <c r="AK182" s="119"/>
      <c r="AL182" s="119"/>
      <c r="AM182" s="119"/>
      <c r="AN182" s="119"/>
      <c r="AO182" s="119"/>
      <c r="AP182" s="119"/>
      <c r="AT182" s="119"/>
      <c r="AU182" s="120"/>
      <c r="AV182" s="120"/>
      <c r="AW182" s="119"/>
      <c r="AX182" s="119"/>
      <c r="AY182" s="119"/>
      <c r="AZ182" s="119"/>
      <c r="BA182" s="119"/>
      <c r="BB182" s="119"/>
      <c r="BF182" s="119"/>
      <c r="BG182" s="120"/>
      <c r="BH182" s="120"/>
      <c r="BI182" s="119"/>
      <c r="BJ182" s="119"/>
      <c r="BK182" s="119"/>
      <c r="BL182" s="119"/>
      <c r="BM182" s="119"/>
      <c r="BN182" s="119"/>
    </row>
    <row r="183" spans="1:66" x14ac:dyDescent="0.25">
      <c r="A183" s="125"/>
      <c r="B183" s="122"/>
      <c r="C183" s="120"/>
      <c r="D183" s="120"/>
      <c r="E183" s="122"/>
      <c r="V183" s="119"/>
      <c r="W183" s="120"/>
      <c r="X183" s="120"/>
      <c r="Y183" s="119"/>
      <c r="Z183" s="119"/>
      <c r="AA183" s="119"/>
      <c r="AB183" s="119"/>
      <c r="AC183" s="119"/>
      <c r="AD183" s="119"/>
      <c r="AG183" s="125"/>
      <c r="AH183" s="119"/>
      <c r="AI183" s="120"/>
      <c r="AJ183" s="120"/>
      <c r="AK183" s="119"/>
      <c r="AL183" s="119"/>
      <c r="AM183" s="119"/>
      <c r="AN183" s="119"/>
      <c r="AO183" s="119"/>
      <c r="AP183" s="119"/>
      <c r="AT183" s="119"/>
      <c r="AU183" s="120"/>
      <c r="AV183" s="120"/>
      <c r="AW183" s="119"/>
      <c r="AX183" s="119"/>
      <c r="AY183" s="119"/>
      <c r="AZ183" s="119"/>
      <c r="BA183" s="119"/>
      <c r="BB183" s="119"/>
      <c r="BF183" s="119"/>
      <c r="BG183" s="120"/>
      <c r="BH183" s="120"/>
      <c r="BI183" s="119"/>
      <c r="BJ183" s="119"/>
      <c r="BK183" s="119"/>
      <c r="BL183" s="119"/>
      <c r="BM183" s="119"/>
      <c r="BN183" s="119"/>
    </row>
    <row r="184" spans="1:66" x14ac:dyDescent="0.25">
      <c r="V184" s="119"/>
      <c r="W184" s="120"/>
      <c r="X184" s="120"/>
      <c r="Y184" s="119"/>
      <c r="Z184" s="119"/>
      <c r="AA184" s="119"/>
      <c r="AB184" s="119"/>
      <c r="AC184" s="119"/>
      <c r="AD184" s="119"/>
      <c r="AG184" s="125"/>
      <c r="AH184" s="119"/>
      <c r="AI184" s="120"/>
      <c r="AJ184" s="120"/>
      <c r="AK184" s="119"/>
      <c r="AL184" s="119"/>
      <c r="AM184" s="119"/>
      <c r="AN184" s="119"/>
      <c r="AO184" s="119"/>
      <c r="AP184" s="119"/>
      <c r="AT184" s="119"/>
      <c r="AU184" s="120"/>
      <c r="AV184" s="120"/>
      <c r="AW184" s="119"/>
      <c r="AX184" s="119"/>
      <c r="AY184" s="119"/>
      <c r="AZ184" s="119"/>
      <c r="BA184" s="119"/>
      <c r="BB184" s="119"/>
      <c r="BF184" s="119"/>
      <c r="BG184" s="120"/>
      <c r="BH184" s="120"/>
      <c r="BI184" s="119"/>
      <c r="BJ184" s="119"/>
      <c r="BK184" s="119"/>
      <c r="BL184" s="119"/>
      <c r="BM184" s="119"/>
      <c r="BN184" s="119"/>
    </row>
    <row r="185" spans="1:66" x14ac:dyDescent="0.25">
      <c r="V185" s="119"/>
      <c r="W185" s="120"/>
      <c r="X185" s="120"/>
      <c r="Y185" s="119"/>
      <c r="Z185" s="119"/>
      <c r="AA185" s="119"/>
      <c r="AB185" s="119"/>
      <c r="AC185" s="119"/>
      <c r="AD185" s="119"/>
      <c r="AG185" s="125"/>
      <c r="AH185" s="119"/>
      <c r="AI185" s="120"/>
      <c r="AJ185" s="120"/>
      <c r="AK185" s="119"/>
      <c r="AL185" s="119"/>
      <c r="AM185" s="119"/>
      <c r="AN185" s="119"/>
      <c r="AO185" s="119"/>
      <c r="AP185" s="119"/>
      <c r="AT185" s="119"/>
      <c r="AU185" s="120"/>
      <c r="AV185" s="120"/>
      <c r="AW185" s="119"/>
      <c r="AX185" s="119"/>
      <c r="AY185" s="119"/>
      <c r="AZ185" s="119"/>
      <c r="BA185" s="119"/>
      <c r="BB185" s="119"/>
      <c r="BF185" s="119"/>
      <c r="BG185" s="120"/>
      <c r="BH185" s="120"/>
      <c r="BI185" s="119"/>
      <c r="BJ185" s="119"/>
      <c r="BK185" s="119"/>
      <c r="BL185" s="119"/>
      <c r="BM185" s="119"/>
      <c r="BN185" s="119"/>
    </row>
    <row r="186" spans="1:66" x14ac:dyDescent="0.25">
      <c r="V186" s="119"/>
      <c r="W186" s="120"/>
      <c r="X186" s="120"/>
      <c r="Y186" s="119"/>
      <c r="Z186" s="119"/>
      <c r="AA186" s="119"/>
      <c r="AB186" s="119"/>
      <c r="AC186" s="119"/>
      <c r="AD186" s="119"/>
      <c r="AH186" s="119"/>
      <c r="AI186" s="120"/>
      <c r="AJ186" s="120"/>
      <c r="AK186" s="119"/>
      <c r="AL186" s="119"/>
      <c r="AM186" s="119"/>
      <c r="AN186" s="119"/>
      <c r="AO186" s="119"/>
      <c r="AP186" s="119"/>
      <c r="AS186" s="125"/>
      <c r="AT186" s="119"/>
      <c r="AU186" s="120"/>
      <c r="AV186" s="120"/>
      <c r="AW186" s="119"/>
      <c r="AX186" s="119"/>
      <c r="AY186" s="119"/>
      <c r="AZ186" s="119"/>
      <c r="BA186" s="119"/>
      <c r="BB186" s="119"/>
      <c r="BF186" s="119"/>
      <c r="BG186" s="120"/>
      <c r="BH186" s="120"/>
      <c r="BI186" s="119"/>
      <c r="BJ186" s="119"/>
      <c r="BK186" s="119"/>
      <c r="BL186" s="119"/>
      <c r="BM186" s="119"/>
      <c r="BN186" s="119"/>
    </row>
    <row r="187" spans="1:66" x14ac:dyDescent="0.25">
      <c r="A187" s="125"/>
      <c r="B187" s="122"/>
      <c r="C187" s="120"/>
      <c r="D187" s="120"/>
      <c r="E187" s="122"/>
      <c r="F187" s="122"/>
      <c r="V187" s="119"/>
      <c r="W187" s="120"/>
      <c r="X187" s="120"/>
      <c r="Y187" s="119"/>
      <c r="Z187" s="119"/>
      <c r="AA187" s="119"/>
      <c r="AB187" s="119"/>
      <c r="AC187" s="119"/>
      <c r="AD187" s="119"/>
      <c r="AH187" s="119"/>
      <c r="AI187" s="120"/>
      <c r="AJ187" s="120"/>
      <c r="AK187" s="119"/>
      <c r="AL187" s="119"/>
      <c r="AM187" s="119"/>
      <c r="AN187" s="119"/>
      <c r="AO187" s="119"/>
      <c r="AP187" s="119"/>
      <c r="AS187" s="125"/>
      <c r="AT187" s="119"/>
      <c r="AU187" s="120"/>
      <c r="AV187" s="120"/>
      <c r="AW187" s="119"/>
      <c r="AX187" s="119"/>
      <c r="AY187" s="119"/>
      <c r="AZ187" s="119"/>
      <c r="BA187" s="119"/>
      <c r="BB187" s="119"/>
      <c r="BF187" s="119"/>
      <c r="BG187" s="120"/>
      <c r="BH187" s="120"/>
      <c r="BI187" s="119"/>
      <c r="BJ187" s="119"/>
      <c r="BK187" s="119"/>
      <c r="BL187" s="119"/>
      <c r="BM187" s="119"/>
      <c r="BN187" s="119"/>
    </row>
    <row r="188" spans="1:66" x14ac:dyDescent="0.25">
      <c r="V188" s="119"/>
      <c r="W188" s="120"/>
      <c r="X188" s="120"/>
      <c r="Y188" s="119"/>
      <c r="Z188" s="119"/>
      <c r="AA188" s="119"/>
      <c r="AB188" s="119"/>
      <c r="AC188" s="119"/>
      <c r="AD188" s="119"/>
      <c r="AH188" s="119"/>
      <c r="AI188" s="120"/>
      <c r="AJ188" s="120"/>
      <c r="AK188" s="119"/>
      <c r="AL188" s="119"/>
      <c r="AM188" s="119"/>
      <c r="AN188" s="119"/>
      <c r="AO188" s="119"/>
      <c r="AP188" s="119"/>
      <c r="AS188" s="125"/>
      <c r="AT188" s="119"/>
      <c r="AU188" s="120"/>
      <c r="AV188" s="120"/>
      <c r="AW188" s="119"/>
      <c r="AX188" s="119"/>
      <c r="AY188" s="119"/>
      <c r="AZ188" s="119"/>
      <c r="BA188" s="119"/>
      <c r="BB188" s="119"/>
      <c r="BF188" s="119"/>
      <c r="BG188" s="120"/>
      <c r="BH188" s="120"/>
      <c r="BI188" s="119"/>
      <c r="BJ188" s="119"/>
      <c r="BK188" s="119"/>
      <c r="BL188" s="119"/>
      <c r="BM188" s="119"/>
      <c r="BN188" s="119"/>
    </row>
    <row r="189" spans="1:66" x14ac:dyDescent="0.25">
      <c r="V189" s="119"/>
      <c r="W189" s="120"/>
      <c r="X189" s="120"/>
      <c r="Y189" s="119"/>
      <c r="Z189" s="119"/>
      <c r="AA189" s="119"/>
      <c r="AB189" s="119"/>
      <c r="AC189" s="119"/>
      <c r="AD189" s="119"/>
      <c r="AH189" s="119"/>
      <c r="AI189" s="120"/>
      <c r="AJ189" s="120"/>
      <c r="AK189" s="119"/>
      <c r="AL189" s="119"/>
      <c r="AM189" s="119"/>
      <c r="AN189" s="119"/>
      <c r="AO189" s="119"/>
      <c r="AP189" s="119"/>
      <c r="AS189" s="125"/>
      <c r="AT189" s="119"/>
      <c r="AU189" s="120"/>
      <c r="AV189" s="120"/>
      <c r="AW189" s="119"/>
      <c r="AX189" s="119"/>
      <c r="AY189" s="119"/>
      <c r="AZ189" s="119"/>
      <c r="BA189" s="119"/>
      <c r="BB189" s="119"/>
      <c r="BF189" s="119"/>
      <c r="BG189" s="120"/>
      <c r="BH189" s="120"/>
      <c r="BI189" s="119"/>
      <c r="BJ189" s="119"/>
      <c r="BK189" s="119"/>
      <c r="BL189" s="119"/>
      <c r="BM189" s="119"/>
      <c r="BN189" s="119"/>
    </row>
    <row r="190" spans="1:66" x14ac:dyDescent="0.25">
      <c r="V190" s="119"/>
      <c r="W190" s="120"/>
      <c r="X190" s="120"/>
      <c r="Y190" s="119"/>
      <c r="Z190" s="119"/>
      <c r="AA190" s="119"/>
      <c r="AB190" s="119"/>
      <c r="AC190" s="119"/>
      <c r="AD190" s="119"/>
      <c r="AH190" s="119"/>
      <c r="AI190" s="120"/>
      <c r="AJ190" s="120"/>
      <c r="AK190" s="119"/>
      <c r="AL190" s="119"/>
      <c r="AM190" s="119"/>
      <c r="AN190" s="119"/>
      <c r="AO190" s="119"/>
      <c r="AP190" s="119"/>
      <c r="AS190" s="125"/>
      <c r="AT190" s="119"/>
      <c r="AU190" s="120"/>
      <c r="AV190" s="120"/>
      <c r="AW190" s="119"/>
      <c r="AX190" s="119"/>
      <c r="AY190" s="119"/>
      <c r="AZ190" s="119"/>
      <c r="BA190" s="119"/>
      <c r="BB190" s="119"/>
      <c r="BF190" s="119"/>
      <c r="BG190" s="120"/>
      <c r="BH190" s="120"/>
      <c r="BI190" s="119"/>
      <c r="BJ190" s="119"/>
      <c r="BK190" s="119"/>
      <c r="BL190" s="119"/>
      <c r="BM190" s="119"/>
      <c r="BN190" s="119"/>
    </row>
    <row r="191" spans="1:66" x14ac:dyDescent="0.25">
      <c r="V191" s="119"/>
      <c r="W191" s="120"/>
      <c r="X191" s="120"/>
      <c r="Y191" s="119"/>
      <c r="Z191" s="119"/>
      <c r="AA191" s="119"/>
      <c r="AB191" s="119"/>
      <c r="AC191" s="119"/>
      <c r="AD191" s="119"/>
      <c r="AH191" s="119"/>
      <c r="AI191" s="120"/>
      <c r="AJ191" s="120"/>
      <c r="AK191" s="119"/>
      <c r="AL191" s="119"/>
      <c r="AM191" s="119"/>
      <c r="AN191" s="119"/>
      <c r="AO191" s="119"/>
      <c r="AP191" s="119"/>
      <c r="AS191" s="125"/>
      <c r="AT191" s="119"/>
      <c r="AU191" s="120"/>
      <c r="AV191" s="120"/>
      <c r="AW191" s="119"/>
      <c r="AX191" s="119"/>
      <c r="AY191" s="119"/>
      <c r="AZ191" s="119"/>
      <c r="BA191" s="119"/>
      <c r="BB191" s="119"/>
      <c r="BF191" s="119"/>
      <c r="BG191" s="120"/>
      <c r="BH191" s="120"/>
      <c r="BI191" s="119"/>
      <c r="BJ191" s="119"/>
      <c r="BK191" s="119"/>
      <c r="BL191" s="119"/>
      <c r="BM191" s="119"/>
      <c r="BN191" s="119"/>
    </row>
    <row r="192" spans="1:66" x14ac:dyDescent="0.25">
      <c r="V192" s="119"/>
      <c r="W192" s="120"/>
      <c r="X192" s="120"/>
      <c r="Y192" s="119"/>
      <c r="Z192" s="119"/>
      <c r="AA192" s="119"/>
      <c r="AB192" s="119"/>
      <c r="AC192" s="119"/>
      <c r="AD192" s="119"/>
      <c r="AH192" s="119"/>
      <c r="AI192" s="120"/>
      <c r="AJ192" s="120"/>
      <c r="AK192" s="119"/>
      <c r="AL192" s="119"/>
      <c r="AM192" s="119"/>
      <c r="AN192" s="119"/>
      <c r="AO192" s="119"/>
      <c r="AP192" s="119"/>
      <c r="AS192" s="125"/>
      <c r="AT192" s="119"/>
      <c r="AU192" s="120"/>
      <c r="AV192" s="120"/>
      <c r="AW192" s="119"/>
      <c r="AX192" s="119"/>
      <c r="AY192" s="119"/>
      <c r="AZ192" s="119"/>
      <c r="BA192" s="119"/>
      <c r="BB192" s="119"/>
      <c r="BF192" s="119"/>
      <c r="BG192" s="120"/>
      <c r="BH192" s="120"/>
      <c r="BI192" s="119"/>
      <c r="BJ192" s="119"/>
      <c r="BK192" s="119"/>
      <c r="BL192" s="119"/>
      <c r="BM192" s="119"/>
      <c r="BN192" s="119"/>
    </row>
    <row r="193" spans="22:66" x14ac:dyDescent="0.25">
      <c r="V193" s="119"/>
      <c r="W193" s="120"/>
      <c r="X193" s="120"/>
      <c r="Y193" s="119"/>
      <c r="Z193" s="119"/>
      <c r="AA193" s="119"/>
      <c r="AB193" s="119"/>
      <c r="AC193" s="119"/>
      <c r="AD193" s="119"/>
      <c r="AH193" s="119"/>
      <c r="AI193" s="120"/>
      <c r="AJ193" s="120"/>
      <c r="AK193" s="119"/>
      <c r="AL193" s="119"/>
      <c r="AM193" s="119"/>
      <c r="AN193" s="119"/>
      <c r="AO193" s="119"/>
      <c r="AP193" s="119"/>
      <c r="AS193" s="125"/>
      <c r="AT193" s="119"/>
      <c r="AU193" s="120"/>
      <c r="AV193" s="120"/>
      <c r="AW193" s="119"/>
      <c r="AX193" s="119"/>
      <c r="AY193" s="119"/>
      <c r="AZ193" s="119"/>
      <c r="BA193" s="119"/>
      <c r="BB193" s="119"/>
      <c r="BF193" s="119"/>
      <c r="BG193" s="120"/>
      <c r="BH193" s="120"/>
      <c r="BI193" s="119"/>
      <c r="BJ193" s="119"/>
      <c r="BK193" s="119"/>
      <c r="BL193" s="119"/>
      <c r="BM193" s="119"/>
      <c r="BN193" s="119"/>
    </row>
    <row r="194" spans="22:66" x14ac:dyDescent="0.25">
      <c r="V194" s="119"/>
      <c r="W194" s="120"/>
      <c r="X194" s="120"/>
      <c r="Y194" s="119"/>
      <c r="Z194" s="119"/>
      <c r="AA194" s="119"/>
      <c r="AB194" s="119"/>
      <c r="AC194" s="119"/>
      <c r="AD194" s="119"/>
      <c r="AH194" s="119"/>
      <c r="AI194" s="120"/>
      <c r="AJ194" s="120"/>
      <c r="AK194" s="119"/>
      <c r="AL194" s="119"/>
      <c r="AM194" s="119"/>
      <c r="AN194" s="119"/>
      <c r="AO194" s="119"/>
      <c r="AP194" s="119"/>
      <c r="AS194" s="125"/>
      <c r="AT194" s="119"/>
      <c r="AU194" s="120"/>
      <c r="AV194" s="120"/>
      <c r="AW194" s="119"/>
      <c r="AX194" s="119"/>
      <c r="AY194" s="119"/>
      <c r="AZ194" s="119"/>
      <c r="BA194" s="119"/>
      <c r="BB194" s="119"/>
      <c r="BF194" s="119"/>
      <c r="BG194" s="120"/>
      <c r="BH194" s="120"/>
      <c r="BI194" s="119"/>
      <c r="BJ194" s="119"/>
      <c r="BK194" s="119"/>
      <c r="BL194" s="119"/>
      <c r="BM194" s="119"/>
      <c r="BN194" s="119"/>
    </row>
    <row r="195" spans="22:66" x14ac:dyDescent="0.25">
      <c r="V195" s="119"/>
      <c r="W195" s="120"/>
      <c r="X195" s="120"/>
      <c r="Y195" s="119"/>
      <c r="Z195" s="119"/>
      <c r="AA195" s="119"/>
      <c r="AB195" s="119"/>
      <c r="AC195" s="119"/>
      <c r="AD195" s="119"/>
      <c r="AH195" s="119"/>
      <c r="AI195" s="120"/>
      <c r="AJ195" s="120"/>
      <c r="AK195" s="119"/>
      <c r="AL195" s="119"/>
      <c r="AM195" s="119"/>
      <c r="AN195" s="119"/>
      <c r="AO195" s="119"/>
      <c r="AP195" s="119"/>
      <c r="AS195" s="125"/>
      <c r="AT195" s="119"/>
      <c r="AU195" s="120"/>
      <c r="AV195" s="120"/>
      <c r="AW195" s="119"/>
      <c r="AX195" s="119"/>
      <c r="AY195" s="119"/>
      <c r="AZ195" s="119"/>
      <c r="BA195" s="119"/>
      <c r="BB195" s="119"/>
      <c r="BF195" s="119"/>
      <c r="BG195" s="120"/>
      <c r="BH195" s="120"/>
      <c r="BI195" s="119"/>
      <c r="BJ195" s="119"/>
      <c r="BK195" s="119"/>
      <c r="BL195" s="119"/>
      <c r="BM195" s="119"/>
      <c r="BN195" s="119"/>
    </row>
    <row r="196" spans="22:66" x14ac:dyDescent="0.25">
      <c r="V196" s="119"/>
      <c r="W196" s="120"/>
      <c r="X196" s="120"/>
      <c r="Y196" s="119"/>
      <c r="Z196" s="119"/>
      <c r="AA196" s="119"/>
      <c r="AB196" s="119"/>
      <c r="AC196" s="119"/>
      <c r="AD196" s="119"/>
      <c r="AH196" s="119"/>
      <c r="AI196" s="120"/>
      <c r="AJ196" s="120"/>
      <c r="AK196" s="119"/>
      <c r="AL196" s="119"/>
      <c r="AM196" s="119"/>
      <c r="AN196" s="119"/>
      <c r="AO196" s="119"/>
      <c r="AP196" s="119"/>
      <c r="AS196" s="125"/>
      <c r="AT196" s="119"/>
      <c r="AU196" s="120"/>
      <c r="AV196" s="120"/>
      <c r="AW196" s="119"/>
      <c r="AX196" s="119"/>
      <c r="AY196" s="119"/>
      <c r="AZ196" s="119"/>
      <c r="BA196" s="119"/>
      <c r="BB196" s="119"/>
      <c r="BF196" s="119"/>
      <c r="BG196" s="120"/>
      <c r="BH196" s="120"/>
      <c r="BI196" s="119"/>
      <c r="BJ196" s="119"/>
      <c r="BK196" s="119"/>
      <c r="BL196" s="119"/>
      <c r="BM196" s="119"/>
      <c r="BN196" s="119"/>
    </row>
    <row r="197" spans="22:66" x14ac:dyDescent="0.25">
      <c r="V197" s="119"/>
      <c r="W197" s="120"/>
      <c r="X197" s="120"/>
      <c r="Y197" s="119"/>
      <c r="Z197" s="119"/>
      <c r="AA197" s="119"/>
      <c r="AB197" s="119"/>
      <c r="AC197" s="119"/>
      <c r="AD197" s="119"/>
      <c r="AH197" s="119"/>
      <c r="AI197" s="120"/>
      <c r="AJ197" s="120"/>
      <c r="AK197" s="119"/>
      <c r="AL197" s="119"/>
      <c r="AM197" s="119"/>
      <c r="AN197" s="119"/>
      <c r="AO197" s="119"/>
      <c r="AP197" s="119"/>
      <c r="AS197" s="125"/>
      <c r="AT197" s="119"/>
      <c r="AU197" s="120"/>
      <c r="AV197" s="120"/>
      <c r="AW197" s="119"/>
      <c r="AX197" s="119"/>
      <c r="AY197" s="119"/>
      <c r="AZ197" s="119"/>
      <c r="BA197" s="119"/>
      <c r="BB197" s="119"/>
      <c r="BF197" s="119"/>
      <c r="BG197" s="120"/>
      <c r="BH197" s="120"/>
      <c r="BI197" s="119"/>
      <c r="BJ197" s="119"/>
      <c r="BK197" s="119"/>
      <c r="BL197" s="119"/>
      <c r="BM197" s="119"/>
      <c r="BN197" s="119"/>
    </row>
    <row r="198" spans="22:66" x14ac:dyDescent="0.25">
      <c r="V198" s="119"/>
      <c r="W198" s="120"/>
      <c r="X198" s="120"/>
      <c r="Y198" s="119"/>
      <c r="Z198" s="119"/>
      <c r="AA198" s="119"/>
      <c r="AB198" s="119"/>
      <c r="AC198" s="119"/>
      <c r="AD198" s="119"/>
      <c r="AG198" s="125"/>
      <c r="AH198" s="119"/>
      <c r="AI198" s="120"/>
      <c r="AJ198" s="120"/>
      <c r="AK198" s="119"/>
      <c r="AL198" s="119"/>
      <c r="AM198" s="119"/>
      <c r="AN198" s="119"/>
      <c r="AO198" s="119"/>
      <c r="AP198" s="119"/>
      <c r="AT198" s="119"/>
      <c r="AU198" s="120"/>
      <c r="AV198" s="120"/>
      <c r="AW198" s="119"/>
      <c r="AX198" s="119"/>
      <c r="AY198" s="119"/>
      <c r="AZ198" s="119"/>
      <c r="BA198" s="119"/>
      <c r="BB198" s="119"/>
      <c r="BF198" s="119"/>
      <c r="BG198" s="120"/>
      <c r="BH198" s="120"/>
      <c r="BI198" s="119"/>
      <c r="BJ198" s="119"/>
      <c r="BK198" s="119"/>
      <c r="BL198" s="119"/>
      <c r="BM198" s="119"/>
      <c r="BN198" s="119"/>
    </row>
    <row r="199" spans="22:66" x14ac:dyDescent="0.25">
      <c r="V199" s="119"/>
      <c r="W199" s="120"/>
      <c r="X199" s="120"/>
      <c r="Y199" s="119"/>
      <c r="Z199" s="119"/>
      <c r="AA199" s="119"/>
      <c r="AB199" s="119"/>
      <c r="AC199" s="119"/>
      <c r="AD199" s="119"/>
      <c r="AG199" s="125"/>
      <c r="AH199" s="119"/>
      <c r="AI199" s="120"/>
      <c r="AJ199" s="120"/>
      <c r="AK199" s="119"/>
      <c r="AL199" s="119"/>
      <c r="AM199" s="119"/>
      <c r="AN199" s="119"/>
      <c r="AO199" s="119"/>
      <c r="AP199" s="119"/>
      <c r="AT199" s="119"/>
      <c r="AU199" s="120"/>
      <c r="AV199" s="120"/>
      <c r="AW199" s="119"/>
      <c r="AX199" s="119"/>
      <c r="AY199" s="119"/>
      <c r="AZ199" s="119"/>
      <c r="BA199" s="119"/>
      <c r="BB199" s="119"/>
      <c r="BF199" s="119"/>
      <c r="BG199" s="120"/>
      <c r="BH199" s="120"/>
      <c r="BI199" s="119"/>
      <c r="BJ199" s="119"/>
      <c r="BK199" s="119"/>
      <c r="BL199" s="119"/>
      <c r="BM199" s="119"/>
      <c r="BN199" s="119"/>
    </row>
    <row r="200" spans="22:66" x14ac:dyDescent="0.25">
      <c r="V200" s="119"/>
      <c r="W200" s="120"/>
      <c r="X200" s="120"/>
      <c r="Y200" s="119"/>
      <c r="Z200" s="119"/>
      <c r="AA200" s="119"/>
      <c r="AB200" s="119"/>
      <c r="AC200" s="119"/>
      <c r="AD200" s="119"/>
      <c r="AG200" s="125"/>
      <c r="AH200" s="119"/>
      <c r="AI200" s="120"/>
      <c r="AJ200" s="120"/>
      <c r="AK200" s="119"/>
      <c r="AL200" s="119"/>
      <c r="AM200" s="119"/>
      <c r="AN200" s="119"/>
      <c r="AO200" s="119"/>
      <c r="AP200" s="119"/>
      <c r="AT200" s="119"/>
      <c r="AU200" s="120"/>
      <c r="AV200" s="120"/>
      <c r="AW200" s="119"/>
      <c r="AX200" s="119"/>
      <c r="AY200" s="119"/>
      <c r="AZ200" s="119"/>
      <c r="BA200" s="119"/>
      <c r="BB200" s="119"/>
      <c r="BF200" s="119"/>
      <c r="BG200" s="120"/>
      <c r="BH200" s="120"/>
      <c r="BI200" s="119"/>
      <c r="BJ200" s="119"/>
      <c r="BK200" s="119"/>
      <c r="BL200" s="119"/>
      <c r="BM200" s="119"/>
      <c r="BN200" s="119"/>
    </row>
    <row r="201" spans="22:66" x14ac:dyDescent="0.25">
      <c r="V201" s="119"/>
      <c r="W201" s="120"/>
      <c r="X201" s="120"/>
      <c r="Y201" s="119"/>
      <c r="Z201" s="119"/>
      <c r="AA201" s="119"/>
      <c r="AB201" s="119"/>
      <c r="AC201" s="119"/>
      <c r="AD201" s="119"/>
      <c r="AG201" s="125"/>
      <c r="AH201" s="119"/>
      <c r="AI201" s="120"/>
      <c r="AJ201" s="120"/>
      <c r="AK201" s="119"/>
      <c r="AL201" s="119"/>
      <c r="AM201" s="119"/>
      <c r="AN201" s="119"/>
      <c r="AO201" s="119"/>
      <c r="AP201" s="119"/>
      <c r="AT201" s="119"/>
      <c r="AU201" s="120"/>
      <c r="AV201" s="120"/>
      <c r="AW201" s="119"/>
      <c r="AX201" s="119"/>
      <c r="AY201" s="119"/>
      <c r="AZ201" s="119"/>
      <c r="BA201" s="119"/>
      <c r="BB201" s="119"/>
      <c r="BF201" s="119"/>
      <c r="BG201" s="120"/>
      <c r="BH201" s="120"/>
      <c r="BI201" s="119"/>
      <c r="BJ201" s="119"/>
      <c r="BK201" s="119"/>
      <c r="BL201" s="119"/>
      <c r="BM201" s="119"/>
      <c r="BN201" s="119"/>
    </row>
    <row r="202" spans="22:66" x14ac:dyDescent="0.25">
      <c r="V202" s="119"/>
      <c r="W202" s="120"/>
      <c r="X202" s="120"/>
      <c r="Y202" s="119"/>
      <c r="Z202" s="119"/>
      <c r="AA202" s="119"/>
      <c r="AB202" s="119"/>
      <c r="AC202" s="119"/>
      <c r="AD202" s="119"/>
      <c r="AG202" s="125"/>
      <c r="AH202" s="119"/>
      <c r="AI202" s="120"/>
      <c r="AJ202" s="120"/>
      <c r="AK202" s="119"/>
      <c r="AL202" s="119"/>
      <c r="AM202" s="119"/>
      <c r="AN202" s="119"/>
      <c r="AO202" s="119"/>
      <c r="AP202" s="119"/>
      <c r="AT202" s="119"/>
      <c r="AU202" s="120"/>
      <c r="AV202" s="120"/>
      <c r="AW202" s="119"/>
      <c r="AX202" s="119"/>
      <c r="AY202" s="119"/>
      <c r="AZ202" s="119"/>
      <c r="BA202" s="119"/>
      <c r="BB202" s="119"/>
      <c r="BF202" s="119"/>
      <c r="BG202" s="120"/>
      <c r="BH202" s="120"/>
      <c r="BI202" s="119"/>
      <c r="BJ202" s="119"/>
      <c r="BK202" s="119"/>
      <c r="BL202" s="119"/>
      <c r="BM202" s="119"/>
      <c r="BN202" s="119"/>
    </row>
    <row r="203" spans="22:66" x14ac:dyDescent="0.25">
      <c r="V203" s="119"/>
      <c r="W203" s="120"/>
      <c r="X203" s="120"/>
      <c r="Y203" s="119"/>
      <c r="Z203" s="119"/>
      <c r="AA203" s="119"/>
      <c r="AB203" s="119"/>
      <c r="AC203" s="119"/>
      <c r="AD203" s="119"/>
      <c r="AG203" s="125"/>
      <c r="AH203" s="119"/>
      <c r="AI203" s="120"/>
      <c r="AJ203" s="120"/>
      <c r="AK203" s="119"/>
      <c r="AL203" s="119"/>
      <c r="AM203" s="119"/>
      <c r="AN203" s="119"/>
      <c r="AO203" s="119"/>
      <c r="AP203" s="119"/>
      <c r="AT203" s="119"/>
      <c r="AU203" s="120"/>
      <c r="AV203" s="120"/>
      <c r="AW203" s="119"/>
      <c r="AX203" s="119"/>
      <c r="AY203" s="119"/>
      <c r="AZ203" s="119"/>
      <c r="BA203" s="119"/>
      <c r="BB203" s="119"/>
      <c r="BF203" s="119"/>
      <c r="BG203" s="120"/>
      <c r="BH203" s="120"/>
      <c r="BI203" s="119"/>
      <c r="BJ203" s="119"/>
      <c r="BK203" s="119"/>
      <c r="BL203" s="119"/>
      <c r="BM203" s="119"/>
      <c r="BN203" s="119"/>
    </row>
    <row r="204" spans="22:66" x14ac:dyDescent="0.25">
      <c r="V204" s="119"/>
      <c r="W204" s="120"/>
      <c r="X204" s="120"/>
      <c r="Y204" s="119"/>
      <c r="Z204" s="119"/>
      <c r="AA204" s="119"/>
      <c r="AB204" s="119"/>
      <c r="AC204" s="119"/>
      <c r="AD204" s="119"/>
      <c r="AG204" s="125"/>
      <c r="AH204" s="119"/>
      <c r="AI204" s="120"/>
      <c r="AJ204" s="120"/>
      <c r="AK204" s="119"/>
      <c r="AL204" s="119"/>
      <c r="AM204" s="119"/>
      <c r="AN204" s="119"/>
      <c r="AO204" s="119"/>
      <c r="AP204" s="119"/>
      <c r="AT204" s="119"/>
      <c r="AU204" s="120"/>
      <c r="AV204" s="120"/>
      <c r="AW204" s="119"/>
      <c r="AX204" s="119"/>
      <c r="AY204" s="119"/>
      <c r="AZ204" s="119"/>
      <c r="BA204" s="119"/>
      <c r="BB204" s="119"/>
      <c r="BF204" s="119"/>
      <c r="BG204" s="120"/>
      <c r="BH204" s="120"/>
      <c r="BI204" s="119"/>
      <c r="BJ204" s="119"/>
      <c r="BK204" s="119"/>
      <c r="BL204" s="119"/>
      <c r="BM204" s="119"/>
      <c r="BN204" s="119"/>
    </row>
    <row r="205" spans="22:66" x14ac:dyDescent="0.25">
      <c r="V205" s="119"/>
      <c r="W205" s="120"/>
      <c r="X205" s="120"/>
      <c r="Y205" s="119"/>
      <c r="Z205" s="119"/>
      <c r="AA205" s="119"/>
      <c r="AB205" s="119"/>
      <c r="AC205" s="119"/>
      <c r="AD205" s="119"/>
      <c r="AH205" s="119"/>
      <c r="AI205" s="120"/>
      <c r="AJ205" s="120"/>
      <c r="AK205" s="119"/>
      <c r="AL205" s="119"/>
      <c r="AM205" s="119"/>
      <c r="AN205" s="119"/>
      <c r="AO205" s="119"/>
      <c r="AP205" s="119"/>
      <c r="AS205" s="125"/>
      <c r="AT205" s="119"/>
      <c r="AU205" s="120"/>
      <c r="AV205" s="120"/>
      <c r="AW205" s="119"/>
      <c r="AX205" s="119"/>
      <c r="AY205" s="119"/>
      <c r="AZ205" s="119"/>
      <c r="BA205" s="119"/>
      <c r="BB205" s="119"/>
      <c r="BF205" s="119"/>
      <c r="BG205" s="120"/>
      <c r="BH205" s="120"/>
      <c r="BI205" s="119"/>
      <c r="BJ205" s="119"/>
      <c r="BK205" s="119"/>
      <c r="BL205" s="119"/>
      <c r="BM205" s="119"/>
      <c r="BN205" s="119"/>
    </row>
    <row r="206" spans="22:66" x14ac:dyDescent="0.25">
      <c r="V206" s="119"/>
      <c r="W206" s="120"/>
      <c r="X206" s="120"/>
      <c r="Y206" s="119"/>
      <c r="Z206" s="119"/>
      <c r="AA206" s="119"/>
      <c r="AB206" s="119"/>
      <c r="AC206" s="119"/>
      <c r="AD206" s="119"/>
      <c r="AH206" s="119"/>
      <c r="AI206" s="120"/>
      <c r="AJ206" s="120"/>
      <c r="AK206" s="119"/>
      <c r="AL206" s="119"/>
      <c r="AM206" s="119"/>
      <c r="AN206" s="119"/>
      <c r="AO206" s="119"/>
      <c r="AP206" s="119"/>
      <c r="AS206" s="125"/>
      <c r="AT206" s="119"/>
      <c r="AU206" s="120"/>
      <c r="AV206" s="120"/>
      <c r="AW206" s="119"/>
      <c r="AX206" s="119"/>
      <c r="AY206" s="119"/>
      <c r="AZ206" s="119"/>
      <c r="BA206" s="119"/>
      <c r="BB206" s="119"/>
      <c r="BF206" s="119"/>
      <c r="BG206" s="120"/>
      <c r="BH206" s="120"/>
      <c r="BI206" s="119"/>
      <c r="BJ206" s="119"/>
      <c r="BK206" s="119"/>
      <c r="BL206" s="119"/>
      <c r="BM206" s="119"/>
      <c r="BN206" s="119"/>
    </row>
    <row r="207" spans="22:66" x14ac:dyDescent="0.25">
      <c r="V207" s="119"/>
      <c r="W207" s="120"/>
      <c r="X207" s="120"/>
      <c r="Y207" s="119"/>
      <c r="Z207" s="119"/>
      <c r="AA207" s="119"/>
      <c r="AB207" s="119"/>
      <c r="AC207" s="119"/>
      <c r="AD207" s="119"/>
      <c r="AH207" s="119"/>
      <c r="AI207" s="120"/>
      <c r="AJ207" s="120"/>
      <c r="AK207" s="119"/>
      <c r="AL207" s="119"/>
      <c r="AM207" s="119"/>
      <c r="AN207" s="119"/>
      <c r="AO207" s="119"/>
      <c r="AP207" s="119"/>
      <c r="AS207" s="125"/>
      <c r="AT207" s="119"/>
      <c r="AU207" s="120"/>
      <c r="AV207" s="120"/>
      <c r="AW207" s="119"/>
      <c r="AX207" s="119"/>
      <c r="AY207" s="119"/>
      <c r="AZ207" s="119"/>
      <c r="BA207" s="119"/>
      <c r="BB207" s="119"/>
      <c r="BF207" s="119"/>
      <c r="BG207" s="120"/>
      <c r="BH207" s="120"/>
      <c r="BI207" s="119"/>
      <c r="BJ207" s="119"/>
      <c r="BK207" s="119"/>
      <c r="BL207" s="119"/>
      <c r="BM207" s="119"/>
      <c r="BN207" s="119"/>
    </row>
    <row r="208" spans="22:66" x14ac:dyDescent="0.25">
      <c r="V208" s="119"/>
      <c r="W208" s="120"/>
      <c r="X208" s="120"/>
      <c r="Y208" s="119"/>
      <c r="Z208" s="119"/>
      <c r="AA208" s="119"/>
      <c r="AB208" s="119"/>
      <c r="AC208" s="119"/>
      <c r="AD208" s="119"/>
      <c r="AH208" s="119"/>
      <c r="AI208" s="120"/>
      <c r="AJ208" s="120"/>
      <c r="AK208" s="119"/>
      <c r="AL208" s="119"/>
      <c r="AM208" s="119"/>
      <c r="AN208" s="119"/>
      <c r="AO208" s="119"/>
      <c r="AP208" s="119"/>
      <c r="AS208" s="125"/>
      <c r="AT208" s="119"/>
      <c r="AU208" s="120"/>
      <c r="AV208" s="120"/>
      <c r="AW208" s="119"/>
      <c r="AX208" s="119"/>
      <c r="AY208" s="119"/>
      <c r="AZ208" s="119"/>
      <c r="BA208" s="119"/>
      <c r="BB208" s="119"/>
      <c r="BF208" s="119"/>
      <c r="BG208" s="120"/>
      <c r="BH208" s="120"/>
      <c r="BI208" s="119"/>
      <c r="BJ208" s="119"/>
      <c r="BK208" s="119"/>
      <c r="BL208" s="119"/>
      <c r="BM208" s="119"/>
      <c r="BN208" s="119"/>
    </row>
    <row r="209" spans="1:66" x14ac:dyDescent="0.25">
      <c r="V209" s="119"/>
      <c r="W209" s="120"/>
      <c r="X209" s="120"/>
      <c r="Y209" s="119"/>
      <c r="Z209" s="119"/>
      <c r="AA209" s="119"/>
      <c r="AB209" s="119"/>
      <c r="AC209" s="119"/>
      <c r="AD209" s="119"/>
      <c r="AH209" s="119"/>
      <c r="AI209" s="120"/>
      <c r="AJ209" s="120"/>
      <c r="AK209" s="119"/>
      <c r="AL209" s="119"/>
      <c r="AM209" s="119"/>
      <c r="AN209" s="119"/>
      <c r="AO209" s="119"/>
      <c r="AP209" s="119"/>
      <c r="AS209" s="125"/>
      <c r="AT209" s="119"/>
      <c r="AU209" s="120"/>
      <c r="AV209" s="120"/>
      <c r="AW209" s="119"/>
      <c r="AX209" s="119"/>
      <c r="AY209" s="119"/>
      <c r="AZ209" s="119"/>
      <c r="BA209" s="119"/>
      <c r="BB209" s="119"/>
      <c r="BF209" s="119"/>
      <c r="BG209" s="120"/>
      <c r="BH209" s="120"/>
      <c r="BI209" s="119"/>
      <c r="BJ209" s="119"/>
      <c r="BK209" s="119"/>
      <c r="BL209" s="119"/>
      <c r="BM209" s="119"/>
      <c r="BN209" s="119"/>
    </row>
    <row r="210" spans="1:66" x14ac:dyDescent="0.25">
      <c r="V210" s="119"/>
      <c r="W210" s="120"/>
      <c r="X210" s="120"/>
      <c r="Y210" s="119"/>
      <c r="Z210" s="119"/>
      <c r="AA210" s="119"/>
      <c r="AB210" s="119"/>
      <c r="AC210" s="119"/>
      <c r="AD210" s="119"/>
      <c r="AH210" s="119"/>
      <c r="AI210" s="120"/>
      <c r="AJ210" s="120"/>
      <c r="AK210" s="119"/>
      <c r="AL210" s="119"/>
      <c r="AM210" s="119"/>
      <c r="AN210" s="119"/>
      <c r="AO210" s="119"/>
      <c r="AP210" s="119"/>
      <c r="AS210" s="125"/>
      <c r="AT210" s="119"/>
      <c r="AU210" s="120"/>
      <c r="AV210" s="120"/>
      <c r="AW210" s="119"/>
      <c r="AX210" s="119"/>
      <c r="AY210" s="119"/>
      <c r="AZ210" s="119"/>
      <c r="BA210" s="119"/>
      <c r="BB210" s="119"/>
      <c r="BF210" s="119"/>
      <c r="BG210" s="120"/>
      <c r="BH210" s="120"/>
      <c r="BI210" s="119"/>
      <c r="BJ210" s="119"/>
      <c r="BK210" s="119"/>
      <c r="BL210" s="119"/>
      <c r="BM210" s="119"/>
      <c r="BN210" s="119"/>
    </row>
    <row r="211" spans="1:66" x14ac:dyDescent="0.25">
      <c r="V211" s="119"/>
      <c r="W211" s="120"/>
      <c r="X211" s="120"/>
      <c r="Y211" s="119"/>
      <c r="Z211" s="119"/>
      <c r="AA211" s="119"/>
      <c r="AB211" s="119"/>
      <c r="AC211" s="119"/>
      <c r="AD211" s="119"/>
      <c r="AH211" s="119"/>
      <c r="AI211" s="120"/>
      <c r="AJ211" s="120"/>
      <c r="AK211" s="119"/>
      <c r="AL211" s="119"/>
      <c r="AM211" s="119"/>
      <c r="AN211" s="119"/>
      <c r="AO211" s="119"/>
      <c r="AP211" s="119"/>
      <c r="AS211" s="125"/>
      <c r="AT211" s="119"/>
      <c r="AU211" s="120"/>
      <c r="AV211" s="120"/>
      <c r="AW211" s="119"/>
      <c r="AX211" s="119"/>
      <c r="AY211" s="119"/>
      <c r="AZ211" s="119"/>
      <c r="BA211" s="119"/>
      <c r="BB211" s="119"/>
      <c r="BF211" s="119"/>
      <c r="BG211" s="120"/>
      <c r="BH211" s="120"/>
      <c r="BI211" s="119"/>
      <c r="BJ211" s="119"/>
      <c r="BK211" s="119"/>
      <c r="BL211" s="119"/>
      <c r="BM211" s="119"/>
      <c r="BN211" s="119"/>
    </row>
    <row r="212" spans="1:66" x14ac:dyDescent="0.25">
      <c r="V212" s="119"/>
      <c r="W212" s="120"/>
      <c r="X212" s="120"/>
      <c r="Y212" s="119"/>
      <c r="Z212" s="119"/>
      <c r="AA212" s="119"/>
      <c r="AB212" s="119"/>
      <c r="AC212" s="119"/>
      <c r="AD212" s="119"/>
      <c r="AH212" s="119"/>
      <c r="AI212" s="120"/>
      <c r="AJ212" s="120"/>
      <c r="AK212" s="119"/>
      <c r="AL212" s="119"/>
      <c r="AM212" s="119"/>
      <c r="AN212" s="119"/>
      <c r="AO212" s="119"/>
      <c r="AP212" s="119"/>
      <c r="AS212" s="125"/>
      <c r="AT212" s="119"/>
      <c r="AU212" s="120"/>
      <c r="AV212" s="120"/>
      <c r="AW212" s="119"/>
      <c r="AX212" s="119"/>
      <c r="AY212" s="119"/>
      <c r="AZ212" s="119"/>
      <c r="BA212" s="119"/>
      <c r="BB212" s="119"/>
      <c r="BF212" s="119"/>
      <c r="BG212" s="120"/>
      <c r="BH212" s="120"/>
      <c r="BI212" s="119"/>
      <c r="BJ212" s="119"/>
      <c r="BK212" s="119"/>
      <c r="BL212" s="119"/>
      <c r="BM212" s="119"/>
      <c r="BN212" s="119"/>
    </row>
    <row r="213" spans="1:66" x14ac:dyDescent="0.25">
      <c r="A213" s="125"/>
      <c r="B213" s="122"/>
      <c r="C213" s="120"/>
      <c r="D213" s="120"/>
      <c r="E213" s="122"/>
      <c r="F213" s="122"/>
      <c r="V213" s="119"/>
      <c r="W213" s="120"/>
      <c r="X213" s="120"/>
      <c r="Y213" s="119"/>
      <c r="Z213" s="119"/>
      <c r="AA213" s="119"/>
      <c r="AB213" s="119"/>
      <c r="AC213" s="119"/>
      <c r="AD213" s="119"/>
      <c r="AH213" s="119"/>
      <c r="AI213" s="120"/>
      <c r="AJ213" s="120"/>
      <c r="AK213" s="119"/>
      <c r="AL213" s="119"/>
      <c r="AM213" s="119"/>
      <c r="AN213" s="119"/>
      <c r="AO213" s="119"/>
      <c r="AP213" s="119"/>
      <c r="AS213" s="125"/>
      <c r="AT213" s="119"/>
      <c r="AU213" s="120"/>
      <c r="AV213" s="120"/>
      <c r="AW213" s="119"/>
      <c r="AX213" s="119"/>
      <c r="AY213" s="119"/>
      <c r="AZ213" s="119"/>
      <c r="BA213" s="119"/>
      <c r="BB213" s="119"/>
      <c r="BF213" s="119"/>
      <c r="BG213" s="120"/>
      <c r="BH213" s="120"/>
      <c r="BI213" s="119"/>
      <c r="BJ213" s="119"/>
      <c r="BK213" s="119"/>
      <c r="BL213" s="119"/>
      <c r="BM213" s="119"/>
      <c r="BN213" s="119"/>
    </row>
    <row r="214" spans="1:66" x14ac:dyDescent="0.25">
      <c r="V214" s="119"/>
      <c r="W214" s="120"/>
      <c r="X214" s="120"/>
      <c r="Y214" s="119"/>
      <c r="Z214" s="119"/>
      <c r="AA214" s="119"/>
      <c r="AB214" s="119"/>
      <c r="AC214" s="119"/>
      <c r="AD214" s="119"/>
      <c r="AH214" s="119"/>
      <c r="AI214" s="120"/>
      <c r="AJ214" s="120"/>
      <c r="AK214" s="119"/>
      <c r="AL214" s="119"/>
      <c r="AM214" s="119"/>
      <c r="AN214" s="119"/>
      <c r="AO214" s="119"/>
      <c r="AP214" s="119"/>
      <c r="AS214" s="125"/>
      <c r="AT214" s="119"/>
      <c r="AU214" s="120"/>
      <c r="AV214" s="120"/>
      <c r="AW214" s="119"/>
      <c r="AX214" s="119"/>
      <c r="AY214" s="119"/>
      <c r="AZ214" s="119"/>
      <c r="BA214" s="119"/>
      <c r="BB214" s="119"/>
      <c r="BF214" s="119"/>
      <c r="BG214" s="120"/>
      <c r="BH214" s="120"/>
      <c r="BI214" s="119"/>
      <c r="BJ214" s="119"/>
      <c r="BK214" s="119"/>
      <c r="BL214" s="119"/>
      <c r="BM214" s="119"/>
      <c r="BN214" s="119"/>
    </row>
    <row r="215" spans="1:66" x14ac:dyDescent="0.25">
      <c r="V215" s="119"/>
      <c r="W215" s="120"/>
      <c r="X215" s="120"/>
      <c r="Y215" s="119"/>
      <c r="Z215" s="119"/>
      <c r="AA215" s="119"/>
      <c r="AB215" s="119"/>
      <c r="AC215" s="119"/>
      <c r="AD215" s="119"/>
      <c r="AH215" s="119"/>
      <c r="AI215" s="120"/>
      <c r="AJ215" s="120"/>
      <c r="AK215" s="119"/>
      <c r="AL215" s="119"/>
      <c r="AM215" s="119"/>
      <c r="AN215" s="119"/>
      <c r="AO215" s="119"/>
      <c r="AP215" s="119"/>
      <c r="AS215" s="125"/>
      <c r="AT215" s="119"/>
      <c r="AU215" s="120"/>
      <c r="AV215" s="120"/>
      <c r="AW215" s="119"/>
      <c r="AX215" s="119"/>
      <c r="AY215" s="119"/>
      <c r="AZ215" s="119"/>
      <c r="BA215" s="119"/>
      <c r="BB215" s="119"/>
      <c r="BF215" s="119"/>
      <c r="BG215" s="120"/>
      <c r="BH215" s="120"/>
      <c r="BI215" s="119"/>
      <c r="BJ215" s="119"/>
      <c r="BK215" s="119"/>
      <c r="BL215" s="119"/>
      <c r="BM215" s="119"/>
      <c r="BN215" s="119"/>
    </row>
    <row r="216" spans="1:66" x14ac:dyDescent="0.25">
      <c r="V216" s="119"/>
      <c r="W216" s="120"/>
      <c r="X216" s="120"/>
      <c r="Y216" s="119"/>
      <c r="Z216" s="119"/>
      <c r="AA216" s="119"/>
      <c r="AB216" s="119"/>
      <c r="AC216" s="119"/>
      <c r="AD216" s="119"/>
      <c r="AH216" s="119"/>
      <c r="AI216" s="120"/>
      <c r="AJ216" s="120"/>
      <c r="AK216" s="119"/>
      <c r="AL216" s="119"/>
      <c r="AM216" s="119"/>
      <c r="AN216" s="119"/>
      <c r="AO216" s="119"/>
      <c r="AP216" s="119"/>
      <c r="AS216" s="125"/>
      <c r="AT216" s="119"/>
      <c r="AU216" s="120"/>
      <c r="AV216" s="120"/>
      <c r="AW216" s="119"/>
      <c r="AX216" s="119"/>
      <c r="AY216" s="119"/>
      <c r="AZ216" s="119"/>
      <c r="BA216" s="119"/>
      <c r="BB216" s="119"/>
      <c r="BF216" s="119"/>
      <c r="BG216" s="120"/>
      <c r="BH216" s="120"/>
      <c r="BI216" s="119"/>
      <c r="BJ216" s="119"/>
      <c r="BK216" s="119"/>
      <c r="BL216" s="119"/>
      <c r="BM216" s="119"/>
      <c r="BN216" s="119"/>
    </row>
    <row r="217" spans="1:66" x14ac:dyDescent="0.25">
      <c r="V217" s="119"/>
      <c r="W217" s="120"/>
      <c r="X217" s="120"/>
      <c r="Y217" s="119"/>
      <c r="Z217" s="119"/>
      <c r="AA217" s="119"/>
      <c r="AB217" s="119"/>
      <c r="AC217" s="119"/>
      <c r="AD217" s="119"/>
      <c r="AG217" s="125"/>
      <c r="AH217" s="119"/>
      <c r="AI217" s="120"/>
      <c r="AJ217" s="120"/>
      <c r="AK217" s="119"/>
      <c r="AL217" s="119"/>
      <c r="AM217" s="119"/>
      <c r="AN217" s="119"/>
      <c r="AO217" s="119"/>
      <c r="AP217" s="119"/>
      <c r="AT217" s="119"/>
      <c r="AU217" s="120"/>
      <c r="AV217" s="120"/>
      <c r="AW217" s="119"/>
      <c r="AX217" s="119"/>
      <c r="AY217" s="119"/>
      <c r="AZ217" s="119"/>
      <c r="BA217" s="119"/>
      <c r="BB217" s="119"/>
      <c r="BF217" s="119"/>
      <c r="BG217" s="120"/>
      <c r="BH217" s="120"/>
      <c r="BI217" s="119"/>
      <c r="BJ217" s="119"/>
      <c r="BK217" s="119"/>
      <c r="BL217" s="119"/>
      <c r="BM217" s="119"/>
      <c r="BN217" s="119"/>
    </row>
    <row r="218" spans="1:66" x14ac:dyDescent="0.25">
      <c r="V218" s="119"/>
      <c r="W218" s="120"/>
      <c r="X218" s="120"/>
      <c r="Y218" s="119"/>
      <c r="Z218" s="119"/>
      <c r="AA218" s="119"/>
      <c r="AB218" s="119"/>
      <c r="AC218" s="119"/>
      <c r="AD218" s="119"/>
      <c r="AG218" s="125"/>
      <c r="AH218" s="119"/>
      <c r="AI218" s="120"/>
      <c r="AJ218" s="120"/>
      <c r="AK218" s="119"/>
      <c r="AL218" s="119"/>
      <c r="AM218" s="119"/>
      <c r="AN218" s="119"/>
      <c r="AO218" s="119"/>
      <c r="AP218" s="119"/>
      <c r="AT218" s="119"/>
      <c r="AU218" s="120"/>
      <c r="AV218" s="120"/>
      <c r="AW218" s="119"/>
      <c r="AX218" s="119"/>
      <c r="AY218" s="119"/>
      <c r="AZ218" s="119"/>
      <c r="BA218" s="119"/>
      <c r="BB218" s="119"/>
      <c r="BF218" s="119"/>
      <c r="BG218" s="120"/>
      <c r="BH218" s="120"/>
      <c r="BI218" s="119"/>
      <c r="BJ218" s="119"/>
      <c r="BK218" s="119"/>
      <c r="BL218" s="119"/>
      <c r="BM218" s="119"/>
      <c r="BN218" s="119"/>
    </row>
    <row r="219" spans="1:66" x14ac:dyDescent="0.25">
      <c r="V219" s="119"/>
      <c r="W219" s="120"/>
      <c r="X219" s="120"/>
      <c r="Y219" s="119"/>
      <c r="Z219" s="119"/>
      <c r="AA219" s="119"/>
      <c r="AB219" s="119"/>
      <c r="AC219" s="119"/>
      <c r="AD219" s="119"/>
      <c r="AG219" s="125"/>
      <c r="AH219" s="119"/>
      <c r="AI219" s="120"/>
      <c r="AJ219" s="120"/>
      <c r="AK219" s="119"/>
      <c r="AL219" s="119"/>
      <c r="AM219" s="119"/>
      <c r="AN219" s="119"/>
      <c r="AO219" s="119"/>
      <c r="AP219" s="119"/>
      <c r="AT219" s="119"/>
      <c r="AU219" s="120"/>
      <c r="AV219" s="120"/>
      <c r="AW219" s="119"/>
      <c r="AX219" s="119"/>
      <c r="AY219" s="119"/>
      <c r="AZ219" s="119"/>
      <c r="BA219" s="119"/>
      <c r="BB219" s="119"/>
      <c r="BF219" s="119"/>
      <c r="BG219" s="120"/>
      <c r="BH219" s="120"/>
      <c r="BI219" s="119"/>
      <c r="BJ219" s="119"/>
      <c r="BK219" s="119"/>
      <c r="BL219" s="119"/>
      <c r="BM219" s="119"/>
      <c r="BN219" s="119"/>
    </row>
    <row r="220" spans="1:66" x14ac:dyDescent="0.25">
      <c r="A220" s="125"/>
      <c r="B220" s="122"/>
      <c r="C220" s="120"/>
      <c r="D220" s="120"/>
      <c r="E220" s="122"/>
      <c r="F220" s="122"/>
      <c r="V220" s="119"/>
      <c r="W220" s="120"/>
      <c r="X220" s="120"/>
      <c r="Y220" s="119"/>
      <c r="Z220" s="119"/>
      <c r="AA220" s="119"/>
      <c r="AB220" s="119"/>
      <c r="AC220" s="119"/>
      <c r="AD220" s="119"/>
      <c r="AG220" s="125"/>
      <c r="AH220" s="119"/>
      <c r="AI220" s="120"/>
      <c r="AJ220" s="120"/>
      <c r="AK220" s="119"/>
      <c r="AL220" s="119"/>
      <c r="AM220" s="119"/>
      <c r="AN220" s="119"/>
      <c r="AO220" s="119"/>
      <c r="AP220" s="119"/>
      <c r="AT220" s="119"/>
      <c r="AU220" s="120"/>
      <c r="AV220" s="120"/>
      <c r="AW220" s="119"/>
      <c r="AX220" s="119"/>
      <c r="AY220" s="119"/>
      <c r="AZ220" s="119"/>
      <c r="BA220" s="119"/>
      <c r="BB220" s="119"/>
      <c r="BF220" s="119"/>
      <c r="BG220" s="120"/>
      <c r="BH220" s="120"/>
      <c r="BI220" s="119"/>
      <c r="BJ220" s="119"/>
      <c r="BK220" s="119"/>
      <c r="BL220" s="119"/>
      <c r="BM220" s="119"/>
      <c r="BN220" s="119"/>
    </row>
    <row r="221" spans="1:66" x14ac:dyDescent="0.25">
      <c r="A221" s="125"/>
      <c r="B221" s="122"/>
      <c r="C221" s="120"/>
      <c r="D221" s="120"/>
      <c r="E221" s="122"/>
      <c r="F221" s="122"/>
      <c r="V221" s="119"/>
      <c r="W221" s="120"/>
      <c r="X221" s="120"/>
      <c r="Y221" s="119"/>
      <c r="Z221" s="119"/>
      <c r="AA221" s="119"/>
      <c r="AB221" s="119"/>
      <c r="AC221" s="119"/>
      <c r="AD221" s="119"/>
      <c r="AG221" s="125"/>
      <c r="AH221" s="119"/>
      <c r="AI221" s="120"/>
      <c r="AJ221" s="120"/>
      <c r="AK221" s="119"/>
      <c r="AL221" s="119"/>
      <c r="AM221" s="119"/>
      <c r="AN221" s="119"/>
      <c r="AO221" s="119"/>
      <c r="AP221" s="119"/>
      <c r="AT221" s="119"/>
      <c r="AU221" s="120"/>
      <c r="AV221" s="120"/>
      <c r="AW221" s="119"/>
      <c r="AX221" s="119"/>
      <c r="AY221" s="119"/>
      <c r="AZ221" s="119"/>
      <c r="BA221" s="119"/>
      <c r="BB221" s="119"/>
      <c r="BF221" s="119"/>
      <c r="BG221" s="120"/>
      <c r="BH221" s="120"/>
      <c r="BI221" s="119"/>
      <c r="BJ221" s="119"/>
      <c r="BK221" s="119"/>
      <c r="BL221" s="119"/>
      <c r="BM221" s="119"/>
      <c r="BN221" s="119"/>
    </row>
    <row r="222" spans="1:66" x14ac:dyDescent="0.25">
      <c r="A222" s="125"/>
      <c r="B222" s="122"/>
      <c r="C222" s="120"/>
      <c r="D222" s="120"/>
      <c r="E222" s="122"/>
      <c r="F222" s="122"/>
      <c r="V222" s="119"/>
      <c r="W222" s="120"/>
      <c r="X222" s="120"/>
      <c r="Y222" s="119"/>
      <c r="Z222" s="119"/>
      <c r="AA222" s="119"/>
      <c r="AB222" s="119"/>
      <c r="AC222" s="119"/>
      <c r="AD222" s="119"/>
      <c r="AG222" s="125"/>
      <c r="AH222" s="119"/>
      <c r="AI222" s="120"/>
      <c r="AJ222" s="120"/>
      <c r="AK222" s="119"/>
      <c r="AL222" s="119"/>
      <c r="AM222" s="119"/>
      <c r="AN222" s="119"/>
      <c r="AO222" s="119"/>
      <c r="AP222" s="119"/>
      <c r="AT222" s="119"/>
      <c r="AU222" s="120"/>
      <c r="AV222" s="120"/>
      <c r="AW222" s="119"/>
      <c r="AX222" s="119"/>
      <c r="AY222" s="119"/>
      <c r="AZ222" s="119"/>
      <c r="BA222" s="119"/>
      <c r="BB222" s="119"/>
      <c r="BF222" s="119"/>
      <c r="BG222" s="120"/>
      <c r="BH222" s="120"/>
      <c r="BI222" s="119"/>
      <c r="BJ222" s="119"/>
      <c r="BK222" s="119"/>
      <c r="BL222" s="119"/>
      <c r="BM222" s="119"/>
      <c r="BN222" s="119"/>
    </row>
    <row r="223" spans="1:66" x14ac:dyDescent="0.25">
      <c r="V223" s="119"/>
      <c r="W223" s="120"/>
      <c r="X223" s="120"/>
      <c r="Y223" s="119"/>
      <c r="Z223" s="119"/>
      <c r="AA223" s="119"/>
      <c r="AB223" s="119"/>
      <c r="AC223" s="119"/>
      <c r="AD223" s="119"/>
      <c r="AG223" s="125"/>
      <c r="AH223" s="119"/>
      <c r="AI223" s="120"/>
      <c r="AJ223" s="120"/>
      <c r="AK223" s="119"/>
      <c r="AL223" s="119"/>
      <c r="AM223" s="119"/>
      <c r="AN223" s="119"/>
      <c r="AO223" s="119"/>
      <c r="AP223" s="119"/>
      <c r="AT223" s="119"/>
      <c r="AU223" s="120"/>
      <c r="AV223" s="120"/>
      <c r="AW223" s="119"/>
      <c r="AX223" s="119"/>
      <c r="AY223" s="119"/>
      <c r="AZ223" s="119"/>
      <c r="BA223" s="119"/>
      <c r="BB223" s="119"/>
      <c r="BF223" s="119"/>
      <c r="BG223" s="120"/>
      <c r="BH223" s="120"/>
      <c r="BI223" s="119"/>
      <c r="BJ223" s="119"/>
      <c r="BK223" s="119"/>
      <c r="BL223" s="119"/>
      <c r="BM223" s="119"/>
      <c r="BN223" s="119"/>
    </row>
    <row r="224" spans="1:66" x14ac:dyDescent="0.25">
      <c r="V224" s="119"/>
      <c r="W224" s="120"/>
      <c r="X224" s="120"/>
      <c r="Y224" s="119"/>
      <c r="Z224" s="119"/>
      <c r="AA224" s="119"/>
      <c r="AB224" s="119"/>
      <c r="AC224" s="119"/>
      <c r="AD224" s="119"/>
      <c r="AH224" s="119"/>
      <c r="AI224" s="120"/>
      <c r="AJ224" s="120"/>
      <c r="AK224" s="119"/>
      <c r="AL224" s="119"/>
      <c r="AM224" s="119"/>
      <c r="AN224" s="119"/>
      <c r="AO224" s="119"/>
      <c r="AP224" s="119"/>
      <c r="AS224" s="125"/>
      <c r="AT224" s="119"/>
      <c r="AU224" s="120"/>
      <c r="AV224" s="120"/>
      <c r="AW224" s="119"/>
      <c r="AX224" s="119"/>
      <c r="AY224" s="119"/>
      <c r="AZ224" s="119"/>
      <c r="BA224" s="119"/>
      <c r="BB224" s="119"/>
      <c r="BF224" s="119"/>
      <c r="BG224" s="120"/>
      <c r="BH224" s="120"/>
      <c r="BI224" s="119"/>
      <c r="BJ224" s="119"/>
      <c r="BK224" s="119"/>
      <c r="BL224" s="119"/>
      <c r="BM224" s="119"/>
      <c r="BN224" s="119"/>
    </row>
    <row r="225" spans="9:66" x14ac:dyDescent="0.25">
      <c r="V225" s="119"/>
      <c r="W225" s="120"/>
      <c r="X225" s="120"/>
      <c r="Y225" s="119"/>
      <c r="Z225" s="119"/>
      <c r="AA225" s="119"/>
      <c r="AB225" s="119"/>
      <c r="AC225" s="119"/>
      <c r="AD225" s="119"/>
      <c r="AH225" s="119"/>
      <c r="AI225" s="120"/>
      <c r="AJ225" s="120"/>
      <c r="AK225" s="119"/>
      <c r="AL225" s="119"/>
      <c r="AM225" s="119"/>
      <c r="AN225" s="119"/>
      <c r="AO225" s="119"/>
      <c r="AP225" s="119"/>
      <c r="AS225" s="125"/>
      <c r="AT225" s="119"/>
      <c r="AU225" s="120"/>
      <c r="AV225" s="120"/>
      <c r="AW225" s="119"/>
      <c r="AX225" s="119"/>
      <c r="AY225" s="119"/>
      <c r="AZ225" s="119"/>
      <c r="BA225" s="119"/>
      <c r="BB225" s="119"/>
      <c r="BF225" s="119"/>
      <c r="BG225" s="120"/>
      <c r="BH225" s="120"/>
      <c r="BI225" s="119"/>
      <c r="BJ225" s="119"/>
      <c r="BK225" s="119"/>
      <c r="BL225" s="119"/>
      <c r="BM225" s="119"/>
      <c r="BN225" s="119"/>
    </row>
    <row r="226" spans="9:66" x14ac:dyDescent="0.25">
      <c r="V226" s="119"/>
      <c r="W226" s="120"/>
      <c r="X226" s="120"/>
      <c r="Y226" s="119"/>
      <c r="Z226" s="119"/>
      <c r="AA226" s="119"/>
      <c r="AB226" s="119"/>
      <c r="AC226" s="119"/>
      <c r="AD226" s="119"/>
      <c r="AH226" s="119"/>
      <c r="AI226" s="120"/>
      <c r="AJ226" s="120"/>
      <c r="AK226" s="119"/>
      <c r="AL226" s="119"/>
      <c r="AM226" s="119"/>
      <c r="AN226" s="119"/>
      <c r="AO226" s="119"/>
      <c r="AP226" s="119"/>
      <c r="AS226" s="125"/>
      <c r="AT226" s="119"/>
      <c r="AU226" s="120"/>
      <c r="AV226" s="120"/>
      <c r="AW226" s="119"/>
      <c r="AX226" s="119"/>
      <c r="AY226" s="119"/>
      <c r="AZ226" s="119"/>
      <c r="BA226" s="119"/>
      <c r="BB226" s="119"/>
      <c r="BF226" s="119"/>
      <c r="BG226" s="120"/>
      <c r="BH226" s="120"/>
      <c r="BI226" s="119"/>
      <c r="BJ226" s="119"/>
      <c r="BK226" s="119"/>
      <c r="BL226" s="119"/>
      <c r="BM226" s="119"/>
      <c r="BN226" s="119"/>
    </row>
    <row r="227" spans="9:66" x14ac:dyDescent="0.25">
      <c r="V227" s="119"/>
      <c r="W227" s="120"/>
      <c r="X227" s="120"/>
      <c r="Y227" s="119"/>
      <c r="Z227" s="119"/>
      <c r="AA227" s="119"/>
      <c r="AB227" s="119"/>
      <c r="AC227" s="119"/>
      <c r="AD227" s="119"/>
      <c r="AH227" s="119"/>
      <c r="AI227" s="120"/>
      <c r="AJ227" s="120"/>
      <c r="AK227" s="119"/>
      <c r="AL227" s="119"/>
      <c r="AM227" s="119"/>
      <c r="AN227" s="119"/>
      <c r="AO227" s="119"/>
      <c r="AP227" s="119"/>
      <c r="AS227" s="125"/>
      <c r="AT227" s="119"/>
      <c r="AU227" s="120"/>
      <c r="AV227" s="120"/>
      <c r="AW227" s="119"/>
      <c r="AX227" s="119"/>
      <c r="AY227" s="119"/>
      <c r="AZ227" s="119"/>
      <c r="BA227" s="119"/>
      <c r="BB227" s="119"/>
      <c r="BF227" s="119"/>
      <c r="BG227" s="120"/>
      <c r="BH227" s="120"/>
      <c r="BI227" s="119"/>
      <c r="BJ227" s="119"/>
      <c r="BK227" s="119"/>
      <c r="BL227" s="119"/>
      <c r="BM227" s="119"/>
      <c r="BN227" s="119"/>
    </row>
    <row r="228" spans="9:66" x14ac:dyDescent="0.25">
      <c r="V228" s="119"/>
      <c r="W228" s="120"/>
      <c r="X228" s="120"/>
      <c r="Y228" s="119"/>
      <c r="Z228" s="119"/>
      <c r="AA228" s="119"/>
      <c r="AB228" s="119"/>
      <c r="AC228" s="119"/>
      <c r="AD228" s="119"/>
      <c r="AH228" s="119"/>
      <c r="AI228" s="120"/>
      <c r="AJ228" s="120"/>
      <c r="AK228" s="119"/>
      <c r="AL228" s="119"/>
      <c r="AM228" s="119"/>
      <c r="AN228" s="119"/>
      <c r="AO228" s="119"/>
      <c r="AP228" s="119"/>
      <c r="AS228" s="125"/>
      <c r="AT228" s="119"/>
      <c r="AU228" s="120"/>
      <c r="AV228" s="120"/>
      <c r="AW228" s="119"/>
      <c r="AX228" s="119"/>
      <c r="AY228" s="119"/>
      <c r="AZ228" s="119"/>
      <c r="BA228" s="119"/>
      <c r="BB228" s="119"/>
      <c r="BF228" s="119"/>
      <c r="BG228" s="120"/>
      <c r="BH228" s="120"/>
      <c r="BI228" s="119"/>
      <c r="BJ228" s="119"/>
      <c r="BK228" s="119"/>
      <c r="BL228" s="119"/>
      <c r="BM228" s="119"/>
      <c r="BN228" s="119"/>
    </row>
    <row r="229" spans="9:66" x14ac:dyDescent="0.25">
      <c r="V229" s="119"/>
      <c r="W229" s="120"/>
      <c r="X229" s="120"/>
      <c r="Y229" s="119"/>
      <c r="Z229" s="119"/>
      <c r="AA229" s="119"/>
      <c r="AB229" s="119"/>
      <c r="AC229" s="119"/>
      <c r="AD229" s="119"/>
      <c r="AH229" s="119"/>
      <c r="AI229" s="120"/>
      <c r="AJ229" s="120"/>
      <c r="AK229" s="119"/>
      <c r="AL229" s="119"/>
      <c r="AM229" s="119"/>
      <c r="AN229" s="119"/>
      <c r="AO229" s="119"/>
      <c r="AP229" s="119"/>
      <c r="AS229" s="125"/>
      <c r="AT229" s="119"/>
      <c r="AU229" s="120"/>
      <c r="AV229" s="120"/>
      <c r="AW229" s="119"/>
      <c r="AX229" s="119"/>
      <c r="AY229" s="119"/>
      <c r="AZ229" s="119"/>
      <c r="BA229" s="119"/>
      <c r="BB229" s="119"/>
      <c r="BF229" s="119"/>
      <c r="BG229" s="120"/>
      <c r="BH229" s="120"/>
      <c r="BI229" s="119"/>
      <c r="BJ229" s="119"/>
      <c r="BK229" s="119"/>
      <c r="BL229" s="119"/>
      <c r="BM229" s="119"/>
      <c r="BN229" s="119"/>
    </row>
    <row r="230" spans="9:66" x14ac:dyDescent="0.25">
      <c r="V230" s="119"/>
      <c r="W230" s="120"/>
      <c r="X230" s="120"/>
      <c r="Y230" s="119"/>
      <c r="Z230" s="119"/>
      <c r="AA230" s="119"/>
      <c r="AB230" s="119"/>
      <c r="AC230" s="119"/>
      <c r="AD230" s="119"/>
      <c r="AH230" s="119"/>
      <c r="AI230" s="120"/>
      <c r="AJ230" s="120"/>
      <c r="AK230" s="119"/>
      <c r="AL230" s="119"/>
      <c r="AM230" s="119"/>
      <c r="AN230" s="119"/>
      <c r="AO230" s="119"/>
      <c r="AP230" s="119"/>
      <c r="AS230" s="125"/>
      <c r="AT230" s="119"/>
      <c r="AU230" s="120"/>
      <c r="AV230" s="120"/>
      <c r="AW230" s="119"/>
      <c r="AX230" s="119"/>
      <c r="AY230" s="119"/>
      <c r="AZ230" s="119"/>
      <c r="BA230" s="119"/>
      <c r="BB230" s="119"/>
      <c r="BF230" s="119"/>
      <c r="BG230" s="120"/>
      <c r="BH230" s="120"/>
      <c r="BI230" s="119"/>
      <c r="BJ230" s="119"/>
      <c r="BK230" s="119"/>
      <c r="BL230" s="119"/>
      <c r="BM230" s="119"/>
      <c r="BN230" s="119"/>
    </row>
    <row r="231" spans="9:66" x14ac:dyDescent="0.25">
      <c r="V231" s="119"/>
      <c r="W231" s="120"/>
      <c r="X231" s="120"/>
      <c r="Y231" s="119"/>
      <c r="Z231" s="119"/>
      <c r="AA231" s="119"/>
      <c r="AB231" s="119"/>
      <c r="AC231" s="119"/>
      <c r="AD231" s="119"/>
      <c r="AH231" s="119"/>
      <c r="AI231" s="120"/>
      <c r="AJ231" s="120"/>
      <c r="AK231" s="119"/>
      <c r="AL231" s="119"/>
      <c r="AM231" s="119"/>
      <c r="AN231" s="119"/>
      <c r="AO231" s="119"/>
      <c r="AP231" s="119"/>
      <c r="AS231" s="125"/>
      <c r="AT231" s="119"/>
      <c r="AU231" s="120"/>
      <c r="AV231" s="120"/>
      <c r="AW231" s="119"/>
      <c r="AX231" s="119"/>
      <c r="AY231" s="119"/>
      <c r="AZ231" s="119"/>
      <c r="BA231" s="119"/>
      <c r="BB231" s="119"/>
      <c r="BF231" s="119"/>
      <c r="BG231" s="120"/>
      <c r="BH231" s="120"/>
      <c r="BI231" s="119"/>
      <c r="BJ231" s="119"/>
      <c r="BK231" s="119"/>
      <c r="BL231" s="119"/>
      <c r="BM231" s="119"/>
      <c r="BN231" s="119"/>
    </row>
    <row r="232" spans="9:66" x14ac:dyDescent="0.25">
      <c r="V232" s="119"/>
      <c r="W232" s="120"/>
      <c r="X232" s="120"/>
      <c r="Y232" s="119"/>
      <c r="Z232" s="119"/>
      <c r="AA232" s="119"/>
      <c r="AB232" s="119"/>
      <c r="AC232" s="119"/>
      <c r="AD232" s="119"/>
      <c r="AH232" s="119"/>
      <c r="AI232" s="120"/>
      <c r="AJ232" s="120"/>
      <c r="AK232" s="119"/>
      <c r="AL232" s="119"/>
      <c r="AM232" s="119"/>
      <c r="AN232" s="119"/>
      <c r="AO232" s="119"/>
      <c r="AP232" s="119"/>
      <c r="AS232" s="125"/>
      <c r="AT232" s="119"/>
      <c r="AU232" s="120"/>
      <c r="AV232" s="120"/>
      <c r="AW232" s="119"/>
      <c r="AX232" s="119"/>
      <c r="AY232" s="119"/>
      <c r="AZ232" s="119"/>
      <c r="BA232" s="119"/>
      <c r="BB232" s="119"/>
      <c r="BF232" s="119"/>
      <c r="BG232" s="120"/>
      <c r="BH232" s="120"/>
      <c r="BI232" s="119"/>
      <c r="BJ232" s="119"/>
      <c r="BK232" s="119"/>
      <c r="BL232" s="119"/>
      <c r="BM232" s="119"/>
      <c r="BN232" s="119"/>
    </row>
    <row r="233" spans="9:66" x14ac:dyDescent="0.25">
      <c r="V233" s="119"/>
      <c r="W233" s="120"/>
      <c r="X233" s="120"/>
      <c r="Y233" s="119"/>
      <c r="Z233" s="119"/>
      <c r="AA233" s="119"/>
      <c r="AB233" s="119"/>
      <c r="AC233" s="119"/>
      <c r="AD233" s="119"/>
      <c r="AH233" s="119"/>
      <c r="AI233" s="120"/>
      <c r="AJ233" s="120"/>
      <c r="AK233" s="119"/>
      <c r="AL233" s="119"/>
      <c r="AM233" s="119"/>
      <c r="AN233" s="119"/>
      <c r="AO233" s="119"/>
      <c r="AP233" s="119"/>
      <c r="AS233" s="125"/>
      <c r="AT233" s="119"/>
      <c r="AU233" s="120"/>
      <c r="AV233" s="120"/>
      <c r="AW233" s="119"/>
      <c r="AX233" s="119"/>
      <c r="AY233" s="119"/>
      <c r="AZ233" s="119"/>
      <c r="BA233" s="119"/>
      <c r="BB233" s="119"/>
      <c r="BF233" s="119"/>
      <c r="BG233" s="120"/>
      <c r="BH233" s="120"/>
      <c r="BI233" s="119"/>
      <c r="BJ233" s="119"/>
      <c r="BK233" s="119"/>
      <c r="BL233" s="119"/>
      <c r="BM233" s="119"/>
      <c r="BN233" s="119"/>
    </row>
    <row r="234" spans="9:66" x14ac:dyDescent="0.25">
      <c r="I234" s="125"/>
      <c r="J234" s="119"/>
      <c r="K234" s="120"/>
      <c r="L234" s="120"/>
      <c r="M234" s="119"/>
      <c r="N234" s="119"/>
      <c r="O234" s="119"/>
      <c r="P234" s="119"/>
      <c r="Q234" s="119"/>
      <c r="R234" s="119"/>
      <c r="V234" s="119"/>
      <c r="W234" s="120"/>
      <c r="X234" s="120"/>
      <c r="Y234" s="119"/>
      <c r="Z234" s="119"/>
      <c r="AA234" s="119"/>
      <c r="AB234" s="119"/>
      <c r="AC234" s="119"/>
      <c r="AD234" s="119"/>
      <c r="AH234" s="119"/>
      <c r="AI234" s="120"/>
      <c r="AJ234" s="120"/>
      <c r="AK234" s="119"/>
      <c r="AL234" s="119"/>
      <c r="AM234" s="119"/>
      <c r="AN234" s="119"/>
      <c r="AO234" s="119"/>
      <c r="AP234" s="119"/>
      <c r="AS234" s="125"/>
      <c r="AT234" s="119"/>
      <c r="AU234" s="120"/>
      <c r="AV234" s="120"/>
      <c r="AW234" s="119"/>
      <c r="AX234" s="119"/>
      <c r="AY234" s="119"/>
      <c r="AZ234" s="119"/>
      <c r="BA234" s="119"/>
      <c r="BB234" s="119"/>
      <c r="BF234" s="119"/>
      <c r="BG234" s="120"/>
      <c r="BH234" s="120"/>
      <c r="BI234" s="119"/>
      <c r="BJ234" s="119"/>
      <c r="BK234" s="119"/>
      <c r="BL234" s="119"/>
      <c r="BM234" s="119"/>
      <c r="BN234" s="119"/>
    </row>
    <row r="235" spans="9:66" x14ac:dyDescent="0.25">
      <c r="I235" s="125"/>
      <c r="J235" s="119"/>
      <c r="K235" s="120"/>
      <c r="L235" s="120"/>
      <c r="M235" s="119"/>
      <c r="N235" s="119"/>
      <c r="O235" s="119"/>
      <c r="P235" s="119"/>
      <c r="Q235" s="119"/>
      <c r="R235" s="119"/>
      <c r="V235" s="119"/>
      <c r="W235" s="120"/>
      <c r="X235" s="120"/>
      <c r="Y235" s="119"/>
      <c r="Z235" s="119"/>
      <c r="AA235" s="119"/>
      <c r="AB235" s="119"/>
      <c r="AC235" s="119"/>
      <c r="AD235" s="119"/>
      <c r="AH235" s="119"/>
      <c r="AI235" s="120"/>
      <c r="AJ235" s="120"/>
      <c r="AK235" s="119"/>
      <c r="AL235" s="119"/>
      <c r="AM235" s="119"/>
      <c r="AN235" s="119"/>
      <c r="AO235" s="119"/>
      <c r="AP235" s="119"/>
      <c r="AS235" s="125"/>
      <c r="AT235" s="119"/>
      <c r="AU235" s="120"/>
      <c r="AV235" s="120"/>
      <c r="AW235" s="119"/>
      <c r="AX235" s="119"/>
      <c r="AY235" s="119"/>
      <c r="AZ235" s="119"/>
      <c r="BA235" s="119"/>
      <c r="BB235" s="119"/>
      <c r="BF235" s="119"/>
      <c r="BG235" s="120"/>
      <c r="BH235" s="120"/>
      <c r="BI235" s="119"/>
      <c r="BJ235" s="119"/>
      <c r="BK235" s="119"/>
      <c r="BL235" s="119"/>
      <c r="BM235" s="119"/>
      <c r="BN235" s="119"/>
    </row>
    <row r="236" spans="9:66" x14ac:dyDescent="0.25">
      <c r="V236" s="119"/>
      <c r="W236" s="120"/>
      <c r="X236" s="120"/>
      <c r="Y236" s="119"/>
      <c r="Z236" s="119"/>
      <c r="AA236" s="119"/>
      <c r="AB236" s="119"/>
      <c r="AC236" s="119"/>
      <c r="AD236" s="119"/>
      <c r="AG236" s="125"/>
      <c r="AH236" s="119"/>
      <c r="AI236" s="120"/>
      <c r="AJ236" s="120"/>
      <c r="AK236" s="119"/>
      <c r="AL236" s="119"/>
      <c r="AM236" s="119"/>
      <c r="AN236" s="119"/>
      <c r="AO236" s="119"/>
      <c r="AP236" s="119"/>
      <c r="AT236" s="119"/>
      <c r="AU236" s="120"/>
      <c r="AV236" s="120"/>
      <c r="AW236" s="119"/>
      <c r="AX236" s="119"/>
      <c r="AY236" s="119"/>
      <c r="AZ236" s="119"/>
      <c r="BA236" s="119"/>
      <c r="BB236" s="119"/>
      <c r="BF236" s="119"/>
      <c r="BG236" s="120"/>
      <c r="BH236" s="120"/>
      <c r="BI236" s="119"/>
      <c r="BJ236" s="119"/>
      <c r="BK236" s="119"/>
      <c r="BL236" s="119"/>
      <c r="BM236" s="119"/>
      <c r="BN236" s="119"/>
    </row>
    <row r="237" spans="9:66" x14ac:dyDescent="0.25">
      <c r="V237" s="119"/>
      <c r="W237" s="120"/>
      <c r="X237" s="120"/>
      <c r="Y237" s="119"/>
      <c r="Z237" s="119"/>
      <c r="AA237" s="119"/>
      <c r="AB237" s="119"/>
      <c r="AC237" s="119"/>
      <c r="AD237" s="119"/>
      <c r="AG237" s="125"/>
      <c r="AH237" s="119"/>
      <c r="AI237" s="120"/>
      <c r="AJ237" s="120"/>
      <c r="AK237" s="119"/>
      <c r="AL237" s="119"/>
      <c r="AM237" s="119"/>
      <c r="AN237" s="119"/>
      <c r="AO237" s="119"/>
      <c r="AP237" s="119"/>
      <c r="AT237" s="119"/>
      <c r="AU237" s="120"/>
      <c r="AV237" s="120"/>
      <c r="AW237" s="119"/>
      <c r="AX237" s="119"/>
      <c r="AY237" s="119"/>
      <c r="AZ237" s="119"/>
      <c r="BA237" s="119"/>
      <c r="BB237" s="119"/>
      <c r="BF237" s="119"/>
      <c r="BG237" s="120"/>
      <c r="BH237" s="120"/>
      <c r="BI237" s="119"/>
      <c r="BJ237" s="119"/>
      <c r="BK237" s="119"/>
      <c r="BL237" s="119"/>
      <c r="BM237" s="119"/>
      <c r="BN237" s="119"/>
    </row>
    <row r="238" spans="9:66" x14ac:dyDescent="0.25">
      <c r="V238" s="119"/>
      <c r="W238" s="120"/>
      <c r="X238" s="120"/>
      <c r="Y238" s="119"/>
      <c r="Z238" s="119"/>
      <c r="AA238" s="119"/>
      <c r="AB238" s="119"/>
      <c r="AC238" s="119"/>
      <c r="AD238" s="119"/>
      <c r="AG238" s="125"/>
      <c r="AH238" s="119"/>
      <c r="AI238" s="120"/>
      <c r="AJ238" s="120"/>
      <c r="AK238" s="119"/>
      <c r="AL238" s="119"/>
      <c r="AM238" s="119"/>
      <c r="AN238" s="119"/>
      <c r="AO238" s="119"/>
      <c r="AP238" s="119"/>
      <c r="AT238" s="119"/>
      <c r="AU238" s="120"/>
      <c r="AV238" s="120"/>
      <c r="AW238" s="119"/>
      <c r="AX238" s="119"/>
      <c r="AY238" s="119"/>
      <c r="AZ238" s="119"/>
      <c r="BA238" s="119"/>
      <c r="BB238" s="119"/>
      <c r="BF238" s="119"/>
      <c r="BG238" s="120"/>
      <c r="BH238" s="120"/>
      <c r="BI238" s="119"/>
      <c r="BJ238" s="119"/>
      <c r="BK238" s="119"/>
      <c r="BL238" s="119"/>
      <c r="BM238" s="119"/>
      <c r="BN238" s="119"/>
    </row>
    <row r="239" spans="9:66" x14ac:dyDescent="0.25">
      <c r="V239" s="119"/>
      <c r="W239" s="120"/>
      <c r="X239" s="120"/>
      <c r="Y239" s="119"/>
      <c r="Z239" s="119"/>
      <c r="AA239" s="119"/>
      <c r="AB239" s="119"/>
      <c r="AC239" s="119"/>
      <c r="AD239" s="119"/>
      <c r="AG239" s="125"/>
      <c r="AH239" s="119"/>
      <c r="AI239" s="120"/>
      <c r="AJ239" s="120"/>
      <c r="AK239" s="119"/>
      <c r="AL239" s="119"/>
      <c r="AM239" s="119"/>
      <c r="AN239" s="119"/>
      <c r="AO239" s="119"/>
      <c r="AP239" s="119"/>
      <c r="AT239" s="119"/>
      <c r="AU239" s="120"/>
      <c r="AV239" s="120"/>
      <c r="AW239" s="119"/>
      <c r="AX239" s="119"/>
      <c r="AY239" s="119"/>
      <c r="AZ239" s="119"/>
      <c r="BA239" s="119"/>
      <c r="BB239" s="119"/>
      <c r="BF239" s="119"/>
      <c r="BG239" s="120"/>
      <c r="BH239" s="120"/>
      <c r="BI239" s="119"/>
      <c r="BJ239" s="119"/>
      <c r="BK239" s="119"/>
      <c r="BL239" s="119"/>
      <c r="BM239" s="119"/>
      <c r="BN239" s="119"/>
    </row>
    <row r="240" spans="9:66" x14ac:dyDescent="0.25">
      <c r="V240" s="119"/>
      <c r="W240" s="120"/>
      <c r="X240" s="120"/>
      <c r="Y240" s="119"/>
      <c r="Z240" s="119"/>
      <c r="AA240" s="119"/>
      <c r="AB240" s="119"/>
      <c r="AC240" s="119"/>
      <c r="AD240" s="119"/>
      <c r="AG240" s="125"/>
      <c r="AH240" s="119"/>
      <c r="AI240" s="120"/>
      <c r="AJ240" s="120"/>
      <c r="AK240" s="119"/>
      <c r="AL240" s="119"/>
      <c r="AM240" s="119"/>
      <c r="AN240" s="119"/>
      <c r="AO240" s="119"/>
      <c r="AP240" s="119"/>
      <c r="AT240" s="119"/>
      <c r="AU240" s="120"/>
      <c r="AV240" s="120"/>
      <c r="AW240" s="119"/>
      <c r="AX240" s="119"/>
      <c r="AY240" s="119"/>
      <c r="AZ240" s="119"/>
      <c r="BA240" s="119"/>
      <c r="BB240" s="119"/>
      <c r="BF240" s="119"/>
      <c r="BG240" s="120"/>
      <c r="BH240" s="120"/>
      <c r="BI240" s="119"/>
      <c r="BJ240" s="119"/>
      <c r="BK240" s="119"/>
      <c r="BL240" s="119"/>
      <c r="BM240" s="119"/>
      <c r="BN240" s="119"/>
    </row>
    <row r="241" spans="1:66" x14ac:dyDescent="0.25">
      <c r="V241" s="119"/>
      <c r="W241" s="120"/>
      <c r="X241" s="120"/>
      <c r="Y241" s="119"/>
      <c r="Z241" s="119"/>
      <c r="AA241" s="119"/>
      <c r="AB241" s="119"/>
      <c r="AC241" s="119"/>
      <c r="AD241" s="119"/>
      <c r="AG241" s="125"/>
      <c r="AH241" s="119"/>
      <c r="AI241" s="120"/>
      <c r="AJ241" s="120"/>
      <c r="AK241" s="119"/>
      <c r="AL241" s="119"/>
      <c r="AM241" s="119"/>
      <c r="AN241" s="119"/>
      <c r="AO241" s="119"/>
      <c r="AP241" s="119"/>
      <c r="AT241" s="119"/>
      <c r="AU241" s="120"/>
      <c r="AV241" s="120"/>
      <c r="AW241" s="119"/>
      <c r="AX241" s="119"/>
      <c r="AY241" s="119"/>
      <c r="AZ241" s="119"/>
      <c r="BA241" s="119"/>
      <c r="BB241" s="119"/>
      <c r="BF241" s="119"/>
      <c r="BG241" s="120"/>
      <c r="BH241" s="120"/>
      <c r="BI241" s="119"/>
      <c r="BJ241" s="119"/>
      <c r="BK241" s="119"/>
      <c r="BL241" s="119"/>
      <c r="BM241" s="119"/>
      <c r="BN241" s="119"/>
    </row>
    <row r="242" spans="1:66" x14ac:dyDescent="0.25">
      <c r="V242" s="119"/>
      <c r="W242" s="120"/>
      <c r="X242" s="120"/>
      <c r="Y242" s="119"/>
      <c r="Z242" s="119"/>
      <c r="AA242" s="119"/>
      <c r="AB242" s="119"/>
      <c r="AC242" s="119"/>
      <c r="AD242" s="119"/>
      <c r="AG242" s="125"/>
      <c r="AH242" s="119"/>
      <c r="AI242" s="120"/>
      <c r="AJ242" s="120"/>
      <c r="AK242" s="119"/>
      <c r="AL242" s="119"/>
      <c r="AM242" s="119"/>
      <c r="AN242" s="119"/>
      <c r="AO242" s="119"/>
      <c r="AP242" s="119"/>
      <c r="AT242" s="119"/>
      <c r="AU242" s="120"/>
      <c r="AV242" s="120"/>
      <c r="AW242" s="119"/>
      <c r="AX242" s="119"/>
      <c r="AY242" s="119"/>
      <c r="AZ242" s="119"/>
      <c r="BA242" s="119"/>
      <c r="BB242" s="119"/>
      <c r="BF242" s="119"/>
      <c r="BG242" s="120"/>
      <c r="BH242" s="120"/>
      <c r="BI242" s="119"/>
      <c r="BJ242" s="119"/>
      <c r="BK242" s="119"/>
      <c r="BL242" s="119"/>
      <c r="BM242" s="119"/>
      <c r="BN242" s="119"/>
    </row>
    <row r="243" spans="1:66" x14ac:dyDescent="0.25">
      <c r="V243" s="119"/>
      <c r="W243" s="120"/>
      <c r="X243" s="120"/>
      <c r="Y243" s="119"/>
      <c r="Z243" s="119"/>
      <c r="AA243" s="119"/>
      <c r="AB243" s="119"/>
      <c r="AC243" s="119"/>
      <c r="AD243" s="119"/>
      <c r="AH243" s="119"/>
      <c r="AI243" s="120"/>
      <c r="AJ243" s="120"/>
      <c r="AK243" s="119"/>
      <c r="AL243" s="119"/>
      <c r="AM243" s="119"/>
      <c r="AN243" s="119"/>
      <c r="AO243" s="119"/>
      <c r="AP243" s="119"/>
      <c r="AS243" s="125"/>
      <c r="AT243" s="119"/>
      <c r="AU243" s="120"/>
      <c r="AV243" s="120"/>
      <c r="AW243" s="119"/>
      <c r="AX243" s="119"/>
      <c r="AY243" s="119"/>
      <c r="AZ243" s="119"/>
      <c r="BA243" s="119"/>
      <c r="BB243" s="119"/>
      <c r="BF243" s="119"/>
      <c r="BG243" s="120"/>
      <c r="BH243" s="120"/>
      <c r="BI243" s="119"/>
      <c r="BJ243" s="119"/>
      <c r="BK243" s="119"/>
      <c r="BL243" s="119"/>
      <c r="BM243" s="119"/>
      <c r="BN243" s="119"/>
    </row>
    <row r="244" spans="1:66" x14ac:dyDescent="0.25">
      <c r="A244" s="125"/>
      <c r="B244" s="122"/>
      <c r="C244" s="120"/>
      <c r="D244" s="120"/>
      <c r="E244" s="122"/>
      <c r="F244" s="122"/>
      <c r="V244" s="119"/>
      <c r="W244" s="120"/>
      <c r="X244" s="120"/>
      <c r="Y244" s="119"/>
      <c r="Z244" s="119"/>
      <c r="AA244" s="119"/>
      <c r="AB244" s="119"/>
      <c r="AC244" s="119"/>
      <c r="AD244" s="119"/>
      <c r="AH244" s="119"/>
      <c r="AI244" s="120"/>
      <c r="AJ244" s="120"/>
      <c r="AK244" s="119"/>
      <c r="AL244" s="119"/>
      <c r="AM244" s="119"/>
      <c r="AN244" s="119"/>
      <c r="AO244" s="119"/>
      <c r="AP244" s="119"/>
      <c r="AS244" s="125"/>
      <c r="AT244" s="119"/>
      <c r="AU244" s="120"/>
      <c r="AV244" s="120"/>
      <c r="AW244" s="119"/>
      <c r="AX244" s="119"/>
      <c r="AY244" s="119"/>
      <c r="AZ244" s="119"/>
      <c r="BA244" s="119"/>
      <c r="BB244" s="119"/>
      <c r="BF244" s="119"/>
      <c r="BG244" s="120"/>
      <c r="BH244" s="120"/>
      <c r="BI244" s="119"/>
      <c r="BJ244" s="119"/>
      <c r="BK244" s="119"/>
      <c r="BL244" s="119"/>
      <c r="BM244" s="119"/>
      <c r="BN244" s="119"/>
    </row>
    <row r="245" spans="1:66" x14ac:dyDescent="0.25">
      <c r="V245" s="119"/>
      <c r="W245" s="120"/>
      <c r="X245" s="120"/>
      <c r="Y245" s="119"/>
      <c r="Z245" s="119"/>
      <c r="AA245" s="119"/>
      <c r="AB245" s="119"/>
      <c r="AC245" s="119"/>
      <c r="AD245" s="119"/>
      <c r="AH245" s="119"/>
      <c r="AI245" s="120"/>
      <c r="AJ245" s="120"/>
      <c r="AK245" s="119"/>
      <c r="AL245" s="119"/>
      <c r="AM245" s="119"/>
      <c r="AN245" s="119"/>
      <c r="AO245" s="119"/>
      <c r="AP245" s="119"/>
      <c r="AS245" s="125"/>
      <c r="AT245" s="119"/>
      <c r="AU245" s="120"/>
      <c r="AV245" s="120"/>
      <c r="AW245" s="119"/>
      <c r="AX245" s="119"/>
      <c r="AY245" s="119"/>
      <c r="AZ245" s="119"/>
      <c r="BA245" s="119"/>
      <c r="BB245" s="119"/>
      <c r="BF245" s="119"/>
      <c r="BG245" s="120"/>
      <c r="BH245" s="120"/>
      <c r="BI245" s="119"/>
      <c r="BJ245" s="119"/>
      <c r="BK245" s="119"/>
      <c r="BL245" s="119"/>
      <c r="BM245" s="119"/>
      <c r="BN245" s="119"/>
    </row>
    <row r="246" spans="1:66" x14ac:dyDescent="0.25">
      <c r="V246" s="119"/>
      <c r="W246" s="120"/>
      <c r="X246" s="120"/>
      <c r="Y246" s="119"/>
      <c r="Z246" s="119"/>
      <c r="AA246" s="119"/>
      <c r="AB246" s="119"/>
      <c r="AC246" s="119"/>
      <c r="AD246" s="119"/>
      <c r="AH246" s="119"/>
      <c r="AI246" s="120"/>
      <c r="AJ246" s="120"/>
      <c r="AK246" s="119"/>
      <c r="AL246" s="119"/>
      <c r="AM246" s="119"/>
      <c r="AN246" s="119"/>
      <c r="AO246" s="119"/>
      <c r="AP246" s="119"/>
      <c r="AS246" s="125"/>
      <c r="AT246" s="119"/>
      <c r="AU246" s="120"/>
      <c r="AV246" s="120"/>
      <c r="AW246" s="119"/>
      <c r="AX246" s="119"/>
      <c r="AY246" s="119"/>
      <c r="AZ246" s="119"/>
      <c r="BA246" s="119"/>
      <c r="BB246" s="119"/>
      <c r="BF246" s="119"/>
      <c r="BG246" s="120"/>
      <c r="BH246" s="120"/>
      <c r="BI246" s="119"/>
      <c r="BJ246" s="119"/>
      <c r="BK246" s="119"/>
      <c r="BL246" s="119"/>
      <c r="BM246" s="119"/>
      <c r="BN246" s="119"/>
    </row>
    <row r="247" spans="1:66" x14ac:dyDescent="0.25">
      <c r="V247" s="119"/>
      <c r="W247" s="120"/>
      <c r="X247" s="120"/>
      <c r="Y247" s="119"/>
      <c r="Z247" s="119"/>
      <c r="AA247" s="119"/>
      <c r="AB247" s="119"/>
      <c r="AC247" s="119"/>
      <c r="AD247" s="119"/>
      <c r="AH247" s="119"/>
      <c r="AI247" s="120"/>
      <c r="AJ247" s="120"/>
      <c r="AK247" s="119"/>
      <c r="AL247" s="119"/>
      <c r="AM247" s="119"/>
      <c r="AN247" s="119"/>
      <c r="AO247" s="119"/>
      <c r="AP247" s="119"/>
      <c r="AS247" s="125"/>
      <c r="AT247" s="119"/>
      <c r="AU247" s="120"/>
      <c r="AV247" s="120"/>
      <c r="AW247" s="119"/>
      <c r="AX247" s="119"/>
      <c r="AY247" s="119"/>
      <c r="AZ247" s="119"/>
      <c r="BA247" s="119"/>
      <c r="BB247" s="119"/>
      <c r="BF247" s="119"/>
      <c r="BG247" s="120"/>
      <c r="BH247" s="120"/>
      <c r="BI247" s="119"/>
      <c r="BJ247" s="119"/>
      <c r="BK247" s="119"/>
      <c r="BL247" s="119"/>
      <c r="BM247" s="119"/>
      <c r="BN247" s="119"/>
    </row>
    <row r="248" spans="1:66" x14ac:dyDescent="0.25">
      <c r="V248" s="119"/>
      <c r="W248" s="120"/>
      <c r="X248" s="120"/>
      <c r="Y248" s="119"/>
      <c r="Z248" s="119"/>
      <c r="AA248" s="119"/>
      <c r="AB248" s="119"/>
      <c r="AC248" s="119"/>
      <c r="AD248" s="119"/>
      <c r="AH248" s="119"/>
      <c r="AI248" s="120"/>
      <c r="AJ248" s="120"/>
      <c r="AK248" s="119"/>
      <c r="AL248" s="119"/>
      <c r="AM248" s="119"/>
      <c r="AN248" s="119"/>
      <c r="AO248" s="119"/>
      <c r="AP248" s="119"/>
      <c r="AS248" s="125"/>
      <c r="AT248" s="119"/>
      <c r="AU248" s="120"/>
      <c r="AV248" s="120"/>
      <c r="AW248" s="119"/>
      <c r="AX248" s="119"/>
      <c r="AY248" s="119"/>
      <c r="AZ248" s="119"/>
      <c r="BA248" s="119"/>
      <c r="BB248" s="119"/>
      <c r="BF248" s="119"/>
      <c r="BG248" s="120"/>
      <c r="BH248" s="120"/>
      <c r="BI248" s="119"/>
      <c r="BJ248" s="119"/>
      <c r="BK248" s="119"/>
      <c r="BL248" s="119"/>
      <c r="BM248" s="119"/>
      <c r="BN248" s="119"/>
    </row>
    <row r="249" spans="1:66" x14ac:dyDescent="0.25">
      <c r="V249" s="119"/>
      <c r="W249" s="120"/>
      <c r="X249" s="120"/>
      <c r="Y249" s="119"/>
      <c r="Z249" s="119"/>
      <c r="AA249" s="119"/>
      <c r="AB249" s="119"/>
      <c r="AC249" s="119"/>
      <c r="AD249" s="119"/>
      <c r="AH249" s="119"/>
      <c r="AI249" s="120"/>
      <c r="AJ249" s="120"/>
      <c r="AK249" s="119"/>
      <c r="AL249" s="119"/>
      <c r="AM249" s="119"/>
      <c r="AN249" s="119"/>
      <c r="AO249" s="119"/>
      <c r="AP249" s="119"/>
      <c r="AS249" s="125"/>
      <c r="AT249" s="119"/>
      <c r="AU249" s="120"/>
      <c r="AV249" s="120"/>
      <c r="AW249" s="119"/>
      <c r="AX249" s="119"/>
      <c r="AY249" s="119"/>
      <c r="AZ249" s="119"/>
      <c r="BA249" s="119"/>
      <c r="BB249" s="119"/>
      <c r="BF249" s="119"/>
      <c r="BG249" s="120"/>
      <c r="BH249" s="120"/>
      <c r="BI249" s="119"/>
      <c r="BJ249" s="119"/>
      <c r="BK249" s="119"/>
      <c r="BL249" s="119"/>
      <c r="BM249" s="119"/>
      <c r="BN249" s="119"/>
    </row>
    <row r="250" spans="1:66" x14ac:dyDescent="0.25">
      <c r="V250" s="119"/>
      <c r="W250" s="120"/>
      <c r="X250" s="120"/>
      <c r="Y250" s="119"/>
      <c r="Z250" s="119"/>
      <c r="AA250" s="119"/>
      <c r="AB250" s="119"/>
      <c r="AC250" s="119"/>
      <c r="AD250" s="119"/>
      <c r="AH250" s="119"/>
      <c r="AI250" s="120"/>
      <c r="AJ250" s="120"/>
      <c r="AK250" s="119"/>
      <c r="AL250" s="119"/>
      <c r="AM250" s="119"/>
      <c r="AN250" s="119"/>
      <c r="AO250" s="119"/>
      <c r="AP250" s="119"/>
      <c r="AS250" s="125"/>
      <c r="AT250" s="119"/>
      <c r="AU250" s="120"/>
      <c r="AV250" s="120"/>
      <c r="AW250" s="119"/>
      <c r="AX250" s="119"/>
      <c r="AY250" s="119"/>
      <c r="AZ250" s="119"/>
      <c r="BA250" s="119"/>
      <c r="BB250" s="119"/>
      <c r="BF250" s="119"/>
      <c r="BG250" s="120"/>
      <c r="BH250" s="120"/>
      <c r="BI250" s="119"/>
      <c r="BJ250" s="119"/>
      <c r="BK250" s="119"/>
      <c r="BL250" s="119"/>
      <c r="BM250" s="119"/>
      <c r="BN250" s="119"/>
    </row>
    <row r="251" spans="1:66" x14ac:dyDescent="0.25">
      <c r="V251" s="119"/>
      <c r="W251" s="120"/>
      <c r="X251" s="120"/>
      <c r="Y251" s="119"/>
      <c r="Z251" s="119"/>
      <c r="AA251" s="119"/>
      <c r="AB251" s="119"/>
      <c r="AC251" s="119"/>
      <c r="AD251" s="119"/>
      <c r="AH251" s="119"/>
      <c r="AI251" s="120"/>
      <c r="AJ251" s="120"/>
      <c r="AK251" s="119"/>
      <c r="AL251" s="119"/>
      <c r="AM251" s="119"/>
      <c r="AN251" s="119"/>
      <c r="AO251" s="119"/>
      <c r="AP251" s="119"/>
      <c r="AS251" s="125"/>
      <c r="AT251" s="119"/>
      <c r="AU251" s="120"/>
      <c r="AV251" s="120"/>
      <c r="AW251" s="119"/>
      <c r="AX251" s="119"/>
      <c r="AY251" s="119"/>
      <c r="AZ251" s="119"/>
      <c r="BA251" s="119"/>
      <c r="BB251" s="119"/>
      <c r="BF251" s="119"/>
      <c r="BG251" s="120"/>
      <c r="BH251" s="120"/>
      <c r="BI251" s="119"/>
      <c r="BJ251" s="119"/>
      <c r="BK251" s="119"/>
      <c r="BL251" s="119"/>
      <c r="BM251" s="119"/>
      <c r="BN251" s="119"/>
    </row>
    <row r="252" spans="1:66" x14ac:dyDescent="0.25">
      <c r="V252" s="119"/>
      <c r="W252" s="120"/>
      <c r="X252" s="120"/>
      <c r="Y252" s="119"/>
      <c r="Z252" s="119"/>
      <c r="AA252" s="119"/>
      <c r="AB252" s="119"/>
      <c r="AC252" s="119"/>
      <c r="AD252" s="119"/>
      <c r="AH252" s="119"/>
      <c r="AI252" s="120"/>
      <c r="AJ252" s="120"/>
      <c r="AK252" s="119"/>
      <c r="AL252" s="119"/>
      <c r="AM252" s="119"/>
      <c r="AN252" s="119"/>
      <c r="AO252" s="119"/>
      <c r="AP252" s="119"/>
      <c r="AS252" s="125"/>
      <c r="AT252" s="119"/>
      <c r="AU252" s="120"/>
      <c r="AV252" s="120"/>
      <c r="AW252" s="119"/>
      <c r="AX252" s="119"/>
      <c r="AY252" s="119"/>
      <c r="AZ252" s="119"/>
      <c r="BA252" s="119"/>
      <c r="BB252" s="119"/>
      <c r="BF252" s="119"/>
      <c r="BG252" s="120"/>
      <c r="BH252" s="120"/>
      <c r="BI252" s="119"/>
      <c r="BJ252" s="119"/>
      <c r="BK252" s="119"/>
      <c r="BL252" s="119"/>
      <c r="BM252" s="119"/>
      <c r="BN252" s="119"/>
    </row>
    <row r="253" spans="1:66" x14ac:dyDescent="0.25">
      <c r="I253" s="125"/>
      <c r="J253" s="119"/>
      <c r="K253" s="120"/>
      <c r="L253" s="120"/>
      <c r="M253" s="119"/>
      <c r="N253" s="119"/>
      <c r="O253" s="119"/>
      <c r="P253" s="119"/>
      <c r="Q253" s="119"/>
      <c r="R253" s="119"/>
      <c r="V253" s="119"/>
      <c r="W253" s="120"/>
      <c r="X253" s="120"/>
      <c r="Y253" s="119"/>
      <c r="Z253" s="119"/>
      <c r="AA253" s="119"/>
      <c r="AB253" s="119"/>
      <c r="AC253" s="119"/>
      <c r="AD253" s="119"/>
      <c r="AH253" s="119"/>
      <c r="AI253" s="120"/>
      <c r="AJ253" s="120"/>
      <c r="AK253" s="119"/>
      <c r="AL253" s="119"/>
      <c r="AM253" s="119"/>
      <c r="AN253" s="119"/>
      <c r="AO253" s="119"/>
      <c r="AP253" s="119"/>
      <c r="AS253" s="125"/>
      <c r="AT253" s="119"/>
      <c r="AU253" s="120"/>
      <c r="AV253" s="120"/>
      <c r="AW253" s="119"/>
      <c r="AX253" s="119"/>
      <c r="AY253" s="119"/>
      <c r="AZ253" s="119"/>
      <c r="BA253" s="119"/>
      <c r="BB253" s="119"/>
      <c r="BF253" s="119"/>
      <c r="BG253" s="120"/>
      <c r="BH253" s="120"/>
      <c r="BI253" s="119"/>
      <c r="BJ253" s="119"/>
      <c r="BK253" s="119"/>
      <c r="BL253" s="119"/>
      <c r="BM253" s="119"/>
      <c r="BN253" s="119"/>
    </row>
    <row r="254" spans="1:66" x14ac:dyDescent="0.25">
      <c r="I254" s="125"/>
      <c r="J254" s="119"/>
      <c r="K254" s="120"/>
      <c r="L254" s="120"/>
      <c r="M254" s="119"/>
      <c r="N254" s="119"/>
      <c r="O254" s="119"/>
      <c r="P254" s="119"/>
      <c r="Q254" s="119"/>
      <c r="R254" s="119"/>
      <c r="V254" s="119"/>
      <c r="W254" s="120"/>
      <c r="X254" s="120"/>
      <c r="Y254" s="119"/>
      <c r="Z254" s="119"/>
      <c r="AA254" s="119"/>
      <c r="AB254" s="119"/>
      <c r="AC254" s="119"/>
      <c r="AD254" s="119"/>
      <c r="AH254" s="119"/>
      <c r="AI254" s="120"/>
      <c r="AJ254" s="120"/>
      <c r="AK254" s="119"/>
      <c r="AL254" s="119"/>
      <c r="AM254" s="119"/>
      <c r="AN254" s="119"/>
      <c r="AO254" s="119"/>
      <c r="AP254" s="119"/>
      <c r="AS254" s="125"/>
      <c r="AT254" s="119"/>
      <c r="AU254" s="120"/>
      <c r="AV254" s="120"/>
      <c r="AW254" s="119"/>
      <c r="AX254" s="119"/>
      <c r="AY254" s="119"/>
      <c r="AZ254" s="119"/>
      <c r="BA254" s="119"/>
      <c r="BB254" s="119"/>
      <c r="BF254" s="119"/>
      <c r="BG254" s="120"/>
      <c r="BH254" s="120"/>
      <c r="BI254" s="119"/>
      <c r="BJ254" s="119"/>
      <c r="BK254" s="119"/>
      <c r="BL254" s="119"/>
      <c r="BM254" s="119"/>
      <c r="BN254" s="119"/>
    </row>
    <row r="255" spans="1:66" x14ac:dyDescent="0.25">
      <c r="V255" s="119"/>
      <c r="W255" s="120"/>
      <c r="X255" s="120"/>
      <c r="Y255" s="119"/>
      <c r="Z255" s="119"/>
      <c r="AA255" s="119"/>
      <c r="AB255" s="119"/>
      <c r="AC255" s="119"/>
      <c r="AD255" s="119"/>
      <c r="AG255" s="125"/>
      <c r="AH255" s="119"/>
      <c r="AI255" s="120"/>
      <c r="AJ255" s="120"/>
      <c r="AK255" s="119"/>
      <c r="AL255" s="119"/>
      <c r="AM255" s="119"/>
      <c r="AN255" s="119"/>
      <c r="AO255" s="119"/>
      <c r="AP255" s="119"/>
      <c r="AT255" s="119"/>
      <c r="AU255" s="120"/>
      <c r="AV255" s="120"/>
      <c r="AW255" s="119"/>
      <c r="AX255" s="119"/>
      <c r="AY255" s="119"/>
      <c r="AZ255" s="119"/>
      <c r="BA255" s="119"/>
      <c r="BB255" s="119"/>
      <c r="BF255" s="119"/>
      <c r="BG255" s="120"/>
      <c r="BH255" s="120"/>
      <c r="BI255" s="119"/>
      <c r="BJ255" s="119"/>
      <c r="BK255" s="119"/>
      <c r="BL255" s="119"/>
      <c r="BM255" s="119"/>
      <c r="BN255" s="119"/>
    </row>
    <row r="256" spans="1:66" x14ac:dyDescent="0.25">
      <c r="V256" s="119"/>
      <c r="W256" s="120"/>
      <c r="X256" s="120"/>
      <c r="Y256" s="119"/>
      <c r="Z256" s="119"/>
      <c r="AA256" s="119"/>
      <c r="AB256" s="119"/>
      <c r="AC256" s="119"/>
      <c r="AD256" s="119"/>
      <c r="AG256" s="125"/>
      <c r="AH256" s="119"/>
      <c r="AI256" s="120"/>
      <c r="AJ256" s="120"/>
      <c r="AK256" s="119"/>
      <c r="AL256" s="119"/>
      <c r="AM256" s="119"/>
      <c r="AN256" s="119"/>
      <c r="AO256" s="119"/>
      <c r="AP256" s="119"/>
      <c r="AT256" s="119"/>
      <c r="AU256" s="120"/>
      <c r="AV256" s="120"/>
      <c r="AW256" s="119"/>
      <c r="AX256" s="119"/>
      <c r="AY256" s="119"/>
      <c r="AZ256" s="119"/>
      <c r="BA256" s="119"/>
      <c r="BB256" s="119"/>
      <c r="BF256" s="119"/>
      <c r="BG256" s="120"/>
      <c r="BH256" s="120"/>
      <c r="BI256" s="119"/>
      <c r="BJ256" s="119"/>
      <c r="BK256" s="119"/>
      <c r="BL256" s="119"/>
      <c r="BM256" s="119"/>
      <c r="BN256" s="119"/>
    </row>
    <row r="257" spans="1:66" x14ac:dyDescent="0.25">
      <c r="V257" s="119"/>
      <c r="W257" s="120"/>
      <c r="X257" s="120"/>
      <c r="Y257" s="119"/>
      <c r="Z257" s="119"/>
      <c r="AA257" s="119"/>
      <c r="AB257" s="119"/>
      <c r="AC257" s="119"/>
      <c r="AD257" s="119"/>
      <c r="AG257" s="125"/>
      <c r="AH257" s="119"/>
      <c r="AI257" s="120"/>
      <c r="AJ257" s="120"/>
      <c r="AK257" s="119"/>
      <c r="AL257" s="119"/>
      <c r="AM257" s="119"/>
      <c r="AN257" s="119"/>
      <c r="AO257" s="119"/>
      <c r="AP257" s="119"/>
      <c r="AT257" s="119"/>
      <c r="AU257" s="120"/>
      <c r="AV257" s="120"/>
      <c r="AW257" s="119"/>
      <c r="AX257" s="119"/>
      <c r="AY257" s="119"/>
      <c r="AZ257" s="119"/>
      <c r="BA257" s="119"/>
      <c r="BB257" s="119"/>
      <c r="BF257" s="119"/>
      <c r="BG257" s="120"/>
      <c r="BH257" s="120"/>
      <c r="BI257" s="119"/>
      <c r="BJ257" s="119"/>
      <c r="BK257" s="119"/>
      <c r="BL257" s="119"/>
      <c r="BM257" s="119"/>
      <c r="BN257" s="119"/>
    </row>
    <row r="258" spans="1:66" x14ac:dyDescent="0.25">
      <c r="V258" s="119"/>
      <c r="W258" s="120"/>
      <c r="X258" s="120"/>
      <c r="Y258" s="119"/>
      <c r="Z258" s="119"/>
      <c r="AA258" s="119"/>
      <c r="AB258" s="119"/>
      <c r="AC258" s="119"/>
      <c r="AD258" s="119"/>
      <c r="AG258" s="125"/>
      <c r="AH258" s="119"/>
      <c r="AI258" s="120"/>
      <c r="AJ258" s="120"/>
      <c r="AK258" s="119"/>
      <c r="AL258" s="119"/>
      <c r="AM258" s="119"/>
      <c r="AN258" s="119"/>
      <c r="AO258" s="119"/>
      <c r="AP258" s="119"/>
      <c r="AT258" s="119"/>
      <c r="AU258" s="120"/>
      <c r="AV258" s="120"/>
      <c r="AW258" s="119"/>
      <c r="AX258" s="119"/>
      <c r="AY258" s="119"/>
      <c r="AZ258" s="119"/>
      <c r="BA258" s="119"/>
      <c r="BB258" s="119"/>
      <c r="BF258" s="119"/>
      <c r="BG258" s="120"/>
      <c r="BH258" s="120"/>
      <c r="BI258" s="119"/>
      <c r="BJ258" s="119"/>
      <c r="BK258" s="119"/>
      <c r="BL258" s="119"/>
      <c r="BM258" s="119"/>
      <c r="BN258" s="119"/>
    </row>
    <row r="259" spans="1:66" x14ac:dyDescent="0.25">
      <c r="V259" s="119"/>
      <c r="W259" s="120"/>
      <c r="X259" s="120"/>
      <c r="Y259" s="119"/>
      <c r="Z259" s="119"/>
      <c r="AA259" s="119"/>
      <c r="AB259" s="119"/>
      <c r="AC259" s="119"/>
      <c r="AD259" s="119"/>
      <c r="AG259" s="125"/>
      <c r="AH259" s="119"/>
      <c r="AI259" s="120"/>
      <c r="AJ259" s="120"/>
      <c r="AK259" s="119"/>
      <c r="AL259" s="119"/>
      <c r="AM259" s="119"/>
      <c r="AN259" s="119"/>
      <c r="AO259" s="119"/>
      <c r="AP259" s="119"/>
      <c r="AT259" s="119"/>
      <c r="AU259" s="120"/>
      <c r="AV259" s="120"/>
      <c r="AW259" s="119"/>
      <c r="AX259" s="119"/>
      <c r="AY259" s="119"/>
      <c r="AZ259" s="119"/>
      <c r="BA259" s="119"/>
      <c r="BB259" s="119"/>
      <c r="BF259" s="119"/>
      <c r="BG259" s="120"/>
      <c r="BH259" s="120"/>
      <c r="BI259" s="119"/>
      <c r="BJ259" s="119"/>
      <c r="BK259" s="119"/>
      <c r="BL259" s="119"/>
      <c r="BM259" s="119"/>
      <c r="BN259" s="119"/>
    </row>
    <row r="260" spans="1:66" x14ac:dyDescent="0.25">
      <c r="V260" s="119"/>
      <c r="W260" s="120"/>
      <c r="X260" s="120"/>
      <c r="Y260" s="119"/>
      <c r="Z260" s="119"/>
      <c r="AA260" s="119"/>
      <c r="AB260" s="119"/>
      <c r="AC260" s="119"/>
      <c r="AD260" s="119"/>
      <c r="AG260" s="125"/>
      <c r="AH260" s="119"/>
      <c r="AI260" s="120"/>
      <c r="AJ260" s="120"/>
      <c r="AK260" s="119"/>
      <c r="AL260" s="119"/>
      <c r="AM260" s="119"/>
      <c r="AN260" s="119"/>
      <c r="AO260" s="119"/>
      <c r="AP260" s="119"/>
      <c r="AT260" s="119"/>
      <c r="AU260" s="120"/>
      <c r="AV260" s="120"/>
      <c r="AW260" s="119"/>
      <c r="AX260" s="119"/>
      <c r="AY260" s="119"/>
      <c r="AZ260" s="119"/>
      <c r="BA260" s="119"/>
      <c r="BB260" s="119"/>
      <c r="BF260" s="119"/>
      <c r="BG260" s="120"/>
      <c r="BH260" s="120"/>
      <c r="BI260" s="119"/>
      <c r="BJ260" s="119"/>
      <c r="BK260" s="119"/>
      <c r="BL260" s="119"/>
      <c r="BM260" s="119"/>
      <c r="BN260" s="119"/>
    </row>
    <row r="261" spans="1:66" x14ac:dyDescent="0.25">
      <c r="A261" s="118"/>
      <c r="B261" s="119"/>
      <c r="C261" s="120"/>
      <c r="D261" s="120"/>
      <c r="E261" s="119"/>
      <c r="F261" s="119"/>
      <c r="V261" s="119"/>
      <c r="W261" s="120"/>
      <c r="X261" s="120"/>
      <c r="Y261" s="119"/>
      <c r="Z261" s="119"/>
      <c r="AA261" s="119"/>
      <c r="AB261" s="119"/>
      <c r="AC261" s="119"/>
      <c r="AD261" s="119"/>
      <c r="AG261" s="125"/>
      <c r="AH261" s="119"/>
      <c r="AI261" s="120"/>
      <c r="AJ261" s="120"/>
      <c r="AK261" s="119"/>
      <c r="AL261" s="119"/>
      <c r="AM261" s="119"/>
      <c r="AN261" s="119"/>
      <c r="AO261" s="119"/>
      <c r="AP261" s="119"/>
      <c r="AT261" s="119"/>
      <c r="AU261" s="120"/>
      <c r="AV261" s="120"/>
      <c r="AW261" s="119"/>
      <c r="AX261" s="119"/>
      <c r="AY261" s="119"/>
      <c r="AZ261" s="119"/>
      <c r="BA261" s="119"/>
      <c r="BB261" s="119"/>
      <c r="BF261" s="119"/>
      <c r="BG261" s="120"/>
      <c r="BH261" s="120"/>
      <c r="BI261" s="119"/>
      <c r="BJ261" s="119"/>
      <c r="BK261" s="119"/>
      <c r="BL261" s="119"/>
      <c r="BM261" s="119"/>
      <c r="BN261" s="119"/>
    </row>
    <row r="262" spans="1:66" x14ac:dyDescent="0.25">
      <c r="A262" s="125"/>
      <c r="B262" s="122"/>
      <c r="C262" s="120"/>
      <c r="D262" s="120"/>
      <c r="E262" s="122"/>
      <c r="F262" s="122"/>
      <c r="V262" s="119"/>
      <c r="W262" s="120"/>
      <c r="X262" s="120"/>
      <c r="Y262" s="119"/>
      <c r="Z262" s="119"/>
      <c r="AA262" s="119"/>
      <c r="AB262" s="119"/>
      <c r="AC262" s="119"/>
      <c r="AD262" s="119"/>
      <c r="AH262" s="119"/>
      <c r="AI262" s="120"/>
      <c r="AJ262" s="120"/>
      <c r="AK262" s="119"/>
      <c r="AL262" s="119"/>
      <c r="AM262" s="119"/>
      <c r="AN262" s="119"/>
      <c r="AO262" s="119"/>
      <c r="AP262" s="119"/>
      <c r="AS262" s="125"/>
      <c r="AT262" s="119"/>
      <c r="AU262" s="120"/>
      <c r="AV262" s="120"/>
      <c r="AW262" s="119"/>
      <c r="AX262" s="119"/>
      <c r="AY262" s="119"/>
      <c r="AZ262" s="119"/>
      <c r="BA262" s="119"/>
      <c r="BB262" s="119"/>
      <c r="BF262" s="119"/>
      <c r="BG262" s="120"/>
      <c r="BH262" s="120"/>
      <c r="BI262" s="119"/>
      <c r="BJ262" s="119"/>
      <c r="BK262" s="119"/>
      <c r="BL262" s="119"/>
      <c r="BM262" s="119"/>
      <c r="BN262" s="119"/>
    </row>
    <row r="263" spans="1:66" x14ac:dyDescent="0.25">
      <c r="V263" s="119"/>
      <c r="W263" s="120"/>
      <c r="X263" s="120"/>
      <c r="Y263" s="119"/>
      <c r="Z263" s="119"/>
      <c r="AA263" s="119"/>
      <c r="AB263" s="119"/>
      <c r="AC263" s="119"/>
      <c r="AD263" s="119"/>
      <c r="AH263" s="119"/>
      <c r="AI263" s="120"/>
      <c r="AJ263" s="120"/>
      <c r="AK263" s="119"/>
      <c r="AL263" s="119"/>
      <c r="AM263" s="119"/>
      <c r="AN263" s="119"/>
      <c r="AO263" s="119"/>
      <c r="AP263" s="119"/>
      <c r="AS263" s="125"/>
      <c r="AT263" s="119"/>
      <c r="AU263" s="120"/>
      <c r="AV263" s="120"/>
      <c r="AW263" s="119"/>
      <c r="AX263" s="119"/>
      <c r="AY263" s="119"/>
      <c r="AZ263" s="119"/>
      <c r="BA263" s="119"/>
      <c r="BB263" s="119"/>
      <c r="BF263" s="119"/>
      <c r="BG263" s="120"/>
      <c r="BH263" s="120"/>
      <c r="BI263" s="119"/>
      <c r="BJ263" s="119"/>
      <c r="BK263" s="119"/>
      <c r="BL263" s="119"/>
      <c r="BM263" s="119"/>
      <c r="BN263" s="119"/>
    </row>
    <row r="264" spans="1:66" x14ac:dyDescent="0.25">
      <c r="V264" s="119"/>
      <c r="W264" s="120"/>
      <c r="X264" s="120"/>
      <c r="Y264" s="119"/>
      <c r="Z264" s="119"/>
      <c r="AA264" s="119"/>
      <c r="AB264" s="119"/>
      <c r="AC264" s="119"/>
      <c r="AD264" s="119"/>
      <c r="AH264" s="119"/>
      <c r="AI264" s="120"/>
      <c r="AJ264" s="120"/>
      <c r="AK264" s="119"/>
      <c r="AL264" s="119"/>
      <c r="AM264" s="119"/>
      <c r="AN264" s="119"/>
      <c r="AO264" s="119"/>
      <c r="AP264" s="119"/>
      <c r="AS264" s="125"/>
      <c r="AT264" s="119"/>
      <c r="AU264" s="120"/>
      <c r="AV264" s="120"/>
      <c r="AW264" s="119"/>
      <c r="AX264" s="119"/>
      <c r="AY264" s="119"/>
      <c r="AZ264" s="119"/>
      <c r="BA264" s="119"/>
      <c r="BB264" s="119"/>
      <c r="BF264" s="119"/>
      <c r="BG264" s="120"/>
      <c r="BH264" s="120"/>
      <c r="BI264" s="119"/>
      <c r="BJ264" s="119"/>
      <c r="BK264" s="119"/>
      <c r="BL264" s="119"/>
      <c r="BM264" s="119"/>
      <c r="BN264" s="119"/>
    </row>
    <row r="265" spans="1:66" x14ac:dyDescent="0.25">
      <c r="V265" s="119"/>
      <c r="W265" s="120"/>
      <c r="X265" s="120"/>
      <c r="Y265" s="119"/>
      <c r="Z265" s="119"/>
      <c r="AA265" s="119"/>
      <c r="AB265" s="119"/>
      <c r="AC265" s="119"/>
      <c r="AD265" s="119"/>
      <c r="AH265" s="119"/>
      <c r="AI265" s="120"/>
      <c r="AJ265" s="120"/>
      <c r="AK265" s="119"/>
      <c r="AL265" s="119"/>
      <c r="AM265" s="119"/>
      <c r="AN265" s="119"/>
      <c r="AO265" s="119"/>
      <c r="AP265" s="119"/>
      <c r="AS265" s="125"/>
      <c r="AT265" s="119"/>
      <c r="AU265" s="120"/>
      <c r="AV265" s="120"/>
      <c r="AW265" s="119"/>
      <c r="AX265" s="119"/>
      <c r="AY265" s="119"/>
      <c r="AZ265" s="119"/>
      <c r="BA265" s="119"/>
      <c r="BB265" s="119"/>
      <c r="BF265" s="119"/>
      <c r="BG265" s="120"/>
      <c r="BH265" s="120"/>
      <c r="BI265" s="119"/>
      <c r="BJ265" s="119"/>
      <c r="BK265" s="119"/>
      <c r="BL265" s="119"/>
      <c r="BM265" s="119"/>
      <c r="BN265" s="119"/>
    </row>
    <row r="266" spans="1:66" x14ac:dyDescent="0.25">
      <c r="A266" s="125"/>
      <c r="B266" s="122"/>
      <c r="C266" s="120"/>
      <c r="D266" s="120"/>
      <c r="E266" s="122"/>
      <c r="F266" s="122"/>
      <c r="V266" s="119"/>
      <c r="W266" s="120"/>
      <c r="X266" s="120"/>
      <c r="Y266" s="119"/>
      <c r="Z266" s="119"/>
      <c r="AA266" s="119"/>
      <c r="AB266" s="119"/>
      <c r="AC266" s="119"/>
      <c r="AD266" s="119"/>
      <c r="AH266" s="119"/>
      <c r="AI266" s="120"/>
      <c r="AJ266" s="120"/>
      <c r="AK266" s="119"/>
      <c r="AL266" s="119"/>
      <c r="AM266" s="119"/>
      <c r="AN266" s="119"/>
      <c r="AO266" s="119"/>
      <c r="AP266" s="119"/>
      <c r="AS266" s="125"/>
      <c r="AT266" s="119"/>
      <c r="AU266" s="120"/>
      <c r="AV266" s="120"/>
      <c r="AW266" s="119"/>
      <c r="AX266" s="119"/>
      <c r="AY266" s="119"/>
      <c r="AZ266" s="119"/>
      <c r="BA266" s="119"/>
      <c r="BB266" s="119"/>
      <c r="BF266" s="119"/>
      <c r="BG266" s="120"/>
      <c r="BH266" s="120"/>
      <c r="BI266" s="119"/>
      <c r="BJ266" s="119"/>
      <c r="BK266" s="119"/>
      <c r="BL266" s="119"/>
      <c r="BM266" s="119"/>
      <c r="BN266" s="119"/>
    </row>
    <row r="267" spans="1:66" x14ac:dyDescent="0.25">
      <c r="V267" s="119"/>
      <c r="W267" s="120"/>
      <c r="X267" s="120"/>
      <c r="Y267" s="119"/>
      <c r="Z267" s="119"/>
      <c r="AA267" s="119"/>
      <c r="AB267" s="119"/>
      <c r="AC267" s="119"/>
      <c r="AD267" s="119"/>
      <c r="AH267" s="119"/>
      <c r="AI267" s="120"/>
      <c r="AJ267" s="120"/>
      <c r="AK267" s="119"/>
      <c r="AL267" s="119"/>
      <c r="AM267" s="119"/>
      <c r="AN267" s="119"/>
      <c r="AO267" s="119"/>
      <c r="AP267" s="119"/>
      <c r="AS267" s="125"/>
      <c r="AT267" s="119"/>
      <c r="AU267" s="120"/>
      <c r="AV267" s="120"/>
      <c r="AW267" s="119"/>
      <c r="AX267" s="119"/>
      <c r="AY267" s="119"/>
      <c r="AZ267" s="119"/>
      <c r="BA267" s="119"/>
      <c r="BB267" s="119"/>
      <c r="BF267" s="119"/>
      <c r="BG267" s="120"/>
      <c r="BH267" s="120"/>
      <c r="BI267" s="119"/>
      <c r="BJ267" s="119"/>
      <c r="BK267" s="119"/>
      <c r="BL267" s="119"/>
      <c r="BM267" s="119"/>
      <c r="BN267" s="119"/>
    </row>
    <row r="268" spans="1:66" x14ac:dyDescent="0.25">
      <c r="V268" s="119"/>
      <c r="W268" s="120"/>
      <c r="X268" s="120"/>
      <c r="Y268" s="119"/>
      <c r="Z268" s="119"/>
      <c r="AA268" s="119"/>
      <c r="AB268" s="119"/>
      <c r="AC268" s="119"/>
      <c r="AD268" s="119"/>
      <c r="AH268" s="119"/>
      <c r="AI268" s="120"/>
      <c r="AJ268" s="120"/>
      <c r="AK268" s="119"/>
      <c r="AL268" s="119"/>
      <c r="AM268" s="119"/>
      <c r="AN268" s="119"/>
      <c r="AO268" s="119"/>
      <c r="AP268" s="119"/>
      <c r="AS268" s="125"/>
      <c r="AT268" s="119"/>
      <c r="AU268" s="120"/>
      <c r="AV268" s="120"/>
      <c r="AW268" s="119"/>
      <c r="AX268" s="119"/>
      <c r="AY268" s="119"/>
      <c r="AZ268" s="119"/>
      <c r="BA268" s="119"/>
      <c r="BB268" s="119"/>
      <c r="BF268" s="119"/>
      <c r="BG268" s="120"/>
      <c r="BH268" s="120"/>
      <c r="BI268" s="119"/>
      <c r="BJ268" s="119"/>
      <c r="BK268" s="119"/>
      <c r="BL268" s="119"/>
      <c r="BM268" s="119"/>
      <c r="BN268" s="119"/>
    </row>
    <row r="269" spans="1:66" x14ac:dyDescent="0.25">
      <c r="V269" s="119"/>
      <c r="W269" s="120"/>
      <c r="X269" s="120"/>
      <c r="Y269" s="119"/>
      <c r="Z269" s="119"/>
      <c r="AA269" s="119"/>
      <c r="AB269" s="119"/>
      <c r="AC269" s="119"/>
      <c r="AD269" s="119"/>
      <c r="AH269" s="119"/>
      <c r="AI269" s="120"/>
      <c r="AJ269" s="120"/>
      <c r="AK269" s="119"/>
      <c r="AL269" s="119"/>
      <c r="AM269" s="119"/>
      <c r="AN269" s="119"/>
      <c r="AO269" s="119"/>
      <c r="AP269" s="119"/>
      <c r="AS269" s="125"/>
      <c r="AT269" s="119"/>
      <c r="AU269" s="120"/>
      <c r="AV269" s="120"/>
      <c r="AW269" s="119"/>
      <c r="AX269" s="119"/>
      <c r="AY269" s="119"/>
      <c r="AZ269" s="119"/>
      <c r="BA269" s="119"/>
      <c r="BB269" s="119"/>
      <c r="BF269" s="119"/>
      <c r="BG269" s="120"/>
      <c r="BH269" s="120"/>
      <c r="BI269" s="119"/>
      <c r="BJ269" s="119"/>
      <c r="BK269" s="119"/>
      <c r="BL269" s="119"/>
      <c r="BM269" s="119"/>
      <c r="BN269" s="119"/>
    </row>
    <row r="270" spans="1:66" x14ac:dyDescent="0.25">
      <c r="V270" s="119"/>
      <c r="W270" s="120"/>
      <c r="X270" s="120"/>
      <c r="Y270" s="119"/>
      <c r="Z270" s="119"/>
      <c r="AA270" s="119"/>
      <c r="AB270" s="119"/>
      <c r="AC270" s="119"/>
      <c r="AD270" s="119"/>
      <c r="AH270" s="119"/>
      <c r="AI270" s="120"/>
      <c r="AJ270" s="120"/>
      <c r="AK270" s="119"/>
      <c r="AL270" s="119"/>
      <c r="AM270" s="119"/>
      <c r="AN270" s="119"/>
      <c r="AO270" s="119"/>
      <c r="AP270" s="119"/>
      <c r="AS270" s="125"/>
      <c r="AT270" s="119"/>
      <c r="AU270" s="120"/>
      <c r="AV270" s="120"/>
      <c r="AW270" s="119"/>
      <c r="AX270" s="119"/>
      <c r="AY270" s="119"/>
      <c r="AZ270" s="119"/>
      <c r="BA270" s="119"/>
      <c r="BB270" s="119"/>
      <c r="BF270" s="119"/>
      <c r="BG270" s="120"/>
      <c r="BH270" s="120"/>
      <c r="BI270" s="119"/>
      <c r="BJ270" s="119"/>
      <c r="BK270" s="119"/>
      <c r="BL270" s="119"/>
      <c r="BM270" s="119"/>
      <c r="BN270" s="119"/>
    </row>
    <row r="271" spans="1:66" x14ac:dyDescent="0.25">
      <c r="V271" s="119"/>
      <c r="W271" s="120"/>
      <c r="X271" s="120"/>
      <c r="Y271" s="119"/>
      <c r="Z271" s="119"/>
      <c r="AA271" s="119"/>
      <c r="AB271" s="119"/>
      <c r="AC271" s="119"/>
      <c r="AD271" s="119"/>
      <c r="AH271" s="119"/>
      <c r="AI271" s="120"/>
      <c r="AJ271" s="120"/>
      <c r="AK271" s="119"/>
      <c r="AL271" s="119"/>
      <c r="AM271" s="119"/>
      <c r="AN271" s="119"/>
      <c r="AO271" s="119"/>
      <c r="AP271" s="119"/>
      <c r="AS271" s="125"/>
      <c r="AT271" s="119"/>
      <c r="AU271" s="120"/>
      <c r="AV271" s="120"/>
      <c r="AW271" s="119"/>
      <c r="AX271" s="119"/>
      <c r="AY271" s="119"/>
      <c r="AZ271" s="119"/>
      <c r="BA271" s="119"/>
      <c r="BB271" s="119"/>
      <c r="BF271" s="119"/>
      <c r="BG271" s="120"/>
      <c r="BH271" s="120"/>
      <c r="BI271" s="119"/>
      <c r="BJ271" s="119"/>
      <c r="BK271" s="119"/>
      <c r="BL271" s="119"/>
      <c r="BM271" s="119"/>
      <c r="BN271" s="119"/>
    </row>
    <row r="272" spans="1:66" x14ac:dyDescent="0.25">
      <c r="I272" s="118"/>
      <c r="V272" s="119"/>
      <c r="W272" s="120"/>
      <c r="X272" s="120"/>
      <c r="Y272" s="119"/>
      <c r="Z272" s="119"/>
      <c r="AA272" s="119"/>
      <c r="AB272" s="119"/>
      <c r="AC272" s="119"/>
      <c r="AD272" s="119"/>
      <c r="AH272" s="119"/>
      <c r="AI272" s="120"/>
      <c r="AJ272" s="120"/>
      <c r="AK272" s="119"/>
      <c r="AL272" s="119"/>
      <c r="AM272" s="119"/>
      <c r="AN272" s="119"/>
      <c r="AO272" s="119"/>
      <c r="AP272" s="119"/>
      <c r="AS272" s="125"/>
      <c r="AT272" s="119"/>
      <c r="AU272" s="120"/>
      <c r="AV272" s="120"/>
      <c r="AW272" s="119"/>
      <c r="AX272" s="119"/>
      <c r="AY272" s="119"/>
      <c r="AZ272" s="119"/>
      <c r="BA272" s="119"/>
      <c r="BB272" s="119"/>
      <c r="BF272" s="119"/>
      <c r="BG272" s="120"/>
      <c r="BH272" s="120"/>
      <c r="BI272" s="119"/>
      <c r="BJ272" s="119"/>
      <c r="BK272" s="119"/>
      <c r="BL272" s="119"/>
      <c r="BM272" s="119"/>
      <c r="BN272" s="119"/>
    </row>
    <row r="273" spans="9:66" x14ac:dyDescent="0.25">
      <c r="I273" s="118"/>
      <c r="V273" s="119"/>
      <c r="W273" s="120"/>
      <c r="X273" s="120"/>
      <c r="Y273" s="119"/>
      <c r="Z273" s="119"/>
      <c r="AA273" s="119"/>
      <c r="AB273" s="119"/>
      <c r="AC273" s="119"/>
      <c r="AD273" s="119"/>
      <c r="AH273" s="119"/>
      <c r="AI273" s="120"/>
      <c r="AJ273" s="120"/>
      <c r="AK273" s="119"/>
      <c r="AL273" s="119"/>
      <c r="AM273" s="119"/>
      <c r="AN273" s="119"/>
      <c r="AO273" s="119"/>
      <c r="AP273" s="119"/>
      <c r="AS273" s="125"/>
      <c r="AT273" s="119"/>
      <c r="AU273" s="120"/>
      <c r="AV273" s="120"/>
      <c r="AW273" s="119"/>
      <c r="AX273" s="119"/>
      <c r="AY273" s="119"/>
      <c r="AZ273" s="119"/>
      <c r="BA273" s="119"/>
      <c r="BB273" s="119"/>
      <c r="BF273" s="119"/>
      <c r="BG273" s="120"/>
      <c r="BH273" s="120"/>
      <c r="BI273" s="119"/>
      <c r="BJ273" s="119"/>
      <c r="BK273" s="119"/>
      <c r="BL273" s="119"/>
      <c r="BM273" s="119"/>
      <c r="BN273" s="119"/>
    </row>
    <row r="274" spans="9:66" x14ac:dyDescent="0.25">
      <c r="I274" s="118"/>
      <c r="V274" s="119"/>
      <c r="W274" s="120"/>
      <c r="X274" s="120"/>
      <c r="Y274" s="119"/>
      <c r="Z274" s="119"/>
      <c r="AA274" s="119"/>
      <c r="AB274" s="119"/>
      <c r="AC274" s="119"/>
      <c r="AD274" s="119"/>
      <c r="AG274" s="125"/>
      <c r="AH274" s="119"/>
      <c r="AI274" s="120"/>
      <c r="AJ274" s="120"/>
      <c r="AK274" s="119"/>
      <c r="AL274" s="119"/>
      <c r="AM274" s="119"/>
      <c r="AN274" s="119"/>
      <c r="AO274" s="119"/>
      <c r="AP274" s="119"/>
      <c r="AT274" s="119"/>
      <c r="AU274" s="120"/>
      <c r="AV274" s="120"/>
      <c r="AW274" s="119"/>
      <c r="AX274" s="119"/>
      <c r="AY274" s="119"/>
      <c r="AZ274" s="119"/>
      <c r="BA274" s="119"/>
      <c r="BB274" s="119"/>
      <c r="BF274" s="119"/>
      <c r="BG274" s="120"/>
      <c r="BH274" s="120"/>
      <c r="BI274" s="119"/>
      <c r="BJ274" s="119"/>
      <c r="BK274" s="119"/>
      <c r="BL274" s="119"/>
      <c r="BM274" s="119"/>
      <c r="BN274" s="119"/>
    </row>
    <row r="275" spans="9:66" x14ac:dyDescent="0.25">
      <c r="V275" s="119"/>
      <c r="W275" s="120"/>
      <c r="X275" s="120"/>
      <c r="Y275" s="119"/>
      <c r="Z275" s="119"/>
      <c r="AA275" s="119"/>
      <c r="AB275" s="119"/>
      <c r="AC275" s="119"/>
      <c r="AD275" s="119"/>
      <c r="AG275" s="125"/>
      <c r="AH275" s="119"/>
      <c r="AI275" s="120"/>
      <c r="AJ275" s="120"/>
      <c r="AK275" s="119"/>
      <c r="AL275" s="119"/>
      <c r="AM275" s="119"/>
      <c r="AN275" s="119"/>
      <c r="AO275" s="119"/>
      <c r="AP275" s="119"/>
      <c r="AT275" s="119"/>
      <c r="AU275" s="120"/>
      <c r="AV275" s="120"/>
      <c r="AW275" s="119"/>
      <c r="AX275" s="119"/>
      <c r="AY275" s="119"/>
      <c r="AZ275" s="119"/>
      <c r="BA275" s="119"/>
      <c r="BB275" s="119"/>
      <c r="BF275" s="119"/>
      <c r="BG275" s="120"/>
      <c r="BH275" s="120"/>
      <c r="BI275" s="119"/>
      <c r="BJ275" s="119"/>
      <c r="BK275" s="119"/>
      <c r="BL275" s="119"/>
      <c r="BM275" s="119"/>
      <c r="BN275" s="119"/>
    </row>
    <row r="276" spans="9:66" x14ac:dyDescent="0.25">
      <c r="V276" s="119"/>
      <c r="W276" s="120"/>
      <c r="X276" s="120"/>
      <c r="Y276" s="119"/>
      <c r="Z276" s="119"/>
      <c r="AA276" s="119"/>
      <c r="AB276" s="119"/>
      <c r="AC276" s="119"/>
      <c r="AD276" s="119"/>
      <c r="AG276" s="125"/>
      <c r="AH276" s="119"/>
      <c r="AI276" s="120"/>
      <c r="AJ276" s="120"/>
      <c r="AK276" s="119"/>
      <c r="AL276" s="119"/>
      <c r="AM276" s="119"/>
      <c r="AN276" s="119"/>
      <c r="AO276" s="119"/>
      <c r="AP276" s="119"/>
      <c r="AT276" s="119"/>
      <c r="AU276" s="120"/>
      <c r="AV276" s="120"/>
      <c r="AW276" s="119"/>
      <c r="AX276" s="119"/>
      <c r="AY276" s="119"/>
      <c r="AZ276" s="119"/>
      <c r="BA276" s="119"/>
      <c r="BB276" s="119"/>
      <c r="BF276" s="119"/>
      <c r="BG276" s="120"/>
      <c r="BH276" s="120"/>
      <c r="BI276" s="119"/>
      <c r="BJ276" s="119"/>
      <c r="BK276" s="119"/>
      <c r="BL276" s="119"/>
      <c r="BM276" s="119"/>
      <c r="BN276" s="119"/>
    </row>
    <row r="277" spans="9:66" x14ac:dyDescent="0.25">
      <c r="V277" s="119"/>
      <c r="W277" s="120"/>
      <c r="X277" s="120"/>
      <c r="Y277" s="119"/>
      <c r="Z277" s="119"/>
      <c r="AA277" s="119"/>
      <c r="AB277" s="119"/>
      <c r="AC277" s="119"/>
      <c r="AD277" s="119"/>
      <c r="AG277" s="125"/>
      <c r="AH277" s="119"/>
      <c r="AI277" s="120"/>
      <c r="AJ277" s="120"/>
      <c r="AK277" s="119"/>
      <c r="AL277" s="119"/>
      <c r="AM277" s="119"/>
      <c r="AN277" s="119"/>
      <c r="AO277" s="119"/>
      <c r="AP277" s="119"/>
      <c r="AT277" s="119"/>
      <c r="AU277" s="120"/>
      <c r="AV277" s="120"/>
      <c r="AW277" s="119"/>
      <c r="AX277" s="119"/>
      <c r="AY277" s="119"/>
      <c r="AZ277" s="119"/>
      <c r="BA277" s="119"/>
      <c r="BB277" s="119"/>
      <c r="BF277" s="119"/>
      <c r="BG277" s="120"/>
      <c r="BH277" s="120"/>
      <c r="BI277" s="119"/>
      <c r="BJ277" s="119"/>
      <c r="BK277" s="119"/>
      <c r="BL277" s="119"/>
      <c r="BM277" s="119"/>
      <c r="BN277" s="119"/>
    </row>
    <row r="278" spans="9:66" x14ac:dyDescent="0.25">
      <c r="V278" s="119"/>
      <c r="W278" s="120"/>
      <c r="X278" s="120"/>
      <c r="Y278" s="119"/>
      <c r="Z278" s="119"/>
      <c r="AA278" s="119"/>
      <c r="AB278" s="119"/>
      <c r="AC278" s="119"/>
      <c r="AD278" s="119"/>
      <c r="AG278" s="125"/>
      <c r="AH278" s="119"/>
      <c r="AI278" s="120"/>
      <c r="AJ278" s="120"/>
      <c r="AK278" s="119"/>
      <c r="AL278" s="119"/>
      <c r="AM278" s="119"/>
      <c r="AN278" s="119"/>
      <c r="AO278" s="119"/>
      <c r="AP278" s="119"/>
      <c r="AT278" s="119"/>
      <c r="AU278" s="120"/>
      <c r="AV278" s="120"/>
      <c r="AW278" s="119"/>
      <c r="AX278" s="119"/>
      <c r="AY278" s="119"/>
      <c r="AZ278" s="119"/>
      <c r="BA278" s="119"/>
      <c r="BB278" s="119"/>
      <c r="BF278" s="119"/>
      <c r="BG278" s="120"/>
      <c r="BH278" s="120"/>
      <c r="BI278" s="119"/>
      <c r="BJ278" s="119"/>
      <c r="BK278" s="119"/>
      <c r="BL278" s="119"/>
      <c r="BM278" s="119"/>
      <c r="BN278" s="119"/>
    </row>
    <row r="279" spans="9:66" x14ac:dyDescent="0.25">
      <c r="V279" s="119"/>
      <c r="W279" s="120"/>
      <c r="X279" s="120"/>
      <c r="Y279" s="119"/>
      <c r="Z279" s="119"/>
      <c r="AA279" s="119"/>
      <c r="AB279" s="119"/>
      <c r="AC279" s="119"/>
      <c r="AD279" s="119"/>
      <c r="AG279" s="125"/>
      <c r="AH279" s="119"/>
      <c r="AI279" s="120"/>
      <c r="AJ279" s="120"/>
      <c r="AK279" s="119"/>
      <c r="AL279" s="119"/>
      <c r="AM279" s="119"/>
      <c r="AN279" s="119"/>
      <c r="AO279" s="119"/>
      <c r="AP279" s="119"/>
      <c r="AT279" s="119"/>
      <c r="AU279" s="120"/>
      <c r="AV279" s="120"/>
      <c r="AW279" s="119"/>
      <c r="AX279" s="119"/>
      <c r="AY279" s="119"/>
      <c r="AZ279" s="119"/>
      <c r="BA279" s="119"/>
      <c r="BB279" s="119"/>
      <c r="BF279" s="119"/>
      <c r="BG279" s="120"/>
      <c r="BH279" s="120"/>
      <c r="BI279" s="119"/>
      <c r="BJ279" s="119"/>
      <c r="BK279" s="119"/>
      <c r="BL279" s="119"/>
      <c r="BM279" s="119"/>
      <c r="BN279" s="119"/>
    </row>
    <row r="280" spans="9:66" x14ac:dyDescent="0.25">
      <c r="V280" s="119"/>
      <c r="W280" s="120"/>
      <c r="X280" s="120"/>
      <c r="Y280" s="119"/>
      <c r="Z280" s="119"/>
      <c r="AA280" s="119"/>
      <c r="AB280" s="119"/>
      <c r="AC280" s="119"/>
      <c r="AD280" s="119"/>
      <c r="AG280" s="125"/>
      <c r="AH280" s="119"/>
      <c r="AI280" s="120"/>
      <c r="AJ280" s="120"/>
      <c r="AK280" s="119"/>
      <c r="AL280" s="119"/>
      <c r="AM280" s="119"/>
      <c r="AN280" s="119"/>
      <c r="AO280" s="119"/>
      <c r="AP280" s="119"/>
      <c r="AT280" s="119"/>
      <c r="AU280" s="120"/>
      <c r="AV280" s="120"/>
      <c r="AW280" s="119"/>
      <c r="AX280" s="119"/>
      <c r="AY280" s="119"/>
      <c r="AZ280" s="119"/>
      <c r="BA280" s="119"/>
      <c r="BB280" s="119"/>
      <c r="BF280" s="119"/>
      <c r="BG280" s="120"/>
      <c r="BH280" s="120"/>
      <c r="BI280" s="119"/>
      <c r="BJ280" s="119"/>
      <c r="BK280" s="119"/>
      <c r="BL280" s="119"/>
      <c r="BM280" s="119"/>
      <c r="BN280" s="119"/>
    </row>
    <row r="281" spans="9:66" x14ac:dyDescent="0.25">
      <c r="AH281" s="119"/>
      <c r="AI281" s="120"/>
      <c r="AJ281" s="120"/>
      <c r="AK281" s="119"/>
      <c r="AL281" s="119"/>
      <c r="AM281" s="119"/>
      <c r="AN281" s="119"/>
      <c r="AO281" s="119"/>
      <c r="AP281" s="119"/>
      <c r="AS281" s="125"/>
      <c r="AT281" s="119"/>
      <c r="AU281" s="120"/>
      <c r="AV281" s="120"/>
      <c r="AW281" s="119"/>
      <c r="AX281" s="119"/>
      <c r="AY281" s="119"/>
      <c r="AZ281" s="119"/>
      <c r="BA281" s="119"/>
      <c r="BB281" s="119"/>
    </row>
    <row r="282" spans="9:66" x14ac:dyDescent="0.25">
      <c r="AH282" s="119"/>
      <c r="AI282" s="120"/>
      <c r="AJ282" s="120"/>
      <c r="AK282" s="119"/>
      <c r="AL282" s="119"/>
      <c r="AM282" s="119"/>
      <c r="AN282" s="119"/>
      <c r="AO282" s="119"/>
      <c r="AP282" s="119"/>
      <c r="AS282" s="125"/>
      <c r="AT282" s="119"/>
      <c r="AU282" s="120"/>
      <c r="AV282" s="120"/>
      <c r="AW282" s="119"/>
      <c r="AX282" s="119"/>
      <c r="AY282" s="119"/>
      <c r="AZ282" s="119"/>
      <c r="BA282" s="119"/>
      <c r="BB282" s="119"/>
    </row>
    <row r="283" spans="9:66" x14ac:dyDescent="0.25">
      <c r="AH283" s="119"/>
      <c r="AI283" s="120"/>
      <c r="AJ283" s="120"/>
      <c r="AK283" s="119"/>
      <c r="AL283" s="119"/>
      <c r="AM283" s="119"/>
      <c r="AN283" s="119"/>
      <c r="AO283" s="119"/>
      <c r="AP283" s="119"/>
      <c r="AS283" s="125"/>
      <c r="AT283" s="119"/>
      <c r="AU283" s="120"/>
      <c r="AV283" s="120"/>
      <c r="AW283" s="119"/>
      <c r="AX283" s="119"/>
      <c r="AY283" s="119"/>
      <c r="AZ283" s="119"/>
      <c r="BA283" s="119"/>
      <c r="BB283" s="119"/>
    </row>
    <row r="284" spans="9:66" x14ac:dyDescent="0.25">
      <c r="AH284" s="119"/>
      <c r="AI284" s="120"/>
      <c r="AJ284" s="120"/>
      <c r="AK284" s="119"/>
      <c r="AL284" s="119"/>
      <c r="AM284" s="119"/>
      <c r="AN284" s="119"/>
      <c r="AO284" s="119"/>
      <c r="AP284" s="119"/>
      <c r="AS284" s="125"/>
      <c r="AT284" s="119"/>
      <c r="AU284" s="120"/>
      <c r="AV284" s="120"/>
      <c r="AW284" s="119"/>
      <c r="AX284" s="119"/>
      <c r="AY284" s="119"/>
      <c r="AZ284" s="119"/>
      <c r="BA284" s="119"/>
      <c r="BB284" s="119"/>
    </row>
    <row r="285" spans="9:66" x14ac:dyDescent="0.25">
      <c r="AH285" s="119"/>
      <c r="AI285" s="120"/>
      <c r="AJ285" s="120"/>
      <c r="AK285" s="119"/>
      <c r="AL285" s="119"/>
      <c r="AM285" s="119"/>
      <c r="AN285" s="119"/>
      <c r="AO285" s="119"/>
      <c r="AP285" s="119"/>
      <c r="AS285" s="125"/>
      <c r="AT285" s="119"/>
      <c r="AU285" s="120"/>
      <c r="AV285" s="120"/>
      <c r="AW285" s="119"/>
      <c r="AX285" s="119"/>
      <c r="AY285" s="119"/>
      <c r="AZ285" s="119"/>
      <c r="BA285" s="119"/>
      <c r="BB285" s="119"/>
    </row>
    <row r="286" spans="9:66" x14ac:dyDescent="0.25">
      <c r="AH286" s="119"/>
      <c r="AI286" s="120"/>
      <c r="AJ286" s="120"/>
      <c r="AK286" s="119"/>
      <c r="AL286" s="119"/>
      <c r="AM286" s="119"/>
      <c r="AN286" s="119"/>
      <c r="AO286" s="119"/>
      <c r="AP286" s="119"/>
      <c r="AS286" s="125"/>
      <c r="AT286" s="119"/>
      <c r="AU286" s="120"/>
      <c r="AV286" s="120"/>
      <c r="AW286" s="119"/>
      <c r="AX286" s="119"/>
      <c r="AY286" s="119"/>
      <c r="AZ286" s="119"/>
      <c r="BA286" s="119"/>
      <c r="BB286" s="119"/>
    </row>
    <row r="287" spans="9:66" x14ac:dyDescent="0.25">
      <c r="AH287" s="119"/>
      <c r="AI287" s="120"/>
      <c r="AJ287" s="120"/>
      <c r="AK287" s="119"/>
      <c r="AL287" s="119"/>
      <c r="AM287" s="119"/>
      <c r="AN287" s="119"/>
      <c r="AO287" s="119"/>
      <c r="AP287" s="119"/>
      <c r="AS287" s="125"/>
      <c r="AT287" s="119"/>
      <c r="AU287" s="120"/>
      <c r="AV287" s="120"/>
      <c r="AW287" s="119"/>
      <c r="AX287" s="119"/>
      <c r="AY287" s="119"/>
      <c r="AZ287" s="119"/>
      <c r="BA287" s="119"/>
      <c r="BB287" s="119"/>
    </row>
    <row r="288" spans="9:66" x14ac:dyDescent="0.25">
      <c r="AH288" s="119"/>
      <c r="AI288" s="120"/>
      <c r="AJ288" s="120"/>
      <c r="AK288" s="119"/>
      <c r="AL288" s="119"/>
      <c r="AM288" s="119"/>
      <c r="AN288" s="119"/>
      <c r="AO288" s="119"/>
      <c r="AP288" s="119"/>
      <c r="AS288" s="125"/>
      <c r="AT288" s="119"/>
      <c r="AU288" s="120"/>
      <c r="AV288" s="120"/>
      <c r="AW288" s="119"/>
      <c r="AX288" s="119"/>
      <c r="AY288" s="119"/>
      <c r="AZ288" s="119"/>
      <c r="BA288" s="119"/>
      <c r="BB288" s="119"/>
    </row>
    <row r="289" spans="1:54" x14ac:dyDescent="0.25">
      <c r="AH289" s="119"/>
      <c r="AI289" s="120"/>
      <c r="AJ289" s="120"/>
      <c r="AK289" s="119"/>
      <c r="AL289" s="119"/>
      <c r="AM289" s="119"/>
      <c r="AN289" s="119"/>
      <c r="AO289" s="119"/>
      <c r="AP289" s="119"/>
      <c r="AS289" s="125"/>
      <c r="AT289" s="119"/>
      <c r="AU289" s="120"/>
      <c r="AV289" s="120"/>
      <c r="AW289" s="119"/>
      <c r="AX289" s="119"/>
      <c r="AY289" s="119"/>
      <c r="AZ289" s="119"/>
      <c r="BA289" s="119"/>
      <c r="BB289" s="119"/>
    </row>
    <row r="290" spans="1:54" x14ac:dyDescent="0.25">
      <c r="A290" s="125"/>
      <c r="B290" s="122"/>
      <c r="C290" s="120"/>
      <c r="D290" s="120"/>
      <c r="E290" s="122"/>
      <c r="I290" s="125"/>
      <c r="J290" s="119"/>
      <c r="K290" s="120"/>
      <c r="L290" s="120"/>
      <c r="M290" s="119"/>
      <c r="N290" s="119"/>
      <c r="O290" s="119"/>
      <c r="P290" s="119"/>
      <c r="Q290" s="119"/>
      <c r="R290" s="119"/>
      <c r="AH290" s="119"/>
      <c r="AI290" s="120"/>
      <c r="AJ290" s="120"/>
      <c r="AK290" s="119"/>
      <c r="AL290" s="119"/>
      <c r="AM290" s="119"/>
      <c r="AN290" s="119"/>
      <c r="AO290" s="119"/>
      <c r="AP290" s="119"/>
      <c r="AS290" s="125"/>
      <c r="AT290" s="119"/>
      <c r="AU290" s="120"/>
      <c r="AV290" s="120"/>
      <c r="AW290" s="119"/>
      <c r="AX290" s="119"/>
      <c r="AY290" s="119"/>
      <c r="AZ290" s="119"/>
      <c r="BA290" s="119"/>
      <c r="BB290" s="119"/>
    </row>
    <row r="291" spans="1:54" x14ac:dyDescent="0.25">
      <c r="I291" s="125"/>
      <c r="J291" s="119"/>
      <c r="K291" s="120"/>
      <c r="L291" s="120"/>
      <c r="M291" s="119"/>
      <c r="N291" s="119"/>
      <c r="O291" s="119"/>
      <c r="P291" s="119"/>
      <c r="Q291" s="119"/>
      <c r="R291" s="119"/>
      <c r="AH291" s="119"/>
      <c r="AI291" s="120"/>
      <c r="AJ291" s="120"/>
      <c r="AK291" s="119"/>
      <c r="AL291" s="119"/>
      <c r="AM291" s="119"/>
      <c r="AN291" s="119"/>
      <c r="AO291" s="119"/>
      <c r="AP291" s="119"/>
      <c r="AS291" s="125"/>
      <c r="AT291" s="119"/>
      <c r="AU291" s="120"/>
      <c r="AV291" s="120"/>
      <c r="AW291" s="119"/>
      <c r="AX291" s="119"/>
      <c r="AY291" s="119"/>
      <c r="AZ291" s="119"/>
      <c r="BA291" s="119"/>
      <c r="BB291" s="119"/>
    </row>
    <row r="292" spans="1:54" x14ac:dyDescent="0.25">
      <c r="AG292" s="125"/>
      <c r="AH292" s="119"/>
      <c r="AI292" s="120"/>
      <c r="AJ292" s="120"/>
      <c r="AK292" s="119"/>
      <c r="AL292" s="119"/>
      <c r="AM292" s="119"/>
      <c r="AN292" s="119"/>
      <c r="AO292" s="119"/>
      <c r="AP292" s="119"/>
      <c r="AT292" s="119"/>
      <c r="AU292" s="120"/>
      <c r="AV292" s="120"/>
      <c r="AW292" s="119"/>
      <c r="AX292" s="119"/>
      <c r="AY292" s="119"/>
      <c r="AZ292" s="119"/>
      <c r="BA292" s="119"/>
      <c r="BB292" s="119"/>
    </row>
    <row r="293" spans="1:54" x14ac:dyDescent="0.25">
      <c r="AG293" s="125"/>
      <c r="AH293" s="119"/>
      <c r="AI293" s="120"/>
      <c r="AJ293" s="120"/>
      <c r="AK293" s="119"/>
      <c r="AL293" s="119"/>
      <c r="AM293" s="119"/>
      <c r="AN293" s="119"/>
      <c r="AO293" s="119"/>
      <c r="AP293" s="119"/>
      <c r="AT293" s="119"/>
      <c r="AU293" s="120"/>
      <c r="AV293" s="120"/>
      <c r="AW293" s="119"/>
      <c r="AX293" s="119"/>
      <c r="AY293" s="119"/>
      <c r="AZ293" s="119"/>
      <c r="BA293" s="119"/>
      <c r="BB293" s="119"/>
    </row>
    <row r="294" spans="1:54" x14ac:dyDescent="0.25">
      <c r="AG294" s="125"/>
      <c r="AH294" s="119"/>
      <c r="AI294" s="120"/>
      <c r="AJ294" s="120"/>
      <c r="AK294" s="119"/>
      <c r="AL294" s="119"/>
      <c r="AM294" s="119"/>
      <c r="AN294" s="119"/>
      <c r="AO294" s="119"/>
      <c r="AP294" s="119"/>
      <c r="AT294" s="119"/>
      <c r="AU294" s="120"/>
      <c r="AV294" s="120"/>
      <c r="AW294" s="119"/>
      <c r="AX294" s="119"/>
      <c r="AY294" s="119"/>
      <c r="AZ294" s="119"/>
      <c r="BA294" s="119"/>
      <c r="BB294" s="119"/>
    </row>
    <row r="295" spans="1:54" x14ac:dyDescent="0.25">
      <c r="A295" s="125"/>
      <c r="B295" s="122"/>
      <c r="C295" s="120"/>
      <c r="D295" s="120"/>
      <c r="E295" s="122"/>
      <c r="F295" s="122"/>
      <c r="I295" s="118"/>
      <c r="AG295" s="125"/>
      <c r="AH295" s="119"/>
      <c r="AI295" s="120"/>
      <c r="AJ295" s="120"/>
      <c r="AK295" s="119"/>
      <c r="AL295" s="119"/>
      <c r="AM295" s="119"/>
      <c r="AN295" s="119"/>
      <c r="AO295" s="119"/>
      <c r="AP295" s="119"/>
      <c r="AT295" s="119"/>
      <c r="AU295" s="120"/>
      <c r="AV295" s="120"/>
      <c r="AW295" s="119"/>
      <c r="AX295" s="119"/>
      <c r="AY295" s="119"/>
      <c r="AZ295" s="119"/>
      <c r="BA295" s="119"/>
      <c r="BB295" s="119"/>
    </row>
    <row r="296" spans="1:54" x14ac:dyDescent="0.25">
      <c r="AG296" s="125"/>
      <c r="AH296" s="119"/>
      <c r="AI296" s="120"/>
      <c r="AJ296" s="120"/>
      <c r="AK296" s="119"/>
      <c r="AL296" s="119"/>
      <c r="AM296" s="119"/>
      <c r="AN296" s="119"/>
      <c r="AO296" s="119"/>
      <c r="AP296" s="119"/>
      <c r="AT296" s="119"/>
      <c r="AU296" s="120"/>
      <c r="AV296" s="120"/>
      <c r="AW296" s="119"/>
      <c r="AX296" s="119"/>
      <c r="AY296" s="119"/>
      <c r="AZ296" s="119"/>
      <c r="BA296" s="119"/>
      <c r="BB296" s="119"/>
    </row>
    <row r="297" spans="1:54" x14ac:dyDescent="0.25">
      <c r="AG297" s="125"/>
      <c r="AH297" s="119"/>
      <c r="AI297" s="120"/>
      <c r="AJ297" s="120"/>
      <c r="AK297" s="119"/>
      <c r="AL297" s="119"/>
      <c r="AM297" s="119"/>
      <c r="AN297" s="119"/>
      <c r="AO297" s="119"/>
      <c r="AP297" s="119"/>
      <c r="AT297" s="119"/>
      <c r="AU297" s="120"/>
      <c r="AV297" s="120"/>
      <c r="AW297" s="119"/>
      <c r="AX297" s="119"/>
      <c r="AY297" s="119"/>
      <c r="AZ297" s="119"/>
      <c r="BA297" s="119"/>
      <c r="BB297" s="119"/>
    </row>
    <row r="298" spans="1:54" x14ac:dyDescent="0.25">
      <c r="AG298" s="125"/>
      <c r="AH298" s="119"/>
      <c r="AI298" s="120"/>
      <c r="AJ298" s="120"/>
      <c r="AK298" s="119"/>
      <c r="AL298" s="119"/>
      <c r="AM298" s="119"/>
      <c r="AN298" s="119"/>
      <c r="AO298" s="119"/>
      <c r="AP298" s="119"/>
      <c r="AT298" s="119"/>
      <c r="AU298" s="120"/>
      <c r="AV298" s="120"/>
      <c r="AW298" s="119"/>
      <c r="AX298" s="119"/>
      <c r="AY298" s="119"/>
      <c r="AZ298" s="119"/>
      <c r="BA298" s="119"/>
      <c r="BB298" s="119"/>
    </row>
    <row r="299" spans="1:54" x14ac:dyDescent="0.25">
      <c r="AH299" s="119"/>
      <c r="AI299" s="120"/>
      <c r="AJ299" s="120"/>
      <c r="AK299" s="119"/>
      <c r="AL299" s="119"/>
      <c r="AM299" s="119"/>
      <c r="AN299" s="119"/>
      <c r="AO299" s="119"/>
      <c r="AP299" s="119"/>
    </row>
    <row r="300" spans="1:54" x14ac:dyDescent="0.25">
      <c r="AH300" s="119"/>
      <c r="AI300" s="120"/>
      <c r="AJ300" s="120"/>
      <c r="AK300" s="119"/>
      <c r="AL300" s="119"/>
      <c r="AM300" s="119"/>
      <c r="AN300" s="119"/>
      <c r="AO300" s="119"/>
      <c r="AP300" s="119"/>
    </row>
    <row r="301" spans="1:54" x14ac:dyDescent="0.25">
      <c r="AH301" s="119"/>
      <c r="AI301" s="120"/>
      <c r="AJ301" s="120"/>
      <c r="AK301" s="119"/>
      <c r="AL301" s="119"/>
      <c r="AM301" s="119"/>
      <c r="AN301" s="119"/>
      <c r="AO301" s="119"/>
      <c r="AP301" s="119"/>
    </row>
    <row r="302" spans="1:54" x14ac:dyDescent="0.25">
      <c r="AH302" s="119"/>
      <c r="AI302" s="120"/>
      <c r="AJ302" s="120"/>
      <c r="AK302" s="119"/>
      <c r="AL302" s="119"/>
      <c r="AM302" s="119"/>
      <c r="AN302" s="119"/>
      <c r="AO302" s="119"/>
      <c r="AP302" s="119"/>
    </row>
    <row r="303" spans="1:54" x14ac:dyDescent="0.25">
      <c r="AH303" s="119"/>
      <c r="AI303" s="120"/>
      <c r="AJ303" s="120"/>
      <c r="AK303" s="119"/>
      <c r="AL303" s="119"/>
      <c r="AM303" s="119"/>
      <c r="AN303" s="119"/>
      <c r="AO303" s="119"/>
      <c r="AP303" s="119"/>
    </row>
    <row r="304" spans="1:54" x14ac:dyDescent="0.25">
      <c r="AH304" s="119"/>
      <c r="AI304" s="120"/>
      <c r="AJ304" s="120"/>
      <c r="AK304" s="119"/>
      <c r="AL304" s="119"/>
      <c r="AM304" s="119"/>
      <c r="AN304" s="119"/>
      <c r="AO304" s="119"/>
      <c r="AP304" s="119"/>
    </row>
    <row r="305" spans="1:42" x14ac:dyDescent="0.25">
      <c r="AH305" s="119"/>
      <c r="AI305" s="120"/>
      <c r="AJ305" s="120"/>
      <c r="AK305" s="119"/>
      <c r="AL305" s="119"/>
      <c r="AM305" s="119"/>
      <c r="AN305" s="119"/>
      <c r="AO305" s="119"/>
      <c r="AP305" s="119"/>
    </row>
    <row r="306" spans="1:42" x14ac:dyDescent="0.25">
      <c r="AH306" s="119"/>
      <c r="AI306" s="120"/>
      <c r="AJ306" s="120"/>
      <c r="AK306" s="119"/>
      <c r="AL306" s="119"/>
      <c r="AM306" s="119"/>
      <c r="AN306" s="119"/>
      <c r="AO306" s="119"/>
      <c r="AP306" s="119"/>
    </row>
    <row r="307" spans="1:42" x14ac:dyDescent="0.25">
      <c r="AH307" s="119"/>
      <c r="AI307" s="120"/>
      <c r="AJ307" s="120"/>
      <c r="AK307" s="119"/>
      <c r="AL307" s="119"/>
      <c r="AM307" s="119"/>
      <c r="AN307" s="119"/>
      <c r="AO307" s="119"/>
      <c r="AP307" s="119"/>
    </row>
    <row r="308" spans="1:42" x14ac:dyDescent="0.25">
      <c r="I308" s="125"/>
      <c r="J308" s="119"/>
      <c r="K308" s="120"/>
      <c r="L308" s="120"/>
      <c r="M308" s="119"/>
      <c r="N308" s="119"/>
      <c r="O308" s="119"/>
      <c r="P308" s="119"/>
      <c r="Q308" s="119"/>
      <c r="R308" s="119"/>
      <c r="AH308" s="119"/>
      <c r="AI308" s="120"/>
      <c r="AJ308" s="120"/>
      <c r="AK308" s="119"/>
      <c r="AL308" s="119"/>
      <c r="AM308" s="119"/>
      <c r="AN308" s="119"/>
      <c r="AO308" s="119"/>
      <c r="AP308" s="119"/>
    </row>
    <row r="309" spans="1:42" x14ac:dyDescent="0.25">
      <c r="I309" s="125"/>
      <c r="J309" s="119"/>
      <c r="K309" s="120"/>
      <c r="L309" s="120"/>
      <c r="M309" s="119"/>
      <c r="N309" s="119"/>
      <c r="O309" s="119"/>
      <c r="P309" s="119"/>
      <c r="Q309" s="119"/>
      <c r="R309" s="119"/>
      <c r="AH309" s="119"/>
      <c r="AI309" s="120"/>
      <c r="AJ309" s="120"/>
      <c r="AK309" s="119"/>
      <c r="AL309" s="119"/>
      <c r="AM309" s="119"/>
      <c r="AN309" s="119"/>
      <c r="AO309" s="119"/>
      <c r="AP309" s="119"/>
    </row>
    <row r="312" spans="1:42" x14ac:dyDescent="0.25">
      <c r="AG312" s="125"/>
      <c r="AH312" s="119"/>
      <c r="AI312" s="120"/>
      <c r="AJ312" s="120"/>
      <c r="AK312" s="119"/>
      <c r="AL312" s="119"/>
      <c r="AM312" s="119"/>
      <c r="AN312" s="119"/>
      <c r="AO312" s="119"/>
      <c r="AP312" s="119"/>
    </row>
    <row r="313" spans="1:42" x14ac:dyDescent="0.25">
      <c r="A313" s="125"/>
      <c r="B313" s="122"/>
      <c r="C313" s="120"/>
      <c r="D313" s="120"/>
      <c r="E313" s="122"/>
      <c r="F313" s="122"/>
      <c r="I313" s="118"/>
      <c r="AG313" s="125"/>
      <c r="AH313" s="119"/>
      <c r="AI313" s="120"/>
      <c r="AJ313" s="120"/>
      <c r="AK313" s="119"/>
      <c r="AL313" s="119"/>
      <c r="AM313" s="119"/>
      <c r="AN313" s="119"/>
      <c r="AO313" s="119"/>
      <c r="AP313" s="119"/>
    </row>
    <row r="314" spans="1:42" x14ac:dyDescent="0.25">
      <c r="A314" s="125"/>
      <c r="B314" s="122"/>
      <c r="C314" s="120"/>
      <c r="D314" s="120"/>
      <c r="E314" s="122"/>
      <c r="F314" s="122"/>
      <c r="AG314" s="125"/>
      <c r="AH314" s="119"/>
      <c r="AI314" s="120"/>
      <c r="AJ314" s="120"/>
      <c r="AK314" s="119"/>
      <c r="AL314" s="119"/>
      <c r="AM314" s="119"/>
      <c r="AN314" s="119"/>
      <c r="AO314" s="119"/>
      <c r="AP314" s="119"/>
    </row>
    <row r="315" spans="1:42" x14ac:dyDescent="0.25">
      <c r="AG315" s="125"/>
      <c r="AH315" s="119"/>
      <c r="AI315" s="120"/>
      <c r="AJ315" s="120"/>
      <c r="AK315" s="119"/>
      <c r="AL315" s="119"/>
      <c r="AM315" s="119"/>
      <c r="AN315" s="119"/>
      <c r="AO315" s="119"/>
      <c r="AP315" s="119"/>
    </row>
    <row r="316" spans="1:42" x14ac:dyDescent="0.25">
      <c r="A316" s="125"/>
      <c r="B316" s="122"/>
      <c r="C316" s="120"/>
      <c r="D316" s="120"/>
      <c r="E316" s="122"/>
      <c r="F316" s="122"/>
      <c r="AG316" s="125"/>
      <c r="AH316" s="119"/>
      <c r="AI316" s="120"/>
      <c r="AJ316" s="120"/>
      <c r="AK316" s="119"/>
      <c r="AL316" s="119"/>
      <c r="AM316" s="119"/>
      <c r="AN316" s="119"/>
      <c r="AO316" s="119"/>
      <c r="AP316" s="119"/>
    </row>
    <row r="317" spans="1:42" x14ac:dyDescent="0.25">
      <c r="AH317" s="119"/>
      <c r="AI317" s="120"/>
      <c r="AJ317" s="120"/>
      <c r="AK317" s="119"/>
      <c r="AL317" s="119"/>
      <c r="AM317" s="119"/>
      <c r="AN317" s="119"/>
      <c r="AO317" s="119"/>
      <c r="AP317" s="119"/>
    </row>
    <row r="318" spans="1:42" x14ac:dyDescent="0.25">
      <c r="AH318" s="119"/>
      <c r="AI318" s="120"/>
      <c r="AJ318" s="120"/>
      <c r="AK318" s="119"/>
      <c r="AL318" s="119"/>
      <c r="AM318" s="119"/>
      <c r="AN318" s="119"/>
      <c r="AO318" s="119"/>
      <c r="AP318" s="119"/>
    </row>
    <row r="319" spans="1:42" x14ac:dyDescent="0.25">
      <c r="AH319" s="119"/>
      <c r="AI319" s="120"/>
      <c r="AJ319" s="120"/>
      <c r="AK319" s="119"/>
      <c r="AL319" s="119"/>
      <c r="AM319" s="119"/>
      <c r="AN319" s="119"/>
      <c r="AO319" s="119"/>
      <c r="AP319" s="119"/>
    </row>
    <row r="320" spans="1:42" x14ac:dyDescent="0.25">
      <c r="AH320" s="119"/>
      <c r="AI320" s="120"/>
      <c r="AJ320" s="120"/>
      <c r="AK320" s="119"/>
      <c r="AL320" s="119"/>
      <c r="AM320" s="119"/>
      <c r="AN320" s="119"/>
      <c r="AO320" s="119"/>
      <c r="AP320" s="119"/>
    </row>
    <row r="321" spans="1:42" x14ac:dyDescent="0.25">
      <c r="AH321" s="119"/>
      <c r="AI321" s="120"/>
      <c r="AJ321" s="120"/>
      <c r="AK321" s="119"/>
      <c r="AL321" s="119"/>
      <c r="AM321" s="119"/>
      <c r="AN321" s="119"/>
      <c r="AO321" s="119"/>
      <c r="AP321" s="119"/>
    </row>
    <row r="322" spans="1:42" x14ac:dyDescent="0.25">
      <c r="AH322" s="119"/>
      <c r="AI322" s="120"/>
      <c r="AJ322" s="120"/>
      <c r="AK322" s="119"/>
      <c r="AL322" s="119"/>
      <c r="AM322" s="119"/>
      <c r="AN322" s="119"/>
      <c r="AO322" s="119"/>
      <c r="AP322" s="119"/>
    </row>
    <row r="323" spans="1:42" x14ac:dyDescent="0.25">
      <c r="A323" s="118"/>
      <c r="B323" s="119"/>
      <c r="C323" s="120"/>
      <c r="D323" s="120"/>
      <c r="E323" s="119"/>
      <c r="F323" s="119"/>
      <c r="AH323" s="119"/>
      <c r="AI323" s="120"/>
      <c r="AJ323" s="120"/>
      <c r="AK323" s="119"/>
      <c r="AL323" s="119"/>
      <c r="AM323" s="119"/>
      <c r="AN323" s="119"/>
      <c r="AO323" s="119"/>
      <c r="AP323" s="119"/>
    </row>
    <row r="324" spans="1:42" x14ac:dyDescent="0.25">
      <c r="A324" s="118"/>
      <c r="B324" s="119"/>
      <c r="C324" s="120"/>
      <c r="D324" s="120"/>
      <c r="E324" s="119"/>
      <c r="F324" s="119"/>
      <c r="AH324" s="119"/>
      <c r="AI324" s="120"/>
      <c r="AJ324" s="120"/>
      <c r="AK324" s="119"/>
      <c r="AL324" s="119"/>
      <c r="AM324" s="119"/>
      <c r="AN324" s="119"/>
      <c r="AO324" s="119"/>
      <c r="AP324" s="119"/>
    </row>
    <row r="325" spans="1:42" x14ac:dyDescent="0.25">
      <c r="A325" s="125"/>
      <c r="B325" s="122"/>
      <c r="C325" s="120"/>
      <c r="D325" s="120"/>
      <c r="E325" s="122"/>
      <c r="F325" s="122"/>
      <c r="AH325" s="119"/>
      <c r="AI325" s="120"/>
      <c r="AJ325" s="120"/>
      <c r="AK325" s="119"/>
      <c r="AL325" s="119"/>
      <c r="AM325" s="119"/>
      <c r="AN325" s="119"/>
      <c r="AO325" s="119"/>
      <c r="AP325" s="119"/>
    </row>
    <row r="326" spans="1:42" x14ac:dyDescent="0.25">
      <c r="A326" s="125"/>
      <c r="B326" s="122"/>
      <c r="C326" s="120"/>
      <c r="D326" s="120"/>
      <c r="E326" s="122"/>
      <c r="F326" s="122"/>
      <c r="I326" s="125"/>
      <c r="J326" s="119"/>
      <c r="K326" s="120"/>
      <c r="L326" s="120"/>
      <c r="M326" s="119"/>
      <c r="N326" s="119"/>
      <c r="O326" s="119"/>
      <c r="P326" s="119"/>
      <c r="Q326" s="119"/>
      <c r="R326" s="119"/>
      <c r="AH326" s="119"/>
      <c r="AI326" s="120"/>
      <c r="AJ326" s="120"/>
      <c r="AK326" s="119"/>
      <c r="AL326" s="119"/>
      <c r="AM326" s="119"/>
      <c r="AN326" s="119"/>
      <c r="AO326" s="119"/>
      <c r="AP326" s="119"/>
    </row>
    <row r="327" spans="1:42" x14ac:dyDescent="0.25">
      <c r="A327" s="125"/>
      <c r="B327" s="122"/>
      <c r="C327" s="120"/>
      <c r="D327" s="120"/>
      <c r="E327" s="122"/>
      <c r="F327" s="122"/>
      <c r="I327" s="125"/>
      <c r="J327" s="119"/>
      <c r="K327" s="120"/>
      <c r="L327" s="120"/>
      <c r="M327" s="119"/>
      <c r="N327" s="119"/>
      <c r="O327" s="119"/>
      <c r="P327" s="119"/>
      <c r="Q327" s="119"/>
      <c r="R327" s="119"/>
      <c r="AH327" s="119"/>
      <c r="AI327" s="120"/>
      <c r="AJ327" s="120"/>
      <c r="AK327" s="119"/>
      <c r="AL327" s="119"/>
      <c r="AM327" s="119"/>
      <c r="AN327" s="119"/>
      <c r="AO327" s="119"/>
      <c r="AP327" s="119"/>
    </row>
    <row r="329" spans="1:42" x14ac:dyDescent="0.25">
      <c r="A329" s="125"/>
      <c r="B329" s="122"/>
      <c r="C329" s="120"/>
      <c r="D329" s="120"/>
      <c r="E329" s="122"/>
      <c r="F329" s="122"/>
    </row>
    <row r="330" spans="1:42" x14ac:dyDescent="0.25">
      <c r="AG330" s="125"/>
      <c r="AH330" s="119"/>
      <c r="AI330" s="120"/>
      <c r="AJ330" s="120"/>
      <c r="AK330" s="119"/>
      <c r="AL330" s="119"/>
      <c r="AM330" s="119"/>
      <c r="AN330" s="119"/>
      <c r="AO330" s="119"/>
      <c r="AP330" s="119"/>
    </row>
    <row r="331" spans="1:42" x14ac:dyDescent="0.25">
      <c r="I331" s="118"/>
      <c r="AG331" s="125"/>
      <c r="AH331" s="119"/>
      <c r="AI331" s="120"/>
      <c r="AJ331" s="120"/>
      <c r="AK331" s="119"/>
      <c r="AL331" s="119"/>
      <c r="AM331" s="119"/>
      <c r="AN331" s="119"/>
      <c r="AO331" s="119"/>
      <c r="AP331" s="119"/>
    </row>
    <row r="332" spans="1:42" x14ac:dyDescent="0.25">
      <c r="A332" s="125"/>
      <c r="B332" s="122"/>
      <c r="C332" s="120"/>
      <c r="D332" s="120"/>
      <c r="E332" s="122"/>
      <c r="F332" s="122"/>
      <c r="AG332" s="125"/>
      <c r="AH332" s="119"/>
      <c r="AI332" s="120"/>
      <c r="AJ332" s="120"/>
      <c r="AK332" s="119"/>
      <c r="AL332" s="119"/>
      <c r="AM332" s="119"/>
      <c r="AN332" s="119"/>
      <c r="AO332" s="119"/>
      <c r="AP332" s="119"/>
    </row>
    <row r="333" spans="1:42" x14ac:dyDescent="0.25">
      <c r="AG333" s="125"/>
      <c r="AH333" s="119"/>
      <c r="AI333" s="120"/>
      <c r="AJ333" s="120"/>
      <c r="AK333" s="119"/>
      <c r="AL333" s="119"/>
      <c r="AM333" s="119"/>
      <c r="AN333" s="119"/>
      <c r="AO333" s="119"/>
      <c r="AP333" s="119"/>
    </row>
    <row r="334" spans="1:42" x14ac:dyDescent="0.25">
      <c r="A334" s="125"/>
      <c r="B334" s="122"/>
      <c r="C334" s="120"/>
      <c r="D334" s="120"/>
      <c r="E334" s="122"/>
      <c r="F334" s="122"/>
      <c r="AG334" s="125"/>
      <c r="AH334" s="119"/>
      <c r="AI334" s="120"/>
      <c r="AJ334" s="120"/>
      <c r="AK334" s="119"/>
      <c r="AL334" s="119"/>
      <c r="AM334" s="119"/>
      <c r="AN334" s="119"/>
      <c r="AO334" s="119"/>
      <c r="AP334" s="119"/>
    </row>
    <row r="335" spans="1:42" x14ac:dyDescent="0.25">
      <c r="A335" s="125"/>
      <c r="B335" s="122"/>
      <c r="C335" s="120"/>
      <c r="D335" s="120"/>
      <c r="E335" s="122"/>
      <c r="F335" s="122"/>
      <c r="AH335" s="119"/>
      <c r="AI335" s="120"/>
      <c r="AJ335" s="120"/>
      <c r="AK335" s="119"/>
      <c r="AL335" s="119"/>
      <c r="AM335" s="119"/>
      <c r="AN335" s="119"/>
      <c r="AO335" s="119"/>
      <c r="AP335" s="119"/>
    </row>
    <row r="336" spans="1:42" x14ac:dyDescent="0.25">
      <c r="AH336" s="119"/>
      <c r="AI336" s="120"/>
      <c r="AJ336" s="120"/>
      <c r="AK336" s="119"/>
      <c r="AL336" s="119"/>
      <c r="AM336" s="119"/>
      <c r="AN336" s="119"/>
      <c r="AO336" s="119"/>
      <c r="AP336" s="119"/>
    </row>
    <row r="337" spans="1:42" x14ac:dyDescent="0.25">
      <c r="AH337" s="119"/>
      <c r="AI337" s="120"/>
      <c r="AJ337" s="120"/>
      <c r="AK337" s="119"/>
      <c r="AL337" s="119"/>
      <c r="AM337" s="119"/>
      <c r="AN337" s="119"/>
      <c r="AO337" s="119"/>
      <c r="AP337" s="119"/>
    </row>
    <row r="338" spans="1:42" x14ac:dyDescent="0.25">
      <c r="AH338" s="119"/>
      <c r="AI338" s="120"/>
      <c r="AJ338" s="120"/>
      <c r="AK338" s="119"/>
      <c r="AL338" s="119"/>
      <c r="AM338" s="119"/>
      <c r="AN338" s="119"/>
      <c r="AO338" s="119"/>
      <c r="AP338" s="119"/>
    </row>
    <row r="339" spans="1:42" x14ac:dyDescent="0.25">
      <c r="AH339" s="119"/>
      <c r="AI339" s="120"/>
      <c r="AJ339" s="120"/>
      <c r="AK339" s="119"/>
      <c r="AL339" s="119"/>
      <c r="AM339" s="119"/>
      <c r="AN339" s="119"/>
      <c r="AO339" s="119"/>
      <c r="AP339" s="119"/>
    </row>
    <row r="340" spans="1:42" x14ac:dyDescent="0.25">
      <c r="AH340" s="119"/>
      <c r="AI340" s="120"/>
      <c r="AJ340" s="120"/>
      <c r="AK340" s="119"/>
      <c r="AL340" s="119"/>
      <c r="AM340" s="119"/>
      <c r="AN340" s="119"/>
      <c r="AO340" s="119"/>
      <c r="AP340" s="119"/>
    </row>
    <row r="341" spans="1:42" x14ac:dyDescent="0.25">
      <c r="AH341" s="119"/>
      <c r="AI341" s="120"/>
      <c r="AJ341" s="120"/>
      <c r="AK341" s="119"/>
      <c r="AL341" s="119"/>
      <c r="AM341" s="119"/>
      <c r="AN341" s="119"/>
      <c r="AO341" s="119"/>
      <c r="AP341" s="119"/>
    </row>
    <row r="342" spans="1:42" x14ac:dyDescent="0.25">
      <c r="AH342" s="119"/>
      <c r="AI342" s="120"/>
      <c r="AJ342" s="120"/>
      <c r="AK342" s="119"/>
      <c r="AL342" s="119"/>
      <c r="AM342" s="119"/>
      <c r="AN342" s="119"/>
      <c r="AO342" s="119"/>
      <c r="AP342" s="119"/>
    </row>
    <row r="343" spans="1:42" x14ac:dyDescent="0.25">
      <c r="AH343" s="119"/>
      <c r="AI343" s="120"/>
      <c r="AJ343" s="120"/>
      <c r="AK343" s="119"/>
      <c r="AL343" s="119"/>
      <c r="AM343" s="119"/>
      <c r="AN343" s="119"/>
      <c r="AO343" s="119"/>
      <c r="AP343" s="119"/>
    </row>
    <row r="344" spans="1:42" x14ac:dyDescent="0.25">
      <c r="I344" s="125"/>
      <c r="J344" s="119"/>
      <c r="K344" s="120"/>
      <c r="L344" s="120"/>
      <c r="M344" s="119"/>
      <c r="N344" s="119"/>
      <c r="O344" s="119"/>
      <c r="P344" s="119"/>
      <c r="Q344" s="119"/>
      <c r="R344" s="119"/>
      <c r="AH344" s="119"/>
      <c r="AI344" s="120"/>
      <c r="AJ344" s="120"/>
      <c r="AK344" s="119"/>
      <c r="AL344" s="119"/>
      <c r="AM344" s="119"/>
      <c r="AN344" s="119"/>
      <c r="AO344" s="119"/>
      <c r="AP344" s="119"/>
    </row>
    <row r="345" spans="1:42" x14ac:dyDescent="0.25">
      <c r="I345" s="125"/>
      <c r="J345" s="119"/>
      <c r="K345" s="120"/>
      <c r="L345" s="120"/>
      <c r="M345" s="119"/>
      <c r="N345" s="119"/>
      <c r="O345" s="119"/>
      <c r="P345" s="119"/>
      <c r="Q345" s="119"/>
      <c r="R345" s="119"/>
      <c r="AH345" s="119"/>
      <c r="AI345" s="120"/>
      <c r="AJ345" s="120"/>
      <c r="AK345" s="119"/>
      <c r="AL345" s="119"/>
      <c r="AM345" s="119"/>
      <c r="AN345" s="119"/>
      <c r="AO345" s="119"/>
      <c r="AP345" s="119"/>
    </row>
    <row r="346" spans="1:42" x14ac:dyDescent="0.25">
      <c r="A346" s="125"/>
      <c r="B346" s="122"/>
      <c r="C346" s="120"/>
      <c r="D346" s="120"/>
      <c r="E346" s="122"/>
      <c r="F346" s="122"/>
    </row>
    <row r="347" spans="1:42" x14ac:dyDescent="0.25">
      <c r="A347" s="125"/>
      <c r="B347" s="122"/>
      <c r="C347" s="120"/>
      <c r="D347" s="120"/>
      <c r="E347" s="122"/>
      <c r="F347" s="122"/>
    </row>
    <row r="348" spans="1:42" x14ac:dyDescent="0.25">
      <c r="A348" s="125"/>
      <c r="B348" s="122"/>
      <c r="C348" s="120"/>
      <c r="D348" s="120"/>
      <c r="E348" s="122"/>
      <c r="F348" s="122"/>
    </row>
    <row r="349" spans="1:42" x14ac:dyDescent="0.25">
      <c r="I349" s="118"/>
    </row>
    <row r="353" spans="1:18" x14ac:dyDescent="0.25">
      <c r="A353" s="125"/>
      <c r="B353" s="122"/>
      <c r="C353" s="120"/>
      <c r="D353" s="120"/>
      <c r="E353" s="122"/>
      <c r="F353" s="122"/>
    </row>
    <row r="362" spans="1:18" x14ac:dyDescent="0.25">
      <c r="I362" s="125"/>
      <c r="J362" s="119"/>
      <c r="K362" s="120"/>
      <c r="L362" s="120"/>
      <c r="M362" s="119"/>
      <c r="N362" s="119"/>
      <c r="O362" s="119"/>
      <c r="P362" s="119"/>
      <c r="Q362" s="119"/>
      <c r="R362" s="119"/>
    </row>
    <row r="363" spans="1:18" x14ac:dyDescent="0.25">
      <c r="I363" s="125"/>
      <c r="J363" s="119"/>
      <c r="K363" s="120"/>
      <c r="L363" s="120"/>
      <c r="M363" s="119"/>
      <c r="N363" s="119"/>
      <c r="O363" s="119"/>
      <c r="P363" s="119"/>
      <c r="Q363" s="119"/>
      <c r="R363" s="119"/>
    </row>
    <row r="367" spans="1:18" x14ac:dyDescent="0.25">
      <c r="I367" s="118"/>
    </row>
    <row r="370" spans="1:18" x14ac:dyDescent="0.25">
      <c r="A370" s="125"/>
      <c r="B370" s="122"/>
      <c r="C370" s="120"/>
      <c r="D370" s="120"/>
      <c r="E370" s="122"/>
    </row>
    <row r="377" spans="1:18" x14ac:dyDescent="0.25">
      <c r="A377" s="125"/>
      <c r="B377" s="122"/>
      <c r="C377" s="120"/>
      <c r="D377" s="120"/>
      <c r="E377" s="122"/>
      <c r="F377" s="122"/>
    </row>
    <row r="378" spans="1:18" x14ac:dyDescent="0.25">
      <c r="A378" s="125"/>
      <c r="B378" s="122"/>
      <c r="C378" s="120"/>
      <c r="D378" s="120"/>
      <c r="E378" s="122"/>
      <c r="F378" s="122"/>
    </row>
    <row r="380" spans="1:18" x14ac:dyDescent="0.25">
      <c r="I380" s="125"/>
      <c r="J380" s="119"/>
      <c r="K380" s="120"/>
      <c r="L380" s="120"/>
      <c r="M380" s="119"/>
      <c r="N380" s="119"/>
      <c r="O380" s="119"/>
      <c r="P380" s="119"/>
      <c r="Q380" s="119"/>
      <c r="R380" s="119"/>
    </row>
    <row r="381" spans="1:18" x14ac:dyDescent="0.25">
      <c r="A381" s="125"/>
      <c r="B381" s="122"/>
      <c r="C381" s="120"/>
      <c r="D381" s="120"/>
      <c r="E381" s="122"/>
      <c r="F381" s="122"/>
      <c r="I381" s="125"/>
      <c r="J381" s="119"/>
      <c r="K381" s="120"/>
      <c r="L381" s="120"/>
      <c r="M381" s="119"/>
      <c r="N381" s="119"/>
      <c r="O381" s="119"/>
      <c r="P381" s="119"/>
      <c r="Q381" s="119"/>
      <c r="R381" s="119"/>
    </row>
    <row r="382" spans="1:18" x14ac:dyDescent="0.25">
      <c r="A382" s="125"/>
      <c r="B382" s="122"/>
      <c r="C382" s="120"/>
      <c r="D382" s="120"/>
      <c r="E382" s="122"/>
      <c r="F382" s="122"/>
    </row>
    <row r="383" spans="1:18" x14ac:dyDescent="0.25">
      <c r="A383" s="125"/>
      <c r="B383" s="122"/>
      <c r="C383" s="120"/>
      <c r="D383" s="120"/>
      <c r="E383" s="122"/>
      <c r="F383" s="122"/>
    </row>
    <row r="385" spans="9:18" x14ac:dyDescent="0.25">
      <c r="I385" s="118"/>
    </row>
    <row r="398" spans="9:18" x14ac:dyDescent="0.25">
      <c r="I398" s="125"/>
      <c r="J398" s="119"/>
      <c r="K398" s="120"/>
      <c r="L398" s="120"/>
      <c r="M398" s="119"/>
      <c r="N398" s="119"/>
      <c r="O398" s="119"/>
      <c r="P398" s="119"/>
      <c r="Q398" s="119"/>
      <c r="R398" s="119"/>
    </row>
    <row r="399" spans="9:18" x14ac:dyDescent="0.25">
      <c r="I399" s="125"/>
      <c r="J399" s="119"/>
      <c r="K399" s="120"/>
      <c r="L399" s="120"/>
      <c r="M399" s="119"/>
      <c r="N399" s="119"/>
      <c r="O399" s="119"/>
      <c r="P399" s="119"/>
      <c r="Q399" s="119"/>
      <c r="R399" s="119"/>
    </row>
    <row r="403" spans="1:57" x14ac:dyDescent="0.25">
      <c r="I403" s="118"/>
    </row>
    <row r="405" spans="1:57" x14ac:dyDescent="0.25">
      <c r="A405" s="125"/>
      <c r="B405" s="122"/>
      <c r="C405" s="120"/>
      <c r="D405" s="120"/>
      <c r="E405" s="122"/>
    </row>
    <row r="414" spans="1:57" x14ac:dyDescent="0.25">
      <c r="U414" s="125"/>
      <c r="AG414" s="125"/>
      <c r="AS414" s="125"/>
      <c r="BE414" s="125"/>
    </row>
    <row r="415" spans="1:57" x14ac:dyDescent="0.25">
      <c r="U415" s="125"/>
      <c r="AG415" s="125"/>
      <c r="AS415" s="125"/>
      <c r="BE415" s="125"/>
    </row>
    <row r="416" spans="1:57" x14ac:dyDescent="0.25">
      <c r="I416" s="125"/>
      <c r="J416" s="119"/>
      <c r="K416" s="120"/>
      <c r="L416" s="120"/>
      <c r="M416" s="119"/>
      <c r="N416" s="119"/>
      <c r="O416" s="119"/>
      <c r="P416" s="119"/>
      <c r="Q416" s="119"/>
      <c r="R416" s="119"/>
      <c r="U416" s="125"/>
      <c r="AG416" s="125"/>
      <c r="AS416" s="125"/>
      <c r="BE416" s="125"/>
    </row>
    <row r="417" spans="1:57" x14ac:dyDescent="0.25">
      <c r="I417" s="125"/>
      <c r="J417" s="119"/>
      <c r="K417" s="120"/>
      <c r="L417" s="120"/>
      <c r="M417" s="119"/>
      <c r="N417" s="119"/>
      <c r="O417" s="119"/>
      <c r="P417" s="119"/>
      <c r="Q417" s="119"/>
      <c r="R417" s="119"/>
      <c r="U417" s="125"/>
      <c r="AG417" s="125"/>
      <c r="AS417" s="125"/>
      <c r="BE417" s="125"/>
    </row>
    <row r="418" spans="1:57" x14ac:dyDescent="0.25">
      <c r="U418" s="125"/>
      <c r="AG418" s="125"/>
      <c r="AS418" s="125"/>
      <c r="BE418" s="125"/>
    </row>
    <row r="419" spans="1:57" x14ac:dyDescent="0.25">
      <c r="A419" s="125"/>
      <c r="B419" s="122"/>
      <c r="C419" s="120"/>
      <c r="D419" s="120"/>
      <c r="E419" s="122"/>
      <c r="F419" s="122"/>
      <c r="U419" s="125"/>
      <c r="AG419" s="125"/>
      <c r="AS419" s="125"/>
      <c r="BE419" s="125"/>
    </row>
    <row r="420" spans="1:57" x14ac:dyDescent="0.25">
      <c r="A420" s="125"/>
      <c r="B420" s="122"/>
      <c r="C420" s="120"/>
      <c r="D420" s="120"/>
      <c r="E420" s="122"/>
      <c r="F420" s="122"/>
      <c r="U420" s="125"/>
      <c r="AG420" s="125"/>
      <c r="AS420" s="125"/>
      <c r="BE420" s="125"/>
    </row>
    <row r="421" spans="1:57" x14ac:dyDescent="0.25">
      <c r="A421" s="125"/>
      <c r="B421" s="122"/>
      <c r="C421" s="120"/>
      <c r="D421" s="120"/>
      <c r="E421" s="122"/>
      <c r="F421" s="122"/>
      <c r="I421" s="118"/>
      <c r="U421" s="125"/>
      <c r="AG421" s="125"/>
      <c r="AS421" s="125"/>
      <c r="BE421" s="125"/>
    </row>
    <row r="422" spans="1:57" x14ac:dyDescent="0.25">
      <c r="A422" s="125"/>
      <c r="B422" s="122"/>
      <c r="C422" s="120"/>
      <c r="D422" s="120"/>
      <c r="E422" s="122"/>
      <c r="F422" s="122"/>
      <c r="U422" s="125"/>
      <c r="AG422" s="125"/>
      <c r="AS422" s="125"/>
      <c r="BE422" s="125"/>
    </row>
    <row r="423" spans="1:57" x14ac:dyDescent="0.25">
      <c r="U423" s="118"/>
      <c r="AG423" s="118"/>
      <c r="AS423" s="118"/>
      <c r="BE423" s="118"/>
    </row>
    <row r="424" spans="1:57" x14ac:dyDescent="0.25">
      <c r="U424" s="118"/>
      <c r="AG424" s="118"/>
      <c r="AS424" s="118"/>
      <c r="BE424" s="118"/>
    </row>
    <row r="425" spans="1:57" x14ac:dyDescent="0.25">
      <c r="U425" s="118"/>
      <c r="AG425" s="118"/>
      <c r="AS425" s="118"/>
      <c r="BE425" s="118"/>
    </row>
    <row r="426" spans="1:57" x14ac:dyDescent="0.25">
      <c r="U426" s="118"/>
      <c r="AG426" s="118"/>
      <c r="AS426" s="118"/>
      <c r="BE426" s="118"/>
    </row>
    <row r="427" spans="1:57" x14ac:dyDescent="0.25">
      <c r="U427" s="118"/>
      <c r="AG427" s="118"/>
      <c r="AS427" s="118"/>
      <c r="BE427" s="118"/>
    </row>
    <row r="428" spans="1:57" x14ac:dyDescent="0.25">
      <c r="U428" s="118"/>
      <c r="AG428" s="118"/>
      <c r="AS428" s="118"/>
      <c r="BE428" s="118"/>
    </row>
    <row r="429" spans="1:57" x14ac:dyDescent="0.25">
      <c r="U429" s="118"/>
      <c r="AG429" s="118"/>
      <c r="AS429" s="118"/>
      <c r="BE429" s="118"/>
    </row>
    <row r="430" spans="1:57" x14ac:dyDescent="0.25">
      <c r="U430" s="118"/>
      <c r="AG430" s="118"/>
      <c r="AS430" s="118"/>
      <c r="BE430" s="118"/>
    </row>
    <row r="431" spans="1:57" x14ac:dyDescent="0.25">
      <c r="U431" s="118"/>
      <c r="AG431" s="118"/>
      <c r="AS431" s="118"/>
      <c r="BE431" s="118"/>
    </row>
    <row r="432" spans="1:57" x14ac:dyDescent="0.25">
      <c r="A432" s="118"/>
      <c r="B432" s="119"/>
      <c r="C432" s="120"/>
      <c r="D432" s="120"/>
      <c r="E432" s="119"/>
      <c r="F432" s="119"/>
      <c r="U432" s="118"/>
      <c r="AG432" s="118"/>
      <c r="AS432" s="118"/>
      <c r="BE432" s="118"/>
    </row>
    <row r="433" spans="1:57" x14ac:dyDescent="0.25">
      <c r="U433" s="118"/>
      <c r="AG433" s="118"/>
      <c r="AS433" s="118"/>
      <c r="BE433" s="118"/>
    </row>
    <row r="434" spans="1:57" x14ac:dyDescent="0.25">
      <c r="I434" s="125"/>
      <c r="J434" s="119"/>
      <c r="K434" s="120"/>
      <c r="L434" s="120"/>
      <c r="M434" s="119"/>
      <c r="N434" s="119"/>
      <c r="O434" s="119"/>
      <c r="P434" s="119"/>
      <c r="Q434" s="119"/>
      <c r="R434" s="119"/>
    </row>
    <row r="435" spans="1:57" x14ac:dyDescent="0.25">
      <c r="I435" s="125"/>
      <c r="J435" s="119"/>
      <c r="K435" s="120"/>
      <c r="L435" s="120"/>
      <c r="M435" s="119"/>
      <c r="N435" s="119"/>
      <c r="O435" s="119"/>
      <c r="P435" s="119"/>
      <c r="Q435" s="119"/>
      <c r="R435" s="119"/>
    </row>
    <row r="438" spans="1:57" x14ac:dyDescent="0.25">
      <c r="A438" s="118"/>
      <c r="B438" s="119"/>
      <c r="C438" s="120"/>
      <c r="D438" s="120"/>
      <c r="E438" s="119"/>
      <c r="F438" s="119"/>
    </row>
    <row r="439" spans="1:57" x14ac:dyDescent="0.25">
      <c r="A439" s="118"/>
      <c r="B439" s="119"/>
      <c r="C439" s="120"/>
      <c r="D439" s="120"/>
      <c r="E439" s="119"/>
      <c r="F439" s="119"/>
      <c r="I439" s="118"/>
    </row>
    <row r="440" spans="1:57" x14ac:dyDescent="0.25">
      <c r="A440" s="118"/>
      <c r="B440" s="119"/>
      <c r="C440" s="120"/>
      <c r="D440" s="120"/>
      <c r="E440" s="119"/>
      <c r="F440" s="119"/>
    </row>
    <row r="444" spans="1:57" x14ac:dyDescent="0.25">
      <c r="A444" s="125"/>
      <c r="B444" s="122"/>
      <c r="C444" s="120"/>
      <c r="D444" s="120"/>
      <c r="E444" s="122"/>
      <c r="F444" s="122"/>
    </row>
    <row r="448" spans="1:57" x14ac:dyDescent="0.25">
      <c r="A448" s="118"/>
      <c r="B448" s="119"/>
      <c r="C448" s="120"/>
      <c r="D448" s="120"/>
      <c r="E448" s="119"/>
      <c r="F448" s="119"/>
    </row>
    <row r="452" spans="1:18" x14ac:dyDescent="0.25">
      <c r="I452" s="125"/>
      <c r="J452" s="119"/>
      <c r="K452" s="120"/>
      <c r="L452" s="120"/>
      <c r="M452" s="119"/>
      <c r="N452" s="119"/>
      <c r="O452" s="119"/>
      <c r="P452" s="119"/>
      <c r="Q452" s="119"/>
      <c r="R452" s="119"/>
    </row>
    <row r="453" spans="1:18" x14ac:dyDescent="0.25">
      <c r="I453" s="125"/>
      <c r="J453" s="119"/>
      <c r="K453" s="120"/>
      <c r="L453" s="120"/>
      <c r="M453" s="119"/>
      <c r="N453" s="119"/>
      <c r="O453" s="119"/>
      <c r="P453" s="119"/>
      <c r="Q453" s="119"/>
      <c r="R453" s="119"/>
    </row>
    <row r="457" spans="1:18" x14ac:dyDescent="0.25">
      <c r="I457" s="118"/>
    </row>
    <row r="459" spans="1:18" x14ac:dyDescent="0.25">
      <c r="A459" s="125"/>
      <c r="B459" s="122"/>
      <c r="C459" s="120"/>
      <c r="D459" s="120"/>
      <c r="E459" s="122"/>
    </row>
    <row r="465" spans="1:18" x14ac:dyDescent="0.25">
      <c r="A465" s="125"/>
      <c r="B465" s="122"/>
      <c r="C465" s="120"/>
      <c r="D465" s="120"/>
      <c r="E465" s="122"/>
      <c r="F465" s="122"/>
    </row>
    <row r="471" spans="1:18" x14ac:dyDescent="0.25">
      <c r="I471" s="125"/>
      <c r="J471" s="119"/>
      <c r="K471" s="120"/>
      <c r="L471" s="120"/>
      <c r="M471" s="119"/>
      <c r="N471" s="119"/>
      <c r="O471" s="119"/>
      <c r="P471" s="119"/>
      <c r="Q471" s="119"/>
      <c r="R471" s="119"/>
    </row>
    <row r="472" spans="1:18" x14ac:dyDescent="0.25">
      <c r="I472" s="125"/>
      <c r="J472" s="119"/>
      <c r="K472" s="120"/>
      <c r="L472" s="120"/>
      <c r="M472" s="119"/>
      <c r="N472" s="119"/>
      <c r="O472" s="119"/>
      <c r="P472" s="119"/>
      <c r="Q472" s="119"/>
      <c r="R472" s="119"/>
    </row>
    <row r="476" spans="1:18" x14ac:dyDescent="0.25">
      <c r="I476" s="125"/>
    </row>
    <row r="479" spans="1:18" x14ac:dyDescent="0.25">
      <c r="A479" s="125"/>
      <c r="B479" s="122"/>
      <c r="C479" s="120"/>
      <c r="D479" s="120"/>
      <c r="E479" s="122"/>
      <c r="F479" s="122"/>
    </row>
    <row r="480" spans="1:18" x14ac:dyDescent="0.25">
      <c r="A480" s="125"/>
      <c r="B480" s="122"/>
      <c r="C480" s="120"/>
      <c r="D480" s="120"/>
      <c r="E480" s="122"/>
      <c r="F480" s="122"/>
    </row>
    <row r="484" spans="1:18" x14ac:dyDescent="0.25">
      <c r="A484" s="125"/>
      <c r="B484" s="122"/>
      <c r="C484" s="120"/>
      <c r="D484" s="120"/>
      <c r="E484" s="122"/>
      <c r="F484" s="122"/>
    </row>
    <row r="485" spans="1:18" x14ac:dyDescent="0.25">
      <c r="A485" s="118"/>
      <c r="B485" s="119"/>
      <c r="C485" s="120"/>
      <c r="D485" s="120"/>
      <c r="E485" s="119"/>
      <c r="F485" s="119"/>
    </row>
    <row r="491" spans="1:18" x14ac:dyDescent="0.25">
      <c r="I491" s="125"/>
      <c r="J491" s="119"/>
      <c r="K491" s="120"/>
      <c r="L491" s="120"/>
      <c r="M491" s="119"/>
      <c r="N491" s="119"/>
      <c r="O491" s="119"/>
      <c r="P491" s="119"/>
      <c r="Q491" s="119"/>
      <c r="R491" s="119"/>
    </row>
    <row r="494" spans="1:18" x14ac:dyDescent="0.25">
      <c r="A494" s="118"/>
      <c r="B494" s="119"/>
      <c r="C494" s="120"/>
      <c r="D494" s="120"/>
      <c r="E494" s="119"/>
      <c r="F494" s="119"/>
    </row>
    <row r="495" spans="1:18" x14ac:dyDescent="0.25">
      <c r="I495" s="125"/>
    </row>
    <row r="499" spans="1:57" x14ac:dyDescent="0.25">
      <c r="A499" s="125"/>
      <c r="B499" s="122"/>
      <c r="C499" s="120"/>
      <c r="D499" s="120"/>
      <c r="E499" s="122"/>
      <c r="F499" s="122"/>
    </row>
    <row r="500" spans="1:57" x14ac:dyDescent="0.25">
      <c r="A500" s="125"/>
      <c r="B500" s="122"/>
      <c r="C500" s="120"/>
      <c r="D500" s="120"/>
      <c r="E500" s="122"/>
      <c r="F500" s="122"/>
    </row>
    <row r="503" spans="1:57" x14ac:dyDescent="0.25">
      <c r="A503" s="125"/>
      <c r="B503" s="122"/>
      <c r="C503" s="120"/>
      <c r="D503" s="120"/>
      <c r="E503" s="122"/>
      <c r="F503" s="122"/>
    </row>
    <row r="509" spans="1:57" x14ac:dyDescent="0.25">
      <c r="A509" s="118"/>
      <c r="B509" s="119"/>
      <c r="C509" s="120"/>
      <c r="D509" s="120"/>
      <c r="E509" s="119"/>
      <c r="F509" s="119"/>
    </row>
    <row r="510" spans="1:57" x14ac:dyDescent="0.25">
      <c r="I510" s="125"/>
      <c r="J510" s="119"/>
      <c r="K510" s="120"/>
      <c r="L510" s="120"/>
      <c r="M510" s="119"/>
      <c r="N510" s="119"/>
      <c r="O510" s="119"/>
      <c r="P510" s="119"/>
      <c r="Q510" s="119"/>
      <c r="R510" s="119"/>
      <c r="U510" s="118"/>
      <c r="AG510" s="118"/>
      <c r="AS510" s="118"/>
      <c r="BE510" s="118"/>
    </row>
    <row r="511" spans="1:57" x14ac:dyDescent="0.25">
      <c r="U511" s="118"/>
      <c r="AG511" s="118"/>
      <c r="AS511" s="118"/>
      <c r="BE511" s="118"/>
    </row>
    <row r="514" spans="1:9" x14ac:dyDescent="0.25">
      <c r="I514" s="125"/>
    </row>
    <row r="517" spans="1:9" x14ac:dyDescent="0.25">
      <c r="A517" s="118"/>
      <c r="B517" s="119"/>
      <c r="C517" s="120"/>
      <c r="D517" s="120"/>
      <c r="E517" s="119"/>
      <c r="F517" s="119"/>
    </row>
    <row r="518" spans="1:9" x14ac:dyDescent="0.25">
      <c r="A518" s="118"/>
      <c r="B518" s="119"/>
      <c r="C518" s="120"/>
      <c r="D518" s="120"/>
      <c r="E518" s="119"/>
      <c r="F518" s="119"/>
    </row>
    <row r="519" spans="1:9" x14ac:dyDescent="0.25">
      <c r="A519" s="125"/>
      <c r="B519" s="122"/>
      <c r="C519" s="120"/>
      <c r="D519" s="120"/>
      <c r="E519" s="122"/>
      <c r="F519" s="122"/>
    </row>
    <row r="520" spans="1:9" x14ac:dyDescent="0.25">
      <c r="A520" s="118"/>
      <c r="B520" s="119"/>
      <c r="C520" s="120"/>
      <c r="D520" s="120"/>
      <c r="E520" s="119"/>
      <c r="F520" s="119"/>
    </row>
    <row r="522" spans="1:9" x14ac:dyDescent="0.25">
      <c r="A522" s="125"/>
      <c r="B522" s="122"/>
      <c r="C522" s="120"/>
      <c r="D522" s="120"/>
      <c r="E522" s="122"/>
      <c r="F522" s="122"/>
    </row>
    <row r="537" spans="1:6" x14ac:dyDescent="0.25">
      <c r="A537" s="125"/>
      <c r="B537" s="122"/>
      <c r="C537" s="120"/>
      <c r="D537" s="120"/>
      <c r="E537" s="122"/>
      <c r="F537" s="122"/>
    </row>
    <row r="538" spans="1:6" x14ac:dyDescent="0.25">
      <c r="A538" s="125"/>
      <c r="B538" s="122"/>
      <c r="C538" s="120"/>
      <c r="D538" s="120"/>
      <c r="E538" s="122"/>
      <c r="F538" s="122"/>
    </row>
    <row r="540" spans="1:6" x14ac:dyDescent="0.25">
      <c r="A540" s="125"/>
      <c r="B540" s="122"/>
      <c r="C540" s="120"/>
      <c r="D540" s="120"/>
      <c r="E540" s="122"/>
      <c r="F540" s="122"/>
    </row>
    <row r="542" spans="1:6" x14ac:dyDescent="0.25">
      <c r="A542" s="118"/>
      <c r="B542" s="119"/>
      <c r="C542" s="120"/>
      <c r="D542" s="120"/>
      <c r="E542" s="119"/>
      <c r="F542" s="119"/>
    </row>
    <row r="543" spans="1:6" x14ac:dyDescent="0.25">
      <c r="A543" s="125"/>
      <c r="B543" s="122"/>
      <c r="C543" s="120"/>
      <c r="D543" s="120"/>
      <c r="E543" s="122"/>
      <c r="F543" s="122"/>
    </row>
    <row r="544" spans="1:6" x14ac:dyDescent="0.25">
      <c r="A544" s="118"/>
      <c r="B544" s="119"/>
      <c r="C544" s="120"/>
      <c r="D544" s="120"/>
      <c r="E544" s="119"/>
      <c r="F544" s="119"/>
    </row>
    <row r="548" spans="1:57" x14ac:dyDescent="0.25">
      <c r="I548" s="118"/>
      <c r="U548" s="118"/>
      <c r="AG548" s="118"/>
      <c r="AS548" s="118"/>
      <c r="BE548" s="118"/>
    </row>
    <row r="549" spans="1:57" x14ac:dyDescent="0.25">
      <c r="I549" s="118"/>
      <c r="U549" s="118"/>
      <c r="AG549" s="118"/>
      <c r="AS549" s="118"/>
      <c r="BE549" s="118"/>
    </row>
    <row r="550" spans="1:57" x14ac:dyDescent="0.25">
      <c r="I550" s="118"/>
      <c r="U550" s="118"/>
      <c r="AG550" s="118"/>
      <c r="AS550" s="118"/>
      <c r="BE550" s="118"/>
    </row>
    <row r="559" spans="1:57" x14ac:dyDescent="0.25">
      <c r="A559" s="125"/>
      <c r="B559" s="122"/>
      <c r="C559" s="120"/>
      <c r="D559" s="120"/>
      <c r="E559" s="122"/>
      <c r="F559" s="122"/>
    </row>
    <row r="560" spans="1:57" x14ac:dyDescent="0.25">
      <c r="A560" s="118"/>
      <c r="B560" s="119"/>
      <c r="C560" s="120"/>
      <c r="D560" s="120"/>
      <c r="E560" s="119"/>
      <c r="F560" s="119"/>
    </row>
    <row r="562" spans="1:6" x14ac:dyDescent="0.25">
      <c r="A562" s="118"/>
      <c r="B562" s="119"/>
      <c r="C562" s="120"/>
      <c r="D562" s="120"/>
      <c r="E562" s="119"/>
      <c r="F562" s="119"/>
    </row>
    <row r="575" spans="1:6" x14ac:dyDescent="0.25">
      <c r="A575" s="118"/>
      <c r="B575" s="119"/>
      <c r="C575" s="120"/>
      <c r="D575" s="120"/>
      <c r="E575" s="119"/>
      <c r="F575" s="119"/>
    </row>
    <row r="576" spans="1:6" x14ac:dyDescent="0.25">
      <c r="A576" s="118"/>
      <c r="B576" s="119"/>
      <c r="C576" s="120"/>
      <c r="D576" s="120"/>
      <c r="E576" s="119"/>
      <c r="F576" s="119"/>
    </row>
    <row r="578" spans="1:6" x14ac:dyDescent="0.25">
      <c r="A578" s="125"/>
      <c r="B578" s="122"/>
      <c r="C578" s="120"/>
      <c r="D578" s="120"/>
      <c r="E578" s="122"/>
      <c r="F578" s="122"/>
    </row>
    <row r="597" spans="1:6" x14ac:dyDescent="0.25">
      <c r="A597" s="125"/>
      <c r="B597" s="122"/>
      <c r="C597" s="120"/>
      <c r="D597" s="120"/>
      <c r="E597" s="122"/>
      <c r="F597" s="122"/>
    </row>
    <row r="616" spans="1:18" x14ac:dyDescent="0.25">
      <c r="A616" s="125"/>
      <c r="B616" s="122"/>
      <c r="C616" s="120"/>
      <c r="D616" s="120"/>
      <c r="E616" s="122"/>
      <c r="F616" s="122"/>
    </row>
    <row r="620" spans="1:18" x14ac:dyDescent="0.25">
      <c r="J620" s="119"/>
      <c r="K620" s="120"/>
      <c r="L620" s="120"/>
      <c r="M620" s="119"/>
      <c r="N620" s="119"/>
      <c r="O620" s="119"/>
      <c r="P620" s="119"/>
      <c r="Q620" s="119"/>
      <c r="R620" s="119"/>
    </row>
    <row r="621" spans="1:18" x14ac:dyDescent="0.25">
      <c r="J621" s="119"/>
      <c r="K621" s="120"/>
      <c r="L621" s="120"/>
      <c r="M621" s="119"/>
      <c r="N621" s="119"/>
      <c r="O621" s="119"/>
      <c r="P621" s="119"/>
      <c r="Q621" s="119"/>
      <c r="R621" s="119"/>
    </row>
    <row r="632" spans="1:57" x14ac:dyDescent="0.25">
      <c r="I632" s="118"/>
      <c r="U632" s="118"/>
      <c r="AG632" s="118"/>
      <c r="AS632" s="118"/>
      <c r="BE632" s="118"/>
    </row>
    <row r="635" spans="1:57" x14ac:dyDescent="0.25">
      <c r="A635" s="125"/>
      <c r="B635" s="122"/>
      <c r="C635" s="120"/>
      <c r="D635" s="120"/>
      <c r="E635" s="122"/>
      <c r="F635" s="122"/>
    </row>
    <row r="651" spans="1:57" x14ac:dyDescent="0.25">
      <c r="I651" s="118"/>
      <c r="U651" s="118"/>
      <c r="AG651" s="118"/>
      <c r="AS651" s="118"/>
      <c r="BE651" s="118"/>
    </row>
    <row r="652" spans="1:57" x14ac:dyDescent="0.25">
      <c r="I652" s="118"/>
      <c r="U652" s="118"/>
      <c r="AG652" s="118"/>
      <c r="AS652" s="118"/>
      <c r="BE652" s="118"/>
    </row>
    <row r="654" spans="1:57" x14ac:dyDescent="0.25">
      <c r="A654" s="118"/>
      <c r="B654" s="119"/>
      <c r="C654" s="120"/>
      <c r="D654" s="120"/>
      <c r="E654" s="119"/>
      <c r="F654" s="119"/>
    </row>
    <row r="673" spans="1:6" x14ac:dyDescent="0.25">
      <c r="A673" s="118"/>
      <c r="B673" s="119"/>
      <c r="C673" s="120"/>
      <c r="D673" s="120"/>
      <c r="E673" s="119"/>
      <c r="F673" s="119"/>
    </row>
    <row r="674" spans="1:6" x14ac:dyDescent="0.25">
      <c r="A674" s="118"/>
      <c r="B674" s="119"/>
      <c r="C674" s="120"/>
      <c r="D674" s="120"/>
      <c r="E674" s="119"/>
      <c r="F674" s="119"/>
    </row>
  </sheetData>
  <sortState xmlns:xlrd2="http://schemas.microsoft.com/office/spreadsheetml/2017/richdata2" ref="BE2:BN2">
    <sortCondition ref="BE1:BE2"/>
  </sortState>
  <printOptions horizontalCentered="1"/>
  <pageMargins left="0.31496062992125984" right="0.31496062992125984" top="0.35433070866141736" bottom="0.74803149606299213" header="0.31496062992125984" footer="0.31496062992125984"/>
  <pageSetup paperSize="9" scale="60" fitToHeight="100" orientation="portrait" blackAndWhite="1" horizontalDpi="200" verticalDpi="200" r:id="rId1"/>
  <headerFooter>
    <oddFooter>&amp;L&amp;A&amp;C&amp;D&amp;Rстр.&amp;P из &amp;N</oddFooter>
  </headerFooter>
  <colBreaks count="5" manualBreakCount="5">
    <brk id="7" max="1048575" man="1"/>
    <brk id="19" max="1048575" man="1"/>
    <brk id="31" max="1048575" man="1"/>
    <brk id="43" max="1048575" man="1"/>
    <brk id="55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>
    <pageSetUpPr fitToPage="1"/>
  </sheetPr>
  <dimension ref="B1:J114"/>
  <sheetViews>
    <sheetView showGridLines="0" zoomScale="90" zoomScaleNormal="90" workbookViewId="0">
      <pane ySplit="4" topLeftCell="A5" activePane="bottomLeft" state="frozen"/>
      <selection pane="bottomLeft" activeCell="G6" sqref="G6"/>
    </sheetView>
  </sheetViews>
  <sheetFormatPr defaultRowHeight="15" x14ac:dyDescent="0.25"/>
  <cols>
    <col min="1" max="1" width="2.85546875" customWidth="1"/>
    <col min="2" max="2" width="17.5703125" customWidth="1"/>
    <col min="3" max="3" width="16.28515625" style="13" customWidth="1"/>
    <col min="4" max="4" width="16.5703125" customWidth="1"/>
    <col min="5" max="5" width="16.28515625" customWidth="1"/>
    <col min="6" max="6" width="6.140625" customWidth="1"/>
    <col min="7" max="7" width="13" customWidth="1"/>
    <col min="8" max="8" width="20.7109375" customWidth="1"/>
    <col min="9" max="10" width="13.42578125" customWidth="1"/>
  </cols>
  <sheetData>
    <row r="1" spans="2:10" ht="21" x14ac:dyDescent="0.35">
      <c r="B1" s="31" t="s">
        <v>32</v>
      </c>
      <c r="C1" s="11" t="s">
        <v>7</v>
      </c>
      <c r="D1" s="12">
        <f ca="1">TODAY()</f>
        <v>45184</v>
      </c>
      <c r="G1" s="10" t="s">
        <v>8</v>
      </c>
      <c r="H1" s="30"/>
      <c r="I1" s="11" t="s">
        <v>31</v>
      </c>
      <c r="J1" s="12">
        <f ca="1">TODAY()</f>
        <v>45184</v>
      </c>
    </row>
    <row r="2" spans="2:10" ht="20.25" customHeight="1" x14ac:dyDescent="0.25">
      <c r="B2" s="7" t="s">
        <v>9</v>
      </c>
      <c r="C2" t="s">
        <v>193</v>
      </c>
    </row>
    <row r="3" spans="2:10" ht="15.75" customHeight="1" x14ac:dyDescent="0.25">
      <c r="G3" s="7" t="s">
        <v>1</v>
      </c>
      <c r="H3" t="s">
        <v>12</v>
      </c>
    </row>
    <row r="4" spans="2:10" x14ac:dyDescent="0.25">
      <c r="B4" s="7" t="s">
        <v>4</v>
      </c>
      <c r="C4" s="14" t="s">
        <v>0</v>
      </c>
      <c r="D4" t="s">
        <v>187</v>
      </c>
      <c r="E4" t="s">
        <v>188</v>
      </c>
      <c r="H4" s="13"/>
    </row>
    <row r="5" spans="2:10" x14ac:dyDescent="0.25">
      <c r="B5" t="s">
        <v>11</v>
      </c>
      <c r="C5" s="80">
        <v>45141</v>
      </c>
      <c r="D5" s="9">
        <v>0</v>
      </c>
      <c r="E5" s="9">
        <v>82500</v>
      </c>
      <c r="F5" s="9"/>
      <c r="G5" s="7" t="s">
        <v>4</v>
      </c>
      <c r="H5" s="14" t="s">
        <v>0</v>
      </c>
      <c r="I5" t="s">
        <v>187</v>
      </c>
      <c r="J5" t="s">
        <v>188</v>
      </c>
    </row>
    <row r="6" spans="2:10" x14ac:dyDescent="0.25">
      <c r="C6" s="80">
        <v>45142</v>
      </c>
      <c r="D6" s="9">
        <v>1000000</v>
      </c>
      <c r="E6" s="9">
        <v>731750</v>
      </c>
      <c r="F6" s="9"/>
      <c r="G6" t="s">
        <v>91</v>
      </c>
      <c r="H6" s="80">
        <v>45147</v>
      </c>
      <c r="I6" s="9">
        <v>0</v>
      </c>
      <c r="J6" s="9">
        <v>39800</v>
      </c>
    </row>
    <row r="7" spans="2:10" x14ac:dyDescent="0.25">
      <c r="C7" s="80">
        <v>45146</v>
      </c>
      <c r="D7" s="9">
        <v>0</v>
      </c>
      <c r="E7" s="9">
        <v>26500</v>
      </c>
      <c r="F7" s="9"/>
      <c r="H7" s="80">
        <v>45153</v>
      </c>
      <c r="I7" s="9">
        <v>0</v>
      </c>
      <c r="J7" s="9">
        <v>7000</v>
      </c>
    </row>
    <row r="8" spans="2:10" x14ac:dyDescent="0.25">
      <c r="C8" s="80">
        <v>45147</v>
      </c>
      <c r="D8" s="9">
        <v>330000</v>
      </c>
      <c r="E8" s="9"/>
      <c r="F8" s="9"/>
      <c r="G8" t="s">
        <v>92</v>
      </c>
      <c r="H8" s="80">
        <v>45141</v>
      </c>
      <c r="I8" s="9">
        <v>0</v>
      </c>
      <c r="J8" s="9">
        <v>63000</v>
      </c>
    </row>
    <row r="9" spans="2:10" x14ac:dyDescent="0.25">
      <c r="C9" s="80">
        <v>45149</v>
      </c>
      <c r="D9" s="9">
        <v>0</v>
      </c>
      <c r="E9" s="9">
        <v>26500</v>
      </c>
      <c r="F9" s="9"/>
      <c r="G9" t="s">
        <v>18</v>
      </c>
      <c r="H9" s="80">
        <v>45143</v>
      </c>
      <c r="I9" s="9">
        <v>0</v>
      </c>
      <c r="J9" s="9">
        <v>26000</v>
      </c>
    </row>
    <row r="10" spans="2:10" x14ac:dyDescent="0.25">
      <c r="C10" s="80">
        <v>45154</v>
      </c>
      <c r="D10" s="9">
        <v>0</v>
      </c>
      <c r="E10" s="9">
        <v>19750</v>
      </c>
      <c r="F10" s="9"/>
      <c r="H10" s="80">
        <v>45157</v>
      </c>
      <c r="I10" s="9">
        <v>0</v>
      </c>
      <c r="J10" s="9">
        <v>20000</v>
      </c>
    </row>
    <row r="11" spans="2:10" x14ac:dyDescent="0.25">
      <c r="C11" s="80">
        <v>45155</v>
      </c>
      <c r="D11" s="9">
        <v>0</v>
      </c>
      <c r="E11" s="9">
        <v>49758</v>
      </c>
      <c r="F11" s="9"/>
      <c r="H11" s="80">
        <v>45161</v>
      </c>
      <c r="I11" s="9">
        <v>0</v>
      </c>
      <c r="J11" s="9">
        <v>10000</v>
      </c>
    </row>
    <row r="12" spans="2:10" x14ac:dyDescent="0.25">
      <c r="C12" s="80">
        <v>45156</v>
      </c>
      <c r="D12" s="9">
        <v>0</v>
      </c>
      <c r="E12" s="9">
        <v>60000</v>
      </c>
      <c r="F12" s="9"/>
      <c r="G12" s="13" t="s">
        <v>6</v>
      </c>
      <c r="H12" s="13"/>
      <c r="I12" s="9">
        <v>0</v>
      </c>
      <c r="J12" s="9">
        <v>165800</v>
      </c>
    </row>
    <row r="13" spans="2:10" x14ac:dyDescent="0.25">
      <c r="C13" s="80">
        <v>45160</v>
      </c>
      <c r="D13" s="9">
        <v>0</v>
      </c>
      <c r="E13" s="9">
        <v>2500</v>
      </c>
      <c r="F13" s="9"/>
    </row>
    <row r="14" spans="2:10" x14ac:dyDescent="0.25">
      <c r="C14" s="80">
        <v>45161</v>
      </c>
      <c r="D14" s="9">
        <v>0</v>
      </c>
      <c r="E14" s="9">
        <v>202322.17</v>
      </c>
      <c r="F14" s="9"/>
    </row>
    <row r="15" spans="2:10" x14ac:dyDescent="0.25">
      <c r="B15" t="s">
        <v>42</v>
      </c>
      <c r="C15"/>
      <c r="D15" s="9">
        <v>1330000</v>
      </c>
      <c r="E15" s="9">
        <v>1201580.17</v>
      </c>
      <c r="F15" s="9"/>
    </row>
    <row r="16" spans="2:10" x14ac:dyDescent="0.25">
      <c r="B16" t="s">
        <v>22</v>
      </c>
      <c r="C16" s="80">
        <v>45141</v>
      </c>
      <c r="D16" s="9">
        <v>500000</v>
      </c>
      <c r="E16" s="9"/>
      <c r="F16" s="9"/>
    </row>
    <row r="17" spans="2:6" x14ac:dyDescent="0.25">
      <c r="C17" s="80">
        <v>45161</v>
      </c>
      <c r="D17" s="9">
        <v>0</v>
      </c>
      <c r="E17" s="9">
        <v>287500</v>
      </c>
      <c r="F17" s="9"/>
    </row>
    <row r="18" spans="2:6" x14ac:dyDescent="0.25">
      <c r="B18" t="s">
        <v>73</v>
      </c>
      <c r="C18"/>
      <c r="D18" s="9">
        <v>500000</v>
      </c>
      <c r="E18" s="9">
        <v>287500</v>
      </c>
      <c r="F18" s="9"/>
    </row>
    <row r="19" spans="2:6" x14ac:dyDescent="0.25">
      <c r="B19" t="s">
        <v>14</v>
      </c>
      <c r="C19" s="80">
        <v>45147</v>
      </c>
      <c r="D19" s="9">
        <v>317200</v>
      </c>
      <c r="E19" s="9"/>
      <c r="F19" s="9"/>
    </row>
    <row r="20" spans="2:6" x14ac:dyDescent="0.25">
      <c r="C20" s="80">
        <v>45149</v>
      </c>
      <c r="D20" s="9">
        <v>0</v>
      </c>
      <c r="E20" s="9">
        <v>10000</v>
      </c>
      <c r="F20" s="9"/>
    </row>
    <row r="21" spans="2:6" x14ac:dyDescent="0.25">
      <c r="C21" s="80">
        <v>45161</v>
      </c>
      <c r="D21" s="9">
        <v>0</v>
      </c>
      <c r="E21" s="9">
        <v>10000</v>
      </c>
      <c r="F21" s="9"/>
    </row>
    <row r="22" spans="2:6" x14ac:dyDescent="0.25">
      <c r="B22" t="s">
        <v>43</v>
      </c>
      <c r="C22"/>
      <c r="D22" s="9">
        <v>317200</v>
      </c>
      <c r="E22" s="9">
        <v>20000</v>
      </c>
      <c r="F22" s="9"/>
    </row>
    <row r="23" spans="2:6" x14ac:dyDescent="0.25">
      <c r="B23" t="s">
        <v>18</v>
      </c>
      <c r="C23" s="80">
        <v>45141</v>
      </c>
      <c r="D23" s="9">
        <v>0</v>
      </c>
      <c r="E23" s="9">
        <v>36000</v>
      </c>
      <c r="F23" s="9"/>
    </row>
    <row r="24" spans="2:6" x14ac:dyDescent="0.25">
      <c r="C24" s="80">
        <v>45142</v>
      </c>
      <c r="D24" s="9">
        <v>0</v>
      </c>
      <c r="E24" s="9">
        <v>227000</v>
      </c>
      <c r="F24" s="9"/>
    </row>
    <row r="25" spans="2:6" x14ac:dyDescent="0.25">
      <c r="C25" s="80">
        <v>45146</v>
      </c>
      <c r="D25" s="9">
        <v>0</v>
      </c>
      <c r="E25" s="9">
        <v>1000</v>
      </c>
      <c r="F25" s="9"/>
    </row>
    <row r="26" spans="2:6" x14ac:dyDescent="0.25">
      <c r="C26" s="80">
        <v>45148</v>
      </c>
      <c r="D26" s="9">
        <v>0</v>
      </c>
      <c r="E26" s="9">
        <v>10000</v>
      </c>
      <c r="F26" s="9"/>
    </row>
    <row r="27" spans="2:6" x14ac:dyDescent="0.25">
      <c r="C27" s="80">
        <v>45149</v>
      </c>
      <c r="D27" s="9">
        <v>0</v>
      </c>
      <c r="E27" s="9">
        <v>6000</v>
      </c>
      <c r="F27" s="9"/>
    </row>
    <row r="28" spans="2:6" x14ac:dyDescent="0.25">
      <c r="C28" s="80">
        <v>45152</v>
      </c>
      <c r="D28" s="9">
        <v>0</v>
      </c>
      <c r="E28" s="9">
        <v>30000</v>
      </c>
      <c r="F28" s="9"/>
    </row>
    <row r="29" spans="2:6" x14ac:dyDescent="0.25">
      <c r="C29" s="80">
        <v>45155</v>
      </c>
      <c r="D29" s="9">
        <v>0</v>
      </c>
      <c r="E29" s="9">
        <v>2200</v>
      </c>
      <c r="F29" s="9"/>
    </row>
    <row r="30" spans="2:6" x14ac:dyDescent="0.25">
      <c r="C30" s="80">
        <v>45159</v>
      </c>
      <c r="D30" s="9">
        <v>0</v>
      </c>
      <c r="E30" s="9">
        <v>10000</v>
      </c>
      <c r="F30" s="9"/>
    </row>
    <row r="31" spans="2:6" x14ac:dyDescent="0.25">
      <c r="C31" s="80">
        <v>45160</v>
      </c>
      <c r="D31" s="9">
        <v>0</v>
      </c>
      <c r="E31" s="9">
        <v>2000</v>
      </c>
      <c r="F31" s="9"/>
    </row>
    <row r="32" spans="2:6" x14ac:dyDescent="0.25">
      <c r="C32" s="80">
        <v>45161</v>
      </c>
      <c r="D32" s="9">
        <v>0</v>
      </c>
      <c r="E32" s="9">
        <v>30000</v>
      </c>
      <c r="F32" s="9"/>
    </row>
    <row r="33" spans="2:6" x14ac:dyDescent="0.25">
      <c r="B33" t="s">
        <v>74</v>
      </c>
      <c r="C33"/>
      <c r="D33" s="9">
        <v>0</v>
      </c>
      <c r="E33" s="9">
        <v>354200</v>
      </c>
      <c r="F33" s="9"/>
    </row>
    <row r="34" spans="2:6" x14ac:dyDescent="0.25">
      <c r="B34" t="s">
        <v>15</v>
      </c>
      <c r="C34" s="80">
        <v>45149</v>
      </c>
      <c r="D34" s="9">
        <v>0</v>
      </c>
      <c r="E34" s="9">
        <v>25000</v>
      </c>
      <c r="F34" s="9"/>
    </row>
    <row r="35" spans="2:6" x14ac:dyDescent="0.25">
      <c r="B35" t="s">
        <v>44</v>
      </c>
      <c r="C35"/>
      <c r="D35" s="9">
        <v>0</v>
      </c>
      <c r="E35" s="9">
        <v>25000</v>
      </c>
      <c r="F35" s="9"/>
    </row>
    <row r="36" spans="2:6" x14ac:dyDescent="0.25">
      <c r="B36" t="s">
        <v>12</v>
      </c>
      <c r="C36" s="80">
        <v>45141</v>
      </c>
      <c r="D36" s="9">
        <v>0</v>
      </c>
      <c r="E36" s="9">
        <v>63000</v>
      </c>
      <c r="F36" s="9"/>
    </row>
    <row r="37" spans="2:6" x14ac:dyDescent="0.25">
      <c r="C37" s="80">
        <v>45143</v>
      </c>
      <c r="D37" s="9">
        <v>0</v>
      </c>
      <c r="E37" s="9">
        <v>26000</v>
      </c>
      <c r="F37" s="9"/>
    </row>
    <row r="38" spans="2:6" x14ac:dyDescent="0.25">
      <c r="C38" s="80">
        <v>45147</v>
      </c>
      <c r="D38" s="9">
        <v>0</v>
      </c>
      <c r="E38" s="9">
        <v>39800</v>
      </c>
      <c r="F38" s="9"/>
    </row>
    <row r="39" spans="2:6" x14ac:dyDescent="0.25">
      <c r="C39" s="80">
        <v>45153</v>
      </c>
      <c r="D39" s="9">
        <v>0</v>
      </c>
      <c r="E39" s="9">
        <v>7000</v>
      </c>
      <c r="F39" s="9"/>
    </row>
    <row r="40" spans="2:6" x14ac:dyDescent="0.25">
      <c r="C40" s="80">
        <v>45157</v>
      </c>
      <c r="D40" s="9">
        <v>0</v>
      </c>
      <c r="E40" s="9">
        <v>20000</v>
      </c>
      <c r="F40" s="9"/>
    </row>
    <row r="41" spans="2:6" x14ac:dyDescent="0.25">
      <c r="C41" s="80">
        <v>45161</v>
      </c>
      <c r="D41" s="9">
        <v>0</v>
      </c>
      <c r="E41" s="9">
        <v>10000</v>
      </c>
      <c r="F41" s="9"/>
    </row>
    <row r="42" spans="2:6" x14ac:dyDescent="0.25">
      <c r="B42" t="s">
        <v>45</v>
      </c>
      <c r="C42"/>
      <c r="D42" s="9">
        <v>0</v>
      </c>
      <c r="E42" s="9">
        <v>165800</v>
      </c>
      <c r="F42" s="9"/>
    </row>
    <row r="43" spans="2:6" x14ac:dyDescent="0.25">
      <c r="B43" t="s">
        <v>61</v>
      </c>
      <c r="C43" s="80">
        <v>45158</v>
      </c>
      <c r="D43" s="9">
        <v>0</v>
      </c>
      <c r="E43" s="9">
        <v>5000</v>
      </c>
      <c r="F43" s="9"/>
    </row>
    <row r="44" spans="2:6" x14ac:dyDescent="0.25">
      <c r="C44" s="80">
        <v>45159</v>
      </c>
      <c r="D44" s="9">
        <v>0</v>
      </c>
      <c r="E44" s="9">
        <v>34689.75</v>
      </c>
      <c r="F44" s="9"/>
    </row>
    <row r="45" spans="2:6" x14ac:dyDescent="0.25">
      <c r="B45" t="s">
        <v>75</v>
      </c>
      <c r="C45"/>
      <c r="D45" s="9">
        <v>0</v>
      </c>
      <c r="E45" s="9">
        <v>39689.75</v>
      </c>
      <c r="F45" s="9"/>
    </row>
    <row r="46" spans="2:6" x14ac:dyDescent="0.25">
      <c r="B46" t="s">
        <v>60</v>
      </c>
      <c r="C46" s="80">
        <v>45155</v>
      </c>
      <c r="D46" s="9">
        <v>200000</v>
      </c>
      <c r="E46" s="9"/>
      <c r="F46" s="9"/>
    </row>
    <row r="47" spans="2:6" x14ac:dyDescent="0.25">
      <c r="B47" t="s">
        <v>76</v>
      </c>
      <c r="C47"/>
      <c r="D47" s="9">
        <v>200000</v>
      </c>
      <c r="E47" s="9"/>
      <c r="F47" s="9"/>
    </row>
    <row r="48" spans="2:6" x14ac:dyDescent="0.25">
      <c r="B48" t="s">
        <v>13</v>
      </c>
      <c r="C48" s="80">
        <v>45143</v>
      </c>
      <c r="D48" s="9">
        <v>0</v>
      </c>
      <c r="E48" s="9">
        <v>50000</v>
      </c>
      <c r="F48" s="9"/>
    </row>
    <row r="49" spans="2:6" x14ac:dyDescent="0.25">
      <c r="C49" s="80">
        <v>45146</v>
      </c>
      <c r="D49" s="9">
        <v>0</v>
      </c>
      <c r="E49" s="9">
        <v>30000</v>
      </c>
      <c r="F49" s="9"/>
    </row>
    <row r="50" spans="2:6" x14ac:dyDescent="0.25">
      <c r="C50" s="80">
        <v>45149</v>
      </c>
      <c r="D50" s="9">
        <v>0</v>
      </c>
      <c r="E50" s="9">
        <v>40000</v>
      </c>
      <c r="F50" s="9"/>
    </row>
    <row r="51" spans="2:6" x14ac:dyDescent="0.25">
      <c r="C51" s="80">
        <v>45159</v>
      </c>
      <c r="D51" s="9">
        <v>0</v>
      </c>
      <c r="E51" s="9">
        <v>8400</v>
      </c>
      <c r="F51" s="9"/>
    </row>
    <row r="52" spans="2:6" x14ac:dyDescent="0.25">
      <c r="B52" t="s">
        <v>46</v>
      </c>
      <c r="C52"/>
      <c r="D52" s="9">
        <v>0</v>
      </c>
      <c r="E52" s="9">
        <v>128400</v>
      </c>
      <c r="F52" s="9"/>
    </row>
    <row r="53" spans="2:6" x14ac:dyDescent="0.25">
      <c r="B53" t="s">
        <v>58</v>
      </c>
      <c r="C53" s="80">
        <v>45148</v>
      </c>
      <c r="D53" s="9">
        <v>0</v>
      </c>
      <c r="E53" s="9">
        <v>5000</v>
      </c>
      <c r="F53" s="9"/>
    </row>
    <row r="54" spans="2:6" x14ac:dyDescent="0.25">
      <c r="B54" t="s">
        <v>77</v>
      </c>
      <c r="C54"/>
      <c r="D54" s="9">
        <v>0</v>
      </c>
      <c r="E54" s="9">
        <v>5000</v>
      </c>
      <c r="F54" s="9"/>
    </row>
    <row r="55" spans="2:6" x14ac:dyDescent="0.25">
      <c r="B55" t="s">
        <v>59</v>
      </c>
      <c r="C55" s="80">
        <v>45153</v>
      </c>
      <c r="D55" s="9">
        <v>0</v>
      </c>
      <c r="E55" s="9">
        <v>5000</v>
      </c>
      <c r="F55" s="9"/>
    </row>
    <row r="56" spans="2:6" x14ac:dyDescent="0.25">
      <c r="C56" s="80">
        <v>45155</v>
      </c>
      <c r="D56" s="9">
        <v>0</v>
      </c>
      <c r="E56" s="9">
        <v>8200</v>
      </c>
      <c r="F56" s="9"/>
    </row>
    <row r="57" spans="2:6" x14ac:dyDescent="0.25">
      <c r="C57" s="80">
        <v>45161</v>
      </c>
      <c r="D57" s="9">
        <v>0</v>
      </c>
      <c r="E57" s="9">
        <v>2000</v>
      </c>
      <c r="F57" s="9"/>
    </row>
    <row r="58" spans="2:6" x14ac:dyDescent="0.25">
      <c r="B58" t="s">
        <v>78</v>
      </c>
      <c r="C58"/>
      <c r="D58" s="9">
        <v>0</v>
      </c>
      <c r="E58" s="9">
        <v>15200</v>
      </c>
      <c r="F58" s="9"/>
    </row>
    <row r="59" spans="2:6" x14ac:dyDescent="0.25">
      <c r="B59" t="s">
        <v>27</v>
      </c>
      <c r="C59" s="80">
        <v>45142</v>
      </c>
      <c r="D59" s="9">
        <v>300000</v>
      </c>
      <c r="E59" s="9"/>
      <c r="F59" s="9"/>
    </row>
    <row r="60" spans="2:6" x14ac:dyDescent="0.25">
      <c r="C60" s="80">
        <v>45143</v>
      </c>
      <c r="D60" s="9">
        <v>190500</v>
      </c>
      <c r="E60" s="9"/>
      <c r="F60" s="9"/>
    </row>
    <row r="61" spans="2:6" x14ac:dyDescent="0.25">
      <c r="C61" s="80">
        <v>45159</v>
      </c>
      <c r="D61" s="9">
        <v>0</v>
      </c>
      <c r="E61" s="9">
        <v>1859</v>
      </c>
      <c r="F61" s="9"/>
    </row>
    <row r="62" spans="2:6" x14ac:dyDescent="0.25">
      <c r="B62" t="s">
        <v>79</v>
      </c>
      <c r="C62"/>
      <c r="D62" s="9">
        <v>490500</v>
      </c>
      <c r="E62" s="9">
        <v>1859</v>
      </c>
      <c r="F62" s="9"/>
    </row>
    <row r="63" spans="2:6" x14ac:dyDescent="0.25">
      <c r="B63" t="s">
        <v>10</v>
      </c>
      <c r="C63" s="80">
        <v>45140</v>
      </c>
      <c r="D63" s="9">
        <v>477855</v>
      </c>
      <c r="E63" s="9"/>
      <c r="F63" s="9"/>
    </row>
    <row r="64" spans="2:6" x14ac:dyDescent="0.25">
      <c r="B64" t="s">
        <v>47</v>
      </c>
      <c r="C64"/>
      <c r="D64" s="9">
        <v>477855</v>
      </c>
      <c r="E64" s="9"/>
      <c r="F64" s="9"/>
    </row>
    <row r="65" spans="2:6" x14ac:dyDescent="0.25">
      <c r="B65" t="s">
        <v>33</v>
      </c>
      <c r="C65" s="80">
        <v>45143</v>
      </c>
      <c r="D65" s="9">
        <v>0</v>
      </c>
      <c r="E65" s="9">
        <v>30000</v>
      </c>
      <c r="F65" s="9"/>
    </row>
    <row r="66" spans="2:6" x14ac:dyDescent="0.25">
      <c r="C66" s="80">
        <v>45148</v>
      </c>
      <c r="D66" s="9">
        <v>0</v>
      </c>
      <c r="E66" s="9">
        <v>2000</v>
      </c>
      <c r="F66" s="9"/>
    </row>
    <row r="67" spans="2:6" x14ac:dyDescent="0.25">
      <c r="B67" t="s">
        <v>48</v>
      </c>
      <c r="C67"/>
      <c r="D67" s="9">
        <v>0</v>
      </c>
      <c r="E67" s="9">
        <v>32000</v>
      </c>
      <c r="F67" s="9"/>
    </row>
    <row r="68" spans="2:6" x14ac:dyDescent="0.25">
      <c r="B68" t="s">
        <v>16</v>
      </c>
      <c r="C68" s="80">
        <v>45141</v>
      </c>
      <c r="D68" s="9">
        <v>0</v>
      </c>
      <c r="E68" s="9">
        <v>2000</v>
      </c>
      <c r="F68" s="9"/>
    </row>
    <row r="69" spans="2:6" x14ac:dyDescent="0.25">
      <c r="C69" s="80">
        <v>45147</v>
      </c>
      <c r="D69" s="9">
        <v>0</v>
      </c>
      <c r="E69" s="9">
        <v>158800</v>
      </c>
      <c r="F69" s="9"/>
    </row>
    <row r="70" spans="2:6" x14ac:dyDescent="0.25">
      <c r="B70" t="s">
        <v>49</v>
      </c>
      <c r="C70"/>
      <c r="D70" s="9">
        <v>0</v>
      </c>
      <c r="E70" s="9">
        <v>160800</v>
      </c>
      <c r="F70" s="9"/>
    </row>
    <row r="71" spans="2:6" x14ac:dyDescent="0.25">
      <c r="B71" t="s">
        <v>17</v>
      </c>
      <c r="C71" s="80">
        <v>45147</v>
      </c>
      <c r="D71" s="9">
        <v>0</v>
      </c>
      <c r="E71" s="9">
        <v>100000</v>
      </c>
      <c r="F71" s="9"/>
    </row>
    <row r="72" spans="2:6" x14ac:dyDescent="0.25">
      <c r="B72" t="s">
        <v>50</v>
      </c>
      <c r="C72"/>
      <c r="D72" s="9">
        <v>0</v>
      </c>
      <c r="E72" s="9">
        <v>100000</v>
      </c>
      <c r="F72" s="9"/>
    </row>
    <row r="73" spans="2:6" x14ac:dyDescent="0.25">
      <c r="B73" t="s">
        <v>5</v>
      </c>
      <c r="C73" s="80">
        <v>45142</v>
      </c>
      <c r="D73" s="9">
        <v>0</v>
      </c>
      <c r="E73" s="9">
        <v>70000</v>
      </c>
      <c r="F73" s="9"/>
    </row>
    <row r="74" spans="2:6" x14ac:dyDescent="0.25">
      <c r="C74" s="80">
        <v>45143</v>
      </c>
      <c r="D74" s="9">
        <v>0</v>
      </c>
      <c r="E74" s="9">
        <v>38000</v>
      </c>
      <c r="F74" s="9"/>
    </row>
    <row r="75" spans="2:6" x14ac:dyDescent="0.25">
      <c r="C75" s="80">
        <v>45148</v>
      </c>
      <c r="D75" s="9">
        <v>0</v>
      </c>
      <c r="E75" s="9">
        <v>263000</v>
      </c>
      <c r="F75" s="9"/>
    </row>
    <row r="76" spans="2:6" x14ac:dyDescent="0.25">
      <c r="C76" s="80">
        <v>45152</v>
      </c>
      <c r="D76" s="9">
        <v>0</v>
      </c>
      <c r="E76" s="9">
        <v>510000</v>
      </c>
      <c r="F76" s="9"/>
    </row>
    <row r="77" spans="2:6" x14ac:dyDescent="0.25">
      <c r="C77" s="80">
        <v>45153</v>
      </c>
      <c r="D77" s="9">
        <v>0</v>
      </c>
      <c r="E77" s="9">
        <v>2000</v>
      </c>
      <c r="F77" s="9"/>
    </row>
    <row r="78" spans="2:6" x14ac:dyDescent="0.25">
      <c r="C78" s="80">
        <v>45155</v>
      </c>
      <c r="D78" s="9">
        <v>0</v>
      </c>
      <c r="E78" s="9">
        <v>2000</v>
      </c>
      <c r="F78" s="9"/>
    </row>
    <row r="79" spans="2:6" x14ac:dyDescent="0.25">
      <c r="C79" s="80">
        <v>45156</v>
      </c>
      <c r="D79" s="9">
        <v>0</v>
      </c>
      <c r="E79" s="9">
        <v>8000</v>
      </c>
      <c r="F79" s="9"/>
    </row>
    <row r="80" spans="2:6" x14ac:dyDescent="0.25">
      <c r="C80" s="80">
        <v>45157</v>
      </c>
      <c r="D80" s="9">
        <v>0</v>
      </c>
      <c r="E80" s="9">
        <v>34000</v>
      </c>
      <c r="F80" s="9"/>
    </row>
    <row r="81" spans="2:6" x14ac:dyDescent="0.25">
      <c r="C81" s="80">
        <v>45159</v>
      </c>
      <c r="D81" s="9">
        <v>500000</v>
      </c>
      <c r="E81" s="9"/>
      <c r="F81" s="9"/>
    </row>
    <row r="82" spans="2:6" x14ac:dyDescent="0.25">
      <c r="C82" s="80">
        <v>45161</v>
      </c>
      <c r="D82" s="9">
        <v>0</v>
      </c>
      <c r="E82" s="9">
        <v>2000</v>
      </c>
      <c r="F82" s="9"/>
    </row>
    <row r="83" spans="2:6" x14ac:dyDescent="0.25">
      <c r="C83" t="s">
        <v>5</v>
      </c>
      <c r="D83" s="9">
        <v>0</v>
      </c>
      <c r="E83" s="9"/>
      <c r="F83" s="9"/>
    </row>
    <row r="84" spans="2:6" x14ac:dyDescent="0.25">
      <c r="B84" t="s">
        <v>24</v>
      </c>
      <c r="C84"/>
      <c r="D84" s="9">
        <v>500000</v>
      </c>
      <c r="E84" s="9">
        <v>929000</v>
      </c>
      <c r="F84" s="9"/>
    </row>
    <row r="85" spans="2:6" x14ac:dyDescent="0.25">
      <c r="B85" s="13" t="s">
        <v>6</v>
      </c>
      <c r="D85" s="9">
        <v>3815555</v>
      </c>
      <c r="E85" s="9">
        <v>3466028.92</v>
      </c>
      <c r="F85" s="9"/>
    </row>
    <row r="86" spans="2:6" x14ac:dyDescent="0.25">
      <c r="C86"/>
    </row>
    <row r="87" spans="2:6" x14ac:dyDescent="0.25">
      <c r="C87"/>
    </row>
    <row r="88" spans="2:6" x14ac:dyDescent="0.25">
      <c r="C88"/>
    </row>
    <row r="89" spans="2:6" x14ac:dyDescent="0.25">
      <c r="C89"/>
    </row>
    <row r="90" spans="2:6" x14ac:dyDescent="0.25">
      <c r="C90"/>
    </row>
    <row r="91" spans="2:6" x14ac:dyDescent="0.25">
      <c r="C91"/>
    </row>
    <row r="92" spans="2:6" x14ac:dyDescent="0.25">
      <c r="C92"/>
    </row>
    <row r="93" spans="2:6" x14ac:dyDescent="0.25">
      <c r="C93"/>
    </row>
    <row r="94" spans="2:6" x14ac:dyDescent="0.25">
      <c r="C94"/>
    </row>
    <row r="95" spans="2:6" x14ac:dyDescent="0.25">
      <c r="C95"/>
    </row>
    <row r="96" spans="2:6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  <row r="112" spans="3:3" x14ac:dyDescent="0.25">
      <c r="C112"/>
    </row>
    <row r="113" spans="3:3" x14ac:dyDescent="0.25">
      <c r="C113"/>
    </row>
    <row r="114" spans="3:3" x14ac:dyDescent="0.25">
      <c r="C114"/>
    </row>
  </sheetData>
  <printOptions horizontalCentered="1"/>
  <pageMargins left="0.31496062992125984" right="0.31496062992125984" top="0.74803149606299213" bottom="0.74803149606299213" header="0.31496062992125984" footer="0.31496062992125984"/>
  <pageSetup paperSize="9" fitToHeight="20" orientation="portrait" blackAndWhite="1" r:id="rId3"/>
  <headerFooter>
    <oddFooter>&amp;L&amp;A&amp;C&amp;D&amp;Rстр.&amp;P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5">
    <pageSetUpPr fitToPage="1"/>
  </sheetPr>
  <dimension ref="B1:J20"/>
  <sheetViews>
    <sheetView showGridLines="0" workbookViewId="0">
      <selection activeCell="G6" sqref="G6"/>
    </sheetView>
  </sheetViews>
  <sheetFormatPr defaultRowHeight="15" x14ac:dyDescent="0.25"/>
  <cols>
    <col min="1" max="1" width="2.85546875" customWidth="1"/>
    <col min="2" max="2" width="17.85546875" customWidth="1"/>
    <col min="3" max="3" width="18.85546875" customWidth="1"/>
    <col min="4" max="4" width="13.42578125" customWidth="1"/>
    <col min="5" max="5" width="10.85546875" customWidth="1"/>
    <col min="6" max="6" width="5.28515625" customWidth="1"/>
    <col min="7" max="7" width="17.85546875" customWidth="1"/>
    <col min="8" max="8" width="18.85546875" customWidth="1"/>
    <col min="9" max="9" width="13.42578125" customWidth="1"/>
    <col min="10" max="10" width="12.28515625" customWidth="1"/>
  </cols>
  <sheetData>
    <row r="1" spans="2:10" ht="21" x14ac:dyDescent="0.35">
      <c r="B1" s="10" t="s">
        <v>230</v>
      </c>
      <c r="C1" s="30"/>
      <c r="D1" s="11" t="s">
        <v>31</v>
      </c>
      <c r="E1" s="12">
        <f ca="1">TODAY()</f>
        <v>45184</v>
      </c>
      <c r="G1" s="10" t="s">
        <v>9</v>
      </c>
      <c r="H1" s="30"/>
      <c r="I1" s="11" t="s">
        <v>31</v>
      </c>
      <c r="J1" s="12">
        <f ca="1">TODAY()</f>
        <v>45184</v>
      </c>
    </row>
    <row r="2" spans="2:10" ht="15.75" customHeight="1" x14ac:dyDescent="0.25"/>
    <row r="3" spans="2:10" ht="15.75" customHeight="1" x14ac:dyDescent="0.25">
      <c r="G3" s="7" t="s">
        <v>9</v>
      </c>
      <c r="H3" t="s">
        <v>92</v>
      </c>
    </row>
    <row r="4" spans="2:10" ht="15.75" customHeight="1" x14ac:dyDescent="0.25">
      <c r="C4" s="13"/>
      <c r="H4" s="13"/>
    </row>
    <row r="5" spans="2:10" x14ac:dyDescent="0.25">
      <c r="B5" s="7" t="s">
        <v>4</v>
      </c>
      <c r="C5" t="s">
        <v>187</v>
      </c>
      <c r="D5" t="s">
        <v>188</v>
      </c>
      <c r="G5" s="7" t="s">
        <v>4</v>
      </c>
      <c r="H5" s="7" t="s">
        <v>1</v>
      </c>
      <c r="I5" t="s">
        <v>187</v>
      </c>
      <c r="J5" t="s">
        <v>188</v>
      </c>
    </row>
    <row r="6" spans="2:10" x14ac:dyDescent="0.25">
      <c r="B6" s="8" t="s">
        <v>102</v>
      </c>
      <c r="C6" s="9">
        <v>0</v>
      </c>
      <c r="D6" s="9">
        <v>10000</v>
      </c>
      <c r="G6" t="s">
        <v>64</v>
      </c>
      <c r="H6" s="13" t="s">
        <v>5</v>
      </c>
      <c r="I6" s="9">
        <v>0</v>
      </c>
      <c r="J6" s="9">
        <v>2000</v>
      </c>
    </row>
    <row r="7" spans="2:10" x14ac:dyDescent="0.25">
      <c r="B7" s="8" t="s">
        <v>101</v>
      </c>
      <c r="C7" s="9">
        <v>0</v>
      </c>
      <c r="D7" s="9">
        <v>141500</v>
      </c>
      <c r="G7" t="s">
        <v>233</v>
      </c>
      <c r="H7" t="s">
        <v>22</v>
      </c>
      <c r="I7" s="9">
        <v>0</v>
      </c>
      <c r="J7" s="9">
        <v>218500</v>
      </c>
    </row>
    <row r="8" spans="2:10" x14ac:dyDescent="0.25">
      <c r="B8" s="8" t="s">
        <v>105</v>
      </c>
      <c r="C8" s="9">
        <v>500000</v>
      </c>
      <c r="D8" s="9"/>
      <c r="G8" t="s">
        <v>232</v>
      </c>
      <c r="H8" t="s">
        <v>11</v>
      </c>
      <c r="I8" s="9">
        <v>0</v>
      </c>
      <c r="J8" s="9">
        <v>707750</v>
      </c>
    </row>
    <row r="9" spans="2:10" x14ac:dyDescent="0.25">
      <c r="B9" s="8" t="s">
        <v>18</v>
      </c>
      <c r="C9" s="9">
        <v>0</v>
      </c>
      <c r="D9" s="9">
        <v>1124758</v>
      </c>
      <c r="G9" t="s">
        <v>234</v>
      </c>
      <c r="H9" t="s">
        <v>12</v>
      </c>
      <c r="I9" s="9">
        <v>0</v>
      </c>
      <c r="J9" s="9">
        <v>63000</v>
      </c>
    </row>
    <row r="10" spans="2:10" x14ac:dyDescent="0.25">
      <c r="B10" s="8" t="s">
        <v>92</v>
      </c>
      <c r="C10" s="9">
        <v>0</v>
      </c>
      <c r="D10" s="9">
        <v>1377072.17</v>
      </c>
      <c r="G10" t="s">
        <v>231</v>
      </c>
      <c r="H10" t="s">
        <v>11</v>
      </c>
      <c r="I10" s="9">
        <v>0</v>
      </c>
      <c r="J10" s="9">
        <v>8500</v>
      </c>
    </row>
    <row r="11" spans="2:10" x14ac:dyDescent="0.25">
      <c r="B11" s="8" t="s">
        <v>103</v>
      </c>
      <c r="C11" s="9">
        <v>0</v>
      </c>
      <c r="D11" s="9">
        <v>8400</v>
      </c>
      <c r="G11" t="s">
        <v>241</v>
      </c>
      <c r="H11" t="s">
        <v>11</v>
      </c>
      <c r="I11" s="9">
        <v>0</v>
      </c>
      <c r="J11" s="9">
        <v>26500</v>
      </c>
    </row>
    <row r="12" spans="2:10" x14ac:dyDescent="0.25">
      <c r="B12" s="8" t="s">
        <v>93</v>
      </c>
      <c r="C12" s="9">
        <v>2837700</v>
      </c>
      <c r="D12" s="9">
        <v>120000</v>
      </c>
      <c r="G12" t="s">
        <v>245</v>
      </c>
      <c r="H12" t="s">
        <v>11</v>
      </c>
      <c r="I12" s="9">
        <v>0</v>
      </c>
      <c r="J12" s="9">
        <v>18000</v>
      </c>
    </row>
    <row r="13" spans="2:10" x14ac:dyDescent="0.25">
      <c r="B13" s="8" t="s">
        <v>91</v>
      </c>
      <c r="C13" s="9">
        <v>0</v>
      </c>
      <c r="D13" s="9">
        <v>684298.75</v>
      </c>
      <c r="G13" t="s">
        <v>254</v>
      </c>
      <c r="H13" s="13" t="s">
        <v>5</v>
      </c>
      <c r="I13" s="9">
        <v>0</v>
      </c>
      <c r="J13" s="9">
        <v>1500</v>
      </c>
    </row>
    <row r="14" spans="2:10" x14ac:dyDescent="0.25">
      <c r="B14" s="8" t="s">
        <v>5</v>
      </c>
      <c r="C14" s="9">
        <v>0</v>
      </c>
      <c r="D14" s="9"/>
      <c r="G14" t="s">
        <v>252</v>
      </c>
      <c r="H14" t="s">
        <v>18</v>
      </c>
      <c r="I14" s="9">
        <v>0</v>
      </c>
      <c r="J14" s="9">
        <v>50000</v>
      </c>
    </row>
    <row r="15" spans="2:10" x14ac:dyDescent="0.25">
      <c r="B15" s="15" t="s">
        <v>6</v>
      </c>
      <c r="C15" s="9">
        <v>3337700</v>
      </c>
      <c r="D15" s="9">
        <v>3466028.92</v>
      </c>
      <c r="G15" t="s">
        <v>262</v>
      </c>
      <c r="H15" t="s">
        <v>11</v>
      </c>
      <c r="I15" s="9">
        <v>0</v>
      </c>
      <c r="J15" s="9">
        <v>193322.17</v>
      </c>
    </row>
    <row r="16" spans="2:10" x14ac:dyDescent="0.25">
      <c r="G16" t="s">
        <v>255</v>
      </c>
      <c r="H16" s="13" t="s">
        <v>5</v>
      </c>
      <c r="I16" s="9">
        <v>0</v>
      </c>
      <c r="J16" s="9">
        <v>11000</v>
      </c>
    </row>
    <row r="17" spans="7:10" x14ac:dyDescent="0.25">
      <c r="H17" t="s">
        <v>59</v>
      </c>
      <c r="I17" s="9">
        <v>0</v>
      </c>
      <c r="J17" s="9">
        <v>5000</v>
      </c>
    </row>
    <row r="18" spans="7:10" x14ac:dyDescent="0.25">
      <c r="G18" t="s">
        <v>263</v>
      </c>
      <c r="H18" t="s">
        <v>59</v>
      </c>
      <c r="I18" s="9">
        <v>0</v>
      </c>
      <c r="J18" s="9">
        <v>2000</v>
      </c>
    </row>
    <row r="19" spans="7:10" x14ac:dyDescent="0.25">
      <c r="G19" t="s">
        <v>26</v>
      </c>
      <c r="H19" s="13" t="s">
        <v>5</v>
      </c>
      <c r="I19" s="9">
        <v>0</v>
      </c>
      <c r="J19" s="9">
        <v>70000</v>
      </c>
    </row>
    <row r="20" spans="7:10" x14ac:dyDescent="0.25">
      <c r="G20" s="13" t="s">
        <v>6</v>
      </c>
      <c r="H20" s="13"/>
      <c r="I20" s="9">
        <v>0</v>
      </c>
      <c r="J20" s="9">
        <v>1377072.17</v>
      </c>
    </row>
  </sheetData>
  <printOptions horizontalCentered="1"/>
  <pageMargins left="0.31496062992125984" right="0.31496062992125984" top="0.74803149606299213" bottom="0.74803149606299213" header="0.31496062992125984" footer="0.31496062992125984"/>
  <pageSetup paperSize="9" fitToHeight="10" orientation="portrait" blackAndWhite="1" r:id="rId3"/>
  <headerFooter>
    <oddFooter>&amp;C&amp;A&amp;R&amp;D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6">
    <pageSetUpPr fitToPage="1"/>
  </sheetPr>
  <dimension ref="B1:G32"/>
  <sheetViews>
    <sheetView showGridLines="0" zoomScale="90" zoomScaleNormal="90" workbookViewId="0">
      <selection activeCell="B5" sqref="B5"/>
    </sheetView>
  </sheetViews>
  <sheetFormatPr defaultRowHeight="15" x14ac:dyDescent="0.25"/>
  <cols>
    <col min="1" max="1" width="2.85546875" customWidth="1"/>
    <col min="2" max="2" width="15.28515625" customWidth="1"/>
    <col min="3" max="3" width="26.5703125" style="13" customWidth="1"/>
    <col min="4" max="4" width="33.5703125" customWidth="1"/>
    <col min="5" max="5" width="12.28515625" customWidth="1"/>
    <col min="6" max="8" width="15" customWidth="1"/>
    <col min="9" max="13" width="14.28515625" customWidth="1"/>
  </cols>
  <sheetData>
    <row r="1" spans="2:7" ht="21" x14ac:dyDescent="0.35">
      <c r="B1" s="10" t="s">
        <v>25</v>
      </c>
      <c r="E1" s="11" t="s">
        <v>7</v>
      </c>
      <c r="F1" s="12">
        <f ca="1">TODAY()</f>
        <v>45184</v>
      </c>
    </row>
    <row r="2" spans="2:7" ht="17.25" customHeight="1" x14ac:dyDescent="0.25">
      <c r="B2" s="7" t="s">
        <v>2</v>
      </c>
      <c r="C2" t="s">
        <v>19</v>
      </c>
    </row>
    <row r="3" spans="2:7" ht="17.25" customHeight="1" x14ac:dyDescent="0.25"/>
    <row r="4" spans="2:7" x14ac:dyDescent="0.25">
      <c r="B4" s="14" t="s">
        <v>4</v>
      </c>
      <c r="C4" s="7" t="s">
        <v>9</v>
      </c>
      <c r="D4" s="7" t="s">
        <v>125</v>
      </c>
      <c r="E4" s="7" t="s">
        <v>3</v>
      </c>
      <c r="F4" t="s">
        <v>187</v>
      </c>
      <c r="G4" t="s">
        <v>188</v>
      </c>
    </row>
    <row r="5" spans="2:7" x14ac:dyDescent="0.25">
      <c r="B5" s="81">
        <v>45143</v>
      </c>
      <c r="C5" s="8" t="s">
        <v>104</v>
      </c>
      <c r="D5" s="8" t="s">
        <v>253</v>
      </c>
      <c r="E5" s="8" t="s">
        <v>5</v>
      </c>
      <c r="F5" s="9">
        <v>100000</v>
      </c>
      <c r="G5" s="9">
        <v>100000</v>
      </c>
    </row>
    <row r="6" spans="2:7" x14ac:dyDescent="0.25">
      <c r="B6" s="81">
        <v>45146</v>
      </c>
      <c r="C6" s="8" t="s">
        <v>91</v>
      </c>
      <c r="D6" s="8" t="s">
        <v>239</v>
      </c>
      <c r="E6" s="8" t="s">
        <v>5</v>
      </c>
      <c r="F6" s="9">
        <v>0</v>
      </c>
      <c r="G6" s="9">
        <v>6500</v>
      </c>
    </row>
    <row r="7" spans="2:7" x14ac:dyDescent="0.25">
      <c r="C7" s="8" t="s">
        <v>104</v>
      </c>
      <c r="D7" s="8" t="s">
        <v>253</v>
      </c>
      <c r="E7" s="8" t="s">
        <v>5</v>
      </c>
      <c r="F7" s="9">
        <v>236855</v>
      </c>
      <c r="G7" s="9">
        <v>236855</v>
      </c>
    </row>
    <row r="8" spans="2:7" x14ac:dyDescent="0.25">
      <c r="B8" s="15" t="s">
        <v>6</v>
      </c>
      <c r="D8" s="13"/>
      <c r="E8" s="13"/>
      <c r="F8" s="9">
        <v>336855</v>
      </c>
      <c r="G8" s="9">
        <v>343355</v>
      </c>
    </row>
    <row r="9" spans="2:7" x14ac:dyDescent="0.25">
      <c r="C9"/>
    </row>
    <row r="10" spans="2:7" x14ac:dyDescent="0.25">
      <c r="C10"/>
    </row>
    <row r="11" spans="2:7" x14ac:dyDescent="0.25">
      <c r="C11"/>
    </row>
    <row r="12" spans="2:7" x14ac:dyDescent="0.25">
      <c r="C12"/>
    </row>
    <row r="13" spans="2:7" x14ac:dyDescent="0.25">
      <c r="C13"/>
    </row>
    <row r="14" spans="2:7" x14ac:dyDescent="0.25">
      <c r="C14"/>
    </row>
    <row r="15" spans="2:7" x14ac:dyDescent="0.25">
      <c r="C15"/>
    </row>
    <row r="16" spans="2:7" x14ac:dyDescent="0.25">
      <c r="C16"/>
    </row>
    <row r="17" spans="3:3" x14ac:dyDescent="0.25">
      <c r="C17"/>
    </row>
    <row r="18" spans="3:3" x14ac:dyDescent="0.25">
      <c r="C18"/>
    </row>
    <row r="19" spans="3:3" x14ac:dyDescent="0.25">
      <c r="C19"/>
    </row>
    <row r="20" spans="3:3" x14ac:dyDescent="0.25">
      <c r="C20"/>
    </row>
    <row r="21" spans="3:3" x14ac:dyDescent="0.25">
      <c r="C21"/>
    </row>
    <row r="22" spans="3:3" x14ac:dyDescent="0.25">
      <c r="C22"/>
    </row>
    <row r="23" spans="3:3" x14ac:dyDescent="0.25">
      <c r="C23"/>
    </row>
    <row r="24" spans="3:3" x14ac:dyDescent="0.25">
      <c r="C24"/>
    </row>
    <row r="25" spans="3:3" x14ac:dyDescent="0.25">
      <c r="C25"/>
    </row>
    <row r="26" spans="3:3" x14ac:dyDescent="0.25">
      <c r="C26"/>
    </row>
    <row r="27" spans="3:3" x14ac:dyDescent="0.25">
      <c r="C27"/>
    </row>
    <row r="28" spans="3:3" x14ac:dyDescent="0.25">
      <c r="C28"/>
    </row>
    <row r="29" spans="3:3" x14ac:dyDescent="0.25">
      <c r="C29"/>
    </row>
    <row r="30" spans="3:3" x14ac:dyDescent="0.25">
      <c r="C30"/>
    </row>
    <row r="31" spans="3:3" x14ac:dyDescent="0.25">
      <c r="C31"/>
    </row>
    <row r="32" spans="3:3" x14ac:dyDescent="0.25">
      <c r="C32"/>
    </row>
  </sheetData>
  <printOptions horizontalCentered="1"/>
  <pageMargins left="0.31496062992125984" right="0.31496062992125984" top="0.74803149606299213" bottom="0.74803149606299213" header="0.31496062992125984" footer="0.31496062992125984"/>
  <pageSetup paperSize="9" fitToHeight="20" orientation="landscape" blackAndWhite="1" r:id="rId2"/>
  <headerFooter>
    <oddFooter>&amp;L&amp;A&amp;C&amp;D&amp;Rстр.&amp;P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2"/>
  <dimension ref="A1:H590"/>
  <sheetViews>
    <sheetView showGridLines="0" zoomScale="90" zoomScaleNormal="90"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B2" sqref="B2"/>
    </sheetView>
  </sheetViews>
  <sheetFormatPr defaultRowHeight="15" x14ac:dyDescent="0.25"/>
  <cols>
    <col min="1" max="1" width="11.5703125" style="124" customWidth="1"/>
    <col min="2" max="2" width="30.42578125" style="116" customWidth="1"/>
    <col min="3" max="6" width="14.42578125" style="116" customWidth="1"/>
    <col min="7" max="8" width="14" style="117" customWidth="1"/>
    <col min="9" max="16384" width="9.140625" style="114"/>
  </cols>
  <sheetData>
    <row r="1" spans="1:8" s="113" customFormat="1" ht="33" customHeight="1" x14ac:dyDescent="0.2">
      <c r="A1" s="126" t="s">
        <v>0</v>
      </c>
      <c r="B1" s="129" t="s">
        <v>9</v>
      </c>
      <c r="C1" s="129" t="s">
        <v>186</v>
      </c>
      <c r="D1" s="129" t="s">
        <v>1</v>
      </c>
      <c r="E1" s="129" t="s">
        <v>2</v>
      </c>
      <c r="F1" s="129" t="s">
        <v>3</v>
      </c>
      <c r="G1" s="128" t="s">
        <v>187</v>
      </c>
      <c r="H1" s="128" t="s">
        <v>188</v>
      </c>
    </row>
    <row r="2" spans="1:8" x14ac:dyDescent="0.25">
      <c r="A2" s="125"/>
      <c r="B2" s="119" t="s">
        <v>274</v>
      </c>
      <c r="C2" s="119"/>
      <c r="D2" s="119"/>
      <c r="E2" s="119"/>
      <c r="F2" s="119"/>
      <c r="G2" s="120">
        <v>0</v>
      </c>
      <c r="H2" s="120"/>
    </row>
    <row r="3" spans="1:8" x14ac:dyDescent="0.25">
      <c r="A3" s="125"/>
      <c r="B3" s="119"/>
      <c r="C3" s="119"/>
      <c r="D3" s="119"/>
      <c r="E3" s="119"/>
      <c r="F3" s="119"/>
      <c r="G3" s="120"/>
      <c r="H3" s="120"/>
    </row>
    <row r="6" spans="1:8" x14ac:dyDescent="0.25">
      <c r="A6" s="125"/>
      <c r="B6" s="119"/>
      <c r="C6" s="119"/>
      <c r="D6" s="119"/>
      <c r="E6" s="119"/>
      <c r="F6" s="119"/>
      <c r="G6" s="120"/>
      <c r="H6" s="120"/>
    </row>
    <row r="7" spans="1:8" x14ac:dyDescent="0.25">
      <c r="A7" s="125"/>
      <c r="B7" s="119"/>
      <c r="C7" s="119"/>
      <c r="D7" s="119"/>
      <c r="E7" s="119"/>
      <c r="F7" s="119"/>
      <c r="G7" s="120"/>
      <c r="H7" s="120"/>
    </row>
    <row r="8" spans="1:8" x14ac:dyDescent="0.25">
      <c r="A8" s="125"/>
      <c r="B8" s="119"/>
      <c r="C8" s="119"/>
      <c r="D8" s="119"/>
      <c r="E8" s="119"/>
      <c r="F8" s="119"/>
      <c r="G8" s="120"/>
      <c r="H8" s="120"/>
    </row>
    <row r="12" spans="1:8" x14ac:dyDescent="0.25">
      <c r="B12" s="119"/>
      <c r="C12" s="119"/>
      <c r="D12" s="119"/>
      <c r="E12" s="119"/>
      <c r="F12" s="119"/>
      <c r="G12" s="120"/>
      <c r="H12" s="120"/>
    </row>
    <row r="13" spans="1:8" x14ac:dyDescent="0.25">
      <c r="B13" s="119"/>
      <c r="C13" s="119"/>
      <c r="D13" s="119"/>
      <c r="E13" s="119"/>
      <c r="F13" s="119"/>
      <c r="G13" s="120"/>
      <c r="H13" s="120"/>
    </row>
    <row r="14" spans="1:8" x14ac:dyDescent="0.25">
      <c r="A14" s="125"/>
      <c r="B14" s="119"/>
      <c r="C14" s="119"/>
      <c r="D14" s="119"/>
      <c r="E14" s="119"/>
      <c r="F14" s="119"/>
      <c r="G14" s="120"/>
      <c r="H14" s="120"/>
    </row>
    <row r="15" spans="1:8" x14ac:dyDescent="0.25">
      <c r="A15" s="125"/>
      <c r="B15" s="119"/>
      <c r="C15" s="119"/>
      <c r="D15" s="119"/>
      <c r="E15" s="119"/>
      <c r="F15" s="119"/>
      <c r="G15" s="120"/>
      <c r="H15" s="120"/>
    </row>
    <row r="25" spans="1:8" x14ac:dyDescent="0.25">
      <c r="A25" s="125"/>
      <c r="B25" s="122"/>
      <c r="C25" s="122"/>
      <c r="D25" s="122"/>
      <c r="E25" s="122"/>
      <c r="F25" s="122"/>
      <c r="G25" s="120"/>
      <c r="H25" s="120"/>
    </row>
    <row r="27" spans="1:8" x14ac:dyDescent="0.25">
      <c r="A27" s="125"/>
      <c r="B27" s="119"/>
      <c r="C27" s="119"/>
      <c r="D27" s="119"/>
      <c r="E27" s="119"/>
      <c r="F27" s="119"/>
      <c r="G27" s="120"/>
      <c r="H27" s="120"/>
    </row>
    <row r="32" spans="1:8" x14ac:dyDescent="0.25">
      <c r="A32" s="125"/>
      <c r="B32" s="119"/>
      <c r="C32" s="119"/>
      <c r="D32" s="119"/>
      <c r="E32" s="119"/>
      <c r="F32" s="119"/>
      <c r="G32" s="120"/>
      <c r="H32" s="120"/>
    </row>
    <row r="34" spans="1:8" x14ac:dyDescent="0.25">
      <c r="B34" s="119"/>
      <c r="C34" s="119"/>
      <c r="D34" s="119"/>
      <c r="E34" s="119"/>
      <c r="F34" s="119"/>
      <c r="G34" s="120"/>
      <c r="H34" s="120"/>
    </row>
    <row r="45" spans="1:8" x14ac:dyDescent="0.25">
      <c r="A45" s="125"/>
      <c r="B45" s="119"/>
      <c r="C45" s="119"/>
      <c r="D45" s="119"/>
      <c r="E45" s="119"/>
      <c r="F45" s="119"/>
      <c r="G45" s="120"/>
      <c r="H45" s="120"/>
    </row>
    <row r="49" spans="1:8" x14ac:dyDescent="0.25">
      <c r="A49" s="118"/>
    </row>
    <row r="50" spans="1:8" x14ac:dyDescent="0.25">
      <c r="A50" s="118"/>
    </row>
    <row r="51" spans="1:8" x14ac:dyDescent="0.25">
      <c r="A51" s="125"/>
      <c r="B51" s="122"/>
      <c r="C51" s="122"/>
      <c r="D51" s="122"/>
      <c r="E51" s="122"/>
      <c r="F51" s="122"/>
      <c r="G51" s="120"/>
      <c r="H51" s="120"/>
    </row>
    <row r="53" spans="1:8" x14ac:dyDescent="0.25">
      <c r="A53" s="125"/>
      <c r="B53" s="119"/>
      <c r="C53" s="119"/>
      <c r="D53" s="119"/>
      <c r="E53" s="119"/>
      <c r="F53" s="119"/>
      <c r="G53" s="120"/>
      <c r="H53" s="120"/>
    </row>
    <row r="54" spans="1:8" x14ac:dyDescent="0.25">
      <c r="A54" s="125"/>
      <c r="B54" s="119"/>
      <c r="C54" s="119"/>
      <c r="D54" s="119"/>
      <c r="E54" s="119"/>
      <c r="F54" s="119"/>
      <c r="G54" s="120"/>
      <c r="H54" s="120"/>
    </row>
    <row r="56" spans="1:8" x14ac:dyDescent="0.25">
      <c r="A56" s="125"/>
      <c r="B56" s="122"/>
      <c r="C56" s="122"/>
      <c r="D56" s="122"/>
      <c r="E56" s="122"/>
      <c r="F56" s="122"/>
      <c r="G56" s="120"/>
      <c r="H56" s="120"/>
    </row>
    <row r="58" spans="1:8" x14ac:dyDescent="0.25">
      <c r="B58" s="119"/>
      <c r="C58" s="119"/>
      <c r="D58" s="119"/>
      <c r="E58" s="119"/>
      <c r="F58" s="119"/>
      <c r="G58" s="120"/>
      <c r="H58" s="120"/>
    </row>
    <row r="61" spans="1:8" x14ac:dyDescent="0.25">
      <c r="B61" s="119"/>
      <c r="C61" s="119"/>
      <c r="D61" s="119"/>
      <c r="E61" s="119"/>
      <c r="F61" s="119"/>
      <c r="G61" s="120"/>
      <c r="H61" s="120"/>
    </row>
    <row r="62" spans="1:8" x14ac:dyDescent="0.25">
      <c r="B62" s="119"/>
      <c r="C62" s="119"/>
      <c r="D62" s="119"/>
      <c r="E62" s="119"/>
      <c r="F62" s="119"/>
      <c r="G62" s="120"/>
      <c r="H62" s="120"/>
    </row>
    <row r="64" spans="1:8" x14ac:dyDescent="0.25">
      <c r="A64" s="125"/>
      <c r="B64" s="119"/>
      <c r="C64" s="119"/>
      <c r="D64" s="119"/>
      <c r="E64" s="119"/>
      <c r="F64" s="119"/>
      <c r="G64" s="120"/>
      <c r="H64" s="120"/>
    </row>
    <row r="74" spans="1:8" x14ac:dyDescent="0.25">
      <c r="A74" s="125"/>
      <c r="B74" s="119"/>
      <c r="C74" s="119"/>
      <c r="D74" s="119"/>
      <c r="E74" s="119"/>
      <c r="F74" s="119"/>
      <c r="G74" s="120"/>
      <c r="H74" s="120"/>
    </row>
    <row r="75" spans="1:8" x14ac:dyDescent="0.25">
      <c r="A75" s="125"/>
      <c r="B75" s="119"/>
      <c r="C75" s="119"/>
      <c r="D75" s="119"/>
      <c r="E75" s="119"/>
      <c r="F75" s="119"/>
      <c r="G75" s="120"/>
      <c r="H75" s="120"/>
    </row>
    <row r="79" spans="1:8" x14ac:dyDescent="0.25">
      <c r="A79" s="125"/>
      <c r="B79" s="122"/>
      <c r="C79" s="122"/>
      <c r="D79" s="122"/>
      <c r="E79" s="122"/>
      <c r="F79" s="122"/>
      <c r="G79" s="120"/>
      <c r="H79" s="120"/>
    </row>
    <row r="84" spans="1:8" x14ac:dyDescent="0.25">
      <c r="A84" s="125"/>
      <c r="B84" s="122"/>
      <c r="C84" s="122"/>
      <c r="D84" s="122"/>
      <c r="E84" s="122"/>
      <c r="F84" s="122"/>
      <c r="G84" s="120"/>
      <c r="H84" s="120"/>
    </row>
    <row r="86" spans="1:8" x14ac:dyDescent="0.25">
      <c r="A86" s="125"/>
      <c r="B86" s="122"/>
      <c r="C86" s="122"/>
      <c r="D86" s="122"/>
      <c r="E86" s="122"/>
      <c r="F86" s="122"/>
      <c r="G86" s="120"/>
      <c r="H86" s="120"/>
    </row>
    <row r="90" spans="1:8" x14ac:dyDescent="0.25">
      <c r="B90" s="119"/>
      <c r="C90" s="119"/>
      <c r="D90" s="119"/>
      <c r="E90" s="119"/>
      <c r="F90" s="119"/>
      <c r="G90" s="120"/>
      <c r="H90" s="120"/>
    </row>
    <row r="92" spans="1:8" x14ac:dyDescent="0.25">
      <c r="A92" s="125"/>
      <c r="B92" s="122"/>
      <c r="C92" s="122"/>
      <c r="D92" s="122"/>
      <c r="E92" s="122"/>
      <c r="F92" s="122"/>
      <c r="G92" s="120"/>
      <c r="H92" s="120"/>
    </row>
    <row r="96" spans="1:8" x14ac:dyDescent="0.25">
      <c r="A96" s="125"/>
      <c r="B96" s="119"/>
      <c r="C96" s="119"/>
      <c r="D96" s="119"/>
      <c r="E96" s="119"/>
      <c r="F96" s="119"/>
      <c r="G96" s="120"/>
      <c r="H96" s="120"/>
    </row>
    <row r="97" spans="1:8" x14ac:dyDescent="0.25">
      <c r="A97" s="125"/>
      <c r="B97" s="119"/>
      <c r="C97" s="119"/>
      <c r="D97" s="119"/>
      <c r="E97" s="119"/>
      <c r="F97" s="119"/>
      <c r="G97" s="120"/>
      <c r="H97" s="120"/>
    </row>
    <row r="98" spans="1:8" x14ac:dyDescent="0.25">
      <c r="A98" s="125"/>
      <c r="B98" s="122"/>
      <c r="C98" s="122"/>
      <c r="D98" s="122"/>
      <c r="E98" s="122"/>
      <c r="F98" s="122"/>
      <c r="G98" s="120"/>
      <c r="H98" s="120"/>
    </row>
    <row r="100" spans="1:8" x14ac:dyDescent="0.25">
      <c r="A100" s="125"/>
      <c r="B100" s="122"/>
      <c r="C100" s="122"/>
      <c r="D100" s="122"/>
      <c r="E100" s="122"/>
      <c r="F100" s="122"/>
      <c r="G100" s="120"/>
      <c r="H100" s="120"/>
    </row>
    <row r="104" spans="1:8" x14ac:dyDescent="0.25">
      <c r="A104" s="125"/>
      <c r="B104" s="122"/>
      <c r="C104" s="122"/>
      <c r="D104" s="122"/>
      <c r="E104" s="122"/>
      <c r="F104" s="122"/>
      <c r="G104" s="120"/>
      <c r="H104" s="120"/>
    </row>
    <row r="105" spans="1:8" x14ac:dyDescent="0.25">
      <c r="A105" s="125"/>
      <c r="B105" s="122"/>
      <c r="C105" s="122"/>
      <c r="D105" s="122"/>
      <c r="E105" s="122"/>
      <c r="F105" s="122"/>
      <c r="G105" s="120"/>
      <c r="H105" s="120"/>
    </row>
    <row r="106" spans="1:8" x14ac:dyDescent="0.25">
      <c r="A106" s="118"/>
    </row>
    <row r="107" spans="1:8" x14ac:dyDescent="0.25">
      <c r="A107" s="125"/>
    </row>
    <row r="115" spans="2:8" x14ac:dyDescent="0.25">
      <c r="B115" s="119"/>
      <c r="C115" s="119"/>
      <c r="D115" s="119"/>
      <c r="E115" s="119"/>
      <c r="F115" s="119"/>
      <c r="G115" s="120"/>
      <c r="H115" s="120"/>
    </row>
    <row r="124" spans="2:8" x14ac:dyDescent="0.25">
      <c r="B124" s="119"/>
      <c r="C124" s="119"/>
      <c r="D124" s="119"/>
      <c r="E124" s="119"/>
      <c r="F124" s="119"/>
      <c r="G124" s="120"/>
      <c r="H124" s="120"/>
    </row>
    <row r="129" spans="1:8" x14ac:dyDescent="0.25">
      <c r="A129" s="125"/>
      <c r="B129" s="119"/>
      <c r="C129" s="119"/>
      <c r="D129" s="119"/>
      <c r="E129" s="119"/>
      <c r="F129" s="119"/>
      <c r="G129" s="120"/>
      <c r="H129" s="120"/>
    </row>
    <row r="142" spans="1:8" x14ac:dyDescent="0.25">
      <c r="A142" s="118"/>
    </row>
    <row r="156" spans="1:1" x14ac:dyDescent="0.25">
      <c r="A156" s="125"/>
    </row>
    <row r="164" spans="1:8" x14ac:dyDescent="0.25">
      <c r="A164" s="125"/>
      <c r="B164" s="119"/>
      <c r="C164" s="119"/>
      <c r="D164" s="119"/>
      <c r="E164" s="119"/>
      <c r="F164" s="119"/>
      <c r="G164" s="120"/>
      <c r="H164" s="120"/>
    </row>
    <row r="171" spans="1:8" x14ac:dyDescent="0.25">
      <c r="A171" s="125"/>
      <c r="B171" s="122"/>
      <c r="C171" s="122"/>
      <c r="D171" s="122"/>
      <c r="E171" s="122"/>
      <c r="F171" s="122"/>
      <c r="G171" s="120"/>
      <c r="H171" s="120"/>
    </row>
    <row r="174" spans="1:8" x14ac:dyDescent="0.25">
      <c r="A174" s="125"/>
    </row>
    <row r="175" spans="1:8" x14ac:dyDescent="0.25">
      <c r="A175" s="125"/>
    </row>
    <row r="193" spans="1:8" x14ac:dyDescent="0.25">
      <c r="A193" s="125"/>
      <c r="B193" s="119"/>
      <c r="C193" s="119"/>
      <c r="D193" s="119"/>
      <c r="E193" s="119"/>
      <c r="F193" s="119"/>
      <c r="G193" s="120"/>
      <c r="H193" s="120"/>
    </row>
    <row r="196" spans="1:8" x14ac:dyDescent="0.25">
      <c r="B196" s="119"/>
      <c r="C196" s="119"/>
      <c r="D196" s="119"/>
      <c r="E196" s="119"/>
      <c r="F196" s="119"/>
      <c r="G196" s="120"/>
      <c r="H196" s="120"/>
    </row>
    <row r="199" spans="1:8" x14ac:dyDescent="0.25">
      <c r="A199" s="118"/>
    </row>
    <row r="200" spans="1:8" x14ac:dyDescent="0.25">
      <c r="A200" s="118"/>
    </row>
    <row r="209" spans="1:1" x14ac:dyDescent="0.25">
      <c r="A209" s="118"/>
    </row>
    <row r="210" spans="1:1" x14ac:dyDescent="0.25">
      <c r="A210" s="118"/>
    </row>
    <row r="211" spans="1:1" x14ac:dyDescent="0.25">
      <c r="A211" s="118"/>
    </row>
    <row r="227" spans="1:8" x14ac:dyDescent="0.25">
      <c r="A227" s="125"/>
      <c r="B227" s="119"/>
      <c r="C227" s="119"/>
      <c r="D227" s="119"/>
      <c r="E227" s="119"/>
      <c r="F227" s="119"/>
      <c r="G227" s="120"/>
      <c r="H227" s="120"/>
    </row>
    <row r="228" spans="1:8" x14ac:dyDescent="0.25">
      <c r="A228" s="125"/>
      <c r="B228" s="119"/>
      <c r="C228" s="119"/>
      <c r="D228" s="119"/>
      <c r="E228" s="119"/>
      <c r="F228" s="119"/>
      <c r="G228" s="120"/>
      <c r="H228" s="120"/>
    </row>
    <row r="232" spans="1:8" x14ac:dyDescent="0.25">
      <c r="A232" s="118"/>
    </row>
    <row r="245" spans="1:8" x14ac:dyDescent="0.25">
      <c r="A245" s="125"/>
      <c r="B245" s="119"/>
      <c r="C245" s="119"/>
      <c r="D245" s="119"/>
      <c r="E245" s="119"/>
      <c r="F245" s="119"/>
      <c r="G245" s="120"/>
      <c r="H245" s="120"/>
    </row>
    <row r="246" spans="1:8" x14ac:dyDescent="0.25">
      <c r="A246" s="125"/>
      <c r="B246" s="119"/>
      <c r="C246" s="119"/>
      <c r="D246" s="119"/>
      <c r="E246" s="119"/>
      <c r="F246" s="119"/>
      <c r="G246" s="120"/>
      <c r="H246" s="120"/>
    </row>
    <row r="250" spans="1:8" x14ac:dyDescent="0.25">
      <c r="A250" s="118"/>
    </row>
    <row r="263" spans="1:8" x14ac:dyDescent="0.25">
      <c r="A263" s="125"/>
      <c r="B263" s="119"/>
      <c r="C263" s="119"/>
      <c r="D263" s="119"/>
      <c r="E263" s="119"/>
      <c r="F263" s="119"/>
      <c r="G263" s="120"/>
      <c r="H263" s="120"/>
    </row>
    <row r="264" spans="1:8" x14ac:dyDescent="0.25">
      <c r="A264" s="125"/>
      <c r="B264" s="119"/>
      <c r="C264" s="119"/>
      <c r="D264" s="119"/>
      <c r="E264" s="119"/>
      <c r="F264" s="119"/>
      <c r="G264" s="120"/>
      <c r="H264" s="120"/>
    </row>
    <row r="268" spans="1:8" x14ac:dyDescent="0.25">
      <c r="A268" s="118"/>
    </row>
    <row r="281" spans="1:8" x14ac:dyDescent="0.25">
      <c r="A281" s="125"/>
      <c r="B281" s="119"/>
      <c r="C281" s="119"/>
      <c r="D281" s="119"/>
      <c r="E281" s="119"/>
      <c r="F281" s="119"/>
      <c r="G281" s="120"/>
      <c r="H281" s="120"/>
    </row>
    <row r="282" spans="1:8" x14ac:dyDescent="0.25">
      <c r="A282" s="125"/>
      <c r="B282" s="119"/>
      <c r="C282" s="119"/>
      <c r="D282" s="119"/>
      <c r="E282" s="119"/>
      <c r="F282" s="119"/>
      <c r="G282" s="120"/>
      <c r="H282" s="120"/>
    </row>
    <row r="286" spans="1:8" x14ac:dyDescent="0.25">
      <c r="A286" s="118"/>
    </row>
    <row r="299" spans="1:8" x14ac:dyDescent="0.25">
      <c r="A299" s="125"/>
      <c r="B299" s="119"/>
      <c r="C299" s="119"/>
      <c r="D299" s="119"/>
      <c r="E299" s="119"/>
      <c r="F299" s="119"/>
      <c r="G299" s="120"/>
      <c r="H299" s="120"/>
    </row>
    <row r="300" spans="1:8" x14ac:dyDescent="0.25">
      <c r="A300" s="125"/>
      <c r="B300" s="119"/>
      <c r="C300" s="119"/>
      <c r="D300" s="119"/>
      <c r="E300" s="119"/>
      <c r="F300" s="119"/>
      <c r="G300" s="120"/>
      <c r="H300" s="120"/>
    </row>
    <row r="304" spans="1:8" s="116" customFormat="1" x14ac:dyDescent="0.25">
      <c r="A304" s="118"/>
      <c r="G304" s="117"/>
      <c r="H304" s="117"/>
    </row>
    <row r="317" spans="1:8" x14ac:dyDescent="0.25">
      <c r="A317" s="125"/>
      <c r="B317" s="119"/>
      <c r="C317" s="119"/>
      <c r="D317" s="119"/>
      <c r="E317" s="119"/>
      <c r="F317" s="119"/>
      <c r="G317" s="120"/>
      <c r="H317" s="120"/>
    </row>
    <row r="318" spans="1:8" x14ac:dyDescent="0.25">
      <c r="A318" s="125"/>
      <c r="B318" s="119"/>
      <c r="C318" s="119"/>
      <c r="D318" s="119"/>
      <c r="E318" s="119"/>
      <c r="F318" s="119"/>
      <c r="G318" s="120"/>
      <c r="H318" s="120"/>
    </row>
    <row r="322" spans="1:8" x14ac:dyDescent="0.25">
      <c r="A322" s="118"/>
    </row>
    <row r="335" spans="1:8" x14ac:dyDescent="0.25">
      <c r="A335" s="125"/>
      <c r="B335" s="119"/>
      <c r="C335" s="119"/>
      <c r="D335" s="119"/>
      <c r="E335" s="119"/>
      <c r="F335" s="119"/>
      <c r="G335" s="120"/>
      <c r="H335" s="120"/>
    </row>
    <row r="336" spans="1:8" x14ac:dyDescent="0.25">
      <c r="A336" s="125"/>
      <c r="B336" s="119"/>
      <c r="C336" s="119"/>
      <c r="D336" s="119"/>
      <c r="E336" s="119"/>
      <c r="F336" s="119"/>
      <c r="G336" s="120"/>
      <c r="H336" s="120"/>
    </row>
    <row r="340" spans="1:1" x14ac:dyDescent="0.25">
      <c r="A340" s="118"/>
    </row>
    <row r="353" spans="1:8" s="116" customFormat="1" x14ac:dyDescent="0.25">
      <c r="A353" s="125"/>
      <c r="B353" s="119"/>
      <c r="C353" s="119"/>
      <c r="D353" s="119"/>
      <c r="E353" s="119"/>
      <c r="F353" s="119"/>
      <c r="G353" s="120"/>
      <c r="H353" s="120"/>
    </row>
    <row r="354" spans="1:8" s="116" customFormat="1" x14ac:dyDescent="0.25">
      <c r="A354" s="125"/>
      <c r="B354" s="119"/>
      <c r="C354" s="119"/>
      <c r="D354" s="119"/>
      <c r="E354" s="119"/>
      <c r="F354" s="119"/>
      <c r="G354" s="120"/>
      <c r="H354" s="120"/>
    </row>
    <row r="358" spans="1:8" s="116" customFormat="1" x14ac:dyDescent="0.25">
      <c r="A358" s="118"/>
      <c r="G358" s="117"/>
      <c r="H358" s="117"/>
    </row>
    <row r="371" spans="1:8" s="116" customFormat="1" x14ac:dyDescent="0.25">
      <c r="A371" s="125"/>
      <c r="B371" s="119"/>
      <c r="C371" s="119"/>
      <c r="D371" s="119"/>
      <c r="E371" s="119"/>
      <c r="F371" s="119"/>
      <c r="G371" s="120"/>
      <c r="H371" s="120"/>
    </row>
    <row r="372" spans="1:8" s="116" customFormat="1" x14ac:dyDescent="0.25">
      <c r="A372" s="125"/>
      <c r="B372" s="119"/>
      <c r="C372" s="119"/>
      <c r="D372" s="119"/>
      <c r="E372" s="119"/>
      <c r="F372" s="119"/>
      <c r="G372" s="120"/>
      <c r="H372" s="120"/>
    </row>
    <row r="376" spans="1:8" s="116" customFormat="1" x14ac:dyDescent="0.25">
      <c r="A376" s="118"/>
      <c r="G376" s="117"/>
      <c r="H376" s="117"/>
    </row>
    <row r="389" spans="1:8" x14ac:dyDescent="0.25">
      <c r="A389" s="125"/>
      <c r="B389" s="119"/>
      <c r="C389" s="119"/>
      <c r="D389" s="119"/>
      <c r="E389" s="119"/>
      <c r="F389" s="119"/>
      <c r="G389" s="120"/>
      <c r="H389" s="120"/>
    </row>
    <row r="390" spans="1:8" x14ac:dyDescent="0.25">
      <c r="A390" s="125"/>
      <c r="B390" s="119"/>
      <c r="C390" s="119"/>
      <c r="D390" s="119"/>
      <c r="E390" s="119"/>
      <c r="F390" s="119"/>
      <c r="G390" s="120"/>
      <c r="H390" s="120"/>
    </row>
    <row r="394" spans="1:8" x14ac:dyDescent="0.25">
      <c r="A394" s="118"/>
    </row>
    <row r="408" spans="1:8" x14ac:dyDescent="0.25">
      <c r="A408" s="125"/>
      <c r="B408" s="119"/>
      <c r="C408" s="119"/>
      <c r="D408" s="119"/>
      <c r="E408" s="119"/>
      <c r="F408" s="119"/>
      <c r="G408" s="120"/>
      <c r="H408" s="120"/>
    </row>
    <row r="409" spans="1:8" x14ac:dyDescent="0.25">
      <c r="A409" s="125"/>
      <c r="B409" s="119"/>
      <c r="C409" s="119"/>
      <c r="D409" s="119"/>
      <c r="E409" s="119"/>
      <c r="F409" s="119"/>
      <c r="G409" s="120"/>
      <c r="H409" s="120"/>
    </row>
    <row r="413" spans="1:8" x14ac:dyDescent="0.25">
      <c r="A413" s="125"/>
    </row>
    <row r="428" spans="1:8" x14ac:dyDescent="0.25">
      <c r="A428" s="125"/>
      <c r="B428" s="119"/>
      <c r="C428" s="119"/>
      <c r="D428" s="119"/>
      <c r="E428" s="119"/>
      <c r="F428" s="119"/>
      <c r="G428" s="120"/>
      <c r="H428" s="120"/>
    </row>
    <row r="432" spans="1:8" s="116" customFormat="1" x14ac:dyDescent="0.25">
      <c r="A432" s="125"/>
      <c r="G432" s="117"/>
      <c r="H432" s="117"/>
    </row>
    <row r="447" spans="1:8" s="116" customFormat="1" x14ac:dyDescent="0.25">
      <c r="A447" s="125"/>
      <c r="B447" s="119"/>
      <c r="C447" s="119"/>
      <c r="D447" s="119"/>
      <c r="E447" s="119"/>
      <c r="F447" s="119"/>
      <c r="G447" s="120"/>
      <c r="H447" s="120"/>
    </row>
    <row r="451" spans="1:8" s="116" customFormat="1" x14ac:dyDescent="0.25">
      <c r="A451" s="125"/>
      <c r="G451" s="117"/>
      <c r="H451" s="117"/>
    </row>
    <row r="485" spans="1:8" s="116" customFormat="1" x14ac:dyDescent="0.25">
      <c r="A485" s="118"/>
      <c r="G485" s="117"/>
      <c r="H485" s="117"/>
    </row>
    <row r="486" spans="1:8" s="116" customFormat="1" x14ac:dyDescent="0.25">
      <c r="A486" s="118"/>
      <c r="G486" s="117"/>
      <c r="H486" s="117"/>
    </row>
    <row r="487" spans="1:8" s="116" customFormat="1" x14ac:dyDescent="0.25">
      <c r="A487" s="118"/>
      <c r="G487" s="117"/>
      <c r="H487" s="117"/>
    </row>
    <row r="557" spans="1:8" s="116" customFormat="1" x14ac:dyDescent="0.25">
      <c r="A557" s="124"/>
      <c r="B557" s="119"/>
      <c r="C557" s="119"/>
      <c r="D557" s="119"/>
      <c r="E557" s="119"/>
      <c r="F557" s="119"/>
      <c r="G557" s="120"/>
      <c r="H557" s="120"/>
    </row>
    <row r="558" spans="1:8" s="116" customFormat="1" x14ac:dyDescent="0.25">
      <c r="A558" s="124"/>
      <c r="B558" s="119"/>
      <c r="C558" s="119"/>
      <c r="D558" s="119"/>
      <c r="E558" s="119"/>
      <c r="F558" s="119"/>
      <c r="G558" s="120"/>
      <c r="H558" s="120"/>
    </row>
    <row r="569" spans="1:8" s="116" customFormat="1" x14ac:dyDescent="0.25">
      <c r="A569" s="118"/>
      <c r="G569" s="117"/>
      <c r="H569" s="117"/>
    </row>
    <row r="588" spans="1:8" s="116" customFormat="1" x14ac:dyDescent="0.25">
      <c r="A588" s="118"/>
      <c r="G588" s="117"/>
      <c r="H588" s="117"/>
    </row>
    <row r="589" spans="1:8" s="116" customFormat="1" x14ac:dyDescent="0.25">
      <c r="A589" s="118"/>
      <c r="G589" s="117"/>
      <c r="H589" s="117"/>
    </row>
    <row r="590" spans="1:8" s="116" customFormat="1" x14ac:dyDescent="0.25">
      <c r="A590" s="118"/>
      <c r="G590" s="117"/>
      <c r="H590" s="117"/>
    </row>
  </sheetData>
  <sortState xmlns:xlrd2="http://schemas.microsoft.com/office/spreadsheetml/2017/richdata2" ref="A2:H97">
    <sortCondition ref="B2:B97"/>
  </sortState>
  <printOptions horizontalCentered="1"/>
  <pageMargins left="0.31496062992125984" right="0.31496062992125984" top="0.35433070866141736" bottom="0.74803149606299213" header="0.31496062992125984" footer="0.31496062992125984"/>
  <pageSetup paperSize="9" scale="60" fitToHeight="100" orientation="portrait" blackAndWhite="1" horizontalDpi="200" verticalDpi="200" r:id="rId1"/>
  <headerFooter>
    <oddFooter>&amp;L&amp;A&amp;C&amp;D&amp;Rстр.&amp;P из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7"/>
  <dimension ref="A1:K246"/>
  <sheetViews>
    <sheetView zoomScaleNormal="100" workbookViewId="0"/>
  </sheetViews>
  <sheetFormatPr defaultRowHeight="15" x14ac:dyDescent="0.25"/>
  <cols>
    <col min="1" max="1" width="4.5703125" customWidth="1"/>
    <col min="2" max="2" width="18" customWidth="1"/>
    <col min="3" max="3" width="4.7109375" customWidth="1"/>
    <col min="4" max="4" width="19.7109375" customWidth="1"/>
    <col min="5" max="5" width="6.140625" customWidth="1"/>
    <col min="6" max="6" width="18.140625" customWidth="1"/>
    <col min="7" max="7" width="4.7109375" customWidth="1"/>
    <col min="8" max="8" width="19" customWidth="1"/>
  </cols>
  <sheetData>
    <row r="1" spans="1:11" x14ac:dyDescent="0.25">
      <c r="A1" t="s">
        <v>36</v>
      </c>
      <c r="B1" t="s">
        <v>34</v>
      </c>
      <c r="D1" t="s">
        <v>35</v>
      </c>
      <c r="F1" t="s">
        <v>39</v>
      </c>
      <c r="H1" s="57" t="s">
        <v>9</v>
      </c>
      <c r="K1" s="40" t="s">
        <v>54</v>
      </c>
    </row>
    <row r="2" spans="1:11" x14ac:dyDescent="0.25">
      <c r="A2">
        <v>2</v>
      </c>
      <c r="B2" t="s">
        <v>11</v>
      </c>
      <c r="D2" t="s">
        <v>62</v>
      </c>
      <c r="F2" t="s">
        <v>37</v>
      </c>
      <c r="H2" s="57" t="s">
        <v>102</v>
      </c>
    </row>
    <row r="3" spans="1:11" x14ac:dyDescent="0.25">
      <c r="A3">
        <v>3</v>
      </c>
      <c r="B3" t="s">
        <v>14</v>
      </c>
      <c r="D3" t="s">
        <v>21</v>
      </c>
      <c r="F3" t="s">
        <v>55</v>
      </c>
      <c r="H3" s="57" t="s">
        <v>101</v>
      </c>
    </row>
    <row r="4" spans="1:11" x14ac:dyDescent="0.25">
      <c r="A4">
        <v>4</v>
      </c>
      <c r="B4" t="s">
        <v>15</v>
      </c>
      <c r="D4" t="s">
        <v>30</v>
      </c>
      <c r="F4" t="s">
        <v>56</v>
      </c>
      <c r="H4" s="57" t="s">
        <v>94</v>
      </c>
    </row>
    <row r="5" spans="1:11" x14ac:dyDescent="0.25">
      <c r="A5">
        <v>5</v>
      </c>
      <c r="B5" t="s">
        <v>12</v>
      </c>
      <c r="D5" t="s">
        <v>29</v>
      </c>
      <c r="F5" t="s">
        <v>57</v>
      </c>
      <c r="H5" s="58" t="s">
        <v>105</v>
      </c>
    </row>
    <row r="6" spans="1:11" x14ac:dyDescent="0.25">
      <c r="A6">
        <v>6</v>
      </c>
      <c r="B6" t="s">
        <v>13</v>
      </c>
      <c r="D6" t="s">
        <v>19</v>
      </c>
      <c r="F6" t="s">
        <v>38</v>
      </c>
      <c r="H6" s="57" t="s">
        <v>18</v>
      </c>
    </row>
    <row r="7" spans="1:11" x14ac:dyDescent="0.25">
      <c r="A7">
        <v>7</v>
      </c>
      <c r="B7" t="s">
        <v>27</v>
      </c>
      <c r="D7" t="s">
        <v>20</v>
      </c>
      <c r="H7" s="57" t="s">
        <v>92</v>
      </c>
    </row>
    <row r="8" spans="1:11" x14ac:dyDescent="0.25">
      <c r="A8">
        <v>8</v>
      </c>
      <c r="B8" t="s">
        <v>16</v>
      </c>
      <c r="D8" t="s">
        <v>86</v>
      </c>
      <c r="H8" s="57" t="s">
        <v>103</v>
      </c>
    </row>
    <row r="9" spans="1:11" x14ac:dyDescent="0.25">
      <c r="A9">
        <v>9</v>
      </c>
      <c r="B9" t="s">
        <v>17</v>
      </c>
      <c r="D9" t="s">
        <v>88</v>
      </c>
      <c r="H9" s="57" t="s">
        <v>93</v>
      </c>
    </row>
    <row r="10" spans="1:11" x14ac:dyDescent="0.25">
      <c r="A10">
        <v>10</v>
      </c>
      <c r="B10" t="s">
        <v>33</v>
      </c>
      <c r="H10" s="57" t="s">
        <v>91</v>
      </c>
    </row>
    <row r="11" spans="1:11" x14ac:dyDescent="0.25">
      <c r="A11">
        <v>11</v>
      </c>
      <c r="B11" t="s">
        <v>22</v>
      </c>
    </row>
    <row r="12" spans="1:11" x14ac:dyDescent="0.25">
      <c r="A12">
        <v>12</v>
      </c>
      <c r="B12" t="s">
        <v>58</v>
      </c>
    </row>
    <row r="13" spans="1:11" x14ac:dyDescent="0.25">
      <c r="A13">
        <v>13</v>
      </c>
      <c r="B13" t="s">
        <v>59</v>
      </c>
    </row>
    <row r="14" spans="1:11" x14ac:dyDescent="0.25">
      <c r="A14">
        <v>14</v>
      </c>
      <c r="B14" t="s">
        <v>60</v>
      </c>
    </row>
    <row r="15" spans="1:11" x14ac:dyDescent="0.25">
      <c r="A15">
        <v>15</v>
      </c>
      <c r="B15" t="s">
        <v>61</v>
      </c>
    </row>
    <row r="16" spans="1:11" x14ac:dyDescent="0.25">
      <c r="A16">
        <v>16</v>
      </c>
    </row>
    <row r="17" spans="1:1" x14ac:dyDescent="0.25">
      <c r="A17">
        <v>17</v>
      </c>
    </row>
    <row r="18" spans="1:1" x14ac:dyDescent="0.25">
      <c r="A18">
        <v>18</v>
      </c>
    </row>
    <row r="19" spans="1:1" x14ac:dyDescent="0.25">
      <c r="A19">
        <v>19</v>
      </c>
    </row>
    <row r="20" spans="1:1" x14ac:dyDescent="0.25">
      <c r="A20">
        <v>20</v>
      </c>
    </row>
    <row r="21" spans="1:1" x14ac:dyDescent="0.25">
      <c r="A21">
        <v>21</v>
      </c>
    </row>
    <row r="22" spans="1:1" x14ac:dyDescent="0.25">
      <c r="A22">
        <v>22</v>
      </c>
    </row>
    <row r="23" spans="1:1" x14ac:dyDescent="0.25">
      <c r="A23">
        <v>23</v>
      </c>
    </row>
    <row r="24" spans="1:1" x14ac:dyDescent="0.25">
      <c r="A24">
        <v>24</v>
      </c>
    </row>
    <row r="25" spans="1:1" x14ac:dyDescent="0.25">
      <c r="A25">
        <v>25</v>
      </c>
    </row>
    <row r="26" spans="1:1" x14ac:dyDescent="0.25">
      <c r="A26">
        <v>26</v>
      </c>
    </row>
    <row r="27" spans="1:1" x14ac:dyDescent="0.25">
      <c r="A27">
        <v>27</v>
      </c>
    </row>
    <row r="28" spans="1:1" x14ac:dyDescent="0.25">
      <c r="A28">
        <v>28</v>
      </c>
    </row>
    <row r="29" spans="1:1" x14ac:dyDescent="0.25">
      <c r="A29">
        <v>29</v>
      </c>
    </row>
    <row r="30" spans="1:1" x14ac:dyDescent="0.25">
      <c r="A30">
        <v>30</v>
      </c>
    </row>
    <row r="31" spans="1:1" x14ac:dyDescent="0.25">
      <c r="A31">
        <v>31</v>
      </c>
    </row>
    <row r="32" spans="1:1" x14ac:dyDescent="0.25">
      <c r="A32">
        <v>32</v>
      </c>
    </row>
    <row r="33" spans="1:1" x14ac:dyDescent="0.25">
      <c r="A33">
        <v>33</v>
      </c>
    </row>
    <row r="34" spans="1:1" x14ac:dyDescent="0.25">
      <c r="A34">
        <v>34</v>
      </c>
    </row>
    <row r="35" spans="1:1" x14ac:dyDescent="0.25">
      <c r="A35">
        <v>35</v>
      </c>
    </row>
    <row r="36" spans="1:1" x14ac:dyDescent="0.25">
      <c r="A36">
        <v>36</v>
      </c>
    </row>
    <row r="37" spans="1:1" x14ac:dyDescent="0.25">
      <c r="A37">
        <v>37</v>
      </c>
    </row>
    <row r="38" spans="1:1" x14ac:dyDescent="0.25">
      <c r="A38">
        <v>38</v>
      </c>
    </row>
    <row r="39" spans="1:1" x14ac:dyDescent="0.25">
      <c r="A39">
        <v>39</v>
      </c>
    </row>
    <row r="40" spans="1:1" x14ac:dyDescent="0.25">
      <c r="A40">
        <v>40</v>
      </c>
    </row>
    <row r="41" spans="1:1" x14ac:dyDescent="0.25">
      <c r="A41">
        <v>41</v>
      </c>
    </row>
    <row r="42" spans="1:1" x14ac:dyDescent="0.25">
      <c r="A42">
        <v>42</v>
      </c>
    </row>
    <row r="43" spans="1:1" x14ac:dyDescent="0.25">
      <c r="A43">
        <v>43</v>
      </c>
    </row>
    <row r="44" spans="1:1" x14ac:dyDescent="0.25">
      <c r="A44">
        <v>44</v>
      </c>
    </row>
    <row r="45" spans="1:1" x14ac:dyDescent="0.25">
      <c r="A45">
        <v>45</v>
      </c>
    </row>
    <row r="46" spans="1:1" x14ac:dyDescent="0.25">
      <c r="A46">
        <v>46</v>
      </c>
    </row>
    <row r="47" spans="1:1" x14ac:dyDescent="0.25">
      <c r="A47">
        <v>47</v>
      </c>
    </row>
    <row r="48" spans="1:1" x14ac:dyDescent="0.25">
      <c r="A48">
        <v>48</v>
      </c>
    </row>
    <row r="49" spans="1:1" x14ac:dyDescent="0.25">
      <c r="A49">
        <v>49</v>
      </c>
    </row>
    <row r="50" spans="1:1" x14ac:dyDescent="0.25">
      <c r="A50">
        <v>50</v>
      </c>
    </row>
    <row r="51" spans="1:1" x14ac:dyDescent="0.25">
      <c r="A51">
        <v>51</v>
      </c>
    </row>
    <row r="52" spans="1:1" x14ac:dyDescent="0.25">
      <c r="A52">
        <v>52</v>
      </c>
    </row>
    <row r="53" spans="1:1" x14ac:dyDescent="0.25">
      <c r="A53">
        <v>53</v>
      </c>
    </row>
    <row r="54" spans="1:1" x14ac:dyDescent="0.25">
      <c r="A54">
        <v>54</v>
      </c>
    </row>
    <row r="55" spans="1:1" x14ac:dyDescent="0.25">
      <c r="A55">
        <v>55</v>
      </c>
    </row>
    <row r="56" spans="1:1" x14ac:dyDescent="0.25">
      <c r="A56">
        <v>56</v>
      </c>
    </row>
    <row r="57" spans="1:1" x14ac:dyDescent="0.25">
      <c r="A57">
        <v>57</v>
      </c>
    </row>
    <row r="58" spans="1:1" x14ac:dyDescent="0.25">
      <c r="A58">
        <v>58</v>
      </c>
    </row>
    <row r="59" spans="1:1" x14ac:dyDescent="0.25">
      <c r="A59">
        <v>59</v>
      </c>
    </row>
    <row r="60" spans="1:1" x14ac:dyDescent="0.25">
      <c r="A60">
        <v>60</v>
      </c>
    </row>
    <row r="61" spans="1:1" x14ac:dyDescent="0.25">
      <c r="A61">
        <v>61</v>
      </c>
    </row>
    <row r="62" spans="1:1" x14ac:dyDescent="0.25">
      <c r="A62">
        <v>62</v>
      </c>
    </row>
    <row r="63" spans="1:1" x14ac:dyDescent="0.25">
      <c r="A63">
        <v>63</v>
      </c>
    </row>
    <row r="64" spans="1:1" x14ac:dyDescent="0.25">
      <c r="A64">
        <v>64</v>
      </c>
    </row>
    <row r="65" spans="1:1" x14ac:dyDescent="0.25">
      <c r="A65">
        <v>65</v>
      </c>
    </row>
    <row r="66" spans="1:1" x14ac:dyDescent="0.25">
      <c r="A66">
        <v>66</v>
      </c>
    </row>
    <row r="67" spans="1:1" x14ac:dyDescent="0.25">
      <c r="A67">
        <v>67</v>
      </c>
    </row>
    <row r="68" spans="1:1" x14ac:dyDescent="0.25">
      <c r="A68">
        <v>68</v>
      </c>
    </row>
    <row r="69" spans="1:1" x14ac:dyDescent="0.25">
      <c r="A69">
        <v>69</v>
      </c>
    </row>
    <row r="70" spans="1:1" x14ac:dyDescent="0.25">
      <c r="A70">
        <v>70</v>
      </c>
    </row>
    <row r="71" spans="1:1" x14ac:dyDescent="0.25">
      <c r="A71">
        <v>71</v>
      </c>
    </row>
    <row r="72" spans="1:1" x14ac:dyDescent="0.25">
      <c r="A72">
        <v>72</v>
      </c>
    </row>
    <row r="73" spans="1:1" x14ac:dyDescent="0.25">
      <c r="A73">
        <v>73</v>
      </c>
    </row>
    <row r="74" spans="1:1" x14ac:dyDescent="0.25">
      <c r="A74">
        <v>74</v>
      </c>
    </row>
    <row r="75" spans="1:1" x14ac:dyDescent="0.25">
      <c r="A75">
        <v>75</v>
      </c>
    </row>
    <row r="76" spans="1:1" x14ac:dyDescent="0.25">
      <c r="A76">
        <v>76</v>
      </c>
    </row>
    <row r="77" spans="1:1" x14ac:dyDescent="0.25">
      <c r="A77">
        <v>77</v>
      </c>
    </row>
    <row r="78" spans="1:1" x14ac:dyDescent="0.25">
      <c r="A78">
        <v>78</v>
      </c>
    </row>
    <row r="79" spans="1:1" x14ac:dyDescent="0.25">
      <c r="A79">
        <v>79</v>
      </c>
    </row>
    <row r="80" spans="1:1" x14ac:dyDescent="0.25">
      <c r="A80">
        <v>80</v>
      </c>
    </row>
    <row r="81" spans="1:1" x14ac:dyDescent="0.25">
      <c r="A81">
        <v>81</v>
      </c>
    </row>
    <row r="82" spans="1:1" x14ac:dyDescent="0.25">
      <c r="A82">
        <v>82</v>
      </c>
    </row>
    <row r="83" spans="1:1" x14ac:dyDescent="0.25">
      <c r="A83">
        <v>83</v>
      </c>
    </row>
    <row r="84" spans="1:1" x14ac:dyDescent="0.25">
      <c r="A84">
        <v>84</v>
      </c>
    </row>
    <row r="85" spans="1:1" x14ac:dyDescent="0.25">
      <c r="A85">
        <v>85</v>
      </c>
    </row>
    <row r="86" spans="1:1" x14ac:dyDescent="0.25">
      <c r="A86">
        <v>86</v>
      </c>
    </row>
    <row r="87" spans="1:1" x14ac:dyDescent="0.25">
      <c r="A87">
        <v>87</v>
      </c>
    </row>
    <row r="88" spans="1:1" x14ac:dyDescent="0.25">
      <c r="A88">
        <v>88</v>
      </c>
    </row>
    <row r="89" spans="1:1" x14ac:dyDescent="0.25">
      <c r="A89">
        <v>89</v>
      </c>
    </row>
    <row r="90" spans="1:1" x14ac:dyDescent="0.25">
      <c r="A90">
        <v>90</v>
      </c>
    </row>
    <row r="91" spans="1:1" x14ac:dyDescent="0.25">
      <c r="A91">
        <v>91</v>
      </c>
    </row>
    <row r="92" spans="1:1" x14ac:dyDescent="0.25">
      <c r="A92">
        <v>92</v>
      </c>
    </row>
    <row r="93" spans="1:1" x14ac:dyDescent="0.25">
      <c r="A93">
        <v>93</v>
      </c>
    </row>
    <row r="94" spans="1:1" x14ac:dyDescent="0.25">
      <c r="A94">
        <v>94</v>
      </c>
    </row>
    <row r="95" spans="1:1" x14ac:dyDescent="0.25">
      <c r="A95">
        <v>95</v>
      </c>
    </row>
    <row r="96" spans="1:1" x14ac:dyDescent="0.25">
      <c r="A96">
        <v>96</v>
      </c>
    </row>
    <row r="97" spans="1:1" x14ac:dyDescent="0.25">
      <c r="A97">
        <v>97</v>
      </c>
    </row>
    <row r="98" spans="1:1" x14ac:dyDescent="0.25">
      <c r="A98">
        <v>98</v>
      </c>
    </row>
    <row r="99" spans="1:1" x14ac:dyDescent="0.25">
      <c r="A99">
        <v>99</v>
      </c>
    </row>
    <row r="100" spans="1:1" x14ac:dyDescent="0.25">
      <c r="A100">
        <v>100</v>
      </c>
    </row>
    <row r="101" spans="1:1" x14ac:dyDescent="0.25">
      <c r="A101">
        <v>101</v>
      </c>
    </row>
    <row r="102" spans="1:1" x14ac:dyDescent="0.25">
      <c r="A102">
        <v>102</v>
      </c>
    </row>
    <row r="103" spans="1:1" x14ac:dyDescent="0.25">
      <c r="A103">
        <v>103</v>
      </c>
    </row>
    <row r="104" spans="1:1" x14ac:dyDescent="0.25">
      <c r="A104">
        <v>104</v>
      </c>
    </row>
    <row r="105" spans="1:1" x14ac:dyDescent="0.25">
      <c r="A105">
        <v>105</v>
      </c>
    </row>
    <row r="106" spans="1:1" x14ac:dyDescent="0.25">
      <c r="A106">
        <v>106</v>
      </c>
    </row>
    <row r="107" spans="1:1" x14ac:dyDescent="0.25">
      <c r="A107">
        <v>107</v>
      </c>
    </row>
    <row r="108" spans="1:1" x14ac:dyDescent="0.25">
      <c r="A108">
        <v>108</v>
      </c>
    </row>
    <row r="109" spans="1:1" x14ac:dyDescent="0.25">
      <c r="A109">
        <v>109</v>
      </c>
    </row>
    <row r="110" spans="1:1" x14ac:dyDescent="0.25">
      <c r="A110">
        <v>110</v>
      </c>
    </row>
    <row r="111" spans="1:1" x14ac:dyDescent="0.25">
      <c r="A111">
        <v>111</v>
      </c>
    </row>
    <row r="112" spans="1:1" x14ac:dyDescent="0.25">
      <c r="A112">
        <v>112</v>
      </c>
    </row>
    <row r="113" spans="1:1" x14ac:dyDescent="0.25">
      <c r="A113">
        <v>113</v>
      </c>
    </row>
    <row r="114" spans="1:1" x14ac:dyDescent="0.25">
      <c r="A114">
        <v>114</v>
      </c>
    </row>
    <row r="115" spans="1:1" x14ac:dyDescent="0.25">
      <c r="A115">
        <v>115</v>
      </c>
    </row>
    <row r="116" spans="1:1" x14ac:dyDescent="0.25">
      <c r="A116">
        <v>116</v>
      </c>
    </row>
    <row r="117" spans="1:1" x14ac:dyDescent="0.25">
      <c r="A117">
        <v>117</v>
      </c>
    </row>
    <row r="118" spans="1:1" x14ac:dyDescent="0.25">
      <c r="A118">
        <v>118</v>
      </c>
    </row>
    <row r="119" spans="1:1" x14ac:dyDescent="0.25">
      <c r="A119">
        <v>119</v>
      </c>
    </row>
    <row r="120" spans="1:1" x14ac:dyDescent="0.25">
      <c r="A120">
        <v>120</v>
      </c>
    </row>
    <row r="121" spans="1:1" x14ac:dyDescent="0.25">
      <c r="A121">
        <v>121</v>
      </c>
    </row>
    <row r="122" spans="1:1" x14ac:dyDescent="0.25">
      <c r="A122">
        <v>122</v>
      </c>
    </row>
    <row r="123" spans="1:1" x14ac:dyDescent="0.25">
      <c r="A123">
        <v>123</v>
      </c>
    </row>
    <row r="124" spans="1:1" x14ac:dyDescent="0.25">
      <c r="A124">
        <v>124</v>
      </c>
    </row>
    <row r="125" spans="1:1" x14ac:dyDescent="0.25">
      <c r="A125">
        <v>125</v>
      </c>
    </row>
    <row r="126" spans="1:1" x14ac:dyDescent="0.25">
      <c r="A126">
        <v>126</v>
      </c>
    </row>
    <row r="127" spans="1:1" x14ac:dyDescent="0.25">
      <c r="A127">
        <v>127</v>
      </c>
    </row>
    <row r="128" spans="1:1" x14ac:dyDescent="0.25">
      <c r="A128">
        <v>128</v>
      </c>
    </row>
    <row r="129" spans="1:1" x14ac:dyDescent="0.25">
      <c r="A129">
        <v>129</v>
      </c>
    </row>
    <row r="130" spans="1:1" x14ac:dyDescent="0.25">
      <c r="A130">
        <v>130</v>
      </c>
    </row>
    <row r="131" spans="1:1" x14ac:dyDescent="0.25">
      <c r="A131">
        <v>131</v>
      </c>
    </row>
    <row r="132" spans="1:1" x14ac:dyDescent="0.25">
      <c r="A132">
        <v>132</v>
      </c>
    </row>
    <row r="133" spans="1:1" x14ac:dyDescent="0.25">
      <c r="A133">
        <v>133</v>
      </c>
    </row>
    <row r="134" spans="1:1" x14ac:dyDescent="0.25">
      <c r="A134">
        <v>134</v>
      </c>
    </row>
    <row r="135" spans="1:1" x14ac:dyDescent="0.25">
      <c r="A135">
        <v>135</v>
      </c>
    </row>
    <row r="136" spans="1:1" x14ac:dyDescent="0.25">
      <c r="A136">
        <v>136</v>
      </c>
    </row>
    <row r="137" spans="1:1" x14ac:dyDescent="0.25">
      <c r="A137">
        <v>137</v>
      </c>
    </row>
    <row r="138" spans="1:1" x14ac:dyDescent="0.25">
      <c r="A138">
        <v>138</v>
      </c>
    </row>
    <row r="139" spans="1:1" x14ac:dyDescent="0.25">
      <c r="A139">
        <v>139</v>
      </c>
    </row>
    <row r="140" spans="1:1" x14ac:dyDescent="0.25">
      <c r="A140">
        <v>140</v>
      </c>
    </row>
    <row r="141" spans="1:1" x14ac:dyDescent="0.25">
      <c r="A141">
        <v>141</v>
      </c>
    </row>
    <row r="142" spans="1:1" x14ac:dyDescent="0.25">
      <c r="A142">
        <v>142</v>
      </c>
    </row>
    <row r="143" spans="1:1" x14ac:dyDescent="0.25">
      <c r="A143">
        <v>143</v>
      </c>
    </row>
    <row r="144" spans="1:1" x14ac:dyDescent="0.25">
      <c r="A144">
        <v>144</v>
      </c>
    </row>
    <row r="145" spans="1:1" x14ac:dyDescent="0.25">
      <c r="A145">
        <v>145</v>
      </c>
    </row>
    <row r="146" spans="1:1" x14ac:dyDescent="0.25">
      <c r="A146">
        <v>146</v>
      </c>
    </row>
    <row r="147" spans="1:1" x14ac:dyDescent="0.25">
      <c r="A147">
        <v>147</v>
      </c>
    </row>
    <row r="148" spans="1:1" x14ac:dyDescent="0.25">
      <c r="A148">
        <v>148</v>
      </c>
    </row>
    <row r="149" spans="1:1" x14ac:dyDescent="0.25">
      <c r="A149">
        <v>149</v>
      </c>
    </row>
    <row r="150" spans="1:1" x14ac:dyDescent="0.25">
      <c r="A150">
        <v>150</v>
      </c>
    </row>
    <row r="151" spans="1:1" x14ac:dyDescent="0.25">
      <c r="A151">
        <v>151</v>
      </c>
    </row>
    <row r="152" spans="1:1" x14ac:dyDescent="0.25">
      <c r="A152">
        <v>152</v>
      </c>
    </row>
    <row r="153" spans="1:1" x14ac:dyDescent="0.25">
      <c r="A153">
        <v>153</v>
      </c>
    </row>
    <row r="154" spans="1:1" x14ac:dyDescent="0.25">
      <c r="A154">
        <v>154</v>
      </c>
    </row>
    <row r="155" spans="1:1" x14ac:dyDescent="0.25">
      <c r="A155">
        <v>155</v>
      </c>
    </row>
    <row r="156" spans="1:1" x14ac:dyDescent="0.25">
      <c r="A156">
        <v>156</v>
      </c>
    </row>
    <row r="157" spans="1:1" x14ac:dyDescent="0.25">
      <c r="A157">
        <v>157</v>
      </c>
    </row>
    <row r="158" spans="1:1" x14ac:dyDescent="0.25">
      <c r="A158">
        <v>158</v>
      </c>
    </row>
    <row r="159" spans="1:1" x14ac:dyDescent="0.25">
      <c r="A159">
        <v>159</v>
      </c>
    </row>
    <row r="160" spans="1:1" x14ac:dyDescent="0.25">
      <c r="A160">
        <v>160</v>
      </c>
    </row>
    <row r="161" spans="1:1" x14ac:dyDescent="0.25">
      <c r="A161">
        <v>161</v>
      </c>
    </row>
    <row r="162" spans="1:1" x14ac:dyDescent="0.25">
      <c r="A162">
        <v>162</v>
      </c>
    </row>
    <row r="163" spans="1:1" x14ac:dyDescent="0.25">
      <c r="A163">
        <v>163</v>
      </c>
    </row>
    <row r="164" spans="1:1" x14ac:dyDescent="0.25">
      <c r="A164">
        <v>164</v>
      </c>
    </row>
    <row r="165" spans="1:1" x14ac:dyDescent="0.25">
      <c r="A165">
        <v>165</v>
      </c>
    </row>
    <row r="166" spans="1:1" x14ac:dyDescent="0.25">
      <c r="A166">
        <v>166</v>
      </c>
    </row>
    <row r="167" spans="1:1" x14ac:dyDescent="0.25">
      <c r="A167">
        <v>167</v>
      </c>
    </row>
    <row r="168" spans="1:1" x14ac:dyDescent="0.25">
      <c r="A168">
        <v>168</v>
      </c>
    </row>
    <row r="169" spans="1:1" x14ac:dyDescent="0.25">
      <c r="A169">
        <v>169</v>
      </c>
    </row>
    <row r="170" spans="1:1" x14ac:dyDescent="0.25">
      <c r="A170">
        <v>170</v>
      </c>
    </row>
    <row r="171" spans="1:1" x14ac:dyDescent="0.25">
      <c r="A171">
        <v>171</v>
      </c>
    </row>
    <row r="172" spans="1:1" x14ac:dyDescent="0.25">
      <c r="A172">
        <v>172</v>
      </c>
    </row>
    <row r="173" spans="1:1" x14ac:dyDescent="0.25">
      <c r="A173">
        <v>173</v>
      </c>
    </row>
    <row r="174" spans="1:1" x14ac:dyDescent="0.25">
      <c r="A174">
        <v>174</v>
      </c>
    </row>
    <row r="175" spans="1:1" x14ac:dyDescent="0.25">
      <c r="A175">
        <v>175</v>
      </c>
    </row>
    <row r="176" spans="1:1" x14ac:dyDescent="0.25">
      <c r="A176">
        <v>176</v>
      </c>
    </row>
    <row r="177" spans="1:1" x14ac:dyDescent="0.25">
      <c r="A177">
        <v>177</v>
      </c>
    </row>
    <row r="178" spans="1:1" x14ac:dyDescent="0.25">
      <c r="A178">
        <v>178</v>
      </c>
    </row>
    <row r="179" spans="1:1" x14ac:dyDescent="0.25">
      <c r="A179">
        <v>179</v>
      </c>
    </row>
    <row r="180" spans="1:1" x14ac:dyDescent="0.25">
      <c r="A180">
        <v>180</v>
      </c>
    </row>
    <row r="181" spans="1:1" x14ac:dyDescent="0.25">
      <c r="A181">
        <v>181</v>
      </c>
    </row>
    <row r="182" spans="1:1" x14ac:dyDescent="0.25">
      <c r="A182">
        <v>182</v>
      </c>
    </row>
    <row r="183" spans="1:1" x14ac:dyDescent="0.25">
      <c r="A183">
        <v>183</v>
      </c>
    </row>
    <row r="184" spans="1:1" x14ac:dyDescent="0.25">
      <c r="A184">
        <v>184</v>
      </c>
    </row>
    <row r="185" spans="1:1" x14ac:dyDescent="0.25">
      <c r="A185">
        <v>185</v>
      </c>
    </row>
    <row r="186" spans="1:1" x14ac:dyDescent="0.25">
      <c r="A186">
        <v>186</v>
      </c>
    </row>
    <row r="187" spans="1:1" x14ac:dyDescent="0.25">
      <c r="A187">
        <v>187</v>
      </c>
    </row>
    <row r="188" spans="1:1" x14ac:dyDescent="0.25">
      <c r="A188">
        <v>188</v>
      </c>
    </row>
    <row r="189" spans="1:1" x14ac:dyDescent="0.25">
      <c r="A189">
        <v>189</v>
      </c>
    </row>
    <row r="190" spans="1:1" x14ac:dyDescent="0.25">
      <c r="A190">
        <v>190</v>
      </c>
    </row>
    <row r="191" spans="1:1" x14ac:dyDescent="0.25">
      <c r="A191">
        <v>191</v>
      </c>
    </row>
    <row r="192" spans="1:1" x14ac:dyDescent="0.25">
      <c r="A192">
        <v>192</v>
      </c>
    </row>
    <row r="193" spans="1:1" x14ac:dyDescent="0.25">
      <c r="A193">
        <v>193</v>
      </c>
    </row>
    <row r="194" spans="1:1" x14ac:dyDescent="0.25">
      <c r="A194">
        <v>194</v>
      </c>
    </row>
    <row r="195" spans="1:1" x14ac:dyDescent="0.25">
      <c r="A195">
        <v>195</v>
      </c>
    </row>
    <row r="196" spans="1:1" x14ac:dyDescent="0.25">
      <c r="A196">
        <v>196</v>
      </c>
    </row>
    <row r="197" spans="1:1" x14ac:dyDescent="0.25">
      <c r="A197">
        <v>197</v>
      </c>
    </row>
    <row r="198" spans="1:1" x14ac:dyDescent="0.25">
      <c r="A198">
        <v>198</v>
      </c>
    </row>
    <row r="199" spans="1:1" x14ac:dyDescent="0.25">
      <c r="A199">
        <v>199</v>
      </c>
    </row>
    <row r="200" spans="1:1" x14ac:dyDescent="0.25">
      <c r="A200">
        <v>200</v>
      </c>
    </row>
    <row r="201" spans="1:1" x14ac:dyDescent="0.25">
      <c r="A201">
        <v>201</v>
      </c>
    </row>
    <row r="202" spans="1:1" x14ac:dyDescent="0.25">
      <c r="A202">
        <v>202</v>
      </c>
    </row>
    <row r="203" spans="1:1" x14ac:dyDescent="0.25">
      <c r="A203">
        <v>203</v>
      </c>
    </row>
    <row r="204" spans="1:1" x14ac:dyDescent="0.25">
      <c r="A204">
        <v>204</v>
      </c>
    </row>
    <row r="205" spans="1:1" x14ac:dyDescent="0.25">
      <c r="A205">
        <v>205</v>
      </c>
    </row>
    <row r="206" spans="1:1" x14ac:dyDescent="0.25">
      <c r="A206">
        <v>206</v>
      </c>
    </row>
    <row r="207" spans="1:1" x14ac:dyDescent="0.25">
      <c r="A207">
        <v>207</v>
      </c>
    </row>
    <row r="208" spans="1:1" x14ac:dyDescent="0.25">
      <c r="A208">
        <v>208</v>
      </c>
    </row>
    <row r="209" spans="1:1" x14ac:dyDescent="0.25">
      <c r="A209">
        <v>209</v>
      </c>
    </row>
    <row r="210" spans="1:1" x14ac:dyDescent="0.25">
      <c r="A210">
        <v>210</v>
      </c>
    </row>
    <row r="211" spans="1:1" x14ac:dyDescent="0.25">
      <c r="A211">
        <v>211</v>
      </c>
    </row>
    <row r="212" spans="1:1" x14ac:dyDescent="0.25">
      <c r="A212">
        <v>212</v>
      </c>
    </row>
    <row r="213" spans="1:1" x14ac:dyDescent="0.25">
      <c r="A213">
        <v>213</v>
      </c>
    </row>
    <row r="214" spans="1:1" x14ac:dyDescent="0.25">
      <c r="A214">
        <v>214</v>
      </c>
    </row>
    <row r="215" spans="1:1" x14ac:dyDescent="0.25">
      <c r="A215">
        <v>215</v>
      </c>
    </row>
    <row r="216" spans="1:1" x14ac:dyDescent="0.25">
      <c r="A216">
        <v>216</v>
      </c>
    </row>
    <row r="217" spans="1:1" x14ac:dyDescent="0.25">
      <c r="A217">
        <v>217</v>
      </c>
    </row>
    <row r="218" spans="1:1" x14ac:dyDescent="0.25">
      <c r="A218">
        <v>218</v>
      </c>
    </row>
    <row r="219" spans="1:1" x14ac:dyDescent="0.25">
      <c r="A219">
        <v>219</v>
      </c>
    </row>
    <row r="220" spans="1:1" x14ac:dyDescent="0.25">
      <c r="A220">
        <v>220</v>
      </c>
    </row>
    <row r="221" spans="1:1" x14ac:dyDescent="0.25">
      <c r="A221">
        <v>221</v>
      </c>
    </row>
    <row r="222" spans="1:1" x14ac:dyDescent="0.25">
      <c r="A222">
        <v>222</v>
      </c>
    </row>
    <row r="223" spans="1:1" x14ac:dyDescent="0.25">
      <c r="A223">
        <v>223</v>
      </c>
    </row>
    <row r="224" spans="1:1" x14ac:dyDescent="0.25">
      <c r="A224">
        <v>224</v>
      </c>
    </row>
    <row r="225" spans="1:1" x14ac:dyDescent="0.25">
      <c r="A225">
        <v>225</v>
      </c>
    </row>
    <row r="226" spans="1:1" x14ac:dyDescent="0.25">
      <c r="A226">
        <v>226</v>
      </c>
    </row>
    <row r="227" spans="1:1" x14ac:dyDescent="0.25">
      <c r="A227">
        <v>227</v>
      </c>
    </row>
    <row r="228" spans="1:1" x14ac:dyDescent="0.25">
      <c r="A228">
        <v>228</v>
      </c>
    </row>
    <row r="229" spans="1:1" x14ac:dyDescent="0.25">
      <c r="A229">
        <v>229</v>
      </c>
    </row>
    <row r="230" spans="1:1" x14ac:dyDescent="0.25">
      <c r="A230">
        <v>230</v>
      </c>
    </row>
    <row r="231" spans="1:1" x14ac:dyDescent="0.25">
      <c r="A231">
        <v>231</v>
      </c>
    </row>
    <row r="232" spans="1:1" x14ac:dyDescent="0.25">
      <c r="A232">
        <v>232</v>
      </c>
    </row>
    <row r="233" spans="1:1" x14ac:dyDescent="0.25">
      <c r="A233">
        <v>233</v>
      </c>
    </row>
    <row r="234" spans="1:1" x14ac:dyDescent="0.25">
      <c r="A234">
        <v>234</v>
      </c>
    </row>
    <row r="235" spans="1:1" x14ac:dyDescent="0.25">
      <c r="A235">
        <v>235</v>
      </c>
    </row>
    <row r="236" spans="1:1" x14ac:dyDescent="0.25">
      <c r="A236">
        <v>236</v>
      </c>
    </row>
    <row r="237" spans="1:1" x14ac:dyDescent="0.25">
      <c r="A237">
        <v>237</v>
      </c>
    </row>
    <row r="238" spans="1:1" x14ac:dyDescent="0.25">
      <c r="A238">
        <v>238</v>
      </c>
    </row>
    <row r="239" spans="1:1" x14ac:dyDescent="0.25">
      <c r="A239">
        <v>239</v>
      </c>
    </row>
    <row r="240" spans="1:1" x14ac:dyDescent="0.25">
      <c r="A240">
        <v>240</v>
      </c>
    </row>
    <row r="241" spans="1:1" x14ac:dyDescent="0.25">
      <c r="A241">
        <v>241</v>
      </c>
    </row>
    <row r="242" spans="1:1" x14ac:dyDescent="0.25">
      <c r="A242">
        <v>242</v>
      </c>
    </row>
    <row r="243" spans="1:1" x14ac:dyDescent="0.25">
      <c r="A243">
        <v>243</v>
      </c>
    </row>
    <row r="244" spans="1:1" x14ac:dyDescent="0.25">
      <c r="A244">
        <v>244</v>
      </c>
    </row>
    <row r="245" spans="1:1" x14ac:dyDescent="0.25">
      <c r="A245">
        <v>245</v>
      </c>
    </row>
    <row r="246" spans="1:1" x14ac:dyDescent="0.25">
      <c r="A246">
        <v>246</v>
      </c>
    </row>
  </sheetData>
  <sortState xmlns:xlrd2="http://schemas.microsoft.com/office/spreadsheetml/2017/richdata2" ref="Q1:Q12">
    <sortCondition ref="Q1:Q12"/>
  </sortState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BD24A41-8DD9-4997-BCCA-E42A2720DCF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4</vt:i4>
      </vt:variant>
    </vt:vector>
  </HeadingPairs>
  <TitlesOfParts>
    <vt:vector size="15" baseType="lpstr">
      <vt:lpstr>Обложка</vt:lpstr>
      <vt:lpstr>Учет</vt:lpstr>
      <vt:lpstr>ЗП</vt:lpstr>
      <vt:lpstr>ЗП подробно</vt:lpstr>
      <vt:lpstr>ДС</vt:lpstr>
      <vt:lpstr>Движение ДС</vt:lpstr>
      <vt:lpstr>Объекты</vt:lpstr>
      <vt:lpstr>Платежи</vt:lpstr>
      <vt:lpstr>Получатели</vt:lpstr>
      <vt:lpstr>Виды платежей</vt:lpstr>
      <vt:lpstr>Справочники</vt:lpstr>
      <vt:lpstr>'Виды платежей'!Заголовки_для_печати</vt:lpstr>
      <vt:lpstr>'Движение ДС'!Заголовки_для_печати</vt:lpstr>
      <vt:lpstr>Учет!Заголовки_для_печати</vt:lpstr>
      <vt:lpstr>Учет!Область_печати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Рутковская Ольга Александровна</dc:creator>
  <cp:lastModifiedBy>Рутковская Ольга Александровна</cp:lastModifiedBy>
  <cp:lastPrinted>2023-08-31T10:05:01Z</cp:lastPrinted>
  <dcterms:created xsi:type="dcterms:W3CDTF">2023-08-16T11:26:14Z</dcterms:created>
  <dcterms:modified xsi:type="dcterms:W3CDTF">2023-09-15T08:33:38Z</dcterms:modified>
</cp:coreProperties>
</file>